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gpf365.sharepoint.com/sites/ServiceProduits/Shared Documents/General/01_ACTIVITES_PRODUITS/02_ETUDES_ES/02_DEVELOPPEMENT/Outil collaboratif Grands Comptes/"/>
    </mc:Choice>
  </mc:AlternateContent>
  <xr:revisionPtr revIDLastSave="15" documentId="13_ncr:1_{8DFFC3F6-7EFF-438C-945A-21E031B140A9}" xr6:coauthVersionLast="47" xr6:coauthVersionMax="47" xr10:uidLastSave="{76F7D486-157F-4CB4-A16F-05D01BDA3B3E}"/>
  <bookViews>
    <workbookView xWindow="-120" yWindow="-120" windowWidth="29040" windowHeight="15720" tabRatio="901" xr2:uid="{00000000-000D-0000-FFFF-FFFF00000000}"/>
  </bookViews>
  <sheets>
    <sheet name="FS_referentiel_produits_std_Ver" sheetId="33" r:id="rId1"/>
    <sheet name="CABINES" sheetId="26" r:id="rId2"/>
    <sheet name="MOTEURS" sheetId="27" r:id="rId3"/>
    <sheet name="CHASSIS" sheetId="28" r:id="rId4"/>
    <sheet name="CAISSES" sheetId="29" r:id="rId5"/>
    <sheet name="FRIGO" sheetId="30" r:id="rId6"/>
    <sheet name="HAYONS" sheetId="31" r:id="rId7"/>
    <sheet name="Energie Alter" sheetId="19" state="hidden" r:id="rId8"/>
    <sheet name="Synth NCEE" sheetId="23" state="hidden" r:id="rId9"/>
  </sheets>
  <definedNames>
    <definedName name="_xlnm._FilterDatabase" localSheetId="1" hidden="1">CABINES!$A$1:$BE$172</definedName>
    <definedName name="_xlnm._FilterDatabase" localSheetId="4" hidden="1">CAISSES!$A$1:$DW$312</definedName>
    <definedName name="_xlnm._FilterDatabase" localSheetId="3" hidden="1">CHASSIS!$A$1:$AW$151</definedName>
    <definedName name="_xlnm._FilterDatabase" localSheetId="7" hidden="1">'Energie Alter'!$A$1:$FW$58</definedName>
    <definedName name="_xlnm._FilterDatabase" localSheetId="5" hidden="1">FRIGO!$A$1:$AR$136</definedName>
    <definedName name="_xlnm._FilterDatabase" localSheetId="0" hidden="1">FS_referentiel_produits_std_Ver!$A$1:$BZ$588</definedName>
    <definedName name="_xlnm._FilterDatabase" localSheetId="6" hidden="1">HAYONS!$A$1:$AI$44</definedName>
    <definedName name="_xlnm._FilterDatabase" localSheetId="2" hidden="1">MOTEURS!$A$1:$AQ$139</definedName>
    <definedName name="_xlnm.Print_Area" localSheetId="0">FS_referentiel_produits_std_Ver!#REF!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R297" i="33" l="1"/>
  <c r="BR296" i="33"/>
  <c r="BR298" i="33"/>
  <c r="AU2" i="26" l="1"/>
  <c r="AU3" i="26"/>
  <c r="AU4" i="26"/>
  <c r="AU5" i="26"/>
  <c r="AU6" i="26"/>
  <c r="AU7" i="26"/>
  <c r="AU8" i="26"/>
  <c r="AU9" i="26"/>
  <c r="AU10" i="26"/>
  <c r="AU11" i="26"/>
  <c r="AU12" i="26"/>
  <c r="AU13" i="26"/>
  <c r="AU14" i="26"/>
  <c r="AU15" i="26"/>
  <c r="AU16" i="26"/>
  <c r="AU17" i="26"/>
  <c r="AU18" i="26"/>
  <c r="AU19" i="26"/>
  <c r="AU20" i="26"/>
  <c r="AU21" i="26"/>
  <c r="AU22" i="26"/>
  <c r="AU23" i="26"/>
  <c r="AU24" i="26"/>
  <c r="AU25" i="26"/>
  <c r="AU26" i="26"/>
  <c r="AU27" i="26"/>
  <c r="AU28" i="26"/>
  <c r="AU29" i="26"/>
  <c r="AU30" i="26"/>
  <c r="AU31" i="26"/>
  <c r="AU32" i="26"/>
  <c r="AU33" i="26"/>
  <c r="AU34" i="26"/>
  <c r="AU35" i="26"/>
  <c r="AU36" i="26"/>
  <c r="AU37" i="26"/>
  <c r="AU38" i="26"/>
  <c r="AU39" i="26"/>
  <c r="AU40" i="26"/>
  <c r="AU41" i="26"/>
  <c r="AU42" i="26"/>
  <c r="AU43" i="26"/>
  <c r="AU44" i="26"/>
  <c r="AU45" i="26"/>
  <c r="AU46" i="26"/>
  <c r="AU47" i="26"/>
  <c r="AU48" i="26"/>
  <c r="AU49" i="26"/>
  <c r="AU50" i="26"/>
  <c r="AU51" i="26"/>
  <c r="AU52" i="26"/>
  <c r="AU53" i="26"/>
  <c r="AU54" i="26"/>
  <c r="AU55" i="26"/>
  <c r="AU56" i="26"/>
  <c r="AU57" i="26"/>
  <c r="AU58" i="26"/>
  <c r="AU59" i="26"/>
  <c r="AU60" i="26"/>
  <c r="AU61" i="26"/>
  <c r="AU62" i="26"/>
  <c r="AU63" i="26"/>
  <c r="AU64" i="26"/>
  <c r="AU65" i="26"/>
  <c r="AU66" i="26"/>
  <c r="AU67" i="26"/>
  <c r="AU68" i="26"/>
  <c r="AU69" i="26"/>
  <c r="AU70" i="26"/>
  <c r="AU71" i="26"/>
  <c r="AU72" i="26"/>
  <c r="AU73" i="26"/>
  <c r="AU74" i="26"/>
  <c r="AU75" i="26"/>
  <c r="AU76" i="26"/>
  <c r="AU77" i="26"/>
  <c r="AU78" i="26"/>
  <c r="AU79" i="26"/>
  <c r="AU80" i="26"/>
  <c r="AU81" i="26"/>
  <c r="AM2" i="27"/>
  <c r="AM3" i="27"/>
  <c r="AM4" i="27"/>
  <c r="AM5" i="27"/>
  <c r="AM6" i="27"/>
  <c r="AM7" i="27"/>
  <c r="AM8" i="27"/>
  <c r="AM9" i="27"/>
  <c r="AM10" i="27"/>
  <c r="AM11" i="27"/>
  <c r="AM12" i="27"/>
  <c r="AM13" i="27"/>
  <c r="AM14" i="27"/>
  <c r="AM15" i="27"/>
  <c r="AM16" i="27"/>
  <c r="AM17" i="27"/>
  <c r="AM18" i="27"/>
  <c r="AM19" i="27"/>
  <c r="AM20" i="27"/>
  <c r="AM21" i="27"/>
  <c r="AM22" i="27"/>
  <c r="AM23" i="27"/>
  <c r="AM24" i="27"/>
  <c r="AM25" i="27"/>
  <c r="AM26" i="27"/>
  <c r="AM27" i="27"/>
  <c r="AM28" i="27"/>
  <c r="AM29" i="27"/>
  <c r="AM30" i="27"/>
  <c r="AM31" i="27"/>
  <c r="AM32" i="27"/>
  <c r="AM33" i="27"/>
  <c r="AM34" i="27"/>
  <c r="AM35" i="27"/>
  <c r="AM36" i="27"/>
  <c r="AM37" i="27"/>
  <c r="AM38" i="27"/>
  <c r="AM39" i="27"/>
  <c r="AM40" i="27"/>
  <c r="AM41" i="27"/>
  <c r="AM42" i="27"/>
  <c r="AM43" i="27"/>
  <c r="AM44" i="27"/>
  <c r="AM45" i="27"/>
  <c r="AM46" i="27"/>
  <c r="AM47" i="27"/>
  <c r="AM48" i="27"/>
  <c r="AM49" i="27"/>
  <c r="AM50" i="27"/>
  <c r="AM51" i="27"/>
  <c r="AM52" i="27"/>
  <c r="AM53" i="27"/>
  <c r="AM54" i="27"/>
  <c r="AM55" i="27"/>
  <c r="AM56" i="27"/>
  <c r="AM57" i="27"/>
  <c r="AM58" i="27"/>
  <c r="AS3" i="28"/>
  <c r="AS4" i="28"/>
  <c r="AS5" i="28"/>
  <c r="AS6" i="28"/>
  <c r="AS7" i="28"/>
  <c r="AS8" i="28"/>
  <c r="AS9" i="28"/>
  <c r="AS10" i="28"/>
  <c r="AS11" i="28"/>
  <c r="AS12" i="28"/>
  <c r="AS13" i="28"/>
  <c r="AS14" i="28"/>
  <c r="AS15" i="28"/>
  <c r="AS16" i="28"/>
  <c r="AS17" i="28"/>
  <c r="AS18" i="28"/>
  <c r="AS19" i="28"/>
  <c r="AS20" i="28"/>
  <c r="AS21" i="28"/>
  <c r="AS22" i="28"/>
  <c r="AS23" i="28"/>
  <c r="AS24" i="28"/>
  <c r="AS25" i="28"/>
  <c r="AS26" i="28"/>
  <c r="AS27" i="28"/>
  <c r="AS28" i="28"/>
  <c r="AS29" i="28"/>
  <c r="AS30" i="28"/>
  <c r="AS31" i="28"/>
  <c r="AS32" i="28"/>
  <c r="AS33" i="28"/>
  <c r="AS34" i="28"/>
  <c r="AS35" i="28"/>
  <c r="AS36" i="28"/>
  <c r="AS37" i="28"/>
  <c r="AS38" i="28"/>
  <c r="AS39" i="28"/>
  <c r="AS40" i="28"/>
  <c r="AS41" i="28"/>
  <c r="AS42" i="28"/>
  <c r="AS43" i="28"/>
  <c r="AS44" i="28"/>
  <c r="AS45" i="28"/>
  <c r="AS46" i="28"/>
  <c r="AS47" i="28"/>
  <c r="AS48" i="28"/>
  <c r="AS49" i="28"/>
  <c r="AS50" i="28"/>
  <c r="AS51" i="28"/>
  <c r="AS52" i="28"/>
  <c r="AS53" i="28"/>
  <c r="AS54" i="28"/>
  <c r="AS55" i="28"/>
  <c r="AS56" i="28"/>
  <c r="AS57" i="28"/>
  <c r="AS58" i="28"/>
  <c r="AS59" i="28"/>
  <c r="BW129" i="29"/>
  <c r="BW128" i="29"/>
  <c r="BW127" i="29"/>
  <c r="BW126" i="29"/>
  <c r="BW125" i="29"/>
  <c r="BW124" i="29"/>
  <c r="BW123" i="29"/>
  <c r="BW122" i="29"/>
  <c r="BW121" i="29"/>
  <c r="BW120" i="29"/>
  <c r="BW119" i="29"/>
  <c r="BW118" i="29"/>
  <c r="BW117" i="29"/>
  <c r="BW116" i="29"/>
  <c r="BW115" i="29"/>
  <c r="BW114" i="29"/>
  <c r="BW113" i="29"/>
  <c r="BW112" i="29"/>
  <c r="BW111" i="29"/>
  <c r="BW110" i="29"/>
  <c r="BW109" i="29"/>
  <c r="BW108" i="29"/>
  <c r="BW107" i="29"/>
  <c r="BW106" i="29"/>
  <c r="BW105" i="29"/>
  <c r="BW104" i="29"/>
  <c r="BW103" i="29"/>
  <c r="BW102" i="29"/>
  <c r="BW101" i="29"/>
  <c r="BW100" i="29"/>
  <c r="BW99" i="29"/>
  <c r="BW98" i="29"/>
  <c r="BW97" i="29"/>
  <c r="BW96" i="29"/>
  <c r="BW95" i="29"/>
  <c r="BW94" i="29"/>
  <c r="BW93" i="29"/>
  <c r="BW92" i="29"/>
  <c r="BW91" i="29"/>
  <c r="BW90" i="29"/>
  <c r="BW89" i="29"/>
  <c r="BW88" i="29"/>
  <c r="BW87" i="29"/>
  <c r="BW86" i="29"/>
  <c r="BW85" i="29"/>
  <c r="BW84" i="29"/>
  <c r="BW83" i="29"/>
  <c r="BW82" i="29"/>
  <c r="BW81" i="29"/>
  <c r="BW80" i="29"/>
  <c r="BW79" i="29"/>
  <c r="BW78" i="29"/>
  <c r="BW77" i="29"/>
  <c r="BW76" i="29"/>
  <c r="BW75" i="29"/>
  <c r="BW74" i="29"/>
  <c r="BW73" i="29"/>
  <c r="BW72" i="29"/>
  <c r="BW71" i="29"/>
  <c r="BW70" i="29"/>
  <c r="BW69" i="29"/>
  <c r="BW68" i="29"/>
  <c r="BW67" i="29"/>
  <c r="BW66" i="29"/>
  <c r="BW65" i="29"/>
  <c r="BW64" i="29"/>
  <c r="BW63" i="29"/>
  <c r="BW62" i="29"/>
  <c r="BW61" i="29"/>
  <c r="BW60" i="29"/>
  <c r="BW59" i="29"/>
  <c r="BW58" i="29"/>
  <c r="BW57" i="29"/>
  <c r="BW56" i="29"/>
  <c r="BW55" i="29"/>
  <c r="BW54" i="29"/>
  <c r="BW53" i="29"/>
  <c r="BW52" i="29"/>
  <c r="BW51" i="29"/>
  <c r="BW50" i="29"/>
  <c r="BW49" i="29"/>
  <c r="BW48" i="29"/>
  <c r="BW47" i="29"/>
  <c r="BW46" i="29"/>
  <c r="BW45" i="29"/>
  <c r="BW44" i="29"/>
  <c r="BW43" i="29"/>
  <c r="BW42" i="29"/>
  <c r="BW41" i="29"/>
  <c r="BW40" i="29"/>
  <c r="BW39" i="29"/>
  <c r="BW38" i="29"/>
  <c r="BW37" i="29"/>
  <c r="BW36" i="29"/>
  <c r="BW35" i="29"/>
  <c r="BW34" i="29"/>
  <c r="BW33" i="29"/>
  <c r="BW32" i="29"/>
  <c r="BW31" i="29"/>
  <c r="BW30" i="29"/>
  <c r="BW29" i="29"/>
  <c r="BW28" i="29"/>
  <c r="BW27" i="29"/>
  <c r="BW26" i="29"/>
  <c r="BW25" i="29"/>
  <c r="BW24" i="29"/>
  <c r="BW23" i="29"/>
  <c r="BW22" i="29"/>
  <c r="BW21" i="29"/>
  <c r="BW20" i="29"/>
  <c r="BW19" i="29"/>
  <c r="BW18" i="29"/>
  <c r="BW17" i="29"/>
  <c r="BW16" i="29"/>
  <c r="BW15" i="29"/>
  <c r="BW14" i="29"/>
  <c r="BW13" i="29"/>
  <c r="BW12" i="29"/>
  <c r="BW11" i="29"/>
  <c r="BW10" i="29"/>
  <c r="BW9" i="29"/>
  <c r="BW8" i="29"/>
  <c r="BW7" i="29"/>
  <c r="BW6" i="29"/>
  <c r="BW5" i="29"/>
  <c r="BW4" i="29"/>
  <c r="BW3" i="29"/>
  <c r="BW2" i="29"/>
  <c r="AI3" i="30"/>
  <c r="AI4" i="30"/>
  <c r="AI5" i="30"/>
  <c r="AI6" i="30"/>
  <c r="AI7" i="30"/>
  <c r="AI8" i="30"/>
  <c r="AI9" i="30"/>
  <c r="AI10" i="30"/>
  <c r="AI11" i="30"/>
  <c r="AI12" i="30"/>
  <c r="AI13" i="30"/>
  <c r="AI14" i="30"/>
  <c r="AI15" i="30"/>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H2" i="31"/>
  <c r="AH3" i="31"/>
  <c r="AH4" i="31"/>
  <c r="AH5" i="31"/>
  <c r="AH6" i="31"/>
  <c r="AH7" i="31"/>
  <c r="BW221" i="29" l="1"/>
  <c r="BW287" i="29"/>
  <c r="BW1" i="29"/>
  <c r="BW130" i="29"/>
  <c r="BW131" i="29"/>
  <c r="BW132" i="29"/>
  <c r="BW133" i="29"/>
  <c r="BW134" i="29"/>
  <c r="BW135" i="29"/>
  <c r="BW136" i="29"/>
  <c r="BW137" i="29"/>
  <c r="BW138" i="29"/>
  <c r="BW139" i="29"/>
  <c r="BW140" i="29"/>
  <c r="BW141" i="29"/>
  <c r="BW142" i="29"/>
  <c r="BW143" i="29"/>
  <c r="BW144" i="29"/>
  <c r="BW145" i="29"/>
  <c r="BW146" i="29"/>
  <c r="BW147" i="29"/>
  <c r="BW148" i="29"/>
  <c r="BW149" i="29"/>
  <c r="BW150" i="29"/>
  <c r="BW151" i="29"/>
  <c r="BW152" i="29"/>
  <c r="BW153" i="29"/>
  <c r="BW154" i="29"/>
  <c r="BW155" i="29"/>
  <c r="BW156" i="29"/>
  <c r="BW157" i="29"/>
  <c r="BW158" i="29"/>
  <c r="BW159" i="29"/>
  <c r="BW160" i="29"/>
  <c r="BW161" i="29"/>
  <c r="BW162" i="29"/>
  <c r="BW163" i="29"/>
  <c r="BW164" i="29"/>
  <c r="BW165" i="29"/>
  <c r="BW166" i="29"/>
  <c r="BW167" i="29"/>
  <c r="BW168" i="29"/>
  <c r="BW169" i="29"/>
  <c r="BW172" i="29"/>
  <c r="BW173" i="29"/>
  <c r="BW174" i="29"/>
  <c r="BW175" i="29"/>
  <c r="BW176" i="29"/>
  <c r="BW177" i="29"/>
  <c r="BW178" i="29"/>
  <c r="BW179" i="29"/>
  <c r="BW180" i="29"/>
  <c r="BW181" i="29"/>
  <c r="BW182" i="29"/>
  <c r="BW183" i="29"/>
  <c r="BW184" i="29"/>
  <c r="BW185" i="29"/>
  <c r="BW186" i="29"/>
  <c r="BW187" i="29"/>
  <c r="BW188" i="29"/>
  <c r="BW189" i="29"/>
  <c r="BW190" i="29"/>
  <c r="BW191" i="29"/>
  <c r="BW192" i="29"/>
  <c r="BW193" i="29"/>
  <c r="BW194" i="29"/>
  <c r="BW195" i="29"/>
  <c r="BW196" i="29"/>
  <c r="BW197" i="29"/>
  <c r="BW198" i="29"/>
  <c r="BW199" i="29"/>
  <c r="BW200" i="29"/>
  <c r="BW201" i="29"/>
  <c r="BW202" i="29"/>
  <c r="BW203" i="29"/>
  <c r="BW204" i="29"/>
  <c r="BW205" i="29"/>
  <c r="BW206" i="29"/>
  <c r="BW207" i="29"/>
  <c r="BW208" i="29"/>
  <c r="BW209" i="29"/>
  <c r="BW210" i="29"/>
  <c r="BW211" i="29"/>
  <c r="BW212" i="29"/>
  <c r="BW213" i="29"/>
  <c r="BW214" i="29"/>
  <c r="BW215" i="29"/>
  <c r="BW216" i="29"/>
  <c r="BW217" i="29"/>
  <c r="BW218" i="29"/>
  <c r="BW219" i="29"/>
  <c r="BW220" i="29"/>
  <c r="BW222" i="29"/>
  <c r="BW223" i="29"/>
  <c r="BW224" i="29"/>
  <c r="BW225" i="29"/>
  <c r="BW226" i="29"/>
  <c r="BW227" i="29"/>
  <c r="BW228" i="29"/>
  <c r="BW229" i="29"/>
  <c r="BW230" i="29"/>
  <c r="BW231" i="29"/>
  <c r="BW232" i="29"/>
  <c r="BW233" i="29"/>
  <c r="BW234" i="29"/>
  <c r="BW235" i="29"/>
  <c r="BW236" i="29"/>
  <c r="BW237" i="29"/>
  <c r="BW238" i="29"/>
  <c r="BW239" i="29"/>
  <c r="BW240" i="29"/>
  <c r="BW241" i="29"/>
  <c r="BW242" i="29"/>
  <c r="BW243" i="29"/>
  <c r="BW244" i="29"/>
  <c r="BW245" i="29"/>
  <c r="BW246" i="29"/>
  <c r="BW247" i="29"/>
  <c r="BW248" i="29"/>
  <c r="BW249" i="29"/>
  <c r="BW250" i="29"/>
  <c r="BW251" i="29"/>
  <c r="BW252" i="29"/>
  <c r="BW253" i="29"/>
  <c r="BW254" i="29"/>
  <c r="BW255" i="29"/>
  <c r="BW256" i="29"/>
  <c r="BW257" i="29"/>
  <c r="BW258" i="29"/>
  <c r="BW259" i="29"/>
  <c r="BW260" i="29"/>
  <c r="BW261" i="29"/>
  <c r="BW262" i="29"/>
  <c r="BW263" i="29"/>
  <c r="BW264" i="29"/>
  <c r="BW265" i="29"/>
  <c r="BW266" i="29"/>
  <c r="BW267" i="29"/>
  <c r="BW268" i="29"/>
  <c r="BW269" i="29"/>
  <c r="BW270" i="29"/>
  <c r="BW271" i="29"/>
  <c r="BW272" i="29"/>
  <c r="BW273" i="29"/>
  <c r="BW274" i="29"/>
  <c r="BW275" i="29"/>
  <c r="BW276" i="29"/>
  <c r="BW277" i="29"/>
  <c r="BW278" i="29"/>
  <c r="BW279" i="29"/>
  <c r="BW280" i="29"/>
  <c r="BW281" i="29"/>
  <c r="BW282" i="29"/>
  <c r="BW283" i="29"/>
  <c r="BW284" i="29"/>
  <c r="BW285" i="29"/>
  <c r="BW286" i="29"/>
  <c r="BW288" i="29"/>
  <c r="BW289" i="29"/>
  <c r="BW290" i="29"/>
  <c r="BW291" i="29"/>
  <c r="BW292" i="29"/>
  <c r="BW293" i="29"/>
  <c r="BW294" i="29"/>
  <c r="BW295" i="29"/>
  <c r="BW296" i="29"/>
  <c r="BW297" i="29"/>
  <c r="BW298" i="29"/>
  <c r="BW299" i="29"/>
  <c r="BW300" i="29"/>
  <c r="BW301" i="29"/>
  <c r="BW302" i="29"/>
  <c r="BW303" i="29"/>
  <c r="BW304" i="29"/>
  <c r="BW305" i="29"/>
  <c r="BW306" i="29"/>
  <c r="BW307" i="29"/>
  <c r="BW308" i="29"/>
  <c r="BW309" i="29"/>
  <c r="BW310" i="29"/>
  <c r="BW311" i="29"/>
  <c r="BW312" i="29"/>
  <c r="AS151" i="28"/>
  <c r="AS1" i="28"/>
  <c r="AU172" i="26"/>
  <c r="AU171" i="26"/>
  <c r="AU170" i="26"/>
  <c r="AU169" i="26"/>
  <c r="AU168" i="26"/>
  <c r="AU167" i="26"/>
  <c r="AU166" i="26"/>
  <c r="AU165" i="26"/>
  <c r="AU164" i="26"/>
  <c r="AU163" i="26"/>
  <c r="AU162" i="26"/>
  <c r="AU161" i="26"/>
  <c r="AU160" i="26"/>
  <c r="AU159" i="26"/>
  <c r="AU158" i="26"/>
  <c r="AU157" i="26"/>
  <c r="AU156" i="26"/>
  <c r="AU155" i="26"/>
  <c r="AU154" i="26"/>
  <c r="AU153" i="26"/>
  <c r="AU152" i="26"/>
  <c r="AU151" i="26"/>
  <c r="AU150" i="26"/>
  <c r="AU149" i="26"/>
  <c r="AU148" i="26"/>
  <c r="AU147" i="26"/>
  <c r="AU146" i="26"/>
  <c r="AU145" i="26"/>
  <c r="AU144" i="26"/>
  <c r="AU143" i="26"/>
  <c r="AU142" i="26"/>
  <c r="AU141" i="26"/>
  <c r="AU140" i="26"/>
  <c r="AU137" i="26"/>
  <c r="AU136" i="26"/>
  <c r="AU135" i="26"/>
  <c r="AU134" i="26"/>
  <c r="AU133" i="26"/>
  <c r="AU132" i="26"/>
  <c r="AU131" i="26"/>
  <c r="AU130" i="26"/>
  <c r="AU129" i="26"/>
  <c r="AU128" i="26"/>
  <c r="AU127" i="26"/>
  <c r="AU126" i="26"/>
  <c r="AU125" i="26"/>
  <c r="AU124" i="26"/>
  <c r="AU123" i="26"/>
  <c r="AU122" i="26"/>
  <c r="AU121" i="26"/>
  <c r="AU120" i="26"/>
  <c r="AU119" i="26"/>
  <c r="AU118" i="26"/>
  <c r="AU117" i="26"/>
  <c r="AU116" i="26"/>
  <c r="AU115" i="26"/>
  <c r="AU114" i="26"/>
  <c r="AU113" i="26"/>
  <c r="AU112" i="26"/>
  <c r="AU111" i="26"/>
  <c r="AU110" i="26"/>
  <c r="AU109" i="26"/>
  <c r="AU108" i="26"/>
  <c r="AU107" i="26"/>
  <c r="AU106" i="26"/>
  <c r="AU105" i="26"/>
  <c r="AU104" i="26"/>
  <c r="AU103" i="26"/>
  <c r="AU102" i="26"/>
  <c r="AU101" i="26"/>
  <c r="AU100" i="26"/>
  <c r="AU99" i="26"/>
  <c r="AU98" i="26"/>
  <c r="AU97" i="26"/>
  <c r="AU96" i="26"/>
  <c r="AU95" i="26"/>
  <c r="AU94" i="26"/>
  <c r="AU93" i="26"/>
  <c r="AU92" i="26"/>
  <c r="AU91" i="26"/>
  <c r="AU90" i="26"/>
  <c r="AU89" i="26"/>
  <c r="AU88" i="26"/>
  <c r="AU87" i="26"/>
  <c r="AU86" i="26"/>
  <c r="AU85" i="26"/>
  <c r="AU84" i="26"/>
  <c r="AU83" i="26"/>
  <c r="AU82" i="26"/>
  <c r="AU1" i="26"/>
  <c r="AI90" i="30"/>
  <c r="AI107" i="30"/>
  <c r="AI89" i="30"/>
  <c r="AI41" i="30" l="1"/>
  <c r="AI42" i="30"/>
  <c r="AI43" i="30"/>
  <c r="AI44" i="30"/>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91" i="30"/>
  <c r="AI92" i="30"/>
  <c r="AI93" i="30"/>
  <c r="AI94" i="30"/>
  <c r="AI95" i="30"/>
  <c r="AI96" i="30"/>
  <c r="AI97" i="30"/>
  <c r="AI98" i="30"/>
  <c r="AI99" i="30"/>
  <c r="AI100" i="30"/>
  <c r="AI101" i="30"/>
  <c r="AI102" i="30"/>
  <c r="AI103" i="30"/>
  <c r="AI104" i="30"/>
  <c r="AI105" i="30"/>
  <c r="AI106" i="30"/>
  <c r="AI108" i="30"/>
  <c r="AI109" i="30"/>
  <c r="AI110" i="30"/>
  <c r="AI111" i="30"/>
  <c r="AI112" i="30"/>
  <c r="AI113" i="30"/>
  <c r="AI114" i="30"/>
  <c r="AI115" i="30"/>
  <c r="AI116" i="30"/>
  <c r="AI117" i="30"/>
  <c r="AI118" i="30"/>
  <c r="AI119" i="30"/>
  <c r="AI120" i="30"/>
  <c r="AI121" i="30"/>
  <c r="AI122" i="30"/>
  <c r="AI123" i="30"/>
  <c r="AI124" i="30"/>
  <c r="AI125" i="30"/>
  <c r="AI126" i="30"/>
  <c r="AI127" i="30"/>
  <c r="AI128" i="30"/>
  <c r="AI129" i="30"/>
  <c r="AI130" i="30"/>
  <c r="AI131" i="30"/>
  <c r="AI132" i="30"/>
  <c r="AI133" i="30"/>
  <c r="AI134" i="30"/>
  <c r="AI135" i="30"/>
  <c r="AI136" i="30"/>
  <c r="AI40" i="30"/>
  <c r="AM107" i="27"/>
  <c r="AH9" i="31"/>
  <c r="AH10" i="31"/>
  <c r="AH11" i="31"/>
  <c r="AH12" i="31"/>
  <c r="AH13" i="31"/>
  <c r="AH14" i="31"/>
  <c r="AH15" i="31"/>
  <c r="AH16" i="31"/>
  <c r="AH17" i="31"/>
  <c r="AH18" i="31"/>
  <c r="AH19" i="31"/>
  <c r="AH20" i="31"/>
  <c r="AH21" i="31"/>
  <c r="AH22" i="31"/>
  <c r="AH23" i="31"/>
  <c r="AH24" i="31"/>
  <c r="AH25" i="31"/>
  <c r="AH26" i="31"/>
  <c r="AH27" i="31"/>
  <c r="AH28" i="31"/>
  <c r="AH29" i="31"/>
  <c r="AH30" i="31"/>
  <c r="AH31" i="31"/>
  <c r="AH32" i="31"/>
  <c r="AH33" i="31"/>
  <c r="AH34" i="31"/>
  <c r="AH35" i="31"/>
  <c r="AH36" i="31"/>
  <c r="AH37" i="31"/>
  <c r="AH38" i="31"/>
  <c r="AH39" i="31"/>
  <c r="AH40" i="31"/>
  <c r="AH41" i="31"/>
  <c r="AH42" i="31"/>
  <c r="AH43" i="31"/>
  <c r="AH44" i="31"/>
  <c r="AM137" i="27"/>
  <c r="AM120" i="27"/>
  <c r="AM121" i="27"/>
  <c r="AM122" i="27"/>
  <c r="AM123" i="27"/>
  <c r="AM124" i="27"/>
  <c r="AM125" i="27"/>
  <c r="AM126" i="27"/>
  <c r="AM127" i="27"/>
  <c r="AM128" i="27"/>
  <c r="AM129" i="27"/>
  <c r="AM130" i="27"/>
  <c r="AM131" i="27"/>
  <c r="AM132" i="27"/>
  <c r="AM133" i="27"/>
  <c r="AM134" i="27"/>
  <c r="AM135" i="27"/>
  <c r="AM136" i="27"/>
  <c r="AM138" i="27"/>
  <c r="AM139" i="27"/>
  <c r="AM118" i="27"/>
  <c r="AM119" i="27"/>
  <c r="AM1" i="27"/>
  <c r="AM115" i="27"/>
  <c r="AM114" i="27"/>
  <c r="AM113" i="27"/>
  <c r="AM112" i="27"/>
  <c r="AM111" i="27"/>
  <c r="AM110" i="27"/>
  <c r="AM109" i="27"/>
  <c r="AM108" i="27"/>
  <c r="AM106" i="27"/>
  <c r="AM105" i="27"/>
  <c r="AM104" i="27"/>
  <c r="AM103" i="27"/>
  <c r="AM102" i="27"/>
  <c r="AM101" i="27"/>
  <c r="AM100" i="27"/>
  <c r="AM99" i="27"/>
  <c r="AM98" i="27"/>
  <c r="AM97" i="27"/>
  <c r="AM96" i="27"/>
  <c r="AM95" i="27"/>
  <c r="AM94" i="27"/>
  <c r="AM93" i="27"/>
  <c r="AM92" i="27"/>
  <c r="AM91" i="27"/>
  <c r="AM90" i="27"/>
  <c r="AM89" i="27"/>
  <c r="AM88" i="27"/>
  <c r="AM87" i="27"/>
  <c r="AM86" i="27"/>
  <c r="AM85" i="27"/>
  <c r="AM84" i="27"/>
  <c r="AM83" i="27"/>
  <c r="AM82" i="27"/>
  <c r="AM81" i="27"/>
  <c r="AM80" i="27"/>
  <c r="AM79" i="27"/>
  <c r="AM76" i="27"/>
  <c r="AM73" i="27"/>
  <c r="AM75" i="27"/>
  <c r="AM72" i="27"/>
  <c r="AM74" i="27"/>
  <c r="AM78" i="27"/>
  <c r="AM77" i="27"/>
  <c r="AM71" i="27"/>
  <c r="AM70" i="27"/>
  <c r="AM69" i="27"/>
  <c r="AM68" i="27"/>
  <c r="AM67" i="27"/>
  <c r="AM66" i="27"/>
  <c r="AM65" i="27"/>
  <c r="AM64" i="27"/>
  <c r="AM63" i="27"/>
  <c r="AM62" i="27"/>
  <c r="AM61" i="27"/>
  <c r="AM60" i="27"/>
  <c r="AM59" i="27"/>
  <c r="AH8" i="31"/>
  <c r="AH1" i="31"/>
  <c r="AI1" i="30"/>
  <c r="AS60" i="28"/>
  <c r="AS61" i="28"/>
  <c r="AS62" i="28"/>
  <c r="AS63" i="28"/>
  <c r="AS64" i="28"/>
  <c r="AS65" i="28"/>
  <c r="AS66" i="28"/>
  <c r="AS67" i="28"/>
  <c r="AS68" i="28"/>
  <c r="AS69" i="28"/>
  <c r="AS70" i="28"/>
  <c r="AS71" i="28"/>
  <c r="AS72" i="28"/>
  <c r="AS73" i="28"/>
  <c r="AS74" i="28"/>
  <c r="AS75" i="28"/>
  <c r="AS76" i="28"/>
  <c r="AS77" i="28"/>
  <c r="AS78" i="28"/>
  <c r="AS79" i="28"/>
  <c r="AS80" i="28"/>
  <c r="AS81" i="28"/>
  <c r="AS82" i="28"/>
  <c r="AS83" i="28"/>
  <c r="AS84" i="28"/>
  <c r="AS85" i="28"/>
  <c r="AS86" i="28"/>
  <c r="AS87" i="28"/>
  <c r="AS88" i="28"/>
  <c r="AS89" i="28"/>
  <c r="AS90" i="28"/>
  <c r="AS91" i="28"/>
  <c r="AS92" i="28"/>
  <c r="AS93" i="28"/>
  <c r="AS94" i="28"/>
  <c r="AS95" i="28"/>
  <c r="AS96" i="28"/>
  <c r="AS97" i="28"/>
  <c r="AS98" i="28"/>
  <c r="AS99" i="28"/>
  <c r="AS100" i="28"/>
  <c r="AS101" i="28"/>
  <c r="AS102" i="28"/>
  <c r="AS103" i="28"/>
  <c r="AS104" i="28"/>
  <c r="AS105" i="28"/>
  <c r="AS106" i="28"/>
  <c r="AS107" i="28"/>
  <c r="AS108" i="28"/>
  <c r="AS109" i="28"/>
  <c r="AS110" i="28"/>
  <c r="AS111" i="28"/>
  <c r="AS112" i="28"/>
  <c r="AS113" i="28"/>
  <c r="AS116" i="28"/>
  <c r="AS117" i="28"/>
  <c r="AS118" i="28"/>
  <c r="AS119" i="28"/>
  <c r="AS120" i="28"/>
  <c r="AS121" i="28"/>
  <c r="AS122" i="28"/>
  <c r="AS123" i="28"/>
  <c r="AS124" i="28"/>
  <c r="AS125" i="28"/>
  <c r="AS126" i="28"/>
  <c r="AS127" i="28"/>
  <c r="AS128" i="28"/>
  <c r="AS129" i="28"/>
  <c r="AS130" i="28"/>
  <c r="AS131" i="28"/>
  <c r="AS132" i="28"/>
  <c r="AS133" i="28"/>
  <c r="AS134" i="28"/>
  <c r="AS135" i="28"/>
  <c r="AS136" i="28"/>
  <c r="AS137" i="28"/>
  <c r="AS138" i="28"/>
  <c r="AS139" i="28"/>
  <c r="AS140" i="28"/>
  <c r="AS141" i="28"/>
  <c r="AS142" i="28"/>
  <c r="AS143" i="28"/>
  <c r="AS144" i="28"/>
  <c r="AS145" i="28"/>
  <c r="AS146" i="28"/>
  <c r="AS147" i="28"/>
  <c r="AS148" i="28"/>
  <c r="AS149" i="28"/>
  <c r="AS150" i="28"/>
  <c r="CB282" i="33" l="1"/>
  <c r="CC282" i="33" s="1"/>
  <c r="BZ282" i="33"/>
  <c r="CB281" i="33"/>
  <c r="CC281" i="33" s="1"/>
  <c r="BZ281" i="33"/>
  <c r="CB280" i="33"/>
  <c r="CC280" i="33" s="1"/>
  <c r="BZ280" i="33"/>
  <c r="CB279" i="33"/>
  <c r="CC279" i="33" s="1"/>
  <c r="BZ279" i="33"/>
  <c r="CB278" i="33"/>
  <c r="CC278" i="33" s="1"/>
  <c r="BZ278" i="33"/>
  <c r="CB277" i="33"/>
  <c r="CC277" i="33" s="1"/>
  <c r="BZ277" i="33"/>
  <c r="CB276" i="33"/>
  <c r="CC276" i="33" s="1"/>
  <c r="BZ276" i="33"/>
  <c r="CB275" i="33"/>
  <c r="CC275" i="33" s="1"/>
  <c r="BZ275" i="33"/>
  <c r="CB274" i="33"/>
  <c r="CC274" i="33" s="1"/>
  <c r="BZ274" i="33"/>
  <c r="CB273" i="33"/>
  <c r="CC273" i="33" s="1"/>
  <c r="BZ273" i="33"/>
  <c r="CC58" i="19" l="1"/>
  <c r="BY58" i="19"/>
  <c r="BX58" i="19"/>
  <c r="BU58" i="19"/>
  <c r="BT58" i="19"/>
  <c r="BS58" i="19"/>
  <c r="BR58" i="19"/>
  <c r="BQ58" i="19"/>
  <c r="BP58" i="19"/>
  <c r="CC57" i="19"/>
  <c r="BY57" i="19"/>
  <c r="BX57" i="19"/>
  <c r="BU57" i="19"/>
  <c r="BT57" i="19"/>
  <c r="BS57" i="19"/>
  <c r="BR57" i="19"/>
  <c r="BQ57" i="19"/>
  <c r="BP57" i="19"/>
  <c r="CC56" i="19"/>
  <c r="BY56" i="19"/>
  <c r="BX56" i="19"/>
  <c r="BU56" i="19"/>
  <c r="BT56" i="19"/>
  <c r="BS56" i="19"/>
  <c r="BR56" i="19"/>
  <c r="BQ56" i="19"/>
  <c r="BP56" i="19"/>
  <c r="CC55" i="19"/>
  <c r="BY55" i="19"/>
  <c r="BX55" i="19"/>
  <c r="BU55" i="19"/>
  <c r="BT55" i="19"/>
  <c r="BS55" i="19"/>
  <c r="BR55" i="19"/>
  <c r="BQ55" i="19"/>
  <c r="BP55" i="19"/>
  <c r="CC54" i="19"/>
  <c r="BY54" i="19"/>
  <c r="BX54" i="19"/>
  <c r="BU54" i="19"/>
  <c r="BT54" i="19"/>
  <c r="BS54" i="19"/>
  <c r="BR54" i="19"/>
  <c r="BQ54" i="19"/>
  <c r="BP54" i="19"/>
  <c r="CC53" i="19"/>
  <c r="BY53" i="19"/>
  <c r="BX53" i="19"/>
  <c r="BU53" i="19"/>
  <c r="BT53" i="19"/>
  <c r="BS53" i="19"/>
  <c r="BR53" i="19"/>
  <c r="BQ53" i="19"/>
  <c r="BP53" i="19"/>
  <c r="CC52" i="19"/>
  <c r="BY52" i="19"/>
  <c r="BX52" i="19"/>
  <c r="BU52" i="19"/>
  <c r="BT52" i="19"/>
  <c r="BS52" i="19"/>
  <c r="BR52" i="19"/>
  <c r="BQ52" i="19"/>
  <c r="BP52" i="19"/>
  <c r="CC51" i="19"/>
  <c r="BY51" i="19"/>
  <c r="BX51" i="19"/>
  <c r="BU51" i="19"/>
  <c r="BT51" i="19"/>
  <c r="BS51" i="19"/>
  <c r="BR51" i="19"/>
  <c r="BQ51" i="19"/>
  <c r="BP51" i="19"/>
  <c r="CC50" i="19"/>
  <c r="BY50" i="19"/>
  <c r="BX50" i="19"/>
  <c r="BU50" i="19"/>
  <c r="BT50" i="19"/>
  <c r="BS50" i="19"/>
  <c r="BR50" i="19"/>
  <c r="BQ50" i="19"/>
  <c r="BP50" i="19"/>
  <c r="CC49" i="19"/>
  <c r="BY49" i="19"/>
  <c r="BX49" i="19"/>
  <c r="BU49" i="19"/>
  <c r="BT49" i="19"/>
  <c r="BS49" i="19"/>
  <c r="BR49" i="19"/>
  <c r="BQ49" i="19"/>
  <c r="BP49" i="19"/>
  <c r="CC48" i="19"/>
  <c r="BY48" i="19"/>
  <c r="BX48" i="19"/>
  <c r="BU48" i="19"/>
  <c r="BT48" i="19"/>
  <c r="BS48" i="19"/>
  <c r="BR48" i="19"/>
  <c r="BQ48" i="19"/>
  <c r="BP48" i="19"/>
  <c r="CC47" i="19"/>
  <c r="BY47" i="19"/>
  <c r="BX47" i="19"/>
  <c r="BU47" i="19"/>
  <c r="BT47" i="19"/>
  <c r="BS47" i="19"/>
  <c r="BR47" i="19"/>
  <c r="BQ47" i="19"/>
  <c r="BP47" i="19"/>
  <c r="CC46" i="19"/>
  <c r="BY46" i="19"/>
  <c r="BX46" i="19"/>
  <c r="BU46" i="19"/>
  <c r="BT46" i="19"/>
  <c r="BS46" i="19"/>
  <c r="BR46" i="19"/>
  <c r="BQ46" i="19"/>
  <c r="BP46" i="19"/>
  <c r="CC45" i="19"/>
  <c r="BY45" i="19"/>
  <c r="BX45" i="19"/>
  <c r="BU45" i="19"/>
  <c r="BT45" i="19"/>
  <c r="BS45" i="19"/>
  <c r="BR45" i="19"/>
  <c r="BQ45" i="19"/>
  <c r="BP45" i="19"/>
  <c r="BL45" i="19"/>
  <c r="CC44" i="19"/>
  <c r="BY44" i="19"/>
  <c r="BX44" i="19"/>
  <c r="BU44" i="19"/>
  <c r="BT44" i="19"/>
  <c r="BS44" i="19"/>
  <c r="BR44" i="19"/>
  <c r="BQ44" i="19"/>
  <c r="BP44" i="19"/>
  <c r="CC43" i="19"/>
  <c r="BY43" i="19"/>
  <c r="BX43" i="19"/>
  <c r="BU43" i="19"/>
  <c r="BT43" i="19"/>
  <c r="BS43" i="19"/>
  <c r="BR43" i="19"/>
  <c r="BQ43" i="19"/>
  <c r="BP43" i="19"/>
  <c r="CC42" i="19"/>
  <c r="BY42" i="19"/>
  <c r="BX42" i="19"/>
  <c r="BU42" i="19"/>
  <c r="BT42" i="19"/>
  <c r="BS42" i="19"/>
  <c r="BR42" i="19"/>
  <c r="BQ42" i="19"/>
  <c r="BP42" i="19"/>
  <c r="CC41" i="19"/>
  <c r="BY41" i="19"/>
  <c r="BX41" i="19"/>
  <c r="BU41" i="19"/>
  <c r="BT41" i="19"/>
  <c r="BS41" i="19"/>
  <c r="BR41" i="19"/>
  <c r="BQ41" i="19"/>
  <c r="BP41" i="19"/>
  <c r="CC40" i="19"/>
  <c r="BY40" i="19"/>
  <c r="BX40" i="19"/>
  <c r="BU40" i="19"/>
  <c r="BT40" i="19"/>
  <c r="BS40" i="19"/>
  <c r="BR40" i="19"/>
  <c r="BQ40" i="19"/>
  <c r="BP40" i="19"/>
  <c r="CC39" i="19"/>
  <c r="BY39" i="19"/>
  <c r="BX39" i="19"/>
  <c r="BU39" i="19"/>
  <c r="BT39" i="19"/>
  <c r="BS39" i="19"/>
  <c r="BR39" i="19"/>
  <c r="BQ39" i="19"/>
  <c r="BP39" i="19"/>
  <c r="CC38" i="19"/>
  <c r="BY38" i="19"/>
  <c r="BX38" i="19"/>
  <c r="BU38" i="19"/>
  <c r="BT38" i="19"/>
  <c r="BS38" i="19"/>
  <c r="BR38" i="19"/>
  <c r="BQ38" i="19"/>
  <c r="BP38" i="19"/>
  <c r="CC37" i="19"/>
  <c r="BY37" i="19"/>
  <c r="BX37" i="19"/>
  <c r="BU37" i="19"/>
  <c r="BT37" i="19"/>
  <c r="BS37" i="19"/>
  <c r="BR37" i="19"/>
  <c r="BQ37" i="19"/>
  <c r="BP37" i="19"/>
  <c r="BL37" i="19"/>
  <c r="CC36" i="19"/>
  <c r="BY36" i="19"/>
  <c r="BX36" i="19"/>
  <c r="BU36" i="19"/>
  <c r="BT36" i="19"/>
  <c r="BS36" i="19"/>
  <c r="BR36" i="19"/>
  <c r="BQ36" i="19"/>
  <c r="BP36" i="19"/>
  <c r="CC35" i="19"/>
  <c r="BY35" i="19"/>
  <c r="BX35" i="19"/>
  <c r="BU35" i="19"/>
  <c r="BT35" i="19"/>
  <c r="BS35" i="19"/>
  <c r="BR35" i="19"/>
  <c r="BQ35" i="19"/>
  <c r="BP35" i="19"/>
  <c r="CC34" i="19"/>
  <c r="BY34" i="19"/>
  <c r="BX34" i="19"/>
  <c r="BU34" i="19"/>
  <c r="BT34" i="19"/>
  <c r="BS34" i="19"/>
  <c r="BR34" i="19"/>
  <c r="BQ34" i="19"/>
  <c r="BP34" i="19"/>
  <c r="CC33" i="19"/>
  <c r="BY33" i="19"/>
  <c r="BX33" i="19"/>
  <c r="BU33" i="19"/>
  <c r="BT33" i="19"/>
  <c r="BS33" i="19"/>
  <c r="BR33" i="19"/>
  <c r="BQ33" i="19"/>
  <c r="BP33" i="19"/>
  <c r="CC32" i="19"/>
  <c r="BY32" i="19"/>
  <c r="BX32" i="19"/>
  <c r="BU32" i="19"/>
  <c r="BT32" i="19"/>
  <c r="BS32" i="19"/>
  <c r="BR32" i="19"/>
  <c r="BQ32" i="19"/>
  <c r="BP32" i="19"/>
  <c r="CC31" i="19"/>
  <c r="BY31" i="19"/>
  <c r="BX31" i="19"/>
  <c r="BU31" i="19"/>
  <c r="BT31" i="19"/>
  <c r="BS31" i="19"/>
  <c r="BR31" i="19"/>
  <c r="BQ31" i="19"/>
  <c r="BP31" i="19"/>
  <c r="CC30" i="19"/>
  <c r="BY30" i="19"/>
  <c r="BX30" i="19"/>
  <c r="BU30" i="19"/>
  <c r="BT30" i="19"/>
  <c r="BS30" i="19"/>
  <c r="BR30" i="19"/>
  <c r="BQ30" i="19"/>
  <c r="BP30" i="19"/>
  <c r="CC29" i="19"/>
  <c r="BY29" i="19"/>
  <c r="BX29" i="19"/>
  <c r="BU29" i="19"/>
  <c r="BT29" i="19"/>
  <c r="BS29" i="19"/>
  <c r="BR29" i="19"/>
  <c r="BQ29" i="19"/>
  <c r="BP29" i="19"/>
  <c r="CC28" i="19"/>
  <c r="BY28" i="19"/>
  <c r="BX28" i="19"/>
  <c r="BU28" i="19"/>
  <c r="BT28" i="19"/>
  <c r="BS28" i="19"/>
  <c r="BR28" i="19"/>
  <c r="BQ28" i="19"/>
  <c r="BP28" i="19"/>
  <c r="CC27" i="19"/>
  <c r="BY27" i="19"/>
  <c r="BX27" i="19"/>
  <c r="BU27" i="19"/>
  <c r="BT27" i="19"/>
  <c r="BS27" i="19"/>
  <c r="BR27" i="19"/>
  <c r="BQ27" i="19"/>
  <c r="BP27" i="19"/>
  <c r="CC26" i="19"/>
  <c r="BY26" i="19"/>
  <c r="BX26" i="19"/>
  <c r="BU26" i="19"/>
  <c r="BT26" i="19"/>
  <c r="BS26" i="19"/>
  <c r="BR26" i="19"/>
  <c r="BQ26" i="19"/>
  <c r="BP26" i="19"/>
  <c r="CC25" i="19"/>
  <c r="BY25" i="19"/>
  <c r="BX25" i="19"/>
  <c r="BU25" i="19"/>
  <c r="BT25" i="19"/>
  <c r="BS25" i="19"/>
  <c r="BR25" i="19"/>
  <c r="BQ25" i="19"/>
  <c r="BP25" i="19"/>
  <c r="CC24" i="19"/>
  <c r="BY24" i="19"/>
  <c r="BX24" i="19"/>
  <c r="BU24" i="19"/>
  <c r="BT24" i="19"/>
  <c r="BS24" i="19"/>
  <c r="BR24" i="19"/>
  <c r="BQ24" i="19"/>
  <c r="BP24" i="19"/>
  <c r="CC23" i="19"/>
  <c r="BY23" i="19"/>
  <c r="BX23" i="19"/>
  <c r="BU23" i="19"/>
  <c r="BT23" i="19"/>
  <c r="BS23" i="19"/>
  <c r="BR23" i="19"/>
  <c r="BQ23" i="19"/>
  <c r="BP23" i="19"/>
  <c r="CC22" i="19"/>
  <c r="BY22" i="19"/>
  <c r="BX22" i="19"/>
  <c r="BU22" i="19"/>
  <c r="BT22" i="19"/>
  <c r="BS22" i="19"/>
  <c r="BR22" i="19"/>
  <c r="BQ22" i="19"/>
  <c r="BP22" i="19"/>
  <c r="CC21" i="19"/>
  <c r="BY21" i="19"/>
  <c r="BX21" i="19"/>
  <c r="BU21" i="19"/>
  <c r="BT21" i="19"/>
  <c r="BS21" i="19"/>
  <c r="BR21" i="19"/>
  <c r="BQ21" i="19"/>
  <c r="BP21" i="19"/>
  <c r="CC20" i="19"/>
  <c r="BY20" i="19"/>
  <c r="BX20" i="19"/>
  <c r="BU20" i="19"/>
  <c r="BT20" i="19"/>
  <c r="BS20" i="19"/>
  <c r="BR20" i="19"/>
  <c r="BQ20" i="19"/>
  <c r="BP20" i="19"/>
  <c r="CC19" i="19"/>
  <c r="BY19" i="19"/>
  <c r="BX19" i="19"/>
  <c r="BU19" i="19"/>
  <c r="BT19" i="19"/>
  <c r="BS19" i="19"/>
  <c r="BR19" i="19"/>
  <c r="BQ19" i="19"/>
  <c r="BP19" i="19"/>
  <c r="CC18" i="19"/>
  <c r="BY18" i="19"/>
  <c r="BX18" i="19"/>
  <c r="BU18" i="19"/>
  <c r="BT18" i="19"/>
  <c r="BS18" i="19"/>
  <c r="BR18" i="19"/>
  <c r="BQ18" i="19"/>
  <c r="BP18" i="19"/>
  <c r="CC17" i="19"/>
  <c r="BY17" i="19"/>
  <c r="BX17" i="19"/>
  <c r="BU17" i="19"/>
  <c r="BT17" i="19"/>
  <c r="BS17" i="19"/>
  <c r="BR17" i="19"/>
  <c r="BQ17" i="19"/>
  <c r="BP17" i="19"/>
  <c r="CC16" i="19"/>
  <c r="BY16" i="19"/>
  <c r="BX16" i="19"/>
  <c r="BU16" i="19"/>
  <c r="BT16" i="19"/>
  <c r="BS16" i="19"/>
  <c r="BR16" i="19"/>
  <c r="BQ16" i="19"/>
  <c r="BP16" i="19"/>
  <c r="CC15" i="19"/>
  <c r="BY15" i="19"/>
  <c r="BX15" i="19"/>
  <c r="BU15" i="19"/>
  <c r="BT15" i="19"/>
  <c r="BS15" i="19"/>
  <c r="BR15" i="19"/>
  <c r="BQ15" i="19"/>
  <c r="BP15" i="19"/>
  <c r="CC14" i="19"/>
  <c r="BY14" i="19"/>
  <c r="BX14" i="19"/>
  <c r="BU14" i="19"/>
  <c r="BT14" i="19"/>
  <c r="BS14" i="19"/>
  <c r="BR14" i="19"/>
  <c r="BQ14" i="19"/>
  <c r="BP14" i="19"/>
  <c r="CC13" i="19"/>
  <c r="BY13" i="19"/>
  <c r="BX13" i="19"/>
  <c r="BU13" i="19"/>
  <c r="BT13" i="19"/>
  <c r="BS13" i="19"/>
  <c r="BR13" i="19"/>
  <c r="BQ13" i="19"/>
  <c r="BP13" i="19"/>
  <c r="CC12" i="19"/>
  <c r="BY12" i="19"/>
  <c r="BX12" i="19"/>
  <c r="BU12" i="19"/>
  <c r="BT12" i="19"/>
  <c r="BS12" i="19"/>
  <c r="BR12" i="19"/>
  <c r="BQ12" i="19"/>
  <c r="BP12" i="19"/>
  <c r="CC11" i="19"/>
  <c r="BY11" i="19"/>
  <c r="BX11" i="19"/>
  <c r="BU11" i="19"/>
  <c r="BT11" i="19"/>
  <c r="BS11" i="19"/>
  <c r="BR11" i="19"/>
  <c r="BQ11" i="19"/>
  <c r="BP11" i="19"/>
  <c r="CC10" i="19"/>
  <c r="BY10" i="19"/>
  <c r="BX10" i="19"/>
  <c r="BU10" i="19"/>
  <c r="BT10" i="19"/>
  <c r="BS10" i="19"/>
  <c r="BR10" i="19"/>
  <c r="BQ10" i="19"/>
  <c r="BP10" i="19"/>
  <c r="CC9" i="19"/>
  <c r="BY9" i="19"/>
  <c r="BX9" i="19"/>
  <c r="BU9" i="19"/>
  <c r="BT9" i="19"/>
  <c r="BS9" i="19"/>
  <c r="BR9" i="19"/>
  <c r="BQ9" i="19"/>
  <c r="BP9" i="19"/>
  <c r="CC8" i="19"/>
  <c r="BY8" i="19"/>
  <c r="BX8" i="19"/>
  <c r="BU8" i="19"/>
  <c r="BT8" i="19"/>
  <c r="BS8" i="19"/>
  <c r="BR8" i="19"/>
  <c r="BQ8" i="19"/>
  <c r="BP8" i="19"/>
  <c r="CC7" i="19"/>
  <c r="BY7" i="19"/>
  <c r="BX7" i="19"/>
  <c r="BU7" i="19"/>
  <c r="BT7" i="19"/>
  <c r="BS7" i="19"/>
  <c r="BR7" i="19"/>
  <c r="BQ7" i="19"/>
  <c r="BP7" i="19"/>
  <c r="CC6" i="19"/>
  <c r="BY6" i="19"/>
  <c r="BX6" i="19"/>
  <c r="BU6" i="19"/>
  <c r="BT6" i="19"/>
  <c r="BS6" i="19"/>
  <c r="BR6" i="19"/>
  <c r="BQ6" i="19"/>
  <c r="BP6" i="19"/>
  <c r="CC5" i="19"/>
  <c r="BY5" i="19"/>
  <c r="BX5" i="19"/>
  <c r="BU5" i="19"/>
  <c r="BT5" i="19"/>
  <c r="BS5" i="19"/>
  <c r="BR5" i="19"/>
  <c r="BQ5" i="19"/>
  <c r="BP5" i="19"/>
  <c r="CC4" i="19"/>
  <c r="BY4" i="19"/>
  <c r="BX4" i="19"/>
  <c r="BU4" i="19"/>
  <c r="BT4" i="19"/>
  <c r="BS4" i="19"/>
  <c r="BR4" i="19"/>
  <c r="BQ4" i="19"/>
  <c r="BP4" i="19"/>
  <c r="CC3" i="19"/>
  <c r="BY3" i="19"/>
  <c r="BX3" i="19"/>
  <c r="BU3" i="19"/>
  <c r="BT3" i="19"/>
  <c r="BS3" i="19"/>
  <c r="BR3" i="19"/>
  <c r="BQ3" i="19"/>
  <c r="BP3" i="19"/>
  <c r="CC2" i="19"/>
  <c r="BY2" i="19"/>
  <c r="BX2" i="19"/>
  <c r="BU2" i="19"/>
  <c r="BT2" i="19"/>
  <c r="BS2" i="19"/>
  <c r="BR2" i="19"/>
  <c r="BQ2" i="19"/>
  <c r="BP2" i="19"/>
  <c r="BL15" i="19" l="1"/>
  <c r="BL17" i="19"/>
  <c r="BL35" i="19"/>
  <c r="BL41" i="19"/>
  <c r="BL43" i="19"/>
  <c r="BL48" i="19"/>
  <c r="BL4" i="19"/>
  <c r="BL28" i="19"/>
  <c r="BL36" i="19"/>
  <c r="BL38" i="19"/>
  <c r="BL44" i="19"/>
  <c r="BL10" i="19"/>
  <c r="BL18" i="19"/>
  <c r="BL26" i="19"/>
  <c r="BL56" i="19"/>
  <c r="BL14" i="19"/>
  <c r="BL16" i="19"/>
  <c r="BL25" i="19"/>
  <c r="BL20" i="19"/>
  <c r="BL52" i="19"/>
  <c r="BL50" i="19"/>
  <c r="BL21" i="19"/>
  <c r="BL11" i="19"/>
  <c r="BL2" i="19"/>
  <c r="BL6" i="19"/>
  <c r="BL7" i="19"/>
  <c r="BL8" i="19"/>
  <c r="BL22" i="19"/>
  <c r="BL30" i="19"/>
  <c r="BL27" i="19"/>
  <c r="BL58" i="19"/>
  <c r="BL19" i="19"/>
  <c r="BL31" i="19"/>
  <c r="BL5" i="19"/>
  <c r="BL13" i="19"/>
  <c r="BL29" i="19"/>
  <c r="BL33" i="19"/>
  <c r="BL40" i="19"/>
  <c r="BL49" i="19"/>
  <c r="BL53" i="19"/>
  <c r="BL54" i="19"/>
  <c r="BL55" i="19"/>
  <c r="BL12" i="19"/>
  <c r="BL3" i="19"/>
  <c r="BL57" i="19"/>
  <c r="BL23" i="19"/>
  <c r="BL42" i="19"/>
  <c r="BL51" i="19"/>
  <c r="BL24" i="19"/>
  <c r="BL39" i="19"/>
  <c r="BL46" i="19"/>
  <c r="BL47" i="19"/>
  <c r="BL9" i="19"/>
  <c r="BL34" i="19"/>
  <c r="BL32" i="19"/>
</calcChain>
</file>

<file path=xl/sharedStrings.xml><?xml version="1.0" encoding="utf-8"?>
<sst xmlns="http://schemas.openxmlformats.org/spreadsheetml/2006/main" count="24868" uniqueCount="4403">
  <si>
    <t>code_pays</t>
  </si>
  <si>
    <t>Marque</t>
  </si>
  <si>
    <t>Modele</t>
  </si>
  <si>
    <t>Catégorisation produit (Igloo) EQUIPEMENTS 2</t>
  </si>
  <si>
    <t>Code_PF</t>
  </si>
  <si>
    <t>Standard_PF</t>
  </si>
  <si>
    <t>H int</t>
  </si>
  <si>
    <t>H</t>
  </si>
  <si>
    <t>L</t>
  </si>
  <si>
    <t>Z</t>
  </si>
  <si>
    <t>Hc</t>
  </si>
  <si>
    <t>F</t>
  </si>
  <si>
    <t>X</t>
  </si>
  <si>
    <t>N</t>
  </si>
  <si>
    <t>Libelle_descriptif</t>
  </si>
  <si>
    <t>PTAC</t>
  </si>
  <si>
    <t>CU</t>
  </si>
  <si>
    <t>Table Masses_Tracteur</t>
  </si>
  <si>
    <t>PTAC_TR</t>
  </si>
  <si>
    <t>PTRA</t>
  </si>
  <si>
    <t>Pàvide</t>
  </si>
  <si>
    <t>Volume</t>
  </si>
  <si>
    <t>C_Cabine</t>
  </si>
  <si>
    <t>M_Moteur</t>
  </si>
  <si>
    <t>C_Chassis</t>
  </si>
  <si>
    <t>C_Caisse</t>
  </si>
  <si>
    <t>C_Groupe frigo</t>
  </si>
  <si>
    <t>C_Hayon elevateur</t>
  </si>
  <si>
    <t>Image</t>
  </si>
  <si>
    <t>M</t>
  </si>
  <si>
    <t>LECAPITAINE</t>
  </si>
  <si>
    <t>01</t>
  </si>
  <si>
    <t>P</t>
  </si>
  <si>
    <t>IVECO</t>
  </si>
  <si>
    <t>DAILY</t>
  </si>
  <si>
    <t>04</t>
  </si>
  <si>
    <t>IVECO DAILY - CAISSE FRIGORIFIQUE IRL / HAYON</t>
  </si>
  <si>
    <t>EUROCARGO</t>
  </si>
  <si>
    <t>P10</t>
  </si>
  <si>
    <t>CF_100_C1</t>
  </si>
  <si>
    <t>CF_100_C2</t>
  </si>
  <si>
    <t>P16</t>
  </si>
  <si>
    <t>P18</t>
  </si>
  <si>
    <t>P21</t>
  </si>
  <si>
    <t>P23</t>
  </si>
  <si>
    <t>T</t>
  </si>
  <si>
    <t/>
  </si>
  <si>
    <t>C_IVECO_AT_TRACTEUR</t>
  </si>
  <si>
    <t>CH_STRALIS_AT_TRACTEUR_315-70R22-5</t>
  </si>
  <si>
    <t>RENAULT</t>
  </si>
  <si>
    <t>GAMME D</t>
  </si>
  <si>
    <t>SCR</t>
  </si>
  <si>
    <t>Zone libre 10</t>
  </si>
  <si>
    <t>Zone libre 11</t>
  </si>
  <si>
    <t>Zone libre 12</t>
  </si>
  <si>
    <t>Zone libre 13</t>
  </si>
  <si>
    <t>Zone libre 14</t>
  </si>
  <si>
    <t>Zone libre 15</t>
  </si>
  <si>
    <t>Zone libre 16</t>
  </si>
  <si>
    <t>Zone libre 17</t>
  </si>
  <si>
    <t>Zone libre 18</t>
  </si>
  <si>
    <t>Zone libre 19</t>
  </si>
  <si>
    <t>Zone libre 20</t>
  </si>
  <si>
    <t>H01</t>
  </si>
  <si>
    <t>H02</t>
  </si>
  <si>
    <t>\\petitforestier.fr\siege\Applications\BaseProduits\Datas\Publipostage\Images\PUBLICATION - EURO 6\PLAN VEHICULES\IVECO_EUROCARGO_100E19CF01.jpg</t>
  </si>
  <si>
    <t>\\petitforestier.fr\siege\Applications\BaseProduits\Datas\Publipostage\Images\PUBLICATION - EURO 6\PLAN VEHICULES\IVECO_EUROCARGO_100E19CF02.jpg</t>
  </si>
  <si>
    <t>\\petitforestier.fr\siege\Applications\BaseProduits\Datas\Publipostage\Images\PUBLICATION - EURO 6\PLAN VEHICULES\IVECO_EUROCARGO_120E19CF01.jpg</t>
  </si>
  <si>
    <t>\\petitforestier.fr\siege\Applications\BaseProduits\Datas\Publipostage\Images\PUBLICATION - EURO 6\PLAN VEHICULES\IVECO_EUROCARGO_120E19CF02.jpg</t>
  </si>
  <si>
    <t>\\petitforestier.fr\siege\Applications\BaseProduits\Datas\Publipostage\Images\PUBLICATION - EURO 6\PLAN VEHICULES\IVECO_EUROCARGO_160E21CF01.jpg</t>
  </si>
  <si>
    <t>\\petitforestier.fr\siege\Applications\BaseProduits\Datas\Publipostage\Images\PUBLICATION - EURO 6\PLAN VEHICULES\IVECO_EUROCARGO_160E21CF02.jpg</t>
  </si>
  <si>
    <t>\\petitforestier.fr\siege\Applications\BaseProduits\Datas\Publipostage\Images\PUBLICATION - EURO 6\PLAN VEHICULES\RENAULT_D19.280CF01.jpg</t>
  </si>
  <si>
    <t>\\petitforestier.fr\siege\Applications\BaseProduits\Datas\Publipostage\Images\PUBLICATION - EURO 6\PLAN VEHICULES\RENAULT_D19.280CF02.jpg</t>
  </si>
  <si>
    <t>palettes</t>
  </si>
  <si>
    <t>FR</t>
  </si>
  <si>
    <t>CH_EUROCARGO_305-70R19-5_GNC</t>
  </si>
  <si>
    <t>CH_EUROCARGO_265-70R17-5_GNC</t>
  </si>
  <si>
    <t>catalogue_1
 PF</t>
  </si>
  <si>
    <t>L int 
utile 
sur plinthe</t>
  </si>
  <si>
    <t>W int
 utile 
sur plinthe</t>
  </si>
  <si>
    <t>H 
de 
passage</t>
  </si>
  <si>
    <t>Publication 
interne 3 
COMMERCIAL</t>
  </si>
  <si>
    <t>Publication 
interne 2 
LECAPITAINE</t>
  </si>
  <si>
    <t>Catégorisation 
produit (Igloo) 
EQUIPEMENTS 1</t>
  </si>
  <si>
    <t>Catégorisation 
produit (Igloo) 
CATEGORIE PTC 
+ CONTENANCE</t>
  </si>
  <si>
    <t>V11</t>
  </si>
  <si>
    <t>\\petitforestier.fr\siege\Applications\BaseProduits\Datas\Publipostage\Images\PUBLICATION - EURO 6\PLAN VEHICULES\VIDE.jpg</t>
  </si>
  <si>
    <t>\\petitforestier.fr\siege\Applications\BaseProduits\Datas\Publipostage\Images\PUBLICATION - EURO 6\PLAN VEHICULES\IVECO_STRALIS_AD260S33CF01.jpg</t>
  </si>
  <si>
    <t>\\petitforestier.fr\siege\Applications\BaseProduits\Datas\Publipostage\Images\PUBLICATION - EURO 6\PLAN VEHICULES\IVECO_STRALIS_AD260S33CF02.jpg</t>
  </si>
  <si>
    <t>\\petitforestier.fr\siege\Applications\BaseProduits\Datas\Publipostage\Images\PUBLICATION - EURO 6\PLAN VEHICULES\IVECO_TRACTEUR_AT_STRALIS_E6.jpg</t>
  </si>
  <si>
    <t>catalogue_2
ST</t>
  </si>
  <si>
    <t>catalogue_3
 LIBRE</t>
  </si>
  <si>
    <t>M_STRALIS_460-€VI-D</t>
  </si>
  <si>
    <t>C_D_2.3_CLIM</t>
  </si>
  <si>
    <t>SANS</t>
  </si>
  <si>
    <t>VIDE</t>
  </si>
  <si>
    <t>HAYON</t>
  </si>
  <si>
    <t>PTAC Kg</t>
  </si>
  <si>
    <t>Code PF</t>
  </si>
  <si>
    <t>Zone libre 8</t>
  </si>
  <si>
    <t>Zone libre 9</t>
  </si>
  <si>
    <t>Zone libre 6</t>
  </si>
  <si>
    <t>Zone libre 7</t>
  </si>
  <si>
    <t>Zone libre 1</t>
  </si>
  <si>
    <t>Zone libre 2</t>
  </si>
  <si>
    <t>Zone libre 3</t>
  </si>
  <si>
    <t>Zone libre 4</t>
  </si>
  <si>
    <t>Zone libre 5</t>
  </si>
  <si>
    <t>35C16-3L CF / 35C14 CF</t>
  </si>
  <si>
    <t>[CAMOCH_DEB_VLD]</t>
  </si>
  <si>
    <t>[CAMOCH_FIN_VLD]</t>
  </si>
  <si>
    <t>CHASSIS FR</t>
  </si>
  <si>
    <t>Poids 
CHASSIS</t>
  </si>
  <si>
    <t>[CAISSE_DEB_VLD]</t>
  </si>
  <si>
    <t>[CAISSE_FIN_VLD]</t>
  </si>
  <si>
    <t>[HAYON_DEB_VLD]</t>
  </si>
  <si>
    <t>[HAYON_FIN_VLD]</t>
  </si>
  <si>
    <t>[FRIGO_DEB_VLD]</t>
  </si>
  <si>
    <t>[FRIGO_FIN_VLD]</t>
  </si>
  <si>
    <t>Poids à vide</t>
  </si>
  <si>
    <t>CAISSE FR</t>
  </si>
  <si>
    <t xml:space="preserve">Poids 
CAISSE </t>
  </si>
  <si>
    <t>FRIGO</t>
  </si>
  <si>
    <t>Poids 
FRIGO</t>
  </si>
  <si>
    <t>Poids 
HAYON</t>
  </si>
  <si>
    <t>DELTA</t>
  </si>
  <si>
    <t>CHASSIS N-1</t>
  </si>
  <si>
    <t>HAYON N-1</t>
  </si>
  <si>
    <t>FRIGO N-1</t>
  </si>
  <si>
    <t>CAISSE N-1</t>
  </si>
  <si>
    <t>EUROCARGO 
220 cv / 210 cv
280 cv / 250 cv
320 cv / 280 cv</t>
  </si>
  <si>
    <t>EUROCARGO 
210 cv GNC / 210 cv</t>
  </si>
  <si>
    <t>GAMME D
250 cv / 240 cv</t>
  </si>
  <si>
    <t>S550 S</t>
  </si>
  <si>
    <t>S750 S</t>
  </si>
  <si>
    <t>S850 S</t>
  </si>
  <si>
    <t xml:space="preserve">S1150 S </t>
  </si>
  <si>
    <t>S1250 S</t>
  </si>
  <si>
    <t>GF_S750S-MT_2060mm</t>
  </si>
  <si>
    <t>GF_S1150S-MT_2160mm_GNC</t>
  </si>
  <si>
    <t>S1150-S MT</t>
  </si>
  <si>
    <t>S750-S MT</t>
  </si>
  <si>
    <t>S1250-S MT</t>
  </si>
  <si>
    <t>CU LECAP</t>
  </si>
  <si>
    <t>DELTA CU 
LECAP / N-1</t>
  </si>
  <si>
    <t xml:space="preserve">Publication 
interne  
</t>
  </si>
  <si>
    <t>Norme Euro</t>
  </si>
  <si>
    <t>C_Groupe frigo_V3</t>
  </si>
  <si>
    <t>C_Groupe frigo_V2</t>
  </si>
  <si>
    <t>Plinthe inox Lat 450 / Av 455</t>
  </si>
  <si>
    <t>CF_120_140_C1_Plint-Inox</t>
  </si>
  <si>
    <t>CF_120_140_C2_Plint-Inox</t>
  </si>
  <si>
    <t>CF_150_160_C1_Plint-Inox</t>
  </si>
  <si>
    <t>CF_150_160_C2_Plint-Inox</t>
  </si>
  <si>
    <t>CF_190_C1_Plint-Inox</t>
  </si>
  <si>
    <t>CF_190_C2_Plint-Inox</t>
  </si>
  <si>
    <t>CF_260_C1_Plint-Inox</t>
  </si>
  <si>
    <t>CF_260_C2_Plint-Inox</t>
  </si>
  <si>
    <t>CU n-1</t>
  </si>
  <si>
    <t>Plinthe Inox</t>
  </si>
  <si>
    <t>29.8</t>
  </si>
  <si>
    <t>38.7</t>
  </si>
  <si>
    <t>45.2</t>
  </si>
  <si>
    <t>52.2</t>
  </si>
  <si>
    <t>55.8</t>
  </si>
  <si>
    <t>Groupe Frigo</t>
  </si>
  <si>
    <t>IGLOOCAR</t>
  </si>
  <si>
    <t>C_EUROCARGO_CLIM_DAB</t>
  </si>
  <si>
    <t>GF_S850S_2480_2040mm_GNC</t>
  </si>
  <si>
    <t>S550 / S450</t>
  </si>
  <si>
    <t>GF_S550S_2210_1980mm</t>
  </si>
  <si>
    <t>CU n-2</t>
  </si>
  <si>
    <t>Clim</t>
  </si>
  <si>
    <t>B100/
NEOS100</t>
  </si>
  <si>
    <t>V200-50/
X200T</t>
  </si>
  <si>
    <t>3t5 / 3t3</t>
  </si>
  <si>
    <t>DCO GAZ / DIESEL</t>
  </si>
  <si>
    <t>35S / 35C</t>
  </si>
  <si>
    <t>X200T / X350T</t>
  </si>
  <si>
    <t>Sans
X350T</t>
  </si>
  <si>
    <t>Sans
NEOS100 / B100</t>
  </si>
  <si>
    <t>Passage de roue ALU</t>
  </si>
  <si>
    <t>V300-50 / X200T</t>
  </si>
  <si>
    <t>T800 / SUPRA 750</t>
  </si>
  <si>
    <t>T800SP / SUPRA 750MT</t>
  </si>
  <si>
    <t>T560 / T800</t>
  </si>
  <si>
    <t>T560 / SUPRA 550</t>
  </si>
  <si>
    <t>T1000 / SUPRA 850</t>
  </si>
  <si>
    <t>T1200 / SUPRA 1150</t>
  </si>
  <si>
    <t>T1200 / SUPRA 1250</t>
  </si>
  <si>
    <t>T1000SP / SUPRA 1150MT</t>
  </si>
  <si>
    <t>T1200SP / SUPRA 1150MT</t>
  </si>
  <si>
    <t>T1200SP / SUPRA 1250MT</t>
  </si>
  <si>
    <t>equipement</t>
  </si>
  <si>
    <t>HL_RT_DH-SM15_1500kg-CG750_1500mm-2250mm</t>
  </si>
  <si>
    <t>Porte lat bat</t>
  </si>
  <si>
    <t>40C / 3324 int ald 3224</t>
  </si>
  <si>
    <t>35C CF06 / 2824 int ald 2724</t>
  </si>
  <si>
    <t>V300-50 / X350T</t>
  </si>
  <si>
    <t>3 Rails en C - ES / 3 barres fixes et dents de loup</t>
  </si>
  <si>
    <t>serrure FAC</t>
  </si>
  <si>
    <t>Ajout Déflecteur</t>
  </si>
  <si>
    <t>FR_FR</t>
  </si>
  <si>
    <t>3t5 / 3t1</t>
  </si>
  <si>
    <t>HL_RT_DH-SM20_2000kg-CG750_1800mm-2400mm_pt</t>
  </si>
  <si>
    <t>DH-SM.20-1800mm / 1700mm</t>
  </si>
  <si>
    <t>DH-SM.20-1800mm / DH-SM.15-1500mm</t>
  </si>
  <si>
    <t>DH-SM.20-1800mm / DH-SM.20-1500mm</t>
  </si>
  <si>
    <t>X350T / X200T</t>
  </si>
  <si>
    <t>V200s-50/B100</t>
  </si>
  <si>
    <t>V300-50 / V200-50</t>
  </si>
  <si>
    <t>2 places / 3 places</t>
  </si>
  <si>
    <t>S-WAY</t>
  </si>
  <si>
    <t>\\petitforestier.fr\siege\Applications\BaseProduits\Datas\Publipostage\Images\PUBLICATION - EURO 6\PLAN VEHICULES\IVECO_S-WAY_AD190S40-G-CF01.jpg</t>
  </si>
  <si>
    <t>Réservoir 100 L / 70L</t>
  </si>
  <si>
    <t xml:space="preserve"> 2 porte AR totale / 2 portes ar 1105 mm</t>
  </si>
  <si>
    <t>Rigidlink</t>
  </si>
  <si>
    <t>40C / 35C - 38S / 35S</t>
  </si>
  <si>
    <t>C_IVECO_AD-S-WAY_PORTEUR-CLIM-MAN</t>
  </si>
  <si>
    <t>Sans X350T (145 Kg)</t>
  </si>
  <si>
    <t>DELTA CU FR</t>
  </si>
  <si>
    <t>CH_D_4x2_315-80R22-5_GNC-1200L</t>
  </si>
  <si>
    <t>\\petitforestier.fr\siege\Applications\BaseProduits\Datas\Publipostage\Images\PUBLICATION - EURO 6\PLAN VEHICULES\IVECO_S-WAY_AD190S40-G-CF02.jpg</t>
  </si>
  <si>
    <t>CH_S-WAY_315-80R22-5_GNC-400-1052L</t>
  </si>
  <si>
    <t>GF_S1150S_2820_2040mm_Réserv-90l</t>
  </si>
  <si>
    <t>GF_S1150S-MT_2160mm_Réserv-90l</t>
  </si>
  <si>
    <t>Clim + Régulateur</t>
  </si>
  <si>
    <t>1° essieu relevable</t>
  </si>
  <si>
    <t>EURO VI-E / VI-D</t>
  </si>
  <si>
    <t>1950  / 1900</t>
  </si>
  <si>
    <t>Porte lat double battant</t>
  </si>
  <si>
    <t>6590 mm / 7590</t>
  </si>
  <si>
    <t>GF_S1250S-MT-GNC-City_2160mm</t>
  </si>
  <si>
    <t>GF_S1250S-GNC-City_3453_2160mm</t>
  </si>
  <si>
    <t>GF_FK25</t>
  </si>
  <si>
    <t>GF_FK25I-MT_2200mm</t>
  </si>
  <si>
    <t>€ VI-E</t>
  </si>
  <si>
    <t>M_D_320_GNC-€VI-E</t>
  </si>
  <si>
    <t>M_S-WAY_400-€VI-E_GNC</t>
  </si>
  <si>
    <t>FS_PF_Energie Alter</t>
  </si>
  <si>
    <t>FS_ST_Energie Alter</t>
  </si>
  <si>
    <t>100E21 G CF</t>
  </si>
  <si>
    <t>100E21 G CF - TK V1000</t>
  </si>
  <si>
    <t>100E21 G CF - TK V1000 SP</t>
  </si>
  <si>
    <t>160E21 G CF - SUPRA GAZ</t>
  </si>
  <si>
    <t>160E21 G CF - SUPRA GAZ MT</t>
  </si>
  <si>
    <t>160E21 G CF - 15 Pal - SUPRA 750</t>
  </si>
  <si>
    <t>160E21 G CF - 15 Pal - SUPRA 1150 MT</t>
  </si>
  <si>
    <t>160E21 G CF - 15 Pal - SUPRA GAZ</t>
  </si>
  <si>
    <t>160E21 G CF - 15 Pal - SUPRA GAZ MT</t>
  </si>
  <si>
    <t>120EL21 G CF - 11 Pal - SUPRA 550</t>
  </si>
  <si>
    <t>120EL21 G CF - 11 Pal - SUPRA 750 MT</t>
  </si>
  <si>
    <t>120EL21 G CF - 11 Pal - TK V1000</t>
  </si>
  <si>
    <t>120EL21 G CF - 11 Pal - TK V1000 SP</t>
  </si>
  <si>
    <t>120EL21 G CF - SUPRA GAZ</t>
  </si>
  <si>
    <t>120EL21 G CF - SUPRA GAZ MT</t>
  </si>
  <si>
    <t>AD190S40 G CF - 18 Pal - SUPRA 850 S</t>
  </si>
  <si>
    <t>AD190S40 G CF - 18 Pal - SUPRA 1150 S MT</t>
  </si>
  <si>
    <t>AD190S40 G CF - 18 Pal - SUPRA GAZ</t>
  </si>
  <si>
    <t>AD190S40 G CF - 18 Pal - SUPRA GAZ MT</t>
  </si>
  <si>
    <t>AD190S40 G CF - 18 Pal - FK 25</t>
  </si>
  <si>
    <t>AD190S40 G CF - 18 Pal - FK 25I MT</t>
  </si>
  <si>
    <t>AD190S40 G CF - SUPRA GAZ</t>
  </si>
  <si>
    <t>AD190S40 G CF - SUPRA GAZ MT</t>
  </si>
  <si>
    <t>AD190S40 G CF - FK 25</t>
  </si>
  <si>
    <t>AD190S40 G CF - FK 25I MT</t>
  </si>
  <si>
    <t>AT440S46 G TR</t>
  </si>
  <si>
    <t>IVECO S-WAY GNC - TRACTEUR</t>
  </si>
  <si>
    <t>AD260S40 G CF - SUPRA GAZ</t>
  </si>
  <si>
    <t>AD260S40 G CF - SUPRA GAZ MT</t>
  </si>
  <si>
    <t>AD260S40 G CF - FK 25</t>
  </si>
  <si>
    <t>AD260S40 G CF - FK 25I MT</t>
  </si>
  <si>
    <t>AD190S40 G CF - 18 Pal - CARRIER SYBERIA</t>
  </si>
  <si>
    <t>AD190S40 G CF - 18 Pal - CARRIER SYBERIA MT</t>
  </si>
  <si>
    <t>AD190S40 G CF - CARRIER SYBERIA</t>
  </si>
  <si>
    <t>AD190S40 G CF - CARRIER SYBERIA MT</t>
  </si>
  <si>
    <t>AD260S40 G CF - CARRIER SYBERIA</t>
  </si>
  <si>
    <t>AD260S40 G CF - CARRIER SYBERIA MT</t>
  </si>
  <si>
    <t>D19.320 G CF - 18 Pal - SUPRA 850 S</t>
  </si>
  <si>
    <t>D19.320 G CF - 18 Pal - SUPRA 1150 S MT</t>
  </si>
  <si>
    <t>D19.320 G CF - 18 Pal - SUPRA GAZ</t>
  </si>
  <si>
    <t>D19.320 G CF - 18 Pal - SUPRA GAZ MT</t>
  </si>
  <si>
    <t>D19.320 G CF - 18 Pal - FK 25</t>
  </si>
  <si>
    <t>D19.320 G CF - 18 Pal - FK 25I MT</t>
  </si>
  <si>
    <t>D19.320 G CF - SUPRA GAZ</t>
  </si>
  <si>
    <t>D19.320 G CF - SUPRA GAZ MT</t>
  </si>
  <si>
    <t>D19.320 G CF - FK 25</t>
  </si>
  <si>
    <t>D19.320 G CF - FK 25I MT</t>
  </si>
  <si>
    <t>D26.320 G CF - SUPRA GAZ</t>
  </si>
  <si>
    <t>D26.320 G CF - SUPRA GAZ MT</t>
  </si>
  <si>
    <t>D26.320 G CF - FK 25</t>
  </si>
  <si>
    <t>D26.320 G CF - FK 25I MT</t>
  </si>
  <si>
    <t>D19.320 G CF - 18 Pal - CARRIER SYBERIA</t>
  </si>
  <si>
    <t>D19.320 G CF - 18 Pal - CARRIER SYBERIA MT</t>
  </si>
  <si>
    <t>D19.320 G CF - CARRIER SYBERIA</t>
  </si>
  <si>
    <t>D19.320 G CF - CARRIER SYBERIA MT</t>
  </si>
  <si>
    <t>IVECO EUROCARGO - CAISSE FRIGORIFIQUE / MULTI TEMP. / HAYON</t>
  </si>
  <si>
    <t>IVECO EUROCARGO - CAISSE FRIGORIFIQUE / MULTI TEMP. - TK V1000 SP / HAYON</t>
  </si>
  <si>
    <t>IVECO EUROCARGO GNC - CAISSE FRIGORIFIQUE - 11 Pal / MULTI TEMP. - SUPRA 750 MT / HAYON</t>
  </si>
  <si>
    <t>IVECO EUROCARGO GNC - CAISSE FRIGORIFIQUE - 11 Pal / MULTI TEMP. - TK V1000 SP / HAYON</t>
  </si>
  <si>
    <t>IVECO EUROCARGO GNC - CAISSE FRIGORIFIQUE / MULTI TEMP. - SUPRA GAZ MT / HAYON</t>
  </si>
  <si>
    <t>IVECO EUROCARGO GNC - CAISSE FRIGORIFIQUE - 15 Pal / MULTI TEMP. - SUPRA 1150 MT / HAYON</t>
  </si>
  <si>
    <t>IVECO EUROCARGO GNC - CAISSE FRIGORIFIQUE - 15 Pal / MULTI TEMP. - SUPRA GAZ MT / HAYON</t>
  </si>
  <si>
    <t>IVECO S-WAY GNC - CAISSE FRIGORIFIQUE - 18 Pal / MULTI TEMP.SUPRA 1150 S MT / HAYON</t>
  </si>
  <si>
    <t>IVECO S-WAY GNC - CAISSE FRIGORIFIQUE - 18 Pal / MULTI TEMP. - SUPRA GAZ MT / HAYON</t>
  </si>
  <si>
    <t>IVECO S-WAY GNC - CAISSE FRIGORIFIQUE / MULTI TEMP. - FK 25I MT / HAYON</t>
  </si>
  <si>
    <t>IVECO S-WAY GNC - CAISSE FRIGORIFIQUE / MULTI TEMP. - SUPRA GAZ MT / HAYON</t>
  </si>
  <si>
    <t>RENAULT GAMME D WIDE GNC - CAISSE FRIGORIFIQUE - 18 Pal / MULTI TEMP. - SUPRA 1150 S MT / HAYON</t>
  </si>
  <si>
    <t>RENAULT GAMME D WIDE GNC - CAISSE FRIGORIFIQUE - 18 Pal / MULTI TEMP. - SUPRA GAZ MT / HAYON</t>
  </si>
  <si>
    <t>RENAULT GAMME D WIDE GNC  - CAISSE FRIGORIFIQUE - 18 Pal / MULTI TEMP. - FK 25I MT / HAYON</t>
  </si>
  <si>
    <t>RENAULT GAMME D WIDE GNC  - CAISSE FRIGORIFIQUE / MULTI TEMP. - SUPRA GAZ MT / HAYON</t>
  </si>
  <si>
    <t>RENAULT GAMME D WIDE GNC  - CAISSE FRIGORIFIQUE / MULTI TEMP. - FK 25I MT / HAYON</t>
  </si>
  <si>
    <t>IVECO EUROCARGO - CAISSE FRIGORIFIQUE / MONO TEMP. / HAYON</t>
  </si>
  <si>
    <t>IVECO EUROCARGO - CAISSE FRIGORIFIQUE / MONO TEMP. - TK V1000 / HAYON</t>
  </si>
  <si>
    <t>IVECO EUROCARGO GNC - CAISSE FRIGORIFIQUE - 11 Pal / MONO TEMP. - SUPRA 550 / HAYON</t>
  </si>
  <si>
    <t>IVECO EUROCARGO GNC - CAISSE FRIGORIFIQUE - 11 Pal / MONO TEMP. - TK V1000 / HAYON</t>
  </si>
  <si>
    <t>IVECO EUROCARGO GNC - CAISSE FRIGORIFIQUE / MONO TEMP. - SUPRA GAZ / HAYON</t>
  </si>
  <si>
    <t>IVECO EUROCARGO GNC - CAISSE FRIGORIFIQUE - 15 Pal / MONO TEMP. - SUPRA 750 / HAYON</t>
  </si>
  <si>
    <t>IVECO EUROCARGO GNC - CAISSE FRIGORIFIQUE - 15 Pal / MONO TEMP. - SUPRA GAZ / HAYON</t>
  </si>
  <si>
    <t>IVECO S-WAY GNC - CAISSE FRIGORIFIQUE - 18 Pal / MONO TEMP.SUPRA 850 S / HAYON</t>
  </si>
  <si>
    <t>IVECO S-WAY GNC - CAISSE FRIGORIFIQUE - 18 Pal / MONO TEMP. - SUPRA GAZ / HAYON</t>
  </si>
  <si>
    <t>IVECO S-WAY GNC - CAISSE FRIGORIFIQUE / MONO TEMP. - FK 25 / HAYON</t>
  </si>
  <si>
    <t>IVECO S-WAY GNC - CAISSE FRIGORIFIQUE / MONO TEMP. - SUPRA GAZ / HAYON</t>
  </si>
  <si>
    <t>RENAULT GAMME D WIDE GNC - CAISSE FRIGORIFIQUE - 18 PalSUPRA 850 S / MONO TEMP. / HAYON</t>
  </si>
  <si>
    <t>RENAULT GAMME D WIDE GNC - CAISSE FRIGORIFIQUE - 18 Pal / MONO TEMP. - SUPRA GAZ / HAYON</t>
  </si>
  <si>
    <t>RENAULT GAMME D WIDE GNC - CAISSE FRIGORIFIQUE - 18 Pal / MONO TEMP. - FK 25 / HAYON</t>
  </si>
  <si>
    <t>RENAULT GAMME D WIDE GNC - CAISSE FRIGORIFIQUE / MONO TEMP. - SUPRA GAZ / HAYON</t>
  </si>
  <si>
    <t>RENAULT GAMME D WIDE GNC - CAISSE FRIGORIFIQUE / MONO TEMP. - FK 25 / HAYON</t>
  </si>
  <si>
    <t>D26.320 G CF - CARRIER SYBERIA</t>
  </si>
  <si>
    <t>D26.320 G CF - CARRIER SYBERIA MT</t>
  </si>
  <si>
    <t>IVECO S-WAY GNC - CAISSE FRIGORIFIQUE / MONO TEMP. - CARRIER SYBERIA / HAYON</t>
  </si>
  <si>
    <t>IVECO S-WAY GNC - CAISSE FRIGORIFIQUE / MULTI TEMP. - CARRIER SYBERIA MT / HAYON</t>
  </si>
  <si>
    <t>RENAULT GAMME D WIDE GNC - CAISSE FRIGORIFIQUE - 18 Pal / MONO TEMP. - CARRIER SYBERIA / HAYON</t>
  </si>
  <si>
    <t>RENAULT GAMME D WIDE GNC - CAISSE FRIGORIFIQUE - 18 Pal / MULTI TEMP. - CARRIER SYBERIA MT / HAYON</t>
  </si>
  <si>
    <t>RENAULT GAMME D WIDE GNC - CAISSE FRIGORIFIQUE / MONO TEMP. - CARRIER SYBERIA / HAYON</t>
  </si>
  <si>
    <t>RENAULT GAMME D WIDE GNC - CAISSE FRIGORIFIQUE / MULTI TEMP. - CARRIER SYBERIA MT / HAYON</t>
  </si>
  <si>
    <t>GF_V1000MAX-50_A_C_2060mm_Cable10m</t>
  </si>
  <si>
    <t>GF_V1000MAXSPEC-50_A_C_2060mm_Cable10m</t>
  </si>
  <si>
    <t>GF_SYB11_2200mm</t>
  </si>
  <si>
    <t>GF_SYB18-MT_2160mm</t>
  </si>
  <si>
    <t>X200T/
NEOS100 ou 200</t>
  </si>
  <si>
    <t>Sans X200T
 (90 Kg)</t>
  </si>
  <si>
    <t>M_EUROCARGO_210-€VI-E_GNC_BVM_B143Ah</t>
  </si>
  <si>
    <t>BV EDC / HIMATIC / 
BVR</t>
  </si>
  <si>
    <t>M_EUROCARGO_220-€VI-E_BVR_B170Ah</t>
  </si>
  <si>
    <t>HL_RT_DH-SM15_1000kg-CG750_1500mm-2150mm</t>
  </si>
  <si>
    <t>palettes 800 x 1200 mm</t>
  </si>
  <si>
    <t xml:space="preserve">Traduction </t>
  </si>
  <si>
    <t>Ok</t>
  </si>
  <si>
    <t>Création de fiches Techniques</t>
  </si>
  <si>
    <t>Intégration Salesforce</t>
  </si>
  <si>
    <t>Intégration Commun agence</t>
  </si>
  <si>
    <t>AT-DE</t>
  </si>
  <si>
    <t>DE-DE</t>
  </si>
  <si>
    <t>BE-FR</t>
  </si>
  <si>
    <t>AT-FR</t>
  </si>
  <si>
    <t>DE-FR</t>
  </si>
  <si>
    <t>CH-DE</t>
  </si>
  <si>
    <t>CH-FR</t>
  </si>
  <si>
    <t>CH-IT</t>
  </si>
  <si>
    <t>Définition et validation des standards par Pays</t>
  </si>
  <si>
    <t>PETIT FORESTIER</t>
  </si>
  <si>
    <t>Nbres Standard</t>
  </si>
  <si>
    <t>OK</t>
  </si>
  <si>
    <t>CZ-FR</t>
  </si>
  <si>
    <t>En attente retour Tchéquie</t>
  </si>
  <si>
    <t>Carrossier Fourgon</t>
  </si>
  <si>
    <t>Carrossier Caisse</t>
  </si>
  <si>
    <t>A définir</t>
  </si>
  <si>
    <t>CZ-CZ</t>
  </si>
  <si>
    <t>GB-EN</t>
  </si>
  <si>
    <t>GB-FR</t>
  </si>
  <si>
    <t>Nok</t>
  </si>
  <si>
    <t>???</t>
  </si>
  <si>
    <t>IR-EN</t>
  </si>
  <si>
    <t>IR-FR</t>
  </si>
  <si>
    <t>HU-HU</t>
  </si>
  <si>
    <t>HU-FR</t>
  </si>
  <si>
    <t>A mettre à à jour</t>
  </si>
  <si>
    <t>En attente retour Hongrie</t>
  </si>
  <si>
    <t>Nok ( 3 FT à reprendre en chassis cabine et non en plancher cabine)</t>
  </si>
  <si>
    <t>Nok (Pas de standard défini)</t>
  </si>
  <si>
    <t>LU-EN</t>
  </si>
  <si>
    <t>LU-FR</t>
  </si>
  <si>
    <t>NL-EN</t>
  </si>
  <si>
    <t>NL-FR</t>
  </si>
  <si>
    <t>Nok (Réalisée en 2019)
Travail en direct avec LECAPITAINE
Pas d'info si FT doivent évoluées</t>
  </si>
  <si>
    <t>Autriche</t>
  </si>
  <si>
    <t>SUISSE</t>
  </si>
  <si>
    <t>Allemagne</t>
  </si>
  <si>
    <t>Irlande</t>
  </si>
  <si>
    <t>Luxembourg</t>
  </si>
  <si>
    <t>Belgique</t>
  </si>
  <si>
    <t>R. Tcheque</t>
  </si>
  <si>
    <t>Angleterre</t>
  </si>
  <si>
    <t>Hongrie</t>
  </si>
  <si>
    <t>Hollande</t>
  </si>
  <si>
    <t>Pas de traduction en Hollandais par le cabinet extérieur</t>
  </si>
  <si>
    <t>M_moteur</t>
  </si>
  <si>
    <t>Climatisation manuelle</t>
  </si>
  <si>
    <t>Caméra de recul</t>
  </si>
  <si>
    <t>Radars de recul</t>
  </si>
  <si>
    <t>Verrouillage centralisé à distance</t>
  </si>
  <si>
    <t>Pré-équipement télématique</t>
  </si>
  <si>
    <t>Bluetooth</t>
  </si>
  <si>
    <t>Direction assistée</t>
  </si>
  <si>
    <t>Rétroviseurs électriques et dégivrants</t>
  </si>
  <si>
    <t>Chronotachygraphe</t>
  </si>
  <si>
    <t>Prise FMS</t>
  </si>
  <si>
    <t>Volant multifonctions réglable en hauteur et en profondeur</t>
  </si>
  <si>
    <t>Frein stationnement électrique</t>
  </si>
  <si>
    <t>Feux et essuies vitres  automatiques</t>
  </si>
  <si>
    <t>Radio</t>
  </si>
  <si>
    <t>zone libre 20</t>
  </si>
  <si>
    <t>zone libre 19</t>
  </si>
  <si>
    <t>zone libre 18</t>
  </si>
  <si>
    <t>zone libre 17</t>
  </si>
  <si>
    <t>zone libre 16</t>
  </si>
  <si>
    <t>zone libre 15</t>
  </si>
  <si>
    <t>zone libre 14</t>
  </si>
  <si>
    <t>zone libre 13</t>
  </si>
  <si>
    <t>zone libre 12</t>
  </si>
  <si>
    <t>zone libre 11</t>
  </si>
  <si>
    <t>Triangle de signalisation</t>
  </si>
  <si>
    <t>O</t>
  </si>
  <si>
    <t>Déflecteur de cabine</t>
  </si>
  <si>
    <t>Frein sur échappement</t>
  </si>
  <si>
    <t>Couple moteur</t>
  </si>
  <si>
    <t>EGR</t>
  </si>
  <si>
    <t>FAP</t>
  </si>
  <si>
    <t>_</t>
  </si>
  <si>
    <t>et</t>
  </si>
  <si>
    <t>Buzzer de marche arrière</t>
  </si>
  <si>
    <t>Sans support roue de secours et sans roue de secours</t>
  </si>
  <si>
    <t>Aide au démarrage en côte</t>
  </si>
  <si>
    <t>Blocage de différentiel</t>
  </si>
  <si>
    <t>Protection évaporateur</t>
  </si>
  <si>
    <t>Coffre à outils</t>
  </si>
  <si>
    <t>Carénage de groupe</t>
  </si>
  <si>
    <t>zone libre 10</t>
  </si>
  <si>
    <t>Protection évaporateur avant et arrière</t>
  </si>
  <si>
    <t xml:space="preserve">2 contacteurs de porte arrêt ventilation (portes lat + AR) </t>
  </si>
  <si>
    <t>Commande cabine à affichage numérique de la température</t>
  </si>
  <si>
    <t>Vigil batterie</t>
  </si>
  <si>
    <t xml:space="preserve">Système de surveillance de la pression des pneus  </t>
  </si>
  <si>
    <t>Image Vehicule</t>
  </si>
  <si>
    <t>Image Client</t>
  </si>
  <si>
    <t>Image Carburant</t>
  </si>
  <si>
    <t>FIAT</t>
  </si>
  <si>
    <t>DUCATO</t>
  </si>
  <si>
    <t>V9</t>
  </si>
  <si>
    <t>05</t>
  </si>
  <si>
    <t>\\petitforestier.fr\siege\Applications\BaseProduits\Datas\Publipostage\Images\PUBLICATION - EURO 6\PLAN VEHICULES\FIAT_DUCATO_DCOCF05-Déflecteur.jpg</t>
  </si>
  <si>
    <t>FS_PF_PASSION FROID</t>
  </si>
  <si>
    <t>\\petitforestier.fr\siege\Applications\BaseProduits\Datas\Publipostage\Images\PUBLICATION - EURO 6\PLAN VEHICULES\IVECO_DAILY-1048_35S-CF05.jpg</t>
  </si>
  <si>
    <t>P8</t>
  </si>
  <si>
    <t>02</t>
  </si>
  <si>
    <t>18.4</t>
  </si>
  <si>
    <t>\\petitforestier.fr\siege\Applications\BaseProduits\Datas\Publipostage\Images\PUBLICATION - EURO 6\PLAN VEHICULES\IVECO_DAILY-1048_35C-CF05.jpg</t>
  </si>
  <si>
    <t>72C18CF - 7 PAL PASSION FROID</t>
  </si>
  <si>
    <t>03</t>
  </si>
  <si>
    <t>08</t>
  </si>
  <si>
    <t>\\petitforestier.fr\siege\Applications\BaseProduits\Datas\Publipostage\Images\PUBLICATION - EURO 6\PLAN VEHICULES\IVECO_EUROCARGO_160E25PCF02_TKT1000-Spec.jpg</t>
  </si>
  <si>
    <t>160E21CF - 15 PAL - EASY ACC'AIR - PASSION FROID</t>
  </si>
  <si>
    <t>160E21CF - 18 PAL - 3 VTX - PASSION FROID</t>
  </si>
  <si>
    <t>160E21CF - 18 PAL - EASY ACC'AIR - PASSION FROID</t>
  </si>
  <si>
    <t>\\petitforestier.fr\siege\Applications\BaseProduits\Datas\Publipostage\Images\PUBLICATION - EURO 6\PLAN VEHICULES\IVECO_EUROCARGO_190EL28CF02.jpg</t>
  </si>
  <si>
    <t>190EL28 CF - 21 PAL - 3 VTX - PASSION FROID</t>
  </si>
  <si>
    <t>190EL28 CF - 21 PAL - EASY ACC'AIR - PASSION FROID</t>
  </si>
  <si>
    <t>RENAULT TRUCKS</t>
  </si>
  <si>
    <t>RENAULT GAMME D - CAISSE FRIGORIFIQUE / MULTI TEMP. / HAYON</t>
  </si>
  <si>
    <t>\\petitforestier.fr\siege\Applications\BaseProduits\Datas\Publipostage\Images\PUBLICATION - EURO 6\PLAN VEHICULES\RENAULT_D12.210PCF02_TKT1000-Spec.jpg</t>
  </si>
  <si>
    <t>\\petitforestier.fr\siege\Applications\BaseProduits\Datas\Publipostage\Images\PUBLICATION - EURO 6\PLAN VEHICULES\RENAULT_D16.250PCF02_TKT1000-Spec.jpg</t>
  </si>
  <si>
    <t>RENAULT GAMME D WIDE - CAISSE FRIGORIFIQUE / MULTI TEMP. / HAYON</t>
  </si>
  <si>
    <t>D16.210 CF - 15 PAL - 3 VTX - PASSION FROID</t>
  </si>
  <si>
    <t>D16.210 CF - 15 PAL - EASY ACC'AIR - PASSION FROID</t>
  </si>
  <si>
    <t>D16.210 CF - 18 PAL - 3 VTX - PASSION FROID</t>
  </si>
  <si>
    <t>D16.210 CF - 18 PAL - EASY ACC'AIR - PASSION FROID</t>
  </si>
  <si>
    <t>GAMME T</t>
  </si>
  <si>
    <t>RT</t>
  </si>
  <si>
    <t>RENAULT GAMME T - TRACTEUR</t>
  </si>
  <si>
    <t>\\petitforestier.fr\siege\Applications\BaseProduits\Datas\Publipostage\Images\PUBLICATION - EURO 6\PLAN VEHICULES\RENAULT_TRACTEUR_T_E6.jpg</t>
  </si>
  <si>
    <t>CHEREAU</t>
  </si>
  <si>
    <t>SEM CF</t>
  </si>
  <si>
    <t>S1</t>
  </si>
  <si>
    <t>84.8</t>
  </si>
  <si>
    <t>\\petitforestier.fr\siege\Applications\BaseProduits\Datas\Publipostage\Images\PUBLICATION - EURO 6\PLAN VEHICULES\SREM_CF03.jpg</t>
  </si>
  <si>
    <t>\\petitforestier.fr\siege\Applications\BaseProduits\Datas\Publipostage\Images\PUBLICATION - EURO 6\PLAN VEHICULES\SREM_CF04.jpg</t>
  </si>
  <si>
    <t>FS_PF_DELICE &amp; CREATION</t>
  </si>
  <si>
    <t>72C18CF - 7 PAL - DELICE ET CREATION</t>
  </si>
  <si>
    <t>IVECO DAILY - CAISSE FRIGORIFIQUE URBAN / HAYON</t>
  </si>
  <si>
    <t>\\petitforestier.fr\siege\Applications\BaseProduits\Datas\Publipostage\Images\PUBLICATION - EURO 6\PLAN VEHICULES\IVECO_DAILY-1048_35S-CF04-URBAN.jpg</t>
  </si>
  <si>
    <t>FS_PF_TERRE AZUR</t>
  </si>
  <si>
    <t>SEMI REMORQUE - CAISSE FRIGORIFIQUE / MONO TEMP.</t>
  </si>
  <si>
    <t>\\petitforestier.fr\siege\Applications\BaseProduits\Datas\Publipostage\Images\PUBLICATION - EURO 6\PLAN VEHICULES\SREM_CF01.jpg</t>
  </si>
  <si>
    <t>SEMI REMORQUE - CAISSE FRIGORIFIQUE / MONO TEMP. / HAYON</t>
  </si>
  <si>
    <t>\\petitforestier.fr\siege\Applications\BaseProduits\Datas\Publipostage\Images\PUBLICATION - EURO 6\PLAN VEHICULES\SREM_CF02.jpg</t>
  </si>
  <si>
    <t>catalogue_3
ZR</t>
  </si>
  <si>
    <t>FS_PF_RELAIS D'OR</t>
  </si>
  <si>
    <t>\\petitforestier.fr\siege\Applications\BaseProduits\Datas\Publipostage\Images\PUBLICATION - EURO 6\PLAN VEHICULES\RENAULT_D10.210CF02.jpg</t>
  </si>
  <si>
    <t>FIAT DUCATO - CAISSE FRIGORIFIQUE IRL / 2 PORTES AR.</t>
  </si>
  <si>
    <t>10.6</t>
  </si>
  <si>
    <t>\\petitforestier.fr\siege\Applications\BaseProduits\Datas\Publipostage\Images\PUBLICATION - EURO 6\PLAN VEHICULES\FIAT_DUCATO_DCOCF01.jpg</t>
  </si>
  <si>
    <t>IVECO DAILY - CAISSE FRIGORIFIQUE IRL / 2 PORTES AR.</t>
  </si>
  <si>
    <t>\\petitforestier.fr\siege\Applications\BaseProduits\Datas\Publipostage\Images\PUBLICATION - EURO 6\PLAN VEHICULES\IVECO_DAILY_35S-CF01_X350T.jpg</t>
  </si>
  <si>
    <t>FS_PF_SAVEURS D'ANTONE</t>
  </si>
  <si>
    <t>\\petitforestier.fr\siege\Applications\BaseProduits\Datas\Publipostage\Images\PUBLICATION - EURO 6\PLAN VEHICULES\IVECO_DAILY-1048_65-70-72C-CF02.jpg</t>
  </si>
  <si>
    <t>RENAULT GAMME D - CAISSE FRIGORIFIQUE / MONO TEMP. / HAYON</t>
  </si>
  <si>
    <t>\\petitforestier.fr\siege\Applications\BaseProduits\Datas\Publipostage\Images\PUBLICATION - EURO 6\PLAN VEHICULES\RENAULT_D10.210CF01.jpg</t>
  </si>
  <si>
    <t>160E21CF - 15 PAL - 3 VTX - DELICE ET CREATION</t>
  </si>
  <si>
    <t>160E21CF - 15 PAL - EASY ACC'AIR - DELICE ET CREATION</t>
  </si>
  <si>
    <t>160E21CF - 18 PAL - 3 VTX - DELICE ET CREATION</t>
  </si>
  <si>
    <t>160E21CF - 18 PAL - EASY ACC'AIR - DELICE ET CREATION</t>
  </si>
  <si>
    <t>D16.210 CF - 15 PAL - 3 VTX - DELICE ET CREATION</t>
  </si>
  <si>
    <t>D16.210 CF - 15 PAL - EASY ACC'AIR - DELICE ET CREATION</t>
  </si>
  <si>
    <t>D16.210 CF - 18 PAL - 3 VTX - DELICE ET CREATION</t>
  </si>
  <si>
    <t>D16.210 CF - 18 PAL - EASY ACC'AIR - DELICE ET CREATION</t>
  </si>
  <si>
    <t>SEMCF04- MULTI - HAYON - CHEREAU - RELAIS D'OR</t>
  </si>
  <si>
    <t>SEMCF04- MULTI - HAYON - DOUBLE PLANCHER - CHEREAU -RELAIS D'OR</t>
  </si>
  <si>
    <t>72C18CF - HAYON RABATTABLE - TERRE AZUR</t>
  </si>
  <si>
    <t>72C18CF - HAYON RETRACTABLE - TERRE AZUR</t>
  </si>
  <si>
    <t>120E19 CF - 12 PAL - TERRE AZUR</t>
  </si>
  <si>
    <t>160E21 CF - 15 PAL - TERRE AZUR</t>
  </si>
  <si>
    <t>160E21 CF - 18 PAL - TERRE AZUR</t>
  </si>
  <si>
    <t>190EL28CF  - 21 PAL  -TERRE AZUR</t>
  </si>
  <si>
    <t>D12.210 CF - 12 PAL - TERRE AZUR</t>
  </si>
  <si>
    <t>D16.210 CF - 15 PAL - TERRE AZUR</t>
  </si>
  <si>
    <t>D16.210 CF - 18 PAL - TERRE AZUR</t>
  </si>
  <si>
    <t>SEMCF01 - VECTOR HE 19 - SANS HAYON - CHEREAU - TERRE AZUR</t>
  </si>
  <si>
    <t>SEMCF02 - VECTOR HE 19 - HAYON - CHEREAU - TERRE AZUR</t>
  </si>
  <si>
    <t>160E21 CI - 15 PAL - EPISAVEURS</t>
  </si>
  <si>
    <t>160E21 CI - 18 PAL - EPISAVEURS</t>
  </si>
  <si>
    <t>190EL28 CI - 18 PAL - EPISAVEURS</t>
  </si>
  <si>
    <t>190EL28 CI - 21 PAL - EPISAVEURS</t>
  </si>
  <si>
    <t>D16.210 CI - 15 PAL - EPISAVEURS</t>
  </si>
  <si>
    <t>D16.210 CI - 18 PAL - EPISAVEURS</t>
  </si>
  <si>
    <t>DCOCF - SAVEURS D'ANTONE</t>
  </si>
  <si>
    <t>Cabine courte 3 places (couleur blanc)</t>
  </si>
  <si>
    <t>Vitres électriques teintées</t>
  </si>
  <si>
    <t>Airbags conducteur et passagers</t>
  </si>
  <si>
    <t>Radio Bluetooth avec écran 7'' couleur avec Android Auto / Apple CarPlay / double ports USB</t>
  </si>
  <si>
    <t>Banquette passagers avec tablette écritoire Eat and Work dans le dossier</t>
  </si>
  <si>
    <t>Régulateur de vitesse</t>
  </si>
  <si>
    <t>Limiteur de vitesse réglable</t>
  </si>
  <si>
    <t>Allumage des feux et essuies glace automatiques</t>
  </si>
  <si>
    <t>Mesure de pression des pneumatiques</t>
  </si>
  <si>
    <t>Phares avant HALOGENES</t>
  </si>
  <si>
    <t>Marteau brise vitre avec coupe ceinture de sécurité</t>
  </si>
  <si>
    <t>Phares avant antibrouillard</t>
  </si>
  <si>
    <t>Phares avant full LED</t>
  </si>
  <si>
    <t>Run Lock avec contacts de coupure ventilation groupe frigorifique</t>
  </si>
  <si>
    <t>Radio Bluetooth avec écran tactile 7'' et réplication smartphone compatible Android Auto / Apple CarPlay / USB</t>
  </si>
  <si>
    <t>Siège conducteur suspendu pneumatique avec accoudoir</t>
  </si>
  <si>
    <t>Banquette passagers avec tablette écritoire dans le dossier</t>
  </si>
  <si>
    <t>Radars avant</t>
  </si>
  <si>
    <t>Airbag conducteur</t>
  </si>
  <si>
    <t>Chronotachygraphe paramétré distribution (Travail actif)</t>
  </si>
  <si>
    <t>Extincteur 2 kg</t>
  </si>
  <si>
    <t>GPS Poids lourds IVECO</t>
  </si>
  <si>
    <t>Cabine courte 2 places (couleur blanc)</t>
  </si>
  <si>
    <t>Radio Bluetooth / USB sans réplication smartphone</t>
  </si>
  <si>
    <t>Sans radars de recul</t>
  </si>
  <si>
    <t>Coffre de rangement sur tunnel moteur</t>
  </si>
  <si>
    <t>Phares avant LED</t>
  </si>
  <si>
    <t>Soufflette air comprimé</t>
  </si>
  <si>
    <t>Porte vison côté passager</t>
  </si>
  <si>
    <t>Pare chocs avant avec angles en acier</t>
  </si>
  <si>
    <t>GPS Poids lourds Snooper</t>
  </si>
  <si>
    <t>Pare chocs avant en acier</t>
  </si>
  <si>
    <t>Norme Euro 6e</t>
  </si>
  <si>
    <t>Turbo Diesel 140 ch.</t>
  </si>
  <si>
    <t>4 cylindres 2184 cm3</t>
  </si>
  <si>
    <t>Boîte de vitesses automatique 8 rapports avant et 1 arrière</t>
  </si>
  <si>
    <t>Batterie 105 Ah et alternateur 220 A</t>
  </si>
  <si>
    <t>Norme EURO VI E</t>
  </si>
  <si>
    <t>Turbo Diesel 136 ch.</t>
  </si>
  <si>
    <t>4 cylindres 2287 cm3</t>
  </si>
  <si>
    <t>Boîte de vitesses automatique HI-MATIC 8 rapports avant et 1 arrière</t>
  </si>
  <si>
    <t>Attention : Vitesse limitée à 90 km/h en mode ECO à la mise en route du moteur (désactivable sur le levier de vitesse)</t>
  </si>
  <si>
    <t>Turbo Diesel 180 ch.</t>
  </si>
  <si>
    <t>4 cylindres 2998 cm3</t>
  </si>
  <si>
    <t>Bridage 80 km/h</t>
  </si>
  <si>
    <t>Bridage 85 km/h</t>
  </si>
  <si>
    <t>Turbo Diesel 210 ch.</t>
  </si>
  <si>
    <t>4 cylindres 5100 cm3</t>
  </si>
  <si>
    <t>Boîte de vitesses automatique Optishift 8 rapports avant et 1 arrière</t>
  </si>
  <si>
    <t>Batterie 170 Ah et alternateur 130 A</t>
  </si>
  <si>
    <t>Ralentisseur sur échappement</t>
  </si>
  <si>
    <t>Motorisation 4 cylindres 5100 cm3 - 240 ch.</t>
  </si>
  <si>
    <t>Motorisation 4 cylindres 5100 cm3 - 240 ch. B100 Exclusif</t>
  </si>
  <si>
    <t>Turbo Diesel 190 ch.</t>
  </si>
  <si>
    <t>4 cylindres 4485 cm3</t>
  </si>
  <si>
    <t>Boîte de vitesses automatique ZF8AP 8 rapports avant et 1 arrière</t>
  </si>
  <si>
    <t>Batterie 170 Ah et alternateur 90 A</t>
  </si>
  <si>
    <t>Motorisation 4 cylindres 4485 cm3 - 210 ch.</t>
  </si>
  <si>
    <t>Motorisation 6 cylindres 6728 cm3 - 250 ch. (-150 kg CU)</t>
  </si>
  <si>
    <t>Pneumatiques 215/75R16</t>
  </si>
  <si>
    <t>Réservoir carburant 90 litres remplissage côté gauche</t>
  </si>
  <si>
    <t>Réservoir AdBlue 19 litres remplissage côté gauche</t>
  </si>
  <si>
    <t>Suspension arrière renforcée 4GM</t>
  </si>
  <si>
    <t>GSR II (General Safety Regulation)</t>
  </si>
  <si>
    <t>Roue de secours</t>
  </si>
  <si>
    <t>Bruiteur de marche arrière cri du lynx non déconnectable</t>
  </si>
  <si>
    <t>Pneumatiques montagne train avant</t>
  </si>
  <si>
    <t>Pneumatiques montagne trains avant et arrière</t>
  </si>
  <si>
    <t>Pneumatiques 225/65R16</t>
  </si>
  <si>
    <t>Réservoir carburant 86 litres remplissage côté gauche</t>
  </si>
  <si>
    <t>Réservoir AdBlue 20 litres remplissage côté gauche</t>
  </si>
  <si>
    <t>Suspension arrière renforcée</t>
  </si>
  <si>
    <t>Sans roue de secours</t>
  </si>
  <si>
    <t>Pneumatiques montagne train arrière</t>
  </si>
  <si>
    <t>Pneumatiques 225/75R16</t>
  </si>
  <si>
    <t>Réservoir carburant 120 litres remplissage côté gauche</t>
  </si>
  <si>
    <t>Témoins de desserage des roues</t>
  </si>
  <si>
    <t>Avec roue de secours</t>
  </si>
  <si>
    <t>Suspension arrière pneumatique (-30 kg CU)</t>
  </si>
  <si>
    <t>Pneumatiques 235/75R17,5</t>
  </si>
  <si>
    <t>Réservoir carburant 215 litres côté droit avec réchauffeur</t>
  </si>
  <si>
    <t>Réservoir AdBlue 32 litres côté droit</t>
  </si>
  <si>
    <t>Suspension arrière pneumatique</t>
  </si>
  <si>
    <t>Freinage EBS</t>
  </si>
  <si>
    <t>Blocage de différentiel (-3 kg CU)</t>
  </si>
  <si>
    <t>Pneumatiques 225/75R17,5</t>
  </si>
  <si>
    <t>Réservoir carburant 200 litres côté droit avec réchauffeur</t>
  </si>
  <si>
    <t>Réservoir AdBlue 30 litres côté droit</t>
  </si>
  <si>
    <t>Blocage de différentiel (-7 kg CU)</t>
  </si>
  <si>
    <t>Isolation renforcée CFL</t>
  </si>
  <si>
    <t>Cadre arrière 2 portes centrales largeur 1100 mm</t>
  </si>
  <si>
    <t>1 crémone avec poignée sur chaque vantail</t>
  </si>
  <si>
    <t>Fermeture manuelle à clé</t>
  </si>
  <si>
    <t>Arrêts de portes arrière à 180°</t>
  </si>
  <si>
    <t>Arrêts de portes arrière à 110°</t>
  </si>
  <si>
    <t>Rideaux d'air arrière (Hauteur sous rideaux d'air 1750 mm)</t>
  </si>
  <si>
    <t>Déverrouillage interne sur porte arrière droite</t>
  </si>
  <si>
    <t>Marchepied arrière fixe 1 marche</t>
  </si>
  <si>
    <t>AMENAGEMENTS : </t>
  </si>
  <si>
    <t>Revêtement extérieur et intérieur des parois en polyester blanc (RAL 9016)</t>
  </si>
  <si>
    <t>Protections bas de parois latérales et avant en aluminium hauteur 200 mm</t>
  </si>
  <si>
    <t>2 niveaux d'étagères relevables en aluminium à droite et à gauche largeur 500 mm.</t>
  </si>
  <si>
    <t>Plancher renforcé avec résine grise antidérapante et passages de roues</t>
  </si>
  <si>
    <t>2 siphons d'évacuation d'eau</t>
  </si>
  <si>
    <t>1 plafonnier LED avec détecteur de présence</t>
  </si>
  <si>
    <t>1 feu stop en haut de cadre</t>
  </si>
  <si>
    <t>Phare de travail en haut de cadre commandé à l'ouverture des portes</t>
  </si>
  <si>
    <t>Télématique SAMSARA pack PRO monotempérature</t>
  </si>
  <si>
    <t>1 niveau d'étagère relevable en aluminium à droite et à gauche largeur 500 mm (+26 kg CU)</t>
  </si>
  <si>
    <t>3 niveaux d'étagères relevables en aluminium à droite et à gauche largeur 500 mm (-29 kg CU)</t>
  </si>
  <si>
    <t>Isolation renforcée URBAN</t>
  </si>
  <si>
    <t>Cadre arrière 3 vantaux ouverture totale. Porte centrale largeur 1000 mm rabattable vers la droite avec déverrouillage interne</t>
  </si>
  <si>
    <t>1 crémone avec poignée sur porte centrale. Verrous intérieurs sur les 2 autres vantaux</t>
  </si>
  <si>
    <t>Fermeture centralisée</t>
  </si>
  <si>
    <t>Arrêts de portes arrière à 270° aimantés SimpleLock</t>
  </si>
  <si>
    <t xml:space="preserve">Arrêt de porte arrière centrale à 110° </t>
  </si>
  <si>
    <t>Rideau d'air arrière (hauteur de passage 1750 mm)</t>
  </si>
  <si>
    <t>Faux châssis RigidLink</t>
  </si>
  <si>
    <t>Profil face avant aérodynamique</t>
  </si>
  <si>
    <t>Protections bas de parois latérales et avant en aluminium hauteur 250 mm</t>
  </si>
  <si>
    <t>1 niveau de rail d'arrimage aluminium en applique sur 3 faces axé à 800 mm du plancher</t>
  </si>
  <si>
    <t>4 sangles d'arrimage à tension manuelle</t>
  </si>
  <si>
    <t>Plancher renforcé avec résine grise antidérapante</t>
  </si>
  <si>
    <t>Caillebotis plastique au sol sur toute la surface du plancher</t>
  </si>
  <si>
    <t>Ailes plastiques avec bavettes</t>
  </si>
  <si>
    <t>Pares cyclistes latéraux URBAN</t>
  </si>
  <si>
    <t>Phares de travail en haut de cadre. Bandeau LED commandé à l'ouverture des portes</t>
  </si>
  <si>
    <t>2 feux stop en haut de cadre</t>
  </si>
  <si>
    <t>2 niveaux d'étagères relevables en aluminium à droite et à gauche largeur 500 mm axées à 700 mm et 1300 mm du plancher</t>
  </si>
  <si>
    <t>Coffre (sans clé) pour rallonge électrique du groupe frigorifique positionné à l'arrière gauche (-12 kg CU)</t>
  </si>
  <si>
    <t>1 niveau d'étagère relevable en aluminium à droite et à gauche largeur 500 mm (+30 kg CU)</t>
  </si>
  <si>
    <t>3 niveaux d'étagères relevables en aluminium à droite et à gauche largeur 500 mm (-21 kg CU)</t>
  </si>
  <si>
    <t>2 niveaux de rails d'arrimage aluminium en applique sur 3 faces axés à 600 mm et 1000 mm du plancher</t>
  </si>
  <si>
    <t>Protections bas de parois latérales et avant en aluminium hauteur 450 mm (250 mm + 200 mm)</t>
  </si>
  <si>
    <t>1 niveau de rail d'arrimage aluminium en applique sur 3 faces (sauf portes latérales) axé à 800 mm du plancher</t>
  </si>
  <si>
    <t>1 niveau de rail d'arrimage spécial rolls sur 3 faces axé à 1100 mm du plancher</t>
  </si>
  <si>
    <t>Poignée d'arrimage spécial rolls (Qté 10 / Diamètre 25 / 35 / 45 mm)</t>
  </si>
  <si>
    <t>Cadre arrière 2 vantaux ouverture totale (porte droite prioritaire)</t>
  </si>
  <si>
    <t>Arrêts de portes arrière à ressort à 270°</t>
  </si>
  <si>
    <t>Rideau d'air arrière (Hauteur de passage 1850 mm)</t>
  </si>
  <si>
    <t>Escabeau arrière coulissant 4 marches avec poignée et première marche antipincement</t>
  </si>
  <si>
    <t>Plaque acier galvanisée 150 mm x 150 mm sur paroi latérale à l'arrière droit pour télécommande filaire du hayon</t>
  </si>
  <si>
    <t>Faux châssis acier galvanisé</t>
  </si>
  <si>
    <t>1 niveau de rail d'arrimage acier galvanisé en applique sur 3 faces axé à 800 mm du plancher</t>
  </si>
  <si>
    <t>2 plafonniers LED avec détecteur de présence</t>
  </si>
  <si>
    <t>Pares cyclistes latéraux</t>
  </si>
  <si>
    <t>Phares de travail en haut de cadre (commandés à l'alimentation du hayon élévateur)</t>
  </si>
  <si>
    <t>1 niveau de rail d'arrimage acier galvanisé supplémentaire en applique sur 3 faces axé à ....... mm du plancher (-28 kg CU)</t>
  </si>
  <si>
    <t>Phares de travail en haut de cadre (commandés à l'ouverture de la porte)</t>
  </si>
  <si>
    <t>Isolation renforcée CFR</t>
  </si>
  <si>
    <t>Cadre arrière 2 vantaux ouverture totale (porte droite prioritaire) avec déverrouillage interne</t>
  </si>
  <si>
    <t>Rideau d'air arrière (Hauteur de passage 2050 mm)</t>
  </si>
  <si>
    <t>1 niveau de rail d'arrimage spécial rolls sur 3 faces axé à 1000 mm du plancher</t>
  </si>
  <si>
    <t>Poignée d'arrimage spécial rolls (Qté 12 / Diamètre 25 / 35 / 45 mm)</t>
  </si>
  <si>
    <t>Feux de gabarits arrière multifonctions en haut de cadre</t>
  </si>
  <si>
    <t>1 niveau de rail d'arrimage acier galvanisé en applique sur 3 faces axé à ....... mm du plancher avec 4 sangles (-30 kg CU)</t>
  </si>
  <si>
    <t>Isolation renforcée</t>
  </si>
  <si>
    <t>Rideau d'air arrière (Hauteur de passage 2100 mm)</t>
  </si>
  <si>
    <t>Escabeau arrière coulissant 3 marches avec poignée et première marche antipincement</t>
  </si>
  <si>
    <t>Arrêts de portes arrière à 270°</t>
  </si>
  <si>
    <t>Déverrouillage interne porte arrière droite avec clapet de protection</t>
  </si>
  <si>
    <t>Poignée montoire en inox sur vantail gauche (parallèle à la crémone)</t>
  </si>
  <si>
    <t>Protections bas de parois latérales et avant en inox hauteur 450 mm </t>
  </si>
  <si>
    <t>1 niveau de rail d'arrimage acier galvanisé en applique sur 3 faces (sauf portes latérales) axé à 1100 mm du plancher</t>
  </si>
  <si>
    <t>4 siphons d'évacuation</t>
  </si>
  <si>
    <t>Traverse arrière renforcée avec butoirs à rouleaux en acier</t>
  </si>
  <si>
    <t>Coffre à outils plastique grand modèle</t>
  </si>
  <si>
    <t>Coffre (sans clé) pour rallonge électrique du groupe frigorifique positionné à l'arrière gauche</t>
  </si>
  <si>
    <t>Extincteur 6 kg</t>
  </si>
  <si>
    <t>Plage et échelle d'accès au groupe frigorifique</t>
  </si>
  <si>
    <t>Pares cyclistes latéraux relevables</t>
  </si>
  <si>
    <t>2 feux de recul supplémentaires à l'arrière dans le châssis</t>
  </si>
  <si>
    <t>1 niveau de rail d'arrimage en applique supplémentaire axé à ..... mm du plancher (-36 kg CU)</t>
  </si>
  <si>
    <t>1 niveau de rail d'arrimage spécial rolls sur 3 faces axé à ….. mm du plancher (-20 kg CU)</t>
  </si>
  <si>
    <t>Porte latérale battante double vantaux largeur 1000 mm à 700 mm de l'avant droit avec déverrouillage interne et étrier latéral télescopique 3 marches avec buzzer en cabine + rideau d'air (-84 kg CU)</t>
  </si>
  <si>
    <t>CARRIER XARIOS 350 poulie moteur ou équivalent - R452 A - Chauffage gaz chaud - ATP classe C</t>
  </si>
  <si>
    <t>Fonctionnement route 12V et secteur 230 V monophasé 16 A</t>
  </si>
  <si>
    <t>Evaporateur avant soufflant vers l'arrière</t>
  </si>
  <si>
    <t>Hauteur sous évaporateur 1760 mm</t>
  </si>
  <si>
    <t>Prise secteur à l'avant gauche sous la caisse</t>
  </si>
  <si>
    <t>Rallonge électrique de 10 mètres</t>
  </si>
  <si>
    <t>Groupe CARRIER PULSOR 350 (+10 kg CU)</t>
  </si>
  <si>
    <t>Enregistreur de température DATACOLD 300 R avec imprimante</t>
  </si>
  <si>
    <t>Groupe THERMOKING V300 Max 50 (+30 kg CU)</t>
  </si>
  <si>
    <t>Enregistreur de température Touch Print Prémium avec imprimante si groupe THERMOKING V300 Max 50</t>
  </si>
  <si>
    <t>Hauteur sous évaporateur 1685 mm</t>
  </si>
  <si>
    <t>Hauteur sous évaporateur 1835 mm</t>
  </si>
  <si>
    <t>CARRIER SUPRA HE 6 Silent autonome ou équivalent - R452 A - Chauffage gaz chaud - ATP classe C</t>
  </si>
  <si>
    <t>Fonctionnement route GNR et secteur 380 V triphasé 32 A</t>
  </si>
  <si>
    <t>Réservoir GNR 50 litres</t>
  </si>
  <si>
    <t>Hauteur sous évaporateur 1739 mm</t>
  </si>
  <si>
    <t>Contact arrêt ventilation porte arrière droite</t>
  </si>
  <si>
    <t>Enregistreur de température DATACOLD 600 R avec imprimante</t>
  </si>
  <si>
    <t>Démarrage automatique en mode thermique en cas de coupure du mode secteur</t>
  </si>
  <si>
    <t>Hauteur sous évaporateur 1939 mm</t>
  </si>
  <si>
    <t>Hauteur sous évaporateur 1989 mm</t>
  </si>
  <si>
    <t>Prise secteur dans un coffre sans clé à l'arrière gauche avec socle fixé à l'horizontale et rallonge de 10 mètres</t>
  </si>
  <si>
    <t>DHOLLANDIA DH-SO.10 rétractable</t>
  </si>
  <si>
    <t>Puissance 750 kg (charge maxi admissible à l'axe sur la largeur du plateau et à 750 mm du talon)</t>
  </si>
  <si>
    <t>Plateau aluminium / aluminium profondeur 1600 mm</t>
  </si>
  <si>
    <t>2 arrêts de rolls manuels</t>
  </si>
  <si>
    <t>Commande extra plate encastrée à l'intérieur de la caisse à l'arrière droit</t>
  </si>
  <si>
    <t>Commande extérieure principale avec coupe batterie à l'arrière droit</t>
  </si>
  <si>
    <t>Peinture jaune RAL 1023 sur le pourtour du plateau</t>
  </si>
  <si>
    <t>Eclairages LED latéraux du plateau</t>
  </si>
  <si>
    <t>Puissance 1500 kg (charge maxi admissible à l'axe sur la largeur du plateau et à 750 mm du talon)</t>
  </si>
  <si>
    <t>Plateau acier / aluminium profondeur 1800 mm - largeur 2250 mm</t>
  </si>
  <si>
    <t>Barre de torsion</t>
  </si>
  <si>
    <t>Plateau acier / aluminium profondeur 1800 mm - largeur 2150 mm</t>
  </si>
  <si>
    <t>Run Lock</t>
  </si>
  <si>
    <t>Frein de parc électrique</t>
  </si>
  <si>
    <t>Chronotachygraphe avec paramétrage distribution travail actif</t>
  </si>
  <si>
    <t>Extincteur 2 kg en cabine</t>
  </si>
  <si>
    <t>120E19 CF - 12 PAL - 3 VTX - DELICE ET CREATION</t>
  </si>
  <si>
    <t>Motorisation 6 cylindres 7700 cm3 - 250 ch. (-195 kg CU)</t>
  </si>
  <si>
    <t>Pneumatiques 245/70R19,5</t>
  </si>
  <si>
    <t>Chaînage automatique (-40 kg CU)</t>
  </si>
  <si>
    <t>Ralentisseur TELMA (-236 kg CU)</t>
  </si>
  <si>
    <t>Pneumatiques 285/70R19,5</t>
  </si>
  <si>
    <t>Déverrouillage interne porte arrière droite</t>
  </si>
  <si>
    <t>Rideau d'air arrière (Hauteur sous rideau d'air 1850 mm)</t>
  </si>
  <si>
    <t>Marchepied arrière basculant 2 marches en aluminium</t>
  </si>
  <si>
    <t>Porte latérale battante double vantaux largeur 1000 mm à 100 mm de l'avant droit avec déverrouillage interne avec une sangle montoir à droite et à gauche fixée dans le champs de l'huisserie</t>
  </si>
  <si>
    <t>Etrier latéral télescopique 2 marches avec buzzer en cabine</t>
  </si>
  <si>
    <t>Arrêts de portes latéraux</t>
  </si>
  <si>
    <t>Rideau d'air latéral</t>
  </si>
  <si>
    <t>Sans profil face avant aérodynamique</t>
  </si>
  <si>
    <t>Protections bas de parois latérales, cloison et avant en aluminium hauteur 250 mm</t>
  </si>
  <si>
    <t>Cloison mobile légère relevable transversale (Hauteur sous cloisons 1794 mm)</t>
  </si>
  <si>
    <t>1 niveau de rail d'arrimage aluminium en applique sur 3 faces (sauf portes latérales) axé à 900 mm du plancher</t>
  </si>
  <si>
    <t>Protections évaporateurs</t>
  </si>
  <si>
    <t>Télématique SAMSARA pack PRO multitempératures</t>
  </si>
  <si>
    <t>Cadre arrière 2 vantaux dissymétriques ouverture totale (sans priorité d'ouverture)</t>
  </si>
  <si>
    <t>Déverrouillage interne sur chaque porte arrière</t>
  </si>
  <si>
    <t>Cloison longitudinale fixe sur toute la longueur positionnée à 850 mm de la paroi de droite</t>
  </si>
  <si>
    <t>Porte pivotante dans la cloison fixe largeur 880 mm et hauteur 2050 mm positionnée à 560 mm de l'arrière</t>
  </si>
  <si>
    <t>1 niveau de rail d'arrimage acier galvanisé en applique sur parois latérales (sauf portes latérales) et cloison longitudinale axé à 900 mm du plancher</t>
  </si>
  <si>
    <t>2 poutres alu (1 dans chaque compartiment)</t>
  </si>
  <si>
    <t>3 siphons d'évacuation d'eau</t>
  </si>
  <si>
    <t>3 plafonniers LED avec détecteur de présence</t>
  </si>
  <si>
    <t>1 niveau de rail d'arrimage acier galvanisé supplémentaire en applique sur parois latérales et cloison axé à ..... mm du plancher (- 46 kg CU)</t>
  </si>
  <si>
    <t>Cadre arrière 3 vantaux ouverture totale avec porte centrale largeur 950 mm rabattable vers la droite</t>
  </si>
  <si>
    <t>Rideau d'air arrière</t>
  </si>
  <si>
    <t>Déverrouillage interne porte arrière centrale avec clapet de protection</t>
  </si>
  <si>
    <t>Porte latérale battante double vantaux largeur 1000 mm à 135 mm de l'avant droit avec deverrouillage interne</t>
  </si>
  <si>
    <t>Porte latérale battante double vantaux largeur 1000 mm à 135 mm de l'avant gauche avec deverrouillage interne</t>
  </si>
  <si>
    <t>Rideaux d'air portes latérales</t>
  </si>
  <si>
    <t>Etriers latéraux télescopiques 3 marches avec buzzer en cabine</t>
  </si>
  <si>
    <t>Sangles montoire  à chaque porte latérale fixée dans le champs de l'huisserie côté droit</t>
  </si>
  <si>
    <t>Cloison longitudinale fixe démarrant à 1300 mm de la face avant jusqu'à 1600 mm des portes arrière à 825 mm de la paroi de gauche (Largeurs utiles sur plinthe 819 mm dans le compartiment gauche et 1626 mm dans le compartiment droit)</t>
  </si>
  <si>
    <t>Cloisons mobiles relevables dans chaque compartiment (Hauteur sous cloisons 2135 mm)</t>
  </si>
  <si>
    <t>3 palettes maxi en longueur dans le compartiment de gauche</t>
  </si>
  <si>
    <t>Protections bas de parois latérales, face avant et cloison longitudinale en inox hauteur 450 mm </t>
  </si>
  <si>
    <t>1 niveau de rail d'arrimage acier galvanisé encastré dans les parois latérales (sauf portes latérales) et la cloison longitudinale axé à 1025 mm du plancher dans le compartiment de gauche et à 1175 mm du plancher dans le compartiment de droite</t>
  </si>
  <si>
    <t>1 niveau de rail d'arrimage acier galvanisé en applique sur la face avant axé à 1100 mm du plancher</t>
  </si>
  <si>
    <t>Antidérapant renforcé sur 1600 mm à l'arrière et sur 300 mm devant chaque porte latérale</t>
  </si>
  <si>
    <t>5 plafonniers LED avec détecteur de présence</t>
  </si>
  <si>
    <t>Cadre arrière 2 vantaux (+24 kg CU)</t>
  </si>
  <si>
    <t>Phares de travail en haut de cadre (commandés par la porte arrière centrale)</t>
  </si>
  <si>
    <t>4 palettes maxi en longueur dans le compartiment de gauche</t>
  </si>
  <si>
    <t>Cadre arrière rideau isotherme relevable Easy Acc'Air</t>
  </si>
  <si>
    <t>Condamnation extérieure manuelle à clé côté droit / Sangle intérieure de préhension</t>
  </si>
  <si>
    <t>Déverrouillage interne de sécurité par décompression (sur paroi à l'arrière droit)</t>
  </si>
  <si>
    <t>Phares de travail en haut de cadre (commandés par le rideau Easy Acc'Air)</t>
  </si>
  <si>
    <t>5 palettes maxi en longueur dans le compartiment de gauche</t>
  </si>
  <si>
    <t>CARRIER PULSOR 600 Multi température poulie moteur ou équivalent - R452 A - Chauffage électrique - ATP classes FRC-FRC</t>
  </si>
  <si>
    <t>Fonctionnement route 12V et secteur 380 V triphasé 32 A</t>
  </si>
  <si>
    <t>Evaporateur avant MXS 850 centré soufflant vers l'arrière et évaporateur arrière MXL 1100 centré soufflant vers l'avant</t>
  </si>
  <si>
    <t>Hauteur sous évaporateur arrière 1859 mm</t>
  </si>
  <si>
    <t>Contact arrêt ventilation porte latérale</t>
  </si>
  <si>
    <t>Thermomètre électronique en face avant côté conducteur</t>
  </si>
  <si>
    <t>CARRIER SUPRA HE 8 Multi température Silent autonome ou équivalent - R452 A - Chauffage gaz chaud - ATP classes FRC-FRC</t>
  </si>
  <si>
    <t>Evaporateur avant droit MSS 700 soufflant vers l'arrière et évaporateur avant gauche MSS 1100 soufflant vers l'arrière</t>
  </si>
  <si>
    <t>Hauteur sous évaporateurs 1817 mm</t>
  </si>
  <si>
    <t>Contact arrêt ventilation portes arrière droite et gauche</t>
  </si>
  <si>
    <t>CARRIER SUPRA HE 11 Multi température Silent autonome ou équivalent - R452 A - Chauffage gaz chaud - ATP classes FRC-FRC</t>
  </si>
  <si>
    <t>Evaporateur avant MSS 1450 centré soufflant vers l'arrière et évaporateur arrière MSS 1450 centré soufflant vers l'avant</t>
  </si>
  <si>
    <t>Réservoir GNR 90 litres</t>
  </si>
  <si>
    <t>Hauteur sous évaporateurs 2165 mm</t>
  </si>
  <si>
    <t>Contact arrêt ventilation porte arrière centrale</t>
  </si>
  <si>
    <t>Contacts arrêt ventilation portes latérales</t>
  </si>
  <si>
    <t>CARRIER SUPRA HE 13 Multi température Silent autonome ou équivalent - R452 A - Chauffage gaz chaud - ATP classes FRC-FRC</t>
  </si>
  <si>
    <t>Contact arrêt ventilation rideau Easy Acc'Air</t>
  </si>
  <si>
    <t>DHOLLANDIA DH-LMA.10 rabattable</t>
  </si>
  <si>
    <t>Plateau aluminium profondeur 1600 mm</t>
  </si>
  <si>
    <t>Puissance 2000 kg (charge maxi admissible à l'axe sur la largeur du plateau et à 750 mm du talon)</t>
  </si>
  <si>
    <t>Plateau acier / aluminium profondeur 1800 mm - largeur 2300 mm</t>
  </si>
  <si>
    <t>Plateau acier / aluminium profondeur 2000 mm - largeur 2400 mm</t>
  </si>
  <si>
    <r>
      <t xml:space="preserve">Plateau acier / aluminium profondeur </t>
    </r>
    <r>
      <rPr>
        <sz val="8"/>
        <color rgb="FFFF0000"/>
        <rFont val="Calibri"/>
        <family val="2"/>
        <scheme val="minor"/>
      </rPr>
      <t>2000</t>
    </r>
    <r>
      <rPr>
        <sz val="8"/>
        <color theme="1"/>
        <rFont val="Calibri"/>
        <family val="2"/>
        <scheme val="minor"/>
      </rPr>
      <t xml:space="preserve"> mm - largeur 2400 mm</t>
    </r>
  </si>
  <si>
    <t>DCOCF - BVA- PASSION FROID</t>
  </si>
  <si>
    <t>Siège conducteur non suspendu avec accoudoir</t>
  </si>
  <si>
    <t>KEYOUT</t>
  </si>
  <si>
    <t>Cabine profonde Sleeper Cab (couleur blanc EKLA)</t>
  </si>
  <si>
    <t>1 couchette</t>
  </si>
  <si>
    <t>Siège conducteur confort suspendu pneumatique avec réglage lombaire et 2 accoudoirs</t>
  </si>
  <si>
    <t>Climatisation à régulation électronique (sans fonctionnement à l'arrêt)</t>
  </si>
  <si>
    <t>Chauffage autonome air / air 2 kW</t>
  </si>
  <si>
    <t>Prises 12V et 24 V au tableau de bord pour accessoires</t>
  </si>
  <si>
    <t>Coffre de rangement central sous couchette</t>
  </si>
  <si>
    <t>Déflecteur de toit réglable en hauteur</t>
  </si>
  <si>
    <t>Déflecteurs latéraux verticaux ouvrants des 2 côtés</t>
  </si>
  <si>
    <t>Suspension cabine 4 coussins d'air avec correcteur d'assiette</t>
  </si>
  <si>
    <t>Aérateur de pavillon électrique</t>
  </si>
  <si>
    <t>Télématique SAMSARA pack ACCESS</t>
  </si>
  <si>
    <t>Pneumatiques 385/65R22,5</t>
  </si>
  <si>
    <t>3 essieux monte simple avec premier essieu relevable automatiquement</t>
  </si>
  <si>
    <t xml:space="preserve">Freins à disques </t>
  </si>
  <si>
    <t>Panier double pour roues de secours dans l'empattement</t>
  </si>
  <si>
    <t>8 anneaux Ferry</t>
  </si>
  <si>
    <t>2 cales de roues dans l'empattement (1 à droite et 1 à gauche)</t>
  </si>
  <si>
    <t>Hauteur d'attelage 1150 mm (Hauteur hors tout 4020 mm)</t>
  </si>
  <si>
    <t>Potence avant coulissante</t>
  </si>
  <si>
    <t>Radars de recul Soft Docking</t>
  </si>
  <si>
    <t>Peinture gris foncé CHEREAU Exclusive Grey</t>
  </si>
  <si>
    <t>Turbo Diesel 280 ch.</t>
  </si>
  <si>
    <t>6 cylindres 6728 cm3</t>
  </si>
  <si>
    <t>6 cylindres 7700 cm3</t>
  </si>
  <si>
    <t>Boîte de vitesses robotisée Optidriver 12 rapports avant et 3 arrière</t>
  </si>
  <si>
    <t>Batterie 185 Ah et alternateur 110 A</t>
  </si>
  <si>
    <t>Motorisation 6 cylindres 7700 cm3 - 320 ch.</t>
  </si>
  <si>
    <t>Motorisation 6 cylindres 7700 cm3 - 320 ch. B100 Exclusif</t>
  </si>
  <si>
    <t>Turbo Diesel 440 ch.</t>
  </si>
  <si>
    <t>6 cylindres 12800 cm3</t>
  </si>
  <si>
    <t>Batterie 225 Ah et alternateur 110 A</t>
  </si>
  <si>
    <t>Ralentisseur OPTIBRAKE 340 kW</t>
  </si>
  <si>
    <t>Rapport de pont 2,47</t>
  </si>
  <si>
    <t>Motorisation 6 cylindres 12800 cm3 - 440 ch. B100 Exclusif</t>
  </si>
  <si>
    <t>Pneumatiques 315/80R22,5</t>
  </si>
  <si>
    <t>Réservoir carburant 255 litres côté droit avec réchauffeur</t>
  </si>
  <si>
    <t>Pneumatiques 315/70R22,5</t>
  </si>
  <si>
    <t>Réservoir carburant 610 litres côté gauche avec réchauffeur</t>
  </si>
  <si>
    <t>Réservoir AdBlue 64 litres côté droit</t>
  </si>
  <si>
    <t>Ralentisseur hydraulique VOITH 450 kW en plus de l'OptiBrake (-118 kg CU)</t>
  </si>
  <si>
    <t>Rideaux d'air arrière (Hauteur sous rideaux d'air 1850 mm)</t>
  </si>
  <si>
    <t>Porte latérale battante double vantaux largeur 1000 mm à 100 mm de l'avant droit avec déverrouillage interne</t>
  </si>
  <si>
    <t>Cloison transversale fixe positionnée à 1400 mm de la face avant</t>
  </si>
  <si>
    <t>Porte pivotante dans la cloison fixe largeur 700 mm et hauteur 1950 mm positionnée au centre</t>
  </si>
  <si>
    <t>Cadre arrière 2 vantaux ouverture totale (sans priorité d'ouverture)</t>
  </si>
  <si>
    <t>Rideaux d'air arrière dans chaque compartiment (Hauteur sous rideaux d'air 1700 mm)</t>
  </si>
  <si>
    <t>Cloison longitudinale fixe sur toute la longueur positionnée à 925 mm de la paroi de gauche</t>
  </si>
  <si>
    <t>Porte pivotante dans la cloison fixe largeur 925 mm et hauteur 1950 mm positionnée à 560 mm de l'arrière</t>
  </si>
  <si>
    <t>1 niveau de rail d'arrimage aluminium en applique sur parois latérales (sauf portes latérales) et cloison longitudinale axé à 900 mm du plancher</t>
  </si>
  <si>
    <t>Porte latérale battante double vantaux largeur 1000 mm à 135 mm de l'avant droit avec une sangle montoir à droite et à gauche fixée dans le champs de l'huisserie</t>
  </si>
  <si>
    <t>Porte latérale battante double vantaux largeur 1000 mm à 135 mm de l'avant gauche avec une sangle montoir à droite et à gauche fixée dans le champs de l'huisserie</t>
  </si>
  <si>
    <t>1 niveau de rail d'arrimage encastré supplémentaire. Côté gauche 1er niveau axé à ….. mm du plancher et 2ème niveau axé à ….. mm du plancher. Côté droit 1er niveau axé à …...mm du plancher et 2ème niveau axé à ….. mm du plancher. Face avant en applique 1er niveau axé à ..... mm du plancher et 2ème niveau axé à ..... mm du plancher (-65 kg CU)</t>
  </si>
  <si>
    <t>7 plafonniers LED avec détecteur de présence</t>
  </si>
  <si>
    <t>1 niveau de rail d'arrimage encastré supplémentaire. Côté gauche 1er niveau axé à ….. mm du plancher et 2ème niveau axé à ….. mm du plancher. Côté droit 1er niveau axé à …...mm du plancher et 2ème niveau axé à ….. mm du plancher. Face avant en applique 1er niveau axé à ..... mm du plancher et 2ème niveau axé à ..... mm du plancher (-91 kg CU)</t>
  </si>
  <si>
    <t>Cadre arrière 2 vantaux ouverture totale</t>
  </si>
  <si>
    <t>Escabeau arrière coulissant 4 marches avec rampe</t>
  </si>
  <si>
    <t>Cloison tranversale mobile et relevable EASYFLEX 1/2 - 1/2 avec sangles d'aide au relevage</t>
  </si>
  <si>
    <t>Protections bas de parois latérales en aluminium hauteur 250 mm </t>
  </si>
  <si>
    <t>1 niveau de rail d'arrimage acier galvanisé en applique sur parois latérales axé à 1200 mm du plancher</t>
  </si>
  <si>
    <t>2 poutres alu de calage</t>
  </si>
  <si>
    <t>2 siphons d'évacuation à l'arrière</t>
  </si>
  <si>
    <t>Platelage aluminium antidérapant à l'arrière profondeur 1200 mm</t>
  </si>
  <si>
    <t>Buse de diffusion d'air avec 1 gaine au pavillon</t>
  </si>
  <si>
    <t>4 plafonniers LED avec détecteur de présence</t>
  </si>
  <si>
    <t>Coffre à outils plastique grand modèle dans l'empattement gauche</t>
  </si>
  <si>
    <t>Coffre porte document en face avant</t>
  </si>
  <si>
    <t>Extincteur 6 kg dans son coffre</t>
  </si>
  <si>
    <t>Grille acier galvanisé en face avant pour protection évaporateur avec butoirs caoutchouc en partie basse</t>
  </si>
  <si>
    <t>Protection évaporateur arrière</t>
  </si>
  <si>
    <t>Guides latéraux de protection du hayon élévateur</t>
  </si>
  <si>
    <t>Rideau relevable isotherme Smart Open-C (-150 kg CU)</t>
  </si>
  <si>
    <t>1 niveau de rail d'arrimage en applique supplémentaire axé à ..... mm du plancher (-55 kg CU)</t>
  </si>
  <si>
    <t>Cloison mobile EASYFLEX 1/3 DR - 2/3 GA</t>
  </si>
  <si>
    <t>Cloison mobile EASYFLEX 1/3 GA - 2/3 DR</t>
  </si>
  <si>
    <t>1 niveau de rail d'arrimage acier galvanisé en applique sur parois latérales axé à 1400 mm du plancher</t>
  </si>
  <si>
    <t>1 niveau de rail d'arrimage acier galvanisé encastré sur parois latérales axé à 785 mm du plancher</t>
  </si>
  <si>
    <t>12 rails verticaux encastrés pour double plancher</t>
  </si>
  <si>
    <t>23 poutres capacité 1000 kg pour double plancher</t>
  </si>
  <si>
    <t>Hauteur intérieure 2700 mm (hauteur hors tout 4120 mm avec hauteur d'attelage 1150 mm)</t>
  </si>
  <si>
    <t>Hauteur intérieure 2800 mm (Hauteur hors tout 4220 mm avec hauteur d'attelage 1150 mm)</t>
  </si>
  <si>
    <t>Evaporateur avant MXS 850 à gauche soufflant vers la porte latérale et évaporateur arrière MXL 1100 centré soufflant vers l'arrière</t>
  </si>
  <si>
    <t>Hauteur sous évaporateur 1845 mm</t>
  </si>
  <si>
    <t>Evaporateur avant droit MCL 850 soufflant vers l'arrière et évaporateur avant gauche MCL 850 soufflant vers l'arrière</t>
  </si>
  <si>
    <t>Hauteur sous évaporateur 1705 mm</t>
  </si>
  <si>
    <t>160E21CF - 15 PAL -  3 VTX - PASSION FROID</t>
  </si>
  <si>
    <t>CARRIER VECTOR 19 HE MT S2 Insonorisé autonome ou équivalent - R452 A - Chauffage gaz chaud - ATP classes FRC-FRC</t>
  </si>
  <si>
    <t>Réservoir GNR 250 litres avec 2 goulottes de remplissage</t>
  </si>
  <si>
    <t>Affichage numérique de la température sur le groupe frigorifique</t>
  </si>
  <si>
    <t>Chargeur de batteries pour le hayon élévateur</t>
  </si>
  <si>
    <t>Enregistreur de température DATACOLD 600 T avec imprimante</t>
  </si>
  <si>
    <t>Batteries autonomes rechargées par le groupe frigorifique</t>
  </si>
  <si>
    <t xml:space="preserve">Isolation renforcée </t>
  </si>
  <si>
    <t>Porte latérale battante double vantaux largeur 1000 mm à 200 mm de l'avant droit avec deverrouillage interne</t>
  </si>
  <si>
    <t>Rideau fixe à lanières latéral</t>
  </si>
  <si>
    <t>Etrier latéral télescopique 3 marches avec buzzer en cabine</t>
  </si>
  <si>
    <t>Sangle montoire porte latérale fixée dans le champs de l'huisserie côté droit</t>
  </si>
  <si>
    <t>Cloison mobile relevable transversale avec porte coulissante double centrée largeur de passage 820 mm et hauteur 1920 mm (Hauteur sous cloison 2135 mm)</t>
  </si>
  <si>
    <t>Protections bas de parois latérales et face avant en inox hauteur 450 mm </t>
  </si>
  <si>
    <t>1 niveau de rail d'arrimage acier galvanisé en applique sur 3 faces (sauf portes latérales) axé à 700 mm du plancher</t>
  </si>
  <si>
    <t>1 niveau de rail d'arrimage spécial rolls sur 3 faces (sauf portes latérales) axé à 1050 mm du plancher</t>
  </si>
  <si>
    <t>Phares de travail en haut de cadre commandé à l'ouverture des portes</t>
  </si>
  <si>
    <t>Phares de travail en haut de cadre commandés à l'alimentation du hayon élévateur</t>
  </si>
  <si>
    <t>Cloison mobile relevable 1/2 - 1/2</t>
  </si>
  <si>
    <t>Rideau relevable isotherme Easy Acc'Air (-150 kg CU)</t>
  </si>
  <si>
    <t>Feux de protection piétons Blue Spots</t>
  </si>
  <si>
    <t>Motorisation 6 cylindres 6728 cm3 - 220 ch. (-150 kg CU)</t>
  </si>
  <si>
    <t>Suspension arrière à lames + HELPER</t>
  </si>
  <si>
    <t>Suspension arrière pneumatique (-13 kg CU)</t>
  </si>
  <si>
    <t>Réservoir carburant 120 litres côté droit avec réchauffeur</t>
  </si>
  <si>
    <t>Réservoir carburant 130 litres côté droit avec réchauffeur</t>
  </si>
  <si>
    <t>Rideau d'air arrière (Hauteur sous rideau d'air 1900 mm)</t>
  </si>
  <si>
    <t>Porte latérale battante largeur 800 mm à 450 mm de l'avant droit avec déverrouillage interne avec une sangle montoir à droite et à gauche fixée dans le champs de l'huisserie</t>
  </si>
  <si>
    <t>Arrêt de porte latérale</t>
  </si>
  <si>
    <t>Rideau à lanières fixe latéral</t>
  </si>
  <si>
    <t>Cloison mobile légère relevable transversale (Hauteur sous cloisons 1790 mm)</t>
  </si>
  <si>
    <t>1 niveau de rail d'arrimage aluminium en applique sur 3 faces (sauf porte latérale) axé à 700 mm du plancher</t>
  </si>
  <si>
    <t>1 niveau de rail d'arrimage spécial rolls sur 3 faces (sauf porte latérale) axé à 1050 mm du plancher</t>
  </si>
  <si>
    <t>Cadre arrière 3 vantaux ouverture totale. Porte centrale largeur 950 mm rabattable vers la droite.</t>
  </si>
  <si>
    <t>Déverrouillage interne porte arrière centrale</t>
  </si>
  <si>
    <t>Rideau d'air arrière (Hauteur sous rideau d'air 2000 mm)</t>
  </si>
  <si>
    <t>Porte latérale battante double vantaux largeur 1000 mm à 200 mm de l'avant droit avec déverrouillage interne avec une sangle montoir à droite et à gauche fixée dans le champs de l'huisserie</t>
  </si>
  <si>
    <t>Cloison mobile relevable transversale avec porte coulissante double centrée largeur de passage 920 mm et hauteur 1920 mm (Hauteur sous cloison 1935 mm)</t>
  </si>
  <si>
    <t>4 siphons d'évacuation d'eau</t>
  </si>
  <si>
    <t>Phares de travail en haut de cadre commandés à l'ouverture des portes</t>
  </si>
  <si>
    <t>Prise secteur dans un coffre sans clé à l'arrière gauche avec socle fixé à l'horizontale et rallonge de 10 mètres (-12 kg CU)</t>
  </si>
  <si>
    <t>Porte latérale battante double vantaux largeur 1000 mm à 200 mm de l'avant droit avec deverrouillage interne avec une sangle montoir à droite et à gauche fixée dans le champs de l'huisserie</t>
  </si>
  <si>
    <t>Cloison mobile relevable transversale avec porte coulissante double centrée largeur de passage 920 mm et hauteur 1920 mm (Hauteur sous cloison 2035 mm)</t>
  </si>
  <si>
    <t>Poignée d'arrimage spécial rolls (Qté ….. / Diamètre 25 / 35 / 45 mm) (-1 kg CU par poignée)</t>
  </si>
  <si>
    <t>Cloison mobile relevable transversale avec porte coulissante double centrée largeur de passage 920 mm et hauteur 1920 mm (Hauteur sous cloison 2135 mm)</t>
  </si>
  <si>
    <t>THERMOKING V600 X Max 50 Spectrum poulie moteur ou équivalent - R452 A - Chauffage électrique - ATP classes FRC-FRC</t>
  </si>
  <si>
    <t>Evaporateur avant ES300 centré soufflant vers l'arrière et évaporateur arrière ES300 centré soufflant vers l'avant</t>
  </si>
  <si>
    <t>Hauteur sous évaporateurs avant 1846 mm et arrière 1910 mm</t>
  </si>
  <si>
    <t>Enregistreur de température Touch print Premium avec imprimante</t>
  </si>
  <si>
    <t>CARRIER SUPRA HE 9 Multi température Silent autonome ou équivalent - R452 A - Chauffage gaz chaud - ATP classes FRC-FRC</t>
  </si>
  <si>
    <t>Evaporateur avant gauche MSS 700 soufflant vers la porte latérale et évaporateur arrière MSS 1450 centré soufflant vers l'avant</t>
  </si>
  <si>
    <t>Hauteur sous évaporateurs 1970 mm</t>
  </si>
  <si>
    <t>Hauteur sous évaporateurs 2070 mm</t>
  </si>
  <si>
    <t>Hauteur sous évaporateurs 2170 mm</t>
  </si>
  <si>
    <t>DHOLLANDIA DH-LMA.08 rabattable</t>
  </si>
  <si>
    <t>Plateau aluminium profondeur 1450 mm</t>
  </si>
  <si>
    <t>Motorisation 6 cylindres 6728 cm3 - 320 ch.</t>
  </si>
  <si>
    <t>1 odomètre électronique + 1 odomètre mécanique</t>
  </si>
  <si>
    <t>Buse de diffusion d'air avec 2 gaines au pavillon</t>
  </si>
  <si>
    <t>Rideau relevable isotherme  Smart Open -C (-150 kg CU)</t>
  </si>
  <si>
    <t>CARRIER VECTOR 19 HE Insonorisé autonome ou équivalent - R452 A - Chauffage gaz chaud - ATP classe C</t>
  </si>
  <si>
    <t>Feux de protection piétons Orange Spots</t>
  </si>
  <si>
    <t>Porte latérale battante double vantaux largeur 1000 mm à 450 mm de l'avant droit avec déverrouillage interne avec une sangle montoir à droite et à gauche fixée dans le champs de l'huisserie</t>
  </si>
  <si>
    <t>1 niveau de rail d'arrimage acier galvanisé en applique sur 3 faces (sauf portes latérales) axé à 900 mm du plancher</t>
  </si>
  <si>
    <t>Phares de travail en haut de cadre.</t>
  </si>
  <si>
    <t>1 niveau de rail d'arrimage aluminium supplémentaire en applique sur 3 faces axé à ....... mm du plancher (-26 kg CU)</t>
  </si>
  <si>
    <t>1 niveau de rail d'arrimage aluminium supplémentaire en applique sur 3 faces axé à ....... mm du plancher (-28 kg CU)</t>
  </si>
  <si>
    <t>Cadre arrière 3 vantaux (-24 kg CU)</t>
  </si>
  <si>
    <t>1 niveau de rail d'arrimage en applique supplémentaire axé à ..... mm du plancher (-43 kg CU)</t>
  </si>
  <si>
    <t>1 niveau de rail d'arrimage spécial rolls sur 3 faces axé à ….. mm du plancher (-24 kg CU)</t>
  </si>
  <si>
    <t>1 niveau de rail d'arrimage en applique supplémentaire axé à ..... mm du plancher (-49 kg CU)</t>
  </si>
  <si>
    <t>1 niveau de rail d'arrimage spécial rolls sur 3 faces axé à ….. mm du plancher (-27 kg CU)</t>
  </si>
  <si>
    <t>1 niveau de rail d'arrimage en applique supplémentaire axé à ..... mm du plancher (-56 kg CU)</t>
  </si>
  <si>
    <t>1 niveau de rail d'arrimage spécial rolls sur 3 faces axé à ….. mm du plancher (-31 kg CU)</t>
  </si>
  <si>
    <t>2 crémones avec poignée sur chaque vantail</t>
  </si>
  <si>
    <t>1 niveau de rail d'arrimage acier galvanisé en applique sur 3 faces (sauf porte latérale) axé à 1100 mm du plancher</t>
  </si>
  <si>
    <t>15 poutres alu avec crémaillères pour double plancher</t>
  </si>
  <si>
    <t>Hauteur sous évaporateur 1692 mm</t>
  </si>
  <si>
    <t>Hauteur sous évaporateur 1736 mm</t>
  </si>
  <si>
    <t>CARRIER SUPRA HE 8 Silent autonome ou équivalent - R452 A - Chauffage gaz chaud - ATP classe C</t>
  </si>
  <si>
    <t>Hauteur sous évaporateur 2074 mm</t>
  </si>
  <si>
    <t>CARRIER SUPRA HE 9 Silent autonome ou équivalent - R452 A - Chauffage gaz chaud - ATP classe C</t>
  </si>
  <si>
    <t>CARRIER SUPRA HE 11 Silent autonome ou équivalent - R452 A - Chauffage gaz chaud - ATP classe C</t>
  </si>
  <si>
    <r>
      <rPr>
        <sz val="11"/>
        <rFont val="Aptos"/>
        <family val="2"/>
      </rPr>
      <t xml:space="preserve">Réservoir GNR </t>
    </r>
    <r>
      <rPr>
        <sz val="11"/>
        <rFont val="Aptos"/>
        <family val="2"/>
      </rPr>
      <t>50</t>
    </r>
    <r>
      <rPr>
        <sz val="11"/>
        <rFont val="Aptos"/>
        <family val="2"/>
      </rPr>
      <t xml:space="preserve"> litres</t>
    </r>
  </si>
  <si>
    <t>S</t>
  </si>
  <si>
    <t>REGNAULT</t>
  </si>
  <si>
    <t>IVECO DAILY - CAISSE MESSAGERIE / HAYON</t>
  </si>
  <si>
    <t>RENAULT GAMME D - CAISSE MESSAGERIE / HAYON</t>
  </si>
  <si>
    <t>160E21 CS - 15 PAL - EPISAVEURS</t>
  </si>
  <si>
    <t>160E21 CS - 18 PAL - EPISAVEURS</t>
  </si>
  <si>
    <t>190EL28 CS - 18 PAL - EPISAVEURS</t>
  </si>
  <si>
    <t>D16.210 CS - 15 PAL - EPISAVEURS</t>
  </si>
  <si>
    <t>D16.210 CS - 18 PAL - EPISAVEURS</t>
  </si>
  <si>
    <t>190EL28 CS - 21 PAL - EPISAVEURS</t>
  </si>
  <si>
    <t>IVECO EUROCARGO - CAISSE MESSAGERIE / HAYON</t>
  </si>
  <si>
    <t>Hauteur intérieure 2800 mm (hauteur hors tout 4220 mm avec hauteur d'attelage 1150 mm)</t>
  </si>
  <si>
    <t>Pavillon isolé</t>
  </si>
  <si>
    <t>2 niveaux de rails d'arrimage acier galvanisé en applique sur 3 faces axés à 750 mm et 1400 mm du plancher</t>
  </si>
  <si>
    <t>Caméra de recul positionnée en partie haute de cadre arrière</t>
  </si>
  <si>
    <t>Déflecteur de cabine tridimensionnel</t>
  </si>
  <si>
    <t>Flèche de couleur rouge sur le montant de caisse avant gauche indiquant la hauteur hors tout</t>
  </si>
  <si>
    <t>Porte latérale double battants largeur 1000 mm (2 x 500 mm) (sans rails d'arrimage) à 250 mm de l'arrière droit + étrier coulissant 2 marches avec 1 sangle montoire de chaque côté et buzzer en cabine (-58 kg CU)</t>
  </si>
  <si>
    <t>Cadre arrière avec fermeture intégrale par hayon élévateur et joint d'étanchéité caoutchouc en périphérie</t>
  </si>
  <si>
    <t>Hauteur de passage 1980 mm</t>
  </si>
  <si>
    <t>Isolation normale</t>
  </si>
  <si>
    <t>Cadre arrière inox avec fermeture intégrale par hayon élévateur et joint d'étanchéité caoutchouc en périphérie</t>
  </si>
  <si>
    <t>Hauteur de passage 2030 mm</t>
  </si>
  <si>
    <t>Protections bas de parois latérales et avant en inox hauteur 450 mm</t>
  </si>
  <si>
    <t>Platelage d'entrée en tôle aluminium antidérapante profondeur 600 mm</t>
  </si>
  <si>
    <t>2 siphons d'évacuation</t>
  </si>
  <si>
    <t>Extincteur 6 kg dans un coffre rouge indépendant positionné dans le porte à faux arrière gauche</t>
  </si>
  <si>
    <t>Porte latérale double battants largeur 1000 mm (2 x 500 mm) (sans rails d'arrimage) à 250 mm de l'arrière droit + étrier coulissant 3 marches (1ère marche large) avec 1 sangle montoire de chaque côté et buzzer en cabine (-76 kg CU)</t>
  </si>
  <si>
    <t>Commande à distance 2 boutons avec 1 prise à l'intérieur de la caisse au pavillon à l'arrière droit et 1 prise extérieure à côté du coffret principal</t>
  </si>
  <si>
    <t>DHOLLANDIA DH-LMA.15 rabattable</t>
  </si>
  <si>
    <t>Puissance 1000 kg (charge maxi admissible à l'axe sur la largeur du plateau et à 750 mm du talon)</t>
  </si>
  <si>
    <t>Plateau aluminium profondeur 2150 mm</t>
  </si>
  <si>
    <t>Plateau aluminium profondeur 2160 mm</t>
  </si>
  <si>
    <t>Caméra de recul IVECO</t>
  </si>
  <si>
    <t>Radars de recul (fourniture carrossier)</t>
  </si>
  <si>
    <t>Chronotachygraphe paramétré distribution travail actif</t>
  </si>
  <si>
    <t>Caméra de recul RENAULT Trucks</t>
  </si>
  <si>
    <t>Sans option</t>
  </si>
  <si>
    <t>Sans hayon</t>
  </si>
  <si>
    <t>Sans groupe frigorifique</t>
  </si>
  <si>
    <t>Sans caisse</t>
  </si>
  <si>
    <t>Sans moteur</t>
  </si>
  <si>
    <t>Sans cabine</t>
  </si>
  <si>
    <t>Parois latérales et face avant PLYWOOD épaisseur 17 mm</t>
  </si>
  <si>
    <t>Cadre arrière en acier peint en blanc avec 2 portes ouverture 270° et 1 crémone anti rack sur chaque porte</t>
  </si>
  <si>
    <t>Hauteur de passage 2040 mm</t>
  </si>
  <si>
    <t>Traverse de renfort dans le cadre en partie basse</t>
  </si>
  <si>
    <t xml:space="preserve">Tôles acier verticales de chaque côté du cadre arrière pour protection et verrouillage du hayon </t>
  </si>
  <si>
    <t>Pavillon isolé PET épaisseur 30 mm</t>
  </si>
  <si>
    <t>Faux châssis en acier galvanisé avec traverses rapprochées au pas de 400 mm</t>
  </si>
  <si>
    <t>Revêtement extérieur et intérieur des parois en polyester blanc (RAL 9010)</t>
  </si>
  <si>
    <t>Renfort extérieur de la face avant par tôle acier galvanisée épaisseur 30/10 ème hauteur 400 mm boulonnée sur le faux châssis</t>
  </si>
  <si>
    <t>Protections intérieures bas de parois latérales en tôle acier galvanisée épaisseur 30/10 ème hauteur 470 mm avec retour sous le plancher de 30 mm</t>
  </si>
  <si>
    <t>Protection intérieure bas de parois face avant contreplaqué épaisseur 15 mm + tôle acier galvanisée épaisseur 30/10 ème hauteur 600 mm avec reprise dans le plancher</t>
  </si>
  <si>
    <t>4 sangles d'arrimage à tension manuelle longueur 5 mètres</t>
  </si>
  <si>
    <t>Plancher contreplaqué antidérapant épaisseur 21 mm</t>
  </si>
  <si>
    <t>Platelage d'entrée en tôle acier galvanisée antidérapante profondeur 500 mm</t>
  </si>
  <si>
    <t>Coffre à outils plastique grand modèle avec chaîne de retenue à 80° positionné dans l'empattement côté gauche</t>
  </si>
  <si>
    <t>Pares cyclistes latéraux fixes</t>
  </si>
  <si>
    <t>2 phares de travail en haut de cadre (commandés à l'alimentation du hayon élévateur)</t>
  </si>
  <si>
    <t xml:space="preserve">Caméra de recul positionnée en partie haute de caisse </t>
  </si>
  <si>
    <t>Flèche de couleur rouge sur le montant de caisse avant gauche indiquant la hauteur hors tout majorée de 100 mm</t>
  </si>
  <si>
    <t>Cadre arrière en acier peint en blanc avec fermeture intégrale par hayon élévateur et joint d'étanchéité caoutchouc en périphérie</t>
  </si>
  <si>
    <t>Motorisation 6 cylindres 6728 cm3 - 250 ch. (-240 kg CU)</t>
  </si>
  <si>
    <t>Suspension arrière lames</t>
  </si>
  <si>
    <t>Blocage de différentiel (-8 kg CU)</t>
  </si>
  <si>
    <t>Ralentisseur TELMA (-270 kg CU)</t>
  </si>
  <si>
    <t>Parois latérales et face avant PLYWOOD épaisseur 20 mm</t>
  </si>
  <si>
    <t>Plancher renforcé bois dur exotique épaisseur 35 mm avec omégas en acier galvanisé</t>
  </si>
  <si>
    <t xml:space="preserve">Caméra de recul positionnée en partie basse à l'extrémité de châssis </t>
  </si>
  <si>
    <r>
      <t xml:space="preserve">Plateau aluminium profondeur </t>
    </r>
    <r>
      <rPr>
        <sz val="11"/>
        <color rgb="FFFF0000"/>
        <rFont val="Aptos"/>
        <family val="2"/>
      </rPr>
      <t>1600 mm</t>
    </r>
  </si>
  <si>
    <r>
      <rPr>
        <sz val="11"/>
        <color rgb="FF000000"/>
        <rFont val="Aptos"/>
      </rPr>
      <t xml:space="preserve">Plateau aluminium profondeur </t>
    </r>
    <r>
      <rPr>
        <sz val="11"/>
        <color rgb="FFFF0000"/>
        <rFont val="Aptos"/>
      </rPr>
      <t>2150 mm</t>
    </r>
  </si>
  <si>
    <t xml:space="preserve">IVECO DAILY - CAISSE FRIGORIFIQUE / MULTI TEMPERATURE </t>
  </si>
  <si>
    <t>IVECO DAILY - CAISSE FRIGORIFIQUE / MULTI TEMPERATURE / Cloison Transversale / HAYON</t>
  </si>
  <si>
    <t>IVECO EUROCARGO - CAISSE FRIGORIFIQUE / MULTI TEMPERATURE / 3 VANTAUX</t>
  </si>
  <si>
    <t>IVECO EUROCARGO - CAISSE FRIGORIFIQUE / MULTI TEMPERATURE /HAYON/ 3 VANTAUX</t>
  </si>
  <si>
    <t>IVECO EUROCARGO - CAISSE FRIGORIFIQUE / MULTI TEMPERATURE /HAYON/ EASY ACC'AIR</t>
  </si>
  <si>
    <t>RENAULT GAMME D - CAISSE FRIGORIFIQUE / MULTI TEMPERATURE /3 VANTAUX</t>
  </si>
  <si>
    <t>RENAULT GAMME D - CAISSE FRIGORIFIQUE / MULTI TEMPERATURE / 3 VANTAUX</t>
  </si>
  <si>
    <t>RENAULT GAMME D - CAISSE FRIGORIFIQUE / MULTI TEMPERATURE /HAYON/ 3 VANTAUX</t>
  </si>
  <si>
    <t>RENAULT GAMME D - CAISSE FRIGORIFIQUE / MULTI TEMPERATURE /HAYON/ EASY ACC'AIR</t>
  </si>
  <si>
    <t>IVECO EUROCARGO - CAISSE FRIGORIFIQUE / MULTI TEMPERATURE / HAYON/ 3 VANTAUX</t>
  </si>
  <si>
    <t>IVECO EUROCARGO - CAISSE FRIGORIFIQUE / MULTI TEMPERATURE / HAYON/ EASY ACC'AIR</t>
  </si>
  <si>
    <t>IVECO EUROCARGO - CAISSE FRIGORIFIQUE / MULTI TEMPERATURE / HAYON / 3 VANTAUX</t>
  </si>
  <si>
    <t>IVECO EUROCARGO - CAISSE FRIGORIFIQUE / MULTI TEMPERATURE / HAYON / EASY ACC'AIR</t>
  </si>
  <si>
    <t>RENAULT GAMME D - CAISSE FRIGORIFIQUE / MULTI TEMPERATURE / HAYON / 3 VANTAUX</t>
  </si>
  <si>
    <t>RENAULT GAMME D - CAISSE FRIGORIFIQUE / MULTI TEMPERATURE / HAYON / EASY ACC'AIR</t>
  </si>
  <si>
    <t>D12.210 CF - 12 PAL - 3 VTX - DELICE ET CREATION</t>
  </si>
  <si>
    <t xml:space="preserve">FIAT DUCATO - CAISSE FRIGORIFIQUE / MULTI TEMPERATURE </t>
  </si>
  <si>
    <t>IVECO DAILY - CAISSE FRIGORIFIQUE / MULTI TEMPERATURE / Cloison Transversale</t>
  </si>
  <si>
    <t>RENAULT GAMME D WIDE- CAISSE FRIGORIFIQUE / MULTI TEMPERATURE /HAYON/ EASY ACC'AIR</t>
  </si>
  <si>
    <t>RENAULT GAMME D WIDE- CAISSE FRIGORIFIQUE / MULTI TEMPERATURE /HAYON/ 3 VANTAUX</t>
  </si>
  <si>
    <t>SEMI REMORQUE - CAISSE FRIGORIFIQUE / MULTI TEMPERATURE / SANS HAYON</t>
  </si>
  <si>
    <t>SEMI REMORQUE - CAISSE FRIGORIFIQUE / MULTI TEMPERATURE / DOUBLE PLANCHER / SANS HAYON</t>
  </si>
  <si>
    <t>SEMCF04 - MULTI - HAYON - CHEREAU - PASSION FROID</t>
  </si>
  <si>
    <t>SEMCF03 - MULTI - SANS HAYON - CHEREAU - PASSION FROID</t>
  </si>
  <si>
    <t>SEMCF04 - MULTI - HAYON - DOUBLE PLANCHER - CHEREAU -PASSION FROID-</t>
  </si>
  <si>
    <t>SEMI REMORQUE - CAISSE FRIGORIFIQUE / MULTI TEMPERATURE / HAYON</t>
  </si>
  <si>
    <t>SEMI REMORQUE - CAISSE FRIGORIFIQUE / MULTI TEMPERATURE / DOUBLE PLANCHER / HAYON</t>
  </si>
  <si>
    <t>IVECO DAILY - CAISSE FRIGORIFIQUE / MULTI TEMPERATURE</t>
  </si>
  <si>
    <t>IVECO DAILY - CAISSE FRIGORIFIQUE / MULTI TEMPERATURE / HAYON</t>
  </si>
  <si>
    <t xml:space="preserve"> 5 / 8</t>
  </si>
  <si>
    <t>IVECO DAILY - CAISSE FRIGORIFIQUE / MULTI TEMPERATURE / HAYON RETRACTABLE</t>
  </si>
  <si>
    <t>72C18CF- 8 PAL-15 ROLLS - HAYON RETRACTABLE - RELAIS D'OR</t>
  </si>
  <si>
    <t xml:space="preserve"> 8 / 15</t>
  </si>
  <si>
    <t>IVECO EUROCARGO - CAISSE FRIGORIFIQUE / MULTI TEMPERATURE / HAYON RETRACTABLE</t>
  </si>
  <si>
    <t xml:space="preserve"> 11 / 21</t>
  </si>
  <si>
    <t xml:space="preserve"> 15 / 24</t>
  </si>
  <si>
    <t xml:space="preserve"> 18 / 30</t>
  </si>
  <si>
    <t>D12.210 CF - 15 PAL-24 ROLLS - HAYON RETRACTABLE - RELAIS D'OR</t>
  </si>
  <si>
    <t>D10.210 CF - 11 PAL-21 ROLLS - HAYON RETRACTABLE - RELAIS D'OR</t>
  </si>
  <si>
    <t>D16.210 CF - 18 PALL-30 ROLLS - HAYON RETRACTABLE - RELAIS D'OR</t>
  </si>
  <si>
    <t>RENAULT GAMME D  - CAISSE FRIGORIFIQUE / MULTI TEMPERATURE / HAYON RETRACTABLE</t>
  </si>
  <si>
    <t>RENAULT GAMME D WIDE - CAISSE FRIGORIFIQUE / MULTI TEMPERATURE / HAYON RETRACTABLE</t>
  </si>
  <si>
    <t>SEMCF03- MULTI - SANS HAYON - CHEREAU - RELAIS D'OR</t>
  </si>
  <si>
    <t>SEMI REMORQUE - CAISSE FRIGORIFIQUE / MULTI TEMPERATURE</t>
  </si>
  <si>
    <t>35S14CF - 5 PAL - DELICE ET CREATION</t>
  </si>
  <si>
    <t>35S14CF - 4 PAL - PASSION FROID</t>
  </si>
  <si>
    <t>35S14CF - 5 PAL - PASSION FROID</t>
  </si>
  <si>
    <t>35S14CF - 2 ETAGERES - SAVEURS D'ANTONE</t>
  </si>
  <si>
    <t>35S14CF04  URBAN - 6 PAL LARGE - HAYON - TERRE AZUR</t>
  </si>
  <si>
    <t>35S14CF04  URBAN - 5 PAL - HAYON - TERRE AZUR</t>
  </si>
  <si>
    <t>D10.210 CF - 10 PAL - SAVEURS D'ANTONE</t>
  </si>
  <si>
    <t>100E19 CF - 10 PAL - SAVEURS D'ANTONE</t>
  </si>
  <si>
    <t>190EL28CF - 42 PAL - DOUBLE PLANCHER - TERRE AZUR</t>
  </si>
  <si>
    <t>SEMCF01 - VECTOR HE 19 - SANS HAYON - DOUBLE PLANCHER - CHEREAU - TERRE AZUR</t>
  </si>
  <si>
    <t>SEMCF02 - VECTOR HE 19 - HAYON - DOUBLE PLANCHER - CHEREAU - TERRE AZUR</t>
  </si>
  <si>
    <t>SEMCI02 - DOUBLE PLANCHER - HAYON - EPISAVEURS</t>
  </si>
  <si>
    <t>SEMCF03 - MULTI -SANS HAYON - DOUBLE PLANCHER - CHEREAU - PASSION FROID</t>
  </si>
  <si>
    <t>SEMCI01 - SANS HAYON - EPISAVEURS</t>
  </si>
  <si>
    <t>SEMCI02 - HAYON - EPISAVEURS</t>
  </si>
  <si>
    <t>SEMCI01 - DOUBLE PLANCHER - SANS HAYON - EPISAVEURS</t>
  </si>
  <si>
    <t>120E19 CF - PASSION FROID</t>
  </si>
  <si>
    <t>100E19 CF - 11 PAL-21 ROLLS - HAYON RETRACTABLE - RELAIS D'OR</t>
  </si>
  <si>
    <t>120E19 CF - 15 PAL-24 ROLLS - HAYON RETRACTABLE - RELAIS D'OR</t>
  </si>
  <si>
    <t>160E21 CF - 18 PALL-30 ROLLS - HAYON RETRACTABLE - RELAIS D'OR</t>
  </si>
  <si>
    <t>35S14CF - 5 PAL - VRAC - SAVEURS D'ANTONE</t>
  </si>
  <si>
    <t>35S14CF - 5 PAL-8 ROLLS - RELAIS D'OR</t>
  </si>
  <si>
    <t>35S14CF - 6 PAL- LARGE - SAVEURS D'ANTONE</t>
  </si>
  <si>
    <t>72C18CF - 15 ROLLS - SAVEURS D'ANTONE</t>
  </si>
  <si>
    <t>D12.210 CF - PASSION FROID</t>
  </si>
  <si>
    <t>FS_PF</t>
  </si>
  <si>
    <t>K-RYOLE</t>
  </si>
  <si>
    <t>R4</t>
  </si>
  <si>
    <t>KR.900CF E</t>
  </si>
  <si>
    <t>K-RYOLE - CAISSE FRIGORIFIQUE / MONO TEMPERATURE</t>
  </si>
  <si>
    <t>C_VIDE</t>
  </si>
  <si>
    <t>M_K-RYOLE</t>
  </si>
  <si>
    <t>CH_K-RYOLE</t>
  </si>
  <si>
    <t>CF_K-RYOLE</t>
  </si>
  <si>
    <t>GF_VESNA-V10R_A_720mm</t>
  </si>
  <si>
    <t>\\petitforestier.fr\siege\Applications\BaseProduits\Datas\Publipostage\Images\PUBLICATION - EURO 6\PLAN VEHICULES\K-RYOLE_KR.900CF01.jpg</t>
  </si>
  <si>
    <t>FS_ST</t>
  </si>
  <si>
    <t>DOBLO</t>
  </si>
  <si>
    <t>V3</t>
  </si>
  <si>
    <t>LC-STRATE FORME</t>
  </si>
  <si>
    <t>DBOFF</t>
  </si>
  <si>
    <t>FIAT DOBLO VAN M - FOURGON FRIGORIFIQUE</t>
  </si>
  <si>
    <t>C_DOBLO-VAN_Série3_CLIM-MAN_Rad+Cam._PHiver_Sam.</t>
  </si>
  <si>
    <t>M_DOBLO-VAN_1.5_100-€6ebis_Alt220</t>
  </si>
  <si>
    <t>CH_DOBLO-VAN_195-65R15-ADB_GSRII</t>
  </si>
  <si>
    <t>FF_DOBLO-VAN_PLC_LC-STRATEFORME-IN</t>
  </si>
  <si>
    <t>GF_N100_A_390_750mm_Cable10m</t>
  </si>
  <si>
    <t>\\petitforestier.fr\siege\Applications\BaseProduits\Datas\Publipostage\Images\PUBLICATION - EURO 6\PLAN VEHICULES\FIAT_DOBLO-VAN_DBOFF01-PLC_TRIMAT_NEOS 100_TRIMAT.jpg</t>
  </si>
  <si>
    <t>DBOFF - 130CV</t>
  </si>
  <si>
    <t>M_DOBLO-VAN_1.5_130-€6ebis_Alt220</t>
  </si>
  <si>
    <t>DBOFF - 130CV BVA</t>
  </si>
  <si>
    <t>M_DOBLO-VAN_1.5_130-€6ebis_EAT8_Alt220</t>
  </si>
  <si>
    <t>FIAT DOBLO VAN XL  - FOURGON FRIGORIFIQUE</t>
  </si>
  <si>
    <t>2.2</t>
  </si>
  <si>
    <t>CH_DOBLO-VAN_205-60R16-ADB_GSRII</t>
  </si>
  <si>
    <t>FF_DOBLO-VAN_PLC_LC-STRATEFORME-IR</t>
  </si>
  <si>
    <t>GF_N-HE-200S_A_C_790mm</t>
  </si>
  <si>
    <t>\\petitforestier.fr\siege\Applications\BaseProduits\Datas\Publipostage\Images\PUBLICATION - EURO 6\PLAN VEHICULES\FIAT_DOBLO-VAN_DBOFF02_TRIMAT_HE200S+CARENAGE.jpg</t>
  </si>
  <si>
    <t>E-DOBLO</t>
  </si>
  <si>
    <t>DBOFF E</t>
  </si>
  <si>
    <t>FIAT DOBLO VAN M ELECTRIQUE - FOURGON FRIGORIFIQUE</t>
  </si>
  <si>
    <t>C_E-DOBLO-VAN_Série3_Sam._Rad+Cam.</t>
  </si>
  <si>
    <t>M_E-DOBLO-VAN_100kW_54kWh_Smart-Câble</t>
  </si>
  <si>
    <t>CH_E-DOBLO-VAN_215-60R16_GSRII_sansRS</t>
  </si>
  <si>
    <t>FF_E-DOBLO-VAN_PLC_LC-STRATEFORME-IR</t>
  </si>
  <si>
    <t>GF_N-HE-200S_A_C_790mm_Batt6kWh_Cable10m_2Cont.</t>
  </si>
  <si>
    <t>\\petitforestier.fr\siege\Applications\BaseProduits\Datas\Publipostage\Images\PUBLICATION - EURO 6\PLAN VEHICULES\FIAT_E-DOBLO-VAN_DBOFF01-PLC_TRIMAT_HE200S+CARENAGE.jpg</t>
  </si>
  <si>
    <t>FIAT DOBLO VAN XL ELECTRIQUE - FOURGON FRIGORIFIQUE</t>
  </si>
  <si>
    <t>CH_E-DOBLO-VAN_215-60R16_GSRII</t>
  </si>
  <si>
    <t>\\petitforestier.fr\siege\Applications\BaseProduits\Datas\Publipostage\Images\PUBLICATION - EURO 6\PLAN VEHICULES\FIAT_E-DOBLO-VAN_DBOFF02_TRIMAT_HE200S+CARENAGE.jpg</t>
  </si>
  <si>
    <t>SCUDO</t>
  </si>
  <si>
    <t>SCOFF</t>
  </si>
  <si>
    <t>FIAT SCUDO STANDARD - FOURGON FRIGORIFIQUE</t>
  </si>
  <si>
    <t>3.2</t>
  </si>
  <si>
    <t>C_SCUDO-FGT-Série3_Sam._Rad+Cam.10''HD_Sam.</t>
  </si>
  <si>
    <t>M_SCUDO_2.2_150-€6e-bis</t>
  </si>
  <si>
    <t>CH_SCUDO-FGT_215-65R16_GSRII</t>
  </si>
  <si>
    <t>FF_SCUDO_Renf_LC-STRATEFORME-IR</t>
  </si>
  <si>
    <t>GF_X200T-Muffler_A_C_790_870mm_Cable10m</t>
  </si>
  <si>
    <t>\\petitforestier.fr\siege\Applications\BaseProduits\Datas\Publipostage\Images\PUBLICATION - EURO 6\PLAN VEHICULES\FIAT_SCUDO_SCOFF01_X200T.jpg</t>
  </si>
  <si>
    <t>FIAT SCUDO LONG - FOURGON FRIGORIFIQUE</t>
  </si>
  <si>
    <t>3.7</t>
  </si>
  <si>
    <t>\\petitforestier.fr\siege\Applications\BaseProduits\Datas\Publipostage\Images\PUBLICATION - EURO 6\PLAN VEHICULES\FIAT_SCUDO_SCOFF02_X200T.jpg</t>
  </si>
  <si>
    <t>SCOFF BVA</t>
  </si>
  <si>
    <t>M_SCUDO_2.2_150-€6e-bis_EAT8</t>
  </si>
  <si>
    <t>V5</t>
  </si>
  <si>
    <t>SCOCF</t>
  </si>
  <si>
    <t>FIAT SCUDO - CAISSE FRIGORIFIQUE IRL</t>
  </si>
  <si>
    <t>C_SCUDO-PC-Série3_Sam._Rad+Cam.5''_Sam.</t>
  </si>
  <si>
    <t>CH_SCUDO-PC_215-65R16_GSRII</t>
  </si>
  <si>
    <t>CF_JUMPY_2022</t>
  </si>
  <si>
    <t>GF_X200T_A_C_790_1410mm_Cable10m</t>
  </si>
  <si>
    <t>\\petitforestier.fr\siege\Applications\BaseProduits\Datas\Publipostage\Images\PUBLICATION - EURO 6\PLAN VEHICULES\FIAT_SCUDO_SCOCF01.jpg</t>
  </si>
  <si>
    <t>E-SCUDO</t>
  </si>
  <si>
    <t>SCOFF E</t>
  </si>
  <si>
    <t>FIAT SCUDO ELECTRIQUE STANDARD - FOURGON FRIGORIFIQUE</t>
  </si>
  <si>
    <t>C_E-SCUDO-FGT-Série3_Sam._Rad+Cam.10''HD_Sam.</t>
  </si>
  <si>
    <t>M_E-SCUDO_100kW_75kWh_120km_ Smart-Câble</t>
  </si>
  <si>
    <t>CH_E-SCUDO-FGT_215-65R16_GSRII_SsRS</t>
  </si>
  <si>
    <t>FF_E-SCUDO_Renf_LC-STRATEFORME-IR</t>
  </si>
  <si>
    <t>GF_N-HE-200S_A_870mm_Batterie_Cable10m_2Cont.</t>
  </si>
  <si>
    <t>\\petitforestier.fr\siege\Applications\BaseProduits\Datas\Publipostage\Images\PUBLICATION - EURO 6\PLAN VEHICULES\FIAT_E-SCUDO_SCOFF01-E_N-HE200S.jpg</t>
  </si>
  <si>
    <t>FIAT SCUDO ELECTRIQUE LONG - FOURGON FRIGORIFIQUE</t>
  </si>
  <si>
    <t>\\petitforestier.fr\siege\Applications\BaseProduits\Datas\Publipostage\Images\PUBLICATION - EURO 6\PLAN VEHICULES\FIAT_E-SCUDO_SCOFF02-E_N-HE200S.jpg</t>
  </si>
  <si>
    <t>SCOCF E</t>
  </si>
  <si>
    <t>FIAT SCUDO ELECTRIQUE - CAISSE FRIGORIFIQUE IRL</t>
  </si>
  <si>
    <t>C_E-SCUDO-PC-Série3_Sam._Rad+Cam.5''_Sam.</t>
  </si>
  <si>
    <t>CH_E-SCUDO-PC_215-65R16_GSRII</t>
  </si>
  <si>
    <t>CF_E-JUMPY_2022</t>
  </si>
  <si>
    <t>GF_P350E-S-Batt12kWh_A_C_1390mm_Cable10m_1Cont.</t>
  </si>
  <si>
    <t xml:space="preserve"> </t>
  </si>
  <si>
    <t>\\petitforestier.fr\siege\Applications\BaseProduits\Datas\Publipostage\Images\PUBLICATION - EURO 6\PLAN VEHICULES\CITROEN_E-JUMPY_JYCF01-E_Pulsor350-Batterie.jpg</t>
  </si>
  <si>
    <t>DCOFF</t>
  </si>
  <si>
    <t>FIAT DUCATO L2H2 / MH2 - FOURGON FRIGORIFIQUE</t>
  </si>
  <si>
    <t>7.9</t>
  </si>
  <si>
    <t>C_DUCATO_FGT_MY2025_CLIM-MAN_Ecran7''_Rad+Cam._Sam.</t>
  </si>
  <si>
    <t>M_DUCATO_2.2_140_H3-POWER_220A_Bat105-LD-€6e</t>
  </si>
  <si>
    <t>CH_DUCATO-FGT_Série9_225-75R16_ADB_GSRII</t>
  </si>
  <si>
    <t>FF_DUCATO_LECAPITAINE / STRATE FORME-IR</t>
  </si>
  <si>
    <t>GF_X200T-Muffler_A_790_1615mm_Cable10m</t>
  </si>
  <si>
    <t>\\petitforestier.fr\siege\Applications\BaseProduits\Datas\Publipostage\Images\PUBLICATION - EURO 6\PLAN VEHICULES\FIAT_DUCATO_DCOFF01-X200_LECAP.jpg</t>
  </si>
  <si>
    <t>FIAT DUCATO L3H2 / LH2 - FOURGON FRIGORIFIQUE</t>
  </si>
  <si>
    <t>9.5</t>
  </si>
  <si>
    <t>\\petitforestier.fr\siege\Applications\BaseProduits\Datas\Publipostage\Images\PUBLICATION - EURO 6\PLAN VEHICULES\FIAT_DUCATO_DCOFF02-X200_LECAP.jpg</t>
  </si>
  <si>
    <t>DCOFF - BVA</t>
  </si>
  <si>
    <t>M_DUCATO_2.2_140_H3-POWER_BVAT8_220A_Bat105-LD-€6e</t>
  </si>
  <si>
    <t>DCOFF - 180cv</t>
  </si>
  <si>
    <t>M_DUCATO_2.2_180_H3-POWER_220A_Bat105-LD-€6e</t>
  </si>
  <si>
    <t>DCOFF - 180cv BVA</t>
  </si>
  <si>
    <t>M_DUCATO_2.2_180_H3-POWER_BVAT8_220A_Bat105-LD-€6e</t>
  </si>
  <si>
    <t>DCOCF</t>
  </si>
  <si>
    <t>C_DUCATO_PC_MY2025_CLIM-MAN_Ecran7''_Rad+Cam._Sam.</t>
  </si>
  <si>
    <t>CH_DUCATO-PC_225-75R16_ADB_SuspAr4GM_GSRII</t>
  </si>
  <si>
    <t>CF_DUCATO_1</t>
  </si>
  <si>
    <t>GF_X350T_A_C_1560_1750mm_Cable10m</t>
  </si>
  <si>
    <t>FIAT DUCATO - CAISSE FRIGORIFIQUE IRL / 1 PORTE AR.</t>
  </si>
  <si>
    <t>CF_DUCATO_2</t>
  </si>
  <si>
    <t>\\petitforestier.fr\siege\Applications\BaseProduits\Datas\Publipostage\Images\PUBLICATION - EURO 6\PLAN VEHICULES\FIAT_DUCATO_DCOCF02.jpg</t>
  </si>
  <si>
    <t>FIAT DUCATO - CAISSE FRIGORIFIQUE IRL / PENDERIE VIANDE</t>
  </si>
  <si>
    <t>C_DUCATO_PC_MY2025_CLIM-MAN_Ecran7''_Rad+Cam._Déflecteur_Sam.</t>
  </si>
  <si>
    <t>CH_DUCATO-PC_225-75R16_ADB_SuspAr4GM_GSRII_SsRS</t>
  </si>
  <si>
    <t>CF_DUCATO_3</t>
  </si>
  <si>
    <t>GF_X350T_A_C_1560_1950mm_Cable10m</t>
  </si>
  <si>
    <t>\\petitforestier.fr\siege\Applications\BaseProduits\Datas\Publipostage\Images\PUBLICATION - EURO 6\PLAN VEHICULES\FIAT_DUCATO_DCOCF03-Déflecteur.jpg</t>
  </si>
  <si>
    <t>FIAT DUCATO - CAISSE FRIGORIFIQUE IRL / MULTI TEMP.</t>
  </si>
  <si>
    <t>11.3</t>
  </si>
  <si>
    <t>CF_DUCATO_5</t>
  </si>
  <si>
    <t>GF_X6T-MT_1845mm_Cable10m_DCOCF05</t>
  </si>
  <si>
    <t>DCOCF- BVA</t>
  </si>
  <si>
    <t>DCOCF - 180cv</t>
  </si>
  <si>
    <t>M_DUCATO_2.2_180_H3-POWER_220A_Bat105-LD-€6e-MaxI</t>
  </si>
  <si>
    <t>DCOCF - 180cv BVA</t>
  </si>
  <si>
    <t>M_DUCATO_2.2_180i_H3-POWER_BVAT8_220A_Bat105-LD-€6e-MaxI</t>
  </si>
  <si>
    <t>DCOCF HEALTHCARE</t>
  </si>
  <si>
    <t>FIAT DUCATO HEALTHCARE - CAISSE FRIGORIFIQUE IRL / MULTI TEMP.</t>
  </si>
  <si>
    <t>10.4</t>
  </si>
  <si>
    <t>CF_DUCATO_5-HEALTHCARE</t>
  </si>
  <si>
    <t>GF_P400MT-DCOCF HEALTHCARE_A_C_1740mm_Cable10m</t>
  </si>
  <si>
    <t>\\petitforestier.fr\siege\Applications\BaseProduits\Datas\Publipostage\Images\PUBLICATION - EURO 6\PLAN VEHICULES\FIAT_DUCATO_DCOCF05_Pulsor400MT.jpg</t>
  </si>
  <si>
    <t>35C14 CF</t>
  </si>
  <si>
    <t>C_DAILY_CC_3.5_06-2019_CLIM-MAN_Rad+Cam._Sam.</t>
  </si>
  <si>
    <t>M_DAILY_2.3_136-HD-€VI-E_Bat105Ah_BV.HIMATIC</t>
  </si>
  <si>
    <t>CH_DAILY-CC_35C_195-75R16_ADB_GSRII_86L_RS</t>
  </si>
  <si>
    <t>CF_DAILY_C1_FC allégé</t>
  </si>
  <si>
    <t>\\petitforestier.fr\siege\Applications\BaseProduits\Datas\Publipostage\Images\PUBLICATION - EURO 6\PLAN VEHICULES\IVECO_DAILY-1048_35-50-65-70C-CF01.jpg</t>
  </si>
  <si>
    <t>IVECO DAILY - CAISSE FRIGORIFIQUE IRL / 3 PORTES AR.</t>
  </si>
  <si>
    <t>CF_DAILY_C2_FC allégé</t>
  </si>
  <si>
    <t>\\petitforestier.fr\siege\Applications\BaseProduits\Datas\Publipostage\Images\PUBLICATION - EURO 6\PLAN VEHICULES\IVECO_DAILY-1048_35C-CF02.jpg</t>
  </si>
  <si>
    <t>IVECO DAILY - CAISSE FRIGORIFIQUE IRL / PENDERIE VIANDE</t>
  </si>
  <si>
    <t>13.5</t>
  </si>
  <si>
    <t>CF_DAILY_C3_FC allégé</t>
  </si>
  <si>
    <t>GF_X350T_A_C_1560_2000mm_Cable10m</t>
  </si>
  <si>
    <t>\\petitforestier.fr\siege\Applications\BaseProduits\Datas\Publipostage\Images\PUBLICATION - EURO 6\PLAN VEHICULES\IVECO_DAILY-1048_35-50-65-70C-CF03.jpg</t>
  </si>
  <si>
    <t>CF_DAILY_C4-1950_FC allégé_PrPavHE</t>
  </si>
  <si>
    <t>HL_RB_DH-LMA08_750kg-CG600_1450mm_Vbatt</t>
  </si>
  <si>
    <t>\\petitforestier.fr\siege\Applications\BaseProduits\Datas\Publipostage\Images\PUBLICATION - EURO 6\PLAN VEHICULES\IVECO_DAILY-1048_35C-CF04.jpg</t>
  </si>
  <si>
    <t>IVECO DAILY - CAISSE FRIGORIFIQUE IRL / MULTI TEMP.</t>
  </si>
  <si>
    <t>13.8</t>
  </si>
  <si>
    <t>CF_DAILY_C5-3524*2050_FC allégé</t>
  </si>
  <si>
    <t>GF_X6T-MT_1850mm_Cable10m</t>
  </si>
  <si>
    <t>06</t>
  </si>
  <si>
    <t>10.1</t>
  </si>
  <si>
    <t>CH_DAILY-CC_35C_195-75R16_3000_ADB_GSRII_63L_RS</t>
  </si>
  <si>
    <t>CF_DAILY_C6_FC allégé</t>
  </si>
  <si>
    <t>35C14 CF - URBAN</t>
  </si>
  <si>
    <t>IVECO DAILY - CAISSE FRIGORIFIQUE URBAN / 2 PORTES AR.</t>
  </si>
  <si>
    <t>C_DAILY_CC_3.5_06-2019_CLIM-MAN_Rad+Cam._URBAN_Sam.</t>
  </si>
  <si>
    <t>CH_DAILY-CC_35C_195-75R16_ADB_GSRII_86L_URBAN_SsRS</t>
  </si>
  <si>
    <t>CF_DAILY_S-C1_FC allégé_URBAN</t>
  </si>
  <si>
    <t>GF_V300MAX-50_A_C_1705mm_Cable10m_ BBLite</t>
  </si>
  <si>
    <t>\\petitforestier.fr\siege\Applications\BaseProduits\Datas\Publipostage\Images\PUBLICATION - EURO 6\PLAN VEHICULES\IVECO_DAILY-1048_35C-CF01-URBAN.jpg</t>
  </si>
  <si>
    <t>IVECO DAILY - CAISSE FRIGORIFIQUE URBAN / 3 PORTES AR.</t>
  </si>
  <si>
    <t>CF_DAILY_S-C2_FC allégé_URBAN</t>
  </si>
  <si>
    <t>\\petitforestier.fr\siege\Applications\BaseProduits\Datas\Publipostage\Images\PUBLICATION - EURO 6\PLAN VEHICULES\IVECO_DAILY-1048_35C-CF02-URBAN.jpg</t>
  </si>
  <si>
    <t>CF_DAILY_S-C4-1950_FC allégé_URBAN_PrPavHE</t>
  </si>
  <si>
    <t>\\petitforestier.fr\siege\Applications\BaseProduits\Datas\Publipostage\Images\PUBLICATION - EURO 6\PLAN VEHICULES\IVECO_DAILY-1048_35C-CF04-URBAN.jpg</t>
  </si>
  <si>
    <t>IVECO DAILY - CAISSE FRIGORIFIQUE URBAN / MULTI TEMP.</t>
  </si>
  <si>
    <t>CF_DAILY_S-C5-3524*2050_FC allégé_URBAN</t>
  </si>
  <si>
    <t>GF_X6T-MT_1845mm_Cable10m</t>
  </si>
  <si>
    <t>\\petitforestier.fr\siege\Applications\BaseProduits\Datas\Publipostage\Images\PUBLICATION - EURO 6\PLAN VEHICULES\IVECO_DAILY-1048_35C-CF05-URBAN.jpg</t>
  </si>
  <si>
    <t>35C16 CF</t>
  </si>
  <si>
    <t>M_DAILY_2.3_156-HD-€VI-E_Bat105Ah_BV.HIMATIC</t>
  </si>
  <si>
    <t>\\petitforestier.fr\siege\Applications\BaseProduits\Datas\Publipostage\Images\PUBLICATION - EURO 6\PLAN VEHICULES\IVECO_DAILY-1048_35C-CF06.jpg</t>
  </si>
  <si>
    <t>35C16 CF - URBAN</t>
  </si>
  <si>
    <t>35C16-3L CF</t>
  </si>
  <si>
    <t>M_DAILY_3.0_160-HD-€VI-E_Bat105Ah_BV.HIMATIC</t>
  </si>
  <si>
    <t>35C16-3L CF - URBAN</t>
  </si>
  <si>
    <t>35S14 CF</t>
  </si>
  <si>
    <t>M_DAILY_2.3_136-HD-€VI-E_Bat105Ah_BV.HIMATIC_ModeECO</t>
  </si>
  <si>
    <t>CH_DAILY-CC_35S_225-65R16_ADB_GSRII_86L_RS</t>
  </si>
  <si>
    <t>CF_DAILY_S1_FC allégé</t>
  </si>
  <si>
    <t>CF_DAILY_S2_FC allégé</t>
  </si>
  <si>
    <t>\\petitforestier.fr\siege\Applications\BaseProduits\Datas\Publipostage\Images\PUBLICATION - EURO 6\PLAN VEHICULES\IVECO_DAILY-1048_35S-CF02.jpg</t>
  </si>
  <si>
    <t>CH_DAILY-CC_35S_225-65R16_ADB_GSRII_86L_SsRS</t>
  </si>
  <si>
    <t>CF_DAILY_S4-1950_FC allégé_PrPavHE</t>
  </si>
  <si>
    <t>\\petitforestier.fr\siege\Applications\BaseProduits\Datas\Publipostage\Images\PUBLICATION - EURO 6\PLAN VEHICULES\IVECO_DAILY_35S-CF04_X350T.jpg</t>
  </si>
  <si>
    <t>CF_DAILY_S5-3524*2050_FC allégé</t>
  </si>
  <si>
    <t>35S14 CF - URBAN</t>
  </si>
  <si>
    <t>CH_DAILY-CC_35S_225-65R16_ADB_GSRII_86L_URBAN_SsRS</t>
  </si>
  <si>
    <t>\\petitforestier.fr\siege\Applications\BaseProduits\Datas\Publipostage\Images\PUBLICATION - EURO 6\PLAN VEHICULES\IVECO_DAILY-1048_35S-CF01-URBAN.jpg</t>
  </si>
  <si>
    <t>\\petitforestier.fr\siege\Applications\BaseProduits\Datas\Publipostage\Images\PUBLICATION - EURO 6\PLAN VEHICULES\IVECO_DAILY-1048_35S-CF02-URBAN.jpg</t>
  </si>
  <si>
    <t>\\petitforestier.fr\siege\Applications\BaseProduits\Datas\Publipostage\Images\PUBLICATION - EURO 6\PLAN VEHICULES\IVECO_DAILY_35S-CF05-URBAN_X6MT.jpg</t>
  </si>
  <si>
    <t>35S16 CF</t>
  </si>
  <si>
    <t>M_DAILY_2.3_156-HD-€VI-E_Bat105Ah_BV.HIMATIC_ModeECO</t>
  </si>
  <si>
    <t>35S16 CF - URBAN</t>
  </si>
  <si>
    <t>35S16-3L  CF</t>
  </si>
  <si>
    <t>35S16-3L  CF - URBAN</t>
  </si>
  <si>
    <t>E-DAILY</t>
  </si>
  <si>
    <t>LECAPITAINE V1</t>
  </si>
  <si>
    <t>38S14 E FF</t>
  </si>
  <si>
    <t>IVECO DAILY ELECTRIQUE V12 - 3520L/H2 - FOURGON FRIGORIFIQUE</t>
  </si>
  <si>
    <t>C_E-DAILY_3.5_CLIM-AUTO_SS-Chrono_Sam._Rad+Cam.</t>
  </si>
  <si>
    <t>M_E-DAILY-FGT_140 kW_70kWh_ Smart-Câble</t>
  </si>
  <si>
    <t>CH_E-DAILY-FGT_38S_235-65R16_GSRII_RS</t>
  </si>
  <si>
    <t>FF-FI_E-DAILY_35S_1235_LECAP-V1-IN</t>
  </si>
  <si>
    <t>GF_P350-E-PTO_A_1550mm_2Cont.</t>
  </si>
  <si>
    <t>\\petitforestier.fr\siege\Applications\BaseProduits\Datas\Publipostage\Images\PUBLICATION - EURO 6\PLAN VEHICULES\IVECO_DAILY_35S-FF_V12-PULSOR350_LECAP.jpg</t>
  </si>
  <si>
    <t>42C14 E CF - URBAN</t>
  </si>
  <si>
    <t>IVECO DAILY ELECTRIQUE - CAISSE FRIGORIFIQUE URBAN / 2 PORTES AR.</t>
  </si>
  <si>
    <t>C_E-DAILY_CC_3.5_CLIM-AUTO_SS-Chrono_Rad+Cam._URBAN_Sam.</t>
  </si>
  <si>
    <t>M_E-DAILY_140 kW_70kWh_ Smart-Câble</t>
  </si>
  <si>
    <t>CH_E-DAILY-CC_42C_195-75R16_GSRII_URBAN_SrS</t>
  </si>
  <si>
    <t>CF_E-DAILY_S-C1_FC allégé_URBAN_2siph</t>
  </si>
  <si>
    <t>GF_E500-E-PTO_BBLite_A-C_1650mm_1Cont.</t>
  </si>
  <si>
    <t>\\petitforestier.fr\siege\Applications\BaseProduits\Datas\Publipostage\Images\PUBLICATION - EURO 6\PLAN VEHICULES\IVECO_E-DAILY-1048_42C-CF01-URBAN_TKE500.jpg</t>
  </si>
  <si>
    <t>IVECO DAILY ELECTRIQUE - CAISSE FRIGORIFIQUE URBAN / HAYON</t>
  </si>
  <si>
    <t>CF_E-DAILY_S-C4-1950_FC allégé_URBAN_2siph_PrPavHE</t>
  </si>
  <si>
    <t>GF_E500-E-PTO_BBLite_A-C_1650mm_2Cont.</t>
  </si>
  <si>
    <t>\\petitforestier.fr\siege\Applications\BaseProduits\Datas\Publipostage\Images\PUBLICATION - EURO 6\PLAN VEHICULES\IVECO_E-DAILY-1048_42C-CF04-URBAN_TKE500.jpg</t>
  </si>
  <si>
    <t xml:space="preserve">IVECO DAILY ELECTRIQUE - CAISSE FRIGORIFIQUE URBAN / MULTI TEMP. </t>
  </si>
  <si>
    <t>CF_DAILY_S-C5-3524*2050_FC allégé_URBAN_2siph</t>
  </si>
  <si>
    <t>GF_E600MAXSPEC-50-E-PTO_BBLite_A-C_1859mm_2Cont.</t>
  </si>
  <si>
    <t>\\petitforestier.fr\siege\Applications\BaseProduits\Datas\Publipostage\Images\PUBLICATION - EURO 6\PLAN VEHICULES\IVECO_E-DAILY-1048_42C-CF05-URBAN_TKE500-Spec.jpg</t>
  </si>
  <si>
    <t>42S14 E CF - URBAN</t>
  </si>
  <si>
    <t>CH_E-DAILY-CC_42S_235-65R16_GSRII_SrS_URBAN</t>
  </si>
  <si>
    <t>\\petitforestier.fr\siege\Applications\BaseProduits\Datas\Publipostage\Images\PUBLICATION - EURO 6\PLAN VEHICULES\IVECO_E-DAILY-1048_42S-CF01-URBAN_TKE500.jpg</t>
  </si>
  <si>
    <t>\\petitforestier.fr\siege\Applications\BaseProduits\Datas\Publipostage\Images\PUBLICATION - EURO 6\PLAN VEHICULES\IVECO_E-DAILY-1048_42S-CF04-URBAN_TKE500.jpg</t>
  </si>
  <si>
    <t>IVECO DAILY ELECTRIQUE - CAISSE FRIGORIFIQUE URBAN  / MULTI TEMP.</t>
  </si>
  <si>
    <t>\\petitforestier.fr\siege\Applications\BaseProduits\Datas\Publipostage\Images\PUBLICATION - EURO 6\PLAN VEHICULES\IVECO_E-DAILY-1048_42S-CF05-URBAN_TKE500-Spec.jpg</t>
  </si>
  <si>
    <t>72C18 CF</t>
  </si>
  <si>
    <t>C_DAILY_CC_+3.5_MY24_CLIM-MAN_Rad+Cam._Sam.</t>
  </si>
  <si>
    <t>M_DAILY_3.0_180-HD-€VI-E_Bat105Ah_BV.HIMATIC</t>
  </si>
  <si>
    <t>CH_DAILY-CC_70C_225-75R16_GSRII_120L</t>
  </si>
  <si>
    <t>CF_DAILY_70_C1</t>
  </si>
  <si>
    <t>GF_X6T_A_C_2192_2000mm_Cable10m</t>
  </si>
  <si>
    <t>\\petitforestier.fr\siege\Applications\BaseProduits\Datas\Publipostage\Images\PUBLICATION - EURO 6\PLAN VEHICULES\IVECO_DAILY-1048_65-70-72C-CF01.jpg</t>
  </si>
  <si>
    <t>CF_DAILY_70_C2_PrPavHE</t>
  </si>
  <si>
    <t>HL_RB_DH-LMA10_750kg-CG750_1450mm_Vbatt</t>
  </si>
  <si>
    <t>CF_DAILY_70_C3</t>
  </si>
  <si>
    <t>\\petitforestier.fr\siege\Applications\BaseProduits\Datas\Publipostage\Images\PUBLICATION - EURO 6\PLAN VEHICULES\IVECO_DAILY-1048_65-70-72C-CF03.jpg</t>
  </si>
  <si>
    <t>CF_DAILY_70_C5</t>
  </si>
  <si>
    <t>GF_X6T-MT_1950mm_Cable10m</t>
  </si>
  <si>
    <t>72C21 CF</t>
  </si>
  <si>
    <t>M_DAILY_3.0_210-HD-€VI-E_Bat105Ah_BV.HIMATIC</t>
  </si>
  <si>
    <t>72C14 E CF</t>
  </si>
  <si>
    <t>IVECO DAILY ELECTRIQUE - CAISSE FRIGORIFIQUE IRL / MONO TEMP. / 2 PORTES AR.</t>
  </si>
  <si>
    <t>C_E-DAILY_CC_+3.5_CLIM-AUTO_Rad+Cam._Defl_Sam.</t>
  </si>
  <si>
    <t>M_E-DAILY_140 kW_105kWh_ Smart-Câble</t>
  </si>
  <si>
    <t>CH_E-DAILY-CC_70C_225-75R16_GSRII_RS</t>
  </si>
  <si>
    <t>CF_E-DAILY_70_C1_2siph</t>
  </si>
  <si>
    <t>GF_E500-E-PTO_BBLite_A-C_1970mm_1Cont.</t>
  </si>
  <si>
    <t>\\petitforestier.fr\siege\Applications\BaseProduits\Datas\Publipostage\Images\PUBLICATION - EURO 6\PLAN VEHICULES\IVECO_E-DAILY-1048_72C-CF01_TKE500.jpg</t>
  </si>
  <si>
    <t>IVECO DAILY ELECTRIQUE - CAISSE FRIGORIFIQUE IRL / MONO TEMP. / HAYON</t>
  </si>
  <si>
    <t>CF_E-DAILY_70_C2_2siph_PrPavHE</t>
  </si>
  <si>
    <t>GF_E500-E-PTO_BBLite_A-C_1970mm_2Cont.</t>
  </si>
  <si>
    <t>\\petitforestier.fr\siege\Applications\BaseProduits\Datas\Publipostage\Images\PUBLICATION - EURO 6\PLAN VEHICULES\IVECO_E-DAILY-1048_72C-CF02_TKE500.jpg</t>
  </si>
  <si>
    <t>100E19 CF</t>
  </si>
  <si>
    <t>C_EUROCARGO_CLIM_DAB_Rang.Tunel_Sam.</t>
  </si>
  <si>
    <t>M_EUROCARGO_190-€VI-E_BVA8V_B143Ah</t>
  </si>
  <si>
    <t>CH_EUROCARGO_225-75R17-5_GSRII_Susp.Pneu.</t>
  </si>
  <si>
    <t>CF_100_C1_PrPavHE</t>
  </si>
  <si>
    <t>GF_SHE6-R2S_2570_1980mm_Cable10m</t>
  </si>
  <si>
    <t>HL_RT_DH-SM15_1500kg-CG750_1700mm-2150mm_Vbatt</t>
  </si>
  <si>
    <t>CF_100_C2_PrPavHE</t>
  </si>
  <si>
    <t>GF_SHE8-MT_2060mm_Cable10m</t>
  </si>
  <si>
    <t>100E21 CF</t>
  </si>
  <si>
    <t>M_EUROCARGO_210-€VI-E_BVA8V_B143Ah</t>
  </si>
  <si>
    <t>IVECO EUROCARGO - CAISSE FRIGORIFIQUE / PENDERIE VIANDE / HAYON</t>
  </si>
  <si>
    <t>31.1</t>
  </si>
  <si>
    <t>CF_100_C3_PrPavHE</t>
  </si>
  <si>
    <t>GF_SHE6-R2S_2570_2080mm_Cable10m</t>
  </si>
  <si>
    <t>\\petitforestier.fr\siege\Applications\BaseProduits\Datas\Publipostage\Images\PUBLICATION - EURO 6\PLAN VEHICULES\IVECO_EUROCARGO_100E19CF03.jpg</t>
  </si>
  <si>
    <t>100E22 CF</t>
  </si>
  <si>
    <t>M_EUROCARGO_220-€VI-E_BVA8V_B143Ah</t>
  </si>
  <si>
    <t>120E19 CF</t>
  </si>
  <si>
    <t>M_EUROCARGO_190-€VI-E_BVA8V_B170Ah</t>
  </si>
  <si>
    <t>CH_EUROCARGO_245-70R19-5_GSRII</t>
  </si>
  <si>
    <t>CF_120_140_C1_Plint-Inox_PrPavHE</t>
  </si>
  <si>
    <t>GF_SHE8-R2S_2570_2080mm_Cable10m</t>
  </si>
  <si>
    <t>HL_RT_DH-SM15_1500kg-CG750_1700mm-2250mm_Vbatt</t>
  </si>
  <si>
    <t>CF_120_140_C2_Plint-Inox_PrPavHE</t>
  </si>
  <si>
    <t>GF_SHE11-MT_2160mm_Cable10m</t>
  </si>
  <si>
    <t>120E21 CF</t>
  </si>
  <si>
    <t>M_EUROCARGO_210-€VI-E_BVA8V_B170Ah</t>
  </si>
  <si>
    <t>CF_120_140_C3_Plint-Inox_PrPavHE</t>
  </si>
  <si>
    <t>\\petitforestier.fr\siege\Applications\BaseProduits\Datas\Publipostage\Images\PUBLICATION - EURO 6\PLAN VEHICULES\IVECO_EUROCARGO_120E19CF03.jpg</t>
  </si>
  <si>
    <t>120E22 CF</t>
  </si>
  <si>
    <t>M_EUROCARGO_220-€VI-E_BVA8V_B170Ah</t>
  </si>
  <si>
    <t>140E21 CF</t>
  </si>
  <si>
    <t>CH_EUROCARGO_285-70R19-5_GSRII</t>
  </si>
  <si>
    <t>HL_RT_DH-SM20_2000kg-CG750_1700mm-2300mm_Vbatt</t>
  </si>
  <si>
    <t>\\petitforestier.fr\siege\Applications\BaseProduits\Datas\Publipostage\Images\PUBLICATION - EURO 6\PLAN VEHICULES\IVECO_EUROCARGO_140E19CF01.jpg</t>
  </si>
  <si>
    <t>\\petitforestier.fr\siege\Applications\BaseProduits\Datas\Publipostage\Images\PUBLICATION - EURO 6\PLAN VEHICULES\IVECO_EUROCARGO_140E19CF02.jpg</t>
  </si>
  <si>
    <t>\\petitforestier.fr\siege\Applications\BaseProduits\Datas\Publipostage\Images\PUBLICATION - EURO 6\PLAN VEHICULES\IVECO_EUROCARGO_140E19CF03.jpg</t>
  </si>
  <si>
    <t>140E22 CF</t>
  </si>
  <si>
    <t>140E25 CF</t>
  </si>
  <si>
    <t>M_EUROCARGO_250-€VI-E_BVA8V_B170Ah</t>
  </si>
  <si>
    <t>160E21 CF</t>
  </si>
  <si>
    <t>CF_150_160_C1_Plint-Inox_PrPavHE</t>
  </si>
  <si>
    <t>GF_SHE9-R2S_2445_2040mm_Cable10m</t>
  </si>
  <si>
    <t>HL_RT_DH-SM20_2000kg-CG750_1800mm-2400mm_pt_Vbatt</t>
  </si>
  <si>
    <t>CF_150_160_C2_Plint-Inox_PrPavHE</t>
  </si>
  <si>
    <t>GF_T1100X-50-R452A_SPEC_S3-S3_2165mm_ Bbox_Cable10m</t>
  </si>
  <si>
    <t>160E22 CF</t>
  </si>
  <si>
    <t>160E25 CF</t>
  </si>
  <si>
    <t>160E32 CF</t>
  </si>
  <si>
    <t>M_EUROCARGO_320-€VI-E_BVA8V_B170Ah</t>
  </si>
  <si>
    <t>CF_150_160_C3_Plint-Inox_PrPavHE</t>
  </si>
  <si>
    <t>\\petitforestier.fr\siege\Applications\BaseProduits\Datas\Publipostage\Images\PUBLICATION - EURO 6\PLAN VEHICULES\IVECO_EUROCARGO_160E21CF03.jpg</t>
  </si>
  <si>
    <t>190EL28 CF (18 Pal.)</t>
  </si>
  <si>
    <t>C_EUROCARGO_REGUL_ADAPT_CLIM_DAB_Rang.Tunel_Sam.</t>
  </si>
  <si>
    <t>M_EUROCARGO_280-€VI-E_BVA8V_B170Ah</t>
  </si>
  <si>
    <t>CH_EUROCARGO_315-70R22-5_GSRII</t>
  </si>
  <si>
    <t>CF_190_C1_Plint-Inox_PrPavHE</t>
  </si>
  <si>
    <t>\\petitforestier.fr\siege\Applications\BaseProduits\Datas\Publipostage\Images\PUBLICATION - EURO 6\PLAN VEHICULES\IVECO_EUROCARGO_190EL25CF01.jpg</t>
  </si>
  <si>
    <t>CF_190_C2_Plint-Inox_PrPavHE</t>
  </si>
  <si>
    <t>\\petitforestier.fr\siege\Applications\BaseProduits\Datas\Publipostage\Images\PUBLICATION - EURO 6\PLAN VEHICULES\IVECO_EUROCARGO_190EL25CF02.jpg</t>
  </si>
  <si>
    <t>CF_190_C3_Plint-Inox_PrPavHE</t>
  </si>
  <si>
    <t>\\petitforestier.fr\siege\Applications\BaseProduits\Datas\Publipostage\Images\PUBLICATION - EURO 6\PLAN VEHICULES\IVECO_EUROCARGO_190EL25CF03.jpg</t>
  </si>
  <si>
    <t>190EL32 CF (18 Pal.)</t>
  </si>
  <si>
    <t>190EL28 CF (21 Pal.)</t>
  </si>
  <si>
    <t>GF_SHE11-R2S_3350_2040mm_Cable10m</t>
  </si>
  <si>
    <t>\\petitforestier.fr\siege\Applications\BaseProduits\Datas\Publipostage\Images\PUBLICATION - EURO 6\PLAN VEHICULES\IVECO_EUROCARGO_190EL28CF01.jpg</t>
  </si>
  <si>
    <t>190EL32 CF (21 Pal.)</t>
  </si>
  <si>
    <t>RENAULT VL</t>
  </si>
  <si>
    <t>KANGOO</t>
  </si>
  <si>
    <t>KOFF</t>
  </si>
  <si>
    <t>RENAULT KANGOO VAN L1 - FOURGON FRIGORIFIQUE</t>
  </si>
  <si>
    <t>C_KANGOO-VAN_2025_Rad+Cam._Sam.</t>
  </si>
  <si>
    <t>M_KANGOO-VAN_1.5_115-€6e</t>
  </si>
  <si>
    <t>CH_KANGOO-FGT_205-60R16_GSRII</t>
  </si>
  <si>
    <t>FF_KANGOO-VAN-L1_LC-STRATEFORME-IN</t>
  </si>
  <si>
    <t>GF_N-HE100S_A_570_845mm_Cable10m</t>
  </si>
  <si>
    <t>\\petitforestier.fr\siege\Applications\BaseProduits\Datas\Publipostage\Images\PUBLICATION - EURO 6\PLAN VEHICULES\RENAULT_KANGOO_KOFF01-NEOS100S-CARENAGE.jpg</t>
  </si>
  <si>
    <t>KOCF - FRAX</t>
  </si>
  <si>
    <t>RENAULT KANGOO - CAISSE FRIGORIFIQUE IRL  - FRAX</t>
  </si>
  <si>
    <t>C_KANGOO-PC_2025_Rad+Cam._Sam.</t>
  </si>
  <si>
    <t>M_KANGOO-PC_1.5_115-€6e-PREM4-bridé110Km</t>
  </si>
  <si>
    <t>CH_KANGOO-PC_205-60R16_GSRII</t>
  </si>
  <si>
    <t>CF_KANGOO-PC</t>
  </si>
  <si>
    <t>GF_N-HE-200S_A_1125_1225mm_Cable10m</t>
  </si>
  <si>
    <t>\\petitforestier.fr\siege\Applications\BaseProduits\Datas\Publipostage\Images\PUBLICATION - EURO 6\PLAN VEHICULES\RENAULT_KANGOO_KOCF01-NHE200S-DEFLECTEUR.jpg</t>
  </si>
  <si>
    <t>RENAULT KANGOO - CAISSE FRIGORIFIQUE IRL - FRAX</t>
  </si>
  <si>
    <t>\\petitforestier.fr\siege\Applications\BaseProduits\Datas\Publipostage\Images\PUBLICATION - EURO 6\PLAN VEHICULES\RENAULT_KANGOO_KOCF02-NHE200S-DEFLECTEUR.jpg</t>
  </si>
  <si>
    <t>KOCF - FRCX</t>
  </si>
  <si>
    <t>RENAULT KANGOO - CAISSE FRIGORIFIQUE IRL - FRCX</t>
  </si>
  <si>
    <t>GF_E200e_A_C_1233mm_Cable10m</t>
  </si>
  <si>
    <t>KANGOO E-TECH</t>
  </si>
  <si>
    <t>KOFF E</t>
  </si>
  <si>
    <t>RENAULT KANGOO VAN ELECTRIQUE L1 - FOURGON FRIGORIFIQUE</t>
  </si>
  <si>
    <t>C_KANGOO-VAN E-TECH_Rad+Cam._Sam.</t>
  </si>
  <si>
    <t>M_KANGOO_E6-TECH_90kW_ Smart-Câble</t>
  </si>
  <si>
    <t>CH_KANGOO_E-TECH_205-60R16</t>
  </si>
  <si>
    <t>FF_KANGOO-E.TECH-VAN-L1_LC-STRATEFORME-IN</t>
  </si>
  <si>
    <t>GF_N-HE100S_A_570_845mm_Cable10m_1cont</t>
  </si>
  <si>
    <t>KOCF E</t>
  </si>
  <si>
    <t>RENAULT KANGOO ELECTRIQUE - CAISSE FRIGORIFIQUE IRL</t>
  </si>
  <si>
    <t>C_KANGOO-PC E-TECH_Rad+Cam._Sam.</t>
  </si>
  <si>
    <t>CH_KANGOO-PC_E-TECH_205-60R16_GSRII</t>
  </si>
  <si>
    <t>CF_KANGOO-E-TECH-PC</t>
  </si>
  <si>
    <t>GF_E200e_A_C_1233mm_Cable10m_1cont</t>
  </si>
  <si>
    <t>\\petitforestier.fr\siege\Applications\BaseProduits\Datas\Publipostage\Images\PUBLICATION - EURO 6\PLAN VEHICULES\RENAULT_KANGOO_KOCF01-E200-DEFLECTEUR.jpg</t>
  </si>
  <si>
    <t>TRAFIC</t>
  </si>
  <si>
    <t>TCFF</t>
  </si>
  <si>
    <t>RENAULT TRAFIC L1H1 - FOURGON FRIGORIFIQUE</t>
  </si>
  <si>
    <t>C_TRAFIC-FGT_CLIM-MAN_ABPass_Rad+Cam._Sam.</t>
  </si>
  <si>
    <t>M_TRAFIC-FG_2.0_150-€ 6e</t>
  </si>
  <si>
    <t>CH_TRAFIC-FGT_215-65R16_AdB24_GSRII</t>
  </si>
  <si>
    <t>FF_TRAFIC_LC-STRATEFORME-IR</t>
  </si>
  <si>
    <t>GF_X200T-Muffler_A_C_790_985mm_Cable10m</t>
  </si>
  <si>
    <t>\\petitforestier.fr\siege\Applications\BaseProduits\Datas\Publipostage\Images\PUBLICATION - EURO 6\PLAN VEHICULES\RENAULT_TRAFIC-L1H1_FF-X200T_LC-STRATE FORME.jpg</t>
  </si>
  <si>
    <t>RENAULT TRAFIC L2H1 - FOURGON FRIGORIFIQUE</t>
  </si>
  <si>
    <t>\\petitforestier.fr\siege\Applications\BaseProduits\Datas\Publipostage\Images\PUBLICATION - EURO 6\PLAN VEHICULES\RENAULT_TRAFIC-L2H1_FF-X200T_LC-STRATE FORME.jpg</t>
  </si>
  <si>
    <t>TCCF</t>
  </si>
  <si>
    <t>RENAULT TRAFIC - CAISSE FRIGORIFIQUE 7,7m³</t>
  </si>
  <si>
    <t>7.7</t>
  </si>
  <si>
    <t>C_TRAFIC-PC_CLIM-MAN_Rad+Cam._Sam.</t>
  </si>
  <si>
    <t>M_TRAFIC-PC_2.0_150-€ 6e</t>
  </si>
  <si>
    <t>CH_TRAFIC-PC_215-65R16_GSRII</t>
  </si>
  <si>
    <t>CF_TRAFIC-01</t>
  </si>
  <si>
    <t>GF_X200T_A_C_790_1430mm_Cable10m</t>
  </si>
  <si>
    <t>\\petitforestier.fr\siege\Applications\BaseProduits\Datas\Publipostage\Images\PUBLICATION - EURO 6\PLAN VEHICULES\RENAULT_TRAFIC_TCCF01.jpg</t>
  </si>
  <si>
    <t>RENAULT TRAFIC - CAISSE FRIGORIFIQUE 8,5m³</t>
  </si>
  <si>
    <t>C_TRAFIC-PC_CLIM-MAN_Rad+Cam._Defl_Sam.</t>
  </si>
  <si>
    <t>M_TRAFIC-PC_2.0_150-€ 6e_PREM05-SSBridage</t>
  </si>
  <si>
    <t>CF_TRAFIC-02</t>
  </si>
  <si>
    <t>GF_X350T_A_C_1560_1560mm_Cable10m</t>
  </si>
  <si>
    <t>\\petitforestier.fr\siege\Applications\BaseProduits\Datas\Publipostage\Images\PUBLICATION - EURO 6\PLAN VEHICULES\RENAULT_TRAFIC_TCCF02-Déflect.jpg</t>
  </si>
  <si>
    <t>MASTER E-TECH</t>
  </si>
  <si>
    <t>MRCF E N2 - XDE</t>
  </si>
  <si>
    <t>RENAULT MASTER ELECTRIQUE - CAISSE FRIGORIFIQUE IRL / 2 PORTES AR.</t>
  </si>
  <si>
    <t>C_MASTER-E.Tech_Sam.</t>
  </si>
  <si>
    <t>M_MASTER-E.Tech_Batt87kWh-90Km/h</t>
  </si>
  <si>
    <t>CH_MASTER-E.Tech-PC-215/75 R 16_GSRII</t>
  </si>
  <si>
    <t>CF_MASTER-E.Tech_1</t>
  </si>
  <si>
    <t>GF_P400ZE-Batt12kWh_A_C_1750mm_Cable10m_1Cont.</t>
  </si>
  <si>
    <t>\\petitforestier.fr\siege\Applications\BaseProduits\Datas\Publipostage\Images\PUBLICATION - EURO 6\PLAN VEHICULES\RENAULT_MASTER-965_MRCF-E_N2-XDE-01_Pulsor400-ZE.jpg</t>
  </si>
  <si>
    <t>RENAULT MASTER ELECTRIQUE - CAISSE FRIGORIFIQUE IRL / MULTI TEMP.</t>
  </si>
  <si>
    <t>CF_MASTER-E.Tech_5-1950</t>
  </si>
  <si>
    <t>GF_P400MT-ZE-Batt12kWh_A_C_1740mm_Cable10m</t>
  </si>
  <si>
    <t>\\petitforestier.fr\siege\Applications\BaseProduits\Datas\Publipostage\Images\PUBLICATION - EURO 6\PLAN VEHICULES\RENAULT_MASTER-965_MRCF-E_N2-XDE-05_Pulsor400MT-ZE.jpg</t>
  </si>
  <si>
    <t>D10.210 CF</t>
  </si>
  <si>
    <t>C_D_2.1_CLIM_Rang.Tunel_Sam.</t>
  </si>
  <si>
    <t>M_D_210-€VI-E_BVA-OPTISHIFT</t>
  </si>
  <si>
    <t>CH_D_235-75R17-5_GSRII_Susp.Pneu.</t>
  </si>
  <si>
    <t>RENAULT GAMME D - CAISSE FRIGORIFIQUE / PENDERIE VIANDE / HAYON</t>
  </si>
  <si>
    <t>\\petitforestier.fr\siege\Applications\BaseProduits\Datas\Publipostage\Images\PUBLICATION - EURO 6\PLAN VEHICULES\RENAULT_D10.210CF03.jpg</t>
  </si>
  <si>
    <t>D10.240 CF</t>
  </si>
  <si>
    <t>M_D_240-€VI-E_BVA-OPTISHIFT</t>
  </si>
  <si>
    <t>D12.210 CF</t>
  </si>
  <si>
    <t>CH_D_245-70R19-5_GSRII</t>
  </si>
  <si>
    <t>HL_RT_DH-SM15_1500kg-CG750_1700mm-2300mm_Vbatt</t>
  </si>
  <si>
    <t>\\petitforestier.fr\siege\Applications\BaseProduits\Datas\Publipostage\Images\PUBLICATION - EURO 6\PLAN VEHICULES\RENAULT_D12.210CF01.jpg</t>
  </si>
  <si>
    <t>\\petitforestier.fr\siege\Applications\BaseProduits\Datas\Publipostage\Images\PUBLICATION - EURO 6\PLAN VEHICULES\RENAULT_D12.210CF03.jpg</t>
  </si>
  <si>
    <t>D12.240 CF</t>
  </si>
  <si>
    <t>D12.250 CF</t>
  </si>
  <si>
    <t>M_D_250-€VI-E_BVA-OPTISHIFT</t>
  </si>
  <si>
    <t>D14.210 CF</t>
  </si>
  <si>
    <t>CH_D_285-70R19-5_GSRII</t>
  </si>
  <si>
    <t>HL_RT_DH-SM20_2000kg-CG750_1700mm-2400mm_Vbatt</t>
  </si>
  <si>
    <t>\\petitforestier.fr\siege\Applications\BaseProduits\Datas\Publipostage\Images\PUBLICATION - EURO 6\PLAN VEHICULES\RENAULT_D14.210CF01.jpg</t>
  </si>
  <si>
    <t>\\petitforestier.fr\siege\Applications\BaseProduits\Datas\Publipostage\Images\PUBLICATION - EURO 6\PLAN VEHICULES\RENAULT_D14.210PCF02_TKT1000-Spec.jpg</t>
  </si>
  <si>
    <t>\\petitforestier.fr\siege\Applications\BaseProduits\Datas\Publipostage\Images\PUBLICATION - EURO 6\PLAN VEHICULES\RENAULT_D14.210CF03.jpg</t>
  </si>
  <si>
    <t>D14.240 CF</t>
  </si>
  <si>
    <t>D14.250 CF</t>
  </si>
  <si>
    <t>D16.210 CF</t>
  </si>
  <si>
    <t>\\petitforestier.fr\siege\Applications\BaseProduits\Datas\Publipostage\Images\PUBLICATION - EURO 6\PLAN VEHICULES\RENAULT_D16.210CF01.jpg</t>
  </si>
  <si>
    <t>D16.240 CF</t>
  </si>
  <si>
    <t>D16.250 CF</t>
  </si>
  <si>
    <t>\\petitforestier.fr\siege\Applications\BaseProduits\Datas\Publipostage\Images\PUBLICATION - EURO 6\PLAN VEHICULES\RENAULT_D16.210CF03.jpg</t>
  </si>
  <si>
    <t>D16.280 CF</t>
  </si>
  <si>
    <t>M_D_280-€VI-E_BVA-OPTISHIFT</t>
  </si>
  <si>
    <t>D16.320 CF</t>
  </si>
  <si>
    <t>M_D_320-€VI-E_BVA-OPTISHIFT</t>
  </si>
  <si>
    <t>GAMME D E-TECH</t>
  </si>
  <si>
    <t>D16.185 CF E</t>
  </si>
  <si>
    <t>RENAULT GAMME D E-TECH - CAISSE FRIGORIFIQUE / MONO TEMP. / HAYON</t>
  </si>
  <si>
    <t>C_DZE_2.1_CLIM_Rang.Tunel_Sam.</t>
  </si>
  <si>
    <t>M_D16.ZE_3x94kWh_AC43kW _ Smart-Câble</t>
  </si>
  <si>
    <t>CH_DZE_285-70R19-5_GSRII</t>
  </si>
  <si>
    <t>CF_150_160_C1_Plint-Inox_DZE_PrPavHE</t>
  </si>
  <si>
    <t>GF_SYBERIA11_2160mm_Cable10m</t>
  </si>
  <si>
    <t>RENAULT GAMME D E-TECH - CAISSE FRIGORIFIQUE / MULTI TEMP. / HAYON</t>
  </si>
  <si>
    <t>GF_SYBERIA14_2160mm_Cable10m</t>
  </si>
  <si>
    <t>\\petitforestier.fr\siege\Applications\BaseProduits\Datas\Publipostage\Images\PUBLICATION - EURO 6\PLAN VEHICULES\RENAULT_D16.210CF02.jpg</t>
  </si>
  <si>
    <t>D19.280 CF (18 Pal.)</t>
  </si>
  <si>
    <t>RENAULT GAMME D WIDE - CAISSE FRIGORIFIQUE / MONO TEMP. / HAYON</t>
  </si>
  <si>
    <t>C_D_2.3_CLIM_Rang.Tunel_Sam.</t>
  </si>
  <si>
    <t>M_D_280-€VI-E_BVR-OPTIDRIVER</t>
  </si>
  <si>
    <t>CH_D_4x2_315-80R22-5_GSRII</t>
  </si>
  <si>
    <t>\\petitforestier.fr\siege\Applications\BaseProduits\Datas\Publipostage\Images\PUBLICATION - EURO 6\PLAN VEHICULES\RENAULT_D19.250CF01.jpg</t>
  </si>
  <si>
    <t>\\petitforestier.fr\siege\Applications\BaseProduits\Datas\Publipostage\Images\PUBLICATION - EURO 6\PLAN VEHICULES\RENAULT_D19.250CF02.jpg</t>
  </si>
  <si>
    <t>RENAULT GAMME D WIDE - CAISSE FRIGORIFIQUE / PENDERIE VIANDE / HAYON</t>
  </si>
  <si>
    <t>\\petitforestier.fr\siege\Applications\BaseProduits\Datas\Publipostage\Images\PUBLICATION - EURO 6\PLAN VEHICULES\RENAULT_D19.250CF03.jpg</t>
  </si>
  <si>
    <t>D19.280 CF (21 Pal.)</t>
  </si>
  <si>
    <t>D19.320 CF (18 Pal.)</t>
  </si>
  <si>
    <t>M_D_320-€VI-E_BVR-OPTIDRIVER</t>
  </si>
  <si>
    <t>D19.320 CF (21 Pal.)</t>
  </si>
  <si>
    <t>D19.380 CF (18 Pal.)</t>
  </si>
  <si>
    <t>M_D_380-€VI-E_BVR-OPTIDRIVER</t>
  </si>
  <si>
    <t>D19.380 CF (21 Pal.)</t>
  </si>
  <si>
    <t>D26.320 CF (23 Pal.)</t>
  </si>
  <si>
    <t>CH_D_6x2_315-80R22-5_GSRII_3EssArDir</t>
  </si>
  <si>
    <t>CF_260_C1_Plint-Inox_PrPavHE</t>
  </si>
  <si>
    <t>GF_SHE13-R2S_3074_2040mm_Cable10m</t>
  </si>
  <si>
    <t>\\petitforestier.fr\siege\Applications\BaseProduits\Datas\Publipostage\Images\PUBLICATION - EURO 6\PLAN VEHICULES\RENAULT_D26.320CF01.jpg</t>
  </si>
  <si>
    <t>CF_260_C2_Plint-Inox_PrPavHE</t>
  </si>
  <si>
    <t>GF_SHE13-MT_2160mm_Cable10m</t>
  </si>
  <si>
    <t>\\petitforestier.fr\siege\Applications\BaseProduits\Datas\Publipostage\Images\PUBLICATION - EURO 6\PLAN VEHICULES\RENAULT_D26.320CF02.jpg</t>
  </si>
  <si>
    <t>D26.380 CF (23 Pal.)</t>
  </si>
  <si>
    <t>D26.430 CF (23 Pal.)</t>
  </si>
  <si>
    <t>M_D_430-€VI-E_BVR-OPTIDRIVER</t>
  </si>
  <si>
    <t>T19.430 TR</t>
  </si>
  <si>
    <t>C_T_CLIM-AUTO_Sam.</t>
  </si>
  <si>
    <t>M_T_430-€VI-E_225Ah_BVR-OPTIDRIVER</t>
  </si>
  <si>
    <t>CH_T_315-70R22-5_GSRII</t>
  </si>
  <si>
    <t>T19.460 TR</t>
  </si>
  <si>
    <t>M_T_460-€VI-E_225Ah</t>
  </si>
  <si>
    <t>CH_SREM_385-65R22-5_3_essieu-av-rel_GSRII_Sam.</t>
  </si>
  <si>
    <t>CF_SREM01</t>
  </si>
  <si>
    <t>GF_V-HE19-CHEREAU</t>
  </si>
  <si>
    <t>CF_SREM03_PrPavHE</t>
  </si>
  <si>
    <t>HL_RT_DH-SMR20_2000kg-CG750_1800mm-2400mm_Vbatt</t>
  </si>
  <si>
    <t>SEMI REMORQUE - CAISSE FRIGORIFIQUE / MULTI TEMP.</t>
  </si>
  <si>
    <t>CF_SREM02</t>
  </si>
  <si>
    <t>GF_V-HE19MT-CHEREAU_2360mm</t>
  </si>
  <si>
    <t>SEMI REMORQUE - CAISSE FRIGORIFIQUE / MULTI TEMP. / HAYON</t>
  </si>
  <si>
    <t>CF_SREM04_PrPavHE</t>
  </si>
  <si>
    <t>SD Services</t>
  </si>
  <si>
    <t>DBOFS</t>
  </si>
  <si>
    <t>FIAT DOBLO VAN M - FOURGON SEC</t>
  </si>
  <si>
    <t>C_DOBLO-VAN_Série3_CLIM-MAN_PHiver_Cam_Sam.Paccess</t>
  </si>
  <si>
    <t>FS_DOBLO_SdServices</t>
  </si>
  <si>
    <t>\\petitforestier.fr\siege\Applications\BaseProduits\Datas\Publipostage\Images\PUBLICATION - SEC - HYGIENE - EURO 6\PLAN VEHICULES\PLANS 2014\FIAT\DOBLO_FS.jpg</t>
  </si>
  <si>
    <t>SCOFS</t>
  </si>
  <si>
    <t>FIAT SCUDO LONG - FOURGON SEC</t>
  </si>
  <si>
    <t>C_SCUDO-FGT-Série3_Sam.Paccess_Rad+Cam.10''HD</t>
  </si>
  <si>
    <t>FS_SCUDO_SdServices</t>
  </si>
  <si>
    <t>\\petitforestier.fr\siege\Applications\BaseProduits\Datas\Publipostage\Images\PUBLICATION - SEC - HYGIENE - EURO 6\PLAN VEHICULES\PLANS 2014\FIAT\SCUDO_FS_NB.jpg</t>
  </si>
  <si>
    <t>DCOFS</t>
  </si>
  <si>
    <t>FIAT DUCATO L3H2 - FOURGON SEC</t>
  </si>
  <si>
    <t>C_DUCATO_FGT_MY2025_CLIM-MAN_Ecran7''_Cam._Sam.Paccess</t>
  </si>
  <si>
    <t>FS_DUCATO_SdServices_270</t>
  </si>
  <si>
    <t>\\petitforestier.fr\siege\Applications\BaseProduits\Datas\Publipostage\Images\PUBLICATION - SEC - HYGIENE\\PLAN VEHICULES\\FIAT_DUCATO_DCOFS-FH03-LH2.jpg</t>
  </si>
  <si>
    <t>FIAT DUCATO L3H3 - FOURGON SEC</t>
  </si>
  <si>
    <t>\\petitforestier.fr\siege\Applications\BaseProduits\Datas\Publipostage\Images\PUBLICATION - SEC - HYGIENE\\PLAN VEHICULES\\FIAT_DUCATO_DCOFS-FH-LH3.jpg</t>
  </si>
  <si>
    <t>TCFS</t>
  </si>
  <si>
    <t>RENAULT TRAFIC L2H1 - FOURGON SEC</t>
  </si>
  <si>
    <t>C_TRAFIC_CLIM-MAN_Sam.Paccess</t>
  </si>
  <si>
    <t>FS_TRAFIC_SdServices</t>
  </si>
  <si>
    <t>\\petitforestier.fr\siege\Applications\BaseProduits\Datas\Publipostage\Images\PUBLICATION - SEC - HYGIENE - EURO 6\PLAN VEHICULES\PLANS 2014\FIAT-RENAULT\FIAT TALENTO-RENAULT TRAFFIC FS L2H1.jpg</t>
  </si>
  <si>
    <t>MASTER</t>
  </si>
  <si>
    <t>MRFS</t>
  </si>
  <si>
    <t>RENAULT MASTER L2H2 - FOURGON SEC</t>
  </si>
  <si>
    <t>C_MASTER_CLIM-MAN_Sam.Paccess</t>
  </si>
  <si>
    <t>M_MASTER_2,0_150-€VI-E</t>
  </si>
  <si>
    <t>CH_MASTER-FGT_215-R16_GSRII_ADB25_80L</t>
  </si>
  <si>
    <t>FS_MASTER_SdServices_270</t>
  </si>
  <si>
    <t>\\petitforestier.fr\siege\Applications\BaseProduits\Datas\Publipostage\Images\PUBLICATION - SEC - HYGIENE - EURO 6\PLAN VEHICULES\PLANS 2014\FIAT-RENAULT\RENAULT_MASTER_MRFS-FH-L2H2_869.jpg</t>
  </si>
  <si>
    <t>RENAULT MASTER L3H2 - FOURGON SEC</t>
  </si>
  <si>
    <t>CORSIN</t>
  </si>
  <si>
    <t>MRCS</t>
  </si>
  <si>
    <t>RENAULT MASTER - CAISSE MESSAGERIE</t>
  </si>
  <si>
    <t>18,9</t>
  </si>
  <si>
    <t>C_MASTER-RED_CLIM-MAN_Cam._Sam.Paccess</t>
  </si>
  <si>
    <t>M_MASTER-RED_2,0_150_230A_Bat95-€VI-E</t>
  </si>
  <si>
    <t>CH_MASTER-RED-PC_215-65R16_GSRII_ADB25,5</t>
  </si>
  <si>
    <t>CS_MASTER_CORSIN-C1</t>
  </si>
  <si>
    <t>\\petitforestier.fr\siege\Applications\BaseProduits\Datas\Publipostage\Images\PUBLICATION - SEC - HYGIENE - EURO 6\PLAN VEHICULES\PLANS 2014\FIAT-RENAULT\RENAULT_MASTER_MRCS-01.jpg</t>
  </si>
  <si>
    <t>35C14 CS</t>
  </si>
  <si>
    <t>IVECO DAILY - CAISSE MESSAGERIE</t>
  </si>
  <si>
    <t>C_DAILY_3.5_06-2019_CLIM-MAN_Sam.Paccess</t>
  </si>
  <si>
    <t>CH_DAILY-CC_35C_195-75R16_GSRII_86L_HELPER_ADB_SsRS</t>
  </si>
  <si>
    <t>CS_DAILY_REGNAULT_C1_Soub-Alu</t>
  </si>
  <si>
    <t>\\petitforestier.fr\siege\Applications\BaseProduits\Datas\Publipostage\Images\PUBLICATION - SEC - HYGIENE - EURO 6\PLAN VEHICULES\PLANS 2014\IVECO\35C_CS01.jpg</t>
  </si>
  <si>
    <t>C_DAILY_3.5_06-2019_CS03_CLIM-MAN_Rad+Cam._Sam.Paccess</t>
  </si>
  <si>
    <t>CS_DAILY_REGNAULT-C3_Soub-Alu</t>
  </si>
  <si>
    <t>HL_RB_DH-LMA08_ALU_750kg-CG600_1600mm_CS-CH</t>
  </si>
  <si>
    <t>\\petitforestier.fr\siege\Applications\BaseProduits\Datas\Publipostage\Images\PUBLICATION - SEC - HYGIENE - EURO 6\PLAN VEHICULES\PLANS 2014\IVECO\35C_CS03.jpg</t>
  </si>
  <si>
    <t>IVECO DAILY - CAISSE DEMENAGEMENT / HAYON</t>
  </si>
  <si>
    <t>CS_DAILY_REGNAULT-C4_Soub-Alu</t>
  </si>
  <si>
    <t>\\petitforestier.fr\siege\Applications\BaseProduits\Datas\Publipostage\Images\PUBLICATION - SEC - HYGIENE - EURO 6\PLAN VEHICULES\PLANS 2014\IVECO\35C_CS04.jpg</t>
  </si>
  <si>
    <t>42S14 E CS</t>
  </si>
  <si>
    <t>IVECO DAILY ELECTRIQUE - CAISSE MESSAGERIE / HAYON</t>
  </si>
  <si>
    <t>C_E-DAILY_3.5_CS03_CLIM-AUTO_SS-Chrono_Rad+Cam._Sam.Paccess</t>
  </si>
  <si>
    <t>CH_E-DAILY-CC_42S_235-65R16_GSRII_RS</t>
  </si>
  <si>
    <t>\\petitforestier.fr\siege\Applications\BaseProduits\Datas\Publipostage\Images\PUBLICATION - SEC - HYGIENE - EURO 6\PLAN VEHICULES\PLANS 2014\IVECO\35S_CS01.jpg</t>
  </si>
  <si>
    <t>IVECO DAILY ELECTRIQUE - CAISSE DEMENAGEMENT / HAYON</t>
  </si>
  <si>
    <t>C_E-DAILY_3.5_CLIM-AUTO_SS-Chrono_Sam.Paccess</t>
  </si>
  <si>
    <t>\\petitforestier.fr\siege\Applications\BaseProduits\Datas\Publipostage\Images\PUBLICATION - SEC - HYGIENE - EURO 6\PLAN VEHICULES\PLANS 2014\IVECO\35S_CS04.jpg</t>
  </si>
  <si>
    <t>42C14 E CS</t>
  </si>
  <si>
    <t>IVECO DAILY ELECTRIQUE - CAISSE MESSAGERIE</t>
  </si>
  <si>
    <t>CH_E-DAILY-CC_42C_195-75R16_HELPER_GSRII_RS</t>
  </si>
  <si>
    <t>IVECO DAILY ELECTRIQUE - CAISSE DEMENAGEMENT</t>
  </si>
  <si>
    <t>CS_DAILY_REGNAULT-C2-3,5mm_Soub-Alu</t>
  </si>
  <si>
    <t>\\petitforestier.fr\siege\Applications\BaseProduits\Datas\Publipostage\Images\PUBLICATION - SEC - HYGIENE - EURO 6\PLAN VEHICULES\PLANS 2014\IVECO\35C_CS02.jpg</t>
  </si>
  <si>
    <t>72C14 E CS</t>
  </si>
  <si>
    <t>C_E-DAILY_+3.5_06-2019_CLIM-AUTO_Sam.Paccess</t>
  </si>
  <si>
    <t>M_E-DAILY_140 kW_105kWh_TdBKm_ST</t>
  </si>
  <si>
    <t>CS_DAILY+_C4-3,5mm</t>
  </si>
  <si>
    <t>HL_RB_DH-LMA10_ALU_750kg-CG750_1600mm_CS-CH</t>
  </si>
  <si>
    <t>\\petitforestier.fr\siege\Applications\BaseProduits\Datas\Publipostage\Images\PUBLICATION - SEC - HYGIENE - EURO 6\PLAN VEHICULES\PLANS 2014\IVECO\70C_CS04.jpg</t>
  </si>
  <si>
    <t>C_E-DAILY_+3.5_06-2019_CS03_CLIM-AUTO_Sam.Paccess</t>
  </si>
  <si>
    <t>CS_DAILY+_REGNAULT-C3</t>
  </si>
  <si>
    <t>\\petitforestier.fr\siege\Applications\BaseProduits\Datas\Publipostage\Images\PUBLICATION - SEC - HYGIENE - EURO 6\PLAN VEHICULES\PLANS 2014\IVECO\70C_CS03.jpg</t>
  </si>
  <si>
    <t>H04</t>
  </si>
  <si>
    <t>72C18 CS</t>
  </si>
  <si>
    <t>C_DAILY_+3.5_06-2019_CLIM-MAN_Rad+Cam._Sam.Paccess</t>
  </si>
  <si>
    <t>CH_DAILY-CC_70C_225-75R16_HELPER_GSRII_120L</t>
  </si>
  <si>
    <t>75E19 CS</t>
  </si>
  <si>
    <t>C_EUROCARGO_CLIM_DAB_Rang.Tunel_Sam.Paccess</t>
  </si>
  <si>
    <t>CH_EUROCARGO_215-75R17-5_GSRII_Susp.Pneu.</t>
  </si>
  <si>
    <t>CS_75-80_REGNAULT-C1</t>
  </si>
  <si>
    <t>HL_RB_DH-LMA15-CG750_ALU_1000kg_1600mm_CS-CH</t>
  </si>
  <si>
    <t>\\petitforestier.fr\siege\Applications\BaseProduits\Datas\Publipostage\Images\PUBLICATION - SEC - HYGIENE - EURO 6\\PLAN VEHICULES\\PLANS 2014\\IVECO\\75E_CS01.jpg</t>
  </si>
  <si>
    <t>IVECO EUROCARGO - CAISSE DEMENAGEMENT / HAYON</t>
  </si>
  <si>
    <t>C_EUROCARGO Dem._CLIM_DAB_Rang.Tunel_Sam.Paccess</t>
  </si>
  <si>
    <t>CS_75-80_REGNAULT-C2</t>
  </si>
  <si>
    <t>\\petitforestier.fr\siege\Applications\BaseProduits\Datas\Publipostage\Images\PUBLICATION - SEC - HYGIENE - EURO 6\\PLAN VEHICULES\\PLANS 2014\\IVECO\\75E_CS02.jpg</t>
  </si>
  <si>
    <t>100E19 CS</t>
  </si>
  <si>
    <t>CH_EUROCARGO_225-75R17-5_GSRII_Susp-pneu.</t>
  </si>
  <si>
    <t>CS_100_REGNAULT-C1</t>
  </si>
  <si>
    <t>HL_RB_ACI_DHLM15-CG750_1000kg_1750mm_CS</t>
  </si>
  <si>
    <t>\\petitforestier.fr\siege\Applications\BaseProduits\Datas\Publipostage\Images\PUBLICATION - SEC - HYGIENE - EURO 6\\PLAN VEHICULES\\PLANS 2014\\IVECO\\100E_CS01.jpg</t>
  </si>
  <si>
    <t>CS_100_120_REGNAULT-C2</t>
  </si>
  <si>
    <t>\\petitforestier.fr\siege\Applications\BaseProduits\Datas\Publipostage\Images\PUBLICATION - SEC - HYGIENE - EURO 6\\PLAN VEHICULES\\PLANS 2014\\IVECO\\100E_CS02.jpg</t>
  </si>
  <si>
    <t>D12.210 CS</t>
  </si>
  <si>
    <t>C_D_2.1_CLIM_Rang.Tunel_Sam.Paccess</t>
  </si>
  <si>
    <t>CS_120_REGNAULT-C1</t>
  </si>
  <si>
    <t>HL_RB_ACI_DHLM15-CG750_1500kg_1750mm_CS</t>
  </si>
  <si>
    <t>\\petitforestier.fr\siege\Applications\BaseProduits\Datas\Publipostage\Images\PUBLICATION - SEC - HYGIENE - EURO 6\\PLAN VEHICULES\\PLANS 2014\\RENAULT\\D12.210 CS 01.jpg</t>
  </si>
  <si>
    <t>RENAULT GAMME D - CAISSE DEMENAGEMENT / HAYON</t>
  </si>
  <si>
    <t>C_D_2.1 Dem._CLIM_Rang.Tunel_Sam.Paccess</t>
  </si>
  <si>
    <t>\\petitforestier.fr\siege\Applications\BaseProduits\Datas\Publipostage\Images\PUBLICATION - SEC - HYGIENE - EURO 6\\PLAN VEHICULES\\PLANS 2014\\RENAULT\\D12.210 CS 02.jpg</t>
  </si>
  <si>
    <t>D16.240 CS</t>
  </si>
  <si>
    <t>CS_160_REGNAULT-C1</t>
  </si>
  <si>
    <t>HL_RB_ACI_DHLM20-CG1000_2000kg_1750mm_CS</t>
  </si>
  <si>
    <t>\\petitforestier.fr\siege\Applications\BaseProduits\Datas\Publipostage\Images\PUBLICATION - SEC - HYGIENE - EURO 6\\PLAN VEHICULES\\PLANS 2014\\RENAULT\\D16.210 CS 01.jpg</t>
  </si>
  <si>
    <t>CS_160_REGNAULT-C2</t>
  </si>
  <si>
    <t>\\petitforestier.fr\siege\Applications\BaseProduits\Datas\Publipostage\Images\PUBLICATION - SEC - HYGIENE - EURO 6\\PLAN VEHICULES\\PLANS 2014\\RENAULT\\D16.210 CS 02.jpg</t>
  </si>
  <si>
    <t>D19.280 CS</t>
  </si>
  <si>
    <t>C_D_2.3_CLIM_Rang.Tunel_Sam.Paccess</t>
  </si>
  <si>
    <t>M_D_280-€VI-E</t>
  </si>
  <si>
    <t>CS_190_REGNAULT-C1</t>
  </si>
  <si>
    <t>\\petitforestier.fr\siege\Applications\BaseProduits\Datas\Publipostage\Images\PUBLICATION - SEC - HYGIENE - EURO 6\\PLAN VEHICULES\\PLANS 2014\\RENAULT\\D19.280 CS 01.jpg</t>
  </si>
  <si>
    <t>C_D_2.3 Dem._CLIM_Rang.Tunel_Sam.Paccess</t>
  </si>
  <si>
    <t>CS_190_REGNAULT-C2</t>
  </si>
  <si>
    <t>\\petitforestier.fr\siege\Applications\BaseProduits\Datas\Publipostage\Images\PUBLICATION - SEC - HYGIENE - EURO 6\\PLAN VEHICULES\\PLANS 2014\\RENAULT\\D19.280 CS 02.jpg</t>
  </si>
  <si>
    <t>T19.430 TR - ST</t>
  </si>
  <si>
    <t>C_T_CLIM-AUTO_Sam.Paccess</t>
  </si>
  <si>
    <t>M_T_430-€VI-E_225Ah</t>
  </si>
  <si>
    <t>T19.460 TR - ST</t>
  </si>
  <si>
    <t>SE_ZR</t>
  </si>
  <si>
    <t>SE_ZR_NV2025</t>
  </si>
  <si>
    <t>SE_ZR_EPISAVEURS</t>
  </si>
  <si>
    <t>2 places</t>
  </si>
  <si>
    <t>Pack Hiver : Pare-brise chauffant</t>
  </si>
  <si>
    <t>Vitres électriques</t>
  </si>
  <si>
    <t>Airbags Conducteur et Passager : Frontaux, Latéraux, Rideaux</t>
  </si>
  <si>
    <t>Radio numérique DAB sur tablette tactile 10" couleur avec Android Auto™ et Apple CarPlay®</t>
  </si>
  <si>
    <t>Pack Hiver : Siège conducteur chauffant confort avec accoudoir (réglage en hauteur et réglage lombaire) et siège passager chauffant</t>
  </si>
  <si>
    <t>Régulateur et limiteur de vitesse</t>
  </si>
  <si>
    <t>Pack Hiver : Volant cuir multifonctions réglable en hauteur et en profondeur</t>
  </si>
  <si>
    <t>Prise 12V sur planche de bord</t>
  </si>
  <si>
    <t xml:space="preserve">Détection de sous gonflage </t>
  </si>
  <si>
    <t>Allumage automatique des feux de croisement et Commutation</t>
  </si>
  <si>
    <t>Pack Access SAMSARA</t>
  </si>
  <si>
    <t>Rétroviseurs extérieurs dégivrants</t>
  </si>
  <si>
    <t>Siège conducteur avec réglage en longueur et dossier inclinable</t>
  </si>
  <si>
    <t>Airbags frontaux conducteur et passager</t>
  </si>
  <si>
    <t>Easy link avec écran 8" sans navigation</t>
  </si>
  <si>
    <t xml:space="preserve">Siège conducteur réglable en hauteur avec accoudoir </t>
  </si>
  <si>
    <t xml:space="preserve">Déflecteur de cabine </t>
  </si>
  <si>
    <t>3 places</t>
  </si>
  <si>
    <t>Airbags frontaux (conducteur et passager)</t>
  </si>
  <si>
    <t>Radio DAB Bluetooth® avec écran tactile 5'' monochrome + 4 HP (2 tweeters + 2 woofers) + 1 prise USB-A</t>
  </si>
  <si>
    <t>Siège conducteur individuel avec appui-tête réglable en hauteur et avec accoudoir / Réglages : longueur, inclinaison, réhausse et lombaire</t>
  </si>
  <si>
    <t>Volant réglable en hauteur et en profondeur</t>
  </si>
  <si>
    <t>Allumage automatique des feux de croisement et des essuie-vitres avant</t>
  </si>
  <si>
    <t>Ecran tactile 10''HD couleur avec Apple CarPlay® et Android auto™ sans fil</t>
  </si>
  <si>
    <t>Airbag conducteur / Double airbag passager</t>
  </si>
  <si>
    <t>Pack Techno 7'' (C7D) : Ecran 7'' couleur avec Apple CarPlay® et Android Auto™ sans fil - Double port USB</t>
  </si>
  <si>
    <t>Siège conducteur avec réglage en hauteur, réglagle lombaire et accoudoir</t>
  </si>
  <si>
    <t>Capteur de pression des pneumatiques (TPMS indirect)</t>
  </si>
  <si>
    <t>Ecran tactile 7 pouces multimédia avec radio DAB</t>
  </si>
  <si>
    <t>Siège conducteur suspendu pneumatique</t>
  </si>
  <si>
    <t xml:space="preserve">Rangement ouvert ou coffre sur tunnel moteur </t>
  </si>
  <si>
    <t>Régulateur de vitesse adaptatif</t>
  </si>
  <si>
    <t>Rétroviseurs électriques et dégivrants / Pare-brise chauffant</t>
  </si>
  <si>
    <t>Siège conducteur suspendu pneumatique et chauffant</t>
  </si>
  <si>
    <t>Porte vision côté passager</t>
  </si>
  <si>
    <t>Coffre sur tunnel moteur</t>
  </si>
  <si>
    <t>Radio CD/MP3 / USB avec cmde au volant</t>
  </si>
  <si>
    <t>Prises 12V et 24V</t>
  </si>
  <si>
    <t>Phares antibrouillard</t>
  </si>
  <si>
    <t>Cabine profonde Sleeper Cab</t>
  </si>
  <si>
    <t>Chauffage autonome air/air</t>
  </si>
  <si>
    <t>Climatisation automatique</t>
  </si>
  <si>
    <t>Déflecteurs de toit réglable et latéraux ouvrants</t>
  </si>
  <si>
    <t>Radio USB avec cmde au volant</t>
  </si>
  <si>
    <t>Siège conducteur réglable aux lombaires avec accoudoir</t>
  </si>
  <si>
    <t>Airbags conducteur et passager</t>
  </si>
  <si>
    <t xml:space="preserve">Radio Open R link écran 8 pouces  </t>
  </si>
  <si>
    <t>Rétroviseurs électriques et dégivrants (bras long)</t>
  </si>
  <si>
    <t>Radio / USB avec cmde au volant</t>
  </si>
  <si>
    <t>Siège conducteur réglable en hauteur</t>
  </si>
  <si>
    <t>Ecran multimedia 10,1" avec réplication Smartphone sans fil.</t>
  </si>
  <si>
    <t>Siège conducteur réglable en profondeur, hauteur et inclinaison, avec appuie-tête et accoudoirs</t>
  </si>
  <si>
    <t xml:space="preserve">Rétroviseurs électriques et dégivrants </t>
  </si>
  <si>
    <t>Radio multimédia avec écran de 10,1 pouces/avec cmde au volant</t>
  </si>
  <si>
    <t xml:space="preserve">Radar de recul </t>
  </si>
  <si>
    <t>Prise 12V + 2 prises USB dans rangement au-dessus du volant</t>
  </si>
  <si>
    <t xml:space="preserve">1 extincteur de 2 kg en cabine </t>
  </si>
  <si>
    <t xml:space="preserve">Système d'adaptation de la vitesse (Lecture des panneaux) </t>
  </si>
  <si>
    <t>Système d'assistance de maintien dans la voie</t>
  </si>
  <si>
    <t>Capteurs de pression des pneumatiques TPMS</t>
  </si>
  <si>
    <t>My Iveco radio tactile 7 pouces</t>
  </si>
  <si>
    <t>Siège conducteur suspendu</t>
  </si>
  <si>
    <t>Régulateur et Limiteur de vitesse réglable électronique</t>
  </si>
  <si>
    <t>Sans Chronotachygraphe (Chronotachygraphe obligatoire si le client roule au-delà d’un rayon de 100 km autour du lieu d'établissement de l'entreprise)</t>
  </si>
  <si>
    <t xml:space="preserve">Verrouillage centralisé à distance avec prédisposition pour carrosserie </t>
  </si>
  <si>
    <t>Airbags conducteur</t>
  </si>
  <si>
    <t>Multimédia : Easy link avec écran 8”</t>
  </si>
  <si>
    <t>Siège conducteur réglable en Hauteur</t>
  </si>
  <si>
    <t>Pack Easy Park (aide au parking avant et arrière</t>
  </si>
  <si>
    <t>Régulateur / limitateur de vitesse (avec freinage en
descente)</t>
  </si>
  <si>
    <t>Avertisseur sonore piétons</t>
  </si>
  <si>
    <t>Isolation renforcée LECAPITAINE</t>
  </si>
  <si>
    <t>2 portes arrière ouverture totale (porte droite prioritaire)</t>
  </si>
  <si>
    <t>Escabeau arrière coulissant 3 marches</t>
  </si>
  <si>
    <t>Plancher : Antidérapant sans passages de roues avec 2 siphons d'évacuation</t>
  </si>
  <si>
    <t>2 plafonniers à LED avec temporisation</t>
  </si>
  <si>
    <t>1 niveau de rail d'arrimage en acier galvanisé D + G à 1100 mm du plancher</t>
  </si>
  <si>
    <t>Protection bas de parois sur 445 mm de haut</t>
  </si>
  <si>
    <t>1 Prise de hayon pour commande filaire au pavillon à l’arrière droit</t>
  </si>
  <si>
    <t>Porte latérale battante 1000 mm x 1950 mm à 105 mm à l'avant droit</t>
  </si>
  <si>
    <t>Etrier latéral escamotable 3 marches avec buzzer en cabine</t>
  </si>
  <si>
    <t>Cloison mobile relevable</t>
  </si>
  <si>
    <t>1 Rideau coulissant à lanières aux portes arrières et 1 rideau fixe à lanières à la porte latérale</t>
  </si>
  <si>
    <t>Protection évaporateur Av et Ar</t>
  </si>
  <si>
    <t>Tôlage des portes arrières en aluminium</t>
  </si>
  <si>
    <t>Protection bas de parois latérale en inox de 450 mm de haut et face avant en inox de 455 mm de haut</t>
  </si>
  <si>
    <t>Cadre arrière renforcé avec butoirs à rouleaux</t>
  </si>
  <si>
    <t>Plancher antidérapant sans passages de roues avec 2 siphons d'évacuation</t>
  </si>
  <si>
    <t>3 plafonniers à LED avec temporisation</t>
  </si>
  <si>
    <t>Escabeau arrière coulissant 4 marches</t>
  </si>
  <si>
    <t>1 Porte arrière 900 mm x 1500 mm</t>
  </si>
  <si>
    <t>Marchepied fixe 1 marche</t>
  </si>
  <si>
    <t>Plancher : Antidérapant avec passages de roues (largeur entre passages de roues : 1105 mm mm) avec 1 siphon d'évacuation</t>
  </si>
  <si>
    <t>1 plafonnier à LED avec temporisation</t>
  </si>
  <si>
    <t>Protection bas de parois sur 200 mm de haut</t>
  </si>
  <si>
    <t>2 Portes arrière 1100 mm x 1580 mm</t>
  </si>
  <si>
    <t>Plancher : Antidérapant sans passages de roues avec 1 siphon d'évacuation</t>
  </si>
  <si>
    <t>Protection bas de parois sur 245 mm de haut</t>
  </si>
  <si>
    <t>Plancher : Antidérapant sans passages de roues avec 2 siphons d'évacuation (avant droit + arrière droit)</t>
  </si>
  <si>
    <t>1 Rideau coulissant à lanières aux portes arrières</t>
  </si>
  <si>
    <t>1 niveau de rail d'arrimage en acier galvanisé D + G à 900 mm du plancher</t>
  </si>
  <si>
    <t>Escabeau arrière coulissant 2 marches</t>
  </si>
  <si>
    <t>Faux châssis allégé RigidLink</t>
  </si>
  <si>
    <t>2 portes arrière 1100 mm x 1880 mm</t>
  </si>
  <si>
    <t>Plancher : Antidérapant avec passages de roues (largeur entre passages de roues : 1250 mm) avec 2 siphons d'évacuation</t>
  </si>
  <si>
    <t>Escabeau arrière coulissant 5 marches</t>
  </si>
  <si>
    <t>Pavillon porteur avec 4 barres fixes et dents de loup</t>
  </si>
  <si>
    <t>Protections évaporateurs Av. et AR.</t>
  </si>
  <si>
    <t>Isolation renforcée caisse URBAN LECAPITAINE</t>
  </si>
  <si>
    <t>2 portes arrière ouverture totale (porte droite prioritaire) avec fermeture centralisée et blocage à 270° aimanté SIMPLE LOCK</t>
  </si>
  <si>
    <t xml:space="preserve">1 plafonnier à LED avec détecteur de présence </t>
  </si>
  <si>
    <t xml:space="preserve">Profil de caisse Aéro URBAN </t>
  </si>
  <si>
    <t>Phare de travail par bandeau arrière lumineux pour éclairage de la zone de travail (commandé à l’ouverture de porte)</t>
  </si>
  <si>
    <t>Cadre arrière 3 vantaux simplifiés avec porte centrale de largeur 1000 mm</t>
  </si>
  <si>
    <t>Cadre arrière 3 vantaux simplifiés avec porte centrale de largeur 1000 mm avec fermeture centralisée et blocage à 270° aimanté SIMPLE LOCK</t>
  </si>
  <si>
    <t>Pavillon porteur avec 3 barres fixes et dents de loup</t>
  </si>
  <si>
    <t>Porte latérale battante 1000 mm x 1850 mm à 105 mm à l'avant droit</t>
  </si>
  <si>
    <t>Porte latérale battante 1000 mm x 1850 mm à 450 mm de l'avant droit avec déverrouillage interne</t>
  </si>
  <si>
    <t>1 niveau de rail d'arrimage en aluminium D + G à 900 mm du plancher</t>
  </si>
  <si>
    <t>Porte latérale battante 1000 mm x 1850 mm à 450 mm de l'avant droit</t>
  </si>
  <si>
    <t>Porte latérale battante 1000 mm x 1950 mm à 100 mm de l'avant droit</t>
  </si>
  <si>
    <t xml:space="preserve">2 plafonniers à LED avec détecteur de présence </t>
  </si>
  <si>
    <t>1 rideau coulissant à lanières aux portes arrières et 1 rideau fixe à lanières à la porte latérale</t>
  </si>
  <si>
    <t>Porte latérale battante 1000 mm x 1950 mm à 105 mm de l'avant droit</t>
  </si>
  <si>
    <t>1 Porte arrière 900 mm x 1250 mm</t>
  </si>
  <si>
    <t>Plancher : Antidérapant avec passages de roues (largeur entre passages de roues : 1177 mm) avec 1 siphon d'évacuation</t>
  </si>
  <si>
    <t>1 rideau à lanières fixes à la porte arrière</t>
  </si>
  <si>
    <t>1 plafonnier à LED</t>
  </si>
  <si>
    <t>1 porte arrière 1000 mm x 1880 mm</t>
  </si>
  <si>
    <t>2 portes arrière 1100 mm x 2150 mm</t>
  </si>
  <si>
    <t>Escabeau arrière coulissant</t>
  </si>
  <si>
    <t>Porte latérale battante 1000 mm x 1930 mm à 100 mm à l'avant droit</t>
  </si>
  <si>
    <t>Cloison fixe à 1200 mm de la face avant</t>
  </si>
  <si>
    <t>Rideaux à lanières fixes portes arrière et porte latérale</t>
  </si>
  <si>
    <t>Porte latérale battante 750mm x 1850 mm à 100 mm à l'avant droit</t>
  </si>
  <si>
    <t>1 niveau de rail d'arrimage en acier galvanisé D + G à 900 mm du plancher dans le compartiment arrière</t>
  </si>
  <si>
    <t>1 niveau de rail d'arrimage en acier galvanisé sur face av et cloison à 900 mm du plancher dans le compartiment avant</t>
  </si>
  <si>
    <t>Cloison fixe à 950 mm de la face avant</t>
  </si>
  <si>
    <t>1 porte arrière 900 mm x 1500 mm</t>
  </si>
  <si>
    <t>Plancher : Antidérapant avec passages de roues (largeur entre passages de roues : 1166 mm) avec 1 siphon d'évacuation</t>
  </si>
  <si>
    <t>1 porte arrière 900 mm x 1460 mm avec fermeture à clé</t>
  </si>
  <si>
    <t>1 rideau fixe à lanières anti-déperdition à la porte arrière</t>
  </si>
  <si>
    <t>Caisse Frigorifique : Isolation renforcée LECAPITAINE</t>
  </si>
  <si>
    <t>1 porte arrière avec arrêt de porte à 90°</t>
  </si>
  <si>
    <t xml:space="preserve">Plancher lisse sans passages de roues </t>
  </si>
  <si>
    <t xml:space="preserve">1 siphon d’évacuation </t>
  </si>
  <si>
    <t>1 plafonnier à LED avec contacteur de porte</t>
  </si>
  <si>
    <t>1 caillebotis</t>
  </si>
  <si>
    <t>Compartiment Sec en face avant</t>
  </si>
  <si>
    <t>Dimensions int. utiles : 600 x 474 x 421 (L x l x h) soit 120 Litres environ</t>
  </si>
  <si>
    <t>1 porte latérale côté droit ouverture à 180° à la verticale avec fermeture à clé</t>
  </si>
  <si>
    <t>Feu arrière de gabarit en partie haute</t>
  </si>
  <si>
    <t>Plancher : Antidérapant avec passages de roues (largeur entre passages de roues : 1236 mm) avec 1 siphon d'évacuation</t>
  </si>
  <si>
    <t>Rideaux à lanières fixe portes arrières</t>
  </si>
  <si>
    <t>Porte latérale battante 1000 mm x 1850 mm à 100 mm à l'avant droit</t>
  </si>
  <si>
    <t>Plancher : Antidérapant avec passages de roues (largeur entre passages de roues : 1236 mm) avec 2 siphons d'évacuation</t>
  </si>
  <si>
    <t>Cloison fixe perpendiculaire a 1200 mm de l'avant</t>
  </si>
  <si>
    <t>Rideaux à lanières fixe pour les portes arrières et latérale</t>
  </si>
  <si>
    <t>2 portes arrière ouverture totale (porte droite prioritaire) avec bandes réfléchissantes en périphérie</t>
  </si>
  <si>
    <t>4 plafonniers à LED avec temporisation</t>
  </si>
  <si>
    <t>2 niveaux de rail d'arrimage en acier galvanisé D + G à 800 mm et à 1200 mm du plancher</t>
  </si>
  <si>
    <t>Protection bas de parois sur 300 mm de haut</t>
  </si>
  <si>
    <t>Platelage aluminium d'entrée de portes arrières sur 1200 mm</t>
  </si>
  <si>
    <t>Extincteur + coffre</t>
  </si>
  <si>
    <t>2 gaines de ventilation au pavillon</t>
  </si>
  <si>
    <t>Coffre à outils + Boite à documents étanche</t>
  </si>
  <si>
    <t>1 gaine de ventilation au pavillon</t>
  </si>
  <si>
    <t>Caisse REGNAULT : Panneau contreplaqué stratifié 2 faces teintées dans la masse, épaisseur 17mm</t>
  </si>
  <si>
    <t>Fermeture par plateforme du hayon élévateur et auvent rabattable en partie supérieure</t>
  </si>
  <si>
    <t>Porte latérale battante largeur 1000 mm à 1200 mm de l'avant droit avec escabeau coulissant 3 marches et buzzer en cabine</t>
  </si>
  <si>
    <t>Plancher contreplaqué 24 mm antidérapant</t>
  </si>
  <si>
    <t>2 bandeaux LEDS, un de chaque côté au pavillon sur toute la longueur de la carrosserie, commande par boitier de détection de présence</t>
  </si>
  <si>
    <t>1 niveau de rail d'arrimage en acier galvanisé sur 3 faces à 1100 mm du plancher - Pas de rail sur la porte latérale</t>
  </si>
  <si>
    <t>Plinthe de protection en acier galvanisé 20/10 sur les 3 faces, hauteur 470mm avec retour sous plancher de 30mm</t>
  </si>
  <si>
    <t>Face avant renforcé en partie basse extérieure par une tôle galvanisée 30/10ème, hauteur 400mm, boulonnée sur faux châssis</t>
  </si>
  <si>
    <t>Pavillon en peau polyester semi-translucide sur arceaux métalliques</t>
  </si>
  <si>
    <t>Signalisation du véhicule conforme au code de la route</t>
  </si>
  <si>
    <t>Caisse REGNAULT : Panneau contreplaqué stratifié 2 faces teintées dans la masse, épaisseur 17mm + Renforts latéraux en tôle pliées aluminium type omégas, espacés de 500mm sur toute la hauteur.</t>
  </si>
  <si>
    <t>Fermeture par 2 portes armoires standard à ouverture totale 270°</t>
  </si>
  <si>
    <t>1 escabeau arrière coulissant (escabeau posant au sol) entre les traverses du faux châssis.</t>
  </si>
  <si>
    <t>1 niveau de rail d'arrimage en acier galvanisé D + G à 2100 mm du plancher - Pas de rail sur la porte latérale</t>
  </si>
  <si>
    <t>Plinthe de protection en contreplaqué sur 3 faces, épaisseur 15mm, hauteur 200mm du plancher</t>
  </si>
  <si>
    <t>4 Niveau(x) de tringle sur 3 faces (barre de Ø12/17 pontets rivetés) -  Pas de tubes sur la porte latérale</t>
  </si>
  <si>
    <t>3 Niveau(x) de capiton hauteur 140mm sur 3 faces, tôle acier galvanisée recouvert de moquette de couleur rouge (y compris sur la porte latérale)</t>
  </si>
  <si>
    <t>Doublage face avant, en panneau OSB, épaisseur 15mm, hauteur 750mm. Recouvert d’une tôle en acier galvanisé 20/10ème avec retour en partie basse sur le plancher et en partie haute pliage à 45°</t>
  </si>
  <si>
    <t>Plinthe de protection en acier galvanisé 20/10, hauteur 265mm minimum du plancher.</t>
  </si>
  <si>
    <t>Caisse REGNAULT : Panneau contreplaqué stratifié 2 faces, épaisseur 20mm.</t>
  </si>
  <si>
    <t>Plancher en contreplaqué 27mm antidérapant</t>
  </si>
  <si>
    <t>Face Av : Plinthe de protection en acier galvanisé 20/10, hauteur 265mm minimum du plancher.</t>
  </si>
  <si>
    <t>Plinthe de protection en acier galvanisé 20/10 sur les 2 faces, hauteur 470mm minimum du plancher avec retour sous plancher de 30mm minimum.</t>
  </si>
  <si>
    <t>2 portes arrière ouverture totale</t>
  </si>
  <si>
    <t>Caisse REGNAULT : Panneau contreplaqué stratifié 2 faces teintées dans la masse, épaisseur 20mm + Renforts latéraux en tôle pliées aluminium type omégas, espacés de 500mm sur toute la hauteur.</t>
  </si>
  <si>
    <t>1 Niveau(x) de rail d’arrimage universel sur 2 faces, finition acier galvanisé, axé à 2100mm du plancher</t>
  </si>
  <si>
    <t>Caisse REGNAULT : Panneau contreplaqué stratifié 2 faces teintées dans la masse, épaisseur 14mm avec soubassement aluminium</t>
  </si>
  <si>
    <t>Porte latérale battante largeur 1000 mm à 1000 mm de l'avant droit</t>
  </si>
  <si>
    <t>Accès par marchepied coulissant et 2 poignées montoirs en sangle nylon.</t>
  </si>
  <si>
    <t>Accès latéral par dispositif de protection latérale – Dispositif renforcé avec une bande antidérapante de couleur noire collée sur la barre pare-cycliste et 2 sangles d’accès au niveau du cadre.</t>
  </si>
  <si>
    <t>Plancher en contreplaqué de 15mm antidérapant sans passages de roues</t>
  </si>
  <si>
    <t>1 niveau de rail d'arrimage en acier galvanisé sur 3 faces à 1000 mm du plancher - Pas de rail sur la porte latérale</t>
  </si>
  <si>
    <t>Plinthe de protection renforcée en acier galvanisée, épaisseur 25/10, hauteur 440mm avec retour</t>
  </si>
  <si>
    <t>Plinthe de protection en aluminium, hauteur 260mm de haut sur 2 faces</t>
  </si>
  <si>
    <t>Caisse REGNAULT : Peau polyester renforcée de fibre de verre 3,5mm, entre omégas espacés au pas de 400mm et soubassement aluminium</t>
  </si>
  <si>
    <t>Porte latérale battante largeur 1000mm à 1000mm de l'avant droit (sans rail ni tube d’arrimage) avec 3 Niveaux de capiton en acier galvanisé recouvert de moquette axé à 675, 1225 et 1775mm du plancher</t>
  </si>
  <si>
    <t>1 niveau de rail d'arrimage en acier galvanisé D + G à 2100mm du plancher</t>
  </si>
  <si>
    <t>Plinthe de protection en panneau bois MALVAUX, hauteur 200mm sur 3 faces</t>
  </si>
  <si>
    <t>2 Niveaux de tube d’arrimage renforcé ø12x17 axés à 400 et 950mm du plancher sur la face Av et 3 Niveaux axés à 400, 950 et 1500mm du plancher à D et à G  -  Pas de tubes sur la porte latérale</t>
  </si>
  <si>
    <t>2 Niveaux de capiton en acier galvanisé, recouvert de moquette : axés à 675 et 1225mm du plancher sur la face Av et  3 Niveaux de capiton axés à 675, 1225 et 1775mm du plancher à D et à G</t>
  </si>
  <si>
    <t>Capucine droite</t>
  </si>
  <si>
    <t>Porte latérale battante largeur 1000mm à 1000mm de l'avant droit</t>
  </si>
  <si>
    <t>1 niveau de rail d'arrimage en acier galvanisé D + G à 2100mm du plancher - Pas de rail sur la porte latérale</t>
  </si>
  <si>
    <t>2 Niveaux de tube d’arrimage renforcé ø12x17 axés à 400 et 950mm du plancher sur la face Av et 3 Niveaux axés à 400, 950 et 1500mm du plancher à D et à G</t>
  </si>
  <si>
    <t>Fermeture arrière par auvent et hayon élévateur rabattable</t>
  </si>
  <si>
    <t>Porte latérale battante largeur 1000 mm à 1200 mm de l'avant droit</t>
  </si>
  <si>
    <t>Plancher en contreplaqué de 24 mm antidérapant sans passages de roues</t>
  </si>
  <si>
    <t>Doublage face AV, en panneau OSB, collé et vissé, ép: 15mm, hauteur 750mm. Recouvert d’une tôle en acier galvanisé 20/10ème avec retour en partie basse sur le plancher et en partie haute pliage à 45°</t>
  </si>
  <si>
    <t>Plinthe de protection en acier galvanisé 20/10 sur les 3 faces, hauteur 270mm avec retour sous plancher de 30mm</t>
  </si>
  <si>
    <t>Caisse peau polyester 3,5 mm avec profils omega verticaux et soubassement aluminium</t>
  </si>
  <si>
    <t>2 portes arrière ouverture totale à 270°</t>
  </si>
  <si>
    <t>Protection bas de parois en contreplaqué de 200 mm de haut sur 3 faces</t>
  </si>
  <si>
    <t>3 niveaux de tubes d'arrimage sur 3 faces -  Pas de tubes sur la porte latérale</t>
  </si>
  <si>
    <t>3 niveaux de capitons sur 3 faces (-34 mm de largeur utile)</t>
  </si>
  <si>
    <t>Pavillon polyester opalin sur courbe aluminium</t>
  </si>
  <si>
    <t>Caisse CORSIN plywood 14 mm</t>
  </si>
  <si>
    <t>2 portes arrières avec blocage 270° avec une fermeture par porte</t>
  </si>
  <si>
    <t>Porte latérale battante ouverture 1m départ 1000 mm de l’AVD</t>
  </si>
  <si>
    <t>Sans marchepied</t>
  </si>
  <si>
    <t>Plancher CP 15 mm antidérapant avec passage de roues en aluminium</t>
  </si>
  <si>
    <t>1 bandeaux LED par coté sur toute la longueur commandé par détecteur de présence</t>
  </si>
  <si>
    <t>1 Plinthe acier galva de 280 mm sur 3 faces</t>
  </si>
  <si>
    <t>Pavillon opalin translucide intégral</t>
  </si>
  <si>
    <t>Isolation renforcée LECAPITAINE / STRATE FORME</t>
  </si>
  <si>
    <t>2 portes arrière</t>
  </si>
  <si>
    <t>Porte latérale coulissante à l'avant droit avec une bordure de 30 mm de haut sur le plancher</t>
  </si>
  <si>
    <t>Plancher : Antidérapant léger avec passages de roues (largeur entre passages de roues : 1126 mm) avec 1 siphon d'évacuation</t>
  </si>
  <si>
    <t>1 plafonnier</t>
  </si>
  <si>
    <t>Demi plancher intermédiaire amovible</t>
  </si>
  <si>
    <t>Isolation normale LECAPITAINE / STRATE FORME</t>
  </si>
  <si>
    <t>1 rideau à lanières aux portes arrières</t>
  </si>
  <si>
    <t>Isolation normale LECAPITAINE</t>
  </si>
  <si>
    <t>2 portes arrière  (Ouverture  à 270°)</t>
  </si>
  <si>
    <t>Porte latérale coulissante à l'avant droit</t>
  </si>
  <si>
    <t>Plancher : Antidérapant avec passages de roues (largeur entre passage de roues : 1235 mm) avec 2 siphons d'évacuations</t>
  </si>
  <si>
    <t>1 Rideau fixe à lanières aux portes arrières</t>
  </si>
  <si>
    <t>2 portes arrière (Ouverture  à 180°)</t>
  </si>
  <si>
    <t>Porte latérale coulissante à l'avant droit sans bordure sur le plancher</t>
  </si>
  <si>
    <t>Plancher : Antidérapant léger avec passages de roues (largeur entre passages de roues : 1268 mm) avec 1 siphon d'évacuation</t>
  </si>
  <si>
    <t>2 portes arrière avec ouverture à 180°</t>
  </si>
  <si>
    <t>Plancher : Antidérapant léger avec passages de roues (largeur entre passages de roues : 1210 mm) avec 1 siphon d'évacuation</t>
  </si>
  <si>
    <t>Plancher : Antidérapant léger avec passages de roues (largeur entre passages de roues : 1210 mm) avec 2 siphons d'évacuation</t>
  </si>
  <si>
    <t>1 rideau à lanières à la porte latérale et aux portes arrières</t>
  </si>
  <si>
    <t>2 portes arrière ouverture 180°</t>
  </si>
  <si>
    <t>Plancher : Antidérapant léger avec passages de roues (largeur entre passages de roues : 1120 mm) avec 2 siphon d'évacuation</t>
  </si>
  <si>
    <t>Plancher : Antidérapant léger avec passages de roues (largeur entre passages de roues : 1120 mm) avec 1 siphon d'évacuation</t>
  </si>
  <si>
    <t xml:space="preserve">Rideaux à lanières fixe pour les portes arrières </t>
  </si>
  <si>
    <t>Plancher : Antidérapant léger avec passages de roues (largeur entre passages de roues : 1212 mm)  avec 2 siphons d'évacuation</t>
  </si>
  <si>
    <t>Amménagement SD SERVICES</t>
  </si>
  <si>
    <t>Plancher en contreplaqué filmé structuré avec passages de roues</t>
  </si>
  <si>
    <t>Plafonnier d'origine constructeur</t>
  </si>
  <si>
    <t>Cloison de séparation tôlée</t>
  </si>
  <si>
    <t>Doublage en contreplaqué brut des portes arrière et latérale</t>
  </si>
  <si>
    <t>Doublage en contreplaqué brut des parois jusqu'au pavillon</t>
  </si>
  <si>
    <t>Habillage contreplaqué brut des passages de roues</t>
  </si>
  <si>
    <t>Cornière alu au seuil des portes arrière et latérale</t>
  </si>
  <si>
    <t>2 portes arrière avec ouverture à 270°</t>
  </si>
  <si>
    <t>1 niveau de rail d'arrimage en acier galvanisé sur 3 faces à 800 mm du plancher - Pas de rail sur la porte latérale</t>
  </si>
  <si>
    <t>1 niveau de rail d'arrimage en acier galvanisé sur 3 faces à 850 mm du plancher - Pas de rail sur la porte latérale</t>
  </si>
  <si>
    <t>1 niveau de rail d'arrimage en acier galvanisé sur 3 faces à 600 mm du plancher - Pas de rail sur la porte latérale</t>
  </si>
  <si>
    <t>Pneumatiques : 205/60 R16</t>
  </si>
  <si>
    <t>Réservoir à carburant de 50 L</t>
  </si>
  <si>
    <t>Suspension arrière mécanique</t>
  </si>
  <si>
    <t>Freinage avec ABS</t>
  </si>
  <si>
    <t>Réservoir AdBlue de 17 L</t>
  </si>
  <si>
    <t xml:space="preserve">Aide au démarrage en pente </t>
  </si>
  <si>
    <t>GSRII (General Safety Regulation)</t>
  </si>
  <si>
    <t>Fourgon tôlé / Transmission : Traction avant / Roues arrière simples</t>
  </si>
  <si>
    <t>Pneumatiques : 195/65 R15</t>
  </si>
  <si>
    <t>Pneumatiques : 215/65 R16</t>
  </si>
  <si>
    <t xml:space="preserve">Pneumatiques : (AV) CIND 3.5 - 8
</t>
  </si>
  <si>
    <t xml:space="preserve">Pneumatiques : (AR) Bridgestone HOOP B01 100/90 – 10    </t>
  </si>
  <si>
    <t>Batterie Lithium-ion interchangeable : 32 Ah / 48 V</t>
  </si>
  <si>
    <t>Feux de position et de freinage</t>
  </si>
  <si>
    <t>1 pièce avec boule d’attelage à fixer sur le tube de selle du vélo</t>
  </si>
  <si>
    <t>1 câble avec 1 fiche mâle en 220V/16A et chargeur indépendant sur prise secteur pour recharger la batterie de traction</t>
  </si>
  <si>
    <t>Autonomie : 35 km environ</t>
  </si>
  <si>
    <t>Temps de recharge : 5 heures max.</t>
  </si>
  <si>
    <t>Pneumatiques : 215/65 R16C</t>
  </si>
  <si>
    <t>Réservoir à carburant de 70 L</t>
  </si>
  <si>
    <t>Réservoir AdBlue de 20,6 L</t>
  </si>
  <si>
    <t>Plancher cabine / Transmission : Traction avant / Roues arrière simples</t>
  </si>
  <si>
    <t>Pneumatiques : 225/75 R16</t>
  </si>
  <si>
    <t>Réservoir à carburant de 90 L</t>
  </si>
  <si>
    <t>Avertisseur de marche arrière</t>
  </si>
  <si>
    <t xml:space="preserve">Réservoir AdBlue de 19 L </t>
  </si>
  <si>
    <t>Suspension arrière mécanique renforcée 4GM</t>
  </si>
  <si>
    <t>Pneumatiques : 195/75 R16</t>
  </si>
  <si>
    <t>Réservoir à carburant de 63 L</t>
  </si>
  <si>
    <t xml:space="preserve">Réservoir AdBlue de 20 L </t>
  </si>
  <si>
    <t>Roue de secours avec support</t>
  </si>
  <si>
    <t>Châssis cabine / Transmission : Propulsion arrière / Roues arrière jumelées</t>
  </si>
  <si>
    <t>Réservoir à carburant de 86 L</t>
  </si>
  <si>
    <t xml:space="preserve">Interface carrossier </t>
  </si>
  <si>
    <t>Suspension arrière mécanique avec HELPER</t>
  </si>
  <si>
    <t>Réservoir AdBlue 20L</t>
  </si>
  <si>
    <t>Pneumatiques : 235/65 R16</t>
  </si>
  <si>
    <t>LDWS : Avertisseur de franchissement de ligne</t>
  </si>
  <si>
    <t>AEBS : Système de freinage automatique d'urgence</t>
  </si>
  <si>
    <t>Fourgon tôlé / Transmission : Propulsion arrière / Roues arrière simples</t>
  </si>
  <si>
    <t xml:space="preserve">AEBS : Freinage automatique d'urgence </t>
  </si>
  <si>
    <t>Châssis cabine / Transmission : Propulsion arrière / Roues arrière simples</t>
  </si>
  <si>
    <t>Assistance de maintien dans la voie (LDWS + MAINTIEN DANS LA VOIE)</t>
  </si>
  <si>
    <t>Freinage automatique d'urgence (AEBS + CITY BRAKE)</t>
  </si>
  <si>
    <t>Pneumatiques : 195/75 R 16</t>
  </si>
  <si>
    <t>ESP</t>
  </si>
  <si>
    <t>Pneumatiques : 225/65 R16</t>
  </si>
  <si>
    <t>Réservoir à carburant de 120 L</t>
  </si>
  <si>
    <t>Pneumatiques : 215/75 R17,5</t>
  </si>
  <si>
    <t>Réservoir AdBlue 30 L avec réchauffeur</t>
  </si>
  <si>
    <t>Pneumatiques : 225/75 R17,5</t>
  </si>
  <si>
    <t>Réservoir à carburant de 200 L</t>
  </si>
  <si>
    <t>Freinage ABS</t>
  </si>
  <si>
    <t>Réservoir AdBlue de 30 L avec réchauffeur</t>
  </si>
  <si>
    <t>Pneumatiques : 245/70 R19,5</t>
  </si>
  <si>
    <t>Pneumatiques : 285/70 R19,5</t>
  </si>
  <si>
    <t>Pneumatiques : 315/70 R22,5</t>
  </si>
  <si>
    <t>Réservoir à carburant de 130 L</t>
  </si>
  <si>
    <t>Freinage EBS (ABS inclus)</t>
  </si>
  <si>
    <t>Réservoir AdBlue 32 L</t>
  </si>
  <si>
    <t>Réchauffeur Gasoil</t>
  </si>
  <si>
    <t>Pneumatiques : 235/75 R17,5</t>
  </si>
  <si>
    <t>Réservoir à carburant de 215 L</t>
  </si>
  <si>
    <t>Réservoir AdBlue 32 L avec réchauffeur</t>
  </si>
  <si>
    <t>Suspensions avant et arrière pneumatiques</t>
  </si>
  <si>
    <t>Bruiteur de marche arrière</t>
  </si>
  <si>
    <t>Alimentation directe 600 V groupe frigorifique</t>
  </si>
  <si>
    <t>Pneumatiques : 315/80 R22,5</t>
  </si>
  <si>
    <t>Réservoir à carburant de 255 L</t>
  </si>
  <si>
    <t>Réservoir AdBlue de 32 L</t>
  </si>
  <si>
    <t xml:space="preserve">3ème essieu arrière monte simple relevable et directionnel </t>
  </si>
  <si>
    <t>Réservoir à carburant de 610 L</t>
  </si>
  <si>
    <t>Réservoir AdBlue de 64 L</t>
  </si>
  <si>
    <t>Porte roue de secours et roue de secours dans l'empattement à droite</t>
  </si>
  <si>
    <t>Adaptateur prise 15b en 2x7 broches</t>
  </si>
  <si>
    <t>Hauteur attelage : 1150mm</t>
  </si>
  <si>
    <t>Poids en ordre de marche ± 5% : 7221 Kg</t>
  </si>
  <si>
    <t>Pneumatiques : 385/65 R22,5</t>
  </si>
  <si>
    <t>Suspension pneumatique</t>
  </si>
  <si>
    <t>Porte roue de secours</t>
  </si>
  <si>
    <t>Châssis peint</t>
  </si>
  <si>
    <t xml:space="preserve">3 essieux monte simple dont le premier relevable automatiquement ou avec commande manuelle à l'arrière du châssis </t>
  </si>
  <si>
    <t>2 odomètres</t>
  </si>
  <si>
    <t>Béquilles à sabots</t>
  </si>
  <si>
    <t>8 anneaux FERRY</t>
  </si>
  <si>
    <t>Freins à disque</t>
  </si>
  <si>
    <t>Système d'aide à la stabilité (ESP)</t>
  </si>
  <si>
    <t>Système RCP (Protection anti-collision au recul)</t>
  </si>
  <si>
    <t>Remise en position route automatique (RTR)</t>
  </si>
  <si>
    <t>Réservoir à carburant de 54 L</t>
  </si>
  <si>
    <t>Réservoir AdBlue 18 L</t>
  </si>
  <si>
    <t>Freinage avec ABS avec aide au freinage d'urgence (AFU).</t>
  </si>
  <si>
    <t>Plancher cabine 4T000 détaré en 3T500 / Transmission : Traction avant / Roues arrière simples</t>
  </si>
  <si>
    <t>Réservoir à carburant de 80 L</t>
  </si>
  <si>
    <t xml:space="preserve">Réservoir AdBlue de 24 L </t>
  </si>
  <si>
    <t>Freinage antiblocage (ABS) avec assistance au freinage d'urgence (EBA).</t>
  </si>
  <si>
    <t>Réservoir AdBlue 25,5L</t>
  </si>
  <si>
    <t>Fourgon Tôlé / Transmission : Traction avant / Roues arrière simples</t>
  </si>
  <si>
    <t>Pneumatiques : 215/75 R16</t>
  </si>
  <si>
    <t>Euro 6e</t>
  </si>
  <si>
    <t>Turbo Diesel</t>
  </si>
  <si>
    <t xml:space="preserve">1,5L </t>
  </si>
  <si>
    <t>HDI</t>
  </si>
  <si>
    <t>100 ch</t>
  </si>
  <si>
    <t>4 cylindres</t>
  </si>
  <si>
    <t>B.V. manuelle à 6 rapports Av. + 1 Ar.</t>
  </si>
  <si>
    <t>Batterie : 70 Ah</t>
  </si>
  <si>
    <t>Alternateur : 220 A</t>
  </si>
  <si>
    <t>130 ch</t>
  </si>
  <si>
    <t>B.V. Automatique EAT8 à 8 rapports Av. + 1 Ar.</t>
  </si>
  <si>
    <t>Electrique</t>
  </si>
  <si>
    <t>100 kW</t>
  </si>
  <si>
    <t>(136 ch)</t>
  </si>
  <si>
    <t>B.V. automatique à 1 rapport Av. + 1 Ar.</t>
  </si>
  <si>
    <t>Batterie 54 kWh</t>
  </si>
  <si>
    <t>Chargeur 11 kW AC et 100 kW en DC embarqué avec prise type 2</t>
  </si>
  <si>
    <t>Freinage à récupération d'énergie</t>
  </si>
  <si>
    <t>Vitesse maxi : 130 km/h</t>
  </si>
  <si>
    <t xml:space="preserve">1 Câble de charge « Smart Câble » </t>
  </si>
  <si>
    <t>Euro 6e-bis</t>
  </si>
  <si>
    <t xml:space="preserve">2,2L </t>
  </si>
  <si>
    <t>Multijet</t>
  </si>
  <si>
    <t>150 ch</t>
  </si>
  <si>
    <t>Batterie Lithium-ion 75 kWh</t>
  </si>
  <si>
    <t>H3-POWER</t>
  </si>
  <si>
    <t>140 ch</t>
  </si>
  <si>
    <t>Batterie : 105 Ah</t>
  </si>
  <si>
    <t>180 ch</t>
  </si>
  <si>
    <t>Euro 6e Maxi</t>
  </si>
  <si>
    <t>180 ch Maxi</t>
  </si>
  <si>
    <t>B.V. automatique AT8 à 8 rapports Av. + 1 Ar.</t>
  </si>
  <si>
    <t xml:space="preserve">180 ch </t>
  </si>
  <si>
    <t>EURO VI-E</t>
  </si>
  <si>
    <t>3,0L-HD</t>
  </si>
  <si>
    <t xml:space="preserve">MPI </t>
  </si>
  <si>
    <t>B.V. Hi-Matic (auto) à 8 rapports Av. + 1 Ar.</t>
  </si>
  <si>
    <t>210 ch</t>
  </si>
  <si>
    <t>2,3L-HD</t>
  </si>
  <si>
    <t>136 ch</t>
  </si>
  <si>
    <t>156 ch</t>
  </si>
  <si>
    <t xml:space="preserve">HPI </t>
  </si>
  <si>
    <t>160 ch</t>
  </si>
  <si>
    <t>190 ch</t>
  </si>
  <si>
    <t>4485 cm3</t>
  </si>
  <si>
    <t>B.V. automatique à 8 rapports Av. + 1 Ar.</t>
  </si>
  <si>
    <t>Batterie : 143 Ah</t>
  </si>
  <si>
    <t>Alternateur : 90 A</t>
  </si>
  <si>
    <t>FAP à régénération continue</t>
  </si>
  <si>
    <t>Batterie : 170 Ah</t>
  </si>
  <si>
    <t>220 ch</t>
  </si>
  <si>
    <t>6 cylindres</t>
  </si>
  <si>
    <t>6728 cm3</t>
  </si>
  <si>
    <t>250 ch</t>
  </si>
  <si>
    <t>280 ch</t>
  </si>
  <si>
    <t>320 ch</t>
  </si>
  <si>
    <t>5100 cm3</t>
  </si>
  <si>
    <t>B.V. automatique OPTISHIFT à 8 rapports Av. + 1 Ar.</t>
  </si>
  <si>
    <t>Alternateur : 130 A</t>
  </si>
  <si>
    <t>240 ch</t>
  </si>
  <si>
    <t>7700 cm3</t>
  </si>
  <si>
    <t>B.V. robotisée à 12 rapports Av. + 3 Ar.</t>
  </si>
  <si>
    <t>Batterie : 185 Ah</t>
  </si>
  <si>
    <t>Alternateur : 110 A</t>
  </si>
  <si>
    <t>B.V. robotisée OPTIDRIVER à 12 rapports Av. + 3 Ar.</t>
  </si>
  <si>
    <t>380 ch</t>
  </si>
  <si>
    <t>10 800 cm3</t>
  </si>
  <si>
    <t>430 ch</t>
  </si>
  <si>
    <t>10800 cm3</t>
  </si>
  <si>
    <t>Batterie : 225 Ah</t>
  </si>
  <si>
    <t>Frein moteur OPTIBRAKE 303 kW à 2300 tr/min</t>
  </si>
  <si>
    <t>Couple : 2040 Nm de 950 à 1400 tr/min</t>
  </si>
  <si>
    <t>Rapport de pont 2,64</t>
  </si>
  <si>
    <t>460 ch</t>
  </si>
  <si>
    <t>Couple : 2200 Nm de 950 à 1400 tr/min</t>
  </si>
  <si>
    <t>Blue dCi</t>
  </si>
  <si>
    <t>115 ch</t>
  </si>
  <si>
    <t>Alternateur : 230 A</t>
  </si>
  <si>
    <t>Vehicule bridé 110 Km/h - PREM04</t>
  </si>
  <si>
    <t>90 kW</t>
  </si>
  <si>
    <t>(120ch)</t>
  </si>
  <si>
    <t>Batterie Lithium-ion 45 kWh</t>
  </si>
  <si>
    <t>Chargeur  embarqué AC jusqu'à 22kW / DC jusqu'à 80kW avec prise type 2</t>
  </si>
  <si>
    <t xml:space="preserve">Electrique </t>
  </si>
  <si>
    <t>140 kW</t>
  </si>
  <si>
    <t>(190 ch.)</t>
  </si>
  <si>
    <t>B.V automatique à 1 rapport Av. + 1 Ar.</t>
  </si>
  <si>
    <t>2 batteries Lithium – Ion. Total 74 kWh (70 kWh utile)</t>
  </si>
  <si>
    <t>Chargeur embarqué AC 22 kW avec prise type 2 et DC 80 kW avec prise CCS Combo</t>
  </si>
  <si>
    <t>Vitesse limitée à 90 km/h</t>
  </si>
  <si>
    <t>E-PTO : 400 V - 15 kW</t>
  </si>
  <si>
    <t>E-PTO : 12 V - 190 A</t>
  </si>
  <si>
    <t>3 batteries Lithium – Ion. Total 111 kWh (105 kWh utile)</t>
  </si>
  <si>
    <t>Electrique synchrone</t>
  </si>
  <si>
    <t>105 kW</t>
  </si>
  <si>
    <t>(145ch)</t>
  </si>
  <si>
    <t>Batterie de traction E-TECH lithium-ion, 87 kWh, 400 V Cellules NMC (Nickel Manganèse Cobalt)</t>
  </si>
  <si>
    <t>Capacité de recharge du véhicule de 22kW en courant AC et 130kW en courant DC embarqué avec prise type 2</t>
  </si>
  <si>
    <t xml:space="preserve">Vitesse limitée 90 KM/H </t>
  </si>
  <si>
    <t xml:space="preserve">1 câble de charge smart câble </t>
  </si>
  <si>
    <t xml:space="preserve">2,0L </t>
  </si>
  <si>
    <t>dCi</t>
  </si>
  <si>
    <t>Vitesse limitée à 110 km/h</t>
  </si>
  <si>
    <t>Sans limitation de vitesse (PREM05)</t>
  </si>
  <si>
    <t>Batterie : 95 Ah</t>
  </si>
  <si>
    <t>Moteurs : Roues motrices 2 x 1500 W</t>
  </si>
  <si>
    <t>Freinage : Dynamique (courant inversé) &amp; Hydraulique (parking)</t>
  </si>
  <si>
    <t>Freinage à récupération d’énergie</t>
  </si>
  <si>
    <t>Vitesse maxi. : 25 km/h à vélo, 7 km/h à la main</t>
  </si>
  <si>
    <t>130 kW (185 kW en pic)</t>
  </si>
  <si>
    <t>B.V. automatique à 2 rapports Av. + 1 Ar.</t>
  </si>
  <si>
    <t>Batteries Lithium-ion 282 kWh (3 x 94 kWh)</t>
  </si>
  <si>
    <t>Chargeur 22 kW embarqué avec prise type 2 en courant alternatif ou 150 kW avec prise CCS COMBO 2 en courant continu</t>
  </si>
  <si>
    <t xml:space="preserve">1 Cable de recarga  « Smart Câble » </t>
  </si>
  <si>
    <t>Alternateur : 180 A</t>
  </si>
  <si>
    <t>HY_ST</t>
  </si>
  <si>
    <t>DCOCH</t>
  </si>
  <si>
    <t>FIAT DUCATO - CAISSE HYGIENE</t>
  </si>
  <si>
    <t>C_DUCATO_PC_MY2025_CLIM-MAN_Ecran7''_Cam._Sam.Paccess</t>
  </si>
  <si>
    <t>CH_DUCATO_CORSIN-C1</t>
  </si>
  <si>
    <t>\\petitforestier.fr\siege\Applications\BaseProduits\Datas\Publipostage\Images\PUBLICATION - SEC - HYGIENE - EURO 6\\PLAN VEHICULES\\PLANS 2014\\FIAT\\DCOCS-CH01.jpg</t>
  </si>
  <si>
    <t>MRCH</t>
  </si>
  <si>
    <t>RENAULT MASTER - CAISSE HYGIENE</t>
  </si>
  <si>
    <t>CH_MASTER_CORSIN-C1</t>
  </si>
  <si>
    <t>35S14 CH</t>
  </si>
  <si>
    <t>IVECO DAILY - CAISSE HYGIENE / HAYON</t>
  </si>
  <si>
    <t>19,3</t>
  </si>
  <si>
    <t>C_DAILY_3.5_06-2019_CLIM-MAN_Rad+Cam._Sam.Paccess</t>
  </si>
  <si>
    <t>CH_DAILY-CC_35S_225-65R16_GSRII_86L_ADB</t>
  </si>
  <si>
    <t>CH_DAILY_CORSIN-S-C1_Soub-Alu</t>
  </si>
  <si>
    <t>\\petitforestier.fr\siege\Applications\BaseProduits\Datas\Publipostage\Images\PUBLICATION - SEC - HYGIENE - EURO 6\PLAN VEHICULES\PLANS 2014\IVECO\35S_CH01.jpg</t>
  </si>
  <si>
    <t>35C14 CH</t>
  </si>
  <si>
    <t>CH_DAILY-CC_35C_195-75R16_GSRII_86L_HELPER_ADB</t>
  </si>
  <si>
    <t>\\petitforestier.fr\siege\Applications\BaseProduits\Datas\Publipostage\Images\PUBLICATION - SEC - HYGIENE - EURO 6\PLAN VEHICULES\PLANS 2014\IVECO\35C_CH01.jpg</t>
  </si>
  <si>
    <t>42C14 E CH</t>
  </si>
  <si>
    <t>IVECO DAILY ELECTRIQUE - CAISSE HYGIENE / HAYON</t>
  </si>
  <si>
    <t>C_E-DAILY_3.5_CLIM-AUTO_SS-Chrono_Rad+Cam._Sam.Paccess</t>
  </si>
  <si>
    <t>72C18 CH</t>
  </si>
  <si>
    <t>CH_DAILY+_REGNAULT-C1</t>
  </si>
  <si>
    <t>\\petitforestier.fr\siege\Applications\BaseProduits\Datas\Publipostage\Images\PUBLICATION - SEC - HYGIENE - EURO 6\PLAN VEHICULES\PLANS 2014\IVECO\70C_CH01.jpg</t>
  </si>
  <si>
    <t>75E19 CH</t>
  </si>
  <si>
    <t>IVECO EUROCARGO - CAISSE HYGIENE / HAYON</t>
  </si>
  <si>
    <t>CH_75-80_REGNAULT-C1</t>
  </si>
  <si>
    <t>\\petitforestier.fr\siege\Applications\BaseProduits\Datas\Publipostage\Images\PUBLICATION - SEC - HYGIENE - EURO 6\\PLAN VEHICULES\\PLANS 2014\\IVECO\\75E_CH01.jpg</t>
  </si>
  <si>
    <t>100E19 CH</t>
  </si>
  <si>
    <t>CH_100_120_REGNAULT-C1</t>
  </si>
  <si>
    <t>\\petitforestier.fr\siege\Applications\BaseProduits\Datas\Publipostage\Images\PUBLICATION - SEC - HYGIENE - EURO 6\\PLAN VEHICULES\\PLANS 2014\\IVECO\\100E_CH01.jpg</t>
  </si>
  <si>
    <t>D12.210 CH</t>
  </si>
  <si>
    <t>RENAULT GAMME D - CAISSE HYGIENE / HAYON</t>
  </si>
  <si>
    <t>38,2</t>
  </si>
  <si>
    <t>HL_RB_DH-LMA15-CG750_ALU_1500kg_1700mm_CH</t>
  </si>
  <si>
    <t>\\petitforestier.fr\siege\Applications\BaseProduits\Datas\Publipostage\Images\PUBLICATION - SEC - HYGIENE - EURO 6\\PLAN VEHICULES\\PLANS 2014\\RENAULT\\D12.210 CH 01.jpg</t>
  </si>
  <si>
    <t>D16.240 CH</t>
  </si>
  <si>
    <t>43,1</t>
  </si>
  <si>
    <t>CH_160_190_REGNAULT-C1</t>
  </si>
  <si>
    <t>HL_RB_DH-LMA20-CG1000_ALU_2000kg_1800mm_CH</t>
  </si>
  <si>
    <t>\\petitforestier.fr\siege\Applications\BaseProduits\Datas\Publipostage\Images\PUBLICATION - SEC - HYGIENE - EURO 6\\PLAN VEHICULES\\PLANS 2014\\RENAULT\\D16.210 CH 01.jpg</t>
  </si>
  <si>
    <t>BR_ST</t>
  </si>
  <si>
    <t>GROSSE</t>
  </si>
  <si>
    <t>35C14 CB - GRO</t>
  </si>
  <si>
    <t>IVECO DAILY - CAISSE BRASSEUR</t>
  </si>
  <si>
    <t>C_DAILY_CC_3.5_06-2019_CLIM-MAN_Cam._Sam.Paccess</t>
  </si>
  <si>
    <t>CS_CB_GROSSE_DAILY_C1</t>
  </si>
  <si>
    <t>\\petitforestier.fr\siege\Applications\BaseProduits\Datas\Publipostage\Images\PUBLICATION - SEC - HYGIENE - EURO 6\PLAN VEHICULES\IVECO\35C_CB01.jpg</t>
  </si>
  <si>
    <t>BR_ST_NV2025</t>
  </si>
  <si>
    <t>FR_FRBR_ST35C14 CB01</t>
  </si>
  <si>
    <t>35C16 CB - GRO</t>
  </si>
  <si>
    <t>FR_FRBR_ST35C16 CB01</t>
  </si>
  <si>
    <t>35C16-3L CB - GRO</t>
  </si>
  <si>
    <t>FR_FRBR_ST35C16-3L CB01</t>
  </si>
  <si>
    <t>42C14 E CB - GRO</t>
  </si>
  <si>
    <t>IVECO DAILY ELECTRIQUE - CAISSE BRASSEUR</t>
  </si>
  <si>
    <t>C_E-DAILY_3.5_CLIM-AUTO_SS-Chrono_Cam._Sam.Paccess</t>
  </si>
  <si>
    <t>FR_FRBR_ST42C14 E CB01</t>
  </si>
  <si>
    <t>DAF</t>
  </si>
  <si>
    <t>XB</t>
  </si>
  <si>
    <t>XB 210.12 CB - GRO</t>
  </si>
  <si>
    <t>DAF XB - CAISSE BRASSEUR / HAYON</t>
  </si>
  <si>
    <t>C_DAF_XB_PORTEUR_REGUL_ADAPT_CLIM_Rang.Tunel_Radio_Sam.Paccess</t>
  </si>
  <si>
    <t>M_DAF_XB_210-€VI-E_BVA-Power Line</t>
  </si>
  <si>
    <t>CH_DAF_XB_245-70R17-5_AdB30_GSRII</t>
  </si>
  <si>
    <t>CS_CB-DAF_GROSSE_120-140_C1-C2</t>
  </si>
  <si>
    <t>HL_RB_DH-LMA20_2000kg_2050mm_BR</t>
  </si>
  <si>
    <t>\\petitforestier.fr\siege\Applications\BaseProduits\Datas\Publipostage\Images\PUBLICATION - SEC - HYGIENE - EURO 6\PLAN VEHICULES\PLANS 2014\IVECO\120E_CB.jpg</t>
  </si>
  <si>
    <t>FR_FRBR_STXB 210.12 CB01</t>
  </si>
  <si>
    <t>FR_FRBR_STXB 210.12 CB02</t>
  </si>
  <si>
    <t>XB 210.14 CB - GRO</t>
  </si>
  <si>
    <t>CH_DAF_XB_285-70R19-5_AdB30_GSRII</t>
  </si>
  <si>
    <t>FR_FRBR_ST_NV2025XB 210.14 CBH02</t>
  </si>
  <si>
    <t>LIBNER</t>
  </si>
  <si>
    <t>XB 210.12 CB - LIB</t>
  </si>
  <si>
    <t>CS_CB-DAF_LIBNER_120-140_C1-C2</t>
  </si>
  <si>
    <t>FR_FRBR_ST_NV2025XB 210.12 CB - LIBH01</t>
  </si>
  <si>
    <t>FR_FRBR_ST_NV2025XB 210.12 CB - LibH02</t>
  </si>
  <si>
    <t>XB 210.14 CB - LIB</t>
  </si>
  <si>
    <t>FR_FRBR_ST_NV2025XB 210.14 CB - LIBH02</t>
  </si>
  <si>
    <t>208 ch</t>
  </si>
  <si>
    <t>4500 cm3</t>
  </si>
  <si>
    <t xml:space="preserve">B.V. automatique Power Line 8 rapports Av. + 1 Ar. </t>
  </si>
  <si>
    <t>Batterie : 175 Ah</t>
  </si>
  <si>
    <t>Alternateur : 100 A</t>
  </si>
  <si>
    <t>Pneumatiques : 245/70 R17,5</t>
  </si>
  <si>
    <t>Réservoir à carburant de 110 L</t>
  </si>
  <si>
    <t>Réservoir AdBlue de 30 L</t>
  </si>
  <si>
    <t>Réservoir à carburant de 170 L</t>
  </si>
  <si>
    <t>Plancher hygiène renforcé SANS remontées sur parois : en contreplaqué marine 25mm, recouvert d’une résine polyester antidérapante et 2 bondes d’évacuations dans les angles avant D et G</t>
  </si>
  <si>
    <t>1 niveau de rail d'arrimage en acier galvanisé sur 3 faces à 1000mm du plancher</t>
  </si>
  <si>
    <t>2 Aérateurs acier zingué avec grille ABS, positionnée sur face avant en partie haute</t>
  </si>
  <si>
    <t>2 Persiennes simple grille sur la partie auvent</t>
  </si>
  <si>
    <t>Caisse REGNAULT : Panneau contreplaqué stratifié 2 faces teintées dans la masse, épaisseur 20mm</t>
  </si>
  <si>
    <t>Caisse CORSIN plywood 14 mm avec soubassement aluminium</t>
  </si>
  <si>
    <t>Sans porte latérale coulissante</t>
  </si>
  <si>
    <t>Plancher CP 15 mm hygiène monobloc antidérapant épaisseur 15 mm sans passages de roues et 2 siphons d'évacuation placés à l’avant</t>
  </si>
  <si>
    <t>1 niveau de rail d’arrimage placé à 900 mm du plancher</t>
  </si>
  <si>
    <t>1 Plinthe alu de 260 mm sur 3 faces</t>
  </si>
  <si>
    <t>2 aérateurs en face avant</t>
  </si>
  <si>
    <t>2 grilles d’aération sur auvent</t>
  </si>
  <si>
    <t>1 niveau de rail d'arrimage en acier galvanisé sur 3 faces à 900mm du plancher</t>
  </si>
  <si>
    <t>Porte latérale coulissante ouverture 1m départ 250 mm de l’AVD</t>
  </si>
  <si>
    <t>Plancher CP 15 mm hygiène monobloc revêtement grain de riz avec passage de roues en aluminium et 1 siphon d’évacuation placé à l’avant gauche</t>
  </si>
  <si>
    <t>1 niveau de rail d’arrimage placé à 900 mm du plancher - Pas de rail sur la porte latérale</t>
  </si>
  <si>
    <t>3 barres porte cintres sur structure transversale</t>
  </si>
  <si>
    <t>2 aérateurs sur face avant</t>
  </si>
  <si>
    <t>2 grilles d’aération sur portes arrières</t>
  </si>
  <si>
    <t>Carrossserie MAXI-FRET GROSSE EQUIPEMENT</t>
  </si>
  <si>
    <t>Face avant pleine stratifiée bois + polyester épaisseur 20 mm sur ossature en profils acier / Fermeture arrière totale par hayon élévateur rabattable</t>
  </si>
  <si>
    <t>Parois latérales motorisées avec planches aluminium articulées relevables à effacement sous le toit. Boîtier de commande sur la face Av. (1 par côté) – centralisation dans la cabine avec condamnation</t>
  </si>
  <si>
    <t>Peinture de la carrosserie 1 ton opaque Blanc DAF M8870WHTE  (hors hayon)</t>
  </si>
  <si>
    <t>Plancher bois multipli tout bouleau antidérapant épaisseur 27 mm</t>
  </si>
  <si>
    <t>1 ruban à LEDS de 5 mètres réparti sur la longueur dans l’axe sous le pavillon</t>
  </si>
  <si>
    <t>Lisse de protection intérieure en partie basse de face avant : tôle acier galvanisée épaisseur 3 mm, hauteur 250 mm</t>
  </si>
  <si>
    <t>Protection des linteaux par profils caoutchouc</t>
  </si>
  <si>
    <t>Butées latérales 10 mm pour le chargement</t>
  </si>
  <si>
    <t>Coffre à extincteur + extincteur</t>
  </si>
  <si>
    <t>Pavillon plat autoportant polyester semi opaque d’une seule pièce sur ossature en profilés aluminium</t>
  </si>
  <si>
    <t>Soubassement acier galvanisé avec traverses rapprochées</t>
  </si>
  <si>
    <t>Equipement général conforme au code de la route incluant 2 marchepieds escamotables sécurisés dans l’empattement + 2 barres pare-cyclistes en aluminium</t>
  </si>
  <si>
    <t>Carrossserie INTEGRALE LIBNER</t>
  </si>
  <si>
    <t>Face avant pleine stratifiée bois / polyester épaisseur 17 mm sur ossature en profils acier / Fermeture arrière totale par hayon élévateur rabattable</t>
  </si>
  <si>
    <t>Parois latérale motorisées avec planches aluminium articulées relevables à effacement sous le toit. Boîtier de commande sur la face Av. (1 par côté) – Intérupteur général dans la cabine</t>
  </si>
  <si>
    <t>Peinture de la carrosserie 1 ton opaque Blanc RAL 9010 (hors hayon)</t>
  </si>
  <si>
    <t>Plancher antidérapant tout bouleau épaisseur 27 mm</t>
  </si>
  <si>
    <t>1 ruban à LEDS de 5 mètres</t>
  </si>
  <si>
    <t>Plinthe  face avant : tôle acier galvanisée , hauteur 400 mm</t>
  </si>
  <si>
    <t>Linteaux supérieurs aluminium avec butoir de protectincaoutchouc</t>
  </si>
  <si>
    <t>Butées latérales galvanisée hauteur 10 mm au desus du planceher pour le chargement à D et à G</t>
  </si>
  <si>
    <t>Pavillon fixe plat autoportant polyester semi opaque sur ossature en profilés aluminium</t>
  </si>
  <si>
    <t>Equipement général conforme au code de la route incluant 2 marchepieds escamotables sécurisés dans l’empattement avec buzzer en cabine</t>
  </si>
  <si>
    <t>Carrossserie POLY-SIDE  GROSSE EQUIPEMENT</t>
  </si>
  <si>
    <t>Face avant et arrière pleines stratifiées bois polyester épaisseur 11 mm sur ossature en profilés aluminium bruts non peints</t>
  </si>
  <si>
    <t>Parois latérales constituées d’un rideau bâche fixé sur 4 cadres coulissants avec tendeur horizontal à chaque extrémité (RAL à définir)</t>
  </si>
  <si>
    <t>Plancher bois multipli tout bouleau antidérapant épaisseur 18 mm</t>
  </si>
  <si>
    <t>1 Plafonnier à LED sur face avant</t>
  </si>
  <si>
    <t>Lisse de protection intérieure de face avant – tôle acier galvanisé de 3mm d’épaisseur – hauteur = 250mm</t>
  </si>
  <si>
    <t>Butoirs caoutchouc en coins de caisse</t>
  </si>
  <si>
    <t>Pavillon plat autoportant sans poteaux intermédiaires semi opaque d’une seule pièce sur ossature en profilés aluminium</t>
  </si>
  <si>
    <t>3 rangs de sangles de renfort à l’intérieur par côté</t>
  </si>
  <si>
    <t xml:space="preserve">Equipement général conforme au code de la route incluant 2 barres pare-cyclistes anti-dérapant en aluminium </t>
  </si>
  <si>
    <t xml:space="preserve">CARRIER </t>
  </si>
  <si>
    <t>XARIOS 200T / R452A</t>
  </si>
  <si>
    <t>Chauffage gaz chaud</t>
  </si>
  <si>
    <t xml:space="preserve">(Classe A ou C) ou équivalent avec Kit silencieux muffler </t>
  </si>
  <si>
    <t xml:space="preserve">Fonctionnement Route et Secteur </t>
  </si>
  <si>
    <t>(220 V Monophasé)</t>
  </si>
  <si>
    <t>Hauteur sous évaporateur : 870 mm</t>
  </si>
  <si>
    <t>Puissance frigorifique sur route (à 2400 tr/min) : à 0°C = 2250 W / à -20°C = 1290 W</t>
  </si>
  <si>
    <t>Débit d'air : 790 m3/h</t>
  </si>
  <si>
    <t>1 câble de 10 m</t>
  </si>
  <si>
    <t>Hauteur sous évaporateur : 985 mm</t>
  </si>
  <si>
    <t>Puissance frigorifique sur route (à 2400 tr/min) : à 0°C = 2250 W</t>
  </si>
  <si>
    <t>Hauteur sous évaporateur : 1615 mm</t>
  </si>
  <si>
    <t>(Classe A ou C) ou équivalent</t>
  </si>
  <si>
    <t>Hauteur sous évaporateur : 1410 mm</t>
  </si>
  <si>
    <t>Puissance frigorifique sur route (à 2400 tr/min) :  à 0°C = 2250 W / à -20°C = 1290 W</t>
  </si>
  <si>
    <t>Hauteur sous évaporateur : 1430 mm</t>
  </si>
  <si>
    <t>XARIOS 6T MT / R452A</t>
  </si>
  <si>
    <t>ou équivalent</t>
  </si>
  <si>
    <t>(380 V Triphasé)</t>
  </si>
  <si>
    <t>Hauteur sous évaporateur : 1845 mm</t>
  </si>
  <si>
    <t>Hauteur sous évaporateur : 1850 mm</t>
  </si>
  <si>
    <t>Evaporateur avant gauche souflant vers la porte / Evaporateur arrière souflant vers l'arrière</t>
  </si>
  <si>
    <t>Hauteur sous évaporateur : 1950 mm</t>
  </si>
  <si>
    <t>XARIOS 6T / R452A</t>
  </si>
  <si>
    <t>Hauteur sous évaporateur : 2000 mm</t>
  </si>
  <si>
    <t>Puissance frigorifique sur route (à 2400 tr/min) : à 0°C = 5310 W / à - 20°C = 2700 W</t>
  </si>
  <si>
    <t>Débit d'air : 2192 m3/h</t>
  </si>
  <si>
    <t>SUPRA HE6-R2S / R452A</t>
  </si>
  <si>
    <t xml:space="preserve">Fonctionnement Route, Diesel et Secteur </t>
  </si>
  <si>
    <t>Hauteur sous évaporateur : 2080 mm</t>
  </si>
  <si>
    <t>Puissance frigorifique sur route (à grande vitesse) : à 0°C = 6300 W / à -20°C = 3570 W</t>
  </si>
  <si>
    <t>Débit d'air : 2570 m3/h</t>
  </si>
  <si>
    <t>Hauteur sous évaporateur : 1980 mm</t>
  </si>
  <si>
    <t>SUPRA HE8 MT / R452A</t>
  </si>
  <si>
    <t>Hauteur sous évaporateur : 2060 mm</t>
  </si>
  <si>
    <t>SUPRA HE8-R2S / R452A</t>
  </si>
  <si>
    <t>Puissance frigorifique sur route (à grande vitesse) : à 0°C = 7710 W / à -20°C = 3950 W</t>
  </si>
  <si>
    <t>SUPRA HE11 MT / R452A</t>
  </si>
  <si>
    <t>Hauteur sous évaporateur : 2160 mm</t>
  </si>
  <si>
    <t>SUPRA HE9-R2S / R452A</t>
  </si>
  <si>
    <t>Hauteur sous évaporateur : 2040 mm</t>
  </si>
  <si>
    <t>Puissance frigorifique sur route (à grande vitesse) : à 0°C = 9020 W / à -20°C = 5390 W</t>
  </si>
  <si>
    <t>Débit d'air : 2445 m3/h</t>
  </si>
  <si>
    <t>SUPRA HE11-R2S / R452A</t>
  </si>
  <si>
    <t>Puissance frigorifique sur route (à grande vitesse) : à 0°C = 10810 W / à -20°C = 5930 W</t>
  </si>
  <si>
    <t>Débit d'air : 3350 m3/h</t>
  </si>
  <si>
    <t>SUPRA HE13 MT / R452A</t>
  </si>
  <si>
    <t>SUPRA HE13-R2S / R452A</t>
  </si>
  <si>
    <t>Puissance frigorifique sur route (à grande vitesse) : à 0°C = 12010 W / à -20°C = 6700 W</t>
  </si>
  <si>
    <t>Débit d'air : 3074 m3/h</t>
  </si>
  <si>
    <t>CARRIER</t>
  </si>
  <si>
    <t>SYBERIA 11 / R452A</t>
  </si>
  <si>
    <t>Chauffage électrique</t>
  </si>
  <si>
    <t>Fonctionnement Route, Power Box 10 kW et Secteur</t>
  </si>
  <si>
    <t>Boîtier LYNX</t>
  </si>
  <si>
    <t xml:space="preserve">Puissance frigorifique sur route : à 0°C = 8360 W / à -20°C = 4630 W </t>
  </si>
  <si>
    <t>Débit d'air : 3426 m3/h</t>
  </si>
  <si>
    <t>SYBERIA 14 TC / R452A</t>
  </si>
  <si>
    <t>VECTOR HE 19 / R452A</t>
  </si>
  <si>
    <t>Réservoir à carburant de 250 L</t>
  </si>
  <si>
    <t xml:space="preserve">Puissance frigorifique sur route (à très grande vitesse) : à 0°C = 17652 W / à -20°C = 9796 W </t>
  </si>
  <si>
    <t>Débit d'air : 5545 m3/h</t>
  </si>
  <si>
    <t>VECTOR HE 19 MT  / R452A</t>
  </si>
  <si>
    <t>Hauteur sous évaporateur : 2360 mm</t>
  </si>
  <si>
    <t>Enregistreur de température DATACOLD 600T avec imprimante</t>
  </si>
  <si>
    <t>NEOS 100  / R134a</t>
  </si>
  <si>
    <t>(Classe A) ou équivalent</t>
  </si>
  <si>
    <t xml:space="preserve">Fonctionnement Route (sur alternateur véhicule) et Secteur </t>
  </si>
  <si>
    <t>Hauteur sous évaporateur : 750 mm</t>
  </si>
  <si>
    <t>Puissance frigorifique sur route (à 2400 tr/min) : à 0°C = 1240 W</t>
  </si>
  <si>
    <t>Débit d'air : 390 m3/h</t>
  </si>
  <si>
    <t xml:space="preserve">THERMOKING </t>
  </si>
  <si>
    <t>E-200e Max 50 / R452A</t>
  </si>
  <si>
    <t>Hauteur sous évaporateur : 1233 mm</t>
  </si>
  <si>
    <t>Puissance frigorifique sur route (à 2400 tr/min) : à 0°C = 1958 W / à -20°C = 1071 W</t>
  </si>
  <si>
    <t>Débit d'air : 800 m3/h</t>
  </si>
  <si>
    <t>1 contacteur de porte arrêt ventilation</t>
  </si>
  <si>
    <t>E-500 Max 50 / R452A</t>
  </si>
  <si>
    <t xml:space="preserve">Fonctionnement Route sur E-PTO et Secteur </t>
  </si>
  <si>
    <t>(220 V ou 380 v)</t>
  </si>
  <si>
    <t>Hauteur sous évaporateur : 1650 mm</t>
  </si>
  <si>
    <t>Blue Box Lite</t>
  </si>
  <si>
    <t>Puissance frigorifique sur route : à 0°C = 4700 W / à -20°C = 2300 W</t>
  </si>
  <si>
    <t>Débit d'air : 2353 m3/h (PV en cours)</t>
  </si>
  <si>
    <t>Alimentation secteur par la rallonge du châssis</t>
  </si>
  <si>
    <t>Hauteur sous évaporateur : 1970 mm</t>
  </si>
  <si>
    <t>E-600 MAX 50  SPECTRUM / R452A</t>
  </si>
  <si>
    <t>(Classe A et C) ou équivalent</t>
  </si>
  <si>
    <t>(220 V ou 380 V)</t>
  </si>
  <si>
    <t>Hauteur sous évaporateur : 1859 mm</t>
  </si>
  <si>
    <t>XARIOS 350T / R452A</t>
  </si>
  <si>
    <t>Hauteur sous évaporateur : 1560 mm</t>
  </si>
  <si>
    <t>Puissance frigorifique sur route (à 2400 tr/min) : à 0°C = 3430 W / à -20°C = 1805 W</t>
  </si>
  <si>
    <t>Débit d'air : 1560 m3/h</t>
  </si>
  <si>
    <t>Hauteur sous évaporateur : 1750 mm</t>
  </si>
  <si>
    <t>XARIOS 350T</t>
  </si>
  <si>
    <t>V-300 MAX 50 / R452A</t>
  </si>
  <si>
    <t>Hauteur sous évaporateur : 1705 mm</t>
  </si>
  <si>
    <t>Puissance frigorifique sur route (à 2400 tr/min) : à 0°C = 3330 W / à -20°C = 1840 W</t>
  </si>
  <si>
    <t>Débit d'air : 1400 m3/h</t>
  </si>
  <si>
    <t>PULSOR 350 E Splitté / R452A</t>
  </si>
  <si>
    <t>Fonctionnement Route ( Batteries indépendantes 12 kWh) et Secteur</t>
  </si>
  <si>
    <t>Hauteur sous évaporateur : 1390 mm</t>
  </si>
  <si>
    <t>Puissance frigorifique sur route (à 2400 tr/min) : à 0°C = 3080 W / à -20°C = 1700 W</t>
  </si>
  <si>
    <t>Débit d'air : 1095 m3/h</t>
  </si>
  <si>
    <t>1 contacteurs de porte arrêt ventilation</t>
  </si>
  <si>
    <t>PULSOR 350 eCool / R452A</t>
  </si>
  <si>
    <t>Hauteur sous évaporateur : 1550 mm</t>
  </si>
  <si>
    <t>Puissance frigorifique sur route : à 0°C = 3110 W / à -20°C = 1780 W</t>
  </si>
  <si>
    <t>Débit d'air : 1030 m3/h</t>
  </si>
  <si>
    <t>PULSOR 400 ZE / R452A</t>
  </si>
  <si>
    <t>Boîtier connecté web type MX2/LYNX</t>
  </si>
  <si>
    <t>Puissance frigorifique sur route (à 2400 tr/min) : à 0°C = 3575 W / à -20°C = 1930 W</t>
  </si>
  <si>
    <t>Débit d'air : 1580 m3/h</t>
  </si>
  <si>
    <t>PULSOR 400 MT ZE (2 évaporateurs MCL850 ) / R452A</t>
  </si>
  <si>
    <t>Hauteur sous évaporateur : 1740 mm</t>
  </si>
  <si>
    <t>PULSOR 400 MT (2 évaporateurs MCL850) / R452A</t>
  </si>
  <si>
    <t>Evaporateur avant coté gauche soufflant vers la porte</t>
  </si>
  <si>
    <t>Enregistreur de température DATACOLD 600R avec imprimante (2 sondes)</t>
  </si>
  <si>
    <t>Certicold Pharma</t>
  </si>
  <si>
    <t>T-1100 X 50 SPECTRUM S3-S3  / R452A</t>
  </si>
  <si>
    <t>Hauteur sous évaporateur : 2165 mm</t>
  </si>
  <si>
    <t>Blue Box</t>
  </si>
  <si>
    <t>NEOS HE 100S  / MNS600 / R134a</t>
  </si>
  <si>
    <t>(Classe A)</t>
  </si>
  <si>
    <t>Hauteur sous évaporateur : 845 mm</t>
  </si>
  <si>
    <t>Puissance frigorifique sur route (à 2400 tr/min) : à 0°C = 970 W</t>
  </si>
  <si>
    <t>Débit d'air : 570 m3/h</t>
  </si>
  <si>
    <t xml:space="preserve">1 contacteur de porte arrêt ventilation (portes AR) </t>
  </si>
  <si>
    <t>NEOS HE 200S / MNS850</t>
  </si>
  <si>
    <t>Fonctionnement Route et Secteur</t>
  </si>
  <si>
    <t>Hauteur sous évaporateur : 790 mm</t>
  </si>
  <si>
    <t>Puissance frigorifique sur route (à 2400 tr/min) : à 0°C = 1516 W / à -20°C = 554 W</t>
  </si>
  <si>
    <t>Débit d'air : 1125 m3/h</t>
  </si>
  <si>
    <t>NEOS HE 200S / MNS850  / R452</t>
  </si>
  <si>
    <t>Hauteur sous évaporateur : 1225 mm</t>
  </si>
  <si>
    <t>Puissance frigorifique sur route (à 2400 tr/min) : à 0°C = 1520 W</t>
  </si>
  <si>
    <t>Fonctionnement Route (batterie indépendante 6 kWh) et Secteur</t>
  </si>
  <si>
    <t>NEOS HE 200S</t>
  </si>
  <si>
    <t>VESNA</t>
  </si>
  <si>
    <t>V10R / R134a</t>
  </si>
  <si>
    <t>Fonctionnement Route (Batterie indépendante)</t>
  </si>
  <si>
    <t>Secteur (220V Monophasé)</t>
  </si>
  <si>
    <t>Hauteur sous évaporateur : 720 mm</t>
  </si>
  <si>
    <t>Puissance frigorifique sur route : à 0°C = 578 W</t>
  </si>
  <si>
    <t>Débit d'air : 600 m3/h</t>
  </si>
  <si>
    <t>Boitiers de commandes à affichage numérique &amp; extraction données USB</t>
  </si>
  <si>
    <t>1 câble pour recharger la batterie du groupe frigorifique sur secteur</t>
  </si>
  <si>
    <t xml:space="preserve">DHOLLANDIA </t>
  </si>
  <si>
    <t>DH-LMA.08</t>
  </si>
  <si>
    <t>Rabattable</t>
  </si>
  <si>
    <t>Puissance 750 Kg</t>
  </si>
  <si>
    <t xml:space="preserve">Plateforme aluminium </t>
  </si>
  <si>
    <t xml:space="preserve">profondeur 1450 mm </t>
  </si>
  <si>
    <t>2 arrêtoirs de rolls manuels</t>
  </si>
  <si>
    <t>Boitier de commande extérieur avec prise et commande filaire + Commande intérieure extra-plate</t>
  </si>
  <si>
    <t>DH-LMA.10</t>
  </si>
  <si>
    <t>Plateforme aluminium</t>
  </si>
  <si>
    <t>DH-SM.15</t>
  </si>
  <si>
    <t>Rétractable</t>
  </si>
  <si>
    <t>Puissance 1500 Kg</t>
  </si>
  <si>
    <t xml:space="preserve">Plateforme acier / aluminium </t>
  </si>
  <si>
    <t>profondeur 1700 mm / largeur 2150 mm</t>
  </si>
  <si>
    <t>avec barre de torsion</t>
  </si>
  <si>
    <t>profondeur 1700 mm / largeur 2250 mm</t>
  </si>
  <si>
    <t>DH-SM.20</t>
  </si>
  <si>
    <t>Puissance 2000 Kg</t>
  </si>
  <si>
    <t>profondeur 1700 mm / largeur 2300 mm</t>
  </si>
  <si>
    <t>profondeur 1700 mm / largeur 2400 mm</t>
  </si>
  <si>
    <t>DH-SMR.20</t>
  </si>
  <si>
    <t>profondeur 1800 mm / largeur 2400 mm</t>
  </si>
  <si>
    <t>Boitier de commande extérieur + Commande intérieure extra-plate + Prise intérieure à l'arrière droit avec commande filaire</t>
  </si>
  <si>
    <t>Autonome avec batteries rechargées par le groupe frigo</t>
  </si>
  <si>
    <t>DH-LMA.15</t>
  </si>
  <si>
    <t>Puissance 1000 Kg</t>
  </si>
  <si>
    <t xml:space="preserve">profondeur 1600 mm </t>
  </si>
  <si>
    <t>Boitier de commande extérieur (sans prise) + Commande filaire intérieure avec prise</t>
  </si>
  <si>
    <t>DH-LM.15</t>
  </si>
  <si>
    <t>Plateforme acier (Face extérieure peinte)</t>
  </si>
  <si>
    <t xml:space="preserve">profondeur 1750 mm </t>
  </si>
  <si>
    <t>DH-LM.20</t>
  </si>
  <si>
    <t>DH-LMA.20</t>
  </si>
  <si>
    <t>Plateforme aluminium (face extérieure peinte en blanc)</t>
  </si>
  <si>
    <t xml:space="preserve">profondeur 2050 mm </t>
  </si>
  <si>
    <t>Feux de sécurité avec protections</t>
  </si>
  <si>
    <t xml:space="preserve">profondeur 1700 mm </t>
  </si>
  <si>
    <t xml:space="preserve">profondeur 1800 mm </t>
  </si>
  <si>
    <r>
      <t xml:space="preserve">Puissance 750 kg (charge maxi admissible à l'axe sur la largeur du plateau et à </t>
    </r>
    <r>
      <rPr>
        <b/>
        <sz val="8"/>
        <color rgb="FFFF0000"/>
        <rFont val="Calibri"/>
        <family val="2"/>
        <scheme val="minor"/>
      </rPr>
      <t>750 mm du talon</t>
    </r>
    <r>
      <rPr>
        <sz val="8"/>
        <rFont val="Calibri"/>
        <family val="2"/>
        <scheme val="minor"/>
      </rPr>
      <t>)</t>
    </r>
  </si>
  <si>
    <t>DHOLLANDIA DH-SM.30 rétractable</t>
  </si>
  <si>
    <t>DHOLLANDIA DH-LMA.30 rabattable</t>
  </si>
  <si>
    <t>DHOLLANDIA DH-SM.15 rétractable</t>
  </si>
  <si>
    <t>HL_Sans hayon</t>
  </si>
  <si>
    <t>HL_Sans option</t>
  </si>
  <si>
    <t>HL_POMONA-OPTION_Blue Spots</t>
  </si>
  <si>
    <t>Feux de protection piétons Orange</t>
  </si>
  <si>
    <t>HL_POMONA-OPTION_Orange</t>
  </si>
  <si>
    <t>HL_POMONA-OPTION_Orange Spots</t>
  </si>
  <si>
    <t>HL_RB_DH-LMA08_750kg-CG600_750kg_1450mm-POMONA</t>
  </si>
  <si>
    <t>HL_RB_DH-LMA10_750kg-CG750_1600mm-POMONA-EPS-CS</t>
  </si>
  <si>
    <t>Commande à distance 2 boutons avec 1 prise à l'intérieur de la caisse au pavillon à l'arrière droit</t>
  </si>
  <si>
    <t>HL_RB_DH-LMA10_750kg-CG750_1600mm-POMONA-EPS-CI</t>
  </si>
  <si>
    <t>HL_RB_DH-LMA10_750kg-CG750_1600mm-POMONA</t>
  </si>
  <si>
    <t>HL_RB_DH-LMA15-CG750_1000kg_2150mm-PONOMA-EPS-CS</t>
  </si>
  <si>
    <t>HL_RB_DH-LMA15-CG750_1000kg_2150mm-PONOMA-EPS-CI</t>
  </si>
  <si>
    <t>HL_RB_DH-LMA30_2000kg-CG750_2150mm-POMONA-EPS</t>
  </si>
  <si>
    <t>HL_RB_DH-LMA30_2000kg-CG750_2160mm-POMONA-EPS</t>
  </si>
  <si>
    <t>HL_RT_DH-SM15_1500kg-CG750_1800mm-2150mm-PONONA</t>
  </si>
  <si>
    <t>HL_RT_DH-SM15_1500kg-CG750_1800mm-2250mm-POMONA</t>
  </si>
  <si>
    <t>HL_RT_DH-SM15_1500kg-CG750_1800mm-2300mm-POMONA</t>
  </si>
  <si>
    <t>HL_RT_DH-SO10_750kg-CG750_1600mm-POMONA</t>
  </si>
  <si>
    <t>HL_RT_DH-SM30_2000kg-CG750_2000mm-2400mm-POMONA-SR</t>
  </si>
  <si>
    <t>HL_RT_DH-SM30_2000kg-CG750_2000mm-2400mm-POMONA</t>
  </si>
  <si>
    <t>FIAT DUCATO - CAISSE FRIGORIFIQUE / MONO TEMPERATURE</t>
  </si>
  <si>
    <t>IVECO DAILY - CAISSE FRIGORIFIQUE / MONO TEMPERATURE</t>
  </si>
  <si>
    <t>IVECO EUROCARGO  - CAISSE FRIGORIFIQUE / MONO TEMPERATURE</t>
  </si>
  <si>
    <t>RENAULT GAMME D  - CAISSE FRIGORIFIQUE / MONO TEMPERATURE</t>
  </si>
  <si>
    <t>35S14CF - 8 ROLLS - LARGE - SAVEURS D'ANTONE</t>
  </si>
  <si>
    <t>72C18CF - 8 PAL - SAVEURS D'ANTONE</t>
  </si>
  <si>
    <t>SEMI REMORQUE - CAISSE FRIGORIFIQUE / MONO TEMPERATURE / SANS HAYON</t>
  </si>
  <si>
    <t>SEMI REMORQUE - CAISSE FRIGORIFIQUE / MONO TEMPERATURE/ DOUBLE PLANCHER / SANS HAYON</t>
  </si>
  <si>
    <t>SEMI REMORQUE - CAISSE FRIGORIFIQUE / MONO TEMPERATURE / HAYON</t>
  </si>
  <si>
    <t>SEMI REMORQUE- CAISSE FRIGORIFIQUE / MONO TEMPERATURE / DOUBLE PLANCHER / HAYON</t>
  </si>
  <si>
    <t>35S14CF04  URBAN - 6 PAL - LONG - HAYON - TERRE AZUR</t>
  </si>
  <si>
    <t>IVECO DAILY - CAISSE FRIGORIFIQUE / MONO TEMPERATURE/ HAYON</t>
  </si>
  <si>
    <t>IVECO DAILY - CAISSE FRIGORIFIQUE / MONO TEMPERATURE / HAYON</t>
  </si>
  <si>
    <t>IVECO DAILY - CAISSE FRIGORIFIQUE / MONO TEMPERATURE / HAYON RABATTABLE</t>
  </si>
  <si>
    <t>IVECO EUROCARGO - CAISSE FRIGORIFIQUE / MONO TEMPERATURE / HAYON</t>
  </si>
  <si>
    <t>IVECO DAILY - CAISSE FRIGORIFIQUE / MONO TEMPERATURE / HAYON RETRACTABLE</t>
  </si>
  <si>
    <t>RENAULT GAMME D WIDE - CAISSE FRIGORIFIQUE / MONO TEMPERATURE / DOUBLE PLANCHER / HAYON</t>
  </si>
  <si>
    <t>RENAULT GAMME D WIDE - CAISSE FRIGORIFIQUE / MONO TEMPERATURE / HAYON</t>
  </si>
  <si>
    <t>RENAULT GAMME D - CAISSE FRIGORIFIQUE / MONO TEMPERATURE / HAYON</t>
  </si>
  <si>
    <t>D19.280 CF - 21 PAL - TERRE AZUR</t>
  </si>
  <si>
    <t>D19.280 CF - 42 PAL - DOUBLE PLANCHER - TERRE AZUR</t>
  </si>
  <si>
    <t>D19.280 CF - 21 PAL - 3 VTX - PASSION FROID</t>
  </si>
  <si>
    <t>D19.280 CF - 21 PAL - EASY ACC'AIR - PASSION FROID</t>
  </si>
  <si>
    <t>D19.280 CF - 21 PAL - HAYON RETRACTABLE - RELAIS D'OR</t>
  </si>
  <si>
    <t>D19.280 CS - 18 PAL - EPISAVEURS</t>
  </si>
  <si>
    <t>D19.280 CS - 21 PAL - EPISAVEURS</t>
  </si>
  <si>
    <t>D19.280 CI - 18 PAL - EPISAVEURS</t>
  </si>
  <si>
    <t>D19.280 CI - 21 PAL - EPISAVEURS</t>
  </si>
  <si>
    <t>72C18 CI - 8 PAL - 2 PORTES ARRIERE - HAYON - EPISAVEURS</t>
  </si>
  <si>
    <t>72C18 CI - 8 PAL - FERMETURE TOTALE - HAYON  - EPISAVEURS</t>
  </si>
  <si>
    <t>72C18 CS - 8 PAL - FERMETURE TOTALE - HAYON - EPISAVEURS</t>
  </si>
  <si>
    <t>T19.440 TR - PASSION FROID</t>
  </si>
  <si>
    <t>T19.440 TR - RELAIS D'OR</t>
  </si>
  <si>
    <t>T19.440 TR - TERRE AZUR</t>
  </si>
  <si>
    <t>T19.440 TR - EPISAVEURS</t>
  </si>
  <si>
    <t>SEMI REMORQUE - CAISSE ISOTHERME / SANS HAYON</t>
  </si>
  <si>
    <t>SEMI REMORQUE - CAISSE ISOTHERME / MULTIPLANCHER / SANS HAYON</t>
  </si>
  <si>
    <t>SEMI REMORQUE - CAISSE ISOTHERME / HAYON</t>
  </si>
  <si>
    <t>SEMI REMORQUE - CAISSE ISOTHERME / MULTIPLANCHER  / HAYON</t>
  </si>
  <si>
    <t>72C18 CS - 8 PAL - 2 PORTES ARRIERE - HAYON - EPISAVEURS</t>
  </si>
  <si>
    <t>IVECO DAILY - CAISSE SECHE / 8 PALETTES / FERMETURE TOTALE / HAYON</t>
  </si>
  <si>
    <t>IVECO DAILY - CAISSE ISOTHERME / 8 PALETTES / FERMETURE TOTALE / HAYON</t>
  </si>
  <si>
    <t>IVECO DAILY - CAISSE SECHE / 8 PALETTES / 2 PORTES ARRIERE / HAYON</t>
  </si>
  <si>
    <t>IVECO DAILY - CAISSE ISOTHERME / 8 PALETTES / 2 PORTES ARRIERE / HAYON</t>
  </si>
  <si>
    <t>IVECO EUROCARGO - CAISSE SECHE / 15 PALETTES / HAYON</t>
  </si>
  <si>
    <t>IVECO EUROCARGO - CAISSE SECHE / 18 PALETTES / HAYON</t>
  </si>
  <si>
    <t>IVECO EUROCARGO - CAISSE SECHE / 21 PALETTES / HAYON</t>
  </si>
  <si>
    <t>RENAULT GAMME D - CAISSE SECHE / 15 PALETTES / HAYON</t>
  </si>
  <si>
    <t>RENAULT GAMME D - CAISSE SECHE / 18 PALETTES / HAYON</t>
  </si>
  <si>
    <t>RENAULT GAMME D WIDE - CAISSE SECHE / 18 PALETTES / HAYON</t>
  </si>
  <si>
    <t>RENAULT GAMME D WIDE - CAISSE SECHE / 21 PALETTES / HAYON</t>
  </si>
  <si>
    <t>IVECO EUROCARGO - CAISSE ISOTHERME / 15 PALETTES / HAYON</t>
  </si>
  <si>
    <t>IVECO EUROCARGO - CAISSE ISOTHERME / 18 PALETTES / HAYON</t>
  </si>
  <si>
    <t>IVECO EUROCARGO - CAISSE ISOTHERME/ 18 PALETTES / HAYON</t>
  </si>
  <si>
    <t>IVECO EUROCARGO - CAISSE ISOTHERME/ 21 PALETTES / HAYON</t>
  </si>
  <si>
    <t>RENAULT GAMME D - CAISSE ISOTHERME / 15 PALETTES / HAYON</t>
  </si>
  <si>
    <t>RENAULT GAMME D - CAISSE ISOTHERME / 18 PALETTES / HAYON</t>
  </si>
  <si>
    <t>RENAULT GAMME D WIDE - CAISSE ISOTHERME / 18 PALETTES / HAYON</t>
  </si>
  <si>
    <t>RENAULT GAMME D WIDE - CAISSE ISOTHERME / 21 PALETTES / HAYON</t>
  </si>
  <si>
    <t>35S14CF URBAN - 5 PAL-8 ROLLS - HAYON - RELAIS D'OR</t>
  </si>
  <si>
    <t>Image Publicité</t>
  </si>
  <si>
    <t>M_Sans option</t>
  </si>
  <si>
    <t>M_Sans moteur</t>
  </si>
  <si>
    <t>M_T_440-€VI-E-POMONA-OPTION</t>
  </si>
  <si>
    <t>M_DAILY_3.0_180-€VI-E_BV.HIMATIC-POMONA-OPTION</t>
  </si>
  <si>
    <t>Rabattable
NA</t>
  </si>
  <si>
    <t>Produit (P) 
Produit (P) 
/ Option (O)</t>
  </si>
  <si>
    <t>Modèle
NA
NA</t>
  </si>
  <si>
    <t>Type
NA
NA</t>
  </si>
  <si>
    <t>Version
NA
NA</t>
  </si>
  <si>
    <t>Matière plateforme
Matière Plateau Dimension Plateau
NA</t>
  </si>
  <si>
    <t>Accessoires plateforme
Barre de torsion
NA</t>
  </si>
  <si>
    <t>Type commande
Commande extra plate
NA</t>
  </si>
  <si>
    <t>NA
Commande extérieure
NA</t>
  </si>
  <si>
    <t>NA
Peinture
NA</t>
  </si>
  <si>
    <t>Accessoires
Commande à distance
NA</t>
  </si>
  <si>
    <t>NA
Batteries autonomes
NA</t>
  </si>
  <si>
    <t>Indicateur batterie
Indicateur batterie
NA</t>
  </si>
  <si>
    <t>Fanions
NA
NA</t>
  </si>
  <si>
    <t>Feux de sécurité
Feux de protection
Feux de protection</t>
  </si>
  <si>
    <t>Cable connexion batterie
NA
NA</t>
  </si>
  <si>
    <t>zone libre 6
NA
Eclairages LED latéraux</t>
  </si>
  <si>
    <t>Interrupteur hayon en cabine
NA
NA</t>
  </si>
  <si>
    <t>Puissance
Puissance CG
NA</t>
  </si>
  <si>
    <t>Dimension plateforme
Arrêtoirs de rolls
NA</t>
  </si>
  <si>
    <t>Arrêtoirs de rolls
NA
NA</t>
  </si>
  <si>
    <t>Produit (P)
Produit (P) 
/ Option (O)</t>
  </si>
  <si>
    <t>Cylindrée en cm3
NA
NA</t>
  </si>
  <si>
    <t>Type de boite
Type de boite
NA</t>
  </si>
  <si>
    <t>Batterie
Batterie et Alternateur
NA</t>
  </si>
  <si>
    <t>Alternateur
Vitesse maxi / Bridage
NA</t>
  </si>
  <si>
    <t>Frein échappement  / moteur
NA
NA</t>
  </si>
  <si>
    <t>Rapport de pont
Rapport de pont
NA</t>
  </si>
  <si>
    <t>EGR
NA
NA</t>
  </si>
  <si>
    <t>SCR
NA
NA</t>
  </si>
  <si>
    <t>FAP
NA
NA</t>
  </si>
  <si>
    <t>Baterie électrique
NA
NA</t>
  </si>
  <si>
    <t>Rechargement
NA
NA</t>
  </si>
  <si>
    <t>Récupération énergie
NA
NA</t>
  </si>
  <si>
    <t>Vitesse maxi 
NA
NA</t>
  </si>
  <si>
    <t>Autonimie 1
NA
NA</t>
  </si>
  <si>
    <t>Autonimie 2
NA
NA</t>
  </si>
  <si>
    <t>Niv Sonore
NA
NA</t>
  </si>
  <si>
    <t>_
NA
NA</t>
  </si>
  <si>
    <t>Cable 1 
NA
NA</t>
  </si>
  <si>
    <t>et
NA
NA</t>
  </si>
  <si>
    <t>Cable 2
NA
NA</t>
  </si>
  <si>
    <t>Key Out
NA
NA</t>
  </si>
  <si>
    <t>zone libre 13
NA
Radars avant</t>
  </si>
  <si>
    <t>Cylindrée en Litres
Nb cylindre - cm3 / Litres
Bridage 2</t>
  </si>
  <si>
    <t>Type moteur
Type moteur - Puissance
Bridage 1</t>
  </si>
  <si>
    <t>Norme pollution
Norme pollution
Sans option</t>
  </si>
  <si>
    <t>Principe fonctionnement
NA
Motorisation 1</t>
  </si>
  <si>
    <t>Puissance
NA
Motorisation 2</t>
  </si>
  <si>
    <t>Nb cylindre
NA
Motorisation 3</t>
  </si>
  <si>
    <t>M_DAILY_2.3_136-HD-€VI-E_BV.HIMATIC_ModeECO-POMONA</t>
  </si>
  <si>
    <t>M_DAILY_3.0_180-€VI-E_BV.HIMATIC-POMONA</t>
  </si>
  <si>
    <t>M_T_440-€VI-E-POMONA</t>
  </si>
  <si>
    <t>M_POMONA-SDA-OPTION</t>
  </si>
  <si>
    <t>M_DUCATO_2.2_140_BVAT8-€6e-POMONA</t>
  </si>
  <si>
    <t>M_EUROCARGO_190-€VI-E_B170Ah-POMONA</t>
  </si>
  <si>
    <t>M_EUROCARGO_190-€VI-E_B170Ah-POMONA-210-220ch-OPTION</t>
  </si>
  <si>
    <t>M_EUROCARGO_190-€VI-E_B170Ah-POMONA-210-250ch-OPTION</t>
  </si>
  <si>
    <t>M_EUROCARGO_210-€VI-E_B170Ah-POMONA</t>
  </si>
  <si>
    <t>M_EUROCARGO_280-€VI-E_B170Ah-POMONA</t>
  </si>
  <si>
    <t>M_EUROCARGO_280-€VI-E_B170Ah-POMONA-320ch-OPTION</t>
  </si>
  <si>
    <t>M_EUROCARGO_280-€VI-E_B170Ah-POMONA-320ch(-40kgCU)-OPTION</t>
  </si>
  <si>
    <t>M_D_210-€VI-E_BVA-OPTISHIFT-POMONA</t>
  </si>
  <si>
    <t>M_D_280-€VI-E_BVR-OPTIDRIVER-POMONA</t>
  </si>
  <si>
    <t>M_D_210-€VI-E_BVA-OPTISHIFT-POMONA-OPTION</t>
  </si>
  <si>
    <t>M_D_280-€VI-E_BVR-OPTIDRIVER-POMONA-OPTION</t>
  </si>
  <si>
    <t>M_EUROCARGO_210-€VI-E_B170Ah-POMONA-250ch(-150kgCU)-OPTION</t>
  </si>
  <si>
    <t>M_EUROCARGO_210-€VI-E_B170Ah-POMONA-250ch(-240kgCU)-OPTION</t>
  </si>
  <si>
    <t>M_EUROCARGO_210-€VI-E_B170Ah-POMONA-250ch(-150 kg CU)-OPTION</t>
  </si>
  <si>
    <r>
      <t>Motorisation 6 cylindres 6728 cm3 - 320 ch. (- 40 kg CU</t>
    </r>
    <r>
      <rPr>
        <u/>
        <sz val="11"/>
        <rFont val="Aptos"/>
        <family val="2"/>
      </rPr>
      <t>)</t>
    </r>
  </si>
  <si>
    <t>Marque groupe
Marque Modèle Chauffage Classe froid
Sans option</t>
  </si>
  <si>
    <t>Modèle groupe
NA
Groupe 1</t>
  </si>
  <si>
    <t>Classe froid
NA
Groupe 2</t>
  </si>
  <si>
    <t>Type fonctionnement
Type Tension fonctionnement
Enregistreur température 2</t>
  </si>
  <si>
    <t>Evaporateur avant soufflant vers l'arrière et évaporateur arrière MHS 1100 à gauche soufflant vers l'avant</t>
  </si>
  <si>
    <t>Hauteur sous évaporateur
NA
Démarrage automatique</t>
  </si>
  <si>
    <t>Type évaporateur Multitemp.
Réservoir GNR 
NA</t>
  </si>
  <si>
    <t>Puissance Frigorifique
Prise secteur / Rallonge
NA</t>
  </si>
  <si>
    <t>Débit d'air
Rallonge
NA</t>
  </si>
  <si>
    <t>Protection évaporateur Av et Ar
Contact arrêt ventil. porte Ar
NA</t>
  </si>
  <si>
    <t>2 contact. arrêt ventil. (portes lat + AR) 
Contact arrêt ventil. porte Lat
NA</t>
  </si>
  <si>
    <t>Réservoir à carburant
NA
NA</t>
  </si>
  <si>
    <t>zone libre 5
NA
NA</t>
  </si>
  <si>
    <t>zone libre 4
NA
Chargeur de batteries hayon</t>
  </si>
  <si>
    <t>zone libre 6
NA
NA</t>
  </si>
  <si>
    <t>Commande cabine température
NA
NA</t>
  </si>
  <si>
    <t>1 câble 10 m avec 1 fiche mâle
NA
NA</t>
  </si>
  <si>
    <t>Temps recharge
NA
NA</t>
  </si>
  <si>
    <t>Autonomie 
NA
NA</t>
  </si>
  <si>
    <t>A la charge du Locataire : 1 prise
NA
NA</t>
  </si>
  <si>
    <t>zone libre 13
NA
NA</t>
  </si>
  <si>
    <t>zone libre 14
NA
NA</t>
  </si>
  <si>
    <t>zone libre 15
NA
NA</t>
  </si>
  <si>
    <t>zone libre 16
NA
NA</t>
  </si>
  <si>
    <t>zone libre 17
NA
NA</t>
  </si>
  <si>
    <t>zone libre 18
NA
NA</t>
  </si>
  <si>
    <t>zone libre 19
NA
NA</t>
  </si>
  <si>
    <t>zone libre 20
NA
NA</t>
  </si>
  <si>
    <t>Chauffage gaz chaud
NA
Enregistreur température 1</t>
  </si>
  <si>
    <t>GF_Sans option</t>
  </si>
  <si>
    <t>GF_Sans groupe frigorifique</t>
  </si>
  <si>
    <t>GF_V600XMAX_SPEC-50_A_C_1830mm_Cable10m_Protec.Inox_BBLite</t>
  </si>
  <si>
    <t>V-600X MAX SPECTRUM 50 - ES300 + ES300 / R452A</t>
  </si>
  <si>
    <t>Hauteur sous évaporateur : 1830 mm</t>
  </si>
  <si>
    <t>Protection évaporateurs avant et arrière en INOX</t>
  </si>
  <si>
    <t>GF_SHE9-MT_1950mm_Cable10m_Protec.Inox</t>
  </si>
  <si>
    <t>SUPRA HE9 MT / R452A</t>
  </si>
  <si>
    <t>GF_P600MT_CC_1859mm-AR-POMONA</t>
  </si>
  <si>
    <t>GF_P600MT_CC_1845mm-POMONA</t>
  </si>
  <si>
    <t>GF_P600MT_CC_1705mm-POMONA</t>
  </si>
  <si>
    <t>GF_SHE11-MT_CC_2165mm_90L-POMONA</t>
  </si>
  <si>
    <t>GF_SHE11-MT_CC_2165mm_50L-POMONA</t>
  </si>
  <si>
    <t>GF_SHE11-MT-CC_2070mm-POMONA</t>
  </si>
  <si>
    <t>GF_SHE11-MT-CC_2170mm-POMONA</t>
  </si>
  <si>
    <t>GF_SHE11-R2S-C_2074mm-POMONA</t>
  </si>
  <si>
    <t>GF_SHE6-R2S-C_1736mm-POMONA</t>
  </si>
  <si>
    <t>GF_SHE6-R2S-C_1739mm-POMONA</t>
  </si>
  <si>
    <t>GF_SHE6-R2S-C_1939mm-POMONA</t>
  </si>
  <si>
    <t>GF_SHE6-R2S-C_1989mm-POMONA</t>
  </si>
  <si>
    <t>GF_SHE8-R2S-C_2074mm_50L-POMONA</t>
  </si>
  <si>
    <t>GF_SHE8-R2S-C_2074mm_90L-POMONA</t>
  </si>
  <si>
    <t>GF_SHE9-R2S-C_2074mm-POMONA</t>
  </si>
  <si>
    <t>GF_V600XMAX_SPEC-50_CC_1846-1910mm-POMONA</t>
  </si>
  <si>
    <t>GF_X350T_C_1685mm-POMONA</t>
  </si>
  <si>
    <t>GF_X350T_C_1692mm-POMONA</t>
  </si>
  <si>
    <t>GF_X350T_C_1760mm-POMONA</t>
  </si>
  <si>
    <t>GF_X350T_C_1835mm-POMONA</t>
  </si>
  <si>
    <t>GF_V-HE19-C-CHEREAU-POMONA</t>
  </si>
  <si>
    <t>GF_V-HE19-C-HAYON-CHEREAU-POMONA</t>
  </si>
  <si>
    <t>GF_SHE13-MT-CC_2165mm-POMONA</t>
  </si>
  <si>
    <t>GF_SHE13-MT-CC_2170mm-POMONA</t>
  </si>
  <si>
    <t>GF_SHE13-MT-CC_2165mm-EASY ACC'AIR-POMONA</t>
  </si>
  <si>
    <t>GF_SHE13-MT-CC_2165mm-Pcoffre-POMONA</t>
  </si>
  <si>
    <t>GF_SHE8-MT-CC_1817 mm-POMONA</t>
  </si>
  <si>
    <t>GF_V-HE19MT-CC-CHEREAU-POMONA</t>
  </si>
  <si>
    <t>GF_V-HE19MT-CC-HAYON-CHEREAU-POMONA</t>
  </si>
  <si>
    <t>GF_SHE9-MT-CC_1970mm-POMONA</t>
  </si>
  <si>
    <t>GF_P600MT_CC-POMONA-OPTION</t>
  </si>
  <si>
    <t>GF_SHE11-R2S-C-POMONA-OPTION</t>
  </si>
  <si>
    <t>GF_SHE6-R2S-C-POMONA-OPTION</t>
  </si>
  <si>
    <t>GF_SHE8-R2S-C-POMONA-OPTION</t>
  </si>
  <si>
    <t>GF_SHE9-R2S-C-POMONA-OPTION</t>
  </si>
  <si>
    <t>GF_V-HE19-C-POMONA-OPTION</t>
  </si>
  <si>
    <t>GF_X350T_C_DC300R-POMONA-OPTION</t>
  </si>
  <si>
    <t>GF_X350T_C_DC600R-POMONA-OPTION</t>
  </si>
  <si>
    <t>GF_V-HE19MT-CC-CHEREAU-POMONA-OPTION</t>
  </si>
  <si>
    <t>GF_SHE11-MT_CC-POMONA-OPTION</t>
  </si>
  <si>
    <t>GF_V600XMAX_SPEC-50_CC-POMONA-OPTION</t>
  </si>
  <si>
    <t>GF_SHE13-MT-CC-POMONA-OPTION</t>
  </si>
  <si>
    <t>GF_SHE8-MT-CC-POMONA-OPTION</t>
  </si>
  <si>
    <t>GF_SHE9-MT-CC-POMONA-OPTION</t>
  </si>
  <si>
    <t>Radars de recul
Banquette passagers
NA</t>
  </si>
  <si>
    <t>Siège conducteur
Siège conducteur
NA</t>
  </si>
  <si>
    <t>Caméra de recul
Caméra de recul
NA</t>
  </si>
  <si>
    <t>Régulateur
Radars de recul
NA</t>
  </si>
  <si>
    <t>Volant 
Régulateur de vitesse
NA</t>
  </si>
  <si>
    <t>Prise 12V - 24 V
Limiteur de vitesse
NA</t>
  </si>
  <si>
    <t>Antibrouillard Av
Climatisation 
NA</t>
  </si>
  <si>
    <t>Couchette
Chronotachygraphe
NA</t>
  </si>
  <si>
    <t>Suspension cabine
Allumage feux / essuies glace
NA</t>
  </si>
  <si>
    <t>Chauffage autonome
Prise FMS
NA</t>
  </si>
  <si>
    <t>Climatisation
Coffre de rangement 
NA</t>
  </si>
  <si>
    <t>Déflecteur
TPMS
NA</t>
  </si>
  <si>
    <t>Prise FMS
Phares avant 
NA</t>
  </si>
  <si>
    <t>Tunnel / Rang. Coffre sur tunnel mot.
Phares avant antibrouillard
NA</t>
  </si>
  <si>
    <t>Trappe de toit
KEYOUT / Run Lock
NA</t>
  </si>
  <si>
    <t>Boite de rangement
Chauffage autonome
NA</t>
  </si>
  <si>
    <t>Elements de sécurité
Marteau brise vitre
NA</t>
  </si>
  <si>
    <t>Extincteur
Soufflette air comprimé
NA</t>
  </si>
  <si>
    <t>Chronotachygraphe
Prises 12V et 24 V
NA</t>
  </si>
  <si>
    <t>Kit fumeur
Extincteur
NA</t>
  </si>
  <si>
    <t>TPMS
Porte vison côté passager
NA</t>
  </si>
  <si>
    <t>Frein stationnement électrique
Pare chocs avant angles en acier
NA</t>
  </si>
  <si>
    <t>Peinture
Déflecteur de toit
NA</t>
  </si>
  <si>
    <t>Triangle de signalisation
Déflecteurs latéraux
NA</t>
  </si>
  <si>
    <t>zone libre 10
Suspension cabine
NA</t>
  </si>
  <si>
    <t>zone libre 11
Aérateur de pavillon
NA</t>
  </si>
  <si>
    <t>zone libre 12
Télématique SAMSARA 
NA</t>
  </si>
  <si>
    <t>Télématique
NA
NA</t>
  </si>
  <si>
    <t>Marque
Marque Modèle Type Version
Sans option</t>
  </si>
  <si>
    <t>Nb places
CaB Nb places Couleur
Sans option</t>
  </si>
  <si>
    <t>Direction assistée
Couchette
Radars avant</t>
  </si>
  <si>
    <t>Verrouillage cabine
Verrouillage centralisé
Phares avant antibrouillard</t>
  </si>
  <si>
    <t>Vitres
Vitres électriques
Phares avant full LED</t>
  </si>
  <si>
    <t>Rétroviseurs
Airbags 
Frein de parc électrique</t>
  </si>
  <si>
    <t>Airbag
Rétroviseurs 
Run Lock</t>
  </si>
  <si>
    <t>Radio
Radio
GPS</t>
  </si>
  <si>
    <t>Bluetooth
Volant 
Chronotachygraphe</t>
  </si>
  <si>
    <t>C_DUCATO_PC-POMONA-PF</t>
  </si>
  <si>
    <t>C_DUCATO_PC-POMONA-SDA</t>
  </si>
  <si>
    <t>C_DUCATO_PC-POMONA-PF-OPTION</t>
  </si>
  <si>
    <t>C_DUCATO_PC-POMONA-SDA-OPTION</t>
  </si>
  <si>
    <t>C_DAILY_3.5-POMONA</t>
  </si>
  <si>
    <t>C_DAILY_3.5_Run Lock-POMONA</t>
  </si>
  <si>
    <t>C_DAILY_3.5_Chrono-PhAntibrouillard-POMONA</t>
  </si>
  <si>
    <t>C_DAILY_3.5-POMONA-TA-OPTION</t>
  </si>
  <si>
    <t>C_DAILY_3.5-POMONA-SDA-OPTION</t>
  </si>
  <si>
    <t>C_DAILY_3.5- 4PAL-POMONA-RDO-OPTION</t>
  </si>
  <si>
    <t>C_DAILY_3.5- 5PAL-POMONA-RDO-OPTION</t>
  </si>
  <si>
    <t>C_DAILY+3.5-POMONA-D&amp;C-PF</t>
  </si>
  <si>
    <t>C_DAILY_3.5-POMONA-D&amp;C-PF-OPTION</t>
  </si>
  <si>
    <t>C_DAILY+3.5-POMONA-RDO</t>
  </si>
  <si>
    <t>C_DAILY+3.5-POMONA-SDA</t>
  </si>
  <si>
    <t>C_DAILY+3.5-POMONA-TA</t>
  </si>
  <si>
    <t>C_DAILY+3.5-POMONA-EPS</t>
  </si>
  <si>
    <t>C_T_TRACTEUR -POMONA</t>
  </si>
  <si>
    <t>C_Sans option</t>
  </si>
  <si>
    <t>C_D-POMONA-OPTION</t>
  </si>
  <si>
    <t>C_D_GPS-POMONA-OPTION</t>
  </si>
  <si>
    <t>C_D_PAvHalo_CamRT-POMONA</t>
  </si>
  <si>
    <t>C_EUROCARGO_GPS-POMONA-OPTION</t>
  </si>
  <si>
    <t>C_EUROCARGO-POMONA-OPTION</t>
  </si>
  <si>
    <t>C_EUROCARGO_PAvHalo_CamIVCO-POMONA</t>
  </si>
  <si>
    <t>C_EUROCARGO_PAvHalo-POMONA</t>
  </si>
  <si>
    <t>C_EUROCARGO_PAvLED_CamIVCO-POMONA</t>
  </si>
  <si>
    <t>C_D_PAvLED-POMONA</t>
  </si>
  <si>
    <t>C_D_PAvLED_CamRT-POMONA</t>
  </si>
  <si>
    <t>C_DAILY+3.5_GPS-POMONA-RDO-OPTION</t>
  </si>
  <si>
    <t>C_DAILY+3.5_GPS-POMONA-SDA-OPTION</t>
  </si>
  <si>
    <t>C_DAILY+3.5-POMONA-OPTION</t>
  </si>
  <si>
    <t>C_Sans cabine</t>
  </si>
  <si>
    <t>Tension de fonctionnement
NA
Thermomètre</t>
  </si>
  <si>
    <t>Blue Box Lite  / BB Lite   / LYNX
Affichage numérique
NA</t>
  </si>
  <si>
    <t>Enregistreur de température
Commande Cab température
NA</t>
  </si>
  <si>
    <t>Essuie vitre av  / allumage auto feux
Pare chocs avant en acier
NA</t>
  </si>
  <si>
    <t>Blocage de différentiel
NA
NA</t>
  </si>
  <si>
    <t>ESP / GSRII (General Safety Regulation)
NA
NA</t>
  </si>
  <si>
    <t>LDWS
NA
NA</t>
  </si>
  <si>
    <t>AEBS
NA
NA</t>
  </si>
  <si>
    <t>Vitesse Maxi
NA
NA</t>
  </si>
  <si>
    <t>Autonomie 1
NA
NA</t>
  </si>
  <si>
    <t>Autonomie 2
NA
NA</t>
  </si>
  <si>
    <t>Grilles de protection feux AR
NA
NA</t>
  </si>
  <si>
    <t>Poids en ordre de marche ±5%
NA
NA</t>
  </si>
  <si>
    <t>Prise 13 broches
NA
NA</t>
  </si>
  <si>
    <t>Extincteur 6 Kg + coffre
NA
NA</t>
  </si>
  <si>
    <t>Lampe portable de détresse
NA
NA</t>
  </si>
  <si>
    <t>Pré-équipement télématique
NA
NA</t>
  </si>
  <si>
    <t>Coffre à ouitils
NA
NA</t>
  </si>
  <si>
    <t>Fourgon tôlé / Transmission
NA
NA</t>
  </si>
  <si>
    <t>CH_Sans option</t>
  </si>
  <si>
    <t>Ralentisseur TELMA (-240  kg CU)</t>
  </si>
  <si>
    <t>CH_Pneu.Av-POMONA-OPTION</t>
  </si>
  <si>
    <t>CH_Bridage-POMONA-OPTION</t>
  </si>
  <si>
    <t>CH_Bridage_Mot4-6Cyl.-POMONA-OPTION</t>
  </si>
  <si>
    <t>CH_Bridage_Mot6-6Cyl.-POMONA-OPTION</t>
  </si>
  <si>
    <t>CH_Bridage_Mot6Cyl.-POMONA-OPTION</t>
  </si>
  <si>
    <t>CH_Ral.VOITH450kW-POMONA-OPTION</t>
  </si>
  <si>
    <t>CH_POMONA-OPTION</t>
  </si>
  <si>
    <t>CH_Susp.Ar.Pneu.(-13kg)-POMONA-OPTION</t>
  </si>
  <si>
    <t>CH_Susp.Ar.Pneu.(-30kg)-POMONA-OPTION</t>
  </si>
  <si>
    <t>CH_Susp.Ar.Pneu.-POMONA-OPTION</t>
  </si>
  <si>
    <t>CH_Bloc.diff.(-3kg)_Telma(-236kg)-POMONA-OPTION</t>
  </si>
  <si>
    <t>CH_Bloc.diff.(-7kg)_Telma(-240kg)-POMONA-OPTION</t>
  </si>
  <si>
    <t>CH_Bloc.diff.(-8kg)_Telma(-236kg)-POMONA-OPTION</t>
  </si>
  <si>
    <t>CH_Bloc.diff.(-8kg)_Telma(-270kg)-POMONA-OPTION</t>
  </si>
  <si>
    <t>CH_Bridage_Mot4-4-6Cyl.250ch.(-195kg)-POMONA-OPTION</t>
  </si>
  <si>
    <t>CH_Bridage_Mot6Cyl.250ch.(-150kg)-POMONA-OPTION</t>
  </si>
  <si>
    <t>CH_SREM_385-65R22-5-POMONA</t>
  </si>
  <si>
    <t>Dimensions PNEUMATIQUES
Dimensions PNEUMATIQUES
Sans option</t>
  </si>
  <si>
    <t>CH_T_315-70R22-5-POMONA</t>
  </si>
  <si>
    <t xml:space="preserve">Réservoir à carburant
Réservoir à carburant
Blocage de différentiel </t>
  </si>
  <si>
    <t>Type suspension arrière
Réservoir AdBlue
Ralentisseur</t>
  </si>
  <si>
    <t>Type freinage
3 essieux 
NA</t>
  </si>
  <si>
    <t>Buzzer de marche Ar
Freins à disques 
Pneu. montagne AV</t>
  </si>
  <si>
    <t>Réservoir AdBlue
Suspension arrière
Pneu. montagne AR</t>
  </si>
  <si>
    <t>Roue de secours
Freinage EBS
Pneu. montagne AV/AR</t>
  </si>
  <si>
    <t>Adaptateur prise remorque
GSR II
Suspension arrière</t>
  </si>
  <si>
    <t>Hauteur attelage
Témoins de desserage
Bridage 80 km/h</t>
  </si>
  <si>
    <t>Avec Roue de secours dans l'empattement droit</t>
  </si>
  <si>
    <t>Aide au démarrage en côte
Roue de secours
Bridage 85 km/h</t>
  </si>
  <si>
    <t>SREM - Finition châssis
Panier roues de secours
Motorisation 1 :  4 cyl.</t>
  </si>
  <si>
    <t>SREM - Nb Odomètre
Blocage de différentiel
Motorisation 1 :  6 cyl.</t>
  </si>
  <si>
    <t>SREM - Type Essieux
Bruiteur de marche
Motorisation 2 :  4 cyl.</t>
  </si>
  <si>
    <t>SREM - Type béquille
8 anneaux Ferry
Motorisation 2 :  6 cyl.</t>
  </si>
  <si>
    <t>SREM - Nb anneaux
Cales de roues 
NA</t>
  </si>
  <si>
    <t>SREM - Détails Frein
Hauteur d'attelage
NA</t>
  </si>
  <si>
    <t>SREM - Sécurité Travagem 1
Potence
NA</t>
  </si>
  <si>
    <t>SREM - Sécurité Travagem 2
Odomètre
NA</t>
  </si>
  <si>
    <t>SREM - Système mise à quai
Radars de recul 
NA</t>
  </si>
  <si>
    <t>SREM - Système position route
Peinture
NA</t>
  </si>
  <si>
    <t>CH_DAILY-CC_70C_225-75R16-POMONA</t>
  </si>
  <si>
    <t>CH_D_285-70R19-5-POMONA</t>
  </si>
  <si>
    <t>CH_D_4x2_315-80R22-5-POMONA</t>
  </si>
  <si>
    <t>CH_EUROCARGO_245-70R19-5-POMONA</t>
  </si>
  <si>
    <t>CH_EUROCARGO_285-70R19-5-POMONA</t>
  </si>
  <si>
    <t>CH_EUROCARGO_315-70R22-5-POMONA</t>
  </si>
  <si>
    <t>CH_DAILY-CC_35S_225-65R16-RS-POMONA</t>
  </si>
  <si>
    <t>CH_DAILY-CC_35S_225-65R16-SsRS-POMONA</t>
  </si>
  <si>
    <t>CH_DAILY-CC_70C_225-75R1-HELPER-POMONA</t>
  </si>
  <si>
    <t>CH_DUCATO-PC_215-75R16-Susp.AR.Renf.-POMONA</t>
  </si>
  <si>
    <t>CH_DUCATO-PC_215-75R16-Susp.AR.4GM-POMONA</t>
  </si>
  <si>
    <t>CH_D_235-75R17-5-Réserv.130L-POMONA</t>
  </si>
  <si>
    <t>CH_D_235-75R17-5-Réserv.215L-POMONA</t>
  </si>
  <si>
    <t>CH_D_245-70R19-5-SsRS-POMONA</t>
  </si>
  <si>
    <t>CH_D_245-70R19-5-RS-POMONA</t>
  </si>
  <si>
    <t>CH_EUROCARGO_225-75R17-5-Réserv.120L-POMONA</t>
  </si>
  <si>
    <t>CH_EUROCARGO_225-75R17-5-Réserv.200L-POMONA</t>
  </si>
  <si>
    <t>CF_Sans option</t>
  </si>
  <si>
    <t>Porte latérale double battants largeur 1000 mm (2 x 500 mm) (sans rails d'arrimage) à 300 mm de l'arrière droit + étrier coulissant 3 marches (1ère marche large) avec 1 sangle montoire de chaque côté et buzzer en cabine (-58 kg CU)</t>
  </si>
  <si>
    <t>Porte latérale double battants largeur 1000 mm (2 x 500 mm) (sans rails d'arrimage) à 300 mm de l'arrière droit + étrier coulissant 3 marches (1ère marche large) avec 1 sangle montoire de chaque côté et buzzer en cabine (-80 kg CU)</t>
  </si>
  <si>
    <t>1 niveau d'étagère relevable en aluminium à droite et à gauche dans le compartiment arrière. Largeur 400 mm, longueur 1900 mm</t>
  </si>
  <si>
    <t>8 rails encastrés verticaux à droite et à gauche pour poutres double plancher</t>
  </si>
  <si>
    <t>Porte latérale coulissante largeur 1000 mm (sans rails d'arrimage) à 300 mm de l'arrière droit + étrier coulissant 3 marches (1ère marche large) avec 1 sangle montoire rouge de chaque côté et buzzer en cabine (-60 kg CU)</t>
  </si>
  <si>
    <t>Porte latérale coulissante largeur 1000 mm (sans rails d'arrimage) à 300 mm de l'arrière droit + étrier coulissant 3 marches (1ère marche large) avec 1 sangle montoire rouge de chaque côté et buzzer en cabine (-80 kg CU)</t>
  </si>
  <si>
    <t>1 niveau de rail d'arrimage aluminium supplémentaire en applique sur 3 faces axé à ..... mm du plancher (-14 kg CU)</t>
  </si>
  <si>
    <t>1 niveau de rail d'arrimage aluminium supplémentaire en applique sur 3 faces axé à ..... mm du plancher (-17 kg CU)</t>
  </si>
  <si>
    <t>1 niveau de rail d'arrimage aluminium supplémentaire en applique sur 3 faces axé à ..... mm du plancher (-21 kg CU)</t>
  </si>
  <si>
    <t>Label PIEK global. Largeur utile sur plinthe 816 mm dans le compartiment gauche et 1625 mm dans le compartiment droit (Caisse / groupe SUPRA 1250 City / hayon (-249 kg CU))</t>
  </si>
  <si>
    <t>Label PIEK global (Caisse (-80 kg CU))</t>
  </si>
  <si>
    <t>Label PIEK global. Largeur utile sur plinthe 816 mm dans le compartiment gauche et 1625 mm dans le compartiment droit (Caisse / groupe SUPRA 1250 City / hayon (-263 kg CU))</t>
  </si>
  <si>
    <t>Label PIEK global (Caisse / groupe SUPRA 1250 City / hayon (-314 kg CU))</t>
  </si>
  <si>
    <t>Label PIEK global (Caisse / groupe SUPRA 1250 City / hayon (-247 kg CU))</t>
  </si>
  <si>
    <t>Label PIEK global (Caisse / groupe SUPRA 1250 City / hayon (-263 kg CU))</t>
  </si>
  <si>
    <t>Label PIEK global (Caisse / groupe SUPRA 1250 City / hayon (-282 kg CU))</t>
  </si>
  <si>
    <t>Label PIEK global (Caisse / groupe SUPRA 1250 City / hayon (-298 kg CU))</t>
  </si>
  <si>
    <t>Label PIEK global (Caisse / groupe SUPRA 1250 City / hayon (-307 kg CU))</t>
  </si>
  <si>
    <t>Label PIEK global (Caisse / groupe VECTOR 19 HE City  (-120 kg CU))</t>
  </si>
  <si>
    <t>Label PIEK global (Caisse / groupe VECTOR 19 HE City / hayon (-150 kg CU))</t>
  </si>
  <si>
    <t>Label PIEK global (Caisse / groupe VECTOR 19 HE MT S2 City / hayon (-150 kg CU))</t>
  </si>
  <si>
    <t>Label PIEK global. Largeur utile sur plinthe 816 mm dans le compartiment gauche et 1625 mm dans le compartiment droit (Caisse / groupe SUPRA 1250 City / hayon (-235 kg CU))</t>
  </si>
  <si>
    <t>Label PIEK global. Largeur utile sur plinthe 816 mm dans le compartiment gauche et 1625 mm dans le compartiment droit (Caisse / groupe SUPRA 1250 City / hayon (-238 kg CU))</t>
  </si>
  <si>
    <t>Label PIEK global. Largeur utile sur plinthe 816 mm dans le compartiment gauche et 1625 mm dans le compartiment droit (Caisse / groupe SUPRA 1250 City / hayon (-278 kg CU))</t>
  </si>
  <si>
    <t>Label PIEK global. Largeur utile sur plinthe 816 mm dans le compartiment gauche et 1625 mm dans le compartiment droit (Caisse / groupe SUPRA 1250 City / hayon (-253 kg CU))</t>
  </si>
  <si>
    <t>2ème niveau de rail d'arrimage spécial rolls sur 3 faces axé à ….. mm du plancher (-13 kg cU)</t>
  </si>
  <si>
    <t>1 niveau de rail d'arrimage spécial rolls sur 3 faces axé à ….. mm du plancher (-15 kg CU)</t>
  </si>
  <si>
    <t>1 niveau de rail d'arrimage spécial rolls sur 3 faces axé à ….. mm du plancher (-17 kg CU)</t>
  </si>
  <si>
    <t>1 niveau de rail d'arrimage spécial rolls sur 3 faces axé à ..… mm du plancher (-13 kg CU)</t>
  </si>
  <si>
    <t>CH_chassis
CH_chassis-POMONA
CH_chassis-POMONA-OPTION</t>
  </si>
  <si>
    <t>M_moteur
M_moteur-POMONA
M_moteur-POMONA-OPTION</t>
  </si>
  <si>
    <t>C_Cabine
C_Cabine-POMONA
C_Cabine-POMONA-OPTION</t>
  </si>
  <si>
    <t>GF_groupe frigo
GF_groupe frigo-POMONA
GF_groupe frigo-POMONA-OPTION</t>
  </si>
  <si>
    <t>HL_hayon elevateur
HL_hayon elevateur-POMONA
HL_hayon elevateur-POMONA-OPTION</t>
  </si>
  <si>
    <t>CF_caisse
CF_caisse-POMONA
CF_caisse-POMONA-OPTION</t>
  </si>
  <si>
    <t>Cloison mobile relevable 1/3 DR - 2/3 GA</t>
  </si>
  <si>
    <t>Cloison mobile relevable 1/3 GA - 2/3 DR</t>
  </si>
  <si>
    <t>1 crémone avec poignée sur porte centrale. Verrous intérieurs sur les autres vantaux</t>
  </si>
  <si>
    <t>Rideau d'air arrière (Hauteur de passage 1900 mm)</t>
  </si>
  <si>
    <t>Type isolation / parois
Type isolation / parois
Sans option</t>
  </si>
  <si>
    <t>Nb et dimensions portes arrières
Cadre arrière
Cadre arrière</t>
  </si>
  <si>
    <t>Nb et dimensions portes latérales
Nbre crémone
Rideau Ar relevable</t>
  </si>
  <si>
    <t>Accès arrière
Type Fermeture
Label PIEK</t>
  </si>
  <si>
    <t>Accès latéral
Arrêts de portes arrière 1
Porte latérale coulissante</t>
  </si>
  <si>
    <t>Type plancher
Arrêts de portes arrière 2
Porte latérale double battants</t>
  </si>
  <si>
    <t>Nb siphons  / faux chassis
Déverrouillage interne
Plancher contreplaqué</t>
  </si>
  <si>
    <t>Nb et position rail d'arrimage
Accès arrière
Poignée spécial rolls</t>
  </si>
  <si>
    <t>Plancher supplémentaire
Rideau d'air arrière
rail d'arrimage spécial rolls</t>
  </si>
  <si>
    <t>Nb plafonniers
Poignée montoire
niveau de rail d'arrimage</t>
  </si>
  <si>
    <t>Système de penderie à viande
Plaque acier galvanisée 150 mm x 150
Phares de travail (Easy Acc'Air / hayon)</t>
  </si>
  <si>
    <t>Type cloison
Porte latérale AV droit
Phares de travail (porte arrière)</t>
  </si>
  <si>
    <t xml:space="preserve">Type rideau
Porte latérale AV gauche
Coffre rallonge </t>
  </si>
  <si>
    <t>Protection portes
Rideaux portes latérales
1 niveau d'étagère</t>
  </si>
  <si>
    <t>Doublage parois
Etrier latéral
3 niveaux d'étagères</t>
  </si>
  <si>
    <t>Doublage passage de roues
Arrêts de portes latéraux
Hauteur intérieure 2700 mm</t>
  </si>
  <si>
    <t>Protection parois
Sangles montoire porte lat
Hauteur intérieure 2800 mm</t>
  </si>
  <si>
    <t>Protection parois supplémentaires
Profil face avant aérodynamique
Cloison mobile 1/2 - 1/2</t>
  </si>
  <si>
    <t>Protection évaporateur
Déflecteur de cabine
Cloison mobile 1/3 DR - 2/3 GA</t>
  </si>
  <si>
    <t>Coffre à outils
Faux châssis
NA</t>
  </si>
  <si>
    <t>Protection entrée arrière
Hauteur de passage
Cloison mobile 1/3 GA - 2/3 DR</t>
  </si>
  <si>
    <t>Type cadre arrière
Traverse de renfort
NA</t>
  </si>
  <si>
    <t>Extincteur
Tôles acier verticales
NA</t>
  </si>
  <si>
    <t>NB gaines de ventilation
Type Pavillon
NA</t>
  </si>
  <si>
    <t>Tubes
AMENAGEMENTS : 
NA</t>
  </si>
  <si>
    <t>Boite à documents
-
NA</t>
  </si>
  <si>
    <t xml:space="preserve"> -</t>
  </si>
  <si>
    <t>Capitons
Revêtement ext. et int. parois
NA</t>
  </si>
  <si>
    <t>Capucine
Renfort ext. face avant 
NA</t>
  </si>
  <si>
    <t>Pavillon
Cloison longitudinale
NA</t>
  </si>
  <si>
    <t>Aérateurs
Cloison tranversale
NA</t>
  </si>
  <si>
    <t>Grilles d'aération
Nbre Palette
NA</t>
  </si>
  <si>
    <t>Carénage de groupe
Porte pivotante dans cloison
NA</t>
  </si>
  <si>
    <t>zone libre 2
Protection bas de parois contreplaqué
NA</t>
  </si>
  <si>
    <t>Déflecteur de cabine
Protections bas de parois acier / alu
NA</t>
  </si>
  <si>
    <t>zone libre 3
Niveaux de rails 1
NA</t>
  </si>
  <si>
    <t>zone libre 4
Niveaux de rails 2
NA</t>
  </si>
  <si>
    <t>zone libre 5
Poignée arrimage rolls
NA</t>
  </si>
  <si>
    <t>zone libre 6
Sangles d'arrimage
NA</t>
  </si>
  <si>
    <t>zone libre 7
Poutres alu
NA</t>
  </si>
  <si>
    <t>zone libre 8
Type Plancher
NA</t>
  </si>
  <si>
    <t>zone libre 9
Plancher 2
NA</t>
  </si>
  <si>
    <t>zone libre 10
Nbr Siphon
NA</t>
  </si>
  <si>
    <t>zone libre 11
Platelage
NA</t>
  </si>
  <si>
    <t>zone libre 12
Rails verticaux
NA</t>
  </si>
  <si>
    <t>zone libre 13
Nbre poutre
NA</t>
  </si>
  <si>
    <t>zone libre 14
Buse de diffusion d'air 
NA</t>
  </si>
  <si>
    <t>zone libre 15
Nbre plafonnier
NA</t>
  </si>
  <si>
    <t>zone libre 16
Traverse arrière renforcée
NA</t>
  </si>
  <si>
    <t>zone libre 17
Coffre à outils
NA</t>
  </si>
  <si>
    <t>zone libre 18
Coffre ral. électrique / document
NA</t>
  </si>
  <si>
    <t>zone libre 19
Extincteur
NA</t>
  </si>
  <si>
    <t>Signalisation 
Protection évaporateur
NA</t>
  </si>
  <si>
    <t>zone libre 21
Protection évaporateur AR
NA</t>
  </si>
  <si>
    <t>zone libre 22
Plage et échelle
NA</t>
  </si>
  <si>
    <t>zone libre 23
Ailes plastiques
NA</t>
  </si>
  <si>
    <t>zone libre 24
Pares cyclistes
NA</t>
  </si>
  <si>
    <t>zone libre 25
Feu stop en haut de cadre
NA</t>
  </si>
  <si>
    <t>zone libre 26
Feux de gabarits
NA</t>
  </si>
  <si>
    <t>zone libre 27
Phares de travail
NA</t>
  </si>
  <si>
    <t>zone libre 28
Feux de recul supplémentaires
NA</t>
  </si>
  <si>
    <t>zone libre 29
Caméra de recul
NA</t>
  </si>
  <si>
    <t>zone libre 30
Déflecteur de cabine
NA</t>
  </si>
  <si>
    <t>zone libre 31
Guides lat. protection hayon
NA</t>
  </si>
  <si>
    <t>zone libre 32
Flèche de couleur rouge
NA</t>
  </si>
  <si>
    <t>zone libre 36
NA
NA</t>
  </si>
  <si>
    <t>zone libre 37
NA
NA</t>
  </si>
  <si>
    <t>zone libre 38
NA
NA</t>
  </si>
  <si>
    <t>zone libre 39
NA
NA</t>
  </si>
  <si>
    <t>zone libre 40
NA
NA</t>
  </si>
  <si>
    <t>CF_Sans caisse</t>
  </si>
  <si>
    <t>CI_SREM01-POMONA-EPS</t>
  </si>
  <si>
    <t>CI_SREM01-POMONA-EPS-OPTION</t>
  </si>
  <si>
    <t>CI_SREM02-POMONA-EPS</t>
  </si>
  <si>
    <t>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(-65 kg CU)</t>
  </si>
  <si>
    <t>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(-69 kg CU)</t>
  </si>
  <si>
    <t>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(-80 kg CU)</t>
  </si>
  <si>
    <t>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(-55 kg CU)</t>
  </si>
  <si>
    <t>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(-53 kg CU)</t>
  </si>
  <si>
    <t>CF_DUCATO-POMONA-SDA-OPTION</t>
  </si>
  <si>
    <t>CF_DUCATO-POMONA-SDA</t>
  </si>
  <si>
    <t>CF_72-POMONA-SDA-8PAL-OPTION</t>
  </si>
  <si>
    <t>CF_DUCATO-BVA-POMONA</t>
  </si>
  <si>
    <t>CF_72_POMONA-D&amp;C-PF</t>
  </si>
  <si>
    <t>CF_72_POMONA-RDO</t>
  </si>
  <si>
    <t>CF_72_POMONA-D&amp;C-PF-OPTION</t>
  </si>
  <si>
    <t>CF_72_POMONA-RDO-OPTION</t>
  </si>
  <si>
    <t>CF_72_POMONA-SDA-15ROLLS</t>
  </si>
  <si>
    <t>CS_72_POMONA-EPS-OPTION</t>
  </si>
  <si>
    <t>CF_120_POMONA-PF</t>
  </si>
  <si>
    <t>CI_72_POMONA-EPS-OPTION</t>
  </si>
  <si>
    <t>CF_100_POMONA-10PAL-OPTION</t>
  </si>
  <si>
    <t>CF_100_POMONA-11PAL-OPTION</t>
  </si>
  <si>
    <t>CF_120_POMONA-12PAL-3 VTX_(-235 kg CU)_(-53 kg CU)-OPTION</t>
  </si>
  <si>
    <t>CF_120_POMONA-12PAL-3 VTX_(-238 kg CU)_(-55 kg CU)-OPTION</t>
  </si>
  <si>
    <t>CF_120_POMONA-TA-12PAL-OPTION</t>
  </si>
  <si>
    <t>CF_120_POMONA-RDO-15PAL-OPTION</t>
  </si>
  <si>
    <t>CF_72_POMONA-TA-HAYON RETRACT-OPTION</t>
  </si>
  <si>
    <t>CF_160_POMONA-TA-15PAL-OPTION</t>
  </si>
  <si>
    <t>CF_160_POMONA-TA-18PAL-OPTION</t>
  </si>
  <si>
    <t>CF_190_POMONA-TA-21PAL-OPTION</t>
  </si>
  <si>
    <t>CF_72_POMONA-SDA-8PAL</t>
  </si>
  <si>
    <t>CF_160_POMONA-15PAL-EASY ACC'AIR_(-65 kg CU)-OPTION</t>
  </si>
  <si>
    <t>CF_160_POMONA-15PAL-EASY ACC'AIR_(-69 kg CU)-OPTION</t>
  </si>
  <si>
    <t>CF_190_POMONA-TA-42PAL-OPTION</t>
  </si>
  <si>
    <t>CF_190_POMONA-PF-21PAL-3VTX-OPTION</t>
  </si>
  <si>
    <t>CF_72_POMONA-TA-HAYON RETRAC</t>
  </si>
  <si>
    <t>CF_160_POMONA-18PAL-EASY ACC'AIR-OPTION</t>
  </si>
  <si>
    <t>CF_190_POMONA-PF-21PAL-EASY ACC'AIR-OPTION</t>
  </si>
  <si>
    <t>CF_190_POMONA-RDO-21PAL-OPTION</t>
  </si>
  <si>
    <t>CF_72_POMONA-SDA-15ROLL-OPTION</t>
  </si>
  <si>
    <t>CF_160_POMONA-RDO-18PAL-OPTION</t>
  </si>
  <si>
    <t>CF_72_POMONA-TA-HAYON RABAT</t>
  </si>
  <si>
    <t>CF_72_POMONA-TA-HAYON RABAT-OPTION</t>
  </si>
  <si>
    <t>CI_160-190_POMONA-EPS-15PAL-18PAL-21PAL-OPTION</t>
  </si>
  <si>
    <t>CI_72_POMONA-EPS-HAY FER TOTALE</t>
  </si>
  <si>
    <t>CS_72_POMONA-EPS-HAY FER TOTALE</t>
  </si>
  <si>
    <t>CI_72_POMONA-EPS-2PORTE.AR</t>
  </si>
  <si>
    <t>CS_72_POMONA-EPS-2PORTE.AR</t>
  </si>
  <si>
    <t>1 niveau de rail d'arrimage aluminium supplémentaire en applique sur 3 faces axé à ..... mm du plancher (-13 kg CU)</t>
  </si>
  <si>
    <t>1 niveau de rail d'arrimage aluminium supplémentaire en applique sur 3 faces axé à ..... mm du plancher (-15 kg CU)</t>
  </si>
  <si>
    <t>Poignée d'arrimage spécial rolls supplémentaire (Diamètre 25 / 35 / 45 mm) (- 1 kg CU par poignée)</t>
  </si>
  <si>
    <t>CF_35_POMONA-D&amp;C-PF-OPTION</t>
  </si>
  <si>
    <t>CF_35_POMONA-RDO-OPTION</t>
  </si>
  <si>
    <t>CF_35_POMONA-SDA-5PAL-VRAC-OPTION</t>
  </si>
  <si>
    <t>CF_35_POMONA-SDA-2ETAG-OPTION</t>
  </si>
  <si>
    <t>CF_35_POMONA-SDA-6PAL-LARGE-OPTION</t>
  </si>
  <si>
    <t>CF_35_POMONA-SDA-8ROLL-LARGE-OPTION</t>
  </si>
  <si>
    <t>CF_35_POMONA-SDA-6PAL-LARGE-HAY-OPTION</t>
  </si>
  <si>
    <t>CF_35_POMONA-SDA-8ROLL-LARGE</t>
  </si>
  <si>
    <t>CF_35_POMONA-SDA-6PAL-LARGE</t>
  </si>
  <si>
    <t>CF_35_POMONA-SDA-2ETAG</t>
  </si>
  <si>
    <t>CF_35_POMONA-SDA-5PAL-VRAC</t>
  </si>
  <si>
    <t>CF_35_POMONA-RDO-5PAL-HAY</t>
  </si>
  <si>
    <t>CF_35_POMONA-RDO-5PAL</t>
  </si>
  <si>
    <t>CF_35_POMONA-D&amp;C-PF-5PAL</t>
  </si>
  <si>
    <t>CF_35_POMONA-PF-RDO-4PAL</t>
  </si>
  <si>
    <t>CF_35_POMONA-SDA-HAY</t>
  </si>
  <si>
    <t>CF_35_POMONA-PF-4PAL_(-21kgCU)-OPTION</t>
  </si>
  <si>
    <t>CF_35_POMONA-RDO-4PAL_(-17kgCU)-OPTION</t>
  </si>
  <si>
    <t>CS_160-190_POMONA-EPS-15PAL-18PAL-21PAL-OPTION</t>
  </si>
  <si>
    <t>CF_100_POMONA-SDA</t>
  </si>
  <si>
    <t>CF_100_POMONA-RDO</t>
  </si>
  <si>
    <t>CI_190_POMONA-EPS-21PAL</t>
  </si>
  <si>
    <t>CI_160_190_POMONA-EPS-15PAL-18PAL</t>
  </si>
  <si>
    <t>CS_160-190_POMONA-EPS-15PAL-18PAL-21PAL</t>
  </si>
  <si>
    <t>CF_120_POMONA-D&amp;C</t>
  </si>
  <si>
    <t>CF_160_POMONA-15PAL-3VTX-OPTION</t>
  </si>
  <si>
    <t>CF_160_POMONA-18PAL-3VTX-OPTION</t>
  </si>
  <si>
    <t>CF_35_POMONA-TA-OPTION</t>
  </si>
  <si>
    <t>CF_SREM01_POMONA-TA-SANS HAYON-DOUBLE PLANCHER-OPTION</t>
  </si>
  <si>
    <t>CF_SREM01_POMONA-TA-SANS HAYON-OPTION</t>
  </si>
  <si>
    <t>CF_SREM01_POMONA-TA-SANS HAYON</t>
  </si>
  <si>
    <t>CF_SREM01_POMONA-TA-SANS HAYON-DOUBLE PLANCHER</t>
  </si>
  <si>
    <t>CF_SREM02_POMONA-TA-HAYON-OPTION</t>
  </si>
  <si>
    <t>CF_SREM02_POMONA-TA-HAYON-DOUBLE PLANCHER-OPTION</t>
  </si>
  <si>
    <t>CF_SREM04_POMONA-RDO-HAYON-DOUBLE PLANCHER-OPTION</t>
  </si>
  <si>
    <t>CF_SREM03-SREM04_-POMONA-PF-RDO-MULTI-OPTION</t>
  </si>
  <si>
    <t>CF_SREM03-SREM04_-POMONA-PF-RDO-MULTI-DOUBLE PLANCHER-OPTION</t>
  </si>
  <si>
    <t>CF_SREM03-SREM04_POMONA-PF-RDO-MULTI</t>
  </si>
  <si>
    <t>CF_SREM03-SREM04_POMONA-PF-RDO-MULTI-DOUBLE PLANCHER</t>
  </si>
  <si>
    <t>CF_SREM03_POMONA-RDO</t>
  </si>
  <si>
    <t>CI_SREM02_POMONA-EPS-DOUBLE PLANCHER</t>
  </si>
  <si>
    <t>CI_SREM01_POMONA-EPS-DOUBLE PLANCHER</t>
  </si>
  <si>
    <t>CI_SREM01_POMONA-EPS-DOUBLE PLANCHER-OPTION</t>
  </si>
  <si>
    <t>zone libre 33
Rails encastrés verticaux
NA</t>
  </si>
  <si>
    <t>Porte latérale battante double vantaux largeur 740 mm à 250 mm de l'avant droit avec déverrouillage interne avec une sangle montoir à droite et à gauche fixée dans le champs de l'huisserie</t>
  </si>
  <si>
    <t>CF_190_POMONA-PF-21PAL-3VTX</t>
  </si>
  <si>
    <t>CF_190_POMONA-PF-21PAL-EASY ACC'AIR</t>
  </si>
  <si>
    <t>CF_190_POMONA-RDO-21PAL</t>
  </si>
  <si>
    <t>CF_190_POMONA-TA-21PAL</t>
  </si>
  <si>
    <t>CF-CI_SREM02_POMONA-TA-EPS-OPTION</t>
  </si>
  <si>
    <t>CF-CI_SREM02-POMONA-TA-EPS-DOUBLE PLANCHER-OPTION</t>
  </si>
  <si>
    <t>CF_120-160_POMONA-TA</t>
  </si>
  <si>
    <t>CF_120-160_POMONA-RDO-15PAL-18PAL</t>
  </si>
  <si>
    <t>CF_160_POMONA-D&amp;C-PF-15PAL-EASY ACC'AIR</t>
  </si>
  <si>
    <t>CF_160_POMONA-D&amp;C-PF-18PAL-EASY ACC'AIR</t>
  </si>
  <si>
    <t>CF_160_POMONA-D&amp;C-PF-15PAL-3VTX</t>
  </si>
  <si>
    <t>CF_160_POMONA-D&amp;C-PF-18PAL-3VTX</t>
  </si>
  <si>
    <t>Z_Outil collaboratif Grand Compte\Image Client\DELICE ET CREATION.jpg</t>
  </si>
  <si>
    <t>Z_Outil collaboratif Grand Compte\Image Carburant\DIESEL.jpg</t>
  </si>
  <si>
    <t>Z_Outil collaboratif Grand Compte\Image Publicité\PASSION FROID-PUB.jpg</t>
  </si>
  <si>
    <t>Z_Outil collaboratif Grand Compte\Image Client\PASSION FROID.jpg</t>
  </si>
  <si>
    <t>Z_Outil collaboratif Grand Compte\Image Carburant\SANS CARBURANT.jpg</t>
  </si>
  <si>
    <t>Z_Outil collaboratif Grand Compte\Image Publicité\TERRE AZUR-PUB.jpg</t>
  </si>
  <si>
    <t>Z_Outil collaboratif Grand Compte\Image Client\RELAIS D'OR.jpg</t>
  </si>
  <si>
    <t>Z_Outil collaboratif Grand Compte\Image Client\SAVEURS D'ANTOINE.jpg</t>
  </si>
  <si>
    <t>Z_Outil collaboratif Grand Compte\Image Client\TERRE AZUR.jpg</t>
  </si>
  <si>
    <t>Z_Outil collaboratif Grand Compte\Image Client\EPISAVEURS.jpg</t>
  </si>
  <si>
    <t>zone libre 35
Télématique
NA</t>
  </si>
  <si>
    <t>zone libre 34
Poutres alu double plancher
NA</t>
  </si>
  <si>
    <t>35S14CF - 4 PAL - RELAIS D'OR</t>
  </si>
  <si>
    <t>Z_Outil collaboratif Grand Compte\Image Vehicule\CG\POMONA\CG\POMONA\DELICE ET CREATION\35S14 CF - 5 PAL - DELICE ET CREATION.jpg</t>
  </si>
  <si>
    <t>Z_Outil collaboratif Grand Compte\Image Vehicule\CG\POMONA\DELICE ET CREATION\72C18 CF - 7 PAL - DELICE ET CREATION.jpg</t>
  </si>
  <si>
    <t>Z_Outil collaboratif Grand Compte\Image Vehicule\CG\POMONA\DELICE ET CREATION\120E19 CF - 12 PAL - 3 VTX - DELICE ET CREATION.jpg</t>
  </si>
  <si>
    <t>Z_Outil collaboratif Grand Compte\Image Vehicule\CG\POMONA\DELICE ET CREATION\160E21 CF - 15 PAL - 3 VTX - DELICE ET CREATION.jpg</t>
  </si>
  <si>
    <t>Z_Outil collaboratif Grand Compte\Image Vehicule\CG\POMONA\DELICE ET CREATION\160E21 CF - 15 PAL - EASY ACC'AIR - DELICE ET CREATION.jpg</t>
  </si>
  <si>
    <t>Z_Outil collaboratif Grand Compte\Image Vehicule\CG\POMONA\DELICE ET CREATION\160E21 CF - 18 PAL - 3 VTX - DELICE ET CREATION.jpg</t>
  </si>
  <si>
    <t>Z_Outil collaboratif Grand Compte\Image Vehicule\CG\POMONA\DELICE ET CREATION\160E21 CF - 18 PAL - EASY ACC'AIR - DELICE ET CREATION.jpg</t>
  </si>
  <si>
    <t>Z_Outil collaboratif Grand Compte\Image Vehicule\CG\POMONA\DELICE ET CREATION\D12.210 CF - 12 PAL - 3 VTX - DELICE ET CREATION.jpg</t>
  </si>
  <si>
    <t>Z_Outil collaboratif Grand Compte\Image Vehicule\CG\POMONA\DELICE ET CREATION\D16.210 CF - 15 PAL - 3 VTX - DELICE ET CREATION.jpg</t>
  </si>
  <si>
    <t>Z_Outil collaboratif Grand Compte\Image Vehicule\CG\POMONA\DELICE ET CREATION\D16.210 CF - 15 PAL - EASY ACC'AIR - DELICE ET CREATION.jpg</t>
  </si>
  <si>
    <t>Z_Outil collaboratif Grand Compte\Image Vehicule\CG\POMONA\DELICE ET CREATION\D16.210 CF - 18 PAL - 3 VTX - DELICE ET CREATION.jpg</t>
  </si>
  <si>
    <t>Z_Outil collaboratif Grand Compte\Image Vehicule\CG\POMONA\DELICE ET CREATION\D16.210 CF - 18 PAL - EASY ACC'AIR - DELICE ET CREATION.jpg</t>
  </si>
  <si>
    <t>Z_Outil collaboratif Grand Compte\Image Vehicule\CG\POMONA\PASSION FROID\DCOCF - BVA- PASSION FROID.jpg</t>
  </si>
  <si>
    <t>Z_Outil collaboratif Grand Compte\Image Vehicule\CG\POMONA\PASSION FROID\35S14 CF - 4 PAL - PASSION FROID.jpg</t>
  </si>
  <si>
    <t>Z_Outil collaboratif Grand Compte\Image Vehicule\CG\POMONA\PASSION FROID\35S14 CF - 5 PAL - PASSION FROID.jpg</t>
  </si>
  <si>
    <t>Z_Outil collaboratif Grand Compte\Image Vehicule\CG\POMONA\PASSION FROID\72C18 CF - 7 PAL - PASSION FROID.jpg</t>
  </si>
  <si>
    <t>Z_Outil collaboratif Grand Compte\Image Vehicule\CG\POMONA\PASSION FROID\120E19 CF -  PASSION FROID.jpg</t>
  </si>
  <si>
    <t>Z_Outil collaboratif Grand Compte\Image Vehicule\CG\POMONA\PASSION FROID\160E21 CF - 15 PAL -  3 VTX - PASSION FROID.jpg</t>
  </si>
  <si>
    <t>Z_Outil collaboratif Grand Compte\Image Vehicule\CG\POMONA\PASSION FROID\160E21 CF - 15 PAL - EASY ACC'AIR - PASSION FROID.jpg</t>
  </si>
  <si>
    <t>Z_Outil collaboratif Grand Compte\Image Vehicule\CG\POMONA\PASSION FROID\160E21CF - 18 PAL - 3 VTX - PASSION FROID.jpg</t>
  </si>
  <si>
    <t>Z_Outil collaboratif Grand Compte\Image Vehicule\CG\POMONA\PASSION FROID\160E21CF - 18 PAL - EASY ACC'AIR - PASSION FROID.jpg</t>
  </si>
  <si>
    <t>Z_Outil collaboratif Grand Compte\Image Vehicule\CG\POMONA\PASSION FROID\190EL28 CF - 21 PAL - 3 VTX - PASSION FROID.jpg</t>
  </si>
  <si>
    <t>Z_Outil collaboratif Grand Compte\Image Vehicule\CG\POMONA\PASSION FROID\190EL28 CF - 21 PAL - EASY ACC'AIR - PASSION FROID.jpg</t>
  </si>
  <si>
    <t>Z_Outil collaboratif Grand Compte\Image Vehicule\CG\POMONA\PASSION FROID\D12.210 CF - PASSION FROID.jpg</t>
  </si>
  <si>
    <t>Z_Outil collaboratif Grand Compte\Image Vehicule\CG\POMONA\PASSION FROID\D16.210 CF - 15 PAL - 3 VTX - PASSION FROID.jpg</t>
  </si>
  <si>
    <t>Z_Outil collaboratif Grand Compte\Image Vehicule\CG\POMONA\PASSION FROID\D16.210 CF - 15 PAL - EASY ACC'AIR - PASSION FROID.jpg</t>
  </si>
  <si>
    <t>Z_Outil collaboratif Grand Compte\Image Vehicule\CG\POMONA\PASSION FROID\D16.210 CF - 18 PAL - 3 VTX - PASSION FROID.jpg</t>
  </si>
  <si>
    <t>Z_Outil collaboratif Grand Compte\Image Vehicule\CG\POMONA\PASSION FROID\D16.210 CF - 18 PAL - EASY ACC'AIR - PASSION FROID.jpg</t>
  </si>
  <si>
    <t>Z_Outil collaboratif Grand Compte\Image Vehicule\CG\POMONA\PASSION FROID\D19.280 CF - 21 PAL - 3 VTX - PASSION FROID.jpg</t>
  </si>
  <si>
    <t>Z_Outil collaboratif Grand Compte\Image Vehicule\CG\POMONA\PASSION FROID\D19.280 CF - 21 PAL - EASY ACC'AIR - PASSION FROID.jpg</t>
  </si>
  <si>
    <t>Z_Outil collaboratif Grand Compte\Image Vehicule\CG\POMONA\TRACTEUR\T19.440 TR.jpg</t>
  </si>
  <si>
    <t>Z_Outil collaboratif Grand Compte\Image Vehicule\CG\POMONA\SEMI-REMORQUE\SEMCF03- MULTI - SANS HAYON.jpg</t>
  </si>
  <si>
    <t>Z_Outil collaboratif Grand Compte\Image Vehicule\CG\POMONA\SEMI-REMORQUE\SEMCF03- MULTI - DOUBLE PLANCHER - SANS HAYON.jpg</t>
  </si>
  <si>
    <t>Z_Outil collaboratif Grand Compte\Image Vehicule\CG\POMONA\SEMI-REMORQUE\SEMCF04 - MULTI - HAYON.jpg</t>
  </si>
  <si>
    <t>Z_Outil collaboratif Grand Compte\Image Vehicule\CG\POMONA\SEMI-REMORQUE\SEMCF04 - MULTI - DOUBLE PLANCHER - HAYON.jpg</t>
  </si>
  <si>
    <t>Z_Outil collaboratif Grand Compte\Image Vehicule\CG\POMONA\RELAIS D'OR\35S14 CF - 4 PAL - RELAIS D'OR.jpg</t>
  </si>
  <si>
    <t>Z_Outil collaboratif Grand Compte\Image Vehicule\CG\POMONA\RELAIS D'OR\35S14 CF  URBAN - 5 PAL-8 ROLLS - RELAIS D'OR.jpg</t>
  </si>
  <si>
    <t>Z_Outil collaboratif Grand Compte\Image Vehicule\CG\POMONA\RELAIS D'OR\35S14 CF URBAN - 5 PAL-8 ROLLS - HAYON - RELAIS D'OR.jpg</t>
  </si>
  <si>
    <t>Z_Outil collaboratif Grand Compte\Image Vehicule\CG\POMONA\RELAIS D'OR\72C18 CF - 8 PAL-15 ROLLS - HAYON RETRACTABLE - RELAIS D'OR.jpg</t>
  </si>
  <si>
    <t>Z_Outil collaboratif Grand Compte\Image Vehicule\CG\POMONA\RELAIS D'OR\100E19 CF - 11 PAL-21 ROLLS - HAYON RETRACTABLE - RELAIS D'OR.jpg</t>
  </si>
  <si>
    <t>Z_Outil collaboratif Grand Compte\Image Vehicule\CG\POMONA\RELAIS D'OR\120E19 CF - 15 PAL-24 ROLLS - HAYON RETRACTABLE - RELAIS D'OR.jpg</t>
  </si>
  <si>
    <t>Z_Outil collaboratif Grand Compte\Image Vehicule\CG\POMONA\RELAIS D'OR\160E21 CF - 18 PALL-30 ROLLS - HAYON RETRACTABLE - RELAIS D'OR.jpg</t>
  </si>
  <si>
    <t>Z_Outil collaboratif Grand Compte\Image Vehicule\CG\POMONA\RELAIS D'OR\D10.210 CF - 11 PAL-21 ROLLS - HAYON RETRACTABLE - RELAIS D'OR.jpg</t>
  </si>
  <si>
    <t>Z_Outil collaboratif Grand Compte\Image Vehicule\CG\POMONA\RELAIS D'OR\D12.210 CF - 15 PAL-24 ROLLS - HAYON RETRACTABLE - RELAIS D'OR.jpg</t>
  </si>
  <si>
    <t>Z_Outil collaboratif Grand Compte\Image Vehicule\CG\POMONA\RELAIS D'OR\D16.210 CF - 18 PALL-30 ROLLS - HAYON RETRACTABLE - RELAIS D'OR.jpg</t>
  </si>
  <si>
    <t>Z_Outil collaboratif Grand Compte\Image Vehicule\CG\POMONA\RELAIS D'OR\D19.280 CF - 21 PAL - HAYON RETRACTABLE - RELAIS D'OR.jpg</t>
  </si>
  <si>
    <t>Z_Outil collaboratif Grand Compte\Image Vehicule\CG\POMONA\SAVEURS D'ANTOINE\DCOCF - SAVEURS D'ANTOINE.jpg</t>
  </si>
  <si>
    <t>Z_Outil collaboratif Grand Compte\Image Vehicule\CG\POMONA\SAVEURS D'ANTOINE\35S14 CF URBAN - 2 étagères - SAVEURS D'ANTOINE.jpg</t>
  </si>
  <si>
    <t>Z_Outil collaboratif Grand Compte\Image Vehicule\CG\POMONA\SAVEURS D'ANTOINE\35S14 CF URBAN - 5 PAL - Vrac - SAVEURS D'ANTOINE.jpg</t>
  </si>
  <si>
    <t>Z_Outil collaboratif Grand Compte\Image Vehicule\CG\POMONA\SAVEURS D'ANTOINE\35S14 CF URBAN - 6 PAL - Large - SAVEURS D'ANTOINE.jpg</t>
  </si>
  <si>
    <t>Z_Outil collaboratif Grand Compte\Image Vehicule\CG\POMONA\SAVEURS D'ANTOINE\35S14 CF URBAN - 8 Rolls - Large - SAVEURS D'ANTOINE.jpg</t>
  </si>
  <si>
    <t>Z_Outil collaboratif Grand Compte\Image Vehicule\CG\POMONA\SAVEURS D'ANTOINE\72C18 CF - 8 PAL - SAVEURS D'ANTOINE.jpg</t>
  </si>
  <si>
    <t>Z_Outil collaboratif Grand Compte\Image Vehicule\CG\POMONA\SAVEURS D'ANTOINE\72C18 CF - 15 ROLLS - SAVEURS D'ANTOINE.jpg</t>
  </si>
  <si>
    <t>Z_Outil collaboratif Grand Compte\Image Vehicule\CG\POMONA\SAVEURS D'ANTOINE\100E19 CF - 10 PAL - SAVEURS D'ANTOINE.jpg</t>
  </si>
  <si>
    <t>Z_Outil collaboratif Grand Compte\Image Vehicule\CG\POMONA\SAVEURS D'ANTOINE\D10.210 CF - 10 PAL - SAVEURS D'ANTOINE.jpg</t>
  </si>
  <si>
    <t>Z_Outil collaboratif Grand Compte\Image Vehicule\CG\POMONA\TERRE AZUR\35S14 CF URBAN - 5 PAL - TERRE AZUR.jpg</t>
  </si>
  <si>
    <t>Z_Outil collaboratif Grand Compte\Image Vehicule\CG\POMONA\TERRE AZUR\35S14 CF URBAN - 6 PAL - Large - TERRE AZUR.jpg</t>
  </si>
  <si>
    <t>Z_Outil collaboratif Grand Compte\Image Vehicule\CG\POMONA\TERRE AZUR\35S14 CF URBAN - 6 PAL - Long - TERRE AZUR.jpg</t>
  </si>
  <si>
    <t>Z_Outil collaboratif Grand Compte\Image Vehicule\CG\POMONA\TERRE AZUR\72C18 CF - HAYON RABATTABLE -  TERRE AZUR.jpg</t>
  </si>
  <si>
    <t>Z_Outil collaboratif Grand Compte\Image Vehicule\CG\POMONA\TERRE AZUR\72C18 CF - HAYON RETRACTABLE -  TERRE AZUR.jpg</t>
  </si>
  <si>
    <t>Z_Outil collaboratif Grand Compte\Image Vehicule\CG\POMONA\TERRE AZUR\120E19 CF - 12 PAL - TERRE AZUR.jpg</t>
  </si>
  <si>
    <t>Z_Outil collaboratif Grand Compte\Image Vehicule\CG\POMONA\TERRE AZUR\160E21 CF - 15 PAL - TERRE AZUR.jpg</t>
  </si>
  <si>
    <t>Z_Outil collaboratif Grand Compte\Image Vehicule\CG\POMONA\TERRE AZUR\160E21 CF - 18 PAL - TERRE AZUR.jpg</t>
  </si>
  <si>
    <t>Z_Outil collaboratif Grand Compte\Image Vehicule\CG\POMONA\TERRE AZUR\190EL28 CF - 21 PAL - TERRE AZUR.jpg</t>
  </si>
  <si>
    <t>Z_Outil collaboratif Grand Compte\Image Vehicule\CG\POMONA\TERRE AZUR\190EL28 CF - 42 PAL - Double plancher - TERRE AZUR.jpg</t>
  </si>
  <si>
    <t>Z_Outil collaboratif Grand Compte\Image Vehicule\CG\POMONA\TERRE AZUR\D12.210 CF - TERRE AZUR.jpg</t>
  </si>
  <si>
    <t>Z_Outil collaboratif Grand Compte\Image Vehicule\CG\POMONA\TERRE AZUR\D16.210 CF - 15 PAL - TERRE AZUR.jpg</t>
  </si>
  <si>
    <t>Z_Outil collaboratif Grand Compte\Image Vehicule\CG\POMONA\TERRE AZUR\D16.210 CF - 18 PAL - TERRE AZUR.jpg</t>
  </si>
  <si>
    <t>Z_Outil collaboratif Grand Compte\Image Vehicule\CG\POMONA\TERRE AZUR\D19.280 CF WIDE - TERRE AZUR.jpg</t>
  </si>
  <si>
    <t>Z_Outil collaboratif Grand Compte\Image Vehicule\CG\POMONA\TERRE AZUR\D19.280 CF WIDE - 42 PAL - TERRE AZUR.jpg</t>
  </si>
  <si>
    <t>Z_Outil collaboratif Grand Compte\Image Vehicule\CG\POMONA\SEMI-REMORQUE\SEMCF01 - MONO - SANS HAYON.jpg</t>
  </si>
  <si>
    <t>Z_Outil collaboratif Grand Compte\Image Vehicule\CG\POMONA\SEMI-REMORQUE\SEMCF01 - MONO - DOUBLE PLANCHER - SANS HAYON.jpg</t>
  </si>
  <si>
    <t>Z_Outil collaboratif Grand Compte\Image Vehicule\CG\POMONA\SEMI-REMORQUE\SEMCF02 - MONO - HAYON.jpg</t>
  </si>
  <si>
    <t>Z_Outil collaboratif Grand Compte\Image Vehicule\CG\POMONA\SEMI-REMORQUE\SEMCF02 - MONO - DOUBLE PLANCHER - HAYON.jpg</t>
  </si>
  <si>
    <t>Z_Outil collaboratif Grand Compte\Image Vehicule\CG\POMONA\EPISAVEURS\72C18 CS - 2 Portes arrière - EPISAVEURS.jpg</t>
  </si>
  <si>
    <t>Z_Outil collaboratif Grand Compte\Image Vehicule\CG\POMONA\EPISAVEURS\72C18 CS - Fermeture totale - EPISAVEURS.jpg</t>
  </si>
  <si>
    <t>Z_Outil collaboratif Grand Compte\Image Vehicule\CG\POMONA\EPISAVEURS\160E21 CS - 15 PAL - EPISAVEURS.jpg</t>
  </si>
  <si>
    <t>Z_Outil collaboratif Grand Compte\Image Vehicule\CG\POMONA\EPISAVEURS\160E21 CS - 18 PAL - EPISAVEURS.jpg</t>
  </si>
  <si>
    <t>Z_Outil collaboratif Grand Compte\Image Vehicule\CG\POMONA\EPISAVEURS\190EL28 CS - 18 PAL - EPISAVEURS.jpg</t>
  </si>
  <si>
    <t>Z_Outil collaboratif Grand Compte\Image Vehicule\CG\POMONA\EPISAVEURS\190EL28 CS - 21 PAL - EPISAVEURS.jpg</t>
  </si>
  <si>
    <t>Z_Outil collaboratif Grand Compte\Image Vehicule\CG\POMONA\EPISAVEURS\D16.210 CS - 15 PAL - EPISAVEURS.jpg</t>
  </si>
  <si>
    <t>Z_Outil collaboratif Grand Compte\Image Vehicule\CG\POMONA\EPISAVEURS\D16.210 CS - 18 PAL - EPISAVEURS.jpg</t>
  </si>
  <si>
    <t>Z_Outil collaboratif Grand Compte\Image Vehicule\CG\POMONA\EPISAVEURS\D19.280 CS - 18 PAL - EPISAVEURS.jpg</t>
  </si>
  <si>
    <t>Z_Outil collaboratif Grand Compte\Image Vehicule\CG\POMONA\EPISAVEURS\D19.280 CS - 21 PAL - EPISAVEURS.jpg</t>
  </si>
  <si>
    <t>Z_Outil collaboratif Grand Compte\Image Vehicule\CG\POMONA\EPISAVEURS\72C18 CI - 2 Portes arrière - EPISAVEURS.jpg</t>
  </si>
  <si>
    <t>Z_Outil collaboratif Grand Compte\Image Vehicule\CG\POMONA\EPISAVEURS\72C18 CI - Fermeture totale - EPISAVEURS.jpg</t>
  </si>
  <si>
    <t>Z_Outil collaboratif Grand Compte\Image Vehicule\CG\POMONA\EPISAVEURS\160E21 CI - 15 PAL - EPISAVEURS.jpg</t>
  </si>
  <si>
    <t>Z_Outil collaboratif Grand Compte\Image Vehicule\CG\POMONA\EPISAVEURS\160E21 CI - 18 PAL - EPISAVEURS.jpg</t>
  </si>
  <si>
    <t>Z_Outil collaboratif Grand Compte\Image Vehicule\CG\POMONA\EPISAVEURS\190EL28 CI - 18 PAL - EPISAVEURS.jpg</t>
  </si>
  <si>
    <t>Z_Outil collaboratif Grand Compte\Image Vehicule\CG\POMONA\EPISAVEURS\190EL28 CI - 21 PAL - EPISAVEURS.jpg</t>
  </si>
  <si>
    <t>Z_Outil collaboratif Grand Compte\Image Vehicule\CG\POMONA\EPISAVEURS\D16.210 CI - 15 PAL - EPISAVEURS.jpg</t>
  </si>
  <si>
    <t>Z_Outil collaboratif Grand Compte\Image Vehicule\CG\POMONA\EPISAVEURS\D16.210 CI - 18 PAL - EPISAVEURS.jpg</t>
  </si>
  <si>
    <t>Z_Outil collaboratif Grand Compte\Image Vehicule\CG\POMONA\EPISAVEURS\D19.280 CI - 18 PAL - EPISAVEURS.jpg</t>
  </si>
  <si>
    <t>Z_Outil collaboratif Grand Compte\Image Vehicule\CG\POMONA\EPISAVEURS\D19.280 CI - 21 PAL - EPISAVEURS.jpg</t>
  </si>
  <si>
    <t>Z_Outil collaboratif Grand Compte\Image Vehicule\CG\POMONA\SEMI-REMORQUE\SEMCI01 - SANS HAYON - EPISAVEURS.jpg</t>
  </si>
  <si>
    <t>Z_Outil collaboratif Grand Compte\Image Vehicule\CG\POMONA\SEMI-REMORQUE\SEMCI01 - DOUBLE PLANCHER - SANS HAYON - EPISAVEURS.jpg</t>
  </si>
  <si>
    <t>Z_Outil collaboratif Grand Compte\Image Vehicule\CG\POMONA\SEMI-REMORQUE\SEMCI02 - HAYON - EPISAVEURS.jpg</t>
  </si>
  <si>
    <t>Z_Outil collaboratif Grand Compte\Image Vehicule\CG\POMONA\SEMI-REMORQUE\SEMCI02 - DOUBLE PLANCHER - HAYON - EPISAVEURS.jpg</t>
  </si>
  <si>
    <t>FS_PF_API</t>
  </si>
  <si>
    <t>DBOFF - API 2022</t>
  </si>
  <si>
    <t>C_DOBLO-VAN_CLIM-MAN_Sam.</t>
  </si>
  <si>
    <t>M_DOBLO-VAN_1.5_100-€6e</t>
  </si>
  <si>
    <t>FF_DOBLO-VAN_PLC_LC-STRATEFORME_Neos100</t>
  </si>
  <si>
    <t>FS_PF_COMPASS</t>
  </si>
  <si>
    <t>DBOFF - COMPASS</t>
  </si>
  <si>
    <t>FF_DOBLO-VAN_PLC_TRIMAT-IR</t>
  </si>
  <si>
    <t>CH_DOBLO-VAN_195-65R15-ADB_compass - option</t>
  </si>
  <si>
    <t>FS_PF_DUPONT RESTAUR</t>
  </si>
  <si>
    <t>DBOFF - DUPONT RESTAURATION - 2022</t>
  </si>
  <si>
    <t>2 - FIAT DOBLO VAN M - FOURGON FRIGORIFIQUE</t>
  </si>
  <si>
    <t>CH_DOBLO-VAN_195-65R15-ADB_GSRII_Dpt Rest</t>
  </si>
  <si>
    <t>FF_DOBLO-VAN_PLC_LC-STRATEFORME_Neos100_Dpt Rest</t>
  </si>
  <si>
    <t>FS_PF_ELIOR</t>
  </si>
  <si>
    <t>DBOFF - ELIOR 2023</t>
  </si>
  <si>
    <t>C_DOBLO-VAN_CLIM-MAN_Sam._ELIOR-2023</t>
  </si>
  <si>
    <t>GF_Mono_ELIOR-2023</t>
  </si>
  <si>
    <t>FS_PF_SODEXO</t>
  </si>
  <si>
    <t>DBOFF - SODEXO 2022</t>
  </si>
  <si>
    <t>4 - FIAT DOBLO VAN M - FOURGON FRIGORIFIQUE</t>
  </si>
  <si>
    <t>CH_DOBLO-VAN_195-65R15-ADB_GSRII_sodexo</t>
  </si>
  <si>
    <t>I</t>
  </si>
  <si>
    <t>DBOFI - API 2022</t>
  </si>
  <si>
    <t>FIAT DOBLO VAN M - FOURGON ISOTHERME</t>
  </si>
  <si>
    <t>FI_DOBLO-VAN_PLC_LC-STRATEFORME-IR_API</t>
  </si>
  <si>
    <t>\\petitforestier.fr\siege\Applications\BaseProduits\Datas\Publipostage\Images\PUBLICATION - EURO 6\PLAN VEHICULES\FIAT_DOBLO-VAN_DBOFI01-PLC_TRIMAT.jpg</t>
  </si>
  <si>
    <t>DBOFI - COMPASS</t>
  </si>
  <si>
    <t>FI_DOBLO-VAN_PLC_LC-STRATEFORME-IR</t>
  </si>
  <si>
    <t>FIAT DOBLO VAN XL - FOURGON ISOTHERME</t>
  </si>
  <si>
    <t>FI_DOBLO-VAN_PLC_TRIMAT-IR</t>
  </si>
  <si>
    <t>\\petitforestier.fr\siege\Applications\BaseProduits\Datas\Publipostage\Images\PUBLICATION - EURO 6\PLAN VEHICULES\FIAT_DOBLO-VAN_DBOFI02_TRIMAT.jpg</t>
  </si>
  <si>
    <t>DBOFI - DUPONT RESTAURATION - 2022</t>
  </si>
  <si>
    <t>1 - FIAT DOBLO VAN M - FOURGON ISOTHERME</t>
  </si>
  <si>
    <t>DBOFI - ELIOR 2023</t>
  </si>
  <si>
    <t>DBOFI</t>
  </si>
  <si>
    <t>DBOFI - SODEXO 2022</t>
  </si>
  <si>
    <t>DCOCF - API</t>
  </si>
  <si>
    <t>C_DUCATO_MY2024_CLIM-MAN_Sam.</t>
  </si>
  <si>
    <t>M_DUCATO_2.2_140_220A_Bat105-LD-€6e</t>
  </si>
  <si>
    <t>CH_DUCATO-PC_215-70R15C-C_ADB_GSRII</t>
  </si>
  <si>
    <t>CF_DUCATO_1_API</t>
  </si>
  <si>
    <t>DCOCF - COMPASS</t>
  </si>
  <si>
    <t>DCOCF - DUPONT RESTAURATION</t>
  </si>
  <si>
    <t>7 - FIAT DUCATO - CAISSE FRIGORIFIQUE IRL / 2 PORTES AR.</t>
  </si>
  <si>
    <t>C_DUCATO_MY2024_Dpt Rest_Sam.</t>
  </si>
  <si>
    <t>CH_DUCATO-PC_215-70R15C-C_ADB_GSRII_Dpt Rest</t>
  </si>
  <si>
    <t>CF_DUCATO_1_Dpt Rest</t>
  </si>
  <si>
    <t>DCOCF - ELIOR 2023</t>
  </si>
  <si>
    <t>C_DUCATO_MY2024_CLIM-MAN_Sam._ELIOR-2023</t>
  </si>
  <si>
    <t>CF_DUCATO_1_ELIOR-2023</t>
  </si>
  <si>
    <t>DCOCF - SODEXO</t>
  </si>
  <si>
    <t>9 - FIAT DUCATO - CAISSE FRIGORIFIQUE IRL / 2 PORTES AR.</t>
  </si>
  <si>
    <t>CH_DUCATO-PC_215-70R15C-C_ADB_GSRII_sodexo</t>
  </si>
  <si>
    <t>CF_DUCATO_1_SODEXO</t>
  </si>
  <si>
    <t>GF_X350T_A_C_1560_1750mm_Cable10m_sodexo</t>
  </si>
  <si>
    <t>DCOFF - API</t>
  </si>
  <si>
    <t>H03</t>
  </si>
  <si>
    <t>FIAT DUCATO MH2 - FOURGON FRIGORIFIQUE (Porte latérale battante)</t>
  </si>
  <si>
    <t>7.5</t>
  </si>
  <si>
    <t>C_DUCATO_MY2024_LC_CLIM-MAN_Sam.</t>
  </si>
  <si>
    <t>M_DUCATO_2.2_120_220A_Bat105-LD-€6e</t>
  </si>
  <si>
    <t>CH_DUCATO-FGT_Série9_215-70R15C-C_ADB_GSRII</t>
  </si>
  <si>
    <t>FF_DUCATO_LC-PLatBat</t>
  </si>
  <si>
    <t>GF_X200T_A_C_790_1550mm_Cable10m</t>
  </si>
  <si>
    <t>\\petitforestier.fr\siege\Applications\BaseProduits\Datas\Publipostage\Images\PUBLICATION - EURO 6\PLAN VEHICULES\FIAT_DUCATO_DCOFF03-LECAP.jpg</t>
  </si>
  <si>
    <t>DCOFF - COMPASS</t>
  </si>
  <si>
    <t>DCOFF - SODEXO</t>
  </si>
  <si>
    <t>8 - FIAT DUCATO MH2- FOURGON FRIGORIFIQUE (Porte latérale battante)</t>
  </si>
  <si>
    <t>CH_DUCATO-FGT_Série9_215-70R15C-C_ADB_GSRII_sodexo</t>
  </si>
  <si>
    <t>DCOFI - COMPASS</t>
  </si>
  <si>
    <t>\\petitforestier.fr\siege\Applications\BaseProduits\Datas\Publipostage\Images\PUBLICATION - EURO 6\PLAN VEHICULES\FIAT_DUCATO_DCOFI03-LECAP.jpg</t>
  </si>
  <si>
    <t>DCOFI - ELIOR 2023</t>
  </si>
  <si>
    <t>FIAT DUCATO MH2 - FOURGON ISOTHERME (Porte latérale battante)</t>
  </si>
  <si>
    <t>C_DUCATO_LC_MY2024_CLIM-MAN_Sam._ELIOR-2023</t>
  </si>
  <si>
    <t>DCOFI - SODEXO</t>
  </si>
  <si>
    <t>8 - FIAT DUCATO MH2 - FOURGON ISOTHERME (Porte latérale battante)</t>
  </si>
  <si>
    <t>FI_DUCATO_LC-PLatBat</t>
  </si>
  <si>
    <t>DBOFF E - COMPASS</t>
  </si>
  <si>
    <t>C_DOBLO-VAN_ELEC_Sam.</t>
  </si>
  <si>
    <t>M_E-DOBLO-VAN_100kW_50kWh_100km</t>
  </si>
  <si>
    <t>DBOFF E - ELIOR 2023</t>
  </si>
  <si>
    <t>C_DOBLO-VAN_ELEC_Sam._ELIOR-2023</t>
  </si>
  <si>
    <t>DBOFI E - COMPASS</t>
  </si>
  <si>
    <t>FIAT DOBLO VAN M ELECTRIQUE - FOURGON ISOTHERME</t>
  </si>
  <si>
    <t>FI_E-DOBLO-VAN_PLC_LC-STRATEFORME-IR</t>
  </si>
  <si>
    <t>\\petitforestier.fr\siege\Applications\BaseProduits\Datas\Publipostage\Images\PUBLICATION - EURO 6\PLAN VEHICULES\FIAT_E-DOBLO-VAN_DBOFI01-PLC_TRIMAT.jpg</t>
  </si>
  <si>
    <t>FIAT DOBLO VAN XL ELECTRIQUE - FOURGON ISOTHERME</t>
  </si>
  <si>
    <t>FI_E-DOBLO-VAN_PLC_TRIMAT-IR</t>
  </si>
  <si>
    <t>\\petitforestier.fr\siege\Applications\BaseProduits\Datas\Publipostage\Images\PUBLICATION - EURO 6\PLAN VEHICULES\FIAT_E-DOBLO-VAN_DBOFI02_TRIMAT.jpg</t>
  </si>
  <si>
    <t>DBOFI E - ELIOR 2023</t>
  </si>
  <si>
    <t xml:space="preserve">SCOCF E - ELIOR 2023 </t>
  </si>
  <si>
    <t>C_SCUDO-2022-PC-ELEC_Sam._ELIOR-2023</t>
  </si>
  <si>
    <t>M_E-SCUDO_100kW_75kWh_120km</t>
  </si>
  <si>
    <t>GF_P350-Batt12kWh_A_C_1390mm_Cable10m_1Cont.</t>
  </si>
  <si>
    <t>\\petitforestier.fr\siege\Applications\BaseProduits\Datas\Publipostage\Images\PUBLICATION - EURO 6\PLAN VEHICULES\FIAT_E-SCUDO_SCOCF01-E_Pulsor350-Batterie.jpg</t>
  </si>
  <si>
    <t>SCOCF E- COMPASS</t>
  </si>
  <si>
    <t>C_SCUDO-2022-PC-ELEC_Sam.</t>
  </si>
  <si>
    <t>GF_P300-Batt12kWh_A_C_1420mm_Cable10m_1Cont.</t>
  </si>
  <si>
    <t>\\petitforestier.fr\siege\Applications\BaseProduits\Datas\Publipostage\Images\PUBLICATION - EURO 6\PLAN VEHICULES\CITROEN_E-JUMPY_JYCF01-E_Pulsor300-Batterie.jpg</t>
  </si>
  <si>
    <t>SCOCI E - COMPASS</t>
  </si>
  <si>
    <t>\\petitforestier.fr\siege\Applications\BaseProduits\Datas\Publipostage\Images\PUBLICATION - EURO 6\PLAN VEHICULES\FIAT_SCUDO_SCOCI01.jpg</t>
  </si>
  <si>
    <t>SCOFF E - COMPASS</t>
  </si>
  <si>
    <t>C_SCUDO-2022-FGT-ELEC_Sam.</t>
  </si>
  <si>
    <t>SCOFF E-ELIOR 2023</t>
  </si>
  <si>
    <t>C_SCUDO-2022-FGT-ELEC_Sam._ELIOR-2023</t>
  </si>
  <si>
    <t>FF_E-SCUDO_Renf_TRIMAT-IR</t>
  </si>
  <si>
    <t>SCOCF - ELIOR 2023</t>
  </si>
  <si>
    <t>FIAT SCUDO- CAISSE FRIGORIFIQUE IRL</t>
  </si>
  <si>
    <t>C_SCUDO-2022-PC_Sam._ELIOR-2023</t>
  </si>
  <si>
    <t>M_SCUDO_2.0_145-€6e</t>
  </si>
  <si>
    <t>GF_X200T_A_C_790_1425mm_Cable10m</t>
  </si>
  <si>
    <t>SCOCF- COMPASS</t>
  </si>
  <si>
    <t>C_SCUDO-2022-PC_Sam.</t>
  </si>
  <si>
    <t>\\petitforestier.fr\siege\Applications\BaseProduits\Datas\Publipostage\Images\PUBLICATION - EURO 6\PLAN VEHICULES\CITROEN_JUMPYCF01.jpg</t>
  </si>
  <si>
    <t>SCOCI - COMPASS</t>
  </si>
  <si>
    <t>SCOCI - ELIOR 2023</t>
  </si>
  <si>
    <t>FIAT SCUDO- CAISSE ISOTHERME IRL</t>
  </si>
  <si>
    <t>SCOFF - COMPASS</t>
  </si>
  <si>
    <t>C_SCUDO-2022-FGT_Sam.</t>
  </si>
  <si>
    <t>TRIMAT</t>
  </si>
  <si>
    <t>FF_SCUDO_Renf_TRIMAT-IR</t>
  </si>
  <si>
    <t>GF_X200T_A_790_866mm_Cable10m</t>
  </si>
  <si>
    <t xml:space="preserve">SCOFF- ELIOR 2023 </t>
  </si>
  <si>
    <t>C_SCUDO-2022-FGT_Sam._ELIOR-2023</t>
  </si>
  <si>
    <t>SCOFI - COMPASS</t>
  </si>
  <si>
    <t>FIAT SCUDO STANDARD - FOURGON ISOTHERME</t>
  </si>
  <si>
    <t>FI_SCUDO_Renf_LC-STRATEFORME-IR</t>
  </si>
  <si>
    <t>\\petitforestier.fr\siege\Applications\BaseProduits\Datas\Publipostage\Images\PUBLICATION - EURO 6\PLAN VEHICULES\FIAT_SCUDO_SCOFI01.jpg</t>
  </si>
  <si>
    <t>FI_SCUDO_Renf_TRIMAT-IR</t>
  </si>
  <si>
    <t>\\petitforestier.fr\siege\Applications\BaseProduits\Datas\Publipostage\Images\PUBLICATION - EURO 6\PLAN VEHICULES\FIAT_SCUDO_SCOFI02.jpg</t>
  </si>
  <si>
    <t xml:space="preserve">SCOFI - ELIOR 2023 </t>
  </si>
  <si>
    <t>GOUPIL</t>
  </si>
  <si>
    <t>G4</t>
  </si>
  <si>
    <t>G4CF E - API</t>
  </si>
  <si>
    <t>GOUPIL G4 - CAISSE FRIGORIFIQUE IRL</t>
  </si>
  <si>
    <t>2.9</t>
  </si>
  <si>
    <t>C_G4_Sam.</t>
  </si>
  <si>
    <t>M_G4</t>
  </si>
  <si>
    <t>CH_G4-CF</t>
  </si>
  <si>
    <t>CF_G4</t>
  </si>
  <si>
    <t>GF_X200T_A_C_790_1250mm_Cable10m</t>
  </si>
  <si>
    <t>\\petitforestier.fr\siege\Applications\BaseProduits\Datas\Publipostage\Images\PUBLICATION - EURO 6\PLAN VEHICULES\GOUPIL_G4CF01.jpg</t>
  </si>
  <si>
    <t>G4CF E - SODEXO</t>
  </si>
  <si>
    <t>24 - GOUPIL G4 - CAISSE FRIGORIFIQUE IRL</t>
  </si>
  <si>
    <t>CH_G4-CF_SODEXO</t>
  </si>
  <si>
    <t>35C14 CF - API</t>
  </si>
  <si>
    <t>C_DAILY_3.5_06-2019_Sam.</t>
  </si>
  <si>
    <t>CF_DAILY_C1_API</t>
  </si>
  <si>
    <t>CF_DAILY_C2_API</t>
  </si>
  <si>
    <t>CF_DAILY_C4-1950</t>
  </si>
  <si>
    <t>HL_RB_DH-LMA08_750kg-CG600_1450mm</t>
  </si>
  <si>
    <t>H05</t>
  </si>
  <si>
    <t>CF_DAILY_C5-3524*2050_API</t>
  </si>
  <si>
    <t>M_DAILY_2.3_136-HD-€VI-E_Bat105Ah_api_BV.HIMATIC</t>
  </si>
  <si>
    <t>35C14 CF - COMPASS</t>
  </si>
  <si>
    <t>C_DAILY_3.5_06-2019_CLIM-MAN_Sam.</t>
  </si>
  <si>
    <t>CF_DAILY_C4-1950_FC allégé</t>
  </si>
  <si>
    <t>8 - IVECO DAILY - CAISSE FRIGORIFIQUE IRL / 2 PORTES AR.</t>
  </si>
  <si>
    <t>CF_DAILY_C1_Dpt Rest</t>
  </si>
  <si>
    <t>10 - IVECO DAILY - CAISSE FRIGORIFIQUE IRL / HAYON</t>
  </si>
  <si>
    <t>CF_DAILY_C4-1950_Dpt Rest</t>
  </si>
  <si>
    <t>C_DAILY_3.5_06-2019_Dpt Rest_Sam.</t>
  </si>
  <si>
    <t>35C14 CF - ELIOR 2023</t>
  </si>
  <si>
    <t>C_DAILY_3.5_06-2019_CLIM-MAN_Sam._ELIOR-2023</t>
  </si>
  <si>
    <t>CF_DAILY_C1_FC allégé_ELIOR-2023</t>
  </si>
  <si>
    <t>CF_DAILY_C5-3524*2050_FC allégé_ELIOR-2023</t>
  </si>
  <si>
    <t>GF_Multi_ELIOR-2023</t>
  </si>
  <si>
    <t>35C14 CF - SODEXO</t>
  </si>
  <si>
    <t>10 - IVECO DAILY - CAISSE FRIGORIFIQUE IRL / 2 PORTES AR.</t>
  </si>
  <si>
    <t>C_DAILY_3.5_06-2019_2places_Sam.</t>
  </si>
  <si>
    <t>CH_DAILY-CC_35C_195-75R16_ADB_GSRII_86L_SrRS_SODEXO</t>
  </si>
  <si>
    <t>CF_DAILY_C1_sodexo_FC allégé</t>
  </si>
  <si>
    <t>\\petitforestier.fr\siege\Applications\BaseProduits\Datas\Publipostage\Images\PUBLICATION - EURO 6\PLAN VEHICULES\IVECO_DAILY-1048_35C-CF01.jpg</t>
  </si>
  <si>
    <t>11 - IVECO DAILY - CAISSE FRIGORIFIQUE IRL / HAYON</t>
  </si>
  <si>
    <t>CF_DAILY_C4-1950_sodexo_FC allégé</t>
  </si>
  <si>
    <t>12 - IVECO DAILY - CAISSE FRIGORIFIQUE IRL / MULTI TEMP.</t>
  </si>
  <si>
    <t>CF_DAILY_C5-3524*2050_sodexo_FC allégé</t>
  </si>
  <si>
    <t>GF_X6T-MT_1850mm_Cable10m_sodexo</t>
  </si>
  <si>
    <t>\\petitforestier.fr\siege\Applications\BaseProduits\Datas\Publipostage\Images\PUBLICATION - EURO 6\PLAN VEHICULES\IVECO_DAILY-1048_35C-CF05-Porte lat.jpg</t>
  </si>
  <si>
    <t>M_DAILY_2.3_136-HD-€VI-E_Bat105Ah_SODEXO_BV.HIMATIC_RunLock</t>
  </si>
  <si>
    <t>35C14 CF - URBAN - COMPASS</t>
  </si>
  <si>
    <t>C_DAILY_3.5_06-2019_CLIM-MAN_URBAN_Sam.</t>
  </si>
  <si>
    <t>GF_V300MAX-50_A_C_1705mm_Cable10m</t>
  </si>
  <si>
    <t>CF_DAILY_S-C4-1950_FC allégé_URBAN</t>
  </si>
  <si>
    <t xml:space="preserve">35C14 CF - URBAN - ELIOR 2023 </t>
  </si>
  <si>
    <t>C_DAILY_3.5_06-2019_CLIM-MAN_URBAN_Sam._ELIOR-2023</t>
  </si>
  <si>
    <t>GF_X350T_A_C_1560_1690mm_Cable10m</t>
  </si>
  <si>
    <t>M_DAILY_2.3_136-HD-€VI-E_Bat105Ah_Dpt Rest_BV.HIMATIC</t>
  </si>
  <si>
    <t>35C14 CF B.V. Manuelle - API</t>
  </si>
  <si>
    <t>M_DAILY_2.3_136-HD-€VI-E_Bat105Ah_api</t>
  </si>
  <si>
    <t>35C14 CF Cloison Longitudinale - ELIOR 2023</t>
  </si>
  <si>
    <t>CF_DAILY_C5_FC allégé_CUSTOM_ELIOR-2023</t>
  </si>
  <si>
    <t>GF_X6T-MT_1650mm_Cable10m_ELIOR_CUSTOM</t>
  </si>
  <si>
    <t>\\petitforestier.fr\siege\Applications\BaseProduits\Datas\Publipostage\Images\PUBLICATION - EURO 6\PLAN VEHICULES\IVECO_DAILY-1048_35C-CF05_Cloison Long ELIOR.jpg</t>
  </si>
  <si>
    <t>9 - IVECO DAILY - CAISSE FRIGORIFIQUE RALLONGEE IRL / 3 PORTES AR.</t>
  </si>
  <si>
    <t>14.7</t>
  </si>
  <si>
    <t>CF_DAILY_C2_Dpt Rest</t>
  </si>
  <si>
    <t>C_DAILY LONG_3.5_06-2019_Dpt Rest_Sam.</t>
  </si>
  <si>
    <t>35S14 CF - ELIOR 2023</t>
  </si>
  <si>
    <t>CF_DAILY_S1_FC allégé_ELIOR-2023</t>
  </si>
  <si>
    <t>\\petitforestier.fr\siege\Applications\BaseProduits\Datas\Publipostage\Images\PUBLICATION - EURO 6\PLAN VEHICULES\IVECO_DAILY-1048_35S-CF01.jpg</t>
  </si>
  <si>
    <t>35S14 CF - SODEXO</t>
  </si>
  <si>
    <t>13 - IVECO DAILY - CAISSE FRIGORIFIQUE IRL / 2 PORTES AR.</t>
  </si>
  <si>
    <t>CH_DAILY-CC_35S_225-65R16_ADB_GSRII_86L_RS_SODEXO</t>
  </si>
  <si>
    <t>35S14 CF - URBAN - ELIOR 2023</t>
  </si>
  <si>
    <t>40C14 G CF - API</t>
  </si>
  <si>
    <t>IVECO DAILY GNC - CAISSE FRIGORIFIQUE IRL / 2 PORTES AR.</t>
  </si>
  <si>
    <t>C_DAILY_3.5_06-2019_Chrono-GNC_Sam.</t>
  </si>
  <si>
    <t>CH_DAILY-CC_40C_195-75R16-EMPT:3450/3750_GNC_GSRII</t>
  </si>
  <si>
    <t>CF_DAILY_C1_API-GNC</t>
  </si>
  <si>
    <t>M_DAILY_3.0_136-MPI_GNC-HD-€VI-E_api_BV.HIMATIC</t>
  </si>
  <si>
    <t>15 - IVECO DAILY GNC - CAISSE FRIGORIFIQUE IRL / 2 PORTES AR.</t>
  </si>
  <si>
    <t>C_DAILY_3.5_06-2019_Chrono-GNC_Dpt Rest_Sam.</t>
  </si>
  <si>
    <t>CH_DAILY-CC_40C_195-75R16_GNC_GSRII</t>
  </si>
  <si>
    <t>17 - IVECO DAILY GNC - CAISSE FRIGORIFIQUE IRL / HAYON</t>
  </si>
  <si>
    <t>HL_RB_DH-LMA10_750kg-CG750_1450mm</t>
  </si>
  <si>
    <t>40C14 G CF - SODEXO</t>
  </si>
  <si>
    <t>23 - IVECO DAILY GNC - CAISSE FRIGORIFIQUE IRL / 2 PORTES AR.</t>
  </si>
  <si>
    <t>C_DAILY_3.5_06-2019_2places_Chrono-GNC_Sam.</t>
  </si>
  <si>
    <t>CH_DAILY-CC_40C_195-75R16_GNC_GSRII_SODEXO</t>
  </si>
  <si>
    <t>CF_DAILY_C1_SODEXO</t>
  </si>
  <si>
    <t>IVECO DAILY GNC - CAISSE FRIGORIFIQUE IRL  / MULTI TEMP.</t>
  </si>
  <si>
    <t>M_DAILY_3.0_136-MPI_GNC-HD-€VI-E_Sodexo_BV.HIMATIC_RunLock</t>
  </si>
  <si>
    <t>M_DAILY_3.0_136-MPI_GNC-HD-€VI-E_Dpt Rest_BV.HIMATIC</t>
  </si>
  <si>
    <t>40C14 G CF B.V. Manuelle - API</t>
  </si>
  <si>
    <t>M_DAILY_3.0_136-MPI_GNC-HD-€VI-E_api</t>
  </si>
  <si>
    <t>18 - IVECO DAILY - CAISSE FRIGORIFIQUE IRL / 3 PORTES AR.</t>
  </si>
  <si>
    <t>12.4</t>
  </si>
  <si>
    <t>C_DAILY_+3.5_06-2019_Dpt Rest</t>
  </si>
  <si>
    <t>M_DAILY_3.0_160-HD-€VI-E_Dpt Rest</t>
  </si>
  <si>
    <t>CH_DAILY-CC_50C_195-75R16_GSRII</t>
  </si>
  <si>
    <t>CF_DAILY_50_C2_Dpt Rest</t>
  </si>
  <si>
    <t>14 - IVECO DAILY - CAISSE FRIGORIFIQUE IRL / 2 PORTES AR.</t>
  </si>
  <si>
    <t>C_DAILY_+3.5_06-2019_Sam.</t>
  </si>
  <si>
    <t>CH_DAILY-CC_50C_195-75R16_GSRII_SODEXO</t>
  </si>
  <si>
    <t>CF_DAILY_50_C1_SODEXO</t>
  </si>
  <si>
    <t>15 - IVECO DAILY - CAISSE FRIGORIFIQUE IRL / HAYON</t>
  </si>
  <si>
    <t>CF_DAILY_50_C2-1950_sodexo</t>
  </si>
  <si>
    <t>\\petitforestier.fr\siege\Applications\BaseProduits\Datas\Publipostage\Images\PUBLICATION - EURO 6\PLAN VEHICULES\IVECO_DAILY-1048_50-65-70C-CF02.jpg</t>
  </si>
  <si>
    <t>M_DAILY_3.0_160-HD-€VI-E_BV.HIMATIC_SODEXO_RunLock</t>
  </si>
  <si>
    <t>18 - IVECO DAILY - CAISSE FRIGORIFIQUE  RALLONGEE IRL / 3 PORTES AR.</t>
  </si>
  <si>
    <t>M_DAILY_3.0_160-HD-€VI-E_BV.HIMATIC_Dpt Rest</t>
  </si>
  <si>
    <t>70C18 CF - SODEXO</t>
  </si>
  <si>
    <t>16 - IVECO DAILY - CAISSE FRIGORIFIQUE IRL / 2 PORTES AR.</t>
  </si>
  <si>
    <t>M_DAILY_3.0_180-HD-€VI-E_BV.HIMATIC_SODEXO_RunLock</t>
  </si>
  <si>
    <t>CH_DAILY-CC_70C_225-75R16_GSRII_120L_SODEXO</t>
  </si>
  <si>
    <t>CF_DAILY_70_C1_SODEXO</t>
  </si>
  <si>
    <t>GF_X6T_A_C_2192_2000mm_Cable10m_sodexo</t>
  </si>
  <si>
    <t>17 - IVECO DAILY - CAISSE FRIGORIFIQUE IRL / HAYON</t>
  </si>
  <si>
    <t>CF_DAILY_70_C2_SODEXO</t>
  </si>
  <si>
    <t>72C14 G CF - SODEXO</t>
  </si>
  <si>
    <t>IVECO DAILY GNC - CAISSE FRIGORIFIQUE IRL / MONO TEMP. / 2 PORTES AR.</t>
  </si>
  <si>
    <t>CH_DAILY-CC_70C_225-75R16-EMPT:4100_GNC_GSRII_SODEXO</t>
  </si>
  <si>
    <t>42C14 E CF - URBAN - COMPASS</t>
  </si>
  <si>
    <t>C_E-DAILY_3.5_CLIM-AUTO_URBAN_Sam.</t>
  </si>
  <si>
    <t>M_E-DAILY_140 kW_70kWh_110km</t>
  </si>
  <si>
    <t>CF_E-DAILY_S-C1_FC allégé_URBAN</t>
  </si>
  <si>
    <t>CF_E-DAILY_S-C4-1950_FC allégé_URBAN</t>
  </si>
  <si>
    <t>42S14 E CF - URBAN - COMPASS</t>
  </si>
  <si>
    <t xml:space="preserve">42S14 E CF - URBAN - ELIOR 2023 </t>
  </si>
  <si>
    <t>C_E-DAILY_3.5_CLIM-AUTO_URBAN_Sam._ELIOR-2023</t>
  </si>
  <si>
    <t>M_E-DAILY_140 kW_70kWh_100km</t>
  </si>
  <si>
    <t>GF_E500MAXSPEC-50-E-PTO_BBLite_A-C_1790mm_2Cont.</t>
  </si>
  <si>
    <t>100E19 CF  ELIOR 2023</t>
  </si>
  <si>
    <t>C_EUROCARGO_CLIM_DAB_Rang.Tunel_Sam._ ELIOR 2023</t>
  </si>
  <si>
    <t>M_EUROCARGO_190-€VI-E_BVM_B143Ah</t>
  </si>
  <si>
    <t>CH_EUROCARGO_225-75R17-5_GSRII</t>
  </si>
  <si>
    <t>HL_RT_DH-SM15_1500kg-CG750_1700mm-2150mm</t>
  </si>
  <si>
    <t xml:space="preserve">100E19 CF  ELIOR 2023 SANS HAYON </t>
  </si>
  <si>
    <t>IVECO EUROCARGO - CAISSE FRIGORIFIQUE / MONO TEMP. / SANS HAYON</t>
  </si>
  <si>
    <t>\\petitforestier.fr\siege\Applications\BaseProduits\Datas\Publipostage\Images\PUBLICATION - EURO 6\PLAN VEHICULES\IVECO_EUROCARGO_100E19CF01-Sans Hayon.jpg</t>
  </si>
  <si>
    <t>M_EUROCARGO_190-€VI-E_BVM_B170Ah</t>
  </si>
  <si>
    <t>HL_RT_DH-SM15_1500kg-CG750_1700mm-2250mm</t>
  </si>
  <si>
    <t>22.2</t>
  </si>
  <si>
    <t>75E16 CF ELIOR 2023</t>
  </si>
  <si>
    <t>M_EUROCARGO_160-€VI-E_BVM_B143Ah</t>
  </si>
  <si>
    <t>CH_EUROCARGO_215-75R17-5_GSRII</t>
  </si>
  <si>
    <t>CF_75-80_C2</t>
  </si>
  <si>
    <t>GF_SHE6-R2S_2570_1880mm_Cable10m</t>
  </si>
  <si>
    <t>HL_RB_DH-LMA15-CG750_1000kg_1600mm</t>
  </si>
  <si>
    <t>\\petitforestier.fr\siege\Applications\BaseProduits\Datas\Publipostage\Images\PUBLICATION - EURO 6\PLAN VEHICULES\IVECO_EUROCARGO_75E16CF02.jpg</t>
  </si>
  <si>
    <t>KR.900CF E - COMPASS</t>
  </si>
  <si>
    <t>KR.900CF E - ELIOR 2023</t>
  </si>
  <si>
    <t>LIGIER</t>
  </si>
  <si>
    <t>PULSE 4</t>
  </si>
  <si>
    <t>PULSE 4 CF E - COMPASS</t>
  </si>
  <si>
    <t>LIGIER PULSE 4 – CAISSE FRIGORIFIQUE</t>
  </si>
  <si>
    <t>C_PULSE4_Sam.</t>
  </si>
  <si>
    <t>M_PULSE4</t>
  </si>
  <si>
    <t>CH_PULSE4</t>
  </si>
  <si>
    <t>CF_PULSE4</t>
  </si>
  <si>
    <t xml:space="preserve">GF_COLDWAY 13 G </t>
  </si>
  <si>
    <t>\\petitforestier.fr\siege\Applications\BaseProduits\Datas\Publipostage\Images\PUBLICATION - EURO 6\PLAN VEHICULES\LIGIER_PULSE 4 CF01.jpg</t>
  </si>
  <si>
    <t>PULSE 4 CF E - ELIOR 2023</t>
  </si>
  <si>
    <t>C_PULSE4_Sam._ELIOR-2023</t>
  </si>
  <si>
    <t>D14.210 CF - DUPONT RESTAURATION</t>
  </si>
  <si>
    <t>19 - RENAULT GAMME D - CAISSE FRIGORIFIQUE / MULTI TEMP. / HAYON</t>
  </si>
  <si>
    <t>C_D_2.1_Dpt Rest_Rang.Tunel</t>
  </si>
  <si>
    <t>M_D_210-€VI-D_BVM</t>
  </si>
  <si>
    <t>HL_RT_DH-SM20_2000kg-CG750_1700mm-2400mm</t>
  </si>
  <si>
    <t>\\petitforestier.fr\siege\Applications\BaseProduits\Datas\Publipostage\Images\PUBLICATION - EURO 6\PLAN VEHICULES\RENAULT_D14.210CF02.jpg</t>
  </si>
  <si>
    <t>D14.210 CF Clim - DUPONT RESTAURATION</t>
  </si>
  <si>
    <t>19 - RENAULT GAMME D_Clim - CAISSE FRIGORIFIQUE / MULTI TEMP. / HAYON</t>
  </si>
  <si>
    <t>C_D_2.1_Dpt Rest_CLIM_Rang.Tunel</t>
  </si>
  <si>
    <t>D16.210 CF - DUPONT RESTAURATION</t>
  </si>
  <si>
    <t>20 - RENAULT GAMME D - CAISSE FRIGORIFIQUE / MULTI TEMP. / HAYON</t>
  </si>
  <si>
    <t>D16.210 CF Clim - DUPONT RESTAURATION</t>
  </si>
  <si>
    <t>20 - RENAULT GAMME D_Clim - CAISSE FRIGORIFIQUE / MULTI TEMP. / HAYON</t>
  </si>
  <si>
    <t>D19.280 CF - DUPONT RESTAURATION</t>
  </si>
  <si>
    <t>21 - RENAULT GAMME D WIDE_Clim - CAISSE FRIGORIFIQUE / MULTI TEMP. / HAYON</t>
  </si>
  <si>
    <t>C_D_2.3_Rang.Tunel_Dpt Rest</t>
  </si>
  <si>
    <t>M_D_280-€VI-D</t>
  </si>
  <si>
    <t>D19.280 CF Clim - DUPONT RESTAURATION</t>
  </si>
  <si>
    <t>21 - RENAULT GAMME D WIDE - CAISSE FRIGORIFIQUE / MULTI TEMP. / HAYON</t>
  </si>
  <si>
    <t>C_D_2.3_Dpt Rest_CLIM_Rang.Tunel</t>
  </si>
  <si>
    <t>KOCF - COMPASS</t>
  </si>
  <si>
    <t>RENAULT KANGOO - CAISSE FRIGORIFIQUE IRL</t>
  </si>
  <si>
    <t>C_KANGOO-PC_2022_Sam.</t>
  </si>
  <si>
    <t>M_KANGOO-€ 6d-Full-PREM3-Nonbridé_CF</t>
  </si>
  <si>
    <t>GF_E200_A_C_1233mm_Cable10m</t>
  </si>
  <si>
    <t>MRCF E - API</t>
  </si>
  <si>
    <t>11.2</t>
  </si>
  <si>
    <t>C_MASTER-ZE_Sam.</t>
  </si>
  <si>
    <t>M_MASTER-ZE-€ 6d-80Km/h</t>
  </si>
  <si>
    <t>CH_MASTER-ZE-PC-235/65 R16_GSRII_FLEXCHARG</t>
  </si>
  <si>
    <t>CF_MASTER-ZE_1</t>
  </si>
  <si>
    <t>GF_P350-ZE_A_C_1750mm_Cable10m</t>
  </si>
  <si>
    <t>\\petitforestier.fr\siege\Applications\BaseProduits\Datas\Publipostage\Images\PUBLICATION - EURO 6\PLAN VEHICULES\RENAULT_MASTER-869_MRCF-ZE-01.jpg</t>
  </si>
  <si>
    <t>MRCF E - COMPASS</t>
  </si>
  <si>
    <t>C_MASTER-ZE_Clim-Man_RétroBraCourt_Sam.</t>
  </si>
  <si>
    <t>M_MASTER-ZE_Batt52kWh-80Km/h</t>
  </si>
  <si>
    <t>CH_MASTER-ZE-PC-235/65 R16_GSRII_52kWh_FLEXCHARG</t>
  </si>
  <si>
    <t xml:space="preserve">C_MASTER-ZE_Clim-Man_RétroBraCourt - COMPASS - option </t>
  </si>
  <si>
    <t xml:space="preserve">CH_MASTER-ZE-PC-235/65 R16_52kWh_FLEXCHARG - COMPASS - OPTION </t>
  </si>
  <si>
    <t>MRCF E - ELIOR 2023</t>
  </si>
  <si>
    <t>C_MASTER-ZE_Clim-Man_RétroBraCourt_Sam._ELIOR 2023</t>
  </si>
  <si>
    <t>CF_MASTER-ZE_1_ELIOR-2023</t>
  </si>
  <si>
    <t>CF_MASTER-ZE_5-1950</t>
  </si>
  <si>
    <t>GF_P400MT-ZE_A_C_1750mm_Cable10m</t>
  </si>
  <si>
    <t>\\petitforestier.fr\siege\Applications\BaseProduits\Datas\Publipostage\Images\PUBLICATION - EURO 6\PLAN VEHICULES\RENAULT_MASTER_MRCF-ZE-05.jpg</t>
  </si>
  <si>
    <t>MRCF E - SODEXO</t>
  </si>
  <si>
    <t>28 - RENAULT MASTER ELECTRIQUE - CAISSE FRIGORIFIQUE IRL / 2 PORTES AR.</t>
  </si>
  <si>
    <t>CH_MASTER-ZE-PC-235/65 R16_GSRII_FLEXCHARG_SODEXO</t>
  </si>
  <si>
    <t>TCCF - COMPASS</t>
  </si>
  <si>
    <t>C_TRAFIC_CLIM-MAN_Sam.</t>
  </si>
  <si>
    <t>CH_TRAFIC-PC_205-65R16_GSRII</t>
  </si>
  <si>
    <t>TCCF - DUPONT RESTAURATION</t>
  </si>
  <si>
    <t>6 - RENAULT TRAFIC - CAISSE FRIGORIFIQUE 7,7m³</t>
  </si>
  <si>
    <t>C_TRAFIC</t>
  </si>
  <si>
    <t>M_TRAFIC-PC_2.0_150-€ 6e_Dpt Rest</t>
  </si>
  <si>
    <t>CH_TRAFIC-PC_205-65R16_GSRII_Dpt Rest</t>
  </si>
  <si>
    <t>CF_TALENTO-01_Dpt Rest</t>
  </si>
  <si>
    <t>GF_X200T_A_C_790_1405mm_Cable10m</t>
  </si>
  <si>
    <t>\\petitforestier.fr\siege\Applications\BaseProduits\Datas\Publipostage\Images\PUBLICATION - EURO 6\PLAN VEHICULES\TLOCF 01.jpg</t>
  </si>
  <si>
    <t>6 - RENAULT TRAFIC - CAISSE FRIGORIFIQUE 8,5m³</t>
  </si>
  <si>
    <t>8.5</t>
  </si>
  <si>
    <t>CF_TALENTO-02_Dpt Rest</t>
  </si>
  <si>
    <t>GF_X350T_A_C_1560_1505mm_Cable10m</t>
  </si>
  <si>
    <t>\\petitforestier.fr\siege\Applications\BaseProduits\Datas\Publipostage\Images\PUBLICATION - EURO 6\PLAN VEHICULES\TLOCF 02.jpg</t>
  </si>
  <si>
    <t>TCCF - ELIOR 2023</t>
  </si>
  <si>
    <t>C_TRAFIC-PC_CLIM-MAN_Sam._ ELIOR 2023</t>
  </si>
  <si>
    <t>TCFF - COMPASS</t>
  </si>
  <si>
    <t>CH_TRAFIC-FGT_205-65R16_GSRII</t>
  </si>
  <si>
    <t>FF_TRAFIC_TRIMAT-IR</t>
  </si>
  <si>
    <t>GF_X200T_A_790_915mm_Cable10m</t>
  </si>
  <si>
    <t>\\petitforestier.fr\siege\Applications\BaseProduits\Datas\Publipostage\Images\PUBLICATION - EURO 6\PLAN VEHICULES\RENAULT_TRAFIC-L2H1_FF-X200T_LECAP.jpg</t>
  </si>
  <si>
    <t xml:space="preserve">CH_TRAFIC-FGT_205-65R16 - COMPASS - OPTION </t>
  </si>
  <si>
    <t>TCFF - ELIOR 2023</t>
  </si>
  <si>
    <t>C_TRAFIC_CLIM-MAN_Sam._ELIOR 2023</t>
  </si>
  <si>
    <t>\\petitforestier.fr\siege\Applications\BaseProduits\Datas\Publipostage\Images\PUBLICATION - EURO 6\PLAN VEHICULES\RENAULT_TRAFIC-L1H1_FF-X200T_LECAP.jpg</t>
  </si>
  <si>
    <t xml:space="preserve">FS_PF_ELIOR      </t>
  </si>
  <si>
    <t>TCFI - ELIOR 2023</t>
  </si>
  <si>
    <t>RENAULT TRAFIC L1H1 - FOURGON ISOTHERME</t>
  </si>
  <si>
    <t>FI_TRAFIC_TRIMAT-IR</t>
  </si>
  <si>
    <t>\\petitforestier.fr\siege\Applications\BaseProduits\Datas\Publipostage\Images\PUBLICATION - EURO 6\PLAN VEHICULES\RENAULT_TRAFIC-L1H1_FI_LECAP.jpg</t>
  </si>
  <si>
    <t>120E19 CF  ELIOR 2023</t>
  </si>
  <si>
    <t>35C14 CF B.V. - DUPONT RESTAURATION</t>
  </si>
  <si>
    <t>35C14 CF Long B.V. - DUPONT RESTAURATION</t>
  </si>
  <si>
    <t>40C14 G CF B.V. - DUPONT RESTAURATION</t>
  </si>
  <si>
    <t>50C16 CF B.V. - DUPONT RESTAURATION</t>
  </si>
  <si>
    <t>50C16 CF Long B.V. - DUPONT RESTAURATION</t>
  </si>
  <si>
    <t>50C16 CF B.V. - SODEXO</t>
  </si>
  <si>
    <t>Portes rigides en verres</t>
  </si>
  <si>
    <t>Vitres coulissantes manuelles</t>
  </si>
  <si>
    <t xml:space="preserve">Rétroviseurs manuels </t>
  </si>
  <si>
    <t>Désivrage / Désembuage du pare-brise</t>
  </si>
  <si>
    <t>Autoradio</t>
  </si>
  <si>
    <t>Siège conducteur réglable avec appuie tête</t>
  </si>
  <si>
    <t xml:space="preserve">Radards de recul </t>
  </si>
  <si>
    <t>Afficheur LCD</t>
  </si>
  <si>
    <t>Prise 12 V</t>
  </si>
  <si>
    <t xml:space="preserve">Feux jour à LED </t>
  </si>
  <si>
    <t xml:space="preserve">Avertisseur piétons </t>
  </si>
  <si>
    <t xml:space="preserve">Pré-équipement télématique </t>
  </si>
  <si>
    <t>Portes à fermeture centralisée</t>
  </si>
  <si>
    <t>Rétroviseurs manuels</t>
  </si>
  <si>
    <t>Dégivrage / Désembuage du pare-brise</t>
  </si>
  <si>
    <t xml:space="preserve">Autoradio </t>
  </si>
  <si>
    <t>Sièges conforts réglables avec appuie tête</t>
  </si>
  <si>
    <t>Capteur de présence anti démarrage sur siège conducteur</t>
  </si>
  <si>
    <t>Afficheur LCD couleur haute-définition</t>
  </si>
  <si>
    <t>Feux jour à LED</t>
  </si>
  <si>
    <t xml:space="preserve">Radio numérique DAB / MP3 / USB </t>
  </si>
  <si>
    <t>Bluetooth (sans commande au volant)</t>
  </si>
  <si>
    <t xml:space="preserve">Allumage automatique des feux de croisement </t>
  </si>
  <si>
    <t>Pré-équipement télématqiue</t>
  </si>
  <si>
    <t>Radio DAB</t>
  </si>
  <si>
    <t>Prise 12V + 2 prises USB dans rangement au dessus du volant</t>
  </si>
  <si>
    <t>Radio numérique DAB / MP3 / USB avec cmde au volant</t>
  </si>
  <si>
    <t>Siège conducteur avec accoudoir, réhausse et réglage lombaire</t>
  </si>
  <si>
    <t xml:space="preserve">Essuie vitre avant et allumage automatique des feux de croisement </t>
  </si>
  <si>
    <t>Système audio 5'' avec radio numérique DAB + 1 port USB</t>
  </si>
  <si>
    <t>Verrouillage centralisé à distance (Uniquement Cabine)</t>
  </si>
  <si>
    <t>Rétroviseurs électriques et dégivrants (bras court)</t>
  </si>
  <si>
    <t>Radio numérique (DAB) avec cmde au volant</t>
  </si>
  <si>
    <t>Radars et caméra de recul HD URBAN</t>
  </si>
  <si>
    <t>Chronotachygraphe (Désactivation possible avec un engagement du client que le véhicule ne roule pas au-delà d’un rayon de 100 km autour du lieu d'établissement de l'entreprise)</t>
  </si>
  <si>
    <t>Phares anti-brouillard avant</t>
  </si>
  <si>
    <t>Rétroviseurs extérieur dégivrants</t>
  </si>
  <si>
    <t>Radio MP3 / USB avec cmde au volant</t>
  </si>
  <si>
    <t>Siège conducteur avec réhausse et réglage lombaire</t>
  </si>
  <si>
    <t>Feux &amp; Essui glaces Auto &amp; feux de route Auto induit Finition PRO LOUNGE CONNECT (Navigation 3D, écran tactile 7'', Pack Visibilité (Antibrouillard), Pack Rétrovision (Caméra), Pack Sécurité)</t>
  </si>
  <si>
    <t>Autoradio DAB avec cmde au volant</t>
  </si>
  <si>
    <t>Options :</t>
  </si>
  <si>
    <t>(    ) : KEY-OUT</t>
  </si>
  <si>
    <t>Autonomie: 100 à 130 km selon utilisation (à valider après tests)</t>
  </si>
  <si>
    <t xml:space="preserve">1 Câble de recharge mode 3 avec prises type 2 / Longueur 5 m. </t>
  </si>
  <si>
    <t xml:space="preserve">1 Câble de recharge mode 2 avec 1 prise type 2 et 1 prise 16A - 220V monophasée / Longueur 5 m. </t>
  </si>
  <si>
    <t>Autonomie: 110 à 140 km selon utilisation (à valider après tests)</t>
  </si>
  <si>
    <t>Electrique asynchrone</t>
  </si>
  <si>
    <t>57 kW</t>
  </si>
  <si>
    <t>(76ch)</t>
  </si>
  <si>
    <t>Batterie LiFePO4 (Lithium ion Phosphate de fer) 33 kWh</t>
  </si>
  <si>
    <t>Chargeur 7kW embarqué avec prise type 2</t>
  </si>
  <si>
    <t>Véhicule bridé à 80 Km/h</t>
  </si>
  <si>
    <t xml:space="preserve">Autonomie :  100 -120 km environ
</t>
  </si>
  <si>
    <t>1 câble à usage occasionnel pour recharge lente (17h) sur prise domestique en 220V-10A ou sur prise Green'Up (12h) en 220V-14A</t>
  </si>
  <si>
    <t>1 câble T2-T2 pour recharge rapide (6h) sur borne type WALLBOX 7kW ou équivalent</t>
  </si>
  <si>
    <t xml:space="preserve">Electrique asynchrone </t>
  </si>
  <si>
    <t>8 kW</t>
  </si>
  <si>
    <t>Batterie Lithium 9.6 kWh</t>
  </si>
  <si>
    <t>Chargeur intégré avec prise 220v – 16A Monophasé</t>
  </si>
  <si>
    <t xml:space="preserve">Durée de recharge environ 7 h </t>
  </si>
  <si>
    <t>Vitesse maxi : 50km/h</t>
  </si>
  <si>
    <t>Autonomie : 40 km environ</t>
  </si>
  <si>
    <t>Batterie LiFePO4 (Lithium ion Phosphate de fer) 52 kWh</t>
  </si>
  <si>
    <t>Chargeur AC 7,4kW / DC 22kW embarqué avec prise type 2</t>
  </si>
  <si>
    <t>Vitesse limitée à 80 Km/h</t>
  </si>
  <si>
    <t xml:space="preserve">Autonomie : 100 - 120 km environ
</t>
  </si>
  <si>
    <t>1 câble à usage occasionnel pour recharge lente à 100% sur prise domestique 2,3 kW (32h) ou sur prise Green'Up 3,7 kW (19h)</t>
  </si>
  <si>
    <t>1 câble T2-T2 de longueur 6m pour recharge rapide à 100% sur borne type WALLBOX 7,4kW (9h30)</t>
  </si>
  <si>
    <t>10 kW</t>
  </si>
  <si>
    <t>(13ch)</t>
  </si>
  <si>
    <t>Batteries Lithium (LiFePo4) 14 kWh</t>
  </si>
  <si>
    <t>Chargeur 2kW embarqué avec prise P17 - 2P+T</t>
  </si>
  <si>
    <t>Frein à main avec capteur de limitation de couple</t>
  </si>
  <si>
    <t>Vitesse maxi : 50 km/h</t>
  </si>
  <si>
    <t xml:space="preserve">Autonomie : 20 km
</t>
  </si>
  <si>
    <t xml:space="preserve">1 Câble de recharge avec prise mâle 220V-16A pour recharge des batteries (temps de charge : 6h) </t>
  </si>
  <si>
    <t>Batterie Lithium-ion 50 kWh</t>
  </si>
  <si>
    <t>Autonomie selon utilisation : 100 à 120 km environ</t>
  </si>
  <si>
    <t>1 câble T2-T2 pour recharge sur borne type WALLBOX 11 kW ou équivalent</t>
  </si>
  <si>
    <t>1 câble domestiques 8A (1.8 kW) et 16 A (3.7 kW) 230 V</t>
  </si>
  <si>
    <t>Autonomie selon utilisation : 120 à 150 km environ</t>
  </si>
  <si>
    <t xml:space="preserve">2.2L </t>
  </si>
  <si>
    <t xml:space="preserve">MultiJet </t>
  </si>
  <si>
    <t>120 ch</t>
  </si>
  <si>
    <t>2.3L-HD</t>
  </si>
  <si>
    <t>Couple moteur 350 Nm</t>
  </si>
  <si>
    <t>Système Antivol RUNLOCK</t>
  </si>
  <si>
    <t>3.0L-HD</t>
  </si>
  <si>
    <t>Batterie : 110 Ah</t>
  </si>
  <si>
    <t>GNC</t>
  </si>
  <si>
    <t>EURO VI-D</t>
  </si>
  <si>
    <t xml:space="preserve">2.0L </t>
  </si>
  <si>
    <t>B.V. Automatique AT9 ==&gt; Non disponible</t>
  </si>
  <si>
    <t>RUNLOCK (KEY-OUT) ==&gt; Indisponible en véhicule électrique</t>
  </si>
  <si>
    <t>(    ) : RUNLOCK (KEY-OUT)</t>
  </si>
  <si>
    <t>(    ) : Bridage 110 km/h</t>
  </si>
  <si>
    <t xml:space="preserve">(    ) : Coupe circuit / parflame </t>
  </si>
  <si>
    <t>(    ) : Coupe circuit / parflame</t>
  </si>
  <si>
    <t>Euro 6d-Full</t>
  </si>
  <si>
    <t xml:space="preserve">1.5L </t>
  </si>
  <si>
    <t>Vehicule non bridée - PREM03</t>
  </si>
  <si>
    <t xml:space="preserve">Cette option doit être prisse à la signature du contrat individuel ou au plus tard avant le 12ème mois de la location échue. </t>
  </si>
  <si>
    <t>Elle ne pourra pas être dénoncée durant toute la durée du contrat.</t>
  </si>
  <si>
    <t>Au-delà de cette période, les pneumatiques d'hiver seront facturés aux tarifs en vigueur.</t>
  </si>
  <si>
    <t>_  Vignette Crit'air : 2</t>
  </si>
  <si>
    <t>Avec support roue de secours et avec roue de secours</t>
  </si>
  <si>
    <t>Réservoir à carburant de 100 L</t>
  </si>
  <si>
    <t>Réservoir GNC : 6 bouteilles de méthane 224 L (37kg) / Réservoir essence : 14 L</t>
  </si>
  <si>
    <t>Autonomie GNC : 200 à 230 km environ / Autonomie essence : 70km environ</t>
  </si>
  <si>
    <t>_  Vignette Crit'air : 1</t>
  </si>
  <si>
    <t>Réservoir GNC : 302 L (49kg) / Pas de réservoir Essence</t>
  </si>
  <si>
    <t>Autonomie GNC : 250 à 280 km environ</t>
  </si>
  <si>
    <t>_  Vignette Crit'air : 0</t>
  </si>
  <si>
    <t>p</t>
  </si>
  <si>
    <t>Pneumatiques : 155/R13C</t>
  </si>
  <si>
    <t>Pack Safety : Alerte risque collision &amp; Freinage d'urgence, Lecture des panneaux de vitesse, Détection &amp; Alerte somnolence, Alerte franchissement de ligne avec correction</t>
  </si>
  <si>
    <t>Pneumatiques : 215/70 R15C classe C</t>
  </si>
  <si>
    <t>Pneumatiques : 205/65 R16</t>
  </si>
  <si>
    <t xml:space="preserve">1 niveau de rail d'arrimage en acier galvanisé D + G à 1100 mm du plancher (-14 mm de largeur utile) </t>
  </si>
  <si>
    <t>Plancher : Antidérapant avec passages de roues (largeur entre passages de roues : 1022 mm) avec 1 siphon d'évacuation</t>
  </si>
  <si>
    <t>1 niveau de rail d'arrimage en acier galvanisé D + G (-18 mm de largeur utile)</t>
  </si>
  <si>
    <t>1 Rideau fixe à lanières porte AR</t>
  </si>
  <si>
    <t>Protection bas de parois sur 240 mm de haut</t>
  </si>
  <si>
    <t>2 Portes arrière 1100 mm x 1640 mm</t>
  </si>
  <si>
    <t>1 rideau fixe à lanières aux portes arrières</t>
  </si>
  <si>
    <t>CF_DAILY_50_C1_sodexo</t>
  </si>
  <si>
    <t>Escabeau arrière coulissant 2 marches larges</t>
  </si>
  <si>
    <t>1 Rideau coulissant à lanières aux portes AR</t>
  </si>
  <si>
    <t>Ouverture arrière totale 3 vantaux avec  crémones</t>
  </si>
  <si>
    <t>1 Rideau coulissant à lanières 3 vantaux aux portes AR</t>
  </si>
  <si>
    <t>1 étagère relevable à droite profondeur 500 mm</t>
  </si>
  <si>
    <t>2 étagères relevables à gauche profondeur 500 mm</t>
  </si>
  <si>
    <t>1 niveau de rail d'arrimage en acier galvanisé D + G à 900 mm du plancher (-18 mm de largeur utile)</t>
  </si>
  <si>
    <t>CF_DAILY_70_C1_sodexo</t>
  </si>
  <si>
    <t>CF_DAILY_70_C2_sodexo</t>
  </si>
  <si>
    <t>Marchepied AR basculant 2 marches</t>
  </si>
  <si>
    <t>2 niveaux de rail d'arrimage en acier galvanisé à 800 et 1200 du plancher côté droit/gauche et en fond de caisse (~18 mm de largeur utile)</t>
  </si>
  <si>
    <t>Arrêt de porte à ressorts</t>
  </si>
  <si>
    <t>1 niveau de rail d'arrimage en acier galvanisé D + G à 900 mm du plancher (~18 mm de largeur utile)</t>
  </si>
  <si>
    <t>CF_DAILY_C1_sodexo</t>
  </si>
  <si>
    <t xml:space="preserve">Ouverture arrière totale 3 vantaux avec vantail central de 1m de large et arrêts de portes à ressorts </t>
  </si>
  <si>
    <t>2 niveaux de rail d'arrimage en acier galvanisé à 800 et 1200 du plancher côté droit/gauche et en fond de caisse</t>
  </si>
  <si>
    <t>Ouverture arrière totale 3 vantaux avec 1 crémone</t>
  </si>
  <si>
    <t>1 niveau de rail d'arrimage en acier galvanisé D + G axé à 900 mm du plancher (-18 mm de largeur utile)</t>
  </si>
  <si>
    <t>1 niveau de rail d'arrimage en aluminium D + G axé à 900 mm du plancher (-20 mm de largeur utile)</t>
  </si>
  <si>
    <t>Cloison mobile relevable (1780 mm ± 20 sous cloison relevée)</t>
  </si>
  <si>
    <t>Plancher : Antidérapant avec passages de roues (largeur entre passages de roues : 1250 mm) avec 3 siphons d'évacuation</t>
  </si>
  <si>
    <t>CF_DUCATO_1_sodexo</t>
  </si>
  <si>
    <t>1 Porte arrière 750 mm x 1250 mm</t>
  </si>
  <si>
    <t>Porte latérale battante 750 mm x 1200 mm à l'avant droit</t>
  </si>
  <si>
    <t>Plancher : Antidérapant léger sans passages de roues avec 1 siphon d'évacuation</t>
  </si>
  <si>
    <t>1 porte arrière</t>
  </si>
  <si>
    <t>Plancher : Lisse sans passage de roues avec 1 siphon d'évacuation</t>
  </si>
  <si>
    <t>1 plafonnier à LED ave temporisation</t>
  </si>
  <si>
    <t>Isolation renforcée LECAPITAINE / TRIMAT</t>
  </si>
  <si>
    <t>Porte latérale coulissante à l'avant droit avec une bordure de 70 mm de haut sur le plancher</t>
  </si>
  <si>
    <t>Plancher : Antidérapant léger avec passages de roues (largeur entre passages de roues : 1070 mm) avec 1 siphon d'évacuation</t>
  </si>
  <si>
    <t>Rideaux à lanières fixe pour les portes arrières</t>
  </si>
  <si>
    <t>2 portes arrière avec passage utile de 1100 mm x 1650 mm</t>
  </si>
  <si>
    <t>Porte latérale battante à l'avant droit avec passage utile de 1000 mm x 1560 mm</t>
  </si>
  <si>
    <t>Plancher : Antidérapant léger avec passages de roues (largeur entre passages de roues : 1280 mm) avec 1 siphon d'évacuation</t>
  </si>
  <si>
    <t>Plancher : Antidérapant léger avec passages de roues (largeur entre passages de roues : 1220 mm) avec 1 siphon d'évacuation</t>
  </si>
  <si>
    <t>1 rideau fixe à lanières anti-déperdition aux portes arrière</t>
  </si>
  <si>
    <t>Plancher : Antidérapant léger avec passages de roues (largeur entre passages de roues : 1212 mm) avec 1 siphon d'évacuation</t>
  </si>
  <si>
    <t>Escabeau arrière coulissant 2 marches larges (ergonomie++)</t>
  </si>
  <si>
    <t>Porte latérale battente 750 mm x 1800 mm à 65 mm à l'avant droit</t>
  </si>
  <si>
    <t>Cloison fixe longitudinale à 905 mm du côté droit avec 1 porte battante dans la cloison longitudinale</t>
  </si>
  <si>
    <t>1 Rideau fixe à lanières aux portes arrières et 1 rideau fixe à lanières à la porte latérale</t>
  </si>
  <si>
    <t>(   ) : Rideau à lanière sur les portes arrière (CU : -10 kg)</t>
  </si>
  <si>
    <t>Plancher : Antidérapant avec passages de roues (largeur entre passages de roues : 1270 mm) avec 2 siphons d'évacuation</t>
  </si>
  <si>
    <t xml:space="preserve">Rideaux à lanières fixe portes arrières </t>
  </si>
  <si>
    <t>2 portes arrière 1105 mm x 1880 mm</t>
  </si>
  <si>
    <t>Hauteur sous évaporateur : 866 mm</t>
  </si>
  <si>
    <t>Hauteur sous évaporateur : 915 mm</t>
  </si>
  <si>
    <t>Hauteur sous évaporateur : 1250 mm</t>
  </si>
  <si>
    <t>Hauteur sous évaporateur : 1405 mm</t>
  </si>
  <si>
    <t>Enregistreur de température à disque</t>
  </si>
  <si>
    <t>Hauteur sous évaporateur : 1880 mm</t>
  </si>
  <si>
    <t>Hauteur sous évaporateur : 1690 mm</t>
  </si>
  <si>
    <t>PULSOR 300 / R452A</t>
  </si>
  <si>
    <t>Hauteur sous évaporateur : 1420 mm</t>
  </si>
  <si>
    <t>Puissance frigorifique sur route : à 0°C = 2610 W / à -20°C = 1310 W</t>
  </si>
  <si>
    <t>Débit d'air : 710 m3/h</t>
  </si>
  <si>
    <t>PULSOR 400 MT / R452A</t>
  </si>
  <si>
    <t>Fonctionnement Route ( Batteries indépendantes)</t>
  </si>
  <si>
    <t>COLDWAY</t>
  </si>
  <si>
    <t xml:space="preserve">13 G </t>
  </si>
  <si>
    <t>(220V Monophasé)</t>
  </si>
  <si>
    <t>Puissance frigorique 2860 Wh</t>
  </si>
  <si>
    <t xml:space="preserve"> Débit d’air : 150 m3/h</t>
  </si>
  <si>
    <t>PULSOR 350 / R452A</t>
  </si>
  <si>
    <t>Fonctionnement Route ( Batteries indépendantes 11 kWh) et Secteur</t>
  </si>
  <si>
    <t>Puissance 750 Kg (charge max. admissible à l'axe sur la largeur de la plateforme et à 750 mm du bord coté carrosserie)</t>
  </si>
  <si>
    <t>Puissance 1000 Kg (charge max. admissible à l'axe sur la largeur de la plateforme et à 750 mm du bord coté carrosserie)</t>
  </si>
  <si>
    <t>CH_DOBLO-VAN_195-65R15-ADB_GSRII_SODEXO</t>
  </si>
  <si>
    <t>CH_DUCATO-PC_215-70R15C-C_ADB_GSRII_SODEXO</t>
  </si>
  <si>
    <t>GF_X350T_A_C_1560_1750mm_Cable10m_SODEXO</t>
  </si>
  <si>
    <t>CH_DUCATO-FGT_Série9_215-70R15C-C_ADB_GSRII_SODEXO</t>
  </si>
  <si>
    <t>CF_DAILY_C1_SODEXO_FC allégé</t>
  </si>
  <si>
    <t>CF_DAILY_C4-1950_SODEXO_FC allégé</t>
  </si>
  <si>
    <t>CF_DAILY_C5-3524*2050_SODEXO_FC allégé</t>
  </si>
  <si>
    <t>GF_X6T-MT_1850mm_Cable10m_SODEXO</t>
  </si>
  <si>
    <t>M_DAILY_3.0_136-MPI_GNC-HD-€VI-E_SODEXO_BV.HIMATIC_RunLock</t>
  </si>
  <si>
    <t>CF_DAILY_50_C2-1950_SODEXO</t>
  </si>
  <si>
    <t>GF_X6T_A_C_2192_2000mm_Cable10m_SODEXO</t>
  </si>
  <si>
    <t>GPS</t>
  </si>
  <si>
    <t>Boîte à clefs</t>
  </si>
  <si>
    <t>Boite à pharmacie</t>
  </si>
  <si>
    <t>Extincteur 1Kg</t>
  </si>
  <si>
    <t>Caméra de recul (montage carrossier)</t>
  </si>
  <si>
    <t xml:space="preserve">Climatisation manuelle (CU : -10 Kg) </t>
  </si>
  <si>
    <t xml:space="preserve">Climatisation manuelle + Régulateur de vitesse (CU : -20 Kg) </t>
  </si>
  <si>
    <t xml:space="preserve">2 places (CU : +10 Kg) </t>
  </si>
  <si>
    <t>Airbag passagers</t>
  </si>
  <si>
    <t>Airbag passager + Antibrouillard + Capteur de pression des pneus</t>
  </si>
  <si>
    <t>Airbag latéraux + Airbag passagers</t>
  </si>
  <si>
    <t>Régulateur de vitesse adaptatif (ACC)</t>
  </si>
  <si>
    <t>Feux antibrouillard Avant</t>
  </si>
  <si>
    <t>Feux &amp; Essui glaces Automatique</t>
  </si>
  <si>
    <t>Feux &amp; Essui glaces Automatique &amp; feux de route automatiques</t>
  </si>
  <si>
    <t xml:space="preserve">Climatisation manuelle + Régulateur et Limiteur de vitesse (CU : - 20 Kg) </t>
  </si>
  <si>
    <t xml:space="preserve">Climatisation manuelle + Régulateur et Limiteur de vitesse (CU : -20 Kg) </t>
  </si>
  <si>
    <t xml:space="preserve">Climatisation manuelle (CU : -20 Kg) </t>
  </si>
  <si>
    <t>Déflecteur de cabine (CU : -16 kg)</t>
  </si>
  <si>
    <t>Airbag frontal passager</t>
  </si>
  <si>
    <t>Airbag frontal passager + Airbag latéraux conducteur et passager (Thorax-Abdo)</t>
  </si>
  <si>
    <t>Airbag passager + Antibrouillard (induit Pack Basic : Essuie-vitre auto avec capteur de pluie, Allumage auto feux de croisement, Vitre cond. et passag. élec. séquentiels)</t>
  </si>
  <si>
    <t>GPS induit Navigation 3D sur tablette tactile 8" (induit : Mirror Screen , Volant multifonction, Essuie-vitre auto + capteur de pluie, Allumage auto feux de croisement, Antibrouillard)</t>
  </si>
  <si>
    <t>Caméra de recul : Aide au stationnement arrière avec Caméra de recul (restitution sur écran dédié 5" en zone rétroviseur ou écran tactile 8'' si équipement GPS)</t>
  </si>
  <si>
    <t>Antibrouillard (induit Pack Basic : Essuie-vitre auto avec capteur de pluie, Allumage auto feux de croisement, Vitre cond. et passag. élec. séquentiels)</t>
  </si>
  <si>
    <t>Frein à main électrique (induit : Essuie-vitre auto + capteur de pluie, Allumage auto feux de croisement, Airbag passager, Antibrouillard, Accès + démarrage mains-libres)</t>
  </si>
  <si>
    <t>Airbag passager + Antibrouillard (induit Pack Basic : Essuie-vitre auto avec capteur de pluie, Allumage auto feux de croisement, Vitre cond. et passag. élec. séquentiels, Volant multifonction)</t>
  </si>
  <si>
    <t>Key Out</t>
  </si>
  <si>
    <t>Key-out + Caméra de recul : Aide au stationnement arrière avec Caméra de recul (restitution sur écran dédié 5" en zone rétroviseur ou écran tactile 8'' si équipement GPS)</t>
  </si>
  <si>
    <t xml:space="preserve">2 places (CU : -7g) </t>
  </si>
  <si>
    <t xml:space="preserve">Airbag latéraux induit Cabine 2 places  (CU : -7g) </t>
  </si>
  <si>
    <t>Airbag passager + Antibrouillard + 
capteur de pression des pneus</t>
  </si>
  <si>
    <t>GPS induit Pack Techno Premium : Climatisation auto, Cockpit 100% numérique, Double port USB et Système multimédia écran tactile 10'' avec Apple CarPlay® et Android Auto™ sans fil + Navigation</t>
  </si>
  <si>
    <t>Caméra de recul induit suppression des radar de recul</t>
  </si>
  <si>
    <t>Régulateur de vitesse adaptatif induit Pack Easy Driving : Adaptation intelligente de la vitesse, Détecteur de fatigue ou d'inattention, Régulateur de vitesse adaptatif</t>
  </si>
  <si>
    <t>Feux antibrouillard</t>
  </si>
  <si>
    <t xml:space="preserve">Airbag passager + Antibrouillard + Capteur de pression des pneus </t>
  </si>
  <si>
    <t>Key Out + Caméra de recul induit suppression des radar de recul</t>
  </si>
  <si>
    <t>Airbag latéraux : induit Sièges avant chauffants</t>
  </si>
  <si>
    <t>GPS induit Navigation 3D avec reconnaissance vocale, écran tactile 7'' + Mirror Screen, Coffee Break Alert, Pack Visibilité (Antibrouillard et Rétroviseurs extérieurs rabattables électrique)</t>
  </si>
  <si>
    <t>Antibrouillard (induit Pack Visibilité : Allumage automatique des feux de croisement et des essuie-vitres avant et Rétroviseurs extérieurs rabattables électrique)</t>
  </si>
  <si>
    <t>Feux &amp; Essui glaces Auto induit Pack Visibilité : Allumage automatique des feux de croisement et des essuie-vitres avant, Antibroulard et Rétroviseurs extérieurs rabattables électriquement)</t>
  </si>
  <si>
    <t xml:space="preserve">Key-out + caméra de recul (montage carrossier) </t>
  </si>
  <si>
    <t>GPS induit Finition PRO LOUNGE CONNECT (Navigation 3D + reconnaissance vocale, écran tactile 7'' + Mirror Screen, Pack Visibilité (Antibrouillard), Pack Rétrovision (Caméra), Pack Sécurité)</t>
  </si>
  <si>
    <t>Caméra de recul  induit Finition PRO LOUNGE CONNECT (Navigation 3D + reconnaissance vocale, écran tactile 7'' + Mirror Screen, Pack Visibilité (Antibrouillard), Pack Sécurité)</t>
  </si>
  <si>
    <t>Key-out + Caméra de recul  induit Finition PRO LOUNGE CONNECT (Navigation 3D + reconnaissance vocale, écran tactile 7'' + Mirror Screen, Pack Visibilité (Antibrouillard), Pack Sécurité)</t>
  </si>
  <si>
    <t>Radar de recul</t>
  </si>
  <si>
    <t>Géolocalisation Pack Pro SAMSARA</t>
  </si>
  <si>
    <t xml:space="preserve">Cabine 2 places </t>
  </si>
  <si>
    <t>Airbag passager  + Antibrouillard +  Capteur de pression des pneus induit Pack Safety (Airbag cond. + pass. + lat.) + Cabine 2 places + Pack Visibilité ( Feux et essuie vitres auto)</t>
  </si>
  <si>
    <t xml:space="preserve">Airbags latéraux induit Pack Safety (Airbag cond. et passager frontal + latéraux et rideaux + Capteur de pression des pneus) - (incompatible banquette passager) + Cabine 2 places </t>
  </si>
  <si>
    <t>GPS induit Système multimédia Easy Link écran 8" avec navigation</t>
  </si>
  <si>
    <t>Anti-brouillard induit Pack Visibilité (Projecteurs anti-brouillard + Feux et essuie vitres automatiques)</t>
  </si>
  <si>
    <t>Feux et essuie vitres automatiques induit Pack Visibilité (Projecteurs anti-brouillard + Feux et essuie vitres automatiques)</t>
  </si>
  <si>
    <t xml:space="preserve">Key Out + caméra de recul </t>
  </si>
  <si>
    <t xml:space="preserve">Cabine 2 places  </t>
  </si>
  <si>
    <t>GPS induit Pack Easy Link Plus (gestion de la vitesse osp, easy link écran 8" avec navigation,tableau de bord analogique couleur 4"2)</t>
  </si>
  <si>
    <t>Key Out + Caméra de recul (montage carrossier)</t>
  </si>
  <si>
    <t>Cabine 2 places</t>
  </si>
  <si>
    <t xml:space="preserve">Airbag latéraux + Airbag passager (incompatible avec banquette passager Biplace) + Cabine 2 places </t>
  </si>
  <si>
    <t xml:space="preserve">Caméra de recul </t>
  </si>
  <si>
    <t xml:space="preserve">RUNLOCK (Key-out) + Caméra de recul </t>
  </si>
  <si>
    <t>Frein à main électrique</t>
  </si>
  <si>
    <t>BV Automatique (CU: -20 kg)</t>
  </si>
  <si>
    <t>BV Automatique - Implique groupe Frigorifique Neos HE 200S (CU : -10 kg)</t>
  </si>
  <si>
    <t xml:space="preserve">Motorisation 210 cv </t>
  </si>
  <si>
    <t>Pneux neige</t>
  </si>
  <si>
    <t>1 Paire Pneus neige</t>
  </si>
  <si>
    <t>Sans support et sans roue de secours</t>
  </si>
  <si>
    <t>Sabot de DENVER (CU : -25 Kg)</t>
  </si>
  <si>
    <t>Pneus neige  1 essieu</t>
  </si>
  <si>
    <t>Sans support et sans roue de secours (CU : +24 Kg)</t>
  </si>
  <si>
    <t>Alerte franchissement de ligne / Reconnaissance de panneaux (Pack Sécurité) / feux adaptatifs induit Finition PRO LOUNGE CONNECT (Navigation 3D , Pack Visibilité, Pack Rétrovision)</t>
  </si>
  <si>
    <t xml:space="preserve">Pneus neige  </t>
  </si>
  <si>
    <t>Capteurs de pression des pneumatiques</t>
  </si>
  <si>
    <t>Pack Sécurité : Alerte de Franchisssement de Ligne (LDWS), Capteurs de pluie et luminosité, Commutation automatique des feux de route,  Freinage d'urgence (AEBS),  Reconnaissance des panneaux</t>
  </si>
  <si>
    <t>Aide à la descente (HDC)</t>
  </si>
  <si>
    <t>Pneus neige</t>
  </si>
  <si>
    <t>Sans support et sans roue de secours (CU : +25 Kg)</t>
  </si>
  <si>
    <t xml:space="preserve">Capteur de pression des pneus induit Pack Safety (Airbag cond. et passager frontal + latéraux et rideaux + Capteur de pression des pneus) - (incompatible banquette passager) + Cabine 2 places </t>
  </si>
  <si>
    <t xml:space="preserve"> Sabot de DENVER (CU : -25 Kg)</t>
  </si>
  <si>
    <t>Sans support et sans roue de secours (CU : +33 Kg)</t>
  </si>
  <si>
    <t>Freinage automatique d'urgence (ADVANCED ELECTRONIC BRAKING SYSTEM + CITY BRAKE)</t>
  </si>
  <si>
    <t>Aide à la descente (HILL-DESCENT)</t>
  </si>
  <si>
    <t>Stabilité en cas de vent latéral (ESP + CROSSWIND)</t>
  </si>
  <si>
    <t>Suspension Ar HELPER - Hauteur de seuil et hauteur hors tout + 70 mm  (CU : -17 Kg)</t>
  </si>
  <si>
    <t>Feux antibrouillard avant</t>
  </si>
  <si>
    <t>Longueur 3.63 m (CU : -73 kg)</t>
  </si>
  <si>
    <t>Porte latérale battante 1000 mm à l'avant droit + Marche pied (CU : -57 kg)</t>
  </si>
  <si>
    <t>1 niveau de rail d'arrimage DR + GA axé à 900 mm du plancher (-18 mm de largeur utile) avec sangle (CU : -16 kg)</t>
  </si>
  <si>
    <t>2 Barre étais avec 1 niveau de rail d'arrimage DR + GA axé à 900 mm du plancher (-18 mm de largeur utile) - (CU : -34 kg)</t>
  </si>
  <si>
    <t>1 étagère D + G profondeur 500 mm à 1000 mm du plancher (CU : -38 kg)</t>
  </si>
  <si>
    <t>2 étagères D + G profondeur 500 mm à 1000 mm et 1300 mm du plancher (CU : -70 kg)</t>
  </si>
  <si>
    <t>2 Barre étais (CU : -18 kg)</t>
  </si>
  <si>
    <t>1 niveau de rail d'arrimage DR + GA axé à 900 mm du plancher (-18 mm de largeur utile) avec sangle (CU : -20 kg)</t>
  </si>
  <si>
    <t>1 étagère D + G profondeur 500 mm à 1000 mm du plancher (CU : -50 kg)</t>
  </si>
  <si>
    <t>2 étagères D + G profondeur 500 mm à 1000 mm et 1300 mm du plancher (CU : -90 kg)</t>
  </si>
  <si>
    <t>Porte latérale battante 1000 mm à l'avant droit (CU : -27 kg)</t>
  </si>
  <si>
    <t>1 niveau de rail d'arrimage DR + GA axé à 900 mm du plancher (-18 mm de largeur utile) avec sangle (CU : -15 kg)</t>
  </si>
  <si>
    <t>1 étagère D + G profondeur 400 mm à 1000 mm du plancher (CU : -35 kg)</t>
  </si>
  <si>
    <t>2 étagères D + G profondeur 400 mm à 1000 mm et 1300 mm du plancher (CU : -63 kg)</t>
  </si>
  <si>
    <t>1 rampe d'accès arrière (CU : -26 kg)</t>
  </si>
  <si>
    <t>1 plancher intermédiaire complet  (sans porte lateral) - (CU : -15 kg)</t>
  </si>
  <si>
    <t>1 niveau de rail d'arrimage côté droit et gauche - Hauteur à définir (-24 mm de largeur utile) - (CU : -7 kg)</t>
  </si>
  <si>
    <t>2 niveauX de rail d'arrimage côté droit et gauche - Hauteur à définir (-24 mm de largeur utile) -  (CU : -14 kg)</t>
  </si>
  <si>
    <t xml:space="preserve">1 Barre d'étai </t>
  </si>
  <si>
    <t>1 étagère D + G profondeur 400 mm (CU : -20 kg)</t>
  </si>
  <si>
    <t>2 étagères D + G profondeur 400 mm (CU : -34 kg)</t>
  </si>
  <si>
    <t>1 étagère D + G profondeur 400 mm (CU : -27 kg)</t>
  </si>
  <si>
    <t>2 étagères D + G profondeur 400 mm - Hauteur à définir (CU : -50 kg)</t>
  </si>
  <si>
    <t xml:space="preserve">1 sangle d'arrimage </t>
  </si>
  <si>
    <t>Rideau d'air arrière à la place du rideau à lanière  (CU : +3 kg)</t>
  </si>
  <si>
    <t>Total covering</t>
  </si>
  <si>
    <t>Porte latérale battante à l'avant droit (CU : -27 kg)</t>
  </si>
  <si>
    <t>1 niveau de rail d'arrimage en acier galvanisé D + G axé à 900 mm du plancher (-16 mm de largeur utile) avec une sangle d'arrimage (CU : -16 kg)</t>
  </si>
  <si>
    <t>Rideau à lanières latéral (CU : -6 kg) ==&gt; Implique l'ajout de la Porte latérale</t>
  </si>
  <si>
    <t>1 niveau d'étagères droite et gauche profondeur 400 mm (CU : -37 kg) - Hauteur à préciser</t>
  </si>
  <si>
    <t xml:space="preserve">Porte latérale battante à l'avant droit (CU : -22 kg) </t>
  </si>
  <si>
    <t>1 niveau de rail d'arrimage côté droit et gauche axé à 700 mm du plancher (-24 mm de largeur utile) avec une sangle d'arrimage (CU : -13 kg)</t>
  </si>
  <si>
    <t>1 niveau d'étagères droite et gauche profondeur 400 mm (CU : -30 kg) - Hauteur à préciser</t>
  </si>
  <si>
    <t>1 niveau de rail d'arrimage côté droit et gauche avec une sangle d'arrimage  (CU : -15 kg) - Hauteur à préciser</t>
  </si>
  <si>
    <t>Rideau à lanières arrière (CU : -12 kg)</t>
  </si>
  <si>
    <t>Rideau à lanières latéral (CU : -6 kg)</t>
  </si>
  <si>
    <t>1 niveau d'étagères droite et gauche profondeur 400 mm (CU : -36 kg) - Hauteur à préciser</t>
  </si>
  <si>
    <t>1 niveau de rail d'arrimage côté droit et gauche axé à 600 mm du plancher (-24 mm de largeur utile) avec une sangle d'arrimage (CU : -13 kg) - Pas de rails sur la porte latérale coulissante</t>
  </si>
  <si>
    <t>1 niveau d'étagères droite et gauche profondeur 400 mm (CU : -29 kg) - Hauteur à préciser</t>
  </si>
  <si>
    <t>Rideau  à lanières arrière (CU : -10 kg)</t>
  </si>
  <si>
    <t>1 niveau d'étagères droite et gauche profondeur 400 mm (CU : -24 kg) - Hauteur à préciser</t>
  </si>
  <si>
    <t>1 niveau de rail d'arrimage côté droit et gauche axé à 500 mm du plancher (-24 mm de largeur utile)  avec une sangle d'arrimage (CU : -9 kg) - Pas de rails sur la porte latérale coulissante</t>
  </si>
  <si>
    <t>1 niveau d'étagères droite et gauche profondeur 400 mm à la place du demi-plancher intermédiare amovible (CU : -24 kg) - Hauteur à préciser</t>
  </si>
  <si>
    <t>1 niveau de rail d'arrimage côté droit et gauche axé à 500 mm du plancher (-24 mm de largeur utile)  avec une sangle d'arrimage (CU : -8 kg) - Pas de rails sur la porte latérale coulissante</t>
  </si>
  <si>
    <t>1 niveau d'étagères droite et gauche profondeur 400 mm à la place du demi-plancher intermédiare amovible (CU : -18 kg) - Hauteur à préciser</t>
  </si>
  <si>
    <t>1 niveau de rail d'arrimage côté droit et gauche axé à 600 mm du plancher (-24 mm de largeur utile) avec une sangle d'arrimage  (CU : -14 kg) - Pas de rails sur la porte latérale coulissante</t>
  </si>
  <si>
    <t>1 niveau d'étagères droite et gauche profondeur 400 mm (CU : -31 kg) - Hauteur à préciser</t>
  </si>
  <si>
    <t>Rideau à lanières arrière (CU : -8 kg)</t>
  </si>
  <si>
    <t>Porte latérale battante  largeur 350mm à l'avant droit (CU : -12 kg)</t>
  </si>
  <si>
    <t>1 niveau de rail d'arrimage côté droit et gauche (-16 mm de largeur utile) avec une sangle d'arrimage  (CU : -9 kg) - Hauteur à préciser</t>
  </si>
  <si>
    <t>Rideau  à lanières arrière (CU : -8 kg)</t>
  </si>
  <si>
    <t>Rideau à lanières latéral (CU : -5 kg) ==&gt; Implique l'ajout de la Porte latérale</t>
  </si>
  <si>
    <t>1 niveau d'étagères droite et gauche profondeur 400 mm (CU : -20 kg) - Hauteur à préciser</t>
  </si>
  <si>
    <t>1 niveau de rail d'arrimage côté droit et gauche axé à 700 mm du plancher (-16 mm de largeur utile) avec une sangle d'arrimage  (CU : -14 kg)</t>
  </si>
  <si>
    <t>1 niveau d'étagères droite et gauche profondeur 400 mm (CU : -35 kg) - Hauteur à préciser</t>
  </si>
  <si>
    <t>Rideau d'air arrière (CU : -10 kg)</t>
  </si>
  <si>
    <t>Longeur de caisse 3524 mm (CU : -83kg)</t>
  </si>
  <si>
    <t>Rideau d'air arrière (CU : -13kg)</t>
  </si>
  <si>
    <t>1 niveau d'étagères droite et gauche profondeur 500 mm (CU : -37 kg) - Hauteur à préciser</t>
  </si>
  <si>
    <t>Longeur de caisse 3524 mm (CU : -21kg)</t>
  </si>
  <si>
    <t xml:space="preserve">Porte latérale battante  à 450 mm de l'avant droit (CU : -20 kg) </t>
  </si>
  <si>
    <t>1 niveau de rail d'arrimage en aluminium côté droit et gauche axé à 900 mm du plancher (-20 mm de largeur utile) avec une sangle d'arrimage (CU : -10 kg)</t>
  </si>
  <si>
    <t>Rideau à lanières arrière (CU : -19 kg)</t>
  </si>
  <si>
    <t>Rideau d'air arrière (CU : -16kg)</t>
  </si>
  <si>
    <t>1 niveau d'étagères droite et gauche profondeur 500 mm (CU : -41 kg) - Hauteur à préciser</t>
  </si>
  <si>
    <t>Longeur de caisse 3528 mm (CU : -35kg)</t>
  </si>
  <si>
    <t>1 niveau d'étagères droite et gauche profondeur 500 mm (CU : -35 kg) - Hauteur à préciser</t>
  </si>
  <si>
    <t>Longeur de caisse 3524 mm (CU : -26kg)</t>
  </si>
  <si>
    <t>1 niveau de rail d'arrimage côté droit et gauche en acier galvanisé axé à 900 mm du plancher (-18 mm de largeur utile) avec une sangle d'arrimage (CU : -17 kg)</t>
  </si>
  <si>
    <t>Cadre AR 3 Vantaux - 1 Crémone (CU : +4 kg)</t>
  </si>
  <si>
    <t>Porte latérale coulissante  1000 mm à l'avant droit (CU : -18 kg)</t>
  </si>
  <si>
    <t>Marchepied arrière rabattable  + buzzer en cabine (CU : +19)</t>
  </si>
  <si>
    <t>Marchepied latéral rétractable sans buzzer en cabine (CU : -18 kg)</t>
  </si>
  <si>
    <t>Marchepied latéral rétractable + buzzer en cabine (CU : -18 kg)</t>
  </si>
  <si>
    <t>Plancher lisse avec bande antidèrapant sur les côtés</t>
  </si>
  <si>
    <t>2 niveaux de rail d'arrimage DR + GA axés à 800 mm et 1200 mm du plancher (-18 mm de largeur utile) - (CU : -19 kg)</t>
  </si>
  <si>
    <t>1 Barre d'étai (CU : -9 kg)</t>
  </si>
  <si>
    <t>Rideau d'air Ar (CU : -10 kg)</t>
  </si>
  <si>
    <t>Porte latérale battante 1000 mm  à 450 mm de l'avant droit (CU : -20 kg)</t>
  </si>
  <si>
    <t xml:space="preserve">Marchepied arrière rabattable + buzzer en cabine </t>
  </si>
  <si>
    <t>1 niveau de rail d'arrimage en aluminium DR + GA axé à 900 mm du plancher (-20 mm de largeur utile) - (CU : -10 kg)</t>
  </si>
  <si>
    <t>2 niveaux de rail d'arrimage en aluminium DR + GA axés à 800 mm et 1200 mm du plancher (-18 mm de largeur utile) - (CU : -20 kg)</t>
  </si>
  <si>
    <t>1 rideau fixe à lanières à la porte latérale (CU : -6 kg)</t>
  </si>
  <si>
    <t>Rideau d'air Ar (CU : -16 kg)</t>
  </si>
  <si>
    <t>1 étagère D + G profondeur 500 mm à 1000 mm du plancher (CU : -41 kg)</t>
  </si>
  <si>
    <t xml:space="preserve">Marchepied arrière rabattable  + buzzer en cabine </t>
  </si>
  <si>
    <t>2 niveaux de rail d'arrimage DR + GA axés à 800 mm et 1200 mm du plancher (-18 mm de largeur utile) - (CU : -11 kg) - Pas de rails sur la porte latérale coulissante</t>
  </si>
  <si>
    <t>Porte latérale battante 1000 mm à l'avant droit (CU : -20 kg)</t>
  </si>
  <si>
    <t>Rideau coulissant à lanières aux portes arrières (CU : -19 kg)</t>
  </si>
  <si>
    <t>2 niveaux de rail d'arrimage DR + GA axés à 800 mm et 1200 mm du plancher (-18 mm de largeur utile) - (CU : -31 kg) - Pas de rails sur la porte latérale coulissante</t>
  </si>
  <si>
    <t>Rideau d'air Ar (CU : -9 kg)</t>
  </si>
  <si>
    <t>1 étagère D + G profondeur 400 mm à 1000 mm du plancher (CU : -36 kg)</t>
  </si>
  <si>
    <t>2 étagères D + G profondeur 400 mm à 1000 mm et 1300 mm du plancher (CU : -61 kg)</t>
  </si>
  <si>
    <t>Plancher lisse avec bande antidérapante sur les côtés (CU : -9 kg)</t>
  </si>
  <si>
    <t>Plancher intermédiaire complet amovible (CU : -8  kg)</t>
  </si>
  <si>
    <t>1 niveau de rail d'arrimage en acier galvanisé droite + gauche axé a 500 mm du plancher (-26 mm de largeur utile) - (CU : -8 kg) - Pas de rails sur la porte latérale coulissante</t>
  </si>
  <si>
    <t>1 étagère D + G profondeur 400 mm - Hauteur à définir  (CU : -18 kg)</t>
  </si>
  <si>
    <t>2 niveaux de rails d'arrimage en acier galvanisé droite + gauche - Hauteur à définir (-26 mm de largeur utile) - (CU : -16 kg) - Pas de rails sur la porte latérale coulissante</t>
  </si>
  <si>
    <t>Porte latérale battante (CU : -27 kg)</t>
  </si>
  <si>
    <t>Revêtement de sol lisse avec bande antidérapante sur le coté</t>
  </si>
  <si>
    <t>Plancher intermédiaire complet sans porte latérale  (CU : -55 kg)</t>
  </si>
  <si>
    <t>Plancher intermédiaire complet avec  porte latérale  (CU : -82 kg)</t>
  </si>
  <si>
    <t>1 niveau de rail d'arrimage en acier galvanisé droite + gauche axé à 800 mm du plancher (-18 mm de largeur utile) - (CU : -13 kg)</t>
  </si>
  <si>
    <t>2 niveaux de rail d'arrimage en acier galvanisé droite + gauche axés à 700 mm et 1100 mm du plancher (-18 mm de largeur utile) - (CU : -26 kg)</t>
  </si>
  <si>
    <t>1 rideau fixe à lanières à la porte latérale (CU : -6 kg) - Oblige porte latérale</t>
  </si>
  <si>
    <t>1 étagère D + G profondeur 400 mm à 900 mm du plancher (CU : -30 kg)</t>
  </si>
  <si>
    <t>2 étagères D + G profondeur 400 mm à 900 mm et 1200 mm du plancher (CU : -46 kg)</t>
  </si>
  <si>
    <t>1 rideau fixe à lanières à la porte arrière (CU : -10 kg)</t>
  </si>
  <si>
    <t>1 rideau d’air sur porte arrière (CU : -10 kg)</t>
  </si>
  <si>
    <t>Plancher lisse avec bande antidérapante  (CU : -11 kg)</t>
  </si>
  <si>
    <t>Plancher intermédiaire complet  avec porte latérale - Hauteur à définir  (CU : - 44 kg)</t>
  </si>
  <si>
    <t>1 niveau de rail d'arrimage en acier galvanisé droite + gauche - Hauteur à définir (-18 mm de largeur utile) - (CU : -11 kg) - Pas de rails sur la porte latérale coulissante</t>
  </si>
  <si>
    <t>2 niveaux de rail d'arrimage en acier galvanisé droite + gauche - Hauteur à définir (-18 mm de largeur utile) - (CU : - 26 kg)</t>
  </si>
  <si>
    <t>1 étagère D + G profondeur 400 mm  du plancher - Hauteur à définir (CU : -29 kg)</t>
  </si>
  <si>
    <t>Plancher lisse avec bande antidérapante sur les côtés (CU : -11 kg)</t>
  </si>
  <si>
    <t>Plancher intermédiaire complet amovible (avec porte latérale) -  (CU : -44 kg)</t>
  </si>
  <si>
    <t>1 niveau de rail d'arrimage en acier galvanisé droite + gauche - Hauteur à définir (-26 mm de largeur utile) - (CU : -12 kg) - Pas de rails sur la porte latérale coulissante</t>
  </si>
  <si>
    <t>2 niveaux de rails d'arrimage en acier galvanisé droite + gauche - hauteur à définir (-26 mm de largeur utile) - (CU : - 24 kg) - Pas de rails sur la porte latérale coulissante</t>
  </si>
  <si>
    <t>1 étagère D + G profondeur 400 mm - hauteur à définir (CU : -26 kg)</t>
  </si>
  <si>
    <t>Cadre arrière 3 Vantaux - 1 Crémone (CU : -16 kg)</t>
  </si>
  <si>
    <t>1 Porte latérale coulissante (CU : - 45kg)</t>
  </si>
  <si>
    <t>Plancher intermédiaire complet (sans porte latérale) (CU : - 55 kg)</t>
  </si>
  <si>
    <t>Plancher intermédiaire complet (avec porte latérale) (CU : - 82 kg)</t>
  </si>
  <si>
    <t>1 niveau de rail d'arrimage DR + GA axé à 900 mm du plancher (-18 mm de largeur utile) - (CU : -16 kg)</t>
  </si>
  <si>
    <t>2 niveaux de rail d'arrimage DR + GA axés à 800 mm et 1200 mm du plancher (-18 mm de largeur utile) - (CU : -32 kg)</t>
  </si>
  <si>
    <t>1 rideau fixe à lanières aux portes arrières  (CU : -12 kg)</t>
  </si>
  <si>
    <t>Rideau d’air AR (CU : -13 kg</t>
  </si>
  <si>
    <t>1 étagère D + G profondeur 400 mm à 1000 mm du plancher (CU : -37 kg)</t>
  </si>
  <si>
    <t>Plancher intermédiaire complet amovible - Hauteur à définir  (CU : -8  kg)</t>
  </si>
  <si>
    <t xml:space="preserve">Rideau d'air arrière (CU : -10 kg) </t>
  </si>
  <si>
    <t>2 niveaux de rails d'arrimage en acier galvanisé droite + gauche  - Hauteur à définir (-26 mm de largeur utile) - (CU : -16 kg) - Pas de rails sur la porte latérale coulissante</t>
  </si>
  <si>
    <t xml:space="preserve">1 rideau fixe à lanières aux portes arrières (CU : -8 kg) </t>
  </si>
  <si>
    <t>2 niveaux de rail d'arrimage en acier galvanisé droite + gauche - Hauteur à définir (-18 mm de largeur utile) - (CU : - 22 kg) - Pas de rails sur la porte latérale coulissante</t>
  </si>
  <si>
    <t>1 étagère D + G profondeur 400 mm - Hauteur à définir (CU : -24 kg)</t>
  </si>
  <si>
    <t>Plancher intermédiaire complet  avec porte latérale - Hauteur à définir  (CU : - 55 kg)</t>
  </si>
  <si>
    <t>1 niveau de rail d'arrimage en acier galvanisé droite + gauche axé à 800 mm du plancher(-18 mm de largeur utile) - (CU : -13 kg) - Pas de rails sur la porte latérale coulissante</t>
  </si>
  <si>
    <t>2 niveaux de rail d'arrimage en acier galvanisé droite + gauche axés à 700 mm et 900 mm du plancher (-18 mm de largeur utile) - (CU : - 26 kg) - Pas de rails sur la porte latérale coulissante</t>
  </si>
  <si>
    <t>1 étagère D + G profondeur 400 mm - Hauteur à définir (CU : -29 kg)</t>
  </si>
  <si>
    <t>1 niveau de rail d'arrimage en acier galvanisé droite + gauche axé à 800 mm du plancher(-18 mm de largeur utile) - (CU : -13 kg)</t>
  </si>
  <si>
    <t>Marchepied latérale retractable buzzer en cabine (CU : -15 kg)</t>
  </si>
  <si>
    <t xml:space="preserve">Marchepied latérale rétractable + buzzer en cabine (-15 kg) </t>
  </si>
  <si>
    <t>Plancher lisse avec bande antidérapante sur les côtés</t>
  </si>
  <si>
    <t>Plancher intermediaire complet  (avec porte latérale) - (CU : -66 kg)</t>
  </si>
  <si>
    <t>1 niveau de rail d'arrimage DR + GA axé à 800 mm du plancher (-26 mm de largeur utile) - (CU : -15 kg)</t>
  </si>
  <si>
    <t>2 niveaux de rail d'arrimage DR + GA axés à 700 mm et 1100 mm du plancher (-26 mm de largeur utile) - (CU : -30 kg)</t>
  </si>
  <si>
    <t>1 étagère D + G profondeur 400 mm - Hauteur à définir (CU : -36 kg)</t>
  </si>
  <si>
    <t>2 étagères D + G profondeur 400 mm - Hauteur à définir (CU : -62 kg)</t>
  </si>
  <si>
    <t xml:space="preserve"> Cadre arrière 3 vantaux ( -4 kg)  </t>
  </si>
  <si>
    <t xml:space="preserve">Porte latérale battante (-27 kg) </t>
  </si>
  <si>
    <t xml:space="preserve">Marchepied latérale rétractable + buzzer en cabine (-10 kg) </t>
  </si>
  <si>
    <t>Plancher intermédiaire complet amovible (sans porte latérale) - (CU : - 55 kg)</t>
  </si>
  <si>
    <t>Plancher intermédiaire complet amovible (avec porte latérale) - (CU : - 82 kg)</t>
  </si>
  <si>
    <t>1 niveau de rail d'arrimage en acier galvanisé droite + gauche - Hauteur à définir (-26 mm de largeur utile) - (CU : -12 kg)</t>
  </si>
  <si>
    <t xml:space="preserve">1 rideau fixe à lanières aux portes arrières  (CU : -10 kg) </t>
  </si>
  <si>
    <t>1 rideau fixe à lanières sur la porte latérale   (CU : - 6 kg) - oblige porte latérale</t>
  </si>
  <si>
    <t>1 rideau d’air sur la porte arrière (CU : -10 kg)</t>
  </si>
  <si>
    <t>1 étagère D + G profondeur 400 mm - hauteur à définir (CU : -35 kg)</t>
  </si>
  <si>
    <t>2 étagères D + G profondeur 400 mm - hauteur à définir (CU : -57 kg)</t>
  </si>
  <si>
    <t>Plancher lisse avec bande antidèrapant sur les côtés (CU : - 11 kg)</t>
  </si>
  <si>
    <t>2 niveaux de rails d'arrimage en acier galvanisé droite + gauche - hauteur à définir (-26 mm de largeur utile) - (CU : - 28 kg) - Pas de rails sur la porte latérale coulissante</t>
  </si>
  <si>
    <t>1 rideau fixe à lanières sur la porte latérale   (CU : - 6 kg)</t>
  </si>
  <si>
    <t>1 rideau d’air sur les portes arrière (CU : -10 kg)</t>
  </si>
  <si>
    <t>buzzer cabine</t>
  </si>
  <si>
    <t>Plancher lisse avec bande antidèrapant sur les côtés (CU : - 13 kg)</t>
  </si>
  <si>
    <t>Plancher intermédiaire complet amovible (avec porte latérale) -  (CU : -55 kg)</t>
  </si>
  <si>
    <t>1 niveau de rail d'arrimage en acier galvanisé droite + gauche (-26 mm de largeur utile) - (CU : -14 kg) - Pas de rails sur la porte latérale coulissante</t>
  </si>
  <si>
    <t>1 étagère D + G profondeur 400 mm - hauteur à définir (CU : -31 kg)</t>
  </si>
  <si>
    <t>Cadre arrière 3 Vantaux - 1 Crémone (CU : -4 kg)</t>
  </si>
  <si>
    <t>Porte latérale coulissante 1000 mm à l'avant droit (CU : -45 kg)</t>
  </si>
  <si>
    <t xml:space="preserve">1 plancher intermédiaire complet  (sans porte latérale) (- 55 kg) </t>
  </si>
  <si>
    <t>1 plancher intermédiaire complet  (avec porte latérale) (- 82 kg)</t>
  </si>
  <si>
    <t>1 niveau de rail d'arrimage DR + GA à 900 mm du plancher (-18 mm de largeur utile) - (CU : -16 kg) - Pas de rails sur la porte latérale coulissante</t>
  </si>
  <si>
    <t>2 niveaux de rail d'arrimage DR + GA axés à 800 mm et 1200 mm du plancher (-18 mm de largeur utile) - (CU : -32 kg) - Pas de rails sur la porte latérale coulissante</t>
  </si>
  <si>
    <t>1 rideau fixe à lanières sur la porte latérale (CU : -6 kg) - Oblige porte latérale</t>
  </si>
  <si>
    <t xml:space="preserve">Rideau d’air arrière  (CU : - 2kg) </t>
  </si>
  <si>
    <t>1 étagère D + G profondeur 500 mm à 1000 mm du plancher (CU : -37 kg)</t>
  </si>
  <si>
    <t>2 étagères D + G profondeur 500 mm à 1000 mm et 1300 mm du plancher (CU : -63 kg)</t>
  </si>
  <si>
    <t>Porte latérale coulissante 1000 mm à l'avant droit (CU : --18 kg)</t>
  </si>
  <si>
    <t>1 étagère D + G profondeur 500 mm à 1000 mm du plancher (CU : -30 kg)</t>
  </si>
  <si>
    <t>2 étagères D + G profondeur 500 mm à 1000 mm et 1300 mm du plancher (CU : -51 kg)</t>
  </si>
  <si>
    <t>Porte latérale coulissante  1000 mm à l'avant droit (CU : -45 kg)</t>
  </si>
  <si>
    <t>1 plancher intermédiaire complet (sans porte lateral) - (CU : -66 kg)</t>
  </si>
  <si>
    <t>1 plancher intermédiaire complet (avec porte latérale) - (- 93 kg)</t>
  </si>
  <si>
    <t>1 niveau de rail d'arrimage DR + GA axé à 900 mm du plancher (-18 mm de largeur utile) - (CU : -17 kg) - Pas de rails sur la porte latérale coulissante</t>
  </si>
  <si>
    <t>2 niveaux de rail d'arrimage DR + GA axés à 800 mm et 1200 mm du plancher (-18 mm de largeur utile) - (CU : -34 kg) - Pas de rails sur la porte latérale coulissante</t>
  </si>
  <si>
    <t>1 étagère D + G profondeur 500 mm à 1000 mm du plancher (CU : - 41 kg)</t>
  </si>
  <si>
    <t>Marchepied arrière rabattable + buzzer en cabine (CU : +19 kg)</t>
  </si>
  <si>
    <t xml:space="preserve">1 niveau de rail d’arrimage supplémentaire ( -24 kg) </t>
  </si>
  <si>
    <t>1 niveau de rail d’arrimage supplémentaire (CU : - 31 kg)</t>
  </si>
  <si>
    <t>1 niveau de rail d’arrimage supplémentaire (CU : - 36 kg)</t>
  </si>
  <si>
    <t>Enregistreur de température DATACOLD 300 R + imprimante</t>
  </si>
  <si>
    <t>PULSOR 400  / R452A (220 V Monophasé) au lieu du XARIOS 350T / R452A (220 V Monophasé) - (CU : sans incidence)</t>
  </si>
  <si>
    <t>PULSOR 500 / R452A (220 V Monophasé) au lieu du XARIOS 350T / R452A (220 V Monophasé) - (CU : 35 kg)</t>
  </si>
  <si>
    <t>XARIOS 600T / R452A (380 V Triphasé) au lieu du XARIOS 350T / R452A (220 V Monophasé) - (CU : 84 kg)</t>
  </si>
  <si>
    <t>Enregistreur de T° électronique avec imprimante TOUCH PRINT premium VP</t>
  </si>
  <si>
    <t>Enregistreur de température Touchlog Prémium avec imprimante</t>
  </si>
  <si>
    <t>CARRIER PULSOR 500 eCool à la place du TK E-500 ==&gt; Implique une hauteur intérieur de 2000 mm (CU : -40 kg)</t>
  </si>
  <si>
    <t>Enregistreur de température Touchlog Prémium avec imprimante (Enregistreur de température DATACOLD 300 R + imprimante avec Groupe CARRIER)</t>
  </si>
  <si>
    <t>Enregistreur de température DATACOLD 600 R + Imprimante</t>
  </si>
  <si>
    <t>CARIIER PULSOR 400 à la place du TK V300MAX-50 (CU : 0 kg)</t>
  </si>
  <si>
    <t>CARRIER XARIOS 350T à la place du TK V300MAX-50 (CU : -30 kg)</t>
  </si>
  <si>
    <t>CARRIER PULSOR 400 à la place du CARRIER XARIOS 350T (CU : 0 kg)</t>
  </si>
  <si>
    <t>Enregistreur de T° avec imprimante DATACOLD 300 R</t>
  </si>
  <si>
    <t>Enregistreur de T° avec imprimante DATACOLD 300 R + 1 sonde piqueuse</t>
  </si>
  <si>
    <t>Enregistreur de T° avec imprimante DATACOLD 600 R + 1 sonde piqueuse</t>
  </si>
  <si>
    <t>Enregistreur de T° électronique avec imprimante DATACOLD 300 R</t>
  </si>
  <si>
    <t>Plateforme hayon 1600 mm  sur hayon rabattable 750 kg - Plateforme hayon 1450 mm (CU : -20 Kg)</t>
  </si>
  <si>
    <t>Hayon DHOLLANDIA : DH-LMA.08-Rabattable - Plateforme alu 1450 mm / Sans marchepied Ar / Porte lat. battante 1000 mm à l'Av D / 1 niveau rail d'arrimage D+G à 900 mm du plancher (CU : -155Kg)</t>
  </si>
  <si>
    <t>HL_VIDE-OPTION</t>
  </si>
  <si>
    <t>HL_RB_DH-LMA_SODEXO-OPTION</t>
  </si>
  <si>
    <t>HL_RB_DH-LMA08_750kg_1450mm_ELIOR-2023-OPTION</t>
  </si>
  <si>
    <t>GF_N-HE-200S_A_C_813mm_COMPASS_OPTION</t>
  </si>
  <si>
    <t>GF_N-HE-200S_A_870mm_Batterie_Cable10m_2Cont._COMPASS_OPTION</t>
  </si>
  <si>
    <t>GF_35C-S01_SODEXO-OPTION</t>
  </si>
  <si>
    <t>GF_X200T_A_C_790_1425mm_Cable10m_COMPASS_OPTION</t>
  </si>
  <si>
    <t>GF_E200_A_C_1233mm_Cable10m_COMPASS_OPTION</t>
  </si>
  <si>
    <t>GF_E500-E-PTO_BBLite_A-C_1650mm_COMPASS_OPTION</t>
  </si>
  <si>
    <t>GF_X6T-MT_1850mm_Cable10m_COMPASS_OPTION</t>
  </si>
  <si>
    <t>GF_V300MAX-50_A_C_1705mm_Cable10m_COMPASS_OPTION</t>
  </si>
  <si>
    <t>GF_X350T_A_C_1560_1750mm_Cable10m_COMPASS_OPTION</t>
  </si>
  <si>
    <t>GF_N100_A_390_750mm_Cable10m_COMPASS_OPTION</t>
  </si>
  <si>
    <t>GF_X200T_A_790_915mm_Cable10m_COMPASS_OPTION</t>
  </si>
  <si>
    <t>GF_X200T_A_790_866mm_Cable10m_COMPASS_OPTION</t>
  </si>
  <si>
    <t>GF_X200T-Muffler_A_C_790_870mm_Cable10m_COMPASS_OPTION</t>
  </si>
  <si>
    <t>GF_P300-Batt12kWh_A_C_1420mm_Cable10m_1Cont._COMPASS_OPTION</t>
  </si>
  <si>
    <t>GF_X200T_A_C_790_1550mm_Cable10m_COMPASS_OPTION</t>
  </si>
  <si>
    <t>GF_P350-ZE_A_C_1750mm_Cable10m_COMPASS_OPTION</t>
  </si>
  <si>
    <t>GF_DATACOLD300R_SODEXO-OPTION</t>
  </si>
  <si>
    <t>GF_SANS OPTION</t>
  </si>
  <si>
    <t>GF_VIDE-OPTION</t>
  </si>
  <si>
    <t>CF_VIDE-OPTION</t>
  </si>
  <si>
    <t>CF_DAILY_35C1-S1_SODEXO-OPTION</t>
  </si>
  <si>
    <t>CF_DAILY_35C4-S4_SODEXO-OPTION</t>
  </si>
  <si>
    <t>CF_DAILY_40C1-S1_SODEXO-OPTION</t>
  </si>
  <si>
    <t>CF_DAILY_50C1_SODEXO-OPTION</t>
  </si>
  <si>
    <t>CF_DAILY_50C2_SODEXO-OPTION</t>
  </si>
  <si>
    <t>CF_DAILY_70C1_SODEXO-OPTION</t>
  </si>
  <si>
    <t>CF_DAILY_70C2_SODEXO-OPTION</t>
  </si>
  <si>
    <t>CF_DUCATO_1_SODEXO-OPTION</t>
  </si>
  <si>
    <t>CF_PULSE4_ELIOR-2023-OPTION</t>
  </si>
  <si>
    <t>FF-FI_DOBLO-VAN_SODEXO-OPTION-2022</t>
  </si>
  <si>
    <t>FI_DUCATO_LC-PLatBat_SODEXO-OPTION</t>
  </si>
  <si>
    <t>CF_DAILY_C5-3524*2050_FC allégé - COMPASS - OPTION</t>
  </si>
  <si>
    <t>CF_MASTER-ZE_1  - COMPASS - OPTION-2023</t>
  </si>
  <si>
    <t>CI_E-JUMPY_2022_COMPASS_OPTION-2023</t>
  </si>
  <si>
    <t>CI_JUMPY_2022_COMPASS_OPTION-2023</t>
  </si>
  <si>
    <t>FF_DUCATO_LC-PLatBat -COMPASS_OPTION-2023</t>
  </si>
  <si>
    <t>FI_DUCATO_LC-PLatBat -COMPASS_OPTION-2023</t>
  </si>
  <si>
    <t>FI_SCUDO-02_Renf_COMPASS_OPTION-2023</t>
  </si>
  <si>
    <t>FF_SCUDO-01_Renf_COMPASS_OPTION-2023</t>
  </si>
  <si>
    <t>FF_SCUDO-02_Renf_COMPASS_OPTION-2023</t>
  </si>
  <si>
    <t>FI_SCUDO-01_Renf_COMPASS_OPTION-2023</t>
  </si>
  <si>
    <t>FI_E-DOBLO-VAN_PLC_TRIMAT-IR-LONG-COMPASS-OPTION-2023</t>
  </si>
  <si>
    <t>FI_DOBLO-VAN_PLC_TRIMAT-IR-LONG-COMPASS-OPTION-2023</t>
  </si>
  <si>
    <t>FI_DOBLO-VAN_PLC_TRIMAT-IR-COURT-COMPASS-OPTION-2023</t>
  </si>
  <si>
    <t>FF_TRAFIC_TRIMAT-IR_COMPASS_OPTION-2023</t>
  </si>
  <si>
    <t>FF_E-SCUDO_Renf_COMPASS_OPTION-2023</t>
  </si>
  <si>
    <t>FF_E-DOBLO-VAN_PLC_TRIMAT-IR-COMPASS-OPTION-2023</t>
  </si>
  <si>
    <t>FF_DOBLO-VAN_PLC_TRIMAT-IR-LONG-COMPASS-OPTION-2023</t>
  </si>
  <si>
    <t>FF_DOBLO-VAN_PLC_TRIMAT-IR-COURT-COMPASS-OPTION-2023</t>
  </si>
  <si>
    <t>CF_KANGOO-PC_COMPASS-OPTION-2023</t>
  </si>
  <si>
    <t>CF_TRAFIC-01_COMPASS-OPTION-2023</t>
  </si>
  <si>
    <t>CF_JUMPY_2022_COMPASS_OPTION-2023</t>
  </si>
  <si>
    <t>CF_E-JUMPY_2022_COMPASS_OPTION-2023</t>
  </si>
  <si>
    <t>CF_DUCATO_1_COMPASS_OPTION-2023</t>
  </si>
  <si>
    <t>CF_DAILY_S-C1_FC allégé_URBAN_COMPASS_OPTION</t>
  </si>
  <si>
    <t>CF_E-DAILY_S-C1_FC allégé_URBAN_COMPASS_OPTION</t>
  </si>
  <si>
    <t>CF_E-DAILY_S-C4-1950_FC allégé_URBAN_COMPASS_OPTION</t>
  </si>
  <si>
    <t>CF_DAILY_S-C4-1950_FC allégé_URBAN_COMPASS_OPTION</t>
  </si>
  <si>
    <t>CF_DAILY_C1_FC allégé_COMPASS_OPTION</t>
  </si>
  <si>
    <t>CF_DAILY_C5-3524*2050_FC allégé_ELIOR-2023-OPTION</t>
  </si>
  <si>
    <t>CF_E-DAILY_S-C1_FC allégé_URBAN_ELIOR-2023-OPTION</t>
  </si>
  <si>
    <t>CF_E-DAILY_S-C4-1950_FC allégé_URBAN_ELIOR-2023-OPTION</t>
  </si>
  <si>
    <t>CF_E_DAILY_S-C5-3524*2050_FC allégé_URBAN_ELIOR-2023-OPTION</t>
  </si>
  <si>
    <t>CF_DAILY_S-C1_FC allégé_URBAN_ELIOR-2023-OPTION</t>
  </si>
  <si>
    <t>CF_DAILY_S-C5-3524*2050_FC allégé_URBAN_ELIOR-2023-OPTION</t>
  </si>
  <si>
    <t>CF_DAILY_C5_FC allégé_CUSTOM_ELIOR-2023-OPTION</t>
  </si>
  <si>
    <t>FI_E-DOBLO-VAN-PLC_ELIOR-2023-OPTION</t>
  </si>
  <si>
    <t>FI_DOBLO-VAN-PLC_ELIOR-2023-OPTION</t>
  </si>
  <si>
    <t>CI_SCUDO_2022_ELIOR- 2023-OPTION</t>
  </si>
  <si>
    <t>CF_SCUDO_2022_ELIOR- 2023-OPTION</t>
  </si>
  <si>
    <t>FF_E-SCUDO _Renf_ELIOR-2023-OPTION</t>
  </si>
  <si>
    <t xml:space="preserve">FI_TRAFIC_TRIMAT-IR - ELIOR 2023 OPTION </t>
  </si>
  <si>
    <t>CF_DUCATO_1_ELIOR-2023-OPTION</t>
  </si>
  <si>
    <t>FF_E-DOBLO-VAN-PLC_ELIOR-2023-OPTION</t>
  </si>
  <si>
    <t>FF_DOBLO-VAN-PLC_ELIOR-2023-OPTION</t>
  </si>
  <si>
    <t>FI_SCUDO 01 _Renf_ELIOR-2023-OPTION</t>
  </si>
  <si>
    <t>FF_SCUDO 01_Renf_ELIOR-2023-OPTION</t>
  </si>
  <si>
    <t>FF_SCUDO 02_Renf_ELIOR-2023-OPTION</t>
  </si>
  <si>
    <t>CF_E-JUMPY_ELIOR- 2023-OPTION</t>
  </si>
  <si>
    <t>FI_DUCATO_LC-PLatBat_ELIOR-2023-OPTION</t>
  </si>
  <si>
    <t>CF_TRAFIC-01 - ELIOR OPTION 2023</t>
  </si>
  <si>
    <t>FF_TRAFIC 01_TRIMAT-IR - ELIOR OPTION 2023</t>
  </si>
  <si>
    <t>FF_TRAFIC 02_TRIMAT-IR - ELIOR OPTION 2023</t>
  </si>
  <si>
    <t>CF_MASTER-ZE_1_ELIOR-2023-OPTION</t>
  </si>
  <si>
    <t>CF_MASTER-ZE_5-1950_ELIOR-2023-OPTION</t>
  </si>
  <si>
    <t>CF_DAILY_S1_ELIOR-2023-OPTION</t>
  </si>
  <si>
    <t>CF_DAILY_C1_ELIOR-2023-OPTION</t>
  </si>
  <si>
    <t>CF_75-80_C2_ELIOR-2023-OPTION</t>
  </si>
  <si>
    <t>CF_100_C1_ELIOR-2023-OPTION</t>
  </si>
  <si>
    <t>CF_120_C1_ELIOR-2023-OPTION</t>
  </si>
  <si>
    <t>CH_VIDE-OPTION</t>
  </si>
  <si>
    <t>CH_SODEXO-OPTION-2022</t>
  </si>
  <si>
    <t>CH_SODEXO-OPTION</t>
  </si>
  <si>
    <t>CH_K-RYOLE_ELIOR-2023-OPTION</t>
  </si>
  <si>
    <t>CH_SCUDO-FGT_ELIOR-2023-OPTION</t>
  </si>
  <si>
    <t>CH_SCUDO-PC_ELIOR-2023-OPTION</t>
  </si>
  <si>
    <t>CH_DOBLO-VAN_195-65R15_ELIOR-2023-OPTION</t>
  </si>
  <si>
    <t>CH_E-DOBLO-VAN-ISO_215-60R16_ELIOR-2023-OPTION</t>
  </si>
  <si>
    <t>CH_E-DOBLO-VAN_215-60R16_ELIOR-2023-OPTION</t>
  </si>
  <si>
    <t>CH_E-SCUDO-FGT ELEC _215-65R16_SsRS_ELIOR-2023-OPTION</t>
  </si>
  <si>
    <t>CH_E-SCUDO-PC_215-65R16_ELIOR-2023-OPTION</t>
  </si>
  <si>
    <t>CH_DUCATO-FGT_Série 9_225-70R15C-C_ADB_ELIOR-2023-OPTION</t>
  </si>
  <si>
    <t>CH_DUCATO-PLC_Série 9_225-70R15C-C_ADB_ELIOR-2023-OPTION</t>
  </si>
  <si>
    <t xml:space="preserve">CH_TRAFIC-FGT_205-65R16_ELIOR-OPTION 2023 </t>
  </si>
  <si>
    <t xml:space="preserve">CH_TRAFIC-PC _205-65R16_ELIOR-OPTION 2023 </t>
  </si>
  <si>
    <t>CH_MASTER-ZE_ELIOR-2023-OPTION</t>
  </si>
  <si>
    <t>CH_DAILY_35S_225-65R16_ADB_ELIOR-2023-OPTION</t>
  </si>
  <si>
    <t>CH_DAILY_35S_225-65R16_ADB_URBAN_ELIOR-2023-OPTION</t>
  </si>
  <si>
    <t>CH_DAILY_35C_195-75R16_ADB_ELIOR-2023-OPTION</t>
  </si>
  <si>
    <t>CH_DAILY_35C_225-65R16_ADB_URBAN_ELIOR-2023-OPTION</t>
  </si>
  <si>
    <t>CH_E-DAILY-CC_42S_235-65R16_SrS_URBAN_ELIOR-2023-OPTION</t>
  </si>
  <si>
    <t>CH_SCUDO-PC_215-65R16 - COMPASS - OPTION</t>
  </si>
  <si>
    <t>CH_DAILY-CC_35C_195-75R16_ADB - COMPASS - OPTION</t>
  </si>
  <si>
    <t>CH_E-DAILY-CC_42S-C_235-65R16_SrS_URBAN - COMPASS - OPTION</t>
  </si>
  <si>
    <t>CH_KANGOO-PC_205-60R16_compass - OPTION</t>
  </si>
  <si>
    <t>CH_TRAFIC-PC_205-65R16_compass - OPTION</t>
  </si>
  <si>
    <t>CH_DUCATO-FGT_Série9_225-70R15C-C_ADB_compass OPTION</t>
  </si>
  <si>
    <t>CH_DUCATO-PC_225-70R15C-C_ADB_compass - OPTION</t>
  </si>
  <si>
    <t>CH_SCUDO-FGT_215-65R16 - COMPASS - OPTION</t>
  </si>
  <si>
    <t>M_VIDE-OPTION</t>
  </si>
  <si>
    <t>M_DOBLO-VAN_1.5_100-€6d-Full_SODEXO-OPTION</t>
  </si>
  <si>
    <t>M_DUCATO_2.2_120_220A_Bat105-LD-€ 6d-Full_SODEXO-OPTION</t>
  </si>
  <si>
    <t>M_DUCATO_2.2_140_220A_Bat105-LD-€6e_SODEXO-OPTION</t>
  </si>
  <si>
    <t>M_JUMPY-FGT-ISO_2.0_145-€6d-Full_COMPASS_OPTION</t>
  </si>
  <si>
    <t>M_TRAFIC-PC_2.0_150-€ 6d-Full_COMPASS-OPTION</t>
  </si>
  <si>
    <t>M_TRAFIC-FG_2.0_150-€ 6d-Full_COMPASS_OPTION</t>
  </si>
  <si>
    <t>M_JUMPY-FGT_2.0_145-€6d-Full_COMPASS_OPTION</t>
  </si>
  <si>
    <t>M_JUMPY-PC_2.0_145-€6d-Full_COMPASS_OPTION</t>
  </si>
  <si>
    <t>M_DUCATO_2.2_120_220A_Bat105-LD-€6e_COMPASS-FI-OPTION-2023</t>
  </si>
  <si>
    <t>M_DUCATO_2.2_120_220A_Bat105-LD-€6e_COMPASS-OPTION-2023</t>
  </si>
  <si>
    <t>M_DUCATO_2.2_140_220A_Bat105-LD-€6e_COMPASS-OPTION-2023</t>
  </si>
  <si>
    <t>M_DOBLO-VAN_1.5_100-€6d-Full_COMPASS-OPTION</t>
  </si>
  <si>
    <t>M_E-DAILY_140 kW_70kWh_110km_COMPASS_OPTION</t>
  </si>
  <si>
    <t>M_DAILY_2.3_136-HD-€VI-E_Bat105Ah_BV.HIMATIC_COMPASS_OPTION</t>
  </si>
  <si>
    <t>M_DOBLO-VAN_1.5_100-€6d-Full_ELIOR-2022-OPTION</t>
  </si>
  <si>
    <t>M_E-DOBLO-VAN_100kW_50kWh_100km_ELIOR-2023-OPTION</t>
  </si>
  <si>
    <t>M_DOBLO-VAN-ISO_1.5_100-€6d-Full_ELIOR-2023-OPTION</t>
  </si>
  <si>
    <t>M_E-SCUDO_100kW_75kWh_120km_ELIOR-2023-OPTION</t>
  </si>
  <si>
    <t>M_TRAFIC-FI_2.0_150-€ 6d-Full_ELIOR-2023-OPTION</t>
  </si>
  <si>
    <t>M_TRAFIC-FG_2.0_150-€ 6d-Full_ELIOR-2023-OPTION</t>
  </si>
  <si>
    <t>M_TRAFIC-PC_2.0_150-€ 6d-Full_ELIOR-2023-OPTION</t>
  </si>
  <si>
    <t>M_DUCATO_2.2_140_220A_Bat105-LD-€6e_ELIOR-2023-OPTION</t>
  </si>
  <si>
    <t>M_JUMPY_2.0_145-€6d-Full_ELIOR-2023-OPTION</t>
  </si>
  <si>
    <t>M_DUCATO-ISO _2.2_120_220A_Bat105-LD-€6e_ELIOR-2023-OPTION</t>
  </si>
  <si>
    <t>M_DAILY_2.3_136-HD-€VI-D_Bat105Ah_BV.HIMATIC_ELIOR-2023-OPTION</t>
  </si>
  <si>
    <t xml:space="preserve">M_EUROCARGO-€VI-E_ELIOR-OPTION-2023 </t>
  </si>
  <si>
    <t>C_VIDE-OPTION</t>
  </si>
  <si>
    <t>C_PULSE4_Sam._ELIOR-2023-OPTION</t>
  </si>
  <si>
    <t>C_G4_SODEXO-OPTION</t>
  </si>
  <si>
    <t>C_DOBLO-VAN_SODEXO-2022-OPTION</t>
  </si>
  <si>
    <t>C_E-DAILY_3.5_Chrono_CLIM-AUTO_URBAN_Sam._ELIOR-2023-OPTION</t>
  </si>
  <si>
    <t>C_DUCATO-Fourgon_Serie9_SODEXO-OPTION</t>
  </si>
  <si>
    <t>C_DUCATO-Caisse_Serie9_SODEXO-OPTION</t>
  </si>
  <si>
    <t>C_DAILY-Caisse_3.5_06-2019_SODEXO-OPTION</t>
  </si>
  <si>
    <t>C_DAILY_+3.5_06-2019_SODEXO-OPTION</t>
  </si>
  <si>
    <t>C_MASTER-ZE_SODEXO-OPTION</t>
  </si>
  <si>
    <t>C_DAILY_3.5_06-2019_Chrono-GNC_CLIM-MAN8-_COMPASS_OPTION</t>
  </si>
  <si>
    <t>C_DAILY_3.5_06-2019_CLIM-MAN - COMPASS - OPTION</t>
  </si>
  <si>
    <t>C_DUCATO_MY2024_CLIM-MAN - COMPASS - OPTION</t>
  </si>
  <si>
    <t>C_DOBLO-VAN-ISO_ELIOR-2023-OPTION</t>
  </si>
  <si>
    <t>C_DOBLO-VAN_ELIOR-2023-OPTION</t>
  </si>
  <si>
    <t>C_DOBLO-VAN_ELEC_ELIOR-2023-OPTION</t>
  </si>
  <si>
    <t>C_DUCATO-FOURGON-ISO  _Serie9_ELIOR-2023-OPTION</t>
  </si>
  <si>
    <t>C_DUCATO-Caisse_Serie9_ELIOR-2023-OPTION</t>
  </si>
  <si>
    <t>C_SCUDO-PC CLIM-ISO_ELIOR-2023-OPTION</t>
  </si>
  <si>
    <t>C_SCUDO-PC CLIM_ELIOR-2023-OPTION</t>
  </si>
  <si>
    <t>C_SCUDO-2022-FGT-ISO _ELIOR-2023-OPTION</t>
  </si>
  <si>
    <t xml:space="preserve">C_SCUDO-2022-FGT_ELIOR-2023-OPTION </t>
  </si>
  <si>
    <t xml:space="preserve">C_SCUDO-2022-FGT ELEC -ELIOR -2023-OPTION </t>
  </si>
  <si>
    <t xml:space="preserve">C_EUROCARGO_CLIM_DAB_Rang.Tunel_Sam._ELIOR-OPTION </t>
  </si>
  <si>
    <t>C_SCUDO- E-PC_ELIOR-2023-OPTION</t>
  </si>
  <si>
    <t xml:space="preserve">C_TRAFIC-FGT-ISO_CLIM-MAN_ELIOR 2023-OPTION </t>
  </si>
  <si>
    <t xml:space="preserve">C_TRAFIC-FGT_CLIM-MAN_ELIOR 2023-OPTION </t>
  </si>
  <si>
    <t xml:space="preserve">C_TRAFIC -PC_CLIM-MAN_ELIOR 2023-OPTION </t>
  </si>
  <si>
    <t>C_MASTER-ZE_Clim-Man_RétroBraCourt_Sam._ELIOR 2023-OPTION</t>
  </si>
  <si>
    <t>C_DAILY_3.5_06-2019_CLIM-MAN_Sam._ELIOR-2023-OPTION</t>
  </si>
  <si>
    <t>C_DAILY_3.5_06-2019_CLIM-MAN_URBAN_Sam._ELIOR-2023-OPTION</t>
  </si>
  <si>
    <t>C_Cabine-OPTION</t>
  </si>
  <si>
    <t>M_moteur-OPTION</t>
  </si>
  <si>
    <t>C_Chassis-OPTION</t>
  </si>
  <si>
    <t>C_Caisse-OPTION</t>
  </si>
  <si>
    <t>C_Groupe frigo-OPTION</t>
  </si>
  <si>
    <t>C_Hayon elevateur-OPTION</t>
  </si>
  <si>
    <t>P15</t>
  </si>
  <si>
    <t>S2</t>
  </si>
  <si>
    <t>P6</t>
  </si>
  <si>
    <t>D19.280 CF E (18 Pal.)</t>
  </si>
  <si>
    <t>D19.280 CF E (21 Pal.)</t>
  </si>
  <si>
    <t>FS_PF_CG E</t>
  </si>
  <si>
    <t>FS_PF_CG D</t>
  </si>
  <si>
    <t>MRCF</t>
  </si>
  <si>
    <t>RENAULT MASTER L2H1 - CAISSE FRIGORIFIQUE IRL / 2 PORTES AR.</t>
  </si>
  <si>
    <t>C_MASTER-PC</t>
  </si>
  <si>
    <t>M_MASTER_2,3_145-€VI-E</t>
  </si>
  <si>
    <t>CF_ES-FR_MASTER_1_PAr1300</t>
  </si>
  <si>
    <t>\\petitforestier.fr\siege\Applications\BaseProduits\Datas\Publipostage\Images\PUBLICATION - EURO 6\PLAN VEHICULES\RENAULT_MASTER_MRCF01_TKV300.jpg</t>
  </si>
  <si>
    <t>RECAPOL</t>
  </si>
  <si>
    <t>MRFF</t>
  </si>
  <si>
    <t>RENAULT MASTER L2H2 / TRACTION  - FOURGON FRIGORIFIQUE</t>
  </si>
  <si>
    <t>M_MASTER_2,3_135-€ 6e</t>
  </si>
  <si>
    <t>CH_MASTER-FGT_225-65R16_GSRII_ADB28_80L</t>
  </si>
  <si>
    <t>FF_ES-FR_MASTER_RS_270°_RECAPOL-IR</t>
  </si>
  <si>
    <t>\\petitforestier.fr\siege\Applications\BaseProduits\Datas\Publipostage\Images\PUBLICATION - EURO 6\PLAN VEHICULES\RENAULT_MASTER_MRFF01-L2H2_TRIMAT_TKV300.jpg</t>
  </si>
  <si>
    <t>RENAULT MASTER L3H2 / TRACTION  - FOURGON FRIGORIFIQUE</t>
  </si>
  <si>
    <t>\\petitforestier.fr\siege\Applications\BaseProduits\Datas\Publipostage\Images\PUBLICATION - EURO 6\PLAN VEHICULES\RENAULT_MASTER_MRFF02-L3H2_TRIMAT_TKV300.jpg</t>
  </si>
  <si>
    <t>CG E 01</t>
  </si>
  <si>
    <t>CG E 05</t>
  </si>
  <si>
    <t>CG E 04</t>
  </si>
  <si>
    <t>CG E 02</t>
  </si>
  <si>
    <t>CG D 01</t>
  </si>
  <si>
    <t>CG D 02</t>
  </si>
  <si>
    <t>CG D 05</t>
  </si>
  <si>
    <t>CG D 04</t>
  </si>
  <si>
    <t>Z_Outil%20collaboratif%20Grand%20Compte\Image%20Carburant\ELECTRIQUE.jpg</t>
  </si>
  <si>
    <t>C_MASTER_FGT</t>
  </si>
  <si>
    <t xml:space="preserve">2,3L </t>
  </si>
  <si>
    <t>135 ch</t>
  </si>
  <si>
    <t>145 ch</t>
  </si>
  <si>
    <t>Réservoir AdBlue 28L</t>
  </si>
  <si>
    <t>CH_MASTER-PC_225-65R16_GSRII_ADB20_80L</t>
  </si>
  <si>
    <t>2 portes arrière 1300 mm x 1880 mm</t>
  </si>
  <si>
    <t>Plancher : Antidérapant avec passages de roues (largeur entre passages de roues : 1274 mm) avec 2 siphons d'évacuation</t>
  </si>
  <si>
    <t>Isolation renforcée RECAPOL</t>
  </si>
  <si>
    <t>2 portes arrière (Ouverture  à 270°)</t>
  </si>
  <si>
    <t>Plancher gris antidérapant avec passages de roues en aluminium (largeur entre passages de roues : 1260 mm) avec 1 siphon d'évacuation</t>
  </si>
  <si>
    <t>2 Serrures renforcées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</si>
</sst>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0.00\ &quot;€&quot;;[Red]\-#,##0.00\ &quot;€&quot;"/>
    <numFmt numFmtId="44" formatCode="_-* #,##0.00\ &quot;€&quot;_-;\-* #,##0.00\ &quot;€&quot;_-;_-* &quot;-&quot;??\ &quot;€&quot;_-;_-@_-"/>
    <numFmt numFmtId="43" formatCode="_-* #,##0.00_-;\-* #,##0.00_-;_-* &quot;-&quot;??_-;_-@_-"/>
    <numFmt numFmtId="164" formatCode="_-* #,##0.00\ &quot;F&quot;_-;\-* #,##0.00\ &quot;F&quot;_-;_-* &quot;-&quot;??\ &quot;F&quot;_-;_-@_-"/>
    <numFmt numFmtId="165" formatCode="_(* #,##0.00_);_(* \(#,##0.00\);_(* &quot;-&quot;??_);_(@_)"/>
    <numFmt numFmtId="166" formatCode="0.0"/>
    <numFmt numFmtId="167" formatCode="0.0000"/>
  </numFmts>
  <fonts count="54" x14ac:knownFonts="1">
    <font>
      <sz val="11"/>
      <color theme="1"/>
      <name val="Calibri"/>
      <family val="2"/>
      <scheme val="minor"/>
    </font>
    <font>
      <u/>
      <sz val="11"/>
      <color theme="10"/>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
      <color indexed="12"/>
      <name val="Arial"/>
      <family val="2"/>
    </font>
    <font>
      <sz val="10"/>
      <color rgb="FF000000"/>
      <name val="Arial"/>
      <family val="2"/>
    </font>
    <font>
      <sz val="10"/>
      <color rgb="FF000000"/>
      <name val="Arial"/>
      <family val="2"/>
    </font>
    <font>
      <sz val="10"/>
      <color rgb="FF000000"/>
      <name val="Arial"/>
      <family val="2"/>
    </font>
    <font>
      <sz val="8"/>
      <name val="Calibri"/>
      <family val="2"/>
      <scheme val="minor"/>
    </font>
    <font>
      <sz val="8"/>
      <color rgb="FFFF0000"/>
      <name val="Calibri"/>
      <family val="2"/>
      <scheme val="minor"/>
    </font>
    <font>
      <sz val="8"/>
      <color rgb="FF00B050"/>
      <name val="Calibri"/>
      <family val="2"/>
      <scheme val="minor"/>
    </font>
    <font>
      <sz val="8"/>
      <color theme="9" tint="-0.499984740745262"/>
      <name val="Calibri"/>
      <family val="2"/>
      <scheme val="minor"/>
    </font>
    <font>
      <sz val="8"/>
      <color rgb="FF0070C0"/>
      <name val="Calibri"/>
      <family val="2"/>
      <scheme val="minor"/>
    </font>
    <font>
      <sz val="8"/>
      <color rgb="FF7030A0"/>
      <name val="Calibri"/>
      <family val="2"/>
      <scheme val="minor"/>
    </font>
    <font>
      <sz val="8"/>
      <color rgb="FF00B0F0"/>
      <name val="Calibri"/>
      <family val="2"/>
      <scheme val="minor"/>
    </font>
    <font>
      <sz val="8"/>
      <color rgb="FF92D050"/>
      <name val="Calibri"/>
      <family val="2"/>
      <scheme val="minor"/>
    </font>
    <font>
      <sz val="8"/>
      <color theme="10"/>
      <name val="Calibri"/>
      <family val="2"/>
      <scheme val="minor"/>
    </font>
    <font>
      <sz val="11"/>
      <color theme="9" tint="-0.499984740745262"/>
      <name val="Calibri"/>
      <family val="2"/>
      <scheme val="minor"/>
    </font>
    <font>
      <sz val="11"/>
      <name val="Calibri"/>
      <family val="2"/>
      <scheme val="minor"/>
    </font>
    <font>
      <b/>
      <u/>
      <sz val="18"/>
      <color rgb="FF00B050"/>
      <name val="Calibri"/>
      <family val="2"/>
      <scheme val="minor"/>
    </font>
    <font>
      <sz val="11"/>
      <color rgb="FF0070C0"/>
      <name val="Calibri"/>
      <family val="2"/>
      <scheme val="minor"/>
    </font>
    <font>
      <sz val="8"/>
      <color theme="1"/>
      <name val="Calibri"/>
      <family val="2"/>
      <scheme val="minor"/>
    </font>
    <font>
      <sz val="11"/>
      <name val="Aptos"/>
      <family val="2"/>
    </font>
    <font>
      <sz val="11"/>
      <color rgb="FFFF0000"/>
      <name val="Aptos"/>
      <family val="2"/>
    </font>
    <font>
      <sz val="11"/>
      <color rgb="FF000000"/>
      <name val="Aptos"/>
    </font>
    <font>
      <u/>
      <sz val="11"/>
      <color rgb="FF0070C0"/>
      <name val="Calibri"/>
      <family val="2"/>
      <scheme val="minor"/>
    </font>
    <font>
      <sz val="11"/>
      <color rgb="FFFF0000"/>
      <name val="Aptos"/>
    </font>
    <font>
      <sz val="11"/>
      <color theme="2" tint="-0.89999084444715716"/>
      <name val="Calibri"/>
      <family val="2"/>
      <scheme val="minor"/>
    </font>
    <font>
      <sz val="11"/>
      <color rgb="FF7030A0"/>
      <name val="Calibri"/>
      <family val="2"/>
      <scheme val="minor"/>
    </font>
    <font>
      <b/>
      <sz val="8"/>
      <color rgb="FFFF0000"/>
      <name val="Calibri"/>
      <family val="2"/>
      <scheme val="minor"/>
    </font>
    <font>
      <i/>
      <sz val="8"/>
      <name val="Calibri"/>
      <family val="2"/>
      <scheme val="minor"/>
    </font>
    <font>
      <sz val="8"/>
      <name val="Calibri"/>
      <family val="2"/>
    </font>
    <font>
      <u/>
      <sz val="11"/>
      <name val="Aptos"/>
      <family val="2"/>
    </font>
    <font>
      <sz val="18"/>
      <color rgb="FF000000"/>
      <name val="Calibri"/>
      <family val="2"/>
      <scheme val="minor"/>
    </font>
    <font>
      <sz val="18"/>
      <name val="Calibri"/>
      <family val="2"/>
    </font>
    <font>
      <sz val="15"/>
      <name val="Calibri"/>
      <family val="2"/>
    </font>
    <font>
      <sz val="8"/>
      <color rgb="FF000000"/>
      <name val="Calibri"/>
      <family val="2"/>
      <scheme val="minor"/>
    </font>
    <font>
      <b/>
      <sz val="8"/>
      <color rgb="FF00000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rgb="FF00FF00"/>
        <bgColor indexed="64"/>
      </patternFill>
    </fill>
    <fill>
      <patternFill patternType="solid">
        <fgColor rgb="FF00B0F0"/>
        <bgColor indexed="64"/>
      </patternFill>
    </fill>
    <fill>
      <patternFill patternType="solid">
        <fgColor rgb="FFFFCCFF"/>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FF99FF"/>
        <bgColor indexed="64"/>
      </patternFill>
    </fill>
    <fill>
      <patternFill patternType="solid">
        <fgColor rgb="FF99FF66"/>
        <bgColor indexed="64"/>
      </patternFill>
    </fill>
    <fill>
      <patternFill patternType="solid">
        <fgColor theme="8"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dotted">
        <color auto="1"/>
      </left>
      <right style="dotted">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theme="0" tint="-0.14996795556505021"/>
      </right>
      <top/>
      <bottom/>
      <diagonal/>
    </border>
  </borders>
  <cellStyleXfs count="409">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4" fillId="0" borderId="3" applyNumberFormat="0" applyFill="0" applyAlignment="0" applyProtection="0"/>
    <xf numFmtId="0" fontId="5" fillId="0" borderId="4" applyNumberFormat="0" applyFill="0" applyAlignment="0" applyProtection="0"/>
    <xf numFmtId="0" fontId="6" fillId="0" borderId="5"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6" applyNumberFormat="0" applyAlignment="0" applyProtection="0"/>
    <xf numFmtId="0" fontId="11" fillId="6" borderId="7" applyNumberFormat="0" applyAlignment="0" applyProtection="0"/>
    <xf numFmtId="0" fontId="12" fillId="6" borderId="6" applyNumberFormat="0" applyAlignment="0" applyProtection="0"/>
    <xf numFmtId="0" fontId="13" fillId="0" borderId="8" applyNumberFormat="0" applyFill="0" applyAlignment="0" applyProtection="0"/>
    <xf numFmtId="0" fontId="14" fillId="7" borderId="9"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11"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9" fillId="0" borderId="0"/>
    <xf numFmtId="0" fontId="20" fillId="0" borderId="0" applyNumberFormat="0" applyFill="0" applyBorder="0" applyAlignment="0" applyProtection="0">
      <alignment vertical="top"/>
      <protection locked="0"/>
    </xf>
    <xf numFmtId="164"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8" borderId="10" applyNumberFormat="0" applyFont="0" applyAlignment="0" applyProtection="0"/>
    <xf numFmtId="0" fontId="2" fillId="8" borderId="10" applyNumberFormat="0" applyFont="0" applyAlignment="0" applyProtection="0"/>
    <xf numFmtId="0" fontId="19" fillId="0" borderId="0"/>
    <xf numFmtId="0" fontId="19" fillId="0" borderId="0"/>
    <xf numFmtId="0" fontId="2" fillId="0" borderId="0"/>
    <xf numFmtId="44" fontId="19" fillId="0" borderId="0" applyFont="0" applyFill="0" applyBorder="0" applyAlignment="0" applyProtection="0"/>
    <xf numFmtId="0" fontId="19"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9" fillId="0" borderId="0"/>
    <xf numFmtId="0" fontId="20" fillId="0" borderId="0" applyNumberFormat="0" applyFill="0" applyBorder="0" applyAlignment="0" applyProtection="0">
      <alignment vertical="top"/>
      <protection locked="0"/>
    </xf>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8" borderId="10" applyNumberFormat="0" applyFont="0" applyAlignment="0" applyProtection="0"/>
    <xf numFmtId="0" fontId="2" fillId="8" borderId="10" applyNumberFormat="0" applyFont="0" applyAlignment="0" applyProtection="0"/>
    <xf numFmtId="0" fontId="2" fillId="0" borderId="0"/>
    <xf numFmtId="0" fontId="2" fillId="0" borderId="0"/>
    <xf numFmtId="0" fontId="21" fillId="0" borderId="0"/>
    <xf numFmtId="0" fontId="22" fillId="0" borderId="0"/>
    <xf numFmtId="0" fontId="23" fillId="0" borderId="0"/>
    <xf numFmtId="0" fontId="21" fillId="0" borderId="0"/>
    <xf numFmtId="165" fontId="2" fillId="0" borderId="0" applyFont="0" applyFill="0" applyBorder="0" applyAlignment="0" applyProtection="0"/>
    <xf numFmtId="0" fontId="3" fillId="0" borderId="0" applyNumberFormat="0" applyFill="0" applyBorder="0" applyAlignment="0" applyProtection="0"/>
    <xf numFmtId="0" fontId="9" fillId="4"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44" fontId="19" fillId="0" borderId="0" applyFont="0" applyFill="0" applyBorder="0" applyAlignment="0" applyProtection="0"/>
    <xf numFmtId="0" fontId="21" fillId="0" borderId="0"/>
    <xf numFmtId="0" fontId="21" fillId="0" borderId="0"/>
    <xf numFmtId="43" fontId="2" fillId="0" borderId="0" applyFont="0" applyFill="0" applyBorder="0" applyAlignment="0" applyProtection="0"/>
    <xf numFmtId="44" fontId="19" fillId="0" borderId="0" applyFont="0" applyFill="0" applyBorder="0" applyAlignment="0" applyProtection="0"/>
    <xf numFmtId="43" fontId="2" fillId="0" borderId="0" applyFont="0" applyFill="0" applyBorder="0" applyAlignment="0" applyProtection="0"/>
  </cellStyleXfs>
  <cellXfs count="228">
    <xf numFmtId="0" fontId="0" fillId="0" borderId="0" xfId="0"/>
    <xf numFmtId="0" fontId="26" fillId="33" borderId="1" xfId="0" applyFont="1" applyFill="1" applyBorder="1" applyAlignment="1" applyProtection="1">
      <alignment horizontal="center" vertical="center" wrapText="1"/>
      <protection hidden="1"/>
    </xf>
    <xf numFmtId="0" fontId="27" fillId="34" borderId="0" xfId="0" applyFont="1" applyFill="1" applyAlignment="1">
      <alignment horizontal="center" vertical="center" wrapText="1"/>
    </xf>
    <xf numFmtId="0" fontId="27" fillId="34" borderId="1" xfId="0" applyFont="1" applyFill="1" applyBorder="1" applyAlignment="1" applyProtection="1">
      <alignment horizontal="center" vertical="center" wrapText="1"/>
      <protection hidden="1"/>
    </xf>
    <xf numFmtId="0" fontId="26" fillId="36" borderId="1" xfId="0" applyFont="1" applyFill="1" applyBorder="1" applyAlignment="1" applyProtection="1">
      <alignment horizontal="center" vertical="center" wrapText="1"/>
      <protection hidden="1"/>
    </xf>
    <xf numFmtId="0" fontId="28" fillId="36" borderId="1" xfId="0" applyFont="1" applyFill="1" applyBorder="1" applyAlignment="1" applyProtection="1">
      <alignment horizontal="center" vertical="center" wrapText="1"/>
      <protection hidden="1"/>
    </xf>
    <xf numFmtId="0" fontId="26" fillId="36" borderId="1" xfId="0" quotePrefix="1" applyFont="1" applyFill="1" applyBorder="1" applyAlignment="1" applyProtection="1">
      <alignment horizontal="center" vertical="center" wrapText="1"/>
      <protection hidden="1"/>
    </xf>
    <xf numFmtId="0" fontId="26" fillId="36" borderId="1" xfId="0" applyFont="1" applyFill="1" applyBorder="1" applyAlignment="1">
      <alignment horizontal="center" vertical="center" wrapText="1"/>
    </xf>
    <xf numFmtId="0" fontId="25" fillId="36" borderId="1" xfId="0" applyFont="1" applyFill="1" applyBorder="1" applyAlignment="1" applyProtection="1">
      <alignment horizontal="center" vertical="center" wrapText="1"/>
      <protection hidden="1"/>
    </xf>
    <xf numFmtId="0" fontId="29" fillId="33" borderId="1" xfId="0" applyFont="1" applyFill="1" applyBorder="1" applyAlignment="1" applyProtection="1">
      <alignment horizontal="center" vertical="center" wrapText="1"/>
      <protection hidden="1"/>
    </xf>
    <xf numFmtId="0" fontId="28" fillId="36" borderId="1" xfId="0" quotePrefix="1" applyFont="1" applyFill="1" applyBorder="1" applyAlignment="1" applyProtection="1">
      <alignment horizontal="center" vertical="center" wrapText="1"/>
      <protection hidden="1"/>
    </xf>
    <xf numFmtId="0" fontId="28" fillId="36" borderId="1" xfId="0" applyFont="1" applyFill="1" applyBorder="1" applyAlignment="1" applyProtection="1">
      <alignment horizontal="left" vertical="center" wrapText="1"/>
      <protection hidden="1"/>
    </xf>
    <xf numFmtId="0" fontId="28" fillId="36" borderId="1" xfId="0" applyFont="1" applyFill="1" applyBorder="1" applyAlignment="1">
      <alignment horizontal="center" vertical="center" wrapText="1"/>
    </xf>
    <xf numFmtId="0" fontId="29" fillId="36" borderId="1" xfId="0" applyFont="1" applyFill="1" applyBorder="1" applyAlignment="1" applyProtection="1">
      <alignment horizontal="center" vertical="center" wrapText="1"/>
      <protection hidden="1"/>
    </xf>
    <xf numFmtId="0" fontId="29" fillId="36" borderId="1" xfId="0" quotePrefix="1" applyFont="1" applyFill="1" applyBorder="1" applyAlignment="1" applyProtection="1">
      <alignment horizontal="center" vertical="center" wrapText="1"/>
      <protection hidden="1"/>
    </xf>
    <xf numFmtId="0" fontId="29" fillId="36" borderId="1" xfId="0" applyFont="1" applyFill="1" applyBorder="1" applyAlignment="1" applyProtection="1">
      <alignment horizontal="left" vertical="center" wrapText="1"/>
      <protection hidden="1"/>
    </xf>
    <xf numFmtId="0" fontId="29" fillId="36" borderId="1" xfId="0" applyFont="1" applyFill="1" applyBorder="1" applyAlignment="1">
      <alignment horizontal="center" vertical="center" wrapText="1"/>
    </xf>
    <xf numFmtId="0" fontId="29" fillId="36" borderId="1" xfId="0" applyFont="1" applyFill="1" applyBorder="1" applyAlignment="1" applyProtection="1">
      <alignment horizontal="center" vertical="center"/>
      <protection hidden="1"/>
    </xf>
    <xf numFmtId="0" fontId="30" fillId="36" borderId="1" xfId="0" applyFont="1" applyFill="1" applyBorder="1" applyAlignment="1" applyProtection="1">
      <alignment horizontal="center" vertical="center" wrapText="1"/>
      <protection hidden="1"/>
    </xf>
    <xf numFmtId="0" fontId="26" fillId="36" borderId="1" xfId="0" applyFont="1" applyFill="1" applyBorder="1" applyAlignment="1" applyProtection="1">
      <alignment horizontal="left" vertical="center" wrapText="1"/>
      <protection hidden="1"/>
    </xf>
    <xf numFmtId="0" fontId="27" fillId="34" borderId="1" xfId="0" applyFont="1" applyFill="1" applyBorder="1" applyAlignment="1">
      <alignment horizontal="center" vertical="center" wrapText="1"/>
    </xf>
    <xf numFmtId="0" fontId="29" fillId="36" borderId="1" xfId="0" applyFont="1" applyFill="1" applyBorder="1" applyAlignment="1">
      <alignment horizontal="left" vertical="center" wrapText="1"/>
    </xf>
    <xf numFmtId="0" fontId="31" fillId="36" borderId="1" xfId="0" applyFont="1" applyFill="1" applyBorder="1" applyAlignment="1" applyProtection="1">
      <alignment horizontal="left" vertical="center" wrapText="1"/>
      <protection hidden="1"/>
    </xf>
    <xf numFmtId="0" fontId="25" fillId="36" borderId="1" xfId="0" applyFont="1" applyFill="1" applyBorder="1" applyAlignment="1">
      <alignment horizontal="center" vertical="center" wrapText="1"/>
    </xf>
    <xf numFmtId="0" fontId="27" fillId="34" borderId="1" xfId="0" applyFont="1" applyFill="1" applyBorder="1" applyAlignment="1" applyProtection="1">
      <alignment horizontal="center" vertical="center"/>
      <protection hidden="1"/>
    </xf>
    <xf numFmtId="0" fontId="27" fillId="34" borderId="0" xfId="0" applyFont="1" applyFill="1" applyAlignment="1">
      <alignment horizontal="center" vertical="center"/>
    </xf>
    <xf numFmtId="0" fontId="27" fillId="34" borderId="1" xfId="0" applyFont="1" applyFill="1" applyBorder="1" applyAlignment="1">
      <alignment horizontal="center" vertical="center"/>
    </xf>
    <xf numFmtId="0" fontId="27" fillId="34" borderId="12" xfId="0" applyFont="1" applyFill="1" applyBorder="1" applyAlignment="1">
      <alignment horizontal="center" vertical="center"/>
    </xf>
    <xf numFmtId="0" fontId="27" fillId="34" borderId="13" xfId="0" applyFont="1" applyFill="1" applyBorder="1" applyAlignment="1">
      <alignment horizontal="center" vertical="center"/>
    </xf>
    <xf numFmtId="1" fontId="27" fillId="34" borderId="1" xfId="0" applyNumberFormat="1" applyFont="1" applyFill="1" applyBorder="1" applyAlignment="1" applyProtection="1">
      <alignment horizontal="center" vertical="center" wrapText="1"/>
      <protection hidden="1"/>
    </xf>
    <xf numFmtId="0" fontId="26" fillId="36" borderId="1" xfId="0" applyFont="1" applyFill="1" applyBorder="1" applyAlignment="1" applyProtection="1">
      <alignment horizontal="center" vertical="center"/>
      <protection hidden="1"/>
    </xf>
    <xf numFmtId="0" fontId="26" fillId="36" borderId="1" xfId="1" applyFont="1" applyFill="1" applyBorder="1" applyAlignment="1" applyProtection="1">
      <alignment horizontal="left" vertical="center" wrapText="1"/>
      <protection hidden="1"/>
    </xf>
    <xf numFmtId="0" fontId="29" fillId="36" borderId="1" xfId="1" applyFont="1" applyFill="1" applyBorder="1" applyAlignment="1" applyProtection="1">
      <alignment horizontal="left" vertical="center" wrapText="1"/>
      <protection hidden="1"/>
    </xf>
    <xf numFmtId="0" fontId="32" fillId="36" borderId="1" xfId="1" applyFont="1" applyFill="1" applyBorder="1" applyAlignment="1" applyProtection="1">
      <alignment horizontal="left" vertical="center" wrapText="1"/>
      <protection hidden="1"/>
    </xf>
    <xf numFmtId="0" fontId="27" fillId="34" borderId="13" xfId="0" applyFont="1" applyFill="1" applyBorder="1" applyAlignment="1">
      <alignment horizontal="center" vertical="center" wrapText="1"/>
    </xf>
    <xf numFmtId="0" fontId="24" fillId="0" borderId="1" xfId="0" applyFont="1" applyBorder="1" applyAlignment="1" applyProtection="1">
      <alignment horizontal="center" vertical="center" wrapText="1"/>
      <protection hidden="1"/>
    </xf>
    <xf numFmtId="0" fontId="24" fillId="0" borderId="1" xfId="0" applyFont="1" applyBorder="1" applyAlignment="1" applyProtection="1">
      <alignment horizontal="center" vertical="center"/>
      <protection hidden="1"/>
    </xf>
    <xf numFmtId="0" fontId="28" fillId="37" borderId="1" xfId="0" applyFont="1" applyFill="1" applyBorder="1" applyAlignment="1" applyProtection="1">
      <alignment horizontal="center" vertical="center" wrapText="1"/>
      <protection hidden="1"/>
    </xf>
    <xf numFmtId="1" fontId="28" fillId="37" borderId="1" xfId="0" applyNumberFormat="1" applyFont="1" applyFill="1" applyBorder="1" applyAlignment="1" applyProtection="1">
      <alignment horizontal="center" vertical="center" wrapText="1"/>
      <protection hidden="1"/>
    </xf>
    <xf numFmtId="0" fontId="29" fillId="37" borderId="1" xfId="0" applyFont="1" applyFill="1" applyBorder="1" applyAlignment="1" applyProtection="1">
      <alignment horizontal="center" vertical="center" wrapText="1"/>
      <protection hidden="1"/>
    </xf>
    <xf numFmtId="0" fontId="27" fillId="34" borderId="2" xfId="0" applyFont="1" applyFill="1" applyBorder="1" applyAlignment="1" applyProtection="1">
      <alignment horizontal="center" vertical="center" wrapText="1"/>
      <protection hidden="1"/>
    </xf>
    <xf numFmtId="1" fontId="27" fillId="34" borderId="12" xfId="0" applyNumberFormat="1" applyFont="1" applyFill="1" applyBorder="1" applyAlignment="1">
      <alignment horizontal="center" vertical="center"/>
    </xf>
    <xf numFmtId="0" fontId="27" fillId="34" borderId="14" xfId="0" applyFont="1" applyFill="1" applyBorder="1" applyAlignment="1">
      <alignment horizontal="center" vertical="center" wrapText="1"/>
    </xf>
    <xf numFmtId="0" fontId="33" fillId="34" borderId="0" xfId="0" applyFont="1" applyFill="1" applyAlignment="1">
      <alignment horizontal="center"/>
    </xf>
    <xf numFmtId="0" fontId="24" fillId="0" borderId="13" xfId="0" applyFont="1" applyBorder="1" applyAlignment="1" applyProtection="1">
      <alignment horizontal="center" vertical="center"/>
      <protection hidden="1"/>
    </xf>
    <xf numFmtId="0" fontId="24" fillId="0" borderId="1" xfId="0" quotePrefix="1" applyFont="1" applyBorder="1" applyAlignment="1" applyProtection="1">
      <alignment horizontal="center" vertical="center" wrapText="1"/>
      <protection hidden="1"/>
    </xf>
    <xf numFmtId="0" fontId="0" fillId="0" borderId="0" xfId="0" applyAlignment="1">
      <alignment horizontal="center" vertical="center"/>
    </xf>
    <xf numFmtId="0" fontId="27" fillId="34" borderId="1" xfId="0" applyFont="1" applyFill="1" applyBorder="1" applyAlignment="1" applyProtection="1">
      <alignment horizontal="left" vertical="center"/>
      <protection hidden="1"/>
    </xf>
    <xf numFmtId="0" fontId="24" fillId="0" borderId="0" xfId="0" applyFont="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35" borderId="1" xfId="0"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35" borderId="16" xfId="0" applyFill="1" applyBorder="1" applyAlignment="1">
      <alignment horizontal="center" vertical="center"/>
    </xf>
    <xf numFmtId="0" fontId="0" fillId="0" borderId="17" xfId="0" applyBorder="1" applyAlignment="1">
      <alignment horizontal="center" vertical="center"/>
    </xf>
    <xf numFmtId="0" fontId="0" fillId="35" borderId="17" xfId="0" applyFill="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5" fillId="0" borderId="15" xfId="0" applyFont="1" applyBorder="1" applyAlignment="1">
      <alignment horizontal="center" vertical="center" wrapText="1"/>
    </xf>
    <xf numFmtId="0" fontId="15" fillId="35" borderId="16" xfId="0" applyFont="1" applyFill="1" applyBorder="1" applyAlignment="1">
      <alignment horizontal="center" vertical="center"/>
    </xf>
    <xf numFmtId="0" fontId="35" fillId="0" borderId="1" xfId="0" applyFont="1" applyBorder="1" applyAlignment="1">
      <alignment horizontal="left" vertical="center"/>
    </xf>
    <xf numFmtId="0" fontId="24" fillId="0" borderId="1" xfId="0" applyFont="1" applyBorder="1" applyAlignment="1">
      <alignment vertical="top" wrapText="1"/>
    </xf>
    <xf numFmtId="0" fontId="34" fillId="0" borderId="0" xfId="0" applyFont="1"/>
    <xf numFmtId="0" fontId="24" fillId="0" borderId="0" xfId="0" applyFont="1" applyAlignment="1">
      <alignment vertical="top"/>
    </xf>
    <xf numFmtId="0" fontId="24" fillId="0" borderId="0" xfId="0" applyFont="1" applyAlignment="1">
      <alignment horizontal="left" vertical="top"/>
    </xf>
    <xf numFmtId="0" fontId="24" fillId="0" borderId="0" xfId="0" applyFont="1" applyAlignment="1">
      <alignment vertical="top" wrapText="1"/>
    </xf>
    <xf numFmtId="0" fontId="24" fillId="0" borderId="1" xfId="0" applyFont="1" applyBorder="1" applyAlignment="1">
      <alignment horizontal="left" vertical="top" wrapText="1"/>
    </xf>
    <xf numFmtId="0" fontId="24" fillId="0" borderId="1" xfId="0" applyFont="1" applyBorder="1" applyAlignment="1" applyProtection="1">
      <alignment horizontal="left" vertical="top"/>
      <protection hidden="1"/>
    </xf>
    <xf numFmtId="0" fontId="24" fillId="0" borderId="1" xfId="0" applyFont="1" applyBorder="1" applyAlignment="1">
      <alignment vertical="top"/>
    </xf>
    <xf numFmtId="0" fontId="24" fillId="0" borderId="1" xfId="0" applyFont="1" applyBorder="1" applyAlignment="1" applyProtection="1">
      <alignment horizontal="left" vertical="top" wrapText="1"/>
      <protection hidden="1"/>
    </xf>
    <xf numFmtId="0" fontId="24" fillId="0" borderId="1" xfId="0" applyFont="1" applyBorder="1" applyAlignment="1" applyProtection="1">
      <alignment vertical="top" wrapText="1"/>
      <protection hidden="1"/>
    </xf>
    <xf numFmtId="0" fontId="24" fillId="0" borderId="1" xfId="0" quotePrefix="1" applyFont="1" applyBorder="1" applyAlignment="1">
      <alignment vertical="top" wrapText="1"/>
    </xf>
    <xf numFmtId="0" fontId="24" fillId="0" borderId="12" xfId="0" applyFont="1" applyBorder="1" applyAlignment="1" applyProtection="1">
      <alignment horizontal="center" vertical="center" wrapText="1"/>
      <protection hidden="1"/>
    </xf>
    <xf numFmtId="0" fontId="24" fillId="0" borderId="1" xfId="0" applyFont="1" applyBorder="1" applyAlignment="1" applyProtection="1">
      <alignment horizontal="left" vertical="center" wrapText="1"/>
      <protection hidden="1"/>
    </xf>
    <xf numFmtId="0" fontId="34" fillId="0" borderId="0" xfId="0" applyFont="1" applyAlignment="1">
      <alignment horizontal="center" vertical="center"/>
    </xf>
    <xf numFmtId="0" fontId="34" fillId="0" borderId="0" xfId="0" applyFont="1" applyAlignment="1">
      <alignment horizontal="center" vertical="center" wrapText="1"/>
    </xf>
    <xf numFmtId="0" fontId="24" fillId="0" borderId="0" xfId="0" applyFont="1" applyAlignment="1">
      <alignment horizontal="left" vertical="center" wrapText="1"/>
    </xf>
    <xf numFmtId="0" fontId="28" fillId="33" borderId="1" xfId="0" applyFont="1" applyFill="1" applyBorder="1" applyAlignment="1" applyProtection="1">
      <alignment horizontal="center" vertical="center" wrapText="1"/>
      <protection hidden="1"/>
    </xf>
    <xf numFmtId="0" fontId="36" fillId="0" borderId="0" xfId="0" applyFont="1"/>
    <xf numFmtId="0" fontId="24" fillId="36" borderId="1" xfId="0" applyFont="1" applyFill="1" applyBorder="1" applyAlignment="1" applyProtection="1">
      <alignment horizontal="center" vertical="center"/>
      <protection hidden="1"/>
    </xf>
    <xf numFmtId="0" fontId="28" fillId="33" borderId="1" xfId="0" quotePrefix="1" applyFont="1" applyFill="1" applyBorder="1" applyAlignment="1" applyProtection="1">
      <alignment horizontal="center" vertical="center" wrapText="1"/>
      <protection hidden="1"/>
    </xf>
    <xf numFmtId="0" fontId="1" fillId="33" borderId="1" xfId="1" applyFill="1" applyBorder="1" applyAlignment="1" applyProtection="1">
      <alignment horizontal="center" vertical="center" wrapText="1"/>
      <protection hidden="1"/>
    </xf>
    <xf numFmtId="0" fontId="24" fillId="38" borderId="1" xfId="0" applyFont="1" applyFill="1" applyBorder="1" applyAlignment="1" applyProtection="1">
      <alignment horizontal="center" vertical="center"/>
      <protection hidden="1"/>
    </xf>
    <xf numFmtId="0" fontId="24" fillId="39" borderId="1" xfId="0" applyFont="1" applyFill="1" applyBorder="1" applyAlignment="1" applyProtection="1">
      <alignment horizontal="center" vertical="center"/>
      <protection hidden="1"/>
    </xf>
    <xf numFmtId="0" fontId="24" fillId="40" borderId="1" xfId="0" applyFont="1" applyFill="1" applyBorder="1" applyAlignment="1" applyProtection="1">
      <alignment horizontal="center" vertical="center"/>
      <protection hidden="1"/>
    </xf>
    <xf numFmtId="0" fontId="24" fillId="41" borderId="1" xfId="0" applyFont="1" applyFill="1" applyBorder="1" applyAlignment="1" applyProtection="1">
      <alignment horizontal="center" vertical="center"/>
      <protection hidden="1"/>
    </xf>
    <xf numFmtId="0" fontId="24" fillId="37" borderId="1" xfId="0" applyFont="1" applyFill="1" applyBorder="1" applyAlignment="1" applyProtection="1">
      <alignment horizontal="center" vertical="center"/>
      <protection hidden="1"/>
    </xf>
    <xf numFmtId="1" fontId="28" fillId="33" borderId="1" xfId="0" applyNumberFormat="1" applyFont="1" applyFill="1" applyBorder="1" applyAlignment="1" applyProtection="1">
      <alignment horizontal="center" vertical="center" wrapText="1"/>
      <protection hidden="1"/>
    </xf>
    <xf numFmtId="0" fontId="28" fillId="33" borderId="1" xfId="0" applyFont="1" applyFill="1" applyBorder="1" applyAlignment="1">
      <alignment horizontal="center" vertical="center" wrapText="1"/>
    </xf>
    <xf numFmtId="1" fontId="28" fillId="33" borderId="1" xfId="0" quotePrefix="1" applyNumberFormat="1" applyFont="1" applyFill="1" applyBorder="1" applyAlignment="1" applyProtection="1">
      <alignment horizontal="center" vertical="center" wrapText="1"/>
      <protection hidden="1"/>
    </xf>
    <xf numFmtId="1" fontId="28" fillId="33" borderId="0" xfId="0" applyNumberFormat="1" applyFont="1" applyFill="1" applyAlignment="1">
      <alignment horizontal="center" vertical="center" wrapText="1"/>
    </xf>
    <xf numFmtId="1" fontId="28" fillId="33" borderId="1" xfId="0" applyNumberFormat="1" applyFont="1" applyFill="1" applyBorder="1" applyAlignment="1">
      <alignment horizontal="center" vertical="center" wrapText="1"/>
    </xf>
    <xf numFmtId="0" fontId="28" fillId="33" borderId="0" xfId="0" applyFont="1" applyFill="1" applyAlignment="1">
      <alignment horizontal="center" vertical="center" wrapText="1"/>
    </xf>
    <xf numFmtId="0" fontId="24" fillId="0" borderId="0" xfId="0" applyFont="1" applyAlignment="1">
      <alignment horizontal="left" vertical="top" wrapText="1"/>
    </xf>
    <xf numFmtId="0" fontId="24" fillId="0" borderId="0" xfId="0" applyFont="1"/>
    <xf numFmtId="0" fontId="28" fillId="33" borderId="12" xfId="0" applyFont="1" applyFill="1" applyBorder="1" applyAlignment="1" applyProtection="1">
      <alignment horizontal="center" vertical="center" wrapText="1"/>
      <protection hidden="1"/>
    </xf>
    <xf numFmtId="0" fontId="24" fillId="33" borderId="1" xfId="0" applyFont="1" applyFill="1" applyBorder="1" applyAlignment="1" applyProtection="1">
      <alignment horizontal="center" vertical="center" wrapText="1"/>
      <protection hidden="1"/>
    </xf>
    <xf numFmtId="0" fontId="28" fillId="37" borderId="1" xfId="0" applyFont="1" applyFill="1" applyBorder="1" applyAlignment="1">
      <alignment horizontal="center" vertical="center" wrapText="1"/>
    </xf>
    <xf numFmtId="2" fontId="28" fillId="33" borderId="1" xfId="0" quotePrefix="1" applyNumberFormat="1" applyFont="1" applyFill="1" applyBorder="1" applyAlignment="1" applyProtection="1">
      <alignment horizontal="center" vertical="center" wrapText="1"/>
      <protection hidden="1"/>
    </xf>
    <xf numFmtId="0" fontId="41" fillId="33" borderId="1" xfId="1" applyFont="1" applyFill="1" applyBorder="1" applyAlignment="1" applyProtection="1">
      <alignment vertical="center" wrapText="1"/>
      <protection hidden="1"/>
    </xf>
    <xf numFmtId="0" fontId="28" fillId="33" borderId="1" xfId="1" applyFont="1" applyFill="1" applyBorder="1" applyAlignment="1" applyProtection="1">
      <alignment vertical="center" wrapText="1"/>
      <protection hidden="1"/>
    </xf>
    <xf numFmtId="1" fontId="28" fillId="37" borderId="1" xfId="0" applyNumberFormat="1" applyFont="1" applyFill="1" applyBorder="1" applyAlignment="1">
      <alignment horizontal="center" vertical="center" wrapText="1"/>
    </xf>
    <xf numFmtId="1" fontId="28" fillId="33" borderId="1" xfId="0" applyNumberFormat="1" applyFont="1" applyFill="1" applyBorder="1" applyAlignment="1" applyProtection="1">
      <alignment vertical="center" wrapText="1"/>
      <protection hidden="1"/>
    </xf>
    <xf numFmtId="1" fontId="26" fillId="33" borderId="1" xfId="0" applyNumberFormat="1" applyFont="1" applyFill="1" applyBorder="1" applyAlignment="1" applyProtection="1">
      <alignment horizontal="center" vertical="center" wrapText="1"/>
      <protection hidden="1"/>
    </xf>
    <xf numFmtId="1" fontId="29" fillId="33" borderId="1" xfId="0" applyNumberFormat="1" applyFont="1" applyFill="1" applyBorder="1" applyAlignment="1" applyProtection="1">
      <alignment horizontal="center" vertical="center" wrapText="1"/>
      <protection hidden="1"/>
    </xf>
    <xf numFmtId="1" fontId="29" fillId="33" borderId="1" xfId="0" quotePrefix="1" applyNumberFormat="1" applyFont="1" applyFill="1" applyBorder="1" applyAlignment="1" applyProtection="1">
      <alignment horizontal="center" vertical="center" wrapText="1"/>
      <protection hidden="1"/>
    </xf>
    <xf numFmtId="43" fontId="29" fillId="33" borderId="1" xfId="408" quotePrefix="1" applyFont="1" applyFill="1" applyBorder="1" applyAlignment="1" applyProtection="1">
      <alignment horizontal="center" vertical="center" wrapText="1"/>
      <protection hidden="1"/>
    </xf>
    <xf numFmtId="1" fontId="29" fillId="33" borderId="0" xfId="0" applyNumberFormat="1" applyFont="1" applyFill="1" applyAlignment="1">
      <alignment horizontal="center" vertical="center" wrapText="1"/>
    </xf>
    <xf numFmtId="1" fontId="26" fillId="33" borderId="0" xfId="0" applyNumberFormat="1" applyFont="1" applyFill="1" applyAlignment="1">
      <alignment horizontal="center" vertical="center" wrapText="1"/>
    </xf>
    <xf numFmtId="2" fontId="29" fillId="33" borderId="1" xfId="0" quotePrefix="1" applyNumberFormat="1" applyFont="1" applyFill="1" applyBorder="1" applyAlignment="1" applyProtection="1">
      <alignment horizontal="center" vertical="center" wrapText="1"/>
      <protection hidden="1"/>
    </xf>
    <xf numFmtId="0" fontId="29" fillId="33" borderId="1" xfId="0" quotePrefix="1" applyFont="1" applyFill="1" applyBorder="1" applyAlignment="1" applyProtection="1">
      <alignment horizontal="center" vertical="center" wrapText="1"/>
      <protection hidden="1"/>
    </xf>
    <xf numFmtId="0" fontId="29" fillId="33" borderId="1" xfId="0" applyFont="1" applyFill="1" applyBorder="1" applyAlignment="1">
      <alignment horizontal="center" vertical="center" wrapText="1"/>
    </xf>
    <xf numFmtId="166" fontId="28" fillId="33" borderId="1" xfId="0" applyNumberFormat="1" applyFont="1" applyFill="1" applyBorder="1" applyAlignment="1" applyProtection="1">
      <alignment horizontal="center" vertical="center" wrapText="1"/>
      <protection hidden="1"/>
    </xf>
    <xf numFmtId="0" fontId="26" fillId="33" borderId="1" xfId="0" applyFont="1" applyFill="1" applyBorder="1" applyAlignment="1">
      <alignment horizontal="center" vertical="center" wrapText="1"/>
    </xf>
    <xf numFmtId="0" fontId="26" fillId="33" borderId="1" xfId="0" quotePrefix="1" applyFont="1" applyFill="1" applyBorder="1" applyAlignment="1" applyProtection="1">
      <alignment horizontal="center" vertical="center" wrapText="1"/>
      <protection hidden="1"/>
    </xf>
    <xf numFmtId="167" fontId="28" fillId="33" borderId="1" xfId="0" quotePrefix="1" applyNumberFormat="1" applyFont="1" applyFill="1" applyBorder="1" applyAlignment="1" applyProtection="1">
      <alignment horizontal="center" vertical="center" wrapText="1"/>
      <protection hidden="1"/>
    </xf>
    <xf numFmtId="0" fontId="28" fillId="33" borderId="1" xfId="0" applyFont="1" applyFill="1" applyBorder="1" applyAlignment="1" applyProtection="1">
      <alignment horizontal="left" vertical="center" wrapText="1"/>
      <protection hidden="1"/>
    </xf>
    <xf numFmtId="0" fontId="29" fillId="0" borderId="1" xfId="0" applyFont="1" applyBorder="1" applyAlignment="1">
      <alignment vertical="top" wrapText="1"/>
    </xf>
    <xf numFmtId="0" fontId="29" fillId="0" borderId="1" xfId="0" applyFont="1" applyBorder="1" applyAlignment="1">
      <alignment horizontal="left" vertical="top" wrapText="1"/>
    </xf>
    <xf numFmtId="0" fontId="26" fillId="33" borderId="0" xfId="0" applyFont="1" applyFill="1" applyAlignment="1">
      <alignment horizontal="center" vertical="center" wrapText="1"/>
    </xf>
    <xf numFmtId="0" fontId="29" fillId="33" borderId="0" xfId="0" applyFont="1" applyFill="1" applyAlignment="1">
      <alignment horizontal="center" vertical="center" wrapText="1"/>
    </xf>
    <xf numFmtId="0" fontId="37" fillId="0" borderId="0" xfId="0" applyFont="1" applyAlignment="1">
      <alignment horizontal="left" vertical="top" wrapText="1"/>
    </xf>
    <xf numFmtId="0" fontId="37" fillId="0" borderId="0" xfId="0" applyFont="1" applyAlignment="1">
      <alignment vertical="top"/>
    </xf>
    <xf numFmtId="0" fontId="24" fillId="0" borderId="12" xfId="0" quotePrefix="1" applyFont="1" applyBorder="1" applyAlignment="1">
      <alignment vertical="top" wrapText="1"/>
    </xf>
    <xf numFmtId="0" fontId="24" fillId="36" borderId="0" xfId="0" applyFont="1" applyFill="1" applyAlignment="1">
      <alignment vertical="top"/>
    </xf>
    <xf numFmtId="0" fontId="37" fillId="36" borderId="1" xfId="0" applyFont="1" applyFill="1" applyBorder="1" applyAlignment="1">
      <alignment horizontal="left" vertical="top" wrapText="1"/>
    </xf>
    <xf numFmtId="0" fontId="37" fillId="36" borderId="1" xfId="0" applyFont="1" applyFill="1" applyBorder="1" applyAlignment="1" applyProtection="1">
      <alignment horizontal="left" vertical="top" wrapText="1"/>
      <protection hidden="1"/>
    </xf>
    <xf numFmtId="0" fontId="37" fillId="36" borderId="1" xfId="0" applyFont="1" applyFill="1" applyBorder="1" applyAlignment="1" applyProtection="1">
      <alignment vertical="top" wrapText="1"/>
      <protection hidden="1"/>
    </xf>
    <xf numFmtId="0" fontId="37" fillId="0" borderId="1" xfId="0" applyFont="1" applyBorder="1" applyAlignment="1">
      <alignment horizontal="left" vertical="top" wrapText="1"/>
    </xf>
    <xf numFmtId="0" fontId="37" fillId="0" borderId="22" xfId="0" applyFont="1" applyBorder="1" applyAlignment="1">
      <alignment vertical="top" wrapText="1"/>
    </xf>
    <xf numFmtId="0" fontId="37" fillId="0" borderId="1" xfId="0" quotePrefix="1" applyFont="1" applyBorder="1" applyAlignment="1">
      <alignment horizontal="left" vertical="top" wrapText="1"/>
    </xf>
    <xf numFmtId="0" fontId="37" fillId="0" borderId="1" xfId="0" applyFont="1" applyBorder="1" applyAlignment="1">
      <alignment vertical="top" wrapText="1"/>
    </xf>
    <xf numFmtId="14" fontId="37" fillId="0" borderId="1" xfId="0" applyNumberFormat="1" applyFont="1" applyBorder="1" applyAlignment="1">
      <alignment horizontal="center" vertical="top" wrapText="1"/>
    </xf>
    <xf numFmtId="0" fontId="37" fillId="0" borderId="1" xfId="0" applyFont="1" applyBorder="1" applyAlignment="1" applyProtection="1">
      <alignment horizontal="left" vertical="top"/>
      <protection hidden="1"/>
    </xf>
    <xf numFmtId="14" fontId="37" fillId="0" borderId="1" xfId="0" applyNumberFormat="1" applyFont="1" applyBorder="1" applyAlignment="1">
      <alignment horizontal="left" vertical="top" wrapText="1"/>
    </xf>
    <xf numFmtId="0" fontId="37" fillId="0" borderId="1" xfId="0" quotePrefix="1" applyFont="1" applyBorder="1" applyAlignment="1">
      <alignment vertical="top" wrapText="1"/>
    </xf>
    <xf numFmtId="0" fontId="37" fillId="0" borderId="0" xfId="0" applyFont="1" applyAlignment="1">
      <alignment vertical="top" wrapText="1"/>
    </xf>
    <xf numFmtId="0" fontId="37" fillId="36" borderId="1" xfId="0" applyFont="1" applyFill="1" applyBorder="1" applyAlignment="1">
      <alignment vertical="top" wrapText="1"/>
    </xf>
    <xf numFmtId="0" fontId="24" fillId="0" borderId="22" xfId="0" applyFont="1" applyBorder="1" applyAlignment="1">
      <alignment vertical="top" wrapText="1"/>
    </xf>
    <xf numFmtId="0" fontId="24" fillId="0" borderId="24" xfId="0" applyFont="1" applyBorder="1" applyAlignment="1">
      <alignment vertical="top" wrapText="1"/>
    </xf>
    <xf numFmtId="0" fontId="28" fillId="33" borderId="0" xfId="0" applyFont="1" applyFill="1" applyAlignment="1" applyProtection="1">
      <alignment horizontal="center" vertical="center" wrapText="1"/>
      <protection hidden="1"/>
    </xf>
    <xf numFmtId="0" fontId="36" fillId="33" borderId="0" xfId="0" applyFont="1" applyFill="1"/>
    <xf numFmtId="0" fontId="27" fillId="33" borderId="1" xfId="0" applyFont="1" applyFill="1" applyBorder="1" applyAlignment="1" applyProtection="1">
      <alignment horizontal="center" vertical="center" wrapText="1"/>
      <protection hidden="1"/>
    </xf>
    <xf numFmtId="0" fontId="28" fillId="33" borderId="13" xfId="0" applyFont="1" applyFill="1" applyBorder="1" applyAlignment="1" applyProtection="1">
      <alignment horizontal="center" vertical="center" wrapText="1"/>
      <protection hidden="1"/>
    </xf>
    <xf numFmtId="0" fontId="0" fillId="33" borderId="0" xfId="0" applyFill="1"/>
    <xf numFmtId="0" fontId="43" fillId="33" borderId="0" xfId="0" applyFont="1" applyFill="1"/>
    <xf numFmtId="0" fontId="15" fillId="33" borderId="0" xfId="0" applyFont="1" applyFill="1"/>
    <xf numFmtId="0" fontId="33" fillId="33" borderId="0" xfId="0" applyFont="1" applyFill="1"/>
    <xf numFmtId="0" fontId="44" fillId="33" borderId="0" xfId="0" applyFont="1" applyFill="1"/>
    <xf numFmtId="0" fontId="1" fillId="33" borderId="1" xfId="1" applyFill="1" applyBorder="1" applyAlignment="1" applyProtection="1">
      <alignment vertical="center" wrapText="1"/>
      <protection hidden="1"/>
    </xf>
    <xf numFmtId="1" fontId="27" fillId="33" borderId="1" xfId="0" applyNumberFormat="1" applyFont="1" applyFill="1" applyBorder="1" applyAlignment="1" applyProtection="1">
      <alignment horizontal="center" vertical="center" wrapText="1"/>
      <protection hidden="1"/>
    </xf>
    <xf numFmtId="1" fontId="27" fillId="33" borderId="1" xfId="0" quotePrefix="1" applyNumberFormat="1" applyFont="1" applyFill="1" applyBorder="1" applyAlignment="1" applyProtection="1">
      <alignment horizontal="center" vertical="center" wrapText="1"/>
      <protection hidden="1"/>
    </xf>
    <xf numFmtId="1" fontId="41" fillId="33" borderId="1" xfId="1" applyNumberFormat="1" applyFont="1" applyFill="1" applyBorder="1" applyAlignment="1" applyProtection="1">
      <alignment vertical="center" wrapText="1"/>
      <protection hidden="1"/>
    </xf>
    <xf numFmtId="0" fontId="1" fillId="33" borderId="1" xfId="1" applyFill="1" applyBorder="1" applyAlignment="1" applyProtection="1">
      <alignment horizontal="left" vertical="center" wrapText="1"/>
      <protection hidden="1"/>
    </xf>
    <xf numFmtId="0" fontId="28" fillId="33" borderId="13" xfId="0" applyFont="1" applyFill="1" applyBorder="1" applyAlignment="1">
      <alignment horizontal="center" vertical="center" wrapText="1"/>
    </xf>
    <xf numFmtId="0" fontId="41" fillId="33" borderId="1" xfId="1" applyFont="1" applyFill="1" applyBorder="1" applyAlignment="1" applyProtection="1">
      <alignment horizontal="left" vertical="center" wrapText="1"/>
      <protection hidden="1"/>
    </xf>
    <xf numFmtId="0" fontId="36" fillId="33" borderId="1" xfId="0" applyFont="1" applyFill="1" applyBorder="1"/>
    <xf numFmtId="0" fontId="41" fillId="33" borderId="1" xfId="1" applyFont="1" applyFill="1" applyBorder="1" applyAlignment="1" applyProtection="1">
      <alignment horizontal="center" vertical="center" wrapText="1"/>
      <protection hidden="1"/>
    </xf>
    <xf numFmtId="0" fontId="28" fillId="33" borderId="1" xfId="1" applyFont="1" applyFill="1" applyBorder="1" applyAlignment="1" applyProtection="1">
      <alignment horizontal="center" vertical="center" wrapText="1"/>
      <protection hidden="1"/>
    </xf>
    <xf numFmtId="0" fontId="24" fillId="33" borderId="1" xfId="0" applyFont="1" applyFill="1" applyBorder="1" applyAlignment="1">
      <alignment horizontal="center" vertical="center" wrapText="1"/>
    </xf>
    <xf numFmtId="0" fontId="36" fillId="33" borderId="0" xfId="0" applyFont="1" applyFill="1" applyAlignment="1">
      <alignment vertical="center"/>
    </xf>
    <xf numFmtId="0" fontId="37" fillId="0" borderId="1" xfId="0" applyFont="1" applyBorder="1" applyAlignment="1" applyProtection="1">
      <alignment horizontal="left" vertical="top" wrapText="1"/>
      <protection hidden="1"/>
    </xf>
    <xf numFmtId="0" fontId="24" fillId="36" borderId="1" xfId="0" applyFont="1" applyFill="1" applyBorder="1" applyAlignment="1">
      <alignment vertical="top" wrapText="1"/>
    </xf>
    <xf numFmtId="0" fontId="24" fillId="36" borderId="1" xfId="0" applyFont="1" applyFill="1" applyBorder="1" applyAlignment="1" applyProtection="1">
      <alignment vertical="top" wrapText="1"/>
      <protection hidden="1"/>
    </xf>
    <xf numFmtId="0" fontId="24" fillId="36" borderId="1" xfId="0" applyFont="1" applyFill="1" applyBorder="1" applyAlignment="1" applyProtection="1">
      <alignment horizontal="left" vertical="top" wrapText="1"/>
      <protection hidden="1"/>
    </xf>
    <xf numFmtId="0" fontId="24" fillId="43" borderId="1" xfId="0" quotePrefix="1" applyFont="1" applyFill="1" applyBorder="1" applyAlignment="1">
      <alignment vertical="top" wrapText="1"/>
    </xf>
    <xf numFmtId="0" fontId="37" fillId="36" borderId="0" xfId="0" applyFont="1" applyFill="1" applyAlignment="1">
      <alignment vertical="top" wrapText="1"/>
    </xf>
    <xf numFmtId="0" fontId="24" fillId="0" borderId="1" xfId="0" applyFont="1" applyBorder="1" applyAlignment="1">
      <alignment horizontal="left" vertical="top"/>
    </xf>
    <xf numFmtId="0" fontId="37" fillId="36" borderId="1" xfId="0" applyFont="1" applyFill="1" applyBorder="1" applyAlignment="1">
      <alignment horizontal="left" vertical="top"/>
    </xf>
    <xf numFmtId="0" fontId="24" fillId="36" borderId="0" xfId="0" applyFont="1" applyFill="1" applyAlignment="1">
      <alignment vertical="top" wrapText="1"/>
    </xf>
    <xf numFmtId="0" fontId="24" fillId="44" borderId="1" xfId="0" quotePrefix="1" applyFont="1" applyFill="1" applyBorder="1" applyAlignment="1">
      <alignment vertical="top" wrapText="1"/>
    </xf>
    <xf numFmtId="0" fontId="24" fillId="45" borderId="1" xfId="0" quotePrefix="1" applyFont="1" applyFill="1" applyBorder="1" applyAlignment="1">
      <alignment vertical="top" wrapText="1"/>
    </xf>
    <xf numFmtId="0" fontId="46" fillId="0" borderId="1" xfId="0" applyFont="1" applyBorder="1" applyAlignment="1">
      <alignment vertical="top" wrapText="1"/>
    </xf>
    <xf numFmtId="0" fontId="47" fillId="0" borderId="1" xfId="0" applyFont="1" applyBorder="1" applyAlignment="1">
      <alignment horizontal="left" vertical="top" wrapText="1"/>
    </xf>
    <xf numFmtId="1" fontId="24" fillId="0" borderId="1" xfId="0" applyNumberFormat="1" applyFont="1" applyBorder="1" applyAlignment="1">
      <alignment horizontal="left" vertical="top" wrapText="1"/>
    </xf>
    <xf numFmtId="0" fontId="24" fillId="36" borderId="1" xfId="0" applyFont="1" applyFill="1" applyBorder="1" applyAlignment="1">
      <alignment horizontal="left" vertical="top"/>
    </xf>
    <xf numFmtId="0" fontId="24" fillId="36" borderId="1" xfId="0" applyFont="1" applyFill="1" applyBorder="1" applyAlignment="1">
      <alignment horizontal="left" vertical="top" wrapText="1"/>
    </xf>
    <xf numFmtId="0" fontId="24" fillId="0" borderId="1" xfId="0" quotePrefix="1" applyFont="1" applyBorder="1" applyAlignment="1">
      <alignment vertical="top"/>
    </xf>
    <xf numFmtId="0" fontId="24" fillId="36" borderId="0" xfId="0" applyFont="1" applyFill="1" applyAlignment="1">
      <alignment horizontal="left" vertical="top"/>
    </xf>
    <xf numFmtId="0" fontId="24" fillId="39" borderId="1" xfId="0" quotePrefix="1" applyFont="1" applyFill="1" applyBorder="1" applyAlignment="1">
      <alignment vertical="top" wrapText="1"/>
    </xf>
    <xf numFmtId="0" fontId="37" fillId="0" borderId="2" xfId="0" applyFont="1" applyBorder="1" applyAlignment="1">
      <alignment vertical="top" wrapText="1"/>
    </xf>
    <xf numFmtId="0" fontId="37" fillId="0" borderId="23" xfId="0" applyFont="1" applyBorder="1" applyAlignment="1">
      <alignment vertical="top" wrapText="1"/>
    </xf>
    <xf numFmtId="0" fontId="37" fillId="0" borderId="1" xfId="0" applyFont="1" applyBorder="1" applyAlignment="1" applyProtection="1">
      <alignment vertical="top" wrapText="1"/>
      <protection hidden="1"/>
    </xf>
    <xf numFmtId="0" fontId="50" fillId="0" borderId="0" xfId="0" applyFont="1" applyAlignment="1">
      <alignment horizontal="left" vertical="top" wrapText="1"/>
    </xf>
    <xf numFmtId="0" fontId="50" fillId="0" borderId="0" xfId="0" applyFont="1" applyAlignment="1">
      <alignment vertical="top" wrapText="1"/>
    </xf>
    <xf numFmtId="0" fontId="51" fillId="0" borderId="0" xfId="0" applyFont="1" applyAlignment="1">
      <alignment horizontal="left" vertical="top" wrapText="1"/>
    </xf>
    <xf numFmtId="0" fontId="51" fillId="0" borderId="25" xfId="0" applyFont="1" applyBorder="1" applyAlignment="1">
      <alignment horizontal="left" vertical="top" wrapText="1"/>
    </xf>
    <xf numFmtId="0" fontId="49" fillId="0" borderId="0" xfId="0" applyFont="1" applyAlignment="1">
      <alignment vertical="top" wrapText="1"/>
    </xf>
    <xf numFmtId="0" fontId="49" fillId="0" borderId="25" xfId="0" applyFont="1" applyBorder="1" applyAlignment="1">
      <alignment vertical="top" wrapText="1"/>
    </xf>
    <xf numFmtId="0" fontId="37" fillId="43" borderId="1" xfId="0" quotePrefix="1" applyFont="1" applyFill="1" applyBorder="1" applyAlignment="1">
      <alignment vertical="top" wrapText="1"/>
    </xf>
    <xf numFmtId="0" fontId="37" fillId="0" borderId="1" xfId="0" applyFont="1" applyBorder="1" applyAlignment="1">
      <alignment horizontal="left" vertical="top"/>
    </xf>
    <xf numFmtId="0" fontId="52" fillId="0" borderId="1" xfId="0" applyFont="1" applyBorder="1" applyAlignment="1">
      <alignment vertical="top" wrapText="1"/>
    </xf>
    <xf numFmtId="0" fontId="53" fillId="0" borderId="1" xfId="0" applyFont="1" applyBorder="1" applyAlignment="1">
      <alignment vertical="top" wrapText="1"/>
    </xf>
    <xf numFmtId="0" fontId="37" fillId="42" borderId="1" xfId="0" quotePrefix="1" applyFont="1" applyFill="1" applyBorder="1" applyAlignment="1">
      <alignment vertical="top" wrapText="1"/>
    </xf>
    <xf numFmtId="0" fontId="28" fillId="37" borderId="1" xfId="1" applyFont="1" applyFill="1" applyBorder="1" applyAlignment="1" applyProtection="1">
      <alignment vertical="center" wrapText="1"/>
      <protection hidden="1"/>
    </xf>
    <xf numFmtId="1" fontId="28" fillId="37" borderId="1" xfId="1" applyNumberFormat="1" applyFont="1" applyFill="1" applyBorder="1" applyAlignment="1" applyProtection="1">
      <alignment vertical="center" wrapText="1"/>
      <protection hidden="1"/>
    </xf>
    <xf numFmtId="0" fontId="1" fillId="33" borderId="1" xfId="1" applyFill="1" applyBorder="1" applyAlignment="1">
      <alignment horizontal="center" vertical="center" wrapText="1"/>
    </xf>
    <xf numFmtId="1" fontId="1" fillId="33" borderId="1" xfId="1" applyNumberFormat="1" applyFill="1" applyBorder="1" applyAlignment="1">
      <alignment horizontal="center" vertical="center" wrapText="1"/>
    </xf>
    <xf numFmtId="0" fontId="26" fillId="33" borderId="0" xfId="0" applyFont="1" applyFill="1" applyAlignment="1" applyProtection="1">
      <alignment horizontal="center" vertical="center" wrapText="1"/>
      <protection hidden="1"/>
    </xf>
    <xf numFmtId="0" fontId="28" fillId="33" borderId="0" xfId="0" quotePrefix="1" applyFont="1" applyFill="1" applyAlignment="1" applyProtection="1">
      <alignment horizontal="center" vertical="center" wrapText="1"/>
      <protection hidden="1"/>
    </xf>
    <xf numFmtId="0" fontId="47" fillId="0" borderId="1" xfId="0" applyFont="1" applyBorder="1" applyAlignment="1">
      <alignment vertical="top"/>
    </xf>
    <xf numFmtId="0" fontId="46" fillId="0" borderId="0" xfId="0" applyFont="1" applyAlignment="1">
      <alignment vertical="top"/>
    </xf>
    <xf numFmtId="0" fontId="24" fillId="0" borderId="1" xfId="0" applyFont="1" applyBorder="1" applyAlignment="1">
      <alignment vertical="center" wrapText="1"/>
    </xf>
    <xf numFmtId="0" fontId="47" fillId="0" borderId="1" xfId="0" applyFont="1" applyBorder="1" applyAlignment="1">
      <alignment vertical="top" wrapText="1"/>
    </xf>
    <xf numFmtId="8" fontId="47" fillId="0" borderId="1" xfId="0" applyNumberFormat="1" applyFont="1" applyBorder="1" applyAlignment="1">
      <alignment horizontal="left" vertical="top" wrapText="1"/>
    </xf>
    <xf numFmtId="0" fontId="47" fillId="0" borderId="1" xfId="0" applyFont="1" applyBorder="1" applyAlignment="1">
      <alignment horizontal="center" vertical="top" wrapText="1"/>
    </xf>
    <xf numFmtId="0" fontId="24" fillId="0" borderId="1" xfId="0" quotePrefix="1" applyFont="1" applyBorder="1" applyAlignment="1">
      <alignment horizontal="left" vertical="top" wrapText="1"/>
    </xf>
    <xf numFmtId="14" fontId="24" fillId="0" borderId="1" xfId="0" applyNumberFormat="1" applyFont="1" applyBorder="1" applyAlignment="1">
      <alignment horizontal="center" vertical="top"/>
    </xf>
    <xf numFmtId="0" fontId="47" fillId="0" borderId="22" xfId="0" applyFont="1" applyBorder="1" applyAlignment="1">
      <alignment vertical="top" wrapText="1"/>
    </xf>
    <xf numFmtId="0" fontId="27" fillId="34" borderId="12" xfId="0" applyFont="1" applyFill="1" applyBorder="1" applyAlignment="1">
      <alignment horizontal="center" vertical="center"/>
    </xf>
    <xf numFmtId="0" fontId="27" fillId="34" borderId="13"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5" fillId="0" borderId="15" xfId="0" applyFont="1" applyBorder="1" applyAlignment="1">
      <alignment horizontal="center" vertical="center" wrapText="1"/>
    </xf>
    <xf numFmtId="0" fontId="15" fillId="0" borderId="16"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cellXfs>
  <cellStyles count="409">
    <cellStyle name="20 % - Accent1" xfId="20" builtinId="30" customBuiltin="1"/>
    <cellStyle name="20 % - Accent1 2" xfId="72" xr:uid="{00000000-0005-0000-0000-000001000000}"/>
    <cellStyle name="20 % - Accent1 2 2" xfId="105" xr:uid="{00000000-0005-0000-0000-000002000000}"/>
    <cellStyle name="20 % - Accent1 2 2 2" xfId="240" xr:uid="{00000000-0005-0000-0000-000003000000}"/>
    <cellStyle name="20 % - Accent1 2 2 2 2" xfId="373" xr:uid="{00000000-0005-0000-0000-000004000000}"/>
    <cellStyle name="20 % - Accent1 2 2 3" xfId="171" xr:uid="{00000000-0005-0000-0000-000005000000}"/>
    <cellStyle name="20 % - Accent1 2 2 4" xfId="306" xr:uid="{00000000-0005-0000-0000-000006000000}"/>
    <cellStyle name="20 % - Accent1 2 3" xfId="207" xr:uid="{00000000-0005-0000-0000-000007000000}"/>
    <cellStyle name="20 % - Accent1 2 3 2" xfId="340" xr:uid="{00000000-0005-0000-0000-000008000000}"/>
    <cellStyle name="20 % - Accent1 2 4" xfId="138" xr:uid="{00000000-0005-0000-0000-000009000000}"/>
    <cellStyle name="20 % - Accent1 2 5" xfId="273" xr:uid="{00000000-0005-0000-0000-00000A000000}"/>
    <cellStyle name="20 % - Accent1 3" xfId="88" xr:uid="{00000000-0005-0000-0000-00000B000000}"/>
    <cellStyle name="20 % - Accent1 3 2" xfId="223" xr:uid="{00000000-0005-0000-0000-00000C000000}"/>
    <cellStyle name="20 % - Accent1 3 2 2" xfId="356" xr:uid="{00000000-0005-0000-0000-00000D000000}"/>
    <cellStyle name="20 % - Accent1 3 3" xfId="154" xr:uid="{00000000-0005-0000-0000-00000E000000}"/>
    <cellStyle name="20 % - Accent1 3 4" xfId="289" xr:uid="{00000000-0005-0000-0000-00000F000000}"/>
    <cellStyle name="20 % - Accent1 4" xfId="188" xr:uid="{00000000-0005-0000-0000-000010000000}"/>
    <cellStyle name="20 % - Accent1 4 2" xfId="323" xr:uid="{00000000-0005-0000-0000-000011000000}"/>
    <cellStyle name="20 % - Accent1 5" xfId="121" xr:uid="{00000000-0005-0000-0000-000012000000}"/>
    <cellStyle name="20 % - Accent1 6" xfId="256" xr:uid="{00000000-0005-0000-0000-000013000000}"/>
    <cellStyle name="20 % - Accent2" xfId="24" builtinId="34" customBuiltin="1"/>
    <cellStyle name="20 % - Accent2 2" xfId="74" xr:uid="{00000000-0005-0000-0000-000015000000}"/>
    <cellStyle name="20 % - Accent2 2 2" xfId="107" xr:uid="{00000000-0005-0000-0000-000016000000}"/>
    <cellStyle name="20 % - Accent2 2 2 2" xfId="242" xr:uid="{00000000-0005-0000-0000-000017000000}"/>
    <cellStyle name="20 % - Accent2 2 2 2 2" xfId="375" xr:uid="{00000000-0005-0000-0000-000018000000}"/>
    <cellStyle name="20 % - Accent2 2 2 3" xfId="173" xr:uid="{00000000-0005-0000-0000-000019000000}"/>
    <cellStyle name="20 % - Accent2 2 2 4" xfId="308" xr:uid="{00000000-0005-0000-0000-00001A000000}"/>
    <cellStyle name="20 % - Accent2 2 3" xfId="209" xr:uid="{00000000-0005-0000-0000-00001B000000}"/>
    <cellStyle name="20 % - Accent2 2 3 2" xfId="342" xr:uid="{00000000-0005-0000-0000-00001C000000}"/>
    <cellStyle name="20 % - Accent2 2 4" xfId="140" xr:uid="{00000000-0005-0000-0000-00001D000000}"/>
    <cellStyle name="20 % - Accent2 2 5" xfId="275" xr:uid="{00000000-0005-0000-0000-00001E000000}"/>
    <cellStyle name="20 % - Accent2 3" xfId="90" xr:uid="{00000000-0005-0000-0000-00001F000000}"/>
    <cellStyle name="20 % - Accent2 3 2" xfId="225" xr:uid="{00000000-0005-0000-0000-000020000000}"/>
    <cellStyle name="20 % - Accent2 3 2 2" xfId="358" xr:uid="{00000000-0005-0000-0000-000021000000}"/>
    <cellStyle name="20 % - Accent2 3 3" xfId="156" xr:uid="{00000000-0005-0000-0000-000022000000}"/>
    <cellStyle name="20 % - Accent2 3 4" xfId="291" xr:uid="{00000000-0005-0000-0000-000023000000}"/>
    <cellStyle name="20 % - Accent2 4" xfId="190" xr:uid="{00000000-0005-0000-0000-000024000000}"/>
    <cellStyle name="20 % - Accent2 4 2" xfId="325" xr:uid="{00000000-0005-0000-0000-000025000000}"/>
    <cellStyle name="20 % - Accent2 5" xfId="123" xr:uid="{00000000-0005-0000-0000-000026000000}"/>
    <cellStyle name="20 % - Accent2 6" xfId="258" xr:uid="{00000000-0005-0000-0000-000027000000}"/>
    <cellStyle name="20 % - Accent3" xfId="28" builtinId="38" customBuiltin="1"/>
    <cellStyle name="20 % - Accent3 2" xfId="76" xr:uid="{00000000-0005-0000-0000-000029000000}"/>
    <cellStyle name="20 % - Accent3 2 2" xfId="109" xr:uid="{00000000-0005-0000-0000-00002A000000}"/>
    <cellStyle name="20 % - Accent3 2 2 2" xfId="244" xr:uid="{00000000-0005-0000-0000-00002B000000}"/>
    <cellStyle name="20 % - Accent3 2 2 2 2" xfId="377" xr:uid="{00000000-0005-0000-0000-00002C000000}"/>
    <cellStyle name="20 % - Accent3 2 2 3" xfId="175" xr:uid="{00000000-0005-0000-0000-00002D000000}"/>
    <cellStyle name="20 % - Accent3 2 2 4" xfId="310" xr:uid="{00000000-0005-0000-0000-00002E000000}"/>
    <cellStyle name="20 % - Accent3 2 3" xfId="211" xr:uid="{00000000-0005-0000-0000-00002F000000}"/>
    <cellStyle name="20 % - Accent3 2 3 2" xfId="344" xr:uid="{00000000-0005-0000-0000-000030000000}"/>
    <cellStyle name="20 % - Accent3 2 4" xfId="142" xr:uid="{00000000-0005-0000-0000-000031000000}"/>
    <cellStyle name="20 % - Accent3 2 5" xfId="277" xr:uid="{00000000-0005-0000-0000-000032000000}"/>
    <cellStyle name="20 % - Accent3 3" xfId="92" xr:uid="{00000000-0005-0000-0000-000033000000}"/>
    <cellStyle name="20 % - Accent3 3 2" xfId="227" xr:uid="{00000000-0005-0000-0000-000034000000}"/>
    <cellStyle name="20 % - Accent3 3 2 2" xfId="360" xr:uid="{00000000-0005-0000-0000-000035000000}"/>
    <cellStyle name="20 % - Accent3 3 3" xfId="158" xr:uid="{00000000-0005-0000-0000-000036000000}"/>
    <cellStyle name="20 % - Accent3 3 4" xfId="293" xr:uid="{00000000-0005-0000-0000-000037000000}"/>
    <cellStyle name="20 % - Accent3 4" xfId="192" xr:uid="{00000000-0005-0000-0000-000038000000}"/>
    <cellStyle name="20 % - Accent3 4 2" xfId="327" xr:uid="{00000000-0005-0000-0000-000039000000}"/>
    <cellStyle name="20 % - Accent3 5" xfId="125" xr:uid="{00000000-0005-0000-0000-00003A000000}"/>
    <cellStyle name="20 % - Accent3 6" xfId="260" xr:uid="{00000000-0005-0000-0000-00003B000000}"/>
    <cellStyle name="20 % - Accent4" xfId="32" builtinId="42" customBuiltin="1"/>
    <cellStyle name="20 % - Accent4 2" xfId="78" xr:uid="{00000000-0005-0000-0000-00003D000000}"/>
    <cellStyle name="20 % - Accent4 2 2" xfId="111" xr:uid="{00000000-0005-0000-0000-00003E000000}"/>
    <cellStyle name="20 % - Accent4 2 2 2" xfId="246" xr:uid="{00000000-0005-0000-0000-00003F000000}"/>
    <cellStyle name="20 % - Accent4 2 2 2 2" xfId="379" xr:uid="{00000000-0005-0000-0000-000040000000}"/>
    <cellStyle name="20 % - Accent4 2 2 3" xfId="177" xr:uid="{00000000-0005-0000-0000-000041000000}"/>
    <cellStyle name="20 % - Accent4 2 2 4" xfId="312" xr:uid="{00000000-0005-0000-0000-000042000000}"/>
    <cellStyle name="20 % - Accent4 2 3" xfId="213" xr:uid="{00000000-0005-0000-0000-000043000000}"/>
    <cellStyle name="20 % - Accent4 2 3 2" xfId="346" xr:uid="{00000000-0005-0000-0000-000044000000}"/>
    <cellStyle name="20 % - Accent4 2 4" xfId="144" xr:uid="{00000000-0005-0000-0000-000045000000}"/>
    <cellStyle name="20 % - Accent4 2 5" xfId="279" xr:uid="{00000000-0005-0000-0000-000046000000}"/>
    <cellStyle name="20 % - Accent4 3" xfId="94" xr:uid="{00000000-0005-0000-0000-000047000000}"/>
    <cellStyle name="20 % - Accent4 3 2" xfId="229" xr:uid="{00000000-0005-0000-0000-000048000000}"/>
    <cellStyle name="20 % - Accent4 3 2 2" xfId="362" xr:uid="{00000000-0005-0000-0000-000049000000}"/>
    <cellStyle name="20 % - Accent4 3 3" xfId="160" xr:uid="{00000000-0005-0000-0000-00004A000000}"/>
    <cellStyle name="20 % - Accent4 3 4" xfId="295" xr:uid="{00000000-0005-0000-0000-00004B000000}"/>
    <cellStyle name="20 % - Accent4 4" xfId="194" xr:uid="{00000000-0005-0000-0000-00004C000000}"/>
    <cellStyle name="20 % - Accent4 4 2" xfId="329" xr:uid="{00000000-0005-0000-0000-00004D000000}"/>
    <cellStyle name="20 % - Accent4 5" xfId="127" xr:uid="{00000000-0005-0000-0000-00004E000000}"/>
    <cellStyle name="20 % - Accent4 6" xfId="262" xr:uid="{00000000-0005-0000-0000-00004F000000}"/>
    <cellStyle name="20 % - Accent5" xfId="36" builtinId="46" customBuiltin="1"/>
    <cellStyle name="20 % - Accent5 2" xfId="80" xr:uid="{00000000-0005-0000-0000-000051000000}"/>
    <cellStyle name="20 % - Accent5 2 2" xfId="113" xr:uid="{00000000-0005-0000-0000-000052000000}"/>
    <cellStyle name="20 % - Accent5 2 2 2" xfId="248" xr:uid="{00000000-0005-0000-0000-000053000000}"/>
    <cellStyle name="20 % - Accent5 2 2 2 2" xfId="381" xr:uid="{00000000-0005-0000-0000-000054000000}"/>
    <cellStyle name="20 % - Accent5 2 2 3" xfId="179" xr:uid="{00000000-0005-0000-0000-000055000000}"/>
    <cellStyle name="20 % - Accent5 2 2 4" xfId="314" xr:uid="{00000000-0005-0000-0000-000056000000}"/>
    <cellStyle name="20 % - Accent5 2 3" xfId="215" xr:uid="{00000000-0005-0000-0000-000057000000}"/>
    <cellStyle name="20 % - Accent5 2 3 2" xfId="348" xr:uid="{00000000-0005-0000-0000-000058000000}"/>
    <cellStyle name="20 % - Accent5 2 4" xfId="146" xr:uid="{00000000-0005-0000-0000-000059000000}"/>
    <cellStyle name="20 % - Accent5 2 5" xfId="281" xr:uid="{00000000-0005-0000-0000-00005A000000}"/>
    <cellStyle name="20 % - Accent5 3" xfId="96" xr:uid="{00000000-0005-0000-0000-00005B000000}"/>
    <cellStyle name="20 % - Accent5 3 2" xfId="231" xr:uid="{00000000-0005-0000-0000-00005C000000}"/>
    <cellStyle name="20 % - Accent5 3 2 2" xfId="364" xr:uid="{00000000-0005-0000-0000-00005D000000}"/>
    <cellStyle name="20 % - Accent5 3 3" xfId="162" xr:uid="{00000000-0005-0000-0000-00005E000000}"/>
    <cellStyle name="20 % - Accent5 3 4" xfId="297" xr:uid="{00000000-0005-0000-0000-00005F000000}"/>
    <cellStyle name="20 % - Accent5 4" xfId="196" xr:uid="{00000000-0005-0000-0000-000060000000}"/>
    <cellStyle name="20 % - Accent5 4 2" xfId="331" xr:uid="{00000000-0005-0000-0000-000061000000}"/>
    <cellStyle name="20 % - Accent5 5" xfId="129" xr:uid="{00000000-0005-0000-0000-000062000000}"/>
    <cellStyle name="20 % - Accent5 6" xfId="264" xr:uid="{00000000-0005-0000-0000-000063000000}"/>
    <cellStyle name="20 % - Accent6" xfId="40" builtinId="50" customBuiltin="1"/>
    <cellStyle name="20 % - Accent6 2" xfId="82" xr:uid="{00000000-0005-0000-0000-000065000000}"/>
    <cellStyle name="20 % - Accent6 2 2" xfId="115" xr:uid="{00000000-0005-0000-0000-000066000000}"/>
    <cellStyle name="20 % - Accent6 2 2 2" xfId="250" xr:uid="{00000000-0005-0000-0000-000067000000}"/>
    <cellStyle name="20 % - Accent6 2 2 2 2" xfId="383" xr:uid="{00000000-0005-0000-0000-000068000000}"/>
    <cellStyle name="20 % - Accent6 2 2 3" xfId="181" xr:uid="{00000000-0005-0000-0000-000069000000}"/>
    <cellStyle name="20 % - Accent6 2 2 4" xfId="316" xr:uid="{00000000-0005-0000-0000-00006A000000}"/>
    <cellStyle name="20 % - Accent6 2 3" xfId="217" xr:uid="{00000000-0005-0000-0000-00006B000000}"/>
    <cellStyle name="20 % - Accent6 2 3 2" xfId="350" xr:uid="{00000000-0005-0000-0000-00006C000000}"/>
    <cellStyle name="20 % - Accent6 2 4" xfId="148" xr:uid="{00000000-0005-0000-0000-00006D000000}"/>
    <cellStyle name="20 % - Accent6 2 5" xfId="283" xr:uid="{00000000-0005-0000-0000-00006E000000}"/>
    <cellStyle name="20 % - Accent6 3" xfId="98" xr:uid="{00000000-0005-0000-0000-00006F000000}"/>
    <cellStyle name="20 % - Accent6 3 2" xfId="233" xr:uid="{00000000-0005-0000-0000-000070000000}"/>
    <cellStyle name="20 % - Accent6 3 2 2" xfId="366" xr:uid="{00000000-0005-0000-0000-000071000000}"/>
    <cellStyle name="20 % - Accent6 3 3" xfId="164" xr:uid="{00000000-0005-0000-0000-000072000000}"/>
    <cellStyle name="20 % - Accent6 3 4" xfId="299" xr:uid="{00000000-0005-0000-0000-000073000000}"/>
    <cellStyle name="20 % - Accent6 4" xfId="198" xr:uid="{00000000-0005-0000-0000-000074000000}"/>
    <cellStyle name="20 % - Accent6 4 2" xfId="333" xr:uid="{00000000-0005-0000-0000-000075000000}"/>
    <cellStyle name="20 % - Accent6 5" xfId="131" xr:uid="{00000000-0005-0000-0000-000076000000}"/>
    <cellStyle name="20 % - Accent6 6" xfId="266" xr:uid="{00000000-0005-0000-0000-000077000000}"/>
    <cellStyle name="40 % - Accent1" xfId="21" builtinId="31" customBuiltin="1"/>
    <cellStyle name="40 % - Accent1 2" xfId="73" xr:uid="{00000000-0005-0000-0000-000079000000}"/>
    <cellStyle name="40 % - Accent1 2 2" xfId="106" xr:uid="{00000000-0005-0000-0000-00007A000000}"/>
    <cellStyle name="40 % - Accent1 2 2 2" xfId="241" xr:uid="{00000000-0005-0000-0000-00007B000000}"/>
    <cellStyle name="40 % - Accent1 2 2 2 2" xfId="374" xr:uid="{00000000-0005-0000-0000-00007C000000}"/>
    <cellStyle name="40 % - Accent1 2 2 3" xfId="172" xr:uid="{00000000-0005-0000-0000-00007D000000}"/>
    <cellStyle name="40 % - Accent1 2 2 4" xfId="307" xr:uid="{00000000-0005-0000-0000-00007E000000}"/>
    <cellStyle name="40 % - Accent1 2 3" xfId="208" xr:uid="{00000000-0005-0000-0000-00007F000000}"/>
    <cellStyle name="40 % - Accent1 2 3 2" xfId="341" xr:uid="{00000000-0005-0000-0000-000080000000}"/>
    <cellStyle name="40 % - Accent1 2 4" xfId="139" xr:uid="{00000000-0005-0000-0000-000081000000}"/>
    <cellStyle name="40 % - Accent1 2 5" xfId="274" xr:uid="{00000000-0005-0000-0000-000082000000}"/>
    <cellStyle name="40 % - Accent1 3" xfId="89" xr:uid="{00000000-0005-0000-0000-000083000000}"/>
    <cellStyle name="40 % - Accent1 3 2" xfId="224" xr:uid="{00000000-0005-0000-0000-000084000000}"/>
    <cellStyle name="40 % - Accent1 3 2 2" xfId="357" xr:uid="{00000000-0005-0000-0000-000085000000}"/>
    <cellStyle name="40 % - Accent1 3 3" xfId="155" xr:uid="{00000000-0005-0000-0000-000086000000}"/>
    <cellStyle name="40 % - Accent1 3 4" xfId="290" xr:uid="{00000000-0005-0000-0000-000087000000}"/>
    <cellStyle name="40 % - Accent1 4" xfId="189" xr:uid="{00000000-0005-0000-0000-000088000000}"/>
    <cellStyle name="40 % - Accent1 4 2" xfId="324" xr:uid="{00000000-0005-0000-0000-000089000000}"/>
    <cellStyle name="40 % - Accent1 5" xfId="122" xr:uid="{00000000-0005-0000-0000-00008A000000}"/>
    <cellStyle name="40 % - Accent1 6" xfId="257" xr:uid="{00000000-0005-0000-0000-00008B000000}"/>
    <cellStyle name="40 % - Accent2" xfId="25" builtinId="35" customBuiltin="1"/>
    <cellStyle name="40 % - Accent2 2" xfId="75" xr:uid="{00000000-0005-0000-0000-00008D000000}"/>
    <cellStyle name="40 % - Accent2 2 2" xfId="108" xr:uid="{00000000-0005-0000-0000-00008E000000}"/>
    <cellStyle name="40 % - Accent2 2 2 2" xfId="243" xr:uid="{00000000-0005-0000-0000-00008F000000}"/>
    <cellStyle name="40 % - Accent2 2 2 2 2" xfId="376" xr:uid="{00000000-0005-0000-0000-000090000000}"/>
    <cellStyle name="40 % - Accent2 2 2 3" xfId="174" xr:uid="{00000000-0005-0000-0000-000091000000}"/>
    <cellStyle name="40 % - Accent2 2 2 4" xfId="309" xr:uid="{00000000-0005-0000-0000-000092000000}"/>
    <cellStyle name="40 % - Accent2 2 3" xfId="210" xr:uid="{00000000-0005-0000-0000-000093000000}"/>
    <cellStyle name="40 % - Accent2 2 3 2" xfId="343" xr:uid="{00000000-0005-0000-0000-000094000000}"/>
    <cellStyle name="40 % - Accent2 2 4" xfId="141" xr:uid="{00000000-0005-0000-0000-000095000000}"/>
    <cellStyle name="40 % - Accent2 2 5" xfId="276" xr:uid="{00000000-0005-0000-0000-000096000000}"/>
    <cellStyle name="40 % - Accent2 3" xfId="91" xr:uid="{00000000-0005-0000-0000-000097000000}"/>
    <cellStyle name="40 % - Accent2 3 2" xfId="226" xr:uid="{00000000-0005-0000-0000-000098000000}"/>
    <cellStyle name="40 % - Accent2 3 2 2" xfId="359" xr:uid="{00000000-0005-0000-0000-000099000000}"/>
    <cellStyle name="40 % - Accent2 3 3" xfId="157" xr:uid="{00000000-0005-0000-0000-00009A000000}"/>
    <cellStyle name="40 % - Accent2 3 4" xfId="292" xr:uid="{00000000-0005-0000-0000-00009B000000}"/>
    <cellStyle name="40 % - Accent2 4" xfId="191" xr:uid="{00000000-0005-0000-0000-00009C000000}"/>
    <cellStyle name="40 % - Accent2 4 2" xfId="326" xr:uid="{00000000-0005-0000-0000-00009D000000}"/>
    <cellStyle name="40 % - Accent2 5" xfId="124" xr:uid="{00000000-0005-0000-0000-00009E000000}"/>
    <cellStyle name="40 % - Accent2 6" xfId="259" xr:uid="{00000000-0005-0000-0000-00009F000000}"/>
    <cellStyle name="40 % - Accent3" xfId="29" builtinId="39" customBuiltin="1"/>
    <cellStyle name="40 % - Accent3 2" xfId="77" xr:uid="{00000000-0005-0000-0000-0000A1000000}"/>
    <cellStyle name="40 % - Accent3 2 2" xfId="110" xr:uid="{00000000-0005-0000-0000-0000A2000000}"/>
    <cellStyle name="40 % - Accent3 2 2 2" xfId="245" xr:uid="{00000000-0005-0000-0000-0000A3000000}"/>
    <cellStyle name="40 % - Accent3 2 2 2 2" xfId="378" xr:uid="{00000000-0005-0000-0000-0000A4000000}"/>
    <cellStyle name="40 % - Accent3 2 2 3" xfId="176" xr:uid="{00000000-0005-0000-0000-0000A5000000}"/>
    <cellStyle name="40 % - Accent3 2 2 4" xfId="311" xr:uid="{00000000-0005-0000-0000-0000A6000000}"/>
    <cellStyle name="40 % - Accent3 2 3" xfId="212" xr:uid="{00000000-0005-0000-0000-0000A7000000}"/>
    <cellStyle name="40 % - Accent3 2 3 2" xfId="345" xr:uid="{00000000-0005-0000-0000-0000A8000000}"/>
    <cellStyle name="40 % - Accent3 2 4" xfId="143" xr:uid="{00000000-0005-0000-0000-0000A9000000}"/>
    <cellStyle name="40 % - Accent3 2 5" xfId="278" xr:uid="{00000000-0005-0000-0000-0000AA000000}"/>
    <cellStyle name="40 % - Accent3 3" xfId="93" xr:uid="{00000000-0005-0000-0000-0000AB000000}"/>
    <cellStyle name="40 % - Accent3 3 2" xfId="228" xr:uid="{00000000-0005-0000-0000-0000AC000000}"/>
    <cellStyle name="40 % - Accent3 3 2 2" xfId="361" xr:uid="{00000000-0005-0000-0000-0000AD000000}"/>
    <cellStyle name="40 % - Accent3 3 3" xfId="159" xr:uid="{00000000-0005-0000-0000-0000AE000000}"/>
    <cellStyle name="40 % - Accent3 3 4" xfId="294" xr:uid="{00000000-0005-0000-0000-0000AF000000}"/>
    <cellStyle name="40 % - Accent3 4" xfId="193" xr:uid="{00000000-0005-0000-0000-0000B0000000}"/>
    <cellStyle name="40 % - Accent3 4 2" xfId="328" xr:uid="{00000000-0005-0000-0000-0000B1000000}"/>
    <cellStyle name="40 % - Accent3 5" xfId="126" xr:uid="{00000000-0005-0000-0000-0000B2000000}"/>
    <cellStyle name="40 % - Accent3 6" xfId="261" xr:uid="{00000000-0005-0000-0000-0000B3000000}"/>
    <cellStyle name="40 % - Accent4" xfId="33" builtinId="43" customBuiltin="1"/>
    <cellStyle name="40 % - Accent4 2" xfId="79" xr:uid="{00000000-0005-0000-0000-0000B5000000}"/>
    <cellStyle name="40 % - Accent4 2 2" xfId="112" xr:uid="{00000000-0005-0000-0000-0000B6000000}"/>
    <cellStyle name="40 % - Accent4 2 2 2" xfId="247" xr:uid="{00000000-0005-0000-0000-0000B7000000}"/>
    <cellStyle name="40 % - Accent4 2 2 2 2" xfId="380" xr:uid="{00000000-0005-0000-0000-0000B8000000}"/>
    <cellStyle name="40 % - Accent4 2 2 3" xfId="178" xr:uid="{00000000-0005-0000-0000-0000B9000000}"/>
    <cellStyle name="40 % - Accent4 2 2 4" xfId="313" xr:uid="{00000000-0005-0000-0000-0000BA000000}"/>
    <cellStyle name="40 % - Accent4 2 3" xfId="214" xr:uid="{00000000-0005-0000-0000-0000BB000000}"/>
    <cellStyle name="40 % - Accent4 2 3 2" xfId="347" xr:uid="{00000000-0005-0000-0000-0000BC000000}"/>
    <cellStyle name="40 % - Accent4 2 4" xfId="145" xr:uid="{00000000-0005-0000-0000-0000BD000000}"/>
    <cellStyle name="40 % - Accent4 2 5" xfId="280" xr:uid="{00000000-0005-0000-0000-0000BE000000}"/>
    <cellStyle name="40 % - Accent4 3" xfId="95" xr:uid="{00000000-0005-0000-0000-0000BF000000}"/>
    <cellStyle name="40 % - Accent4 3 2" xfId="230" xr:uid="{00000000-0005-0000-0000-0000C0000000}"/>
    <cellStyle name="40 % - Accent4 3 2 2" xfId="363" xr:uid="{00000000-0005-0000-0000-0000C1000000}"/>
    <cellStyle name="40 % - Accent4 3 3" xfId="161" xr:uid="{00000000-0005-0000-0000-0000C2000000}"/>
    <cellStyle name="40 % - Accent4 3 4" xfId="296" xr:uid="{00000000-0005-0000-0000-0000C3000000}"/>
    <cellStyle name="40 % - Accent4 4" xfId="195" xr:uid="{00000000-0005-0000-0000-0000C4000000}"/>
    <cellStyle name="40 % - Accent4 4 2" xfId="330" xr:uid="{00000000-0005-0000-0000-0000C5000000}"/>
    <cellStyle name="40 % - Accent4 5" xfId="128" xr:uid="{00000000-0005-0000-0000-0000C6000000}"/>
    <cellStyle name="40 % - Accent4 6" xfId="263" xr:uid="{00000000-0005-0000-0000-0000C7000000}"/>
    <cellStyle name="40 % - Accent5" xfId="37" builtinId="47" customBuiltin="1"/>
    <cellStyle name="40 % - Accent5 2" xfId="81" xr:uid="{00000000-0005-0000-0000-0000C9000000}"/>
    <cellStyle name="40 % - Accent5 2 2" xfId="114" xr:uid="{00000000-0005-0000-0000-0000CA000000}"/>
    <cellStyle name="40 % - Accent5 2 2 2" xfId="249" xr:uid="{00000000-0005-0000-0000-0000CB000000}"/>
    <cellStyle name="40 % - Accent5 2 2 2 2" xfId="382" xr:uid="{00000000-0005-0000-0000-0000CC000000}"/>
    <cellStyle name="40 % - Accent5 2 2 3" xfId="180" xr:uid="{00000000-0005-0000-0000-0000CD000000}"/>
    <cellStyle name="40 % - Accent5 2 2 4" xfId="315" xr:uid="{00000000-0005-0000-0000-0000CE000000}"/>
    <cellStyle name="40 % - Accent5 2 3" xfId="216" xr:uid="{00000000-0005-0000-0000-0000CF000000}"/>
    <cellStyle name="40 % - Accent5 2 3 2" xfId="349" xr:uid="{00000000-0005-0000-0000-0000D0000000}"/>
    <cellStyle name="40 % - Accent5 2 4" xfId="147" xr:uid="{00000000-0005-0000-0000-0000D1000000}"/>
    <cellStyle name="40 % - Accent5 2 5" xfId="282" xr:uid="{00000000-0005-0000-0000-0000D2000000}"/>
    <cellStyle name="40 % - Accent5 3" xfId="97" xr:uid="{00000000-0005-0000-0000-0000D3000000}"/>
    <cellStyle name="40 % - Accent5 3 2" xfId="232" xr:uid="{00000000-0005-0000-0000-0000D4000000}"/>
    <cellStyle name="40 % - Accent5 3 2 2" xfId="365" xr:uid="{00000000-0005-0000-0000-0000D5000000}"/>
    <cellStyle name="40 % - Accent5 3 3" xfId="163" xr:uid="{00000000-0005-0000-0000-0000D6000000}"/>
    <cellStyle name="40 % - Accent5 3 4" xfId="298" xr:uid="{00000000-0005-0000-0000-0000D7000000}"/>
    <cellStyle name="40 % - Accent5 4" xfId="197" xr:uid="{00000000-0005-0000-0000-0000D8000000}"/>
    <cellStyle name="40 % - Accent5 4 2" xfId="332" xr:uid="{00000000-0005-0000-0000-0000D9000000}"/>
    <cellStyle name="40 % - Accent5 5" xfId="130" xr:uid="{00000000-0005-0000-0000-0000DA000000}"/>
    <cellStyle name="40 % - Accent5 6" xfId="265" xr:uid="{00000000-0005-0000-0000-0000DB000000}"/>
    <cellStyle name="40 % - Accent6" xfId="41" builtinId="51" customBuiltin="1"/>
    <cellStyle name="40 % - Accent6 2" xfId="83" xr:uid="{00000000-0005-0000-0000-0000DD000000}"/>
    <cellStyle name="40 % - Accent6 2 2" xfId="116" xr:uid="{00000000-0005-0000-0000-0000DE000000}"/>
    <cellStyle name="40 % - Accent6 2 2 2" xfId="251" xr:uid="{00000000-0005-0000-0000-0000DF000000}"/>
    <cellStyle name="40 % - Accent6 2 2 2 2" xfId="384" xr:uid="{00000000-0005-0000-0000-0000E0000000}"/>
    <cellStyle name="40 % - Accent6 2 2 3" xfId="182" xr:uid="{00000000-0005-0000-0000-0000E1000000}"/>
    <cellStyle name="40 % - Accent6 2 2 4" xfId="317" xr:uid="{00000000-0005-0000-0000-0000E2000000}"/>
    <cellStyle name="40 % - Accent6 2 3" xfId="218" xr:uid="{00000000-0005-0000-0000-0000E3000000}"/>
    <cellStyle name="40 % - Accent6 2 3 2" xfId="351" xr:uid="{00000000-0005-0000-0000-0000E4000000}"/>
    <cellStyle name="40 % - Accent6 2 4" xfId="149" xr:uid="{00000000-0005-0000-0000-0000E5000000}"/>
    <cellStyle name="40 % - Accent6 2 5" xfId="284" xr:uid="{00000000-0005-0000-0000-0000E6000000}"/>
    <cellStyle name="40 % - Accent6 3" xfId="99" xr:uid="{00000000-0005-0000-0000-0000E7000000}"/>
    <cellStyle name="40 % - Accent6 3 2" xfId="234" xr:uid="{00000000-0005-0000-0000-0000E8000000}"/>
    <cellStyle name="40 % - Accent6 3 2 2" xfId="367" xr:uid="{00000000-0005-0000-0000-0000E9000000}"/>
    <cellStyle name="40 % - Accent6 3 3" xfId="165" xr:uid="{00000000-0005-0000-0000-0000EA000000}"/>
    <cellStyle name="40 % - Accent6 3 4" xfId="300" xr:uid="{00000000-0005-0000-0000-0000EB000000}"/>
    <cellStyle name="40 % - Accent6 4" xfId="199" xr:uid="{00000000-0005-0000-0000-0000EC000000}"/>
    <cellStyle name="40 % - Accent6 4 2" xfId="334" xr:uid="{00000000-0005-0000-0000-0000ED000000}"/>
    <cellStyle name="40 % - Accent6 5" xfId="132" xr:uid="{00000000-0005-0000-0000-0000EE000000}"/>
    <cellStyle name="40 % - Accent6 6" xfId="267" xr:uid="{00000000-0005-0000-0000-0000EF000000}"/>
    <cellStyle name="60 % - Accent1" xfId="22" builtinId="32" customBuiltin="1"/>
    <cellStyle name="60 % - Accent1 2" xfId="397" xr:uid="{0DF9E1F0-9EAA-4445-8409-07509BCF224F}"/>
    <cellStyle name="60 % - Accent2" xfId="26" builtinId="36" customBuiltin="1"/>
    <cellStyle name="60 % - Accent2 2" xfId="398" xr:uid="{2CA891A5-D0D4-4126-98E5-469C90BD5BFD}"/>
    <cellStyle name="60 % - Accent3" xfId="30" builtinId="40" customBuiltin="1"/>
    <cellStyle name="60 % - Accent3 2" xfId="399" xr:uid="{D9BC5F3E-3274-4E3F-BF72-194135569FC9}"/>
    <cellStyle name="60 % - Accent4" xfId="34" builtinId="44" customBuiltin="1"/>
    <cellStyle name="60 % - Accent4 2" xfId="400" xr:uid="{9E5A7DAC-3ACD-4F07-AE6A-9C4315AEA45E}"/>
    <cellStyle name="60 % - Accent5" xfId="38" builtinId="48" customBuiltin="1"/>
    <cellStyle name="60 % - Accent5 2" xfId="401" xr:uid="{9B021365-7ADF-4C0E-9542-D112D4D6EE5B}"/>
    <cellStyle name="60 % - Accent6" xfId="42" builtinId="52" customBuiltin="1"/>
    <cellStyle name="60 % - Accent6 2" xfId="402" xr:uid="{1D60DD7D-FCD9-40B9-BB20-D34283098A15}"/>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6" builtinId="11" customBuiltin="1"/>
    <cellStyle name="Calcul" xfId="13" builtinId="22" customBuiltin="1"/>
    <cellStyle name="Cellule liée" xfId="14" builtinId="24" customBuiltin="1"/>
    <cellStyle name="Commentaire 2" xfId="64" xr:uid="{00000000-0005-0000-0000-0000FF000000}"/>
    <cellStyle name="Commentaire 2 2" xfId="85" xr:uid="{00000000-0005-0000-0000-000000010000}"/>
    <cellStyle name="Commentaire 2 2 2" xfId="118" xr:uid="{00000000-0005-0000-0000-000001010000}"/>
    <cellStyle name="Commentaire 2 2 2 2" xfId="253" xr:uid="{00000000-0005-0000-0000-000002010000}"/>
    <cellStyle name="Commentaire 2 2 2 2 2" xfId="386" xr:uid="{00000000-0005-0000-0000-000003010000}"/>
    <cellStyle name="Commentaire 2 2 2 3" xfId="184" xr:uid="{00000000-0005-0000-0000-000004010000}"/>
    <cellStyle name="Commentaire 2 2 2 4" xfId="319" xr:uid="{00000000-0005-0000-0000-000005010000}"/>
    <cellStyle name="Commentaire 2 2 3" xfId="220" xr:uid="{00000000-0005-0000-0000-000006010000}"/>
    <cellStyle name="Commentaire 2 2 3 2" xfId="353" xr:uid="{00000000-0005-0000-0000-000007010000}"/>
    <cellStyle name="Commentaire 2 2 4" xfId="151" xr:uid="{00000000-0005-0000-0000-000008010000}"/>
    <cellStyle name="Commentaire 2 2 5" xfId="286" xr:uid="{00000000-0005-0000-0000-000009010000}"/>
    <cellStyle name="Commentaire 2 3" xfId="101" xr:uid="{00000000-0005-0000-0000-00000A010000}"/>
    <cellStyle name="Commentaire 2 3 2" xfId="236" xr:uid="{00000000-0005-0000-0000-00000B010000}"/>
    <cellStyle name="Commentaire 2 3 2 2" xfId="369" xr:uid="{00000000-0005-0000-0000-00000C010000}"/>
    <cellStyle name="Commentaire 2 3 3" xfId="167" xr:uid="{00000000-0005-0000-0000-00000D010000}"/>
    <cellStyle name="Commentaire 2 3 4" xfId="302" xr:uid="{00000000-0005-0000-0000-00000E010000}"/>
    <cellStyle name="Commentaire 2 4" xfId="203" xr:uid="{00000000-0005-0000-0000-00000F010000}"/>
    <cellStyle name="Commentaire 2 4 2" xfId="336" xr:uid="{00000000-0005-0000-0000-000010010000}"/>
    <cellStyle name="Commentaire 2 5" xfId="134" xr:uid="{00000000-0005-0000-0000-000011010000}"/>
    <cellStyle name="Commentaire 2 6" xfId="269" xr:uid="{00000000-0005-0000-0000-000012010000}"/>
    <cellStyle name="Commentaire 3" xfId="65" xr:uid="{00000000-0005-0000-0000-000013010000}"/>
    <cellStyle name="Commentaire 3 2" xfId="86" xr:uid="{00000000-0005-0000-0000-000014010000}"/>
    <cellStyle name="Commentaire 3 2 2" xfId="119" xr:uid="{00000000-0005-0000-0000-000015010000}"/>
    <cellStyle name="Commentaire 3 2 2 2" xfId="254" xr:uid="{00000000-0005-0000-0000-000016010000}"/>
    <cellStyle name="Commentaire 3 2 2 2 2" xfId="387" xr:uid="{00000000-0005-0000-0000-000017010000}"/>
    <cellStyle name="Commentaire 3 2 2 3" xfId="185" xr:uid="{00000000-0005-0000-0000-000018010000}"/>
    <cellStyle name="Commentaire 3 2 2 4" xfId="320" xr:uid="{00000000-0005-0000-0000-000019010000}"/>
    <cellStyle name="Commentaire 3 2 3" xfId="221" xr:uid="{00000000-0005-0000-0000-00001A010000}"/>
    <cellStyle name="Commentaire 3 2 3 2" xfId="354" xr:uid="{00000000-0005-0000-0000-00001B010000}"/>
    <cellStyle name="Commentaire 3 2 4" xfId="152" xr:uid="{00000000-0005-0000-0000-00001C010000}"/>
    <cellStyle name="Commentaire 3 2 5" xfId="287" xr:uid="{00000000-0005-0000-0000-00001D010000}"/>
    <cellStyle name="Commentaire 3 3" xfId="102" xr:uid="{00000000-0005-0000-0000-00001E010000}"/>
    <cellStyle name="Commentaire 3 3 2" xfId="237" xr:uid="{00000000-0005-0000-0000-00001F010000}"/>
    <cellStyle name="Commentaire 3 3 2 2" xfId="370" xr:uid="{00000000-0005-0000-0000-000020010000}"/>
    <cellStyle name="Commentaire 3 3 3" xfId="168" xr:uid="{00000000-0005-0000-0000-000021010000}"/>
    <cellStyle name="Commentaire 3 3 4" xfId="303" xr:uid="{00000000-0005-0000-0000-000022010000}"/>
    <cellStyle name="Commentaire 3 4" xfId="204" xr:uid="{00000000-0005-0000-0000-000023010000}"/>
    <cellStyle name="Commentaire 3 4 2" xfId="337" xr:uid="{00000000-0005-0000-0000-000024010000}"/>
    <cellStyle name="Commentaire 3 5" xfId="135" xr:uid="{00000000-0005-0000-0000-000025010000}"/>
    <cellStyle name="Commentaire 3 6" xfId="270" xr:uid="{00000000-0005-0000-0000-000026010000}"/>
    <cellStyle name="Entrée" xfId="11" builtinId="20" customBuiltin="1"/>
    <cellStyle name="Euro" xfId="69" xr:uid="{00000000-0005-0000-0000-000028010000}"/>
    <cellStyle name="Euro 2" xfId="407" xr:uid="{D7823231-A1A2-4418-9B36-E4E6CFE32B67}"/>
    <cellStyle name="Euro 3" xfId="403" xr:uid="{004CE9B6-5292-4877-8FAB-049B1AF92BCC}"/>
    <cellStyle name="Insatisfaisant" xfId="9" builtinId="27" customBuiltin="1"/>
    <cellStyle name="Lien hypertexte" xfId="1" builtinId="8"/>
    <cellStyle name="Lien hypertexte 2" xfId="201" xr:uid="{00000000-0005-0000-0000-00002B010000}"/>
    <cellStyle name="Lien hypertexte 3" xfId="44" xr:uid="{00000000-0005-0000-0000-00002C010000}"/>
    <cellStyle name="Milliers" xfId="408" builtinId="3"/>
    <cellStyle name="Milliers 2" xfId="394" xr:uid="{44DB2104-5F16-420A-BA8D-9DBD803C955E}"/>
    <cellStyle name="Milliers 2 2" xfId="406" xr:uid="{E7A63238-10F8-4B49-A06E-636486AA1855}"/>
    <cellStyle name="Monétaire 2" xfId="45" xr:uid="{00000000-0005-0000-0000-00002E010000}"/>
    <cellStyle name="Neutre" xfId="10" builtinId="28" customBuiltin="1"/>
    <cellStyle name="Neutre 2" xfId="396" xr:uid="{2B10C75A-048C-4554-B91F-5159D843FC27}"/>
    <cellStyle name="Normal" xfId="0" builtinId="0"/>
    <cellStyle name="Normal 10" xfId="46" xr:uid="{00000000-0005-0000-0000-000031010000}"/>
    <cellStyle name="Normal 11" xfId="47" xr:uid="{00000000-0005-0000-0000-000032010000}"/>
    <cellStyle name="Normal 12" xfId="48" xr:uid="{00000000-0005-0000-0000-000033010000}"/>
    <cellStyle name="Normal 13" xfId="49" xr:uid="{00000000-0005-0000-0000-000034010000}"/>
    <cellStyle name="Normal 14" xfId="43" xr:uid="{00000000-0005-0000-0000-000035010000}"/>
    <cellStyle name="Normal 15" xfId="50" xr:uid="{00000000-0005-0000-0000-000036010000}"/>
    <cellStyle name="Normal 16" xfId="51" xr:uid="{00000000-0005-0000-0000-000037010000}"/>
    <cellStyle name="Normal 17" xfId="52" xr:uid="{00000000-0005-0000-0000-000038010000}"/>
    <cellStyle name="Normal 18" xfId="53" xr:uid="{00000000-0005-0000-0000-000039010000}"/>
    <cellStyle name="Normal 19" xfId="54" xr:uid="{00000000-0005-0000-0000-00003A010000}"/>
    <cellStyle name="Normal 2" xfId="68" xr:uid="{00000000-0005-0000-0000-00003B010000}"/>
    <cellStyle name="Normal 2 2" xfId="66" xr:uid="{00000000-0005-0000-0000-00003C010000}"/>
    <cellStyle name="Normal 2 3" xfId="67" xr:uid="{00000000-0005-0000-0000-00003D010000}"/>
    <cellStyle name="Normal 2 4" xfId="87" xr:uid="{00000000-0005-0000-0000-00003E010000}"/>
    <cellStyle name="Normal 2 4 2" xfId="120" xr:uid="{00000000-0005-0000-0000-00003F010000}"/>
    <cellStyle name="Normal 2 4 2 2" xfId="255" xr:uid="{00000000-0005-0000-0000-000040010000}"/>
    <cellStyle name="Normal 2 4 2 2 2" xfId="388" xr:uid="{00000000-0005-0000-0000-000041010000}"/>
    <cellStyle name="Normal 2 4 2 3" xfId="186" xr:uid="{00000000-0005-0000-0000-000042010000}"/>
    <cellStyle name="Normal 2 4 2 4" xfId="321" xr:uid="{00000000-0005-0000-0000-000043010000}"/>
    <cellStyle name="Normal 2 4 3" xfId="222" xr:uid="{00000000-0005-0000-0000-000044010000}"/>
    <cellStyle name="Normal 2 4 3 2" xfId="355" xr:uid="{00000000-0005-0000-0000-000045010000}"/>
    <cellStyle name="Normal 2 4 4" xfId="153" xr:uid="{00000000-0005-0000-0000-000046010000}"/>
    <cellStyle name="Normal 2 4 5" xfId="288" xr:uid="{00000000-0005-0000-0000-000047010000}"/>
    <cellStyle name="Normal 2 5" xfId="71" xr:uid="{00000000-0005-0000-0000-000048010000}"/>
    <cellStyle name="Normal 2 5 2" xfId="104" xr:uid="{00000000-0005-0000-0000-000049010000}"/>
    <cellStyle name="Normal 2 5 2 2" xfId="239" xr:uid="{00000000-0005-0000-0000-00004A010000}"/>
    <cellStyle name="Normal 2 5 2 2 2" xfId="372" xr:uid="{00000000-0005-0000-0000-00004B010000}"/>
    <cellStyle name="Normal 2 5 2 3" xfId="170" xr:uid="{00000000-0005-0000-0000-00004C010000}"/>
    <cellStyle name="Normal 2 5 2 4" xfId="305" xr:uid="{00000000-0005-0000-0000-00004D010000}"/>
    <cellStyle name="Normal 2 5 3" xfId="206" xr:uid="{00000000-0005-0000-0000-00004E010000}"/>
    <cellStyle name="Normal 2 5 3 2" xfId="339" xr:uid="{00000000-0005-0000-0000-00004F010000}"/>
    <cellStyle name="Normal 2 5 4" xfId="137" xr:uid="{00000000-0005-0000-0000-000050010000}"/>
    <cellStyle name="Normal 2 5 5" xfId="272" xr:uid="{00000000-0005-0000-0000-000051010000}"/>
    <cellStyle name="Normal 2 6" xfId="103" xr:uid="{00000000-0005-0000-0000-000052010000}"/>
    <cellStyle name="Normal 2 6 2" xfId="238" xr:uid="{00000000-0005-0000-0000-000053010000}"/>
    <cellStyle name="Normal 2 6 2 2" xfId="371" xr:uid="{00000000-0005-0000-0000-000054010000}"/>
    <cellStyle name="Normal 2 6 3" xfId="169" xr:uid="{00000000-0005-0000-0000-000055010000}"/>
    <cellStyle name="Normal 2 6 4" xfId="304" xr:uid="{00000000-0005-0000-0000-000056010000}"/>
    <cellStyle name="Normal 2 7" xfId="205" xr:uid="{00000000-0005-0000-0000-000057010000}"/>
    <cellStyle name="Normal 2 7 2" xfId="338" xr:uid="{00000000-0005-0000-0000-000058010000}"/>
    <cellStyle name="Normal 2 8" xfId="136" xr:uid="{00000000-0005-0000-0000-000059010000}"/>
    <cellStyle name="Normal 2 9" xfId="271" xr:uid="{00000000-0005-0000-0000-00005A010000}"/>
    <cellStyle name="Normal 20" xfId="55" xr:uid="{00000000-0005-0000-0000-00005B010000}"/>
    <cellStyle name="Normal 21" xfId="390" xr:uid="{00000000-0005-0000-0000-00005C010000}"/>
    <cellStyle name="Normal 21 2" xfId="393" xr:uid="{1FA1CA85-F191-445A-AF79-8AD87D77C758}"/>
    <cellStyle name="Normal 22" xfId="391" xr:uid="{00000000-0005-0000-0000-00005D010000}"/>
    <cellStyle name="Normal 22 2" xfId="404" xr:uid="{66B852E6-2EBF-45D0-BEA1-E7A2E9FFF7CE}"/>
    <cellStyle name="Normal 23" xfId="392" xr:uid="{00000000-0005-0000-0000-00005E010000}"/>
    <cellStyle name="Normal 23 2" xfId="405" xr:uid="{0CA89504-1F08-4005-B38A-0BAC7E8B9774}"/>
    <cellStyle name="Normal 3" xfId="56" xr:uid="{00000000-0005-0000-0000-00005F010000}"/>
    <cellStyle name="Normal 3 2" xfId="84" xr:uid="{00000000-0005-0000-0000-000060010000}"/>
    <cellStyle name="Normal 3 2 2" xfId="117" xr:uid="{00000000-0005-0000-0000-000061010000}"/>
    <cellStyle name="Normal 3 2 2 2" xfId="252" xr:uid="{00000000-0005-0000-0000-000062010000}"/>
    <cellStyle name="Normal 3 2 2 2 2" xfId="385" xr:uid="{00000000-0005-0000-0000-000063010000}"/>
    <cellStyle name="Normal 3 2 2 3" xfId="183" xr:uid="{00000000-0005-0000-0000-000064010000}"/>
    <cellStyle name="Normal 3 2 2 4" xfId="318" xr:uid="{00000000-0005-0000-0000-000065010000}"/>
    <cellStyle name="Normal 3 2 3" xfId="219" xr:uid="{00000000-0005-0000-0000-000066010000}"/>
    <cellStyle name="Normal 3 2 3 2" xfId="352" xr:uid="{00000000-0005-0000-0000-000067010000}"/>
    <cellStyle name="Normal 3 2 4" xfId="150" xr:uid="{00000000-0005-0000-0000-000068010000}"/>
    <cellStyle name="Normal 3 2 5" xfId="285" xr:uid="{00000000-0005-0000-0000-000069010000}"/>
    <cellStyle name="Normal 3 3" xfId="70" xr:uid="{00000000-0005-0000-0000-00006A010000}"/>
    <cellStyle name="Normal 3 4" xfId="100" xr:uid="{00000000-0005-0000-0000-00006B010000}"/>
    <cellStyle name="Normal 3 4 2" xfId="235" xr:uid="{00000000-0005-0000-0000-00006C010000}"/>
    <cellStyle name="Normal 3 4 2 2" xfId="368" xr:uid="{00000000-0005-0000-0000-00006D010000}"/>
    <cellStyle name="Normal 3 4 3" xfId="166" xr:uid="{00000000-0005-0000-0000-00006E010000}"/>
    <cellStyle name="Normal 3 4 4" xfId="301" xr:uid="{00000000-0005-0000-0000-00006F010000}"/>
    <cellStyle name="Normal 3 5" xfId="63" xr:uid="{00000000-0005-0000-0000-000070010000}"/>
    <cellStyle name="Normal 3 5 2" xfId="202" xr:uid="{00000000-0005-0000-0000-000071010000}"/>
    <cellStyle name="Normal 3 5 3" xfId="335" xr:uid="{00000000-0005-0000-0000-000072010000}"/>
    <cellStyle name="Normal 3 6" xfId="133" xr:uid="{00000000-0005-0000-0000-000073010000}"/>
    <cellStyle name="Normal 3 7" xfId="268" xr:uid="{00000000-0005-0000-0000-000074010000}"/>
    <cellStyle name="Normal 4" xfId="2" xr:uid="{00000000-0005-0000-0000-000075010000}"/>
    <cellStyle name="Normal 4 2" xfId="187" xr:uid="{00000000-0005-0000-0000-000076010000}"/>
    <cellStyle name="Normal 4 3" xfId="322" xr:uid="{00000000-0005-0000-0000-000077010000}"/>
    <cellStyle name="Normal 4 4" xfId="57" xr:uid="{00000000-0005-0000-0000-000078010000}"/>
    <cellStyle name="Normal 5" xfId="58" xr:uid="{00000000-0005-0000-0000-000079010000}"/>
    <cellStyle name="Normal 5 2" xfId="200" xr:uid="{00000000-0005-0000-0000-00007A010000}"/>
    <cellStyle name="Normal 6" xfId="59" xr:uid="{00000000-0005-0000-0000-00007B010000}"/>
    <cellStyle name="Normal 6 2" xfId="389" xr:uid="{00000000-0005-0000-0000-00007C010000}"/>
    <cellStyle name="Normal 7" xfId="60" xr:uid="{00000000-0005-0000-0000-00007D010000}"/>
    <cellStyle name="Normal 8" xfId="61" xr:uid="{00000000-0005-0000-0000-00007E010000}"/>
    <cellStyle name="Normal 9" xfId="62" xr:uid="{00000000-0005-0000-0000-00007F010000}"/>
    <cellStyle name="Satisfaisant" xfId="8" builtinId="26" customBuiltin="1"/>
    <cellStyle name="Sortie" xfId="12" builtinId="21" customBuiltin="1"/>
    <cellStyle name="Texte explicatif" xfId="17" builtinId="53" customBuiltin="1"/>
    <cellStyle name="Titre" xfId="3" builtinId="15" customBuiltin="1"/>
    <cellStyle name="Titre 2" xfId="395" xr:uid="{9A6660A0-1758-4029-8072-B47FF19B4B42}"/>
    <cellStyle name="Titre 1" xfId="4" builtinId="16" customBuiltin="1"/>
    <cellStyle name="Titre 2" xfId="5" builtinId="17" customBuiltin="1"/>
    <cellStyle name="Titre 3" xfId="6" builtinId="18" customBuiltin="1"/>
    <cellStyle name="Titre 4" xfId="7" builtinId="19" customBuiltin="1"/>
    <cellStyle name="Total" xfId="18" builtinId="25" customBuiltin="1"/>
    <cellStyle name="Vérification" xfId="15" builtinId="23" customBuiltin="1"/>
  </cellStyles>
  <dxfs count="32">
    <dxf>
      <font>
        <color theme="9" tint="-0.499984740745262"/>
      </font>
      <fill>
        <patternFill>
          <bgColor theme="5" tint="0.59996337778862885"/>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0000"/>
        </patternFill>
      </fill>
    </dxf>
    <dxf>
      <font>
        <color rgb="FF9C0006"/>
      </font>
      <fill>
        <patternFill>
          <bgColor rgb="FFFFC7CE"/>
        </patternFill>
      </fill>
    </dxf>
    <dxf>
      <font>
        <color auto="1"/>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5" tint="0.59996337778862885"/>
        </patternFill>
      </fill>
    </dxf>
    <dxf>
      <font>
        <color auto="1"/>
      </font>
      <fill>
        <patternFill>
          <bgColor rgb="FF92D050"/>
        </patternFill>
      </fill>
    </dxf>
    <dxf>
      <font>
        <color theme="9" tint="-0.499984740745262"/>
      </font>
      <fill>
        <patternFill>
          <bgColor theme="5" tint="0.59996337778862885"/>
        </patternFill>
      </fill>
    </dxf>
    <dxf>
      <font>
        <color auto="1"/>
      </font>
      <fill>
        <patternFill>
          <bgColor rgb="FF92D050"/>
        </patternFill>
      </fill>
    </dxf>
  </dxfs>
  <tableStyles count="0" defaultTableStyle="TableStyleMedium2" defaultPivotStyle="PivotStyleLight16"/>
  <colors>
    <mruColors>
      <color rgb="FF00FF00"/>
      <color rgb="FFE9F579"/>
      <color rgb="FFFF66CC"/>
      <color rgb="FFFFE599"/>
      <color rgb="FFC60A83"/>
      <color rgb="FFFF99FF"/>
      <color rgb="FFFFCCFF"/>
      <color rgb="FF99FF66"/>
      <color rgb="FFFF66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Z_Outil%20collaboratif%20Grand%20Compte\Image%20Vehicule\SEMI-REMORQUE\SEMCI02%20-%20DOUBLE%20PLANCHER%20-%20HAYON%20-%20EPISAVEURS.jpg" TargetMode="External"/><Relationship Id="rId21" Type="http://schemas.openxmlformats.org/officeDocument/2006/relationships/hyperlink" Target="file:///\\petitforestier.fr\siege\Applications\BaseProduits\Datas\Publipostage\Images\PUBLICATION%20-%20EURO%206\PLAN%20VEHICULES\RENAULT_TRAFIC_TCCF01.jpg" TargetMode="External"/><Relationship Id="rId42" Type="http://schemas.openxmlformats.org/officeDocument/2006/relationships/hyperlink" Target="file:///\\petitforestier.fr\siege\Applications\BaseProduits\Datas\Publipostage\Images\PUBLICATION%20-%20EURO%206\PLAN%20VEHICULES\RENAULT_D12.210PCF02_TKT1000-Spec.jpg" TargetMode="External"/><Relationship Id="rId63" Type="http://schemas.openxmlformats.org/officeDocument/2006/relationships/hyperlink" Target="file:///\\petitforestier.fr\siege\Applications\BaseProduits\Datas\Publipostage\Images\PUBLICATION%20-%20SEC%20-%20HYGIENE%20-%20EURO%206\PLAN%20VEHICULES\PLANS%202014\FIAT-RENAULT\RENAULT_MASTER_MRCS-01.jpg" TargetMode="External"/><Relationship Id="rId84" Type="http://schemas.openxmlformats.org/officeDocument/2006/relationships/hyperlink" Target="file:///\\petitforestier.fr\siege\Applications\BaseProduits\Datas\Publipostage\Images\PUBLICATION%20-%20SEC%20-%20HYGIENE%20-%20EURO%206\PLAN%20VEHICULES\PLANS%202014\IVECO\120E_CB.jpg" TargetMode="External"/><Relationship Id="rId138" Type="http://schemas.openxmlformats.org/officeDocument/2006/relationships/hyperlink" Target="Z_Outil%20collaboratif%20Grand%20Compte\Image%20Client\TERRE%20AZUR.jpg" TargetMode="External"/><Relationship Id="rId159" Type="http://schemas.openxmlformats.org/officeDocument/2006/relationships/hyperlink" Target="Z_Outil%20collaboratif%20Grand%20Compte\Image%20Vehicule\EPISAVEURS\D16.210%20CI%20-%2018%20PAL%20-%20EPISAVEURS.jpg" TargetMode="External"/><Relationship Id="rId170" Type="http://schemas.openxmlformats.org/officeDocument/2006/relationships/hyperlink" Target="Z_Outil%20collaboratif%20Grand%20Compte\Image%20Vehicule\RELAIS%20D'OR\35S14%20CF%20%20URBAN%20-%205%20PAL-8%20ROLLS%20-%20RELAIS%20D'OR.jpg" TargetMode="External"/><Relationship Id="rId191" Type="http://schemas.openxmlformats.org/officeDocument/2006/relationships/hyperlink" Target="Z_Outil%20collaboratif%20Grand%20Compte\Image%20Vehicule\TERRE%20AZUR\35S14%20CF%20URBAN%20-%206%20PAL%20-%20Long%20-%20TERRE%20AZUR.jpg" TargetMode="External"/><Relationship Id="rId205" Type="http://schemas.openxmlformats.org/officeDocument/2006/relationships/hyperlink" Target="Z_Outil%20collaboratif%20Grand%20Compte\Image%20Vehicule\PASSION%20FROID\D16.210%20CF%20-%2015%20PAL%20-%20EASY%20ACC'AIR%20-%20PASSION%20FROID.jpg" TargetMode="External"/><Relationship Id="rId226" Type="http://schemas.openxmlformats.org/officeDocument/2006/relationships/hyperlink" Target="file:///\\petitforestier.fr\siege\Applications\BaseProduits\Datas\Publipostage\Images\PUBLICATION%20-%20EURO%206\PLAN%20VEHICULES\RENAULT_MASTER-965_MRCF-E_N2-XDE-05_Pulsor400MT-ZE.jpg" TargetMode="External"/><Relationship Id="rId247" Type="http://schemas.openxmlformats.org/officeDocument/2006/relationships/hyperlink" Target="Z_Outil%20collaboratif%20Grand%20Compte\Image%20Carburant\ELECTRIQUE.jpg" TargetMode="External"/><Relationship Id="rId107" Type="http://schemas.openxmlformats.org/officeDocument/2006/relationships/hyperlink" Target="Z_Outil%20collaboratif%20Grand%20Compte\Image%20Vehicule\PASSION%20FROID\35S14%20CF%20-%205%20PAL%20-%20PASSION%20FROID.jpg" TargetMode="External"/><Relationship Id="rId11" Type="http://schemas.openxmlformats.org/officeDocument/2006/relationships/hyperlink" Target="file:///\\petitforestier.fr\siege\Applications\BaseProduits\Datas\Publipostage\Images\PUBLICATION%20-%20EURO%206\PLAN%20VEHICULES\RENAULT_KANGOO_KOCF01-E200-DEFLECTEUR.jpg" TargetMode="External"/><Relationship Id="rId32" Type="http://schemas.openxmlformats.org/officeDocument/2006/relationships/hyperlink" Target="file:///\\petitforestier.fr\siege\Applications\BaseProduits\Datas\Publipostage\Images\PUBLICATION%20-%20EURO%206\PLAN%20VEHICULES\IVECO_DAILY_35S-CF05-URBAN_X6MT.jpg" TargetMode="External"/><Relationship Id="rId53" Type="http://schemas.openxmlformats.org/officeDocument/2006/relationships/hyperlink" Target="file:///\\petitforestier.fr\siege\Applications\BaseProduits\Datas\Publipostage\Images\PUBLICATION%20-%20SEC%20-%20HYGIENE%20-%20EURO%206\PLAN%20VEHICULES\PLANS%202014\IVECO\35C_CS01.jpg" TargetMode="External"/><Relationship Id="rId74" Type="http://schemas.openxmlformats.org/officeDocument/2006/relationships/hyperlink" Target="file:///\\petitforestier.fr\siege\Applications\BaseProduits\Datas\Publipostage\Images\PUBLICATION%20-%20SEC%20-%20HYGIENE%20-%20EURO%206\PLAN%20VEHICULES\PLANS%202014\IVECO\35S_CH01.jpg" TargetMode="External"/><Relationship Id="rId128" Type="http://schemas.openxmlformats.org/officeDocument/2006/relationships/hyperlink" Target="Z_Outil%20collaboratif%20Grand%20Compte\Image%20Vehicule\SEMI-REMORQUE\SEMCF01%20-%20MONO%20-%20DOUBLE%20PLANCHER%20-%20SANS%20HAYON.jpg" TargetMode="External"/><Relationship Id="rId149" Type="http://schemas.openxmlformats.org/officeDocument/2006/relationships/hyperlink" Target="Z_Outil%20collaboratif%20Grand%20Compte\Image%20Vehicule\EPISAVEURS\D16.210%20CS%20-%2018%20PAL%20-%20EPISAVEURS.jpg" TargetMode="External"/><Relationship Id="rId5" Type="http://schemas.openxmlformats.org/officeDocument/2006/relationships/hyperlink" Target="file:///\\petitforestier.fr\siege\Applications\BaseProduits\Datas\Publipostage\Images\PUBLICATION%20-%20EURO%206\PLAN%20VEHICULES\RENAULT_KANGOO_KOCF01-E200-DEFLECTEUR.jpg" TargetMode="External"/><Relationship Id="rId95" Type="http://schemas.openxmlformats.org/officeDocument/2006/relationships/hyperlink" Target="Z_Outil%20collaboratif%20Grand%20Compte\Image%20Client\DELICE%20ET%20CREATION.jpg" TargetMode="External"/><Relationship Id="rId160" Type="http://schemas.openxmlformats.org/officeDocument/2006/relationships/hyperlink" Target="Z_Outil%20collaboratif%20Grand%20Compte\Image%20Vehicule\EPISAVEURS\D19.280%20CI%20-%2018%20PAL%20-%20EPISAVEURS.jpg" TargetMode="External"/><Relationship Id="rId181" Type="http://schemas.openxmlformats.org/officeDocument/2006/relationships/hyperlink" Target="Z_Outil%20collaboratif%20Grand%20Compte\Image%20Vehicule\SAVEURS%20D'ANTOINE\35S14%20CF%20URBAN%20-%202%20&#233;tag&#232;res%20-%20SAVEURS%20D'ANTOINE.jpg" TargetMode="External"/><Relationship Id="rId216" Type="http://schemas.openxmlformats.org/officeDocument/2006/relationships/hyperlink" Target="Z_Outil%20collaboratif%20Grand%20Compte\Image%20Vehicule\CG\POMONA\DELICE%20ET%20CREATION\D12.210%20CF%20-%2012%20PAL%20-%203%20VTX%20-%20DELICE%20ET%20CREATION.jpg" TargetMode="External"/><Relationship Id="rId237" Type="http://schemas.openxmlformats.org/officeDocument/2006/relationships/hyperlink" Target="file:///\\petitforestier.fr\siege\Applications\BaseProduits\Datas\Publipostage\Images\PUBLICATION%20-%20EURO%206\PLAN%20VEHICULES\RENAULT_MASTER_MRFF01-L2H2_TRIMAT_TKV300.jpg" TargetMode="External"/><Relationship Id="rId22" Type="http://schemas.openxmlformats.org/officeDocument/2006/relationships/hyperlink" Target="file:///\\petitforestier.fr\siege\Applications\BaseProduits\Datas\Publipostage\Images\PUBLICATION%20-%20EURO%206\PLAN%20VEHICULES\FIAT_DUCATO_DCOCF05_Pulsor400MT.jpg" TargetMode="External"/><Relationship Id="rId43" Type="http://schemas.openxmlformats.org/officeDocument/2006/relationships/hyperlink" Target="file:///\\petitforestier.fr\siege\Applications\BaseProduits\Datas\Publipostage\Images\PUBLICATION%20-%20EURO%206\PLAN%20VEHICULES\IVECO_EUROCARGO_160E25PCF02_TKT1000-Spec.jpg" TargetMode="External"/><Relationship Id="rId64" Type="http://schemas.openxmlformats.org/officeDocument/2006/relationships/hyperlink" Target="file:///\\petitforestier.fr\siege\Applications\BaseProduits\Datas\Publipostage\Images\PUBLICATION%20-%20SEC%20-%20HYGIENE%20-%20EURO%206\PLAN%20VEHICULES\PLANS%202014\FIAT\DOBLO_FS.jpg" TargetMode="External"/><Relationship Id="rId118" Type="http://schemas.openxmlformats.org/officeDocument/2006/relationships/hyperlink" Target="Z_Outil%20collaboratif%20Grand%20Compte\Image%20Vehicule\SEMI-REMORQUE\SEMCF03-%20MULTI%20-%20SANS%20HAYON.jpg" TargetMode="External"/><Relationship Id="rId139" Type="http://schemas.openxmlformats.org/officeDocument/2006/relationships/hyperlink" Target="Z_Outil%20collaboratif%20Grand%20Compte\Image%20Client\EPISAVEURS.jpg" TargetMode="External"/><Relationship Id="rId85" Type="http://schemas.openxmlformats.org/officeDocument/2006/relationships/hyperlink" Target="file:///\\petitforestier.fr\siege\Applications\BaseProduits\Datas\Publipostage\Images\PUBLICATION%20-%20SEC%20-%20HYGIENE%20-%20EURO%206\PLAN%20VEHICULES\PLANS%202014\DAF\LF%20180.12%20CB%2001.jpg" TargetMode="External"/><Relationship Id="rId150" Type="http://schemas.openxmlformats.org/officeDocument/2006/relationships/hyperlink" Target="Z_Outil%20collaboratif%20Grand%20Compte\Image%20Vehicule\EPISAVEURS\D19.280%20CS%20-%2018%20PAL%20-%20EPISAVEURS.jpg" TargetMode="External"/><Relationship Id="rId171" Type="http://schemas.openxmlformats.org/officeDocument/2006/relationships/hyperlink" Target="Z_Outil%20collaboratif%20Grand%20Compte\Image%20Vehicule\RELAIS%20D'OR\35S14%20CF%20URBAN%20-%205%20PAL-8%20ROLLS%20-%20HAYON%20-%20RELAIS%20D'OR.jpg" TargetMode="External"/><Relationship Id="rId192" Type="http://schemas.openxmlformats.org/officeDocument/2006/relationships/hyperlink" Target="Z_Outil%20collaboratif%20Grand%20Compte\Image%20Vehicule\TERRE%20AZUR\72C18%20CF%20-%20HAYON%20RABATTABLE%20-%20%20TERRE%20AZUR.jpg" TargetMode="External"/><Relationship Id="rId206" Type="http://schemas.openxmlformats.org/officeDocument/2006/relationships/hyperlink" Target="Z_Outil%20collaboratif%20Grand%20Compte\Image%20Vehicule\PASSION%20FROID\190EL28%20CF%20-%2021%20PAL%20-%203%20VTX%20-%20PASSION%20FROID.jpg" TargetMode="External"/><Relationship Id="rId227" Type="http://schemas.openxmlformats.org/officeDocument/2006/relationships/hyperlink" Target="file:///\\petitforestier.fr\siege\Applications\BaseProduits\Datas\Publipostage\Images\PUBLICATION%20-%20EURO%206\PLAN%20VEHICULES\IVECO_E-DAILY-1048_72C-CF01_TKE500.jpg" TargetMode="External"/><Relationship Id="rId248" Type="http://schemas.openxmlformats.org/officeDocument/2006/relationships/printerSettings" Target="../printerSettings/printerSettings1.bin"/><Relationship Id="rId12" Type="http://schemas.openxmlformats.org/officeDocument/2006/relationships/hyperlink" Target="file:///\\petitforestier.fr\siege\Applications\BaseProduits\Datas\Publipostage\Images\PUBLICATION%20-%20EURO%206\PLAN%20VEHICULES\IVECO_E-DAILY-1048_42S-CF04-URBAN_TKE500.jpg" TargetMode="External"/><Relationship Id="rId33" Type="http://schemas.openxmlformats.org/officeDocument/2006/relationships/hyperlink" Target="file:///\\petitforestier.fr\siege\Applications\BaseProduits\Datas\Publipostage\Images\PUBLICATION%20-%20EURO%206\PLAN%20VEHICULES\IVECO_DAILY_35S-CF05-URBAN_X6MT.jpg" TargetMode="External"/><Relationship Id="rId108" Type="http://schemas.openxmlformats.org/officeDocument/2006/relationships/hyperlink" Target="Z_Outil%20collaboratif%20Grand%20Compte\Image%20Vehicule\PASSION%20FROID\72C18%20CF%20-%207%20PAL%20-%20PASSION%20FROID.jpg" TargetMode="External"/><Relationship Id="rId129" Type="http://schemas.openxmlformats.org/officeDocument/2006/relationships/hyperlink" Target="Z_Outil%20collaboratif%20Grand%20Compte\Image%20Vehicule\SEMI-REMORQUE\SEMCF02%20-%20MONO%20-%20HAYON.jpg" TargetMode="External"/><Relationship Id="rId54" Type="http://schemas.openxmlformats.org/officeDocument/2006/relationships/hyperlink" Target="file:///\\petitforestier.fr\siege\Applications\BaseProduits\Datas\Publipostage\Images\PUBLICATION%20-%20SEC%20-%20HYGIENE%20-%20EURO%206\PLAN%20VEHICULES\PLANS%202014\IVECO\75E_CS02.jpg" TargetMode="External"/><Relationship Id="rId75" Type="http://schemas.openxmlformats.org/officeDocument/2006/relationships/hyperlink" Target="file:///\\petitforestier.fr\siege\Applications\BaseProduits\Datas\Publipostage\Images\PUBLICATION%20-%20SEC%20-%20HYGIENE%20-%20EURO%206\PLAN%20VEHICULES\PLANS%202014\IVECO\35C_CH01.jpg" TargetMode="External"/><Relationship Id="rId96" Type="http://schemas.openxmlformats.org/officeDocument/2006/relationships/hyperlink" Target="Z_Outil%20collaboratif%20Grand%20Compte\Image%20Client\DELICE%20ET%20CREATION.jpg" TargetMode="External"/><Relationship Id="rId140" Type="http://schemas.openxmlformats.org/officeDocument/2006/relationships/hyperlink" Target="Z_Outil%20collaboratif%20Grand%20Compte\Image%20Client\EPISAVEURS.jpg" TargetMode="External"/><Relationship Id="rId161" Type="http://schemas.openxmlformats.org/officeDocument/2006/relationships/hyperlink" Target="Z_Outil%20collaboratif%20Grand%20Compte\Image%20Vehicule\EPISAVEURS\D19.280%20CI%20-%2021%20PAL%20-%20EPISAVEURS.jpg" TargetMode="External"/><Relationship Id="rId182" Type="http://schemas.openxmlformats.org/officeDocument/2006/relationships/hyperlink" Target="Z_Outil%20collaboratif%20Grand%20Compte\Image%20Vehicule\SAVEURS%20D'ANTOINE\35S14%20CF%20URBAN%20-%205%20PAL%20-%20Vrac%20-%20SAVEURS%20D'ANTOINE.jpg" TargetMode="External"/><Relationship Id="rId217" Type="http://schemas.openxmlformats.org/officeDocument/2006/relationships/hyperlink" Target="Z_Outil%20collaboratif%20Grand%20Compte\Image%20Vehicule\CG\POMONA\DELICE%20ET%20CREATION\160E21%20CF%20-%2018%20PAL%20-%20EASY%20ACC'AIR%20-%20DELICE%20ET%20CREATION.jpg" TargetMode="External"/><Relationship Id="rId6" Type="http://schemas.openxmlformats.org/officeDocument/2006/relationships/hyperlink" Target="file:///\\petitforestier.fr\siege\Applications\BaseProduits\Datas\Publipostage\Images\PUBLICATION%20-%20EURO%206\PLAN%20VEHICULES\RENAULT_MASTER-965_MRCF-E_N2-XDE-05_Pulsor400MT-ZE.jpg" TargetMode="External"/><Relationship Id="rId238" Type="http://schemas.openxmlformats.org/officeDocument/2006/relationships/hyperlink" Target="file:///\\petitforestier.fr\siege\Applications\BaseProduits\Datas\Publipostage\Images\PUBLICATION%20-%20EURO%206\PLAN%20VEHICULES\RENAULT_MASTER_MRFF02-L3H2_TRIMAT_TKV300.jpg" TargetMode="External"/><Relationship Id="rId23" Type="http://schemas.openxmlformats.org/officeDocument/2006/relationships/hyperlink" Target="file:///\\petitforestier.fr\siege\Applications\BaseProduits\Datas\Publipostage\Images\PUBLICATION%20-%20EURO%206\PLAN%20VEHICULES\RENAULT_TRAFIC-L1H1_FF-X200T_LC-STRATE%20FORME.jpg" TargetMode="External"/><Relationship Id="rId119" Type="http://schemas.openxmlformats.org/officeDocument/2006/relationships/hyperlink" Target="Z_Outil%20collaboratif%20Grand%20Compte\Image%20Vehicule\SEMI-REMORQUE\SEMCF03-%20MULTI%20-%20SANS%20HAYON.jpg" TargetMode="External"/><Relationship Id="rId44" Type="http://schemas.openxmlformats.org/officeDocument/2006/relationships/hyperlink" Target="file:///\\petitforestier.fr\siege\Applications\BaseProduits\Datas\Publipostage\Images\PUBLICATION%20-%20EURO%206\PLAN%20VEHICULES\IVECO_EUROCARGO_160E25PCF02_TKT1000-Spec.jpg" TargetMode="External"/><Relationship Id="rId65" Type="http://schemas.openxmlformats.org/officeDocument/2006/relationships/hyperlink" Target="file:///\\petitforestier.fr\siege\Applications\BaseProduits\Datas\Publipostage\Images\PUBLICATION%20-%20SEC%20-%20HYGIENE%20-%20EURO%206\PLAN%20VEHICULES\PLANS%202014\FIAT-RENAULT\RENAULT_MASTER_MRFS-FH-L2H2_869.jpg" TargetMode="External"/><Relationship Id="rId86" Type="http://schemas.openxmlformats.org/officeDocument/2006/relationships/hyperlink" Target="file:///\\petitforestier.fr\siege\Applications\BaseProduits\Datas\Publipostage\Images\PUBLICATION%20-%20SEC%20-%20HYGIENE%20-%20EURO%206\PLAN%20VEHICULES\IVECO\35C_CB01.jpg" TargetMode="External"/><Relationship Id="rId130" Type="http://schemas.openxmlformats.org/officeDocument/2006/relationships/hyperlink" Target="Z_Outil%20collaboratif%20Grand%20Compte\Image%20Vehicule\SEMI-REMORQUE\SEMCF02%20-%20MONO%20-%20DOUBLE%20PLANCHER%20-%20HAYON.jpg" TargetMode="External"/><Relationship Id="rId151" Type="http://schemas.openxmlformats.org/officeDocument/2006/relationships/hyperlink" Target="Z_Outil%20collaboratif%20Grand%20Compte\Image%20Vehicule\EPISAVEURS\D19.280%20CS%20-%2021%20PAL%20-%20EPISAVEURS.jpg" TargetMode="External"/><Relationship Id="rId172" Type="http://schemas.openxmlformats.org/officeDocument/2006/relationships/hyperlink" Target="Z_Outil%20collaboratif%20Grand%20Compte\Image%20Vehicule\RELAIS%20D'OR\72C18%20CF%20-%208%20PAL-15%20ROLLS%20-%20HAYON%20RETRACTABLE%20-%20RELAIS%20D'OR.jpg" TargetMode="External"/><Relationship Id="rId193" Type="http://schemas.openxmlformats.org/officeDocument/2006/relationships/hyperlink" Target="Z_Outil%20collaboratif%20Grand%20Compte\Image%20Vehicule\TERRE%20AZUR\72C18%20CF%20-%20HAYON%20RETRACTABLE%20-%20%20TERRE%20AZUR.jpg" TargetMode="External"/><Relationship Id="rId207" Type="http://schemas.openxmlformats.org/officeDocument/2006/relationships/hyperlink" Target="Z_Outil%20collaboratif%20Grand%20Compte\Image%20Vehicule\PASSION%20FROID\190EL28%20CF%20-%2021%20PAL%20-%20EASY%20ACC'AIR%20-%20PASSION%20FROID.jpg" TargetMode="External"/><Relationship Id="rId228" Type="http://schemas.openxmlformats.org/officeDocument/2006/relationships/hyperlink" Target="file:///\\petitforestier.fr\siege\Applications\BaseProduits\Datas\Publipostage\Images\PUBLICATION%20-%20EURO%206\PLAN%20VEHICULES\IVECO_E-DAILY-1048_72C-CF02_TKE500.jpg" TargetMode="External"/><Relationship Id="rId13" Type="http://schemas.openxmlformats.org/officeDocument/2006/relationships/hyperlink" Target="file:///\\petitforestier.fr\siege\Applications\BaseProduits\Datas\Publipostage\Images\PUBLICATION%20-%20EURO%206\PLAN%20VEHICULES\IVECO_E-DAILY-1048_42C-CF04-URBAN_TKE500.jpg" TargetMode="External"/><Relationship Id="rId109" Type="http://schemas.openxmlformats.org/officeDocument/2006/relationships/hyperlink" Target="Z_Outil%20collaboratif%20Grand%20Compte\Image%20Vehicule\TRACTEUR\T19.440%20TR.jpg" TargetMode="External"/><Relationship Id="rId34" Type="http://schemas.openxmlformats.org/officeDocument/2006/relationships/hyperlink" Target="file:///\\petitforestier.fr\siege\Applications\BaseProduits\Datas\Publipostage\Images\PUBLICATION%20-%20EURO%206\PLAN%20VEHICULES\RENAULT_D16.250PCF02_TKT1000-Spec.jpg" TargetMode="External"/><Relationship Id="rId55" Type="http://schemas.openxmlformats.org/officeDocument/2006/relationships/hyperlink" Target="file:///\\petitforestier.fr\siege\Applications\BaseProduits\Datas\Publipostage\Images\PUBLICATION%20-%20SEC%20-%20HYGIENE%20-%20EURO%206\PLAN%20VEHICULES\PLANS%202014\IVECO\100E_CS01.jpg" TargetMode="External"/><Relationship Id="rId76" Type="http://schemas.openxmlformats.org/officeDocument/2006/relationships/hyperlink" Target="file:///\\petitforestier.fr\siege\Applications\BaseProduits\Datas\Publipostage\Images\PUBLICATION%20-%20SEC%20-%20HYGIENE%20-%20EURO%206\PLAN%20VEHICULES\PLANS%202014\IVECO\70C_CH01.jpg" TargetMode="External"/><Relationship Id="rId97" Type="http://schemas.openxmlformats.org/officeDocument/2006/relationships/hyperlink" Target="Z_Outil%20collaboratif%20Grand%20Compte\Image%20Client\DELICE%20ET%20CREATION.jpg" TargetMode="External"/><Relationship Id="rId120" Type="http://schemas.openxmlformats.org/officeDocument/2006/relationships/hyperlink" Target="Z_Outil%20collaboratif%20Grand%20Compte\Image%20Vehicule\SEMI-REMORQUE\SEMCF03-%20MULTI%20-%20DOUBLE%20PLANCHER%20-%20SANS%20HAYON.jpg" TargetMode="External"/><Relationship Id="rId141" Type="http://schemas.openxmlformats.org/officeDocument/2006/relationships/hyperlink" Target="Z_Outil%20collaboratif%20Grand%20Compte\Image%20Carburant\DIESEL.jpg" TargetMode="External"/><Relationship Id="rId7" Type="http://schemas.openxmlformats.org/officeDocument/2006/relationships/hyperlink" Target="file:///\\petitforestier.fr\siege\Applications\BaseProduits\Datas\Publipostage\Images\PUBLICATION%20-%20EURO%206\PLAN%20VEHICULES\IVECO_E-DAILY-1048_42C-CF05-URBAN_TKE500-Spec.jpg" TargetMode="External"/><Relationship Id="rId162" Type="http://schemas.openxmlformats.org/officeDocument/2006/relationships/hyperlink" Target="Z_Outil%20collaboratif%20Grand%20Compte\Image%20Vehicule\EPISAVEURS\160E21%20CS%20-%2018%20PAL%20-%20EPISAVEURS.jpg" TargetMode="External"/><Relationship Id="rId183" Type="http://schemas.openxmlformats.org/officeDocument/2006/relationships/hyperlink" Target="Z_Outil%20collaboratif%20Grand%20Compte\Image%20Vehicule\SAVEURS%20D'ANTOINE\35S14%20CF%20URBAN%20-%206%20PAL%20-%20Large%20-%20SAVEURS%20D'ANTOINE.jpg" TargetMode="External"/><Relationship Id="rId218" Type="http://schemas.openxmlformats.org/officeDocument/2006/relationships/hyperlink" Target="Z_Outil%20collaboratif%20Grand%20Compte\Image%20Vehicule\CG\POMONA\DELICE%20ET%20CREATION\160E21%20CF%20-%2018%20PAL%20-%203%20VTX%20-%20DELICE%20ET%20CREATION.jpg" TargetMode="External"/><Relationship Id="rId239" Type="http://schemas.openxmlformats.org/officeDocument/2006/relationships/hyperlink" Target="file:///\\petitforestier.fr\siege\Applications\BaseProduits\Datas\Publipostage\Images\PUBLICATION%20-%20EURO%206\PLAN%20VEHICULES\IVECO_DAILY_35S-CF05-URBAN_X6MT.jpg" TargetMode="External"/><Relationship Id="rId24" Type="http://schemas.openxmlformats.org/officeDocument/2006/relationships/hyperlink" Target="file:///\\petitforestier.fr\siege\Applications\BaseProduits\Datas\Publipostage\Images\PUBLICATION%20-%20EURO%206\PLAN%20VEHICULES\RENAULT_TRAFIC-L2H1_FF-X200T_LC-STRATE%20FORME.jpg" TargetMode="External"/><Relationship Id="rId45" Type="http://schemas.openxmlformats.org/officeDocument/2006/relationships/hyperlink" Target="file:///\\petitforestier.fr\siege\Applications\BaseProduits\Datas\Publipostage\Images\PUBLICATION%20-%20EURO%206\PLAN%20VEHICULES\IVECO_EUROCARGO_160E25PCF02_TKT1000-Spec.jpg" TargetMode="External"/><Relationship Id="rId66" Type="http://schemas.openxmlformats.org/officeDocument/2006/relationships/hyperlink" Target="file:///\\petitforestier.fr\siege\Applications\BaseProduits\Datas\Publipostage\Images\PUBLICATION%20-%20SEC%20-%20HYGIENE%20-%20EURO%206\PLAN%20VEHICULES\PLANS%202014\FIAT-RENAULT\RENAULT_MASTER_MRFS-FH-L2H2_869.jpg" TargetMode="External"/><Relationship Id="rId87" Type="http://schemas.openxmlformats.org/officeDocument/2006/relationships/hyperlink" Target="file:///\\petitforestier.fr\siege\Applications\BaseProduits\Datas\Publipostage\Images\PUBLICATION%20-%20SEC%20-%20HYGIENE%20-%20EURO%206\PLAN%20VEHICULES\IVECO\35C_CB01.jpg" TargetMode="External"/><Relationship Id="rId110" Type="http://schemas.openxmlformats.org/officeDocument/2006/relationships/hyperlink" Target="Z_Outil%20collaboratif%20Grand%20Compte\Image%20Vehicule\TRACTEUR\T19.440%20TR.jpg" TargetMode="External"/><Relationship Id="rId131" Type="http://schemas.openxmlformats.org/officeDocument/2006/relationships/hyperlink" Target="Z_Outil%20collaboratif%20Grand%20Compte\Image%20Publicit&#233;\TERRE%20AZUR-PUB.jpg" TargetMode="External"/><Relationship Id="rId152" Type="http://schemas.openxmlformats.org/officeDocument/2006/relationships/hyperlink" Target="Z_Outil%20collaboratif%20Grand%20Compte\Image%20Vehicule\EPISAVEURS\72C18%20CI%20-%202%20Portes%20arri&#232;re%20-%20EPISAVEURS.jpg" TargetMode="External"/><Relationship Id="rId173" Type="http://schemas.openxmlformats.org/officeDocument/2006/relationships/hyperlink" Target="Z_Outil%20collaboratif%20Grand%20Compte\Image%20Vehicule\RELAIS%20D'OR\100E19%20CF%20-%2011%20PAL-21%20ROLLS%20-%20HAYON%20RETRACTABLE%20-%20RELAIS%20D'OR.jpg" TargetMode="External"/><Relationship Id="rId194" Type="http://schemas.openxmlformats.org/officeDocument/2006/relationships/hyperlink" Target="Z_Outil%20collaboratif%20Grand%20Compte\Image%20Vehicule\TERRE%20AZUR\120E19%20CF%20-%2012%20PAL%20-%20TERRE%20AZUR.jpg" TargetMode="External"/><Relationship Id="rId208" Type="http://schemas.openxmlformats.org/officeDocument/2006/relationships/hyperlink" Target="Z_Outil%20collaboratif%20Grand%20Compte\Image%20Vehicule\PASSION%20FROID\160E21CF%20-%2018%20PAL%20-%203%20VTX%20-%20PASSION%20FROID.jpg" TargetMode="External"/><Relationship Id="rId229" Type="http://schemas.openxmlformats.org/officeDocument/2006/relationships/hyperlink" Target="file:///\\petitforestier.fr\siege\Applications\BaseProduits\Datas\Publipostage\Images\PUBLICATION%20-%20EURO%206\PLAN%20VEHICULES\RENAULT_KANGOO_KOCF01-NHE200S-DEFLECTEUR.jpg" TargetMode="External"/><Relationship Id="rId240" Type="http://schemas.openxmlformats.org/officeDocument/2006/relationships/hyperlink" Target="file:///\\petitforestier.fr\siege\Applications\BaseProduits\Datas\Publipostage\Images\PUBLICATION%20-%20EURO%206\PLAN%20VEHICULES\IVECO_DAILY_35S-CF01_X350T.jpg" TargetMode="External"/><Relationship Id="rId14" Type="http://schemas.openxmlformats.org/officeDocument/2006/relationships/hyperlink" Target="file:///\\petitforestier.fr\siege\Applications\BaseProduits\Datas\Publipostage\Images\PUBLICATION%20-%20EURO%206\PLAN%20VEHICULES\IVECO_E-DAILY-1048_72C-CF02_TKE500.jpg" TargetMode="External"/><Relationship Id="rId35" Type="http://schemas.openxmlformats.org/officeDocument/2006/relationships/hyperlink" Target="file:///\\petitforestier.fr\siege\Applications\BaseProduits\Datas\Publipostage\Images\PUBLICATION%20-%20EURO%206\PLAN%20VEHICULES\RENAULT_D16.250PCF02_TKT1000-Spec.jpg" TargetMode="External"/><Relationship Id="rId56" Type="http://schemas.openxmlformats.org/officeDocument/2006/relationships/hyperlink" Target="file:///\\petitforestier.fr\siege\Applications\BaseProduits\Datas\Publipostage\Images\PUBLICATION%20-%20SEC%20-%20HYGIENE%20-%20EURO%206\PLAN%20VEHICULES\PLANS%202014\IVECO\100E_CS02.jpg" TargetMode="External"/><Relationship Id="rId77" Type="http://schemas.openxmlformats.org/officeDocument/2006/relationships/hyperlink" Target="file:///\\petitforestier.fr\siege\Applications\BaseProduits\Datas\Publipostage\Images\PUBLICATION%20-%20SEC%20-%20HYGIENE%20-%20EURO%206\PLAN%20VEHICULES\PLANS%202014\FIAT\DCOCS-CH01.jpg" TargetMode="External"/><Relationship Id="rId100" Type="http://schemas.openxmlformats.org/officeDocument/2006/relationships/hyperlink" Target="Z_Outil%20collaboratif%20Grand%20Compte\Image%20Carburant\DIESEL.jpg" TargetMode="External"/><Relationship Id="rId8" Type="http://schemas.openxmlformats.org/officeDocument/2006/relationships/hyperlink" Target="file:///\\petitforestier.fr\siege\Applications\BaseProduits\Datas\Publipostage\Images\PUBLICATION%20-%20EURO%206\PLAN%20VEHICULES\RENAULT_KANGOO_KOFF01-NEOS100S-CARENAGE.jpg" TargetMode="External"/><Relationship Id="rId98" Type="http://schemas.openxmlformats.org/officeDocument/2006/relationships/hyperlink" Target="Z_Outil%20collaboratif%20Grand%20Compte\Image%20Carburant\DIESEL.jpg" TargetMode="External"/><Relationship Id="rId121" Type="http://schemas.openxmlformats.org/officeDocument/2006/relationships/hyperlink" Target="Z_Outil%20collaboratif%20Grand%20Compte\Image%20Vehicule\SEMI-REMORQUE\SEMCF04%20-%20MULTI%20-%20HAYON.jpg" TargetMode="External"/><Relationship Id="rId142" Type="http://schemas.openxmlformats.org/officeDocument/2006/relationships/hyperlink" Target="Z_Outil%20collaboratif%20Grand%20Compte\Image%20Carburant\DIESEL.jpg" TargetMode="External"/><Relationship Id="rId163" Type="http://schemas.openxmlformats.org/officeDocument/2006/relationships/hyperlink" Target="Z_Outil%20collaboratif%20Grand%20Compte\Image%20Vehicule\PASSION%20FROID\160E21%20CF%20-%2015%20PAL%20-%20%203%20VTX%20-%20PASSION%20FROID.jpg" TargetMode="External"/><Relationship Id="rId184" Type="http://schemas.openxmlformats.org/officeDocument/2006/relationships/hyperlink" Target="Z_Outil%20collaboratif%20Grand%20Compte\Image%20Vehicule\SAVEURS%20D'ANTOINE\35S14%20CF%20URBAN%20-%208%20Rolls%20-%20Large%20-%20SAVEURS%20D'ANTOINE.jpg" TargetMode="External"/><Relationship Id="rId219" Type="http://schemas.openxmlformats.org/officeDocument/2006/relationships/hyperlink" Target="Z_Outil%20collaboratif%20Grand%20Compte\Image%20Vehicule\CG\POMONA\DELICE%20ET%20CREATION\160E21%20CF%20-%2015%20PAL%20-%20EASY%20ACC'AIR%20-%20DELICE%20ET%20CREATION.jpg" TargetMode="External"/><Relationship Id="rId230" Type="http://schemas.openxmlformats.org/officeDocument/2006/relationships/hyperlink" Target="file:///\\petitforestier.fr\siege\Applications\BaseProduits\Datas\Publipostage\Images\PUBLICATION%20-%20EURO%206\PLAN%20VEHICULES\RENAULT_KANGOO_KOCF02-NHE200S-DEFLECTEUR.jpg" TargetMode="External"/><Relationship Id="rId25" Type="http://schemas.openxmlformats.org/officeDocument/2006/relationships/hyperlink" Target="file:///\\petitforestier.fr\siege\Applications\BaseProduits\Datas\Publipostage\Images\PUBLICATION%20-%20EURO%206\PLAN%20VEHICULES\IVECO_DAILY_35S-CF01_X350T.jpg" TargetMode="External"/><Relationship Id="rId46" Type="http://schemas.openxmlformats.org/officeDocument/2006/relationships/hyperlink" Target="file:///\\petitforestier.fr\siege\Applications\BaseProduits\Datas\Publipostage\Images\PUBLICATION%20-%20EURO%206\PLAN%20VEHICULES\FIAT_SCUDO_SCOCF01.jpg" TargetMode="External"/><Relationship Id="rId67" Type="http://schemas.openxmlformats.org/officeDocument/2006/relationships/hyperlink" Target="file:///\\petitforestier.fr\siege\Applications\BaseProduits\Datas\Publipostage\Images\PUBLICATION%20-%20SEC%20-%20HYGIENE%20-%20EURO%206\PLAN%20VEHICULES\PLANS%202014\IVECO\35C_CS03.jpg" TargetMode="External"/><Relationship Id="rId88" Type="http://schemas.openxmlformats.org/officeDocument/2006/relationships/hyperlink" Target="file:///\\petitforestier.fr\siege\Applications\BaseProduits\Datas\Publipostage\Images\PUBLICATION%20-%20SEC%20-%20HYGIENE%20-%20EURO%206\PLAN%20VEHICULES\IVECO\35C_CB01.jpg" TargetMode="External"/><Relationship Id="rId111" Type="http://schemas.openxmlformats.org/officeDocument/2006/relationships/hyperlink" Target="Z_Outil%20collaboratif%20Grand%20Compte\Image%20Vehicule\TRACTEUR\T19.440%20TR.jpg" TargetMode="External"/><Relationship Id="rId132" Type="http://schemas.openxmlformats.org/officeDocument/2006/relationships/hyperlink" Target="Z_Outil%20collaboratif%20Grand%20Compte\Image%20Publicit&#233;\TERRE%20AZUR-PUB.jpg" TargetMode="External"/><Relationship Id="rId153" Type="http://schemas.openxmlformats.org/officeDocument/2006/relationships/hyperlink" Target="Z_Outil%20collaboratif%20Grand%20Compte\Image%20Vehicule\EPISAVEURS\72C18%20CI%20-%20Fermeture%20totale%20-%20EPISAVEURS.jpg" TargetMode="External"/><Relationship Id="rId174" Type="http://schemas.openxmlformats.org/officeDocument/2006/relationships/hyperlink" Target="Z_Outil%20collaboratif%20Grand%20Compte\Image%20Vehicule\RELAIS%20D'OR\120E19%20CF%20-%2015%20PAL-24%20ROLLS%20-%20HAYON%20RETRACTABLE%20-%20RELAIS%20D'OR.jpg" TargetMode="External"/><Relationship Id="rId195" Type="http://schemas.openxmlformats.org/officeDocument/2006/relationships/hyperlink" Target="Z_Outil%20collaboratif%20Grand%20Compte\Image%20Vehicule\TERRE%20AZUR\160E21%20CF%20-%2015%20PAL%20-%20TERRE%20AZUR.jpg" TargetMode="External"/><Relationship Id="rId209" Type="http://schemas.openxmlformats.org/officeDocument/2006/relationships/hyperlink" Target="Z_Outil%20collaboratif%20Grand%20Compte\Image%20Vehicule\PASSION%20FROID\160E21CF%20-%2018%20PAL%20-%20EASY%20ACC'AIR%20-%20PASSION%20FROID.jpg" TargetMode="External"/><Relationship Id="rId220" Type="http://schemas.openxmlformats.org/officeDocument/2006/relationships/hyperlink" Target="Z_Outil%20collaboratif%20Grand%20Compte\Image%20Vehicule\CG\POMONA\DELICE%20ET%20CREATION\160E21%20CF%20-%2015%20PAL%20-%203%20VTX%20-%20DELICE%20ET%20CREATION.jpg" TargetMode="External"/><Relationship Id="rId241" Type="http://schemas.openxmlformats.org/officeDocument/2006/relationships/hyperlink" Target="file:///\\petitforestier.fr\siege\Applications\BaseProduits\Datas\Publipostage\Images\PUBLICATION%20-%20EURO%206\PLAN%20VEHICULES\IVECO_DAILY_35S-CF04_X350T.jpg" TargetMode="External"/><Relationship Id="rId15" Type="http://schemas.openxmlformats.org/officeDocument/2006/relationships/hyperlink" Target="file:///\\petitforestier.fr\siege\Applications\BaseProduits\Datas\Publipostage\Images\PUBLICATION%20-%20EURO%206\PLAN%20VEHICULES\RENAULT_MASTER-965_MRCF-E_N2-XDE-01_Pulsor400-ZE.jpg" TargetMode="External"/><Relationship Id="rId36" Type="http://schemas.openxmlformats.org/officeDocument/2006/relationships/hyperlink" Target="file:///\\petitforestier.fr\siege\Applications\BaseProduits\Datas\Publipostage\Images\PUBLICATION%20-%20EURO%206\PLAN%20VEHICULES\RENAULT_D16.250PCF02_TKT1000-Spec.jpg" TargetMode="External"/><Relationship Id="rId57" Type="http://schemas.openxmlformats.org/officeDocument/2006/relationships/hyperlink" Target="file:///\\petitforestier.fr\siege\Applications\BaseProduits\Datas\Publipostage\Images\PUBLICATION%20-%20SEC%20-%20HYGIENE%20-%20EURO%206\PLAN%20VEHICULES\PLANS%202014\RENAULT\D12.210%20CS%2001.jpg" TargetMode="External"/><Relationship Id="rId10" Type="http://schemas.openxmlformats.org/officeDocument/2006/relationships/hyperlink" Target="file:///\\petitforestier.fr\siege\Applications\BaseProduits\Datas\Publipostage\Images\PUBLICATION%20-%20EURO%206\PLAN%20VEHICULES\RENAULT_KANGOO_KOFF01-NEOS100S-CARENAGE.jpg" TargetMode="External"/><Relationship Id="rId31" Type="http://schemas.openxmlformats.org/officeDocument/2006/relationships/hyperlink" Target="file:///\\petitforestier.fr\siege\Applications\BaseProduits\Datas\Publipostage\Images\PUBLICATION%20-%20EURO%206\PLAN%20VEHICULES\IVECO_DAILY_35S-CF05-URBAN_X6MT.jpg" TargetMode="External"/><Relationship Id="rId52" Type="http://schemas.openxmlformats.org/officeDocument/2006/relationships/hyperlink" Target="file:///\\petitforestier.fr\siege\Applications\BaseProduits\Datas\Publipostage\Images\PUBLICATION%20-%20SEC%20-%20HYGIENE%20-%20EURO%206\PLAN%20VEHICULES\PLANS%202014\IVECO\35S_CS04.jpg" TargetMode="External"/><Relationship Id="rId73" Type="http://schemas.openxmlformats.org/officeDocument/2006/relationships/hyperlink" Target="file:///\\petitforestier.fr\siege\Applications\BaseProduits\Datas\Publipostage\Images\PUBLICATION%20-%20SEC%20-%20HYGIENE%20-%20EURO%206\PLAN%20VEHICULES\PLANS%202014\FIAT-RENAULT\RENAULT_MASTER_MRCS-01.jpg" TargetMode="External"/><Relationship Id="rId78" Type="http://schemas.openxmlformats.org/officeDocument/2006/relationships/hyperlink" Target="file:///\\petitforestier.fr\siege\Applications\BaseProduits\Datas\Publipostage\Images\PUBLICATION%20-%20SEC%20-%20HYGIENE%20-%20EURO%206\PLAN%20VEHICULES\PLANS%202014\IVECO\35C_CH01.jpg" TargetMode="External"/><Relationship Id="rId94" Type="http://schemas.openxmlformats.org/officeDocument/2006/relationships/hyperlink" Target="Z_Outil%20collaboratif%20Grand%20Compte\Image%20Vehicule\CG\POMONA\DELICE%20ET%20CREATION\72C18%20CF%20-%207%20PAL%20-%20DELICE%20ET%20CREATION.jpg" TargetMode="External"/><Relationship Id="rId99" Type="http://schemas.openxmlformats.org/officeDocument/2006/relationships/hyperlink" Target="Z_Outil%20collaboratif%20Grand%20Compte\Image%20Carburant\DIESEL.jpg" TargetMode="External"/><Relationship Id="rId101" Type="http://schemas.openxmlformats.org/officeDocument/2006/relationships/hyperlink" Target="Z_Outil%20collaboratif%20Grand%20Compte\Image%20Publicit&#233;\PASSION%20FROID-PUB.jpg" TargetMode="External"/><Relationship Id="rId122" Type="http://schemas.openxmlformats.org/officeDocument/2006/relationships/hyperlink" Target="Z_Outil%20collaboratif%20Grand%20Compte\Image%20Vehicule\SEMI-REMORQUE\SEMCF04%20-%20MULTI%20-%20HAYON.jpg" TargetMode="External"/><Relationship Id="rId143" Type="http://schemas.openxmlformats.org/officeDocument/2006/relationships/hyperlink" Target="Z_Outil%20collaboratif%20Grand%20Compte\Image%20Vehicule\EPISAVEURS\72C18%20CS%20-%202%20Portes%20arri&#232;re%20-%20EPISAVEURS.jpg" TargetMode="External"/><Relationship Id="rId148" Type="http://schemas.openxmlformats.org/officeDocument/2006/relationships/hyperlink" Target="Z_Outil%20collaboratif%20Grand%20Compte\Image%20Vehicule\EPISAVEURS\D16.210%20CS%20-%2015%20PAL%20-%20EPISAVEURS.jpg" TargetMode="External"/><Relationship Id="rId164" Type="http://schemas.openxmlformats.org/officeDocument/2006/relationships/hyperlink" Target="Z_Outil%20collaboratif%20Grand%20Compte\Image%20Vehicule\PASSION%20FROID\160E21%20CF%20-%2015%20PAL%20-%20EASY%20ACC'AIR%20-%20PASSION%20FROID.jpg" TargetMode="External"/><Relationship Id="rId169" Type="http://schemas.openxmlformats.org/officeDocument/2006/relationships/hyperlink" Target="Z_Outil%20collaboratif%20Grand%20Compte\Image%20Vehicule\RELAIS%20D'OR\35S14%20CF%20-%204%20PAL%20-%20RELAIS%20D'OR.jpg" TargetMode="External"/><Relationship Id="rId185" Type="http://schemas.openxmlformats.org/officeDocument/2006/relationships/hyperlink" Target="Z_Outil%20collaboratif%20Grand%20Compte\Image%20Vehicule\SAVEURS%20D'ANTOINE\72C18%20CF%20-%208%20PAL%20-%20SAVEURS%20D'ANTOINE.jpg" TargetMode="External"/><Relationship Id="rId4" Type="http://schemas.openxmlformats.org/officeDocument/2006/relationships/hyperlink" Target="file:///\\petitforestier.fr\siege\Applications\BaseProduits\Datas\Publipostage\Images\PUBLICATION%20-%20EURO%206\PLAN%20VEHICULES\IVECO_E-DAILY-1048_42C-CF01-URBAN_TKE500.jpg" TargetMode="External"/><Relationship Id="rId9" Type="http://schemas.openxmlformats.org/officeDocument/2006/relationships/hyperlink" Target="file:///\\petitforestier.fr\siege\Applications\BaseProduits\Datas\Publipostage\Images\PUBLICATION%20-%20EURO%206\PLAN%20VEHICULES\IVECO_E-DAILY-1048_72C-CF01_TKE500.jpg" TargetMode="External"/><Relationship Id="rId180" Type="http://schemas.openxmlformats.org/officeDocument/2006/relationships/hyperlink" Target="Z_Outil%20collaboratif%20Grand%20Compte\Image%20Vehicule\SAVEURS%20D'ANTOINE\DCOCF%20-%20SAVEURS%20D'ANTOINE.jpg" TargetMode="External"/><Relationship Id="rId210" Type="http://schemas.openxmlformats.org/officeDocument/2006/relationships/hyperlink" Target="Z_Outil%20collaboratif%20Grand%20Compte\Image%20Vehicule\PASSION%20FROID\120E19%20CF%20-%20%20PASSION%20FROID.jpg" TargetMode="External"/><Relationship Id="rId215" Type="http://schemas.openxmlformats.org/officeDocument/2006/relationships/hyperlink" Target="Z_Outil%20collaboratif%20Grand%20Compte\Image%20Vehicule\CG\POMONA\DELICE%20ET%20CREATION\D16.210%20CF%20-%2015%20PAL%20-%203%20VTX%20-%20DELICE%20ET%20CREATION.jpg" TargetMode="External"/><Relationship Id="rId236" Type="http://schemas.openxmlformats.org/officeDocument/2006/relationships/hyperlink" Target="file:///\\petitforestier.fr\siege\Applications\BaseProduits\Datas\Publipostage\Images\PUBLICATION%20-%20EURO%206\PLAN%20VEHICULES\RENAULT_MASTER_MRCF01_TKV300.jpg" TargetMode="External"/><Relationship Id="rId26" Type="http://schemas.openxmlformats.org/officeDocument/2006/relationships/hyperlink" Target="file:///\\petitforestier.fr\siege\Applications\BaseProduits\Datas\Publipostage\Images\PUBLICATION%20-%20EURO%206\PLAN%20VEHICULES\IVECO_DAILY_35S-CF04_X350T.jpg" TargetMode="External"/><Relationship Id="rId231" Type="http://schemas.openxmlformats.org/officeDocument/2006/relationships/hyperlink" Target="file:///\\petitforestier.fr\siege\Applications\BaseProduits\Datas\Publipostage\Images\PUBLICATION%20-%20EURO%206\PLAN%20VEHICULES\RENAULT_KANGOO_KOFF01-NEOS100S-CARENAGE.jpg" TargetMode="External"/><Relationship Id="rId47" Type="http://schemas.openxmlformats.org/officeDocument/2006/relationships/hyperlink" Target="file:///\\petitforestier.fr\siege\Applications\BaseProduits\Datas\Publipostage\Images\PUBLICATION%20-%20SEC%20-%20HYGIENE%20-%20EURO%206\PLAN%20VEHICULES\PLANS%202014\IVECO\35C_CS01.jpg" TargetMode="External"/><Relationship Id="rId68" Type="http://schemas.openxmlformats.org/officeDocument/2006/relationships/hyperlink" Target="file:///\\petitforestier.fr\siege\Applications\BaseProduits\Datas\Publipostage\Images\PUBLICATION%20-%20SEC%20-%20HYGIENE%20-%20EURO%206\PLAN%20VEHICULES\PLANS%202014\IVECO\70C-1048_CS03.jpg" TargetMode="External"/><Relationship Id="rId89" Type="http://schemas.openxmlformats.org/officeDocument/2006/relationships/hyperlink" Target="file:///\\petitforestier.fr\siege\Applications\BaseProduits\Datas\Publipostage\Images\PUBLICATION%20-%20SEC%20-%20HYGIENE%20-%20EURO%206\PLAN%20VEHICULES\IVECO\35C_CB01.jpg" TargetMode="External"/><Relationship Id="rId112" Type="http://schemas.openxmlformats.org/officeDocument/2006/relationships/hyperlink" Target="Z_Outil%20collaboratif%20Grand%20Compte\Image%20Vehicule\TRACTEUR\T19.440%20TR.jpg" TargetMode="External"/><Relationship Id="rId133" Type="http://schemas.openxmlformats.org/officeDocument/2006/relationships/hyperlink" Target="Z_Outil%20collaboratif%20Grand%20Compte\Image%20Client\RELAIS%20D'OR.jpg" TargetMode="External"/><Relationship Id="rId154" Type="http://schemas.openxmlformats.org/officeDocument/2006/relationships/hyperlink" Target="Z_Outil%20collaboratif%20Grand%20Compte\Image%20Vehicule\EPISAVEURS\160E21%20CI%20-%2015%20PAL%20-%20EPISAVEURS.jpg" TargetMode="External"/><Relationship Id="rId175" Type="http://schemas.openxmlformats.org/officeDocument/2006/relationships/hyperlink" Target="Z_Outil%20collaboratif%20Grand%20Compte\Image%20Vehicule\RELAIS%20D'OR\160E21%20CF%20-%2018%20PALL-30%20ROLLS%20-%20HAYON%20RETRACTABLE%20-%20RELAIS%20D'OR.jpg" TargetMode="External"/><Relationship Id="rId196" Type="http://schemas.openxmlformats.org/officeDocument/2006/relationships/hyperlink" Target="Z_Outil%20collaboratif%20Grand%20Compte\Image%20Vehicule\TERRE%20AZUR\160E21%20CF%20-%2018%20PAL%20-%20TERRE%20AZUR.jpg" TargetMode="External"/><Relationship Id="rId200" Type="http://schemas.openxmlformats.org/officeDocument/2006/relationships/hyperlink" Target="Z_Outil%20collaboratif%20Grand%20Compte\Image%20Vehicule\TERRE%20AZUR\D16.210%20CF%20-%2015%20PAL%20-%20TERRE%20AZUR.jpg" TargetMode="External"/><Relationship Id="rId16" Type="http://schemas.openxmlformats.org/officeDocument/2006/relationships/hyperlink" Target="file:///\\petitforestier.fr\siege\Applications\BaseProduits\Datas\Publipostage\Images\PUBLICATION%20-%20EURO%206\PLAN%20VEHICULES\RENAULT_KANGOO_KOCF02-NHE200S-DEFLECTEUR.jpg" TargetMode="External"/><Relationship Id="rId221" Type="http://schemas.openxmlformats.org/officeDocument/2006/relationships/hyperlink" Target="Z_Outil%20collaboratif%20Grand%20Compte\Image%20Vehicule\CG\POMONA\DELICE%20ET%20CREATION\120E19%20CF%20-%2012%20PAL%20-%203%20VTX%20-%20DELICE%20ET%20CREATION.jpg" TargetMode="External"/><Relationship Id="rId242" Type="http://schemas.openxmlformats.org/officeDocument/2006/relationships/hyperlink" Target="file:///\\petitforestier.fr\siege\Applications\BaseProduits\Datas\Publipostage\Images\PUBLICATION%20-%20EURO%206\PLAN%20VEHICULES\IVECO_EUROCARGO_160E25PCF02_TKT1000-Spec.jpg" TargetMode="External"/><Relationship Id="rId37" Type="http://schemas.openxmlformats.org/officeDocument/2006/relationships/hyperlink" Target="file:///\\petitforestier.fr\siege\Applications\BaseProduits\Datas\Publipostage\Images\PUBLICATION%20-%20EURO%206\PLAN%20VEHICULES\RENAULT_D14.210PCF02_TKT1000-Spec.jpg" TargetMode="External"/><Relationship Id="rId58" Type="http://schemas.openxmlformats.org/officeDocument/2006/relationships/hyperlink" Target="file:///\\petitforestier.fr\siege\Applications\BaseProduits\Datas\Publipostage\Images\PUBLICATION%20-%20SEC%20-%20HYGIENE%20-%20EURO%206\PLAN%20VEHICULES\PLANS%202014\RENAULT\D12.210%20CS%2002.jpg" TargetMode="External"/><Relationship Id="rId79" Type="http://schemas.openxmlformats.org/officeDocument/2006/relationships/hyperlink" Target="file:///\\petitforestier.fr\siege\Applications\BaseProduits\Datas\Publipostage\Images\PUBLICATION%20-%20SEC%20-%20HYGIENE%20-%20EURO%206\PLAN%20VEHICULES\PLANS%202014\IVECO\75E_CH01.jpg" TargetMode="External"/><Relationship Id="rId102" Type="http://schemas.openxmlformats.org/officeDocument/2006/relationships/hyperlink" Target="Z_Outil%20collaboratif%20Grand%20Compte\Image%20Publicit&#233;\PASSION%20FROID-PUB.jpg" TargetMode="External"/><Relationship Id="rId123" Type="http://schemas.openxmlformats.org/officeDocument/2006/relationships/hyperlink" Target="Z_Outil%20collaboratif%20Grand%20Compte\Image%20Vehicule\SEMI-REMORQUE\SEMCF04%20-%20MULTI%20-%20DOUBLE%20PLANCHER%20-%20HAYON.jpg" TargetMode="External"/><Relationship Id="rId144" Type="http://schemas.openxmlformats.org/officeDocument/2006/relationships/hyperlink" Target="Z_Outil%20collaboratif%20Grand%20Compte\Image%20Vehicule\EPISAVEURS\72C18%20CS%20-%20Fermeture%20totale%20-%20EPISAVEURS.jpg" TargetMode="External"/><Relationship Id="rId90" Type="http://schemas.openxmlformats.org/officeDocument/2006/relationships/hyperlink" Target="file:///\\petitforestier.fr\siege\Applications\BaseProduits\Datas\Publipostage\Images\PUBLICATION%20-%20SEC%20-%20HYGIENE%20-%20EURO%206\PLAN%20VEHICULES\PLANS%202014\DAF\LF%20180.12%20CB%2001.jpg" TargetMode="External"/><Relationship Id="rId165" Type="http://schemas.openxmlformats.org/officeDocument/2006/relationships/hyperlink" Target="Z_Outil%20collaboratif%20Grand%20Compte\Image%20Vehicule\PASSION%20FROID\D16.210%20CF%20-%2018%20PAL%20-%203%20VTX%20-%20PASSION%20FROID.jpg" TargetMode="External"/><Relationship Id="rId186" Type="http://schemas.openxmlformats.org/officeDocument/2006/relationships/hyperlink" Target="Z_Outil%20collaboratif%20Grand%20Compte\Image%20Vehicule\SAVEURS%20D'ANTOINE\72C18%20CF%20-%2015%20ROLLS%20-%20SAVEURS%20D'ANTOINE.jpg" TargetMode="External"/><Relationship Id="rId211" Type="http://schemas.openxmlformats.org/officeDocument/2006/relationships/hyperlink" Target="Z_Outil%20collaboratif%20Grand%20Compte\Image%20Vehicule\PASSION%20FROID\D12.210%20CF%20-%20PASSION%20FROID.jpg" TargetMode="External"/><Relationship Id="rId232" Type="http://schemas.openxmlformats.org/officeDocument/2006/relationships/hyperlink" Target="file:///\\petitforestier.fr\siege\Applications\BaseProduits\Datas\Publipostage\Images\PUBLICATION%20-%20EURO%206\PLAN%20VEHICULES\RENAULT_TRAFIC-L1H1_FF-X200T_LC-STRATE%20FORME.jpg" TargetMode="External"/><Relationship Id="rId27" Type="http://schemas.openxmlformats.org/officeDocument/2006/relationships/hyperlink" Target="file:///\\petitforestier.fr\siege\Applications\BaseProduits\Datas\Publipostage\Images\PUBLICATION%20-%20EURO%206\PLAN%20VEHICULES\IVECO_DAILY_35S-CF04_X350T.jpg" TargetMode="External"/><Relationship Id="rId48" Type="http://schemas.openxmlformats.org/officeDocument/2006/relationships/hyperlink" Target="file:///\\petitforestier.fr\siege\Applications\BaseProduits\Datas\Publipostage\Images\PUBLICATION%20-%20SEC%20-%20HYGIENE%20-%20EURO%206\PLAN%20VEHICULES\PLANS%202014\IVECO\35C_CS04.jpg" TargetMode="External"/><Relationship Id="rId69" Type="http://schemas.openxmlformats.org/officeDocument/2006/relationships/hyperlink" Target="file:///\\petitforestier.fr\siege\Applications\BaseProduits\Datas\Publipostage\Images\PUBLICATION%20-%20SEC%20-%20HYGIENE%20-%20EURO%206\PLAN%20VEHICULES\PLANS%202014\IVECO\70C_CS04.jpg" TargetMode="External"/><Relationship Id="rId113" Type="http://schemas.openxmlformats.org/officeDocument/2006/relationships/hyperlink" Target="Z_Outil%20collaboratif%20Grand%20Compte\Image%20Carburant\DIESEL.jpg" TargetMode="External"/><Relationship Id="rId134" Type="http://schemas.openxmlformats.org/officeDocument/2006/relationships/hyperlink" Target="Z_Outil%20collaboratif%20Grand%20Compte\Image%20Client\RELAIS%20D'OR.jpg" TargetMode="External"/><Relationship Id="rId80" Type="http://schemas.openxmlformats.org/officeDocument/2006/relationships/hyperlink" Target="file:///\\petitforestier.fr\siege\Applications\BaseProduits\Datas\Publipostage\Images\PUBLICATION%20-%20SEC%20-%20HYGIENE%20-%20EURO%206\PLAN%20VEHICULES\PLANS%202014\IVECO\100E_CH01.jpg" TargetMode="External"/><Relationship Id="rId155" Type="http://schemas.openxmlformats.org/officeDocument/2006/relationships/hyperlink" Target="Z_Outil%20collaboratif%20Grand%20Compte\Image%20Vehicule\EPISAVEURS\160E21%20CI%20-%2018%20PAL%20-%20EPISAVEURS.jpg" TargetMode="External"/><Relationship Id="rId176" Type="http://schemas.openxmlformats.org/officeDocument/2006/relationships/hyperlink" Target="Z_Outil%20collaboratif%20Grand%20Compte\Image%20Vehicule\RELAIS%20D'OR\D10.210%20CF%20-%2011%20PAL-21%20ROLLS%20-%20HAYON%20RETRACTABLE%20-%20RELAIS%20D'OR.jpg" TargetMode="External"/><Relationship Id="rId197" Type="http://schemas.openxmlformats.org/officeDocument/2006/relationships/hyperlink" Target="Z_Outil%20collaboratif%20Grand%20Compte\Image%20Vehicule\TERRE%20AZUR\190EL28%20CF%20-%2021%20PAL%20-%20TERRE%20AZUR.jpg" TargetMode="External"/><Relationship Id="rId201" Type="http://schemas.openxmlformats.org/officeDocument/2006/relationships/hyperlink" Target="Z_Outil%20collaboratif%20Grand%20Compte\Image%20Vehicule\TERRE%20AZUR\D16.210%20CF%20-%2018%20PAL%20-%20TERRE%20AZUR.jpg" TargetMode="External"/><Relationship Id="rId222" Type="http://schemas.openxmlformats.org/officeDocument/2006/relationships/hyperlink" Target="file:///\\petitforestier.fr\siege\Applications\BaseProduits\Datas\Publipostage\Images\PUBLICATION%20-%20EURO%206\PLAN%20VEHICULES\RENAULT_KANGOO_KOCF01-E200-DEFLECTEUR.jpg" TargetMode="External"/><Relationship Id="rId243" Type="http://schemas.openxmlformats.org/officeDocument/2006/relationships/hyperlink" Target="file:///\\petitforestier.fr\siege\Applications\BaseProduits\Datas\Publipostage\Images\PUBLICATION%20-%20EURO%206\PLAN%20VEHICULES\RENAULT_D12.210PCF02_TKT1000-Spec.jpg" TargetMode="External"/><Relationship Id="rId17" Type="http://schemas.openxmlformats.org/officeDocument/2006/relationships/hyperlink" Target="file:///\\petitforestier.fr\siege\Applications\BaseProduits\Datas\Publipostage\Images\PUBLICATION%20-%20EURO%206\PLAN%20VEHICULES\RENAULT_KANGOO_KOCF01-NHE200S-DEFLECTEUR.jpg" TargetMode="External"/><Relationship Id="rId38" Type="http://schemas.openxmlformats.org/officeDocument/2006/relationships/hyperlink" Target="file:///\\petitforestier.fr\siege\Applications\BaseProduits\Datas\Publipostage\Images\PUBLICATION%20-%20EURO%206\PLAN%20VEHICULES\RENAULT_D14.210PCF02_TKT1000-Spec.jpg" TargetMode="External"/><Relationship Id="rId59" Type="http://schemas.openxmlformats.org/officeDocument/2006/relationships/hyperlink" Target="file:///\\petitforestier.fr\siege\Applications\BaseProduits\Datas\Publipostage\Images\PUBLICATION%20-%20SEC%20-%20HYGIENE%20-%20EURO%206\PLAN%20VEHICULES\PLANS%202014\RENAULT\D16.210%20CS%2001.jpg" TargetMode="External"/><Relationship Id="rId103" Type="http://schemas.openxmlformats.org/officeDocument/2006/relationships/hyperlink" Target="Z_Outil%20collaboratif%20Grand%20Compte\Image%20Client\PASSION%20FROID.jpg" TargetMode="External"/><Relationship Id="rId124" Type="http://schemas.openxmlformats.org/officeDocument/2006/relationships/hyperlink" Target="Z_Outil%20collaboratif%20Grand%20Compte\Image%20Vehicule\SEMI-REMORQUE\SEMCF04%20-%20MULTI%20-%20DOUBLE%20PLANCHER%20-%20HAYON.jpg" TargetMode="External"/><Relationship Id="rId70" Type="http://schemas.openxmlformats.org/officeDocument/2006/relationships/hyperlink" Target="file:///\\petitforestier.fr\siege\Applications\BaseProduits\Datas\Publipostage\Images\PUBLICATION%20-%20SEC%20-%20HYGIENE%20-%20EURO%206\PLAN%20VEHICULES\PLANS%202014\IVECO\70C_CS04.jpg" TargetMode="External"/><Relationship Id="rId91" Type="http://schemas.openxmlformats.org/officeDocument/2006/relationships/hyperlink" Target="file:///\\petitforestier.fr\siege\Applications\BaseProduits\Datas\Publipostage\Images\PUBLICATION%20-%20SEC%20-%20HYGIENE%20-%20EURO%206\PLAN%20VEHICULES\PLANS%202014\DAF\LF%20180.12%20CB%2001.jpg" TargetMode="External"/><Relationship Id="rId145" Type="http://schemas.openxmlformats.org/officeDocument/2006/relationships/hyperlink" Target="Z_Outil%20collaboratif%20Grand%20Compte\Image%20Vehicule\EPISAVEURS\160E21%20CS%20-%2015%20PAL%20-%20EPISAVEURS.jpg" TargetMode="External"/><Relationship Id="rId166" Type="http://schemas.openxmlformats.org/officeDocument/2006/relationships/hyperlink" Target="Z_Outil%20collaboratif%20Grand%20Compte\Image%20Vehicule\PASSION%20FROID\D16.210%20CF%20-%2018%20PAL%20-%20EASY%20ACC'AIR%20-%20PASSION%20FROID.jpg" TargetMode="External"/><Relationship Id="rId187" Type="http://schemas.openxmlformats.org/officeDocument/2006/relationships/hyperlink" Target="Z_Outil%20collaboratif%20Grand%20Compte\Image%20Vehicule\SAVEURS%20D'ANTOINE\100E19%20CF%20-%2010%20PAL%20-%20SAVEURS%20D'ANTOINE.jpg" TargetMode="External"/><Relationship Id="rId1" Type="http://schemas.openxmlformats.org/officeDocument/2006/relationships/hyperlink" Target="file:///\\petitforestier.fr\siege\Applications\BaseProduits\Datas\Publipostage\Images\PUBLICATION%20-%20EURO%206\PLAN%20VEHICULES\IVECO_DAILY_35S-FF_V12-PULSOR350_LECAP.jpg" TargetMode="External"/><Relationship Id="rId212" Type="http://schemas.openxmlformats.org/officeDocument/2006/relationships/hyperlink" Target="Z_Outil%20collaboratif%20Grand%20Compte\Image%20Vehicule\CG\POMONA\DELICE%20ET%20CREATION\D16.210%20CF%20-%2018%20PAL%20-%20EASY%20ACC'AIR%20-%20DELICE%20ET%20CREATION.jpg" TargetMode="External"/><Relationship Id="rId233" Type="http://schemas.openxmlformats.org/officeDocument/2006/relationships/hyperlink" Target="file:///\\petitforestier.fr\siege\Applications\BaseProduits\Datas\Publipostage\Images\PUBLICATION%20-%20EURO%206\PLAN%20VEHICULES\RENAULT_TRAFIC-L2H1_FF-X200T_LC-STRATE%20FORME.jpg" TargetMode="External"/><Relationship Id="rId28" Type="http://schemas.openxmlformats.org/officeDocument/2006/relationships/hyperlink" Target="file:///\\petitforestier.fr\siege\Applications\BaseProduits\Datas\Publipostage\Images\PUBLICATION%20-%20EURO%206\PLAN%20VEHICULES\IVECO_DAILY_35S-CF04_X350T.jpg" TargetMode="External"/><Relationship Id="rId49" Type="http://schemas.openxmlformats.org/officeDocument/2006/relationships/hyperlink" Target="file:///\\petitforestier.fr\siege\Applications\BaseProduits\Datas\Publipostage\Images\PUBLICATION%20-%20SEC%20-%20HYGIENE%20-%20EURO%206\PLAN%20VEHICULES\PLANS%202014\IVECO\70C_CS03.jpg" TargetMode="External"/><Relationship Id="rId114" Type="http://schemas.openxmlformats.org/officeDocument/2006/relationships/hyperlink" Target="Z_Outil%20collaboratif%20Grand%20Compte\Image%20Vehicule\SEMI-REMORQUE\SEMCI01%20-%20SANS%20HAYON%20-%20EPISAVEURS.jpg" TargetMode="External"/><Relationship Id="rId60" Type="http://schemas.openxmlformats.org/officeDocument/2006/relationships/hyperlink" Target="file:///\\petitforestier.fr\siege\Applications\BaseProduits\Datas\Publipostage\Images\PUBLICATION%20-%20SEC%20-%20HYGIENE%20-%20EURO%206\PLAN%20VEHICULES\PLANS%202014\RENAULT\D16.210%20CS%2002.jpg" TargetMode="External"/><Relationship Id="rId81" Type="http://schemas.openxmlformats.org/officeDocument/2006/relationships/hyperlink" Target="file:///\\petitforestier.fr\siege\Applications\BaseProduits\Datas\Publipostage\Images\PUBLICATION%20-%20SEC%20-%20HYGIENE%20-%20EURO%206\PLAN%20VEHICULES\PLANS%202014\RENAULT\D12.210%20CH%2001.jpg" TargetMode="External"/><Relationship Id="rId135" Type="http://schemas.openxmlformats.org/officeDocument/2006/relationships/hyperlink" Target="Z_Outil%20collaboratif%20Grand%20Compte\Image%20Client\SAVEURS%20D'ANTOINE.jpg" TargetMode="External"/><Relationship Id="rId156" Type="http://schemas.openxmlformats.org/officeDocument/2006/relationships/hyperlink" Target="Z_Outil%20collaboratif%20Grand%20Compte\Image%20Vehicule\EPISAVEURS\190EL28%20CI%20-%2018%20PAL%20-%20EPISAVEURS.jpg" TargetMode="External"/><Relationship Id="rId177" Type="http://schemas.openxmlformats.org/officeDocument/2006/relationships/hyperlink" Target="Z_Outil%20collaboratif%20Grand%20Compte\Image%20Vehicule\RELAIS%20D'OR\D12.210%20CF%20-%2015%20PAL-24%20ROLLS%20-%20HAYON%20RETRACTABLE%20-%20RELAIS%20D'OR.jpg" TargetMode="External"/><Relationship Id="rId198" Type="http://schemas.openxmlformats.org/officeDocument/2006/relationships/hyperlink" Target="Z_Outil%20collaboratif%20Grand%20Compte\Image%20Vehicule\TERRE%20AZUR\190EL28%20CF%20-%2042%20PAL%20-%20Double%20plancher%20-%20TERRE%20AZUR.jpg" TargetMode="External"/><Relationship Id="rId202" Type="http://schemas.openxmlformats.org/officeDocument/2006/relationships/hyperlink" Target="Z_Outil%20collaboratif%20Grand%20Compte\Image%20Vehicule\TERRE%20AZUR\D19.280%20CF%20WIDE%20-%20TERRE%20AZUR.jpg" TargetMode="External"/><Relationship Id="rId223" Type="http://schemas.openxmlformats.org/officeDocument/2006/relationships/hyperlink" Target="file:///\\petitforestier.fr\siege\Applications\BaseProduits\Datas\Publipostage\Images\PUBLICATION%20-%20EURO%206\PLAN%20VEHICULES\RENAULT_KANGOO_KOCF01-E200-DEFLECTEUR.jpg" TargetMode="External"/><Relationship Id="rId244" Type="http://schemas.openxmlformats.org/officeDocument/2006/relationships/hyperlink" Target="file:///\\petitforestier.fr\siege\Applications\BaseProduits\Datas\Publipostage\Images\PUBLICATION%20-%20EURO%206\PLAN%20VEHICULES\RENAULT_D14.210PCF02_TKT1000-Spec.jpg" TargetMode="External"/><Relationship Id="rId18" Type="http://schemas.openxmlformats.org/officeDocument/2006/relationships/hyperlink" Target="file:///\\petitforestier.fr\siege\Applications\BaseProduits\Datas\Publipostage\Images\PUBLICATION%20-%20EURO%206\PLAN%20VEHICULES\RENAULT_KANGOO_KOCF01-NHE200S-DEFLECTEUR.jpg" TargetMode="External"/><Relationship Id="rId39" Type="http://schemas.openxmlformats.org/officeDocument/2006/relationships/hyperlink" Target="file:///\\petitforestier.fr\siege\Applications\BaseProduits\Datas\Publipostage\Images\PUBLICATION%20-%20EURO%206\PLAN%20VEHICULES\RENAULT_D14.210PCF02_TKT1000-Spec.jpg" TargetMode="External"/><Relationship Id="rId50" Type="http://schemas.openxmlformats.org/officeDocument/2006/relationships/hyperlink" Target="file:///\\petitforestier.fr\siege\Applications\BaseProduits\Datas\Publipostage\Images\PUBLICATION%20-%20SEC%20-%20HYGIENE%20-%20EURO%206\PLAN%20VEHICULES\PLANS%202014\IVECO\35C_CS02.jpg" TargetMode="External"/><Relationship Id="rId104" Type="http://schemas.openxmlformats.org/officeDocument/2006/relationships/hyperlink" Target="Z_Outil%20collaboratif%20Grand%20Compte\Image%20Client\PASSION%20FROID.jpg" TargetMode="External"/><Relationship Id="rId125" Type="http://schemas.openxmlformats.org/officeDocument/2006/relationships/hyperlink" Target="Z_Outil%20collaboratif%20Grand%20Compte\Image%20Carburant\SANS%20CARBURANT.jpg" TargetMode="External"/><Relationship Id="rId146" Type="http://schemas.openxmlformats.org/officeDocument/2006/relationships/hyperlink" Target="Z_Outil%20collaboratif%20Grand%20Compte\Image%20Vehicule\EPISAVEURS\190EL28%20CS%20-%2018%20PAL%20-%20EPISAVEURS.jpg" TargetMode="External"/><Relationship Id="rId167" Type="http://schemas.openxmlformats.org/officeDocument/2006/relationships/hyperlink" Target="Z_Outil%20collaboratif%20Grand%20Compte\Image%20Vehicule\PASSION%20FROID\D19.280%20CF%20-%2021%20PAL%20-%203%20VTX%20-%20PASSION%20FROID.jpg" TargetMode="External"/><Relationship Id="rId188" Type="http://schemas.openxmlformats.org/officeDocument/2006/relationships/hyperlink" Target="Z_Outil%20collaboratif%20Grand%20Compte\Image%20Vehicule\SAVEURS%20D'ANTOINE\D10.210%20CF%20-%2010%20PAL%20-%20SAVEURS%20D'ANTOINE.jpg" TargetMode="External"/><Relationship Id="rId71" Type="http://schemas.openxmlformats.org/officeDocument/2006/relationships/hyperlink" Target="file:///\\petitforestier.fr\siege\Applications\BaseProduits\Datas\Publipostage\Images\PUBLICATION%20-%20SEC%20-%20HYGIENE%20-%20EURO%206\PLAN%20VEHICULES\PLANS%202014\IVECO\70C_CS04.jpg" TargetMode="External"/><Relationship Id="rId92" Type="http://schemas.openxmlformats.org/officeDocument/2006/relationships/hyperlink" Target="file:///\\petitforestier.fr\siege\Applications\BaseProduits\Datas\Publipostage\Images\PUBLICATION%20-%20SEC%20-%20HYGIENE%20-%20EURO%206\PLAN%20VEHICULES\PLANS%202014\DAF\LF%20180.12%20CB%2001.jpg" TargetMode="External"/><Relationship Id="rId213" Type="http://schemas.openxmlformats.org/officeDocument/2006/relationships/hyperlink" Target="Z_Outil%20collaboratif%20Grand%20Compte\Image%20Vehicule\CG\POMONA\DELICE%20ET%20CREATION\D16.210%20CF%20-%2018%20PAL%20-%203%20VTX%20-%20DELICE%20ET%20CREATION.jpg" TargetMode="External"/><Relationship Id="rId234" Type="http://schemas.openxmlformats.org/officeDocument/2006/relationships/hyperlink" Target="file:///\\petitforestier.fr\siege\Applications\BaseProduits\Datas\Publipostage\Images\PUBLICATION%20-%20EURO%206\PLAN%20VEHICULES\RENAULT_TRAFIC_TCCF01.jpg" TargetMode="External"/><Relationship Id="rId2" Type="http://schemas.openxmlformats.org/officeDocument/2006/relationships/hyperlink" Target="file:///\\petitforestier.fr\siege\Applications\BaseProduits\Datas\Publipostage\Images\PUBLICATION%20-%20EURO%206\PLAN%20VEHICULES\IVECO_E-DAILY-1048_42S-CF05-URBAN_TKE500-Spec.jpg" TargetMode="External"/><Relationship Id="rId29" Type="http://schemas.openxmlformats.org/officeDocument/2006/relationships/hyperlink" Target="file:///\\petitforestier.fr\siege\Applications\BaseProduits\Datas\Publipostage\Images\PUBLICATION%20-%20EURO%206\PLAN%20VEHICULES\IVECO_DAILY_35S-CF01_X350T.jpg" TargetMode="External"/><Relationship Id="rId40" Type="http://schemas.openxmlformats.org/officeDocument/2006/relationships/hyperlink" Target="file:///\\petitforestier.fr\siege\Applications\BaseProduits\Datas\Publipostage\Images\PUBLICATION%20-%20EURO%206\PLAN%20VEHICULES\RENAULT_D12.210PCF02_TKT1000-Spec.jpg" TargetMode="External"/><Relationship Id="rId115" Type="http://schemas.openxmlformats.org/officeDocument/2006/relationships/hyperlink" Target="Z_Outil%20collaboratif%20Grand%20Compte\Image%20Vehicule\SEMI-REMORQUE\SEMCI01%20-%20DOUBLE%20PLANCHER%20-%20SANS%20HAYON%20-%20EPISAVEURS.jpg" TargetMode="External"/><Relationship Id="rId136" Type="http://schemas.openxmlformats.org/officeDocument/2006/relationships/hyperlink" Target="Z_Outil%20collaboratif%20Grand%20Compte\Image%20Client\SAVEURS%20D'ANTOINE.jpg" TargetMode="External"/><Relationship Id="rId157" Type="http://schemas.openxmlformats.org/officeDocument/2006/relationships/hyperlink" Target="Z_Outil%20collaboratif%20Grand%20Compte\Image%20Vehicule\EPISAVEURS\190EL28%20CI%20-%2021%20PAL%20-%20EPISAVEURS.jpg" TargetMode="External"/><Relationship Id="rId178" Type="http://schemas.openxmlformats.org/officeDocument/2006/relationships/hyperlink" Target="Z_Outil%20collaboratif%20Grand%20Compte\Image%20Vehicule\RELAIS%20D'OR\D16.210%20CF%20-%2018%20PALL-30%20ROLLS%20-%20HAYON%20RETRACTABLE%20-%20RELAIS%20D'OR.jpg" TargetMode="External"/><Relationship Id="rId61" Type="http://schemas.openxmlformats.org/officeDocument/2006/relationships/hyperlink" Target="file:///\\petitforestier.fr\siege\Applications\BaseProduits\Datas\Publipostage\Images\PUBLICATION%20-%20SEC%20-%20HYGIENE%20-%20EURO%206\PLAN%20VEHICULES\PLANS%202014\RENAULT\D19.280%20CS%2001.jpg" TargetMode="External"/><Relationship Id="rId82" Type="http://schemas.openxmlformats.org/officeDocument/2006/relationships/hyperlink" Target="file:///\\petitforestier.fr\siege\Applications\BaseProduits\Datas\Publipostage\Images\PUBLICATION%20-%20SEC%20-%20HYGIENE%20-%20EURO%206\PLAN%20VEHICULES\PLANS%202014\RENAULT\D16.210%20CH%2001.jpg" TargetMode="External"/><Relationship Id="rId199" Type="http://schemas.openxmlformats.org/officeDocument/2006/relationships/hyperlink" Target="Z_Outil%20collaboratif%20Grand%20Compte\Image%20Vehicule\TERRE%20AZUR\D12.210%20CF%20-%20TERRE%20AZUR.jpg" TargetMode="External"/><Relationship Id="rId203" Type="http://schemas.openxmlformats.org/officeDocument/2006/relationships/hyperlink" Target="Z_Outil%20collaboratif%20Grand%20Compte\Image%20Vehicule\TERRE%20AZUR\D19.280%20CF%20WIDE%20-%2042%20PAL%20-%20TERRE%20AZUR.jpg" TargetMode="External"/><Relationship Id="rId19" Type="http://schemas.openxmlformats.org/officeDocument/2006/relationships/hyperlink" Target="file:///\\petitforestier.fr\siege\Applications\BaseProduits\Datas\Publipostage\Images\PUBLICATION%20-%20EURO%206\PLAN%20VEHICULES\RENAULT_KANGOO_KOCF02-NHE200S-DEFLECTEUR.jpg" TargetMode="External"/><Relationship Id="rId224" Type="http://schemas.openxmlformats.org/officeDocument/2006/relationships/hyperlink" Target="file:///\\petitforestier.fr\siege\Applications\BaseProduits\Datas\Publipostage\Images\PUBLICATION%20-%20EURO%206\PLAN%20VEHICULES\RENAULT_KANGOO_KOFF01-NEOS100S-CARENAGE.jpg" TargetMode="External"/><Relationship Id="rId245" Type="http://schemas.openxmlformats.org/officeDocument/2006/relationships/hyperlink" Target="file:///\\petitforestier.fr\siege\Applications\BaseProduits\Datas\Publipostage\Images\PUBLICATION%20-%20EURO%206\PLAN%20VEHICULES\RENAULT_D16.250PCF02_TKT1000-Spec.jpg" TargetMode="External"/><Relationship Id="rId30" Type="http://schemas.openxmlformats.org/officeDocument/2006/relationships/hyperlink" Target="file:///\\petitforestier.fr\siege\Applications\BaseProduits\Datas\Publipostage\Images\PUBLICATION%20-%20EURO%206\PLAN%20VEHICULES\IVECO_DAILY_35S-CF01_X350T.jpg" TargetMode="External"/><Relationship Id="rId105" Type="http://schemas.openxmlformats.org/officeDocument/2006/relationships/hyperlink" Target="Z_Outil%20collaboratif%20Grand%20Compte\Image%20Vehicule\PASSION%20FROID\DCOCF%20-%20BVA-%20PASSION%20FROID.jpg" TargetMode="External"/><Relationship Id="rId126" Type="http://schemas.openxmlformats.org/officeDocument/2006/relationships/hyperlink" Target="Z_Outil%20collaboratif%20Grand%20Compte\Image%20Carburant\SANS%20CARBURANT.jpg" TargetMode="External"/><Relationship Id="rId147" Type="http://schemas.openxmlformats.org/officeDocument/2006/relationships/hyperlink" Target="Z_Outil%20collaboratif%20Grand%20Compte\Image%20Vehicule\EPISAVEURS\190EL28%20CS%20-%2021%20PAL%20-%20EPISAVEURS.jpg" TargetMode="External"/><Relationship Id="rId168" Type="http://schemas.openxmlformats.org/officeDocument/2006/relationships/hyperlink" Target="Z_Outil%20collaboratif%20Grand%20Compte\Image%20Vehicule\PASSION%20FROID\D19.280%20CF%20-%2021%20PAL%20-%20EASY%20ACC'AIR%20-%20PASSION%20FROID.jpg" TargetMode="External"/><Relationship Id="rId51" Type="http://schemas.openxmlformats.org/officeDocument/2006/relationships/hyperlink" Target="file:///\\petitforestier.fr\siege\Applications\BaseProduits\Datas\Publipostage\Images\PUBLICATION%20-%20SEC%20-%20HYGIENE%20-%20EURO%206\PLAN%20VEHICULES\PLANS%202014\IVECO\35S_CS01.jpg" TargetMode="External"/><Relationship Id="rId72" Type="http://schemas.openxmlformats.org/officeDocument/2006/relationships/hyperlink" Target="file:///\\petitforestier.fr\siege\Applications\BaseProduits\Datas\Publipostage\Images\PUBLICATION%20-%20SEC%20-%20HYGIENE%20-%20EURO%206\PLAN%20VEHICULES\PLANS%202014\IVECO\70C_CS04.jpg" TargetMode="External"/><Relationship Id="rId93" Type="http://schemas.openxmlformats.org/officeDocument/2006/relationships/hyperlink" Target="Z_Outil%20collaboratif%20Grand%20Compte\Image%20Vehicule\CG\POMONA\DELICE%20ET%20CREATION\35S14%20CF%20-%205%20PAL%20-%20DELICE%20ET%20CREATION.jpg" TargetMode="External"/><Relationship Id="rId189" Type="http://schemas.openxmlformats.org/officeDocument/2006/relationships/hyperlink" Target="Z_Outil%20collaboratif%20Grand%20Compte\Image%20Vehicule\TERRE%20AZUR\35S14%20CF%20URBAN%20-%205%20PAL%20-%20TERRE%20AZUR.jpg" TargetMode="External"/><Relationship Id="rId3" Type="http://schemas.openxmlformats.org/officeDocument/2006/relationships/hyperlink" Target="file:///\\petitforestier.fr\siege\Applications\BaseProduits\Datas\Publipostage\Images\PUBLICATION%20-%20EURO%206\PLAN%20VEHICULES\IVECO_E-DAILY-1048_42S-CF01-URBAN_TKE500.jpg" TargetMode="External"/><Relationship Id="rId214" Type="http://schemas.openxmlformats.org/officeDocument/2006/relationships/hyperlink" Target="Z_Outil%20collaboratif%20Grand%20Compte\Image%20Vehicule\CG\POMONA\DELICE%20ET%20CREATION\D16.210%20CF%20-%2015%20PAL%20-%20EASY%20ACC'AIR%20-%20DELICE%20ET%20CREATION.jpg" TargetMode="External"/><Relationship Id="rId235" Type="http://schemas.openxmlformats.org/officeDocument/2006/relationships/hyperlink" Target="file:///\\petitforestier.fr\siege\Applications\BaseProduits\Datas\Publipostage\Images\PUBLICATION%20-%20EURO%206\PLAN%20VEHICULES\RENAULT_TRAFIC_TCCF02-D&#233;flect.jpg" TargetMode="External"/><Relationship Id="rId116" Type="http://schemas.openxmlformats.org/officeDocument/2006/relationships/hyperlink" Target="Z_Outil%20collaboratif%20Grand%20Compte\Image%20Vehicule\SEMI-REMORQUE\SEMCI02%20-%20HAYON%20-%20EPISAVEURS.jpg" TargetMode="External"/><Relationship Id="rId137" Type="http://schemas.openxmlformats.org/officeDocument/2006/relationships/hyperlink" Target="Z_Outil%20collaboratif%20Grand%20Compte\Image%20Client\TERRE%20AZUR.jpg" TargetMode="External"/><Relationship Id="rId158" Type="http://schemas.openxmlformats.org/officeDocument/2006/relationships/hyperlink" Target="Z_Outil%20collaboratif%20Grand%20Compte\Image%20Vehicule\EPISAVEURS\D16.210%20CI%20-%2015%20PAL%20-%20EPISAVEURS.jpg" TargetMode="External"/><Relationship Id="rId20" Type="http://schemas.openxmlformats.org/officeDocument/2006/relationships/hyperlink" Target="file:///\\petitforestier.fr\siege\Applications\BaseProduits\Datas\Publipostage\Images\PUBLICATION%20-%20EURO%206\PLAN%20VEHICULES\RENAULT_TRAFIC_TCCF02-D&#233;flect.jpg" TargetMode="External"/><Relationship Id="rId41" Type="http://schemas.openxmlformats.org/officeDocument/2006/relationships/hyperlink" Target="file:///\\petitforestier.fr\siege\Applications\BaseProduits\Datas\Publipostage\Images\PUBLICATION%20-%20EURO%206\PLAN%20VEHICULES\RENAULT_D12.210PCF02_TKT1000-Spec.jpg" TargetMode="External"/><Relationship Id="rId62" Type="http://schemas.openxmlformats.org/officeDocument/2006/relationships/hyperlink" Target="file:///\\petitforestier.fr\siege\Applications\BaseProduits\Datas\Publipostage\Images\PUBLICATION%20-%20SEC%20-%20HYGIENE%20-%20EURO%206\PLAN%20VEHICULES\PLANS%202014\RENAULT\D19.280%20CS%2002.jpg" TargetMode="External"/><Relationship Id="rId83" Type="http://schemas.openxmlformats.org/officeDocument/2006/relationships/hyperlink" Target="file:///\\petitforestier.fr\siege\Applications\BaseProduits\Datas\Publipostage\Images\PUBLICATION%20-%20SEC%20-%20HYGIENE%20-%20EURO%206\PLAN%20VEHICULES\PLANS%202014\DAF\LF%20180.12%20CB%2001.jpg" TargetMode="External"/><Relationship Id="rId179" Type="http://schemas.openxmlformats.org/officeDocument/2006/relationships/hyperlink" Target="Z_Outil%20collaboratif%20Grand%20Compte\Image%20Vehicule\RELAIS%20D'OR\D19.280%20CF%20-%2021%20PAL%20-%20HAYON%20RETRACTABLE%20-%20RELAIS%20D'OR.jpg" TargetMode="External"/><Relationship Id="rId190" Type="http://schemas.openxmlformats.org/officeDocument/2006/relationships/hyperlink" Target="Z_Outil%20collaboratif%20Grand%20Compte\Image%20Vehicule\TERRE%20AZUR\35S14%20CF%20URBAN%20-%206%20PAL%20-%20Large%20-%20TERRE%20AZUR.jpg" TargetMode="External"/><Relationship Id="rId204" Type="http://schemas.openxmlformats.org/officeDocument/2006/relationships/hyperlink" Target="Z_Outil%20collaboratif%20Grand%20Compte\Image%20Vehicule\PASSION%20FROID\D16.210%20CF%20-%2015%20PAL%20-%203%20VTX%20-%20PASSION%20FROID.jpg" TargetMode="External"/><Relationship Id="rId225" Type="http://schemas.openxmlformats.org/officeDocument/2006/relationships/hyperlink" Target="file:///\\petitforestier.fr\siege\Applications\BaseProduits\Datas\Publipostage\Images\PUBLICATION%20-%20EURO%206\PLAN%20VEHICULES\RENAULT_MASTER-965_MRCF-E_N2-XDE-01_Pulsor400-ZE.jpg" TargetMode="External"/><Relationship Id="rId246" Type="http://schemas.openxmlformats.org/officeDocument/2006/relationships/hyperlink" Target="Z_Outil%20collaboratif%20Grand%20Compte\Image%20Carburant\ELECTRIQUE.jpg" TargetMode="External"/><Relationship Id="rId106" Type="http://schemas.openxmlformats.org/officeDocument/2006/relationships/hyperlink" Target="Z_Outil%20collaboratif%20Grand%20Compte\Image%20Vehicule\PASSION%20FROID\35S14%20CF%20-%204%20PAL%20-%20PASSION%20FROID.jpg" TargetMode="External"/><Relationship Id="rId127" Type="http://schemas.openxmlformats.org/officeDocument/2006/relationships/hyperlink" Target="Z_Outil%20collaboratif%20Grand%20Compte\Image%20Vehicule\SEMI-REMORQUE\SEMCF01%20-%20MONO%20-%20SANS%20HAYON.jp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AB007-EBF1-4D61-901B-FEECBCB81EC1}">
  <sheetPr>
    <pageSetUpPr fitToPage="1"/>
  </sheetPr>
  <dimension ref="A1:WYO596"/>
  <sheetViews>
    <sheetView tabSelected="1" zoomScale="85" zoomScaleNormal="85" workbookViewId="0">
      <pane xSplit="14" ySplit="1" topLeftCell="O29" activePane="bottomRight" state="frozen"/>
      <selection pane="topRight" activeCell="O1" sqref="O1"/>
      <selection pane="bottomLeft" activeCell="A2" sqref="A2"/>
      <selection pane="bottomRight" activeCell="E291" sqref="E291"/>
    </sheetView>
  </sheetViews>
  <sheetFormatPr baseColWidth="10" defaultColWidth="10.7109375" defaultRowHeight="25.15" customHeight="1" outlineLevelRow="1" outlineLevelCol="1" x14ac:dyDescent="0.25"/>
  <cols>
    <col min="1" max="1" width="10.7109375" style="77"/>
    <col min="2" max="2" width="25.5703125" style="77" customWidth="1"/>
    <col min="3" max="3" width="19" style="77" customWidth="1" outlineLevel="1"/>
    <col min="4" max="4" width="19" style="77" customWidth="1"/>
    <col min="5" max="5" width="13.85546875" style="77" customWidth="1"/>
    <col min="6" max="6" width="13.28515625" style="77" customWidth="1"/>
    <col min="7" max="9" width="10.7109375" style="77" customWidth="1"/>
    <col min="10" max="10" width="13.28515625" style="77" customWidth="1" outlineLevel="1"/>
    <col min="11" max="11" width="16.140625" style="77" customWidth="1" outlineLevel="1" collapsed="1"/>
    <col min="12" max="12" width="13.7109375" style="77" customWidth="1" outlineLevel="1"/>
    <col min="13" max="13" width="38.85546875" style="77" customWidth="1"/>
    <col min="14" max="14" width="10.7109375" style="77"/>
    <col min="15" max="16" width="10.7109375" style="77" customWidth="1" outlineLevel="1"/>
    <col min="17" max="17" width="10.7109375" style="77" customWidth="1" outlineLevel="1" collapsed="1"/>
    <col min="18" max="18" width="8.7109375" style="77" customWidth="1" outlineLevel="1"/>
    <col min="19" max="21" width="10.7109375" style="77" customWidth="1" outlineLevel="1"/>
    <col min="22" max="22" width="10.7109375" style="48" customWidth="1" outlineLevel="1"/>
    <col min="23" max="25" width="10.7109375" style="77" customWidth="1" outlineLevel="1"/>
    <col min="26" max="26" width="10.7109375" style="77" customWidth="1"/>
    <col min="27" max="27" width="67.42578125" style="78" customWidth="1"/>
    <col min="28" max="29" width="8.28515625" style="48" customWidth="1"/>
    <col min="30" max="31" width="10.7109375" style="77" customWidth="1" outlineLevel="1"/>
    <col min="32" max="33" width="10.7109375" style="77" customWidth="1" outlineLevel="1" collapsed="1"/>
    <col min="34" max="34" width="10.7109375" style="77" customWidth="1"/>
    <col min="35" max="35" width="51.140625" style="77" customWidth="1" collapsed="1"/>
    <col min="36" max="38" width="51.140625" style="77" customWidth="1"/>
    <col min="39" max="39" width="43.85546875" style="78" customWidth="1" collapsed="1"/>
    <col min="40" max="42" width="36.5703125" style="78" customWidth="1"/>
    <col min="43" max="43" width="46.28515625" style="77" customWidth="1" collapsed="1"/>
    <col min="44" max="46" width="46.28515625" style="77" customWidth="1"/>
    <col min="47" max="47" width="35.85546875" style="77" customWidth="1" collapsed="1"/>
    <col min="48" max="48" width="35.85546875" style="77" customWidth="1"/>
    <col min="49" max="51" width="44.140625" style="78" customWidth="1"/>
    <col min="52" max="53" width="42.5703125" style="77" customWidth="1"/>
    <col min="54" max="56" width="60.42578125" style="79" customWidth="1"/>
    <col min="57" max="57" width="10.7109375" style="77" customWidth="1" outlineLevel="1"/>
    <col min="58" max="58" width="10.7109375" style="77" customWidth="1" outlineLevel="1" collapsed="1"/>
    <col min="59" max="78" width="10.7109375" style="77" customWidth="1" outlineLevel="1"/>
    <col min="79" max="16384" width="10.7109375" style="77"/>
  </cols>
  <sheetData>
    <row r="1" spans="1:72" s="65" customFormat="1" ht="25.15" customHeight="1" x14ac:dyDescent="0.25">
      <c r="A1" s="35" t="s">
        <v>0</v>
      </c>
      <c r="B1" s="75" t="s">
        <v>77</v>
      </c>
      <c r="C1" s="35" t="s">
        <v>90</v>
      </c>
      <c r="D1" s="35" t="s">
        <v>497</v>
      </c>
      <c r="E1" s="35" t="s">
        <v>1</v>
      </c>
      <c r="F1" s="35" t="s">
        <v>2</v>
      </c>
      <c r="G1" s="35" t="s">
        <v>84</v>
      </c>
      <c r="H1" s="35" t="s">
        <v>83</v>
      </c>
      <c r="I1" s="35" t="s">
        <v>3</v>
      </c>
      <c r="J1" s="35" t="s">
        <v>145</v>
      </c>
      <c r="K1" s="35" t="s">
        <v>82</v>
      </c>
      <c r="L1" s="35" t="s">
        <v>81</v>
      </c>
      <c r="M1" s="35" t="s">
        <v>4</v>
      </c>
      <c r="N1" s="35" t="s">
        <v>5</v>
      </c>
      <c r="O1" s="35" t="s">
        <v>79</v>
      </c>
      <c r="P1" s="35" t="s">
        <v>78</v>
      </c>
      <c r="Q1" s="35" t="s">
        <v>6</v>
      </c>
      <c r="R1" s="35" t="s">
        <v>80</v>
      </c>
      <c r="S1" s="35" t="s">
        <v>7</v>
      </c>
      <c r="T1" s="35" t="s">
        <v>8</v>
      </c>
      <c r="U1" s="35" t="s">
        <v>9</v>
      </c>
      <c r="V1" s="35" t="s">
        <v>10</v>
      </c>
      <c r="W1" s="35" t="s">
        <v>11</v>
      </c>
      <c r="X1" s="35" t="s">
        <v>12</v>
      </c>
      <c r="Y1" s="35" t="s">
        <v>13</v>
      </c>
      <c r="Z1" s="35" t="s">
        <v>346</v>
      </c>
      <c r="AA1" s="35" t="s">
        <v>14</v>
      </c>
      <c r="AB1" s="35" t="s">
        <v>15</v>
      </c>
      <c r="AC1" s="35" t="s">
        <v>16</v>
      </c>
      <c r="AD1" s="35" t="s">
        <v>17</v>
      </c>
      <c r="AE1" s="35" t="s">
        <v>18</v>
      </c>
      <c r="AF1" s="35" t="s">
        <v>19</v>
      </c>
      <c r="AG1" s="35" t="s">
        <v>20</v>
      </c>
      <c r="AH1" s="35" t="s">
        <v>21</v>
      </c>
      <c r="AI1" s="35" t="s">
        <v>22</v>
      </c>
      <c r="AJ1" s="35" t="s">
        <v>4354</v>
      </c>
      <c r="AK1" s="35" t="s">
        <v>398</v>
      </c>
      <c r="AL1" s="35" t="s">
        <v>4355</v>
      </c>
      <c r="AM1" s="35" t="s">
        <v>24</v>
      </c>
      <c r="AN1" s="35" t="s">
        <v>4356</v>
      </c>
      <c r="AO1" s="35" t="s">
        <v>25</v>
      </c>
      <c r="AP1" s="35" t="s">
        <v>4357</v>
      </c>
      <c r="AQ1" s="35" t="s">
        <v>26</v>
      </c>
      <c r="AR1" s="35" t="s">
        <v>4358</v>
      </c>
      <c r="AS1" s="35" t="s">
        <v>27</v>
      </c>
      <c r="AT1" s="35" t="s">
        <v>4359</v>
      </c>
      <c r="AU1" s="76" t="s">
        <v>445</v>
      </c>
      <c r="AV1" s="76" t="s">
        <v>446</v>
      </c>
      <c r="AW1" s="76" t="s">
        <v>447</v>
      </c>
      <c r="AX1" s="76" t="s">
        <v>2657</v>
      </c>
      <c r="AY1" s="35" t="s">
        <v>148</v>
      </c>
      <c r="AZ1" s="35" t="s">
        <v>147</v>
      </c>
      <c r="BA1" s="35" t="s">
        <v>103</v>
      </c>
      <c r="BB1" s="35" t="s">
        <v>104</v>
      </c>
      <c r="BC1" s="35" t="s">
        <v>105</v>
      </c>
      <c r="BD1" s="35" t="s">
        <v>106</v>
      </c>
      <c r="BE1" s="35" t="s">
        <v>107</v>
      </c>
      <c r="BF1" s="35" t="s">
        <v>101</v>
      </c>
      <c r="BG1" s="35" t="s">
        <v>102</v>
      </c>
      <c r="BH1" s="35" t="s">
        <v>99</v>
      </c>
      <c r="BI1" s="35" t="s">
        <v>100</v>
      </c>
      <c r="BJ1" s="35" t="s">
        <v>52</v>
      </c>
      <c r="BK1" s="35" t="s">
        <v>53</v>
      </c>
      <c r="BL1" s="35" t="s">
        <v>54</v>
      </c>
      <c r="BM1" s="35" t="s">
        <v>55</v>
      </c>
      <c r="BN1" s="35" t="s">
        <v>56</v>
      </c>
      <c r="BO1" s="35" t="s">
        <v>57</v>
      </c>
      <c r="BP1" s="35" t="s">
        <v>58</v>
      </c>
      <c r="BQ1" s="35" t="s">
        <v>59</v>
      </c>
      <c r="BR1" s="35" t="s">
        <v>60</v>
      </c>
      <c r="BS1" s="35" t="s">
        <v>61</v>
      </c>
      <c r="BT1" s="35" t="s">
        <v>62</v>
      </c>
    </row>
    <row r="2" spans="1:72" s="143" customFormat="1" ht="25.15" customHeight="1" x14ac:dyDescent="0.25">
      <c r="A2" s="9" t="s">
        <v>202</v>
      </c>
      <c r="B2" s="80" t="s">
        <v>1139</v>
      </c>
      <c r="C2" s="80"/>
      <c r="D2" s="80"/>
      <c r="E2" s="80" t="s">
        <v>1140</v>
      </c>
      <c r="F2" s="80" t="s">
        <v>1140</v>
      </c>
      <c r="G2" s="80" t="s">
        <v>1141</v>
      </c>
      <c r="H2" s="80" t="s">
        <v>29</v>
      </c>
      <c r="I2" s="80"/>
      <c r="J2" s="80"/>
      <c r="K2" s="80" t="s">
        <v>30</v>
      </c>
      <c r="L2" s="1"/>
      <c r="M2" s="80" t="s">
        <v>1142</v>
      </c>
      <c r="N2" s="80" t="s">
        <v>31</v>
      </c>
      <c r="O2" s="80">
        <v>1224</v>
      </c>
      <c r="P2" s="80">
        <v>824</v>
      </c>
      <c r="Q2" s="80">
        <v>890</v>
      </c>
      <c r="R2" s="80"/>
      <c r="S2" s="80">
        <v>1604</v>
      </c>
      <c r="T2" s="80">
        <v>998</v>
      </c>
      <c r="U2" s="80">
        <v>2617</v>
      </c>
      <c r="V2" s="80">
        <v>630</v>
      </c>
      <c r="W2" s="80"/>
      <c r="X2" s="80"/>
      <c r="Y2" s="80"/>
      <c r="Z2" s="80"/>
      <c r="AA2" s="80" t="s">
        <v>1143</v>
      </c>
      <c r="AB2" s="80">
        <v>400</v>
      </c>
      <c r="AC2" s="80">
        <v>100</v>
      </c>
      <c r="AD2" s="80"/>
      <c r="AE2" s="80"/>
      <c r="AF2" s="80"/>
      <c r="AG2" s="80"/>
      <c r="AH2" s="80">
        <v>0.9</v>
      </c>
      <c r="AI2" s="80"/>
      <c r="AJ2" s="80"/>
      <c r="AK2" s="80" t="s">
        <v>1145</v>
      </c>
      <c r="AL2" s="80"/>
      <c r="AM2" s="80" t="s">
        <v>1146</v>
      </c>
      <c r="AN2" s="80"/>
      <c r="AO2" s="80" t="s">
        <v>1147</v>
      </c>
      <c r="AP2" s="80"/>
      <c r="AQ2" s="80" t="s">
        <v>1148</v>
      </c>
      <c r="AR2" s="80"/>
      <c r="AS2" s="80"/>
      <c r="AT2" s="80"/>
      <c r="AU2" s="80" t="s">
        <v>1149</v>
      </c>
      <c r="AV2" s="80"/>
      <c r="AW2" s="80"/>
      <c r="AX2" s="80"/>
      <c r="AY2" s="80"/>
      <c r="AZ2" s="80"/>
      <c r="BA2" s="80"/>
      <c r="BB2" s="80"/>
      <c r="BC2" s="80"/>
      <c r="BD2" s="80"/>
      <c r="BE2" s="80"/>
      <c r="BF2" s="80"/>
      <c r="BG2" s="80"/>
      <c r="BH2" s="80"/>
      <c r="BI2" s="80"/>
      <c r="BJ2" s="80"/>
      <c r="BK2" s="80"/>
      <c r="BL2" s="80"/>
      <c r="BM2" s="80"/>
      <c r="BN2" s="80"/>
      <c r="BO2" s="80"/>
      <c r="BP2" s="80"/>
      <c r="BQ2" s="80"/>
      <c r="BR2" s="80"/>
      <c r="BS2" s="80"/>
      <c r="BT2" s="80"/>
    </row>
    <row r="3" spans="1:72" s="143" customFormat="1" ht="25.15" customHeight="1" outlineLevel="1" x14ac:dyDescent="0.25">
      <c r="A3" s="9" t="s">
        <v>202</v>
      </c>
      <c r="B3" s="80" t="s">
        <v>1139</v>
      </c>
      <c r="C3" s="80" t="s">
        <v>1150</v>
      </c>
      <c r="D3" s="80"/>
      <c r="E3" s="80" t="s">
        <v>448</v>
      </c>
      <c r="F3" s="80" t="s">
        <v>1151</v>
      </c>
      <c r="G3" s="80" t="s">
        <v>1152</v>
      </c>
      <c r="H3" s="80" t="s">
        <v>29</v>
      </c>
      <c r="I3" s="80"/>
      <c r="J3" s="80"/>
      <c r="K3" s="80" t="s">
        <v>1153</v>
      </c>
      <c r="L3" s="1"/>
      <c r="M3" s="80" t="s">
        <v>1154</v>
      </c>
      <c r="N3" s="80" t="s">
        <v>31</v>
      </c>
      <c r="O3" s="80">
        <v>1495</v>
      </c>
      <c r="P3" s="80">
        <v>1245</v>
      </c>
      <c r="Q3" s="80">
        <v>1040</v>
      </c>
      <c r="R3" s="80"/>
      <c r="S3" s="80">
        <v>1860</v>
      </c>
      <c r="T3" s="80">
        <v>1848</v>
      </c>
      <c r="U3" s="80">
        <v>4403</v>
      </c>
      <c r="V3" s="80">
        <v>640</v>
      </c>
      <c r="W3" s="80">
        <v>2785</v>
      </c>
      <c r="X3" s="80">
        <v>726</v>
      </c>
      <c r="Y3" s="80"/>
      <c r="Z3" s="80"/>
      <c r="AA3" s="80" t="s">
        <v>1155</v>
      </c>
      <c r="AB3" s="80">
        <v>2020</v>
      </c>
      <c r="AC3" s="80">
        <v>420</v>
      </c>
      <c r="AD3" s="80"/>
      <c r="AE3" s="80"/>
      <c r="AF3" s="80"/>
      <c r="AG3" s="80"/>
      <c r="AH3" s="80">
        <v>1.7</v>
      </c>
      <c r="AI3" s="80" t="s">
        <v>1156</v>
      </c>
      <c r="AJ3" s="80"/>
      <c r="AK3" s="80" t="s">
        <v>1157</v>
      </c>
      <c r="AL3" s="80"/>
      <c r="AM3" s="80" t="s">
        <v>1158</v>
      </c>
      <c r="AN3" s="80"/>
      <c r="AO3" s="80" t="s">
        <v>1159</v>
      </c>
      <c r="AP3" s="80"/>
      <c r="AQ3" s="80" t="s">
        <v>1160</v>
      </c>
      <c r="AR3" s="80"/>
      <c r="AS3" s="80"/>
      <c r="AT3" s="80"/>
      <c r="AU3" s="80" t="s">
        <v>1161</v>
      </c>
      <c r="AV3" s="80"/>
      <c r="AW3" s="80"/>
      <c r="AX3" s="80"/>
      <c r="AY3" s="80"/>
      <c r="AZ3" s="80"/>
      <c r="BA3" s="80"/>
      <c r="BB3" s="80"/>
      <c r="BC3" s="80"/>
      <c r="BD3" s="80"/>
      <c r="BE3" s="80"/>
      <c r="BF3" s="80"/>
      <c r="BG3" s="80"/>
      <c r="BH3" s="80"/>
      <c r="BI3" s="80"/>
      <c r="BJ3" s="80"/>
      <c r="BK3" s="80"/>
      <c r="BL3" s="80"/>
      <c r="BM3" s="80"/>
      <c r="BN3" s="80"/>
      <c r="BO3" s="80"/>
      <c r="BP3" s="80"/>
      <c r="BQ3" s="80"/>
      <c r="BR3" s="80"/>
      <c r="BS3" s="80"/>
      <c r="BT3" s="80"/>
    </row>
    <row r="4" spans="1:72" s="143" customFormat="1" ht="25.15" customHeight="1" outlineLevel="1" x14ac:dyDescent="0.25">
      <c r="A4" s="9" t="s">
        <v>202</v>
      </c>
      <c r="B4" s="80" t="s">
        <v>1139</v>
      </c>
      <c r="C4" s="80" t="s">
        <v>1150</v>
      </c>
      <c r="D4" s="80"/>
      <c r="E4" s="80" t="s">
        <v>448</v>
      </c>
      <c r="F4" s="80" t="s">
        <v>1151</v>
      </c>
      <c r="G4" s="80" t="s">
        <v>1152</v>
      </c>
      <c r="H4" s="80" t="s">
        <v>29</v>
      </c>
      <c r="I4" s="80"/>
      <c r="J4" s="1"/>
      <c r="K4" s="80" t="s">
        <v>1153</v>
      </c>
      <c r="L4" s="1"/>
      <c r="M4" s="80" t="s">
        <v>1162</v>
      </c>
      <c r="N4" s="83" t="s">
        <v>31</v>
      </c>
      <c r="O4" s="80">
        <v>1495</v>
      </c>
      <c r="P4" s="80">
        <v>1245</v>
      </c>
      <c r="Q4" s="80">
        <v>1040</v>
      </c>
      <c r="R4" s="80"/>
      <c r="S4" s="80">
        <v>1860</v>
      </c>
      <c r="T4" s="80">
        <v>1848</v>
      </c>
      <c r="U4" s="80">
        <v>4403</v>
      </c>
      <c r="V4" s="80">
        <v>640</v>
      </c>
      <c r="W4" s="80">
        <v>2785</v>
      </c>
      <c r="X4" s="80">
        <v>726</v>
      </c>
      <c r="Y4" s="80"/>
      <c r="Z4" s="80"/>
      <c r="AA4" s="80" t="s">
        <v>1155</v>
      </c>
      <c r="AB4" s="80">
        <v>2020</v>
      </c>
      <c r="AC4" s="80">
        <v>410</v>
      </c>
      <c r="AD4" s="80"/>
      <c r="AE4" s="80"/>
      <c r="AF4" s="80"/>
      <c r="AG4" s="80"/>
      <c r="AH4" s="80">
        <v>1.7</v>
      </c>
      <c r="AI4" s="80" t="s">
        <v>1156</v>
      </c>
      <c r="AJ4" s="80"/>
      <c r="AK4" s="80" t="s">
        <v>1163</v>
      </c>
      <c r="AL4" s="80"/>
      <c r="AM4" s="80" t="s">
        <v>1158</v>
      </c>
      <c r="AN4" s="80"/>
      <c r="AO4" s="80" t="s">
        <v>1159</v>
      </c>
      <c r="AP4" s="80"/>
      <c r="AQ4" s="80" t="s">
        <v>1160</v>
      </c>
      <c r="AR4" s="80"/>
      <c r="AS4" s="80"/>
      <c r="AT4" s="80"/>
      <c r="AU4" s="80" t="s">
        <v>1161</v>
      </c>
      <c r="AV4" s="80"/>
      <c r="AW4" s="80"/>
      <c r="AX4" s="80"/>
      <c r="AY4" s="80"/>
      <c r="AZ4" s="80"/>
      <c r="BA4" s="80"/>
      <c r="BB4" s="80"/>
      <c r="BC4" s="80"/>
      <c r="BD4" s="80"/>
      <c r="BE4" s="80"/>
      <c r="BF4" s="80"/>
      <c r="BG4" s="80"/>
      <c r="BH4" s="80"/>
      <c r="BI4" s="80"/>
      <c r="BJ4" s="80"/>
      <c r="BK4" s="80"/>
      <c r="BL4" s="80"/>
      <c r="BM4" s="80"/>
      <c r="BN4" s="80"/>
      <c r="BO4" s="80"/>
      <c r="BP4" s="80"/>
      <c r="BQ4" s="80"/>
      <c r="BR4" s="80"/>
      <c r="BS4" s="80"/>
      <c r="BT4" s="80"/>
    </row>
    <row r="5" spans="1:72" s="143" customFormat="1" ht="25.15" customHeight="1" outlineLevel="1" x14ac:dyDescent="0.25">
      <c r="A5" s="9" t="s">
        <v>202</v>
      </c>
      <c r="B5" s="80" t="s">
        <v>1139</v>
      </c>
      <c r="C5" s="80" t="s">
        <v>1150</v>
      </c>
      <c r="D5" s="80"/>
      <c r="E5" s="80" t="s">
        <v>448</v>
      </c>
      <c r="F5" s="80" t="s">
        <v>1151</v>
      </c>
      <c r="G5" s="80" t="s">
        <v>1152</v>
      </c>
      <c r="H5" s="80" t="s">
        <v>29</v>
      </c>
      <c r="I5" s="80"/>
      <c r="J5" s="1"/>
      <c r="K5" s="80" t="s">
        <v>1153</v>
      </c>
      <c r="L5" s="1"/>
      <c r="M5" s="80" t="s">
        <v>1164</v>
      </c>
      <c r="N5" s="83" t="s">
        <v>31</v>
      </c>
      <c r="O5" s="80">
        <v>1495</v>
      </c>
      <c r="P5" s="80">
        <v>1245</v>
      </c>
      <c r="Q5" s="80">
        <v>1040</v>
      </c>
      <c r="R5" s="80"/>
      <c r="S5" s="80">
        <v>1860</v>
      </c>
      <c r="T5" s="80">
        <v>1848</v>
      </c>
      <c r="U5" s="80">
        <v>4403</v>
      </c>
      <c r="V5" s="80">
        <v>640</v>
      </c>
      <c r="W5" s="80">
        <v>2785</v>
      </c>
      <c r="X5" s="80">
        <v>726</v>
      </c>
      <c r="Y5" s="80"/>
      <c r="Z5" s="80"/>
      <c r="AA5" s="80" t="s">
        <v>1155</v>
      </c>
      <c r="AB5" s="80">
        <v>2020</v>
      </c>
      <c r="AC5" s="80">
        <v>390</v>
      </c>
      <c r="AD5" s="80"/>
      <c r="AE5" s="80"/>
      <c r="AF5" s="80"/>
      <c r="AG5" s="80"/>
      <c r="AH5" s="80">
        <v>1.7</v>
      </c>
      <c r="AI5" s="80" t="s">
        <v>1156</v>
      </c>
      <c r="AJ5" s="80"/>
      <c r="AK5" s="80" t="s">
        <v>1165</v>
      </c>
      <c r="AL5" s="80"/>
      <c r="AM5" s="80" t="s">
        <v>1158</v>
      </c>
      <c r="AN5" s="80"/>
      <c r="AO5" s="80" t="s">
        <v>1159</v>
      </c>
      <c r="AP5" s="80"/>
      <c r="AQ5" s="80" t="s">
        <v>1160</v>
      </c>
      <c r="AR5" s="80"/>
      <c r="AS5" s="80"/>
      <c r="AT5" s="80"/>
      <c r="AU5" s="80" t="s">
        <v>1161</v>
      </c>
      <c r="AV5" s="80"/>
      <c r="AW5" s="80"/>
      <c r="AX5" s="80"/>
      <c r="AY5" s="80"/>
      <c r="AZ5" s="80"/>
      <c r="BA5" s="80"/>
      <c r="BB5" s="80"/>
      <c r="BC5" s="80"/>
      <c r="BD5" s="80"/>
      <c r="BE5" s="80"/>
      <c r="BF5" s="80"/>
      <c r="BG5" s="80"/>
      <c r="BH5" s="80"/>
      <c r="BI5" s="80"/>
      <c r="BJ5" s="80"/>
      <c r="BK5" s="80"/>
      <c r="BL5" s="80"/>
      <c r="BM5" s="80"/>
      <c r="BN5" s="80"/>
      <c r="BO5" s="80"/>
      <c r="BP5" s="80"/>
      <c r="BQ5" s="80"/>
      <c r="BR5" s="80"/>
      <c r="BS5" s="80"/>
      <c r="BT5" s="80"/>
    </row>
    <row r="6" spans="1:72" s="144" customFormat="1" ht="25.15" customHeight="1" outlineLevel="1" x14ac:dyDescent="0.25">
      <c r="A6" s="9" t="s">
        <v>202</v>
      </c>
      <c r="B6" s="80" t="s">
        <v>1139</v>
      </c>
      <c r="C6" s="80" t="s">
        <v>1150</v>
      </c>
      <c r="D6" s="80"/>
      <c r="E6" s="80" t="s">
        <v>448</v>
      </c>
      <c r="F6" s="80" t="s">
        <v>1151</v>
      </c>
      <c r="G6" s="80" t="s">
        <v>1152</v>
      </c>
      <c r="H6" s="80" t="s">
        <v>29</v>
      </c>
      <c r="I6" s="80"/>
      <c r="J6" s="1"/>
      <c r="K6" s="80" t="s">
        <v>1153</v>
      </c>
      <c r="L6" s="1"/>
      <c r="M6" s="80" t="s">
        <v>1154</v>
      </c>
      <c r="N6" s="80" t="s">
        <v>456</v>
      </c>
      <c r="O6" s="80">
        <v>1845</v>
      </c>
      <c r="P6" s="80">
        <v>1245</v>
      </c>
      <c r="Q6" s="80">
        <v>1040</v>
      </c>
      <c r="R6" s="80"/>
      <c r="S6" s="80">
        <v>1970</v>
      </c>
      <c r="T6" s="80">
        <v>1848</v>
      </c>
      <c r="U6" s="80">
        <v>4753</v>
      </c>
      <c r="V6" s="80">
        <v>640</v>
      </c>
      <c r="W6" s="80">
        <v>2975</v>
      </c>
      <c r="X6" s="80">
        <v>886</v>
      </c>
      <c r="Y6" s="80"/>
      <c r="Z6" s="80"/>
      <c r="AA6" s="80" t="s">
        <v>1166</v>
      </c>
      <c r="AB6" s="80">
        <v>2370</v>
      </c>
      <c r="AC6" s="80">
        <v>660</v>
      </c>
      <c r="AD6" s="80"/>
      <c r="AE6" s="80"/>
      <c r="AF6" s="80"/>
      <c r="AG6" s="80"/>
      <c r="AH6" s="80" t="s">
        <v>1167</v>
      </c>
      <c r="AI6" s="80" t="s">
        <v>1156</v>
      </c>
      <c r="AJ6" s="80"/>
      <c r="AK6" s="80" t="s">
        <v>1157</v>
      </c>
      <c r="AL6" s="80"/>
      <c r="AM6" s="80" t="s">
        <v>1168</v>
      </c>
      <c r="AN6" s="80"/>
      <c r="AO6" s="80" t="s">
        <v>1169</v>
      </c>
      <c r="AP6" s="80"/>
      <c r="AQ6" s="80" t="s">
        <v>1170</v>
      </c>
      <c r="AR6" s="80"/>
      <c r="AS6" s="80"/>
      <c r="AT6" s="80"/>
      <c r="AU6" s="80" t="s">
        <v>1171</v>
      </c>
      <c r="AV6" s="80"/>
      <c r="AW6" s="80"/>
      <c r="AX6" s="80"/>
      <c r="AY6" s="80"/>
      <c r="AZ6" s="80"/>
      <c r="BA6" s="80"/>
      <c r="BB6" s="80"/>
      <c r="BC6" s="80"/>
      <c r="BD6" s="80"/>
      <c r="BE6" s="80"/>
      <c r="BF6" s="80"/>
      <c r="BG6" s="80"/>
      <c r="BH6" s="80"/>
      <c r="BI6" s="80"/>
      <c r="BJ6" s="80"/>
      <c r="BK6" s="80"/>
      <c r="BL6" s="80"/>
      <c r="BM6" s="80"/>
      <c r="BN6" s="80"/>
      <c r="BO6" s="80"/>
      <c r="BP6" s="80"/>
      <c r="BQ6" s="80"/>
      <c r="BR6" s="80"/>
      <c r="BS6" s="80"/>
      <c r="BT6" s="80"/>
    </row>
    <row r="7" spans="1:72" s="144" customFormat="1" ht="25.15" customHeight="1" outlineLevel="1" x14ac:dyDescent="0.25">
      <c r="A7" s="9" t="s">
        <v>202</v>
      </c>
      <c r="B7" s="80" t="s">
        <v>1139</v>
      </c>
      <c r="C7" s="80" t="s">
        <v>1150</v>
      </c>
      <c r="D7" s="80"/>
      <c r="E7" s="80" t="s">
        <v>448</v>
      </c>
      <c r="F7" s="80" t="s">
        <v>1151</v>
      </c>
      <c r="G7" s="80" t="s">
        <v>1152</v>
      </c>
      <c r="H7" s="80" t="s">
        <v>29</v>
      </c>
      <c r="I7" s="80"/>
      <c r="J7" s="1"/>
      <c r="K7" s="80" t="s">
        <v>1153</v>
      </c>
      <c r="L7" s="1"/>
      <c r="M7" s="80" t="s">
        <v>1162</v>
      </c>
      <c r="N7" s="80" t="s">
        <v>456</v>
      </c>
      <c r="O7" s="80">
        <v>1845</v>
      </c>
      <c r="P7" s="80">
        <v>1245</v>
      </c>
      <c r="Q7" s="80">
        <v>1040</v>
      </c>
      <c r="R7" s="80"/>
      <c r="S7" s="80">
        <v>1970</v>
      </c>
      <c r="T7" s="80">
        <v>1848</v>
      </c>
      <c r="U7" s="80">
        <v>4753</v>
      </c>
      <c r="V7" s="80">
        <v>640</v>
      </c>
      <c r="W7" s="80">
        <v>2975</v>
      </c>
      <c r="X7" s="80">
        <v>886</v>
      </c>
      <c r="Y7" s="80"/>
      <c r="Z7" s="80"/>
      <c r="AA7" s="80" t="s">
        <v>1166</v>
      </c>
      <c r="AB7" s="80">
        <v>2370</v>
      </c>
      <c r="AC7" s="80">
        <v>650</v>
      </c>
      <c r="AD7" s="80"/>
      <c r="AE7" s="80"/>
      <c r="AF7" s="80"/>
      <c r="AG7" s="80"/>
      <c r="AH7" s="80" t="s">
        <v>1167</v>
      </c>
      <c r="AI7" s="80" t="s">
        <v>1156</v>
      </c>
      <c r="AJ7" s="80"/>
      <c r="AK7" s="80" t="s">
        <v>1163</v>
      </c>
      <c r="AL7" s="80"/>
      <c r="AM7" s="80" t="s">
        <v>1168</v>
      </c>
      <c r="AN7" s="80"/>
      <c r="AO7" s="80" t="s">
        <v>1169</v>
      </c>
      <c r="AP7" s="80"/>
      <c r="AQ7" s="80" t="s">
        <v>1170</v>
      </c>
      <c r="AR7" s="80"/>
      <c r="AS7" s="80"/>
      <c r="AT7" s="80"/>
      <c r="AU7" s="80" t="s">
        <v>1171</v>
      </c>
      <c r="AV7" s="80"/>
      <c r="AW7" s="80"/>
      <c r="AX7" s="80"/>
      <c r="AY7" s="80"/>
      <c r="AZ7" s="80"/>
      <c r="BA7" s="80"/>
      <c r="BB7" s="80"/>
      <c r="BC7" s="80"/>
      <c r="BD7" s="80"/>
      <c r="BE7" s="80"/>
      <c r="BF7" s="80"/>
      <c r="BG7" s="80"/>
      <c r="BH7" s="80"/>
      <c r="BI7" s="80"/>
      <c r="BJ7" s="80"/>
      <c r="BK7" s="80"/>
      <c r="BL7" s="80"/>
      <c r="BM7" s="80"/>
      <c r="BN7" s="80"/>
      <c r="BO7" s="80"/>
      <c r="BP7" s="80"/>
      <c r="BQ7" s="80"/>
      <c r="BR7" s="80"/>
      <c r="BS7" s="80"/>
      <c r="BT7" s="80"/>
    </row>
    <row r="8" spans="1:72" s="144" customFormat="1" ht="25.15" customHeight="1" outlineLevel="1" x14ac:dyDescent="0.25">
      <c r="A8" s="9" t="s">
        <v>202</v>
      </c>
      <c r="B8" s="80" t="s">
        <v>1139</v>
      </c>
      <c r="C8" s="80" t="s">
        <v>1150</v>
      </c>
      <c r="D8" s="80"/>
      <c r="E8" s="80" t="s">
        <v>448</v>
      </c>
      <c r="F8" s="80" t="s">
        <v>1151</v>
      </c>
      <c r="G8" s="80" t="s">
        <v>1152</v>
      </c>
      <c r="H8" s="80" t="s">
        <v>29</v>
      </c>
      <c r="I8" s="80"/>
      <c r="J8" s="1"/>
      <c r="K8" s="80" t="s">
        <v>1153</v>
      </c>
      <c r="L8" s="1"/>
      <c r="M8" s="80" t="s">
        <v>1164</v>
      </c>
      <c r="N8" s="80" t="s">
        <v>456</v>
      </c>
      <c r="O8" s="80">
        <v>1845</v>
      </c>
      <c r="P8" s="80">
        <v>1245</v>
      </c>
      <c r="Q8" s="80">
        <v>1040</v>
      </c>
      <c r="R8" s="80"/>
      <c r="S8" s="80">
        <v>1970</v>
      </c>
      <c r="T8" s="80">
        <v>1848</v>
      </c>
      <c r="U8" s="80">
        <v>4753</v>
      </c>
      <c r="V8" s="80">
        <v>640</v>
      </c>
      <c r="W8" s="80">
        <v>2975</v>
      </c>
      <c r="X8" s="80">
        <v>886</v>
      </c>
      <c r="Y8" s="80"/>
      <c r="Z8" s="80"/>
      <c r="AA8" s="80" t="s">
        <v>1166</v>
      </c>
      <c r="AB8" s="80">
        <v>2370</v>
      </c>
      <c r="AC8" s="80">
        <v>630</v>
      </c>
      <c r="AD8" s="80"/>
      <c r="AE8" s="80"/>
      <c r="AF8" s="80"/>
      <c r="AG8" s="80"/>
      <c r="AH8" s="80" t="s">
        <v>1167</v>
      </c>
      <c r="AI8" s="80" t="s">
        <v>1156</v>
      </c>
      <c r="AJ8" s="80"/>
      <c r="AK8" s="80" t="s">
        <v>1165</v>
      </c>
      <c r="AL8" s="80"/>
      <c r="AM8" s="80" t="s">
        <v>1168</v>
      </c>
      <c r="AN8" s="80"/>
      <c r="AO8" s="80" t="s">
        <v>1169</v>
      </c>
      <c r="AP8" s="80"/>
      <c r="AQ8" s="80" t="s">
        <v>1170</v>
      </c>
      <c r="AR8" s="80"/>
      <c r="AS8" s="80"/>
      <c r="AT8" s="80"/>
      <c r="AU8" s="80" t="s">
        <v>1171</v>
      </c>
      <c r="AV8" s="80"/>
      <c r="AW8" s="80"/>
      <c r="AX8" s="80"/>
      <c r="AY8" s="80"/>
      <c r="AZ8" s="80"/>
      <c r="BA8" s="80"/>
      <c r="BB8" s="80"/>
      <c r="BC8" s="80"/>
      <c r="BD8" s="80"/>
      <c r="BE8" s="80"/>
      <c r="BF8" s="80"/>
      <c r="BG8" s="80"/>
      <c r="BH8" s="80"/>
      <c r="BI8" s="80"/>
      <c r="BJ8" s="80"/>
      <c r="BK8" s="80"/>
      <c r="BL8" s="80"/>
      <c r="BM8" s="80"/>
      <c r="BN8" s="80"/>
      <c r="BO8" s="80"/>
      <c r="BP8" s="80"/>
      <c r="BQ8" s="80"/>
      <c r="BR8" s="80"/>
      <c r="BS8" s="80"/>
      <c r="BT8" s="80"/>
    </row>
    <row r="9" spans="1:72" s="144" customFormat="1" ht="25.15" customHeight="1" outlineLevel="1" x14ac:dyDescent="0.25">
      <c r="A9" s="9" t="s">
        <v>202</v>
      </c>
      <c r="B9" s="80" t="s">
        <v>1139</v>
      </c>
      <c r="C9" s="80" t="s">
        <v>1150</v>
      </c>
      <c r="D9" s="80"/>
      <c r="E9" s="80" t="s">
        <v>448</v>
      </c>
      <c r="F9" s="80" t="s">
        <v>1172</v>
      </c>
      <c r="G9" s="80" t="s">
        <v>1152</v>
      </c>
      <c r="H9" s="80" t="s">
        <v>29</v>
      </c>
      <c r="I9" s="80"/>
      <c r="J9" s="1"/>
      <c r="K9" s="80" t="s">
        <v>1153</v>
      </c>
      <c r="L9" s="1"/>
      <c r="M9" s="80" t="s">
        <v>1173</v>
      </c>
      <c r="N9" s="80" t="s">
        <v>31</v>
      </c>
      <c r="O9" s="80">
        <v>1495</v>
      </c>
      <c r="P9" s="80">
        <v>1245</v>
      </c>
      <c r="Q9" s="80">
        <v>1040</v>
      </c>
      <c r="R9" s="80"/>
      <c r="S9" s="80">
        <v>1970</v>
      </c>
      <c r="T9" s="80">
        <v>1848</v>
      </c>
      <c r="U9" s="80">
        <v>4403</v>
      </c>
      <c r="V9" s="80">
        <v>640</v>
      </c>
      <c r="W9" s="80">
        <v>2785</v>
      </c>
      <c r="X9" s="80">
        <v>726</v>
      </c>
      <c r="Y9" s="80"/>
      <c r="Z9" s="80"/>
      <c r="AA9" s="80" t="s">
        <v>1174</v>
      </c>
      <c r="AB9" s="80">
        <v>2390</v>
      </c>
      <c r="AC9" s="80">
        <v>415</v>
      </c>
      <c r="AD9" s="80"/>
      <c r="AE9" s="80"/>
      <c r="AF9" s="80"/>
      <c r="AG9" s="80"/>
      <c r="AH9" s="80">
        <v>1.7</v>
      </c>
      <c r="AI9" s="80" t="s">
        <v>1175</v>
      </c>
      <c r="AJ9" s="80"/>
      <c r="AK9" s="80" t="s">
        <v>1176</v>
      </c>
      <c r="AL9" s="80"/>
      <c r="AM9" s="80" t="s">
        <v>1177</v>
      </c>
      <c r="AN9" s="80"/>
      <c r="AO9" s="80" t="s">
        <v>1178</v>
      </c>
      <c r="AP9" s="80"/>
      <c r="AQ9" s="80" t="s">
        <v>1179</v>
      </c>
      <c r="AR9" s="80"/>
      <c r="AS9" s="80"/>
      <c r="AT9" s="80"/>
      <c r="AU9" s="80" t="s">
        <v>1180</v>
      </c>
      <c r="AV9" s="80"/>
      <c r="AW9" s="80"/>
      <c r="AX9" s="80"/>
      <c r="AY9" s="80"/>
      <c r="AZ9" s="80"/>
      <c r="BA9" s="80"/>
      <c r="BB9" s="80"/>
      <c r="BC9" s="80"/>
      <c r="BD9" s="80"/>
      <c r="BE9" s="80"/>
      <c r="BF9" s="80"/>
      <c r="BG9" s="80"/>
      <c r="BH9" s="80"/>
      <c r="BI9" s="80"/>
      <c r="BJ9" s="80"/>
      <c r="BK9" s="80"/>
      <c r="BL9" s="80"/>
      <c r="BM9" s="80"/>
      <c r="BN9" s="80"/>
      <c r="BO9" s="80"/>
      <c r="BP9" s="80"/>
      <c r="BQ9" s="80"/>
      <c r="BR9" s="80"/>
      <c r="BS9" s="80"/>
      <c r="BT9" s="80"/>
    </row>
    <row r="10" spans="1:72" s="144" customFormat="1" ht="25.15" customHeight="1" outlineLevel="1" x14ac:dyDescent="0.25">
      <c r="A10" s="9" t="s">
        <v>202</v>
      </c>
      <c r="B10" s="80" t="s">
        <v>1139</v>
      </c>
      <c r="C10" s="80" t="s">
        <v>1150</v>
      </c>
      <c r="D10" s="80"/>
      <c r="E10" s="80" t="s">
        <v>448</v>
      </c>
      <c r="F10" s="80" t="s">
        <v>1172</v>
      </c>
      <c r="G10" s="80" t="s">
        <v>1152</v>
      </c>
      <c r="H10" s="80" t="s">
        <v>29</v>
      </c>
      <c r="I10" s="80"/>
      <c r="J10" s="1"/>
      <c r="K10" s="80" t="s">
        <v>1153</v>
      </c>
      <c r="L10" s="1"/>
      <c r="M10" s="80" t="s">
        <v>1173</v>
      </c>
      <c r="N10" s="80" t="s">
        <v>456</v>
      </c>
      <c r="O10" s="80">
        <v>1845</v>
      </c>
      <c r="P10" s="80">
        <v>1245</v>
      </c>
      <c r="Q10" s="80">
        <v>1040</v>
      </c>
      <c r="R10" s="80"/>
      <c r="S10" s="80">
        <v>1970</v>
      </c>
      <c r="T10" s="80">
        <v>1848</v>
      </c>
      <c r="U10" s="80">
        <v>4753</v>
      </c>
      <c r="V10" s="80">
        <v>640</v>
      </c>
      <c r="W10" s="80">
        <v>2975</v>
      </c>
      <c r="X10" s="80">
        <v>886</v>
      </c>
      <c r="Y10" s="80"/>
      <c r="Z10" s="80"/>
      <c r="AA10" s="80" t="s">
        <v>1181</v>
      </c>
      <c r="AB10" s="80">
        <v>2385</v>
      </c>
      <c r="AC10" s="80">
        <v>330</v>
      </c>
      <c r="AD10" s="80"/>
      <c r="AE10" s="80"/>
      <c r="AF10" s="80"/>
      <c r="AG10" s="80"/>
      <c r="AH10" s="80" t="s">
        <v>1167</v>
      </c>
      <c r="AI10" s="80" t="s">
        <v>1175</v>
      </c>
      <c r="AJ10" s="80"/>
      <c r="AK10" s="80" t="s">
        <v>1176</v>
      </c>
      <c r="AL10" s="80"/>
      <c r="AM10" s="80" t="s">
        <v>1182</v>
      </c>
      <c r="AN10" s="80"/>
      <c r="AO10" s="80" t="s">
        <v>1178</v>
      </c>
      <c r="AP10" s="80"/>
      <c r="AQ10" s="80" t="s">
        <v>1179</v>
      </c>
      <c r="AR10" s="80"/>
      <c r="AS10" s="80"/>
      <c r="AT10" s="80"/>
      <c r="AU10" s="80" t="s">
        <v>1183</v>
      </c>
      <c r="AV10" s="80"/>
      <c r="AW10" s="80"/>
      <c r="AX10" s="80"/>
      <c r="AY10" s="80"/>
      <c r="AZ10" s="80"/>
      <c r="BA10" s="80"/>
      <c r="BB10" s="80"/>
      <c r="BC10" s="80"/>
      <c r="BD10" s="80"/>
      <c r="BE10" s="80"/>
      <c r="BF10" s="80"/>
      <c r="BG10" s="80"/>
      <c r="BH10" s="80"/>
      <c r="BI10" s="80"/>
      <c r="BJ10" s="80"/>
      <c r="BK10" s="80"/>
      <c r="BL10" s="80"/>
      <c r="BM10" s="80"/>
      <c r="BN10" s="80"/>
      <c r="BO10" s="80"/>
      <c r="BP10" s="80"/>
      <c r="BQ10" s="80"/>
      <c r="BR10" s="80"/>
      <c r="BS10" s="80"/>
      <c r="BT10" s="80"/>
    </row>
    <row r="11" spans="1:72" s="144" customFormat="1" ht="25.15" customHeight="1" outlineLevel="1" x14ac:dyDescent="0.25">
      <c r="A11" s="9" t="s">
        <v>202</v>
      </c>
      <c r="B11" s="80" t="s">
        <v>1139</v>
      </c>
      <c r="C11" s="80" t="s">
        <v>1150</v>
      </c>
      <c r="D11" s="80"/>
      <c r="E11" s="80" t="s">
        <v>448</v>
      </c>
      <c r="F11" s="80" t="s">
        <v>1184</v>
      </c>
      <c r="G11" s="80" t="s">
        <v>1152</v>
      </c>
      <c r="H11" s="80" t="s">
        <v>29</v>
      </c>
      <c r="I11" s="80"/>
      <c r="J11" s="1"/>
      <c r="K11" s="80" t="s">
        <v>1153</v>
      </c>
      <c r="L11" s="1"/>
      <c r="M11" s="80" t="s">
        <v>1185</v>
      </c>
      <c r="N11" s="145" t="s">
        <v>63</v>
      </c>
      <c r="O11" s="80">
        <v>2100</v>
      </c>
      <c r="P11" s="80">
        <v>1325</v>
      </c>
      <c r="Q11" s="80">
        <v>1120</v>
      </c>
      <c r="R11" s="80"/>
      <c r="S11" s="80">
        <v>2050</v>
      </c>
      <c r="T11" s="80">
        <v>1920</v>
      </c>
      <c r="U11" s="80">
        <v>4956</v>
      </c>
      <c r="V11" s="80">
        <v>660</v>
      </c>
      <c r="W11" s="80">
        <v>3275</v>
      </c>
      <c r="X11" s="80">
        <v>803</v>
      </c>
      <c r="Y11" s="80"/>
      <c r="Z11" s="80"/>
      <c r="AA11" s="80" t="s">
        <v>1186</v>
      </c>
      <c r="AB11" s="80">
        <v>2734</v>
      </c>
      <c r="AC11" s="80">
        <v>689</v>
      </c>
      <c r="AD11" s="80"/>
      <c r="AE11" s="80"/>
      <c r="AF11" s="80"/>
      <c r="AG11" s="80"/>
      <c r="AH11" s="80" t="s">
        <v>1187</v>
      </c>
      <c r="AI11" s="80" t="s">
        <v>1188</v>
      </c>
      <c r="AJ11" s="80"/>
      <c r="AK11" s="80" t="s">
        <v>1189</v>
      </c>
      <c r="AL11" s="80"/>
      <c r="AM11" s="80" t="s">
        <v>1190</v>
      </c>
      <c r="AN11" s="80"/>
      <c r="AO11" s="80" t="s">
        <v>1191</v>
      </c>
      <c r="AP11" s="80"/>
      <c r="AQ11" s="80" t="s">
        <v>1192</v>
      </c>
      <c r="AR11" s="80"/>
      <c r="AS11" s="80"/>
      <c r="AT11" s="80"/>
      <c r="AU11" s="80" t="s">
        <v>1193</v>
      </c>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80"/>
    </row>
    <row r="12" spans="1:72" s="144" customFormat="1" ht="25.15" customHeight="1" outlineLevel="1" x14ac:dyDescent="0.25">
      <c r="A12" s="9" t="s">
        <v>202</v>
      </c>
      <c r="B12" s="98" t="s">
        <v>1139</v>
      </c>
      <c r="C12" s="80" t="s">
        <v>1150</v>
      </c>
      <c r="D12" s="146"/>
      <c r="E12" s="80" t="s">
        <v>448</v>
      </c>
      <c r="F12" s="80" t="s">
        <v>1184</v>
      </c>
      <c r="G12" s="80" t="s">
        <v>1152</v>
      </c>
      <c r="H12" s="80" t="s">
        <v>29</v>
      </c>
      <c r="I12" s="80"/>
      <c r="J12" s="1"/>
      <c r="K12" s="80" t="s">
        <v>1153</v>
      </c>
      <c r="L12" s="1"/>
      <c r="M12" s="80" t="s">
        <v>1185</v>
      </c>
      <c r="N12" s="145" t="s">
        <v>64</v>
      </c>
      <c r="O12" s="80">
        <v>2450</v>
      </c>
      <c r="P12" s="80">
        <v>1325</v>
      </c>
      <c r="Q12" s="80">
        <v>1120</v>
      </c>
      <c r="R12" s="80"/>
      <c r="S12" s="80">
        <v>2090</v>
      </c>
      <c r="T12" s="80">
        <v>1920</v>
      </c>
      <c r="U12" s="80">
        <v>5306</v>
      </c>
      <c r="V12" s="80">
        <v>657</v>
      </c>
      <c r="W12" s="80">
        <v>3275</v>
      </c>
      <c r="X12" s="80">
        <v>1153</v>
      </c>
      <c r="Y12" s="80"/>
      <c r="Z12" s="80"/>
      <c r="AA12" s="80" t="s">
        <v>1194</v>
      </c>
      <c r="AB12" s="80">
        <v>3100</v>
      </c>
      <c r="AC12" s="80">
        <v>980</v>
      </c>
      <c r="AD12" s="80"/>
      <c r="AE12" s="80"/>
      <c r="AF12" s="80"/>
      <c r="AG12" s="80"/>
      <c r="AH12" s="80" t="s">
        <v>1195</v>
      </c>
      <c r="AI12" s="80" t="s">
        <v>1188</v>
      </c>
      <c r="AJ12" s="80"/>
      <c r="AK12" s="80" t="s">
        <v>1189</v>
      </c>
      <c r="AL12" s="80"/>
      <c r="AM12" s="80" t="s">
        <v>1190</v>
      </c>
      <c r="AN12" s="80"/>
      <c r="AO12" s="80" t="s">
        <v>1191</v>
      </c>
      <c r="AP12" s="80"/>
      <c r="AQ12" s="80" t="s">
        <v>1192</v>
      </c>
      <c r="AR12" s="80"/>
      <c r="AS12" s="80"/>
      <c r="AT12" s="80"/>
      <c r="AU12" s="80" t="s">
        <v>1196</v>
      </c>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row>
    <row r="13" spans="1:72" s="144" customFormat="1" ht="25.15" customHeight="1" outlineLevel="1" x14ac:dyDescent="0.25">
      <c r="A13" s="9" t="s">
        <v>202</v>
      </c>
      <c r="B13" s="80" t="s">
        <v>1139</v>
      </c>
      <c r="C13" s="80" t="s">
        <v>1150</v>
      </c>
      <c r="D13" s="80"/>
      <c r="E13" s="80" t="s">
        <v>448</v>
      </c>
      <c r="F13" s="80" t="s">
        <v>1184</v>
      </c>
      <c r="G13" s="80" t="s">
        <v>1152</v>
      </c>
      <c r="H13" s="80" t="s">
        <v>29</v>
      </c>
      <c r="I13" s="80"/>
      <c r="J13" s="1"/>
      <c r="K13" s="80" t="s">
        <v>1153</v>
      </c>
      <c r="L13" s="1"/>
      <c r="M13" s="80" t="s">
        <v>1197</v>
      </c>
      <c r="N13" s="145" t="s">
        <v>63</v>
      </c>
      <c r="O13" s="80">
        <v>2100</v>
      </c>
      <c r="P13" s="80">
        <v>1325</v>
      </c>
      <c r="Q13" s="80">
        <v>1120</v>
      </c>
      <c r="R13" s="80"/>
      <c r="S13" s="80">
        <v>2050</v>
      </c>
      <c r="T13" s="80">
        <v>1920</v>
      </c>
      <c r="U13" s="80">
        <v>4956</v>
      </c>
      <c r="V13" s="80">
        <v>660</v>
      </c>
      <c r="W13" s="80">
        <v>3275</v>
      </c>
      <c r="X13" s="80">
        <v>803</v>
      </c>
      <c r="Y13" s="80"/>
      <c r="Z13" s="80"/>
      <c r="AA13" s="80" t="s">
        <v>1186</v>
      </c>
      <c r="AB13" s="80">
        <v>2734</v>
      </c>
      <c r="AC13" s="80">
        <v>669</v>
      </c>
      <c r="AD13" s="80"/>
      <c r="AE13" s="80"/>
      <c r="AF13" s="80"/>
      <c r="AG13" s="80"/>
      <c r="AH13" s="80" t="s">
        <v>1187</v>
      </c>
      <c r="AI13" s="80" t="s">
        <v>1188</v>
      </c>
      <c r="AJ13" s="80"/>
      <c r="AK13" s="80" t="s">
        <v>1198</v>
      </c>
      <c r="AL13" s="80"/>
      <c r="AM13" s="80" t="s">
        <v>1190</v>
      </c>
      <c r="AN13" s="80"/>
      <c r="AO13" s="80" t="s">
        <v>1191</v>
      </c>
      <c r="AP13" s="80"/>
      <c r="AQ13" s="80" t="s">
        <v>1192</v>
      </c>
      <c r="AR13" s="80"/>
      <c r="AS13" s="80"/>
      <c r="AT13" s="80"/>
      <c r="AU13" s="80" t="s">
        <v>1193</v>
      </c>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80"/>
    </row>
    <row r="14" spans="1:72" s="144" customFormat="1" ht="25.15" customHeight="1" outlineLevel="1" x14ac:dyDescent="0.25">
      <c r="A14" s="9" t="s">
        <v>202</v>
      </c>
      <c r="B14" s="80" t="s">
        <v>1139</v>
      </c>
      <c r="C14" s="80" t="s">
        <v>1150</v>
      </c>
      <c r="D14" s="146"/>
      <c r="E14" s="80" t="s">
        <v>448</v>
      </c>
      <c r="F14" s="80" t="s">
        <v>1184</v>
      </c>
      <c r="G14" s="80" t="s">
        <v>1152</v>
      </c>
      <c r="H14" s="80" t="s">
        <v>29</v>
      </c>
      <c r="I14" s="80"/>
      <c r="J14" s="1"/>
      <c r="K14" s="80" t="s">
        <v>1153</v>
      </c>
      <c r="L14" s="1"/>
      <c r="M14" s="80" t="s">
        <v>1197</v>
      </c>
      <c r="N14" s="145" t="s">
        <v>64</v>
      </c>
      <c r="O14" s="80">
        <v>2450</v>
      </c>
      <c r="P14" s="80">
        <v>1325</v>
      </c>
      <c r="Q14" s="80">
        <v>1120</v>
      </c>
      <c r="R14" s="80"/>
      <c r="S14" s="80">
        <v>2090</v>
      </c>
      <c r="T14" s="80">
        <v>1920</v>
      </c>
      <c r="U14" s="80">
        <v>5306</v>
      </c>
      <c r="V14" s="80">
        <v>657</v>
      </c>
      <c r="W14" s="80">
        <v>3275</v>
      </c>
      <c r="X14" s="80">
        <v>1153</v>
      </c>
      <c r="Y14" s="80"/>
      <c r="Z14" s="80"/>
      <c r="AA14" s="80" t="s">
        <v>1194</v>
      </c>
      <c r="AB14" s="80">
        <v>3100</v>
      </c>
      <c r="AC14" s="80">
        <v>960</v>
      </c>
      <c r="AD14" s="80"/>
      <c r="AE14" s="80"/>
      <c r="AF14" s="80"/>
      <c r="AG14" s="80"/>
      <c r="AH14" s="80" t="s">
        <v>1195</v>
      </c>
      <c r="AI14" s="80" t="s">
        <v>1188</v>
      </c>
      <c r="AJ14" s="80"/>
      <c r="AK14" s="80" t="s">
        <v>1198</v>
      </c>
      <c r="AL14" s="80"/>
      <c r="AM14" s="80" t="s">
        <v>1190</v>
      </c>
      <c r="AN14" s="80"/>
      <c r="AO14" s="80" t="s">
        <v>1191</v>
      </c>
      <c r="AP14" s="80"/>
      <c r="AQ14" s="80" t="s">
        <v>1192</v>
      </c>
      <c r="AR14" s="80"/>
      <c r="AS14" s="80"/>
      <c r="AT14" s="80"/>
      <c r="AU14" s="80" t="s">
        <v>1196</v>
      </c>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row>
    <row r="15" spans="1:72" s="144" customFormat="1" ht="25.15" customHeight="1" outlineLevel="1" x14ac:dyDescent="0.25">
      <c r="A15" s="9" t="s">
        <v>202</v>
      </c>
      <c r="B15" s="98" t="s">
        <v>1139</v>
      </c>
      <c r="C15" s="80" t="s">
        <v>1150</v>
      </c>
      <c r="D15" s="146"/>
      <c r="E15" s="80" t="s">
        <v>448</v>
      </c>
      <c r="F15" s="80" t="s">
        <v>1184</v>
      </c>
      <c r="G15" s="80" t="s">
        <v>1199</v>
      </c>
      <c r="H15" s="80" t="s">
        <v>29</v>
      </c>
      <c r="I15" s="80"/>
      <c r="J15" s="1"/>
      <c r="K15" s="80" t="s">
        <v>30</v>
      </c>
      <c r="L15" s="80"/>
      <c r="M15" s="80" t="s">
        <v>1200</v>
      </c>
      <c r="N15" s="145" t="s">
        <v>63</v>
      </c>
      <c r="O15" s="80">
        <v>2322</v>
      </c>
      <c r="P15" s="80">
        <v>1832</v>
      </c>
      <c r="Q15" s="80">
        <v>1585</v>
      </c>
      <c r="R15" s="80"/>
      <c r="S15" s="80">
        <v>2407</v>
      </c>
      <c r="T15" s="80">
        <v>1970</v>
      </c>
      <c r="U15" s="80">
        <v>5362</v>
      </c>
      <c r="V15" s="80">
        <v>740</v>
      </c>
      <c r="W15" s="80">
        <v>3275</v>
      </c>
      <c r="X15" s="80">
        <v>1207</v>
      </c>
      <c r="Y15" s="80"/>
      <c r="Z15" s="80"/>
      <c r="AA15" s="80" t="s">
        <v>1201</v>
      </c>
      <c r="AB15" s="80">
        <v>3100</v>
      </c>
      <c r="AC15" s="80">
        <v>1085</v>
      </c>
      <c r="AD15" s="80"/>
      <c r="AE15" s="80"/>
      <c r="AF15" s="80"/>
      <c r="AG15" s="80"/>
      <c r="AH15" s="80">
        <v>6.5</v>
      </c>
      <c r="AI15" s="80" t="s">
        <v>1202</v>
      </c>
      <c r="AJ15" s="80"/>
      <c r="AK15" s="80" t="s">
        <v>1189</v>
      </c>
      <c r="AL15" s="80"/>
      <c r="AM15" s="80" t="s">
        <v>1203</v>
      </c>
      <c r="AN15" s="80"/>
      <c r="AO15" s="80" t="s">
        <v>1204</v>
      </c>
      <c r="AP15" s="80"/>
      <c r="AQ15" s="80" t="s">
        <v>1205</v>
      </c>
      <c r="AR15" s="80"/>
      <c r="AS15" s="80"/>
      <c r="AT15" s="80"/>
      <c r="AU15" s="84" t="s">
        <v>1206</v>
      </c>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row>
    <row r="16" spans="1:72" s="144" customFormat="1" ht="25.15" customHeight="1" outlineLevel="1" x14ac:dyDescent="0.25">
      <c r="A16" s="9" t="s">
        <v>202</v>
      </c>
      <c r="B16" s="80" t="s">
        <v>1139</v>
      </c>
      <c r="C16" s="80" t="s">
        <v>1150</v>
      </c>
      <c r="D16" s="80"/>
      <c r="E16" s="80" t="s">
        <v>448</v>
      </c>
      <c r="F16" s="80" t="s">
        <v>1207</v>
      </c>
      <c r="G16" s="80" t="s">
        <v>1152</v>
      </c>
      <c r="H16" s="80" t="s">
        <v>29</v>
      </c>
      <c r="I16" s="80"/>
      <c r="J16" s="1"/>
      <c r="K16" s="80" t="s">
        <v>1153</v>
      </c>
      <c r="L16" s="1"/>
      <c r="M16" s="80" t="s">
        <v>1208</v>
      </c>
      <c r="N16" s="80" t="s">
        <v>31</v>
      </c>
      <c r="O16" s="80">
        <v>2100</v>
      </c>
      <c r="P16" s="80">
        <v>1325</v>
      </c>
      <c r="Q16" s="80">
        <v>1120</v>
      </c>
      <c r="R16" s="80"/>
      <c r="S16" s="80">
        <v>2050</v>
      </c>
      <c r="T16" s="80">
        <v>1920</v>
      </c>
      <c r="U16" s="80">
        <v>4956</v>
      </c>
      <c r="V16" s="80">
        <v>660</v>
      </c>
      <c r="W16" s="80">
        <v>3275</v>
      </c>
      <c r="X16" s="80">
        <v>803</v>
      </c>
      <c r="Y16" s="80"/>
      <c r="Z16" s="80"/>
      <c r="AA16" s="80" t="s">
        <v>1209</v>
      </c>
      <c r="AB16" s="80">
        <v>3025</v>
      </c>
      <c r="AC16" s="80">
        <v>575</v>
      </c>
      <c r="AD16" s="80"/>
      <c r="AE16" s="80"/>
      <c r="AF16" s="80"/>
      <c r="AG16" s="80"/>
      <c r="AH16" s="80" t="s">
        <v>1187</v>
      </c>
      <c r="AI16" s="80" t="s">
        <v>1210</v>
      </c>
      <c r="AJ16" s="80"/>
      <c r="AK16" s="80" t="s">
        <v>1211</v>
      </c>
      <c r="AL16" s="80"/>
      <c r="AM16" s="80" t="s">
        <v>1212</v>
      </c>
      <c r="AN16" s="80"/>
      <c r="AO16" s="80" t="s">
        <v>1213</v>
      </c>
      <c r="AP16" s="80"/>
      <c r="AQ16" s="80" t="s">
        <v>1214</v>
      </c>
      <c r="AR16" s="80"/>
      <c r="AS16" s="80"/>
      <c r="AT16" s="80"/>
      <c r="AU16" s="80" t="s">
        <v>1215</v>
      </c>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row>
    <row r="17" spans="1:72" s="144" customFormat="1" ht="25.15" customHeight="1" outlineLevel="1" x14ac:dyDescent="0.25">
      <c r="A17" s="9" t="s">
        <v>202</v>
      </c>
      <c r="B17" s="80" t="s">
        <v>1139</v>
      </c>
      <c r="C17" s="80" t="s">
        <v>1150</v>
      </c>
      <c r="D17" s="80"/>
      <c r="E17" s="80" t="s">
        <v>448</v>
      </c>
      <c r="F17" s="80" t="s">
        <v>1207</v>
      </c>
      <c r="G17" s="80" t="s">
        <v>1152</v>
      </c>
      <c r="H17" s="80" t="s">
        <v>29</v>
      </c>
      <c r="I17" s="80"/>
      <c r="J17" s="1"/>
      <c r="K17" s="80" t="s">
        <v>1153</v>
      </c>
      <c r="L17" s="1"/>
      <c r="M17" s="80" t="s">
        <v>1208</v>
      </c>
      <c r="N17" s="80" t="s">
        <v>456</v>
      </c>
      <c r="O17" s="80">
        <v>2450</v>
      </c>
      <c r="P17" s="80">
        <v>1325</v>
      </c>
      <c r="Q17" s="80">
        <v>1120</v>
      </c>
      <c r="R17" s="80"/>
      <c r="S17" s="80">
        <v>2090</v>
      </c>
      <c r="T17" s="80">
        <v>1920</v>
      </c>
      <c r="U17" s="80">
        <v>5306</v>
      </c>
      <c r="V17" s="80">
        <v>657</v>
      </c>
      <c r="W17" s="80">
        <v>3275</v>
      </c>
      <c r="X17" s="80">
        <v>1153</v>
      </c>
      <c r="Y17" s="80"/>
      <c r="Z17" s="80"/>
      <c r="AA17" s="80" t="s">
        <v>1216</v>
      </c>
      <c r="AB17" s="80">
        <v>3055</v>
      </c>
      <c r="AC17" s="80">
        <v>570</v>
      </c>
      <c r="AD17" s="80"/>
      <c r="AE17" s="80"/>
      <c r="AF17" s="80"/>
      <c r="AG17" s="80"/>
      <c r="AH17" s="80">
        <v>3.7</v>
      </c>
      <c r="AI17" s="80" t="s">
        <v>1210</v>
      </c>
      <c r="AJ17" s="80"/>
      <c r="AK17" s="80" t="s">
        <v>1211</v>
      </c>
      <c r="AL17" s="80"/>
      <c r="AM17" s="80" t="s">
        <v>1212</v>
      </c>
      <c r="AN17" s="80"/>
      <c r="AO17" s="80" t="s">
        <v>1213</v>
      </c>
      <c r="AP17" s="80"/>
      <c r="AQ17" s="80" t="s">
        <v>1214</v>
      </c>
      <c r="AR17" s="80"/>
      <c r="AS17" s="80"/>
      <c r="AT17" s="80"/>
      <c r="AU17" s="80" t="s">
        <v>1217</v>
      </c>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row>
    <row r="18" spans="1:72" s="147" customFormat="1" ht="25.15" customHeight="1" outlineLevel="1" x14ac:dyDescent="0.25">
      <c r="A18" s="9" t="s">
        <v>202</v>
      </c>
      <c r="B18" s="98" t="s">
        <v>1139</v>
      </c>
      <c r="C18" s="80" t="s">
        <v>1150</v>
      </c>
      <c r="D18" s="80"/>
      <c r="E18" s="80" t="s">
        <v>448</v>
      </c>
      <c r="F18" s="80" t="s">
        <v>1207</v>
      </c>
      <c r="G18" s="80" t="s">
        <v>1199</v>
      </c>
      <c r="H18" s="80" t="s">
        <v>29</v>
      </c>
      <c r="I18" s="80"/>
      <c r="J18" s="1"/>
      <c r="K18" s="80" t="s">
        <v>30</v>
      </c>
      <c r="L18" s="80"/>
      <c r="M18" s="80" t="s">
        <v>1218</v>
      </c>
      <c r="N18" s="80" t="s">
        <v>63</v>
      </c>
      <c r="O18" s="80">
        <v>2364</v>
      </c>
      <c r="P18" s="80">
        <v>1824</v>
      </c>
      <c r="Q18" s="80">
        <v>1585</v>
      </c>
      <c r="R18" s="80"/>
      <c r="S18" s="80">
        <v>2407</v>
      </c>
      <c r="T18" s="80">
        <v>1970</v>
      </c>
      <c r="U18" s="80">
        <v>5462</v>
      </c>
      <c r="V18" s="80">
        <v>740</v>
      </c>
      <c r="W18" s="80">
        <v>3275</v>
      </c>
      <c r="X18" s="80">
        <v>1307</v>
      </c>
      <c r="Y18" s="80"/>
      <c r="Z18" s="80"/>
      <c r="AA18" s="80" t="s">
        <v>1219</v>
      </c>
      <c r="AB18" s="80">
        <v>3100</v>
      </c>
      <c r="AC18" s="80">
        <v>615</v>
      </c>
      <c r="AD18" s="80"/>
      <c r="AE18" s="80"/>
      <c r="AF18" s="80"/>
      <c r="AG18" s="80"/>
      <c r="AH18" s="80">
        <v>6.5</v>
      </c>
      <c r="AI18" s="80" t="s">
        <v>1220</v>
      </c>
      <c r="AJ18" s="80"/>
      <c r="AK18" s="80" t="s">
        <v>1211</v>
      </c>
      <c r="AL18" s="80"/>
      <c r="AM18" s="80" t="s">
        <v>1221</v>
      </c>
      <c r="AN18" s="80"/>
      <c r="AO18" s="80" t="s">
        <v>1222</v>
      </c>
      <c r="AP18" s="80"/>
      <c r="AQ18" s="80" t="s">
        <v>1223</v>
      </c>
      <c r="AR18" s="80"/>
      <c r="AS18" s="80" t="s">
        <v>1224</v>
      </c>
      <c r="AT18" s="80"/>
      <c r="AU18" s="80" t="s">
        <v>1225</v>
      </c>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row>
    <row r="19" spans="1:72" s="144" customFormat="1" ht="25.15" customHeight="1" outlineLevel="1" x14ac:dyDescent="0.25">
      <c r="A19" s="9" t="s">
        <v>202</v>
      </c>
      <c r="B19" s="98" t="s">
        <v>1139</v>
      </c>
      <c r="C19" s="80" t="s">
        <v>1150</v>
      </c>
      <c r="D19" s="80"/>
      <c r="E19" s="80" t="s">
        <v>448</v>
      </c>
      <c r="F19" s="80" t="s">
        <v>449</v>
      </c>
      <c r="G19" s="80" t="s">
        <v>450</v>
      </c>
      <c r="H19" s="80" t="s">
        <v>29</v>
      </c>
      <c r="I19" s="80"/>
      <c r="J19" s="1"/>
      <c r="K19" s="80" t="s">
        <v>1153</v>
      </c>
      <c r="L19" s="1"/>
      <c r="M19" s="80" t="s">
        <v>1226</v>
      </c>
      <c r="N19" s="80" t="s">
        <v>31</v>
      </c>
      <c r="O19" s="80">
        <v>2706</v>
      </c>
      <c r="P19" s="80">
        <v>1630</v>
      </c>
      <c r="Q19" s="80">
        <v>1725</v>
      </c>
      <c r="R19" s="80"/>
      <c r="S19" s="80">
        <v>2522</v>
      </c>
      <c r="T19" s="80">
        <v>2050</v>
      </c>
      <c r="U19" s="80">
        <v>5413</v>
      </c>
      <c r="V19" s="80">
        <v>600</v>
      </c>
      <c r="W19" s="80">
        <v>3450</v>
      </c>
      <c r="X19" s="80">
        <v>1015</v>
      </c>
      <c r="Y19" s="80"/>
      <c r="Z19" s="80"/>
      <c r="AA19" s="80" t="s">
        <v>1227</v>
      </c>
      <c r="AB19" s="80">
        <v>3500</v>
      </c>
      <c r="AC19" s="80">
        <v>930</v>
      </c>
      <c r="AD19" s="80"/>
      <c r="AE19" s="80"/>
      <c r="AF19" s="80"/>
      <c r="AG19" s="80"/>
      <c r="AH19" s="80" t="s">
        <v>1228</v>
      </c>
      <c r="AI19" s="80" t="s">
        <v>1229</v>
      </c>
      <c r="AJ19" s="80"/>
      <c r="AK19" s="80" t="s">
        <v>1230</v>
      </c>
      <c r="AL19" s="80"/>
      <c r="AM19" s="80" t="s">
        <v>1231</v>
      </c>
      <c r="AN19" s="80"/>
      <c r="AO19" s="80" t="s">
        <v>1232</v>
      </c>
      <c r="AP19" s="80"/>
      <c r="AQ19" s="80" t="s">
        <v>1233</v>
      </c>
      <c r="AR19" s="80"/>
      <c r="AS19" s="80"/>
      <c r="AT19" s="80"/>
      <c r="AU19" s="80" t="s">
        <v>1234</v>
      </c>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row>
    <row r="20" spans="1:72" s="144" customFormat="1" ht="25.15" customHeight="1" outlineLevel="1" x14ac:dyDescent="0.25">
      <c r="A20" s="9" t="s">
        <v>202</v>
      </c>
      <c r="B20" s="98" t="s">
        <v>1139</v>
      </c>
      <c r="C20" s="80" t="s">
        <v>1150</v>
      </c>
      <c r="D20" s="80"/>
      <c r="E20" s="80" t="s">
        <v>448</v>
      </c>
      <c r="F20" s="80" t="s">
        <v>449</v>
      </c>
      <c r="G20" s="80" t="s">
        <v>450</v>
      </c>
      <c r="H20" s="80" t="s">
        <v>29</v>
      </c>
      <c r="I20" s="80"/>
      <c r="J20" s="1"/>
      <c r="K20" s="80" t="s">
        <v>1153</v>
      </c>
      <c r="L20" s="1"/>
      <c r="M20" s="80" t="s">
        <v>1226</v>
      </c>
      <c r="N20" s="80" t="s">
        <v>456</v>
      </c>
      <c r="O20" s="80">
        <v>3291</v>
      </c>
      <c r="P20" s="80">
        <v>1630</v>
      </c>
      <c r="Q20" s="80">
        <v>1725</v>
      </c>
      <c r="R20" s="80"/>
      <c r="S20" s="80">
        <v>2522</v>
      </c>
      <c r="T20" s="80">
        <v>2050</v>
      </c>
      <c r="U20" s="80">
        <v>5998</v>
      </c>
      <c r="V20" s="80">
        <v>600</v>
      </c>
      <c r="W20" s="80">
        <v>4035</v>
      </c>
      <c r="X20" s="80">
        <v>1015</v>
      </c>
      <c r="Y20" s="80"/>
      <c r="Z20" s="80"/>
      <c r="AA20" s="80" t="s">
        <v>1235</v>
      </c>
      <c r="AB20" s="80">
        <v>3500</v>
      </c>
      <c r="AC20" s="80">
        <v>845</v>
      </c>
      <c r="AD20" s="80"/>
      <c r="AE20" s="80"/>
      <c r="AF20" s="80"/>
      <c r="AG20" s="80"/>
      <c r="AH20" s="80" t="s">
        <v>1236</v>
      </c>
      <c r="AI20" s="80" t="s">
        <v>1229</v>
      </c>
      <c r="AJ20" s="80"/>
      <c r="AK20" s="80" t="s">
        <v>1230</v>
      </c>
      <c r="AL20" s="80"/>
      <c r="AM20" s="80" t="s">
        <v>1231</v>
      </c>
      <c r="AN20" s="80"/>
      <c r="AO20" s="80" t="s">
        <v>1232</v>
      </c>
      <c r="AP20" s="80"/>
      <c r="AQ20" s="80" t="s">
        <v>1233</v>
      </c>
      <c r="AR20" s="80"/>
      <c r="AS20" s="80"/>
      <c r="AT20" s="80"/>
      <c r="AU20" s="80" t="s">
        <v>1237</v>
      </c>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row>
    <row r="21" spans="1:72" s="144" customFormat="1" ht="25.15" customHeight="1" outlineLevel="1" x14ac:dyDescent="0.25">
      <c r="A21" s="9" t="s">
        <v>202</v>
      </c>
      <c r="B21" s="98" t="s">
        <v>1139</v>
      </c>
      <c r="C21" s="80" t="s">
        <v>1150</v>
      </c>
      <c r="D21" s="80"/>
      <c r="E21" s="80" t="s">
        <v>448</v>
      </c>
      <c r="F21" s="80" t="s">
        <v>449</v>
      </c>
      <c r="G21" s="80" t="s">
        <v>450</v>
      </c>
      <c r="H21" s="80" t="s">
        <v>29</v>
      </c>
      <c r="I21" s="80"/>
      <c r="J21" s="1"/>
      <c r="K21" s="80" t="s">
        <v>1153</v>
      </c>
      <c r="L21" s="1"/>
      <c r="M21" s="80" t="s">
        <v>1238</v>
      </c>
      <c r="N21" s="80" t="s">
        <v>31</v>
      </c>
      <c r="O21" s="80">
        <v>2706</v>
      </c>
      <c r="P21" s="80">
        <v>1630</v>
      </c>
      <c r="Q21" s="80">
        <v>1725</v>
      </c>
      <c r="R21" s="80"/>
      <c r="S21" s="80">
        <v>2522</v>
      </c>
      <c r="T21" s="80">
        <v>2050</v>
      </c>
      <c r="U21" s="80">
        <v>5413</v>
      </c>
      <c r="V21" s="80">
        <v>600</v>
      </c>
      <c r="W21" s="80">
        <v>3450</v>
      </c>
      <c r="X21" s="80">
        <v>1015</v>
      </c>
      <c r="Y21" s="80"/>
      <c r="Z21" s="80"/>
      <c r="AA21" s="80" t="s">
        <v>1227</v>
      </c>
      <c r="AB21" s="80">
        <v>3500</v>
      </c>
      <c r="AC21" s="80">
        <v>910</v>
      </c>
      <c r="AD21" s="80"/>
      <c r="AE21" s="80"/>
      <c r="AF21" s="80"/>
      <c r="AG21" s="80"/>
      <c r="AH21" s="80" t="s">
        <v>1228</v>
      </c>
      <c r="AI21" s="80" t="s">
        <v>1229</v>
      </c>
      <c r="AJ21" s="80"/>
      <c r="AK21" s="80" t="s">
        <v>1239</v>
      </c>
      <c r="AL21" s="80"/>
      <c r="AM21" s="80" t="s">
        <v>1231</v>
      </c>
      <c r="AN21" s="80"/>
      <c r="AO21" s="80" t="s">
        <v>1232</v>
      </c>
      <c r="AP21" s="80"/>
      <c r="AQ21" s="80" t="s">
        <v>1233</v>
      </c>
      <c r="AR21" s="80"/>
      <c r="AS21" s="80"/>
      <c r="AT21" s="80"/>
      <c r="AU21" s="80" t="s">
        <v>1234</v>
      </c>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row>
    <row r="22" spans="1:72" s="144" customFormat="1" ht="25.15" customHeight="1" outlineLevel="1" x14ac:dyDescent="0.25">
      <c r="A22" s="9" t="s">
        <v>202</v>
      </c>
      <c r="B22" s="98" t="s">
        <v>1139</v>
      </c>
      <c r="C22" s="80" t="s">
        <v>1150</v>
      </c>
      <c r="D22" s="80"/>
      <c r="E22" s="80" t="s">
        <v>448</v>
      </c>
      <c r="F22" s="80" t="s">
        <v>449</v>
      </c>
      <c r="G22" s="80" t="s">
        <v>450</v>
      </c>
      <c r="H22" s="80" t="s">
        <v>29</v>
      </c>
      <c r="I22" s="80"/>
      <c r="J22" s="1"/>
      <c r="K22" s="80" t="s">
        <v>1153</v>
      </c>
      <c r="L22" s="1"/>
      <c r="M22" s="80" t="s">
        <v>1238</v>
      </c>
      <c r="N22" s="80" t="s">
        <v>456</v>
      </c>
      <c r="O22" s="80">
        <v>3291</v>
      </c>
      <c r="P22" s="80">
        <v>1630</v>
      </c>
      <c r="Q22" s="80">
        <v>1725</v>
      </c>
      <c r="R22" s="80"/>
      <c r="S22" s="80">
        <v>2522</v>
      </c>
      <c r="T22" s="80">
        <v>2050</v>
      </c>
      <c r="U22" s="80">
        <v>5998</v>
      </c>
      <c r="V22" s="80">
        <v>600</v>
      </c>
      <c r="W22" s="80">
        <v>4035</v>
      </c>
      <c r="X22" s="80">
        <v>1015</v>
      </c>
      <c r="Y22" s="80"/>
      <c r="Z22" s="80"/>
      <c r="AA22" s="80" t="s">
        <v>1235</v>
      </c>
      <c r="AB22" s="80">
        <v>3500</v>
      </c>
      <c r="AC22" s="80">
        <v>825</v>
      </c>
      <c r="AD22" s="80"/>
      <c r="AE22" s="80"/>
      <c r="AF22" s="80"/>
      <c r="AG22" s="80"/>
      <c r="AH22" s="80" t="s">
        <v>1236</v>
      </c>
      <c r="AI22" s="80" t="s">
        <v>1229</v>
      </c>
      <c r="AJ22" s="80"/>
      <c r="AK22" s="80" t="s">
        <v>1239</v>
      </c>
      <c r="AL22" s="80"/>
      <c r="AM22" s="80" t="s">
        <v>1231</v>
      </c>
      <c r="AN22" s="80"/>
      <c r="AO22" s="80" t="s">
        <v>1232</v>
      </c>
      <c r="AP22" s="80"/>
      <c r="AQ22" s="80" t="s">
        <v>1233</v>
      </c>
      <c r="AR22" s="80"/>
      <c r="AS22" s="80"/>
      <c r="AT22" s="80"/>
      <c r="AU22" s="80" t="s">
        <v>1237</v>
      </c>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row>
    <row r="23" spans="1:72" s="144" customFormat="1" ht="25.15" customHeight="1" outlineLevel="1" x14ac:dyDescent="0.25">
      <c r="A23" s="9" t="s">
        <v>202</v>
      </c>
      <c r="B23" s="98" t="s">
        <v>1139</v>
      </c>
      <c r="C23" s="80" t="s">
        <v>1150</v>
      </c>
      <c r="D23" s="80"/>
      <c r="E23" s="80" t="s">
        <v>448</v>
      </c>
      <c r="F23" s="80" t="s">
        <v>449</v>
      </c>
      <c r="G23" s="80" t="s">
        <v>450</v>
      </c>
      <c r="H23" s="80" t="s">
        <v>29</v>
      </c>
      <c r="I23" s="80"/>
      <c r="J23" s="1"/>
      <c r="K23" s="80" t="s">
        <v>1153</v>
      </c>
      <c r="L23" s="1"/>
      <c r="M23" s="80" t="s">
        <v>1240</v>
      </c>
      <c r="N23" s="80" t="s">
        <v>31</v>
      </c>
      <c r="O23" s="80">
        <v>2706</v>
      </c>
      <c r="P23" s="80">
        <v>1630</v>
      </c>
      <c r="Q23" s="80">
        <v>1725</v>
      </c>
      <c r="R23" s="80"/>
      <c r="S23" s="80">
        <v>2522</v>
      </c>
      <c r="T23" s="80">
        <v>2050</v>
      </c>
      <c r="U23" s="80">
        <v>5413</v>
      </c>
      <c r="V23" s="80">
        <v>600</v>
      </c>
      <c r="W23" s="80">
        <v>3450</v>
      </c>
      <c r="X23" s="80">
        <v>1015</v>
      </c>
      <c r="Y23" s="80"/>
      <c r="Z23" s="80"/>
      <c r="AA23" s="80" t="s">
        <v>1227</v>
      </c>
      <c r="AB23" s="80">
        <v>3500</v>
      </c>
      <c r="AC23" s="80">
        <v>910</v>
      </c>
      <c r="AD23" s="80"/>
      <c r="AE23" s="80"/>
      <c r="AF23" s="80"/>
      <c r="AG23" s="80"/>
      <c r="AH23" s="80" t="s">
        <v>1228</v>
      </c>
      <c r="AI23" s="80" t="s">
        <v>1229</v>
      </c>
      <c r="AJ23" s="80"/>
      <c r="AK23" s="80" t="s">
        <v>1241</v>
      </c>
      <c r="AL23" s="80"/>
      <c r="AM23" s="80" t="s">
        <v>1231</v>
      </c>
      <c r="AN23" s="80"/>
      <c r="AO23" s="80" t="s">
        <v>1232</v>
      </c>
      <c r="AP23" s="80"/>
      <c r="AQ23" s="80" t="s">
        <v>1233</v>
      </c>
      <c r="AR23" s="80"/>
      <c r="AS23" s="80"/>
      <c r="AT23" s="80"/>
      <c r="AU23" s="80" t="s">
        <v>1234</v>
      </c>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row>
    <row r="24" spans="1:72" s="144" customFormat="1" ht="25.15" customHeight="1" outlineLevel="1" x14ac:dyDescent="0.25">
      <c r="A24" s="9" t="s">
        <v>202</v>
      </c>
      <c r="B24" s="98" t="s">
        <v>1139</v>
      </c>
      <c r="C24" s="80" t="s">
        <v>1150</v>
      </c>
      <c r="D24" s="80"/>
      <c r="E24" s="80" t="s">
        <v>448</v>
      </c>
      <c r="F24" s="80" t="s">
        <v>449</v>
      </c>
      <c r="G24" s="80" t="s">
        <v>450</v>
      </c>
      <c r="H24" s="80" t="s">
        <v>29</v>
      </c>
      <c r="I24" s="80"/>
      <c r="J24" s="1"/>
      <c r="K24" s="80" t="s">
        <v>1153</v>
      </c>
      <c r="L24" s="1"/>
      <c r="M24" s="80" t="s">
        <v>1240</v>
      </c>
      <c r="N24" s="80" t="s">
        <v>456</v>
      </c>
      <c r="O24" s="80">
        <v>3291</v>
      </c>
      <c r="P24" s="80">
        <v>1630</v>
      </c>
      <c r="Q24" s="80">
        <v>1725</v>
      </c>
      <c r="R24" s="80"/>
      <c r="S24" s="80">
        <v>2522</v>
      </c>
      <c r="T24" s="80">
        <v>2050</v>
      </c>
      <c r="U24" s="80">
        <v>5998</v>
      </c>
      <c r="V24" s="80">
        <v>600</v>
      </c>
      <c r="W24" s="80">
        <v>4035</v>
      </c>
      <c r="X24" s="80">
        <v>1015</v>
      </c>
      <c r="Y24" s="80"/>
      <c r="Z24" s="80"/>
      <c r="AA24" s="80" t="s">
        <v>1235</v>
      </c>
      <c r="AB24" s="80">
        <v>3500</v>
      </c>
      <c r="AC24" s="80">
        <v>825</v>
      </c>
      <c r="AD24" s="80"/>
      <c r="AE24" s="80"/>
      <c r="AF24" s="80"/>
      <c r="AG24" s="80"/>
      <c r="AH24" s="80" t="s">
        <v>1236</v>
      </c>
      <c r="AI24" s="80" t="s">
        <v>1229</v>
      </c>
      <c r="AJ24" s="80"/>
      <c r="AK24" s="80" t="s">
        <v>1241</v>
      </c>
      <c r="AL24" s="80"/>
      <c r="AM24" s="80" t="s">
        <v>1231</v>
      </c>
      <c r="AN24" s="80"/>
      <c r="AO24" s="80" t="s">
        <v>1232</v>
      </c>
      <c r="AP24" s="80"/>
      <c r="AQ24" s="80" t="s">
        <v>1233</v>
      </c>
      <c r="AR24" s="80"/>
      <c r="AS24" s="80"/>
      <c r="AT24" s="80"/>
      <c r="AU24" s="80" t="s">
        <v>1237</v>
      </c>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row>
    <row r="25" spans="1:72" s="144" customFormat="1" ht="25.15" customHeight="1" outlineLevel="1" x14ac:dyDescent="0.25">
      <c r="A25" s="9" t="s">
        <v>202</v>
      </c>
      <c r="B25" s="98" t="s">
        <v>1139</v>
      </c>
      <c r="C25" s="80" t="s">
        <v>1150</v>
      </c>
      <c r="D25" s="80"/>
      <c r="E25" s="80" t="s">
        <v>448</v>
      </c>
      <c r="F25" s="80" t="s">
        <v>449</v>
      </c>
      <c r="G25" s="80" t="s">
        <v>450</v>
      </c>
      <c r="H25" s="80" t="s">
        <v>29</v>
      </c>
      <c r="I25" s="80"/>
      <c r="J25" s="1"/>
      <c r="K25" s="80" t="s">
        <v>1153</v>
      </c>
      <c r="L25" s="1"/>
      <c r="M25" s="80" t="s">
        <v>1242</v>
      </c>
      <c r="N25" s="80" t="s">
        <v>31</v>
      </c>
      <c r="O25" s="80">
        <v>2706</v>
      </c>
      <c r="P25" s="80">
        <v>1630</v>
      </c>
      <c r="Q25" s="80">
        <v>1725</v>
      </c>
      <c r="R25" s="80"/>
      <c r="S25" s="80">
        <v>2522</v>
      </c>
      <c r="T25" s="80">
        <v>2050</v>
      </c>
      <c r="U25" s="80">
        <v>5413</v>
      </c>
      <c r="V25" s="80">
        <v>600</v>
      </c>
      <c r="W25" s="80">
        <v>3450</v>
      </c>
      <c r="X25" s="80">
        <v>1015</v>
      </c>
      <c r="Y25" s="80"/>
      <c r="Z25" s="80"/>
      <c r="AA25" s="80" t="s">
        <v>1227</v>
      </c>
      <c r="AB25" s="80">
        <v>3500</v>
      </c>
      <c r="AC25" s="80">
        <v>890</v>
      </c>
      <c r="AD25" s="80"/>
      <c r="AE25" s="80"/>
      <c r="AF25" s="80"/>
      <c r="AG25" s="80"/>
      <c r="AH25" s="80" t="s">
        <v>1228</v>
      </c>
      <c r="AI25" s="80" t="s">
        <v>1229</v>
      </c>
      <c r="AJ25" s="80"/>
      <c r="AK25" s="80" t="s">
        <v>1243</v>
      </c>
      <c r="AL25" s="80"/>
      <c r="AM25" s="80" t="s">
        <v>1231</v>
      </c>
      <c r="AN25" s="80"/>
      <c r="AO25" s="80" t="s">
        <v>1232</v>
      </c>
      <c r="AP25" s="80"/>
      <c r="AQ25" s="80" t="s">
        <v>1233</v>
      </c>
      <c r="AR25" s="80"/>
      <c r="AS25" s="80"/>
      <c r="AT25" s="80"/>
      <c r="AU25" s="80" t="s">
        <v>1234</v>
      </c>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row>
    <row r="26" spans="1:72" s="144" customFormat="1" ht="25.15" customHeight="1" outlineLevel="1" x14ac:dyDescent="0.25">
      <c r="A26" s="9" t="s">
        <v>202</v>
      </c>
      <c r="B26" s="98" t="s">
        <v>1139</v>
      </c>
      <c r="C26" s="80" t="s">
        <v>1150</v>
      </c>
      <c r="D26" s="80"/>
      <c r="E26" s="80" t="s">
        <v>448</v>
      </c>
      <c r="F26" s="80" t="s">
        <v>449</v>
      </c>
      <c r="G26" s="80" t="s">
        <v>450</v>
      </c>
      <c r="H26" s="80" t="s">
        <v>29</v>
      </c>
      <c r="I26" s="80"/>
      <c r="J26" s="1"/>
      <c r="K26" s="80" t="s">
        <v>1153</v>
      </c>
      <c r="L26" s="1"/>
      <c r="M26" s="80" t="s">
        <v>1242</v>
      </c>
      <c r="N26" s="80" t="s">
        <v>456</v>
      </c>
      <c r="O26" s="80">
        <v>3291</v>
      </c>
      <c r="P26" s="80">
        <v>1630</v>
      </c>
      <c r="Q26" s="80">
        <v>1725</v>
      </c>
      <c r="R26" s="80"/>
      <c r="S26" s="80">
        <v>2522</v>
      </c>
      <c r="T26" s="80">
        <v>2050</v>
      </c>
      <c r="U26" s="80">
        <v>5998</v>
      </c>
      <c r="V26" s="80">
        <v>600</v>
      </c>
      <c r="W26" s="80">
        <v>4035</v>
      </c>
      <c r="X26" s="80">
        <v>1015</v>
      </c>
      <c r="Y26" s="80"/>
      <c r="Z26" s="80"/>
      <c r="AA26" s="80" t="s">
        <v>1235</v>
      </c>
      <c r="AB26" s="80">
        <v>3500</v>
      </c>
      <c r="AC26" s="80">
        <v>805</v>
      </c>
      <c r="AD26" s="80"/>
      <c r="AE26" s="80"/>
      <c r="AF26" s="80"/>
      <c r="AG26" s="80"/>
      <c r="AH26" s="80" t="s">
        <v>1236</v>
      </c>
      <c r="AI26" s="80" t="s">
        <v>1229</v>
      </c>
      <c r="AJ26" s="80"/>
      <c r="AK26" s="80" t="s">
        <v>1243</v>
      </c>
      <c r="AL26" s="80"/>
      <c r="AM26" s="80" t="s">
        <v>1231</v>
      </c>
      <c r="AN26" s="80"/>
      <c r="AO26" s="80" t="s">
        <v>1232</v>
      </c>
      <c r="AP26" s="80"/>
      <c r="AQ26" s="80" t="s">
        <v>1233</v>
      </c>
      <c r="AR26" s="80"/>
      <c r="AS26" s="80"/>
      <c r="AT26" s="80"/>
      <c r="AU26" s="80" t="s">
        <v>1237</v>
      </c>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row>
    <row r="27" spans="1:72" s="144" customFormat="1" ht="25.15" customHeight="1" outlineLevel="1" x14ac:dyDescent="0.25">
      <c r="A27" s="9" t="s">
        <v>202</v>
      </c>
      <c r="B27" s="98" t="s">
        <v>1139</v>
      </c>
      <c r="C27" s="80" t="s">
        <v>1150</v>
      </c>
      <c r="D27" s="80"/>
      <c r="E27" s="80" t="s">
        <v>448</v>
      </c>
      <c r="F27" s="80" t="s">
        <v>449</v>
      </c>
      <c r="G27" s="80" t="s">
        <v>450</v>
      </c>
      <c r="H27" s="80" t="s">
        <v>29</v>
      </c>
      <c r="I27" s="80"/>
      <c r="J27" s="1"/>
      <c r="K27" s="80" t="s">
        <v>30</v>
      </c>
      <c r="L27" s="1"/>
      <c r="M27" s="80" t="s">
        <v>1244</v>
      </c>
      <c r="N27" s="80" t="s">
        <v>31</v>
      </c>
      <c r="O27" s="80">
        <v>2922</v>
      </c>
      <c r="P27" s="80">
        <v>1904</v>
      </c>
      <c r="Q27" s="80">
        <v>1950</v>
      </c>
      <c r="R27" s="80"/>
      <c r="S27" s="80">
        <v>2782</v>
      </c>
      <c r="T27" s="80">
        <v>2050</v>
      </c>
      <c r="U27" s="80">
        <v>5743</v>
      </c>
      <c r="V27" s="80">
        <v>740</v>
      </c>
      <c r="W27" s="80">
        <v>3450</v>
      </c>
      <c r="X27" s="80">
        <v>1345</v>
      </c>
      <c r="Y27" s="80"/>
      <c r="Z27" s="80"/>
      <c r="AA27" s="80" t="s">
        <v>500</v>
      </c>
      <c r="AB27" s="80">
        <v>3500</v>
      </c>
      <c r="AC27" s="80">
        <v>1125</v>
      </c>
      <c r="AD27" s="80"/>
      <c r="AE27" s="80"/>
      <c r="AF27" s="80"/>
      <c r="AG27" s="80"/>
      <c r="AH27" s="80" t="s">
        <v>501</v>
      </c>
      <c r="AI27" s="80" t="s">
        <v>1245</v>
      </c>
      <c r="AJ27" s="80"/>
      <c r="AK27" s="80" t="s">
        <v>1230</v>
      </c>
      <c r="AL27" s="80"/>
      <c r="AM27" s="80" t="s">
        <v>1246</v>
      </c>
      <c r="AN27" s="80"/>
      <c r="AO27" s="80" t="s">
        <v>1247</v>
      </c>
      <c r="AP27" s="80"/>
      <c r="AQ27" s="80" t="s">
        <v>1248</v>
      </c>
      <c r="AR27" s="80"/>
      <c r="AS27" s="80"/>
      <c r="AT27" s="80"/>
      <c r="AU27" s="80" t="s">
        <v>502</v>
      </c>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row>
    <row r="28" spans="1:72" s="144" customFormat="1" ht="25.15" customHeight="1" outlineLevel="1" x14ac:dyDescent="0.25">
      <c r="A28" s="9" t="s">
        <v>202</v>
      </c>
      <c r="B28" s="98" t="s">
        <v>1139</v>
      </c>
      <c r="C28" s="80" t="s">
        <v>1150</v>
      </c>
      <c r="D28" s="80"/>
      <c r="E28" s="80" t="s">
        <v>448</v>
      </c>
      <c r="F28" s="80" t="s">
        <v>449</v>
      </c>
      <c r="G28" s="80" t="s">
        <v>450</v>
      </c>
      <c r="H28" s="80" t="s">
        <v>29</v>
      </c>
      <c r="I28" s="80"/>
      <c r="J28" s="1"/>
      <c r="K28" s="80" t="s">
        <v>30</v>
      </c>
      <c r="L28" s="1"/>
      <c r="M28" s="80" t="s">
        <v>1244</v>
      </c>
      <c r="N28" s="80" t="s">
        <v>456</v>
      </c>
      <c r="O28" s="80">
        <v>2922</v>
      </c>
      <c r="P28" s="80">
        <v>1904</v>
      </c>
      <c r="Q28" s="80">
        <v>1950</v>
      </c>
      <c r="R28" s="80"/>
      <c r="S28" s="80">
        <v>2782</v>
      </c>
      <c r="T28" s="80">
        <v>2050</v>
      </c>
      <c r="U28" s="80">
        <v>5743</v>
      </c>
      <c r="V28" s="80">
        <v>740</v>
      </c>
      <c r="W28" s="80">
        <v>3450</v>
      </c>
      <c r="X28" s="80">
        <v>1345</v>
      </c>
      <c r="Y28" s="80"/>
      <c r="Z28" s="80"/>
      <c r="AA28" s="80" t="s">
        <v>1249</v>
      </c>
      <c r="AB28" s="80">
        <v>3500</v>
      </c>
      <c r="AC28" s="80">
        <v>1135</v>
      </c>
      <c r="AD28" s="80"/>
      <c r="AE28" s="80"/>
      <c r="AF28" s="80"/>
      <c r="AG28" s="80"/>
      <c r="AH28" s="80" t="s">
        <v>501</v>
      </c>
      <c r="AI28" s="80" t="s">
        <v>1245</v>
      </c>
      <c r="AJ28" s="80"/>
      <c r="AK28" s="80" t="s">
        <v>1230</v>
      </c>
      <c r="AL28" s="80"/>
      <c r="AM28" s="80" t="s">
        <v>1246</v>
      </c>
      <c r="AN28" s="80"/>
      <c r="AO28" s="80" t="s">
        <v>1250</v>
      </c>
      <c r="AP28" s="80"/>
      <c r="AQ28" s="80" t="s">
        <v>1248</v>
      </c>
      <c r="AR28" s="80"/>
      <c r="AS28" s="80"/>
      <c r="AT28" s="80"/>
      <c r="AU28" s="80" t="s">
        <v>1251</v>
      </c>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row>
    <row r="29" spans="1:72" s="144" customFormat="1" ht="25.15" customHeight="1" outlineLevel="1" x14ac:dyDescent="0.25">
      <c r="A29" s="9" t="s">
        <v>202</v>
      </c>
      <c r="B29" s="98" t="s">
        <v>1139</v>
      </c>
      <c r="C29" s="80"/>
      <c r="D29" s="80"/>
      <c r="E29" s="80" t="s">
        <v>448</v>
      </c>
      <c r="F29" s="80" t="s">
        <v>449</v>
      </c>
      <c r="G29" s="80" t="s">
        <v>450</v>
      </c>
      <c r="H29" s="80" t="s">
        <v>32</v>
      </c>
      <c r="I29" s="80"/>
      <c r="J29" s="1"/>
      <c r="K29" s="80" t="s">
        <v>30</v>
      </c>
      <c r="L29" s="1"/>
      <c r="M29" s="80" t="s">
        <v>1244</v>
      </c>
      <c r="N29" s="80" t="s">
        <v>460</v>
      </c>
      <c r="O29" s="80">
        <v>2922</v>
      </c>
      <c r="P29" s="80">
        <v>1904</v>
      </c>
      <c r="Q29" s="80">
        <v>2150</v>
      </c>
      <c r="R29" s="80"/>
      <c r="S29" s="80">
        <v>2982</v>
      </c>
      <c r="T29" s="80">
        <v>2050</v>
      </c>
      <c r="U29" s="80">
        <v>5743</v>
      </c>
      <c r="V29" s="80">
        <v>740</v>
      </c>
      <c r="W29" s="80">
        <v>3450</v>
      </c>
      <c r="X29" s="80">
        <v>1345</v>
      </c>
      <c r="Y29" s="80"/>
      <c r="Z29" s="80"/>
      <c r="AA29" s="80" t="s">
        <v>1252</v>
      </c>
      <c r="AB29" s="80">
        <v>3500</v>
      </c>
      <c r="AC29" s="80">
        <v>950</v>
      </c>
      <c r="AD29" s="80"/>
      <c r="AE29" s="80"/>
      <c r="AF29" s="80"/>
      <c r="AG29" s="80"/>
      <c r="AH29" s="80">
        <v>12</v>
      </c>
      <c r="AI29" s="80" t="s">
        <v>1253</v>
      </c>
      <c r="AJ29" s="80"/>
      <c r="AK29" s="80" t="s">
        <v>1230</v>
      </c>
      <c r="AL29" s="80"/>
      <c r="AM29" s="80" t="s">
        <v>1254</v>
      </c>
      <c r="AN29" s="80"/>
      <c r="AO29" s="80" t="s">
        <v>1255</v>
      </c>
      <c r="AP29" s="80"/>
      <c r="AQ29" s="80" t="s">
        <v>1256</v>
      </c>
      <c r="AR29" s="80"/>
      <c r="AS29" s="80"/>
      <c r="AT29" s="80"/>
      <c r="AU29" s="80" t="s">
        <v>1257</v>
      </c>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row>
    <row r="30" spans="1:72" s="143" customFormat="1" ht="25.15" customHeight="1" outlineLevel="1" x14ac:dyDescent="0.25">
      <c r="A30" s="9" t="s">
        <v>202</v>
      </c>
      <c r="B30" s="98" t="s">
        <v>1139</v>
      </c>
      <c r="C30" s="80" t="s">
        <v>1150</v>
      </c>
      <c r="D30" s="80"/>
      <c r="E30" s="80" t="s">
        <v>448</v>
      </c>
      <c r="F30" s="80" t="s">
        <v>449</v>
      </c>
      <c r="G30" s="80" t="s">
        <v>450</v>
      </c>
      <c r="H30" s="80" t="s">
        <v>12</v>
      </c>
      <c r="I30" s="80"/>
      <c r="J30" s="1"/>
      <c r="K30" s="80" t="s">
        <v>30</v>
      </c>
      <c r="L30" s="1"/>
      <c r="M30" s="80" t="s">
        <v>1244</v>
      </c>
      <c r="N30" s="80" t="s">
        <v>451</v>
      </c>
      <c r="O30" s="80">
        <v>2922</v>
      </c>
      <c r="P30" s="80">
        <v>1904</v>
      </c>
      <c r="Q30" s="80">
        <v>2050</v>
      </c>
      <c r="R30" s="80"/>
      <c r="S30" s="80">
        <v>2799</v>
      </c>
      <c r="T30" s="80">
        <v>2050</v>
      </c>
      <c r="U30" s="80">
        <v>5743</v>
      </c>
      <c r="V30" s="80">
        <v>740</v>
      </c>
      <c r="W30" s="80">
        <v>3450</v>
      </c>
      <c r="X30" s="80">
        <v>1345</v>
      </c>
      <c r="Y30" s="80"/>
      <c r="Z30" s="80"/>
      <c r="AA30" s="80" t="s">
        <v>1258</v>
      </c>
      <c r="AB30" s="80">
        <v>3500</v>
      </c>
      <c r="AC30" s="80">
        <v>905</v>
      </c>
      <c r="AD30" s="80"/>
      <c r="AE30" s="80"/>
      <c r="AF30" s="80"/>
      <c r="AG30" s="80"/>
      <c r="AH30" s="80" t="s">
        <v>1259</v>
      </c>
      <c r="AI30" s="80" t="s">
        <v>1253</v>
      </c>
      <c r="AJ30" s="80"/>
      <c r="AK30" s="80" t="s">
        <v>1230</v>
      </c>
      <c r="AL30" s="80"/>
      <c r="AM30" s="80" t="s">
        <v>1246</v>
      </c>
      <c r="AN30" s="80"/>
      <c r="AO30" s="80" t="s">
        <v>1260</v>
      </c>
      <c r="AP30" s="80"/>
      <c r="AQ30" s="80" t="s">
        <v>1261</v>
      </c>
      <c r="AR30" s="80"/>
      <c r="AS30" s="80"/>
      <c r="AT30" s="80"/>
      <c r="AU30" s="80" t="s">
        <v>452</v>
      </c>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row>
    <row r="31" spans="1:72" s="144" customFormat="1" ht="25.15" customHeight="1" outlineLevel="1" x14ac:dyDescent="0.25">
      <c r="A31" s="9" t="s">
        <v>202</v>
      </c>
      <c r="B31" s="98" t="s">
        <v>1139</v>
      </c>
      <c r="C31" s="80" t="s">
        <v>1150</v>
      </c>
      <c r="D31" s="80"/>
      <c r="E31" s="80" t="s">
        <v>448</v>
      </c>
      <c r="F31" s="80" t="s">
        <v>449</v>
      </c>
      <c r="G31" s="80" t="s">
        <v>450</v>
      </c>
      <c r="H31" s="80" t="s">
        <v>29</v>
      </c>
      <c r="I31" s="80"/>
      <c r="J31" s="1"/>
      <c r="K31" s="80" t="s">
        <v>30</v>
      </c>
      <c r="L31" s="1"/>
      <c r="M31" s="80" t="s">
        <v>1262</v>
      </c>
      <c r="N31" s="80" t="s">
        <v>31</v>
      </c>
      <c r="O31" s="80">
        <v>2922</v>
      </c>
      <c r="P31" s="80">
        <v>1904</v>
      </c>
      <c r="Q31" s="80">
        <v>1950</v>
      </c>
      <c r="R31" s="80"/>
      <c r="S31" s="80">
        <v>2782</v>
      </c>
      <c r="T31" s="80">
        <v>2050</v>
      </c>
      <c r="U31" s="80">
        <v>5743</v>
      </c>
      <c r="V31" s="80">
        <v>740</v>
      </c>
      <c r="W31" s="80">
        <v>3450</v>
      </c>
      <c r="X31" s="80">
        <v>1345</v>
      </c>
      <c r="Y31" s="80"/>
      <c r="Z31" s="80"/>
      <c r="AA31" s="80" t="s">
        <v>500</v>
      </c>
      <c r="AB31" s="80">
        <v>3500</v>
      </c>
      <c r="AC31" s="80">
        <v>1105</v>
      </c>
      <c r="AD31" s="80"/>
      <c r="AE31" s="80"/>
      <c r="AF31" s="80"/>
      <c r="AG31" s="80"/>
      <c r="AH31" s="80" t="s">
        <v>501</v>
      </c>
      <c r="AI31" s="80" t="s">
        <v>1245</v>
      </c>
      <c r="AJ31" s="80"/>
      <c r="AK31" s="80" t="s">
        <v>1239</v>
      </c>
      <c r="AL31" s="80"/>
      <c r="AM31" s="80" t="s">
        <v>1246</v>
      </c>
      <c r="AN31" s="80"/>
      <c r="AO31" s="80" t="s">
        <v>1247</v>
      </c>
      <c r="AP31" s="80"/>
      <c r="AQ31" s="80" t="s">
        <v>1248</v>
      </c>
      <c r="AR31" s="80"/>
      <c r="AS31" s="80"/>
      <c r="AT31" s="80"/>
      <c r="AU31" s="80" t="s">
        <v>502</v>
      </c>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row>
    <row r="32" spans="1:72" s="144" customFormat="1" ht="25.15" customHeight="1" outlineLevel="1" x14ac:dyDescent="0.25">
      <c r="A32" s="9" t="s">
        <v>202</v>
      </c>
      <c r="B32" s="98" t="s">
        <v>1139</v>
      </c>
      <c r="C32" s="80" t="s">
        <v>1150</v>
      </c>
      <c r="D32" s="80"/>
      <c r="E32" s="80" t="s">
        <v>448</v>
      </c>
      <c r="F32" s="80" t="s">
        <v>449</v>
      </c>
      <c r="G32" s="80" t="s">
        <v>450</v>
      </c>
      <c r="H32" s="80" t="s">
        <v>29</v>
      </c>
      <c r="I32" s="80"/>
      <c r="J32" s="1"/>
      <c r="K32" s="80" t="s">
        <v>30</v>
      </c>
      <c r="L32" s="1"/>
      <c r="M32" s="80" t="s">
        <v>1262</v>
      </c>
      <c r="N32" s="80" t="s">
        <v>456</v>
      </c>
      <c r="O32" s="80">
        <v>2922</v>
      </c>
      <c r="P32" s="80">
        <v>1904</v>
      </c>
      <c r="Q32" s="80">
        <v>1950</v>
      </c>
      <c r="R32" s="80"/>
      <c r="S32" s="80">
        <v>2782</v>
      </c>
      <c r="T32" s="80">
        <v>2050</v>
      </c>
      <c r="U32" s="80">
        <v>5743</v>
      </c>
      <c r="V32" s="80">
        <v>740</v>
      </c>
      <c r="W32" s="80">
        <v>3450</v>
      </c>
      <c r="X32" s="80">
        <v>1345</v>
      </c>
      <c r="Y32" s="80"/>
      <c r="Z32" s="80"/>
      <c r="AA32" s="80" t="s">
        <v>1249</v>
      </c>
      <c r="AB32" s="80">
        <v>3500</v>
      </c>
      <c r="AC32" s="80">
        <v>1115</v>
      </c>
      <c r="AD32" s="80"/>
      <c r="AE32" s="80"/>
      <c r="AF32" s="80"/>
      <c r="AG32" s="80"/>
      <c r="AH32" s="80" t="s">
        <v>501</v>
      </c>
      <c r="AI32" s="80" t="s">
        <v>1245</v>
      </c>
      <c r="AJ32" s="80"/>
      <c r="AK32" s="80" t="s">
        <v>1239</v>
      </c>
      <c r="AL32" s="80"/>
      <c r="AM32" s="80" t="s">
        <v>1246</v>
      </c>
      <c r="AN32" s="80"/>
      <c r="AO32" s="80" t="s">
        <v>1250</v>
      </c>
      <c r="AP32" s="80"/>
      <c r="AQ32" s="80" t="s">
        <v>1248</v>
      </c>
      <c r="AR32" s="80"/>
      <c r="AS32" s="80"/>
      <c r="AT32" s="80"/>
      <c r="AU32" s="80" t="s">
        <v>1251</v>
      </c>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row>
    <row r="33" spans="1:72" s="144" customFormat="1" ht="25.15" customHeight="1" outlineLevel="1" x14ac:dyDescent="0.25">
      <c r="A33" s="9" t="s">
        <v>202</v>
      </c>
      <c r="B33" s="98" t="s">
        <v>1139</v>
      </c>
      <c r="C33" s="80"/>
      <c r="D33" s="80"/>
      <c r="E33" s="80" t="s">
        <v>448</v>
      </c>
      <c r="F33" s="80" t="s">
        <v>449</v>
      </c>
      <c r="G33" s="80" t="s">
        <v>450</v>
      </c>
      <c r="H33" s="80" t="s">
        <v>32</v>
      </c>
      <c r="I33" s="80"/>
      <c r="J33" s="1"/>
      <c r="K33" s="80" t="s">
        <v>30</v>
      </c>
      <c r="L33" s="1"/>
      <c r="M33" s="80" t="s">
        <v>1262</v>
      </c>
      <c r="N33" s="80" t="s">
        <v>460</v>
      </c>
      <c r="O33" s="80">
        <v>2922</v>
      </c>
      <c r="P33" s="80">
        <v>1904</v>
      </c>
      <c r="Q33" s="80">
        <v>2150</v>
      </c>
      <c r="R33" s="80"/>
      <c r="S33" s="80">
        <v>2982</v>
      </c>
      <c r="T33" s="80">
        <v>2050</v>
      </c>
      <c r="U33" s="80">
        <v>5743</v>
      </c>
      <c r="V33" s="80">
        <v>740</v>
      </c>
      <c r="W33" s="80">
        <v>3450</v>
      </c>
      <c r="X33" s="80">
        <v>1345</v>
      </c>
      <c r="Y33" s="80"/>
      <c r="Z33" s="80"/>
      <c r="AA33" s="80" t="s">
        <v>1252</v>
      </c>
      <c r="AB33" s="80">
        <v>3500</v>
      </c>
      <c r="AC33" s="80">
        <v>930</v>
      </c>
      <c r="AD33" s="80"/>
      <c r="AE33" s="80"/>
      <c r="AF33" s="80"/>
      <c r="AG33" s="80"/>
      <c r="AH33" s="80">
        <v>12</v>
      </c>
      <c r="AI33" s="80" t="s">
        <v>1253</v>
      </c>
      <c r="AJ33" s="80"/>
      <c r="AK33" s="80" t="s">
        <v>1239</v>
      </c>
      <c r="AL33" s="80"/>
      <c r="AM33" s="80" t="s">
        <v>1254</v>
      </c>
      <c r="AN33" s="80"/>
      <c r="AO33" s="80" t="s">
        <v>1255</v>
      </c>
      <c r="AP33" s="80"/>
      <c r="AQ33" s="80" t="s">
        <v>1256</v>
      </c>
      <c r="AR33" s="80"/>
      <c r="AS33" s="80"/>
      <c r="AT33" s="80"/>
      <c r="AU33" s="80" t="s">
        <v>1257</v>
      </c>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row>
    <row r="34" spans="1:72" s="144" customFormat="1" ht="25.15" customHeight="1" outlineLevel="1" x14ac:dyDescent="0.25">
      <c r="A34" s="9" t="s">
        <v>202</v>
      </c>
      <c r="B34" s="98" t="s">
        <v>1139</v>
      </c>
      <c r="C34" s="80" t="s">
        <v>1150</v>
      </c>
      <c r="D34" s="80"/>
      <c r="E34" s="80" t="s">
        <v>448</v>
      </c>
      <c r="F34" s="80" t="s">
        <v>449</v>
      </c>
      <c r="G34" s="80" t="s">
        <v>450</v>
      </c>
      <c r="H34" s="80" t="s">
        <v>12</v>
      </c>
      <c r="I34" s="80"/>
      <c r="J34" s="1"/>
      <c r="K34" s="80" t="s">
        <v>30</v>
      </c>
      <c r="L34" s="1"/>
      <c r="M34" s="80" t="s">
        <v>1262</v>
      </c>
      <c r="N34" s="80" t="s">
        <v>451</v>
      </c>
      <c r="O34" s="80">
        <v>2922</v>
      </c>
      <c r="P34" s="80">
        <v>1904</v>
      </c>
      <c r="Q34" s="80">
        <v>2050</v>
      </c>
      <c r="R34" s="80"/>
      <c r="S34" s="80">
        <v>2799</v>
      </c>
      <c r="T34" s="80">
        <v>2050</v>
      </c>
      <c r="U34" s="80">
        <v>5743</v>
      </c>
      <c r="V34" s="80">
        <v>740</v>
      </c>
      <c r="W34" s="80">
        <v>3450</v>
      </c>
      <c r="X34" s="80">
        <v>1345</v>
      </c>
      <c r="Y34" s="80"/>
      <c r="Z34" s="80"/>
      <c r="AA34" s="80" t="s">
        <v>1258</v>
      </c>
      <c r="AB34" s="80">
        <v>3500</v>
      </c>
      <c r="AC34" s="80">
        <v>885</v>
      </c>
      <c r="AD34" s="80"/>
      <c r="AE34" s="80"/>
      <c r="AF34" s="80"/>
      <c r="AG34" s="80"/>
      <c r="AH34" s="80" t="s">
        <v>1259</v>
      </c>
      <c r="AI34" s="80" t="s">
        <v>1253</v>
      </c>
      <c r="AJ34" s="80"/>
      <c r="AK34" s="80" t="s">
        <v>1239</v>
      </c>
      <c r="AL34" s="80"/>
      <c r="AM34" s="80" t="s">
        <v>1246</v>
      </c>
      <c r="AN34" s="80"/>
      <c r="AO34" s="80" t="s">
        <v>1260</v>
      </c>
      <c r="AP34" s="80"/>
      <c r="AQ34" s="80" t="s">
        <v>1261</v>
      </c>
      <c r="AR34" s="80"/>
      <c r="AS34" s="80"/>
      <c r="AT34" s="80"/>
      <c r="AU34" s="80" t="s">
        <v>452</v>
      </c>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row>
    <row r="35" spans="1:72" s="143" customFormat="1" ht="25.15" customHeight="1" outlineLevel="1" x14ac:dyDescent="0.25">
      <c r="A35" s="9" t="s">
        <v>202</v>
      </c>
      <c r="B35" s="98" t="s">
        <v>1139</v>
      </c>
      <c r="C35" s="80" t="s">
        <v>1150</v>
      </c>
      <c r="D35" s="80"/>
      <c r="E35" s="80" t="s">
        <v>448</v>
      </c>
      <c r="F35" s="80" t="s">
        <v>449</v>
      </c>
      <c r="G35" s="80" t="s">
        <v>450</v>
      </c>
      <c r="H35" s="80" t="s">
        <v>29</v>
      </c>
      <c r="I35" s="80"/>
      <c r="J35" s="1"/>
      <c r="K35" s="80" t="s">
        <v>30</v>
      </c>
      <c r="L35" s="1"/>
      <c r="M35" s="80" t="s">
        <v>1263</v>
      </c>
      <c r="N35" s="80" t="s">
        <v>31</v>
      </c>
      <c r="O35" s="80">
        <v>2922</v>
      </c>
      <c r="P35" s="80">
        <v>1904</v>
      </c>
      <c r="Q35" s="80">
        <v>1950</v>
      </c>
      <c r="R35" s="80"/>
      <c r="S35" s="80">
        <v>2782</v>
      </c>
      <c r="T35" s="80">
        <v>2050</v>
      </c>
      <c r="U35" s="80">
        <v>5743</v>
      </c>
      <c r="V35" s="80">
        <v>740</v>
      </c>
      <c r="W35" s="80">
        <v>3450</v>
      </c>
      <c r="X35" s="80">
        <v>1345</v>
      </c>
      <c r="Y35" s="80"/>
      <c r="Z35" s="80"/>
      <c r="AA35" s="80" t="s">
        <v>500</v>
      </c>
      <c r="AB35" s="80">
        <v>3500</v>
      </c>
      <c r="AC35" s="80">
        <v>1105</v>
      </c>
      <c r="AD35" s="80"/>
      <c r="AE35" s="80"/>
      <c r="AF35" s="80"/>
      <c r="AG35" s="80"/>
      <c r="AH35" s="80" t="s">
        <v>501</v>
      </c>
      <c r="AI35" s="80" t="s">
        <v>1245</v>
      </c>
      <c r="AJ35" s="80"/>
      <c r="AK35" s="80" t="s">
        <v>1264</v>
      </c>
      <c r="AL35" s="80"/>
      <c r="AM35" s="80" t="s">
        <v>1246</v>
      </c>
      <c r="AN35" s="80"/>
      <c r="AO35" s="80" t="s">
        <v>1247</v>
      </c>
      <c r="AP35" s="80"/>
      <c r="AQ35" s="80" t="s">
        <v>1248</v>
      </c>
      <c r="AR35" s="80"/>
      <c r="AS35" s="80"/>
      <c r="AT35" s="80"/>
      <c r="AU35" s="80" t="s">
        <v>502</v>
      </c>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row>
    <row r="36" spans="1:72" s="144" customFormat="1" ht="25.15" customHeight="1" outlineLevel="1" x14ac:dyDescent="0.25">
      <c r="A36" s="9" t="s">
        <v>202</v>
      </c>
      <c r="B36" s="98" t="s">
        <v>1139</v>
      </c>
      <c r="C36" s="80" t="s">
        <v>1150</v>
      </c>
      <c r="D36" s="80"/>
      <c r="E36" s="80" t="s">
        <v>448</v>
      </c>
      <c r="F36" s="80" t="s">
        <v>449</v>
      </c>
      <c r="G36" s="80" t="s">
        <v>450</v>
      </c>
      <c r="H36" s="80" t="s">
        <v>29</v>
      </c>
      <c r="I36" s="80"/>
      <c r="J36" s="1"/>
      <c r="K36" s="80" t="s">
        <v>30</v>
      </c>
      <c r="L36" s="1"/>
      <c r="M36" s="80" t="s">
        <v>1263</v>
      </c>
      <c r="N36" s="80" t="s">
        <v>456</v>
      </c>
      <c r="O36" s="80">
        <v>2922</v>
      </c>
      <c r="P36" s="80">
        <v>1904</v>
      </c>
      <c r="Q36" s="80">
        <v>1950</v>
      </c>
      <c r="R36" s="80"/>
      <c r="S36" s="80">
        <v>2782</v>
      </c>
      <c r="T36" s="80">
        <v>2050</v>
      </c>
      <c r="U36" s="80">
        <v>5743</v>
      </c>
      <c r="V36" s="80">
        <v>740</v>
      </c>
      <c r="W36" s="80">
        <v>3450</v>
      </c>
      <c r="X36" s="80">
        <v>1345</v>
      </c>
      <c r="Y36" s="80"/>
      <c r="Z36" s="80"/>
      <c r="AA36" s="80" t="s">
        <v>1249</v>
      </c>
      <c r="AB36" s="80">
        <v>3500</v>
      </c>
      <c r="AC36" s="80">
        <v>1115</v>
      </c>
      <c r="AD36" s="80"/>
      <c r="AE36" s="80"/>
      <c r="AF36" s="80"/>
      <c r="AG36" s="80"/>
      <c r="AH36" s="80" t="s">
        <v>501</v>
      </c>
      <c r="AI36" s="80" t="s">
        <v>1245</v>
      </c>
      <c r="AJ36" s="80"/>
      <c r="AK36" s="80" t="s">
        <v>1264</v>
      </c>
      <c r="AL36" s="80"/>
      <c r="AM36" s="80" t="s">
        <v>1246</v>
      </c>
      <c r="AN36" s="80"/>
      <c r="AO36" s="80" t="s">
        <v>1250</v>
      </c>
      <c r="AP36" s="80"/>
      <c r="AQ36" s="80" t="s">
        <v>1248</v>
      </c>
      <c r="AR36" s="80"/>
      <c r="AS36" s="80"/>
      <c r="AT36" s="80"/>
      <c r="AU36" s="80" t="s">
        <v>1251</v>
      </c>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row>
    <row r="37" spans="1:72" s="144" customFormat="1" ht="25.15" customHeight="1" outlineLevel="1" x14ac:dyDescent="0.25">
      <c r="A37" s="9" t="s">
        <v>202</v>
      </c>
      <c r="B37" s="98" t="s">
        <v>1139</v>
      </c>
      <c r="C37" s="80"/>
      <c r="D37" s="80"/>
      <c r="E37" s="80" t="s">
        <v>448</v>
      </c>
      <c r="F37" s="80" t="s">
        <v>449</v>
      </c>
      <c r="G37" s="80" t="s">
        <v>450</v>
      </c>
      <c r="H37" s="80" t="s">
        <v>32</v>
      </c>
      <c r="I37" s="80"/>
      <c r="J37" s="1"/>
      <c r="K37" s="80" t="s">
        <v>30</v>
      </c>
      <c r="L37" s="1"/>
      <c r="M37" s="80" t="s">
        <v>1263</v>
      </c>
      <c r="N37" s="80" t="s">
        <v>460</v>
      </c>
      <c r="O37" s="80">
        <v>2922</v>
      </c>
      <c r="P37" s="80">
        <v>1904</v>
      </c>
      <c r="Q37" s="80">
        <v>2150</v>
      </c>
      <c r="R37" s="80"/>
      <c r="S37" s="80">
        <v>2982</v>
      </c>
      <c r="T37" s="80">
        <v>2050</v>
      </c>
      <c r="U37" s="80">
        <v>5743</v>
      </c>
      <c r="V37" s="80">
        <v>740</v>
      </c>
      <c r="W37" s="80">
        <v>3450</v>
      </c>
      <c r="X37" s="80">
        <v>1345</v>
      </c>
      <c r="Y37" s="80"/>
      <c r="Z37" s="80"/>
      <c r="AA37" s="80" t="s">
        <v>1252</v>
      </c>
      <c r="AB37" s="80">
        <v>3500</v>
      </c>
      <c r="AC37" s="80">
        <v>930</v>
      </c>
      <c r="AD37" s="80"/>
      <c r="AE37" s="80"/>
      <c r="AF37" s="80"/>
      <c r="AG37" s="80"/>
      <c r="AH37" s="80">
        <v>12</v>
      </c>
      <c r="AI37" s="80" t="s">
        <v>1253</v>
      </c>
      <c r="AJ37" s="80"/>
      <c r="AK37" s="80" t="s">
        <v>1264</v>
      </c>
      <c r="AL37" s="80"/>
      <c r="AM37" s="80" t="s">
        <v>1254</v>
      </c>
      <c r="AN37" s="80"/>
      <c r="AO37" s="80" t="s">
        <v>1255</v>
      </c>
      <c r="AP37" s="80"/>
      <c r="AQ37" s="80" t="s">
        <v>1256</v>
      </c>
      <c r="AR37" s="80"/>
      <c r="AS37" s="80"/>
      <c r="AT37" s="80"/>
      <c r="AU37" s="80" t="s">
        <v>1257</v>
      </c>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row>
    <row r="38" spans="1:72" s="144" customFormat="1" ht="25.15" customHeight="1" outlineLevel="1" x14ac:dyDescent="0.25">
      <c r="A38" s="9" t="s">
        <v>202</v>
      </c>
      <c r="B38" s="98" t="s">
        <v>1139</v>
      </c>
      <c r="C38" s="80" t="s">
        <v>1150</v>
      </c>
      <c r="D38" s="80"/>
      <c r="E38" s="80" t="s">
        <v>448</v>
      </c>
      <c r="F38" s="80" t="s">
        <v>449</v>
      </c>
      <c r="G38" s="80" t="s">
        <v>450</v>
      </c>
      <c r="H38" s="80" t="s">
        <v>12</v>
      </c>
      <c r="I38" s="80"/>
      <c r="J38" s="1"/>
      <c r="K38" s="80" t="s">
        <v>30</v>
      </c>
      <c r="L38" s="1"/>
      <c r="M38" s="80" t="s">
        <v>1263</v>
      </c>
      <c r="N38" s="80" t="s">
        <v>451</v>
      </c>
      <c r="O38" s="80">
        <v>2922</v>
      </c>
      <c r="P38" s="80">
        <v>1904</v>
      </c>
      <c r="Q38" s="80">
        <v>2050</v>
      </c>
      <c r="R38" s="80"/>
      <c r="S38" s="80">
        <v>2799</v>
      </c>
      <c r="T38" s="80">
        <v>2050</v>
      </c>
      <c r="U38" s="80">
        <v>5743</v>
      </c>
      <c r="V38" s="80">
        <v>740</v>
      </c>
      <c r="W38" s="80">
        <v>3450</v>
      </c>
      <c r="X38" s="80">
        <v>1345</v>
      </c>
      <c r="Y38" s="80"/>
      <c r="Z38" s="80"/>
      <c r="AA38" s="80" t="s">
        <v>1258</v>
      </c>
      <c r="AB38" s="80">
        <v>3500</v>
      </c>
      <c r="AC38" s="80">
        <v>885</v>
      </c>
      <c r="AD38" s="80"/>
      <c r="AE38" s="80"/>
      <c r="AF38" s="80"/>
      <c r="AG38" s="80"/>
      <c r="AH38" s="80" t="s">
        <v>1259</v>
      </c>
      <c r="AI38" s="80" t="s">
        <v>1253</v>
      </c>
      <c r="AJ38" s="80"/>
      <c r="AK38" s="80" t="s">
        <v>1264</v>
      </c>
      <c r="AL38" s="80"/>
      <c r="AM38" s="80" t="s">
        <v>1246</v>
      </c>
      <c r="AN38" s="80"/>
      <c r="AO38" s="80" t="s">
        <v>1260</v>
      </c>
      <c r="AP38" s="80"/>
      <c r="AQ38" s="80" t="s">
        <v>1261</v>
      </c>
      <c r="AR38" s="80"/>
      <c r="AS38" s="80"/>
      <c r="AT38" s="80"/>
      <c r="AU38" s="80" t="s">
        <v>452</v>
      </c>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row>
    <row r="39" spans="1:72" s="144" customFormat="1" ht="25.15" customHeight="1" outlineLevel="1" x14ac:dyDescent="0.25">
      <c r="A39" s="9" t="s">
        <v>202</v>
      </c>
      <c r="B39" s="98" t="s">
        <v>1139</v>
      </c>
      <c r="C39" s="80" t="s">
        <v>1150</v>
      </c>
      <c r="D39" s="80"/>
      <c r="E39" s="80" t="s">
        <v>448</v>
      </c>
      <c r="F39" s="80" t="s">
        <v>449</v>
      </c>
      <c r="G39" s="80" t="s">
        <v>450</v>
      </c>
      <c r="H39" s="80" t="s">
        <v>29</v>
      </c>
      <c r="I39" s="80"/>
      <c r="J39" s="1"/>
      <c r="K39" s="80" t="s">
        <v>30</v>
      </c>
      <c r="L39" s="1"/>
      <c r="M39" s="80" t="s">
        <v>1265</v>
      </c>
      <c r="N39" s="80" t="s">
        <v>31</v>
      </c>
      <c r="O39" s="80">
        <v>2922</v>
      </c>
      <c r="P39" s="80">
        <v>1904</v>
      </c>
      <c r="Q39" s="80">
        <v>1950</v>
      </c>
      <c r="R39" s="80"/>
      <c r="S39" s="80">
        <v>2782</v>
      </c>
      <c r="T39" s="80">
        <v>2050</v>
      </c>
      <c r="U39" s="80">
        <v>5743</v>
      </c>
      <c r="V39" s="80">
        <v>740</v>
      </c>
      <c r="W39" s="80">
        <v>3450</v>
      </c>
      <c r="X39" s="80">
        <v>1345</v>
      </c>
      <c r="Y39" s="80"/>
      <c r="Z39" s="80"/>
      <c r="AA39" s="80" t="s">
        <v>500</v>
      </c>
      <c r="AB39" s="80">
        <v>3500</v>
      </c>
      <c r="AC39" s="80">
        <v>1085</v>
      </c>
      <c r="AD39" s="80"/>
      <c r="AE39" s="80"/>
      <c r="AF39" s="80"/>
      <c r="AG39" s="80"/>
      <c r="AH39" s="80" t="s">
        <v>501</v>
      </c>
      <c r="AI39" s="80" t="s">
        <v>1245</v>
      </c>
      <c r="AJ39" s="80"/>
      <c r="AK39" s="80" t="s">
        <v>1266</v>
      </c>
      <c r="AL39" s="80"/>
      <c r="AM39" s="80" t="s">
        <v>1246</v>
      </c>
      <c r="AN39" s="80"/>
      <c r="AO39" s="80" t="s">
        <v>1247</v>
      </c>
      <c r="AP39" s="80"/>
      <c r="AQ39" s="80" t="s">
        <v>1248</v>
      </c>
      <c r="AR39" s="80"/>
      <c r="AS39" s="80"/>
      <c r="AT39" s="80"/>
      <c r="AU39" s="80" t="s">
        <v>502</v>
      </c>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row>
    <row r="40" spans="1:72" s="144" customFormat="1" ht="25.15" customHeight="1" outlineLevel="1" x14ac:dyDescent="0.25">
      <c r="A40" s="9" t="s">
        <v>202</v>
      </c>
      <c r="B40" s="98" t="s">
        <v>1139</v>
      </c>
      <c r="C40" s="80" t="s">
        <v>1150</v>
      </c>
      <c r="D40" s="80"/>
      <c r="E40" s="80" t="s">
        <v>448</v>
      </c>
      <c r="F40" s="80" t="s">
        <v>449</v>
      </c>
      <c r="G40" s="80" t="s">
        <v>450</v>
      </c>
      <c r="H40" s="80" t="s">
        <v>29</v>
      </c>
      <c r="I40" s="80"/>
      <c r="J40" s="1"/>
      <c r="K40" s="80" t="s">
        <v>30</v>
      </c>
      <c r="L40" s="1"/>
      <c r="M40" s="80" t="s">
        <v>1265</v>
      </c>
      <c r="N40" s="80" t="s">
        <v>456</v>
      </c>
      <c r="O40" s="80">
        <v>2922</v>
      </c>
      <c r="P40" s="80">
        <v>1904</v>
      </c>
      <c r="Q40" s="80">
        <v>1950</v>
      </c>
      <c r="R40" s="80"/>
      <c r="S40" s="80">
        <v>2782</v>
      </c>
      <c r="T40" s="80">
        <v>2050</v>
      </c>
      <c r="U40" s="80">
        <v>5743</v>
      </c>
      <c r="V40" s="80">
        <v>740</v>
      </c>
      <c r="W40" s="80">
        <v>3450</v>
      </c>
      <c r="X40" s="80">
        <v>1345</v>
      </c>
      <c r="Y40" s="80"/>
      <c r="Z40" s="80"/>
      <c r="AA40" s="80" t="s">
        <v>1249</v>
      </c>
      <c r="AB40" s="80">
        <v>3500</v>
      </c>
      <c r="AC40" s="80">
        <v>1095</v>
      </c>
      <c r="AD40" s="80"/>
      <c r="AE40" s="80"/>
      <c r="AF40" s="80"/>
      <c r="AG40" s="80"/>
      <c r="AH40" s="80" t="s">
        <v>501</v>
      </c>
      <c r="AI40" s="80" t="s">
        <v>1245</v>
      </c>
      <c r="AJ40" s="80"/>
      <c r="AK40" s="80" t="s">
        <v>1266</v>
      </c>
      <c r="AL40" s="80"/>
      <c r="AM40" s="80" t="s">
        <v>1246</v>
      </c>
      <c r="AN40" s="80"/>
      <c r="AO40" s="80" t="s">
        <v>1250</v>
      </c>
      <c r="AP40" s="80"/>
      <c r="AQ40" s="80" t="s">
        <v>1248</v>
      </c>
      <c r="AR40" s="80"/>
      <c r="AS40" s="80"/>
      <c r="AT40" s="80"/>
      <c r="AU40" s="80" t="s">
        <v>1251</v>
      </c>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row>
    <row r="41" spans="1:72" s="144" customFormat="1" ht="25.15" customHeight="1" outlineLevel="1" x14ac:dyDescent="0.25">
      <c r="A41" s="9" t="s">
        <v>202</v>
      </c>
      <c r="B41" s="98" t="s">
        <v>1139</v>
      </c>
      <c r="C41" s="80"/>
      <c r="D41" s="80"/>
      <c r="E41" s="80" t="s">
        <v>448</v>
      </c>
      <c r="F41" s="80" t="s">
        <v>449</v>
      </c>
      <c r="G41" s="80" t="s">
        <v>450</v>
      </c>
      <c r="H41" s="80" t="s">
        <v>32</v>
      </c>
      <c r="I41" s="80"/>
      <c r="J41" s="1"/>
      <c r="K41" s="80" t="s">
        <v>30</v>
      </c>
      <c r="L41" s="1"/>
      <c r="M41" s="80" t="s">
        <v>1265</v>
      </c>
      <c r="N41" s="80" t="s">
        <v>460</v>
      </c>
      <c r="O41" s="80">
        <v>2922</v>
      </c>
      <c r="P41" s="80">
        <v>1904</v>
      </c>
      <c r="Q41" s="80">
        <v>2150</v>
      </c>
      <c r="R41" s="80"/>
      <c r="S41" s="80">
        <v>2982</v>
      </c>
      <c r="T41" s="80">
        <v>2050</v>
      </c>
      <c r="U41" s="80">
        <v>5743</v>
      </c>
      <c r="V41" s="80">
        <v>740</v>
      </c>
      <c r="W41" s="80">
        <v>3450</v>
      </c>
      <c r="X41" s="80">
        <v>1345</v>
      </c>
      <c r="Y41" s="80"/>
      <c r="Z41" s="80"/>
      <c r="AA41" s="80" t="s">
        <v>1252</v>
      </c>
      <c r="AB41" s="80">
        <v>3500</v>
      </c>
      <c r="AC41" s="80">
        <v>910</v>
      </c>
      <c r="AD41" s="80"/>
      <c r="AE41" s="80"/>
      <c r="AF41" s="80"/>
      <c r="AG41" s="80"/>
      <c r="AH41" s="80">
        <v>12</v>
      </c>
      <c r="AI41" s="80" t="s">
        <v>1253</v>
      </c>
      <c r="AJ41" s="80"/>
      <c r="AK41" s="80" t="s">
        <v>1266</v>
      </c>
      <c r="AL41" s="80"/>
      <c r="AM41" s="80" t="s">
        <v>1254</v>
      </c>
      <c r="AN41" s="80"/>
      <c r="AO41" s="80" t="s">
        <v>1255</v>
      </c>
      <c r="AP41" s="80"/>
      <c r="AQ41" s="80" t="s">
        <v>1256</v>
      </c>
      <c r="AR41" s="80"/>
      <c r="AS41" s="80"/>
      <c r="AT41" s="80"/>
      <c r="AU41" s="80" t="s">
        <v>1257</v>
      </c>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row>
    <row r="42" spans="1:72" s="144" customFormat="1" ht="25.15" customHeight="1" outlineLevel="1" x14ac:dyDescent="0.25">
      <c r="A42" s="9" t="s">
        <v>202</v>
      </c>
      <c r="B42" s="98" t="s">
        <v>1139</v>
      </c>
      <c r="C42" s="80" t="s">
        <v>1150</v>
      </c>
      <c r="D42" s="80"/>
      <c r="E42" s="80" t="s">
        <v>448</v>
      </c>
      <c r="F42" s="80" t="s">
        <v>449</v>
      </c>
      <c r="G42" s="80" t="s">
        <v>450</v>
      </c>
      <c r="H42" s="80" t="s">
        <v>12</v>
      </c>
      <c r="I42" s="80"/>
      <c r="J42" s="1"/>
      <c r="K42" s="80" t="s">
        <v>30</v>
      </c>
      <c r="L42" s="1"/>
      <c r="M42" s="80" t="s">
        <v>1265</v>
      </c>
      <c r="N42" s="80" t="s">
        <v>451</v>
      </c>
      <c r="O42" s="80">
        <v>2922</v>
      </c>
      <c r="P42" s="80">
        <v>1904</v>
      </c>
      <c r="Q42" s="80">
        <v>2050</v>
      </c>
      <c r="R42" s="80"/>
      <c r="S42" s="80">
        <v>2799</v>
      </c>
      <c r="T42" s="80">
        <v>2050</v>
      </c>
      <c r="U42" s="80">
        <v>5743</v>
      </c>
      <c r="V42" s="80">
        <v>740</v>
      </c>
      <c r="W42" s="80">
        <v>3450</v>
      </c>
      <c r="X42" s="80">
        <v>1345</v>
      </c>
      <c r="Y42" s="80"/>
      <c r="Z42" s="80"/>
      <c r="AA42" s="80" t="s">
        <v>1258</v>
      </c>
      <c r="AB42" s="80">
        <v>3500</v>
      </c>
      <c r="AC42" s="80">
        <v>865</v>
      </c>
      <c r="AD42" s="80"/>
      <c r="AE42" s="80"/>
      <c r="AF42" s="80"/>
      <c r="AG42" s="80"/>
      <c r="AH42" s="80" t="s">
        <v>1259</v>
      </c>
      <c r="AI42" s="80" t="s">
        <v>1253</v>
      </c>
      <c r="AJ42" s="80"/>
      <c r="AK42" s="80" t="s">
        <v>1266</v>
      </c>
      <c r="AL42" s="80"/>
      <c r="AM42" s="80" t="s">
        <v>1246</v>
      </c>
      <c r="AN42" s="80"/>
      <c r="AO42" s="80" t="s">
        <v>1260</v>
      </c>
      <c r="AP42" s="80"/>
      <c r="AQ42" s="80" t="s">
        <v>1261</v>
      </c>
      <c r="AR42" s="80"/>
      <c r="AS42" s="80"/>
      <c r="AT42" s="80"/>
      <c r="AU42" s="80" t="s">
        <v>452</v>
      </c>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row>
    <row r="43" spans="1:72" s="143" customFormat="1" ht="25.15" customHeight="1" outlineLevel="1" x14ac:dyDescent="0.25">
      <c r="A43" s="9" t="s">
        <v>202</v>
      </c>
      <c r="B43" s="98" t="s">
        <v>1139</v>
      </c>
      <c r="C43" s="80"/>
      <c r="D43" s="80"/>
      <c r="E43" s="80" t="s">
        <v>448</v>
      </c>
      <c r="F43" s="80" t="s">
        <v>449</v>
      </c>
      <c r="G43" s="80" t="s">
        <v>450</v>
      </c>
      <c r="H43" s="80" t="s">
        <v>12</v>
      </c>
      <c r="I43" s="80"/>
      <c r="J43" s="1"/>
      <c r="K43" s="80" t="s">
        <v>30</v>
      </c>
      <c r="L43" s="1"/>
      <c r="M43" s="80" t="s">
        <v>1267</v>
      </c>
      <c r="N43" s="80" t="s">
        <v>451</v>
      </c>
      <c r="O43" s="80">
        <v>2922</v>
      </c>
      <c r="P43" s="80">
        <v>1904</v>
      </c>
      <c r="Q43" s="80">
        <v>1950</v>
      </c>
      <c r="R43" s="80"/>
      <c r="S43" s="80">
        <v>2799</v>
      </c>
      <c r="T43" s="80">
        <v>2050</v>
      </c>
      <c r="U43" s="80">
        <v>5743</v>
      </c>
      <c r="V43" s="80">
        <v>740</v>
      </c>
      <c r="W43" s="80">
        <v>3450</v>
      </c>
      <c r="X43" s="80">
        <v>1345</v>
      </c>
      <c r="Y43" s="80"/>
      <c r="Z43" s="80"/>
      <c r="AA43" s="80" t="s">
        <v>1268</v>
      </c>
      <c r="AB43" s="80">
        <v>3500</v>
      </c>
      <c r="AC43" s="80">
        <v>985</v>
      </c>
      <c r="AD43" s="80"/>
      <c r="AE43" s="80"/>
      <c r="AF43" s="80"/>
      <c r="AG43" s="80"/>
      <c r="AH43" s="80" t="s">
        <v>1269</v>
      </c>
      <c r="AI43" s="80" t="s">
        <v>1245</v>
      </c>
      <c r="AJ43" s="80"/>
      <c r="AK43" s="80" t="s">
        <v>1230</v>
      </c>
      <c r="AL43" s="80"/>
      <c r="AM43" s="80" t="s">
        <v>1246</v>
      </c>
      <c r="AN43" s="80"/>
      <c r="AO43" s="80" t="s">
        <v>1270</v>
      </c>
      <c r="AP43" s="80"/>
      <c r="AQ43" s="80" t="s">
        <v>1271</v>
      </c>
      <c r="AR43" s="80"/>
      <c r="AS43" s="80"/>
      <c r="AT43" s="80"/>
      <c r="AU43" s="84" t="s">
        <v>1272</v>
      </c>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row>
    <row r="44" spans="1:72" s="144" customFormat="1" ht="25.15" customHeight="1" outlineLevel="1" x14ac:dyDescent="0.25">
      <c r="A44" s="9" t="s">
        <v>202</v>
      </c>
      <c r="B44" s="98" t="s">
        <v>1139</v>
      </c>
      <c r="C44" s="80" t="s">
        <v>1150</v>
      </c>
      <c r="D44" s="80"/>
      <c r="E44" s="80" t="s">
        <v>33</v>
      </c>
      <c r="F44" s="80" t="s">
        <v>34</v>
      </c>
      <c r="G44" s="80" t="s">
        <v>85</v>
      </c>
      <c r="H44" s="80" t="s">
        <v>29</v>
      </c>
      <c r="I44" s="80"/>
      <c r="J44" s="1"/>
      <c r="K44" s="80" t="s">
        <v>30</v>
      </c>
      <c r="L44" s="1"/>
      <c r="M44" s="80" t="s">
        <v>1273</v>
      </c>
      <c r="N44" s="80" t="s">
        <v>31</v>
      </c>
      <c r="O44" s="80">
        <v>3224</v>
      </c>
      <c r="P44" s="80">
        <v>1904</v>
      </c>
      <c r="Q44" s="80">
        <v>1950</v>
      </c>
      <c r="R44" s="80"/>
      <c r="S44" s="80">
        <v>2942</v>
      </c>
      <c r="T44" s="80">
        <v>2050</v>
      </c>
      <c r="U44" s="80">
        <v>5932</v>
      </c>
      <c r="V44" s="80">
        <v>900</v>
      </c>
      <c r="W44" s="80">
        <v>3450</v>
      </c>
      <c r="X44" s="80">
        <v>1425</v>
      </c>
      <c r="Y44" s="80"/>
      <c r="Z44" s="80">
        <v>5</v>
      </c>
      <c r="AA44" s="80" t="s">
        <v>503</v>
      </c>
      <c r="AB44" s="80">
        <v>3500</v>
      </c>
      <c r="AC44" s="80">
        <v>685</v>
      </c>
      <c r="AD44" s="80"/>
      <c r="AE44" s="80"/>
      <c r="AF44" s="80"/>
      <c r="AG44" s="80"/>
      <c r="AH44" s="80">
        <v>12</v>
      </c>
      <c r="AI44" s="80" t="s">
        <v>1274</v>
      </c>
      <c r="AJ44" s="80"/>
      <c r="AK44" s="80" t="s">
        <v>1275</v>
      </c>
      <c r="AL44" s="80"/>
      <c r="AM44" s="80" t="s">
        <v>1276</v>
      </c>
      <c r="AN44" s="80"/>
      <c r="AO44" s="80" t="s">
        <v>1277</v>
      </c>
      <c r="AP44" s="80"/>
      <c r="AQ44" s="80" t="s">
        <v>1248</v>
      </c>
      <c r="AR44" s="80"/>
      <c r="AS44" s="80"/>
      <c r="AT44" s="80"/>
      <c r="AU44" s="80" t="s">
        <v>1278</v>
      </c>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row>
    <row r="45" spans="1:72" s="144" customFormat="1" ht="25.15" customHeight="1" outlineLevel="1" x14ac:dyDescent="0.25">
      <c r="A45" s="9" t="s">
        <v>202</v>
      </c>
      <c r="B45" s="98" t="s">
        <v>1139</v>
      </c>
      <c r="C45" s="1"/>
      <c r="D45" s="80"/>
      <c r="E45" s="80" t="s">
        <v>33</v>
      </c>
      <c r="F45" s="80" t="s">
        <v>34</v>
      </c>
      <c r="G45" s="80" t="s">
        <v>85</v>
      </c>
      <c r="H45" s="80" t="s">
        <v>29</v>
      </c>
      <c r="I45" s="80"/>
      <c r="J45" s="1"/>
      <c r="K45" s="80" t="s">
        <v>30</v>
      </c>
      <c r="L45" s="1"/>
      <c r="M45" s="80" t="s">
        <v>1273</v>
      </c>
      <c r="N45" s="80" t="s">
        <v>456</v>
      </c>
      <c r="O45" s="80">
        <v>3224</v>
      </c>
      <c r="P45" s="80">
        <v>1904</v>
      </c>
      <c r="Q45" s="80">
        <v>1950</v>
      </c>
      <c r="R45" s="80"/>
      <c r="S45" s="80">
        <v>2942</v>
      </c>
      <c r="T45" s="80">
        <v>2050</v>
      </c>
      <c r="U45" s="80">
        <v>5932</v>
      </c>
      <c r="V45" s="80">
        <v>900</v>
      </c>
      <c r="W45" s="80">
        <v>3450</v>
      </c>
      <c r="X45" s="80">
        <v>1425</v>
      </c>
      <c r="Y45" s="80"/>
      <c r="Z45" s="80">
        <v>5</v>
      </c>
      <c r="AA45" s="80" t="s">
        <v>1279</v>
      </c>
      <c r="AB45" s="80">
        <v>3500</v>
      </c>
      <c r="AC45" s="80">
        <v>690</v>
      </c>
      <c r="AD45" s="80"/>
      <c r="AE45" s="80"/>
      <c r="AF45" s="80"/>
      <c r="AG45" s="80"/>
      <c r="AH45" s="80">
        <v>12</v>
      </c>
      <c r="AI45" s="80" t="s">
        <v>1274</v>
      </c>
      <c r="AJ45" s="80"/>
      <c r="AK45" s="80" t="s">
        <v>1275</v>
      </c>
      <c r="AL45" s="80"/>
      <c r="AM45" s="80" t="s">
        <v>1276</v>
      </c>
      <c r="AN45" s="80"/>
      <c r="AO45" s="80" t="s">
        <v>1280</v>
      </c>
      <c r="AP45" s="80"/>
      <c r="AQ45" s="80" t="s">
        <v>1248</v>
      </c>
      <c r="AR45" s="80"/>
      <c r="AS45" s="80"/>
      <c r="AT45" s="80"/>
      <c r="AU45" s="80" t="s">
        <v>1281</v>
      </c>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row>
    <row r="46" spans="1:72" s="144" customFormat="1" ht="25.15" customHeight="1" outlineLevel="1" x14ac:dyDescent="0.25">
      <c r="A46" s="9" t="s">
        <v>202</v>
      </c>
      <c r="B46" s="98" t="s">
        <v>1139</v>
      </c>
      <c r="C46" s="1" t="s">
        <v>1150</v>
      </c>
      <c r="D46" s="80"/>
      <c r="E46" s="80" t="s">
        <v>33</v>
      </c>
      <c r="F46" s="80" t="s">
        <v>34</v>
      </c>
      <c r="G46" s="80" t="s">
        <v>85</v>
      </c>
      <c r="H46" s="80" t="s">
        <v>32</v>
      </c>
      <c r="I46" s="80"/>
      <c r="J46" s="1"/>
      <c r="K46" s="80" t="s">
        <v>30</v>
      </c>
      <c r="L46" s="1"/>
      <c r="M46" s="80" t="s">
        <v>1273</v>
      </c>
      <c r="N46" s="80" t="s">
        <v>460</v>
      </c>
      <c r="O46" s="80">
        <v>3224</v>
      </c>
      <c r="P46" s="80">
        <v>1904</v>
      </c>
      <c r="Q46" s="80">
        <v>2200</v>
      </c>
      <c r="R46" s="80"/>
      <c r="S46" s="80">
        <v>3190</v>
      </c>
      <c r="T46" s="80">
        <v>2050</v>
      </c>
      <c r="U46" s="80">
        <v>5932</v>
      </c>
      <c r="V46" s="80">
        <v>900</v>
      </c>
      <c r="W46" s="80">
        <v>3450</v>
      </c>
      <c r="X46" s="80">
        <v>1425</v>
      </c>
      <c r="Y46" s="80"/>
      <c r="Z46" s="80">
        <v>5</v>
      </c>
      <c r="AA46" s="80" t="s">
        <v>1282</v>
      </c>
      <c r="AB46" s="80">
        <v>3500</v>
      </c>
      <c r="AC46" s="80">
        <v>540</v>
      </c>
      <c r="AD46" s="80"/>
      <c r="AE46" s="80"/>
      <c r="AF46" s="80"/>
      <c r="AG46" s="80"/>
      <c r="AH46" s="80" t="s">
        <v>1283</v>
      </c>
      <c r="AI46" s="80" t="s">
        <v>1274</v>
      </c>
      <c r="AJ46" s="80"/>
      <c r="AK46" s="80" t="s">
        <v>1275</v>
      </c>
      <c r="AL46" s="80"/>
      <c r="AM46" s="80" t="s">
        <v>1276</v>
      </c>
      <c r="AN46" s="80"/>
      <c r="AO46" s="80" t="s">
        <v>1284</v>
      </c>
      <c r="AP46" s="80"/>
      <c r="AQ46" s="80" t="s">
        <v>1285</v>
      </c>
      <c r="AR46" s="80"/>
      <c r="AS46" s="80"/>
      <c r="AT46" s="80"/>
      <c r="AU46" s="80" t="s">
        <v>1286</v>
      </c>
      <c r="AV46" s="80"/>
      <c r="AW46" s="80"/>
      <c r="AX46" s="80"/>
      <c r="AY46" s="80"/>
      <c r="AZ46" s="80"/>
      <c r="BA46" s="80"/>
      <c r="BB46" s="80"/>
      <c r="BC46" s="80"/>
      <c r="BD46" s="80"/>
      <c r="BE46" s="80"/>
      <c r="BF46" s="80"/>
      <c r="BG46" s="80"/>
      <c r="BH46" s="80"/>
      <c r="BI46" s="80"/>
      <c r="BJ46" s="80"/>
      <c r="BK46" s="80"/>
      <c r="BL46" s="80"/>
      <c r="BM46" s="80"/>
      <c r="BN46" s="80"/>
      <c r="BO46" s="80"/>
      <c r="BP46" s="80"/>
      <c r="BQ46" s="80"/>
      <c r="BR46" s="80"/>
      <c r="BS46" s="80"/>
      <c r="BT46" s="80"/>
    </row>
    <row r="47" spans="1:72" s="144" customFormat="1" ht="25.15" customHeight="1" outlineLevel="1" x14ac:dyDescent="0.25">
      <c r="A47" s="9" t="s">
        <v>202</v>
      </c>
      <c r="B47" s="98" t="s">
        <v>1139</v>
      </c>
      <c r="C47" s="1" t="s">
        <v>1150</v>
      </c>
      <c r="D47" s="80"/>
      <c r="E47" s="80" t="s">
        <v>33</v>
      </c>
      <c r="F47" s="80" t="s">
        <v>34</v>
      </c>
      <c r="G47" s="80" t="s">
        <v>85</v>
      </c>
      <c r="H47" s="80" t="s">
        <v>29</v>
      </c>
      <c r="I47" s="80" t="s">
        <v>7</v>
      </c>
      <c r="J47" s="1"/>
      <c r="K47" s="80" t="s">
        <v>30</v>
      </c>
      <c r="L47" s="1"/>
      <c r="M47" s="80" t="s">
        <v>1273</v>
      </c>
      <c r="N47" s="80" t="s">
        <v>35</v>
      </c>
      <c r="O47" s="80">
        <v>3224</v>
      </c>
      <c r="P47" s="80">
        <v>1904</v>
      </c>
      <c r="Q47" s="80">
        <v>1950</v>
      </c>
      <c r="R47" s="80"/>
      <c r="S47" s="80">
        <v>2942</v>
      </c>
      <c r="T47" s="80">
        <v>2050</v>
      </c>
      <c r="U47" s="80">
        <v>6124</v>
      </c>
      <c r="V47" s="80">
        <v>900</v>
      </c>
      <c r="W47" s="80">
        <v>3450</v>
      </c>
      <c r="X47" s="80">
        <v>1617</v>
      </c>
      <c r="Y47" s="80"/>
      <c r="Z47" s="80">
        <v>5</v>
      </c>
      <c r="AA47" s="80" t="s">
        <v>36</v>
      </c>
      <c r="AB47" s="80">
        <v>3500</v>
      </c>
      <c r="AC47" s="80">
        <v>500</v>
      </c>
      <c r="AD47" s="80"/>
      <c r="AE47" s="80"/>
      <c r="AF47" s="80"/>
      <c r="AG47" s="80"/>
      <c r="AH47" s="80">
        <v>12</v>
      </c>
      <c r="AI47" s="80" t="s">
        <v>1274</v>
      </c>
      <c r="AJ47" s="80"/>
      <c r="AK47" s="80" t="s">
        <v>1275</v>
      </c>
      <c r="AL47" s="80"/>
      <c r="AM47" s="80" t="s">
        <v>1276</v>
      </c>
      <c r="AN47" s="80"/>
      <c r="AO47" s="80" t="s">
        <v>1287</v>
      </c>
      <c r="AP47" s="80"/>
      <c r="AQ47" s="80" t="s">
        <v>1248</v>
      </c>
      <c r="AR47" s="80"/>
      <c r="AS47" s="80" t="s">
        <v>1288</v>
      </c>
      <c r="AT47" s="80"/>
      <c r="AU47" s="80" t="s">
        <v>1289</v>
      </c>
      <c r="AV47" s="80"/>
      <c r="AW47" s="80"/>
      <c r="AX47" s="80"/>
      <c r="AY47" s="80"/>
      <c r="AZ47" s="80"/>
      <c r="BA47" s="80"/>
      <c r="BB47" s="80"/>
      <c r="BC47" s="80"/>
      <c r="BD47" s="80"/>
      <c r="BE47" s="80"/>
      <c r="BF47" s="80"/>
      <c r="BG47" s="80"/>
      <c r="BH47" s="80"/>
      <c r="BI47" s="80"/>
      <c r="BJ47" s="80"/>
      <c r="BK47" s="80"/>
      <c r="BL47" s="80"/>
      <c r="BM47" s="80"/>
      <c r="BN47" s="80"/>
      <c r="BO47" s="80"/>
      <c r="BP47" s="80"/>
      <c r="BQ47" s="80"/>
      <c r="BR47" s="80"/>
      <c r="BS47" s="80"/>
      <c r="BT47" s="80"/>
    </row>
    <row r="48" spans="1:72" s="144" customFormat="1" ht="25.15" customHeight="1" outlineLevel="1" x14ac:dyDescent="0.25">
      <c r="A48" s="9" t="s">
        <v>202</v>
      </c>
      <c r="B48" s="98" t="s">
        <v>1139</v>
      </c>
      <c r="C48" s="1" t="s">
        <v>1150</v>
      </c>
      <c r="D48" s="80"/>
      <c r="E48" s="80" t="s">
        <v>33</v>
      </c>
      <c r="F48" s="80" t="s">
        <v>34</v>
      </c>
      <c r="G48" s="80" t="s">
        <v>85</v>
      </c>
      <c r="H48" s="80" t="s">
        <v>12</v>
      </c>
      <c r="I48" s="80"/>
      <c r="J48" s="1"/>
      <c r="K48" s="80" t="s">
        <v>30</v>
      </c>
      <c r="L48" s="1"/>
      <c r="M48" s="80" t="s">
        <v>1273</v>
      </c>
      <c r="N48" s="80" t="s">
        <v>451</v>
      </c>
      <c r="O48" s="80">
        <v>3524</v>
      </c>
      <c r="P48" s="80">
        <v>1904</v>
      </c>
      <c r="Q48" s="80">
        <v>2050</v>
      </c>
      <c r="R48" s="80"/>
      <c r="S48" s="80">
        <v>3040</v>
      </c>
      <c r="T48" s="80">
        <v>2050</v>
      </c>
      <c r="U48" s="80">
        <v>6223</v>
      </c>
      <c r="V48" s="80">
        <v>900</v>
      </c>
      <c r="W48" s="80">
        <v>3450</v>
      </c>
      <c r="X48" s="80">
        <v>1725</v>
      </c>
      <c r="Y48" s="80"/>
      <c r="Z48" s="80">
        <v>5</v>
      </c>
      <c r="AA48" s="80" t="s">
        <v>1290</v>
      </c>
      <c r="AB48" s="80">
        <v>3500</v>
      </c>
      <c r="AC48" s="80">
        <v>395</v>
      </c>
      <c r="AD48" s="80"/>
      <c r="AE48" s="80"/>
      <c r="AF48" s="80"/>
      <c r="AG48" s="80"/>
      <c r="AH48" s="80" t="s">
        <v>1291</v>
      </c>
      <c r="AI48" s="80" t="s">
        <v>1274</v>
      </c>
      <c r="AJ48" s="80"/>
      <c r="AK48" s="80" t="s">
        <v>1275</v>
      </c>
      <c r="AL48" s="80"/>
      <c r="AM48" s="80" t="s">
        <v>1276</v>
      </c>
      <c r="AN48" s="80"/>
      <c r="AO48" s="80" t="s">
        <v>1292</v>
      </c>
      <c r="AP48" s="80"/>
      <c r="AQ48" s="80" t="s">
        <v>1293</v>
      </c>
      <c r="AR48" s="80"/>
      <c r="AS48" s="80"/>
      <c r="AT48" s="80"/>
      <c r="AU48" s="80" t="s">
        <v>458</v>
      </c>
      <c r="AV48" s="80"/>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row>
    <row r="49" spans="1:72" s="144" customFormat="1" ht="25.15" customHeight="1" outlineLevel="1" x14ac:dyDescent="0.25">
      <c r="A49" s="9" t="s">
        <v>202</v>
      </c>
      <c r="B49" s="98" t="s">
        <v>1139</v>
      </c>
      <c r="C49" s="1" t="s">
        <v>1150</v>
      </c>
      <c r="D49" s="80"/>
      <c r="E49" s="80" t="s">
        <v>33</v>
      </c>
      <c r="F49" s="80" t="s">
        <v>34</v>
      </c>
      <c r="G49" s="80" t="s">
        <v>85</v>
      </c>
      <c r="H49" s="80" t="s">
        <v>29</v>
      </c>
      <c r="I49" s="80"/>
      <c r="J49" s="1"/>
      <c r="K49" s="80" t="s">
        <v>30</v>
      </c>
      <c r="L49" s="1"/>
      <c r="M49" s="80" t="s">
        <v>1273</v>
      </c>
      <c r="N49" s="80" t="s">
        <v>1294</v>
      </c>
      <c r="O49" s="80">
        <v>2824</v>
      </c>
      <c r="P49" s="80">
        <v>1904</v>
      </c>
      <c r="Q49" s="80">
        <v>1950</v>
      </c>
      <c r="R49" s="80"/>
      <c r="S49" s="80">
        <v>2940</v>
      </c>
      <c r="T49" s="80">
        <v>2050</v>
      </c>
      <c r="U49" s="80">
        <v>5523</v>
      </c>
      <c r="V49" s="80">
        <v>900</v>
      </c>
      <c r="W49" s="80">
        <v>3000</v>
      </c>
      <c r="X49" s="80">
        <v>1475</v>
      </c>
      <c r="Y49" s="80"/>
      <c r="Z49" s="80">
        <v>4</v>
      </c>
      <c r="AA49" s="80" t="s">
        <v>503</v>
      </c>
      <c r="AB49" s="80">
        <v>3500</v>
      </c>
      <c r="AC49" s="80">
        <v>770</v>
      </c>
      <c r="AD49" s="80"/>
      <c r="AE49" s="80"/>
      <c r="AF49" s="80"/>
      <c r="AG49" s="80"/>
      <c r="AH49" s="80" t="s">
        <v>1295</v>
      </c>
      <c r="AI49" s="80" t="s">
        <v>1274</v>
      </c>
      <c r="AJ49" s="80"/>
      <c r="AK49" s="80" t="s">
        <v>1275</v>
      </c>
      <c r="AL49" s="80"/>
      <c r="AM49" s="80" t="s">
        <v>1296</v>
      </c>
      <c r="AN49" s="80"/>
      <c r="AO49" s="80" t="s">
        <v>1297</v>
      </c>
      <c r="AP49" s="80"/>
      <c r="AQ49" s="80" t="s">
        <v>1248</v>
      </c>
      <c r="AR49" s="80"/>
      <c r="AS49" s="80"/>
      <c r="AT49" s="80"/>
      <c r="AU49" s="80" t="s">
        <v>1278</v>
      </c>
      <c r="AV49" s="80"/>
      <c r="AW49" s="80"/>
      <c r="AX49" s="80"/>
      <c r="AY49" s="80"/>
      <c r="AZ49" s="80"/>
      <c r="BA49" s="80"/>
      <c r="BB49" s="80"/>
      <c r="BC49" s="80"/>
      <c r="BD49" s="80"/>
      <c r="BE49" s="80"/>
      <c r="BF49" s="80"/>
      <c r="BG49" s="80"/>
      <c r="BH49" s="80"/>
      <c r="BI49" s="80"/>
      <c r="BJ49" s="80"/>
      <c r="BK49" s="80"/>
      <c r="BL49" s="80"/>
      <c r="BM49" s="80"/>
      <c r="BN49" s="80"/>
      <c r="BO49" s="80"/>
      <c r="BP49" s="80"/>
      <c r="BQ49" s="80"/>
      <c r="BR49" s="80"/>
      <c r="BS49" s="80"/>
      <c r="BT49" s="80"/>
    </row>
    <row r="50" spans="1:72" s="144" customFormat="1" ht="25.15" customHeight="1" outlineLevel="1" x14ac:dyDescent="0.25">
      <c r="A50" s="9" t="s">
        <v>202</v>
      </c>
      <c r="B50" s="98" t="s">
        <v>1139</v>
      </c>
      <c r="C50" s="1" t="s">
        <v>1150</v>
      </c>
      <c r="D50" s="80"/>
      <c r="E50" s="80" t="s">
        <v>33</v>
      </c>
      <c r="F50" s="80" t="s">
        <v>34</v>
      </c>
      <c r="G50" s="80" t="s">
        <v>85</v>
      </c>
      <c r="H50" s="80" t="s">
        <v>29</v>
      </c>
      <c r="I50" s="80"/>
      <c r="J50" s="1"/>
      <c r="K50" s="80" t="s">
        <v>30</v>
      </c>
      <c r="L50" s="1"/>
      <c r="M50" s="80" t="s">
        <v>1298</v>
      </c>
      <c r="N50" s="80" t="s">
        <v>31</v>
      </c>
      <c r="O50" s="80">
        <v>3228</v>
      </c>
      <c r="P50" s="80">
        <v>1908</v>
      </c>
      <c r="Q50" s="80">
        <v>1950</v>
      </c>
      <c r="R50" s="80"/>
      <c r="S50" s="80">
        <v>2936</v>
      </c>
      <c r="T50" s="80">
        <v>2050</v>
      </c>
      <c r="U50" s="80">
        <v>5932</v>
      </c>
      <c r="V50" s="80">
        <v>895</v>
      </c>
      <c r="W50" s="80">
        <v>3450</v>
      </c>
      <c r="X50" s="80">
        <v>1425</v>
      </c>
      <c r="Y50" s="80"/>
      <c r="Z50" s="80">
        <v>5</v>
      </c>
      <c r="AA50" s="80" t="s">
        <v>1299</v>
      </c>
      <c r="AB50" s="80">
        <v>3500</v>
      </c>
      <c r="AC50" s="80">
        <v>820</v>
      </c>
      <c r="AD50" s="80"/>
      <c r="AE50" s="80"/>
      <c r="AF50" s="80"/>
      <c r="AG50" s="80"/>
      <c r="AH50" s="80">
        <v>12</v>
      </c>
      <c r="AI50" s="80" t="s">
        <v>1300</v>
      </c>
      <c r="AJ50" s="80"/>
      <c r="AK50" s="80" t="s">
        <v>1275</v>
      </c>
      <c r="AL50" s="80"/>
      <c r="AM50" s="80" t="s">
        <v>1301</v>
      </c>
      <c r="AN50" s="80"/>
      <c r="AO50" s="80" t="s">
        <v>1302</v>
      </c>
      <c r="AP50" s="80"/>
      <c r="AQ50" s="80" t="s">
        <v>1303</v>
      </c>
      <c r="AR50" s="80"/>
      <c r="AS50" s="80"/>
      <c r="AT50" s="80"/>
      <c r="AU50" s="80" t="s">
        <v>1304</v>
      </c>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row>
    <row r="51" spans="1:72" s="144" customFormat="1" ht="25.15" customHeight="1" outlineLevel="1" x14ac:dyDescent="0.25">
      <c r="A51" s="9" t="s">
        <v>202</v>
      </c>
      <c r="B51" s="98" t="s">
        <v>1139</v>
      </c>
      <c r="C51" s="1"/>
      <c r="D51" s="80"/>
      <c r="E51" s="80" t="s">
        <v>33</v>
      </c>
      <c r="F51" s="80" t="s">
        <v>34</v>
      </c>
      <c r="G51" s="80" t="s">
        <v>85</v>
      </c>
      <c r="H51" s="80" t="s">
        <v>29</v>
      </c>
      <c r="I51" s="80"/>
      <c r="J51" s="1"/>
      <c r="K51" s="80" t="s">
        <v>30</v>
      </c>
      <c r="L51" s="1"/>
      <c r="M51" s="80" t="s">
        <v>1298</v>
      </c>
      <c r="N51" s="80" t="s">
        <v>456</v>
      </c>
      <c r="O51" s="80">
        <v>3228</v>
      </c>
      <c r="P51" s="80">
        <v>1908</v>
      </c>
      <c r="Q51" s="80">
        <v>1950</v>
      </c>
      <c r="R51" s="80"/>
      <c r="S51" s="80">
        <v>2936</v>
      </c>
      <c r="T51" s="80">
        <v>2050</v>
      </c>
      <c r="U51" s="80">
        <v>5932</v>
      </c>
      <c r="V51" s="80">
        <v>895</v>
      </c>
      <c r="W51" s="80">
        <v>3450</v>
      </c>
      <c r="X51" s="80">
        <v>1425</v>
      </c>
      <c r="Y51" s="80"/>
      <c r="Z51" s="80">
        <v>5</v>
      </c>
      <c r="AA51" s="80" t="s">
        <v>1305</v>
      </c>
      <c r="AB51" s="80">
        <v>3500</v>
      </c>
      <c r="AC51" s="80">
        <v>825</v>
      </c>
      <c r="AD51" s="80"/>
      <c r="AE51" s="80"/>
      <c r="AF51" s="80"/>
      <c r="AG51" s="80"/>
      <c r="AH51" s="80">
        <v>12</v>
      </c>
      <c r="AI51" s="80" t="s">
        <v>1300</v>
      </c>
      <c r="AJ51" s="80"/>
      <c r="AK51" s="80" t="s">
        <v>1275</v>
      </c>
      <c r="AL51" s="80"/>
      <c r="AM51" s="80" t="s">
        <v>1301</v>
      </c>
      <c r="AN51" s="80"/>
      <c r="AO51" s="80" t="s">
        <v>1306</v>
      </c>
      <c r="AP51" s="80"/>
      <c r="AQ51" s="80" t="s">
        <v>1303</v>
      </c>
      <c r="AR51" s="80"/>
      <c r="AS51" s="80"/>
      <c r="AT51" s="80"/>
      <c r="AU51" s="80" t="s">
        <v>1307</v>
      </c>
      <c r="AV51" s="80"/>
      <c r="AW51" s="80"/>
      <c r="AX51" s="80"/>
      <c r="AY51" s="80"/>
      <c r="AZ51" s="80"/>
      <c r="BA51" s="80"/>
      <c r="BB51" s="80"/>
      <c r="BC51" s="80"/>
      <c r="BD51" s="80"/>
      <c r="BE51" s="80"/>
      <c r="BF51" s="80"/>
      <c r="BG51" s="80"/>
      <c r="BH51" s="80"/>
      <c r="BI51" s="80"/>
      <c r="BJ51" s="80"/>
      <c r="BK51" s="80"/>
      <c r="BL51" s="80"/>
      <c r="BM51" s="80"/>
      <c r="BN51" s="80"/>
      <c r="BO51" s="80"/>
      <c r="BP51" s="80"/>
      <c r="BQ51" s="80"/>
      <c r="BR51" s="80"/>
      <c r="BS51" s="80"/>
      <c r="BT51" s="80"/>
    </row>
    <row r="52" spans="1:72" s="144" customFormat="1" ht="25.15" customHeight="1" outlineLevel="1" x14ac:dyDescent="0.25">
      <c r="A52" s="9" t="s">
        <v>202</v>
      </c>
      <c r="B52" s="98" t="s">
        <v>1139</v>
      </c>
      <c r="C52" s="1" t="s">
        <v>1150</v>
      </c>
      <c r="D52" s="80"/>
      <c r="E52" s="80" t="s">
        <v>33</v>
      </c>
      <c r="F52" s="80" t="s">
        <v>34</v>
      </c>
      <c r="G52" s="80" t="s">
        <v>85</v>
      </c>
      <c r="H52" s="80" t="s">
        <v>29</v>
      </c>
      <c r="I52" s="80" t="s">
        <v>7</v>
      </c>
      <c r="J52" s="1"/>
      <c r="K52" s="80" t="s">
        <v>30</v>
      </c>
      <c r="L52" s="1"/>
      <c r="M52" s="80" t="s">
        <v>1298</v>
      </c>
      <c r="N52" s="80" t="s">
        <v>35</v>
      </c>
      <c r="O52" s="80">
        <v>3228</v>
      </c>
      <c r="P52" s="80">
        <v>1908</v>
      </c>
      <c r="Q52" s="80">
        <v>1950</v>
      </c>
      <c r="R52" s="80"/>
      <c r="S52" s="80">
        <v>2936</v>
      </c>
      <c r="T52" s="80">
        <v>2050</v>
      </c>
      <c r="U52" s="80">
        <v>6124</v>
      </c>
      <c r="V52" s="80">
        <v>895</v>
      </c>
      <c r="W52" s="80">
        <v>3450</v>
      </c>
      <c r="X52" s="80">
        <v>1617</v>
      </c>
      <c r="Y52" s="80"/>
      <c r="Z52" s="80">
        <v>5</v>
      </c>
      <c r="AA52" s="80" t="s">
        <v>490</v>
      </c>
      <c r="AB52" s="80">
        <v>3500</v>
      </c>
      <c r="AC52" s="80">
        <v>625</v>
      </c>
      <c r="AD52" s="80"/>
      <c r="AE52" s="80"/>
      <c r="AF52" s="80"/>
      <c r="AG52" s="80"/>
      <c r="AH52" s="80">
        <v>12</v>
      </c>
      <c r="AI52" s="80" t="s">
        <v>1300</v>
      </c>
      <c r="AJ52" s="80"/>
      <c r="AK52" s="80" t="s">
        <v>1275</v>
      </c>
      <c r="AL52" s="80"/>
      <c r="AM52" s="80" t="s">
        <v>1301</v>
      </c>
      <c r="AN52" s="80"/>
      <c r="AO52" s="80" t="s">
        <v>1308</v>
      </c>
      <c r="AP52" s="80"/>
      <c r="AQ52" s="80" t="s">
        <v>1303</v>
      </c>
      <c r="AR52" s="80"/>
      <c r="AS52" s="80" t="s">
        <v>1288</v>
      </c>
      <c r="AT52" s="80"/>
      <c r="AU52" s="80" t="s">
        <v>1309</v>
      </c>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row>
    <row r="53" spans="1:72" s="144" customFormat="1" ht="25.15" customHeight="1" outlineLevel="1" x14ac:dyDescent="0.25">
      <c r="A53" s="9" t="s">
        <v>202</v>
      </c>
      <c r="B53" s="98" t="s">
        <v>1139</v>
      </c>
      <c r="C53" s="1" t="s">
        <v>1150</v>
      </c>
      <c r="D53" s="80"/>
      <c r="E53" s="80" t="s">
        <v>33</v>
      </c>
      <c r="F53" s="80" t="s">
        <v>34</v>
      </c>
      <c r="G53" s="80" t="s">
        <v>85</v>
      </c>
      <c r="H53" s="80" t="s">
        <v>12</v>
      </c>
      <c r="I53" s="80"/>
      <c r="J53" s="1"/>
      <c r="K53" s="80" t="s">
        <v>30</v>
      </c>
      <c r="L53" s="1"/>
      <c r="M53" s="80" t="s">
        <v>1298</v>
      </c>
      <c r="N53" s="80" t="s">
        <v>451</v>
      </c>
      <c r="O53" s="80">
        <v>3528</v>
      </c>
      <c r="P53" s="80">
        <v>1908</v>
      </c>
      <c r="Q53" s="80">
        <v>2050</v>
      </c>
      <c r="R53" s="80"/>
      <c r="S53" s="80">
        <v>3036</v>
      </c>
      <c r="T53" s="80">
        <v>2050</v>
      </c>
      <c r="U53" s="80">
        <v>6223</v>
      </c>
      <c r="V53" s="80">
        <v>895</v>
      </c>
      <c r="W53" s="80">
        <v>3450</v>
      </c>
      <c r="X53" s="80">
        <v>1725</v>
      </c>
      <c r="Y53" s="80"/>
      <c r="Z53" s="80">
        <v>5</v>
      </c>
      <c r="AA53" s="80" t="s">
        <v>1310</v>
      </c>
      <c r="AB53" s="80">
        <v>3500</v>
      </c>
      <c r="AC53" s="80">
        <v>510</v>
      </c>
      <c r="AD53" s="80"/>
      <c r="AE53" s="80"/>
      <c r="AF53" s="80"/>
      <c r="AG53" s="80"/>
      <c r="AH53" s="80" t="s">
        <v>1291</v>
      </c>
      <c r="AI53" s="80" t="s">
        <v>1300</v>
      </c>
      <c r="AJ53" s="80"/>
      <c r="AK53" s="80" t="s">
        <v>1275</v>
      </c>
      <c r="AL53" s="80"/>
      <c r="AM53" s="80" t="s">
        <v>1301</v>
      </c>
      <c r="AN53" s="80"/>
      <c r="AO53" s="80" t="s">
        <v>1311</v>
      </c>
      <c r="AP53" s="80"/>
      <c r="AQ53" s="80" t="s">
        <v>1312</v>
      </c>
      <c r="AR53" s="80"/>
      <c r="AS53" s="80"/>
      <c r="AT53" s="80"/>
      <c r="AU53" s="80" t="s">
        <v>1313</v>
      </c>
      <c r="AV53" s="80"/>
      <c r="AW53" s="80"/>
      <c r="AX53" s="80"/>
      <c r="AY53" s="80"/>
      <c r="AZ53" s="80"/>
      <c r="BA53" s="80"/>
      <c r="BB53" s="80"/>
      <c r="BC53" s="80"/>
      <c r="BD53" s="80"/>
      <c r="BE53" s="80"/>
      <c r="BF53" s="80"/>
      <c r="BG53" s="80"/>
      <c r="BH53" s="80"/>
      <c r="BI53" s="80"/>
      <c r="BJ53" s="80"/>
      <c r="BK53" s="80"/>
      <c r="BL53" s="80"/>
      <c r="BM53" s="80"/>
      <c r="BN53" s="80"/>
      <c r="BO53" s="80"/>
      <c r="BP53" s="80"/>
      <c r="BQ53" s="80"/>
      <c r="BR53" s="80"/>
      <c r="BS53" s="80"/>
      <c r="BT53" s="80"/>
    </row>
    <row r="54" spans="1:72" s="144" customFormat="1" ht="25.15" customHeight="1" outlineLevel="1" x14ac:dyDescent="0.25">
      <c r="A54" s="9" t="s">
        <v>202</v>
      </c>
      <c r="B54" s="98" t="s">
        <v>1139</v>
      </c>
      <c r="C54" s="1" t="s">
        <v>1150</v>
      </c>
      <c r="D54" s="80"/>
      <c r="E54" s="80" t="s">
        <v>33</v>
      </c>
      <c r="F54" s="80" t="s">
        <v>34</v>
      </c>
      <c r="G54" s="80" t="s">
        <v>85</v>
      </c>
      <c r="H54" s="80" t="s">
        <v>29</v>
      </c>
      <c r="I54" s="80"/>
      <c r="J54" s="1"/>
      <c r="K54" s="80" t="s">
        <v>30</v>
      </c>
      <c r="L54" s="1"/>
      <c r="M54" s="80" t="s">
        <v>1314</v>
      </c>
      <c r="N54" s="80" t="s">
        <v>31</v>
      </c>
      <c r="O54" s="80">
        <v>3224</v>
      </c>
      <c r="P54" s="80">
        <v>1904</v>
      </c>
      <c r="Q54" s="80">
        <v>1950</v>
      </c>
      <c r="R54" s="80"/>
      <c r="S54" s="80">
        <v>2942</v>
      </c>
      <c r="T54" s="80">
        <v>2050</v>
      </c>
      <c r="U54" s="80">
        <v>5932</v>
      </c>
      <c r="V54" s="80">
        <v>900</v>
      </c>
      <c r="W54" s="80">
        <v>3450</v>
      </c>
      <c r="X54" s="80">
        <v>1425</v>
      </c>
      <c r="Y54" s="80"/>
      <c r="Z54" s="80">
        <v>5</v>
      </c>
      <c r="AA54" s="80" t="s">
        <v>503</v>
      </c>
      <c r="AB54" s="80">
        <v>3500</v>
      </c>
      <c r="AC54" s="80">
        <v>685</v>
      </c>
      <c r="AD54" s="80"/>
      <c r="AE54" s="80"/>
      <c r="AF54" s="80"/>
      <c r="AG54" s="80"/>
      <c r="AH54" s="80">
        <v>12</v>
      </c>
      <c r="AI54" s="80" t="s">
        <v>1274</v>
      </c>
      <c r="AJ54" s="80"/>
      <c r="AK54" s="80" t="s">
        <v>1315</v>
      </c>
      <c r="AL54" s="80"/>
      <c r="AM54" s="80" t="s">
        <v>1276</v>
      </c>
      <c r="AN54" s="80"/>
      <c r="AO54" s="80" t="s">
        <v>1277</v>
      </c>
      <c r="AP54" s="80"/>
      <c r="AQ54" s="80" t="s">
        <v>1248</v>
      </c>
      <c r="AR54" s="80"/>
      <c r="AS54" s="80"/>
      <c r="AT54" s="80"/>
      <c r="AU54" s="80" t="s">
        <v>1278</v>
      </c>
      <c r="AV54" s="80"/>
      <c r="AW54" s="80"/>
      <c r="AX54" s="80"/>
      <c r="AY54" s="80"/>
      <c r="AZ54" s="80"/>
      <c r="BA54" s="80"/>
      <c r="BB54" s="80"/>
      <c r="BC54" s="80"/>
      <c r="BD54" s="80"/>
      <c r="BE54" s="80"/>
      <c r="BF54" s="80"/>
      <c r="BG54" s="80"/>
      <c r="BH54" s="80"/>
      <c r="BI54" s="80"/>
      <c r="BJ54" s="80"/>
      <c r="BK54" s="80"/>
      <c r="BL54" s="80"/>
      <c r="BM54" s="80"/>
      <c r="BN54" s="80"/>
      <c r="BO54" s="80"/>
      <c r="BP54" s="80"/>
      <c r="BQ54" s="80"/>
      <c r="BR54" s="80"/>
      <c r="BS54" s="80"/>
      <c r="BT54" s="80"/>
    </row>
    <row r="55" spans="1:72" s="144" customFormat="1" ht="25.15" customHeight="1" outlineLevel="1" x14ac:dyDescent="0.25">
      <c r="A55" s="9" t="s">
        <v>202</v>
      </c>
      <c r="B55" s="98" t="s">
        <v>1139</v>
      </c>
      <c r="C55" s="1"/>
      <c r="D55" s="80"/>
      <c r="E55" s="80" t="s">
        <v>33</v>
      </c>
      <c r="F55" s="80" t="s">
        <v>34</v>
      </c>
      <c r="G55" s="80" t="s">
        <v>85</v>
      </c>
      <c r="H55" s="80" t="s">
        <v>29</v>
      </c>
      <c r="I55" s="80"/>
      <c r="J55" s="1"/>
      <c r="K55" s="80" t="s">
        <v>30</v>
      </c>
      <c r="L55" s="1"/>
      <c r="M55" s="80" t="s">
        <v>1314</v>
      </c>
      <c r="N55" s="80" t="s">
        <v>456</v>
      </c>
      <c r="O55" s="80">
        <v>3224</v>
      </c>
      <c r="P55" s="80">
        <v>1904</v>
      </c>
      <c r="Q55" s="80">
        <v>1950</v>
      </c>
      <c r="R55" s="80"/>
      <c r="S55" s="80">
        <v>2942</v>
      </c>
      <c r="T55" s="80">
        <v>2050</v>
      </c>
      <c r="U55" s="80">
        <v>5932</v>
      </c>
      <c r="V55" s="80">
        <v>900</v>
      </c>
      <c r="W55" s="80">
        <v>3450</v>
      </c>
      <c r="X55" s="80">
        <v>1425</v>
      </c>
      <c r="Y55" s="80"/>
      <c r="Z55" s="80">
        <v>5</v>
      </c>
      <c r="AA55" s="80" t="s">
        <v>1279</v>
      </c>
      <c r="AB55" s="80">
        <v>3500</v>
      </c>
      <c r="AC55" s="80">
        <v>690</v>
      </c>
      <c r="AD55" s="80"/>
      <c r="AE55" s="80"/>
      <c r="AF55" s="80"/>
      <c r="AG55" s="80"/>
      <c r="AH55" s="80">
        <v>12</v>
      </c>
      <c r="AI55" s="80" t="s">
        <v>1274</v>
      </c>
      <c r="AJ55" s="80"/>
      <c r="AK55" s="80" t="s">
        <v>1315</v>
      </c>
      <c r="AL55" s="80"/>
      <c r="AM55" s="80" t="s">
        <v>1276</v>
      </c>
      <c r="AN55" s="80"/>
      <c r="AO55" s="80" t="s">
        <v>1280</v>
      </c>
      <c r="AP55" s="80"/>
      <c r="AQ55" s="80" t="s">
        <v>1248</v>
      </c>
      <c r="AR55" s="80"/>
      <c r="AS55" s="80"/>
      <c r="AT55" s="80"/>
      <c r="AU55" s="80" t="s">
        <v>1281</v>
      </c>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row>
    <row r="56" spans="1:72" s="144" customFormat="1" ht="25.15" customHeight="1" outlineLevel="1" x14ac:dyDescent="0.25">
      <c r="A56" s="9" t="s">
        <v>202</v>
      </c>
      <c r="B56" s="98" t="s">
        <v>1139</v>
      </c>
      <c r="C56" s="1" t="s">
        <v>1150</v>
      </c>
      <c r="D56" s="80"/>
      <c r="E56" s="80" t="s">
        <v>33</v>
      </c>
      <c r="F56" s="80" t="s">
        <v>34</v>
      </c>
      <c r="G56" s="80" t="s">
        <v>85</v>
      </c>
      <c r="H56" s="80" t="s">
        <v>32</v>
      </c>
      <c r="I56" s="80"/>
      <c r="J56" s="1"/>
      <c r="K56" s="80" t="s">
        <v>30</v>
      </c>
      <c r="L56" s="1"/>
      <c r="M56" s="80" t="s">
        <v>1314</v>
      </c>
      <c r="N56" s="80" t="s">
        <v>460</v>
      </c>
      <c r="O56" s="80">
        <v>3224</v>
      </c>
      <c r="P56" s="80">
        <v>1904</v>
      </c>
      <c r="Q56" s="80">
        <v>2200</v>
      </c>
      <c r="R56" s="80"/>
      <c r="S56" s="80">
        <v>3190</v>
      </c>
      <c r="T56" s="80">
        <v>2050</v>
      </c>
      <c r="U56" s="80">
        <v>5932</v>
      </c>
      <c r="V56" s="80">
        <v>900</v>
      </c>
      <c r="W56" s="80">
        <v>3450</v>
      </c>
      <c r="X56" s="80">
        <v>1425</v>
      </c>
      <c r="Y56" s="80"/>
      <c r="Z56" s="80">
        <v>5</v>
      </c>
      <c r="AA56" s="80" t="s">
        <v>1282</v>
      </c>
      <c r="AB56" s="80">
        <v>3500</v>
      </c>
      <c r="AC56" s="80">
        <v>540</v>
      </c>
      <c r="AD56" s="80"/>
      <c r="AE56" s="80"/>
      <c r="AF56" s="80"/>
      <c r="AG56" s="80"/>
      <c r="AH56" s="80" t="s">
        <v>1283</v>
      </c>
      <c r="AI56" s="80" t="s">
        <v>1274</v>
      </c>
      <c r="AJ56" s="80"/>
      <c r="AK56" s="80" t="s">
        <v>1315</v>
      </c>
      <c r="AL56" s="80"/>
      <c r="AM56" s="80" t="s">
        <v>1276</v>
      </c>
      <c r="AN56" s="80"/>
      <c r="AO56" s="80" t="s">
        <v>1284</v>
      </c>
      <c r="AP56" s="80"/>
      <c r="AQ56" s="80" t="s">
        <v>1285</v>
      </c>
      <c r="AR56" s="80"/>
      <c r="AS56" s="80"/>
      <c r="AT56" s="80"/>
      <c r="AU56" s="80" t="s">
        <v>1286</v>
      </c>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row>
    <row r="57" spans="1:72" s="144" customFormat="1" ht="25.15" customHeight="1" outlineLevel="1" x14ac:dyDescent="0.25">
      <c r="A57" s="9" t="s">
        <v>202</v>
      </c>
      <c r="B57" s="98" t="s">
        <v>1139</v>
      </c>
      <c r="C57" s="1" t="s">
        <v>1150</v>
      </c>
      <c r="D57" s="80"/>
      <c r="E57" s="80" t="s">
        <v>33</v>
      </c>
      <c r="F57" s="80" t="s">
        <v>34</v>
      </c>
      <c r="G57" s="80" t="s">
        <v>85</v>
      </c>
      <c r="H57" s="80" t="s">
        <v>29</v>
      </c>
      <c r="I57" s="80" t="s">
        <v>7</v>
      </c>
      <c r="J57" s="1"/>
      <c r="K57" s="80" t="s">
        <v>30</v>
      </c>
      <c r="L57" s="1"/>
      <c r="M57" s="80" t="s">
        <v>1314</v>
      </c>
      <c r="N57" s="80" t="s">
        <v>35</v>
      </c>
      <c r="O57" s="80">
        <v>3224</v>
      </c>
      <c r="P57" s="80">
        <v>1904</v>
      </c>
      <c r="Q57" s="80">
        <v>1950</v>
      </c>
      <c r="R57" s="80"/>
      <c r="S57" s="80">
        <v>2942</v>
      </c>
      <c r="T57" s="80">
        <v>2050</v>
      </c>
      <c r="U57" s="80">
        <v>6124</v>
      </c>
      <c r="V57" s="80">
        <v>900</v>
      </c>
      <c r="W57" s="80">
        <v>3450</v>
      </c>
      <c r="X57" s="80">
        <v>1617</v>
      </c>
      <c r="Y57" s="80"/>
      <c r="Z57" s="80">
        <v>5</v>
      </c>
      <c r="AA57" s="80" t="s">
        <v>36</v>
      </c>
      <c r="AB57" s="80">
        <v>3500</v>
      </c>
      <c r="AC57" s="80">
        <v>500</v>
      </c>
      <c r="AD57" s="80"/>
      <c r="AE57" s="80"/>
      <c r="AF57" s="80"/>
      <c r="AG57" s="80"/>
      <c r="AH57" s="80">
        <v>12</v>
      </c>
      <c r="AI57" s="80" t="s">
        <v>1274</v>
      </c>
      <c r="AJ57" s="80"/>
      <c r="AK57" s="80" t="s">
        <v>1315</v>
      </c>
      <c r="AL57" s="80"/>
      <c r="AM57" s="80" t="s">
        <v>1276</v>
      </c>
      <c r="AN57" s="80"/>
      <c r="AO57" s="80" t="s">
        <v>1287</v>
      </c>
      <c r="AP57" s="80"/>
      <c r="AQ57" s="80" t="s">
        <v>1248</v>
      </c>
      <c r="AR57" s="80"/>
      <c r="AS57" s="80" t="s">
        <v>1288</v>
      </c>
      <c r="AT57" s="80"/>
      <c r="AU57" s="80" t="s">
        <v>1289</v>
      </c>
      <c r="AV57" s="80"/>
      <c r="AW57" s="80"/>
      <c r="AX57" s="80"/>
      <c r="AY57" s="80"/>
      <c r="AZ57" s="80"/>
      <c r="BA57" s="80"/>
      <c r="BB57" s="80"/>
      <c r="BC57" s="80"/>
      <c r="BD57" s="80"/>
      <c r="BE57" s="80"/>
      <c r="BF57" s="80"/>
      <c r="BG57" s="80"/>
      <c r="BH57" s="80"/>
      <c r="BI57" s="80"/>
      <c r="BJ57" s="80"/>
      <c r="BK57" s="80"/>
      <c r="BL57" s="80"/>
      <c r="BM57" s="80"/>
      <c r="BN57" s="80"/>
      <c r="BO57" s="80"/>
      <c r="BP57" s="80"/>
      <c r="BQ57" s="80"/>
      <c r="BR57" s="80"/>
      <c r="BS57" s="80"/>
      <c r="BT57" s="80"/>
    </row>
    <row r="58" spans="1:72" s="144" customFormat="1" ht="25.15" customHeight="1" outlineLevel="1" x14ac:dyDescent="0.25">
      <c r="A58" s="9" t="s">
        <v>202</v>
      </c>
      <c r="B58" s="98" t="s">
        <v>1139</v>
      </c>
      <c r="C58" s="1" t="s">
        <v>1150</v>
      </c>
      <c r="D58" s="80"/>
      <c r="E58" s="80" t="s">
        <v>33</v>
      </c>
      <c r="F58" s="80" t="s">
        <v>34</v>
      </c>
      <c r="G58" s="80" t="s">
        <v>85</v>
      </c>
      <c r="H58" s="80" t="s">
        <v>12</v>
      </c>
      <c r="I58" s="80"/>
      <c r="J58" s="1"/>
      <c r="K58" s="80" t="s">
        <v>30</v>
      </c>
      <c r="L58" s="1"/>
      <c r="M58" s="80" t="s">
        <v>1314</v>
      </c>
      <c r="N58" s="80" t="s">
        <v>451</v>
      </c>
      <c r="O58" s="80">
        <v>3524</v>
      </c>
      <c r="P58" s="80">
        <v>1904</v>
      </c>
      <c r="Q58" s="80">
        <v>2050</v>
      </c>
      <c r="R58" s="80"/>
      <c r="S58" s="80">
        <v>3040</v>
      </c>
      <c r="T58" s="80">
        <v>2050</v>
      </c>
      <c r="U58" s="80">
        <v>6223</v>
      </c>
      <c r="V58" s="80">
        <v>900</v>
      </c>
      <c r="W58" s="80">
        <v>3450</v>
      </c>
      <c r="X58" s="80">
        <v>1725</v>
      </c>
      <c r="Y58" s="80"/>
      <c r="Z58" s="80">
        <v>5</v>
      </c>
      <c r="AA58" s="80" t="s">
        <v>1290</v>
      </c>
      <c r="AB58" s="80">
        <v>3500</v>
      </c>
      <c r="AC58" s="80">
        <v>395</v>
      </c>
      <c r="AD58" s="80"/>
      <c r="AE58" s="80"/>
      <c r="AF58" s="80"/>
      <c r="AG58" s="80"/>
      <c r="AH58" s="80" t="s">
        <v>1291</v>
      </c>
      <c r="AI58" s="80" t="s">
        <v>1274</v>
      </c>
      <c r="AJ58" s="80"/>
      <c r="AK58" s="80" t="s">
        <v>1315</v>
      </c>
      <c r="AL58" s="80"/>
      <c r="AM58" s="80" t="s">
        <v>1276</v>
      </c>
      <c r="AN58" s="80"/>
      <c r="AO58" s="80" t="s">
        <v>1292</v>
      </c>
      <c r="AP58" s="80"/>
      <c r="AQ58" s="80" t="s">
        <v>1293</v>
      </c>
      <c r="AR58" s="80"/>
      <c r="AS58" s="80"/>
      <c r="AT58" s="80"/>
      <c r="AU58" s="80" t="s">
        <v>458</v>
      </c>
      <c r="AV58" s="80"/>
      <c r="AW58" s="80"/>
      <c r="AX58" s="80"/>
      <c r="AY58" s="80"/>
      <c r="AZ58" s="80"/>
      <c r="BA58" s="80"/>
      <c r="BB58" s="80"/>
      <c r="BC58" s="80"/>
      <c r="BD58" s="80"/>
      <c r="BE58" s="80"/>
      <c r="BF58" s="80"/>
      <c r="BG58" s="80"/>
      <c r="BH58" s="80"/>
      <c r="BI58" s="80"/>
      <c r="BJ58" s="80"/>
      <c r="BK58" s="80"/>
      <c r="BL58" s="80"/>
      <c r="BM58" s="80"/>
      <c r="BN58" s="80"/>
      <c r="BO58" s="80"/>
      <c r="BP58" s="80"/>
      <c r="BQ58" s="80"/>
      <c r="BR58" s="80"/>
      <c r="BS58" s="80"/>
      <c r="BT58" s="80"/>
    </row>
    <row r="59" spans="1:72" s="144" customFormat="1" ht="25.15" customHeight="1" outlineLevel="1" x14ac:dyDescent="0.25">
      <c r="A59" s="9" t="s">
        <v>202</v>
      </c>
      <c r="B59" s="98" t="s">
        <v>1139</v>
      </c>
      <c r="C59" s="1" t="s">
        <v>1150</v>
      </c>
      <c r="D59" s="80"/>
      <c r="E59" s="80" t="s">
        <v>33</v>
      </c>
      <c r="F59" s="80" t="s">
        <v>34</v>
      </c>
      <c r="G59" s="80" t="s">
        <v>85</v>
      </c>
      <c r="H59" s="80" t="s">
        <v>29</v>
      </c>
      <c r="I59" s="80"/>
      <c r="J59" s="1"/>
      <c r="K59" s="80" t="s">
        <v>30</v>
      </c>
      <c r="L59" s="1"/>
      <c r="M59" s="80" t="s">
        <v>1314</v>
      </c>
      <c r="N59" s="80" t="s">
        <v>1294</v>
      </c>
      <c r="O59" s="80">
        <v>2824</v>
      </c>
      <c r="P59" s="80">
        <v>1904</v>
      </c>
      <c r="Q59" s="80">
        <v>1950</v>
      </c>
      <c r="R59" s="80"/>
      <c r="S59" s="80">
        <v>2940</v>
      </c>
      <c r="T59" s="80">
        <v>2050</v>
      </c>
      <c r="U59" s="80">
        <v>5523</v>
      </c>
      <c r="V59" s="80">
        <v>900</v>
      </c>
      <c r="W59" s="80">
        <v>3000</v>
      </c>
      <c r="X59" s="80">
        <v>1475</v>
      </c>
      <c r="Y59" s="80"/>
      <c r="Z59" s="80">
        <v>4</v>
      </c>
      <c r="AA59" s="80" t="s">
        <v>503</v>
      </c>
      <c r="AB59" s="80">
        <v>3500</v>
      </c>
      <c r="AC59" s="80">
        <v>770</v>
      </c>
      <c r="AD59" s="80"/>
      <c r="AE59" s="80"/>
      <c r="AF59" s="80"/>
      <c r="AG59" s="80"/>
      <c r="AH59" s="80" t="s">
        <v>1295</v>
      </c>
      <c r="AI59" s="80" t="s">
        <v>1274</v>
      </c>
      <c r="AJ59" s="80"/>
      <c r="AK59" s="80" t="s">
        <v>1315</v>
      </c>
      <c r="AL59" s="80"/>
      <c r="AM59" s="80" t="s">
        <v>1296</v>
      </c>
      <c r="AN59" s="80"/>
      <c r="AO59" s="80" t="s">
        <v>1297</v>
      </c>
      <c r="AP59" s="80"/>
      <c r="AQ59" s="80" t="s">
        <v>1248</v>
      </c>
      <c r="AR59" s="80"/>
      <c r="AS59" s="80"/>
      <c r="AT59" s="80"/>
      <c r="AU59" s="80" t="s">
        <v>1316</v>
      </c>
      <c r="AV59" s="80"/>
      <c r="AW59" s="80"/>
      <c r="AX59" s="80"/>
      <c r="AY59" s="80"/>
      <c r="AZ59" s="80"/>
      <c r="BA59" s="80"/>
      <c r="BB59" s="80"/>
      <c r="BC59" s="80"/>
      <c r="BD59" s="80"/>
      <c r="BE59" s="80"/>
      <c r="BF59" s="80"/>
      <c r="BG59" s="80"/>
      <c r="BH59" s="80"/>
      <c r="BI59" s="80"/>
      <c r="BJ59" s="80"/>
      <c r="BK59" s="80"/>
      <c r="BL59" s="80"/>
      <c r="BM59" s="80"/>
      <c r="BN59" s="80"/>
      <c r="BO59" s="80"/>
      <c r="BP59" s="80"/>
      <c r="BQ59" s="80"/>
      <c r="BR59" s="80"/>
      <c r="BS59" s="80"/>
      <c r="BT59" s="80"/>
    </row>
    <row r="60" spans="1:72" s="144" customFormat="1" ht="25.15" customHeight="1" outlineLevel="1" x14ac:dyDescent="0.25">
      <c r="A60" s="9" t="s">
        <v>202</v>
      </c>
      <c r="B60" s="98" t="s">
        <v>1139</v>
      </c>
      <c r="C60" s="1" t="s">
        <v>1150</v>
      </c>
      <c r="D60" s="80"/>
      <c r="E60" s="80" t="s">
        <v>33</v>
      </c>
      <c r="F60" s="80" t="s">
        <v>34</v>
      </c>
      <c r="G60" s="80" t="s">
        <v>85</v>
      </c>
      <c r="H60" s="80" t="s">
        <v>29</v>
      </c>
      <c r="I60" s="80"/>
      <c r="J60" s="1"/>
      <c r="K60" s="80" t="s">
        <v>30</v>
      </c>
      <c r="L60" s="1"/>
      <c r="M60" s="80" t="s">
        <v>1317</v>
      </c>
      <c r="N60" s="80" t="s">
        <v>31</v>
      </c>
      <c r="O60" s="80">
        <v>3228</v>
      </c>
      <c r="P60" s="80">
        <v>1908</v>
      </c>
      <c r="Q60" s="80">
        <v>1950</v>
      </c>
      <c r="R60" s="80"/>
      <c r="S60" s="80">
        <v>2936</v>
      </c>
      <c r="T60" s="80">
        <v>2050</v>
      </c>
      <c r="U60" s="80">
        <v>5932</v>
      </c>
      <c r="V60" s="80">
        <v>895</v>
      </c>
      <c r="W60" s="80">
        <v>3450</v>
      </c>
      <c r="X60" s="80">
        <v>1425</v>
      </c>
      <c r="Y60" s="80"/>
      <c r="Z60" s="80">
        <v>5</v>
      </c>
      <c r="AA60" s="80" t="s">
        <v>1299</v>
      </c>
      <c r="AB60" s="80">
        <v>3500</v>
      </c>
      <c r="AC60" s="80">
        <v>820</v>
      </c>
      <c r="AD60" s="80"/>
      <c r="AE60" s="80"/>
      <c r="AF60" s="80"/>
      <c r="AG60" s="80"/>
      <c r="AH60" s="80">
        <v>12</v>
      </c>
      <c r="AI60" s="80" t="s">
        <v>1300</v>
      </c>
      <c r="AJ60" s="80"/>
      <c r="AK60" s="80" t="s">
        <v>1315</v>
      </c>
      <c r="AL60" s="80"/>
      <c r="AM60" s="80" t="s">
        <v>1301</v>
      </c>
      <c r="AN60" s="80"/>
      <c r="AO60" s="80" t="s">
        <v>1302</v>
      </c>
      <c r="AP60" s="80"/>
      <c r="AQ60" s="80" t="s">
        <v>1303</v>
      </c>
      <c r="AR60" s="80"/>
      <c r="AS60" s="80"/>
      <c r="AT60" s="80"/>
      <c r="AU60" s="80" t="s">
        <v>1304</v>
      </c>
      <c r="AV60" s="80"/>
      <c r="AW60" s="80"/>
      <c r="AX60" s="80"/>
      <c r="AY60" s="80"/>
      <c r="AZ60" s="80"/>
      <c r="BA60" s="80"/>
      <c r="BB60" s="80"/>
      <c r="BC60" s="80"/>
      <c r="BD60" s="80"/>
      <c r="BE60" s="80"/>
      <c r="BF60" s="80"/>
      <c r="BG60" s="80"/>
      <c r="BH60" s="80"/>
      <c r="BI60" s="80"/>
      <c r="BJ60" s="80"/>
      <c r="BK60" s="80"/>
      <c r="BL60" s="80"/>
      <c r="BM60" s="80"/>
      <c r="BN60" s="80"/>
      <c r="BO60" s="80"/>
      <c r="BP60" s="80"/>
      <c r="BQ60" s="80"/>
      <c r="BR60" s="80"/>
      <c r="BS60" s="80"/>
      <c r="BT60" s="80"/>
    </row>
    <row r="61" spans="1:72" s="144" customFormat="1" ht="25.15" customHeight="1" outlineLevel="1" x14ac:dyDescent="0.25">
      <c r="A61" s="9" t="s">
        <v>202</v>
      </c>
      <c r="B61" s="98" t="s">
        <v>1139</v>
      </c>
      <c r="C61" s="80"/>
      <c r="D61" s="80"/>
      <c r="E61" s="80" t="s">
        <v>33</v>
      </c>
      <c r="F61" s="80" t="s">
        <v>34</v>
      </c>
      <c r="G61" s="80" t="s">
        <v>85</v>
      </c>
      <c r="H61" s="80" t="s">
        <v>29</v>
      </c>
      <c r="I61" s="80"/>
      <c r="J61" s="1"/>
      <c r="K61" s="80" t="s">
        <v>30</v>
      </c>
      <c r="L61" s="1"/>
      <c r="M61" s="80" t="s">
        <v>1317</v>
      </c>
      <c r="N61" s="80" t="s">
        <v>456</v>
      </c>
      <c r="O61" s="80">
        <v>3228</v>
      </c>
      <c r="P61" s="80">
        <v>1908</v>
      </c>
      <c r="Q61" s="80">
        <v>1950</v>
      </c>
      <c r="R61" s="80"/>
      <c r="S61" s="80">
        <v>2936</v>
      </c>
      <c r="T61" s="80">
        <v>2050</v>
      </c>
      <c r="U61" s="80">
        <v>5932</v>
      </c>
      <c r="V61" s="80">
        <v>895</v>
      </c>
      <c r="W61" s="80">
        <v>3450</v>
      </c>
      <c r="X61" s="80">
        <v>1425</v>
      </c>
      <c r="Y61" s="80"/>
      <c r="Z61" s="80">
        <v>5</v>
      </c>
      <c r="AA61" s="80" t="s">
        <v>1305</v>
      </c>
      <c r="AB61" s="80">
        <v>3500</v>
      </c>
      <c r="AC61" s="80">
        <v>825</v>
      </c>
      <c r="AD61" s="80"/>
      <c r="AE61" s="80"/>
      <c r="AF61" s="80"/>
      <c r="AG61" s="80"/>
      <c r="AH61" s="80">
        <v>12</v>
      </c>
      <c r="AI61" s="80" t="s">
        <v>1300</v>
      </c>
      <c r="AJ61" s="80"/>
      <c r="AK61" s="80" t="s">
        <v>1315</v>
      </c>
      <c r="AL61" s="80"/>
      <c r="AM61" s="80" t="s">
        <v>1301</v>
      </c>
      <c r="AN61" s="80"/>
      <c r="AO61" s="80" t="s">
        <v>1306</v>
      </c>
      <c r="AP61" s="80"/>
      <c r="AQ61" s="80" t="s">
        <v>1303</v>
      </c>
      <c r="AR61" s="80"/>
      <c r="AS61" s="80"/>
      <c r="AT61" s="80"/>
      <c r="AU61" s="80" t="s">
        <v>1307</v>
      </c>
      <c r="AV61" s="80"/>
      <c r="AW61" s="80"/>
      <c r="AX61" s="80"/>
      <c r="AY61" s="80"/>
      <c r="AZ61" s="80"/>
      <c r="BA61" s="80"/>
      <c r="BB61" s="80"/>
      <c r="BC61" s="80"/>
      <c r="BD61" s="80"/>
      <c r="BE61" s="80"/>
      <c r="BF61" s="80"/>
      <c r="BG61" s="80"/>
      <c r="BH61" s="80"/>
      <c r="BI61" s="80"/>
      <c r="BJ61" s="80"/>
      <c r="BK61" s="80"/>
      <c r="BL61" s="80"/>
      <c r="BM61" s="80"/>
      <c r="BN61" s="80"/>
      <c r="BO61" s="80"/>
      <c r="BP61" s="80"/>
      <c r="BQ61" s="80"/>
      <c r="BR61" s="80"/>
      <c r="BS61" s="80"/>
      <c r="BT61" s="80"/>
    </row>
    <row r="62" spans="1:72" s="144" customFormat="1" ht="25.15" customHeight="1" outlineLevel="1" x14ac:dyDescent="0.25">
      <c r="A62" s="9" t="s">
        <v>202</v>
      </c>
      <c r="B62" s="98" t="s">
        <v>1139</v>
      </c>
      <c r="C62" s="1" t="s">
        <v>1150</v>
      </c>
      <c r="D62" s="80"/>
      <c r="E62" s="80" t="s">
        <v>33</v>
      </c>
      <c r="F62" s="80" t="s">
        <v>34</v>
      </c>
      <c r="G62" s="80" t="s">
        <v>85</v>
      </c>
      <c r="H62" s="80" t="s">
        <v>29</v>
      </c>
      <c r="I62" s="80" t="s">
        <v>7</v>
      </c>
      <c r="J62" s="1"/>
      <c r="K62" s="80" t="s">
        <v>30</v>
      </c>
      <c r="L62" s="1"/>
      <c r="M62" s="80" t="s">
        <v>1317</v>
      </c>
      <c r="N62" s="80" t="s">
        <v>35</v>
      </c>
      <c r="O62" s="80">
        <v>3228</v>
      </c>
      <c r="P62" s="80">
        <v>1908</v>
      </c>
      <c r="Q62" s="80">
        <v>1950</v>
      </c>
      <c r="R62" s="80"/>
      <c r="S62" s="80">
        <v>2936</v>
      </c>
      <c r="T62" s="80">
        <v>2050</v>
      </c>
      <c r="U62" s="80">
        <v>6124</v>
      </c>
      <c r="V62" s="80">
        <v>895</v>
      </c>
      <c r="W62" s="80">
        <v>3450</v>
      </c>
      <c r="X62" s="80">
        <v>1617</v>
      </c>
      <c r="Y62" s="80"/>
      <c r="Z62" s="80">
        <v>5</v>
      </c>
      <c r="AA62" s="80" t="s">
        <v>490</v>
      </c>
      <c r="AB62" s="80">
        <v>3500</v>
      </c>
      <c r="AC62" s="80">
        <v>625</v>
      </c>
      <c r="AD62" s="80"/>
      <c r="AE62" s="80"/>
      <c r="AF62" s="80"/>
      <c r="AG62" s="80"/>
      <c r="AH62" s="80">
        <v>12</v>
      </c>
      <c r="AI62" s="80" t="s">
        <v>1300</v>
      </c>
      <c r="AJ62" s="80"/>
      <c r="AK62" s="80" t="s">
        <v>1315</v>
      </c>
      <c r="AL62" s="80"/>
      <c r="AM62" s="80" t="s">
        <v>1301</v>
      </c>
      <c r="AN62" s="80"/>
      <c r="AO62" s="80" t="s">
        <v>1308</v>
      </c>
      <c r="AP62" s="80"/>
      <c r="AQ62" s="80" t="s">
        <v>1303</v>
      </c>
      <c r="AR62" s="80"/>
      <c r="AS62" s="80" t="s">
        <v>1288</v>
      </c>
      <c r="AT62" s="80"/>
      <c r="AU62" s="80" t="s">
        <v>1309</v>
      </c>
      <c r="AV62" s="80"/>
      <c r="AW62" s="80"/>
      <c r="AX62" s="80"/>
      <c r="AY62" s="80"/>
      <c r="AZ62" s="80"/>
      <c r="BA62" s="80"/>
      <c r="BB62" s="80"/>
      <c r="BC62" s="80"/>
      <c r="BD62" s="80"/>
      <c r="BE62" s="80"/>
      <c r="BF62" s="80"/>
      <c r="BG62" s="80"/>
      <c r="BH62" s="80"/>
      <c r="BI62" s="80"/>
      <c r="BJ62" s="80"/>
      <c r="BK62" s="80"/>
      <c r="BL62" s="80"/>
      <c r="BM62" s="80"/>
      <c r="BN62" s="80"/>
      <c r="BO62" s="80"/>
      <c r="BP62" s="80"/>
      <c r="BQ62" s="80"/>
      <c r="BR62" s="80"/>
      <c r="BS62" s="80"/>
      <c r="BT62" s="80"/>
    </row>
    <row r="63" spans="1:72" s="144" customFormat="1" ht="25.15" customHeight="1" outlineLevel="1" x14ac:dyDescent="0.25">
      <c r="A63" s="9" t="s">
        <v>202</v>
      </c>
      <c r="B63" s="98" t="s">
        <v>1139</v>
      </c>
      <c r="C63" s="1" t="s">
        <v>1150</v>
      </c>
      <c r="D63" s="80"/>
      <c r="E63" s="80" t="s">
        <v>33</v>
      </c>
      <c r="F63" s="80" t="s">
        <v>34</v>
      </c>
      <c r="G63" s="80" t="s">
        <v>85</v>
      </c>
      <c r="H63" s="80" t="s">
        <v>12</v>
      </c>
      <c r="I63" s="80"/>
      <c r="J63" s="1"/>
      <c r="K63" s="80" t="s">
        <v>30</v>
      </c>
      <c r="L63" s="1"/>
      <c r="M63" s="80" t="s">
        <v>1317</v>
      </c>
      <c r="N63" s="80" t="s">
        <v>451</v>
      </c>
      <c r="O63" s="80">
        <v>3528</v>
      </c>
      <c r="P63" s="80">
        <v>1908</v>
      </c>
      <c r="Q63" s="80">
        <v>2050</v>
      </c>
      <c r="R63" s="80"/>
      <c r="S63" s="80">
        <v>3036</v>
      </c>
      <c r="T63" s="80">
        <v>2050</v>
      </c>
      <c r="U63" s="80">
        <v>6223</v>
      </c>
      <c r="V63" s="80">
        <v>895</v>
      </c>
      <c r="W63" s="80">
        <v>3450</v>
      </c>
      <c r="X63" s="80">
        <v>1725</v>
      </c>
      <c r="Y63" s="80"/>
      <c r="Z63" s="80">
        <v>5</v>
      </c>
      <c r="AA63" s="80" t="s">
        <v>1310</v>
      </c>
      <c r="AB63" s="80">
        <v>3500</v>
      </c>
      <c r="AC63" s="80">
        <v>510</v>
      </c>
      <c r="AD63" s="80"/>
      <c r="AE63" s="80"/>
      <c r="AF63" s="80"/>
      <c r="AG63" s="80"/>
      <c r="AH63" s="80" t="s">
        <v>1291</v>
      </c>
      <c r="AI63" s="80" t="s">
        <v>1300</v>
      </c>
      <c r="AJ63" s="80"/>
      <c r="AK63" s="80" t="s">
        <v>1315</v>
      </c>
      <c r="AL63" s="80"/>
      <c r="AM63" s="80" t="s">
        <v>1301</v>
      </c>
      <c r="AN63" s="80"/>
      <c r="AO63" s="80" t="s">
        <v>1311</v>
      </c>
      <c r="AP63" s="80"/>
      <c r="AQ63" s="80" t="s">
        <v>1312</v>
      </c>
      <c r="AR63" s="80"/>
      <c r="AS63" s="80"/>
      <c r="AT63" s="80"/>
      <c r="AU63" s="80" t="s">
        <v>1313</v>
      </c>
      <c r="AV63" s="80"/>
      <c r="AW63" s="80"/>
      <c r="AX63" s="80"/>
      <c r="AY63" s="80"/>
      <c r="AZ63" s="80"/>
      <c r="BA63" s="80"/>
      <c r="BB63" s="80"/>
      <c r="BC63" s="80"/>
      <c r="BD63" s="80"/>
      <c r="BE63" s="80"/>
      <c r="BF63" s="80"/>
      <c r="BG63" s="80"/>
      <c r="BH63" s="80"/>
      <c r="BI63" s="80"/>
      <c r="BJ63" s="80"/>
      <c r="BK63" s="80"/>
      <c r="BL63" s="80"/>
      <c r="BM63" s="80"/>
      <c r="BN63" s="80"/>
      <c r="BO63" s="80"/>
      <c r="BP63" s="80"/>
      <c r="BQ63" s="80"/>
      <c r="BR63" s="80"/>
      <c r="BS63" s="80"/>
      <c r="BT63" s="80"/>
    </row>
    <row r="64" spans="1:72" s="144" customFormat="1" ht="25.15" customHeight="1" outlineLevel="1" x14ac:dyDescent="0.25">
      <c r="A64" s="9" t="s">
        <v>202</v>
      </c>
      <c r="B64" s="98" t="s">
        <v>1139</v>
      </c>
      <c r="C64" s="1" t="s">
        <v>1150</v>
      </c>
      <c r="D64" s="80"/>
      <c r="E64" s="80" t="s">
        <v>33</v>
      </c>
      <c r="F64" s="80" t="s">
        <v>34</v>
      </c>
      <c r="G64" s="80" t="s">
        <v>85</v>
      </c>
      <c r="H64" s="80" t="s">
        <v>29</v>
      </c>
      <c r="I64" s="80"/>
      <c r="J64" s="1"/>
      <c r="K64" s="80" t="s">
        <v>30</v>
      </c>
      <c r="L64" s="1"/>
      <c r="M64" s="80" t="s">
        <v>1318</v>
      </c>
      <c r="N64" s="80" t="s">
        <v>31</v>
      </c>
      <c r="O64" s="80">
        <v>3224</v>
      </c>
      <c r="P64" s="80">
        <v>1904</v>
      </c>
      <c r="Q64" s="80">
        <v>1950</v>
      </c>
      <c r="R64" s="80"/>
      <c r="S64" s="80">
        <v>2942</v>
      </c>
      <c r="T64" s="80">
        <v>2050</v>
      </c>
      <c r="U64" s="80">
        <v>5932</v>
      </c>
      <c r="V64" s="80">
        <v>900</v>
      </c>
      <c r="W64" s="80">
        <v>3450</v>
      </c>
      <c r="X64" s="80">
        <v>1425</v>
      </c>
      <c r="Y64" s="80"/>
      <c r="Z64" s="80">
        <v>5</v>
      </c>
      <c r="AA64" s="80" t="s">
        <v>503</v>
      </c>
      <c r="AB64" s="80">
        <v>3500</v>
      </c>
      <c r="AC64" s="80">
        <v>625</v>
      </c>
      <c r="AD64" s="80"/>
      <c r="AE64" s="80"/>
      <c r="AF64" s="80"/>
      <c r="AG64" s="80"/>
      <c r="AH64" s="80">
        <v>12</v>
      </c>
      <c r="AI64" s="80" t="s">
        <v>1274</v>
      </c>
      <c r="AJ64" s="80"/>
      <c r="AK64" s="80" t="s">
        <v>1319</v>
      </c>
      <c r="AL64" s="80"/>
      <c r="AM64" s="80" t="s">
        <v>1276</v>
      </c>
      <c r="AN64" s="80"/>
      <c r="AO64" s="80" t="s">
        <v>1277</v>
      </c>
      <c r="AP64" s="80"/>
      <c r="AQ64" s="80" t="s">
        <v>1248</v>
      </c>
      <c r="AR64" s="80"/>
      <c r="AS64" s="80"/>
      <c r="AT64" s="80"/>
      <c r="AU64" s="80" t="s">
        <v>1278</v>
      </c>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row>
    <row r="65" spans="1:72" s="143" customFormat="1" ht="25.15" customHeight="1" outlineLevel="1" x14ac:dyDescent="0.25">
      <c r="A65" s="9" t="s">
        <v>202</v>
      </c>
      <c r="B65" s="98" t="s">
        <v>1139</v>
      </c>
      <c r="C65" s="1"/>
      <c r="D65" s="80"/>
      <c r="E65" s="80" t="s">
        <v>33</v>
      </c>
      <c r="F65" s="80" t="s">
        <v>34</v>
      </c>
      <c r="G65" s="80" t="s">
        <v>85</v>
      </c>
      <c r="H65" s="80" t="s">
        <v>29</v>
      </c>
      <c r="I65" s="80"/>
      <c r="J65" s="1"/>
      <c r="K65" s="80" t="s">
        <v>30</v>
      </c>
      <c r="L65" s="1"/>
      <c r="M65" s="80" t="s">
        <v>1318</v>
      </c>
      <c r="N65" s="80" t="s">
        <v>456</v>
      </c>
      <c r="O65" s="80">
        <v>3224</v>
      </c>
      <c r="P65" s="80">
        <v>1904</v>
      </c>
      <c r="Q65" s="80">
        <v>1950</v>
      </c>
      <c r="R65" s="80"/>
      <c r="S65" s="80">
        <v>2942</v>
      </c>
      <c r="T65" s="80">
        <v>2050</v>
      </c>
      <c r="U65" s="80">
        <v>5932</v>
      </c>
      <c r="V65" s="80">
        <v>900</v>
      </c>
      <c r="W65" s="80">
        <v>3450</v>
      </c>
      <c r="X65" s="80">
        <v>1425</v>
      </c>
      <c r="Y65" s="80"/>
      <c r="Z65" s="80">
        <v>5</v>
      </c>
      <c r="AA65" s="80" t="s">
        <v>1279</v>
      </c>
      <c r="AB65" s="80">
        <v>3500</v>
      </c>
      <c r="AC65" s="80">
        <v>630</v>
      </c>
      <c r="AD65" s="80"/>
      <c r="AE65" s="80"/>
      <c r="AF65" s="80"/>
      <c r="AG65" s="80"/>
      <c r="AH65" s="80">
        <v>12</v>
      </c>
      <c r="AI65" s="80" t="s">
        <v>1274</v>
      </c>
      <c r="AJ65" s="80"/>
      <c r="AK65" s="80" t="s">
        <v>1319</v>
      </c>
      <c r="AL65" s="80"/>
      <c r="AM65" s="80" t="s">
        <v>1276</v>
      </c>
      <c r="AN65" s="80"/>
      <c r="AO65" s="80" t="s">
        <v>1280</v>
      </c>
      <c r="AP65" s="80"/>
      <c r="AQ65" s="80" t="s">
        <v>1248</v>
      </c>
      <c r="AR65" s="80"/>
      <c r="AS65" s="80"/>
      <c r="AT65" s="80"/>
      <c r="AU65" s="80" t="s">
        <v>1281</v>
      </c>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row>
    <row r="66" spans="1:72" s="143" customFormat="1" ht="25.15" customHeight="1" outlineLevel="1" x14ac:dyDescent="0.25">
      <c r="A66" s="9" t="s">
        <v>202</v>
      </c>
      <c r="B66" s="98" t="s">
        <v>1139</v>
      </c>
      <c r="C66" s="1" t="s">
        <v>1150</v>
      </c>
      <c r="D66" s="80"/>
      <c r="E66" s="80" t="s">
        <v>33</v>
      </c>
      <c r="F66" s="80" t="s">
        <v>34</v>
      </c>
      <c r="G66" s="80" t="s">
        <v>85</v>
      </c>
      <c r="H66" s="80" t="s">
        <v>32</v>
      </c>
      <c r="I66" s="80"/>
      <c r="J66" s="1"/>
      <c r="K66" s="80" t="s">
        <v>30</v>
      </c>
      <c r="L66" s="1"/>
      <c r="M66" s="80" t="s">
        <v>1318</v>
      </c>
      <c r="N66" s="80" t="s">
        <v>460</v>
      </c>
      <c r="O66" s="80">
        <v>3224</v>
      </c>
      <c r="P66" s="80">
        <v>1904</v>
      </c>
      <c r="Q66" s="80">
        <v>2200</v>
      </c>
      <c r="R66" s="80"/>
      <c r="S66" s="80">
        <v>3190</v>
      </c>
      <c r="T66" s="80">
        <v>2050</v>
      </c>
      <c r="U66" s="80">
        <v>5932</v>
      </c>
      <c r="V66" s="80">
        <v>900</v>
      </c>
      <c r="W66" s="80">
        <v>3450</v>
      </c>
      <c r="X66" s="80">
        <v>1425</v>
      </c>
      <c r="Y66" s="80"/>
      <c r="Z66" s="80">
        <v>5</v>
      </c>
      <c r="AA66" s="80" t="s">
        <v>1282</v>
      </c>
      <c r="AB66" s="80">
        <v>3500</v>
      </c>
      <c r="AC66" s="80">
        <v>480</v>
      </c>
      <c r="AD66" s="80"/>
      <c r="AE66" s="80"/>
      <c r="AF66" s="80"/>
      <c r="AG66" s="80"/>
      <c r="AH66" s="80" t="s">
        <v>1283</v>
      </c>
      <c r="AI66" s="80" t="s">
        <v>1274</v>
      </c>
      <c r="AJ66" s="80"/>
      <c r="AK66" s="80" t="s">
        <v>1319</v>
      </c>
      <c r="AL66" s="80"/>
      <c r="AM66" s="80" t="s">
        <v>1276</v>
      </c>
      <c r="AN66" s="80"/>
      <c r="AO66" s="80" t="s">
        <v>1284</v>
      </c>
      <c r="AP66" s="80"/>
      <c r="AQ66" s="80" t="s">
        <v>1285</v>
      </c>
      <c r="AR66" s="80"/>
      <c r="AS66" s="80"/>
      <c r="AT66" s="80"/>
      <c r="AU66" s="80" t="s">
        <v>1286</v>
      </c>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row>
    <row r="67" spans="1:72" s="144" customFormat="1" ht="25.15" customHeight="1" outlineLevel="1" x14ac:dyDescent="0.25">
      <c r="A67" s="9" t="s">
        <v>202</v>
      </c>
      <c r="B67" s="98" t="s">
        <v>1139</v>
      </c>
      <c r="C67" s="1" t="s">
        <v>1150</v>
      </c>
      <c r="D67" s="80"/>
      <c r="E67" s="80" t="s">
        <v>33</v>
      </c>
      <c r="F67" s="80" t="s">
        <v>34</v>
      </c>
      <c r="G67" s="80" t="s">
        <v>85</v>
      </c>
      <c r="H67" s="80" t="s">
        <v>29</v>
      </c>
      <c r="I67" s="80" t="s">
        <v>7</v>
      </c>
      <c r="J67" s="1"/>
      <c r="K67" s="80" t="s">
        <v>30</v>
      </c>
      <c r="L67" s="1"/>
      <c r="M67" s="80" t="s">
        <v>1318</v>
      </c>
      <c r="N67" s="80" t="s">
        <v>35</v>
      </c>
      <c r="O67" s="80">
        <v>3224</v>
      </c>
      <c r="P67" s="80">
        <v>1904</v>
      </c>
      <c r="Q67" s="80">
        <v>1950</v>
      </c>
      <c r="R67" s="80"/>
      <c r="S67" s="80">
        <v>2942</v>
      </c>
      <c r="T67" s="80">
        <v>2050</v>
      </c>
      <c r="U67" s="80">
        <v>6124</v>
      </c>
      <c r="V67" s="80">
        <v>900</v>
      </c>
      <c r="W67" s="80">
        <v>3450</v>
      </c>
      <c r="X67" s="80">
        <v>1617</v>
      </c>
      <c r="Y67" s="80"/>
      <c r="Z67" s="80">
        <v>5</v>
      </c>
      <c r="AA67" s="80" t="s">
        <v>36</v>
      </c>
      <c r="AB67" s="80">
        <v>3500</v>
      </c>
      <c r="AC67" s="80">
        <v>440</v>
      </c>
      <c r="AD67" s="80"/>
      <c r="AE67" s="80"/>
      <c r="AF67" s="80"/>
      <c r="AG67" s="80"/>
      <c r="AH67" s="80">
        <v>12</v>
      </c>
      <c r="AI67" s="80" t="s">
        <v>1274</v>
      </c>
      <c r="AJ67" s="80"/>
      <c r="AK67" s="80" t="s">
        <v>1319</v>
      </c>
      <c r="AL67" s="80"/>
      <c r="AM67" s="80" t="s">
        <v>1276</v>
      </c>
      <c r="AN67" s="80"/>
      <c r="AO67" s="80" t="s">
        <v>1287</v>
      </c>
      <c r="AP67" s="80"/>
      <c r="AQ67" s="80" t="s">
        <v>1248</v>
      </c>
      <c r="AR67" s="80"/>
      <c r="AS67" s="80" t="s">
        <v>1288</v>
      </c>
      <c r="AT67" s="80"/>
      <c r="AU67" s="80" t="s">
        <v>1289</v>
      </c>
      <c r="AV67" s="80"/>
      <c r="AW67" s="80"/>
      <c r="AX67" s="80"/>
      <c r="AY67" s="80"/>
      <c r="AZ67" s="80"/>
      <c r="BA67" s="80"/>
      <c r="BB67" s="80"/>
      <c r="BC67" s="80"/>
      <c r="BD67" s="80"/>
      <c r="BE67" s="80"/>
      <c r="BF67" s="80"/>
      <c r="BG67" s="80"/>
      <c r="BH67" s="80"/>
      <c r="BI67" s="80"/>
      <c r="BJ67" s="80"/>
      <c r="BK67" s="80"/>
      <c r="BL67" s="80"/>
      <c r="BM67" s="80"/>
      <c r="BN67" s="80"/>
      <c r="BO67" s="80"/>
      <c r="BP67" s="80"/>
      <c r="BQ67" s="80"/>
      <c r="BR67" s="80"/>
      <c r="BS67" s="80"/>
      <c r="BT67" s="80"/>
    </row>
    <row r="68" spans="1:72" s="147" customFormat="1" ht="25.15" customHeight="1" outlineLevel="1" x14ac:dyDescent="0.25">
      <c r="A68" s="9" t="s">
        <v>202</v>
      </c>
      <c r="B68" s="98" t="s">
        <v>1139</v>
      </c>
      <c r="C68" s="1" t="s">
        <v>1150</v>
      </c>
      <c r="D68" s="80"/>
      <c r="E68" s="80" t="s">
        <v>33</v>
      </c>
      <c r="F68" s="80" t="s">
        <v>34</v>
      </c>
      <c r="G68" s="80" t="s">
        <v>85</v>
      </c>
      <c r="H68" s="80" t="s">
        <v>12</v>
      </c>
      <c r="I68" s="80"/>
      <c r="J68" s="1"/>
      <c r="K68" s="80" t="s">
        <v>30</v>
      </c>
      <c r="L68" s="1"/>
      <c r="M68" s="80" t="s">
        <v>1318</v>
      </c>
      <c r="N68" s="80" t="s">
        <v>451</v>
      </c>
      <c r="O68" s="80">
        <v>3524</v>
      </c>
      <c r="P68" s="80">
        <v>1904</v>
      </c>
      <c r="Q68" s="80">
        <v>2050</v>
      </c>
      <c r="R68" s="80"/>
      <c r="S68" s="80">
        <v>3040</v>
      </c>
      <c r="T68" s="80">
        <v>2050</v>
      </c>
      <c r="U68" s="80">
        <v>6223</v>
      </c>
      <c r="V68" s="80">
        <v>900</v>
      </c>
      <c r="W68" s="80">
        <v>3450</v>
      </c>
      <c r="X68" s="80">
        <v>1725</v>
      </c>
      <c r="Y68" s="80"/>
      <c r="Z68" s="80">
        <v>5</v>
      </c>
      <c r="AA68" s="80" t="s">
        <v>1290</v>
      </c>
      <c r="AB68" s="80">
        <v>3500</v>
      </c>
      <c r="AC68" s="80">
        <v>335</v>
      </c>
      <c r="AD68" s="80"/>
      <c r="AE68" s="80"/>
      <c r="AF68" s="80"/>
      <c r="AG68" s="80"/>
      <c r="AH68" s="80" t="s">
        <v>1291</v>
      </c>
      <c r="AI68" s="80" t="s">
        <v>1274</v>
      </c>
      <c r="AJ68" s="80"/>
      <c r="AK68" s="80" t="s">
        <v>1319</v>
      </c>
      <c r="AL68" s="80"/>
      <c r="AM68" s="80" t="s">
        <v>1276</v>
      </c>
      <c r="AN68" s="80"/>
      <c r="AO68" s="80" t="s">
        <v>1292</v>
      </c>
      <c r="AP68" s="80"/>
      <c r="AQ68" s="80" t="s">
        <v>1293</v>
      </c>
      <c r="AR68" s="80"/>
      <c r="AS68" s="80"/>
      <c r="AT68" s="80"/>
      <c r="AU68" s="80" t="s">
        <v>458</v>
      </c>
      <c r="AV68" s="80"/>
      <c r="AW68" s="80"/>
      <c r="AX68" s="80"/>
      <c r="AY68" s="80"/>
      <c r="AZ68" s="80"/>
      <c r="BA68" s="80"/>
      <c r="BB68" s="80"/>
      <c r="BC68" s="80"/>
      <c r="BD68" s="80"/>
      <c r="BE68" s="80"/>
      <c r="BF68" s="80"/>
      <c r="BG68" s="80"/>
      <c r="BH68" s="80"/>
      <c r="BI68" s="80"/>
      <c r="BJ68" s="80"/>
      <c r="BK68" s="80"/>
      <c r="BL68" s="80"/>
      <c r="BM68" s="80"/>
      <c r="BN68" s="80"/>
      <c r="BO68" s="80"/>
      <c r="BP68" s="80"/>
      <c r="BQ68" s="80"/>
      <c r="BR68" s="80"/>
      <c r="BS68" s="80"/>
      <c r="BT68" s="80"/>
    </row>
    <row r="69" spans="1:72" s="144" customFormat="1" ht="25.15" customHeight="1" outlineLevel="1" x14ac:dyDescent="0.25">
      <c r="A69" s="9" t="s">
        <v>202</v>
      </c>
      <c r="B69" s="98" t="s">
        <v>1139</v>
      </c>
      <c r="C69" s="1" t="s">
        <v>1150</v>
      </c>
      <c r="D69" s="80"/>
      <c r="E69" s="80" t="s">
        <v>33</v>
      </c>
      <c r="F69" s="80" t="s">
        <v>34</v>
      </c>
      <c r="G69" s="80" t="s">
        <v>85</v>
      </c>
      <c r="H69" s="80" t="s">
        <v>29</v>
      </c>
      <c r="I69" s="80"/>
      <c r="J69" s="1"/>
      <c r="K69" s="80" t="s">
        <v>30</v>
      </c>
      <c r="L69" s="1"/>
      <c r="M69" s="80" t="s">
        <v>1318</v>
      </c>
      <c r="N69" s="80" t="s">
        <v>1294</v>
      </c>
      <c r="O69" s="80">
        <v>2824</v>
      </c>
      <c r="P69" s="80">
        <v>1904</v>
      </c>
      <c r="Q69" s="80">
        <v>1950</v>
      </c>
      <c r="R69" s="80"/>
      <c r="S69" s="80">
        <v>2940</v>
      </c>
      <c r="T69" s="80">
        <v>2050</v>
      </c>
      <c r="U69" s="80">
        <v>5523</v>
      </c>
      <c r="V69" s="80">
        <v>900</v>
      </c>
      <c r="W69" s="80">
        <v>3000</v>
      </c>
      <c r="X69" s="80">
        <v>1475</v>
      </c>
      <c r="Y69" s="80"/>
      <c r="Z69" s="80">
        <v>4</v>
      </c>
      <c r="AA69" s="80" t="s">
        <v>503</v>
      </c>
      <c r="AB69" s="80">
        <v>3500</v>
      </c>
      <c r="AC69" s="80">
        <v>710</v>
      </c>
      <c r="AD69" s="80"/>
      <c r="AE69" s="80"/>
      <c r="AF69" s="80"/>
      <c r="AG69" s="80"/>
      <c r="AH69" s="80" t="s">
        <v>1295</v>
      </c>
      <c r="AI69" s="80" t="s">
        <v>1274</v>
      </c>
      <c r="AJ69" s="80"/>
      <c r="AK69" s="80" t="s">
        <v>1319</v>
      </c>
      <c r="AL69" s="80"/>
      <c r="AM69" s="80" t="s">
        <v>1296</v>
      </c>
      <c r="AN69" s="80"/>
      <c r="AO69" s="80" t="s">
        <v>1297</v>
      </c>
      <c r="AP69" s="80"/>
      <c r="AQ69" s="80" t="s">
        <v>1248</v>
      </c>
      <c r="AR69" s="80"/>
      <c r="AS69" s="80"/>
      <c r="AT69" s="80"/>
      <c r="AU69" s="80" t="s">
        <v>1316</v>
      </c>
      <c r="AV69" s="80"/>
      <c r="AW69" s="80"/>
      <c r="AX69" s="80"/>
      <c r="AY69" s="80"/>
      <c r="AZ69" s="80"/>
      <c r="BA69" s="80"/>
      <c r="BB69" s="80"/>
      <c r="BC69" s="80"/>
      <c r="BD69" s="80"/>
      <c r="BE69" s="80"/>
      <c r="BF69" s="80"/>
      <c r="BG69" s="80"/>
      <c r="BH69" s="80"/>
      <c r="BI69" s="80"/>
      <c r="BJ69" s="80"/>
      <c r="BK69" s="80"/>
      <c r="BL69" s="80"/>
      <c r="BM69" s="80"/>
      <c r="BN69" s="80"/>
      <c r="BO69" s="80"/>
      <c r="BP69" s="80"/>
      <c r="BQ69" s="80"/>
      <c r="BR69" s="80"/>
      <c r="BS69" s="80"/>
      <c r="BT69" s="80"/>
    </row>
    <row r="70" spans="1:72" s="144" customFormat="1" ht="25.15" customHeight="1" outlineLevel="1" x14ac:dyDescent="0.25">
      <c r="A70" s="9" t="s">
        <v>202</v>
      </c>
      <c r="B70" s="98" t="s">
        <v>1139</v>
      </c>
      <c r="C70" s="1" t="s">
        <v>1150</v>
      </c>
      <c r="D70" s="80"/>
      <c r="E70" s="80" t="s">
        <v>33</v>
      </c>
      <c r="F70" s="80" t="s">
        <v>34</v>
      </c>
      <c r="G70" s="80" t="s">
        <v>85</v>
      </c>
      <c r="H70" s="80" t="s">
        <v>29</v>
      </c>
      <c r="I70" s="80"/>
      <c r="J70" s="1"/>
      <c r="K70" s="80" t="s">
        <v>30</v>
      </c>
      <c r="L70" s="1"/>
      <c r="M70" s="80" t="s">
        <v>1320</v>
      </c>
      <c r="N70" s="80" t="s">
        <v>31</v>
      </c>
      <c r="O70" s="80">
        <v>3228</v>
      </c>
      <c r="P70" s="80">
        <v>1908</v>
      </c>
      <c r="Q70" s="80">
        <v>1950</v>
      </c>
      <c r="R70" s="80"/>
      <c r="S70" s="80">
        <v>2936</v>
      </c>
      <c r="T70" s="80">
        <v>2050</v>
      </c>
      <c r="U70" s="80">
        <v>5932</v>
      </c>
      <c r="V70" s="80">
        <v>895</v>
      </c>
      <c r="W70" s="80">
        <v>3450</v>
      </c>
      <c r="X70" s="80">
        <v>1425</v>
      </c>
      <c r="Y70" s="80"/>
      <c r="Z70" s="80">
        <v>5</v>
      </c>
      <c r="AA70" s="80" t="s">
        <v>1299</v>
      </c>
      <c r="AB70" s="80">
        <v>3500</v>
      </c>
      <c r="AC70" s="80">
        <v>760</v>
      </c>
      <c r="AD70" s="80"/>
      <c r="AE70" s="80"/>
      <c r="AF70" s="80"/>
      <c r="AG70" s="80"/>
      <c r="AH70" s="80">
        <v>12</v>
      </c>
      <c r="AI70" s="80" t="s">
        <v>1300</v>
      </c>
      <c r="AJ70" s="80"/>
      <c r="AK70" s="80" t="s">
        <v>1319</v>
      </c>
      <c r="AL70" s="80"/>
      <c r="AM70" s="80" t="s">
        <v>1301</v>
      </c>
      <c r="AN70" s="80"/>
      <c r="AO70" s="80" t="s">
        <v>1302</v>
      </c>
      <c r="AP70" s="80"/>
      <c r="AQ70" s="80" t="s">
        <v>1303</v>
      </c>
      <c r="AR70" s="80"/>
      <c r="AS70" s="80"/>
      <c r="AT70" s="80"/>
      <c r="AU70" s="80" t="s">
        <v>1304</v>
      </c>
      <c r="AV70" s="80"/>
      <c r="AW70" s="80"/>
      <c r="AX70" s="80"/>
      <c r="AY70" s="80"/>
      <c r="AZ70" s="80"/>
      <c r="BA70" s="80"/>
      <c r="BB70" s="80"/>
      <c r="BC70" s="80"/>
      <c r="BD70" s="80"/>
      <c r="BE70" s="80"/>
      <c r="BF70" s="80"/>
      <c r="BG70" s="80"/>
      <c r="BH70" s="80"/>
      <c r="BI70" s="80"/>
      <c r="BJ70" s="80"/>
      <c r="BK70" s="80"/>
      <c r="BL70" s="80"/>
      <c r="BM70" s="80"/>
      <c r="BN70" s="80"/>
      <c r="BO70" s="80"/>
      <c r="BP70" s="80"/>
      <c r="BQ70" s="80"/>
      <c r="BR70" s="80"/>
      <c r="BS70" s="80"/>
      <c r="BT70" s="80"/>
    </row>
    <row r="71" spans="1:72" s="144" customFormat="1" ht="25.15" customHeight="1" outlineLevel="1" x14ac:dyDescent="0.25">
      <c r="A71" s="9" t="s">
        <v>202</v>
      </c>
      <c r="B71" s="98" t="s">
        <v>1139</v>
      </c>
      <c r="C71" s="80"/>
      <c r="D71" s="80"/>
      <c r="E71" s="80" t="s">
        <v>33</v>
      </c>
      <c r="F71" s="80" t="s">
        <v>34</v>
      </c>
      <c r="G71" s="80" t="s">
        <v>85</v>
      </c>
      <c r="H71" s="80" t="s">
        <v>29</v>
      </c>
      <c r="I71" s="80"/>
      <c r="J71" s="1"/>
      <c r="K71" s="80" t="s">
        <v>30</v>
      </c>
      <c r="L71" s="1"/>
      <c r="M71" s="80" t="s">
        <v>1320</v>
      </c>
      <c r="N71" s="80" t="s">
        <v>456</v>
      </c>
      <c r="O71" s="80">
        <v>3228</v>
      </c>
      <c r="P71" s="80">
        <v>1908</v>
      </c>
      <c r="Q71" s="80">
        <v>1950</v>
      </c>
      <c r="R71" s="80"/>
      <c r="S71" s="80">
        <v>2936</v>
      </c>
      <c r="T71" s="80">
        <v>2050</v>
      </c>
      <c r="U71" s="80">
        <v>5932</v>
      </c>
      <c r="V71" s="80">
        <v>895</v>
      </c>
      <c r="W71" s="80">
        <v>3450</v>
      </c>
      <c r="X71" s="80">
        <v>1425</v>
      </c>
      <c r="Y71" s="80"/>
      <c r="Z71" s="80">
        <v>5</v>
      </c>
      <c r="AA71" s="80" t="s">
        <v>1305</v>
      </c>
      <c r="AB71" s="80">
        <v>3500</v>
      </c>
      <c r="AC71" s="80">
        <v>765</v>
      </c>
      <c r="AD71" s="80"/>
      <c r="AE71" s="80"/>
      <c r="AF71" s="80"/>
      <c r="AG71" s="80"/>
      <c r="AH71" s="80">
        <v>12</v>
      </c>
      <c r="AI71" s="80" t="s">
        <v>1300</v>
      </c>
      <c r="AJ71" s="80"/>
      <c r="AK71" s="80" t="s">
        <v>1319</v>
      </c>
      <c r="AL71" s="80"/>
      <c r="AM71" s="80" t="s">
        <v>1301</v>
      </c>
      <c r="AN71" s="80"/>
      <c r="AO71" s="80" t="s">
        <v>1306</v>
      </c>
      <c r="AP71" s="80"/>
      <c r="AQ71" s="80" t="s">
        <v>1303</v>
      </c>
      <c r="AR71" s="80"/>
      <c r="AS71" s="80"/>
      <c r="AT71" s="80"/>
      <c r="AU71" s="80" t="s">
        <v>1307</v>
      </c>
      <c r="AV71" s="80"/>
      <c r="AW71" s="80"/>
      <c r="AX71" s="80"/>
      <c r="AY71" s="80"/>
      <c r="AZ71" s="80"/>
      <c r="BA71" s="80"/>
      <c r="BB71" s="80"/>
      <c r="BC71" s="80"/>
      <c r="BD71" s="80"/>
      <c r="BE71" s="80"/>
      <c r="BF71" s="80"/>
      <c r="BG71" s="80"/>
      <c r="BH71" s="80"/>
      <c r="BI71" s="80"/>
      <c r="BJ71" s="80"/>
      <c r="BK71" s="80"/>
      <c r="BL71" s="80"/>
      <c r="BM71" s="80"/>
      <c r="BN71" s="80"/>
      <c r="BO71" s="80"/>
      <c r="BP71" s="80"/>
      <c r="BQ71" s="80"/>
      <c r="BR71" s="80"/>
      <c r="BS71" s="80"/>
      <c r="BT71" s="80"/>
    </row>
    <row r="72" spans="1:72" s="144" customFormat="1" ht="25.15" customHeight="1" outlineLevel="1" x14ac:dyDescent="0.25">
      <c r="A72" s="9" t="s">
        <v>202</v>
      </c>
      <c r="B72" s="98" t="s">
        <v>1139</v>
      </c>
      <c r="C72" s="1" t="s">
        <v>1150</v>
      </c>
      <c r="D72" s="80"/>
      <c r="E72" s="80" t="s">
        <v>33</v>
      </c>
      <c r="F72" s="80" t="s">
        <v>34</v>
      </c>
      <c r="G72" s="80" t="s">
        <v>85</v>
      </c>
      <c r="H72" s="80" t="s">
        <v>29</v>
      </c>
      <c r="I72" s="80" t="s">
        <v>7</v>
      </c>
      <c r="J72" s="1"/>
      <c r="K72" s="80" t="s">
        <v>30</v>
      </c>
      <c r="L72" s="1"/>
      <c r="M72" s="80" t="s">
        <v>1320</v>
      </c>
      <c r="N72" s="80" t="s">
        <v>35</v>
      </c>
      <c r="O72" s="80">
        <v>3228</v>
      </c>
      <c r="P72" s="80">
        <v>1908</v>
      </c>
      <c r="Q72" s="80">
        <v>1950</v>
      </c>
      <c r="R72" s="80"/>
      <c r="S72" s="80">
        <v>2936</v>
      </c>
      <c r="T72" s="80">
        <v>2050</v>
      </c>
      <c r="U72" s="80">
        <v>6124</v>
      </c>
      <c r="V72" s="80">
        <v>895</v>
      </c>
      <c r="W72" s="80">
        <v>3450</v>
      </c>
      <c r="X72" s="80">
        <v>1617</v>
      </c>
      <c r="Y72" s="80"/>
      <c r="Z72" s="80">
        <v>5</v>
      </c>
      <c r="AA72" s="80" t="s">
        <v>490</v>
      </c>
      <c r="AB72" s="80">
        <v>3500</v>
      </c>
      <c r="AC72" s="80">
        <v>565</v>
      </c>
      <c r="AD72" s="80"/>
      <c r="AE72" s="80"/>
      <c r="AF72" s="80"/>
      <c r="AG72" s="80"/>
      <c r="AH72" s="80">
        <v>12</v>
      </c>
      <c r="AI72" s="80" t="s">
        <v>1300</v>
      </c>
      <c r="AJ72" s="80"/>
      <c r="AK72" s="80" t="s">
        <v>1319</v>
      </c>
      <c r="AL72" s="80"/>
      <c r="AM72" s="80" t="s">
        <v>1301</v>
      </c>
      <c r="AN72" s="80"/>
      <c r="AO72" s="80" t="s">
        <v>1308</v>
      </c>
      <c r="AP72" s="80"/>
      <c r="AQ72" s="80" t="s">
        <v>1303</v>
      </c>
      <c r="AR72" s="80"/>
      <c r="AS72" s="80" t="s">
        <v>1288</v>
      </c>
      <c r="AT72" s="80"/>
      <c r="AU72" s="80" t="s">
        <v>1309</v>
      </c>
      <c r="AV72" s="80"/>
      <c r="AW72" s="80"/>
      <c r="AX72" s="80"/>
      <c r="AY72" s="80"/>
      <c r="AZ72" s="80"/>
      <c r="BA72" s="80"/>
      <c r="BB72" s="80"/>
      <c r="BC72" s="80"/>
      <c r="BD72" s="80"/>
      <c r="BE72" s="80"/>
      <c r="BF72" s="80"/>
      <c r="BG72" s="80"/>
      <c r="BH72" s="80"/>
      <c r="BI72" s="80"/>
      <c r="BJ72" s="80"/>
      <c r="BK72" s="80"/>
      <c r="BL72" s="80"/>
      <c r="BM72" s="80"/>
      <c r="BN72" s="80"/>
      <c r="BO72" s="80"/>
      <c r="BP72" s="80"/>
      <c r="BQ72" s="80"/>
      <c r="BR72" s="80"/>
      <c r="BS72" s="80"/>
      <c r="BT72" s="80"/>
    </row>
    <row r="73" spans="1:72" s="144" customFormat="1" ht="25.15" customHeight="1" outlineLevel="1" x14ac:dyDescent="0.25">
      <c r="A73" s="9" t="s">
        <v>202</v>
      </c>
      <c r="B73" s="98" t="s">
        <v>1139</v>
      </c>
      <c r="C73" s="1" t="s">
        <v>1150</v>
      </c>
      <c r="D73" s="80"/>
      <c r="E73" s="80" t="s">
        <v>33</v>
      </c>
      <c r="F73" s="80" t="s">
        <v>34</v>
      </c>
      <c r="G73" s="80" t="s">
        <v>85</v>
      </c>
      <c r="H73" s="80" t="s">
        <v>12</v>
      </c>
      <c r="I73" s="80"/>
      <c r="J73" s="1"/>
      <c r="K73" s="80" t="s">
        <v>30</v>
      </c>
      <c r="L73" s="1"/>
      <c r="M73" s="80" t="s">
        <v>1320</v>
      </c>
      <c r="N73" s="80" t="s">
        <v>451</v>
      </c>
      <c r="O73" s="80">
        <v>3528</v>
      </c>
      <c r="P73" s="80">
        <v>1908</v>
      </c>
      <c r="Q73" s="80">
        <v>2050</v>
      </c>
      <c r="R73" s="80"/>
      <c r="S73" s="80">
        <v>3036</v>
      </c>
      <c r="T73" s="80">
        <v>2050</v>
      </c>
      <c r="U73" s="80">
        <v>6223</v>
      </c>
      <c r="V73" s="80">
        <v>895</v>
      </c>
      <c r="W73" s="80">
        <v>3450</v>
      </c>
      <c r="X73" s="80">
        <v>1725</v>
      </c>
      <c r="Y73" s="80"/>
      <c r="Z73" s="80">
        <v>5</v>
      </c>
      <c r="AA73" s="80" t="s">
        <v>1310</v>
      </c>
      <c r="AB73" s="80">
        <v>3500</v>
      </c>
      <c r="AC73" s="80">
        <v>450</v>
      </c>
      <c r="AD73" s="80"/>
      <c r="AE73" s="80"/>
      <c r="AF73" s="80"/>
      <c r="AG73" s="80"/>
      <c r="AH73" s="80" t="s">
        <v>1291</v>
      </c>
      <c r="AI73" s="80" t="s">
        <v>1300</v>
      </c>
      <c r="AJ73" s="80"/>
      <c r="AK73" s="80" t="s">
        <v>1319</v>
      </c>
      <c r="AL73" s="80"/>
      <c r="AM73" s="80" t="s">
        <v>1301</v>
      </c>
      <c r="AN73" s="80"/>
      <c r="AO73" s="80" t="s">
        <v>1311</v>
      </c>
      <c r="AP73" s="80"/>
      <c r="AQ73" s="80" t="s">
        <v>1312</v>
      </c>
      <c r="AR73" s="80"/>
      <c r="AS73" s="80"/>
      <c r="AT73" s="80"/>
      <c r="AU73" s="80" t="s">
        <v>1313</v>
      </c>
      <c r="AV73" s="80"/>
      <c r="AW73" s="80"/>
      <c r="AX73" s="80"/>
      <c r="AY73" s="80"/>
      <c r="AZ73" s="80"/>
      <c r="BA73" s="80"/>
      <c r="BB73" s="80"/>
      <c r="BC73" s="80"/>
      <c r="BD73" s="80"/>
      <c r="BE73" s="80"/>
      <c r="BF73" s="80"/>
      <c r="BG73" s="80"/>
      <c r="BH73" s="80"/>
      <c r="BI73" s="80"/>
      <c r="BJ73" s="80"/>
      <c r="BK73" s="80"/>
      <c r="BL73" s="80"/>
      <c r="BM73" s="80"/>
      <c r="BN73" s="80"/>
      <c r="BO73" s="80"/>
      <c r="BP73" s="80"/>
      <c r="BQ73" s="80"/>
      <c r="BR73" s="80"/>
      <c r="BS73" s="80"/>
      <c r="BT73" s="80"/>
    </row>
    <row r="74" spans="1:72" s="144" customFormat="1" ht="25.15" customHeight="1" outlineLevel="1" x14ac:dyDescent="0.25">
      <c r="A74" s="9" t="s">
        <v>202</v>
      </c>
      <c r="B74" s="98" t="s">
        <v>1139</v>
      </c>
      <c r="C74" s="1" t="s">
        <v>1150</v>
      </c>
      <c r="D74" s="80"/>
      <c r="E74" s="80" t="s">
        <v>33</v>
      </c>
      <c r="F74" s="80" t="s">
        <v>34</v>
      </c>
      <c r="G74" s="80" t="s">
        <v>85</v>
      </c>
      <c r="H74" s="80" t="s">
        <v>29</v>
      </c>
      <c r="I74" s="80"/>
      <c r="J74" s="1"/>
      <c r="K74" s="80" t="s">
        <v>30</v>
      </c>
      <c r="L74" s="1"/>
      <c r="M74" s="80" t="s">
        <v>1321</v>
      </c>
      <c r="N74" s="80" t="s">
        <v>31</v>
      </c>
      <c r="O74" s="80">
        <v>3224</v>
      </c>
      <c r="P74" s="80">
        <v>1904</v>
      </c>
      <c r="Q74" s="80">
        <v>1950</v>
      </c>
      <c r="R74" s="80"/>
      <c r="S74" s="80">
        <v>2912</v>
      </c>
      <c r="T74" s="80">
        <v>2050</v>
      </c>
      <c r="U74" s="80">
        <v>5932</v>
      </c>
      <c r="V74" s="80">
        <v>870</v>
      </c>
      <c r="W74" s="80">
        <v>3450</v>
      </c>
      <c r="X74" s="80">
        <v>1425</v>
      </c>
      <c r="Y74" s="80"/>
      <c r="Z74" s="80">
        <v>5</v>
      </c>
      <c r="AA74" s="80" t="s">
        <v>503</v>
      </c>
      <c r="AB74" s="80">
        <v>3500</v>
      </c>
      <c r="AC74" s="80">
        <v>875</v>
      </c>
      <c r="AD74" s="80"/>
      <c r="AE74" s="80"/>
      <c r="AF74" s="80"/>
      <c r="AG74" s="80"/>
      <c r="AH74" s="80">
        <v>12</v>
      </c>
      <c r="AI74" s="80" t="s">
        <v>1274</v>
      </c>
      <c r="AJ74" s="80"/>
      <c r="AK74" s="80" t="s">
        <v>1322</v>
      </c>
      <c r="AL74" s="80"/>
      <c r="AM74" s="80" t="s">
        <v>1323</v>
      </c>
      <c r="AN74" s="80"/>
      <c r="AO74" s="80" t="s">
        <v>1324</v>
      </c>
      <c r="AP74" s="80"/>
      <c r="AQ74" s="80" t="s">
        <v>1248</v>
      </c>
      <c r="AR74" s="80"/>
      <c r="AS74" s="80"/>
      <c r="AT74" s="80"/>
      <c r="AU74" s="84" t="s">
        <v>504</v>
      </c>
      <c r="AV74" s="80"/>
      <c r="AW74" s="80"/>
      <c r="AX74" s="80"/>
      <c r="AY74" s="80"/>
      <c r="AZ74" s="80"/>
      <c r="BA74" s="80"/>
      <c r="BB74" s="80"/>
      <c r="BC74" s="80"/>
      <c r="BD74" s="80"/>
      <c r="BE74" s="80"/>
      <c r="BF74" s="80"/>
      <c r="BG74" s="80"/>
      <c r="BH74" s="80"/>
      <c r="BI74" s="80"/>
      <c r="BJ74" s="80"/>
      <c r="BK74" s="80"/>
      <c r="BL74" s="80"/>
      <c r="BM74" s="80"/>
      <c r="BN74" s="80"/>
      <c r="BO74" s="80"/>
      <c r="BP74" s="80"/>
      <c r="BQ74" s="80"/>
      <c r="BR74" s="80"/>
      <c r="BS74" s="80"/>
      <c r="BT74" s="80"/>
    </row>
    <row r="75" spans="1:72" s="144" customFormat="1" ht="25.15" customHeight="1" outlineLevel="1" x14ac:dyDescent="0.25">
      <c r="A75" s="9" t="s">
        <v>202</v>
      </c>
      <c r="B75" s="98" t="s">
        <v>1139</v>
      </c>
      <c r="C75" s="1" t="s">
        <v>1150</v>
      </c>
      <c r="D75" s="80"/>
      <c r="E75" s="80" t="s">
        <v>33</v>
      </c>
      <c r="F75" s="80" t="s">
        <v>34</v>
      </c>
      <c r="G75" s="80" t="s">
        <v>85</v>
      </c>
      <c r="H75" s="80" t="s">
        <v>29</v>
      </c>
      <c r="I75" s="80"/>
      <c r="J75" s="1"/>
      <c r="K75" s="80" t="s">
        <v>30</v>
      </c>
      <c r="L75" s="1"/>
      <c r="M75" s="80" t="s">
        <v>1321</v>
      </c>
      <c r="N75" s="80" t="s">
        <v>456</v>
      </c>
      <c r="O75" s="80">
        <v>3224</v>
      </c>
      <c r="P75" s="80">
        <v>1904</v>
      </c>
      <c r="Q75" s="80">
        <v>1950</v>
      </c>
      <c r="R75" s="80"/>
      <c r="S75" s="80">
        <v>2912</v>
      </c>
      <c r="T75" s="80">
        <v>2050</v>
      </c>
      <c r="U75" s="80">
        <v>5932</v>
      </c>
      <c r="V75" s="80">
        <v>870</v>
      </c>
      <c r="W75" s="80">
        <v>3450</v>
      </c>
      <c r="X75" s="80">
        <v>1425</v>
      </c>
      <c r="Y75" s="80"/>
      <c r="Z75" s="80">
        <v>5</v>
      </c>
      <c r="AA75" s="80" t="s">
        <v>1279</v>
      </c>
      <c r="AB75" s="80">
        <v>3500</v>
      </c>
      <c r="AC75" s="80">
        <v>880</v>
      </c>
      <c r="AD75" s="80"/>
      <c r="AE75" s="80"/>
      <c r="AF75" s="80"/>
      <c r="AG75" s="80"/>
      <c r="AH75" s="80">
        <v>12</v>
      </c>
      <c r="AI75" s="80" t="s">
        <v>1274</v>
      </c>
      <c r="AJ75" s="80"/>
      <c r="AK75" s="80" t="s">
        <v>1322</v>
      </c>
      <c r="AL75" s="80"/>
      <c r="AM75" s="80" t="s">
        <v>1323</v>
      </c>
      <c r="AN75" s="80"/>
      <c r="AO75" s="80" t="s">
        <v>1325</v>
      </c>
      <c r="AP75" s="80"/>
      <c r="AQ75" s="80" t="s">
        <v>1248</v>
      </c>
      <c r="AR75" s="80"/>
      <c r="AS75" s="80"/>
      <c r="AT75" s="80"/>
      <c r="AU75" s="80" t="s">
        <v>1326</v>
      </c>
      <c r="AV75" s="80"/>
      <c r="AW75" s="80"/>
      <c r="AX75" s="80"/>
      <c r="AY75" s="80"/>
      <c r="AZ75" s="80"/>
      <c r="BA75" s="80"/>
      <c r="BB75" s="80"/>
      <c r="BC75" s="80"/>
      <c r="BD75" s="80"/>
      <c r="BE75" s="80"/>
      <c r="BF75" s="80"/>
      <c r="BG75" s="80"/>
      <c r="BH75" s="80"/>
      <c r="BI75" s="80"/>
      <c r="BJ75" s="80"/>
      <c r="BK75" s="80"/>
      <c r="BL75" s="80"/>
      <c r="BM75" s="80"/>
      <c r="BN75" s="80"/>
      <c r="BO75" s="80"/>
      <c r="BP75" s="80"/>
      <c r="BQ75" s="80"/>
      <c r="BR75" s="80"/>
      <c r="BS75" s="80"/>
      <c r="BT75" s="80"/>
    </row>
    <row r="76" spans="1:72" s="144" customFormat="1" ht="25.15" customHeight="1" outlineLevel="1" x14ac:dyDescent="0.25">
      <c r="A76" s="9" t="s">
        <v>202</v>
      </c>
      <c r="B76" s="98" t="s">
        <v>1139</v>
      </c>
      <c r="C76" s="1" t="s">
        <v>1150</v>
      </c>
      <c r="D76" s="80"/>
      <c r="E76" s="80" t="s">
        <v>33</v>
      </c>
      <c r="F76" s="80" t="s">
        <v>34</v>
      </c>
      <c r="G76" s="80" t="s">
        <v>85</v>
      </c>
      <c r="H76" s="80" t="s">
        <v>29</v>
      </c>
      <c r="I76" s="80" t="s">
        <v>7</v>
      </c>
      <c r="J76" s="1"/>
      <c r="K76" s="80" t="s">
        <v>30</v>
      </c>
      <c r="L76" s="1"/>
      <c r="M76" s="80" t="s">
        <v>1321</v>
      </c>
      <c r="N76" s="80" t="s">
        <v>35</v>
      </c>
      <c r="O76" s="80">
        <v>3224</v>
      </c>
      <c r="P76" s="80">
        <v>1904</v>
      </c>
      <c r="Q76" s="80">
        <v>1950</v>
      </c>
      <c r="R76" s="80"/>
      <c r="S76" s="80">
        <v>2912</v>
      </c>
      <c r="T76" s="80">
        <v>2050</v>
      </c>
      <c r="U76" s="80">
        <v>6124</v>
      </c>
      <c r="V76" s="80">
        <v>870</v>
      </c>
      <c r="W76" s="80">
        <v>3450</v>
      </c>
      <c r="X76" s="80">
        <v>1617</v>
      </c>
      <c r="Y76" s="80"/>
      <c r="Z76" s="80">
        <v>5</v>
      </c>
      <c r="AA76" s="80" t="s">
        <v>36</v>
      </c>
      <c r="AB76" s="80">
        <v>3500</v>
      </c>
      <c r="AC76" s="80">
        <v>725</v>
      </c>
      <c r="AD76" s="80"/>
      <c r="AE76" s="80"/>
      <c r="AF76" s="80"/>
      <c r="AG76" s="80"/>
      <c r="AH76" s="80">
        <v>12</v>
      </c>
      <c r="AI76" s="80" t="s">
        <v>1274</v>
      </c>
      <c r="AJ76" s="80"/>
      <c r="AK76" s="80" t="s">
        <v>1322</v>
      </c>
      <c r="AL76" s="80"/>
      <c r="AM76" s="80" t="s">
        <v>1327</v>
      </c>
      <c r="AN76" s="80"/>
      <c r="AO76" s="80" t="s">
        <v>1328</v>
      </c>
      <c r="AP76" s="80"/>
      <c r="AQ76" s="80" t="s">
        <v>1248</v>
      </c>
      <c r="AR76" s="80"/>
      <c r="AS76" s="80" t="s">
        <v>1288</v>
      </c>
      <c r="AT76" s="80"/>
      <c r="AU76" s="84" t="s">
        <v>1329</v>
      </c>
      <c r="AV76" s="80"/>
      <c r="AW76" s="80"/>
      <c r="AX76" s="80"/>
      <c r="AY76" s="80"/>
      <c r="AZ76" s="80"/>
      <c r="BA76" s="80"/>
      <c r="BB76" s="80"/>
      <c r="BC76" s="80"/>
      <c r="BD76" s="80"/>
      <c r="BE76" s="80"/>
      <c r="BF76" s="80"/>
      <c r="BG76" s="80"/>
      <c r="BH76" s="80"/>
      <c r="BI76" s="80"/>
      <c r="BJ76" s="80"/>
      <c r="BK76" s="80"/>
      <c r="BL76" s="80"/>
      <c r="BM76" s="80"/>
      <c r="BN76" s="80"/>
      <c r="BO76" s="80"/>
      <c r="BP76" s="80"/>
      <c r="BQ76" s="80"/>
      <c r="BR76" s="80"/>
      <c r="BS76" s="80"/>
      <c r="BT76" s="80"/>
    </row>
    <row r="77" spans="1:72" s="144" customFormat="1" ht="25.15" customHeight="1" outlineLevel="1" x14ac:dyDescent="0.25">
      <c r="A77" s="9" t="s">
        <v>202</v>
      </c>
      <c r="B77" s="98" t="s">
        <v>1139</v>
      </c>
      <c r="C77" s="1" t="s">
        <v>1150</v>
      </c>
      <c r="D77" s="80"/>
      <c r="E77" s="80" t="s">
        <v>33</v>
      </c>
      <c r="F77" s="80" t="s">
        <v>34</v>
      </c>
      <c r="G77" s="80" t="s">
        <v>85</v>
      </c>
      <c r="H77" s="80" t="s">
        <v>12</v>
      </c>
      <c r="I77" s="80"/>
      <c r="J77" s="1"/>
      <c r="K77" s="80" t="s">
        <v>30</v>
      </c>
      <c r="L77" s="1"/>
      <c r="M77" s="80" t="s">
        <v>1321</v>
      </c>
      <c r="N77" s="80" t="s">
        <v>451</v>
      </c>
      <c r="O77" s="80">
        <v>3524</v>
      </c>
      <c r="P77" s="80">
        <v>1904</v>
      </c>
      <c r="Q77" s="80">
        <v>2050</v>
      </c>
      <c r="R77" s="80"/>
      <c r="S77" s="80">
        <v>3012</v>
      </c>
      <c r="T77" s="80">
        <v>2050</v>
      </c>
      <c r="U77" s="80">
        <v>6223</v>
      </c>
      <c r="V77" s="80">
        <v>870</v>
      </c>
      <c r="W77" s="80">
        <v>3450</v>
      </c>
      <c r="X77" s="80">
        <v>1725</v>
      </c>
      <c r="Y77" s="80"/>
      <c r="Z77" s="80">
        <v>5</v>
      </c>
      <c r="AA77" s="80" t="s">
        <v>1290</v>
      </c>
      <c r="AB77" s="80">
        <v>3500</v>
      </c>
      <c r="AC77" s="80">
        <v>585</v>
      </c>
      <c r="AD77" s="80"/>
      <c r="AE77" s="80"/>
      <c r="AF77" s="80"/>
      <c r="AG77" s="80"/>
      <c r="AH77" s="80" t="s">
        <v>1291</v>
      </c>
      <c r="AI77" s="80" t="s">
        <v>1274</v>
      </c>
      <c r="AJ77" s="80"/>
      <c r="AK77" s="80" t="s">
        <v>1322</v>
      </c>
      <c r="AL77" s="80"/>
      <c r="AM77" s="80" t="s">
        <v>1323</v>
      </c>
      <c r="AN77" s="80"/>
      <c r="AO77" s="80" t="s">
        <v>1330</v>
      </c>
      <c r="AP77" s="80"/>
      <c r="AQ77" s="80" t="s">
        <v>1293</v>
      </c>
      <c r="AR77" s="80"/>
      <c r="AS77" s="80"/>
      <c r="AT77" s="80"/>
      <c r="AU77" s="80" t="s">
        <v>454</v>
      </c>
      <c r="AV77" s="80"/>
      <c r="AW77" s="80"/>
      <c r="AX77" s="80"/>
      <c r="AY77" s="80"/>
      <c r="AZ77" s="80"/>
      <c r="BA77" s="80"/>
      <c r="BB77" s="80"/>
      <c r="BC77" s="80"/>
      <c r="BD77" s="80"/>
      <c r="BE77" s="80"/>
      <c r="BF77" s="80"/>
      <c r="BG77" s="80"/>
      <c r="BH77" s="80"/>
      <c r="BI77" s="80"/>
      <c r="BJ77" s="80"/>
      <c r="BK77" s="80"/>
      <c r="BL77" s="80"/>
      <c r="BM77" s="80"/>
      <c r="BN77" s="80"/>
      <c r="BO77" s="80"/>
      <c r="BP77" s="80"/>
      <c r="BQ77" s="80"/>
      <c r="BR77" s="80"/>
      <c r="BS77" s="80"/>
      <c r="BT77" s="80"/>
    </row>
    <row r="78" spans="1:72" s="144" customFormat="1" ht="25.15" customHeight="1" outlineLevel="1" x14ac:dyDescent="0.25">
      <c r="A78" s="9" t="s">
        <v>202</v>
      </c>
      <c r="B78" s="98" t="s">
        <v>1139</v>
      </c>
      <c r="C78" s="1" t="s">
        <v>1150</v>
      </c>
      <c r="D78" s="80"/>
      <c r="E78" s="80" t="s">
        <v>33</v>
      </c>
      <c r="F78" s="80" t="s">
        <v>34</v>
      </c>
      <c r="G78" s="80" t="s">
        <v>85</v>
      </c>
      <c r="H78" s="80" t="s">
        <v>29</v>
      </c>
      <c r="I78" s="80"/>
      <c r="J78" s="1"/>
      <c r="K78" s="80" t="s">
        <v>30</v>
      </c>
      <c r="L78" s="1"/>
      <c r="M78" s="80" t="s">
        <v>1331</v>
      </c>
      <c r="N78" s="80" t="s">
        <v>31</v>
      </c>
      <c r="O78" s="80">
        <v>3228</v>
      </c>
      <c r="P78" s="80">
        <v>1908</v>
      </c>
      <c r="Q78" s="80">
        <v>1950</v>
      </c>
      <c r="R78" s="80"/>
      <c r="S78" s="80">
        <v>2926</v>
      </c>
      <c r="T78" s="80">
        <v>2050</v>
      </c>
      <c r="U78" s="80">
        <v>5932</v>
      </c>
      <c r="V78" s="80">
        <v>865</v>
      </c>
      <c r="W78" s="80">
        <v>3450</v>
      </c>
      <c r="X78" s="80">
        <v>1425</v>
      </c>
      <c r="Y78" s="80"/>
      <c r="Z78" s="80">
        <v>5</v>
      </c>
      <c r="AA78" s="80" t="s">
        <v>1299</v>
      </c>
      <c r="AB78" s="80">
        <v>3500</v>
      </c>
      <c r="AC78" s="80">
        <v>1010</v>
      </c>
      <c r="AD78" s="80"/>
      <c r="AE78" s="80"/>
      <c r="AF78" s="80"/>
      <c r="AG78" s="80"/>
      <c r="AH78" s="80">
        <v>12</v>
      </c>
      <c r="AI78" s="80" t="s">
        <v>1300</v>
      </c>
      <c r="AJ78" s="80"/>
      <c r="AK78" s="80" t="s">
        <v>1322</v>
      </c>
      <c r="AL78" s="80"/>
      <c r="AM78" s="80" t="s">
        <v>1332</v>
      </c>
      <c r="AN78" s="80"/>
      <c r="AO78" s="80" t="s">
        <v>1302</v>
      </c>
      <c r="AP78" s="80"/>
      <c r="AQ78" s="80" t="s">
        <v>1303</v>
      </c>
      <c r="AR78" s="80"/>
      <c r="AS78" s="80"/>
      <c r="AT78" s="80"/>
      <c r="AU78" s="80" t="s">
        <v>1333</v>
      </c>
      <c r="AV78" s="80"/>
      <c r="AW78" s="80"/>
      <c r="AX78" s="80"/>
      <c r="AY78" s="80"/>
      <c r="AZ78" s="80"/>
      <c r="BA78" s="80"/>
      <c r="BB78" s="80"/>
      <c r="BC78" s="80"/>
      <c r="BD78" s="80"/>
      <c r="BE78" s="80"/>
      <c r="BF78" s="80"/>
      <c r="BG78" s="80"/>
      <c r="BH78" s="80"/>
      <c r="BI78" s="80"/>
      <c r="BJ78" s="80"/>
      <c r="BK78" s="80"/>
      <c r="BL78" s="80"/>
      <c r="BM78" s="80"/>
      <c r="BN78" s="80"/>
      <c r="BO78" s="80"/>
      <c r="BP78" s="80"/>
      <c r="BQ78" s="80"/>
      <c r="BR78" s="80"/>
      <c r="BS78" s="80"/>
      <c r="BT78" s="80"/>
    </row>
    <row r="79" spans="1:72" s="144" customFormat="1" ht="25.15" customHeight="1" outlineLevel="1" x14ac:dyDescent="0.25">
      <c r="A79" s="9" t="s">
        <v>202</v>
      </c>
      <c r="B79" s="98" t="s">
        <v>1139</v>
      </c>
      <c r="C79" s="1"/>
      <c r="D79" s="80"/>
      <c r="E79" s="80" t="s">
        <v>33</v>
      </c>
      <c r="F79" s="80" t="s">
        <v>34</v>
      </c>
      <c r="G79" s="80" t="s">
        <v>85</v>
      </c>
      <c r="H79" s="80" t="s">
        <v>29</v>
      </c>
      <c r="I79" s="80"/>
      <c r="J79" s="1"/>
      <c r="K79" s="80" t="s">
        <v>30</v>
      </c>
      <c r="L79" s="1"/>
      <c r="M79" s="80" t="s">
        <v>1331</v>
      </c>
      <c r="N79" s="80" t="s">
        <v>456</v>
      </c>
      <c r="O79" s="80">
        <v>3228</v>
      </c>
      <c r="P79" s="80">
        <v>1908</v>
      </c>
      <c r="Q79" s="80">
        <v>1950</v>
      </c>
      <c r="R79" s="80"/>
      <c r="S79" s="80">
        <v>2926</v>
      </c>
      <c r="T79" s="80">
        <v>2050</v>
      </c>
      <c r="U79" s="80">
        <v>5932</v>
      </c>
      <c r="V79" s="80">
        <v>865</v>
      </c>
      <c r="W79" s="80">
        <v>3450</v>
      </c>
      <c r="X79" s="80">
        <v>1425</v>
      </c>
      <c r="Y79" s="80"/>
      <c r="Z79" s="80">
        <v>5</v>
      </c>
      <c r="AA79" s="80" t="s">
        <v>1305</v>
      </c>
      <c r="AB79" s="80">
        <v>3500</v>
      </c>
      <c r="AC79" s="80">
        <v>1015</v>
      </c>
      <c r="AD79" s="80"/>
      <c r="AE79" s="80"/>
      <c r="AF79" s="80"/>
      <c r="AG79" s="80"/>
      <c r="AH79" s="80">
        <v>12</v>
      </c>
      <c r="AI79" s="80" t="s">
        <v>1300</v>
      </c>
      <c r="AJ79" s="80"/>
      <c r="AK79" s="80" t="s">
        <v>1322</v>
      </c>
      <c r="AL79" s="80"/>
      <c r="AM79" s="80" t="s">
        <v>1332</v>
      </c>
      <c r="AN79" s="80"/>
      <c r="AO79" s="80" t="s">
        <v>1306</v>
      </c>
      <c r="AP79" s="80"/>
      <c r="AQ79" s="80" t="s">
        <v>1303</v>
      </c>
      <c r="AR79" s="80"/>
      <c r="AS79" s="80"/>
      <c r="AT79" s="80"/>
      <c r="AU79" s="80" t="s">
        <v>1334</v>
      </c>
      <c r="AV79" s="80"/>
      <c r="AW79" s="80"/>
      <c r="AX79" s="80"/>
      <c r="AY79" s="80"/>
      <c r="AZ79" s="80"/>
      <c r="BA79" s="80"/>
      <c r="BB79" s="80"/>
      <c r="BC79" s="80"/>
      <c r="BD79" s="80"/>
      <c r="BE79" s="80"/>
      <c r="BF79" s="80"/>
      <c r="BG79" s="80"/>
      <c r="BH79" s="80"/>
      <c r="BI79" s="80"/>
      <c r="BJ79" s="80"/>
      <c r="BK79" s="80"/>
      <c r="BL79" s="80"/>
      <c r="BM79" s="80"/>
      <c r="BN79" s="80"/>
      <c r="BO79" s="80"/>
      <c r="BP79" s="80"/>
      <c r="BQ79" s="80"/>
      <c r="BR79" s="80"/>
      <c r="BS79" s="80"/>
      <c r="BT79" s="80"/>
    </row>
    <row r="80" spans="1:72" s="144" customFormat="1" ht="25.15" customHeight="1" outlineLevel="1" x14ac:dyDescent="0.25">
      <c r="A80" s="9" t="s">
        <v>202</v>
      </c>
      <c r="B80" s="98" t="s">
        <v>1139</v>
      </c>
      <c r="C80" s="1" t="s">
        <v>1150</v>
      </c>
      <c r="D80" s="80"/>
      <c r="E80" s="80" t="s">
        <v>33</v>
      </c>
      <c r="F80" s="80" t="s">
        <v>34</v>
      </c>
      <c r="G80" s="80" t="s">
        <v>85</v>
      </c>
      <c r="H80" s="80" t="s">
        <v>29</v>
      </c>
      <c r="I80" s="80" t="s">
        <v>7</v>
      </c>
      <c r="J80" s="1"/>
      <c r="K80" s="80" t="s">
        <v>30</v>
      </c>
      <c r="L80" s="1"/>
      <c r="M80" s="80" t="s">
        <v>1331</v>
      </c>
      <c r="N80" s="80" t="s">
        <v>35</v>
      </c>
      <c r="O80" s="80">
        <v>3228</v>
      </c>
      <c r="P80" s="80">
        <v>1908</v>
      </c>
      <c r="Q80" s="80">
        <v>1950</v>
      </c>
      <c r="R80" s="80"/>
      <c r="S80" s="80">
        <v>2926</v>
      </c>
      <c r="T80" s="80">
        <v>2050</v>
      </c>
      <c r="U80" s="80">
        <v>6124</v>
      </c>
      <c r="V80" s="80">
        <v>865</v>
      </c>
      <c r="W80" s="80">
        <v>3450</v>
      </c>
      <c r="X80" s="80">
        <v>1617</v>
      </c>
      <c r="Y80" s="80"/>
      <c r="Z80" s="80">
        <v>5</v>
      </c>
      <c r="AA80" s="80" t="s">
        <v>490</v>
      </c>
      <c r="AB80" s="80">
        <v>3500</v>
      </c>
      <c r="AC80" s="80">
        <v>805</v>
      </c>
      <c r="AD80" s="80"/>
      <c r="AE80" s="80"/>
      <c r="AF80" s="80"/>
      <c r="AG80" s="80"/>
      <c r="AH80" s="80">
        <v>12</v>
      </c>
      <c r="AI80" s="80" t="s">
        <v>1300</v>
      </c>
      <c r="AJ80" s="80"/>
      <c r="AK80" s="80" t="s">
        <v>1322</v>
      </c>
      <c r="AL80" s="80"/>
      <c r="AM80" s="80" t="s">
        <v>1332</v>
      </c>
      <c r="AN80" s="80"/>
      <c r="AO80" s="80" t="s">
        <v>1308</v>
      </c>
      <c r="AP80" s="80"/>
      <c r="AQ80" s="80" t="s">
        <v>1303</v>
      </c>
      <c r="AR80" s="80"/>
      <c r="AS80" s="80" t="s">
        <v>1288</v>
      </c>
      <c r="AT80" s="80"/>
      <c r="AU80" s="80" t="s">
        <v>491</v>
      </c>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row>
    <row r="81" spans="1:72" s="144" customFormat="1" ht="25.15" customHeight="1" outlineLevel="1" x14ac:dyDescent="0.25">
      <c r="A81" s="9" t="s">
        <v>202</v>
      </c>
      <c r="B81" s="98" t="s">
        <v>1139</v>
      </c>
      <c r="C81" s="1" t="s">
        <v>1150</v>
      </c>
      <c r="D81" s="80"/>
      <c r="E81" s="80" t="s">
        <v>33</v>
      </c>
      <c r="F81" s="80" t="s">
        <v>34</v>
      </c>
      <c r="G81" s="80" t="s">
        <v>85</v>
      </c>
      <c r="H81" s="80" t="s">
        <v>12</v>
      </c>
      <c r="I81" s="80"/>
      <c r="J81" s="1"/>
      <c r="K81" s="80" t="s">
        <v>30</v>
      </c>
      <c r="L81" s="1"/>
      <c r="M81" s="80" t="s">
        <v>1331</v>
      </c>
      <c r="N81" s="80" t="s">
        <v>451</v>
      </c>
      <c r="O81" s="80">
        <v>3528</v>
      </c>
      <c r="P81" s="80">
        <v>1908</v>
      </c>
      <c r="Q81" s="80">
        <v>2050</v>
      </c>
      <c r="R81" s="80"/>
      <c r="S81" s="80">
        <v>3006</v>
      </c>
      <c r="T81" s="80">
        <v>2050</v>
      </c>
      <c r="U81" s="80">
        <v>6223</v>
      </c>
      <c r="V81" s="80">
        <v>865</v>
      </c>
      <c r="W81" s="80">
        <v>3450</v>
      </c>
      <c r="X81" s="80">
        <v>1725</v>
      </c>
      <c r="Y81" s="80"/>
      <c r="Z81" s="80">
        <v>5</v>
      </c>
      <c r="AA81" s="80" t="s">
        <v>1310</v>
      </c>
      <c r="AB81" s="80">
        <v>3500</v>
      </c>
      <c r="AC81" s="80">
        <v>705</v>
      </c>
      <c r="AD81" s="80"/>
      <c r="AE81" s="80"/>
      <c r="AF81" s="80"/>
      <c r="AG81" s="80"/>
      <c r="AH81" s="80" t="s">
        <v>1291</v>
      </c>
      <c r="AI81" s="80" t="s">
        <v>1300</v>
      </c>
      <c r="AJ81" s="80"/>
      <c r="AK81" s="80" t="s">
        <v>1322</v>
      </c>
      <c r="AL81" s="80"/>
      <c r="AM81" s="80" t="s">
        <v>1332</v>
      </c>
      <c r="AN81" s="80"/>
      <c r="AO81" s="80" t="s">
        <v>1311</v>
      </c>
      <c r="AP81" s="80"/>
      <c r="AQ81" s="80" t="s">
        <v>1312</v>
      </c>
      <c r="AR81" s="80"/>
      <c r="AS81" s="80"/>
      <c r="AT81" s="80"/>
      <c r="AU81" s="84" t="s">
        <v>1335</v>
      </c>
      <c r="AV81" s="80"/>
      <c r="AW81" s="80"/>
      <c r="AX81" s="80"/>
      <c r="AY81" s="80"/>
      <c r="AZ81" s="80"/>
      <c r="BA81" s="80"/>
      <c r="BB81" s="80"/>
      <c r="BC81" s="80"/>
      <c r="BD81" s="80"/>
      <c r="BE81" s="80"/>
      <c r="BF81" s="80"/>
      <c r="BG81" s="80"/>
      <c r="BH81" s="80"/>
      <c r="BI81" s="80"/>
      <c r="BJ81" s="80"/>
      <c r="BK81" s="80"/>
      <c r="BL81" s="80"/>
      <c r="BM81" s="80"/>
      <c r="BN81" s="80"/>
      <c r="BO81" s="80"/>
      <c r="BP81" s="80"/>
      <c r="BQ81" s="80"/>
      <c r="BR81" s="80"/>
      <c r="BS81" s="80"/>
      <c r="BT81" s="80"/>
    </row>
    <row r="82" spans="1:72" s="144" customFormat="1" ht="25.15" customHeight="1" outlineLevel="1" x14ac:dyDescent="0.25">
      <c r="A82" s="9" t="s">
        <v>202</v>
      </c>
      <c r="B82" s="98" t="s">
        <v>1139</v>
      </c>
      <c r="C82" s="1" t="s">
        <v>1150</v>
      </c>
      <c r="D82" s="80"/>
      <c r="E82" s="80" t="s">
        <v>33</v>
      </c>
      <c r="F82" s="80" t="s">
        <v>34</v>
      </c>
      <c r="G82" s="80" t="s">
        <v>85</v>
      </c>
      <c r="H82" s="80" t="s">
        <v>29</v>
      </c>
      <c r="I82" s="80"/>
      <c r="J82" s="1"/>
      <c r="K82" s="80" t="s">
        <v>30</v>
      </c>
      <c r="L82" s="1"/>
      <c r="M82" s="80" t="s">
        <v>1336</v>
      </c>
      <c r="N82" s="80" t="s">
        <v>31</v>
      </c>
      <c r="O82" s="80">
        <v>3224</v>
      </c>
      <c r="P82" s="80">
        <v>1904</v>
      </c>
      <c r="Q82" s="80">
        <v>1950</v>
      </c>
      <c r="R82" s="80"/>
      <c r="S82" s="80">
        <v>2912</v>
      </c>
      <c r="T82" s="80">
        <v>2050</v>
      </c>
      <c r="U82" s="80">
        <v>5932</v>
      </c>
      <c r="V82" s="80">
        <v>870</v>
      </c>
      <c r="W82" s="80">
        <v>3450</v>
      </c>
      <c r="X82" s="80">
        <v>1425</v>
      </c>
      <c r="Y82" s="80"/>
      <c r="Z82" s="80">
        <v>5</v>
      </c>
      <c r="AA82" s="80" t="s">
        <v>503</v>
      </c>
      <c r="AB82" s="80">
        <v>3500</v>
      </c>
      <c r="AC82" s="80">
        <v>875</v>
      </c>
      <c r="AD82" s="80"/>
      <c r="AE82" s="80"/>
      <c r="AF82" s="80"/>
      <c r="AG82" s="80"/>
      <c r="AH82" s="80">
        <v>12</v>
      </c>
      <c r="AI82" s="80" t="s">
        <v>1274</v>
      </c>
      <c r="AJ82" s="80"/>
      <c r="AK82" s="80" t="s">
        <v>1337</v>
      </c>
      <c r="AL82" s="80"/>
      <c r="AM82" s="80" t="s">
        <v>1323</v>
      </c>
      <c r="AN82" s="80"/>
      <c r="AO82" s="80" t="s">
        <v>1324</v>
      </c>
      <c r="AP82" s="80"/>
      <c r="AQ82" s="80" t="s">
        <v>1248</v>
      </c>
      <c r="AR82" s="80"/>
      <c r="AS82" s="80"/>
      <c r="AT82" s="80"/>
      <c r="AU82" s="84" t="s">
        <v>504</v>
      </c>
      <c r="AV82" s="80"/>
      <c r="AW82" s="80"/>
      <c r="AX82" s="80"/>
      <c r="AY82" s="80"/>
      <c r="AZ82" s="80"/>
      <c r="BA82" s="80"/>
      <c r="BB82" s="80"/>
      <c r="BC82" s="80"/>
      <c r="BD82" s="80"/>
      <c r="BE82" s="80"/>
      <c r="BF82" s="80"/>
      <c r="BG82" s="80"/>
      <c r="BH82" s="80"/>
      <c r="BI82" s="80"/>
      <c r="BJ82" s="80"/>
      <c r="BK82" s="80"/>
      <c r="BL82" s="80"/>
      <c r="BM82" s="80"/>
      <c r="BN82" s="80"/>
      <c r="BO82" s="80"/>
      <c r="BP82" s="80"/>
      <c r="BQ82" s="80"/>
      <c r="BR82" s="80"/>
      <c r="BS82" s="80"/>
      <c r="BT82" s="80"/>
    </row>
    <row r="83" spans="1:72" s="144" customFormat="1" ht="25.15" customHeight="1" outlineLevel="1" x14ac:dyDescent="0.25">
      <c r="A83" s="9" t="s">
        <v>202</v>
      </c>
      <c r="B83" s="98" t="s">
        <v>1139</v>
      </c>
      <c r="C83" s="1" t="s">
        <v>1150</v>
      </c>
      <c r="D83" s="80"/>
      <c r="E83" s="80" t="s">
        <v>33</v>
      </c>
      <c r="F83" s="80" t="s">
        <v>34</v>
      </c>
      <c r="G83" s="80" t="s">
        <v>85</v>
      </c>
      <c r="H83" s="80" t="s">
        <v>29</v>
      </c>
      <c r="I83" s="80"/>
      <c r="J83" s="1"/>
      <c r="K83" s="80" t="s">
        <v>30</v>
      </c>
      <c r="L83" s="1"/>
      <c r="M83" s="80" t="s">
        <v>1336</v>
      </c>
      <c r="N83" s="80" t="s">
        <v>456</v>
      </c>
      <c r="O83" s="80">
        <v>3224</v>
      </c>
      <c r="P83" s="80">
        <v>1904</v>
      </c>
      <c r="Q83" s="80">
        <v>1950</v>
      </c>
      <c r="R83" s="80"/>
      <c r="S83" s="80">
        <v>2912</v>
      </c>
      <c r="T83" s="80">
        <v>2050</v>
      </c>
      <c r="U83" s="80">
        <v>5932</v>
      </c>
      <c r="V83" s="80">
        <v>870</v>
      </c>
      <c r="W83" s="80">
        <v>3450</v>
      </c>
      <c r="X83" s="80">
        <v>1425</v>
      </c>
      <c r="Y83" s="80"/>
      <c r="Z83" s="80">
        <v>5</v>
      </c>
      <c r="AA83" s="80" t="s">
        <v>1279</v>
      </c>
      <c r="AB83" s="80">
        <v>3500</v>
      </c>
      <c r="AC83" s="80">
        <v>880</v>
      </c>
      <c r="AD83" s="80"/>
      <c r="AE83" s="80"/>
      <c r="AF83" s="80"/>
      <c r="AG83" s="80"/>
      <c r="AH83" s="80">
        <v>12</v>
      </c>
      <c r="AI83" s="80" t="s">
        <v>1274</v>
      </c>
      <c r="AJ83" s="80"/>
      <c r="AK83" s="80" t="s">
        <v>1337</v>
      </c>
      <c r="AL83" s="80"/>
      <c r="AM83" s="80" t="s">
        <v>1323</v>
      </c>
      <c r="AN83" s="80"/>
      <c r="AO83" s="80" t="s">
        <v>1325</v>
      </c>
      <c r="AP83" s="80"/>
      <c r="AQ83" s="80" t="s">
        <v>1248</v>
      </c>
      <c r="AR83" s="80"/>
      <c r="AS83" s="80"/>
      <c r="AT83" s="80"/>
      <c r="AU83" s="80" t="s">
        <v>1326</v>
      </c>
      <c r="AV83" s="80"/>
      <c r="AW83" s="80"/>
      <c r="AX83" s="80"/>
      <c r="AY83" s="80"/>
      <c r="AZ83" s="80"/>
      <c r="BA83" s="80"/>
      <c r="BB83" s="80"/>
      <c r="BC83" s="80"/>
      <c r="BD83" s="80"/>
      <c r="BE83" s="80"/>
      <c r="BF83" s="80"/>
      <c r="BG83" s="80"/>
      <c r="BH83" s="80"/>
      <c r="BI83" s="80"/>
      <c r="BJ83" s="80"/>
      <c r="BK83" s="80"/>
      <c r="BL83" s="80"/>
      <c r="BM83" s="80"/>
      <c r="BN83" s="80"/>
      <c r="BO83" s="80"/>
      <c r="BP83" s="80"/>
      <c r="BQ83" s="80"/>
      <c r="BR83" s="80"/>
      <c r="BS83" s="80"/>
      <c r="BT83" s="80"/>
    </row>
    <row r="84" spans="1:72" s="144" customFormat="1" ht="25.15" customHeight="1" outlineLevel="1" x14ac:dyDescent="0.25">
      <c r="A84" s="9" t="s">
        <v>202</v>
      </c>
      <c r="B84" s="98" t="s">
        <v>1139</v>
      </c>
      <c r="C84" s="1" t="s">
        <v>1150</v>
      </c>
      <c r="D84" s="80"/>
      <c r="E84" s="80" t="s">
        <v>33</v>
      </c>
      <c r="F84" s="80" t="s">
        <v>34</v>
      </c>
      <c r="G84" s="80" t="s">
        <v>85</v>
      </c>
      <c r="H84" s="80" t="s">
        <v>29</v>
      </c>
      <c r="I84" s="80" t="s">
        <v>7</v>
      </c>
      <c r="J84" s="1"/>
      <c r="K84" s="80" t="s">
        <v>30</v>
      </c>
      <c r="L84" s="1"/>
      <c r="M84" s="80" t="s">
        <v>1336</v>
      </c>
      <c r="N84" s="80" t="s">
        <v>35</v>
      </c>
      <c r="O84" s="80">
        <v>3224</v>
      </c>
      <c r="P84" s="80">
        <v>1904</v>
      </c>
      <c r="Q84" s="80">
        <v>1950</v>
      </c>
      <c r="R84" s="80"/>
      <c r="S84" s="80">
        <v>2912</v>
      </c>
      <c r="T84" s="80">
        <v>2050</v>
      </c>
      <c r="U84" s="80">
        <v>6124</v>
      </c>
      <c r="V84" s="80">
        <v>870</v>
      </c>
      <c r="W84" s="80">
        <v>3450</v>
      </c>
      <c r="X84" s="80">
        <v>1617</v>
      </c>
      <c r="Y84" s="80"/>
      <c r="Z84" s="80">
        <v>5</v>
      </c>
      <c r="AA84" s="80" t="s">
        <v>36</v>
      </c>
      <c r="AB84" s="80">
        <v>3500</v>
      </c>
      <c r="AC84" s="80">
        <v>725</v>
      </c>
      <c r="AD84" s="80"/>
      <c r="AE84" s="80"/>
      <c r="AF84" s="80"/>
      <c r="AG84" s="80"/>
      <c r="AH84" s="80">
        <v>12</v>
      </c>
      <c r="AI84" s="80" t="s">
        <v>1274</v>
      </c>
      <c r="AJ84" s="80"/>
      <c r="AK84" s="80" t="s">
        <v>1337</v>
      </c>
      <c r="AL84" s="80"/>
      <c r="AM84" s="80" t="s">
        <v>1327</v>
      </c>
      <c r="AN84" s="80"/>
      <c r="AO84" s="80" t="s">
        <v>1328</v>
      </c>
      <c r="AP84" s="80"/>
      <c r="AQ84" s="80" t="s">
        <v>1248</v>
      </c>
      <c r="AR84" s="80"/>
      <c r="AS84" s="80" t="s">
        <v>1288</v>
      </c>
      <c r="AT84" s="80"/>
      <c r="AU84" s="84" t="s">
        <v>1329</v>
      </c>
      <c r="AV84" s="80"/>
      <c r="AW84" s="80"/>
      <c r="AX84" s="80"/>
      <c r="AY84" s="80"/>
      <c r="AZ84" s="80"/>
      <c r="BA84" s="80"/>
      <c r="BB84" s="80"/>
      <c r="BC84" s="80"/>
      <c r="BD84" s="80"/>
      <c r="BE84" s="80"/>
      <c r="BF84" s="80"/>
      <c r="BG84" s="80"/>
      <c r="BH84" s="80"/>
      <c r="BI84" s="80"/>
      <c r="BJ84" s="80"/>
      <c r="BK84" s="80"/>
      <c r="BL84" s="80"/>
      <c r="BM84" s="80"/>
      <c r="BN84" s="80"/>
      <c r="BO84" s="80"/>
      <c r="BP84" s="80"/>
      <c r="BQ84" s="80"/>
      <c r="BR84" s="80"/>
      <c r="BS84" s="80"/>
      <c r="BT84" s="80"/>
    </row>
    <row r="85" spans="1:72" s="144" customFormat="1" ht="25.15" customHeight="1" outlineLevel="1" x14ac:dyDescent="0.25">
      <c r="A85" s="9" t="s">
        <v>202</v>
      </c>
      <c r="B85" s="98" t="s">
        <v>1139</v>
      </c>
      <c r="C85" s="1" t="s">
        <v>1150</v>
      </c>
      <c r="D85" s="80"/>
      <c r="E85" s="80" t="s">
        <v>33</v>
      </c>
      <c r="F85" s="80" t="s">
        <v>34</v>
      </c>
      <c r="G85" s="80" t="s">
        <v>85</v>
      </c>
      <c r="H85" s="80" t="s">
        <v>12</v>
      </c>
      <c r="I85" s="80"/>
      <c r="J85" s="1"/>
      <c r="K85" s="80" t="s">
        <v>30</v>
      </c>
      <c r="L85" s="1"/>
      <c r="M85" s="80" t="s">
        <v>1336</v>
      </c>
      <c r="N85" s="80" t="s">
        <v>451</v>
      </c>
      <c r="O85" s="80">
        <v>3524</v>
      </c>
      <c r="P85" s="80">
        <v>1904</v>
      </c>
      <c r="Q85" s="80">
        <v>2050</v>
      </c>
      <c r="R85" s="80"/>
      <c r="S85" s="80">
        <v>3012</v>
      </c>
      <c r="T85" s="80">
        <v>2050</v>
      </c>
      <c r="U85" s="80">
        <v>6223</v>
      </c>
      <c r="V85" s="80">
        <v>870</v>
      </c>
      <c r="W85" s="80">
        <v>3450</v>
      </c>
      <c r="X85" s="80">
        <v>1725</v>
      </c>
      <c r="Y85" s="80"/>
      <c r="Z85" s="80">
        <v>5</v>
      </c>
      <c r="AA85" s="80" t="s">
        <v>1290</v>
      </c>
      <c r="AB85" s="80">
        <v>3500</v>
      </c>
      <c r="AC85" s="80">
        <v>585</v>
      </c>
      <c r="AD85" s="80"/>
      <c r="AE85" s="80"/>
      <c r="AF85" s="80"/>
      <c r="AG85" s="80"/>
      <c r="AH85" s="80" t="s">
        <v>1291</v>
      </c>
      <c r="AI85" s="80" t="s">
        <v>1274</v>
      </c>
      <c r="AJ85" s="80"/>
      <c r="AK85" s="80" t="s">
        <v>1337</v>
      </c>
      <c r="AL85" s="80"/>
      <c r="AM85" s="80" t="s">
        <v>1323</v>
      </c>
      <c r="AN85" s="80"/>
      <c r="AO85" s="80" t="s">
        <v>1330</v>
      </c>
      <c r="AP85" s="80"/>
      <c r="AQ85" s="80" t="s">
        <v>1293</v>
      </c>
      <c r="AR85" s="80"/>
      <c r="AS85" s="80"/>
      <c r="AT85" s="80"/>
      <c r="AU85" s="80" t="s">
        <v>454</v>
      </c>
      <c r="AV85" s="80"/>
      <c r="AW85" s="80"/>
      <c r="AX85" s="80"/>
      <c r="AY85" s="80"/>
      <c r="AZ85" s="80"/>
      <c r="BA85" s="80"/>
      <c r="BB85" s="80"/>
      <c r="BC85" s="80"/>
      <c r="BD85" s="80"/>
      <c r="BE85" s="80"/>
      <c r="BF85" s="80"/>
      <c r="BG85" s="80"/>
      <c r="BH85" s="80"/>
      <c r="BI85" s="80"/>
      <c r="BJ85" s="80"/>
      <c r="BK85" s="80"/>
      <c r="BL85" s="80"/>
      <c r="BM85" s="80"/>
      <c r="BN85" s="80"/>
      <c r="BO85" s="80"/>
      <c r="BP85" s="80"/>
      <c r="BQ85" s="80"/>
      <c r="BR85" s="80"/>
      <c r="BS85" s="80"/>
      <c r="BT85" s="80"/>
    </row>
    <row r="86" spans="1:72" s="144" customFormat="1" ht="25.15" customHeight="1" outlineLevel="1" x14ac:dyDescent="0.25">
      <c r="A86" s="9" t="s">
        <v>202</v>
      </c>
      <c r="B86" s="98" t="s">
        <v>1139</v>
      </c>
      <c r="C86" s="1" t="s">
        <v>1150</v>
      </c>
      <c r="D86" s="80"/>
      <c r="E86" s="80" t="s">
        <v>33</v>
      </c>
      <c r="F86" s="80" t="s">
        <v>34</v>
      </c>
      <c r="G86" s="80" t="s">
        <v>85</v>
      </c>
      <c r="H86" s="80" t="s">
        <v>29</v>
      </c>
      <c r="I86" s="80"/>
      <c r="J86" s="1"/>
      <c r="K86" s="80" t="s">
        <v>30</v>
      </c>
      <c r="L86" s="1"/>
      <c r="M86" s="80" t="s">
        <v>1338</v>
      </c>
      <c r="N86" s="80" t="s">
        <v>31</v>
      </c>
      <c r="O86" s="80">
        <v>3228</v>
      </c>
      <c r="P86" s="80">
        <v>1908</v>
      </c>
      <c r="Q86" s="80">
        <v>1950</v>
      </c>
      <c r="R86" s="80"/>
      <c r="S86" s="80">
        <v>2926</v>
      </c>
      <c r="T86" s="80">
        <v>2050</v>
      </c>
      <c r="U86" s="80">
        <v>5932</v>
      </c>
      <c r="V86" s="80">
        <v>865</v>
      </c>
      <c r="W86" s="80">
        <v>3450</v>
      </c>
      <c r="X86" s="80">
        <v>1425</v>
      </c>
      <c r="Y86" s="80"/>
      <c r="Z86" s="80">
        <v>5</v>
      </c>
      <c r="AA86" s="80" t="s">
        <v>1299</v>
      </c>
      <c r="AB86" s="80">
        <v>3500</v>
      </c>
      <c r="AC86" s="80">
        <v>1010</v>
      </c>
      <c r="AD86" s="80"/>
      <c r="AE86" s="80"/>
      <c r="AF86" s="80"/>
      <c r="AG86" s="80"/>
      <c r="AH86" s="80">
        <v>12</v>
      </c>
      <c r="AI86" s="80" t="s">
        <v>1300</v>
      </c>
      <c r="AJ86" s="80"/>
      <c r="AK86" s="80" t="s">
        <v>1337</v>
      </c>
      <c r="AL86" s="80"/>
      <c r="AM86" s="80" t="s">
        <v>1332</v>
      </c>
      <c r="AN86" s="80"/>
      <c r="AO86" s="80" t="s">
        <v>1302</v>
      </c>
      <c r="AP86" s="80"/>
      <c r="AQ86" s="80" t="s">
        <v>1303</v>
      </c>
      <c r="AR86" s="80"/>
      <c r="AS86" s="80"/>
      <c r="AT86" s="80"/>
      <c r="AU86" s="80" t="s">
        <v>1333</v>
      </c>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row>
    <row r="87" spans="1:72" s="144" customFormat="1" ht="25.15" customHeight="1" outlineLevel="1" x14ac:dyDescent="0.25">
      <c r="A87" s="9" t="s">
        <v>202</v>
      </c>
      <c r="B87" s="98" t="s">
        <v>1139</v>
      </c>
      <c r="C87" s="1"/>
      <c r="D87" s="80"/>
      <c r="E87" s="80" t="s">
        <v>33</v>
      </c>
      <c r="F87" s="80" t="s">
        <v>34</v>
      </c>
      <c r="G87" s="80" t="s">
        <v>85</v>
      </c>
      <c r="H87" s="80" t="s">
        <v>29</v>
      </c>
      <c r="I87" s="80"/>
      <c r="J87" s="1"/>
      <c r="K87" s="80" t="s">
        <v>30</v>
      </c>
      <c r="L87" s="1"/>
      <c r="M87" s="80" t="s">
        <v>1338</v>
      </c>
      <c r="N87" s="80" t="s">
        <v>456</v>
      </c>
      <c r="O87" s="80">
        <v>3228</v>
      </c>
      <c r="P87" s="80">
        <v>1908</v>
      </c>
      <c r="Q87" s="80">
        <v>1950</v>
      </c>
      <c r="R87" s="80"/>
      <c r="S87" s="80">
        <v>2926</v>
      </c>
      <c r="T87" s="80">
        <v>2050</v>
      </c>
      <c r="U87" s="80">
        <v>5932</v>
      </c>
      <c r="V87" s="80">
        <v>865</v>
      </c>
      <c r="W87" s="80">
        <v>3450</v>
      </c>
      <c r="X87" s="80">
        <v>1425</v>
      </c>
      <c r="Y87" s="80"/>
      <c r="Z87" s="80">
        <v>5</v>
      </c>
      <c r="AA87" s="80" t="s">
        <v>1305</v>
      </c>
      <c r="AB87" s="80">
        <v>3500</v>
      </c>
      <c r="AC87" s="80">
        <v>1015</v>
      </c>
      <c r="AD87" s="80"/>
      <c r="AE87" s="80"/>
      <c r="AF87" s="80"/>
      <c r="AG87" s="80"/>
      <c r="AH87" s="80">
        <v>12</v>
      </c>
      <c r="AI87" s="80" t="s">
        <v>1300</v>
      </c>
      <c r="AJ87" s="80"/>
      <c r="AK87" s="80" t="s">
        <v>1337</v>
      </c>
      <c r="AL87" s="80"/>
      <c r="AM87" s="80" t="s">
        <v>1332</v>
      </c>
      <c r="AN87" s="80"/>
      <c r="AO87" s="80" t="s">
        <v>1306</v>
      </c>
      <c r="AP87" s="80"/>
      <c r="AQ87" s="80" t="s">
        <v>1303</v>
      </c>
      <c r="AR87" s="80"/>
      <c r="AS87" s="80"/>
      <c r="AT87" s="80"/>
      <c r="AU87" s="80" t="s">
        <v>1334</v>
      </c>
      <c r="AV87" s="80"/>
      <c r="AW87" s="80"/>
      <c r="AX87" s="80"/>
      <c r="AY87" s="80"/>
      <c r="AZ87" s="80"/>
      <c r="BA87" s="80"/>
      <c r="BB87" s="80"/>
      <c r="BC87" s="80"/>
      <c r="BD87" s="80"/>
      <c r="BE87" s="80"/>
      <c r="BF87" s="80"/>
      <c r="BG87" s="80"/>
      <c r="BH87" s="80"/>
      <c r="BI87" s="80"/>
      <c r="BJ87" s="80"/>
      <c r="BK87" s="80"/>
      <c r="BL87" s="80"/>
      <c r="BM87" s="80"/>
      <c r="BN87" s="80"/>
      <c r="BO87" s="80"/>
      <c r="BP87" s="80"/>
      <c r="BQ87" s="80"/>
      <c r="BR87" s="80"/>
      <c r="BS87" s="80"/>
      <c r="BT87" s="80"/>
    </row>
    <row r="88" spans="1:72" s="144" customFormat="1" ht="25.15" customHeight="1" outlineLevel="1" x14ac:dyDescent="0.25">
      <c r="A88" s="9" t="s">
        <v>202</v>
      </c>
      <c r="B88" s="98" t="s">
        <v>1139</v>
      </c>
      <c r="C88" s="1" t="s">
        <v>1150</v>
      </c>
      <c r="D88" s="80"/>
      <c r="E88" s="80" t="s">
        <v>33</v>
      </c>
      <c r="F88" s="80" t="s">
        <v>34</v>
      </c>
      <c r="G88" s="80" t="s">
        <v>85</v>
      </c>
      <c r="H88" s="80" t="s">
        <v>29</v>
      </c>
      <c r="I88" s="80" t="s">
        <v>7</v>
      </c>
      <c r="J88" s="1"/>
      <c r="K88" s="80" t="s">
        <v>30</v>
      </c>
      <c r="L88" s="1"/>
      <c r="M88" s="80" t="s">
        <v>1338</v>
      </c>
      <c r="N88" s="80" t="s">
        <v>35</v>
      </c>
      <c r="O88" s="80">
        <v>3228</v>
      </c>
      <c r="P88" s="80">
        <v>1908</v>
      </c>
      <c r="Q88" s="80">
        <v>1950</v>
      </c>
      <c r="R88" s="80"/>
      <c r="S88" s="80">
        <v>2926</v>
      </c>
      <c r="T88" s="80">
        <v>2050</v>
      </c>
      <c r="U88" s="80">
        <v>6124</v>
      </c>
      <c r="V88" s="80">
        <v>865</v>
      </c>
      <c r="W88" s="80">
        <v>3450</v>
      </c>
      <c r="X88" s="80">
        <v>1617</v>
      </c>
      <c r="Y88" s="80"/>
      <c r="Z88" s="80">
        <v>5</v>
      </c>
      <c r="AA88" s="80" t="s">
        <v>490</v>
      </c>
      <c r="AB88" s="80">
        <v>3500</v>
      </c>
      <c r="AC88" s="80">
        <v>805</v>
      </c>
      <c r="AD88" s="80"/>
      <c r="AE88" s="80"/>
      <c r="AF88" s="80"/>
      <c r="AG88" s="80"/>
      <c r="AH88" s="80">
        <v>12</v>
      </c>
      <c r="AI88" s="80" t="s">
        <v>1300</v>
      </c>
      <c r="AJ88" s="80"/>
      <c r="AK88" s="80" t="s">
        <v>1337</v>
      </c>
      <c r="AL88" s="80"/>
      <c r="AM88" s="80" t="s">
        <v>1332</v>
      </c>
      <c r="AN88" s="80"/>
      <c r="AO88" s="80" t="s">
        <v>1308</v>
      </c>
      <c r="AP88" s="80"/>
      <c r="AQ88" s="80" t="s">
        <v>1303</v>
      </c>
      <c r="AR88" s="80"/>
      <c r="AS88" s="80" t="s">
        <v>1288</v>
      </c>
      <c r="AT88" s="80"/>
      <c r="AU88" s="80" t="s">
        <v>491</v>
      </c>
      <c r="AV88" s="80"/>
      <c r="AW88" s="80"/>
      <c r="AX88" s="80"/>
      <c r="AY88" s="80"/>
      <c r="AZ88" s="80"/>
      <c r="BA88" s="80"/>
      <c r="BB88" s="80"/>
      <c r="BC88" s="80"/>
      <c r="BD88" s="80"/>
      <c r="BE88" s="80"/>
      <c r="BF88" s="80"/>
      <c r="BG88" s="80"/>
      <c r="BH88" s="80"/>
      <c r="BI88" s="80"/>
      <c r="BJ88" s="80"/>
      <c r="BK88" s="80"/>
      <c r="BL88" s="80"/>
      <c r="BM88" s="80"/>
      <c r="BN88" s="80"/>
      <c r="BO88" s="80"/>
      <c r="BP88" s="80"/>
      <c r="BQ88" s="80"/>
      <c r="BR88" s="80"/>
      <c r="BS88" s="80"/>
      <c r="BT88" s="80"/>
    </row>
    <row r="89" spans="1:72" s="144" customFormat="1" ht="25.15" customHeight="1" outlineLevel="1" x14ac:dyDescent="0.25">
      <c r="A89" s="9" t="s">
        <v>202</v>
      </c>
      <c r="B89" s="98" t="s">
        <v>1139</v>
      </c>
      <c r="C89" s="1" t="s">
        <v>1150</v>
      </c>
      <c r="D89" s="80"/>
      <c r="E89" s="80" t="s">
        <v>33</v>
      </c>
      <c r="F89" s="80" t="s">
        <v>34</v>
      </c>
      <c r="G89" s="80" t="s">
        <v>85</v>
      </c>
      <c r="H89" s="80" t="s">
        <v>12</v>
      </c>
      <c r="I89" s="80"/>
      <c r="J89" s="1"/>
      <c r="K89" s="80" t="s">
        <v>30</v>
      </c>
      <c r="L89" s="1"/>
      <c r="M89" s="80" t="s">
        <v>1338</v>
      </c>
      <c r="N89" s="80" t="s">
        <v>451</v>
      </c>
      <c r="O89" s="80">
        <v>3528</v>
      </c>
      <c r="P89" s="80">
        <v>1908</v>
      </c>
      <c r="Q89" s="80">
        <v>2050</v>
      </c>
      <c r="R89" s="80"/>
      <c r="S89" s="80">
        <v>3006</v>
      </c>
      <c r="T89" s="80">
        <v>2050</v>
      </c>
      <c r="U89" s="80">
        <v>6223</v>
      </c>
      <c r="V89" s="80">
        <v>865</v>
      </c>
      <c r="W89" s="80">
        <v>3450</v>
      </c>
      <c r="X89" s="80">
        <v>1725</v>
      </c>
      <c r="Y89" s="80"/>
      <c r="Z89" s="80">
        <v>5</v>
      </c>
      <c r="AA89" s="80" t="s">
        <v>1310</v>
      </c>
      <c r="AB89" s="80">
        <v>3500</v>
      </c>
      <c r="AC89" s="80">
        <v>705</v>
      </c>
      <c r="AD89" s="80"/>
      <c r="AE89" s="80"/>
      <c r="AF89" s="80"/>
      <c r="AG89" s="80"/>
      <c r="AH89" s="80" t="s">
        <v>1291</v>
      </c>
      <c r="AI89" s="80" t="s">
        <v>1300</v>
      </c>
      <c r="AJ89" s="80"/>
      <c r="AK89" s="80" t="s">
        <v>1337</v>
      </c>
      <c r="AL89" s="80"/>
      <c r="AM89" s="80" t="s">
        <v>1332</v>
      </c>
      <c r="AN89" s="80"/>
      <c r="AO89" s="80" t="s">
        <v>1311</v>
      </c>
      <c r="AP89" s="80"/>
      <c r="AQ89" s="80" t="s">
        <v>1312</v>
      </c>
      <c r="AR89" s="80"/>
      <c r="AS89" s="80"/>
      <c r="AT89" s="80"/>
      <c r="AU89" s="84" t="s">
        <v>1335</v>
      </c>
      <c r="AV89" s="80"/>
      <c r="AW89" s="80"/>
      <c r="AX89" s="80"/>
      <c r="AY89" s="80"/>
      <c r="AZ89" s="80"/>
      <c r="BA89" s="80"/>
      <c r="BB89" s="80"/>
      <c r="BC89" s="80"/>
      <c r="BD89" s="80"/>
      <c r="BE89" s="80"/>
      <c r="BF89" s="80"/>
      <c r="BG89" s="80"/>
      <c r="BH89" s="80"/>
      <c r="BI89" s="80"/>
      <c r="BJ89" s="80"/>
      <c r="BK89" s="80"/>
      <c r="BL89" s="80"/>
      <c r="BM89" s="80"/>
      <c r="BN89" s="80"/>
      <c r="BO89" s="80"/>
      <c r="BP89" s="80"/>
      <c r="BQ89" s="80"/>
      <c r="BR89" s="80"/>
      <c r="BS89" s="80"/>
      <c r="BT89" s="80"/>
    </row>
    <row r="90" spans="1:72" s="144" customFormat="1" ht="25.15" customHeight="1" outlineLevel="1" x14ac:dyDescent="0.25">
      <c r="A90" s="9" t="s">
        <v>202</v>
      </c>
      <c r="B90" s="98" t="s">
        <v>1139</v>
      </c>
      <c r="C90" s="1" t="s">
        <v>1150</v>
      </c>
      <c r="D90" s="80"/>
      <c r="E90" s="80" t="s">
        <v>33</v>
      </c>
      <c r="F90" s="80" t="s">
        <v>34</v>
      </c>
      <c r="G90" s="80" t="s">
        <v>85</v>
      </c>
      <c r="H90" s="80" t="s">
        <v>29</v>
      </c>
      <c r="I90" s="80"/>
      <c r="J90" s="1"/>
      <c r="K90" s="80" t="s">
        <v>30</v>
      </c>
      <c r="L90" s="1"/>
      <c r="M90" s="80" t="s">
        <v>1339</v>
      </c>
      <c r="N90" s="80" t="s">
        <v>31</v>
      </c>
      <c r="O90" s="80">
        <v>3224</v>
      </c>
      <c r="P90" s="80">
        <v>1904</v>
      </c>
      <c r="Q90" s="80">
        <v>1950</v>
      </c>
      <c r="R90" s="80"/>
      <c r="S90" s="80">
        <v>2912</v>
      </c>
      <c r="T90" s="80">
        <v>2050</v>
      </c>
      <c r="U90" s="80">
        <v>5932</v>
      </c>
      <c r="V90" s="80">
        <v>870</v>
      </c>
      <c r="W90" s="80">
        <v>3450</v>
      </c>
      <c r="X90" s="80">
        <v>1425</v>
      </c>
      <c r="Y90" s="80"/>
      <c r="Z90" s="80">
        <v>5</v>
      </c>
      <c r="AA90" s="80" t="s">
        <v>503</v>
      </c>
      <c r="AB90" s="80">
        <v>3500</v>
      </c>
      <c r="AC90" s="80">
        <v>810</v>
      </c>
      <c r="AD90" s="80"/>
      <c r="AE90" s="80"/>
      <c r="AF90" s="80"/>
      <c r="AG90" s="80"/>
      <c r="AH90" s="80">
        <v>12</v>
      </c>
      <c r="AI90" s="80" t="s">
        <v>1274</v>
      </c>
      <c r="AJ90" s="80"/>
      <c r="AK90" s="80" t="s">
        <v>1322</v>
      </c>
      <c r="AL90" s="80"/>
      <c r="AM90" s="80" t="s">
        <v>1323</v>
      </c>
      <c r="AN90" s="80"/>
      <c r="AO90" s="80" t="s">
        <v>1324</v>
      </c>
      <c r="AP90" s="80"/>
      <c r="AQ90" s="80" t="s">
        <v>1248</v>
      </c>
      <c r="AR90" s="80"/>
      <c r="AS90" s="80"/>
      <c r="AT90" s="80"/>
      <c r="AU90" s="84" t="s">
        <v>504</v>
      </c>
      <c r="AV90" s="80"/>
      <c r="AW90" s="80"/>
      <c r="AX90" s="80"/>
      <c r="AY90" s="80"/>
      <c r="AZ90" s="80"/>
      <c r="BA90" s="80"/>
      <c r="BB90" s="80"/>
      <c r="BC90" s="80"/>
      <c r="BD90" s="80"/>
      <c r="BE90" s="80"/>
      <c r="BF90" s="80"/>
      <c r="BG90" s="80"/>
      <c r="BH90" s="80"/>
      <c r="BI90" s="80"/>
      <c r="BJ90" s="80"/>
      <c r="BK90" s="80"/>
      <c r="BL90" s="80"/>
      <c r="BM90" s="80"/>
      <c r="BN90" s="80"/>
      <c r="BO90" s="80"/>
      <c r="BP90" s="80"/>
      <c r="BQ90" s="80"/>
      <c r="BR90" s="80"/>
      <c r="BS90" s="80"/>
      <c r="BT90" s="80"/>
    </row>
    <row r="91" spans="1:72" s="144" customFormat="1" ht="25.15" customHeight="1" outlineLevel="1" x14ac:dyDescent="0.25">
      <c r="A91" s="9" t="s">
        <v>202</v>
      </c>
      <c r="B91" s="98" t="s">
        <v>1139</v>
      </c>
      <c r="C91" s="1" t="s">
        <v>1150</v>
      </c>
      <c r="D91" s="80"/>
      <c r="E91" s="80" t="s">
        <v>33</v>
      </c>
      <c r="F91" s="80" t="s">
        <v>34</v>
      </c>
      <c r="G91" s="80" t="s">
        <v>85</v>
      </c>
      <c r="H91" s="80" t="s">
        <v>29</v>
      </c>
      <c r="I91" s="80"/>
      <c r="J91" s="1"/>
      <c r="K91" s="80" t="s">
        <v>30</v>
      </c>
      <c r="L91" s="1"/>
      <c r="M91" s="80" t="s">
        <v>1339</v>
      </c>
      <c r="N91" s="80" t="s">
        <v>456</v>
      </c>
      <c r="O91" s="80">
        <v>3224</v>
      </c>
      <c r="P91" s="80">
        <v>1904</v>
      </c>
      <c r="Q91" s="80">
        <v>1950</v>
      </c>
      <c r="R91" s="80"/>
      <c r="S91" s="80">
        <v>2912</v>
      </c>
      <c r="T91" s="80">
        <v>2050</v>
      </c>
      <c r="U91" s="80">
        <v>5932</v>
      </c>
      <c r="V91" s="80">
        <v>870</v>
      </c>
      <c r="W91" s="80">
        <v>3450</v>
      </c>
      <c r="X91" s="80">
        <v>1425</v>
      </c>
      <c r="Y91" s="80"/>
      <c r="Z91" s="80">
        <v>5</v>
      </c>
      <c r="AA91" s="80" t="s">
        <v>1279</v>
      </c>
      <c r="AB91" s="80">
        <v>3500</v>
      </c>
      <c r="AC91" s="80">
        <v>815</v>
      </c>
      <c r="AD91" s="80"/>
      <c r="AE91" s="80"/>
      <c r="AF91" s="80"/>
      <c r="AG91" s="80"/>
      <c r="AH91" s="80">
        <v>12</v>
      </c>
      <c r="AI91" s="80" t="s">
        <v>1274</v>
      </c>
      <c r="AJ91" s="80"/>
      <c r="AK91" s="80" t="s">
        <v>1322</v>
      </c>
      <c r="AL91" s="80"/>
      <c r="AM91" s="80" t="s">
        <v>1323</v>
      </c>
      <c r="AN91" s="80"/>
      <c r="AO91" s="80" t="s">
        <v>1325</v>
      </c>
      <c r="AP91" s="80"/>
      <c r="AQ91" s="80" t="s">
        <v>1248</v>
      </c>
      <c r="AR91" s="80"/>
      <c r="AS91" s="80"/>
      <c r="AT91" s="80"/>
      <c r="AU91" s="80" t="s">
        <v>1326</v>
      </c>
      <c r="AV91" s="80"/>
      <c r="AW91" s="80"/>
      <c r="AX91" s="80"/>
      <c r="AY91" s="80"/>
      <c r="AZ91" s="80"/>
      <c r="BA91" s="80"/>
      <c r="BB91" s="80"/>
      <c r="BC91" s="80"/>
      <c r="BD91" s="80"/>
      <c r="BE91" s="80"/>
      <c r="BF91" s="80"/>
      <c r="BG91" s="80"/>
      <c r="BH91" s="80"/>
      <c r="BI91" s="80"/>
      <c r="BJ91" s="80"/>
      <c r="BK91" s="80"/>
      <c r="BL91" s="80"/>
      <c r="BM91" s="80"/>
      <c r="BN91" s="80"/>
      <c r="BO91" s="80"/>
      <c r="BP91" s="80"/>
      <c r="BQ91" s="80"/>
      <c r="BR91" s="80"/>
      <c r="BS91" s="80"/>
      <c r="BT91" s="80"/>
    </row>
    <row r="92" spans="1:72" s="144" customFormat="1" ht="25.15" customHeight="1" outlineLevel="1" x14ac:dyDescent="0.25">
      <c r="A92" s="9" t="s">
        <v>202</v>
      </c>
      <c r="B92" s="98" t="s">
        <v>1139</v>
      </c>
      <c r="C92" s="1" t="s">
        <v>1150</v>
      </c>
      <c r="D92" s="80"/>
      <c r="E92" s="80" t="s">
        <v>33</v>
      </c>
      <c r="F92" s="80" t="s">
        <v>34</v>
      </c>
      <c r="G92" s="80" t="s">
        <v>85</v>
      </c>
      <c r="H92" s="80" t="s">
        <v>29</v>
      </c>
      <c r="I92" s="80" t="s">
        <v>7</v>
      </c>
      <c r="J92" s="1"/>
      <c r="K92" s="80" t="s">
        <v>30</v>
      </c>
      <c r="L92" s="1"/>
      <c r="M92" s="80" t="s">
        <v>1339</v>
      </c>
      <c r="N92" s="80" t="s">
        <v>35</v>
      </c>
      <c r="O92" s="80">
        <v>3224</v>
      </c>
      <c r="P92" s="80">
        <v>1904</v>
      </c>
      <c r="Q92" s="80">
        <v>1950</v>
      </c>
      <c r="R92" s="80"/>
      <c r="S92" s="80">
        <v>2912</v>
      </c>
      <c r="T92" s="80">
        <v>2050</v>
      </c>
      <c r="U92" s="80">
        <v>6124</v>
      </c>
      <c r="V92" s="80">
        <v>870</v>
      </c>
      <c r="W92" s="80">
        <v>3450</v>
      </c>
      <c r="X92" s="80">
        <v>1617</v>
      </c>
      <c r="Y92" s="80"/>
      <c r="Z92" s="80">
        <v>5</v>
      </c>
      <c r="AA92" s="80" t="s">
        <v>36</v>
      </c>
      <c r="AB92" s="80">
        <v>3500</v>
      </c>
      <c r="AC92" s="80">
        <v>660</v>
      </c>
      <c r="AD92" s="80"/>
      <c r="AE92" s="80"/>
      <c r="AF92" s="80"/>
      <c r="AG92" s="80"/>
      <c r="AH92" s="80">
        <v>12</v>
      </c>
      <c r="AI92" s="80" t="s">
        <v>1274</v>
      </c>
      <c r="AJ92" s="80"/>
      <c r="AK92" s="80" t="s">
        <v>1322</v>
      </c>
      <c r="AL92" s="80"/>
      <c r="AM92" s="80" t="s">
        <v>1327</v>
      </c>
      <c r="AN92" s="80"/>
      <c r="AO92" s="80" t="s">
        <v>1328</v>
      </c>
      <c r="AP92" s="80"/>
      <c r="AQ92" s="80" t="s">
        <v>1248</v>
      </c>
      <c r="AR92" s="80"/>
      <c r="AS92" s="80" t="s">
        <v>1288</v>
      </c>
      <c r="AT92" s="80"/>
      <c r="AU92" s="84" t="s">
        <v>1329</v>
      </c>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row>
    <row r="93" spans="1:72" s="144" customFormat="1" ht="25.15" customHeight="1" outlineLevel="1" x14ac:dyDescent="0.25">
      <c r="A93" s="9" t="s">
        <v>202</v>
      </c>
      <c r="B93" s="98" t="s">
        <v>1139</v>
      </c>
      <c r="C93" s="1" t="s">
        <v>1150</v>
      </c>
      <c r="D93" s="80"/>
      <c r="E93" s="80" t="s">
        <v>33</v>
      </c>
      <c r="F93" s="80" t="s">
        <v>34</v>
      </c>
      <c r="G93" s="80" t="s">
        <v>85</v>
      </c>
      <c r="H93" s="80" t="s">
        <v>12</v>
      </c>
      <c r="I93" s="80"/>
      <c r="J93" s="1"/>
      <c r="K93" s="80" t="s">
        <v>30</v>
      </c>
      <c r="L93" s="1"/>
      <c r="M93" s="80" t="s">
        <v>1339</v>
      </c>
      <c r="N93" s="80" t="s">
        <v>451</v>
      </c>
      <c r="O93" s="80">
        <v>3524</v>
      </c>
      <c r="P93" s="80">
        <v>1904</v>
      </c>
      <c r="Q93" s="80">
        <v>2050</v>
      </c>
      <c r="R93" s="80"/>
      <c r="S93" s="80">
        <v>3012</v>
      </c>
      <c r="T93" s="80">
        <v>2050</v>
      </c>
      <c r="U93" s="80">
        <v>6223</v>
      </c>
      <c r="V93" s="80">
        <v>870</v>
      </c>
      <c r="W93" s="80">
        <v>3450</v>
      </c>
      <c r="X93" s="80">
        <v>1725</v>
      </c>
      <c r="Y93" s="80"/>
      <c r="Z93" s="80">
        <v>5</v>
      </c>
      <c r="AA93" s="80" t="s">
        <v>1290</v>
      </c>
      <c r="AB93" s="80">
        <v>3500</v>
      </c>
      <c r="AC93" s="80">
        <v>520</v>
      </c>
      <c r="AD93" s="80"/>
      <c r="AE93" s="80"/>
      <c r="AF93" s="80"/>
      <c r="AG93" s="80"/>
      <c r="AH93" s="80" t="s">
        <v>1291</v>
      </c>
      <c r="AI93" s="80" t="s">
        <v>1274</v>
      </c>
      <c r="AJ93" s="80"/>
      <c r="AK93" s="80" t="s">
        <v>1322</v>
      </c>
      <c r="AL93" s="80"/>
      <c r="AM93" s="80" t="s">
        <v>1323</v>
      </c>
      <c r="AN93" s="80"/>
      <c r="AO93" s="80" t="s">
        <v>1330</v>
      </c>
      <c r="AP93" s="80"/>
      <c r="AQ93" s="80" t="s">
        <v>1293</v>
      </c>
      <c r="AR93" s="80"/>
      <c r="AS93" s="80"/>
      <c r="AT93" s="80"/>
      <c r="AU93" s="80" t="s">
        <v>454</v>
      </c>
      <c r="AV93" s="80"/>
      <c r="AW93" s="80"/>
      <c r="AX93" s="80"/>
      <c r="AY93" s="80"/>
      <c r="AZ93" s="80"/>
      <c r="BA93" s="80"/>
      <c r="BB93" s="80"/>
      <c r="BC93" s="80"/>
      <c r="BD93" s="80"/>
      <c r="BE93" s="80"/>
      <c r="BF93" s="80"/>
      <c r="BG93" s="80"/>
      <c r="BH93" s="80"/>
      <c r="BI93" s="80"/>
      <c r="BJ93" s="80"/>
      <c r="BK93" s="80"/>
      <c r="BL93" s="80"/>
      <c r="BM93" s="80"/>
      <c r="BN93" s="80"/>
      <c r="BO93" s="80"/>
      <c r="BP93" s="80"/>
      <c r="BQ93" s="80"/>
      <c r="BR93" s="80"/>
      <c r="BS93" s="80"/>
      <c r="BT93" s="80"/>
    </row>
    <row r="94" spans="1:72" s="144" customFormat="1" ht="25.15" customHeight="1" outlineLevel="1" x14ac:dyDescent="0.25">
      <c r="A94" s="9" t="s">
        <v>202</v>
      </c>
      <c r="B94" s="98" t="s">
        <v>1139</v>
      </c>
      <c r="C94" s="1" t="s">
        <v>1150</v>
      </c>
      <c r="D94" s="80"/>
      <c r="E94" s="80" t="s">
        <v>33</v>
      </c>
      <c r="F94" s="80" t="s">
        <v>34</v>
      </c>
      <c r="G94" s="80" t="s">
        <v>85</v>
      </c>
      <c r="H94" s="80" t="s">
        <v>29</v>
      </c>
      <c r="I94" s="80"/>
      <c r="J94" s="1"/>
      <c r="K94" s="80" t="s">
        <v>30</v>
      </c>
      <c r="L94" s="1"/>
      <c r="M94" s="80" t="s">
        <v>1340</v>
      </c>
      <c r="N94" s="80" t="s">
        <v>31</v>
      </c>
      <c r="O94" s="80">
        <v>3228</v>
      </c>
      <c r="P94" s="80">
        <v>1908</v>
      </c>
      <c r="Q94" s="80">
        <v>1950</v>
      </c>
      <c r="R94" s="80"/>
      <c r="S94" s="80">
        <v>2926</v>
      </c>
      <c r="T94" s="80">
        <v>2050</v>
      </c>
      <c r="U94" s="80">
        <v>5932</v>
      </c>
      <c r="V94" s="80">
        <v>865</v>
      </c>
      <c r="W94" s="80">
        <v>3450</v>
      </c>
      <c r="X94" s="80">
        <v>1425</v>
      </c>
      <c r="Y94" s="80"/>
      <c r="Z94" s="80">
        <v>5</v>
      </c>
      <c r="AA94" s="80" t="s">
        <v>1299</v>
      </c>
      <c r="AB94" s="80">
        <v>3500</v>
      </c>
      <c r="AC94" s="80">
        <v>945</v>
      </c>
      <c r="AD94" s="80"/>
      <c r="AE94" s="80"/>
      <c r="AF94" s="80"/>
      <c r="AG94" s="80"/>
      <c r="AH94" s="80">
        <v>12</v>
      </c>
      <c r="AI94" s="80" t="s">
        <v>1300</v>
      </c>
      <c r="AJ94" s="80"/>
      <c r="AK94" s="80" t="s">
        <v>1322</v>
      </c>
      <c r="AL94" s="80"/>
      <c r="AM94" s="80" t="s">
        <v>1332</v>
      </c>
      <c r="AN94" s="80"/>
      <c r="AO94" s="80" t="s">
        <v>1302</v>
      </c>
      <c r="AP94" s="80"/>
      <c r="AQ94" s="80" t="s">
        <v>1303</v>
      </c>
      <c r="AR94" s="80"/>
      <c r="AS94" s="80"/>
      <c r="AT94" s="80"/>
      <c r="AU94" s="80" t="s">
        <v>1333</v>
      </c>
      <c r="AV94" s="80"/>
      <c r="AW94" s="80"/>
      <c r="AX94" s="80"/>
      <c r="AY94" s="80"/>
      <c r="AZ94" s="80"/>
      <c r="BA94" s="80"/>
      <c r="BB94" s="80"/>
      <c r="BC94" s="80"/>
      <c r="BD94" s="80"/>
      <c r="BE94" s="80"/>
      <c r="BF94" s="80"/>
      <c r="BG94" s="80"/>
      <c r="BH94" s="80"/>
      <c r="BI94" s="80"/>
      <c r="BJ94" s="80"/>
      <c r="BK94" s="80"/>
      <c r="BL94" s="80"/>
      <c r="BM94" s="80"/>
      <c r="BN94" s="80"/>
      <c r="BO94" s="80"/>
      <c r="BP94" s="80"/>
      <c r="BQ94" s="80"/>
      <c r="BR94" s="80"/>
      <c r="BS94" s="80"/>
      <c r="BT94" s="80"/>
    </row>
    <row r="95" spans="1:72" s="144" customFormat="1" ht="25.15" customHeight="1" outlineLevel="1" x14ac:dyDescent="0.25">
      <c r="A95" s="9" t="s">
        <v>202</v>
      </c>
      <c r="B95" s="98" t="s">
        <v>1139</v>
      </c>
      <c r="C95" s="1"/>
      <c r="D95" s="80"/>
      <c r="E95" s="80" t="s">
        <v>33</v>
      </c>
      <c r="F95" s="80" t="s">
        <v>34</v>
      </c>
      <c r="G95" s="80" t="s">
        <v>85</v>
      </c>
      <c r="H95" s="80" t="s">
        <v>29</v>
      </c>
      <c r="I95" s="80"/>
      <c r="J95" s="1"/>
      <c r="K95" s="80" t="s">
        <v>30</v>
      </c>
      <c r="L95" s="1"/>
      <c r="M95" s="80" t="s">
        <v>1340</v>
      </c>
      <c r="N95" s="80" t="s">
        <v>456</v>
      </c>
      <c r="O95" s="80">
        <v>3228</v>
      </c>
      <c r="P95" s="80">
        <v>1908</v>
      </c>
      <c r="Q95" s="80">
        <v>1950</v>
      </c>
      <c r="R95" s="80"/>
      <c r="S95" s="80">
        <v>2926</v>
      </c>
      <c r="T95" s="80">
        <v>2050</v>
      </c>
      <c r="U95" s="80">
        <v>5932</v>
      </c>
      <c r="V95" s="80">
        <v>865</v>
      </c>
      <c r="W95" s="80">
        <v>3450</v>
      </c>
      <c r="X95" s="80">
        <v>1425</v>
      </c>
      <c r="Y95" s="80"/>
      <c r="Z95" s="80">
        <v>5</v>
      </c>
      <c r="AA95" s="80" t="s">
        <v>1305</v>
      </c>
      <c r="AB95" s="80">
        <v>3500</v>
      </c>
      <c r="AC95" s="80">
        <v>950</v>
      </c>
      <c r="AD95" s="80"/>
      <c r="AE95" s="80"/>
      <c r="AF95" s="80"/>
      <c r="AG95" s="80"/>
      <c r="AH95" s="80">
        <v>12</v>
      </c>
      <c r="AI95" s="80" t="s">
        <v>1300</v>
      </c>
      <c r="AJ95" s="80"/>
      <c r="AK95" s="80" t="s">
        <v>1322</v>
      </c>
      <c r="AL95" s="80"/>
      <c r="AM95" s="80" t="s">
        <v>1332</v>
      </c>
      <c r="AN95" s="80"/>
      <c r="AO95" s="80" t="s">
        <v>1306</v>
      </c>
      <c r="AP95" s="80"/>
      <c r="AQ95" s="80" t="s">
        <v>1303</v>
      </c>
      <c r="AR95" s="80"/>
      <c r="AS95" s="80"/>
      <c r="AT95" s="80"/>
      <c r="AU95" s="80" t="s">
        <v>1334</v>
      </c>
      <c r="AV95" s="80"/>
      <c r="AW95" s="80"/>
      <c r="AX95" s="80"/>
      <c r="AY95" s="80"/>
      <c r="AZ95" s="80"/>
      <c r="BA95" s="80"/>
      <c r="BB95" s="80"/>
      <c r="BC95" s="80"/>
      <c r="BD95" s="80"/>
      <c r="BE95" s="80"/>
      <c r="BF95" s="80"/>
      <c r="BG95" s="80"/>
      <c r="BH95" s="80"/>
      <c r="BI95" s="80"/>
      <c r="BJ95" s="80"/>
      <c r="BK95" s="80"/>
      <c r="BL95" s="80"/>
      <c r="BM95" s="80"/>
      <c r="BN95" s="80"/>
      <c r="BO95" s="80"/>
      <c r="BP95" s="80"/>
      <c r="BQ95" s="80"/>
      <c r="BR95" s="80"/>
      <c r="BS95" s="80"/>
      <c r="BT95" s="80"/>
    </row>
    <row r="96" spans="1:72" s="144" customFormat="1" ht="25.15" customHeight="1" outlineLevel="1" x14ac:dyDescent="0.25">
      <c r="A96" s="9" t="s">
        <v>202</v>
      </c>
      <c r="B96" s="98" t="s">
        <v>1139</v>
      </c>
      <c r="C96" s="1" t="s">
        <v>1150</v>
      </c>
      <c r="D96" s="80"/>
      <c r="E96" s="80" t="s">
        <v>33</v>
      </c>
      <c r="F96" s="80" t="s">
        <v>34</v>
      </c>
      <c r="G96" s="80" t="s">
        <v>85</v>
      </c>
      <c r="H96" s="80" t="s">
        <v>29</v>
      </c>
      <c r="I96" s="80" t="s">
        <v>7</v>
      </c>
      <c r="J96" s="1"/>
      <c r="K96" s="80" t="s">
        <v>30</v>
      </c>
      <c r="L96" s="1"/>
      <c r="M96" s="80" t="s">
        <v>1340</v>
      </c>
      <c r="N96" s="80" t="s">
        <v>35</v>
      </c>
      <c r="O96" s="80">
        <v>3228</v>
      </c>
      <c r="P96" s="80">
        <v>1908</v>
      </c>
      <c r="Q96" s="80">
        <v>1950</v>
      </c>
      <c r="R96" s="80"/>
      <c r="S96" s="80">
        <v>2926</v>
      </c>
      <c r="T96" s="80">
        <v>2050</v>
      </c>
      <c r="U96" s="80">
        <v>6124</v>
      </c>
      <c r="V96" s="80">
        <v>865</v>
      </c>
      <c r="W96" s="80">
        <v>3450</v>
      </c>
      <c r="X96" s="80">
        <v>1617</v>
      </c>
      <c r="Y96" s="80"/>
      <c r="Z96" s="80">
        <v>5</v>
      </c>
      <c r="AA96" s="80" t="s">
        <v>490</v>
      </c>
      <c r="AB96" s="80">
        <v>3500</v>
      </c>
      <c r="AC96" s="80">
        <v>740</v>
      </c>
      <c r="AD96" s="80"/>
      <c r="AE96" s="80"/>
      <c r="AF96" s="80"/>
      <c r="AG96" s="80"/>
      <c r="AH96" s="80">
        <v>12</v>
      </c>
      <c r="AI96" s="80" t="s">
        <v>1300</v>
      </c>
      <c r="AJ96" s="80"/>
      <c r="AK96" s="80" t="s">
        <v>1322</v>
      </c>
      <c r="AL96" s="80"/>
      <c r="AM96" s="80" t="s">
        <v>1332</v>
      </c>
      <c r="AN96" s="80"/>
      <c r="AO96" s="80" t="s">
        <v>1308</v>
      </c>
      <c r="AP96" s="80"/>
      <c r="AQ96" s="80" t="s">
        <v>1303</v>
      </c>
      <c r="AR96" s="80"/>
      <c r="AS96" s="80" t="s">
        <v>1288</v>
      </c>
      <c r="AT96" s="80"/>
      <c r="AU96" s="80" t="s">
        <v>491</v>
      </c>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row>
    <row r="97" spans="1:72" s="144" customFormat="1" ht="25.15" customHeight="1" outlineLevel="1" x14ac:dyDescent="0.25">
      <c r="A97" s="9" t="s">
        <v>202</v>
      </c>
      <c r="B97" s="98" t="s">
        <v>1139</v>
      </c>
      <c r="C97" s="1" t="s">
        <v>1150</v>
      </c>
      <c r="D97" s="80"/>
      <c r="E97" s="80" t="s">
        <v>33</v>
      </c>
      <c r="F97" s="80" t="s">
        <v>34</v>
      </c>
      <c r="G97" s="80" t="s">
        <v>85</v>
      </c>
      <c r="H97" s="80" t="s">
        <v>12</v>
      </c>
      <c r="I97" s="80"/>
      <c r="J97" s="1"/>
      <c r="K97" s="80" t="s">
        <v>30</v>
      </c>
      <c r="L97" s="1"/>
      <c r="M97" s="80" t="s">
        <v>1340</v>
      </c>
      <c r="N97" s="80" t="s">
        <v>451</v>
      </c>
      <c r="O97" s="80">
        <v>3528</v>
      </c>
      <c r="P97" s="80">
        <v>1908</v>
      </c>
      <c r="Q97" s="80">
        <v>2050</v>
      </c>
      <c r="R97" s="80"/>
      <c r="S97" s="80">
        <v>3006</v>
      </c>
      <c r="T97" s="80">
        <v>2050</v>
      </c>
      <c r="U97" s="80">
        <v>6223</v>
      </c>
      <c r="V97" s="80">
        <v>865</v>
      </c>
      <c r="W97" s="80">
        <v>3450</v>
      </c>
      <c r="X97" s="80">
        <v>1725</v>
      </c>
      <c r="Y97" s="80"/>
      <c r="Z97" s="80">
        <v>5</v>
      </c>
      <c r="AA97" s="80" t="s">
        <v>1310</v>
      </c>
      <c r="AB97" s="80">
        <v>3500</v>
      </c>
      <c r="AC97" s="80">
        <v>640</v>
      </c>
      <c r="AD97" s="80"/>
      <c r="AE97" s="80"/>
      <c r="AF97" s="80"/>
      <c r="AG97" s="80"/>
      <c r="AH97" s="80" t="s">
        <v>1291</v>
      </c>
      <c r="AI97" s="80" t="s">
        <v>1300</v>
      </c>
      <c r="AJ97" s="80"/>
      <c r="AK97" s="80" t="s">
        <v>1322</v>
      </c>
      <c r="AL97" s="80"/>
      <c r="AM97" s="80" t="s">
        <v>1332</v>
      </c>
      <c r="AN97" s="80"/>
      <c r="AO97" s="80" t="s">
        <v>1311</v>
      </c>
      <c r="AP97" s="80"/>
      <c r="AQ97" s="80" t="s">
        <v>1312</v>
      </c>
      <c r="AR97" s="80"/>
      <c r="AS97" s="80"/>
      <c r="AT97" s="80"/>
      <c r="AU97" s="84" t="s">
        <v>1335</v>
      </c>
      <c r="AV97" s="80"/>
      <c r="AW97" s="80"/>
      <c r="AX97" s="80"/>
      <c r="AY97" s="80"/>
      <c r="AZ97" s="80"/>
      <c r="BA97" s="80"/>
      <c r="BB97" s="80"/>
      <c r="BC97" s="80"/>
      <c r="BD97" s="80"/>
      <c r="BE97" s="80"/>
      <c r="BF97" s="80"/>
      <c r="BG97" s="80"/>
      <c r="BH97" s="80"/>
      <c r="BI97" s="80"/>
      <c r="BJ97" s="80"/>
      <c r="BK97" s="80"/>
      <c r="BL97" s="80"/>
      <c r="BM97" s="80"/>
      <c r="BN97" s="80"/>
      <c r="BO97" s="80"/>
      <c r="BP97" s="80"/>
      <c r="BQ97" s="80"/>
      <c r="BR97" s="80"/>
      <c r="BS97" s="80"/>
      <c r="BT97" s="80"/>
    </row>
    <row r="98" spans="1:72" s="144" customFormat="1" ht="25.15" customHeight="1" outlineLevel="1" x14ac:dyDescent="0.25">
      <c r="A98" s="9" t="s">
        <v>202</v>
      </c>
      <c r="B98" s="98" t="s">
        <v>1139</v>
      </c>
      <c r="C98" s="1" t="s">
        <v>1150</v>
      </c>
      <c r="D98" s="80"/>
      <c r="E98" s="80" t="s">
        <v>33</v>
      </c>
      <c r="F98" s="80" t="s">
        <v>1341</v>
      </c>
      <c r="G98" s="80" t="s">
        <v>1199</v>
      </c>
      <c r="H98" s="80" t="s">
        <v>29</v>
      </c>
      <c r="I98" s="80"/>
      <c r="J98" s="1"/>
      <c r="K98" s="80" t="s">
        <v>1342</v>
      </c>
      <c r="L98" s="1"/>
      <c r="M98" s="80" t="s">
        <v>1343</v>
      </c>
      <c r="N98" s="80" t="s">
        <v>456</v>
      </c>
      <c r="O98" s="80">
        <v>3240</v>
      </c>
      <c r="P98" s="80">
        <v>1610</v>
      </c>
      <c r="Q98" s="80">
        <v>1750</v>
      </c>
      <c r="R98" s="80"/>
      <c r="S98" s="80">
        <v>2733</v>
      </c>
      <c r="T98" s="80">
        <v>2052</v>
      </c>
      <c r="U98" s="80">
        <v>6118</v>
      </c>
      <c r="V98" s="80">
        <v>805</v>
      </c>
      <c r="W98" s="80">
        <v>3520</v>
      </c>
      <c r="X98" s="80">
        <v>1541</v>
      </c>
      <c r="Y98" s="80"/>
      <c r="Z98" s="80"/>
      <c r="AA98" s="80" t="s">
        <v>1344</v>
      </c>
      <c r="AB98" s="80">
        <v>3500</v>
      </c>
      <c r="AC98" s="80">
        <v>680</v>
      </c>
      <c r="AD98" s="80"/>
      <c r="AE98" s="80"/>
      <c r="AF98" s="80"/>
      <c r="AG98" s="80"/>
      <c r="AH98" s="80">
        <v>8.8000000000000007</v>
      </c>
      <c r="AI98" s="80" t="s">
        <v>1345</v>
      </c>
      <c r="AJ98" s="80"/>
      <c r="AK98" s="80" t="s">
        <v>1346</v>
      </c>
      <c r="AL98" s="80"/>
      <c r="AM98" s="80" t="s">
        <v>1347</v>
      </c>
      <c r="AN98" s="80"/>
      <c r="AO98" s="80" t="s">
        <v>1348</v>
      </c>
      <c r="AP98" s="80"/>
      <c r="AQ98" s="80" t="s">
        <v>1349</v>
      </c>
      <c r="AR98" s="80"/>
      <c r="AS98" s="80"/>
      <c r="AT98" s="80"/>
      <c r="AU98" s="80" t="s">
        <v>1350</v>
      </c>
      <c r="AV98" s="80"/>
      <c r="AW98" s="80"/>
      <c r="AX98" s="80"/>
      <c r="AY98" s="80"/>
      <c r="AZ98" s="80"/>
      <c r="BA98" s="80"/>
      <c r="BB98" s="80"/>
      <c r="BC98" s="80"/>
      <c r="BD98" s="80"/>
      <c r="BE98" s="80"/>
      <c r="BF98" s="80"/>
      <c r="BG98" s="80"/>
      <c r="BH98" s="80"/>
      <c r="BI98" s="80"/>
      <c r="BJ98" s="80"/>
      <c r="BK98" s="80"/>
      <c r="BL98" s="80"/>
      <c r="BM98" s="80"/>
      <c r="BN98" s="80"/>
      <c r="BO98" s="80"/>
      <c r="BP98" s="80"/>
      <c r="BQ98" s="80"/>
      <c r="BR98" s="80"/>
      <c r="BS98" s="80"/>
      <c r="BT98" s="80"/>
    </row>
    <row r="99" spans="1:72" s="144" customFormat="1" ht="25.15" customHeight="1" outlineLevel="1" x14ac:dyDescent="0.25">
      <c r="A99" s="9" t="s">
        <v>202</v>
      </c>
      <c r="B99" s="98" t="s">
        <v>1139</v>
      </c>
      <c r="C99" s="1" t="s">
        <v>1150</v>
      </c>
      <c r="D99" s="80"/>
      <c r="E99" s="80" t="s">
        <v>33</v>
      </c>
      <c r="F99" s="80" t="s">
        <v>34</v>
      </c>
      <c r="G99" s="80" t="s">
        <v>455</v>
      </c>
      <c r="H99" s="80" t="s">
        <v>29</v>
      </c>
      <c r="I99" s="80"/>
      <c r="J99" s="1"/>
      <c r="K99" s="80" t="s">
        <v>30</v>
      </c>
      <c r="L99" s="1"/>
      <c r="M99" s="80" t="s">
        <v>1373</v>
      </c>
      <c r="N99" s="80" t="s">
        <v>31</v>
      </c>
      <c r="O99" s="80">
        <v>4118</v>
      </c>
      <c r="P99" s="80">
        <v>2054</v>
      </c>
      <c r="Q99" s="80">
        <v>2200</v>
      </c>
      <c r="R99" s="80"/>
      <c r="S99" s="80">
        <v>3352</v>
      </c>
      <c r="T99" s="80">
        <v>2200</v>
      </c>
      <c r="U99" s="80">
        <v>6873</v>
      </c>
      <c r="V99" s="80">
        <v>1060</v>
      </c>
      <c r="W99" s="80">
        <v>4100</v>
      </c>
      <c r="X99" s="80">
        <v>1725</v>
      </c>
      <c r="Y99" s="80"/>
      <c r="Z99" s="80">
        <v>8</v>
      </c>
      <c r="AA99" s="80" t="s">
        <v>503</v>
      </c>
      <c r="AB99" s="80">
        <v>7200</v>
      </c>
      <c r="AC99" s="80">
        <v>3610</v>
      </c>
      <c r="AD99" s="80"/>
      <c r="AE99" s="80"/>
      <c r="AF99" s="80"/>
      <c r="AG99" s="80"/>
      <c r="AH99" s="80" t="s">
        <v>457</v>
      </c>
      <c r="AI99" s="80" t="s">
        <v>1374</v>
      </c>
      <c r="AJ99" s="80"/>
      <c r="AK99" s="80" t="s">
        <v>1375</v>
      </c>
      <c r="AL99" s="80"/>
      <c r="AM99" s="99" t="s">
        <v>1376</v>
      </c>
      <c r="AN99" s="99"/>
      <c r="AO99" s="80" t="s">
        <v>1377</v>
      </c>
      <c r="AP99" s="80"/>
      <c r="AQ99" s="80" t="s">
        <v>1378</v>
      </c>
      <c r="AR99" s="80"/>
      <c r="AS99" s="80"/>
      <c r="AT99" s="80"/>
      <c r="AU99" s="80" t="s">
        <v>1379</v>
      </c>
      <c r="AV99" s="80"/>
      <c r="AW99" s="80"/>
      <c r="AX99" s="80"/>
      <c r="AY99" s="80"/>
      <c r="AZ99" s="80"/>
      <c r="BA99" s="80"/>
      <c r="BB99" s="80"/>
      <c r="BC99" s="80"/>
      <c r="BD99" s="80"/>
      <c r="BE99" s="80"/>
      <c r="BF99" s="80"/>
      <c r="BG99" s="80"/>
      <c r="BH99" s="80"/>
      <c r="BI99" s="80"/>
      <c r="BJ99" s="80"/>
      <c r="BK99" s="80"/>
      <c r="BL99" s="80"/>
      <c r="BM99" s="80"/>
      <c r="BN99" s="80"/>
      <c r="BO99" s="80"/>
      <c r="BP99" s="80"/>
      <c r="BQ99" s="80"/>
      <c r="BR99" s="80"/>
      <c r="BS99" s="80"/>
      <c r="BT99" s="80"/>
    </row>
    <row r="100" spans="1:72" s="144" customFormat="1" ht="25.15" customHeight="1" outlineLevel="1" x14ac:dyDescent="0.25">
      <c r="A100" s="9" t="s">
        <v>202</v>
      </c>
      <c r="B100" s="98" t="s">
        <v>1139</v>
      </c>
      <c r="C100" s="1" t="s">
        <v>1150</v>
      </c>
      <c r="D100" s="80"/>
      <c r="E100" s="80" t="s">
        <v>33</v>
      </c>
      <c r="F100" s="80" t="s">
        <v>34</v>
      </c>
      <c r="G100" s="80" t="s">
        <v>455</v>
      </c>
      <c r="H100" s="80" t="s">
        <v>29</v>
      </c>
      <c r="I100" s="80" t="s">
        <v>7</v>
      </c>
      <c r="J100" s="1"/>
      <c r="K100" s="80" t="s">
        <v>30</v>
      </c>
      <c r="L100" s="1"/>
      <c r="M100" s="80" t="s">
        <v>1373</v>
      </c>
      <c r="N100" s="80" t="s">
        <v>456</v>
      </c>
      <c r="O100" s="80">
        <v>4118</v>
      </c>
      <c r="P100" s="80">
        <v>2054</v>
      </c>
      <c r="Q100" s="80">
        <v>2200</v>
      </c>
      <c r="R100" s="80"/>
      <c r="S100" s="80">
        <v>3352</v>
      </c>
      <c r="T100" s="80">
        <v>2200</v>
      </c>
      <c r="U100" s="80">
        <v>7073</v>
      </c>
      <c r="V100" s="80">
        <v>1060</v>
      </c>
      <c r="W100" s="80">
        <v>4100</v>
      </c>
      <c r="X100" s="80">
        <v>1925</v>
      </c>
      <c r="Y100" s="80"/>
      <c r="Z100" s="80">
        <v>8</v>
      </c>
      <c r="AA100" s="80" t="s">
        <v>36</v>
      </c>
      <c r="AB100" s="80">
        <v>7200</v>
      </c>
      <c r="AC100" s="80">
        <v>3365</v>
      </c>
      <c r="AD100" s="80"/>
      <c r="AE100" s="80"/>
      <c r="AF100" s="80"/>
      <c r="AG100" s="80"/>
      <c r="AH100" s="80" t="s">
        <v>457</v>
      </c>
      <c r="AI100" s="80" t="s">
        <v>1374</v>
      </c>
      <c r="AJ100" s="80"/>
      <c r="AK100" s="80" t="s">
        <v>1375</v>
      </c>
      <c r="AL100" s="80"/>
      <c r="AM100" s="99" t="s">
        <v>1376</v>
      </c>
      <c r="AN100" s="99"/>
      <c r="AO100" s="80" t="s">
        <v>1380</v>
      </c>
      <c r="AP100" s="80"/>
      <c r="AQ100" s="80" t="s">
        <v>1378</v>
      </c>
      <c r="AR100" s="80"/>
      <c r="AS100" s="80" t="s">
        <v>1381</v>
      </c>
      <c r="AT100" s="80"/>
      <c r="AU100" s="80" t="s">
        <v>506</v>
      </c>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row>
    <row r="101" spans="1:72" s="144" customFormat="1" ht="25.15" customHeight="1" outlineLevel="1" x14ac:dyDescent="0.25">
      <c r="A101" s="9" t="s">
        <v>202</v>
      </c>
      <c r="B101" s="98" t="s">
        <v>1139</v>
      </c>
      <c r="C101" s="1" t="s">
        <v>1150</v>
      </c>
      <c r="D101" s="80"/>
      <c r="E101" s="80" t="s">
        <v>33</v>
      </c>
      <c r="F101" s="80" t="s">
        <v>34</v>
      </c>
      <c r="G101" s="80" t="s">
        <v>455</v>
      </c>
      <c r="H101" s="80" t="s">
        <v>32</v>
      </c>
      <c r="I101" s="80"/>
      <c r="J101" s="1"/>
      <c r="K101" s="80" t="s">
        <v>30</v>
      </c>
      <c r="L101" s="1"/>
      <c r="M101" s="80" t="s">
        <v>1373</v>
      </c>
      <c r="N101" s="80" t="s">
        <v>460</v>
      </c>
      <c r="O101" s="80">
        <v>4118</v>
      </c>
      <c r="P101" s="80">
        <v>2054</v>
      </c>
      <c r="Q101" s="80">
        <v>2200</v>
      </c>
      <c r="R101" s="80"/>
      <c r="S101" s="80">
        <v>3352</v>
      </c>
      <c r="T101" s="80">
        <v>2200</v>
      </c>
      <c r="U101" s="80">
        <v>6873</v>
      </c>
      <c r="V101" s="80">
        <v>1060</v>
      </c>
      <c r="W101" s="80">
        <v>4100</v>
      </c>
      <c r="X101" s="80">
        <v>1725</v>
      </c>
      <c r="Y101" s="80"/>
      <c r="Z101" s="80"/>
      <c r="AA101" s="80" t="s">
        <v>1282</v>
      </c>
      <c r="AB101" s="80">
        <v>7200</v>
      </c>
      <c r="AC101" s="80">
        <v>3475</v>
      </c>
      <c r="AD101" s="80"/>
      <c r="AE101" s="80"/>
      <c r="AF101" s="80"/>
      <c r="AG101" s="80"/>
      <c r="AH101" s="80" t="s">
        <v>457</v>
      </c>
      <c r="AI101" s="80" t="s">
        <v>1374</v>
      </c>
      <c r="AJ101" s="80"/>
      <c r="AK101" s="80" t="s">
        <v>1375</v>
      </c>
      <c r="AL101" s="80"/>
      <c r="AM101" s="99" t="s">
        <v>1376</v>
      </c>
      <c r="AN101" s="99"/>
      <c r="AO101" s="80" t="s">
        <v>1382</v>
      </c>
      <c r="AP101" s="80"/>
      <c r="AQ101" s="80" t="s">
        <v>1378</v>
      </c>
      <c r="AR101" s="80"/>
      <c r="AS101" s="80"/>
      <c r="AT101" s="80"/>
      <c r="AU101" s="80" t="s">
        <v>1383</v>
      </c>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row>
    <row r="102" spans="1:72" s="144" customFormat="1" ht="25.15" customHeight="1" outlineLevel="1" x14ac:dyDescent="0.25">
      <c r="A102" s="9" t="s">
        <v>202</v>
      </c>
      <c r="B102" s="98" t="s">
        <v>1139</v>
      </c>
      <c r="C102" s="1" t="s">
        <v>1150</v>
      </c>
      <c r="D102" s="80"/>
      <c r="E102" s="80" t="s">
        <v>33</v>
      </c>
      <c r="F102" s="80" t="s">
        <v>34</v>
      </c>
      <c r="G102" s="80" t="s">
        <v>455</v>
      </c>
      <c r="H102" s="80" t="s">
        <v>12</v>
      </c>
      <c r="I102" s="80"/>
      <c r="J102" s="1"/>
      <c r="K102" s="80" t="s">
        <v>30</v>
      </c>
      <c r="L102" s="1"/>
      <c r="M102" s="80" t="s">
        <v>1373</v>
      </c>
      <c r="N102" s="80" t="s">
        <v>451</v>
      </c>
      <c r="O102" s="80">
        <v>4118</v>
      </c>
      <c r="P102" s="80">
        <v>2054</v>
      </c>
      <c r="Q102" s="80">
        <v>2200</v>
      </c>
      <c r="R102" s="80"/>
      <c r="S102" s="80">
        <v>3352</v>
      </c>
      <c r="T102" s="80">
        <v>2200</v>
      </c>
      <c r="U102" s="80">
        <v>6873</v>
      </c>
      <c r="V102" s="80">
        <v>1060</v>
      </c>
      <c r="W102" s="80">
        <v>4100</v>
      </c>
      <c r="X102" s="80">
        <v>1725</v>
      </c>
      <c r="Y102" s="80"/>
      <c r="Z102" s="80">
        <v>7</v>
      </c>
      <c r="AA102" s="80" t="s">
        <v>1290</v>
      </c>
      <c r="AB102" s="80">
        <v>7200</v>
      </c>
      <c r="AC102" s="80">
        <v>3435</v>
      </c>
      <c r="AD102" s="80"/>
      <c r="AE102" s="80"/>
      <c r="AF102" s="80"/>
      <c r="AG102" s="80"/>
      <c r="AH102" s="80" t="s">
        <v>457</v>
      </c>
      <c r="AI102" s="80" t="s">
        <v>1374</v>
      </c>
      <c r="AJ102" s="80"/>
      <c r="AK102" s="80" t="s">
        <v>1375</v>
      </c>
      <c r="AL102" s="80"/>
      <c r="AM102" s="99" t="s">
        <v>1376</v>
      </c>
      <c r="AN102" s="99"/>
      <c r="AO102" s="80" t="s">
        <v>1384</v>
      </c>
      <c r="AP102" s="80"/>
      <c r="AQ102" s="80" t="s">
        <v>1385</v>
      </c>
      <c r="AR102" s="80"/>
      <c r="AS102" s="80"/>
      <c r="AT102" s="80"/>
      <c r="AU102" s="80" t="s">
        <v>458</v>
      </c>
      <c r="AV102" s="80"/>
      <c r="AW102" s="80"/>
      <c r="AX102" s="80"/>
      <c r="AY102" s="80"/>
      <c r="AZ102" s="80"/>
      <c r="BA102" s="80"/>
      <c r="BB102" s="80"/>
      <c r="BC102" s="80"/>
      <c r="BD102" s="80"/>
      <c r="BE102" s="80"/>
      <c r="BF102" s="80"/>
      <c r="BG102" s="80"/>
      <c r="BH102" s="80"/>
      <c r="BI102" s="80"/>
      <c r="BJ102" s="80"/>
      <c r="BK102" s="80"/>
      <c r="BL102" s="80"/>
      <c r="BM102" s="80"/>
      <c r="BN102" s="80"/>
      <c r="BO102" s="80"/>
      <c r="BP102" s="80"/>
      <c r="BQ102" s="80"/>
      <c r="BR102" s="80"/>
      <c r="BS102" s="80"/>
      <c r="BT102" s="80"/>
    </row>
    <row r="103" spans="1:72" s="144" customFormat="1" ht="25.15" customHeight="1" outlineLevel="1" x14ac:dyDescent="0.25">
      <c r="A103" s="9" t="s">
        <v>202</v>
      </c>
      <c r="B103" s="98" t="s">
        <v>1139</v>
      </c>
      <c r="C103" s="1" t="s">
        <v>1150</v>
      </c>
      <c r="D103" s="80"/>
      <c r="E103" s="80" t="s">
        <v>33</v>
      </c>
      <c r="F103" s="80" t="s">
        <v>34</v>
      </c>
      <c r="G103" s="80" t="s">
        <v>455</v>
      </c>
      <c r="H103" s="80" t="s">
        <v>29</v>
      </c>
      <c r="I103" s="80"/>
      <c r="J103" s="1"/>
      <c r="K103" s="80" t="s">
        <v>30</v>
      </c>
      <c r="L103" s="1"/>
      <c r="M103" s="80" t="s">
        <v>1386</v>
      </c>
      <c r="N103" s="80" t="s">
        <v>31</v>
      </c>
      <c r="O103" s="80">
        <v>4118</v>
      </c>
      <c r="P103" s="80">
        <v>2054</v>
      </c>
      <c r="Q103" s="80">
        <v>2200</v>
      </c>
      <c r="R103" s="80"/>
      <c r="S103" s="80">
        <v>3352</v>
      </c>
      <c r="T103" s="80">
        <v>2200</v>
      </c>
      <c r="U103" s="80">
        <v>6873</v>
      </c>
      <c r="V103" s="80">
        <v>1060</v>
      </c>
      <c r="W103" s="80">
        <v>4100</v>
      </c>
      <c r="X103" s="80">
        <v>1725</v>
      </c>
      <c r="Y103" s="80"/>
      <c r="Z103" s="80">
        <v>8</v>
      </c>
      <c r="AA103" s="80" t="s">
        <v>503</v>
      </c>
      <c r="AB103" s="80">
        <v>7200</v>
      </c>
      <c r="AC103" s="80">
        <v>3610</v>
      </c>
      <c r="AD103" s="80"/>
      <c r="AE103" s="80"/>
      <c r="AF103" s="80"/>
      <c r="AG103" s="80"/>
      <c r="AH103" s="80" t="s">
        <v>457</v>
      </c>
      <c r="AI103" s="80" t="s">
        <v>1374</v>
      </c>
      <c r="AJ103" s="80"/>
      <c r="AK103" s="80" t="s">
        <v>1387</v>
      </c>
      <c r="AL103" s="80"/>
      <c r="AM103" s="99" t="s">
        <v>1376</v>
      </c>
      <c r="AN103" s="99"/>
      <c r="AO103" s="80" t="s">
        <v>1377</v>
      </c>
      <c r="AP103" s="80"/>
      <c r="AQ103" s="80" t="s">
        <v>1378</v>
      </c>
      <c r="AR103" s="80"/>
      <c r="AS103" s="80"/>
      <c r="AT103" s="80"/>
      <c r="AU103" s="80" t="s">
        <v>1379</v>
      </c>
      <c r="AV103" s="80"/>
      <c r="AW103" s="80"/>
      <c r="AX103" s="80"/>
      <c r="AY103" s="80"/>
      <c r="AZ103" s="80"/>
      <c r="BA103" s="80"/>
      <c r="BB103" s="80"/>
      <c r="BC103" s="80"/>
      <c r="BD103" s="80"/>
      <c r="BE103" s="80"/>
      <c r="BF103" s="80"/>
      <c r="BG103" s="80"/>
      <c r="BH103" s="80"/>
      <c r="BI103" s="80"/>
      <c r="BJ103" s="80"/>
      <c r="BK103" s="80"/>
      <c r="BL103" s="80"/>
      <c r="BM103" s="80"/>
      <c r="BN103" s="80"/>
      <c r="BO103" s="80"/>
      <c r="BP103" s="80"/>
      <c r="BQ103" s="80"/>
      <c r="BR103" s="80"/>
      <c r="BS103" s="80"/>
      <c r="BT103" s="80"/>
    </row>
    <row r="104" spans="1:72" s="144" customFormat="1" ht="25.15" customHeight="1" outlineLevel="1" x14ac:dyDescent="0.25">
      <c r="A104" s="9" t="s">
        <v>202</v>
      </c>
      <c r="B104" s="98" t="s">
        <v>1139</v>
      </c>
      <c r="C104" s="1" t="s">
        <v>1150</v>
      </c>
      <c r="D104" s="80"/>
      <c r="E104" s="80" t="s">
        <v>33</v>
      </c>
      <c r="F104" s="80" t="s">
        <v>34</v>
      </c>
      <c r="G104" s="80" t="s">
        <v>455</v>
      </c>
      <c r="H104" s="80" t="s">
        <v>29</v>
      </c>
      <c r="I104" s="80" t="s">
        <v>7</v>
      </c>
      <c r="J104" s="1"/>
      <c r="K104" s="80" t="s">
        <v>30</v>
      </c>
      <c r="L104" s="1"/>
      <c r="M104" s="80" t="s">
        <v>1386</v>
      </c>
      <c r="N104" s="80" t="s">
        <v>456</v>
      </c>
      <c r="O104" s="80">
        <v>4118</v>
      </c>
      <c r="P104" s="80">
        <v>2054</v>
      </c>
      <c r="Q104" s="80">
        <v>2200</v>
      </c>
      <c r="R104" s="80"/>
      <c r="S104" s="80">
        <v>3352</v>
      </c>
      <c r="T104" s="80">
        <v>2200</v>
      </c>
      <c r="U104" s="80">
        <v>7073</v>
      </c>
      <c r="V104" s="80">
        <v>1060</v>
      </c>
      <c r="W104" s="80">
        <v>4100</v>
      </c>
      <c r="X104" s="80">
        <v>1925</v>
      </c>
      <c r="Y104" s="80"/>
      <c r="Z104" s="80">
        <v>8</v>
      </c>
      <c r="AA104" s="80" t="s">
        <v>36</v>
      </c>
      <c r="AB104" s="80">
        <v>7200</v>
      </c>
      <c r="AC104" s="80">
        <v>3365</v>
      </c>
      <c r="AD104" s="80"/>
      <c r="AE104" s="80"/>
      <c r="AF104" s="80"/>
      <c r="AG104" s="80"/>
      <c r="AH104" s="80" t="s">
        <v>457</v>
      </c>
      <c r="AI104" s="80" t="s">
        <v>1374</v>
      </c>
      <c r="AJ104" s="80"/>
      <c r="AK104" s="80" t="s">
        <v>1387</v>
      </c>
      <c r="AL104" s="80"/>
      <c r="AM104" s="99" t="s">
        <v>1376</v>
      </c>
      <c r="AN104" s="99"/>
      <c r="AO104" s="80" t="s">
        <v>1380</v>
      </c>
      <c r="AP104" s="80"/>
      <c r="AQ104" s="80" t="s">
        <v>1378</v>
      </c>
      <c r="AR104" s="80"/>
      <c r="AS104" s="80" t="s">
        <v>1381</v>
      </c>
      <c r="AT104" s="80"/>
      <c r="AU104" s="80" t="s">
        <v>506</v>
      </c>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row>
    <row r="105" spans="1:72" s="144" customFormat="1" ht="25.15" customHeight="1" outlineLevel="1" x14ac:dyDescent="0.25">
      <c r="A105" s="9" t="s">
        <v>202</v>
      </c>
      <c r="B105" s="98" t="s">
        <v>1139</v>
      </c>
      <c r="C105" s="1" t="s">
        <v>1150</v>
      </c>
      <c r="D105" s="80"/>
      <c r="E105" s="80" t="s">
        <v>33</v>
      </c>
      <c r="F105" s="80" t="s">
        <v>34</v>
      </c>
      <c r="G105" s="80" t="s">
        <v>455</v>
      </c>
      <c r="H105" s="80" t="s">
        <v>32</v>
      </c>
      <c r="I105" s="80"/>
      <c r="J105" s="1"/>
      <c r="K105" s="80" t="s">
        <v>30</v>
      </c>
      <c r="L105" s="1"/>
      <c r="M105" s="80" t="s">
        <v>1386</v>
      </c>
      <c r="N105" s="80" t="s">
        <v>460</v>
      </c>
      <c r="O105" s="80">
        <v>4118</v>
      </c>
      <c r="P105" s="80">
        <v>2054</v>
      </c>
      <c r="Q105" s="80">
        <v>2200</v>
      </c>
      <c r="R105" s="80"/>
      <c r="S105" s="80">
        <v>3352</v>
      </c>
      <c r="T105" s="80">
        <v>2200</v>
      </c>
      <c r="U105" s="80">
        <v>6873</v>
      </c>
      <c r="V105" s="80">
        <v>1060</v>
      </c>
      <c r="W105" s="80">
        <v>4100</v>
      </c>
      <c r="X105" s="80">
        <v>1725</v>
      </c>
      <c r="Y105" s="80"/>
      <c r="Z105" s="80"/>
      <c r="AA105" s="80" t="s">
        <v>1282</v>
      </c>
      <c r="AB105" s="80">
        <v>7200</v>
      </c>
      <c r="AC105" s="80">
        <v>3475</v>
      </c>
      <c r="AD105" s="80"/>
      <c r="AE105" s="80"/>
      <c r="AF105" s="80"/>
      <c r="AG105" s="80"/>
      <c r="AH105" s="80" t="s">
        <v>457</v>
      </c>
      <c r="AI105" s="80" t="s">
        <v>1374</v>
      </c>
      <c r="AJ105" s="80"/>
      <c r="AK105" s="80" t="s">
        <v>1387</v>
      </c>
      <c r="AL105" s="80"/>
      <c r="AM105" s="99" t="s">
        <v>1376</v>
      </c>
      <c r="AN105" s="99"/>
      <c r="AO105" s="80" t="s">
        <v>1382</v>
      </c>
      <c r="AP105" s="80"/>
      <c r="AQ105" s="80" t="s">
        <v>1378</v>
      </c>
      <c r="AR105" s="80"/>
      <c r="AS105" s="80"/>
      <c r="AT105" s="80"/>
      <c r="AU105" s="80" t="s">
        <v>1383</v>
      </c>
      <c r="AV105" s="80"/>
      <c r="AW105" s="80"/>
      <c r="AX105" s="80"/>
      <c r="AY105" s="80"/>
      <c r="AZ105" s="80"/>
      <c r="BA105" s="80"/>
      <c r="BB105" s="80"/>
      <c r="BC105" s="80"/>
      <c r="BD105" s="80"/>
      <c r="BE105" s="80"/>
      <c r="BF105" s="80"/>
      <c r="BG105" s="80"/>
      <c r="BH105" s="80"/>
      <c r="BI105" s="80"/>
      <c r="BJ105" s="80"/>
      <c r="BK105" s="80"/>
      <c r="BL105" s="80"/>
      <c r="BM105" s="80"/>
      <c r="BN105" s="80"/>
      <c r="BO105" s="80"/>
      <c r="BP105" s="80"/>
      <c r="BQ105" s="80"/>
      <c r="BR105" s="80"/>
      <c r="BS105" s="80"/>
      <c r="BT105" s="80"/>
    </row>
    <row r="106" spans="1:72" s="144" customFormat="1" ht="25.15" customHeight="1" outlineLevel="1" x14ac:dyDescent="0.25">
      <c r="A106" s="9" t="s">
        <v>202</v>
      </c>
      <c r="B106" s="98" t="s">
        <v>1139</v>
      </c>
      <c r="C106" s="1" t="s">
        <v>1150</v>
      </c>
      <c r="D106" s="80"/>
      <c r="E106" s="80" t="s">
        <v>33</v>
      </c>
      <c r="F106" s="80" t="s">
        <v>34</v>
      </c>
      <c r="G106" s="80" t="s">
        <v>455</v>
      </c>
      <c r="H106" s="80" t="s">
        <v>12</v>
      </c>
      <c r="I106" s="80"/>
      <c r="J106" s="1"/>
      <c r="K106" s="80" t="s">
        <v>30</v>
      </c>
      <c r="L106" s="1"/>
      <c r="M106" s="80" t="s">
        <v>1386</v>
      </c>
      <c r="N106" s="80" t="s">
        <v>451</v>
      </c>
      <c r="O106" s="80">
        <v>4118</v>
      </c>
      <c r="P106" s="80">
        <v>2054</v>
      </c>
      <c r="Q106" s="80">
        <v>2200</v>
      </c>
      <c r="R106" s="80"/>
      <c r="S106" s="80">
        <v>3352</v>
      </c>
      <c r="T106" s="80">
        <v>2200</v>
      </c>
      <c r="U106" s="80">
        <v>6873</v>
      </c>
      <c r="V106" s="80">
        <v>1060</v>
      </c>
      <c r="W106" s="80">
        <v>4100</v>
      </c>
      <c r="X106" s="80">
        <v>1725</v>
      </c>
      <c r="Y106" s="80"/>
      <c r="Z106" s="80">
        <v>7</v>
      </c>
      <c r="AA106" s="80" t="s">
        <v>1290</v>
      </c>
      <c r="AB106" s="80">
        <v>7200</v>
      </c>
      <c r="AC106" s="80">
        <v>3435</v>
      </c>
      <c r="AD106" s="80"/>
      <c r="AE106" s="80"/>
      <c r="AF106" s="80"/>
      <c r="AG106" s="80"/>
      <c r="AH106" s="80" t="s">
        <v>457</v>
      </c>
      <c r="AI106" s="80" t="s">
        <v>1374</v>
      </c>
      <c r="AJ106" s="80"/>
      <c r="AK106" s="80" t="s">
        <v>1387</v>
      </c>
      <c r="AL106" s="80"/>
      <c r="AM106" s="99" t="s">
        <v>1376</v>
      </c>
      <c r="AN106" s="99"/>
      <c r="AO106" s="80" t="s">
        <v>1384</v>
      </c>
      <c r="AP106" s="80"/>
      <c r="AQ106" s="80" t="s">
        <v>1385</v>
      </c>
      <c r="AR106" s="80"/>
      <c r="AS106" s="80"/>
      <c r="AT106" s="80"/>
      <c r="AU106" s="80" t="s">
        <v>458</v>
      </c>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row>
    <row r="107" spans="1:72" s="144" customFormat="1" ht="25.15" customHeight="1" outlineLevel="1" x14ac:dyDescent="0.25">
      <c r="A107" s="9" t="s">
        <v>202</v>
      </c>
      <c r="B107" s="98" t="s">
        <v>1139</v>
      </c>
      <c r="C107" s="1" t="s">
        <v>1150</v>
      </c>
      <c r="D107" s="80"/>
      <c r="E107" s="80" t="s">
        <v>33</v>
      </c>
      <c r="F107" s="80" t="s">
        <v>1341</v>
      </c>
      <c r="G107" s="80" t="s">
        <v>455</v>
      </c>
      <c r="H107" s="80" t="s">
        <v>29</v>
      </c>
      <c r="I107" s="80"/>
      <c r="J107" s="1"/>
      <c r="K107" s="80" t="s">
        <v>30</v>
      </c>
      <c r="L107" s="1"/>
      <c r="M107" s="80" t="s">
        <v>1388</v>
      </c>
      <c r="N107" s="80" t="s">
        <v>31</v>
      </c>
      <c r="O107" s="80">
        <v>4118</v>
      </c>
      <c r="P107" s="80">
        <v>2054</v>
      </c>
      <c r="Q107" s="80">
        <v>2200</v>
      </c>
      <c r="R107" s="80"/>
      <c r="S107" s="80">
        <v>3372</v>
      </c>
      <c r="T107" s="80">
        <v>2200</v>
      </c>
      <c r="U107" s="80">
        <v>6873</v>
      </c>
      <c r="V107" s="80">
        <v>1080</v>
      </c>
      <c r="W107" s="80">
        <v>4100</v>
      </c>
      <c r="X107" s="80">
        <v>1725</v>
      </c>
      <c r="Y107" s="80"/>
      <c r="Z107" s="80">
        <v>8</v>
      </c>
      <c r="AA107" s="80" t="s">
        <v>1389</v>
      </c>
      <c r="AB107" s="80">
        <v>7200</v>
      </c>
      <c r="AC107" s="80">
        <v>3075</v>
      </c>
      <c r="AD107" s="80"/>
      <c r="AE107" s="80"/>
      <c r="AF107" s="80"/>
      <c r="AG107" s="80"/>
      <c r="AH107" s="80">
        <v>18.5</v>
      </c>
      <c r="AI107" s="80" t="s">
        <v>1390</v>
      </c>
      <c r="AJ107" s="80"/>
      <c r="AK107" s="80" t="s">
        <v>1391</v>
      </c>
      <c r="AL107" s="80"/>
      <c r="AM107" s="80" t="s">
        <v>1392</v>
      </c>
      <c r="AN107" s="80"/>
      <c r="AO107" s="80" t="s">
        <v>1393</v>
      </c>
      <c r="AP107" s="80"/>
      <c r="AQ107" s="80" t="s">
        <v>1394</v>
      </c>
      <c r="AR107" s="80"/>
      <c r="AS107" s="80"/>
      <c r="AT107" s="80"/>
      <c r="AU107" s="80" t="s">
        <v>1395</v>
      </c>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row>
    <row r="108" spans="1:72" s="144" customFormat="1" ht="25.15" customHeight="1" outlineLevel="1" x14ac:dyDescent="0.25">
      <c r="A108" s="9" t="s">
        <v>202</v>
      </c>
      <c r="B108" s="98" t="s">
        <v>1139</v>
      </c>
      <c r="C108" s="1" t="s">
        <v>1150</v>
      </c>
      <c r="D108" s="80"/>
      <c r="E108" s="80" t="s">
        <v>33</v>
      </c>
      <c r="F108" s="80" t="s">
        <v>1341</v>
      </c>
      <c r="G108" s="80" t="s">
        <v>455</v>
      </c>
      <c r="H108" s="80" t="s">
        <v>29</v>
      </c>
      <c r="I108" s="80" t="s">
        <v>7</v>
      </c>
      <c r="J108" s="1"/>
      <c r="K108" s="80" t="s">
        <v>30</v>
      </c>
      <c r="L108" s="1"/>
      <c r="M108" s="80" t="s">
        <v>1388</v>
      </c>
      <c r="N108" s="80" t="s">
        <v>456</v>
      </c>
      <c r="O108" s="80">
        <v>4118</v>
      </c>
      <c r="P108" s="80">
        <v>2054</v>
      </c>
      <c r="Q108" s="80">
        <v>2200</v>
      </c>
      <c r="R108" s="80"/>
      <c r="S108" s="80">
        <v>3372</v>
      </c>
      <c r="T108" s="80">
        <v>2200</v>
      </c>
      <c r="U108" s="80">
        <v>7073</v>
      </c>
      <c r="V108" s="80">
        <v>1080</v>
      </c>
      <c r="W108" s="80">
        <v>4100</v>
      </c>
      <c r="X108" s="80">
        <v>1925</v>
      </c>
      <c r="Y108" s="80"/>
      <c r="Z108" s="80">
        <v>8</v>
      </c>
      <c r="AA108" s="80" t="s">
        <v>1396</v>
      </c>
      <c r="AB108" s="80">
        <v>7200</v>
      </c>
      <c r="AC108" s="80">
        <v>2830</v>
      </c>
      <c r="AD108" s="80"/>
      <c r="AE108" s="80"/>
      <c r="AF108" s="80"/>
      <c r="AG108" s="80"/>
      <c r="AH108" s="80">
        <v>18.5</v>
      </c>
      <c r="AI108" s="80" t="s">
        <v>1390</v>
      </c>
      <c r="AJ108" s="80"/>
      <c r="AK108" s="80" t="s">
        <v>1391</v>
      </c>
      <c r="AL108" s="80"/>
      <c r="AM108" s="80" t="s">
        <v>1392</v>
      </c>
      <c r="AN108" s="80"/>
      <c r="AO108" s="80" t="s">
        <v>1397</v>
      </c>
      <c r="AP108" s="80"/>
      <c r="AQ108" s="80" t="s">
        <v>1398</v>
      </c>
      <c r="AR108" s="80"/>
      <c r="AS108" s="80" t="s">
        <v>1381</v>
      </c>
      <c r="AT108" s="80"/>
      <c r="AU108" s="80" t="s">
        <v>1399</v>
      </c>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row>
    <row r="109" spans="1:72" s="144" customFormat="1" ht="25.15" customHeight="1" outlineLevel="1" x14ac:dyDescent="0.25">
      <c r="A109" s="9" t="s">
        <v>202</v>
      </c>
      <c r="B109" s="98" t="s">
        <v>1139</v>
      </c>
      <c r="C109" s="1" t="s">
        <v>1150</v>
      </c>
      <c r="D109" s="80"/>
      <c r="E109" s="80" t="s">
        <v>33</v>
      </c>
      <c r="F109" s="80" t="s">
        <v>37</v>
      </c>
      <c r="G109" s="80" t="s">
        <v>38</v>
      </c>
      <c r="H109" s="80" t="s">
        <v>29</v>
      </c>
      <c r="I109" s="80" t="s">
        <v>7</v>
      </c>
      <c r="J109" s="1"/>
      <c r="K109" s="80" t="s">
        <v>30</v>
      </c>
      <c r="L109" s="1"/>
      <c r="M109" s="80" t="s">
        <v>1400</v>
      </c>
      <c r="N109" s="80" t="s">
        <v>31</v>
      </c>
      <c r="O109" s="80">
        <v>5990</v>
      </c>
      <c r="P109" s="80">
        <v>2254</v>
      </c>
      <c r="Q109" s="80">
        <v>2300</v>
      </c>
      <c r="R109" s="80"/>
      <c r="S109" s="80">
        <v>3500</v>
      </c>
      <c r="T109" s="80">
        <v>2400</v>
      </c>
      <c r="U109" s="80">
        <v>8062</v>
      </c>
      <c r="V109" s="80">
        <v>1085</v>
      </c>
      <c r="W109" s="80">
        <v>4185</v>
      </c>
      <c r="X109" s="80">
        <v>2615</v>
      </c>
      <c r="Y109" s="80"/>
      <c r="Z109" s="80">
        <v>11</v>
      </c>
      <c r="AA109" s="80" t="s">
        <v>312</v>
      </c>
      <c r="AB109" s="80">
        <v>10000</v>
      </c>
      <c r="AC109" s="80">
        <v>3295</v>
      </c>
      <c r="AD109" s="80"/>
      <c r="AE109" s="80"/>
      <c r="AF109" s="80"/>
      <c r="AG109" s="80"/>
      <c r="AH109" s="80" t="s">
        <v>160</v>
      </c>
      <c r="AI109" s="80" t="s">
        <v>1401</v>
      </c>
      <c r="AJ109" s="80"/>
      <c r="AK109" s="80" t="s">
        <v>1402</v>
      </c>
      <c r="AL109" s="80"/>
      <c r="AM109" s="80" t="s">
        <v>1403</v>
      </c>
      <c r="AN109" s="80"/>
      <c r="AO109" s="80" t="s">
        <v>1404</v>
      </c>
      <c r="AP109" s="80"/>
      <c r="AQ109" s="80" t="s">
        <v>1405</v>
      </c>
      <c r="AR109" s="80"/>
      <c r="AS109" s="80" t="s">
        <v>1406</v>
      </c>
      <c r="AT109" s="80"/>
      <c r="AU109" s="80" t="s">
        <v>65</v>
      </c>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row>
    <row r="110" spans="1:72" s="144" customFormat="1" ht="25.15" customHeight="1" outlineLevel="1" x14ac:dyDescent="0.25">
      <c r="A110" s="9" t="s">
        <v>202</v>
      </c>
      <c r="B110" s="98" t="s">
        <v>1139</v>
      </c>
      <c r="C110" s="1" t="s">
        <v>1150</v>
      </c>
      <c r="D110" s="80"/>
      <c r="E110" s="80" t="s">
        <v>33</v>
      </c>
      <c r="F110" s="80" t="s">
        <v>37</v>
      </c>
      <c r="G110" s="80" t="s">
        <v>38</v>
      </c>
      <c r="H110" s="80" t="s">
        <v>12</v>
      </c>
      <c r="I110" s="80" t="s">
        <v>7</v>
      </c>
      <c r="J110" s="1"/>
      <c r="K110" s="80" t="s">
        <v>30</v>
      </c>
      <c r="L110" s="1"/>
      <c r="M110" s="80" t="s">
        <v>1400</v>
      </c>
      <c r="N110" s="80" t="s">
        <v>456</v>
      </c>
      <c r="O110" s="80">
        <v>5990</v>
      </c>
      <c r="P110" s="80">
        <v>2254</v>
      </c>
      <c r="Q110" s="80">
        <v>2300</v>
      </c>
      <c r="R110" s="80"/>
      <c r="S110" s="80">
        <v>3500</v>
      </c>
      <c r="T110" s="80">
        <v>2400</v>
      </c>
      <c r="U110" s="80">
        <v>8062</v>
      </c>
      <c r="V110" s="80">
        <v>1085</v>
      </c>
      <c r="W110" s="80">
        <v>4185</v>
      </c>
      <c r="X110" s="80">
        <v>2615</v>
      </c>
      <c r="Y110" s="80"/>
      <c r="Z110" s="80">
        <v>11</v>
      </c>
      <c r="AA110" s="80" t="s">
        <v>296</v>
      </c>
      <c r="AB110" s="80">
        <v>10000</v>
      </c>
      <c r="AC110" s="80">
        <v>2855</v>
      </c>
      <c r="AD110" s="80"/>
      <c r="AE110" s="80"/>
      <c r="AF110" s="80"/>
      <c r="AG110" s="80"/>
      <c r="AH110" s="80" t="s">
        <v>160</v>
      </c>
      <c r="AI110" s="80" t="s">
        <v>1401</v>
      </c>
      <c r="AJ110" s="80"/>
      <c r="AK110" s="80" t="s">
        <v>1402</v>
      </c>
      <c r="AL110" s="80"/>
      <c r="AM110" s="80" t="s">
        <v>1403</v>
      </c>
      <c r="AN110" s="80"/>
      <c r="AO110" s="80" t="s">
        <v>1407</v>
      </c>
      <c r="AP110" s="80"/>
      <c r="AQ110" s="80" t="s">
        <v>1408</v>
      </c>
      <c r="AR110" s="80"/>
      <c r="AS110" s="80" t="s">
        <v>1406</v>
      </c>
      <c r="AT110" s="80"/>
      <c r="AU110" s="80" t="s">
        <v>66</v>
      </c>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row>
    <row r="111" spans="1:72" s="144" customFormat="1" ht="25.15" customHeight="1" outlineLevel="1" x14ac:dyDescent="0.25">
      <c r="A111" s="9" t="s">
        <v>202</v>
      </c>
      <c r="B111" s="98" t="s">
        <v>1139</v>
      </c>
      <c r="C111" s="1" t="s">
        <v>1150</v>
      </c>
      <c r="D111" s="80"/>
      <c r="E111" s="80" t="s">
        <v>33</v>
      </c>
      <c r="F111" s="80" t="s">
        <v>37</v>
      </c>
      <c r="G111" s="80" t="s">
        <v>38</v>
      </c>
      <c r="H111" s="80" t="s">
        <v>29</v>
      </c>
      <c r="I111" s="80" t="s">
        <v>7</v>
      </c>
      <c r="J111" s="1"/>
      <c r="K111" s="80" t="s">
        <v>30</v>
      </c>
      <c r="L111" s="1"/>
      <c r="M111" s="80" t="s">
        <v>1409</v>
      </c>
      <c r="N111" s="80" t="s">
        <v>31</v>
      </c>
      <c r="O111" s="80">
        <v>5990</v>
      </c>
      <c r="P111" s="80">
        <v>2254</v>
      </c>
      <c r="Q111" s="80">
        <v>2300</v>
      </c>
      <c r="R111" s="80"/>
      <c r="S111" s="80">
        <v>3500</v>
      </c>
      <c r="T111" s="80">
        <v>2400</v>
      </c>
      <c r="U111" s="80">
        <v>8062</v>
      </c>
      <c r="V111" s="80">
        <v>1085</v>
      </c>
      <c r="W111" s="80">
        <v>4185</v>
      </c>
      <c r="X111" s="80">
        <v>2615</v>
      </c>
      <c r="Y111" s="80"/>
      <c r="Z111" s="80">
        <v>11</v>
      </c>
      <c r="AA111" s="80" t="s">
        <v>312</v>
      </c>
      <c r="AB111" s="80">
        <v>10000</v>
      </c>
      <c r="AC111" s="80">
        <v>3295</v>
      </c>
      <c r="AD111" s="80"/>
      <c r="AE111" s="80"/>
      <c r="AF111" s="80"/>
      <c r="AG111" s="80"/>
      <c r="AH111" s="80" t="s">
        <v>160</v>
      </c>
      <c r="AI111" s="80" t="s">
        <v>1401</v>
      </c>
      <c r="AJ111" s="80"/>
      <c r="AK111" s="80" t="s">
        <v>1410</v>
      </c>
      <c r="AL111" s="80"/>
      <c r="AM111" s="80" t="s">
        <v>1403</v>
      </c>
      <c r="AN111" s="80"/>
      <c r="AO111" s="80" t="s">
        <v>1404</v>
      </c>
      <c r="AP111" s="80"/>
      <c r="AQ111" s="80" t="s">
        <v>1405</v>
      </c>
      <c r="AR111" s="80"/>
      <c r="AS111" s="80" t="s">
        <v>1406</v>
      </c>
      <c r="AT111" s="80"/>
      <c r="AU111" s="80" t="s">
        <v>65</v>
      </c>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row>
    <row r="112" spans="1:72" s="144" customFormat="1" ht="25.15" customHeight="1" outlineLevel="1" x14ac:dyDescent="0.25">
      <c r="A112" s="9" t="s">
        <v>202</v>
      </c>
      <c r="B112" s="98" t="s">
        <v>1139</v>
      </c>
      <c r="C112" s="1" t="s">
        <v>1150</v>
      </c>
      <c r="D112" s="80"/>
      <c r="E112" s="80" t="s">
        <v>33</v>
      </c>
      <c r="F112" s="80" t="s">
        <v>37</v>
      </c>
      <c r="G112" s="80" t="s">
        <v>38</v>
      </c>
      <c r="H112" s="80" t="s">
        <v>12</v>
      </c>
      <c r="I112" s="80" t="s">
        <v>7</v>
      </c>
      <c r="J112" s="1"/>
      <c r="K112" s="80" t="s">
        <v>30</v>
      </c>
      <c r="L112" s="1"/>
      <c r="M112" s="80" t="s">
        <v>1409</v>
      </c>
      <c r="N112" s="80" t="s">
        <v>456</v>
      </c>
      <c r="O112" s="80">
        <v>5990</v>
      </c>
      <c r="P112" s="80">
        <v>2254</v>
      </c>
      <c r="Q112" s="80">
        <v>2300</v>
      </c>
      <c r="R112" s="80"/>
      <c r="S112" s="80">
        <v>3500</v>
      </c>
      <c r="T112" s="80">
        <v>2400</v>
      </c>
      <c r="U112" s="80">
        <v>8062</v>
      </c>
      <c r="V112" s="80">
        <v>1085</v>
      </c>
      <c r="W112" s="80">
        <v>4185</v>
      </c>
      <c r="X112" s="80">
        <v>2615</v>
      </c>
      <c r="Y112" s="80"/>
      <c r="Z112" s="80">
        <v>11</v>
      </c>
      <c r="AA112" s="80" t="s">
        <v>296</v>
      </c>
      <c r="AB112" s="80">
        <v>10000</v>
      </c>
      <c r="AC112" s="80">
        <v>2855</v>
      </c>
      <c r="AD112" s="80"/>
      <c r="AE112" s="80"/>
      <c r="AF112" s="80"/>
      <c r="AG112" s="80"/>
      <c r="AH112" s="80" t="s">
        <v>160</v>
      </c>
      <c r="AI112" s="80" t="s">
        <v>1401</v>
      </c>
      <c r="AJ112" s="80"/>
      <c r="AK112" s="80" t="s">
        <v>1410</v>
      </c>
      <c r="AL112" s="80"/>
      <c r="AM112" s="80" t="s">
        <v>1403</v>
      </c>
      <c r="AN112" s="80"/>
      <c r="AO112" s="80" t="s">
        <v>1407</v>
      </c>
      <c r="AP112" s="80"/>
      <c r="AQ112" s="80" t="s">
        <v>1408</v>
      </c>
      <c r="AR112" s="80"/>
      <c r="AS112" s="80" t="s">
        <v>1406</v>
      </c>
      <c r="AT112" s="80"/>
      <c r="AU112" s="80" t="s">
        <v>66</v>
      </c>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row>
    <row r="113" spans="1:72" s="144" customFormat="1" ht="25.15" customHeight="1" outlineLevel="1" x14ac:dyDescent="0.25">
      <c r="A113" s="9" t="s">
        <v>202</v>
      </c>
      <c r="B113" s="98" t="s">
        <v>1139</v>
      </c>
      <c r="C113" s="1" t="s">
        <v>1150</v>
      </c>
      <c r="D113" s="80"/>
      <c r="E113" s="80" t="s">
        <v>33</v>
      </c>
      <c r="F113" s="80" t="s">
        <v>37</v>
      </c>
      <c r="G113" s="80" t="s">
        <v>38</v>
      </c>
      <c r="H113" s="80" t="s">
        <v>32</v>
      </c>
      <c r="I113" s="80" t="s">
        <v>7</v>
      </c>
      <c r="J113" s="1"/>
      <c r="K113" s="80" t="s">
        <v>30</v>
      </c>
      <c r="L113" s="1"/>
      <c r="M113" s="80" t="s">
        <v>1409</v>
      </c>
      <c r="N113" s="80" t="s">
        <v>460</v>
      </c>
      <c r="O113" s="80">
        <v>5990</v>
      </c>
      <c r="P113" s="80">
        <v>2254</v>
      </c>
      <c r="Q113" s="80">
        <v>2400</v>
      </c>
      <c r="R113" s="80"/>
      <c r="S113" s="80">
        <v>3610</v>
      </c>
      <c r="T113" s="80">
        <v>2400</v>
      </c>
      <c r="U113" s="80">
        <v>8062</v>
      </c>
      <c r="V113" s="80">
        <v>1085</v>
      </c>
      <c r="W113" s="80">
        <v>4185</v>
      </c>
      <c r="X113" s="80">
        <v>2615</v>
      </c>
      <c r="Y113" s="80"/>
      <c r="Z113" s="80">
        <v>11</v>
      </c>
      <c r="AA113" s="80" t="s">
        <v>1411</v>
      </c>
      <c r="AB113" s="80">
        <v>10000</v>
      </c>
      <c r="AC113" s="80">
        <v>2785</v>
      </c>
      <c r="AD113" s="80"/>
      <c r="AE113" s="80"/>
      <c r="AF113" s="80"/>
      <c r="AG113" s="80"/>
      <c r="AH113" s="80" t="s">
        <v>1412</v>
      </c>
      <c r="AI113" s="80" t="s">
        <v>1401</v>
      </c>
      <c r="AJ113" s="80"/>
      <c r="AK113" s="80" t="s">
        <v>1410</v>
      </c>
      <c r="AL113" s="80"/>
      <c r="AM113" s="80" t="s">
        <v>1403</v>
      </c>
      <c r="AN113" s="80"/>
      <c r="AO113" s="80" t="s">
        <v>1413</v>
      </c>
      <c r="AP113" s="80"/>
      <c r="AQ113" s="80" t="s">
        <v>1414</v>
      </c>
      <c r="AR113" s="80"/>
      <c r="AS113" s="80" t="s">
        <v>1406</v>
      </c>
      <c r="AT113" s="80"/>
      <c r="AU113" s="80" t="s">
        <v>1415</v>
      </c>
      <c r="AV113" s="80"/>
      <c r="AW113" s="80"/>
      <c r="AX113" s="80"/>
      <c r="AY113" s="80"/>
      <c r="AZ113" s="80"/>
      <c r="BA113" s="80"/>
      <c r="BB113" s="80"/>
      <c r="BC113" s="80"/>
      <c r="BD113" s="80"/>
      <c r="BE113" s="80"/>
      <c r="BF113" s="80"/>
      <c r="BG113" s="80"/>
      <c r="BH113" s="80"/>
      <c r="BI113" s="80"/>
      <c r="BJ113" s="80"/>
      <c r="BK113" s="80"/>
      <c r="BL113" s="80"/>
      <c r="BM113" s="80"/>
      <c r="BN113" s="80"/>
      <c r="BO113" s="80"/>
      <c r="BP113" s="80"/>
      <c r="BQ113" s="80"/>
      <c r="BR113" s="80"/>
      <c r="BS113" s="80"/>
      <c r="BT113" s="80"/>
    </row>
    <row r="114" spans="1:72" s="144" customFormat="1" ht="25.15" customHeight="1" outlineLevel="1" x14ac:dyDescent="0.25">
      <c r="A114" s="80" t="s">
        <v>202</v>
      </c>
      <c r="B114" s="98" t="s">
        <v>1139</v>
      </c>
      <c r="C114" s="1" t="s">
        <v>1150</v>
      </c>
      <c r="D114" s="80"/>
      <c r="E114" s="80" t="s">
        <v>33</v>
      </c>
      <c r="F114" s="80" t="s">
        <v>37</v>
      </c>
      <c r="G114" s="80" t="s">
        <v>38</v>
      </c>
      <c r="H114" s="80" t="s">
        <v>29</v>
      </c>
      <c r="I114" s="80" t="s">
        <v>7</v>
      </c>
      <c r="J114" s="1"/>
      <c r="K114" s="80" t="s">
        <v>30</v>
      </c>
      <c r="L114" s="1"/>
      <c r="M114" s="80" t="s">
        <v>1416</v>
      </c>
      <c r="N114" s="80" t="s">
        <v>31</v>
      </c>
      <c r="O114" s="80">
        <v>5990</v>
      </c>
      <c r="P114" s="80">
        <v>2254</v>
      </c>
      <c r="Q114" s="80">
        <v>2300</v>
      </c>
      <c r="R114" s="80"/>
      <c r="S114" s="80">
        <v>3500</v>
      </c>
      <c r="T114" s="80">
        <v>2400</v>
      </c>
      <c r="U114" s="80">
        <v>8062</v>
      </c>
      <c r="V114" s="80">
        <v>1085</v>
      </c>
      <c r="W114" s="80">
        <v>4185</v>
      </c>
      <c r="X114" s="80">
        <v>2615</v>
      </c>
      <c r="Y114" s="80"/>
      <c r="Z114" s="80">
        <v>11</v>
      </c>
      <c r="AA114" s="80" t="s">
        <v>312</v>
      </c>
      <c r="AB114" s="80">
        <v>10000</v>
      </c>
      <c r="AC114" s="80">
        <v>3100</v>
      </c>
      <c r="AD114" s="80"/>
      <c r="AE114" s="80"/>
      <c r="AF114" s="80"/>
      <c r="AG114" s="80"/>
      <c r="AH114" s="80" t="s">
        <v>160</v>
      </c>
      <c r="AI114" s="80" t="s">
        <v>1401</v>
      </c>
      <c r="AJ114" s="80"/>
      <c r="AK114" s="80" t="s">
        <v>1417</v>
      </c>
      <c r="AL114" s="80"/>
      <c r="AM114" s="80" t="s">
        <v>1403</v>
      </c>
      <c r="AN114" s="80"/>
      <c r="AO114" s="80" t="s">
        <v>1404</v>
      </c>
      <c r="AP114" s="80"/>
      <c r="AQ114" s="80" t="s">
        <v>1405</v>
      </c>
      <c r="AR114" s="80"/>
      <c r="AS114" s="80" t="s">
        <v>1406</v>
      </c>
      <c r="AT114" s="80"/>
      <c r="AU114" s="80" t="s">
        <v>65</v>
      </c>
      <c r="AV114" s="80"/>
      <c r="AW114" s="80"/>
      <c r="AX114" s="80"/>
      <c r="AY114" s="80"/>
      <c r="AZ114" s="80"/>
      <c r="BA114" s="80"/>
      <c r="BB114" s="80"/>
      <c r="BC114" s="80"/>
      <c r="BD114" s="80"/>
      <c r="BE114" s="80"/>
      <c r="BF114" s="80"/>
      <c r="BG114" s="80"/>
      <c r="BH114" s="80"/>
      <c r="BI114" s="80"/>
      <c r="BJ114" s="80"/>
      <c r="BK114" s="80"/>
      <c r="BL114" s="80"/>
      <c r="BM114" s="80"/>
      <c r="BN114" s="80"/>
      <c r="BO114" s="80"/>
      <c r="BP114" s="80"/>
      <c r="BQ114" s="80"/>
      <c r="BR114" s="80"/>
      <c r="BS114" s="80"/>
      <c r="BT114" s="80"/>
    </row>
    <row r="115" spans="1:72" s="144" customFormat="1" ht="25.15" customHeight="1" outlineLevel="1" x14ac:dyDescent="0.25">
      <c r="A115" s="80" t="s">
        <v>202</v>
      </c>
      <c r="B115" s="98" t="s">
        <v>1139</v>
      </c>
      <c r="C115" s="1" t="s">
        <v>1150</v>
      </c>
      <c r="D115" s="80"/>
      <c r="E115" s="80" t="s">
        <v>33</v>
      </c>
      <c r="F115" s="80" t="s">
        <v>37</v>
      </c>
      <c r="G115" s="80" t="s">
        <v>38</v>
      </c>
      <c r="H115" s="80" t="s">
        <v>12</v>
      </c>
      <c r="I115" s="80" t="s">
        <v>7</v>
      </c>
      <c r="J115" s="1"/>
      <c r="K115" s="80" t="s">
        <v>30</v>
      </c>
      <c r="L115" s="1"/>
      <c r="M115" s="80" t="s">
        <v>1416</v>
      </c>
      <c r="N115" s="80" t="s">
        <v>456</v>
      </c>
      <c r="O115" s="80">
        <v>5990</v>
      </c>
      <c r="P115" s="80">
        <v>2254</v>
      </c>
      <c r="Q115" s="80">
        <v>2300</v>
      </c>
      <c r="R115" s="80"/>
      <c r="S115" s="80">
        <v>3500</v>
      </c>
      <c r="T115" s="80">
        <v>2400</v>
      </c>
      <c r="U115" s="80">
        <v>8062</v>
      </c>
      <c r="V115" s="80">
        <v>1085</v>
      </c>
      <c r="W115" s="80">
        <v>4185</v>
      </c>
      <c r="X115" s="80">
        <v>2615</v>
      </c>
      <c r="Y115" s="80"/>
      <c r="Z115" s="80">
        <v>11</v>
      </c>
      <c r="AA115" s="80" t="s">
        <v>296</v>
      </c>
      <c r="AB115" s="80">
        <v>10000</v>
      </c>
      <c r="AC115" s="80">
        <v>2660</v>
      </c>
      <c r="AD115" s="80"/>
      <c r="AE115" s="80"/>
      <c r="AF115" s="80"/>
      <c r="AG115" s="80"/>
      <c r="AH115" s="80" t="s">
        <v>160</v>
      </c>
      <c r="AI115" s="80" t="s">
        <v>1401</v>
      </c>
      <c r="AJ115" s="80"/>
      <c r="AK115" s="80" t="s">
        <v>1417</v>
      </c>
      <c r="AL115" s="80"/>
      <c r="AM115" s="80" t="s">
        <v>1403</v>
      </c>
      <c r="AN115" s="80"/>
      <c r="AO115" s="80" t="s">
        <v>1407</v>
      </c>
      <c r="AP115" s="80"/>
      <c r="AQ115" s="80" t="s">
        <v>1408</v>
      </c>
      <c r="AR115" s="80"/>
      <c r="AS115" s="80" t="s">
        <v>1406</v>
      </c>
      <c r="AT115" s="80"/>
      <c r="AU115" s="80" t="s">
        <v>66</v>
      </c>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row>
    <row r="116" spans="1:72" s="144" customFormat="1" ht="25.15" customHeight="1" outlineLevel="1" x14ac:dyDescent="0.25">
      <c r="A116" s="80" t="s">
        <v>202</v>
      </c>
      <c r="B116" s="98" t="s">
        <v>1139</v>
      </c>
      <c r="C116" s="1" t="s">
        <v>1150</v>
      </c>
      <c r="D116" s="80"/>
      <c r="E116" s="80" t="s">
        <v>33</v>
      </c>
      <c r="F116" s="80" t="s">
        <v>37</v>
      </c>
      <c r="G116" s="80" t="s">
        <v>38</v>
      </c>
      <c r="H116" s="80" t="s">
        <v>32</v>
      </c>
      <c r="I116" s="80" t="s">
        <v>7</v>
      </c>
      <c r="J116" s="1"/>
      <c r="K116" s="80" t="s">
        <v>30</v>
      </c>
      <c r="L116" s="1"/>
      <c r="M116" s="80" t="s">
        <v>1416</v>
      </c>
      <c r="N116" s="80" t="s">
        <v>460</v>
      </c>
      <c r="O116" s="80">
        <v>5990</v>
      </c>
      <c r="P116" s="80">
        <v>2254</v>
      </c>
      <c r="Q116" s="80">
        <v>2400</v>
      </c>
      <c r="R116" s="80"/>
      <c r="S116" s="80">
        <v>3610</v>
      </c>
      <c r="T116" s="80">
        <v>2400</v>
      </c>
      <c r="U116" s="80">
        <v>8062</v>
      </c>
      <c r="V116" s="80">
        <v>1085</v>
      </c>
      <c r="W116" s="80">
        <v>4185</v>
      </c>
      <c r="X116" s="80">
        <v>2615</v>
      </c>
      <c r="Y116" s="80"/>
      <c r="Z116" s="80">
        <v>11</v>
      </c>
      <c r="AA116" s="80" t="s">
        <v>1411</v>
      </c>
      <c r="AB116" s="80">
        <v>10000</v>
      </c>
      <c r="AC116" s="80">
        <v>2590</v>
      </c>
      <c r="AD116" s="80"/>
      <c r="AE116" s="80"/>
      <c r="AF116" s="80"/>
      <c r="AG116" s="80"/>
      <c r="AH116" s="80" t="s">
        <v>1412</v>
      </c>
      <c r="AI116" s="80" t="s">
        <v>1401</v>
      </c>
      <c r="AJ116" s="80"/>
      <c r="AK116" s="80" t="s">
        <v>1417</v>
      </c>
      <c r="AL116" s="80"/>
      <c r="AM116" s="80" t="s">
        <v>1403</v>
      </c>
      <c r="AN116" s="80"/>
      <c r="AO116" s="80" t="s">
        <v>1413</v>
      </c>
      <c r="AP116" s="80"/>
      <c r="AQ116" s="80" t="s">
        <v>1408</v>
      </c>
      <c r="AR116" s="80"/>
      <c r="AS116" s="80" t="s">
        <v>1406</v>
      </c>
      <c r="AT116" s="80"/>
      <c r="AU116" s="80" t="s">
        <v>1415</v>
      </c>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row>
    <row r="117" spans="1:72" s="144" customFormat="1" ht="25.15" customHeight="1" outlineLevel="1" x14ac:dyDescent="0.25">
      <c r="A117" s="9" t="s">
        <v>202</v>
      </c>
      <c r="B117" s="98" t="s">
        <v>1139</v>
      </c>
      <c r="C117" s="1" t="s">
        <v>1150</v>
      </c>
      <c r="D117" s="80"/>
      <c r="E117" s="80" t="s">
        <v>33</v>
      </c>
      <c r="F117" s="80" t="s">
        <v>37</v>
      </c>
      <c r="G117" s="80" t="s">
        <v>41</v>
      </c>
      <c r="H117" s="80" t="s">
        <v>29</v>
      </c>
      <c r="I117" s="80" t="s">
        <v>7</v>
      </c>
      <c r="J117" s="1"/>
      <c r="K117" s="80" t="s">
        <v>30</v>
      </c>
      <c r="L117" s="1"/>
      <c r="M117" s="80" t="s">
        <v>1418</v>
      </c>
      <c r="N117" s="80" t="s">
        <v>31</v>
      </c>
      <c r="O117" s="80">
        <v>6590</v>
      </c>
      <c r="P117" s="80">
        <v>2454</v>
      </c>
      <c r="Q117" s="80">
        <v>2400</v>
      </c>
      <c r="R117" s="80"/>
      <c r="S117" s="80">
        <v>3675</v>
      </c>
      <c r="T117" s="80">
        <v>2600</v>
      </c>
      <c r="U117" s="80">
        <v>8772</v>
      </c>
      <c r="V117" s="80">
        <v>1160</v>
      </c>
      <c r="W117" s="80">
        <v>4815</v>
      </c>
      <c r="X117" s="80">
        <v>2595</v>
      </c>
      <c r="Y117" s="80"/>
      <c r="Z117" s="80">
        <v>15</v>
      </c>
      <c r="AA117" s="80" t="s">
        <v>312</v>
      </c>
      <c r="AB117" s="80">
        <v>11990</v>
      </c>
      <c r="AC117" s="80">
        <v>4030</v>
      </c>
      <c r="AD117" s="80"/>
      <c r="AE117" s="80"/>
      <c r="AF117" s="80"/>
      <c r="AG117" s="80"/>
      <c r="AH117" s="80" t="s">
        <v>161</v>
      </c>
      <c r="AI117" s="80" t="s">
        <v>1401</v>
      </c>
      <c r="AJ117" s="80"/>
      <c r="AK117" s="80" t="s">
        <v>1419</v>
      </c>
      <c r="AL117" s="80"/>
      <c r="AM117" s="80" t="s">
        <v>1420</v>
      </c>
      <c r="AN117" s="80"/>
      <c r="AO117" s="80" t="s">
        <v>1421</v>
      </c>
      <c r="AP117" s="80"/>
      <c r="AQ117" s="80" t="s">
        <v>1422</v>
      </c>
      <c r="AR117" s="80"/>
      <c r="AS117" s="80" t="s">
        <v>1423</v>
      </c>
      <c r="AT117" s="80"/>
      <c r="AU117" s="80" t="s">
        <v>67</v>
      </c>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row>
    <row r="118" spans="1:72" s="144" customFormat="1" ht="25.15" customHeight="1" outlineLevel="1" x14ac:dyDescent="0.25">
      <c r="A118" s="9" t="s">
        <v>202</v>
      </c>
      <c r="B118" s="98" t="s">
        <v>1139</v>
      </c>
      <c r="C118" s="1" t="s">
        <v>1150</v>
      </c>
      <c r="D118" s="80"/>
      <c r="E118" s="80" t="s">
        <v>33</v>
      </c>
      <c r="F118" s="80" t="s">
        <v>37</v>
      </c>
      <c r="G118" s="80" t="s">
        <v>41</v>
      </c>
      <c r="H118" s="80" t="s">
        <v>12</v>
      </c>
      <c r="I118" s="80" t="s">
        <v>7</v>
      </c>
      <c r="J118" s="1"/>
      <c r="K118" s="80" t="s">
        <v>30</v>
      </c>
      <c r="L118" s="1"/>
      <c r="M118" s="80" t="s">
        <v>1418</v>
      </c>
      <c r="N118" s="80" t="s">
        <v>456</v>
      </c>
      <c r="O118" s="80">
        <v>6590</v>
      </c>
      <c r="P118" s="80">
        <v>2454</v>
      </c>
      <c r="Q118" s="80">
        <v>2400</v>
      </c>
      <c r="R118" s="80"/>
      <c r="S118" s="80">
        <v>3675</v>
      </c>
      <c r="T118" s="80">
        <v>2600</v>
      </c>
      <c r="U118" s="80">
        <v>8772</v>
      </c>
      <c r="V118" s="80">
        <v>1160</v>
      </c>
      <c r="W118" s="80">
        <v>4815</v>
      </c>
      <c r="X118" s="80">
        <v>2595</v>
      </c>
      <c r="Y118" s="80"/>
      <c r="Z118" s="80">
        <v>15</v>
      </c>
      <c r="AA118" s="80" t="s">
        <v>296</v>
      </c>
      <c r="AB118" s="80">
        <v>11990</v>
      </c>
      <c r="AC118" s="80">
        <v>3585</v>
      </c>
      <c r="AD118" s="80"/>
      <c r="AE118" s="80"/>
      <c r="AF118" s="80"/>
      <c r="AG118" s="80"/>
      <c r="AH118" s="80" t="s">
        <v>161</v>
      </c>
      <c r="AI118" s="80" t="s">
        <v>1401</v>
      </c>
      <c r="AJ118" s="80"/>
      <c r="AK118" s="80" t="s">
        <v>1419</v>
      </c>
      <c r="AL118" s="80"/>
      <c r="AM118" s="80" t="s">
        <v>1420</v>
      </c>
      <c r="AN118" s="80"/>
      <c r="AO118" s="80" t="s">
        <v>1424</v>
      </c>
      <c r="AP118" s="80"/>
      <c r="AQ118" s="80" t="s">
        <v>1425</v>
      </c>
      <c r="AR118" s="80"/>
      <c r="AS118" s="80" t="s">
        <v>1423</v>
      </c>
      <c r="AT118" s="80"/>
      <c r="AU118" s="80" t="s">
        <v>68</v>
      </c>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row>
    <row r="119" spans="1:72" s="144" customFormat="1" ht="25.15" customHeight="1" outlineLevel="1" x14ac:dyDescent="0.25">
      <c r="A119" s="9" t="s">
        <v>202</v>
      </c>
      <c r="B119" s="98" t="s">
        <v>1139</v>
      </c>
      <c r="C119" s="1" t="s">
        <v>1150</v>
      </c>
      <c r="D119" s="80"/>
      <c r="E119" s="80" t="s">
        <v>33</v>
      </c>
      <c r="F119" s="80" t="s">
        <v>37</v>
      </c>
      <c r="G119" s="80" t="s">
        <v>41</v>
      </c>
      <c r="H119" s="80" t="s">
        <v>29</v>
      </c>
      <c r="I119" s="80" t="s">
        <v>7</v>
      </c>
      <c r="J119" s="1"/>
      <c r="K119" s="80" t="s">
        <v>30</v>
      </c>
      <c r="L119" s="1"/>
      <c r="M119" s="80" t="s">
        <v>1426</v>
      </c>
      <c r="N119" s="80" t="s">
        <v>31</v>
      </c>
      <c r="O119" s="80">
        <v>6590</v>
      </c>
      <c r="P119" s="80">
        <v>2454</v>
      </c>
      <c r="Q119" s="80">
        <v>2400</v>
      </c>
      <c r="R119" s="80"/>
      <c r="S119" s="80">
        <v>3675</v>
      </c>
      <c r="T119" s="80">
        <v>2600</v>
      </c>
      <c r="U119" s="80">
        <v>8772</v>
      </c>
      <c r="V119" s="80">
        <v>1160</v>
      </c>
      <c r="W119" s="80">
        <v>4815</v>
      </c>
      <c r="X119" s="80">
        <v>2595</v>
      </c>
      <c r="Y119" s="80"/>
      <c r="Z119" s="80">
        <v>15</v>
      </c>
      <c r="AA119" s="80" t="s">
        <v>312</v>
      </c>
      <c r="AB119" s="80">
        <v>11990</v>
      </c>
      <c r="AC119" s="80">
        <v>4030</v>
      </c>
      <c r="AD119" s="80"/>
      <c r="AE119" s="80"/>
      <c r="AF119" s="80"/>
      <c r="AG119" s="80"/>
      <c r="AH119" s="80" t="s">
        <v>161</v>
      </c>
      <c r="AI119" s="80" t="s">
        <v>1401</v>
      </c>
      <c r="AJ119" s="80"/>
      <c r="AK119" s="80" t="s">
        <v>1427</v>
      </c>
      <c r="AL119" s="80"/>
      <c r="AM119" s="80" t="s">
        <v>1420</v>
      </c>
      <c r="AN119" s="80"/>
      <c r="AO119" s="80" t="s">
        <v>1421</v>
      </c>
      <c r="AP119" s="80"/>
      <c r="AQ119" s="80" t="s">
        <v>1422</v>
      </c>
      <c r="AR119" s="80"/>
      <c r="AS119" s="80" t="s">
        <v>1423</v>
      </c>
      <c r="AT119" s="80"/>
      <c r="AU119" s="80" t="s">
        <v>67</v>
      </c>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row>
    <row r="120" spans="1:72" s="144" customFormat="1" ht="25.15" customHeight="1" outlineLevel="1" x14ac:dyDescent="0.25">
      <c r="A120" s="9" t="s">
        <v>202</v>
      </c>
      <c r="B120" s="98" t="s">
        <v>1139</v>
      </c>
      <c r="C120" s="1" t="s">
        <v>1150</v>
      </c>
      <c r="D120" s="80"/>
      <c r="E120" s="80" t="s">
        <v>33</v>
      </c>
      <c r="F120" s="80" t="s">
        <v>37</v>
      </c>
      <c r="G120" s="80" t="s">
        <v>41</v>
      </c>
      <c r="H120" s="80" t="s">
        <v>12</v>
      </c>
      <c r="I120" s="80" t="s">
        <v>7</v>
      </c>
      <c r="J120" s="1"/>
      <c r="K120" s="80" t="s">
        <v>30</v>
      </c>
      <c r="L120" s="1"/>
      <c r="M120" s="80" t="s">
        <v>1426</v>
      </c>
      <c r="N120" s="80" t="s">
        <v>456</v>
      </c>
      <c r="O120" s="80">
        <v>6590</v>
      </c>
      <c r="P120" s="80">
        <v>2454</v>
      </c>
      <c r="Q120" s="80">
        <v>2400</v>
      </c>
      <c r="R120" s="80"/>
      <c r="S120" s="80">
        <v>3675</v>
      </c>
      <c r="T120" s="80">
        <v>2600</v>
      </c>
      <c r="U120" s="80">
        <v>8772</v>
      </c>
      <c r="V120" s="80">
        <v>1160</v>
      </c>
      <c r="W120" s="80">
        <v>4815</v>
      </c>
      <c r="X120" s="80">
        <v>2595</v>
      </c>
      <c r="Y120" s="80"/>
      <c r="Z120" s="80">
        <v>15</v>
      </c>
      <c r="AA120" s="80" t="s">
        <v>296</v>
      </c>
      <c r="AB120" s="80">
        <v>11990</v>
      </c>
      <c r="AC120" s="80">
        <v>3585</v>
      </c>
      <c r="AD120" s="80"/>
      <c r="AE120" s="80"/>
      <c r="AF120" s="80"/>
      <c r="AG120" s="80"/>
      <c r="AH120" s="80" t="s">
        <v>161</v>
      </c>
      <c r="AI120" s="80" t="s">
        <v>1401</v>
      </c>
      <c r="AJ120" s="80"/>
      <c r="AK120" s="80" t="s">
        <v>1427</v>
      </c>
      <c r="AL120" s="80"/>
      <c r="AM120" s="80" t="s">
        <v>1420</v>
      </c>
      <c r="AN120" s="80"/>
      <c r="AO120" s="80" t="s">
        <v>1424</v>
      </c>
      <c r="AP120" s="80"/>
      <c r="AQ120" s="80" t="s">
        <v>1425</v>
      </c>
      <c r="AR120" s="80"/>
      <c r="AS120" s="80" t="s">
        <v>1423</v>
      </c>
      <c r="AT120" s="80"/>
      <c r="AU120" s="80" t="s">
        <v>68</v>
      </c>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row>
    <row r="121" spans="1:72" s="144" customFormat="1" ht="25.15" customHeight="1" outlineLevel="1" x14ac:dyDescent="0.25">
      <c r="A121" s="9" t="s">
        <v>202</v>
      </c>
      <c r="B121" s="98" t="s">
        <v>1139</v>
      </c>
      <c r="C121" s="1" t="s">
        <v>1150</v>
      </c>
      <c r="D121" s="80"/>
      <c r="E121" s="80" t="s">
        <v>33</v>
      </c>
      <c r="F121" s="80" t="s">
        <v>37</v>
      </c>
      <c r="G121" s="80" t="s">
        <v>41</v>
      </c>
      <c r="H121" s="80" t="s">
        <v>32</v>
      </c>
      <c r="I121" s="80" t="s">
        <v>7</v>
      </c>
      <c r="J121" s="1"/>
      <c r="K121" s="80" t="s">
        <v>30</v>
      </c>
      <c r="L121" s="1"/>
      <c r="M121" s="80" t="s">
        <v>1426</v>
      </c>
      <c r="N121" s="80" t="s">
        <v>460</v>
      </c>
      <c r="O121" s="80">
        <v>6590</v>
      </c>
      <c r="P121" s="80">
        <v>2454</v>
      </c>
      <c r="Q121" s="80">
        <v>2400</v>
      </c>
      <c r="R121" s="80"/>
      <c r="S121" s="80">
        <v>3675</v>
      </c>
      <c r="T121" s="80">
        <v>2600</v>
      </c>
      <c r="U121" s="80">
        <v>8772</v>
      </c>
      <c r="V121" s="80">
        <v>1160</v>
      </c>
      <c r="W121" s="80">
        <v>4815</v>
      </c>
      <c r="X121" s="80">
        <v>2595</v>
      </c>
      <c r="Y121" s="80"/>
      <c r="Z121" s="80">
        <v>15</v>
      </c>
      <c r="AA121" s="80" t="s">
        <v>1411</v>
      </c>
      <c r="AB121" s="80">
        <v>11990</v>
      </c>
      <c r="AC121" s="80">
        <v>3515</v>
      </c>
      <c r="AD121" s="80"/>
      <c r="AE121" s="80"/>
      <c r="AF121" s="80"/>
      <c r="AG121" s="80"/>
      <c r="AH121" s="80" t="s">
        <v>161</v>
      </c>
      <c r="AI121" s="80" t="s">
        <v>1401</v>
      </c>
      <c r="AJ121" s="80"/>
      <c r="AK121" s="80" t="s">
        <v>1427</v>
      </c>
      <c r="AL121" s="80"/>
      <c r="AM121" s="80" t="s">
        <v>1420</v>
      </c>
      <c r="AN121" s="80"/>
      <c r="AO121" s="80" t="s">
        <v>1428</v>
      </c>
      <c r="AP121" s="80"/>
      <c r="AQ121" s="80" t="s">
        <v>1422</v>
      </c>
      <c r="AR121" s="80"/>
      <c r="AS121" s="80" t="s">
        <v>1423</v>
      </c>
      <c r="AT121" s="80"/>
      <c r="AU121" s="80" t="s">
        <v>1429</v>
      </c>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row>
    <row r="122" spans="1:72" s="144" customFormat="1" ht="25.15" customHeight="1" outlineLevel="1" x14ac:dyDescent="0.25">
      <c r="A122" s="9" t="s">
        <v>202</v>
      </c>
      <c r="B122" s="98" t="s">
        <v>1139</v>
      </c>
      <c r="C122" s="1" t="s">
        <v>1150</v>
      </c>
      <c r="D122" s="80"/>
      <c r="E122" s="80" t="s">
        <v>33</v>
      </c>
      <c r="F122" s="80" t="s">
        <v>37</v>
      </c>
      <c r="G122" s="80" t="s">
        <v>41</v>
      </c>
      <c r="H122" s="80" t="s">
        <v>29</v>
      </c>
      <c r="I122" s="80" t="s">
        <v>7</v>
      </c>
      <c r="J122" s="1"/>
      <c r="K122" s="80" t="s">
        <v>30</v>
      </c>
      <c r="L122" s="1"/>
      <c r="M122" s="80" t="s">
        <v>1430</v>
      </c>
      <c r="N122" s="80" t="s">
        <v>31</v>
      </c>
      <c r="O122" s="80">
        <v>6590</v>
      </c>
      <c r="P122" s="80">
        <v>2454</v>
      </c>
      <c r="Q122" s="80">
        <v>2400</v>
      </c>
      <c r="R122" s="80"/>
      <c r="S122" s="80">
        <v>3675</v>
      </c>
      <c r="T122" s="80">
        <v>2600</v>
      </c>
      <c r="U122" s="80">
        <v>8772</v>
      </c>
      <c r="V122" s="80">
        <v>1160</v>
      </c>
      <c r="W122" s="80">
        <v>4815</v>
      </c>
      <c r="X122" s="80">
        <v>2595</v>
      </c>
      <c r="Y122" s="80"/>
      <c r="Z122" s="80">
        <v>15</v>
      </c>
      <c r="AA122" s="80" t="s">
        <v>312</v>
      </c>
      <c r="AB122" s="80">
        <v>11990</v>
      </c>
      <c r="AC122" s="80">
        <v>3845</v>
      </c>
      <c r="AD122" s="80"/>
      <c r="AE122" s="80"/>
      <c r="AF122" s="80"/>
      <c r="AG122" s="80"/>
      <c r="AH122" s="80" t="s">
        <v>161</v>
      </c>
      <c r="AI122" s="80" t="s">
        <v>1401</v>
      </c>
      <c r="AJ122" s="80"/>
      <c r="AK122" s="80" t="s">
        <v>1431</v>
      </c>
      <c r="AL122" s="80"/>
      <c r="AM122" s="80" t="s">
        <v>1420</v>
      </c>
      <c r="AN122" s="80"/>
      <c r="AO122" s="80" t="s">
        <v>1421</v>
      </c>
      <c r="AP122" s="80"/>
      <c r="AQ122" s="80" t="s">
        <v>1422</v>
      </c>
      <c r="AR122" s="80"/>
      <c r="AS122" s="80" t="s">
        <v>1423</v>
      </c>
      <c r="AT122" s="80"/>
      <c r="AU122" s="80" t="s">
        <v>67</v>
      </c>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row>
    <row r="123" spans="1:72" s="144" customFormat="1" ht="25.15" customHeight="1" outlineLevel="1" x14ac:dyDescent="0.25">
      <c r="A123" s="9" t="s">
        <v>202</v>
      </c>
      <c r="B123" s="98" t="s">
        <v>1139</v>
      </c>
      <c r="C123" s="1" t="s">
        <v>1150</v>
      </c>
      <c r="D123" s="80"/>
      <c r="E123" s="80" t="s">
        <v>33</v>
      </c>
      <c r="F123" s="80" t="s">
        <v>37</v>
      </c>
      <c r="G123" s="80" t="s">
        <v>41</v>
      </c>
      <c r="H123" s="80" t="s">
        <v>12</v>
      </c>
      <c r="I123" s="80" t="s">
        <v>7</v>
      </c>
      <c r="J123" s="1"/>
      <c r="K123" s="80" t="s">
        <v>30</v>
      </c>
      <c r="L123" s="1"/>
      <c r="M123" s="80" t="s">
        <v>1430</v>
      </c>
      <c r="N123" s="80" t="s">
        <v>456</v>
      </c>
      <c r="O123" s="80">
        <v>6590</v>
      </c>
      <c r="P123" s="80">
        <v>2454</v>
      </c>
      <c r="Q123" s="80">
        <v>2400</v>
      </c>
      <c r="R123" s="80"/>
      <c r="S123" s="80">
        <v>3675</v>
      </c>
      <c r="T123" s="80">
        <v>2600</v>
      </c>
      <c r="U123" s="80">
        <v>8772</v>
      </c>
      <c r="V123" s="80">
        <v>1160</v>
      </c>
      <c r="W123" s="80">
        <v>4815</v>
      </c>
      <c r="X123" s="80">
        <v>2595</v>
      </c>
      <c r="Y123" s="80"/>
      <c r="Z123" s="80">
        <v>15</v>
      </c>
      <c r="AA123" s="80" t="s">
        <v>296</v>
      </c>
      <c r="AB123" s="80">
        <v>11990</v>
      </c>
      <c r="AC123" s="80">
        <v>3400</v>
      </c>
      <c r="AD123" s="80"/>
      <c r="AE123" s="80"/>
      <c r="AF123" s="80"/>
      <c r="AG123" s="80"/>
      <c r="AH123" s="80" t="s">
        <v>161</v>
      </c>
      <c r="AI123" s="80" t="s">
        <v>1401</v>
      </c>
      <c r="AJ123" s="80"/>
      <c r="AK123" s="80" t="s">
        <v>1431</v>
      </c>
      <c r="AL123" s="80"/>
      <c r="AM123" s="80" t="s">
        <v>1420</v>
      </c>
      <c r="AN123" s="80"/>
      <c r="AO123" s="80" t="s">
        <v>1424</v>
      </c>
      <c r="AP123" s="80"/>
      <c r="AQ123" s="80" t="s">
        <v>1425</v>
      </c>
      <c r="AR123" s="80"/>
      <c r="AS123" s="80" t="s">
        <v>1423</v>
      </c>
      <c r="AT123" s="80"/>
      <c r="AU123" s="80" t="s">
        <v>68</v>
      </c>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row>
    <row r="124" spans="1:72" s="144" customFormat="1" ht="25.15" customHeight="1" outlineLevel="1" x14ac:dyDescent="0.25">
      <c r="A124" s="9" t="s">
        <v>202</v>
      </c>
      <c r="B124" s="98" t="s">
        <v>1139</v>
      </c>
      <c r="C124" s="1" t="s">
        <v>1150</v>
      </c>
      <c r="D124" s="80"/>
      <c r="E124" s="80" t="s">
        <v>33</v>
      </c>
      <c r="F124" s="80" t="s">
        <v>37</v>
      </c>
      <c r="G124" s="80" t="s">
        <v>41</v>
      </c>
      <c r="H124" s="80" t="s">
        <v>32</v>
      </c>
      <c r="I124" s="80" t="s">
        <v>7</v>
      </c>
      <c r="J124" s="1"/>
      <c r="K124" s="80" t="s">
        <v>30</v>
      </c>
      <c r="L124" s="1"/>
      <c r="M124" s="80" t="s">
        <v>1430</v>
      </c>
      <c r="N124" s="80" t="s">
        <v>460</v>
      </c>
      <c r="O124" s="80">
        <v>6590</v>
      </c>
      <c r="P124" s="80">
        <v>2454</v>
      </c>
      <c r="Q124" s="80">
        <v>2400</v>
      </c>
      <c r="R124" s="80"/>
      <c r="S124" s="80">
        <v>3675</v>
      </c>
      <c r="T124" s="80">
        <v>2600</v>
      </c>
      <c r="U124" s="80">
        <v>8772</v>
      </c>
      <c r="V124" s="80">
        <v>1160</v>
      </c>
      <c r="W124" s="80">
        <v>4815</v>
      </c>
      <c r="X124" s="80">
        <v>2595</v>
      </c>
      <c r="Y124" s="80"/>
      <c r="Z124" s="80">
        <v>15</v>
      </c>
      <c r="AA124" s="80" t="s">
        <v>1411</v>
      </c>
      <c r="AB124" s="80">
        <v>11990</v>
      </c>
      <c r="AC124" s="80">
        <v>3330</v>
      </c>
      <c r="AD124" s="80"/>
      <c r="AE124" s="80"/>
      <c r="AF124" s="80"/>
      <c r="AG124" s="80"/>
      <c r="AH124" s="80" t="s">
        <v>161</v>
      </c>
      <c r="AI124" s="80" t="s">
        <v>1401</v>
      </c>
      <c r="AJ124" s="80"/>
      <c r="AK124" s="80" t="s">
        <v>1431</v>
      </c>
      <c r="AL124" s="80"/>
      <c r="AM124" s="80" t="s">
        <v>1420</v>
      </c>
      <c r="AN124" s="80"/>
      <c r="AO124" s="80" t="s">
        <v>1428</v>
      </c>
      <c r="AP124" s="80"/>
      <c r="AQ124" s="80" t="s">
        <v>1422</v>
      </c>
      <c r="AR124" s="80"/>
      <c r="AS124" s="80" t="s">
        <v>1423</v>
      </c>
      <c r="AT124" s="80"/>
      <c r="AU124" s="80" t="s">
        <v>1429</v>
      </c>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row>
    <row r="125" spans="1:72" s="144" customFormat="1" ht="25.15" customHeight="1" outlineLevel="1" x14ac:dyDescent="0.25">
      <c r="A125" s="9" t="s">
        <v>202</v>
      </c>
      <c r="B125" s="98" t="s">
        <v>1139</v>
      </c>
      <c r="C125" s="1" t="s">
        <v>1150</v>
      </c>
      <c r="D125" s="80"/>
      <c r="E125" s="80" t="s">
        <v>33</v>
      </c>
      <c r="F125" s="80" t="s">
        <v>37</v>
      </c>
      <c r="G125" s="80" t="s">
        <v>41</v>
      </c>
      <c r="H125" s="80" t="s">
        <v>29</v>
      </c>
      <c r="I125" s="80" t="s">
        <v>7</v>
      </c>
      <c r="J125" s="1"/>
      <c r="K125" s="80" t="s">
        <v>30</v>
      </c>
      <c r="L125" s="1"/>
      <c r="M125" s="80" t="s">
        <v>1432</v>
      </c>
      <c r="N125" s="80" t="s">
        <v>31</v>
      </c>
      <c r="O125" s="80">
        <v>6590</v>
      </c>
      <c r="P125" s="80">
        <v>2454</v>
      </c>
      <c r="Q125" s="80">
        <v>2400</v>
      </c>
      <c r="R125" s="80"/>
      <c r="S125" s="80">
        <v>3675</v>
      </c>
      <c r="T125" s="80">
        <v>2600</v>
      </c>
      <c r="U125" s="80">
        <v>8772</v>
      </c>
      <c r="V125" s="80">
        <v>1160</v>
      </c>
      <c r="W125" s="80">
        <v>4815</v>
      </c>
      <c r="X125" s="80">
        <v>2655</v>
      </c>
      <c r="Y125" s="80"/>
      <c r="Z125" s="80">
        <v>15</v>
      </c>
      <c r="AA125" s="80" t="s">
        <v>312</v>
      </c>
      <c r="AB125" s="80">
        <v>14000</v>
      </c>
      <c r="AC125" s="80">
        <v>5810</v>
      </c>
      <c r="AD125" s="80"/>
      <c r="AE125" s="80"/>
      <c r="AF125" s="80"/>
      <c r="AG125" s="80"/>
      <c r="AH125" s="80" t="s">
        <v>161</v>
      </c>
      <c r="AI125" s="80" t="s">
        <v>1401</v>
      </c>
      <c r="AJ125" s="80"/>
      <c r="AK125" s="80" t="s">
        <v>1427</v>
      </c>
      <c r="AL125" s="80"/>
      <c r="AM125" s="80" t="s">
        <v>1433</v>
      </c>
      <c r="AN125" s="80"/>
      <c r="AO125" s="80" t="s">
        <v>1421</v>
      </c>
      <c r="AP125" s="80"/>
      <c r="AQ125" s="80" t="s">
        <v>1422</v>
      </c>
      <c r="AR125" s="80"/>
      <c r="AS125" s="80" t="s">
        <v>1434</v>
      </c>
      <c r="AT125" s="80"/>
      <c r="AU125" s="80" t="s">
        <v>1435</v>
      </c>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row>
    <row r="126" spans="1:72" s="144" customFormat="1" ht="25.15" customHeight="1" outlineLevel="1" x14ac:dyDescent="0.25">
      <c r="A126" s="9" t="s">
        <v>202</v>
      </c>
      <c r="B126" s="98" t="s">
        <v>1139</v>
      </c>
      <c r="C126" s="1" t="s">
        <v>1150</v>
      </c>
      <c r="D126" s="80"/>
      <c r="E126" s="80" t="s">
        <v>33</v>
      </c>
      <c r="F126" s="80" t="s">
        <v>37</v>
      </c>
      <c r="G126" s="80" t="s">
        <v>41</v>
      </c>
      <c r="H126" s="80" t="s">
        <v>12</v>
      </c>
      <c r="I126" s="80" t="s">
        <v>7</v>
      </c>
      <c r="J126" s="1"/>
      <c r="K126" s="80" t="s">
        <v>30</v>
      </c>
      <c r="L126" s="1"/>
      <c r="M126" s="80" t="s">
        <v>1432</v>
      </c>
      <c r="N126" s="80" t="s">
        <v>456</v>
      </c>
      <c r="O126" s="80">
        <v>6590</v>
      </c>
      <c r="P126" s="80">
        <v>2454</v>
      </c>
      <c r="Q126" s="80">
        <v>2400</v>
      </c>
      <c r="R126" s="80"/>
      <c r="S126" s="80">
        <v>3675</v>
      </c>
      <c r="T126" s="80">
        <v>2600</v>
      </c>
      <c r="U126" s="80">
        <v>8772</v>
      </c>
      <c r="V126" s="80">
        <v>1160</v>
      </c>
      <c r="W126" s="80">
        <v>4815</v>
      </c>
      <c r="X126" s="80">
        <v>2655</v>
      </c>
      <c r="Y126" s="80"/>
      <c r="Z126" s="80">
        <v>15</v>
      </c>
      <c r="AA126" s="80" t="s">
        <v>296</v>
      </c>
      <c r="AB126" s="80">
        <v>14000</v>
      </c>
      <c r="AC126" s="80">
        <v>5365</v>
      </c>
      <c r="AD126" s="80"/>
      <c r="AE126" s="80"/>
      <c r="AF126" s="80"/>
      <c r="AG126" s="80"/>
      <c r="AH126" s="80" t="s">
        <v>161</v>
      </c>
      <c r="AI126" s="80" t="s">
        <v>1401</v>
      </c>
      <c r="AJ126" s="80"/>
      <c r="AK126" s="80" t="s">
        <v>1427</v>
      </c>
      <c r="AL126" s="80"/>
      <c r="AM126" s="80" t="s">
        <v>1433</v>
      </c>
      <c r="AN126" s="80"/>
      <c r="AO126" s="80" t="s">
        <v>1424</v>
      </c>
      <c r="AP126" s="80"/>
      <c r="AQ126" s="80" t="s">
        <v>1425</v>
      </c>
      <c r="AR126" s="80"/>
      <c r="AS126" s="80" t="s">
        <v>1434</v>
      </c>
      <c r="AT126" s="80"/>
      <c r="AU126" s="80" t="s">
        <v>1436</v>
      </c>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row>
    <row r="127" spans="1:72" s="144" customFormat="1" ht="25.15" customHeight="1" outlineLevel="1" x14ac:dyDescent="0.25">
      <c r="A127" s="9" t="s">
        <v>202</v>
      </c>
      <c r="B127" s="98" t="s">
        <v>1139</v>
      </c>
      <c r="C127" s="1" t="s">
        <v>1150</v>
      </c>
      <c r="D127" s="80"/>
      <c r="E127" s="80" t="s">
        <v>33</v>
      </c>
      <c r="F127" s="80" t="s">
        <v>37</v>
      </c>
      <c r="G127" s="80" t="s">
        <v>41</v>
      </c>
      <c r="H127" s="80" t="s">
        <v>32</v>
      </c>
      <c r="I127" s="80" t="s">
        <v>7</v>
      </c>
      <c r="J127" s="1"/>
      <c r="K127" s="80" t="s">
        <v>30</v>
      </c>
      <c r="L127" s="1"/>
      <c r="M127" s="80" t="s">
        <v>1432</v>
      </c>
      <c r="N127" s="80" t="s">
        <v>460</v>
      </c>
      <c r="O127" s="80">
        <v>6590</v>
      </c>
      <c r="P127" s="80">
        <v>2454</v>
      </c>
      <c r="Q127" s="80">
        <v>2400</v>
      </c>
      <c r="R127" s="80"/>
      <c r="S127" s="80">
        <v>3675</v>
      </c>
      <c r="T127" s="80">
        <v>2600</v>
      </c>
      <c r="U127" s="80">
        <v>8772</v>
      </c>
      <c r="V127" s="80">
        <v>1160</v>
      </c>
      <c r="W127" s="80">
        <v>4815</v>
      </c>
      <c r="X127" s="80">
        <v>2655</v>
      </c>
      <c r="Y127" s="80"/>
      <c r="Z127" s="80">
        <v>15</v>
      </c>
      <c r="AA127" s="80" t="s">
        <v>1411</v>
      </c>
      <c r="AB127" s="80">
        <v>14000</v>
      </c>
      <c r="AC127" s="80">
        <v>5195</v>
      </c>
      <c r="AD127" s="80"/>
      <c r="AE127" s="80"/>
      <c r="AF127" s="80"/>
      <c r="AG127" s="80"/>
      <c r="AH127" s="80" t="s">
        <v>161</v>
      </c>
      <c r="AI127" s="80" t="s">
        <v>1401</v>
      </c>
      <c r="AJ127" s="80"/>
      <c r="AK127" s="80" t="s">
        <v>1427</v>
      </c>
      <c r="AL127" s="80"/>
      <c r="AM127" s="80" t="s">
        <v>1433</v>
      </c>
      <c r="AN127" s="80"/>
      <c r="AO127" s="80" t="s">
        <v>1428</v>
      </c>
      <c r="AP127" s="80"/>
      <c r="AQ127" s="80" t="s">
        <v>1422</v>
      </c>
      <c r="AR127" s="80"/>
      <c r="AS127" s="80" t="s">
        <v>1434</v>
      </c>
      <c r="AT127" s="80"/>
      <c r="AU127" s="80" t="s">
        <v>1437</v>
      </c>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row>
    <row r="128" spans="1:72" s="144" customFormat="1" ht="25.15" customHeight="1" outlineLevel="1" x14ac:dyDescent="0.25">
      <c r="A128" s="9" t="s">
        <v>202</v>
      </c>
      <c r="B128" s="98" t="s">
        <v>1139</v>
      </c>
      <c r="C128" s="1" t="s">
        <v>1150</v>
      </c>
      <c r="D128" s="80"/>
      <c r="E128" s="80" t="s">
        <v>33</v>
      </c>
      <c r="F128" s="80" t="s">
        <v>37</v>
      </c>
      <c r="G128" s="80" t="s">
        <v>41</v>
      </c>
      <c r="H128" s="80" t="s">
        <v>29</v>
      </c>
      <c r="I128" s="80" t="s">
        <v>7</v>
      </c>
      <c r="J128" s="1"/>
      <c r="K128" s="80" t="s">
        <v>30</v>
      </c>
      <c r="L128" s="1"/>
      <c r="M128" s="80" t="s">
        <v>1438</v>
      </c>
      <c r="N128" s="80" t="s">
        <v>31</v>
      </c>
      <c r="O128" s="80">
        <v>6590</v>
      </c>
      <c r="P128" s="80">
        <v>2454</v>
      </c>
      <c r="Q128" s="80">
        <v>2400</v>
      </c>
      <c r="R128" s="80"/>
      <c r="S128" s="80">
        <v>3675</v>
      </c>
      <c r="T128" s="80">
        <v>2600</v>
      </c>
      <c r="U128" s="80">
        <v>8772</v>
      </c>
      <c r="V128" s="80">
        <v>1160</v>
      </c>
      <c r="W128" s="80">
        <v>4815</v>
      </c>
      <c r="X128" s="80">
        <v>2655</v>
      </c>
      <c r="Y128" s="80"/>
      <c r="Z128" s="80">
        <v>15</v>
      </c>
      <c r="AA128" s="80" t="s">
        <v>312</v>
      </c>
      <c r="AB128" s="80">
        <v>14000</v>
      </c>
      <c r="AC128" s="80">
        <v>5645</v>
      </c>
      <c r="AD128" s="80"/>
      <c r="AE128" s="80"/>
      <c r="AF128" s="80"/>
      <c r="AG128" s="80"/>
      <c r="AH128" s="80" t="s">
        <v>161</v>
      </c>
      <c r="AI128" s="80" t="s">
        <v>1401</v>
      </c>
      <c r="AJ128" s="80"/>
      <c r="AK128" s="80" t="s">
        <v>1431</v>
      </c>
      <c r="AL128" s="80"/>
      <c r="AM128" s="80" t="s">
        <v>1433</v>
      </c>
      <c r="AN128" s="80"/>
      <c r="AO128" s="80" t="s">
        <v>1421</v>
      </c>
      <c r="AP128" s="80"/>
      <c r="AQ128" s="80" t="s">
        <v>1422</v>
      </c>
      <c r="AR128" s="80"/>
      <c r="AS128" s="80" t="s">
        <v>1434</v>
      </c>
      <c r="AT128" s="80"/>
      <c r="AU128" s="80" t="s">
        <v>1435</v>
      </c>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row>
    <row r="129" spans="1:72" s="144" customFormat="1" ht="25.15" customHeight="1" outlineLevel="1" x14ac:dyDescent="0.25">
      <c r="A129" s="9" t="s">
        <v>202</v>
      </c>
      <c r="B129" s="98" t="s">
        <v>1139</v>
      </c>
      <c r="C129" s="1" t="s">
        <v>1150</v>
      </c>
      <c r="D129" s="80"/>
      <c r="E129" s="80" t="s">
        <v>33</v>
      </c>
      <c r="F129" s="80" t="s">
        <v>37</v>
      </c>
      <c r="G129" s="80" t="s">
        <v>41</v>
      </c>
      <c r="H129" s="80" t="s">
        <v>12</v>
      </c>
      <c r="I129" s="80" t="s">
        <v>7</v>
      </c>
      <c r="J129" s="1"/>
      <c r="K129" s="80" t="s">
        <v>30</v>
      </c>
      <c r="L129" s="1"/>
      <c r="M129" s="80" t="s">
        <v>1438</v>
      </c>
      <c r="N129" s="80" t="s">
        <v>456</v>
      </c>
      <c r="O129" s="80">
        <v>6590</v>
      </c>
      <c r="P129" s="80">
        <v>2454</v>
      </c>
      <c r="Q129" s="80">
        <v>2400</v>
      </c>
      <c r="R129" s="80"/>
      <c r="S129" s="80">
        <v>3675</v>
      </c>
      <c r="T129" s="80">
        <v>2600</v>
      </c>
      <c r="U129" s="80">
        <v>8772</v>
      </c>
      <c r="V129" s="80">
        <v>1160</v>
      </c>
      <c r="W129" s="80">
        <v>4815</v>
      </c>
      <c r="X129" s="80">
        <v>2655</v>
      </c>
      <c r="Y129" s="80"/>
      <c r="Z129" s="80">
        <v>15</v>
      </c>
      <c r="AA129" s="80" t="s">
        <v>296</v>
      </c>
      <c r="AB129" s="80">
        <v>14000</v>
      </c>
      <c r="AC129" s="80">
        <v>5200</v>
      </c>
      <c r="AD129" s="80"/>
      <c r="AE129" s="80"/>
      <c r="AF129" s="80"/>
      <c r="AG129" s="80"/>
      <c r="AH129" s="80" t="s">
        <v>161</v>
      </c>
      <c r="AI129" s="80" t="s">
        <v>1401</v>
      </c>
      <c r="AJ129" s="80"/>
      <c r="AK129" s="80" t="s">
        <v>1431</v>
      </c>
      <c r="AL129" s="80"/>
      <c r="AM129" s="80" t="s">
        <v>1433</v>
      </c>
      <c r="AN129" s="80"/>
      <c r="AO129" s="80" t="s">
        <v>1424</v>
      </c>
      <c r="AP129" s="80"/>
      <c r="AQ129" s="80" t="s">
        <v>1425</v>
      </c>
      <c r="AR129" s="80"/>
      <c r="AS129" s="80" t="s">
        <v>1434</v>
      </c>
      <c r="AT129" s="80"/>
      <c r="AU129" s="80" t="s">
        <v>1436</v>
      </c>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row>
    <row r="130" spans="1:72" s="144" customFormat="1" ht="25.15" customHeight="1" outlineLevel="1" x14ac:dyDescent="0.25">
      <c r="A130" s="9" t="s">
        <v>202</v>
      </c>
      <c r="B130" s="98" t="s">
        <v>1139</v>
      </c>
      <c r="C130" s="1" t="s">
        <v>1150</v>
      </c>
      <c r="D130" s="80"/>
      <c r="E130" s="80" t="s">
        <v>33</v>
      </c>
      <c r="F130" s="80" t="s">
        <v>37</v>
      </c>
      <c r="G130" s="80" t="s">
        <v>41</v>
      </c>
      <c r="H130" s="80" t="s">
        <v>32</v>
      </c>
      <c r="I130" s="80" t="s">
        <v>7</v>
      </c>
      <c r="J130" s="1"/>
      <c r="K130" s="80" t="s">
        <v>30</v>
      </c>
      <c r="L130" s="1"/>
      <c r="M130" s="80" t="s">
        <v>1438</v>
      </c>
      <c r="N130" s="80" t="s">
        <v>460</v>
      </c>
      <c r="O130" s="80">
        <v>6590</v>
      </c>
      <c r="P130" s="80">
        <v>2454</v>
      </c>
      <c r="Q130" s="80">
        <v>2400</v>
      </c>
      <c r="R130" s="80"/>
      <c r="S130" s="80">
        <v>3675</v>
      </c>
      <c r="T130" s="80">
        <v>2600</v>
      </c>
      <c r="U130" s="80">
        <v>8772</v>
      </c>
      <c r="V130" s="80">
        <v>1160</v>
      </c>
      <c r="W130" s="80">
        <v>4815</v>
      </c>
      <c r="X130" s="80">
        <v>2655</v>
      </c>
      <c r="Y130" s="80"/>
      <c r="Z130" s="80">
        <v>15</v>
      </c>
      <c r="AA130" s="80" t="s">
        <v>1411</v>
      </c>
      <c r="AB130" s="80">
        <v>14000</v>
      </c>
      <c r="AC130" s="80">
        <v>5030</v>
      </c>
      <c r="AD130" s="80"/>
      <c r="AE130" s="80"/>
      <c r="AF130" s="80"/>
      <c r="AG130" s="80"/>
      <c r="AH130" s="80" t="s">
        <v>161</v>
      </c>
      <c r="AI130" s="80" t="s">
        <v>1401</v>
      </c>
      <c r="AJ130" s="80"/>
      <c r="AK130" s="80" t="s">
        <v>1431</v>
      </c>
      <c r="AL130" s="80"/>
      <c r="AM130" s="80" t="s">
        <v>1433</v>
      </c>
      <c r="AN130" s="80"/>
      <c r="AO130" s="80" t="s">
        <v>1428</v>
      </c>
      <c r="AP130" s="80"/>
      <c r="AQ130" s="80" t="s">
        <v>1422</v>
      </c>
      <c r="AR130" s="80"/>
      <c r="AS130" s="80" t="s">
        <v>1434</v>
      </c>
      <c r="AT130" s="80"/>
      <c r="AU130" s="80" t="s">
        <v>1437</v>
      </c>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row>
    <row r="131" spans="1:72" s="144" customFormat="1" ht="25.15" customHeight="1" outlineLevel="1" x14ac:dyDescent="0.25">
      <c r="A131" s="80" t="s">
        <v>202</v>
      </c>
      <c r="B131" s="98" t="s">
        <v>1139</v>
      </c>
      <c r="C131" s="1" t="s">
        <v>1150</v>
      </c>
      <c r="D131" s="80"/>
      <c r="E131" s="80" t="s">
        <v>33</v>
      </c>
      <c r="F131" s="80" t="s">
        <v>37</v>
      </c>
      <c r="G131" s="80" t="s">
        <v>41</v>
      </c>
      <c r="H131" s="80" t="s">
        <v>29</v>
      </c>
      <c r="I131" s="80" t="s">
        <v>7</v>
      </c>
      <c r="J131" s="1"/>
      <c r="K131" s="80" t="s">
        <v>30</v>
      </c>
      <c r="L131" s="1"/>
      <c r="M131" s="80" t="s">
        <v>1439</v>
      </c>
      <c r="N131" s="80" t="s">
        <v>31</v>
      </c>
      <c r="O131" s="80">
        <v>6590</v>
      </c>
      <c r="P131" s="80">
        <v>2454</v>
      </c>
      <c r="Q131" s="80">
        <v>2400</v>
      </c>
      <c r="R131" s="80"/>
      <c r="S131" s="80">
        <v>3675</v>
      </c>
      <c r="T131" s="80">
        <v>2600</v>
      </c>
      <c r="U131" s="80">
        <v>8772</v>
      </c>
      <c r="V131" s="80">
        <v>1160</v>
      </c>
      <c r="W131" s="80">
        <v>4815</v>
      </c>
      <c r="X131" s="80">
        <v>2655</v>
      </c>
      <c r="Y131" s="80"/>
      <c r="Z131" s="80">
        <v>15</v>
      </c>
      <c r="AA131" s="80" t="s">
        <v>312</v>
      </c>
      <c r="AB131" s="80">
        <v>14000</v>
      </c>
      <c r="AC131" s="80">
        <v>5645</v>
      </c>
      <c r="AD131" s="80"/>
      <c r="AE131" s="80"/>
      <c r="AF131" s="80"/>
      <c r="AG131" s="80"/>
      <c r="AH131" s="80" t="s">
        <v>161</v>
      </c>
      <c r="AI131" s="80" t="s">
        <v>1401</v>
      </c>
      <c r="AJ131" s="80"/>
      <c r="AK131" s="80" t="s">
        <v>1440</v>
      </c>
      <c r="AL131" s="80"/>
      <c r="AM131" s="80" t="s">
        <v>1433</v>
      </c>
      <c r="AN131" s="80"/>
      <c r="AO131" s="80" t="s">
        <v>1421</v>
      </c>
      <c r="AP131" s="80"/>
      <c r="AQ131" s="80" t="s">
        <v>1422</v>
      </c>
      <c r="AR131" s="80"/>
      <c r="AS131" s="80" t="s">
        <v>1434</v>
      </c>
      <c r="AT131" s="80"/>
      <c r="AU131" s="80" t="s">
        <v>1435</v>
      </c>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row>
    <row r="132" spans="1:72" s="144" customFormat="1" ht="25.15" customHeight="1" outlineLevel="1" x14ac:dyDescent="0.25">
      <c r="A132" s="80" t="s">
        <v>202</v>
      </c>
      <c r="B132" s="98" t="s">
        <v>1139</v>
      </c>
      <c r="C132" s="1" t="s">
        <v>1150</v>
      </c>
      <c r="D132" s="80"/>
      <c r="E132" s="80" t="s">
        <v>33</v>
      </c>
      <c r="F132" s="80" t="s">
        <v>37</v>
      </c>
      <c r="G132" s="80" t="s">
        <v>41</v>
      </c>
      <c r="H132" s="80" t="s">
        <v>12</v>
      </c>
      <c r="I132" s="80" t="s">
        <v>7</v>
      </c>
      <c r="J132" s="1"/>
      <c r="K132" s="80" t="s">
        <v>30</v>
      </c>
      <c r="L132" s="1"/>
      <c r="M132" s="80" t="s">
        <v>1439</v>
      </c>
      <c r="N132" s="80" t="s">
        <v>456</v>
      </c>
      <c r="O132" s="80">
        <v>6590</v>
      </c>
      <c r="P132" s="80">
        <v>2454</v>
      </c>
      <c r="Q132" s="80">
        <v>2400</v>
      </c>
      <c r="R132" s="80"/>
      <c r="S132" s="80">
        <v>3675</v>
      </c>
      <c r="T132" s="80">
        <v>2600</v>
      </c>
      <c r="U132" s="80">
        <v>8772</v>
      </c>
      <c r="V132" s="80">
        <v>1160</v>
      </c>
      <c r="W132" s="80">
        <v>4815</v>
      </c>
      <c r="X132" s="80">
        <v>2655</v>
      </c>
      <c r="Y132" s="80"/>
      <c r="Z132" s="80">
        <v>15</v>
      </c>
      <c r="AA132" s="80" t="s">
        <v>296</v>
      </c>
      <c r="AB132" s="80">
        <v>14000</v>
      </c>
      <c r="AC132" s="80">
        <v>5200</v>
      </c>
      <c r="AD132" s="80"/>
      <c r="AE132" s="80"/>
      <c r="AF132" s="80"/>
      <c r="AG132" s="80"/>
      <c r="AH132" s="80" t="s">
        <v>161</v>
      </c>
      <c r="AI132" s="80" t="s">
        <v>1401</v>
      </c>
      <c r="AJ132" s="80"/>
      <c r="AK132" s="80" t="s">
        <v>1440</v>
      </c>
      <c r="AL132" s="80"/>
      <c r="AM132" s="80" t="s">
        <v>1433</v>
      </c>
      <c r="AN132" s="80"/>
      <c r="AO132" s="80" t="s">
        <v>1424</v>
      </c>
      <c r="AP132" s="80"/>
      <c r="AQ132" s="80" t="s">
        <v>1425</v>
      </c>
      <c r="AR132" s="80"/>
      <c r="AS132" s="80" t="s">
        <v>1434</v>
      </c>
      <c r="AT132" s="80"/>
      <c r="AU132" s="80" t="s">
        <v>1436</v>
      </c>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row>
    <row r="133" spans="1:72" s="144" customFormat="1" ht="25.15" customHeight="1" outlineLevel="1" x14ac:dyDescent="0.25">
      <c r="A133" s="80" t="s">
        <v>202</v>
      </c>
      <c r="B133" s="98" t="s">
        <v>1139</v>
      </c>
      <c r="C133" s="1" t="s">
        <v>1150</v>
      </c>
      <c r="D133" s="80"/>
      <c r="E133" s="80" t="s">
        <v>33</v>
      </c>
      <c r="F133" s="80" t="s">
        <v>37</v>
      </c>
      <c r="G133" s="80" t="s">
        <v>41</v>
      </c>
      <c r="H133" s="80" t="s">
        <v>32</v>
      </c>
      <c r="I133" s="80" t="s">
        <v>7</v>
      </c>
      <c r="J133" s="1"/>
      <c r="K133" s="80" t="s">
        <v>30</v>
      </c>
      <c r="L133" s="1"/>
      <c r="M133" s="80" t="s">
        <v>1439</v>
      </c>
      <c r="N133" s="80" t="s">
        <v>460</v>
      </c>
      <c r="O133" s="80">
        <v>6590</v>
      </c>
      <c r="P133" s="80">
        <v>2454</v>
      </c>
      <c r="Q133" s="80">
        <v>2400</v>
      </c>
      <c r="R133" s="80"/>
      <c r="S133" s="80">
        <v>3675</v>
      </c>
      <c r="T133" s="80">
        <v>2600</v>
      </c>
      <c r="U133" s="80">
        <v>8772</v>
      </c>
      <c r="V133" s="80">
        <v>1160</v>
      </c>
      <c r="W133" s="80">
        <v>4815</v>
      </c>
      <c r="X133" s="80">
        <v>2655</v>
      </c>
      <c r="Y133" s="80"/>
      <c r="Z133" s="80">
        <v>15</v>
      </c>
      <c r="AA133" s="80" t="s">
        <v>1411</v>
      </c>
      <c r="AB133" s="80">
        <v>14000</v>
      </c>
      <c r="AC133" s="80">
        <v>5030</v>
      </c>
      <c r="AD133" s="80"/>
      <c r="AE133" s="80"/>
      <c r="AF133" s="80"/>
      <c r="AG133" s="80"/>
      <c r="AH133" s="80" t="s">
        <v>161</v>
      </c>
      <c r="AI133" s="80" t="s">
        <v>1401</v>
      </c>
      <c r="AJ133" s="80"/>
      <c r="AK133" s="80" t="s">
        <v>1440</v>
      </c>
      <c r="AL133" s="80"/>
      <c r="AM133" s="80" t="s">
        <v>1433</v>
      </c>
      <c r="AN133" s="80"/>
      <c r="AO133" s="80" t="s">
        <v>1428</v>
      </c>
      <c r="AP133" s="80"/>
      <c r="AQ133" s="80" t="s">
        <v>1422</v>
      </c>
      <c r="AR133" s="80"/>
      <c r="AS133" s="80" t="s">
        <v>1434</v>
      </c>
      <c r="AT133" s="80"/>
      <c r="AU133" s="80" t="s">
        <v>1437</v>
      </c>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row>
    <row r="134" spans="1:72" s="144" customFormat="1" ht="25.15" customHeight="1" outlineLevel="1" x14ac:dyDescent="0.25">
      <c r="A134" s="9" t="s">
        <v>202</v>
      </c>
      <c r="B134" s="98" t="s">
        <v>1139</v>
      </c>
      <c r="C134" s="1" t="s">
        <v>1150</v>
      </c>
      <c r="D134" s="80"/>
      <c r="E134" s="80" t="s">
        <v>33</v>
      </c>
      <c r="F134" s="80" t="s">
        <v>37</v>
      </c>
      <c r="G134" s="80" t="s">
        <v>42</v>
      </c>
      <c r="H134" s="80" t="s">
        <v>29</v>
      </c>
      <c r="I134" s="80" t="s">
        <v>7</v>
      </c>
      <c r="J134" s="1"/>
      <c r="K134" s="80" t="s">
        <v>30</v>
      </c>
      <c r="L134" s="1"/>
      <c r="M134" s="80" t="s">
        <v>1441</v>
      </c>
      <c r="N134" s="80" t="s">
        <v>31</v>
      </c>
      <c r="O134" s="80">
        <v>7690</v>
      </c>
      <c r="P134" s="80">
        <v>2454</v>
      </c>
      <c r="Q134" s="80">
        <v>2400</v>
      </c>
      <c r="R134" s="80"/>
      <c r="S134" s="80">
        <v>3675</v>
      </c>
      <c r="T134" s="80">
        <v>2600</v>
      </c>
      <c r="U134" s="80">
        <v>9872</v>
      </c>
      <c r="V134" s="80">
        <v>1160</v>
      </c>
      <c r="W134" s="80">
        <v>5670</v>
      </c>
      <c r="X134" s="80">
        <v>2840</v>
      </c>
      <c r="Y134" s="80"/>
      <c r="Z134" s="80">
        <v>18</v>
      </c>
      <c r="AA134" s="80" t="s">
        <v>312</v>
      </c>
      <c r="AB134" s="80">
        <v>16000</v>
      </c>
      <c r="AC134" s="80">
        <v>7180</v>
      </c>
      <c r="AD134" s="80"/>
      <c r="AE134" s="80"/>
      <c r="AF134" s="80"/>
      <c r="AG134" s="80"/>
      <c r="AH134" s="80" t="s">
        <v>162</v>
      </c>
      <c r="AI134" s="80" t="s">
        <v>1401</v>
      </c>
      <c r="AJ134" s="80"/>
      <c r="AK134" s="80" t="s">
        <v>1427</v>
      </c>
      <c r="AL134" s="80"/>
      <c r="AM134" s="80" t="s">
        <v>1433</v>
      </c>
      <c r="AN134" s="80"/>
      <c r="AO134" s="80" t="s">
        <v>1442</v>
      </c>
      <c r="AP134" s="80"/>
      <c r="AQ134" s="80" t="s">
        <v>1443</v>
      </c>
      <c r="AR134" s="80"/>
      <c r="AS134" s="80" t="s">
        <v>1444</v>
      </c>
      <c r="AT134" s="80"/>
      <c r="AU134" s="80" t="s">
        <v>69</v>
      </c>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row>
    <row r="135" spans="1:72" s="144" customFormat="1" ht="25.15" customHeight="1" outlineLevel="1" x14ac:dyDescent="0.25">
      <c r="A135" s="9" t="s">
        <v>202</v>
      </c>
      <c r="B135" s="98" t="s">
        <v>1139</v>
      </c>
      <c r="C135" s="1" t="s">
        <v>1150</v>
      </c>
      <c r="D135" s="80"/>
      <c r="E135" s="80" t="s">
        <v>33</v>
      </c>
      <c r="F135" s="80" t="s">
        <v>37</v>
      </c>
      <c r="G135" s="80" t="s">
        <v>42</v>
      </c>
      <c r="H135" s="80" t="s">
        <v>12</v>
      </c>
      <c r="I135" s="80" t="s">
        <v>7</v>
      </c>
      <c r="J135" s="1"/>
      <c r="K135" s="80" t="s">
        <v>30</v>
      </c>
      <c r="L135" s="1"/>
      <c r="M135" s="80" t="s">
        <v>1441</v>
      </c>
      <c r="N135" s="80" t="s">
        <v>456</v>
      </c>
      <c r="O135" s="80">
        <v>7690</v>
      </c>
      <c r="P135" s="80">
        <v>2454</v>
      </c>
      <c r="Q135" s="80">
        <v>2400</v>
      </c>
      <c r="R135" s="80"/>
      <c r="S135" s="80">
        <v>3675</v>
      </c>
      <c r="T135" s="80">
        <v>2600</v>
      </c>
      <c r="U135" s="80">
        <v>9872</v>
      </c>
      <c r="V135" s="80">
        <v>1160</v>
      </c>
      <c r="W135" s="80">
        <v>5670</v>
      </c>
      <c r="X135" s="80">
        <v>2840</v>
      </c>
      <c r="Y135" s="80"/>
      <c r="Z135" s="80">
        <v>18</v>
      </c>
      <c r="AA135" s="80" t="s">
        <v>296</v>
      </c>
      <c r="AB135" s="80">
        <v>16000</v>
      </c>
      <c r="AC135" s="80">
        <v>6790</v>
      </c>
      <c r="AD135" s="80"/>
      <c r="AE135" s="80"/>
      <c r="AF135" s="80"/>
      <c r="AG135" s="80"/>
      <c r="AH135" s="80" t="s">
        <v>162</v>
      </c>
      <c r="AI135" s="80" t="s">
        <v>1401</v>
      </c>
      <c r="AJ135" s="80"/>
      <c r="AK135" s="80" t="s">
        <v>1427</v>
      </c>
      <c r="AL135" s="80"/>
      <c r="AM135" s="80" t="s">
        <v>1433</v>
      </c>
      <c r="AN135" s="80"/>
      <c r="AO135" s="80" t="s">
        <v>1445</v>
      </c>
      <c r="AP135" s="80"/>
      <c r="AQ135" s="80" t="s">
        <v>1446</v>
      </c>
      <c r="AR135" s="80"/>
      <c r="AS135" s="80" t="s">
        <v>1444</v>
      </c>
      <c r="AT135" s="80"/>
      <c r="AU135" s="84" t="s">
        <v>462</v>
      </c>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row>
    <row r="136" spans="1:72" s="144" customFormat="1" ht="25.15" customHeight="1" outlineLevel="1" x14ac:dyDescent="0.25">
      <c r="A136" s="9" t="s">
        <v>202</v>
      </c>
      <c r="B136" s="98" t="s">
        <v>1139</v>
      </c>
      <c r="C136" s="1" t="s">
        <v>1150</v>
      </c>
      <c r="D136" s="80"/>
      <c r="E136" s="80" t="s">
        <v>33</v>
      </c>
      <c r="F136" s="80" t="s">
        <v>37</v>
      </c>
      <c r="G136" s="80" t="s">
        <v>42</v>
      </c>
      <c r="H136" s="80" t="s">
        <v>29</v>
      </c>
      <c r="I136" s="80" t="s">
        <v>7</v>
      </c>
      <c r="J136" s="1"/>
      <c r="K136" s="80" t="s">
        <v>30</v>
      </c>
      <c r="L136" s="1"/>
      <c r="M136" s="80" t="s">
        <v>1447</v>
      </c>
      <c r="N136" s="80" t="s">
        <v>31</v>
      </c>
      <c r="O136" s="80">
        <v>7690</v>
      </c>
      <c r="P136" s="80">
        <v>2454</v>
      </c>
      <c r="Q136" s="80">
        <v>2400</v>
      </c>
      <c r="R136" s="80"/>
      <c r="S136" s="80">
        <v>3675</v>
      </c>
      <c r="T136" s="80">
        <v>2600</v>
      </c>
      <c r="U136" s="80">
        <v>9872</v>
      </c>
      <c r="V136" s="80">
        <v>1160</v>
      </c>
      <c r="W136" s="80">
        <v>5670</v>
      </c>
      <c r="X136" s="80">
        <v>2840</v>
      </c>
      <c r="Y136" s="80"/>
      <c r="Z136" s="80">
        <v>18</v>
      </c>
      <c r="AA136" s="80" t="s">
        <v>312</v>
      </c>
      <c r="AB136" s="80">
        <v>16000</v>
      </c>
      <c r="AC136" s="80">
        <v>7030</v>
      </c>
      <c r="AD136" s="80"/>
      <c r="AE136" s="80"/>
      <c r="AF136" s="80"/>
      <c r="AG136" s="80"/>
      <c r="AH136" s="80" t="s">
        <v>162</v>
      </c>
      <c r="AI136" s="80" t="s">
        <v>1401</v>
      </c>
      <c r="AJ136" s="80"/>
      <c r="AK136" s="80" t="s">
        <v>1431</v>
      </c>
      <c r="AL136" s="80"/>
      <c r="AM136" s="80" t="s">
        <v>1433</v>
      </c>
      <c r="AN136" s="80"/>
      <c r="AO136" s="80" t="s">
        <v>1442</v>
      </c>
      <c r="AP136" s="80"/>
      <c r="AQ136" s="80" t="s">
        <v>1443</v>
      </c>
      <c r="AR136" s="80"/>
      <c r="AS136" s="80" t="s">
        <v>1444</v>
      </c>
      <c r="AT136" s="80"/>
      <c r="AU136" s="80" t="s">
        <v>69</v>
      </c>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row>
    <row r="137" spans="1:72" s="144" customFormat="1" ht="25.15" customHeight="1" outlineLevel="1" x14ac:dyDescent="0.25">
      <c r="A137" s="9" t="s">
        <v>202</v>
      </c>
      <c r="B137" s="98" t="s">
        <v>1139</v>
      </c>
      <c r="C137" s="1" t="s">
        <v>1150</v>
      </c>
      <c r="D137" s="80"/>
      <c r="E137" s="80" t="s">
        <v>33</v>
      </c>
      <c r="F137" s="80" t="s">
        <v>37</v>
      </c>
      <c r="G137" s="80" t="s">
        <v>42</v>
      </c>
      <c r="H137" s="80" t="s">
        <v>12</v>
      </c>
      <c r="I137" s="80" t="s">
        <v>7</v>
      </c>
      <c r="J137" s="1"/>
      <c r="K137" s="80" t="s">
        <v>30</v>
      </c>
      <c r="L137" s="1"/>
      <c r="M137" s="80" t="s">
        <v>1447</v>
      </c>
      <c r="N137" s="80" t="s">
        <v>456</v>
      </c>
      <c r="O137" s="80">
        <v>7690</v>
      </c>
      <c r="P137" s="80">
        <v>2454</v>
      </c>
      <c r="Q137" s="80">
        <v>2400</v>
      </c>
      <c r="R137" s="80"/>
      <c r="S137" s="80">
        <v>3675</v>
      </c>
      <c r="T137" s="80">
        <v>2600</v>
      </c>
      <c r="U137" s="80">
        <v>9872</v>
      </c>
      <c r="V137" s="80">
        <v>1160</v>
      </c>
      <c r="W137" s="80">
        <v>5670</v>
      </c>
      <c r="X137" s="80">
        <v>2840</v>
      </c>
      <c r="Y137" s="80"/>
      <c r="Z137" s="80">
        <v>18</v>
      </c>
      <c r="AA137" s="80" t="s">
        <v>296</v>
      </c>
      <c r="AB137" s="80">
        <v>16000</v>
      </c>
      <c r="AC137" s="80">
        <v>6640</v>
      </c>
      <c r="AD137" s="80"/>
      <c r="AE137" s="80"/>
      <c r="AF137" s="80"/>
      <c r="AG137" s="80"/>
      <c r="AH137" s="80" t="s">
        <v>162</v>
      </c>
      <c r="AI137" s="80" t="s">
        <v>1401</v>
      </c>
      <c r="AJ137" s="80"/>
      <c r="AK137" s="80" t="s">
        <v>1431</v>
      </c>
      <c r="AL137" s="80"/>
      <c r="AM137" s="80" t="s">
        <v>1433</v>
      </c>
      <c r="AN137" s="80"/>
      <c r="AO137" s="80" t="s">
        <v>1445</v>
      </c>
      <c r="AP137" s="80"/>
      <c r="AQ137" s="80" t="s">
        <v>1446</v>
      </c>
      <c r="AR137" s="80"/>
      <c r="AS137" s="80" t="s">
        <v>1444</v>
      </c>
      <c r="AT137" s="80"/>
      <c r="AU137" s="84" t="s">
        <v>462</v>
      </c>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row>
    <row r="138" spans="1:72" s="144" customFormat="1" ht="25.15" customHeight="1" outlineLevel="1" x14ac:dyDescent="0.25">
      <c r="A138" s="80" t="s">
        <v>202</v>
      </c>
      <c r="B138" s="98" t="s">
        <v>1139</v>
      </c>
      <c r="C138" s="1" t="s">
        <v>1150</v>
      </c>
      <c r="D138" s="80"/>
      <c r="E138" s="80" t="s">
        <v>33</v>
      </c>
      <c r="F138" s="80" t="s">
        <v>37</v>
      </c>
      <c r="G138" s="80" t="s">
        <v>42</v>
      </c>
      <c r="H138" s="80" t="s">
        <v>29</v>
      </c>
      <c r="I138" s="80" t="s">
        <v>7</v>
      </c>
      <c r="J138" s="1"/>
      <c r="K138" s="80" t="s">
        <v>30</v>
      </c>
      <c r="L138" s="1"/>
      <c r="M138" s="80" t="s">
        <v>1448</v>
      </c>
      <c r="N138" s="80" t="s">
        <v>31</v>
      </c>
      <c r="O138" s="80">
        <v>7690</v>
      </c>
      <c r="P138" s="80">
        <v>2454</v>
      </c>
      <c r="Q138" s="80">
        <v>2400</v>
      </c>
      <c r="R138" s="80"/>
      <c r="S138" s="80">
        <v>3675</v>
      </c>
      <c r="T138" s="80">
        <v>2600</v>
      </c>
      <c r="U138" s="80">
        <v>9872</v>
      </c>
      <c r="V138" s="80">
        <v>1160</v>
      </c>
      <c r="W138" s="80">
        <v>5670</v>
      </c>
      <c r="X138" s="80">
        <v>2840</v>
      </c>
      <c r="Y138" s="80"/>
      <c r="Z138" s="80">
        <v>18</v>
      </c>
      <c r="AA138" s="80" t="s">
        <v>312</v>
      </c>
      <c r="AB138" s="80">
        <v>16000</v>
      </c>
      <c r="AC138" s="80">
        <v>7030</v>
      </c>
      <c r="AD138" s="80"/>
      <c r="AE138" s="80"/>
      <c r="AF138" s="80"/>
      <c r="AG138" s="80"/>
      <c r="AH138" s="80" t="s">
        <v>162</v>
      </c>
      <c r="AI138" s="80" t="s">
        <v>1401</v>
      </c>
      <c r="AJ138" s="80"/>
      <c r="AK138" s="80" t="s">
        <v>1440</v>
      </c>
      <c r="AL138" s="80"/>
      <c r="AM138" s="80" t="s">
        <v>1433</v>
      </c>
      <c r="AN138" s="80"/>
      <c r="AO138" s="80" t="s">
        <v>1442</v>
      </c>
      <c r="AP138" s="80"/>
      <c r="AQ138" s="80" t="s">
        <v>1443</v>
      </c>
      <c r="AR138" s="80"/>
      <c r="AS138" s="80" t="s">
        <v>1444</v>
      </c>
      <c r="AT138" s="80"/>
      <c r="AU138" s="80" t="s">
        <v>69</v>
      </c>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row>
    <row r="139" spans="1:72" s="144" customFormat="1" ht="25.15" customHeight="1" outlineLevel="1" x14ac:dyDescent="0.25">
      <c r="A139" s="80" t="s">
        <v>202</v>
      </c>
      <c r="B139" s="98" t="s">
        <v>1139</v>
      </c>
      <c r="C139" s="1" t="s">
        <v>1150</v>
      </c>
      <c r="D139" s="80"/>
      <c r="E139" s="80" t="s">
        <v>33</v>
      </c>
      <c r="F139" s="80" t="s">
        <v>37</v>
      </c>
      <c r="G139" s="80" t="s">
        <v>42</v>
      </c>
      <c r="H139" s="80" t="s">
        <v>12</v>
      </c>
      <c r="I139" s="80" t="s">
        <v>7</v>
      </c>
      <c r="J139" s="1"/>
      <c r="K139" s="80" t="s">
        <v>30</v>
      </c>
      <c r="L139" s="1"/>
      <c r="M139" s="80" t="s">
        <v>1448</v>
      </c>
      <c r="N139" s="80" t="s">
        <v>456</v>
      </c>
      <c r="O139" s="80">
        <v>7690</v>
      </c>
      <c r="P139" s="80">
        <v>2454</v>
      </c>
      <c r="Q139" s="80">
        <v>2400</v>
      </c>
      <c r="R139" s="80"/>
      <c r="S139" s="80">
        <v>3675</v>
      </c>
      <c r="T139" s="80">
        <v>2600</v>
      </c>
      <c r="U139" s="80">
        <v>9872</v>
      </c>
      <c r="V139" s="80">
        <v>1160</v>
      </c>
      <c r="W139" s="80">
        <v>5670</v>
      </c>
      <c r="X139" s="80">
        <v>2840</v>
      </c>
      <c r="Y139" s="80"/>
      <c r="Z139" s="80">
        <v>18</v>
      </c>
      <c r="AA139" s="80" t="s">
        <v>296</v>
      </c>
      <c r="AB139" s="80">
        <v>16000</v>
      </c>
      <c r="AC139" s="80">
        <v>6640</v>
      </c>
      <c r="AD139" s="80"/>
      <c r="AE139" s="80"/>
      <c r="AF139" s="80"/>
      <c r="AG139" s="80"/>
      <c r="AH139" s="80" t="s">
        <v>162</v>
      </c>
      <c r="AI139" s="80" t="s">
        <v>1401</v>
      </c>
      <c r="AJ139" s="80"/>
      <c r="AK139" s="80" t="s">
        <v>1440</v>
      </c>
      <c r="AL139" s="80"/>
      <c r="AM139" s="80" t="s">
        <v>1433</v>
      </c>
      <c r="AN139" s="80"/>
      <c r="AO139" s="80" t="s">
        <v>1445</v>
      </c>
      <c r="AP139" s="80"/>
      <c r="AQ139" s="80" t="s">
        <v>1446</v>
      </c>
      <c r="AR139" s="80"/>
      <c r="AS139" s="80" t="s">
        <v>1444</v>
      </c>
      <c r="AT139" s="80"/>
      <c r="AU139" s="84" t="s">
        <v>462</v>
      </c>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row>
    <row r="140" spans="1:72" s="144" customFormat="1" ht="25.15" customHeight="1" outlineLevel="1" x14ac:dyDescent="0.25">
      <c r="A140" s="80" t="s">
        <v>202</v>
      </c>
      <c r="B140" s="98" t="s">
        <v>1139</v>
      </c>
      <c r="C140" s="1" t="s">
        <v>1150</v>
      </c>
      <c r="D140" s="80"/>
      <c r="E140" s="80" t="s">
        <v>33</v>
      </c>
      <c r="F140" s="80" t="s">
        <v>37</v>
      </c>
      <c r="G140" s="80" t="s">
        <v>42</v>
      </c>
      <c r="H140" s="80" t="s">
        <v>32</v>
      </c>
      <c r="I140" s="80" t="s">
        <v>7</v>
      </c>
      <c r="J140" s="1"/>
      <c r="K140" s="80" t="s">
        <v>30</v>
      </c>
      <c r="L140" s="1"/>
      <c r="M140" s="80" t="s">
        <v>1449</v>
      </c>
      <c r="N140" s="80" t="s">
        <v>460</v>
      </c>
      <c r="O140" s="80">
        <v>7690</v>
      </c>
      <c r="P140" s="80">
        <v>2454</v>
      </c>
      <c r="Q140" s="80">
        <v>2400</v>
      </c>
      <c r="R140" s="80"/>
      <c r="S140" s="80">
        <v>3675</v>
      </c>
      <c r="T140" s="80">
        <v>2600</v>
      </c>
      <c r="U140" s="80">
        <v>9872</v>
      </c>
      <c r="V140" s="80">
        <v>1160</v>
      </c>
      <c r="W140" s="80">
        <v>5670</v>
      </c>
      <c r="X140" s="80">
        <v>2840</v>
      </c>
      <c r="Y140" s="80"/>
      <c r="Z140" s="80">
        <v>18</v>
      </c>
      <c r="AA140" s="80" t="s">
        <v>1411</v>
      </c>
      <c r="AB140" s="80">
        <v>16000</v>
      </c>
      <c r="AC140" s="80">
        <v>6315</v>
      </c>
      <c r="AD140" s="80"/>
      <c r="AE140" s="80"/>
      <c r="AF140" s="80"/>
      <c r="AG140" s="80"/>
      <c r="AH140" s="80" t="s">
        <v>162</v>
      </c>
      <c r="AI140" s="80" t="s">
        <v>1401</v>
      </c>
      <c r="AJ140" s="80"/>
      <c r="AK140" s="80" t="s">
        <v>1450</v>
      </c>
      <c r="AL140" s="80"/>
      <c r="AM140" s="80" t="s">
        <v>1433</v>
      </c>
      <c r="AN140" s="80"/>
      <c r="AO140" s="80" t="s">
        <v>1451</v>
      </c>
      <c r="AP140" s="80"/>
      <c r="AQ140" s="80" t="s">
        <v>1443</v>
      </c>
      <c r="AR140" s="80"/>
      <c r="AS140" s="80" t="s">
        <v>1444</v>
      </c>
      <c r="AT140" s="80"/>
      <c r="AU140" s="80" t="s">
        <v>1452</v>
      </c>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row>
    <row r="141" spans="1:72" s="144" customFormat="1" ht="25.15" customHeight="1" outlineLevel="1" x14ac:dyDescent="0.25">
      <c r="A141" s="9" t="s">
        <v>202</v>
      </c>
      <c r="B141" s="98" t="s">
        <v>1139</v>
      </c>
      <c r="C141" s="1" t="s">
        <v>1150</v>
      </c>
      <c r="D141" s="80"/>
      <c r="E141" s="80" t="s">
        <v>33</v>
      </c>
      <c r="F141" s="80" t="s">
        <v>37</v>
      </c>
      <c r="G141" s="80" t="s">
        <v>42</v>
      </c>
      <c r="H141" s="80" t="s">
        <v>29</v>
      </c>
      <c r="I141" s="80" t="s">
        <v>7</v>
      </c>
      <c r="J141" s="1"/>
      <c r="K141" s="80" t="s">
        <v>30</v>
      </c>
      <c r="L141" s="1"/>
      <c r="M141" s="80" t="s">
        <v>1453</v>
      </c>
      <c r="N141" s="80" t="s">
        <v>31</v>
      </c>
      <c r="O141" s="80">
        <v>7690</v>
      </c>
      <c r="P141" s="80">
        <v>2454</v>
      </c>
      <c r="Q141" s="80">
        <v>2400</v>
      </c>
      <c r="R141" s="80"/>
      <c r="S141" s="80">
        <v>3785</v>
      </c>
      <c r="T141" s="80">
        <v>2600</v>
      </c>
      <c r="U141" s="80">
        <v>9832</v>
      </c>
      <c r="V141" s="80">
        <v>1270</v>
      </c>
      <c r="W141" s="80">
        <v>5670</v>
      </c>
      <c r="X141" s="80">
        <v>2800</v>
      </c>
      <c r="Y141" s="80"/>
      <c r="Z141" s="80">
        <v>18</v>
      </c>
      <c r="AA141" s="80" t="s">
        <v>312</v>
      </c>
      <c r="AB141" s="80">
        <v>19000</v>
      </c>
      <c r="AC141" s="80">
        <v>9450</v>
      </c>
      <c r="AD141" s="80"/>
      <c r="AE141" s="80"/>
      <c r="AF141" s="80"/>
      <c r="AG141" s="80"/>
      <c r="AH141" s="80" t="s">
        <v>162</v>
      </c>
      <c r="AI141" s="80" t="s">
        <v>1454</v>
      </c>
      <c r="AJ141" s="80"/>
      <c r="AK141" s="80" t="s">
        <v>1455</v>
      </c>
      <c r="AL141" s="80"/>
      <c r="AM141" s="80" t="s">
        <v>1456</v>
      </c>
      <c r="AN141" s="80"/>
      <c r="AO141" s="80" t="s">
        <v>1457</v>
      </c>
      <c r="AP141" s="80"/>
      <c r="AQ141" s="80" t="s">
        <v>1443</v>
      </c>
      <c r="AR141" s="80"/>
      <c r="AS141" s="80" t="s">
        <v>1444</v>
      </c>
      <c r="AT141" s="80"/>
      <c r="AU141" s="80" t="s">
        <v>1458</v>
      </c>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row>
    <row r="142" spans="1:72" s="144" customFormat="1" ht="25.15" customHeight="1" outlineLevel="1" x14ac:dyDescent="0.25">
      <c r="A142" s="9" t="s">
        <v>202</v>
      </c>
      <c r="B142" s="98" t="s">
        <v>1139</v>
      </c>
      <c r="C142" s="80"/>
      <c r="D142" s="80"/>
      <c r="E142" s="80" t="s">
        <v>33</v>
      </c>
      <c r="F142" s="80" t="s">
        <v>37</v>
      </c>
      <c r="G142" s="80" t="s">
        <v>42</v>
      </c>
      <c r="H142" s="80" t="s">
        <v>12</v>
      </c>
      <c r="I142" s="80" t="s">
        <v>7</v>
      </c>
      <c r="J142" s="1"/>
      <c r="K142" s="80" t="s">
        <v>30</v>
      </c>
      <c r="L142" s="1"/>
      <c r="M142" s="80" t="s">
        <v>1453</v>
      </c>
      <c r="N142" s="80" t="s">
        <v>456</v>
      </c>
      <c r="O142" s="80">
        <v>7690</v>
      </c>
      <c r="P142" s="80">
        <v>2454</v>
      </c>
      <c r="Q142" s="80">
        <v>2400</v>
      </c>
      <c r="R142" s="80"/>
      <c r="S142" s="80">
        <v>3785</v>
      </c>
      <c r="T142" s="80">
        <v>2600</v>
      </c>
      <c r="U142" s="80">
        <v>9832</v>
      </c>
      <c r="V142" s="80">
        <v>1270</v>
      </c>
      <c r="W142" s="80">
        <v>5670</v>
      </c>
      <c r="X142" s="80">
        <v>2800</v>
      </c>
      <c r="Y142" s="80"/>
      <c r="Z142" s="80">
        <v>18</v>
      </c>
      <c r="AA142" s="80" t="s">
        <v>296</v>
      </c>
      <c r="AB142" s="80">
        <v>19000</v>
      </c>
      <c r="AC142" s="80">
        <v>9020</v>
      </c>
      <c r="AD142" s="80"/>
      <c r="AE142" s="80"/>
      <c r="AF142" s="80"/>
      <c r="AG142" s="80"/>
      <c r="AH142" s="80" t="s">
        <v>162</v>
      </c>
      <c r="AI142" s="80" t="s">
        <v>1454</v>
      </c>
      <c r="AJ142" s="80"/>
      <c r="AK142" s="80" t="s">
        <v>1455</v>
      </c>
      <c r="AL142" s="80"/>
      <c r="AM142" s="80" t="s">
        <v>1456</v>
      </c>
      <c r="AN142" s="80"/>
      <c r="AO142" s="80" t="s">
        <v>1459</v>
      </c>
      <c r="AP142" s="80"/>
      <c r="AQ142" s="80" t="s">
        <v>1425</v>
      </c>
      <c r="AR142" s="80"/>
      <c r="AS142" s="80" t="s">
        <v>1444</v>
      </c>
      <c r="AT142" s="80"/>
      <c r="AU142" s="80" t="s">
        <v>1460</v>
      </c>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row>
    <row r="143" spans="1:72" s="144" customFormat="1" ht="25.15" customHeight="1" outlineLevel="1" x14ac:dyDescent="0.25">
      <c r="A143" s="9" t="s">
        <v>202</v>
      </c>
      <c r="B143" s="98" t="s">
        <v>1139</v>
      </c>
      <c r="C143" s="80"/>
      <c r="D143" s="80"/>
      <c r="E143" s="80" t="s">
        <v>33</v>
      </c>
      <c r="F143" s="80" t="s">
        <v>37</v>
      </c>
      <c r="G143" s="80" t="s">
        <v>42</v>
      </c>
      <c r="H143" s="80" t="s">
        <v>32</v>
      </c>
      <c r="I143" s="80" t="s">
        <v>7</v>
      </c>
      <c r="J143" s="1"/>
      <c r="K143" s="80" t="s">
        <v>30</v>
      </c>
      <c r="L143" s="1"/>
      <c r="M143" s="80" t="s">
        <v>1453</v>
      </c>
      <c r="N143" s="80" t="s">
        <v>460</v>
      </c>
      <c r="O143" s="80">
        <v>7690</v>
      </c>
      <c r="P143" s="80">
        <v>2454</v>
      </c>
      <c r="Q143" s="80">
        <v>2400</v>
      </c>
      <c r="R143" s="80"/>
      <c r="S143" s="80">
        <v>3785</v>
      </c>
      <c r="T143" s="80">
        <v>2600</v>
      </c>
      <c r="U143" s="80">
        <v>9832</v>
      </c>
      <c r="V143" s="80">
        <v>1270</v>
      </c>
      <c r="W143" s="80">
        <v>5670</v>
      </c>
      <c r="X143" s="80">
        <v>2800</v>
      </c>
      <c r="Y143" s="80"/>
      <c r="Z143" s="80">
        <v>18</v>
      </c>
      <c r="AA143" s="80" t="s">
        <v>1411</v>
      </c>
      <c r="AB143" s="80">
        <v>19000</v>
      </c>
      <c r="AC143" s="80">
        <v>8740</v>
      </c>
      <c r="AD143" s="80"/>
      <c r="AE143" s="80"/>
      <c r="AF143" s="80"/>
      <c r="AG143" s="80"/>
      <c r="AH143" s="80" t="s">
        <v>162</v>
      </c>
      <c r="AI143" s="80" t="s">
        <v>1454</v>
      </c>
      <c r="AJ143" s="80"/>
      <c r="AK143" s="80" t="s">
        <v>1455</v>
      </c>
      <c r="AL143" s="80"/>
      <c r="AM143" s="80" t="s">
        <v>1456</v>
      </c>
      <c r="AN143" s="80"/>
      <c r="AO143" s="80" t="s">
        <v>1461</v>
      </c>
      <c r="AP143" s="80"/>
      <c r="AQ143" s="80" t="s">
        <v>1443</v>
      </c>
      <c r="AR143" s="80"/>
      <c r="AS143" s="80" t="s">
        <v>1444</v>
      </c>
      <c r="AT143" s="80"/>
      <c r="AU143" s="80" t="s">
        <v>1462</v>
      </c>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row>
    <row r="144" spans="1:72" s="144" customFormat="1" ht="25.15" customHeight="1" outlineLevel="1" x14ac:dyDescent="0.25">
      <c r="A144" s="80" t="s">
        <v>202</v>
      </c>
      <c r="B144" s="98" t="s">
        <v>1139</v>
      </c>
      <c r="C144" s="1" t="s">
        <v>1150</v>
      </c>
      <c r="D144" s="80"/>
      <c r="E144" s="80" t="s">
        <v>33</v>
      </c>
      <c r="F144" s="80" t="s">
        <v>37</v>
      </c>
      <c r="G144" s="80" t="s">
        <v>42</v>
      </c>
      <c r="H144" s="80" t="s">
        <v>29</v>
      </c>
      <c r="I144" s="80" t="s">
        <v>7</v>
      </c>
      <c r="J144" s="1"/>
      <c r="K144" s="80" t="s">
        <v>30</v>
      </c>
      <c r="L144" s="1"/>
      <c r="M144" s="80" t="s">
        <v>1463</v>
      </c>
      <c r="N144" s="80" t="s">
        <v>31</v>
      </c>
      <c r="O144" s="80">
        <v>7690</v>
      </c>
      <c r="P144" s="80">
        <v>2454</v>
      </c>
      <c r="Q144" s="80">
        <v>2400</v>
      </c>
      <c r="R144" s="80"/>
      <c r="S144" s="80">
        <v>3785</v>
      </c>
      <c r="T144" s="80">
        <v>2600</v>
      </c>
      <c r="U144" s="80">
        <v>9832</v>
      </c>
      <c r="V144" s="80">
        <v>1270</v>
      </c>
      <c r="W144" s="80">
        <v>5670</v>
      </c>
      <c r="X144" s="80">
        <v>2800</v>
      </c>
      <c r="Y144" s="80"/>
      <c r="Z144" s="80">
        <v>18</v>
      </c>
      <c r="AA144" s="80" t="s">
        <v>312</v>
      </c>
      <c r="AB144" s="80">
        <v>19000</v>
      </c>
      <c r="AC144" s="80">
        <v>9450</v>
      </c>
      <c r="AD144" s="80"/>
      <c r="AE144" s="80"/>
      <c r="AF144" s="80"/>
      <c r="AG144" s="80"/>
      <c r="AH144" s="80" t="s">
        <v>162</v>
      </c>
      <c r="AI144" s="80" t="s">
        <v>1454</v>
      </c>
      <c r="AJ144" s="80"/>
      <c r="AK144" s="80" t="s">
        <v>1450</v>
      </c>
      <c r="AL144" s="80"/>
      <c r="AM144" s="80" t="s">
        <v>1456</v>
      </c>
      <c r="AN144" s="80"/>
      <c r="AO144" s="80" t="s">
        <v>1457</v>
      </c>
      <c r="AP144" s="80"/>
      <c r="AQ144" s="80" t="s">
        <v>1443</v>
      </c>
      <c r="AR144" s="80"/>
      <c r="AS144" s="80" t="s">
        <v>1444</v>
      </c>
      <c r="AT144" s="80"/>
      <c r="AU144" s="80" t="s">
        <v>1458</v>
      </c>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row>
    <row r="145" spans="1:72" s="144" customFormat="1" ht="25.15" customHeight="1" outlineLevel="1" x14ac:dyDescent="0.25">
      <c r="A145" s="80" t="s">
        <v>202</v>
      </c>
      <c r="B145" s="98" t="s">
        <v>1139</v>
      </c>
      <c r="C145" s="80"/>
      <c r="D145" s="80"/>
      <c r="E145" s="80" t="s">
        <v>33</v>
      </c>
      <c r="F145" s="80" t="s">
        <v>37</v>
      </c>
      <c r="G145" s="80" t="s">
        <v>42</v>
      </c>
      <c r="H145" s="80" t="s">
        <v>12</v>
      </c>
      <c r="I145" s="80" t="s">
        <v>7</v>
      </c>
      <c r="J145" s="1"/>
      <c r="K145" s="80" t="s">
        <v>30</v>
      </c>
      <c r="L145" s="1"/>
      <c r="M145" s="80" t="s">
        <v>1463</v>
      </c>
      <c r="N145" s="80" t="s">
        <v>456</v>
      </c>
      <c r="O145" s="80">
        <v>7690</v>
      </c>
      <c r="P145" s="80">
        <v>2454</v>
      </c>
      <c r="Q145" s="80">
        <v>2400</v>
      </c>
      <c r="R145" s="80"/>
      <c r="S145" s="80">
        <v>3785</v>
      </c>
      <c r="T145" s="80">
        <v>2600</v>
      </c>
      <c r="U145" s="80">
        <v>9832</v>
      </c>
      <c r="V145" s="80">
        <v>1270</v>
      </c>
      <c r="W145" s="80">
        <v>5670</v>
      </c>
      <c r="X145" s="80">
        <v>2800</v>
      </c>
      <c r="Y145" s="80"/>
      <c r="Z145" s="80">
        <v>18</v>
      </c>
      <c r="AA145" s="80" t="s">
        <v>296</v>
      </c>
      <c r="AB145" s="80">
        <v>19000</v>
      </c>
      <c r="AC145" s="80">
        <v>9020</v>
      </c>
      <c r="AD145" s="80"/>
      <c r="AE145" s="80"/>
      <c r="AF145" s="80"/>
      <c r="AG145" s="80"/>
      <c r="AH145" s="80" t="s">
        <v>162</v>
      </c>
      <c r="AI145" s="80" t="s">
        <v>1454</v>
      </c>
      <c r="AJ145" s="80"/>
      <c r="AK145" s="80" t="s">
        <v>1450</v>
      </c>
      <c r="AL145" s="80"/>
      <c r="AM145" s="80" t="s">
        <v>1456</v>
      </c>
      <c r="AN145" s="80"/>
      <c r="AO145" s="80" t="s">
        <v>1459</v>
      </c>
      <c r="AP145" s="80"/>
      <c r="AQ145" s="80" t="s">
        <v>1425</v>
      </c>
      <c r="AR145" s="80"/>
      <c r="AS145" s="80" t="s">
        <v>1444</v>
      </c>
      <c r="AT145" s="80"/>
      <c r="AU145" s="80" t="s">
        <v>1460</v>
      </c>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row>
    <row r="146" spans="1:72" s="144" customFormat="1" ht="25.15" customHeight="1" outlineLevel="1" x14ac:dyDescent="0.25">
      <c r="A146" s="80" t="s">
        <v>202</v>
      </c>
      <c r="B146" s="98" t="s">
        <v>1139</v>
      </c>
      <c r="C146" s="80"/>
      <c r="D146" s="80"/>
      <c r="E146" s="80" t="s">
        <v>33</v>
      </c>
      <c r="F146" s="80" t="s">
        <v>37</v>
      </c>
      <c r="G146" s="80" t="s">
        <v>42</v>
      </c>
      <c r="H146" s="80" t="s">
        <v>32</v>
      </c>
      <c r="I146" s="80" t="s">
        <v>7</v>
      </c>
      <c r="J146" s="1"/>
      <c r="K146" s="80" t="s">
        <v>30</v>
      </c>
      <c r="L146" s="1"/>
      <c r="M146" s="80" t="s">
        <v>1463</v>
      </c>
      <c r="N146" s="80" t="s">
        <v>460</v>
      </c>
      <c r="O146" s="80">
        <v>7690</v>
      </c>
      <c r="P146" s="80">
        <v>2454</v>
      </c>
      <c r="Q146" s="80">
        <v>2400</v>
      </c>
      <c r="R146" s="80"/>
      <c r="S146" s="80">
        <v>3785</v>
      </c>
      <c r="T146" s="80">
        <v>2600</v>
      </c>
      <c r="U146" s="80">
        <v>9832</v>
      </c>
      <c r="V146" s="80">
        <v>1270</v>
      </c>
      <c r="W146" s="80">
        <v>5670</v>
      </c>
      <c r="X146" s="80">
        <v>2800</v>
      </c>
      <c r="Y146" s="80"/>
      <c r="Z146" s="80">
        <v>18</v>
      </c>
      <c r="AA146" s="80" t="s">
        <v>1411</v>
      </c>
      <c r="AB146" s="80">
        <v>19000</v>
      </c>
      <c r="AC146" s="80">
        <v>8740</v>
      </c>
      <c r="AD146" s="80"/>
      <c r="AE146" s="80"/>
      <c r="AF146" s="80"/>
      <c r="AG146" s="80"/>
      <c r="AH146" s="80" t="s">
        <v>162</v>
      </c>
      <c r="AI146" s="80" t="s">
        <v>1454</v>
      </c>
      <c r="AJ146" s="80"/>
      <c r="AK146" s="80" t="s">
        <v>1450</v>
      </c>
      <c r="AL146" s="80"/>
      <c r="AM146" s="80" t="s">
        <v>1456</v>
      </c>
      <c r="AN146" s="80"/>
      <c r="AO146" s="80" t="s">
        <v>1461</v>
      </c>
      <c r="AP146" s="80"/>
      <c r="AQ146" s="80" t="s">
        <v>1443</v>
      </c>
      <c r="AR146" s="80"/>
      <c r="AS146" s="80" t="s">
        <v>1444</v>
      </c>
      <c r="AT146" s="80"/>
      <c r="AU146" s="80" t="s">
        <v>1462</v>
      </c>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row>
    <row r="147" spans="1:72" s="144" customFormat="1" ht="25.15" customHeight="1" outlineLevel="1" x14ac:dyDescent="0.25">
      <c r="A147" s="9" t="s">
        <v>202</v>
      </c>
      <c r="B147" s="98" t="s">
        <v>1139</v>
      </c>
      <c r="C147" s="1" t="s">
        <v>1150</v>
      </c>
      <c r="D147" s="80"/>
      <c r="E147" s="80" t="s">
        <v>33</v>
      </c>
      <c r="F147" s="80" t="s">
        <v>37</v>
      </c>
      <c r="G147" s="80" t="s">
        <v>43</v>
      </c>
      <c r="H147" s="80" t="s">
        <v>29</v>
      </c>
      <c r="I147" s="80" t="s">
        <v>7</v>
      </c>
      <c r="J147" s="1"/>
      <c r="K147" s="80" t="s">
        <v>30</v>
      </c>
      <c r="L147" s="1"/>
      <c r="M147" s="80" t="s">
        <v>1464</v>
      </c>
      <c r="N147" s="80" t="s">
        <v>31</v>
      </c>
      <c r="O147" s="80">
        <v>8890</v>
      </c>
      <c r="P147" s="80">
        <v>2454</v>
      </c>
      <c r="Q147" s="80">
        <v>2400</v>
      </c>
      <c r="R147" s="80"/>
      <c r="S147" s="80">
        <v>3785</v>
      </c>
      <c r="T147" s="80">
        <v>2600</v>
      </c>
      <c r="U147" s="80">
        <v>11032</v>
      </c>
      <c r="V147" s="80">
        <v>1270</v>
      </c>
      <c r="W147" s="80">
        <v>6570</v>
      </c>
      <c r="X147" s="80">
        <v>3100</v>
      </c>
      <c r="Y147" s="80"/>
      <c r="Z147" s="80">
        <v>21</v>
      </c>
      <c r="AA147" s="80" t="s">
        <v>312</v>
      </c>
      <c r="AB147" s="80">
        <v>19000</v>
      </c>
      <c r="AC147" s="80">
        <v>8915</v>
      </c>
      <c r="AD147" s="80"/>
      <c r="AE147" s="80"/>
      <c r="AF147" s="80"/>
      <c r="AG147" s="80"/>
      <c r="AH147" s="80" t="s">
        <v>163</v>
      </c>
      <c r="AI147" s="80" t="s">
        <v>1454</v>
      </c>
      <c r="AJ147" s="80"/>
      <c r="AK147" s="80" t="s">
        <v>1455</v>
      </c>
      <c r="AL147" s="80"/>
      <c r="AM147" s="80" t="s">
        <v>1456</v>
      </c>
      <c r="AN147" s="80"/>
      <c r="AO147" s="80" t="s">
        <v>1457</v>
      </c>
      <c r="AP147" s="80"/>
      <c r="AQ147" s="80" t="s">
        <v>1465</v>
      </c>
      <c r="AR147" s="80"/>
      <c r="AS147" s="80" t="s">
        <v>1444</v>
      </c>
      <c r="AT147" s="80"/>
      <c r="AU147" s="80" t="s">
        <v>1466</v>
      </c>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row>
    <row r="148" spans="1:72" s="144" customFormat="1" ht="25.15" customHeight="1" outlineLevel="1" x14ac:dyDescent="0.25">
      <c r="A148" s="9" t="s">
        <v>202</v>
      </c>
      <c r="B148" s="98" t="s">
        <v>1139</v>
      </c>
      <c r="C148" s="1" t="s">
        <v>1150</v>
      </c>
      <c r="D148" s="80"/>
      <c r="E148" s="80" t="s">
        <v>33</v>
      </c>
      <c r="F148" s="80" t="s">
        <v>37</v>
      </c>
      <c r="G148" s="80" t="s">
        <v>43</v>
      </c>
      <c r="H148" s="80" t="s">
        <v>12</v>
      </c>
      <c r="I148" s="80" t="s">
        <v>7</v>
      </c>
      <c r="J148" s="1"/>
      <c r="K148" s="80" t="s">
        <v>30</v>
      </c>
      <c r="L148" s="1"/>
      <c r="M148" s="80" t="s">
        <v>1464</v>
      </c>
      <c r="N148" s="80" t="s">
        <v>456</v>
      </c>
      <c r="O148" s="80">
        <v>8890</v>
      </c>
      <c r="P148" s="80">
        <v>2454</v>
      </c>
      <c r="Q148" s="80">
        <v>2400</v>
      </c>
      <c r="R148" s="80"/>
      <c r="S148" s="80">
        <v>3785</v>
      </c>
      <c r="T148" s="80">
        <v>2600</v>
      </c>
      <c r="U148" s="80">
        <v>11032</v>
      </c>
      <c r="V148" s="80">
        <v>1270</v>
      </c>
      <c r="W148" s="80">
        <v>6570</v>
      </c>
      <c r="X148" s="80">
        <v>3100</v>
      </c>
      <c r="Y148" s="80"/>
      <c r="Z148" s="80">
        <v>21</v>
      </c>
      <c r="AA148" s="80" t="s">
        <v>296</v>
      </c>
      <c r="AB148" s="80">
        <v>19000</v>
      </c>
      <c r="AC148" s="80">
        <v>8520</v>
      </c>
      <c r="AD148" s="80"/>
      <c r="AE148" s="80"/>
      <c r="AF148" s="80"/>
      <c r="AG148" s="80"/>
      <c r="AH148" s="80" t="s">
        <v>163</v>
      </c>
      <c r="AI148" s="80" t="s">
        <v>1454</v>
      </c>
      <c r="AJ148" s="80"/>
      <c r="AK148" s="80" t="s">
        <v>1455</v>
      </c>
      <c r="AL148" s="80"/>
      <c r="AM148" s="80" t="s">
        <v>1456</v>
      </c>
      <c r="AN148" s="80"/>
      <c r="AO148" s="80" t="s">
        <v>1459</v>
      </c>
      <c r="AP148" s="80"/>
      <c r="AQ148" s="80" t="s">
        <v>1425</v>
      </c>
      <c r="AR148" s="80"/>
      <c r="AS148" s="80" t="s">
        <v>1444</v>
      </c>
      <c r="AT148" s="80"/>
      <c r="AU148" s="80" t="s">
        <v>466</v>
      </c>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row>
    <row r="149" spans="1:72" s="144" customFormat="1" ht="25.15" customHeight="1" outlineLevel="1" x14ac:dyDescent="0.25">
      <c r="A149" s="9" t="s">
        <v>202</v>
      </c>
      <c r="B149" s="98" t="s">
        <v>1139</v>
      </c>
      <c r="C149" s="1" t="s">
        <v>1150</v>
      </c>
      <c r="D149" s="80"/>
      <c r="E149" s="80" t="s">
        <v>33</v>
      </c>
      <c r="F149" s="80" t="s">
        <v>37</v>
      </c>
      <c r="G149" s="80" t="s">
        <v>43</v>
      </c>
      <c r="H149" s="80" t="s">
        <v>29</v>
      </c>
      <c r="I149" s="80" t="s">
        <v>7</v>
      </c>
      <c r="J149" s="1"/>
      <c r="K149" s="80" t="s">
        <v>30</v>
      </c>
      <c r="L149" s="1"/>
      <c r="M149" s="80" t="s">
        <v>1467</v>
      </c>
      <c r="N149" s="80" t="s">
        <v>31</v>
      </c>
      <c r="O149" s="80">
        <v>8890</v>
      </c>
      <c r="P149" s="80">
        <v>2454</v>
      </c>
      <c r="Q149" s="80">
        <v>2400</v>
      </c>
      <c r="R149" s="80"/>
      <c r="S149" s="80">
        <v>3785</v>
      </c>
      <c r="T149" s="80">
        <v>2600</v>
      </c>
      <c r="U149" s="80">
        <v>11032</v>
      </c>
      <c r="V149" s="80">
        <v>1270</v>
      </c>
      <c r="W149" s="80">
        <v>6570</v>
      </c>
      <c r="X149" s="80">
        <v>3100</v>
      </c>
      <c r="Y149" s="80"/>
      <c r="Z149" s="80">
        <v>21</v>
      </c>
      <c r="AA149" s="80" t="s">
        <v>312</v>
      </c>
      <c r="AB149" s="80">
        <v>19000</v>
      </c>
      <c r="AC149" s="80">
        <v>8915</v>
      </c>
      <c r="AD149" s="80"/>
      <c r="AE149" s="80"/>
      <c r="AF149" s="80"/>
      <c r="AG149" s="80"/>
      <c r="AH149" s="80" t="s">
        <v>163</v>
      </c>
      <c r="AI149" s="80" t="s">
        <v>1454</v>
      </c>
      <c r="AJ149" s="80"/>
      <c r="AK149" s="80" t="s">
        <v>1450</v>
      </c>
      <c r="AL149" s="80"/>
      <c r="AM149" s="80" t="s">
        <v>1456</v>
      </c>
      <c r="AN149" s="80"/>
      <c r="AO149" s="80" t="s">
        <v>1457</v>
      </c>
      <c r="AP149" s="80"/>
      <c r="AQ149" s="80" t="s">
        <v>1465</v>
      </c>
      <c r="AR149" s="80"/>
      <c r="AS149" s="80" t="s">
        <v>1444</v>
      </c>
      <c r="AT149" s="80"/>
      <c r="AU149" s="80" t="s">
        <v>1466</v>
      </c>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row>
    <row r="150" spans="1:72" s="144" customFormat="1" ht="25.15" customHeight="1" outlineLevel="1" x14ac:dyDescent="0.25">
      <c r="A150" s="9" t="s">
        <v>202</v>
      </c>
      <c r="B150" s="98" t="s">
        <v>1139</v>
      </c>
      <c r="C150" s="1" t="s">
        <v>1150</v>
      </c>
      <c r="D150" s="80"/>
      <c r="E150" s="80" t="s">
        <v>33</v>
      </c>
      <c r="F150" s="80" t="s">
        <v>37</v>
      </c>
      <c r="G150" s="80" t="s">
        <v>43</v>
      </c>
      <c r="H150" s="80" t="s">
        <v>12</v>
      </c>
      <c r="I150" s="80" t="s">
        <v>7</v>
      </c>
      <c r="J150" s="1"/>
      <c r="K150" s="80" t="s">
        <v>30</v>
      </c>
      <c r="L150" s="1"/>
      <c r="M150" s="80" t="s">
        <v>1467</v>
      </c>
      <c r="N150" s="80" t="s">
        <v>456</v>
      </c>
      <c r="O150" s="80">
        <v>8890</v>
      </c>
      <c r="P150" s="80">
        <v>2454</v>
      </c>
      <c r="Q150" s="80">
        <v>2400</v>
      </c>
      <c r="R150" s="80"/>
      <c r="S150" s="80">
        <v>3785</v>
      </c>
      <c r="T150" s="80">
        <v>2600</v>
      </c>
      <c r="U150" s="80">
        <v>11032</v>
      </c>
      <c r="V150" s="80">
        <v>1270</v>
      </c>
      <c r="W150" s="80">
        <v>6570</v>
      </c>
      <c r="X150" s="80">
        <v>3100</v>
      </c>
      <c r="Y150" s="80"/>
      <c r="Z150" s="80">
        <v>21</v>
      </c>
      <c r="AA150" s="80" t="s">
        <v>296</v>
      </c>
      <c r="AB150" s="80">
        <v>19000</v>
      </c>
      <c r="AC150" s="80">
        <v>8520</v>
      </c>
      <c r="AD150" s="80"/>
      <c r="AE150" s="80"/>
      <c r="AF150" s="80"/>
      <c r="AG150" s="80"/>
      <c r="AH150" s="80" t="s">
        <v>163</v>
      </c>
      <c r="AI150" s="80" t="s">
        <v>1454</v>
      </c>
      <c r="AJ150" s="80"/>
      <c r="AK150" s="80" t="s">
        <v>1450</v>
      </c>
      <c r="AL150" s="80"/>
      <c r="AM150" s="80" t="s">
        <v>1456</v>
      </c>
      <c r="AN150" s="80"/>
      <c r="AO150" s="80" t="s">
        <v>1459</v>
      </c>
      <c r="AP150" s="80"/>
      <c r="AQ150" s="80" t="s">
        <v>1425</v>
      </c>
      <c r="AR150" s="80"/>
      <c r="AS150" s="80" t="s">
        <v>1444</v>
      </c>
      <c r="AT150" s="80"/>
      <c r="AU150" s="80" t="s">
        <v>466</v>
      </c>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row>
    <row r="151" spans="1:72" s="143" customFormat="1" ht="25.15" customHeight="1" outlineLevel="1" x14ac:dyDescent="0.25">
      <c r="A151" s="9" t="s">
        <v>202</v>
      </c>
      <c r="B151" s="80" t="s">
        <v>1139</v>
      </c>
      <c r="C151" s="80" t="s">
        <v>1150</v>
      </c>
      <c r="D151" s="80"/>
      <c r="E151" s="80" t="s">
        <v>1468</v>
      </c>
      <c r="F151" s="80" t="s">
        <v>1469</v>
      </c>
      <c r="G151" s="80" t="s">
        <v>1152</v>
      </c>
      <c r="H151" s="80" t="s">
        <v>29</v>
      </c>
      <c r="I151" s="80"/>
      <c r="J151" s="9"/>
      <c r="K151" s="80" t="s">
        <v>30</v>
      </c>
      <c r="L151" s="1"/>
      <c r="M151" s="80" t="s">
        <v>1470</v>
      </c>
      <c r="N151" s="80" t="s">
        <v>31</v>
      </c>
      <c r="O151" s="80">
        <v>1510</v>
      </c>
      <c r="P151" s="80">
        <v>1320</v>
      </c>
      <c r="Q151" s="80">
        <v>1080</v>
      </c>
      <c r="R151" s="80"/>
      <c r="S151" s="80">
        <v>2055</v>
      </c>
      <c r="T151" s="80">
        <v>1860</v>
      </c>
      <c r="U151" s="80">
        <v>4489</v>
      </c>
      <c r="V151" s="80">
        <v>660</v>
      </c>
      <c r="W151" s="80">
        <v>2716</v>
      </c>
      <c r="X151" s="80">
        <v>813</v>
      </c>
      <c r="Y151" s="80"/>
      <c r="Z151" s="80"/>
      <c r="AA151" s="80" t="s">
        <v>1471</v>
      </c>
      <c r="AB151" s="80">
        <v>2230</v>
      </c>
      <c r="AC151" s="80">
        <v>535</v>
      </c>
      <c r="AD151" s="80"/>
      <c r="AE151" s="80"/>
      <c r="AF151" s="80"/>
      <c r="AG151" s="80"/>
      <c r="AH151" s="80">
        <v>1.7</v>
      </c>
      <c r="AI151" s="80" t="s">
        <v>1472</v>
      </c>
      <c r="AJ151" s="80"/>
      <c r="AK151" s="80" t="s">
        <v>1473</v>
      </c>
      <c r="AL151" s="80"/>
      <c r="AM151" s="80" t="s">
        <v>1474</v>
      </c>
      <c r="AN151" s="80"/>
      <c r="AO151" s="80" t="s">
        <v>1475</v>
      </c>
      <c r="AP151" s="80"/>
      <c r="AQ151" s="80" t="s">
        <v>1476</v>
      </c>
      <c r="AR151" s="80"/>
      <c r="AS151" s="80"/>
      <c r="AT151" s="80"/>
      <c r="AU151" s="84" t="s">
        <v>1477</v>
      </c>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row>
    <row r="152" spans="1:72" s="143" customFormat="1" ht="25.15" customHeight="1" outlineLevel="1" x14ac:dyDescent="0.25">
      <c r="A152" s="9" t="s">
        <v>202</v>
      </c>
      <c r="B152" s="80" t="s">
        <v>1139</v>
      </c>
      <c r="C152" s="80" t="s">
        <v>1150</v>
      </c>
      <c r="D152" s="80"/>
      <c r="E152" s="80" t="s">
        <v>1468</v>
      </c>
      <c r="F152" s="80" t="s">
        <v>1469</v>
      </c>
      <c r="G152" s="80" t="s">
        <v>1199</v>
      </c>
      <c r="H152" s="80" t="s">
        <v>29</v>
      </c>
      <c r="I152" s="80"/>
      <c r="J152" s="80"/>
      <c r="K152" s="80" t="s">
        <v>30</v>
      </c>
      <c r="L152" s="1"/>
      <c r="M152" s="80" t="s">
        <v>1478</v>
      </c>
      <c r="N152" s="80" t="s">
        <v>31</v>
      </c>
      <c r="O152" s="80">
        <v>1719</v>
      </c>
      <c r="P152" s="80">
        <v>1716</v>
      </c>
      <c r="Q152" s="80">
        <v>1425</v>
      </c>
      <c r="R152" s="80"/>
      <c r="S152" s="80">
        <v>2137</v>
      </c>
      <c r="T152" s="80">
        <v>1850</v>
      </c>
      <c r="U152" s="80">
        <v>4936</v>
      </c>
      <c r="V152" s="80">
        <v>640</v>
      </c>
      <c r="W152" s="80">
        <v>2716</v>
      </c>
      <c r="X152" s="80">
        <v>1260</v>
      </c>
      <c r="Y152" s="80"/>
      <c r="Z152" s="80"/>
      <c r="AA152" s="80" t="s">
        <v>1479</v>
      </c>
      <c r="AB152" s="80">
        <v>2230</v>
      </c>
      <c r="AC152" s="80">
        <v>500</v>
      </c>
      <c r="AD152" s="80"/>
      <c r="AE152" s="80"/>
      <c r="AF152" s="80"/>
      <c r="AG152" s="80"/>
      <c r="AH152" s="80">
        <v>4</v>
      </c>
      <c r="AI152" s="80" t="s">
        <v>1480</v>
      </c>
      <c r="AJ152" s="80"/>
      <c r="AK152" s="80" t="s">
        <v>1481</v>
      </c>
      <c r="AL152" s="80"/>
      <c r="AM152" s="80" t="s">
        <v>1482</v>
      </c>
      <c r="AN152" s="80"/>
      <c r="AO152" s="80" t="s">
        <v>1483</v>
      </c>
      <c r="AP152" s="80"/>
      <c r="AQ152" s="80" t="s">
        <v>1484</v>
      </c>
      <c r="AR152" s="80"/>
      <c r="AS152" s="80"/>
      <c r="AT152" s="80"/>
      <c r="AU152" s="84" t="s">
        <v>1485</v>
      </c>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row>
    <row r="153" spans="1:72" s="144" customFormat="1" ht="25.15" customHeight="1" outlineLevel="1" x14ac:dyDescent="0.25">
      <c r="A153" s="9" t="s">
        <v>202</v>
      </c>
      <c r="B153" s="98" t="s">
        <v>1139</v>
      </c>
      <c r="C153" s="1" t="s">
        <v>1150</v>
      </c>
      <c r="D153" s="80"/>
      <c r="E153" s="80" t="s">
        <v>1468</v>
      </c>
      <c r="F153" s="80" t="s">
        <v>1469</v>
      </c>
      <c r="G153" s="80" t="s">
        <v>1199</v>
      </c>
      <c r="H153" s="80" t="s">
        <v>29</v>
      </c>
      <c r="I153" s="80"/>
      <c r="J153" s="80"/>
      <c r="K153" s="80" t="s">
        <v>30</v>
      </c>
      <c r="L153" s="1"/>
      <c r="M153" s="80" t="s">
        <v>1478</v>
      </c>
      <c r="N153" s="80" t="s">
        <v>456</v>
      </c>
      <c r="O153" s="80">
        <v>2107</v>
      </c>
      <c r="P153" s="80">
        <v>1716</v>
      </c>
      <c r="Q153" s="80">
        <v>1425</v>
      </c>
      <c r="R153" s="80"/>
      <c r="S153" s="80">
        <v>2137</v>
      </c>
      <c r="T153" s="80">
        <v>1850</v>
      </c>
      <c r="U153" s="80">
        <v>5316</v>
      </c>
      <c r="V153" s="80">
        <v>640</v>
      </c>
      <c r="W153" s="80">
        <v>3100</v>
      </c>
      <c r="X153" s="80">
        <v>1256</v>
      </c>
      <c r="Y153" s="80"/>
      <c r="Z153" s="80"/>
      <c r="AA153" s="80" t="s">
        <v>1486</v>
      </c>
      <c r="AB153" s="80">
        <v>2270</v>
      </c>
      <c r="AC153" s="80">
        <v>470</v>
      </c>
      <c r="AD153" s="80"/>
      <c r="AE153" s="80"/>
      <c r="AF153" s="80"/>
      <c r="AG153" s="80"/>
      <c r="AH153" s="80">
        <v>5</v>
      </c>
      <c r="AI153" s="80" t="s">
        <v>1480</v>
      </c>
      <c r="AJ153" s="80"/>
      <c r="AK153" s="80" t="s">
        <v>1481</v>
      </c>
      <c r="AL153" s="80"/>
      <c r="AM153" s="80" t="s">
        <v>1482</v>
      </c>
      <c r="AN153" s="80"/>
      <c r="AO153" s="80" t="s">
        <v>1483</v>
      </c>
      <c r="AP153" s="80"/>
      <c r="AQ153" s="80" t="s">
        <v>1484</v>
      </c>
      <c r="AR153" s="80"/>
      <c r="AS153" s="80"/>
      <c r="AT153" s="80"/>
      <c r="AU153" s="84" t="s">
        <v>1487</v>
      </c>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row>
    <row r="154" spans="1:72" s="143" customFormat="1" ht="25.15" customHeight="1" outlineLevel="1" x14ac:dyDescent="0.25">
      <c r="A154" s="9" t="s">
        <v>202</v>
      </c>
      <c r="B154" s="80" t="s">
        <v>1139</v>
      </c>
      <c r="C154" s="80" t="s">
        <v>1150</v>
      </c>
      <c r="D154" s="80"/>
      <c r="E154" s="80" t="s">
        <v>1468</v>
      </c>
      <c r="F154" s="80" t="s">
        <v>1469</v>
      </c>
      <c r="G154" s="80" t="s">
        <v>1199</v>
      </c>
      <c r="H154" s="80" t="s">
        <v>29</v>
      </c>
      <c r="I154" s="80"/>
      <c r="J154" s="80"/>
      <c r="K154" s="80" t="s">
        <v>30</v>
      </c>
      <c r="L154" s="1"/>
      <c r="M154" s="80" t="s">
        <v>1488</v>
      </c>
      <c r="N154" s="80" t="s">
        <v>31</v>
      </c>
      <c r="O154" s="80">
        <v>1719</v>
      </c>
      <c r="P154" s="80">
        <v>1716</v>
      </c>
      <c r="Q154" s="80">
        <v>1425</v>
      </c>
      <c r="R154" s="80"/>
      <c r="S154" s="80">
        <v>2137</v>
      </c>
      <c r="T154" s="80">
        <v>1850</v>
      </c>
      <c r="U154" s="80">
        <v>4936</v>
      </c>
      <c r="V154" s="80">
        <v>640</v>
      </c>
      <c r="W154" s="80">
        <v>2716</v>
      </c>
      <c r="X154" s="80">
        <v>1260</v>
      </c>
      <c r="Y154" s="80"/>
      <c r="Z154" s="80"/>
      <c r="AA154" s="80" t="s">
        <v>1489</v>
      </c>
      <c r="AB154" s="80">
        <v>2230</v>
      </c>
      <c r="AC154" s="80">
        <v>510</v>
      </c>
      <c r="AD154" s="80"/>
      <c r="AE154" s="80"/>
      <c r="AF154" s="80"/>
      <c r="AG154" s="80"/>
      <c r="AH154" s="80">
        <v>4</v>
      </c>
      <c r="AI154" s="80" t="s">
        <v>1480</v>
      </c>
      <c r="AJ154" s="80"/>
      <c r="AK154" s="80" t="s">
        <v>1481</v>
      </c>
      <c r="AL154" s="80"/>
      <c r="AM154" s="80" t="s">
        <v>1482</v>
      </c>
      <c r="AN154" s="80"/>
      <c r="AO154" s="80" t="s">
        <v>1483</v>
      </c>
      <c r="AP154" s="80"/>
      <c r="AQ154" s="80" t="s">
        <v>1490</v>
      </c>
      <c r="AR154" s="80"/>
      <c r="AS154" s="80"/>
      <c r="AT154" s="80"/>
      <c r="AU154" s="84" t="s">
        <v>1485</v>
      </c>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row>
    <row r="155" spans="1:72" s="144" customFormat="1" ht="25.15" customHeight="1" outlineLevel="1" x14ac:dyDescent="0.25">
      <c r="A155" s="9" t="s">
        <v>202</v>
      </c>
      <c r="B155" s="98" t="s">
        <v>1139</v>
      </c>
      <c r="C155" s="1" t="s">
        <v>1150</v>
      </c>
      <c r="D155" s="80"/>
      <c r="E155" s="80" t="s">
        <v>1468</v>
      </c>
      <c r="F155" s="80" t="s">
        <v>1469</v>
      </c>
      <c r="G155" s="80" t="s">
        <v>1199</v>
      </c>
      <c r="H155" s="80" t="s">
        <v>29</v>
      </c>
      <c r="I155" s="80"/>
      <c r="J155" s="80"/>
      <c r="K155" s="80" t="s">
        <v>30</v>
      </c>
      <c r="L155" s="1"/>
      <c r="M155" s="80" t="s">
        <v>1488</v>
      </c>
      <c r="N155" s="80" t="s">
        <v>456</v>
      </c>
      <c r="O155" s="80">
        <v>2107</v>
      </c>
      <c r="P155" s="80">
        <v>1716</v>
      </c>
      <c r="Q155" s="80">
        <v>1425</v>
      </c>
      <c r="R155" s="80"/>
      <c r="S155" s="80">
        <v>2137</v>
      </c>
      <c r="T155" s="80">
        <v>1850</v>
      </c>
      <c r="U155" s="80">
        <v>5316</v>
      </c>
      <c r="V155" s="80">
        <v>640</v>
      </c>
      <c r="W155" s="80">
        <v>3100</v>
      </c>
      <c r="X155" s="80">
        <v>1256</v>
      </c>
      <c r="Y155" s="80"/>
      <c r="Z155" s="80"/>
      <c r="AA155" s="80" t="s">
        <v>1489</v>
      </c>
      <c r="AB155" s="80">
        <v>2270</v>
      </c>
      <c r="AC155" s="80">
        <v>480</v>
      </c>
      <c r="AD155" s="80"/>
      <c r="AE155" s="80"/>
      <c r="AF155" s="80"/>
      <c r="AG155" s="80"/>
      <c r="AH155" s="80">
        <v>5</v>
      </c>
      <c r="AI155" s="80" t="s">
        <v>1480</v>
      </c>
      <c r="AJ155" s="80"/>
      <c r="AK155" s="80" t="s">
        <v>1481</v>
      </c>
      <c r="AL155" s="80"/>
      <c r="AM155" s="80" t="s">
        <v>1482</v>
      </c>
      <c r="AN155" s="80"/>
      <c r="AO155" s="80" t="s">
        <v>1483</v>
      </c>
      <c r="AP155" s="80"/>
      <c r="AQ155" s="80" t="s">
        <v>1490</v>
      </c>
      <c r="AR155" s="80"/>
      <c r="AS155" s="80"/>
      <c r="AT155" s="80"/>
      <c r="AU155" s="84" t="s">
        <v>1487</v>
      </c>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row>
    <row r="156" spans="1:72" s="143" customFormat="1" ht="25.15" customHeight="1" outlineLevel="1" x14ac:dyDescent="0.25">
      <c r="A156" s="9" t="s">
        <v>202</v>
      </c>
      <c r="B156" s="80" t="s">
        <v>1139</v>
      </c>
      <c r="C156" s="80" t="s">
        <v>1150</v>
      </c>
      <c r="D156" s="80"/>
      <c r="E156" s="80" t="s">
        <v>1468</v>
      </c>
      <c r="F156" s="80" t="s">
        <v>1491</v>
      </c>
      <c r="G156" s="80" t="s">
        <v>1152</v>
      </c>
      <c r="H156" s="80" t="s">
        <v>29</v>
      </c>
      <c r="I156" s="80"/>
      <c r="J156" s="1"/>
      <c r="K156" s="80" t="s">
        <v>30</v>
      </c>
      <c r="L156" s="1"/>
      <c r="M156" s="80" t="s">
        <v>1492</v>
      </c>
      <c r="N156" s="80" t="s">
        <v>31</v>
      </c>
      <c r="O156" s="80">
        <v>1510</v>
      </c>
      <c r="P156" s="80">
        <v>1320</v>
      </c>
      <c r="Q156" s="80">
        <v>1080</v>
      </c>
      <c r="R156" s="80"/>
      <c r="S156" s="80">
        <v>2055</v>
      </c>
      <c r="T156" s="80">
        <v>1860</v>
      </c>
      <c r="U156" s="80">
        <v>4489</v>
      </c>
      <c r="V156" s="80">
        <v>660</v>
      </c>
      <c r="W156" s="80">
        <v>2716</v>
      </c>
      <c r="X156" s="80">
        <v>813</v>
      </c>
      <c r="Y156" s="80"/>
      <c r="Z156" s="80"/>
      <c r="AA156" s="80" t="s">
        <v>1493</v>
      </c>
      <c r="AB156" s="80">
        <v>2220</v>
      </c>
      <c r="AC156" s="80">
        <v>325</v>
      </c>
      <c r="AD156" s="80"/>
      <c r="AE156" s="80"/>
      <c r="AF156" s="80"/>
      <c r="AG156" s="80"/>
      <c r="AH156" s="80">
        <v>1.7</v>
      </c>
      <c r="AI156" s="80" t="s">
        <v>1494</v>
      </c>
      <c r="AJ156" s="80"/>
      <c r="AK156" s="80" t="s">
        <v>1495</v>
      </c>
      <c r="AL156" s="80"/>
      <c r="AM156" s="80" t="s">
        <v>1496</v>
      </c>
      <c r="AN156" s="80"/>
      <c r="AO156" s="80" t="s">
        <v>1497</v>
      </c>
      <c r="AP156" s="80"/>
      <c r="AQ156" s="80" t="s">
        <v>1498</v>
      </c>
      <c r="AR156" s="80"/>
      <c r="AS156" s="80"/>
      <c r="AT156" s="80"/>
      <c r="AU156" s="84" t="s">
        <v>1477</v>
      </c>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row>
    <row r="157" spans="1:72" s="144" customFormat="1" ht="25.15" customHeight="1" outlineLevel="1" x14ac:dyDescent="0.25">
      <c r="A157" s="9" t="s">
        <v>202</v>
      </c>
      <c r="B157" s="80" t="s">
        <v>1139</v>
      </c>
      <c r="C157" s="80" t="s">
        <v>1150</v>
      </c>
      <c r="D157" s="80"/>
      <c r="E157" s="80" t="s">
        <v>1468</v>
      </c>
      <c r="F157" s="80" t="s">
        <v>1491</v>
      </c>
      <c r="G157" s="80" t="s">
        <v>1199</v>
      </c>
      <c r="H157" s="80" t="s">
        <v>29</v>
      </c>
      <c r="I157" s="80"/>
      <c r="J157" s="80"/>
      <c r="K157" s="80" t="s">
        <v>30</v>
      </c>
      <c r="L157" s="1"/>
      <c r="M157" s="80" t="s">
        <v>1499</v>
      </c>
      <c r="N157" s="80" t="s">
        <v>31</v>
      </c>
      <c r="O157" s="80">
        <v>1719</v>
      </c>
      <c r="P157" s="80">
        <v>1716</v>
      </c>
      <c r="Q157" s="80">
        <v>1425</v>
      </c>
      <c r="R157" s="80"/>
      <c r="S157" s="80">
        <v>2137</v>
      </c>
      <c r="T157" s="80">
        <v>1850</v>
      </c>
      <c r="U157" s="80">
        <v>4936</v>
      </c>
      <c r="V157" s="80">
        <v>640</v>
      </c>
      <c r="W157" s="80">
        <v>2716</v>
      </c>
      <c r="X157" s="80">
        <v>1260</v>
      </c>
      <c r="Y157" s="80"/>
      <c r="Z157" s="80"/>
      <c r="AA157" s="80" t="s">
        <v>1500</v>
      </c>
      <c r="AB157" s="80">
        <v>2220</v>
      </c>
      <c r="AC157" s="80">
        <v>335</v>
      </c>
      <c r="AD157" s="80"/>
      <c r="AE157" s="80"/>
      <c r="AF157" s="80"/>
      <c r="AG157" s="80"/>
      <c r="AH157" s="80">
        <v>4</v>
      </c>
      <c r="AI157" s="80" t="s">
        <v>1501</v>
      </c>
      <c r="AJ157" s="80"/>
      <c r="AK157" s="80" t="s">
        <v>1495</v>
      </c>
      <c r="AL157" s="80"/>
      <c r="AM157" s="80" t="s">
        <v>1502</v>
      </c>
      <c r="AN157" s="80"/>
      <c r="AO157" s="80" t="s">
        <v>1503</v>
      </c>
      <c r="AP157" s="80"/>
      <c r="AQ157" s="80" t="s">
        <v>1504</v>
      </c>
      <c r="AR157" s="80"/>
      <c r="AS157" s="80"/>
      <c r="AT157" s="80"/>
      <c r="AU157" s="84" t="s">
        <v>1505</v>
      </c>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row>
    <row r="158" spans="1:72" s="144" customFormat="1" ht="25.15" customHeight="1" outlineLevel="1" x14ac:dyDescent="0.25">
      <c r="A158" s="9" t="s">
        <v>202</v>
      </c>
      <c r="B158" s="80" t="s">
        <v>1139</v>
      </c>
      <c r="C158" s="80" t="s">
        <v>1150</v>
      </c>
      <c r="D158" s="80"/>
      <c r="E158" s="80" t="s">
        <v>1468</v>
      </c>
      <c r="F158" s="80" t="s">
        <v>1491</v>
      </c>
      <c r="G158" s="80" t="s">
        <v>1199</v>
      </c>
      <c r="H158" s="80" t="s">
        <v>29</v>
      </c>
      <c r="I158" s="80"/>
      <c r="J158" s="80"/>
      <c r="K158" s="80" t="s">
        <v>30</v>
      </c>
      <c r="L158" s="1"/>
      <c r="M158" s="80" t="s">
        <v>1499</v>
      </c>
      <c r="N158" s="80" t="s">
        <v>456</v>
      </c>
      <c r="O158" s="80">
        <v>2107</v>
      </c>
      <c r="P158" s="80">
        <v>1716</v>
      </c>
      <c r="Q158" s="80">
        <v>1425</v>
      </c>
      <c r="R158" s="80"/>
      <c r="S158" s="80">
        <v>2137</v>
      </c>
      <c r="T158" s="80">
        <v>1850</v>
      </c>
      <c r="U158" s="80">
        <v>5316</v>
      </c>
      <c r="V158" s="80">
        <v>640</v>
      </c>
      <c r="W158" s="80">
        <v>3100</v>
      </c>
      <c r="X158" s="80">
        <v>1256</v>
      </c>
      <c r="Y158" s="80"/>
      <c r="Z158" s="80"/>
      <c r="AA158" s="80" t="s">
        <v>1500</v>
      </c>
      <c r="AB158" s="80">
        <v>2270</v>
      </c>
      <c r="AC158" s="80">
        <v>310</v>
      </c>
      <c r="AD158" s="80"/>
      <c r="AE158" s="80"/>
      <c r="AF158" s="80"/>
      <c r="AG158" s="80"/>
      <c r="AH158" s="80">
        <v>5</v>
      </c>
      <c r="AI158" s="80" t="s">
        <v>1501</v>
      </c>
      <c r="AJ158" s="80"/>
      <c r="AK158" s="80" t="s">
        <v>1495</v>
      </c>
      <c r="AL158" s="80"/>
      <c r="AM158" s="80" t="s">
        <v>1502</v>
      </c>
      <c r="AN158" s="80"/>
      <c r="AO158" s="80" t="s">
        <v>1503</v>
      </c>
      <c r="AP158" s="80"/>
      <c r="AQ158" s="80" t="s">
        <v>1504</v>
      </c>
      <c r="AR158" s="80"/>
      <c r="AS158" s="80"/>
      <c r="AT158" s="80"/>
      <c r="AU158" s="84" t="s">
        <v>1505</v>
      </c>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row>
    <row r="159" spans="1:72" s="144" customFormat="1" ht="25.15" customHeight="1" outlineLevel="1" x14ac:dyDescent="0.25">
      <c r="A159" s="9" t="s">
        <v>202</v>
      </c>
      <c r="B159" s="1" t="s">
        <v>1139</v>
      </c>
      <c r="C159" s="1" t="s">
        <v>1150</v>
      </c>
      <c r="D159" s="80"/>
      <c r="E159" s="80" t="s">
        <v>1468</v>
      </c>
      <c r="F159" s="80" t="s">
        <v>1506</v>
      </c>
      <c r="G159" s="80" t="s">
        <v>1152</v>
      </c>
      <c r="H159" s="80" t="s">
        <v>29</v>
      </c>
      <c r="I159" s="80"/>
      <c r="J159" s="1"/>
      <c r="K159" s="80" t="s">
        <v>1153</v>
      </c>
      <c r="L159" s="1"/>
      <c r="M159" s="80" t="s">
        <v>1507</v>
      </c>
      <c r="N159" s="83" t="s">
        <v>31</v>
      </c>
      <c r="O159" s="80">
        <v>2170</v>
      </c>
      <c r="P159" s="80">
        <v>1480</v>
      </c>
      <c r="Q159" s="80">
        <v>1225</v>
      </c>
      <c r="R159" s="80"/>
      <c r="S159" s="80">
        <v>2102</v>
      </c>
      <c r="T159" s="80">
        <v>1956</v>
      </c>
      <c r="U159" s="80">
        <v>5080</v>
      </c>
      <c r="V159" s="80">
        <v>640</v>
      </c>
      <c r="W159" s="80">
        <v>3098</v>
      </c>
      <c r="X159" s="80">
        <v>968</v>
      </c>
      <c r="Y159" s="80"/>
      <c r="Z159" s="80"/>
      <c r="AA159" s="80" t="s">
        <v>1508</v>
      </c>
      <c r="AB159" s="80">
        <v>2990</v>
      </c>
      <c r="AC159" s="80">
        <v>815</v>
      </c>
      <c r="AD159" s="80"/>
      <c r="AE159" s="80"/>
      <c r="AF159" s="80"/>
      <c r="AG159" s="80"/>
      <c r="AH159" s="80">
        <v>3.5999999999999996</v>
      </c>
      <c r="AI159" s="80" t="s">
        <v>1509</v>
      </c>
      <c r="AJ159" s="80"/>
      <c r="AK159" s="80" t="s">
        <v>1510</v>
      </c>
      <c r="AL159" s="80"/>
      <c r="AM159" s="80" t="s">
        <v>1511</v>
      </c>
      <c r="AN159" s="80"/>
      <c r="AO159" s="80" t="s">
        <v>1512</v>
      </c>
      <c r="AP159" s="80"/>
      <c r="AQ159" s="80" t="s">
        <v>1513</v>
      </c>
      <c r="AR159" s="80"/>
      <c r="AS159" s="80"/>
      <c r="AT159" s="80"/>
      <c r="AU159" s="84" t="s">
        <v>1514</v>
      </c>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row>
    <row r="160" spans="1:72" s="144" customFormat="1" ht="25.15" customHeight="1" outlineLevel="1" x14ac:dyDescent="0.25">
      <c r="A160" s="9" t="s">
        <v>202</v>
      </c>
      <c r="B160" s="1" t="s">
        <v>1139</v>
      </c>
      <c r="C160" s="1" t="s">
        <v>1150</v>
      </c>
      <c r="D160" s="80"/>
      <c r="E160" s="80" t="s">
        <v>1468</v>
      </c>
      <c r="F160" s="80" t="s">
        <v>1506</v>
      </c>
      <c r="G160" s="80" t="s">
        <v>1152</v>
      </c>
      <c r="H160" s="80" t="s">
        <v>29</v>
      </c>
      <c r="I160" s="80"/>
      <c r="J160" s="1"/>
      <c r="K160" s="80" t="s">
        <v>1153</v>
      </c>
      <c r="L160" s="1"/>
      <c r="M160" s="80" t="s">
        <v>1507</v>
      </c>
      <c r="N160" s="83" t="s">
        <v>456</v>
      </c>
      <c r="O160" s="80">
        <v>2570</v>
      </c>
      <c r="P160" s="80">
        <v>1480</v>
      </c>
      <c r="Q160" s="80">
        <v>1225</v>
      </c>
      <c r="R160" s="80"/>
      <c r="S160" s="80">
        <v>2102</v>
      </c>
      <c r="T160" s="80">
        <v>1956</v>
      </c>
      <c r="U160" s="80">
        <v>5480</v>
      </c>
      <c r="V160" s="80">
        <v>640</v>
      </c>
      <c r="W160" s="80">
        <v>3498</v>
      </c>
      <c r="X160" s="80">
        <v>968</v>
      </c>
      <c r="Y160" s="80"/>
      <c r="Z160" s="80"/>
      <c r="AA160" s="80" t="s">
        <v>1515</v>
      </c>
      <c r="AB160" s="80">
        <v>3070</v>
      </c>
      <c r="AC160" s="80">
        <v>855</v>
      </c>
      <c r="AD160" s="80"/>
      <c r="AE160" s="80"/>
      <c r="AF160" s="80"/>
      <c r="AG160" s="80"/>
      <c r="AH160" s="80">
        <v>4.3</v>
      </c>
      <c r="AI160" s="80" t="s">
        <v>1509</v>
      </c>
      <c r="AJ160" s="80"/>
      <c r="AK160" s="80" t="s">
        <v>1510</v>
      </c>
      <c r="AL160" s="80"/>
      <c r="AM160" s="80" t="s">
        <v>1511</v>
      </c>
      <c r="AN160" s="80"/>
      <c r="AO160" s="80" t="s">
        <v>1512</v>
      </c>
      <c r="AP160" s="80"/>
      <c r="AQ160" s="80" t="s">
        <v>1513</v>
      </c>
      <c r="AR160" s="80"/>
      <c r="AS160" s="80"/>
      <c r="AT160" s="80"/>
      <c r="AU160" s="84" t="s">
        <v>1516</v>
      </c>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row>
    <row r="161" spans="1:72" s="144" customFormat="1" ht="25.15" customHeight="1" outlineLevel="1" x14ac:dyDescent="0.25">
      <c r="A161" s="9" t="s">
        <v>202</v>
      </c>
      <c r="B161" s="80" t="s">
        <v>1139</v>
      </c>
      <c r="C161" s="80" t="s">
        <v>1150</v>
      </c>
      <c r="D161" s="80"/>
      <c r="E161" s="80" t="s">
        <v>1468</v>
      </c>
      <c r="F161" s="80" t="s">
        <v>1506</v>
      </c>
      <c r="G161" s="80" t="s">
        <v>1199</v>
      </c>
      <c r="H161" s="80" t="s">
        <v>29</v>
      </c>
      <c r="I161" s="80"/>
      <c r="J161" s="1"/>
      <c r="K161" s="80" t="s">
        <v>30</v>
      </c>
      <c r="L161" s="1"/>
      <c r="M161" s="80" t="s">
        <v>1517</v>
      </c>
      <c r="N161" s="83" t="s">
        <v>31</v>
      </c>
      <c r="O161" s="80">
        <v>2622</v>
      </c>
      <c r="P161" s="80">
        <v>1906</v>
      </c>
      <c r="Q161" s="80">
        <v>1600</v>
      </c>
      <c r="R161" s="80"/>
      <c r="S161" s="80">
        <v>2379</v>
      </c>
      <c r="T161" s="80">
        <v>2050</v>
      </c>
      <c r="U161" s="80">
        <v>5729</v>
      </c>
      <c r="V161" s="80">
        <v>670</v>
      </c>
      <c r="W161" s="80">
        <v>3498</v>
      </c>
      <c r="X161" s="80">
        <v>1217</v>
      </c>
      <c r="Y161" s="80"/>
      <c r="Z161" s="80"/>
      <c r="AA161" s="80" t="s">
        <v>1518</v>
      </c>
      <c r="AB161" s="80">
        <v>3070</v>
      </c>
      <c r="AC161" s="80">
        <v>925</v>
      </c>
      <c r="AD161" s="80"/>
      <c r="AE161" s="80"/>
      <c r="AF161" s="80"/>
      <c r="AG161" s="80"/>
      <c r="AH161" s="80" t="s">
        <v>1519</v>
      </c>
      <c r="AI161" s="80" t="s">
        <v>1520</v>
      </c>
      <c r="AJ161" s="80"/>
      <c r="AK161" s="80" t="s">
        <v>1521</v>
      </c>
      <c r="AL161" s="80"/>
      <c r="AM161" s="80" t="s">
        <v>1522</v>
      </c>
      <c r="AN161" s="80"/>
      <c r="AO161" s="80" t="s">
        <v>1523</v>
      </c>
      <c r="AP161" s="80"/>
      <c r="AQ161" s="80" t="s">
        <v>1524</v>
      </c>
      <c r="AR161" s="80"/>
      <c r="AS161" s="80"/>
      <c r="AT161" s="80"/>
      <c r="AU161" s="84" t="s">
        <v>1525</v>
      </c>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row>
    <row r="162" spans="1:72" s="143" customFormat="1" ht="25.15" customHeight="1" outlineLevel="1" x14ac:dyDescent="0.25">
      <c r="A162" s="9" t="s">
        <v>202</v>
      </c>
      <c r="B162" s="80" t="s">
        <v>1139</v>
      </c>
      <c r="C162" s="80" t="s">
        <v>1150</v>
      </c>
      <c r="D162" s="80"/>
      <c r="E162" s="80" t="s">
        <v>1468</v>
      </c>
      <c r="F162" s="80" t="s">
        <v>1506</v>
      </c>
      <c r="G162" s="80" t="s">
        <v>1199</v>
      </c>
      <c r="H162" s="80" t="s">
        <v>29</v>
      </c>
      <c r="I162" s="80"/>
      <c r="J162" s="1"/>
      <c r="K162" s="80" t="s">
        <v>30</v>
      </c>
      <c r="L162" s="1"/>
      <c r="M162" s="80" t="s">
        <v>1517</v>
      </c>
      <c r="N162" s="83" t="s">
        <v>456</v>
      </c>
      <c r="O162" s="80">
        <v>2722</v>
      </c>
      <c r="P162" s="80">
        <v>1906</v>
      </c>
      <c r="Q162" s="80">
        <v>1700</v>
      </c>
      <c r="R162" s="80"/>
      <c r="S162" s="80">
        <v>2479</v>
      </c>
      <c r="T162" s="80">
        <v>2050</v>
      </c>
      <c r="U162" s="80">
        <v>5829</v>
      </c>
      <c r="V162" s="80">
        <v>670</v>
      </c>
      <c r="W162" s="80">
        <v>3498</v>
      </c>
      <c r="X162" s="80">
        <v>1317</v>
      </c>
      <c r="Y162" s="80"/>
      <c r="Z162" s="80"/>
      <c r="AA162" s="80" t="s">
        <v>1526</v>
      </c>
      <c r="AB162" s="80">
        <v>3070</v>
      </c>
      <c r="AC162" s="80">
        <v>835</v>
      </c>
      <c r="AD162" s="80"/>
      <c r="AE162" s="80"/>
      <c r="AF162" s="80"/>
      <c r="AG162" s="80"/>
      <c r="AH162" s="80">
        <v>8.5</v>
      </c>
      <c r="AI162" s="80" t="s">
        <v>1527</v>
      </c>
      <c r="AJ162" s="80"/>
      <c r="AK162" s="80" t="s">
        <v>1528</v>
      </c>
      <c r="AL162" s="80"/>
      <c r="AM162" s="80" t="s">
        <v>1522</v>
      </c>
      <c r="AN162" s="80"/>
      <c r="AO162" s="80" t="s">
        <v>1529</v>
      </c>
      <c r="AP162" s="80"/>
      <c r="AQ162" s="80" t="s">
        <v>1530</v>
      </c>
      <c r="AR162" s="80"/>
      <c r="AS162" s="80"/>
      <c r="AT162" s="80"/>
      <c r="AU162" s="84" t="s">
        <v>1531</v>
      </c>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row>
    <row r="163" spans="1:72" s="144" customFormat="1" ht="25.15" customHeight="1" outlineLevel="1" x14ac:dyDescent="0.25">
      <c r="A163" s="80" t="s">
        <v>202</v>
      </c>
      <c r="B163" s="80" t="s">
        <v>1139</v>
      </c>
      <c r="C163" s="80" t="s">
        <v>1150</v>
      </c>
      <c r="D163" s="80"/>
      <c r="E163" s="80" t="s">
        <v>469</v>
      </c>
      <c r="F163" s="80" t="s">
        <v>1532</v>
      </c>
      <c r="G163" s="80" t="s">
        <v>450</v>
      </c>
      <c r="H163" s="80" t="s">
        <v>29</v>
      </c>
      <c r="I163" s="80"/>
      <c r="J163" s="9"/>
      <c r="K163" s="80" t="s">
        <v>30</v>
      </c>
      <c r="L163" s="1"/>
      <c r="M163" s="80" t="s">
        <v>1533</v>
      </c>
      <c r="N163" s="83" t="s">
        <v>31</v>
      </c>
      <c r="O163" s="80">
        <v>3022</v>
      </c>
      <c r="P163" s="80">
        <v>1954</v>
      </c>
      <c r="Q163" s="80">
        <v>1950</v>
      </c>
      <c r="R163" s="80"/>
      <c r="S163" s="80">
        <v>2730</v>
      </c>
      <c r="T163" s="80">
        <v>2100</v>
      </c>
      <c r="U163" s="80">
        <v>6009</v>
      </c>
      <c r="V163" s="80">
        <v>690</v>
      </c>
      <c r="W163" s="80">
        <v>3583</v>
      </c>
      <c r="X163" s="80">
        <v>1458</v>
      </c>
      <c r="Y163" s="80"/>
      <c r="Z163" s="80"/>
      <c r="AA163" s="80" t="s">
        <v>1534</v>
      </c>
      <c r="AB163" s="80">
        <v>3500</v>
      </c>
      <c r="AC163" s="80">
        <v>705</v>
      </c>
      <c r="AD163" s="80"/>
      <c r="AE163" s="80"/>
      <c r="AF163" s="80"/>
      <c r="AG163" s="80"/>
      <c r="AH163" s="80">
        <v>11.2</v>
      </c>
      <c r="AI163" s="80" t="s">
        <v>1535</v>
      </c>
      <c r="AJ163" s="80"/>
      <c r="AK163" s="80" t="s">
        <v>1536</v>
      </c>
      <c r="AL163" s="80"/>
      <c r="AM163" s="80" t="s">
        <v>1537</v>
      </c>
      <c r="AN163" s="80"/>
      <c r="AO163" s="80" t="s">
        <v>1538</v>
      </c>
      <c r="AP163" s="80"/>
      <c r="AQ163" s="80" t="s">
        <v>1539</v>
      </c>
      <c r="AR163" s="80"/>
      <c r="AS163" s="80"/>
      <c r="AT163" s="80"/>
      <c r="AU163" s="84" t="s">
        <v>1540</v>
      </c>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row>
    <row r="164" spans="1:72" s="144" customFormat="1" ht="25.15" customHeight="1" outlineLevel="1" x14ac:dyDescent="0.25">
      <c r="A164" s="80" t="s">
        <v>202</v>
      </c>
      <c r="B164" s="80" t="s">
        <v>1139</v>
      </c>
      <c r="C164" s="80" t="s">
        <v>1150</v>
      </c>
      <c r="D164" s="80"/>
      <c r="E164" s="80" t="s">
        <v>469</v>
      </c>
      <c r="F164" s="80" t="s">
        <v>1532</v>
      </c>
      <c r="G164" s="80" t="s">
        <v>450</v>
      </c>
      <c r="H164" s="80" t="s">
        <v>12</v>
      </c>
      <c r="I164" s="80"/>
      <c r="J164" s="9"/>
      <c r="K164" s="80" t="s">
        <v>30</v>
      </c>
      <c r="L164" s="1"/>
      <c r="M164" s="80" t="s">
        <v>1533</v>
      </c>
      <c r="N164" s="83" t="s">
        <v>451</v>
      </c>
      <c r="O164" s="80">
        <v>3022</v>
      </c>
      <c r="P164" s="80">
        <v>1954</v>
      </c>
      <c r="Q164" s="80">
        <v>1950</v>
      </c>
      <c r="R164" s="80"/>
      <c r="S164" s="80">
        <v>2730</v>
      </c>
      <c r="T164" s="80">
        <v>2100</v>
      </c>
      <c r="U164" s="80">
        <v>6009</v>
      </c>
      <c r="V164" s="80">
        <v>690</v>
      </c>
      <c r="W164" s="80">
        <v>3583</v>
      </c>
      <c r="X164" s="80">
        <v>1458</v>
      </c>
      <c r="Y164" s="80"/>
      <c r="Z164" s="80"/>
      <c r="AA164" s="80" t="s">
        <v>1541</v>
      </c>
      <c r="AB164" s="80">
        <v>3500</v>
      </c>
      <c r="AC164" s="80">
        <v>595</v>
      </c>
      <c r="AD164" s="80"/>
      <c r="AE164" s="80"/>
      <c r="AF164" s="80"/>
      <c r="AG164" s="80"/>
      <c r="AH164" s="80">
        <v>11</v>
      </c>
      <c r="AI164" s="80" t="s">
        <v>1535</v>
      </c>
      <c r="AJ164" s="80"/>
      <c r="AK164" s="80" t="s">
        <v>1536</v>
      </c>
      <c r="AL164" s="80"/>
      <c r="AM164" s="80" t="s">
        <v>1537</v>
      </c>
      <c r="AN164" s="80"/>
      <c r="AO164" s="80" t="s">
        <v>1542</v>
      </c>
      <c r="AP164" s="80"/>
      <c r="AQ164" s="80" t="s">
        <v>1543</v>
      </c>
      <c r="AR164" s="80"/>
      <c r="AS164" s="80"/>
      <c r="AT164" s="80"/>
      <c r="AU164" s="84" t="s">
        <v>1544</v>
      </c>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row>
    <row r="165" spans="1:72" s="144" customFormat="1" ht="25.15" customHeight="1" outlineLevel="1" x14ac:dyDescent="0.25">
      <c r="A165" s="9" t="s">
        <v>202</v>
      </c>
      <c r="B165" s="98" t="s">
        <v>1139</v>
      </c>
      <c r="C165" s="1" t="s">
        <v>1150</v>
      </c>
      <c r="D165" s="80"/>
      <c r="E165" s="80" t="s">
        <v>469</v>
      </c>
      <c r="F165" s="80" t="s">
        <v>50</v>
      </c>
      <c r="G165" s="80" t="s">
        <v>38</v>
      </c>
      <c r="H165" s="80" t="s">
        <v>29</v>
      </c>
      <c r="I165" s="80" t="s">
        <v>7</v>
      </c>
      <c r="J165" s="1"/>
      <c r="K165" s="80" t="s">
        <v>30</v>
      </c>
      <c r="L165" s="1"/>
      <c r="M165" s="80" t="s">
        <v>1545</v>
      </c>
      <c r="N165" s="80" t="s">
        <v>31</v>
      </c>
      <c r="O165" s="80">
        <v>5990</v>
      </c>
      <c r="P165" s="80">
        <v>2254</v>
      </c>
      <c r="Q165" s="80">
        <v>2300</v>
      </c>
      <c r="R165" s="80"/>
      <c r="S165" s="80">
        <v>3525</v>
      </c>
      <c r="T165" s="80">
        <v>2400</v>
      </c>
      <c r="U165" s="80">
        <v>8125</v>
      </c>
      <c r="V165" s="80">
        <v>1110</v>
      </c>
      <c r="W165" s="80">
        <v>4100</v>
      </c>
      <c r="X165" s="80">
        <v>2700</v>
      </c>
      <c r="Y165" s="80"/>
      <c r="Z165" s="80">
        <v>11</v>
      </c>
      <c r="AA165" s="80" t="s">
        <v>507</v>
      </c>
      <c r="AB165" s="80">
        <v>10000</v>
      </c>
      <c r="AC165" s="80">
        <v>2925</v>
      </c>
      <c r="AD165" s="80"/>
      <c r="AE165" s="80"/>
      <c r="AF165" s="80"/>
      <c r="AG165" s="80"/>
      <c r="AH165" s="80" t="s">
        <v>160</v>
      </c>
      <c r="AI165" s="80" t="s">
        <v>1546</v>
      </c>
      <c r="AJ165" s="80"/>
      <c r="AK165" s="80" t="s">
        <v>1547</v>
      </c>
      <c r="AL165" s="80"/>
      <c r="AM165" s="80" t="s">
        <v>1548</v>
      </c>
      <c r="AN165" s="80"/>
      <c r="AO165" s="80" t="s">
        <v>1404</v>
      </c>
      <c r="AP165" s="80"/>
      <c r="AQ165" s="80" t="s">
        <v>1405</v>
      </c>
      <c r="AR165" s="80"/>
      <c r="AS165" s="80" t="s">
        <v>1423</v>
      </c>
      <c r="AT165" s="80"/>
      <c r="AU165" s="80" t="s">
        <v>508</v>
      </c>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row>
    <row r="166" spans="1:72" s="144" customFormat="1" ht="25.15" customHeight="1" outlineLevel="1" x14ac:dyDescent="0.25">
      <c r="A166" s="9" t="s">
        <v>202</v>
      </c>
      <c r="B166" s="98" t="s">
        <v>1139</v>
      </c>
      <c r="C166" s="1" t="s">
        <v>1150</v>
      </c>
      <c r="D166" s="80"/>
      <c r="E166" s="80" t="s">
        <v>469</v>
      </c>
      <c r="F166" s="80" t="s">
        <v>50</v>
      </c>
      <c r="G166" s="80" t="s">
        <v>38</v>
      </c>
      <c r="H166" s="80" t="s">
        <v>12</v>
      </c>
      <c r="I166" s="80" t="s">
        <v>7</v>
      </c>
      <c r="J166" s="1"/>
      <c r="K166" s="80" t="s">
        <v>30</v>
      </c>
      <c r="L166" s="1"/>
      <c r="M166" s="80" t="s">
        <v>1545</v>
      </c>
      <c r="N166" s="80" t="s">
        <v>456</v>
      </c>
      <c r="O166" s="80">
        <v>5990</v>
      </c>
      <c r="P166" s="80">
        <v>2254</v>
      </c>
      <c r="Q166" s="80">
        <v>2300</v>
      </c>
      <c r="R166" s="80"/>
      <c r="S166" s="80">
        <v>3525</v>
      </c>
      <c r="T166" s="80">
        <v>2400</v>
      </c>
      <c r="U166" s="80">
        <v>8125</v>
      </c>
      <c r="V166" s="80">
        <v>1110</v>
      </c>
      <c r="W166" s="80">
        <v>4100</v>
      </c>
      <c r="X166" s="80">
        <v>2700</v>
      </c>
      <c r="Y166" s="80"/>
      <c r="Z166" s="80">
        <v>11</v>
      </c>
      <c r="AA166" s="80" t="s">
        <v>470</v>
      </c>
      <c r="AB166" s="80">
        <v>10000</v>
      </c>
      <c r="AC166" s="80">
        <v>2485</v>
      </c>
      <c r="AD166" s="80"/>
      <c r="AE166" s="80"/>
      <c r="AF166" s="80"/>
      <c r="AG166" s="80"/>
      <c r="AH166" s="80" t="s">
        <v>160</v>
      </c>
      <c r="AI166" s="80" t="s">
        <v>1546</v>
      </c>
      <c r="AJ166" s="80"/>
      <c r="AK166" s="80" t="s">
        <v>1547</v>
      </c>
      <c r="AL166" s="80"/>
      <c r="AM166" s="80" t="s">
        <v>1548</v>
      </c>
      <c r="AN166" s="80"/>
      <c r="AO166" s="80" t="s">
        <v>1407</v>
      </c>
      <c r="AP166" s="80"/>
      <c r="AQ166" s="80" t="s">
        <v>1408</v>
      </c>
      <c r="AR166" s="80"/>
      <c r="AS166" s="80" t="s">
        <v>1423</v>
      </c>
      <c r="AT166" s="80"/>
      <c r="AU166" s="80" t="s">
        <v>499</v>
      </c>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row>
    <row r="167" spans="1:72" s="144" customFormat="1" ht="25.15" customHeight="1" outlineLevel="1" x14ac:dyDescent="0.25">
      <c r="A167" s="9" t="s">
        <v>202</v>
      </c>
      <c r="B167" s="98" t="s">
        <v>1139</v>
      </c>
      <c r="C167" s="1" t="s">
        <v>1150</v>
      </c>
      <c r="D167" s="80"/>
      <c r="E167" s="80" t="s">
        <v>469</v>
      </c>
      <c r="F167" s="80" t="s">
        <v>50</v>
      </c>
      <c r="G167" s="80" t="s">
        <v>38</v>
      </c>
      <c r="H167" s="80" t="s">
        <v>32</v>
      </c>
      <c r="I167" s="80" t="s">
        <v>7</v>
      </c>
      <c r="J167" s="1"/>
      <c r="K167" s="80" t="s">
        <v>30</v>
      </c>
      <c r="L167" s="1"/>
      <c r="M167" s="80" t="s">
        <v>1545</v>
      </c>
      <c r="N167" s="80" t="s">
        <v>460</v>
      </c>
      <c r="O167" s="80">
        <v>5990</v>
      </c>
      <c r="P167" s="80">
        <v>2254</v>
      </c>
      <c r="Q167" s="80">
        <v>2400</v>
      </c>
      <c r="R167" s="80"/>
      <c r="S167" s="80">
        <v>3635</v>
      </c>
      <c r="T167" s="80">
        <v>2400</v>
      </c>
      <c r="U167" s="80">
        <v>8125</v>
      </c>
      <c r="V167" s="80">
        <v>1110</v>
      </c>
      <c r="W167" s="80">
        <v>4100</v>
      </c>
      <c r="X167" s="80">
        <v>2700</v>
      </c>
      <c r="Y167" s="80"/>
      <c r="Z167" s="80">
        <v>11</v>
      </c>
      <c r="AA167" s="80" t="s">
        <v>1549</v>
      </c>
      <c r="AB167" s="80">
        <v>10000</v>
      </c>
      <c r="AC167" s="80">
        <v>2415</v>
      </c>
      <c r="AD167" s="80"/>
      <c r="AE167" s="80"/>
      <c r="AF167" s="80"/>
      <c r="AG167" s="80"/>
      <c r="AH167" s="80" t="s">
        <v>1412</v>
      </c>
      <c r="AI167" s="80" t="s">
        <v>1546</v>
      </c>
      <c r="AJ167" s="80"/>
      <c r="AK167" s="80" t="s">
        <v>1547</v>
      </c>
      <c r="AL167" s="80"/>
      <c r="AM167" s="80" t="s">
        <v>1548</v>
      </c>
      <c r="AN167" s="80"/>
      <c r="AO167" s="80" t="s">
        <v>1413</v>
      </c>
      <c r="AP167" s="80"/>
      <c r="AQ167" s="80" t="s">
        <v>1414</v>
      </c>
      <c r="AR167" s="80"/>
      <c r="AS167" s="80" t="s">
        <v>1423</v>
      </c>
      <c r="AT167" s="80"/>
      <c r="AU167" s="80" t="s">
        <v>1550</v>
      </c>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row>
    <row r="168" spans="1:72" s="144" customFormat="1" ht="25.15" customHeight="1" outlineLevel="1" x14ac:dyDescent="0.25">
      <c r="A168" s="9" t="s">
        <v>202</v>
      </c>
      <c r="B168" s="98" t="s">
        <v>1139</v>
      </c>
      <c r="C168" s="1" t="s">
        <v>1150</v>
      </c>
      <c r="D168" s="80"/>
      <c r="E168" s="80" t="s">
        <v>469</v>
      </c>
      <c r="F168" s="80" t="s">
        <v>50</v>
      </c>
      <c r="G168" s="80" t="s">
        <v>38</v>
      </c>
      <c r="H168" s="80" t="s">
        <v>29</v>
      </c>
      <c r="I168" s="80" t="s">
        <v>7</v>
      </c>
      <c r="J168" s="1"/>
      <c r="K168" s="80" t="s">
        <v>30</v>
      </c>
      <c r="L168" s="1"/>
      <c r="M168" s="80" t="s">
        <v>1551</v>
      </c>
      <c r="N168" s="80" t="s">
        <v>31</v>
      </c>
      <c r="O168" s="80">
        <v>5990</v>
      </c>
      <c r="P168" s="80">
        <v>2254</v>
      </c>
      <c r="Q168" s="80">
        <v>2300</v>
      </c>
      <c r="R168" s="80"/>
      <c r="S168" s="80">
        <v>3525</v>
      </c>
      <c r="T168" s="80">
        <v>2400</v>
      </c>
      <c r="U168" s="80">
        <v>8125</v>
      </c>
      <c r="V168" s="80">
        <v>1110</v>
      </c>
      <c r="W168" s="80">
        <v>4100</v>
      </c>
      <c r="X168" s="80">
        <v>2700</v>
      </c>
      <c r="Y168" s="80"/>
      <c r="Z168" s="80">
        <v>11</v>
      </c>
      <c r="AA168" s="80" t="s">
        <v>507</v>
      </c>
      <c r="AB168" s="80">
        <v>10000</v>
      </c>
      <c r="AC168" s="80">
        <v>2925</v>
      </c>
      <c r="AD168" s="80"/>
      <c r="AE168" s="80"/>
      <c r="AF168" s="80"/>
      <c r="AG168" s="80"/>
      <c r="AH168" s="80" t="s">
        <v>160</v>
      </c>
      <c r="AI168" s="80" t="s">
        <v>1546</v>
      </c>
      <c r="AJ168" s="80"/>
      <c r="AK168" s="80" t="s">
        <v>1552</v>
      </c>
      <c r="AL168" s="80"/>
      <c r="AM168" s="80" t="s">
        <v>1548</v>
      </c>
      <c r="AN168" s="80"/>
      <c r="AO168" s="80" t="s">
        <v>1404</v>
      </c>
      <c r="AP168" s="80"/>
      <c r="AQ168" s="80" t="s">
        <v>1405</v>
      </c>
      <c r="AR168" s="80"/>
      <c r="AS168" s="80" t="s">
        <v>1423</v>
      </c>
      <c r="AT168" s="80"/>
      <c r="AU168" s="80" t="s">
        <v>508</v>
      </c>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row>
    <row r="169" spans="1:72" s="144" customFormat="1" ht="25.15" customHeight="1" outlineLevel="1" x14ac:dyDescent="0.25">
      <c r="A169" s="9" t="s">
        <v>202</v>
      </c>
      <c r="B169" s="98" t="s">
        <v>1139</v>
      </c>
      <c r="C169" s="1" t="s">
        <v>1150</v>
      </c>
      <c r="D169" s="80"/>
      <c r="E169" s="80" t="s">
        <v>469</v>
      </c>
      <c r="F169" s="80" t="s">
        <v>50</v>
      </c>
      <c r="G169" s="80" t="s">
        <v>38</v>
      </c>
      <c r="H169" s="80" t="s">
        <v>12</v>
      </c>
      <c r="I169" s="80" t="s">
        <v>7</v>
      </c>
      <c r="J169" s="1"/>
      <c r="K169" s="80" t="s">
        <v>30</v>
      </c>
      <c r="L169" s="1"/>
      <c r="M169" s="80" t="s">
        <v>1551</v>
      </c>
      <c r="N169" s="80" t="s">
        <v>456</v>
      </c>
      <c r="O169" s="80">
        <v>5990</v>
      </c>
      <c r="P169" s="80">
        <v>2254</v>
      </c>
      <c r="Q169" s="80">
        <v>2300</v>
      </c>
      <c r="R169" s="80"/>
      <c r="S169" s="80">
        <v>3525</v>
      </c>
      <c r="T169" s="80">
        <v>2400</v>
      </c>
      <c r="U169" s="80">
        <v>8125</v>
      </c>
      <c r="V169" s="80">
        <v>1110</v>
      </c>
      <c r="W169" s="80">
        <v>4100</v>
      </c>
      <c r="X169" s="80">
        <v>2700</v>
      </c>
      <c r="Y169" s="80"/>
      <c r="Z169" s="80">
        <v>11</v>
      </c>
      <c r="AA169" s="80" t="s">
        <v>470</v>
      </c>
      <c r="AB169" s="80">
        <v>10000</v>
      </c>
      <c r="AC169" s="80">
        <v>2485</v>
      </c>
      <c r="AD169" s="80"/>
      <c r="AE169" s="80"/>
      <c r="AF169" s="80"/>
      <c r="AG169" s="80"/>
      <c r="AH169" s="80" t="s">
        <v>160</v>
      </c>
      <c r="AI169" s="80" t="s">
        <v>1546</v>
      </c>
      <c r="AJ169" s="80"/>
      <c r="AK169" s="80" t="s">
        <v>1552</v>
      </c>
      <c r="AL169" s="80"/>
      <c r="AM169" s="80" t="s">
        <v>1548</v>
      </c>
      <c r="AN169" s="80"/>
      <c r="AO169" s="80" t="s">
        <v>1407</v>
      </c>
      <c r="AP169" s="80"/>
      <c r="AQ169" s="80" t="s">
        <v>1408</v>
      </c>
      <c r="AR169" s="80"/>
      <c r="AS169" s="80" t="s">
        <v>1423</v>
      </c>
      <c r="AT169" s="80"/>
      <c r="AU169" s="80" t="s">
        <v>499</v>
      </c>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row>
    <row r="170" spans="1:72" s="144" customFormat="1" ht="25.15" customHeight="1" outlineLevel="1" x14ac:dyDescent="0.25">
      <c r="A170" s="9" t="s">
        <v>202</v>
      </c>
      <c r="B170" s="98" t="s">
        <v>1139</v>
      </c>
      <c r="C170" s="1" t="s">
        <v>1150</v>
      </c>
      <c r="D170" s="80"/>
      <c r="E170" s="80" t="s">
        <v>469</v>
      </c>
      <c r="F170" s="80" t="s">
        <v>50</v>
      </c>
      <c r="G170" s="80" t="s">
        <v>38</v>
      </c>
      <c r="H170" s="80" t="s">
        <v>32</v>
      </c>
      <c r="I170" s="80" t="s">
        <v>7</v>
      </c>
      <c r="J170" s="1"/>
      <c r="K170" s="80" t="s">
        <v>30</v>
      </c>
      <c r="L170" s="1"/>
      <c r="M170" s="80" t="s">
        <v>1551</v>
      </c>
      <c r="N170" s="80" t="s">
        <v>460</v>
      </c>
      <c r="O170" s="80">
        <v>5990</v>
      </c>
      <c r="P170" s="80">
        <v>2254</v>
      </c>
      <c r="Q170" s="80">
        <v>2400</v>
      </c>
      <c r="R170" s="80"/>
      <c r="S170" s="80">
        <v>3635</v>
      </c>
      <c r="T170" s="80">
        <v>2400</v>
      </c>
      <c r="U170" s="80">
        <v>8125</v>
      </c>
      <c r="V170" s="80">
        <v>1110</v>
      </c>
      <c r="W170" s="80">
        <v>4100</v>
      </c>
      <c r="X170" s="80">
        <v>2700</v>
      </c>
      <c r="Y170" s="80"/>
      <c r="Z170" s="80">
        <v>11</v>
      </c>
      <c r="AA170" s="80" t="s">
        <v>1549</v>
      </c>
      <c r="AB170" s="80">
        <v>10000</v>
      </c>
      <c r="AC170" s="80">
        <v>2415</v>
      </c>
      <c r="AD170" s="80"/>
      <c r="AE170" s="80"/>
      <c r="AF170" s="80"/>
      <c r="AG170" s="80"/>
      <c r="AH170" s="80" t="s">
        <v>1412</v>
      </c>
      <c r="AI170" s="80" t="s">
        <v>1546</v>
      </c>
      <c r="AJ170" s="80"/>
      <c r="AK170" s="80" t="s">
        <v>1552</v>
      </c>
      <c r="AL170" s="80"/>
      <c r="AM170" s="80" t="s">
        <v>1548</v>
      </c>
      <c r="AN170" s="80"/>
      <c r="AO170" s="80" t="s">
        <v>1413</v>
      </c>
      <c r="AP170" s="80"/>
      <c r="AQ170" s="80" t="s">
        <v>1414</v>
      </c>
      <c r="AR170" s="80"/>
      <c r="AS170" s="80" t="s">
        <v>1423</v>
      </c>
      <c r="AT170" s="80"/>
      <c r="AU170" s="80" t="s">
        <v>1550</v>
      </c>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row>
    <row r="171" spans="1:72" s="144" customFormat="1" ht="25.15" customHeight="1" outlineLevel="1" x14ac:dyDescent="0.25">
      <c r="A171" s="9" t="s">
        <v>202</v>
      </c>
      <c r="B171" s="98" t="s">
        <v>1139</v>
      </c>
      <c r="C171" s="1" t="s">
        <v>1150</v>
      </c>
      <c r="D171" s="80"/>
      <c r="E171" s="80" t="s">
        <v>469</v>
      </c>
      <c r="F171" s="80" t="s">
        <v>50</v>
      </c>
      <c r="G171" s="80" t="s">
        <v>41</v>
      </c>
      <c r="H171" s="80" t="s">
        <v>29</v>
      </c>
      <c r="I171" s="80" t="s">
        <v>7</v>
      </c>
      <c r="J171" s="1"/>
      <c r="K171" s="80" t="s">
        <v>30</v>
      </c>
      <c r="L171" s="1"/>
      <c r="M171" s="80" t="s">
        <v>1553</v>
      </c>
      <c r="N171" s="80" t="s">
        <v>31</v>
      </c>
      <c r="O171" s="80">
        <v>6590</v>
      </c>
      <c r="P171" s="80">
        <v>2454</v>
      </c>
      <c r="Q171" s="80">
        <v>2400</v>
      </c>
      <c r="R171" s="80"/>
      <c r="S171" s="80">
        <v>3675</v>
      </c>
      <c r="T171" s="80">
        <v>2600</v>
      </c>
      <c r="U171" s="80">
        <v>8735</v>
      </c>
      <c r="V171" s="80">
        <v>1160</v>
      </c>
      <c r="W171" s="80">
        <v>4700</v>
      </c>
      <c r="X171" s="80">
        <v>2710</v>
      </c>
      <c r="Y171" s="80"/>
      <c r="Z171" s="80">
        <v>15</v>
      </c>
      <c r="AA171" s="80" t="s">
        <v>507</v>
      </c>
      <c r="AB171" s="80">
        <v>11990</v>
      </c>
      <c r="AC171" s="80">
        <v>4065</v>
      </c>
      <c r="AD171" s="80"/>
      <c r="AE171" s="80"/>
      <c r="AF171" s="80"/>
      <c r="AG171" s="80"/>
      <c r="AH171" s="80" t="s">
        <v>161</v>
      </c>
      <c r="AI171" s="80" t="s">
        <v>1546</v>
      </c>
      <c r="AJ171" s="80"/>
      <c r="AK171" s="80" t="s">
        <v>1547</v>
      </c>
      <c r="AL171" s="80"/>
      <c r="AM171" s="80" t="s">
        <v>1554</v>
      </c>
      <c r="AN171" s="80"/>
      <c r="AO171" s="80" t="s">
        <v>1421</v>
      </c>
      <c r="AP171" s="80"/>
      <c r="AQ171" s="80" t="s">
        <v>1422</v>
      </c>
      <c r="AR171" s="80"/>
      <c r="AS171" s="80" t="s">
        <v>1555</v>
      </c>
      <c r="AT171" s="80"/>
      <c r="AU171" s="80" t="s">
        <v>1556</v>
      </c>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row>
    <row r="172" spans="1:72" s="147" customFormat="1" ht="25.15" customHeight="1" outlineLevel="1" x14ac:dyDescent="0.25">
      <c r="A172" s="9" t="s">
        <v>202</v>
      </c>
      <c r="B172" s="98" t="s">
        <v>1139</v>
      </c>
      <c r="C172" s="1" t="s">
        <v>1150</v>
      </c>
      <c r="D172" s="80"/>
      <c r="E172" s="80" t="s">
        <v>469</v>
      </c>
      <c r="F172" s="80" t="s">
        <v>50</v>
      </c>
      <c r="G172" s="80" t="s">
        <v>41</v>
      </c>
      <c r="H172" s="80" t="s">
        <v>12</v>
      </c>
      <c r="I172" s="80" t="s">
        <v>7</v>
      </c>
      <c r="J172" s="1"/>
      <c r="K172" s="80" t="s">
        <v>30</v>
      </c>
      <c r="L172" s="1"/>
      <c r="M172" s="80" t="s">
        <v>1553</v>
      </c>
      <c r="N172" s="80" t="s">
        <v>456</v>
      </c>
      <c r="O172" s="80">
        <v>6590</v>
      </c>
      <c r="P172" s="80">
        <v>2454</v>
      </c>
      <c r="Q172" s="80">
        <v>2400</v>
      </c>
      <c r="R172" s="80"/>
      <c r="S172" s="80">
        <v>3675</v>
      </c>
      <c r="T172" s="80">
        <v>2600</v>
      </c>
      <c r="U172" s="80">
        <v>8735</v>
      </c>
      <c r="V172" s="80">
        <v>1160</v>
      </c>
      <c r="W172" s="80">
        <v>4700</v>
      </c>
      <c r="X172" s="80">
        <v>2710</v>
      </c>
      <c r="Y172" s="80"/>
      <c r="Z172" s="80">
        <v>15</v>
      </c>
      <c r="AA172" s="80" t="s">
        <v>470</v>
      </c>
      <c r="AB172" s="80">
        <v>11990</v>
      </c>
      <c r="AC172" s="80">
        <v>3655</v>
      </c>
      <c r="AD172" s="80"/>
      <c r="AE172" s="80"/>
      <c r="AF172" s="80"/>
      <c r="AG172" s="80"/>
      <c r="AH172" s="80" t="s">
        <v>161</v>
      </c>
      <c r="AI172" s="80" t="s">
        <v>1546</v>
      </c>
      <c r="AJ172" s="80"/>
      <c r="AK172" s="80" t="s">
        <v>1547</v>
      </c>
      <c r="AL172" s="80"/>
      <c r="AM172" s="80" t="s">
        <v>1554</v>
      </c>
      <c r="AN172" s="80"/>
      <c r="AO172" s="80" t="s">
        <v>1424</v>
      </c>
      <c r="AP172" s="80"/>
      <c r="AQ172" s="80" t="s">
        <v>1446</v>
      </c>
      <c r="AR172" s="80"/>
      <c r="AS172" s="80" t="s">
        <v>1555</v>
      </c>
      <c r="AT172" s="80"/>
      <c r="AU172" s="84" t="s">
        <v>471</v>
      </c>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row>
    <row r="173" spans="1:72" s="148" customFormat="1" ht="25.15" customHeight="1" outlineLevel="1" x14ac:dyDescent="0.25">
      <c r="A173" s="9" t="s">
        <v>202</v>
      </c>
      <c r="B173" s="98" t="s">
        <v>1139</v>
      </c>
      <c r="C173" s="1" t="s">
        <v>1150</v>
      </c>
      <c r="D173" s="80"/>
      <c r="E173" s="80" t="s">
        <v>469</v>
      </c>
      <c r="F173" s="80" t="s">
        <v>50</v>
      </c>
      <c r="G173" s="80" t="s">
        <v>41</v>
      </c>
      <c r="H173" s="80" t="s">
        <v>32</v>
      </c>
      <c r="I173" s="80" t="s">
        <v>7</v>
      </c>
      <c r="J173" s="1"/>
      <c r="K173" s="80" t="s">
        <v>30</v>
      </c>
      <c r="L173" s="1"/>
      <c r="M173" s="80" t="s">
        <v>1553</v>
      </c>
      <c r="N173" s="80" t="s">
        <v>460</v>
      </c>
      <c r="O173" s="80">
        <v>6590</v>
      </c>
      <c r="P173" s="80">
        <v>2454</v>
      </c>
      <c r="Q173" s="80">
        <v>2400</v>
      </c>
      <c r="R173" s="80"/>
      <c r="S173" s="80">
        <v>3675</v>
      </c>
      <c r="T173" s="80">
        <v>2600</v>
      </c>
      <c r="U173" s="80">
        <v>8735</v>
      </c>
      <c r="V173" s="80">
        <v>1160</v>
      </c>
      <c r="W173" s="80">
        <v>4700</v>
      </c>
      <c r="X173" s="80">
        <v>2710</v>
      </c>
      <c r="Y173" s="80"/>
      <c r="Z173" s="80">
        <v>15</v>
      </c>
      <c r="AA173" s="80" t="s">
        <v>1549</v>
      </c>
      <c r="AB173" s="80">
        <v>11990</v>
      </c>
      <c r="AC173" s="80">
        <v>3550</v>
      </c>
      <c r="AD173" s="80"/>
      <c r="AE173" s="80"/>
      <c r="AF173" s="80"/>
      <c r="AG173" s="80"/>
      <c r="AH173" s="80" t="s">
        <v>161</v>
      </c>
      <c r="AI173" s="80" t="s">
        <v>1546</v>
      </c>
      <c r="AJ173" s="80"/>
      <c r="AK173" s="80" t="s">
        <v>1547</v>
      </c>
      <c r="AL173" s="80"/>
      <c r="AM173" s="80" t="s">
        <v>1554</v>
      </c>
      <c r="AN173" s="80"/>
      <c r="AO173" s="80" t="s">
        <v>1428</v>
      </c>
      <c r="AP173" s="80"/>
      <c r="AQ173" s="80" t="s">
        <v>1422</v>
      </c>
      <c r="AR173" s="80"/>
      <c r="AS173" s="80" t="s">
        <v>1555</v>
      </c>
      <c r="AT173" s="80"/>
      <c r="AU173" s="80" t="s">
        <v>1557</v>
      </c>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row>
    <row r="174" spans="1:72" s="147" customFormat="1" ht="25.15" customHeight="1" outlineLevel="1" x14ac:dyDescent="0.25">
      <c r="A174" s="9" t="s">
        <v>202</v>
      </c>
      <c r="B174" s="98" t="s">
        <v>1139</v>
      </c>
      <c r="C174" s="1" t="s">
        <v>1150</v>
      </c>
      <c r="D174" s="80"/>
      <c r="E174" s="80" t="s">
        <v>469</v>
      </c>
      <c r="F174" s="80" t="s">
        <v>50</v>
      </c>
      <c r="G174" s="80" t="s">
        <v>41</v>
      </c>
      <c r="H174" s="80" t="s">
        <v>29</v>
      </c>
      <c r="I174" s="80" t="s">
        <v>7</v>
      </c>
      <c r="J174" s="1"/>
      <c r="K174" s="80" t="s">
        <v>30</v>
      </c>
      <c r="L174" s="1"/>
      <c r="M174" s="80" t="s">
        <v>1558</v>
      </c>
      <c r="N174" s="80" t="s">
        <v>31</v>
      </c>
      <c r="O174" s="80">
        <v>6590</v>
      </c>
      <c r="P174" s="80">
        <v>2454</v>
      </c>
      <c r="Q174" s="80">
        <v>2400</v>
      </c>
      <c r="R174" s="80"/>
      <c r="S174" s="80">
        <v>3675</v>
      </c>
      <c r="T174" s="80">
        <v>2600</v>
      </c>
      <c r="U174" s="80">
        <v>8735</v>
      </c>
      <c r="V174" s="80">
        <v>1160</v>
      </c>
      <c r="W174" s="80">
        <v>4700</v>
      </c>
      <c r="X174" s="80">
        <v>2710</v>
      </c>
      <c r="Y174" s="80"/>
      <c r="Z174" s="80">
        <v>15</v>
      </c>
      <c r="AA174" s="80" t="s">
        <v>507</v>
      </c>
      <c r="AB174" s="80">
        <v>11990</v>
      </c>
      <c r="AC174" s="80">
        <v>4065</v>
      </c>
      <c r="AD174" s="80"/>
      <c r="AE174" s="80"/>
      <c r="AF174" s="80"/>
      <c r="AG174" s="80"/>
      <c r="AH174" s="80" t="s">
        <v>161</v>
      </c>
      <c r="AI174" s="80" t="s">
        <v>1546</v>
      </c>
      <c r="AJ174" s="80"/>
      <c r="AK174" s="80" t="s">
        <v>1552</v>
      </c>
      <c r="AL174" s="80"/>
      <c r="AM174" s="80" t="s">
        <v>1554</v>
      </c>
      <c r="AN174" s="80"/>
      <c r="AO174" s="80" t="s">
        <v>1421</v>
      </c>
      <c r="AP174" s="80"/>
      <c r="AQ174" s="80" t="s">
        <v>1422</v>
      </c>
      <c r="AR174" s="80"/>
      <c r="AS174" s="80" t="s">
        <v>1555</v>
      </c>
      <c r="AT174" s="80"/>
      <c r="AU174" s="80" t="s">
        <v>1556</v>
      </c>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row>
    <row r="175" spans="1:72" s="147" customFormat="1" ht="25.15" customHeight="1" outlineLevel="1" x14ac:dyDescent="0.25">
      <c r="A175" s="9" t="s">
        <v>202</v>
      </c>
      <c r="B175" s="98" t="s">
        <v>1139</v>
      </c>
      <c r="C175" s="1" t="s">
        <v>1150</v>
      </c>
      <c r="D175" s="80"/>
      <c r="E175" s="80" t="s">
        <v>469</v>
      </c>
      <c r="F175" s="80" t="s">
        <v>50</v>
      </c>
      <c r="G175" s="80" t="s">
        <v>41</v>
      </c>
      <c r="H175" s="80" t="s">
        <v>12</v>
      </c>
      <c r="I175" s="80" t="s">
        <v>7</v>
      </c>
      <c r="J175" s="1"/>
      <c r="K175" s="80" t="s">
        <v>30</v>
      </c>
      <c r="L175" s="1"/>
      <c r="M175" s="80" t="s">
        <v>1558</v>
      </c>
      <c r="N175" s="80" t="s">
        <v>456</v>
      </c>
      <c r="O175" s="80">
        <v>6590</v>
      </c>
      <c r="P175" s="80">
        <v>2454</v>
      </c>
      <c r="Q175" s="80">
        <v>2400</v>
      </c>
      <c r="R175" s="80"/>
      <c r="S175" s="80">
        <v>3675</v>
      </c>
      <c r="T175" s="80">
        <v>2600</v>
      </c>
      <c r="U175" s="80">
        <v>8735</v>
      </c>
      <c r="V175" s="80">
        <v>1160</v>
      </c>
      <c r="W175" s="80">
        <v>4700</v>
      </c>
      <c r="X175" s="80">
        <v>2710</v>
      </c>
      <c r="Y175" s="80"/>
      <c r="Z175" s="80">
        <v>15</v>
      </c>
      <c r="AA175" s="80" t="s">
        <v>470</v>
      </c>
      <c r="AB175" s="80">
        <v>11990</v>
      </c>
      <c r="AC175" s="80">
        <v>3655</v>
      </c>
      <c r="AD175" s="80"/>
      <c r="AE175" s="80"/>
      <c r="AF175" s="80"/>
      <c r="AG175" s="80"/>
      <c r="AH175" s="80" t="s">
        <v>161</v>
      </c>
      <c r="AI175" s="80" t="s">
        <v>1546</v>
      </c>
      <c r="AJ175" s="80"/>
      <c r="AK175" s="80" t="s">
        <v>1552</v>
      </c>
      <c r="AL175" s="80"/>
      <c r="AM175" s="80" t="s">
        <v>1554</v>
      </c>
      <c r="AN175" s="80"/>
      <c r="AO175" s="80" t="s">
        <v>1424</v>
      </c>
      <c r="AP175" s="80"/>
      <c r="AQ175" s="80" t="s">
        <v>1446</v>
      </c>
      <c r="AR175" s="80"/>
      <c r="AS175" s="80" t="s">
        <v>1555</v>
      </c>
      <c r="AT175" s="80"/>
      <c r="AU175" s="84" t="s">
        <v>471</v>
      </c>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row>
    <row r="176" spans="1:72" s="144" customFormat="1" ht="25.15" customHeight="1" outlineLevel="1" x14ac:dyDescent="0.25">
      <c r="A176" s="9" t="s">
        <v>202</v>
      </c>
      <c r="B176" s="98" t="s">
        <v>1139</v>
      </c>
      <c r="C176" s="1" t="s">
        <v>1150</v>
      </c>
      <c r="D176" s="80"/>
      <c r="E176" s="80" t="s">
        <v>469</v>
      </c>
      <c r="F176" s="80" t="s">
        <v>50</v>
      </c>
      <c r="G176" s="80" t="s">
        <v>41</v>
      </c>
      <c r="H176" s="80" t="s">
        <v>32</v>
      </c>
      <c r="I176" s="80" t="s">
        <v>7</v>
      </c>
      <c r="J176" s="1"/>
      <c r="K176" s="80" t="s">
        <v>30</v>
      </c>
      <c r="L176" s="1"/>
      <c r="M176" s="80" t="s">
        <v>1558</v>
      </c>
      <c r="N176" s="80" t="s">
        <v>460</v>
      </c>
      <c r="O176" s="80">
        <v>6590</v>
      </c>
      <c r="P176" s="80">
        <v>2454</v>
      </c>
      <c r="Q176" s="80">
        <v>2400</v>
      </c>
      <c r="R176" s="80"/>
      <c r="S176" s="80">
        <v>3675</v>
      </c>
      <c r="T176" s="80">
        <v>2600</v>
      </c>
      <c r="U176" s="80">
        <v>8735</v>
      </c>
      <c r="V176" s="80">
        <v>1160</v>
      </c>
      <c r="W176" s="80">
        <v>4700</v>
      </c>
      <c r="X176" s="80">
        <v>2710</v>
      </c>
      <c r="Y176" s="80"/>
      <c r="Z176" s="80">
        <v>15</v>
      </c>
      <c r="AA176" s="80" t="s">
        <v>1549</v>
      </c>
      <c r="AB176" s="80">
        <v>11990</v>
      </c>
      <c r="AC176" s="80">
        <v>3550</v>
      </c>
      <c r="AD176" s="80"/>
      <c r="AE176" s="80"/>
      <c r="AF176" s="80"/>
      <c r="AG176" s="80"/>
      <c r="AH176" s="80" t="s">
        <v>161</v>
      </c>
      <c r="AI176" s="80" t="s">
        <v>1546</v>
      </c>
      <c r="AJ176" s="80"/>
      <c r="AK176" s="80" t="s">
        <v>1552</v>
      </c>
      <c r="AL176" s="80"/>
      <c r="AM176" s="80" t="s">
        <v>1554</v>
      </c>
      <c r="AN176" s="80"/>
      <c r="AO176" s="80" t="s">
        <v>1428</v>
      </c>
      <c r="AP176" s="80"/>
      <c r="AQ176" s="80" t="s">
        <v>1422</v>
      </c>
      <c r="AR176" s="80"/>
      <c r="AS176" s="80" t="s">
        <v>1555</v>
      </c>
      <c r="AT176" s="80"/>
      <c r="AU176" s="80" t="s">
        <v>1557</v>
      </c>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row>
    <row r="177" spans="1:72" s="144" customFormat="1" ht="25.15" customHeight="1" outlineLevel="1" x14ac:dyDescent="0.25">
      <c r="A177" s="80" t="s">
        <v>202</v>
      </c>
      <c r="B177" s="98" t="s">
        <v>1139</v>
      </c>
      <c r="C177" s="1" t="s">
        <v>1150</v>
      </c>
      <c r="D177" s="80"/>
      <c r="E177" s="80" t="s">
        <v>469</v>
      </c>
      <c r="F177" s="80" t="s">
        <v>50</v>
      </c>
      <c r="G177" s="80" t="s">
        <v>41</v>
      </c>
      <c r="H177" s="80" t="s">
        <v>29</v>
      </c>
      <c r="I177" s="80" t="s">
        <v>7</v>
      </c>
      <c r="J177" s="1"/>
      <c r="K177" s="80" t="s">
        <v>30</v>
      </c>
      <c r="L177" s="1"/>
      <c r="M177" s="80" t="s">
        <v>1559</v>
      </c>
      <c r="N177" s="83" t="s">
        <v>31</v>
      </c>
      <c r="O177" s="80">
        <v>6590</v>
      </c>
      <c r="P177" s="80">
        <v>2454</v>
      </c>
      <c r="Q177" s="80">
        <v>2400</v>
      </c>
      <c r="R177" s="80"/>
      <c r="S177" s="80">
        <v>3675</v>
      </c>
      <c r="T177" s="80">
        <v>2600</v>
      </c>
      <c r="U177" s="80">
        <v>8735</v>
      </c>
      <c r="V177" s="80">
        <v>1160</v>
      </c>
      <c r="W177" s="80">
        <v>4700</v>
      </c>
      <c r="X177" s="80">
        <v>2710</v>
      </c>
      <c r="Y177" s="80"/>
      <c r="Z177" s="80">
        <v>15</v>
      </c>
      <c r="AA177" s="80" t="s">
        <v>507</v>
      </c>
      <c r="AB177" s="80">
        <v>11990</v>
      </c>
      <c r="AC177" s="80">
        <v>3840</v>
      </c>
      <c r="AD177" s="80"/>
      <c r="AE177" s="80"/>
      <c r="AF177" s="80"/>
      <c r="AG177" s="80"/>
      <c r="AH177" s="80" t="s">
        <v>161</v>
      </c>
      <c r="AI177" s="80" t="s">
        <v>1546</v>
      </c>
      <c r="AJ177" s="80"/>
      <c r="AK177" s="80" t="s">
        <v>1560</v>
      </c>
      <c r="AL177" s="80"/>
      <c r="AM177" s="80" t="s">
        <v>1554</v>
      </c>
      <c r="AN177" s="80"/>
      <c r="AO177" s="80" t="s">
        <v>1421</v>
      </c>
      <c r="AP177" s="80"/>
      <c r="AQ177" s="80" t="s">
        <v>1422</v>
      </c>
      <c r="AR177" s="80"/>
      <c r="AS177" s="80" t="s">
        <v>1555</v>
      </c>
      <c r="AT177" s="80"/>
      <c r="AU177" s="80" t="s">
        <v>1556</v>
      </c>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row>
    <row r="178" spans="1:72" s="149" customFormat="1" ht="25.15" customHeight="1" outlineLevel="1" x14ac:dyDescent="0.25">
      <c r="A178" s="80" t="s">
        <v>202</v>
      </c>
      <c r="B178" s="98" t="s">
        <v>1139</v>
      </c>
      <c r="C178" s="1" t="s">
        <v>1150</v>
      </c>
      <c r="D178" s="80"/>
      <c r="E178" s="80" t="s">
        <v>469</v>
      </c>
      <c r="F178" s="80" t="s">
        <v>50</v>
      </c>
      <c r="G178" s="80" t="s">
        <v>41</v>
      </c>
      <c r="H178" s="80" t="s">
        <v>12</v>
      </c>
      <c r="I178" s="80" t="s">
        <v>7</v>
      </c>
      <c r="J178" s="1"/>
      <c r="K178" s="80" t="s">
        <v>30</v>
      </c>
      <c r="L178" s="1"/>
      <c r="M178" s="80" t="s">
        <v>1559</v>
      </c>
      <c r="N178" s="80" t="s">
        <v>456</v>
      </c>
      <c r="O178" s="80">
        <v>6590</v>
      </c>
      <c r="P178" s="80">
        <v>2454</v>
      </c>
      <c r="Q178" s="80">
        <v>2400</v>
      </c>
      <c r="R178" s="80"/>
      <c r="S178" s="80">
        <v>3675</v>
      </c>
      <c r="T178" s="80">
        <v>2600</v>
      </c>
      <c r="U178" s="80">
        <v>8735</v>
      </c>
      <c r="V178" s="80">
        <v>1160</v>
      </c>
      <c r="W178" s="80">
        <v>4700</v>
      </c>
      <c r="X178" s="80">
        <v>2710</v>
      </c>
      <c r="Y178" s="80"/>
      <c r="Z178" s="80">
        <v>15</v>
      </c>
      <c r="AA178" s="80" t="s">
        <v>470</v>
      </c>
      <c r="AB178" s="80">
        <v>11990</v>
      </c>
      <c r="AC178" s="80">
        <v>3430</v>
      </c>
      <c r="AD178" s="80"/>
      <c r="AE178" s="80"/>
      <c r="AF178" s="80"/>
      <c r="AG178" s="80"/>
      <c r="AH178" s="80" t="s">
        <v>161</v>
      </c>
      <c r="AI178" s="80" t="s">
        <v>1546</v>
      </c>
      <c r="AJ178" s="80"/>
      <c r="AK178" s="80" t="s">
        <v>1560</v>
      </c>
      <c r="AL178" s="80"/>
      <c r="AM178" s="80" t="s">
        <v>1554</v>
      </c>
      <c r="AN178" s="80"/>
      <c r="AO178" s="80" t="s">
        <v>1424</v>
      </c>
      <c r="AP178" s="80"/>
      <c r="AQ178" s="80" t="s">
        <v>1446</v>
      </c>
      <c r="AR178" s="80"/>
      <c r="AS178" s="80" t="s">
        <v>1555</v>
      </c>
      <c r="AT178" s="80"/>
      <c r="AU178" s="84" t="s">
        <v>471</v>
      </c>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row>
    <row r="179" spans="1:72" s="144" customFormat="1" ht="25.15" customHeight="1" outlineLevel="1" x14ac:dyDescent="0.25">
      <c r="A179" s="80" t="s">
        <v>202</v>
      </c>
      <c r="B179" s="98" t="s">
        <v>1139</v>
      </c>
      <c r="C179" s="1" t="s">
        <v>1150</v>
      </c>
      <c r="D179" s="80"/>
      <c r="E179" s="80" t="s">
        <v>469</v>
      </c>
      <c r="F179" s="80" t="s">
        <v>50</v>
      </c>
      <c r="G179" s="80" t="s">
        <v>41</v>
      </c>
      <c r="H179" s="80" t="s">
        <v>32</v>
      </c>
      <c r="I179" s="80" t="s">
        <v>7</v>
      </c>
      <c r="J179" s="1"/>
      <c r="K179" s="80" t="s">
        <v>30</v>
      </c>
      <c r="L179" s="1"/>
      <c r="M179" s="80" t="s">
        <v>1559</v>
      </c>
      <c r="N179" s="80" t="s">
        <v>460</v>
      </c>
      <c r="O179" s="80">
        <v>6590</v>
      </c>
      <c r="P179" s="80">
        <v>2454</v>
      </c>
      <c r="Q179" s="80">
        <v>2400</v>
      </c>
      <c r="R179" s="80"/>
      <c r="S179" s="80">
        <v>3675</v>
      </c>
      <c r="T179" s="80">
        <v>2600</v>
      </c>
      <c r="U179" s="80">
        <v>8735</v>
      </c>
      <c r="V179" s="80">
        <v>1160</v>
      </c>
      <c r="W179" s="80">
        <v>4700</v>
      </c>
      <c r="X179" s="80">
        <v>2710</v>
      </c>
      <c r="Y179" s="80"/>
      <c r="Z179" s="80">
        <v>15</v>
      </c>
      <c r="AA179" s="80" t="s">
        <v>1549</v>
      </c>
      <c r="AB179" s="80">
        <v>11990</v>
      </c>
      <c r="AC179" s="80">
        <v>3325</v>
      </c>
      <c r="AD179" s="80"/>
      <c r="AE179" s="80"/>
      <c r="AF179" s="80"/>
      <c r="AG179" s="80"/>
      <c r="AH179" s="80" t="s">
        <v>161</v>
      </c>
      <c r="AI179" s="80" t="s">
        <v>1546</v>
      </c>
      <c r="AJ179" s="80"/>
      <c r="AK179" s="80" t="s">
        <v>1560</v>
      </c>
      <c r="AL179" s="80"/>
      <c r="AM179" s="80" t="s">
        <v>1554</v>
      </c>
      <c r="AN179" s="80"/>
      <c r="AO179" s="80" t="s">
        <v>1428</v>
      </c>
      <c r="AP179" s="80"/>
      <c r="AQ179" s="80" t="s">
        <v>1422</v>
      </c>
      <c r="AR179" s="80"/>
      <c r="AS179" s="80" t="s">
        <v>1555</v>
      </c>
      <c r="AT179" s="80"/>
      <c r="AU179" s="80" t="s">
        <v>1557</v>
      </c>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row>
    <row r="180" spans="1:72" s="149" customFormat="1" ht="25.15" customHeight="1" outlineLevel="1" x14ac:dyDescent="0.25">
      <c r="A180" s="9" t="s">
        <v>202</v>
      </c>
      <c r="B180" s="98" t="s">
        <v>1139</v>
      </c>
      <c r="C180" s="1" t="s">
        <v>1150</v>
      </c>
      <c r="D180" s="80"/>
      <c r="E180" s="80" t="s">
        <v>469</v>
      </c>
      <c r="F180" s="80" t="s">
        <v>50</v>
      </c>
      <c r="G180" s="80" t="s">
        <v>41</v>
      </c>
      <c r="H180" s="80" t="s">
        <v>29</v>
      </c>
      <c r="I180" s="80" t="s">
        <v>7</v>
      </c>
      <c r="J180" s="1"/>
      <c r="K180" s="80" t="s">
        <v>30</v>
      </c>
      <c r="L180" s="1"/>
      <c r="M180" s="80" t="s">
        <v>1561</v>
      </c>
      <c r="N180" s="80" t="s">
        <v>31</v>
      </c>
      <c r="O180" s="80">
        <v>6590</v>
      </c>
      <c r="P180" s="80">
        <v>2454</v>
      </c>
      <c r="Q180" s="80">
        <v>2400</v>
      </c>
      <c r="R180" s="80"/>
      <c r="S180" s="80">
        <v>3715</v>
      </c>
      <c r="T180" s="80">
        <v>2600</v>
      </c>
      <c r="U180" s="80">
        <v>8725</v>
      </c>
      <c r="V180" s="80">
        <v>1200</v>
      </c>
      <c r="W180" s="80">
        <v>4700</v>
      </c>
      <c r="X180" s="80">
        <v>2700</v>
      </c>
      <c r="Y180" s="80"/>
      <c r="Z180" s="80">
        <v>15</v>
      </c>
      <c r="AA180" s="80" t="s">
        <v>507</v>
      </c>
      <c r="AB180" s="80">
        <v>14000</v>
      </c>
      <c r="AC180" s="80">
        <v>5640</v>
      </c>
      <c r="AD180" s="80"/>
      <c r="AE180" s="80"/>
      <c r="AF180" s="80"/>
      <c r="AG180" s="80"/>
      <c r="AH180" s="80" t="s">
        <v>161</v>
      </c>
      <c r="AI180" s="80" t="s">
        <v>1546</v>
      </c>
      <c r="AJ180" s="80"/>
      <c r="AK180" s="80" t="s">
        <v>1547</v>
      </c>
      <c r="AL180" s="80"/>
      <c r="AM180" s="80" t="s">
        <v>1562</v>
      </c>
      <c r="AN180" s="80"/>
      <c r="AO180" s="80" t="s">
        <v>1421</v>
      </c>
      <c r="AP180" s="80"/>
      <c r="AQ180" s="80" t="s">
        <v>1422</v>
      </c>
      <c r="AR180" s="80"/>
      <c r="AS180" s="80" t="s">
        <v>1563</v>
      </c>
      <c r="AT180" s="80"/>
      <c r="AU180" s="80" t="s">
        <v>1564</v>
      </c>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row>
    <row r="181" spans="1:72" s="144" customFormat="1" ht="25.15" customHeight="1" outlineLevel="1" x14ac:dyDescent="0.25">
      <c r="A181" s="9" t="s">
        <v>202</v>
      </c>
      <c r="B181" s="98" t="s">
        <v>1139</v>
      </c>
      <c r="C181" s="1" t="s">
        <v>1150</v>
      </c>
      <c r="D181" s="80"/>
      <c r="E181" s="80" t="s">
        <v>469</v>
      </c>
      <c r="F181" s="80" t="s">
        <v>50</v>
      </c>
      <c r="G181" s="80" t="s">
        <v>41</v>
      </c>
      <c r="H181" s="80" t="s">
        <v>12</v>
      </c>
      <c r="I181" s="80" t="s">
        <v>7</v>
      </c>
      <c r="J181" s="1"/>
      <c r="K181" s="80" t="s">
        <v>30</v>
      </c>
      <c r="L181" s="1"/>
      <c r="M181" s="80" t="s">
        <v>1561</v>
      </c>
      <c r="N181" s="80" t="s">
        <v>456</v>
      </c>
      <c r="O181" s="80">
        <v>6590</v>
      </c>
      <c r="P181" s="80">
        <v>2454</v>
      </c>
      <c r="Q181" s="80">
        <v>2400</v>
      </c>
      <c r="R181" s="80"/>
      <c r="S181" s="80">
        <v>3715</v>
      </c>
      <c r="T181" s="80">
        <v>2600</v>
      </c>
      <c r="U181" s="80">
        <v>8725</v>
      </c>
      <c r="V181" s="80">
        <v>1200</v>
      </c>
      <c r="W181" s="80">
        <v>4700</v>
      </c>
      <c r="X181" s="80">
        <v>2700</v>
      </c>
      <c r="Y181" s="80"/>
      <c r="Z181" s="80">
        <v>15</v>
      </c>
      <c r="AA181" s="80" t="s">
        <v>470</v>
      </c>
      <c r="AB181" s="80">
        <v>14000</v>
      </c>
      <c r="AC181" s="80">
        <v>5235</v>
      </c>
      <c r="AD181" s="80"/>
      <c r="AE181" s="80"/>
      <c r="AF181" s="80"/>
      <c r="AG181" s="80"/>
      <c r="AH181" s="80" t="s">
        <v>161</v>
      </c>
      <c r="AI181" s="80" t="s">
        <v>1546</v>
      </c>
      <c r="AJ181" s="80"/>
      <c r="AK181" s="80" t="s">
        <v>1547</v>
      </c>
      <c r="AL181" s="80"/>
      <c r="AM181" s="80" t="s">
        <v>1562</v>
      </c>
      <c r="AN181" s="80"/>
      <c r="AO181" s="80" t="s">
        <v>1424</v>
      </c>
      <c r="AP181" s="80"/>
      <c r="AQ181" s="80" t="s">
        <v>1446</v>
      </c>
      <c r="AR181" s="80"/>
      <c r="AS181" s="80" t="s">
        <v>1563</v>
      </c>
      <c r="AT181" s="80"/>
      <c r="AU181" s="84" t="s">
        <v>1565</v>
      </c>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row>
    <row r="182" spans="1:72" s="144" customFormat="1" ht="25.15" customHeight="1" outlineLevel="1" x14ac:dyDescent="0.25">
      <c r="A182" s="9" t="s">
        <v>202</v>
      </c>
      <c r="B182" s="98" t="s">
        <v>1139</v>
      </c>
      <c r="C182" s="1" t="s">
        <v>1150</v>
      </c>
      <c r="D182" s="80"/>
      <c r="E182" s="80" t="s">
        <v>469</v>
      </c>
      <c r="F182" s="80" t="s">
        <v>50</v>
      </c>
      <c r="G182" s="80" t="s">
        <v>41</v>
      </c>
      <c r="H182" s="80" t="s">
        <v>32</v>
      </c>
      <c r="I182" s="80" t="s">
        <v>7</v>
      </c>
      <c r="J182" s="1"/>
      <c r="K182" s="80" t="s">
        <v>30</v>
      </c>
      <c r="L182" s="1"/>
      <c r="M182" s="80" t="s">
        <v>1561</v>
      </c>
      <c r="N182" s="80" t="s">
        <v>460</v>
      </c>
      <c r="O182" s="80">
        <v>6590</v>
      </c>
      <c r="P182" s="80">
        <v>2454</v>
      </c>
      <c r="Q182" s="80">
        <v>2400</v>
      </c>
      <c r="R182" s="80"/>
      <c r="S182" s="80">
        <v>3715</v>
      </c>
      <c r="T182" s="80">
        <v>2600</v>
      </c>
      <c r="U182" s="80">
        <v>8725</v>
      </c>
      <c r="V182" s="80">
        <v>1200</v>
      </c>
      <c r="W182" s="80">
        <v>4700</v>
      </c>
      <c r="X182" s="80">
        <v>2700</v>
      </c>
      <c r="Y182" s="80"/>
      <c r="Z182" s="80">
        <v>15</v>
      </c>
      <c r="AA182" s="80" t="s">
        <v>1549</v>
      </c>
      <c r="AB182" s="80">
        <v>14000</v>
      </c>
      <c r="AC182" s="80">
        <v>5025</v>
      </c>
      <c r="AD182" s="80"/>
      <c r="AE182" s="80"/>
      <c r="AF182" s="80"/>
      <c r="AG182" s="80"/>
      <c r="AH182" s="80" t="s">
        <v>161</v>
      </c>
      <c r="AI182" s="80" t="s">
        <v>1546</v>
      </c>
      <c r="AJ182" s="80"/>
      <c r="AK182" s="80" t="s">
        <v>1547</v>
      </c>
      <c r="AL182" s="80"/>
      <c r="AM182" s="80" t="s">
        <v>1562</v>
      </c>
      <c r="AN182" s="80"/>
      <c r="AO182" s="80" t="s">
        <v>1428</v>
      </c>
      <c r="AP182" s="80"/>
      <c r="AQ182" s="80" t="s">
        <v>1422</v>
      </c>
      <c r="AR182" s="80"/>
      <c r="AS182" s="80" t="s">
        <v>1563</v>
      </c>
      <c r="AT182" s="80"/>
      <c r="AU182" s="80" t="s">
        <v>1566</v>
      </c>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row>
    <row r="183" spans="1:72" s="144" customFormat="1" ht="25.15" customHeight="1" outlineLevel="1" x14ac:dyDescent="0.25">
      <c r="A183" s="9" t="s">
        <v>202</v>
      </c>
      <c r="B183" s="98" t="s">
        <v>1139</v>
      </c>
      <c r="C183" s="1" t="s">
        <v>1150</v>
      </c>
      <c r="D183" s="80"/>
      <c r="E183" s="80" t="s">
        <v>469</v>
      </c>
      <c r="F183" s="80" t="s">
        <v>50</v>
      </c>
      <c r="G183" s="80" t="s">
        <v>41</v>
      </c>
      <c r="H183" s="80" t="s">
        <v>29</v>
      </c>
      <c r="I183" s="80" t="s">
        <v>7</v>
      </c>
      <c r="J183" s="1"/>
      <c r="K183" s="80" t="s">
        <v>30</v>
      </c>
      <c r="L183" s="1"/>
      <c r="M183" s="80" t="s">
        <v>1567</v>
      </c>
      <c r="N183" s="80" t="s">
        <v>31</v>
      </c>
      <c r="O183" s="80">
        <v>6590</v>
      </c>
      <c r="P183" s="80">
        <v>2454</v>
      </c>
      <c r="Q183" s="80">
        <v>2400</v>
      </c>
      <c r="R183" s="80"/>
      <c r="S183" s="80">
        <v>3715</v>
      </c>
      <c r="T183" s="80">
        <v>2600</v>
      </c>
      <c r="U183" s="80">
        <v>8725</v>
      </c>
      <c r="V183" s="80">
        <v>1200</v>
      </c>
      <c r="W183" s="80">
        <v>4700</v>
      </c>
      <c r="X183" s="80">
        <v>2700</v>
      </c>
      <c r="Y183" s="80"/>
      <c r="Z183" s="80">
        <v>15</v>
      </c>
      <c r="AA183" s="80" t="s">
        <v>507</v>
      </c>
      <c r="AB183" s="80">
        <v>14000</v>
      </c>
      <c r="AC183" s="80">
        <v>5640</v>
      </c>
      <c r="AD183" s="80"/>
      <c r="AE183" s="80"/>
      <c r="AF183" s="80"/>
      <c r="AG183" s="80"/>
      <c r="AH183" s="80" t="s">
        <v>161</v>
      </c>
      <c r="AI183" s="80" t="s">
        <v>1546</v>
      </c>
      <c r="AJ183" s="80"/>
      <c r="AK183" s="80" t="s">
        <v>1552</v>
      </c>
      <c r="AL183" s="80"/>
      <c r="AM183" s="80" t="s">
        <v>1562</v>
      </c>
      <c r="AN183" s="80"/>
      <c r="AO183" s="80" t="s">
        <v>1421</v>
      </c>
      <c r="AP183" s="80"/>
      <c r="AQ183" s="80" t="s">
        <v>1422</v>
      </c>
      <c r="AR183" s="80"/>
      <c r="AS183" s="80" t="s">
        <v>1563</v>
      </c>
      <c r="AT183" s="80"/>
      <c r="AU183" s="80" t="s">
        <v>1564</v>
      </c>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row>
    <row r="184" spans="1:72" s="144" customFormat="1" ht="25.15" customHeight="1" outlineLevel="1" x14ac:dyDescent="0.25">
      <c r="A184" s="9" t="s">
        <v>202</v>
      </c>
      <c r="B184" s="98" t="s">
        <v>1139</v>
      </c>
      <c r="C184" s="1" t="s">
        <v>1150</v>
      </c>
      <c r="D184" s="80"/>
      <c r="E184" s="80" t="s">
        <v>469</v>
      </c>
      <c r="F184" s="80" t="s">
        <v>50</v>
      </c>
      <c r="G184" s="80" t="s">
        <v>41</v>
      </c>
      <c r="H184" s="80" t="s">
        <v>12</v>
      </c>
      <c r="I184" s="80" t="s">
        <v>7</v>
      </c>
      <c r="J184" s="1"/>
      <c r="K184" s="80" t="s">
        <v>30</v>
      </c>
      <c r="L184" s="1"/>
      <c r="M184" s="80" t="s">
        <v>1567</v>
      </c>
      <c r="N184" s="80" t="s">
        <v>456</v>
      </c>
      <c r="O184" s="80">
        <v>6590</v>
      </c>
      <c r="P184" s="80">
        <v>2454</v>
      </c>
      <c r="Q184" s="80">
        <v>2400</v>
      </c>
      <c r="R184" s="80"/>
      <c r="S184" s="80">
        <v>3715</v>
      </c>
      <c r="T184" s="80">
        <v>2600</v>
      </c>
      <c r="U184" s="80">
        <v>8725</v>
      </c>
      <c r="V184" s="80">
        <v>1200</v>
      </c>
      <c r="W184" s="80">
        <v>4700</v>
      </c>
      <c r="X184" s="80">
        <v>2700</v>
      </c>
      <c r="Y184" s="80"/>
      <c r="Z184" s="80">
        <v>15</v>
      </c>
      <c r="AA184" s="80" t="s">
        <v>470</v>
      </c>
      <c r="AB184" s="80">
        <v>14000</v>
      </c>
      <c r="AC184" s="80">
        <v>5235</v>
      </c>
      <c r="AD184" s="80"/>
      <c r="AE184" s="80"/>
      <c r="AF184" s="80"/>
      <c r="AG184" s="80"/>
      <c r="AH184" s="80" t="s">
        <v>161</v>
      </c>
      <c r="AI184" s="80" t="s">
        <v>1546</v>
      </c>
      <c r="AJ184" s="80"/>
      <c r="AK184" s="80" t="s">
        <v>1552</v>
      </c>
      <c r="AL184" s="80"/>
      <c r="AM184" s="80" t="s">
        <v>1562</v>
      </c>
      <c r="AN184" s="80"/>
      <c r="AO184" s="80" t="s">
        <v>1424</v>
      </c>
      <c r="AP184" s="80"/>
      <c r="AQ184" s="80" t="s">
        <v>1446</v>
      </c>
      <c r="AR184" s="80"/>
      <c r="AS184" s="80" t="s">
        <v>1563</v>
      </c>
      <c r="AT184" s="80"/>
      <c r="AU184" s="84" t="s">
        <v>1565</v>
      </c>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row>
    <row r="185" spans="1:72" s="144" customFormat="1" ht="25.15" customHeight="1" outlineLevel="1" x14ac:dyDescent="0.25">
      <c r="A185" s="9" t="s">
        <v>202</v>
      </c>
      <c r="B185" s="98" t="s">
        <v>1139</v>
      </c>
      <c r="C185" s="1" t="s">
        <v>1150</v>
      </c>
      <c r="D185" s="80"/>
      <c r="E185" s="80" t="s">
        <v>469</v>
      </c>
      <c r="F185" s="80" t="s">
        <v>50</v>
      </c>
      <c r="G185" s="80" t="s">
        <v>41</v>
      </c>
      <c r="H185" s="80" t="s">
        <v>32</v>
      </c>
      <c r="I185" s="80" t="s">
        <v>7</v>
      </c>
      <c r="J185" s="1"/>
      <c r="K185" s="80" t="s">
        <v>30</v>
      </c>
      <c r="L185" s="1"/>
      <c r="M185" s="80" t="s">
        <v>1567</v>
      </c>
      <c r="N185" s="80" t="s">
        <v>460</v>
      </c>
      <c r="O185" s="80">
        <v>6590</v>
      </c>
      <c r="P185" s="80">
        <v>2454</v>
      </c>
      <c r="Q185" s="80">
        <v>2400</v>
      </c>
      <c r="R185" s="80"/>
      <c r="S185" s="80">
        <v>3715</v>
      </c>
      <c r="T185" s="80">
        <v>2600</v>
      </c>
      <c r="U185" s="80">
        <v>8725</v>
      </c>
      <c r="V185" s="80">
        <v>1200</v>
      </c>
      <c r="W185" s="80">
        <v>4700</v>
      </c>
      <c r="X185" s="80">
        <v>2700</v>
      </c>
      <c r="Y185" s="80"/>
      <c r="Z185" s="80">
        <v>15</v>
      </c>
      <c r="AA185" s="80" t="s">
        <v>1549</v>
      </c>
      <c r="AB185" s="80">
        <v>14000</v>
      </c>
      <c r="AC185" s="80">
        <v>5025</v>
      </c>
      <c r="AD185" s="80"/>
      <c r="AE185" s="80"/>
      <c r="AF185" s="80"/>
      <c r="AG185" s="80"/>
      <c r="AH185" s="80" t="s">
        <v>161</v>
      </c>
      <c r="AI185" s="80" t="s">
        <v>1546</v>
      </c>
      <c r="AJ185" s="80"/>
      <c r="AK185" s="80" t="s">
        <v>1552</v>
      </c>
      <c r="AL185" s="80"/>
      <c r="AM185" s="80" t="s">
        <v>1562</v>
      </c>
      <c r="AN185" s="80"/>
      <c r="AO185" s="80" t="s">
        <v>1428</v>
      </c>
      <c r="AP185" s="80"/>
      <c r="AQ185" s="80" t="s">
        <v>1422</v>
      </c>
      <c r="AR185" s="80"/>
      <c r="AS185" s="80" t="s">
        <v>1563</v>
      </c>
      <c r="AT185" s="80"/>
      <c r="AU185" s="80" t="s">
        <v>1566</v>
      </c>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row>
    <row r="186" spans="1:72" s="144" customFormat="1" ht="25.15" customHeight="1" outlineLevel="1" x14ac:dyDescent="0.25">
      <c r="A186" s="80" t="s">
        <v>202</v>
      </c>
      <c r="B186" s="98" t="s">
        <v>1139</v>
      </c>
      <c r="C186" s="1" t="s">
        <v>1150</v>
      </c>
      <c r="D186" s="80"/>
      <c r="E186" s="80" t="s">
        <v>469</v>
      </c>
      <c r="F186" s="80" t="s">
        <v>50</v>
      </c>
      <c r="G186" s="80" t="s">
        <v>41</v>
      </c>
      <c r="H186" s="80" t="s">
        <v>29</v>
      </c>
      <c r="I186" s="80" t="s">
        <v>7</v>
      </c>
      <c r="J186" s="1"/>
      <c r="K186" s="80" t="s">
        <v>30</v>
      </c>
      <c r="L186" s="1"/>
      <c r="M186" s="80" t="s">
        <v>1568</v>
      </c>
      <c r="N186" s="83" t="s">
        <v>31</v>
      </c>
      <c r="O186" s="80">
        <v>6590</v>
      </c>
      <c r="P186" s="80">
        <v>2454</v>
      </c>
      <c r="Q186" s="80">
        <v>2400</v>
      </c>
      <c r="R186" s="80"/>
      <c r="S186" s="80">
        <v>3715</v>
      </c>
      <c r="T186" s="80">
        <v>2600</v>
      </c>
      <c r="U186" s="80">
        <v>8725</v>
      </c>
      <c r="V186" s="80">
        <v>1200</v>
      </c>
      <c r="W186" s="80">
        <v>4700</v>
      </c>
      <c r="X186" s="80">
        <v>2700</v>
      </c>
      <c r="Y186" s="80"/>
      <c r="Z186" s="80">
        <v>15</v>
      </c>
      <c r="AA186" s="80" t="s">
        <v>507</v>
      </c>
      <c r="AB186" s="80">
        <v>14000</v>
      </c>
      <c r="AC186" s="80">
        <v>5480</v>
      </c>
      <c r="AD186" s="80"/>
      <c r="AE186" s="80"/>
      <c r="AF186" s="80"/>
      <c r="AG186" s="80"/>
      <c r="AH186" s="80" t="s">
        <v>161</v>
      </c>
      <c r="AI186" s="80" t="s">
        <v>1546</v>
      </c>
      <c r="AJ186" s="80"/>
      <c r="AK186" s="80" t="s">
        <v>1560</v>
      </c>
      <c r="AL186" s="80"/>
      <c r="AM186" s="80" t="s">
        <v>1562</v>
      </c>
      <c r="AN186" s="80"/>
      <c r="AO186" s="80" t="s">
        <v>1421</v>
      </c>
      <c r="AP186" s="80"/>
      <c r="AQ186" s="80" t="s">
        <v>1422</v>
      </c>
      <c r="AR186" s="80"/>
      <c r="AS186" s="80" t="s">
        <v>1563</v>
      </c>
      <c r="AT186" s="80"/>
      <c r="AU186" s="80" t="s">
        <v>1564</v>
      </c>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row>
    <row r="187" spans="1:72" s="144" customFormat="1" ht="25.15" customHeight="1" outlineLevel="1" x14ac:dyDescent="0.25">
      <c r="A187" s="80" t="s">
        <v>202</v>
      </c>
      <c r="B187" s="98" t="s">
        <v>1139</v>
      </c>
      <c r="C187" s="1" t="s">
        <v>1150</v>
      </c>
      <c r="D187" s="80"/>
      <c r="E187" s="80" t="s">
        <v>469</v>
      </c>
      <c r="F187" s="80" t="s">
        <v>50</v>
      </c>
      <c r="G187" s="80" t="s">
        <v>41</v>
      </c>
      <c r="H187" s="80" t="s">
        <v>12</v>
      </c>
      <c r="I187" s="80" t="s">
        <v>7</v>
      </c>
      <c r="J187" s="1"/>
      <c r="K187" s="80" t="s">
        <v>30</v>
      </c>
      <c r="L187" s="1"/>
      <c r="M187" s="80" t="s">
        <v>1568</v>
      </c>
      <c r="N187" s="80" t="s">
        <v>456</v>
      </c>
      <c r="O187" s="80">
        <v>6590</v>
      </c>
      <c r="P187" s="80">
        <v>2454</v>
      </c>
      <c r="Q187" s="80">
        <v>2400</v>
      </c>
      <c r="R187" s="80"/>
      <c r="S187" s="80">
        <v>3715</v>
      </c>
      <c r="T187" s="80">
        <v>2600</v>
      </c>
      <c r="U187" s="80">
        <v>8725</v>
      </c>
      <c r="V187" s="80">
        <v>1200</v>
      </c>
      <c r="W187" s="80">
        <v>4700</v>
      </c>
      <c r="X187" s="80">
        <v>2700</v>
      </c>
      <c r="Y187" s="80"/>
      <c r="Z187" s="80">
        <v>15</v>
      </c>
      <c r="AA187" s="80" t="s">
        <v>470</v>
      </c>
      <c r="AB187" s="80">
        <v>14000</v>
      </c>
      <c r="AC187" s="80">
        <v>5075</v>
      </c>
      <c r="AD187" s="80"/>
      <c r="AE187" s="80"/>
      <c r="AF187" s="80"/>
      <c r="AG187" s="80"/>
      <c r="AH187" s="80" t="s">
        <v>161</v>
      </c>
      <c r="AI187" s="80" t="s">
        <v>1546</v>
      </c>
      <c r="AJ187" s="80"/>
      <c r="AK187" s="80" t="s">
        <v>1560</v>
      </c>
      <c r="AL187" s="80"/>
      <c r="AM187" s="80" t="s">
        <v>1562</v>
      </c>
      <c r="AN187" s="80"/>
      <c r="AO187" s="80" t="s">
        <v>1424</v>
      </c>
      <c r="AP187" s="80"/>
      <c r="AQ187" s="80" t="s">
        <v>1446</v>
      </c>
      <c r="AR187" s="80"/>
      <c r="AS187" s="80" t="s">
        <v>1563</v>
      </c>
      <c r="AT187" s="80"/>
      <c r="AU187" s="84" t="s">
        <v>1565</v>
      </c>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row>
    <row r="188" spans="1:72" s="144" customFormat="1" ht="25.15" customHeight="1" outlineLevel="1" x14ac:dyDescent="0.25">
      <c r="A188" s="80" t="s">
        <v>202</v>
      </c>
      <c r="B188" s="98" t="s">
        <v>1139</v>
      </c>
      <c r="C188" s="1" t="s">
        <v>1150</v>
      </c>
      <c r="D188" s="80"/>
      <c r="E188" s="80" t="s">
        <v>469</v>
      </c>
      <c r="F188" s="80" t="s">
        <v>50</v>
      </c>
      <c r="G188" s="80" t="s">
        <v>41</v>
      </c>
      <c r="H188" s="80" t="s">
        <v>32</v>
      </c>
      <c r="I188" s="80" t="s">
        <v>7</v>
      </c>
      <c r="J188" s="1"/>
      <c r="K188" s="80" t="s">
        <v>30</v>
      </c>
      <c r="L188" s="1"/>
      <c r="M188" s="80" t="s">
        <v>1568</v>
      </c>
      <c r="N188" s="80" t="s">
        <v>460</v>
      </c>
      <c r="O188" s="80">
        <v>6590</v>
      </c>
      <c r="P188" s="80">
        <v>2454</v>
      </c>
      <c r="Q188" s="80">
        <v>2400</v>
      </c>
      <c r="R188" s="80"/>
      <c r="S188" s="80">
        <v>3715</v>
      </c>
      <c r="T188" s="80">
        <v>2600</v>
      </c>
      <c r="U188" s="80">
        <v>8725</v>
      </c>
      <c r="V188" s="80">
        <v>1200</v>
      </c>
      <c r="W188" s="80">
        <v>4700</v>
      </c>
      <c r="X188" s="80">
        <v>2700</v>
      </c>
      <c r="Y188" s="80"/>
      <c r="Z188" s="80">
        <v>15</v>
      </c>
      <c r="AA188" s="80" t="s">
        <v>1549</v>
      </c>
      <c r="AB188" s="80">
        <v>14000</v>
      </c>
      <c r="AC188" s="80">
        <v>4785</v>
      </c>
      <c r="AD188" s="80"/>
      <c r="AE188" s="80"/>
      <c r="AF188" s="80"/>
      <c r="AG188" s="80"/>
      <c r="AH188" s="80" t="s">
        <v>161</v>
      </c>
      <c r="AI188" s="80" t="s">
        <v>1546</v>
      </c>
      <c r="AJ188" s="80"/>
      <c r="AK188" s="80" t="s">
        <v>1560</v>
      </c>
      <c r="AL188" s="80"/>
      <c r="AM188" s="80" t="s">
        <v>1562</v>
      </c>
      <c r="AN188" s="80"/>
      <c r="AO188" s="80" t="s">
        <v>1428</v>
      </c>
      <c r="AP188" s="80"/>
      <c r="AQ188" s="80" t="s">
        <v>1422</v>
      </c>
      <c r="AR188" s="80"/>
      <c r="AS188" s="80" t="s">
        <v>1563</v>
      </c>
      <c r="AT188" s="80"/>
      <c r="AU188" s="80" t="s">
        <v>1566</v>
      </c>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row>
    <row r="189" spans="1:72" s="144" customFormat="1" ht="25.15" customHeight="1" outlineLevel="1" x14ac:dyDescent="0.25">
      <c r="A189" s="9" t="s">
        <v>202</v>
      </c>
      <c r="B189" s="98" t="s">
        <v>1139</v>
      </c>
      <c r="C189" s="1" t="s">
        <v>1150</v>
      </c>
      <c r="D189" s="80"/>
      <c r="E189" s="80" t="s">
        <v>469</v>
      </c>
      <c r="F189" s="80" t="s">
        <v>50</v>
      </c>
      <c r="G189" s="80" t="s">
        <v>42</v>
      </c>
      <c r="H189" s="80" t="s">
        <v>29</v>
      </c>
      <c r="I189" s="80" t="s">
        <v>7</v>
      </c>
      <c r="J189" s="1"/>
      <c r="K189" s="80" t="s">
        <v>30</v>
      </c>
      <c r="L189" s="1"/>
      <c r="M189" s="80" t="s">
        <v>1569</v>
      </c>
      <c r="N189" s="80" t="s">
        <v>31</v>
      </c>
      <c r="O189" s="80">
        <v>7690</v>
      </c>
      <c r="P189" s="80">
        <v>2454</v>
      </c>
      <c r="Q189" s="80">
        <v>2400</v>
      </c>
      <c r="R189" s="80"/>
      <c r="S189" s="80">
        <v>3715</v>
      </c>
      <c r="T189" s="80">
        <v>2600</v>
      </c>
      <c r="U189" s="80">
        <v>9825</v>
      </c>
      <c r="V189" s="80">
        <v>1200</v>
      </c>
      <c r="W189" s="80">
        <v>5600</v>
      </c>
      <c r="X189" s="80">
        <v>2910</v>
      </c>
      <c r="Y189" s="80"/>
      <c r="Z189" s="80">
        <v>18</v>
      </c>
      <c r="AA189" s="80" t="s">
        <v>507</v>
      </c>
      <c r="AB189" s="80">
        <v>16000</v>
      </c>
      <c r="AC189" s="80">
        <v>7260</v>
      </c>
      <c r="AD189" s="80"/>
      <c r="AE189" s="80"/>
      <c r="AF189" s="80"/>
      <c r="AG189" s="80"/>
      <c r="AH189" s="80" t="s">
        <v>162</v>
      </c>
      <c r="AI189" s="80" t="s">
        <v>1546</v>
      </c>
      <c r="AJ189" s="80"/>
      <c r="AK189" s="80" t="s">
        <v>1547</v>
      </c>
      <c r="AL189" s="80"/>
      <c r="AM189" s="80" t="s">
        <v>1562</v>
      </c>
      <c r="AN189" s="80"/>
      <c r="AO189" s="80" t="s">
        <v>1442</v>
      </c>
      <c r="AP189" s="80"/>
      <c r="AQ189" s="80" t="s">
        <v>1443</v>
      </c>
      <c r="AR189" s="80"/>
      <c r="AS189" s="80" t="s">
        <v>1444</v>
      </c>
      <c r="AT189" s="80"/>
      <c r="AU189" s="80" t="s">
        <v>1570</v>
      </c>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row>
    <row r="190" spans="1:72" s="144" customFormat="1" ht="25.15" customHeight="1" outlineLevel="1" x14ac:dyDescent="0.25">
      <c r="A190" s="9" t="s">
        <v>202</v>
      </c>
      <c r="B190" s="98" t="s">
        <v>1139</v>
      </c>
      <c r="C190" s="1" t="s">
        <v>1150</v>
      </c>
      <c r="D190" s="80"/>
      <c r="E190" s="80" t="s">
        <v>469</v>
      </c>
      <c r="F190" s="80" t="s">
        <v>50</v>
      </c>
      <c r="G190" s="80" t="s">
        <v>42</v>
      </c>
      <c r="H190" s="80" t="s">
        <v>12</v>
      </c>
      <c r="I190" s="80" t="s">
        <v>7</v>
      </c>
      <c r="J190" s="1"/>
      <c r="K190" s="80" t="s">
        <v>30</v>
      </c>
      <c r="L190" s="1"/>
      <c r="M190" s="80" t="s">
        <v>1569</v>
      </c>
      <c r="N190" s="80" t="s">
        <v>456</v>
      </c>
      <c r="O190" s="80">
        <v>7690</v>
      </c>
      <c r="P190" s="80">
        <v>2454</v>
      </c>
      <c r="Q190" s="80">
        <v>2400</v>
      </c>
      <c r="R190" s="80"/>
      <c r="S190" s="80">
        <v>3715</v>
      </c>
      <c r="T190" s="80">
        <v>2600</v>
      </c>
      <c r="U190" s="80">
        <v>9825</v>
      </c>
      <c r="V190" s="80">
        <v>1200</v>
      </c>
      <c r="W190" s="80">
        <v>5600</v>
      </c>
      <c r="X190" s="80">
        <v>2910</v>
      </c>
      <c r="Y190" s="80"/>
      <c r="Z190" s="80">
        <v>18</v>
      </c>
      <c r="AA190" s="80" t="s">
        <v>470</v>
      </c>
      <c r="AB190" s="80">
        <v>16000</v>
      </c>
      <c r="AC190" s="80">
        <v>6770</v>
      </c>
      <c r="AD190" s="80"/>
      <c r="AE190" s="80"/>
      <c r="AF190" s="80"/>
      <c r="AG190" s="80"/>
      <c r="AH190" s="80" t="s">
        <v>162</v>
      </c>
      <c r="AI190" s="80" t="s">
        <v>1546</v>
      </c>
      <c r="AJ190" s="80"/>
      <c r="AK190" s="80" t="s">
        <v>1547</v>
      </c>
      <c r="AL190" s="80"/>
      <c r="AM190" s="80" t="s">
        <v>1562</v>
      </c>
      <c r="AN190" s="80"/>
      <c r="AO190" s="80" t="s">
        <v>1445</v>
      </c>
      <c r="AP190" s="80"/>
      <c r="AQ190" s="80" t="s">
        <v>1446</v>
      </c>
      <c r="AR190" s="80"/>
      <c r="AS190" s="80" t="s">
        <v>1444</v>
      </c>
      <c r="AT190" s="80"/>
      <c r="AU190" s="84" t="s">
        <v>472</v>
      </c>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row>
    <row r="191" spans="1:72" s="144" customFormat="1" ht="25.15" customHeight="1" outlineLevel="1" x14ac:dyDescent="0.25">
      <c r="A191" s="9" t="s">
        <v>202</v>
      </c>
      <c r="B191" s="98" t="s">
        <v>1139</v>
      </c>
      <c r="C191" s="1" t="s">
        <v>1150</v>
      </c>
      <c r="D191" s="80"/>
      <c r="E191" s="80" t="s">
        <v>469</v>
      </c>
      <c r="F191" s="80" t="s">
        <v>50</v>
      </c>
      <c r="G191" s="80" t="s">
        <v>42</v>
      </c>
      <c r="H191" s="80" t="s">
        <v>29</v>
      </c>
      <c r="I191" s="80" t="s">
        <v>7</v>
      </c>
      <c r="J191" s="1"/>
      <c r="K191" s="80" t="s">
        <v>30</v>
      </c>
      <c r="L191" s="1"/>
      <c r="M191" s="80" t="s">
        <v>1571</v>
      </c>
      <c r="N191" s="80" t="s">
        <v>31</v>
      </c>
      <c r="O191" s="80">
        <v>7690</v>
      </c>
      <c r="P191" s="80">
        <v>2454</v>
      </c>
      <c r="Q191" s="80">
        <v>2400</v>
      </c>
      <c r="R191" s="80"/>
      <c r="S191" s="80">
        <v>3715</v>
      </c>
      <c r="T191" s="80">
        <v>2600</v>
      </c>
      <c r="U191" s="80">
        <v>9825</v>
      </c>
      <c r="V191" s="80">
        <v>1200</v>
      </c>
      <c r="W191" s="80">
        <v>5600</v>
      </c>
      <c r="X191" s="80">
        <v>2910</v>
      </c>
      <c r="Y191" s="80"/>
      <c r="Z191" s="80">
        <v>18</v>
      </c>
      <c r="AA191" s="80" t="s">
        <v>507</v>
      </c>
      <c r="AB191" s="80">
        <v>16000</v>
      </c>
      <c r="AC191" s="80">
        <v>7260</v>
      </c>
      <c r="AD191" s="80"/>
      <c r="AE191" s="80"/>
      <c r="AF191" s="80"/>
      <c r="AG191" s="80"/>
      <c r="AH191" s="80" t="s">
        <v>162</v>
      </c>
      <c r="AI191" s="80" t="s">
        <v>1546</v>
      </c>
      <c r="AJ191" s="80"/>
      <c r="AK191" s="80" t="s">
        <v>1552</v>
      </c>
      <c r="AL191" s="80"/>
      <c r="AM191" s="80" t="s">
        <v>1562</v>
      </c>
      <c r="AN191" s="80"/>
      <c r="AO191" s="80" t="s">
        <v>1442</v>
      </c>
      <c r="AP191" s="80"/>
      <c r="AQ191" s="80" t="s">
        <v>1443</v>
      </c>
      <c r="AR191" s="80"/>
      <c r="AS191" s="80" t="s">
        <v>1444</v>
      </c>
      <c r="AT191" s="80"/>
      <c r="AU191" s="80" t="s">
        <v>1570</v>
      </c>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row>
    <row r="192" spans="1:72" s="144" customFormat="1" ht="25.15" customHeight="1" outlineLevel="1" x14ac:dyDescent="0.25">
      <c r="A192" s="9" t="s">
        <v>202</v>
      </c>
      <c r="B192" s="98" t="s">
        <v>1139</v>
      </c>
      <c r="C192" s="1" t="s">
        <v>1150</v>
      </c>
      <c r="D192" s="80"/>
      <c r="E192" s="80" t="s">
        <v>469</v>
      </c>
      <c r="F192" s="80" t="s">
        <v>50</v>
      </c>
      <c r="G192" s="80" t="s">
        <v>42</v>
      </c>
      <c r="H192" s="80" t="s">
        <v>12</v>
      </c>
      <c r="I192" s="80" t="s">
        <v>7</v>
      </c>
      <c r="J192" s="1"/>
      <c r="K192" s="80" t="s">
        <v>30</v>
      </c>
      <c r="L192" s="1"/>
      <c r="M192" s="80" t="s">
        <v>1571</v>
      </c>
      <c r="N192" s="80" t="s">
        <v>456</v>
      </c>
      <c r="O192" s="80">
        <v>7690</v>
      </c>
      <c r="P192" s="80">
        <v>2454</v>
      </c>
      <c r="Q192" s="80">
        <v>2400</v>
      </c>
      <c r="R192" s="80"/>
      <c r="S192" s="80">
        <v>3715</v>
      </c>
      <c r="T192" s="80">
        <v>2600</v>
      </c>
      <c r="U192" s="80">
        <v>9825</v>
      </c>
      <c r="V192" s="80">
        <v>1200</v>
      </c>
      <c r="W192" s="80">
        <v>5600</v>
      </c>
      <c r="X192" s="80">
        <v>2910</v>
      </c>
      <c r="Y192" s="80"/>
      <c r="Z192" s="80">
        <v>18</v>
      </c>
      <c r="AA192" s="80" t="s">
        <v>470</v>
      </c>
      <c r="AB192" s="80">
        <v>16000</v>
      </c>
      <c r="AC192" s="80">
        <v>6770</v>
      </c>
      <c r="AD192" s="80"/>
      <c r="AE192" s="80"/>
      <c r="AF192" s="80"/>
      <c r="AG192" s="80"/>
      <c r="AH192" s="80" t="s">
        <v>162</v>
      </c>
      <c r="AI192" s="80" t="s">
        <v>1546</v>
      </c>
      <c r="AJ192" s="80"/>
      <c r="AK192" s="80" t="s">
        <v>1552</v>
      </c>
      <c r="AL192" s="80"/>
      <c r="AM192" s="80" t="s">
        <v>1562</v>
      </c>
      <c r="AN192" s="80"/>
      <c r="AO192" s="80" t="s">
        <v>1445</v>
      </c>
      <c r="AP192" s="80"/>
      <c r="AQ192" s="80" t="s">
        <v>1446</v>
      </c>
      <c r="AR192" s="80"/>
      <c r="AS192" s="80" t="s">
        <v>1444</v>
      </c>
      <c r="AT192" s="80"/>
      <c r="AU192" s="84" t="s">
        <v>472</v>
      </c>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row>
    <row r="193" spans="1:72" s="144" customFormat="1" ht="25.15" customHeight="1" outlineLevel="1" x14ac:dyDescent="0.25">
      <c r="A193" s="9" t="s">
        <v>202</v>
      </c>
      <c r="B193" s="98" t="s">
        <v>1139</v>
      </c>
      <c r="C193" s="1" t="s">
        <v>1150</v>
      </c>
      <c r="D193" s="80"/>
      <c r="E193" s="80" t="s">
        <v>469</v>
      </c>
      <c r="F193" s="80" t="s">
        <v>50</v>
      </c>
      <c r="G193" s="80" t="s">
        <v>42</v>
      </c>
      <c r="H193" s="80" t="s">
        <v>29</v>
      </c>
      <c r="I193" s="80" t="s">
        <v>7</v>
      </c>
      <c r="J193" s="1"/>
      <c r="K193" s="80" t="s">
        <v>30</v>
      </c>
      <c r="L193" s="1"/>
      <c r="M193" s="80" t="s">
        <v>1572</v>
      </c>
      <c r="N193" s="80" t="s">
        <v>31</v>
      </c>
      <c r="O193" s="80">
        <v>7690</v>
      </c>
      <c r="P193" s="80">
        <v>2454</v>
      </c>
      <c r="Q193" s="80">
        <v>2400</v>
      </c>
      <c r="R193" s="80"/>
      <c r="S193" s="80">
        <v>3715</v>
      </c>
      <c r="T193" s="80">
        <v>2600</v>
      </c>
      <c r="U193" s="80">
        <v>9825</v>
      </c>
      <c r="V193" s="80">
        <v>1200</v>
      </c>
      <c r="W193" s="80">
        <v>5600</v>
      </c>
      <c r="X193" s="80">
        <v>2910</v>
      </c>
      <c r="Y193" s="80"/>
      <c r="Z193" s="80">
        <v>18</v>
      </c>
      <c r="AA193" s="80" t="s">
        <v>507</v>
      </c>
      <c r="AB193" s="80">
        <v>16000</v>
      </c>
      <c r="AC193" s="80">
        <v>7085</v>
      </c>
      <c r="AD193" s="80"/>
      <c r="AE193" s="80"/>
      <c r="AF193" s="80"/>
      <c r="AG193" s="80"/>
      <c r="AH193" s="80" t="s">
        <v>162</v>
      </c>
      <c r="AI193" s="80" t="s">
        <v>1546</v>
      </c>
      <c r="AJ193" s="80"/>
      <c r="AK193" s="80" t="s">
        <v>1560</v>
      </c>
      <c r="AL193" s="80"/>
      <c r="AM193" s="80" t="s">
        <v>1562</v>
      </c>
      <c r="AN193" s="80"/>
      <c r="AO193" s="80" t="s">
        <v>1442</v>
      </c>
      <c r="AP193" s="80"/>
      <c r="AQ193" s="80" t="s">
        <v>1443</v>
      </c>
      <c r="AR193" s="80"/>
      <c r="AS193" s="80" t="s">
        <v>1444</v>
      </c>
      <c r="AT193" s="80"/>
      <c r="AU193" s="80" t="s">
        <v>1570</v>
      </c>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row>
    <row r="194" spans="1:72" s="144" customFormat="1" ht="25.15" customHeight="1" outlineLevel="1" x14ac:dyDescent="0.25">
      <c r="A194" s="9" t="s">
        <v>202</v>
      </c>
      <c r="B194" s="98" t="s">
        <v>1139</v>
      </c>
      <c r="C194" s="1" t="s">
        <v>1150</v>
      </c>
      <c r="D194" s="80"/>
      <c r="E194" s="80" t="s">
        <v>469</v>
      </c>
      <c r="F194" s="80" t="s">
        <v>50</v>
      </c>
      <c r="G194" s="80" t="s">
        <v>42</v>
      </c>
      <c r="H194" s="80" t="s">
        <v>12</v>
      </c>
      <c r="I194" s="80" t="s">
        <v>7</v>
      </c>
      <c r="J194" s="1"/>
      <c r="K194" s="80" t="s">
        <v>30</v>
      </c>
      <c r="L194" s="1"/>
      <c r="M194" s="80" t="s">
        <v>1572</v>
      </c>
      <c r="N194" s="80" t="s">
        <v>456</v>
      </c>
      <c r="O194" s="80">
        <v>7690</v>
      </c>
      <c r="P194" s="80">
        <v>2454</v>
      </c>
      <c r="Q194" s="80">
        <v>2400</v>
      </c>
      <c r="R194" s="80"/>
      <c r="S194" s="80">
        <v>3715</v>
      </c>
      <c r="T194" s="80">
        <v>2600</v>
      </c>
      <c r="U194" s="80">
        <v>9825</v>
      </c>
      <c r="V194" s="80">
        <v>1200</v>
      </c>
      <c r="W194" s="80">
        <v>5600</v>
      </c>
      <c r="X194" s="80">
        <v>2910</v>
      </c>
      <c r="Y194" s="80"/>
      <c r="Z194" s="80">
        <v>18</v>
      </c>
      <c r="AA194" s="80" t="s">
        <v>470</v>
      </c>
      <c r="AB194" s="80">
        <v>16000</v>
      </c>
      <c r="AC194" s="80">
        <v>6595</v>
      </c>
      <c r="AD194" s="80"/>
      <c r="AE194" s="80"/>
      <c r="AF194" s="80"/>
      <c r="AG194" s="80"/>
      <c r="AH194" s="80" t="s">
        <v>162</v>
      </c>
      <c r="AI194" s="80" t="s">
        <v>1546</v>
      </c>
      <c r="AJ194" s="80"/>
      <c r="AK194" s="80" t="s">
        <v>1560</v>
      </c>
      <c r="AL194" s="80"/>
      <c r="AM194" s="80" t="s">
        <v>1562</v>
      </c>
      <c r="AN194" s="80"/>
      <c r="AO194" s="80" t="s">
        <v>1445</v>
      </c>
      <c r="AP194" s="80"/>
      <c r="AQ194" s="80" t="s">
        <v>1446</v>
      </c>
      <c r="AR194" s="80"/>
      <c r="AS194" s="80" t="s">
        <v>1444</v>
      </c>
      <c r="AT194" s="80"/>
      <c r="AU194" s="84" t="s">
        <v>472</v>
      </c>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row>
    <row r="195" spans="1:72" s="144" customFormat="1" ht="25.15" customHeight="1" outlineLevel="1" x14ac:dyDescent="0.25">
      <c r="A195" s="9" t="s">
        <v>202</v>
      </c>
      <c r="B195" s="98" t="s">
        <v>1139</v>
      </c>
      <c r="C195" s="1" t="s">
        <v>1150</v>
      </c>
      <c r="D195" s="80"/>
      <c r="E195" s="80" t="s">
        <v>469</v>
      </c>
      <c r="F195" s="80" t="s">
        <v>50</v>
      </c>
      <c r="G195" s="80" t="s">
        <v>42</v>
      </c>
      <c r="H195" s="80" t="s">
        <v>32</v>
      </c>
      <c r="I195" s="80" t="s">
        <v>7</v>
      </c>
      <c r="J195" s="1"/>
      <c r="K195" s="80" t="s">
        <v>30</v>
      </c>
      <c r="L195" s="1"/>
      <c r="M195" s="80" t="s">
        <v>1572</v>
      </c>
      <c r="N195" s="80" t="s">
        <v>460</v>
      </c>
      <c r="O195" s="80">
        <v>7690</v>
      </c>
      <c r="P195" s="80">
        <v>2454</v>
      </c>
      <c r="Q195" s="80">
        <v>2400</v>
      </c>
      <c r="R195" s="80"/>
      <c r="S195" s="80">
        <v>3715</v>
      </c>
      <c r="T195" s="80">
        <v>2600</v>
      </c>
      <c r="U195" s="80">
        <v>9825</v>
      </c>
      <c r="V195" s="80">
        <v>1200</v>
      </c>
      <c r="W195" s="80">
        <v>5600</v>
      </c>
      <c r="X195" s="80">
        <v>2910</v>
      </c>
      <c r="Y195" s="80"/>
      <c r="Z195" s="80">
        <v>18</v>
      </c>
      <c r="AA195" s="80" t="s">
        <v>1549</v>
      </c>
      <c r="AB195" s="80">
        <v>16000</v>
      </c>
      <c r="AC195" s="80">
        <v>6370</v>
      </c>
      <c r="AD195" s="80"/>
      <c r="AE195" s="80"/>
      <c r="AF195" s="80"/>
      <c r="AG195" s="80"/>
      <c r="AH195" s="80" t="s">
        <v>162</v>
      </c>
      <c r="AI195" s="80" t="s">
        <v>1546</v>
      </c>
      <c r="AJ195" s="80"/>
      <c r="AK195" s="80" t="s">
        <v>1560</v>
      </c>
      <c r="AL195" s="80"/>
      <c r="AM195" s="80" t="s">
        <v>1562</v>
      </c>
      <c r="AN195" s="80"/>
      <c r="AO195" s="80" t="s">
        <v>1451</v>
      </c>
      <c r="AP195" s="80"/>
      <c r="AQ195" s="80" t="s">
        <v>1443</v>
      </c>
      <c r="AR195" s="80"/>
      <c r="AS195" s="80" t="s">
        <v>1444</v>
      </c>
      <c r="AT195" s="80"/>
      <c r="AU195" s="80" t="s">
        <v>1573</v>
      </c>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row>
    <row r="196" spans="1:72" s="150" customFormat="1" ht="25.15" customHeight="1" outlineLevel="1" x14ac:dyDescent="0.25">
      <c r="A196" s="80" t="s">
        <v>202</v>
      </c>
      <c r="B196" s="98" t="s">
        <v>1139</v>
      </c>
      <c r="C196" s="1" t="s">
        <v>1150</v>
      </c>
      <c r="D196" s="80"/>
      <c r="E196" s="80" t="s">
        <v>469</v>
      </c>
      <c r="F196" s="80" t="s">
        <v>50</v>
      </c>
      <c r="G196" s="80" t="s">
        <v>42</v>
      </c>
      <c r="H196" s="80" t="s">
        <v>32</v>
      </c>
      <c r="I196" s="80" t="s">
        <v>7</v>
      </c>
      <c r="J196" s="1"/>
      <c r="K196" s="80" t="s">
        <v>30</v>
      </c>
      <c r="L196" s="1"/>
      <c r="M196" s="80" t="s">
        <v>1574</v>
      </c>
      <c r="N196" s="80" t="s">
        <v>460</v>
      </c>
      <c r="O196" s="80">
        <v>7690</v>
      </c>
      <c r="P196" s="80">
        <v>2454</v>
      </c>
      <c r="Q196" s="80">
        <v>2400</v>
      </c>
      <c r="R196" s="80"/>
      <c r="S196" s="80">
        <v>3715</v>
      </c>
      <c r="T196" s="80">
        <v>2600</v>
      </c>
      <c r="U196" s="80">
        <v>9825</v>
      </c>
      <c r="V196" s="80">
        <v>1200</v>
      </c>
      <c r="W196" s="80">
        <v>5600</v>
      </c>
      <c r="X196" s="80">
        <v>2910</v>
      </c>
      <c r="Y196" s="80"/>
      <c r="Z196" s="80">
        <v>18</v>
      </c>
      <c r="AA196" s="80" t="s">
        <v>1549</v>
      </c>
      <c r="AB196" s="80">
        <v>16000</v>
      </c>
      <c r="AC196" s="80">
        <v>6370</v>
      </c>
      <c r="AD196" s="80"/>
      <c r="AE196" s="80"/>
      <c r="AF196" s="80"/>
      <c r="AG196" s="80"/>
      <c r="AH196" s="80" t="s">
        <v>162</v>
      </c>
      <c r="AI196" s="80" t="s">
        <v>1546</v>
      </c>
      <c r="AJ196" s="80"/>
      <c r="AK196" s="80" t="s">
        <v>1575</v>
      </c>
      <c r="AL196" s="80"/>
      <c r="AM196" s="80" t="s">
        <v>1562</v>
      </c>
      <c r="AN196" s="80"/>
      <c r="AO196" s="80" t="s">
        <v>1451</v>
      </c>
      <c r="AP196" s="80"/>
      <c r="AQ196" s="80" t="s">
        <v>1443</v>
      </c>
      <c r="AR196" s="80"/>
      <c r="AS196" s="80" t="s">
        <v>1444</v>
      </c>
      <c r="AT196" s="80"/>
      <c r="AU196" s="80" t="s">
        <v>1573</v>
      </c>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row>
    <row r="197" spans="1:72" s="144" customFormat="1" ht="25.15" customHeight="1" outlineLevel="1" x14ac:dyDescent="0.25">
      <c r="A197" s="80" t="s">
        <v>202</v>
      </c>
      <c r="B197" s="98" t="s">
        <v>1139</v>
      </c>
      <c r="C197" s="1" t="s">
        <v>1150</v>
      </c>
      <c r="D197" s="80"/>
      <c r="E197" s="80" t="s">
        <v>469</v>
      </c>
      <c r="F197" s="80" t="s">
        <v>50</v>
      </c>
      <c r="G197" s="80" t="s">
        <v>42</v>
      </c>
      <c r="H197" s="80" t="s">
        <v>32</v>
      </c>
      <c r="I197" s="80" t="s">
        <v>7</v>
      </c>
      <c r="J197" s="1"/>
      <c r="K197" s="80" t="s">
        <v>30</v>
      </c>
      <c r="L197" s="1"/>
      <c r="M197" s="80" t="s">
        <v>1576</v>
      </c>
      <c r="N197" s="80" t="s">
        <v>460</v>
      </c>
      <c r="O197" s="80">
        <v>7690</v>
      </c>
      <c r="P197" s="80">
        <v>2454</v>
      </c>
      <c r="Q197" s="80">
        <v>2400</v>
      </c>
      <c r="R197" s="80"/>
      <c r="S197" s="80">
        <v>3715</v>
      </c>
      <c r="T197" s="80">
        <v>2600</v>
      </c>
      <c r="U197" s="80">
        <v>9825</v>
      </c>
      <c r="V197" s="80">
        <v>1200</v>
      </c>
      <c r="W197" s="80">
        <v>5600</v>
      </c>
      <c r="X197" s="80">
        <v>2910</v>
      </c>
      <c r="Y197" s="80"/>
      <c r="Z197" s="80">
        <v>18</v>
      </c>
      <c r="AA197" s="80" t="s">
        <v>1549</v>
      </c>
      <c r="AB197" s="80">
        <v>16000</v>
      </c>
      <c r="AC197" s="80">
        <v>6370</v>
      </c>
      <c r="AD197" s="80"/>
      <c r="AE197" s="80"/>
      <c r="AF197" s="80"/>
      <c r="AG197" s="80"/>
      <c r="AH197" s="80" t="s">
        <v>162</v>
      </c>
      <c r="AI197" s="80" t="s">
        <v>1546</v>
      </c>
      <c r="AJ197" s="80"/>
      <c r="AK197" s="80" t="s">
        <v>1577</v>
      </c>
      <c r="AL197" s="80"/>
      <c r="AM197" s="80" t="s">
        <v>1562</v>
      </c>
      <c r="AN197" s="80"/>
      <c r="AO197" s="80" t="s">
        <v>1451</v>
      </c>
      <c r="AP197" s="80"/>
      <c r="AQ197" s="80" t="s">
        <v>1443</v>
      </c>
      <c r="AR197" s="80"/>
      <c r="AS197" s="80" t="s">
        <v>1444</v>
      </c>
      <c r="AT197" s="80"/>
      <c r="AU197" s="80" t="s">
        <v>1573</v>
      </c>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row>
    <row r="198" spans="1:72" s="144" customFormat="1" ht="25.15" customHeight="1" outlineLevel="1" x14ac:dyDescent="0.25">
      <c r="A198" s="9" t="s">
        <v>202</v>
      </c>
      <c r="B198" s="98" t="s">
        <v>1139</v>
      </c>
      <c r="C198" s="1" t="s">
        <v>1150</v>
      </c>
      <c r="D198" s="80"/>
      <c r="E198" s="80" t="s">
        <v>469</v>
      </c>
      <c r="F198" s="80" t="s">
        <v>1578</v>
      </c>
      <c r="G198" s="80" t="s">
        <v>41</v>
      </c>
      <c r="H198" s="80" t="s">
        <v>29</v>
      </c>
      <c r="I198" s="80" t="s">
        <v>7</v>
      </c>
      <c r="J198" s="1"/>
      <c r="K198" s="80" t="s">
        <v>30</v>
      </c>
      <c r="L198" s="1"/>
      <c r="M198" s="80" t="s">
        <v>1579</v>
      </c>
      <c r="N198" s="80" t="s">
        <v>31</v>
      </c>
      <c r="O198" s="80">
        <v>6590</v>
      </c>
      <c r="P198" s="80">
        <v>2454</v>
      </c>
      <c r="Q198" s="80">
        <v>2400</v>
      </c>
      <c r="R198" s="80"/>
      <c r="S198" s="80">
        <v>3675</v>
      </c>
      <c r="T198" s="80">
        <v>2600</v>
      </c>
      <c r="U198" s="80">
        <v>8725</v>
      </c>
      <c r="V198" s="80">
        <v>1160</v>
      </c>
      <c r="W198" s="80">
        <v>4700</v>
      </c>
      <c r="X198" s="80">
        <v>2700</v>
      </c>
      <c r="Y198" s="80"/>
      <c r="Z198" s="80">
        <v>15</v>
      </c>
      <c r="AA198" s="80" t="s">
        <v>1580</v>
      </c>
      <c r="AB198" s="80">
        <v>16000</v>
      </c>
      <c r="AC198" s="80">
        <v>5535</v>
      </c>
      <c r="AD198" s="80"/>
      <c r="AE198" s="80"/>
      <c r="AF198" s="80"/>
      <c r="AG198" s="80"/>
      <c r="AH198" s="80" t="s">
        <v>161</v>
      </c>
      <c r="AI198" s="80" t="s">
        <v>1581</v>
      </c>
      <c r="AJ198" s="80"/>
      <c r="AK198" s="80" t="s">
        <v>1582</v>
      </c>
      <c r="AL198" s="80"/>
      <c r="AM198" s="80" t="s">
        <v>1583</v>
      </c>
      <c r="AN198" s="80"/>
      <c r="AO198" s="80" t="s">
        <v>1584</v>
      </c>
      <c r="AP198" s="80"/>
      <c r="AQ198" s="80" t="s">
        <v>1585</v>
      </c>
      <c r="AR198" s="80"/>
      <c r="AS198" s="80" t="s">
        <v>1444</v>
      </c>
      <c r="AT198" s="80"/>
      <c r="AU198" s="80" t="s">
        <v>1570</v>
      </c>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row>
    <row r="199" spans="1:72" s="150" customFormat="1" ht="25.15" customHeight="1" outlineLevel="1" x14ac:dyDescent="0.25">
      <c r="A199" s="9" t="s">
        <v>202</v>
      </c>
      <c r="B199" s="98" t="s">
        <v>1139</v>
      </c>
      <c r="C199" s="1" t="s">
        <v>1150</v>
      </c>
      <c r="D199" s="80"/>
      <c r="E199" s="80" t="s">
        <v>469</v>
      </c>
      <c r="F199" s="80" t="s">
        <v>1578</v>
      </c>
      <c r="G199" s="80" t="s">
        <v>41</v>
      </c>
      <c r="H199" s="80" t="s">
        <v>12</v>
      </c>
      <c r="I199" s="80" t="s">
        <v>7</v>
      </c>
      <c r="J199" s="1"/>
      <c r="K199" s="80" t="s">
        <v>30</v>
      </c>
      <c r="L199" s="1"/>
      <c r="M199" s="80" t="s">
        <v>1579</v>
      </c>
      <c r="N199" s="80" t="s">
        <v>456</v>
      </c>
      <c r="O199" s="80">
        <v>6590</v>
      </c>
      <c r="P199" s="80">
        <v>2454</v>
      </c>
      <c r="Q199" s="80">
        <v>2400</v>
      </c>
      <c r="R199" s="80"/>
      <c r="S199" s="80">
        <v>3675</v>
      </c>
      <c r="T199" s="80">
        <v>2600</v>
      </c>
      <c r="U199" s="80">
        <v>8725</v>
      </c>
      <c r="V199" s="80">
        <v>1160</v>
      </c>
      <c r="W199" s="80">
        <v>4700</v>
      </c>
      <c r="X199" s="80">
        <v>2700</v>
      </c>
      <c r="Y199" s="80"/>
      <c r="Z199" s="80">
        <v>15</v>
      </c>
      <c r="AA199" s="80" t="s">
        <v>1586</v>
      </c>
      <c r="AB199" s="80">
        <v>16000</v>
      </c>
      <c r="AC199" s="80">
        <v>5205</v>
      </c>
      <c r="AD199" s="80"/>
      <c r="AE199" s="80"/>
      <c r="AF199" s="80"/>
      <c r="AG199" s="80"/>
      <c r="AH199" s="80" t="s">
        <v>161</v>
      </c>
      <c r="AI199" s="80" t="s">
        <v>1581</v>
      </c>
      <c r="AJ199" s="80"/>
      <c r="AK199" s="80" t="s">
        <v>1582</v>
      </c>
      <c r="AL199" s="80"/>
      <c r="AM199" s="80" t="s">
        <v>1583</v>
      </c>
      <c r="AN199" s="80"/>
      <c r="AO199" s="80" t="s">
        <v>1445</v>
      </c>
      <c r="AP199" s="80"/>
      <c r="AQ199" s="80" t="s">
        <v>1587</v>
      </c>
      <c r="AR199" s="80"/>
      <c r="AS199" s="80" t="s">
        <v>1444</v>
      </c>
      <c r="AT199" s="80"/>
      <c r="AU199" s="80" t="s">
        <v>1588</v>
      </c>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row>
    <row r="200" spans="1:72" s="144" customFormat="1" ht="25.15" customHeight="1" outlineLevel="1" x14ac:dyDescent="0.25">
      <c r="A200" s="9" t="s">
        <v>202</v>
      </c>
      <c r="B200" s="98" t="s">
        <v>1139</v>
      </c>
      <c r="C200" s="1" t="s">
        <v>1150</v>
      </c>
      <c r="D200" s="80"/>
      <c r="E200" s="80" t="s">
        <v>469</v>
      </c>
      <c r="F200" s="80" t="s">
        <v>50</v>
      </c>
      <c r="G200" s="80" t="s">
        <v>42</v>
      </c>
      <c r="H200" s="80" t="s">
        <v>29</v>
      </c>
      <c r="I200" s="80" t="s">
        <v>7</v>
      </c>
      <c r="J200" s="1"/>
      <c r="K200" s="80" t="s">
        <v>30</v>
      </c>
      <c r="L200" s="1"/>
      <c r="M200" s="80" t="s">
        <v>1589</v>
      </c>
      <c r="N200" s="80" t="s">
        <v>31</v>
      </c>
      <c r="O200" s="80">
        <v>7690</v>
      </c>
      <c r="P200" s="80">
        <v>2454</v>
      </c>
      <c r="Q200" s="80">
        <v>2400</v>
      </c>
      <c r="R200" s="80"/>
      <c r="S200" s="80">
        <v>3802</v>
      </c>
      <c r="T200" s="80">
        <v>2600</v>
      </c>
      <c r="U200" s="80">
        <v>10000</v>
      </c>
      <c r="V200" s="80">
        <v>1287</v>
      </c>
      <c r="W200" s="80">
        <v>5800</v>
      </c>
      <c r="X200" s="80">
        <v>2780</v>
      </c>
      <c r="Y200" s="80"/>
      <c r="Z200" s="80">
        <v>18</v>
      </c>
      <c r="AA200" s="80" t="s">
        <v>1590</v>
      </c>
      <c r="AB200" s="80">
        <v>19000</v>
      </c>
      <c r="AC200" s="80">
        <v>8805</v>
      </c>
      <c r="AD200" s="80"/>
      <c r="AE200" s="80"/>
      <c r="AF200" s="80"/>
      <c r="AG200" s="80"/>
      <c r="AH200" s="80" t="s">
        <v>162</v>
      </c>
      <c r="AI200" s="80" t="s">
        <v>1591</v>
      </c>
      <c r="AJ200" s="80"/>
      <c r="AK200" s="80" t="s">
        <v>1592</v>
      </c>
      <c r="AL200" s="80"/>
      <c r="AM200" s="80" t="s">
        <v>1593</v>
      </c>
      <c r="AN200" s="80"/>
      <c r="AO200" s="80" t="s">
        <v>1457</v>
      </c>
      <c r="AP200" s="80"/>
      <c r="AQ200" s="80" t="s">
        <v>1443</v>
      </c>
      <c r="AR200" s="80"/>
      <c r="AS200" s="80" t="s">
        <v>1444</v>
      </c>
      <c r="AT200" s="80"/>
      <c r="AU200" s="80" t="s">
        <v>1594</v>
      </c>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row>
    <row r="201" spans="1:72" s="144" customFormat="1" ht="25.15" customHeight="1" outlineLevel="1" x14ac:dyDescent="0.25">
      <c r="A201" s="9" t="s">
        <v>202</v>
      </c>
      <c r="B201" s="98" t="s">
        <v>1139</v>
      </c>
      <c r="C201" s="80"/>
      <c r="D201" s="80"/>
      <c r="E201" s="80" t="s">
        <v>469</v>
      </c>
      <c r="F201" s="80" t="s">
        <v>50</v>
      </c>
      <c r="G201" s="80" t="s">
        <v>42</v>
      </c>
      <c r="H201" s="80" t="s">
        <v>12</v>
      </c>
      <c r="I201" s="80" t="s">
        <v>7</v>
      </c>
      <c r="J201" s="1"/>
      <c r="K201" s="80" t="s">
        <v>30</v>
      </c>
      <c r="L201" s="1"/>
      <c r="M201" s="80" t="s">
        <v>1589</v>
      </c>
      <c r="N201" s="80" t="s">
        <v>456</v>
      </c>
      <c r="O201" s="80">
        <v>7690</v>
      </c>
      <c r="P201" s="80">
        <v>2454</v>
      </c>
      <c r="Q201" s="80">
        <v>2400</v>
      </c>
      <c r="R201" s="80"/>
      <c r="S201" s="80">
        <v>3802</v>
      </c>
      <c r="T201" s="80">
        <v>2600</v>
      </c>
      <c r="U201" s="80">
        <v>10000</v>
      </c>
      <c r="V201" s="80">
        <v>1287</v>
      </c>
      <c r="W201" s="80">
        <v>5800</v>
      </c>
      <c r="X201" s="80">
        <v>2780</v>
      </c>
      <c r="Y201" s="80"/>
      <c r="Z201" s="80">
        <v>18</v>
      </c>
      <c r="AA201" s="80" t="s">
        <v>473</v>
      </c>
      <c r="AB201" s="80">
        <v>19000</v>
      </c>
      <c r="AC201" s="80">
        <v>8375</v>
      </c>
      <c r="AD201" s="80"/>
      <c r="AE201" s="80"/>
      <c r="AF201" s="80"/>
      <c r="AG201" s="80"/>
      <c r="AH201" s="80" t="s">
        <v>162</v>
      </c>
      <c r="AI201" s="80" t="s">
        <v>1591</v>
      </c>
      <c r="AJ201" s="80"/>
      <c r="AK201" s="80" t="s">
        <v>1592</v>
      </c>
      <c r="AL201" s="80"/>
      <c r="AM201" s="80" t="s">
        <v>1593</v>
      </c>
      <c r="AN201" s="80"/>
      <c r="AO201" s="80" t="s">
        <v>1459</v>
      </c>
      <c r="AP201" s="80"/>
      <c r="AQ201" s="80" t="s">
        <v>1425</v>
      </c>
      <c r="AR201" s="80"/>
      <c r="AS201" s="80" t="s">
        <v>1444</v>
      </c>
      <c r="AT201" s="80"/>
      <c r="AU201" s="80" t="s">
        <v>1595</v>
      </c>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row>
    <row r="202" spans="1:72" s="144" customFormat="1" ht="25.15" customHeight="1" outlineLevel="1" x14ac:dyDescent="0.25">
      <c r="A202" s="9" t="s">
        <v>202</v>
      </c>
      <c r="B202" s="98" t="s">
        <v>1139</v>
      </c>
      <c r="C202" s="80"/>
      <c r="D202" s="80"/>
      <c r="E202" s="80" t="s">
        <v>469</v>
      </c>
      <c r="F202" s="80" t="s">
        <v>50</v>
      </c>
      <c r="G202" s="80" t="s">
        <v>42</v>
      </c>
      <c r="H202" s="80" t="s">
        <v>32</v>
      </c>
      <c r="I202" s="80" t="s">
        <v>7</v>
      </c>
      <c r="J202" s="1"/>
      <c r="K202" s="80" t="s">
        <v>30</v>
      </c>
      <c r="L202" s="1"/>
      <c r="M202" s="80" t="s">
        <v>1589</v>
      </c>
      <c r="N202" s="80" t="s">
        <v>460</v>
      </c>
      <c r="O202" s="80">
        <v>7690</v>
      </c>
      <c r="P202" s="80">
        <v>2454</v>
      </c>
      <c r="Q202" s="80">
        <v>2400</v>
      </c>
      <c r="R202" s="80"/>
      <c r="S202" s="80">
        <v>3808</v>
      </c>
      <c r="T202" s="80">
        <v>2600</v>
      </c>
      <c r="U202" s="80">
        <v>10000</v>
      </c>
      <c r="V202" s="80">
        <v>1287</v>
      </c>
      <c r="W202" s="80">
        <v>5800</v>
      </c>
      <c r="X202" s="80">
        <v>2780</v>
      </c>
      <c r="Y202" s="80"/>
      <c r="Z202" s="80">
        <v>18</v>
      </c>
      <c r="AA202" s="80" t="s">
        <v>1596</v>
      </c>
      <c r="AB202" s="80">
        <v>19000</v>
      </c>
      <c r="AC202" s="80">
        <v>8200</v>
      </c>
      <c r="AD202" s="80"/>
      <c r="AE202" s="80"/>
      <c r="AF202" s="80"/>
      <c r="AG202" s="80"/>
      <c r="AH202" s="80" t="s">
        <v>162</v>
      </c>
      <c r="AI202" s="80" t="s">
        <v>1591</v>
      </c>
      <c r="AJ202" s="80"/>
      <c r="AK202" s="80" t="s">
        <v>1592</v>
      </c>
      <c r="AL202" s="80"/>
      <c r="AM202" s="80" t="s">
        <v>1593</v>
      </c>
      <c r="AN202" s="80"/>
      <c r="AO202" s="80" t="s">
        <v>1461</v>
      </c>
      <c r="AP202" s="80"/>
      <c r="AQ202" s="80" t="s">
        <v>1443</v>
      </c>
      <c r="AR202" s="80"/>
      <c r="AS202" s="80" t="s">
        <v>1444</v>
      </c>
      <c r="AT202" s="80"/>
      <c r="AU202" s="80" t="s">
        <v>1597</v>
      </c>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row>
    <row r="203" spans="1:72" s="144" customFormat="1" ht="25.15" customHeight="1" outlineLevel="1" x14ac:dyDescent="0.25">
      <c r="A203" s="9" t="s">
        <v>202</v>
      </c>
      <c r="B203" s="98" t="s">
        <v>1139</v>
      </c>
      <c r="C203" s="1" t="s">
        <v>1150</v>
      </c>
      <c r="D203" s="80"/>
      <c r="E203" s="80" t="s">
        <v>469</v>
      </c>
      <c r="F203" s="80" t="s">
        <v>50</v>
      </c>
      <c r="G203" s="80" t="s">
        <v>43</v>
      </c>
      <c r="H203" s="80" t="s">
        <v>29</v>
      </c>
      <c r="I203" s="80" t="s">
        <v>7</v>
      </c>
      <c r="J203" s="1"/>
      <c r="K203" s="80" t="s">
        <v>30</v>
      </c>
      <c r="L203" s="1"/>
      <c r="M203" s="80" t="s">
        <v>1598</v>
      </c>
      <c r="N203" s="80" t="s">
        <v>31</v>
      </c>
      <c r="O203" s="80">
        <v>8890</v>
      </c>
      <c r="P203" s="80">
        <v>2454</v>
      </c>
      <c r="Q203" s="80">
        <v>2400</v>
      </c>
      <c r="R203" s="80"/>
      <c r="S203" s="80">
        <v>3802</v>
      </c>
      <c r="T203" s="80">
        <v>2600</v>
      </c>
      <c r="U203" s="80">
        <v>11200</v>
      </c>
      <c r="V203" s="80">
        <v>1287</v>
      </c>
      <c r="W203" s="80">
        <v>6450</v>
      </c>
      <c r="X203" s="80">
        <v>3330</v>
      </c>
      <c r="Y203" s="80"/>
      <c r="Z203" s="80">
        <v>21</v>
      </c>
      <c r="AA203" s="80" t="s">
        <v>1590</v>
      </c>
      <c r="AB203" s="80">
        <v>19000</v>
      </c>
      <c r="AC203" s="80">
        <v>8405</v>
      </c>
      <c r="AD203" s="80"/>
      <c r="AE203" s="80"/>
      <c r="AF203" s="80"/>
      <c r="AG203" s="80"/>
      <c r="AH203" s="80" t="s">
        <v>163</v>
      </c>
      <c r="AI203" s="80" t="s">
        <v>1591</v>
      </c>
      <c r="AJ203" s="80"/>
      <c r="AK203" s="80" t="s">
        <v>1592</v>
      </c>
      <c r="AL203" s="80"/>
      <c r="AM203" s="80" t="s">
        <v>1593</v>
      </c>
      <c r="AN203" s="80"/>
      <c r="AO203" s="80" t="s">
        <v>1457</v>
      </c>
      <c r="AP203" s="80"/>
      <c r="AQ203" s="80" t="s">
        <v>1465</v>
      </c>
      <c r="AR203" s="80"/>
      <c r="AS203" s="80" t="s">
        <v>1444</v>
      </c>
      <c r="AT203" s="80"/>
      <c r="AU203" s="80" t="s">
        <v>71</v>
      </c>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row>
    <row r="204" spans="1:72" s="144" customFormat="1" ht="25.15" customHeight="1" outlineLevel="1" x14ac:dyDescent="0.25">
      <c r="A204" s="9" t="s">
        <v>202</v>
      </c>
      <c r="B204" s="98" t="s">
        <v>1139</v>
      </c>
      <c r="C204" s="1" t="s">
        <v>1150</v>
      </c>
      <c r="D204" s="80"/>
      <c r="E204" s="80" t="s">
        <v>469</v>
      </c>
      <c r="F204" s="80" t="s">
        <v>50</v>
      </c>
      <c r="G204" s="80" t="s">
        <v>43</v>
      </c>
      <c r="H204" s="80" t="s">
        <v>12</v>
      </c>
      <c r="I204" s="80" t="s">
        <v>7</v>
      </c>
      <c r="J204" s="1"/>
      <c r="K204" s="80" t="s">
        <v>30</v>
      </c>
      <c r="L204" s="1"/>
      <c r="M204" s="80" t="s">
        <v>1598</v>
      </c>
      <c r="N204" s="80" t="s">
        <v>456</v>
      </c>
      <c r="O204" s="80">
        <v>8890</v>
      </c>
      <c r="P204" s="80">
        <v>2454</v>
      </c>
      <c r="Q204" s="80">
        <v>2400</v>
      </c>
      <c r="R204" s="80"/>
      <c r="S204" s="80">
        <v>3802</v>
      </c>
      <c r="T204" s="80">
        <v>2600</v>
      </c>
      <c r="U204" s="80">
        <v>11200</v>
      </c>
      <c r="V204" s="80">
        <v>1287</v>
      </c>
      <c r="W204" s="80">
        <v>6450</v>
      </c>
      <c r="X204" s="80">
        <v>3330</v>
      </c>
      <c r="Y204" s="80"/>
      <c r="Z204" s="80">
        <v>21</v>
      </c>
      <c r="AA204" s="80" t="s">
        <v>473</v>
      </c>
      <c r="AB204" s="80">
        <v>19000</v>
      </c>
      <c r="AC204" s="80">
        <v>8030</v>
      </c>
      <c r="AD204" s="80"/>
      <c r="AE204" s="80"/>
      <c r="AF204" s="80"/>
      <c r="AG204" s="80"/>
      <c r="AH204" s="80" t="s">
        <v>163</v>
      </c>
      <c r="AI204" s="80" t="s">
        <v>1591</v>
      </c>
      <c r="AJ204" s="80"/>
      <c r="AK204" s="80" t="s">
        <v>1592</v>
      </c>
      <c r="AL204" s="80"/>
      <c r="AM204" s="80" t="s">
        <v>1593</v>
      </c>
      <c r="AN204" s="80"/>
      <c r="AO204" s="80" t="s">
        <v>1459</v>
      </c>
      <c r="AP204" s="80"/>
      <c r="AQ204" s="80" t="s">
        <v>1425</v>
      </c>
      <c r="AR204" s="80"/>
      <c r="AS204" s="80" t="s">
        <v>1444</v>
      </c>
      <c r="AT204" s="80"/>
      <c r="AU204" s="80" t="s">
        <v>72</v>
      </c>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row>
    <row r="205" spans="1:72" s="144" customFormat="1" ht="25.15" customHeight="1" outlineLevel="1" x14ac:dyDescent="0.25">
      <c r="A205" s="80" t="s">
        <v>202</v>
      </c>
      <c r="B205" s="98" t="s">
        <v>1139</v>
      </c>
      <c r="C205" s="1" t="s">
        <v>1150</v>
      </c>
      <c r="D205" s="80"/>
      <c r="E205" s="80" t="s">
        <v>469</v>
      </c>
      <c r="F205" s="80" t="s">
        <v>50</v>
      </c>
      <c r="G205" s="80" t="s">
        <v>42</v>
      </c>
      <c r="H205" s="80" t="s">
        <v>29</v>
      </c>
      <c r="I205" s="80" t="s">
        <v>7</v>
      </c>
      <c r="J205" s="1"/>
      <c r="K205" s="80" t="s">
        <v>30</v>
      </c>
      <c r="L205" s="1"/>
      <c r="M205" s="80" t="s">
        <v>1599</v>
      </c>
      <c r="N205" s="83" t="s">
        <v>31</v>
      </c>
      <c r="O205" s="80">
        <v>7690</v>
      </c>
      <c r="P205" s="80">
        <v>2454</v>
      </c>
      <c r="Q205" s="80">
        <v>2400</v>
      </c>
      <c r="R205" s="80"/>
      <c r="S205" s="80">
        <v>3802</v>
      </c>
      <c r="T205" s="80">
        <v>2600</v>
      </c>
      <c r="U205" s="80">
        <v>10000</v>
      </c>
      <c r="V205" s="80">
        <v>1287</v>
      </c>
      <c r="W205" s="80">
        <v>5800</v>
      </c>
      <c r="X205" s="80">
        <v>2780</v>
      </c>
      <c r="Y205" s="80"/>
      <c r="Z205" s="80">
        <v>18</v>
      </c>
      <c r="AA205" s="80" t="s">
        <v>1590</v>
      </c>
      <c r="AB205" s="80">
        <v>19000</v>
      </c>
      <c r="AC205" s="80">
        <v>8805</v>
      </c>
      <c r="AD205" s="80"/>
      <c r="AE205" s="80"/>
      <c r="AF205" s="80"/>
      <c r="AG205" s="80"/>
      <c r="AH205" s="80" t="s">
        <v>162</v>
      </c>
      <c r="AI205" s="80" t="s">
        <v>1591</v>
      </c>
      <c r="AJ205" s="80"/>
      <c r="AK205" s="80" t="s">
        <v>1600</v>
      </c>
      <c r="AL205" s="80"/>
      <c r="AM205" s="80" t="s">
        <v>1593</v>
      </c>
      <c r="AN205" s="80"/>
      <c r="AO205" s="80" t="s">
        <v>1457</v>
      </c>
      <c r="AP205" s="80"/>
      <c r="AQ205" s="80" t="s">
        <v>1443</v>
      </c>
      <c r="AR205" s="80"/>
      <c r="AS205" s="80" t="s">
        <v>1444</v>
      </c>
      <c r="AT205" s="80"/>
      <c r="AU205" s="80" t="s">
        <v>1594</v>
      </c>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row>
    <row r="206" spans="1:72" s="144" customFormat="1" ht="25.15" customHeight="1" outlineLevel="1" x14ac:dyDescent="0.25">
      <c r="A206" s="80" t="s">
        <v>202</v>
      </c>
      <c r="B206" s="98" t="s">
        <v>1139</v>
      </c>
      <c r="C206" s="80"/>
      <c r="D206" s="80"/>
      <c r="E206" s="80" t="s">
        <v>469</v>
      </c>
      <c r="F206" s="80" t="s">
        <v>50</v>
      </c>
      <c r="G206" s="80" t="s">
        <v>42</v>
      </c>
      <c r="H206" s="80" t="s">
        <v>12</v>
      </c>
      <c r="I206" s="80" t="s">
        <v>7</v>
      </c>
      <c r="J206" s="1"/>
      <c r="K206" s="80" t="s">
        <v>30</v>
      </c>
      <c r="L206" s="1"/>
      <c r="M206" s="80" t="s">
        <v>1599</v>
      </c>
      <c r="N206" s="80" t="s">
        <v>456</v>
      </c>
      <c r="O206" s="80">
        <v>7690</v>
      </c>
      <c r="P206" s="80">
        <v>2454</v>
      </c>
      <c r="Q206" s="80">
        <v>2400</v>
      </c>
      <c r="R206" s="80"/>
      <c r="S206" s="80">
        <v>3802</v>
      </c>
      <c r="T206" s="80">
        <v>2600</v>
      </c>
      <c r="U206" s="80">
        <v>10000</v>
      </c>
      <c r="V206" s="80">
        <v>1287</v>
      </c>
      <c r="W206" s="80">
        <v>5800</v>
      </c>
      <c r="X206" s="80">
        <v>2780</v>
      </c>
      <c r="Y206" s="80"/>
      <c r="Z206" s="80">
        <v>18</v>
      </c>
      <c r="AA206" s="80" t="s">
        <v>473</v>
      </c>
      <c r="AB206" s="80">
        <v>19000</v>
      </c>
      <c r="AC206" s="80">
        <v>8375</v>
      </c>
      <c r="AD206" s="80"/>
      <c r="AE206" s="80"/>
      <c r="AF206" s="80"/>
      <c r="AG206" s="80"/>
      <c r="AH206" s="80" t="s">
        <v>162</v>
      </c>
      <c r="AI206" s="80" t="s">
        <v>1591</v>
      </c>
      <c r="AJ206" s="80"/>
      <c r="AK206" s="80" t="s">
        <v>1600</v>
      </c>
      <c r="AL206" s="80"/>
      <c r="AM206" s="80" t="s">
        <v>1593</v>
      </c>
      <c r="AN206" s="80"/>
      <c r="AO206" s="80" t="s">
        <v>1459</v>
      </c>
      <c r="AP206" s="80"/>
      <c r="AQ206" s="80" t="s">
        <v>1425</v>
      </c>
      <c r="AR206" s="80"/>
      <c r="AS206" s="80" t="s">
        <v>1444</v>
      </c>
      <c r="AT206" s="80"/>
      <c r="AU206" s="80" t="s">
        <v>1595</v>
      </c>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row>
    <row r="207" spans="1:72" s="151" customFormat="1" ht="25.15" customHeight="1" outlineLevel="1" x14ac:dyDescent="0.25">
      <c r="A207" s="80" t="s">
        <v>202</v>
      </c>
      <c r="B207" s="98" t="s">
        <v>1139</v>
      </c>
      <c r="C207" s="80"/>
      <c r="D207" s="80"/>
      <c r="E207" s="80" t="s">
        <v>469</v>
      </c>
      <c r="F207" s="80" t="s">
        <v>50</v>
      </c>
      <c r="G207" s="80" t="s">
        <v>42</v>
      </c>
      <c r="H207" s="80" t="s">
        <v>32</v>
      </c>
      <c r="I207" s="80" t="s">
        <v>7</v>
      </c>
      <c r="J207" s="1"/>
      <c r="K207" s="80" t="s">
        <v>30</v>
      </c>
      <c r="L207" s="1"/>
      <c r="M207" s="80" t="s">
        <v>1599</v>
      </c>
      <c r="N207" s="80" t="s">
        <v>460</v>
      </c>
      <c r="O207" s="80">
        <v>7690</v>
      </c>
      <c r="P207" s="80">
        <v>2454</v>
      </c>
      <c r="Q207" s="80">
        <v>2400</v>
      </c>
      <c r="R207" s="80"/>
      <c r="S207" s="80">
        <v>3808</v>
      </c>
      <c r="T207" s="80">
        <v>2600</v>
      </c>
      <c r="U207" s="80">
        <v>10000</v>
      </c>
      <c r="V207" s="80">
        <v>1287</v>
      </c>
      <c r="W207" s="80">
        <v>5800</v>
      </c>
      <c r="X207" s="80">
        <v>2780</v>
      </c>
      <c r="Y207" s="80"/>
      <c r="Z207" s="80">
        <v>18</v>
      </c>
      <c r="AA207" s="80" t="s">
        <v>1596</v>
      </c>
      <c r="AB207" s="80">
        <v>19000</v>
      </c>
      <c r="AC207" s="80">
        <v>8200</v>
      </c>
      <c r="AD207" s="80"/>
      <c r="AE207" s="80"/>
      <c r="AF207" s="80"/>
      <c r="AG207" s="80"/>
      <c r="AH207" s="80" t="s">
        <v>162</v>
      </c>
      <c r="AI207" s="80" t="s">
        <v>1591</v>
      </c>
      <c r="AJ207" s="80"/>
      <c r="AK207" s="80" t="s">
        <v>1600</v>
      </c>
      <c r="AL207" s="80"/>
      <c r="AM207" s="80" t="s">
        <v>1593</v>
      </c>
      <c r="AN207" s="80"/>
      <c r="AO207" s="80" t="s">
        <v>1461</v>
      </c>
      <c r="AP207" s="80"/>
      <c r="AQ207" s="80" t="s">
        <v>1443</v>
      </c>
      <c r="AR207" s="80"/>
      <c r="AS207" s="80" t="s">
        <v>1444</v>
      </c>
      <c r="AT207" s="80"/>
      <c r="AU207" s="80" t="s">
        <v>1597</v>
      </c>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row>
    <row r="208" spans="1:72" s="144" customFormat="1" ht="25.15" customHeight="1" outlineLevel="1" x14ac:dyDescent="0.25">
      <c r="A208" s="9" t="s">
        <v>202</v>
      </c>
      <c r="B208" s="98" t="s">
        <v>1139</v>
      </c>
      <c r="C208" s="1" t="s">
        <v>1150</v>
      </c>
      <c r="D208" s="80"/>
      <c r="E208" s="80" t="s">
        <v>469</v>
      </c>
      <c r="F208" s="80" t="s">
        <v>50</v>
      </c>
      <c r="G208" s="80" t="s">
        <v>43</v>
      </c>
      <c r="H208" s="80" t="s">
        <v>29</v>
      </c>
      <c r="I208" s="80" t="s">
        <v>7</v>
      </c>
      <c r="J208" s="1"/>
      <c r="K208" s="80" t="s">
        <v>30</v>
      </c>
      <c r="L208" s="1"/>
      <c r="M208" s="80" t="s">
        <v>1601</v>
      </c>
      <c r="N208" s="80" t="s">
        <v>31</v>
      </c>
      <c r="O208" s="80">
        <v>8890</v>
      </c>
      <c r="P208" s="80">
        <v>2454</v>
      </c>
      <c r="Q208" s="80">
        <v>2400</v>
      </c>
      <c r="R208" s="80"/>
      <c r="S208" s="80">
        <v>3802</v>
      </c>
      <c r="T208" s="80">
        <v>2600</v>
      </c>
      <c r="U208" s="80">
        <v>11200</v>
      </c>
      <c r="V208" s="80">
        <v>1287</v>
      </c>
      <c r="W208" s="80">
        <v>6450</v>
      </c>
      <c r="X208" s="80">
        <v>3330</v>
      </c>
      <c r="Y208" s="80"/>
      <c r="Z208" s="80">
        <v>21</v>
      </c>
      <c r="AA208" s="80" t="s">
        <v>1590</v>
      </c>
      <c r="AB208" s="80">
        <v>19000</v>
      </c>
      <c r="AC208" s="80">
        <v>8405</v>
      </c>
      <c r="AD208" s="80"/>
      <c r="AE208" s="80"/>
      <c r="AF208" s="80"/>
      <c r="AG208" s="80"/>
      <c r="AH208" s="80" t="s">
        <v>163</v>
      </c>
      <c r="AI208" s="80" t="s">
        <v>1591</v>
      </c>
      <c r="AJ208" s="80"/>
      <c r="AK208" s="80" t="s">
        <v>1600</v>
      </c>
      <c r="AL208" s="80"/>
      <c r="AM208" s="80" t="s">
        <v>1593</v>
      </c>
      <c r="AN208" s="80"/>
      <c r="AO208" s="80" t="s">
        <v>1457</v>
      </c>
      <c r="AP208" s="80"/>
      <c r="AQ208" s="80" t="s">
        <v>1465</v>
      </c>
      <c r="AR208" s="80"/>
      <c r="AS208" s="80" t="s">
        <v>1444</v>
      </c>
      <c r="AT208" s="80"/>
      <c r="AU208" s="80" t="s">
        <v>71</v>
      </c>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row>
    <row r="209" spans="1:72" s="144" customFormat="1" ht="25.15" customHeight="1" outlineLevel="1" x14ac:dyDescent="0.25">
      <c r="A209" s="9" t="s">
        <v>202</v>
      </c>
      <c r="B209" s="98" t="s">
        <v>1139</v>
      </c>
      <c r="C209" s="1" t="s">
        <v>1150</v>
      </c>
      <c r="D209" s="80"/>
      <c r="E209" s="80" t="s">
        <v>469</v>
      </c>
      <c r="F209" s="80" t="s">
        <v>50</v>
      </c>
      <c r="G209" s="80" t="s">
        <v>43</v>
      </c>
      <c r="H209" s="80" t="s">
        <v>12</v>
      </c>
      <c r="I209" s="80" t="s">
        <v>7</v>
      </c>
      <c r="J209" s="1"/>
      <c r="K209" s="80" t="s">
        <v>30</v>
      </c>
      <c r="L209" s="1"/>
      <c r="M209" s="80" t="s">
        <v>1601</v>
      </c>
      <c r="N209" s="80" t="s">
        <v>456</v>
      </c>
      <c r="O209" s="80">
        <v>8890</v>
      </c>
      <c r="P209" s="80">
        <v>2454</v>
      </c>
      <c r="Q209" s="80">
        <v>2400</v>
      </c>
      <c r="R209" s="80"/>
      <c r="S209" s="80">
        <v>3802</v>
      </c>
      <c r="T209" s="80">
        <v>2600</v>
      </c>
      <c r="U209" s="80">
        <v>11200</v>
      </c>
      <c r="V209" s="80">
        <v>1287</v>
      </c>
      <c r="W209" s="80">
        <v>6450</v>
      </c>
      <c r="X209" s="80">
        <v>3330</v>
      </c>
      <c r="Y209" s="80"/>
      <c r="Z209" s="80">
        <v>21</v>
      </c>
      <c r="AA209" s="80" t="s">
        <v>473</v>
      </c>
      <c r="AB209" s="80">
        <v>19000</v>
      </c>
      <c r="AC209" s="80">
        <v>8030</v>
      </c>
      <c r="AD209" s="80"/>
      <c r="AE209" s="80"/>
      <c r="AF209" s="80"/>
      <c r="AG209" s="80"/>
      <c r="AH209" s="80" t="s">
        <v>163</v>
      </c>
      <c r="AI209" s="80" t="s">
        <v>1591</v>
      </c>
      <c r="AJ209" s="80"/>
      <c r="AK209" s="80" t="s">
        <v>1600</v>
      </c>
      <c r="AL209" s="80"/>
      <c r="AM209" s="80" t="s">
        <v>1593</v>
      </c>
      <c r="AN209" s="80"/>
      <c r="AO209" s="80" t="s">
        <v>1459</v>
      </c>
      <c r="AP209" s="80"/>
      <c r="AQ209" s="80" t="s">
        <v>1425</v>
      </c>
      <c r="AR209" s="80"/>
      <c r="AS209" s="80" t="s">
        <v>1444</v>
      </c>
      <c r="AT209" s="80"/>
      <c r="AU209" s="80" t="s">
        <v>72</v>
      </c>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row>
    <row r="210" spans="1:72" s="144" customFormat="1" ht="25.15" customHeight="1" outlineLevel="1" x14ac:dyDescent="0.25">
      <c r="A210" s="80" t="s">
        <v>202</v>
      </c>
      <c r="B210" s="98" t="s">
        <v>1139</v>
      </c>
      <c r="C210" s="1" t="s">
        <v>1150</v>
      </c>
      <c r="D210" s="80"/>
      <c r="E210" s="80" t="s">
        <v>469</v>
      </c>
      <c r="F210" s="80" t="s">
        <v>50</v>
      </c>
      <c r="G210" s="80" t="s">
        <v>42</v>
      </c>
      <c r="H210" s="80" t="s">
        <v>29</v>
      </c>
      <c r="I210" s="80" t="s">
        <v>7</v>
      </c>
      <c r="J210" s="1"/>
      <c r="K210" s="80" t="s">
        <v>30</v>
      </c>
      <c r="L210" s="1"/>
      <c r="M210" s="80" t="s">
        <v>1602</v>
      </c>
      <c r="N210" s="83" t="s">
        <v>31</v>
      </c>
      <c r="O210" s="80">
        <v>7690</v>
      </c>
      <c r="P210" s="80">
        <v>2454</v>
      </c>
      <c r="Q210" s="80">
        <v>2400</v>
      </c>
      <c r="R210" s="80"/>
      <c r="S210" s="80">
        <v>3802</v>
      </c>
      <c r="T210" s="80">
        <v>2600</v>
      </c>
      <c r="U210" s="80">
        <v>10000</v>
      </c>
      <c r="V210" s="80">
        <v>1287</v>
      </c>
      <c r="W210" s="80">
        <v>5800</v>
      </c>
      <c r="X210" s="80">
        <v>2780</v>
      </c>
      <c r="Y210" s="80"/>
      <c r="Z210" s="80">
        <v>18</v>
      </c>
      <c r="AA210" s="80" t="s">
        <v>1590</v>
      </c>
      <c r="AB210" s="80">
        <v>19000</v>
      </c>
      <c r="AC210" s="80">
        <v>8255</v>
      </c>
      <c r="AD210" s="80"/>
      <c r="AE210" s="80"/>
      <c r="AF210" s="80"/>
      <c r="AG210" s="80"/>
      <c r="AH210" s="80" t="s">
        <v>162</v>
      </c>
      <c r="AI210" s="80" t="s">
        <v>1591</v>
      </c>
      <c r="AJ210" s="80"/>
      <c r="AK210" s="80" t="s">
        <v>1603</v>
      </c>
      <c r="AL210" s="80"/>
      <c r="AM210" s="80" t="s">
        <v>1593</v>
      </c>
      <c r="AN210" s="80"/>
      <c r="AO210" s="80" t="s">
        <v>1457</v>
      </c>
      <c r="AP210" s="80"/>
      <c r="AQ210" s="80" t="s">
        <v>1443</v>
      </c>
      <c r="AR210" s="80"/>
      <c r="AS210" s="80" t="s">
        <v>1444</v>
      </c>
      <c r="AT210" s="80"/>
      <c r="AU210" s="80" t="s">
        <v>1594</v>
      </c>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row>
    <row r="211" spans="1:72" s="144" customFormat="1" ht="25.15" customHeight="1" outlineLevel="1" x14ac:dyDescent="0.25">
      <c r="A211" s="80" t="s">
        <v>202</v>
      </c>
      <c r="B211" s="98" t="s">
        <v>1139</v>
      </c>
      <c r="C211" s="80"/>
      <c r="D211" s="80"/>
      <c r="E211" s="80" t="s">
        <v>469</v>
      </c>
      <c r="F211" s="80" t="s">
        <v>50</v>
      </c>
      <c r="G211" s="80" t="s">
        <v>42</v>
      </c>
      <c r="H211" s="80" t="s">
        <v>12</v>
      </c>
      <c r="I211" s="80" t="s">
        <v>7</v>
      </c>
      <c r="J211" s="1"/>
      <c r="K211" s="80" t="s">
        <v>30</v>
      </c>
      <c r="L211" s="1"/>
      <c r="M211" s="80" t="s">
        <v>1602</v>
      </c>
      <c r="N211" s="80" t="s">
        <v>456</v>
      </c>
      <c r="O211" s="80">
        <v>7690</v>
      </c>
      <c r="P211" s="80">
        <v>2454</v>
      </c>
      <c r="Q211" s="80">
        <v>2400</v>
      </c>
      <c r="R211" s="80"/>
      <c r="S211" s="80">
        <v>3802</v>
      </c>
      <c r="T211" s="80">
        <v>2600</v>
      </c>
      <c r="U211" s="80">
        <v>10000</v>
      </c>
      <c r="V211" s="80">
        <v>1287</v>
      </c>
      <c r="W211" s="80">
        <v>5800</v>
      </c>
      <c r="X211" s="80">
        <v>2780</v>
      </c>
      <c r="Y211" s="80"/>
      <c r="Z211" s="80">
        <v>18</v>
      </c>
      <c r="AA211" s="80" t="s">
        <v>473</v>
      </c>
      <c r="AB211" s="80">
        <v>19000</v>
      </c>
      <c r="AC211" s="80">
        <v>7825</v>
      </c>
      <c r="AD211" s="80"/>
      <c r="AE211" s="80"/>
      <c r="AF211" s="80"/>
      <c r="AG211" s="80"/>
      <c r="AH211" s="80" t="s">
        <v>162</v>
      </c>
      <c r="AI211" s="80" t="s">
        <v>1591</v>
      </c>
      <c r="AJ211" s="80"/>
      <c r="AK211" s="80" t="s">
        <v>1603</v>
      </c>
      <c r="AL211" s="80"/>
      <c r="AM211" s="80" t="s">
        <v>1593</v>
      </c>
      <c r="AN211" s="80"/>
      <c r="AO211" s="80" t="s">
        <v>1459</v>
      </c>
      <c r="AP211" s="80"/>
      <c r="AQ211" s="80" t="s">
        <v>1425</v>
      </c>
      <c r="AR211" s="80"/>
      <c r="AS211" s="80" t="s">
        <v>1444</v>
      </c>
      <c r="AT211" s="80"/>
      <c r="AU211" s="80" t="s">
        <v>1595</v>
      </c>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row>
    <row r="212" spans="1:72" s="144" customFormat="1" ht="25.15" customHeight="1" outlineLevel="1" x14ac:dyDescent="0.25">
      <c r="A212" s="80" t="s">
        <v>202</v>
      </c>
      <c r="B212" s="98" t="s">
        <v>1139</v>
      </c>
      <c r="C212" s="80"/>
      <c r="D212" s="80"/>
      <c r="E212" s="80" t="s">
        <v>469</v>
      </c>
      <c r="F212" s="80" t="s">
        <v>50</v>
      </c>
      <c r="G212" s="80" t="s">
        <v>42</v>
      </c>
      <c r="H212" s="80" t="s">
        <v>32</v>
      </c>
      <c r="I212" s="80" t="s">
        <v>7</v>
      </c>
      <c r="J212" s="1"/>
      <c r="K212" s="80" t="s">
        <v>30</v>
      </c>
      <c r="L212" s="1"/>
      <c r="M212" s="80" t="s">
        <v>1602</v>
      </c>
      <c r="N212" s="80" t="s">
        <v>460</v>
      </c>
      <c r="O212" s="80">
        <v>7690</v>
      </c>
      <c r="P212" s="80">
        <v>2454</v>
      </c>
      <c r="Q212" s="80">
        <v>2400</v>
      </c>
      <c r="R212" s="80"/>
      <c r="S212" s="80">
        <v>3808</v>
      </c>
      <c r="T212" s="80">
        <v>2600</v>
      </c>
      <c r="U212" s="80">
        <v>10000</v>
      </c>
      <c r="V212" s="80">
        <v>1287</v>
      </c>
      <c r="W212" s="80">
        <v>5800</v>
      </c>
      <c r="X212" s="80">
        <v>2780</v>
      </c>
      <c r="Y212" s="80"/>
      <c r="Z212" s="80">
        <v>18</v>
      </c>
      <c r="AA212" s="80" t="s">
        <v>1596</v>
      </c>
      <c r="AB212" s="80">
        <v>19000</v>
      </c>
      <c r="AC212" s="80">
        <v>7650</v>
      </c>
      <c r="AD212" s="80"/>
      <c r="AE212" s="80"/>
      <c r="AF212" s="80"/>
      <c r="AG212" s="80"/>
      <c r="AH212" s="80" t="s">
        <v>162</v>
      </c>
      <c r="AI212" s="80" t="s">
        <v>1591</v>
      </c>
      <c r="AJ212" s="80"/>
      <c r="AK212" s="80" t="s">
        <v>1603</v>
      </c>
      <c r="AL212" s="80"/>
      <c r="AM212" s="80" t="s">
        <v>1593</v>
      </c>
      <c r="AN212" s="80"/>
      <c r="AO212" s="80" t="s">
        <v>1461</v>
      </c>
      <c r="AP212" s="80"/>
      <c r="AQ212" s="80" t="s">
        <v>1443</v>
      </c>
      <c r="AR212" s="80"/>
      <c r="AS212" s="80" t="s">
        <v>1444</v>
      </c>
      <c r="AT212" s="80"/>
      <c r="AU212" s="80" t="s">
        <v>1597</v>
      </c>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row>
    <row r="213" spans="1:72" s="144" customFormat="1" ht="25.15" customHeight="1" outlineLevel="1" x14ac:dyDescent="0.25">
      <c r="A213" s="80" t="s">
        <v>202</v>
      </c>
      <c r="B213" s="98" t="s">
        <v>1139</v>
      </c>
      <c r="C213" s="1" t="s">
        <v>1150</v>
      </c>
      <c r="D213" s="80"/>
      <c r="E213" s="80" t="s">
        <v>469</v>
      </c>
      <c r="F213" s="80" t="s">
        <v>50</v>
      </c>
      <c r="G213" s="80" t="s">
        <v>43</v>
      </c>
      <c r="H213" s="80" t="s">
        <v>29</v>
      </c>
      <c r="I213" s="80" t="s">
        <v>7</v>
      </c>
      <c r="J213" s="1"/>
      <c r="K213" s="80" t="s">
        <v>30</v>
      </c>
      <c r="L213" s="1"/>
      <c r="M213" s="80" t="s">
        <v>1604</v>
      </c>
      <c r="N213" s="83" t="s">
        <v>31</v>
      </c>
      <c r="O213" s="80">
        <v>8890</v>
      </c>
      <c r="P213" s="80">
        <v>2454</v>
      </c>
      <c r="Q213" s="80">
        <v>2400</v>
      </c>
      <c r="R213" s="80"/>
      <c r="S213" s="80">
        <v>3802</v>
      </c>
      <c r="T213" s="80">
        <v>2600</v>
      </c>
      <c r="U213" s="80">
        <v>11200</v>
      </c>
      <c r="V213" s="80">
        <v>1287</v>
      </c>
      <c r="W213" s="80">
        <v>6450</v>
      </c>
      <c r="X213" s="80">
        <v>3330</v>
      </c>
      <c r="Y213" s="80"/>
      <c r="Z213" s="80">
        <v>21</v>
      </c>
      <c r="AA213" s="80" t="s">
        <v>1590</v>
      </c>
      <c r="AB213" s="80">
        <v>19000</v>
      </c>
      <c r="AC213" s="80">
        <v>7857</v>
      </c>
      <c r="AD213" s="80"/>
      <c r="AE213" s="80"/>
      <c r="AF213" s="80"/>
      <c r="AG213" s="80"/>
      <c r="AH213" s="80" t="s">
        <v>163</v>
      </c>
      <c r="AI213" s="80" t="s">
        <v>1591</v>
      </c>
      <c r="AJ213" s="80"/>
      <c r="AK213" s="80" t="s">
        <v>1603</v>
      </c>
      <c r="AL213" s="80"/>
      <c r="AM213" s="80" t="s">
        <v>1593</v>
      </c>
      <c r="AN213" s="80"/>
      <c r="AO213" s="80" t="s">
        <v>1457</v>
      </c>
      <c r="AP213" s="80"/>
      <c r="AQ213" s="80" t="s">
        <v>1465</v>
      </c>
      <c r="AR213" s="80"/>
      <c r="AS213" s="80" t="s">
        <v>1444</v>
      </c>
      <c r="AT213" s="80"/>
      <c r="AU213" s="80" t="s">
        <v>71</v>
      </c>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row>
    <row r="214" spans="1:72" s="144" customFormat="1" ht="25.15" customHeight="1" outlineLevel="1" x14ac:dyDescent="0.25">
      <c r="A214" s="80" t="s">
        <v>202</v>
      </c>
      <c r="B214" s="98" t="s">
        <v>1139</v>
      </c>
      <c r="C214" s="1" t="s">
        <v>1150</v>
      </c>
      <c r="D214" s="80"/>
      <c r="E214" s="80" t="s">
        <v>469</v>
      </c>
      <c r="F214" s="80" t="s">
        <v>50</v>
      </c>
      <c r="G214" s="80" t="s">
        <v>43</v>
      </c>
      <c r="H214" s="80" t="s">
        <v>12</v>
      </c>
      <c r="I214" s="80" t="s">
        <v>7</v>
      </c>
      <c r="J214" s="1"/>
      <c r="K214" s="80" t="s">
        <v>30</v>
      </c>
      <c r="L214" s="1"/>
      <c r="M214" s="80" t="s">
        <v>1604</v>
      </c>
      <c r="N214" s="80" t="s">
        <v>456</v>
      </c>
      <c r="O214" s="80">
        <v>8890</v>
      </c>
      <c r="P214" s="80">
        <v>2454</v>
      </c>
      <c r="Q214" s="80">
        <v>2400</v>
      </c>
      <c r="R214" s="80"/>
      <c r="S214" s="80">
        <v>3802</v>
      </c>
      <c r="T214" s="80">
        <v>2600</v>
      </c>
      <c r="U214" s="80">
        <v>11200</v>
      </c>
      <c r="V214" s="80">
        <v>1287</v>
      </c>
      <c r="W214" s="80">
        <v>6450</v>
      </c>
      <c r="X214" s="80">
        <v>3330</v>
      </c>
      <c r="Y214" s="80"/>
      <c r="Z214" s="80">
        <v>21</v>
      </c>
      <c r="AA214" s="80" t="s">
        <v>473</v>
      </c>
      <c r="AB214" s="80">
        <v>19000</v>
      </c>
      <c r="AC214" s="80">
        <v>7482</v>
      </c>
      <c r="AD214" s="80"/>
      <c r="AE214" s="80"/>
      <c r="AF214" s="80"/>
      <c r="AG214" s="80"/>
      <c r="AH214" s="80" t="s">
        <v>163</v>
      </c>
      <c r="AI214" s="80" t="s">
        <v>1591</v>
      </c>
      <c r="AJ214" s="80"/>
      <c r="AK214" s="80" t="s">
        <v>1603</v>
      </c>
      <c r="AL214" s="80"/>
      <c r="AM214" s="80" t="s">
        <v>1593</v>
      </c>
      <c r="AN214" s="80"/>
      <c r="AO214" s="80" t="s">
        <v>1459</v>
      </c>
      <c r="AP214" s="80"/>
      <c r="AQ214" s="80" t="s">
        <v>1425</v>
      </c>
      <c r="AR214" s="80"/>
      <c r="AS214" s="80" t="s">
        <v>1444</v>
      </c>
      <c r="AT214" s="80"/>
      <c r="AU214" s="80" t="s">
        <v>72</v>
      </c>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row>
    <row r="215" spans="1:72" s="147" customFormat="1" ht="25.15" customHeight="1" outlineLevel="1" x14ac:dyDescent="0.25">
      <c r="A215" s="9" t="s">
        <v>202</v>
      </c>
      <c r="B215" s="98" t="s">
        <v>1139</v>
      </c>
      <c r="C215" s="1" t="s">
        <v>1150</v>
      </c>
      <c r="D215" s="80"/>
      <c r="E215" s="80" t="s">
        <v>469</v>
      </c>
      <c r="F215" s="80" t="s">
        <v>50</v>
      </c>
      <c r="G215" s="80" t="s">
        <v>44</v>
      </c>
      <c r="H215" s="80" t="s">
        <v>29</v>
      </c>
      <c r="I215" s="80" t="s">
        <v>7</v>
      </c>
      <c r="J215" s="1"/>
      <c r="K215" s="80" t="s">
        <v>30</v>
      </c>
      <c r="L215" s="1"/>
      <c r="M215" s="80" t="s">
        <v>1605</v>
      </c>
      <c r="N215" s="80" t="s">
        <v>31</v>
      </c>
      <c r="O215" s="80">
        <v>9490</v>
      </c>
      <c r="P215" s="80">
        <v>2450</v>
      </c>
      <c r="Q215" s="80">
        <v>2400</v>
      </c>
      <c r="R215" s="80"/>
      <c r="S215" s="80">
        <v>3875</v>
      </c>
      <c r="T215" s="80">
        <v>2600</v>
      </c>
      <c r="U215" s="80">
        <v>11811</v>
      </c>
      <c r="V215" s="80">
        <v>1360</v>
      </c>
      <c r="W215" s="80">
        <v>5800</v>
      </c>
      <c r="X215" s="80">
        <v>3241</v>
      </c>
      <c r="Y215" s="80"/>
      <c r="Z215" s="80">
        <v>23</v>
      </c>
      <c r="AA215" s="80" t="s">
        <v>1590</v>
      </c>
      <c r="AB215" s="80">
        <v>26000</v>
      </c>
      <c r="AC215" s="80">
        <v>13970</v>
      </c>
      <c r="AD215" s="80"/>
      <c r="AE215" s="80"/>
      <c r="AF215" s="80"/>
      <c r="AG215" s="80"/>
      <c r="AH215" s="80" t="s">
        <v>164</v>
      </c>
      <c r="AI215" s="80" t="s">
        <v>1591</v>
      </c>
      <c r="AJ215" s="80"/>
      <c r="AK215" s="80" t="s">
        <v>1600</v>
      </c>
      <c r="AL215" s="80"/>
      <c r="AM215" s="80" t="s">
        <v>1606</v>
      </c>
      <c r="AN215" s="80"/>
      <c r="AO215" s="80" t="s">
        <v>1607</v>
      </c>
      <c r="AP215" s="80"/>
      <c r="AQ215" s="80" t="s">
        <v>1608</v>
      </c>
      <c r="AR215" s="80"/>
      <c r="AS215" s="80" t="s">
        <v>1444</v>
      </c>
      <c r="AT215" s="80"/>
      <c r="AU215" s="80" t="s">
        <v>1609</v>
      </c>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row>
    <row r="216" spans="1:72" s="148" customFormat="1" ht="25.15" customHeight="1" outlineLevel="1" x14ac:dyDescent="0.25">
      <c r="A216" s="9" t="s">
        <v>202</v>
      </c>
      <c r="B216" s="98" t="s">
        <v>1139</v>
      </c>
      <c r="C216" s="1" t="s">
        <v>1150</v>
      </c>
      <c r="D216" s="80"/>
      <c r="E216" s="80" t="s">
        <v>469</v>
      </c>
      <c r="F216" s="80" t="s">
        <v>50</v>
      </c>
      <c r="G216" s="80" t="s">
        <v>44</v>
      </c>
      <c r="H216" s="80" t="s">
        <v>12</v>
      </c>
      <c r="I216" s="80" t="s">
        <v>7</v>
      </c>
      <c r="J216" s="1"/>
      <c r="K216" s="80" t="s">
        <v>30</v>
      </c>
      <c r="L216" s="1"/>
      <c r="M216" s="80" t="s">
        <v>1605</v>
      </c>
      <c r="N216" s="80" t="s">
        <v>456</v>
      </c>
      <c r="O216" s="80">
        <v>9490</v>
      </c>
      <c r="P216" s="80">
        <v>2450</v>
      </c>
      <c r="Q216" s="80">
        <v>2400</v>
      </c>
      <c r="R216" s="80"/>
      <c r="S216" s="80">
        <v>3875</v>
      </c>
      <c r="T216" s="80">
        <v>2600</v>
      </c>
      <c r="U216" s="80">
        <v>11811</v>
      </c>
      <c r="V216" s="80">
        <v>1360</v>
      </c>
      <c r="W216" s="80">
        <v>5800</v>
      </c>
      <c r="X216" s="80">
        <v>3241</v>
      </c>
      <c r="Y216" s="80"/>
      <c r="Z216" s="80">
        <v>23</v>
      </c>
      <c r="AA216" s="80" t="s">
        <v>473</v>
      </c>
      <c r="AB216" s="80">
        <v>26000</v>
      </c>
      <c r="AC216" s="80">
        <v>13550</v>
      </c>
      <c r="AD216" s="80"/>
      <c r="AE216" s="80"/>
      <c r="AF216" s="80"/>
      <c r="AG216" s="80"/>
      <c r="AH216" s="80" t="s">
        <v>164</v>
      </c>
      <c r="AI216" s="80" t="s">
        <v>1591</v>
      </c>
      <c r="AJ216" s="80"/>
      <c r="AK216" s="80" t="s">
        <v>1600</v>
      </c>
      <c r="AL216" s="80"/>
      <c r="AM216" s="80" t="s">
        <v>1606</v>
      </c>
      <c r="AN216" s="80"/>
      <c r="AO216" s="80" t="s">
        <v>1610</v>
      </c>
      <c r="AP216" s="80"/>
      <c r="AQ216" s="80" t="s">
        <v>1611</v>
      </c>
      <c r="AR216" s="80"/>
      <c r="AS216" s="80" t="s">
        <v>1444</v>
      </c>
      <c r="AT216" s="80"/>
      <c r="AU216" s="80" t="s">
        <v>1612</v>
      </c>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row>
    <row r="217" spans="1:72" s="147" customFormat="1" ht="25.15" customHeight="1" outlineLevel="1" x14ac:dyDescent="0.25">
      <c r="A217" s="80" t="s">
        <v>202</v>
      </c>
      <c r="B217" s="98" t="s">
        <v>1139</v>
      </c>
      <c r="C217" s="80"/>
      <c r="D217" s="80"/>
      <c r="E217" s="80" t="s">
        <v>469</v>
      </c>
      <c r="F217" s="80" t="s">
        <v>50</v>
      </c>
      <c r="G217" s="80" t="s">
        <v>44</v>
      </c>
      <c r="H217" s="80" t="s">
        <v>12</v>
      </c>
      <c r="I217" s="80" t="s">
        <v>7</v>
      </c>
      <c r="J217" s="1"/>
      <c r="K217" s="80" t="s">
        <v>30</v>
      </c>
      <c r="L217" s="1"/>
      <c r="M217" s="80" t="s">
        <v>1605</v>
      </c>
      <c r="N217" s="80" t="s">
        <v>460</v>
      </c>
      <c r="O217" s="80">
        <v>9490</v>
      </c>
      <c r="P217" s="80">
        <v>2450</v>
      </c>
      <c r="Q217" s="80">
        <v>2400</v>
      </c>
      <c r="R217" s="80"/>
      <c r="S217" s="80">
        <v>3875</v>
      </c>
      <c r="T217" s="80">
        <v>2600</v>
      </c>
      <c r="U217" s="80">
        <v>11811</v>
      </c>
      <c r="V217" s="80">
        <v>1360</v>
      </c>
      <c r="W217" s="80">
        <v>5800</v>
      </c>
      <c r="X217" s="80">
        <v>3241</v>
      </c>
      <c r="Y217" s="80"/>
      <c r="Z217" s="80">
        <v>23</v>
      </c>
      <c r="AA217" s="80" t="s">
        <v>1596</v>
      </c>
      <c r="AB217" s="80">
        <v>26000</v>
      </c>
      <c r="AC217" s="80">
        <v>13260</v>
      </c>
      <c r="AD217" s="80"/>
      <c r="AE217" s="80"/>
      <c r="AF217" s="80"/>
      <c r="AG217" s="80"/>
      <c r="AH217" s="80" t="s">
        <v>164</v>
      </c>
      <c r="AI217" s="80" t="s">
        <v>1591</v>
      </c>
      <c r="AJ217" s="80"/>
      <c r="AK217" s="80" t="s">
        <v>1600</v>
      </c>
      <c r="AL217" s="80"/>
      <c r="AM217" s="80" t="s">
        <v>1606</v>
      </c>
      <c r="AN217" s="80"/>
      <c r="AO217" s="80" t="s">
        <v>1610</v>
      </c>
      <c r="AP217" s="80"/>
      <c r="AQ217" s="80" t="s">
        <v>1611</v>
      </c>
      <c r="AR217" s="80"/>
      <c r="AS217" s="80" t="s">
        <v>1444</v>
      </c>
      <c r="AT217" s="80"/>
      <c r="AU217" s="80" t="s">
        <v>1612</v>
      </c>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row>
    <row r="218" spans="1:72" s="147" customFormat="1" ht="25.15" customHeight="1" outlineLevel="1" x14ac:dyDescent="0.25">
      <c r="A218" s="9" t="s">
        <v>202</v>
      </c>
      <c r="B218" s="98" t="s">
        <v>1139</v>
      </c>
      <c r="C218" s="1" t="s">
        <v>1150</v>
      </c>
      <c r="D218" s="80"/>
      <c r="E218" s="80" t="s">
        <v>469</v>
      </c>
      <c r="F218" s="80" t="s">
        <v>50</v>
      </c>
      <c r="G218" s="80" t="s">
        <v>44</v>
      </c>
      <c r="H218" s="80" t="s">
        <v>29</v>
      </c>
      <c r="I218" s="80" t="s">
        <v>7</v>
      </c>
      <c r="J218" s="1"/>
      <c r="K218" s="80" t="s">
        <v>30</v>
      </c>
      <c r="L218" s="1"/>
      <c r="M218" s="80" t="s">
        <v>1613</v>
      </c>
      <c r="N218" s="83" t="s">
        <v>31</v>
      </c>
      <c r="O218" s="80">
        <v>9490</v>
      </c>
      <c r="P218" s="80">
        <v>2450</v>
      </c>
      <c r="Q218" s="80">
        <v>2400</v>
      </c>
      <c r="R218" s="80"/>
      <c r="S218" s="80">
        <v>3875</v>
      </c>
      <c r="T218" s="80">
        <v>2600</v>
      </c>
      <c r="U218" s="80">
        <v>11811</v>
      </c>
      <c r="V218" s="80">
        <v>1360</v>
      </c>
      <c r="W218" s="80">
        <v>5800</v>
      </c>
      <c r="X218" s="80">
        <v>3241</v>
      </c>
      <c r="Y218" s="80"/>
      <c r="Z218" s="80">
        <v>23</v>
      </c>
      <c r="AA218" s="80" t="s">
        <v>1590</v>
      </c>
      <c r="AB218" s="80">
        <v>26000</v>
      </c>
      <c r="AC218" s="80">
        <v>13500</v>
      </c>
      <c r="AD218" s="80"/>
      <c r="AE218" s="80"/>
      <c r="AF218" s="80"/>
      <c r="AG218" s="80"/>
      <c r="AH218" s="80" t="s">
        <v>164</v>
      </c>
      <c r="AI218" s="80" t="s">
        <v>1591</v>
      </c>
      <c r="AJ218" s="80"/>
      <c r="AK218" s="80" t="s">
        <v>1603</v>
      </c>
      <c r="AL218" s="80"/>
      <c r="AM218" s="80" t="s">
        <v>1606</v>
      </c>
      <c r="AN218" s="80"/>
      <c r="AO218" s="80" t="s">
        <v>1607</v>
      </c>
      <c r="AP218" s="80"/>
      <c r="AQ218" s="80" t="s">
        <v>1608</v>
      </c>
      <c r="AR218" s="80"/>
      <c r="AS218" s="80" t="s">
        <v>1444</v>
      </c>
      <c r="AT218" s="80"/>
      <c r="AU218" s="80" t="s">
        <v>1609</v>
      </c>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row>
    <row r="219" spans="1:72" s="144" customFormat="1" ht="25.15" customHeight="1" outlineLevel="1" x14ac:dyDescent="0.25">
      <c r="A219" s="9" t="s">
        <v>202</v>
      </c>
      <c r="B219" s="98" t="s">
        <v>1139</v>
      </c>
      <c r="C219" s="1" t="s">
        <v>1150</v>
      </c>
      <c r="D219" s="80"/>
      <c r="E219" s="80" t="s">
        <v>469</v>
      </c>
      <c r="F219" s="80" t="s">
        <v>50</v>
      </c>
      <c r="G219" s="80" t="s">
        <v>44</v>
      </c>
      <c r="H219" s="80" t="s">
        <v>12</v>
      </c>
      <c r="I219" s="80" t="s">
        <v>7</v>
      </c>
      <c r="J219" s="1"/>
      <c r="K219" s="80" t="s">
        <v>30</v>
      </c>
      <c r="L219" s="1"/>
      <c r="M219" s="80" t="s">
        <v>1613</v>
      </c>
      <c r="N219" s="80" t="s">
        <v>456</v>
      </c>
      <c r="O219" s="80">
        <v>9490</v>
      </c>
      <c r="P219" s="80">
        <v>2450</v>
      </c>
      <c r="Q219" s="80">
        <v>2400</v>
      </c>
      <c r="R219" s="80"/>
      <c r="S219" s="80">
        <v>3875</v>
      </c>
      <c r="T219" s="80">
        <v>2600</v>
      </c>
      <c r="U219" s="80">
        <v>11811</v>
      </c>
      <c r="V219" s="80">
        <v>1360</v>
      </c>
      <c r="W219" s="80">
        <v>5800</v>
      </c>
      <c r="X219" s="80">
        <v>3241</v>
      </c>
      <c r="Y219" s="80"/>
      <c r="Z219" s="80">
        <v>23</v>
      </c>
      <c r="AA219" s="80" t="s">
        <v>473</v>
      </c>
      <c r="AB219" s="80">
        <v>26000</v>
      </c>
      <c r="AC219" s="80">
        <v>13080</v>
      </c>
      <c r="AD219" s="80"/>
      <c r="AE219" s="80"/>
      <c r="AF219" s="80"/>
      <c r="AG219" s="80"/>
      <c r="AH219" s="80" t="s">
        <v>164</v>
      </c>
      <c r="AI219" s="80" t="s">
        <v>1591</v>
      </c>
      <c r="AJ219" s="80"/>
      <c r="AK219" s="80" t="s">
        <v>1603</v>
      </c>
      <c r="AL219" s="80"/>
      <c r="AM219" s="80" t="s">
        <v>1606</v>
      </c>
      <c r="AN219" s="80"/>
      <c r="AO219" s="80" t="s">
        <v>1610</v>
      </c>
      <c r="AP219" s="80"/>
      <c r="AQ219" s="80" t="s">
        <v>1611</v>
      </c>
      <c r="AR219" s="80"/>
      <c r="AS219" s="80" t="s">
        <v>1444</v>
      </c>
      <c r="AT219" s="80"/>
      <c r="AU219" s="80" t="s">
        <v>1612</v>
      </c>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row>
    <row r="220" spans="1:72" s="144" customFormat="1" ht="25.15" customHeight="1" outlineLevel="1" x14ac:dyDescent="0.25">
      <c r="A220" s="80" t="s">
        <v>202</v>
      </c>
      <c r="B220" s="98" t="s">
        <v>1139</v>
      </c>
      <c r="C220" s="80"/>
      <c r="D220" s="80"/>
      <c r="E220" s="80" t="s">
        <v>469</v>
      </c>
      <c r="F220" s="80" t="s">
        <v>50</v>
      </c>
      <c r="G220" s="80" t="s">
        <v>44</v>
      </c>
      <c r="H220" s="80" t="s">
        <v>12</v>
      </c>
      <c r="I220" s="80" t="s">
        <v>7</v>
      </c>
      <c r="J220" s="1"/>
      <c r="K220" s="80" t="s">
        <v>30</v>
      </c>
      <c r="L220" s="1"/>
      <c r="M220" s="80" t="s">
        <v>1613</v>
      </c>
      <c r="N220" s="80" t="s">
        <v>460</v>
      </c>
      <c r="O220" s="80">
        <v>9490</v>
      </c>
      <c r="P220" s="80">
        <v>2450</v>
      </c>
      <c r="Q220" s="80">
        <v>2400</v>
      </c>
      <c r="R220" s="80"/>
      <c r="S220" s="80">
        <v>3875</v>
      </c>
      <c r="T220" s="80">
        <v>2600</v>
      </c>
      <c r="U220" s="80">
        <v>11811</v>
      </c>
      <c r="V220" s="80">
        <v>1360</v>
      </c>
      <c r="W220" s="80">
        <v>5800</v>
      </c>
      <c r="X220" s="80">
        <v>3241</v>
      </c>
      <c r="Y220" s="80"/>
      <c r="Z220" s="80">
        <v>23</v>
      </c>
      <c r="AA220" s="80" t="s">
        <v>1596</v>
      </c>
      <c r="AB220" s="80">
        <v>26000</v>
      </c>
      <c r="AC220" s="80">
        <v>12790</v>
      </c>
      <c r="AD220" s="80"/>
      <c r="AE220" s="80"/>
      <c r="AF220" s="80"/>
      <c r="AG220" s="80"/>
      <c r="AH220" s="80" t="s">
        <v>164</v>
      </c>
      <c r="AI220" s="80" t="s">
        <v>1591</v>
      </c>
      <c r="AJ220" s="80"/>
      <c r="AK220" s="80" t="s">
        <v>1603</v>
      </c>
      <c r="AL220" s="80"/>
      <c r="AM220" s="80" t="s">
        <v>1606</v>
      </c>
      <c r="AN220" s="80"/>
      <c r="AO220" s="80" t="s">
        <v>1610</v>
      </c>
      <c r="AP220" s="80"/>
      <c r="AQ220" s="80" t="s">
        <v>1611</v>
      </c>
      <c r="AR220" s="80"/>
      <c r="AS220" s="80" t="s">
        <v>1444</v>
      </c>
      <c r="AT220" s="80"/>
      <c r="AU220" s="80" t="s">
        <v>1612</v>
      </c>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row>
    <row r="221" spans="1:72" s="149" customFormat="1" ht="25.15" customHeight="1" outlineLevel="1" x14ac:dyDescent="0.25">
      <c r="A221" s="9" t="s">
        <v>202</v>
      </c>
      <c r="B221" s="98" t="s">
        <v>1139</v>
      </c>
      <c r="C221" s="1" t="s">
        <v>1150</v>
      </c>
      <c r="D221" s="80"/>
      <c r="E221" s="80" t="s">
        <v>469</v>
      </c>
      <c r="F221" s="80" t="s">
        <v>50</v>
      </c>
      <c r="G221" s="80" t="s">
        <v>44</v>
      </c>
      <c r="H221" s="80" t="s">
        <v>29</v>
      </c>
      <c r="I221" s="80" t="s">
        <v>7</v>
      </c>
      <c r="J221" s="1"/>
      <c r="K221" s="80" t="s">
        <v>30</v>
      </c>
      <c r="L221" s="1"/>
      <c r="M221" s="80" t="s">
        <v>1614</v>
      </c>
      <c r="N221" s="83" t="s">
        <v>31</v>
      </c>
      <c r="O221" s="80">
        <v>9490</v>
      </c>
      <c r="P221" s="80">
        <v>2450</v>
      </c>
      <c r="Q221" s="80">
        <v>2400</v>
      </c>
      <c r="R221" s="80"/>
      <c r="S221" s="80">
        <v>3875</v>
      </c>
      <c r="T221" s="80">
        <v>2600</v>
      </c>
      <c r="U221" s="80">
        <v>11811</v>
      </c>
      <c r="V221" s="80">
        <v>1360</v>
      </c>
      <c r="W221" s="80">
        <v>5800</v>
      </c>
      <c r="X221" s="80">
        <v>3241</v>
      </c>
      <c r="Y221" s="80"/>
      <c r="Z221" s="80">
        <v>23</v>
      </c>
      <c r="AA221" s="80" t="s">
        <v>1590</v>
      </c>
      <c r="AB221" s="80">
        <v>26000</v>
      </c>
      <c r="AC221" s="80">
        <v>13500</v>
      </c>
      <c r="AD221" s="80"/>
      <c r="AE221" s="80"/>
      <c r="AF221" s="80"/>
      <c r="AG221" s="80"/>
      <c r="AH221" s="80" t="s">
        <v>164</v>
      </c>
      <c r="AI221" s="80" t="s">
        <v>1591</v>
      </c>
      <c r="AJ221" s="80"/>
      <c r="AK221" s="80" t="s">
        <v>1615</v>
      </c>
      <c r="AL221" s="80"/>
      <c r="AM221" s="80" t="s">
        <v>1606</v>
      </c>
      <c r="AN221" s="80"/>
      <c r="AO221" s="80" t="s">
        <v>1607</v>
      </c>
      <c r="AP221" s="80"/>
      <c r="AQ221" s="80" t="s">
        <v>1608</v>
      </c>
      <c r="AR221" s="80"/>
      <c r="AS221" s="80" t="s">
        <v>1444</v>
      </c>
      <c r="AT221" s="80"/>
      <c r="AU221" s="80" t="s">
        <v>1609</v>
      </c>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row>
    <row r="222" spans="1:72" s="144" customFormat="1" ht="25.15" customHeight="1" outlineLevel="1" x14ac:dyDescent="0.25">
      <c r="A222" s="9" t="s">
        <v>202</v>
      </c>
      <c r="B222" s="98" t="s">
        <v>1139</v>
      </c>
      <c r="C222" s="1" t="s">
        <v>1150</v>
      </c>
      <c r="D222" s="80"/>
      <c r="E222" s="80" t="s">
        <v>469</v>
      </c>
      <c r="F222" s="80" t="s">
        <v>50</v>
      </c>
      <c r="G222" s="80" t="s">
        <v>44</v>
      </c>
      <c r="H222" s="80" t="s">
        <v>12</v>
      </c>
      <c r="I222" s="80" t="s">
        <v>7</v>
      </c>
      <c r="J222" s="1"/>
      <c r="K222" s="80" t="s">
        <v>30</v>
      </c>
      <c r="L222" s="1"/>
      <c r="M222" s="80" t="s">
        <v>1614</v>
      </c>
      <c r="N222" s="80" t="s">
        <v>456</v>
      </c>
      <c r="O222" s="80">
        <v>9490</v>
      </c>
      <c r="P222" s="80">
        <v>2450</v>
      </c>
      <c r="Q222" s="80">
        <v>2400</v>
      </c>
      <c r="R222" s="80"/>
      <c r="S222" s="80">
        <v>3875</v>
      </c>
      <c r="T222" s="80">
        <v>2600</v>
      </c>
      <c r="U222" s="80">
        <v>11811</v>
      </c>
      <c r="V222" s="80">
        <v>1360</v>
      </c>
      <c r="W222" s="80">
        <v>5800</v>
      </c>
      <c r="X222" s="80">
        <v>3241</v>
      </c>
      <c r="Y222" s="80"/>
      <c r="Z222" s="80">
        <v>23</v>
      </c>
      <c r="AA222" s="80" t="s">
        <v>473</v>
      </c>
      <c r="AB222" s="80">
        <v>26000</v>
      </c>
      <c r="AC222" s="80">
        <v>13080</v>
      </c>
      <c r="AD222" s="80"/>
      <c r="AE222" s="80"/>
      <c r="AF222" s="80"/>
      <c r="AG222" s="80"/>
      <c r="AH222" s="80" t="s">
        <v>164</v>
      </c>
      <c r="AI222" s="80" t="s">
        <v>1591</v>
      </c>
      <c r="AJ222" s="80"/>
      <c r="AK222" s="80" t="s">
        <v>1615</v>
      </c>
      <c r="AL222" s="80"/>
      <c r="AM222" s="80" t="s">
        <v>1606</v>
      </c>
      <c r="AN222" s="80"/>
      <c r="AO222" s="80" t="s">
        <v>1610</v>
      </c>
      <c r="AP222" s="80"/>
      <c r="AQ222" s="80" t="s">
        <v>1611</v>
      </c>
      <c r="AR222" s="80"/>
      <c r="AS222" s="80" t="s">
        <v>1444</v>
      </c>
      <c r="AT222" s="80"/>
      <c r="AU222" s="80" t="s">
        <v>1612</v>
      </c>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row>
    <row r="223" spans="1:72" s="149" customFormat="1" ht="25.15" customHeight="1" outlineLevel="1" x14ac:dyDescent="0.25">
      <c r="A223" s="80" t="s">
        <v>202</v>
      </c>
      <c r="B223" s="98" t="s">
        <v>1139</v>
      </c>
      <c r="C223" s="80"/>
      <c r="D223" s="80"/>
      <c r="E223" s="80" t="s">
        <v>469</v>
      </c>
      <c r="F223" s="80" t="s">
        <v>50</v>
      </c>
      <c r="G223" s="80" t="s">
        <v>44</v>
      </c>
      <c r="H223" s="80" t="s">
        <v>12</v>
      </c>
      <c r="I223" s="80" t="s">
        <v>7</v>
      </c>
      <c r="J223" s="1"/>
      <c r="K223" s="80" t="s">
        <v>30</v>
      </c>
      <c r="L223" s="1"/>
      <c r="M223" s="80" t="s">
        <v>1614</v>
      </c>
      <c r="N223" s="80" t="s">
        <v>460</v>
      </c>
      <c r="O223" s="80">
        <v>9490</v>
      </c>
      <c r="P223" s="80">
        <v>2450</v>
      </c>
      <c r="Q223" s="80">
        <v>2400</v>
      </c>
      <c r="R223" s="80"/>
      <c r="S223" s="80">
        <v>3875</v>
      </c>
      <c r="T223" s="80">
        <v>2600</v>
      </c>
      <c r="U223" s="80">
        <v>11811</v>
      </c>
      <c r="V223" s="80">
        <v>1360</v>
      </c>
      <c r="W223" s="80">
        <v>5800</v>
      </c>
      <c r="X223" s="80">
        <v>3241</v>
      </c>
      <c r="Y223" s="80"/>
      <c r="Z223" s="80">
        <v>23</v>
      </c>
      <c r="AA223" s="80" t="s">
        <v>1596</v>
      </c>
      <c r="AB223" s="80">
        <v>26000</v>
      </c>
      <c r="AC223" s="80">
        <v>12790</v>
      </c>
      <c r="AD223" s="80"/>
      <c r="AE223" s="80"/>
      <c r="AF223" s="80"/>
      <c r="AG223" s="80"/>
      <c r="AH223" s="80" t="s">
        <v>164</v>
      </c>
      <c r="AI223" s="80" t="s">
        <v>1591</v>
      </c>
      <c r="AJ223" s="80"/>
      <c r="AK223" s="80" t="s">
        <v>1615</v>
      </c>
      <c r="AL223" s="80"/>
      <c r="AM223" s="80" t="s">
        <v>1606</v>
      </c>
      <c r="AN223" s="80"/>
      <c r="AO223" s="80" t="s">
        <v>1610</v>
      </c>
      <c r="AP223" s="80"/>
      <c r="AQ223" s="80" t="s">
        <v>1611</v>
      </c>
      <c r="AR223" s="80"/>
      <c r="AS223" s="80" t="s">
        <v>1444</v>
      </c>
      <c r="AT223" s="80"/>
      <c r="AU223" s="80" t="s">
        <v>1612</v>
      </c>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row>
    <row r="224" spans="1:72" s="144" customFormat="1" ht="25.15" customHeight="1" outlineLevel="1" x14ac:dyDescent="0.25">
      <c r="A224" s="9" t="s">
        <v>202</v>
      </c>
      <c r="B224" s="98" t="s">
        <v>1139</v>
      </c>
      <c r="C224" s="1" t="s">
        <v>1150</v>
      </c>
      <c r="D224" s="80"/>
      <c r="E224" s="80" t="s">
        <v>469</v>
      </c>
      <c r="F224" s="80" t="s">
        <v>478</v>
      </c>
      <c r="G224" s="80" t="s">
        <v>45</v>
      </c>
      <c r="H224" s="80"/>
      <c r="I224" s="80"/>
      <c r="J224" s="1"/>
      <c r="K224" s="80" t="s">
        <v>479</v>
      </c>
      <c r="L224" s="1"/>
      <c r="M224" s="80" t="s">
        <v>1616</v>
      </c>
      <c r="N224" s="80" t="s">
        <v>31</v>
      </c>
      <c r="O224" s="80"/>
      <c r="P224" s="80"/>
      <c r="Q224" s="80"/>
      <c r="R224" s="80"/>
      <c r="S224" s="80">
        <v>3924</v>
      </c>
      <c r="T224" s="80">
        <v>2534</v>
      </c>
      <c r="U224" s="80">
        <v>5990</v>
      </c>
      <c r="V224" s="80"/>
      <c r="W224" s="80">
        <v>3800</v>
      </c>
      <c r="X224" s="80">
        <v>825</v>
      </c>
      <c r="Y224" s="80"/>
      <c r="Z224" s="80"/>
      <c r="AA224" s="80" t="s">
        <v>480</v>
      </c>
      <c r="AB224" s="80">
        <v>19000</v>
      </c>
      <c r="AC224" s="80"/>
      <c r="AD224" s="80"/>
      <c r="AE224" s="80"/>
      <c r="AF224" s="80">
        <v>44000</v>
      </c>
      <c r="AG224" s="80">
        <v>7474</v>
      </c>
      <c r="AH224" s="80"/>
      <c r="AI224" s="80" t="s">
        <v>1617</v>
      </c>
      <c r="AJ224" s="80"/>
      <c r="AK224" s="80" t="s">
        <v>1618</v>
      </c>
      <c r="AL224" s="80"/>
      <c r="AM224" s="80" t="s">
        <v>1619</v>
      </c>
      <c r="AN224" s="80"/>
      <c r="AO224" s="80"/>
      <c r="AP224" s="80"/>
      <c r="AQ224" s="80"/>
      <c r="AR224" s="80"/>
      <c r="AS224" s="80"/>
      <c r="AT224" s="80"/>
      <c r="AU224" s="80" t="s">
        <v>481</v>
      </c>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row>
    <row r="225" spans="1:72" s="144" customFormat="1" ht="25.15" customHeight="1" outlineLevel="1" x14ac:dyDescent="0.25">
      <c r="A225" s="9" t="s">
        <v>202</v>
      </c>
      <c r="B225" s="98" t="s">
        <v>1139</v>
      </c>
      <c r="C225" s="1" t="s">
        <v>1150</v>
      </c>
      <c r="D225" s="80"/>
      <c r="E225" s="80" t="s">
        <v>469</v>
      </c>
      <c r="F225" s="80" t="s">
        <v>478</v>
      </c>
      <c r="G225" s="80" t="s">
        <v>45</v>
      </c>
      <c r="H225" s="80"/>
      <c r="I225" s="80"/>
      <c r="J225" s="1"/>
      <c r="K225" s="80" t="s">
        <v>479</v>
      </c>
      <c r="L225" s="1"/>
      <c r="M225" s="80" t="s">
        <v>1620</v>
      </c>
      <c r="N225" s="80" t="s">
        <v>31</v>
      </c>
      <c r="O225" s="80"/>
      <c r="P225" s="80"/>
      <c r="Q225" s="80"/>
      <c r="R225" s="80"/>
      <c r="S225" s="80">
        <v>3924</v>
      </c>
      <c r="T225" s="80">
        <v>2534</v>
      </c>
      <c r="U225" s="80">
        <v>5990</v>
      </c>
      <c r="V225" s="80"/>
      <c r="W225" s="80">
        <v>3800</v>
      </c>
      <c r="X225" s="80">
        <v>825</v>
      </c>
      <c r="Y225" s="80"/>
      <c r="Z225" s="80"/>
      <c r="AA225" s="80" t="s">
        <v>480</v>
      </c>
      <c r="AB225" s="80">
        <v>19000</v>
      </c>
      <c r="AC225" s="80"/>
      <c r="AD225" s="80"/>
      <c r="AE225" s="80"/>
      <c r="AF225" s="80">
        <v>44000</v>
      </c>
      <c r="AG225" s="80">
        <v>7474</v>
      </c>
      <c r="AH225" s="80"/>
      <c r="AI225" s="80" t="s">
        <v>1617</v>
      </c>
      <c r="AJ225" s="80"/>
      <c r="AK225" s="80" t="s">
        <v>1621</v>
      </c>
      <c r="AL225" s="80"/>
      <c r="AM225" s="80" t="s">
        <v>1619</v>
      </c>
      <c r="AN225" s="80"/>
      <c r="AO225" s="80"/>
      <c r="AP225" s="80"/>
      <c r="AQ225" s="80"/>
      <c r="AR225" s="80"/>
      <c r="AS225" s="80"/>
      <c r="AT225" s="80"/>
      <c r="AU225" s="80" t="s">
        <v>481</v>
      </c>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row>
    <row r="226" spans="1:72" s="144" customFormat="1" ht="25.15" customHeight="1" outlineLevel="1" x14ac:dyDescent="0.25">
      <c r="A226" s="9" t="s">
        <v>202</v>
      </c>
      <c r="B226" s="98" t="s">
        <v>1139</v>
      </c>
      <c r="C226" s="1"/>
      <c r="D226" s="80"/>
      <c r="E226" s="80" t="s">
        <v>482</v>
      </c>
      <c r="F226" s="80" t="s">
        <v>483</v>
      </c>
      <c r="G226" s="80" t="s">
        <v>484</v>
      </c>
      <c r="H226" s="80" t="s">
        <v>29</v>
      </c>
      <c r="I226" s="80"/>
      <c r="J226" s="1"/>
      <c r="K226" s="80" t="s">
        <v>482</v>
      </c>
      <c r="L226" s="1"/>
      <c r="M226" s="80" t="s">
        <v>483</v>
      </c>
      <c r="N226" s="80" t="s">
        <v>31</v>
      </c>
      <c r="O226" s="80">
        <v>13389</v>
      </c>
      <c r="P226" s="80">
        <v>2466</v>
      </c>
      <c r="Q226" s="80">
        <v>2600</v>
      </c>
      <c r="R226" s="80"/>
      <c r="S226" s="80">
        <v>4040</v>
      </c>
      <c r="T226" s="80">
        <v>2600</v>
      </c>
      <c r="U226" s="80">
        <v>14040</v>
      </c>
      <c r="V226" s="80">
        <v>1330</v>
      </c>
      <c r="W226" s="80">
        <v>7450</v>
      </c>
      <c r="X226" s="80">
        <v>4370</v>
      </c>
      <c r="Y226" s="80"/>
      <c r="Z226" s="80">
        <v>33</v>
      </c>
      <c r="AA226" s="80" t="s">
        <v>493</v>
      </c>
      <c r="AB226" s="80">
        <v>38000</v>
      </c>
      <c r="AC226" s="80">
        <v>27990</v>
      </c>
      <c r="AD226" s="80"/>
      <c r="AE226" s="80"/>
      <c r="AF226" s="80"/>
      <c r="AG226" s="80"/>
      <c r="AH226" s="80" t="s">
        <v>485</v>
      </c>
      <c r="AI226" s="80"/>
      <c r="AJ226" s="80"/>
      <c r="AK226" s="80"/>
      <c r="AL226" s="80"/>
      <c r="AM226" s="80" t="s">
        <v>1622</v>
      </c>
      <c r="AN226" s="80"/>
      <c r="AO226" s="80" t="s">
        <v>1623</v>
      </c>
      <c r="AP226" s="80"/>
      <c r="AQ226" s="80" t="s">
        <v>1624</v>
      </c>
      <c r="AR226" s="80"/>
      <c r="AS226" s="80"/>
      <c r="AT226" s="80"/>
      <c r="AU226" s="80" t="s">
        <v>494</v>
      </c>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row>
    <row r="227" spans="1:72" s="144" customFormat="1" ht="25.15" customHeight="1" outlineLevel="1" x14ac:dyDescent="0.25">
      <c r="A227" s="9" t="s">
        <v>202</v>
      </c>
      <c r="B227" s="98" t="s">
        <v>1139</v>
      </c>
      <c r="C227" s="1"/>
      <c r="D227" s="80"/>
      <c r="E227" s="80" t="s">
        <v>482</v>
      </c>
      <c r="F227" s="80" t="s">
        <v>483</v>
      </c>
      <c r="G227" s="80" t="s">
        <v>484</v>
      </c>
      <c r="H227" s="80" t="s">
        <v>29</v>
      </c>
      <c r="I227" s="80" t="s">
        <v>7</v>
      </c>
      <c r="J227" s="1"/>
      <c r="K227" s="80" t="s">
        <v>482</v>
      </c>
      <c r="L227" s="1"/>
      <c r="M227" s="80" t="s">
        <v>483</v>
      </c>
      <c r="N227" s="80" t="s">
        <v>456</v>
      </c>
      <c r="O227" s="80">
        <v>13389</v>
      </c>
      <c r="P227" s="80">
        <v>2466</v>
      </c>
      <c r="Q227" s="80">
        <v>2600</v>
      </c>
      <c r="R227" s="80"/>
      <c r="S227" s="80">
        <v>4040</v>
      </c>
      <c r="T227" s="80">
        <v>2600</v>
      </c>
      <c r="U227" s="80">
        <v>14040</v>
      </c>
      <c r="V227" s="80">
        <v>1330</v>
      </c>
      <c r="W227" s="80">
        <v>7450</v>
      </c>
      <c r="X227" s="80">
        <v>4370</v>
      </c>
      <c r="Y227" s="80"/>
      <c r="Z227" s="80">
        <v>33</v>
      </c>
      <c r="AA227" s="80" t="s">
        <v>495</v>
      </c>
      <c r="AB227" s="80">
        <v>38000</v>
      </c>
      <c r="AC227" s="80">
        <v>27470</v>
      </c>
      <c r="AD227" s="80"/>
      <c r="AE227" s="80"/>
      <c r="AF227" s="80"/>
      <c r="AG227" s="80"/>
      <c r="AH227" s="80" t="s">
        <v>485</v>
      </c>
      <c r="AI227" s="80"/>
      <c r="AJ227" s="80"/>
      <c r="AK227" s="80"/>
      <c r="AL227" s="80"/>
      <c r="AM227" s="80" t="s">
        <v>1622</v>
      </c>
      <c r="AN227" s="80"/>
      <c r="AO227" s="80" t="s">
        <v>1625</v>
      </c>
      <c r="AP227" s="80"/>
      <c r="AQ227" s="80" t="s">
        <v>1624</v>
      </c>
      <c r="AR227" s="80"/>
      <c r="AS227" s="80" t="s">
        <v>1626</v>
      </c>
      <c r="AT227" s="80"/>
      <c r="AU227" s="80" t="s">
        <v>496</v>
      </c>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row>
    <row r="228" spans="1:72" s="144" customFormat="1" ht="25.15" customHeight="1" outlineLevel="1" x14ac:dyDescent="0.25">
      <c r="A228" s="9" t="s">
        <v>202</v>
      </c>
      <c r="B228" s="98" t="s">
        <v>1139</v>
      </c>
      <c r="C228" s="1"/>
      <c r="D228" s="80"/>
      <c r="E228" s="80" t="s">
        <v>482</v>
      </c>
      <c r="F228" s="80" t="s">
        <v>483</v>
      </c>
      <c r="G228" s="80" t="s">
        <v>484</v>
      </c>
      <c r="H228" s="80" t="s">
        <v>12</v>
      </c>
      <c r="I228" s="80"/>
      <c r="J228" s="1"/>
      <c r="K228" s="80" t="s">
        <v>482</v>
      </c>
      <c r="L228" s="1"/>
      <c r="M228" s="80" t="s">
        <v>483</v>
      </c>
      <c r="N228" s="80" t="s">
        <v>460</v>
      </c>
      <c r="O228" s="80">
        <v>13389</v>
      </c>
      <c r="P228" s="80">
        <v>2466</v>
      </c>
      <c r="Q228" s="80">
        <v>2600</v>
      </c>
      <c r="R228" s="80"/>
      <c r="S228" s="80">
        <v>4040</v>
      </c>
      <c r="T228" s="80">
        <v>2600</v>
      </c>
      <c r="U228" s="80">
        <v>14040</v>
      </c>
      <c r="V228" s="80">
        <v>1330</v>
      </c>
      <c r="W228" s="80">
        <v>7450</v>
      </c>
      <c r="X228" s="80">
        <v>4370</v>
      </c>
      <c r="Y228" s="80"/>
      <c r="Z228" s="80">
        <v>32</v>
      </c>
      <c r="AA228" s="80" t="s">
        <v>1627</v>
      </c>
      <c r="AB228" s="80">
        <v>38000</v>
      </c>
      <c r="AC228" s="80">
        <v>27850</v>
      </c>
      <c r="AD228" s="80"/>
      <c r="AE228" s="80"/>
      <c r="AF228" s="80"/>
      <c r="AG228" s="80"/>
      <c r="AH228" s="80" t="s">
        <v>485</v>
      </c>
      <c r="AI228" s="80"/>
      <c r="AJ228" s="80"/>
      <c r="AK228" s="80"/>
      <c r="AL228" s="80"/>
      <c r="AM228" s="80" t="s">
        <v>1622</v>
      </c>
      <c r="AN228" s="80"/>
      <c r="AO228" s="80" t="s">
        <v>1628</v>
      </c>
      <c r="AP228" s="80"/>
      <c r="AQ228" s="80" t="s">
        <v>1629</v>
      </c>
      <c r="AR228" s="80"/>
      <c r="AS228" s="80"/>
      <c r="AT228" s="80"/>
      <c r="AU228" s="80" t="s">
        <v>486</v>
      </c>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row>
    <row r="229" spans="1:72" s="144" customFormat="1" ht="25.15" customHeight="1" outlineLevel="1" x14ac:dyDescent="0.25">
      <c r="A229" s="9" t="s">
        <v>202</v>
      </c>
      <c r="B229" s="98" t="s">
        <v>1139</v>
      </c>
      <c r="C229" s="1"/>
      <c r="D229" s="80"/>
      <c r="E229" s="80" t="s">
        <v>482</v>
      </c>
      <c r="F229" s="80" t="s">
        <v>483</v>
      </c>
      <c r="G229" s="80" t="s">
        <v>484</v>
      </c>
      <c r="H229" s="80" t="s">
        <v>12</v>
      </c>
      <c r="I229" s="80" t="s">
        <v>7</v>
      </c>
      <c r="J229" s="1"/>
      <c r="K229" s="80" t="s">
        <v>482</v>
      </c>
      <c r="L229" s="1"/>
      <c r="M229" s="80" t="s">
        <v>483</v>
      </c>
      <c r="N229" s="80" t="s">
        <v>35</v>
      </c>
      <c r="O229" s="80">
        <v>13389</v>
      </c>
      <c r="P229" s="80">
        <v>2466</v>
      </c>
      <c r="Q229" s="80">
        <v>2600</v>
      </c>
      <c r="R229" s="80"/>
      <c r="S229" s="80">
        <v>4040</v>
      </c>
      <c r="T229" s="80">
        <v>2600</v>
      </c>
      <c r="U229" s="80">
        <v>14040</v>
      </c>
      <c r="V229" s="80">
        <v>1330</v>
      </c>
      <c r="W229" s="80">
        <v>7450</v>
      </c>
      <c r="X229" s="80">
        <v>5010</v>
      </c>
      <c r="Y229" s="80"/>
      <c r="Z229" s="80">
        <v>32</v>
      </c>
      <c r="AA229" s="80" t="s">
        <v>1630</v>
      </c>
      <c r="AB229" s="80">
        <v>38000</v>
      </c>
      <c r="AC229" s="80">
        <v>27330</v>
      </c>
      <c r="AD229" s="80"/>
      <c r="AE229" s="80"/>
      <c r="AF229" s="80"/>
      <c r="AG229" s="80"/>
      <c r="AH229" s="80" t="s">
        <v>485</v>
      </c>
      <c r="AI229" s="80"/>
      <c r="AJ229" s="80"/>
      <c r="AK229" s="80"/>
      <c r="AL229" s="80"/>
      <c r="AM229" s="80" t="s">
        <v>1622</v>
      </c>
      <c r="AN229" s="80"/>
      <c r="AO229" s="80" t="s">
        <v>1631</v>
      </c>
      <c r="AP229" s="80"/>
      <c r="AQ229" s="80" t="s">
        <v>1629</v>
      </c>
      <c r="AR229" s="80"/>
      <c r="AS229" s="80" t="s">
        <v>1626</v>
      </c>
      <c r="AT229" s="80"/>
      <c r="AU229" s="80" t="s">
        <v>487</v>
      </c>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row>
    <row r="230" spans="1:72" s="93" customFormat="1" ht="25.15" customHeight="1" x14ac:dyDescent="0.25">
      <c r="A230" s="90" t="s">
        <v>202</v>
      </c>
      <c r="B230" s="80"/>
      <c r="C230" s="80"/>
      <c r="D230" s="80" t="s">
        <v>1756</v>
      </c>
      <c r="E230" s="90" t="s">
        <v>448</v>
      </c>
      <c r="F230" s="80" t="s">
        <v>1151</v>
      </c>
      <c r="G230" s="80" t="s">
        <v>1152</v>
      </c>
      <c r="H230" s="80" t="s">
        <v>998</v>
      </c>
      <c r="I230" s="80"/>
      <c r="J230" s="80"/>
      <c r="K230" s="90" t="s">
        <v>1632</v>
      </c>
      <c r="L230" s="90"/>
      <c r="M230" s="80" t="s">
        <v>1633</v>
      </c>
      <c r="N230" s="83" t="s">
        <v>31</v>
      </c>
      <c r="O230" s="91">
        <v>1807</v>
      </c>
      <c r="P230" s="91">
        <v>1502</v>
      </c>
      <c r="Q230" s="91">
        <v>1175</v>
      </c>
      <c r="R230" s="91"/>
      <c r="S230" s="91">
        <v>1860</v>
      </c>
      <c r="T230" s="91">
        <v>1848</v>
      </c>
      <c r="U230" s="91">
        <v>4403</v>
      </c>
      <c r="V230" s="91">
        <v>613</v>
      </c>
      <c r="W230" s="91">
        <v>2785</v>
      </c>
      <c r="X230" s="91">
        <v>726</v>
      </c>
      <c r="Y230" s="91"/>
      <c r="Z230" s="91"/>
      <c r="AA230" s="80" t="s">
        <v>1634</v>
      </c>
      <c r="AB230" s="80">
        <v>2020</v>
      </c>
      <c r="AC230" s="90">
        <v>578</v>
      </c>
      <c r="AD230" s="92"/>
      <c r="AE230" s="92"/>
      <c r="AF230" s="101"/>
      <c r="AG230" s="101"/>
      <c r="AH230" s="115">
        <v>3</v>
      </c>
      <c r="AI230" s="90" t="s">
        <v>1635</v>
      </c>
      <c r="AJ230" s="90"/>
      <c r="AK230" s="90" t="s">
        <v>1157</v>
      </c>
      <c r="AL230" s="90"/>
      <c r="AM230" s="90" t="s">
        <v>1158</v>
      </c>
      <c r="AN230" s="90"/>
      <c r="AO230" s="80" t="s">
        <v>1636</v>
      </c>
      <c r="AP230" s="90"/>
      <c r="AQ230" s="90"/>
      <c r="AR230" s="90"/>
      <c r="AS230" s="90"/>
      <c r="AT230" s="90"/>
      <c r="AU230" s="102" t="s">
        <v>1637</v>
      </c>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80"/>
      <c r="BT230" s="80"/>
    </row>
    <row r="231" spans="1:72" s="93" customFormat="1" ht="25.15" customHeight="1" outlineLevel="1" x14ac:dyDescent="0.25">
      <c r="A231" s="90" t="s">
        <v>202</v>
      </c>
      <c r="B231" s="80"/>
      <c r="C231" s="80"/>
      <c r="D231" s="80" t="s">
        <v>1756</v>
      </c>
      <c r="E231" s="80" t="s">
        <v>448</v>
      </c>
      <c r="F231" s="80" t="s">
        <v>1184</v>
      </c>
      <c r="G231" s="80" t="s">
        <v>1152</v>
      </c>
      <c r="H231" s="80" t="s">
        <v>998</v>
      </c>
      <c r="I231" s="80"/>
      <c r="J231" s="80"/>
      <c r="K231" s="90" t="s">
        <v>1632</v>
      </c>
      <c r="L231" s="90"/>
      <c r="M231" s="80" t="s">
        <v>1638</v>
      </c>
      <c r="N231" s="92" t="s">
        <v>456</v>
      </c>
      <c r="O231" s="91">
        <v>2852</v>
      </c>
      <c r="P231" s="91">
        <v>1603</v>
      </c>
      <c r="Q231" s="91">
        <v>1372</v>
      </c>
      <c r="R231" s="91"/>
      <c r="S231" s="91">
        <v>1935</v>
      </c>
      <c r="T231" s="91">
        <v>1920</v>
      </c>
      <c r="U231" s="91">
        <v>5306</v>
      </c>
      <c r="V231" s="91">
        <v>658</v>
      </c>
      <c r="W231" s="91">
        <v>3275</v>
      </c>
      <c r="X231" s="91">
        <v>1153</v>
      </c>
      <c r="Y231" s="91"/>
      <c r="Z231" s="91"/>
      <c r="AA231" s="80" t="s">
        <v>1639</v>
      </c>
      <c r="AB231" s="80">
        <v>3100</v>
      </c>
      <c r="AC231" s="90">
        <v>1203</v>
      </c>
      <c r="AD231" s="92"/>
      <c r="AE231" s="92"/>
      <c r="AF231" s="101"/>
      <c r="AG231" s="101"/>
      <c r="AH231" s="115">
        <v>6.1</v>
      </c>
      <c r="AI231" s="90" t="s">
        <v>1640</v>
      </c>
      <c r="AJ231" s="90"/>
      <c r="AK231" s="80" t="s">
        <v>1189</v>
      </c>
      <c r="AL231" s="80"/>
      <c r="AM231" s="90" t="s">
        <v>1190</v>
      </c>
      <c r="AN231" s="90"/>
      <c r="AO231" s="80" t="s">
        <v>1641</v>
      </c>
      <c r="AP231" s="90"/>
      <c r="AQ231" s="90"/>
      <c r="AR231" s="90"/>
      <c r="AS231" s="90"/>
      <c r="AT231" s="90"/>
      <c r="AU231" s="103" t="s">
        <v>1642</v>
      </c>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80"/>
      <c r="BT231" s="80"/>
    </row>
    <row r="232" spans="1:72" s="93" customFormat="1" ht="25.15" customHeight="1" outlineLevel="1" x14ac:dyDescent="0.25">
      <c r="A232" s="80" t="s">
        <v>202</v>
      </c>
      <c r="B232" s="80"/>
      <c r="C232" s="80"/>
      <c r="D232" s="80" t="s">
        <v>1756</v>
      </c>
      <c r="E232" s="90" t="s">
        <v>448</v>
      </c>
      <c r="F232" s="80" t="s">
        <v>449</v>
      </c>
      <c r="G232" s="80" t="s">
        <v>450</v>
      </c>
      <c r="H232" s="80" t="s">
        <v>998</v>
      </c>
      <c r="I232" s="80"/>
      <c r="J232" s="80"/>
      <c r="K232" s="90" t="s">
        <v>1632</v>
      </c>
      <c r="L232" s="90"/>
      <c r="M232" s="80" t="s">
        <v>1643</v>
      </c>
      <c r="N232" s="92" t="s">
        <v>456</v>
      </c>
      <c r="O232" s="94">
        <v>3690</v>
      </c>
      <c r="P232" s="91">
        <v>1840</v>
      </c>
      <c r="Q232" s="91">
        <v>1905</v>
      </c>
      <c r="R232" s="91"/>
      <c r="S232" s="91">
        <v>2524</v>
      </c>
      <c r="T232" s="91">
        <v>2050</v>
      </c>
      <c r="U232" s="91">
        <v>5998</v>
      </c>
      <c r="V232" s="91">
        <v>595</v>
      </c>
      <c r="W232" s="91">
        <v>4035</v>
      </c>
      <c r="X232" s="91">
        <v>1015</v>
      </c>
      <c r="Y232" s="91"/>
      <c r="Z232" s="91"/>
      <c r="AA232" s="80" t="s">
        <v>1644</v>
      </c>
      <c r="AB232" s="80">
        <v>3500</v>
      </c>
      <c r="AC232" s="90">
        <v>1214</v>
      </c>
      <c r="AD232" s="92"/>
      <c r="AE232" s="92"/>
      <c r="AF232" s="101"/>
      <c r="AG232" s="101"/>
      <c r="AH232" s="115">
        <v>12.7</v>
      </c>
      <c r="AI232" s="90" t="s">
        <v>1645</v>
      </c>
      <c r="AJ232" s="90"/>
      <c r="AK232" s="90" t="s">
        <v>1230</v>
      </c>
      <c r="AL232" s="90"/>
      <c r="AM232" s="90" t="s">
        <v>1231</v>
      </c>
      <c r="AN232" s="90"/>
      <c r="AO232" s="80" t="s">
        <v>1646</v>
      </c>
      <c r="AP232" s="90"/>
      <c r="AQ232" s="90"/>
      <c r="AR232" s="90"/>
      <c r="AS232" s="90"/>
      <c r="AT232" s="90"/>
      <c r="AU232" s="103" t="s">
        <v>1647</v>
      </c>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80"/>
      <c r="BT232" s="80"/>
    </row>
    <row r="233" spans="1:72" s="93" customFormat="1" ht="25.15" customHeight="1" outlineLevel="1" x14ac:dyDescent="0.25">
      <c r="A233" s="80" t="s">
        <v>202</v>
      </c>
      <c r="B233" s="90"/>
      <c r="C233" s="90"/>
      <c r="D233" s="80" t="s">
        <v>1756</v>
      </c>
      <c r="E233" s="90" t="s">
        <v>448</v>
      </c>
      <c r="F233" s="90" t="s">
        <v>449</v>
      </c>
      <c r="G233" s="90" t="s">
        <v>450</v>
      </c>
      <c r="H233" s="80" t="s">
        <v>998</v>
      </c>
      <c r="I233" s="90"/>
      <c r="J233" s="80"/>
      <c r="K233" s="90" t="s">
        <v>1632</v>
      </c>
      <c r="L233" s="90"/>
      <c r="M233" s="90" t="s">
        <v>1643</v>
      </c>
      <c r="N233" s="92" t="s">
        <v>460</v>
      </c>
      <c r="O233" s="94">
        <v>3690</v>
      </c>
      <c r="P233" s="94">
        <v>1840</v>
      </c>
      <c r="Q233" s="94">
        <v>2145</v>
      </c>
      <c r="R233" s="94"/>
      <c r="S233" s="94">
        <v>2764</v>
      </c>
      <c r="T233" s="94">
        <v>2050</v>
      </c>
      <c r="U233" s="94">
        <v>5998</v>
      </c>
      <c r="V233" s="91">
        <v>595</v>
      </c>
      <c r="W233" s="94">
        <v>4035</v>
      </c>
      <c r="X233" s="94">
        <v>1015</v>
      </c>
      <c r="Y233" s="94"/>
      <c r="Z233" s="94"/>
      <c r="AA233" s="90" t="s">
        <v>1648</v>
      </c>
      <c r="AB233" s="80">
        <v>3500</v>
      </c>
      <c r="AC233" s="90">
        <v>1130</v>
      </c>
      <c r="AD233" s="92"/>
      <c r="AE233" s="92"/>
      <c r="AF233" s="101"/>
      <c r="AG233" s="101"/>
      <c r="AH233" s="115">
        <v>14</v>
      </c>
      <c r="AI233" s="90" t="s">
        <v>1645</v>
      </c>
      <c r="AJ233" s="90"/>
      <c r="AK233" s="90" t="s">
        <v>1230</v>
      </c>
      <c r="AL233" s="90"/>
      <c r="AM233" s="90" t="s">
        <v>1231</v>
      </c>
      <c r="AN233" s="90"/>
      <c r="AO233" s="80" t="s">
        <v>1646</v>
      </c>
      <c r="AP233" s="90"/>
      <c r="AQ233" s="90"/>
      <c r="AR233" s="90"/>
      <c r="AS233" s="90"/>
      <c r="AT233" s="90"/>
      <c r="AU233" s="105" t="s">
        <v>1649</v>
      </c>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80"/>
      <c r="BT233" s="80"/>
    </row>
    <row r="234" spans="1:72" s="93" customFormat="1" ht="25.15" customHeight="1" outlineLevel="1" x14ac:dyDescent="0.25">
      <c r="A234" s="80" t="s">
        <v>202</v>
      </c>
      <c r="B234" s="90"/>
      <c r="C234" s="90"/>
      <c r="D234" s="80" t="s">
        <v>1756</v>
      </c>
      <c r="E234" s="90" t="s">
        <v>1468</v>
      </c>
      <c r="F234" s="90" t="s">
        <v>1506</v>
      </c>
      <c r="G234" s="90" t="s">
        <v>450</v>
      </c>
      <c r="H234" s="80" t="s">
        <v>998</v>
      </c>
      <c r="I234" s="90"/>
      <c r="J234" s="80"/>
      <c r="K234" s="90" t="s">
        <v>1632</v>
      </c>
      <c r="L234" s="90"/>
      <c r="M234" s="90" t="s">
        <v>1650</v>
      </c>
      <c r="N234" s="92" t="s">
        <v>456</v>
      </c>
      <c r="O234" s="94">
        <v>2925</v>
      </c>
      <c r="P234" s="94">
        <v>1630</v>
      </c>
      <c r="Q234" s="94">
        <v>1360</v>
      </c>
      <c r="R234" s="94"/>
      <c r="S234" s="94">
        <v>1971</v>
      </c>
      <c r="T234" s="94">
        <v>1956</v>
      </c>
      <c r="U234" s="94">
        <v>5399</v>
      </c>
      <c r="V234" s="94">
        <v>575</v>
      </c>
      <c r="W234" s="94">
        <v>3498</v>
      </c>
      <c r="X234" s="94">
        <v>968</v>
      </c>
      <c r="Y234" s="94"/>
      <c r="Z234" s="94"/>
      <c r="AA234" s="90" t="s">
        <v>1651</v>
      </c>
      <c r="AB234" s="90">
        <v>3050</v>
      </c>
      <c r="AC234" s="90">
        <v>1080</v>
      </c>
      <c r="AD234" s="92"/>
      <c r="AE234" s="92"/>
      <c r="AF234" s="101"/>
      <c r="AG234" s="101"/>
      <c r="AH234" s="115">
        <v>5.9</v>
      </c>
      <c r="AI234" s="90" t="s">
        <v>1652</v>
      </c>
      <c r="AJ234" s="90"/>
      <c r="AK234" s="80" t="s">
        <v>1510</v>
      </c>
      <c r="AL234" s="80"/>
      <c r="AM234" s="80" t="s">
        <v>1511</v>
      </c>
      <c r="AN234" s="80"/>
      <c r="AO234" s="90" t="s">
        <v>1653</v>
      </c>
      <c r="AP234" s="90"/>
      <c r="AQ234" s="90"/>
      <c r="AR234" s="90"/>
      <c r="AS234" s="90"/>
      <c r="AT234" s="90"/>
      <c r="AU234" s="105" t="s">
        <v>1654</v>
      </c>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80"/>
      <c r="BT234" s="80"/>
    </row>
    <row r="235" spans="1:72" s="93" customFormat="1" ht="25.15" customHeight="1" outlineLevel="1" x14ac:dyDescent="0.25">
      <c r="A235" s="80" t="s">
        <v>202</v>
      </c>
      <c r="B235" s="90"/>
      <c r="C235" s="90"/>
      <c r="D235" s="80" t="s">
        <v>1756</v>
      </c>
      <c r="E235" s="90" t="s">
        <v>469</v>
      </c>
      <c r="F235" s="90" t="s">
        <v>1655</v>
      </c>
      <c r="G235" s="90" t="s">
        <v>450</v>
      </c>
      <c r="H235" s="80" t="s">
        <v>998</v>
      </c>
      <c r="I235" s="90"/>
      <c r="J235" s="80"/>
      <c r="K235" s="90" t="s">
        <v>1632</v>
      </c>
      <c r="L235" s="90"/>
      <c r="M235" s="80" t="s">
        <v>1656</v>
      </c>
      <c r="N235" s="92" t="s">
        <v>456</v>
      </c>
      <c r="O235" s="94">
        <v>3070</v>
      </c>
      <c r="P235" s="94">
        <v>1740</v>
      </c>
      <c r="Q235" s="94">
        <v>1870</v>
      </c>
      <c r="R235" s="94"/>
      <c r="S235" s="94">
        <v>2499</v>
      </c>
      <c r="T235" s="94">
        <v>2070</v>
      </c>
      <c r="U235" s="94">
        <v>5575</v>
      </c>
      <c r="V235" s="94">
        <v>590</v>
      </c>
      <c r="W235" s="94">
        <v>3682</v>
      </c>
      <c r="X235" s="94">
        <v>1024</v>
      </c>
      <c r="Y235" s="94"/>
      <c r="Z235" s="94"/>
      <c r="AA235" s="90" t="s">
        <v>1657</v>
      </c>
      <c r="AB235" s="90">
        <v>3500</v>
      </c>
      <c r="AC235" s="90">
        <v>1129</v>
      </c>
      <c r="AD235" s="92"/>
      <c r="AE235" s="92"/>
      <c r="AF235" s="101"/>
      <c r="AG235" s="101"/>
      <c r="AH235" s="115">
        <v>9.8000000000000007</v>
      </c>
      <c r="AI235" s="90" t="s">
        <v>1658</v>
      </c>
      <c r="AJ235" s="90"/>
      <c r="AK235" s="90" t="s">
        <v>1659</v>
      </c>
      <c r="AL235" s="90"/>
      <c r="AM235" s="90" t="s">
        <v>1660</v>
      </c>
      <c r="AN235" s="90"/>
      <c r="AO235" s="90" t="s">
        <v>1661</v>
      </c>
      <c r="AP235" s="90"/>
      <c r="AQ235" s="90"/>
      <c r="AR235" s="90"/>
      <c r="AS235" s="90"/>
      <c r="AT235" s="90"/>
      <c r="AU235" s="105" t="s">
        <v>1662</v>
      </c>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80"/>
      <c r="BT235" s="80"/>
    </row>
    <row r="236" spans="1:72" s="93" customFormat="1" ht="25.15" customHeight="1" outlineLevel="1" x14ac:dyDescent="0.25">
      <c r="A236" s="80" t="s">
        <v>202</v>
      </c>
      <c r="B236" s="80"/>
      <c r="C236" s="90"/>
      <c r="D236" s="80" t="s">
        <v>1756</v>
      </c>
      <c r="E236" s="90" t="s">
        <v>469</v>
      </c>
      <c r="F236" s="80" t="s">
        <v>1655</v>
      </c>
      <c r="G236" s="80" t="s">
        <v>450</v>
      </c>
      <c r="H236" s="80" t="s">
        <v>998</v>
      </c>
      <c r="I236" s="80"/>
      <c r="J236" s="80"/>
      <c r="K236" s="90" t="s">
        <v>1632</v>
      </c>
      <c r="L236" s="80"/>
      <c r="M236" s="80" t="s">
        <v>1656</v>
      </c>
      <c r="N236" s="92" t="s">
        <v>460</v>
      </c>
      <c r="O236" s="91">
        <v>3720</v>
      </c>
      <c r="P236" s="91">
        <v>1740</v>
      </c>
      <c r="Q236" s="91">
        <v>1870</v>
      </c>
      <c r="R236" s="94"/>
      <c r="S236" s="91">
        <v>2488</v>
      </c>
      <c r="T236" s="91">
        <v>2070</v>
      </c>
      <c r="U236" s="91">
        <v>6225</v>
      </c>
      <c r="V236" s="91">
        <v>590</v>
      </c>
      <c r="W236" s="91">
        <v>4332</v>
      </c>
      <c r="X236" s="91">
        <v>1024</v>
      </c>
      <c r="Y236" s="91"/>
      <c r="Z236" s="91"/>
      <c r="AA236" s="80" t="s">
        <v>1663</v>
      </c>
      <c r="AB236" s="80">
        <v>3500</v>
      </c>
      <c r="AC236" s="90">
        <v>1090</v>
      </c>
      <c r="AD236" s="83"/>
      <c r="AE236" s="83"/>
      <c r="AF236" s="101"/>
      <c r="AG236" s="101"/>
      <c r="AH236" s="115">
        <v>11.9</v>
      </c>
      <c r="AI236" s="90" t="s">
        <v>1658</v>
      </c>
      <c r="AJ236" s="90"/>
      <c r="AK236" s="90" t="s">
        <v>1659</v>
      </c>
      <c r="AL236" s="90"/>
      <c r="AM236" s="90" t="s">
        <v>1660</v>
      </c>
      <c r="AN236" s="90"/>
      <c r="AO236" s="80" t="s">
        <v>1661</v>
      </c>
      <c r="AP236" s="90"/>
      <c r="AQ236" s="90"/>
      <c r="AR236" s="90"/>
      <c r="AS236" s="90"/>
      <c r="AT236" s="90"/>
      <c r="AU236" s="103" t="s">
        <v>1662</v>
      </c>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80"/>
      <c r="BT236" s="80"/>
    </row>
    <row r="237" spans="1:72" s="93" customFormat="1" ht="25.15" customHeight="1" outlineLevel="1" x14ac:dyDescent="0.25">
      <c r="A237" s="80" t="s">
        <v>202</v>
      </c>
      <c r="B237" s="80"/>
      <c r="C237" s="90"/>
      <c r="D237" s="80" t="s">
        <v>1756</v>
      </c>
      <c r="E237" s="90" t="s">
        <v>469</v>
      </c>
      <c r="F237" s="80" t="s">
        <v>1655</v>
      </c>
      <c r="G237" s="80" t="s">
        <v>450</v>
      </c>
      <c r="H237" s="80" t="s">
        <v>998</v>
      </c>
      <c r="I237" s="80"/>
      <c r="J237" s="80"/>
      <c r="K237" s="90" t="s">
        <v>1664</v>
      </c>
      <c r="L237" s="106"/>
      <c r="M237" s="80" t="s">
        <v>1665</v>
      </c>
      <c r="N237" s="92" t="s">
        <v>31</v>
      </c>
      <c r="O237" s="91">
        <v>4200</v>
      </c>
      <c r="P237" s="91">
        <v>2146</v>
      </c>
      <c r="Q237" s="91">
        <v>2100</v>
      </c>
      <c r="R237" s="91"/>
      <c r="S237" s="91">
        <v>2750</v>
      </c>
      <c r="T237" s="91">
        <v>2200</v>
      </c>
      <c r="U237" s="91">
        <v>6810</v>
      </c>
      <c r="V237" s="91">
        <v>580</v>
      </c>
      <c r="W237" s="91">
        <v>4215</v>
      </c>
      <c r="X237" s="91">
        <v>1629</v>
      </c>
      <c r="Y237" s="91"/>
      <c r="Z237" s="91"/>
      <c r="AA237" s="80" t="s">
        <v>1666</v>
      </c>
      <c r="AB237" s="80">
        <v>3500</v>
      </c>
      <c r="AC237" s="90">
        <v>995</v>
      </c>
      <c r="AD237" s="83"/>
      <c r="AE237" s="83"/>
      <c r="AF237" s="83"/>
      <c r="AG237" s="83"/>
      <c r="AH237" s="80" t="s">
        <v>1667</v>
      </c>
      <c r="AI237" s="90" t="s">
        <v>1668</v>
      </c>
      <c r="AJ237" s="90"/>
      <c r="AK237" s="90" t="s">
        <v>1669</v>
      </c>
      <c r="AL237" s="90"/>
      <c r="AM237" s="80" t="s">
        <v>1670</v>
      </c>
      <c r="AN237" s="80"/>
      <c r="AO237" s="80" t="s">
        <v>1671</v>
      </c>
      <c r="AP237" s="90"/>
      <c r="AQ237" s="90"/>
      <c r="AR237" s="90"/>
      <c r="AS237" s="90"/>
      <c r="AT237" s="90"/>
      <c r="AU237" s="152" t="s">
        <v>1672</v>
      </c>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80"/>
      <c r="BT237" s="80"/>
    </row>
    <row r="238" spans="1:72" s="93" customFormat="1" ht="25.15" customHeight="1" outlineLevel="1" x14ac:dyDescent="0.25">
      <c r="A238" s="80" t="s">
        <v>202</v>
      </c>
      <c r="B238" s="80"/>
      <c r="C238" s="80"/>
      <c r="D238" s="80" t="s">
        <v>1756</v>
      </c>
      <c r="E238" s="90" t="s">
        <v>33</v>
      </c>
      <c r="F238" s="80" t="s">
        <v>34</v>
      </c>
      <c r="G238" s="80" t="s">
        <v>85</v>
      </c>
      <c r="H238" s="80" t="s">
        <v>998</v>
      </c>
      <c r="I238" s="80"/>
      <c r="J238" s="80"/>
      <c r="K238" s="90" t="s">
        <v>999</v>
      </c>
      <c r="L238" s="106"/>
      <c r="M238" s="80" t="s">
        <v>1673</v>
      </c>
      <c r="N238" s="83" t="s">
        <v>31</v>
      </c>
      <c r="O238" s="91">
        <v>4246</v>
      </c>
      <c r="P238" s="91">
        <v>2146</v>
      </c>
      <c r="Q238" s="91">
        <v>2300</v>
      </c>
      <c r="R238" s="91"/>
      <c r="S238" s="91">
        <v>3450</v>
      </c>
      <c r="T238" s="91">
        <v>2200</v>
      </c>
      <c r="U238" s="91">
        <v>6850</v>
      </c>
      <c r="V238" s="91">
        <v>1042</v>
      </c>
      <c r="W238" s="91">
        <v>4100</v>
      </c>
      <c r="X238" s="91">
        <v>1693</v>
      </c>
      <c r="Y238" s="91"/>
      <c r="Z238" s="91"/>
      <c r="AA238" s="80" t="s">
        <v>1674</v>
      </c>
      <c r="AB238" s="80">
        <v>3500</v>
      </c>
      <c r="AC238" s="80">
        <v>569</v>
      </c>
      <c r="AD238" s="83"/>
      <c r="AE238" s="83"/>
      <c r="AF238" s="83"/>
      <c r="AG238" s="83"/>
      <c r="AH238" s="115">
        <v>20.9</v>
      </c>
      <c r="AI238" s="90" t="s">
        <v>1675</v>
      </c>
      <c r="AJ238" s="90"/>
      <c r="AK238" s="90" t="s">
        <v>1275</v>
      </c>
      <c r="AL238" s="90"/>
      <c r="AM238" s="90" t="s">
        <v>1676</v>
      </c>
      <c r="AN238" s="90"/>
      <c r="AO238" s="80" t="s">
        <v>1677</v>
      </c>
      <c r="AP238" s="90"/>
      <c r="AQ238" s="90"/>
      <c r="AR238" s="90"/>
      <c r="AS238" s="107"/>
      <c r="AT238" s="107"/>
      <c r="AU238" s="152" t="s">
        <v>1678</v>
      </c>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80"/>
      <c r="BT238" s="80"/>
    </row>
    <row r="239" spans="1:72" s="93" customFormat="1" ht="25.15" customHeight="1" outlineLevel="1" x14ac:dyDescent="0.25">
      <c r="A239" s="80" t="s">
        <v>202</v>
      </c>
      <c r="B239" s="80"/>
      <c r="C239" s="80"/>
      <c r="D239" s="80" t="s">
        <v>1756</v>
      </c>
      <c r="E239" s="90" t="s">
        <v>33</v>
      </c>
      <c r="F239" s="80" t="s">
        <v>34</v>
      </c>
      <c r="G239" s="80" t="s">
        <v>85</v>
      </c>
      <c r="H239" s="80" t="s">
        <v>998</v>
      </c>
      <c r="I239" s="80" t="s">
        <v>7</v>
      </c>
      <c r="J239" s="80"/>
      <c r="K239" s="90" t="s">
        <v>999</v>
      </c>
      <c r="L239" s="106"/>
      <c r="M239" s="80" t="s">
        <v>1673</v>
      </c>
      <c r="N239" s="83" t="s">
        <v>460</v>
      </c>
      <c r="O239" s="91">
        <v>4246</v>
      </c>
      <c r="P239" s="91">
        <v>2146</v>
      </c>
      <c r="Q239" s="91">
        <v>2300</v>
      </c>
      <c r="R239" s="91"/>
      <c r="S239" s="91">
        <v>3400</v>
      </c>
      <c r="T239" s="91">
        <v>2200</v>
      </c>
      <c r="U239" s="91">
        <v>7000</v>
      </c>
      <c r="V239" s="91">
        <v>1042</v>
      </c>
      <c r="W239" s="91">
        <v>4100</v>
      </c>
      <c r="X239" s="91">
        <v>1843</v>
      </c>
      <c r="Y239" s="91"/>
      <c r="Z239" s="91"/>
      <c r="AA239" s="80" t="s">
        <v>1000</v>
      </c>
      <c r="AB239" s="80">
        <v>3500</v>
      </c>
      <c r="AC239" s="80">
        <v>386</v>
      </c>
      <c r="AD239" s="83"/>
      <c r="AE239" s="83"/>
      <c r="AF239" s="83"/>
      <c r="AG239" s="83"/>
      <c r="AH239" s="115">
        <v>20.8</v>
      </c>
      <c r="AI239" s="90" t="s">
        <v>1679</v>
      </c>
      <c r="AJ239" s="90"/>
      <c r="AK239" s="90" t="s">
        <v>1275</v>
      </c>
      <c r="AL239" s="90"/>
      <c r="AM239" s="90" t="s">
        <v>1676</v>
      </c>
      <c r="AN239" s="90"/>
      <c r="AO239" s="80" t="s">
        <v>1680</v>
      </c>
      <c r="AP239" s="90"/>
      <c r="AQ239" s="90"/>
      <c r="AR239" s="90"/>
      <c r="AS239" s="90" t="s">
        <v>1681</v>
      </c>
      <c r="AT239" s="90"/>
      <c r="AU239" s="152" t="s">
        <v>1682</v>
      </c>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80"/>
      <c r="BT239" s="80"/>
    </row>
    <row r="240" spans="1:72" s="93" customFormat="1" ht="25.15" customHeight="1" outlineLevel="1" x14ac:dyDescent="0.25">
      <c r="A240" s="80" t="s">
        <v>202</v>
      </c>
      <c r="B240" s="80"/>
      <c r="C240" s="80"/>
      <c r="D240" s="80" t="s">
        <v>1756</v>
      </c>
      <c r="E240" s="90" t="s">
        <v>33</v>
      </c>
      <c r="F240" s="80" t="s">
        <v>34</v>
      </c>
      <c r="G240" s="80" t="s">
        <v>85</v>
      </c>
      <c r="H240" s="80" t="s">
        <v>998</v>
      </c>
      <c r="I240" s="80" t="s">
        <v>7</v>
      </c>
      <c r="J240" s="80"/>
      <c r="K240" s="90" t="s">
        <v>999</v>
      </c>
      <c r="L240" s="106"/>
      <c r="M240" s="80" t="s">
        <v>1673</v>
      </c>
      <c r="N240" s="83" t="s">
        <v>35</v>
      </c>
      <c r="O240" s="91">
        <v>4217</v>
      </c>
      <c r="P240" s="91">
        <v>2130</v>
      </c>
      <c r="Q240" s="91">
        <v>2335</v>
      </c>
      <c r="R240" s="91"/>
      <c r="S240" s="91">
        <v>3400</v>
      </c>
      <c r="T240" s="91">
        <v>2250</v>
      </c>
      <c r="U240" s="91">
        <v>7000</v>
      </c>
      <c r="V240" s="91">
        <v>1042</v>
      </c>
      <c r="W240" s="91">
        <v>4100</v>
      </c>
      <c r="X240" s="91">
        <v>1843</v>
      </c>
      <c r="Y240" s="91"/>
      <c r="Z240" s="91"/>
      <c r="AA240" s="80" t="s">
        <v>1683</v>
      </c>
      <c r="AB240" s="80">
        <v>3500</v>
      </c>
      <c r="AC240" s="80">
        <v>345</v>
      </c>
      <c r="AD240" s="83"/>
      <c r="AE240" s="83"/>
      <c r="AF240" s="83"/>
      <c r="AG240" s="83"/>
      <c r="AH240" s="115">
        <v>20.9</v>
      </c>
      <c r="AI240" s="90" t="s">
        <v>1675</v>
      </c>
      <c r="AJ240" s="90"/>
      <c r="AK240" s="90" t="s">
        <v>1275</v>
      </c>
      <c r="AL240" s="90"/>
      <c r="AM240" s="90" t="s">
        <v>1676</v>
      </c>
      <c r="AN240" s="90"/>
      <c r="AO240" s="80" t="s">
        <v>1684</v>
      </c>
      <c r="AP240" s="90"/>
      <c r="AQ240" s="90"/>
      <c r="AR240" s="90"/>
      <c r="AS240" s="90" t="s">
        <v>1681</v>
      </c>
      <c r="AT240" s="90"/>
      <c r="AU240" s="152" t="s">
        <v>1685</v>
      </c>
      <c r="AV240" s="91"/>
      <c r="AW240" s="91"/>
      <c r="AX240" s="91"/>
      <c r="AY240" s="91"/>
      <c r="AZ240" s="91"/>
      <c r="BA240" s="91"/>
      <c r="BB240" s="91"/>
      <c r="BC240" s="91"/>
      <c r="BD240" s="91"/>
      <c r="BE240" s="91"/>
      <c r="BF240" s="91"/>
      <c r="BG240" s="91"/>
      <c r="BH240" s="91"/>
      <c r="BI240" s="91"/>
      <c r="BJ240" s="91"/>
      <c r="BK240" s="91"/>
      <c r="BM240" s="91"/>
      <c r="BN240" s="91"/>
      <c r="BO240" s="91"/>
      <c r="BP240" s="91"/>
      <c r="BQ240" s="91"/>
      <c r="BR240" s="91"/>
      <c r="BS240" s="80"/>
      <c r="BT240" s="80"/>
    </row>
    <row r="241" spans="1:4777" s="93" customFormat="1" ht="25.15" customHeight="1" outlineLevel="1" x14ac:dyDescent="0.25">
      <c r="A241" s="80" t="s">
        <v>202</v>
      </c>
      <c r="B241" s="90"/>
      <c r="C241" s="80"/>
      <c r="D241" s="80" t="s">
        <v>1756</v>
      </c>
      <c r="E241" s="90" t="s">
        <v>33</v>
      </c>
      <c r="F241" s="80" t="s">
        <v>1341</v>
      </c>
      <c r="G241" s="90" t="s">
        <v>85</v>
      </c>
      <c r="H241" s="80" t="s">
        <v>998</v>
      </c>
      <c r="I241" s="90" t="s">
        <v>7</v>
      </c>
      <c r="J241" s="80"/>
      <c r="K241" s="90" t="s">
        <v>999</v>
      </c>
      <c r="L241" s="90"/>
      <c r="M241" s="80" t="s">
        <v>1686</v>
      </c>
      <c r="N241" s="83" t="s">
        <v>460</v>
      </c>
      <c r="O241" s="91">
        <v>4246</v>
      </c>
      <c r="P241" s="91">
        <v>2146</v>
      </c>
      <c r="Q241" s="91">
        <v>2300</v>
      </c>
      <c r="R241" s="91"/>
      <c r="S241" s="91">
        <v>3400</v>
      </c>
      <c r="T241" s="91">
        <v>2200</v>
      </c>
      <c r="U241" s="91">
        <v>7000</v>
      </c>
      <c r="V241" s="91">
        <v>1020</v>
      </c>
      <c r="W241" s="91">
        <v>4100</v>
      </c>
      <c r="X241" s="91">
        <v>1843</v>
      </c>
      <c r="Y241" s="91"/>
      <c r="Z241" s="91"/>
      <c r="AA241" s="80" t="s">
        <v>1687</v>
      </c>
      <c r="AB241" s="80">
        <v>3500</v>
      </c>
      <c r="AC241" s="80">
        <v>696</v>
      </c>
      <c r="AD241" s="92"/>
      <c r="AE241" s="92"/>
      <c r="AF241" s="92"/>
      <c r="AG241" s="92"/>
      <c r="AH241" s="115">
        <v>20.8</v>
      </c>
      <c r="AI241" s="80" t="s">
        <v>1688</v>
      </c>
      <c r="AJ241" s="80"/>
      <c r="AK241" s="80" t="s">
        <v>1354</v>
      </c>
      <c r="AL241" s="80"/>
      <c r="AM241" s="80" t="s">
        <v>1689</v>
      </c>
      <c r="AN241" s="80"/>
      <c r="AO241" s="80" t="s">
        <v>1680</v>
      </c>
      <c r="AP241" s="90"/>
      <c r="AQ241" s="90"/>
      <c r="AR241" s="90"/>
      <c r="AS241" s="90" t="s">
        <v>1681</v>
      </c>
      <c r="AT241" s="90"/>
      <c r="AU241" s="102" t="s">
        <v>1690</v>
      </c>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80"/>
      <c r="BT241" s="80"/>
    </row>
    <row r="242" spans="1:4777" s="93" customFormat="1" ht="25.15" customHeight="1" outlineLevel="1" x14ac:dyDescent="0.25">
      <c r="A242" s="80" t="s">
        <v>202</v>
      </c>
      <c r="B242" s="90"/>
      <c r="C242" s="80"/>
      <c r="D242" s="80" t="s">
        <v>1756</v>
      </c>
      <c r="E242" s="90" t="s">
        <v>33</v>
      </c>
      <c r="F242" s="80" t="s">
        <v>1341</v>
      </c>
      <c r="G242" s="90" t="s">
        <v>85</v>
      </c>
      <c r="H242" s="80" t="s">
        <v>998</v>
      </c>
      <c r="I242" s="90" t="s">
        <v>7</v>
      </c>
      <c r="J242" s="80"/>
      <c r="K242" s="90" t="s">
        <v>999</v>
      </c>
      <c r="L242" s="90"/>
      <c r="M242" s="80" t="s">
        <v>1686</v>
      </c>
      <c r="N242" s="83" t="s">
        <v>35</v>
      </c>
      <c r="O242" s="91">
        <v>4200</v>
      </c>
      <c r="P242" s="91">
        <v>2100</v>
      </c>
      <c r="Q242" s="91">
        <v>2335</v>
      </c>
      <c r="R242" s="91"/>
      <c r="S242" s="91">
        <v>3450</v>
      </c>
      <c r="T242" s="91">
        <v>2200</v>
      </c>
      <c r="U242" s="91">
        <v>7000</v>
      </c>
      <c r="V242" s="91">
        <v>1020</v>
      </c>
      <c r="W242" s="91">
        <v>4100</v>
      </c>
      <c r="X242" s="91">
        <v>1843</v>
      </c>
      <c r="Y242" s="91"/>
      <c r="Z242" s="91"/>
      <c r="AA242" s="80" t="s">
        <v>1691</v>
      </c>
      <c r="AB242" s="80">
        <v>3500</v>
      </c>
      <c r="AC242" s="80">
        <v>660</v>
      </c>
      <c r="AD242" s="92"/>
      <c r="AE242" s="92"/>
      <c r="AF242" s="92"/>
      <c r="AG242" s="83"/>
      <c r="AH242" s="115">
        <v>20.5</v>
      </c>
      <c r="AI242" s="80" t="s">
        <v>1692</v>
      </c>
      <c r="AJ242" s="80"/>
      <c r="AK242" s="80" t="s">
        <v>1354</v>
      </c>
      <c r="AL242" s="80"/>
      <c r="AM242" s="80" t="s">
        <v>1689</v>
      </c>
      <c r="AN242" s="80"/>
      <c r="AO242" s="80" t="s">
        <v>1684</v>
      </c>
      <c r="AP242" s="90"/>
      <c r="AQ242" s="90"/>
      <c r="AR242" s="90"/>
      <c r="AS242" s="90" t="s">
        <v>1681</v>
      </c>
      <c r="AT242" s="90"/>
      <c r="AU242" s="102" t="s">
        <v>1693</v>
      </c>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80"/>
      <c r="BT242" s="80"/>
    </row>
    <row r="243" spans="1:4777" s="93" customFormat="1" ht="25.15" customHeight="1" outlineLevel="1" x14ac:dyDescent="0.25">
      <c r="A243" s="80" t="s">
        <v>202</v>
      </c>
      <c r="B243" s="90"/>
      <c r="C243" s="80"/>
      <c r="D243" s="80" t="s">
        <v>1756</v>
      </c>
      <c r="E243" s="90" t="s">
        <v>33</v>
      </c>
      <c r="F243" s="80" t="s">
        <v>1341</v>
      </c>
      <c r="G243" s="107" t="s">
        <v>85</v>
      </c>
      <c r="H243" s="80" t="s">
        <v>998</v>
      </c>
      <c r="I243" s="107"/>
      <c r="J243" s="80"/>
      <c r="K243" s="90" t="s">
        <v>999</v>
      </c>
      <c r="L243" s="106"/>
      <c r="M243" s="80" t="s">
        <v>1694</v>
      </c>
      <c r="N243" s="92" t="s">
        <v>31</v>
      </c>
      <c r="O243" s="91">
        <v>4246</v>
      </c>
      <c r="P243" s="91">
        <v>2146</v>
      </c>
      <c r="Q243" s="91">
        <v>2300</v>
      </c>
      <c r="R243" s="91"/>
      <c r="S243" s="91">
        <v>3350</v>
      </c>
      <c r="T243" s="91">
        <v>2200</v>
      </c>
      <c r="U243" s="91">
        <v>6850</v>
      </c>
      <c r="V243" s="91">
        <v>963</v>
      </c>
      <c r="W243" s="91">
        <v>4100</v>
      </c>
      <c r="X243" s="91">
        <v>1693</v>
      </c>
      <c r="Y243" s="91"/>
      <c r="Z243" s="91"/>
      <c r="AA243" s="80" t="s">
        <v>1695</v>
      </c>
      <c r="AB243" s="80">
        <v>3500</v>
      </c>
      <c r="AC243" s="80">
        <v>825</v>
      </c>
      <c r="AD243" s="108"/>
      <c r="AE243" s="108"/>
      <c r="AF243" s="108"/>
      <c r="AG243" s="109"/>
      <c r="AH243" s="115">
        <v>20.9</v>
      </c>
      <c r="AI243" s="80" t="s">
        <v>1692</v>
      </c>
      <c r="AJ243" s="80"/>
      <c r="AK243" s="80" t="s">
        <v>1354</v>
      </c>
      <c r="AL243" s="80"/>
      <c r="AM243" s="80" t="s">
        <v>1696</v>
      </c>
      <c r="AN243" s="80"/>
      <c r="AO243" s="80" t="s">
        <v>1677</v>
      </c>
      <c r="AP243" s="90"/>
      <c r="AQ243" s="90"/>
      <c r="AR243" s="90"/>
      <c r="AS243" s="90"/>
      <c r="AT243" s="90"/>
      <c r="AU243" s="102" t="s">
        <v>1678</v>
      </c>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80"/>
      <c r="BT243" s="80"/>
    </row>
    <row r="244" spans="1:4777" s="93" customFormat="1" ht="25.15" customHeight="1" outlineLevel="1" x14ac:dyDescent="0.25">
      <c r="A244" s="80" t="s">
        <v>202</v>
      </c>
      <c r="B244" s="90"/>
      <c r="C244" s="80"/>
      <c r="D244" s="80" t="s">
        <v>1756</v>
      </c>
      <c r="E244" s="90" t="s">
        <v>33</v>
      </c>
      <c r="F244" s="80" t="s">
        <v>1341</v>
      </c>
      <c r="G244" s="107" t="s">
        <v>85</v>
      </c>
      <c r="H244" s="80" t="s">
        <v>998</v>
      </c>
      <c r="I244" s="107"/>
      <c r="J244" s="80"/>
      <c r="K244" s="90" t="s">
        <v>999</v>
      </c>
      <c r="L244" s="106"/>
      <c r="M244" s="80" t="s">
        <v>1694</v>
      </c>
      <c r="N244" s="92" t="s">
        <v>456</v>
      </c>
      <c r="O244" s="91">
        <v>4211</v>
      </c>
      <c r="P244" s="91">
        <v>2080</v>
      </c>
      <c r="Q244" s="91">
        <v>2335</v>
      </c>
      <c r="R244" s="91"/>
      <c r="S244" s="91">
        <v>3360</v>
      </c>
      <c r="T244" s="91">
        <v>2200</v>
      </c>
      <c r="U244" s="91">
        <v>6810</v>
      </c>
      <c r="V244" s="91">
        <v>963</v>
      </c>
      <c r="W244" s="91">
        <v>4100</v>
      </c>
      <c r="X244" s="91">
        <v>1653</v>
      </c>
      <c r="Y244" s="91"/>
      <c r="Z244" s="91"/>
      <c r="AA244" s="80" t="s">
        <v>1697</v>
      </c>
      <c r="AB244" s="80">
        <v>3500</v>
      </c>
      <c r="AC244" s="80">
        <v>763</v>
      </c>
      <c r="AD244" s="108"/>
      <c r="AE244" s="108"/>
      <c r="AF244" s="108"/>
      <c r="AG244" s="112"/>
      <c r="AH244" s="115">
        <v>20.399999999999999</v>
      </c>
      <c r="AI244" s="80" t="s">
        <v>1692</v>
      </c>
      <c r="AJ244" s="80"/>
      <c r="AK244" s="80" t="s">
        <v>1354</v>
      </c>
      <c r="AL244" s="80"/>
      <c r="AM244" s="80" t="s">
        <v>1696</v>
      </c>
      <c r="AN244" s="80"/>
      <c r="AO244" s="80" t="s">
        <v>1698</v>
      </c>
      <c r="AP244" s="90"/>
      <c r="AQ244" s="90"/>
      <c r="AR244" s="90"/>
      <c r="AS244" s="90"/>
      <c r="AT244" s="90"/>
      <c r="AU244" s="155" t="s">
        <v>1699</v>
      </c>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80"/>
      <c r="BT244" s="80"/>
    </row>
    <row r="245" spans="1:4777" s="93" customFormat="1" ht="25.15" customHeight="1" outlineLevel="1" x14ac:dyDescent="0.25">
      <c r="A245" s="80" t="s">
        <v>202</v>
      </c>
      <c r="B245" s="80"/>
      <c r="C245" s="80"/>
      <c r="D245" s="80" t="s">
        <v>1756</v>
      </c>
      <c r="E245" s="90" t="s">
        <v>33</v>
      </c>
      <c r="F245" s="80" t="s">
        <v>1341</v>
      </c>
      <c r="G245" s="9" t="s">
        <v>455</v>
      </c>
      <c r="H245" s="80" t="s">
        <v>998</v>
      </c>
      <c r="I245" s="9" t="s">
        <v>7</v>
      </c>
      <c r="J245" s="80"/>
      <c r="K245" s="107" t="s">
        <v>30</v>
      </c>
      <c r="L245" s="106"/>
      <c r="M245" s="80" t="s">
        <v>1700</v>
      </c>
      <c r="N245" s="83" t="s">
        <v>35</v>
      </c>
      <c r="O245" s="91">
        <v>5006</v>
      </c>
      <c r="P245" s="91">
        <v>2172</v>
      </c>
      <c r="Q245" s="91">
        <v>2300</v>
      </c>
      <c r="R245" s="91"/>
      <c r="S245" s="91">
        <v>3390</v>
      </c>
      <c r="T245" s="91">
        <v>2300</v>
      </c>
      <c r="U245" s="91">
        <v>7790</v>
      </c>
      <c r="V245" s="91">
        <v>1020</v>
      </c>
      <c r="W245" s="91">
        <v>4750</v>
      </c>
      <c r="X245" s="91">
        <v>1992</v>
      </c>
      <c r="Y245" s="91"/>
      <c r="Z245" s="91"/>
      <c r="AA245" s="80" t="s">
        <v>1691</v>
      </c>
      <c r="AB245" s="80">
        <v>7200</v>
      </c>
      <c r="AC245" s="80">
        <v>2485</v>
      </c>
      <c r="AD245" s="92"/>
      <c r="AE245" s="92"/>
      <c r="AF245" s="92"/>
      <c r="AG245" s="92"/>
      <c r="AH245" s="115">
        <v>25</v>
      </c>
      <c r="AI245" s="80" t="s">
        <v>1701</v>
      </c>
      <c r="AJ245" s="80"/>
      <c r="AK245" s="80" t="s">
        <v>1702</v>
      </c>
      <c r="AL245" s="80"/>
      <c r="AM245" s="80" t="s">
        <v>1392</v>
      </c>
      <c r="AN245" s="80"/>
      <c r="AO245" s="90" t="s">
        <v>1703</v>
      </c>
      <c r="AP245" s="90"/>
      <c r="AQ245" s="90"/>
      <c r="AR245" s="90"/>
      <c r="AS245" s="90" t="s">
        <v>1704</v>
      </c>
      <c r="AT245" s="90"/>
      <c r="AU245" s="102" t="s">
        <v>1705</v>
      </c>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80"/>
      <c r="BT245" s="80"/>
    </row>
    <row r="246" spans="1:4777" s="93" customFormat="1" ht="25.15" customHeight="1" outlineLevel="1" x14ac:dyDescent="0.25">
      <c r="A246" s="80" t="s">
        <v>202</v>
      </c>
      <c r="B246" s="90"/>
      <c r="C246" s="80"/>
      <c r="D246" s="80" t="s">
        <v>1756</v>
      </c>
      <c r="E246" s="90" t="s">
        <v>33</v>
      </c>
      <c r="F246" s="80" t="s">
        <v>1341</v>
      </c>
      <c r="G246" s="80" t="s">
        <v>455</v>
      </c>
      <c r="H246" s="80" t="s">
        <v>998</v>
      </c>
      <c r="I246" s="80" t="s">
        <v>7</v>
      </c>
      <c r="J246" s="80"/>
      <c r="K246" s="90" t="s">
        <v>999</v>
      </c>
      <c r="L246" s="90"/>
      <c r="M246" s="80" t="s">
        <v>1700</v>
      </c>
      <c r="N246" s="83" t="s">
        <v>460</v>
      </c>
      <c r="O246" s="91">
        <v>5038</v>
      </c>
      <c r="P246" s="91">
        <v>2218</v>
      </c>
      <c r="Q246" s="91">
        <v>2300</v>
      </c>
      <c r="R246" s="91"/>
      <c r="S246" s="91">
        <v>3500</v>
      </c>
      <c r="T246" s="91">
        <v>2300</v>
      </c>
      <c r="U246" s="91">
        <v>7800</v>
      </c>
      <c r="V246" s="91">
        <v>1150</v>
      </c>
      <c r="W246" s="91">
        <v>4750</v>
      </c>
      <c r="X246" s="91">
        <v>1993</v>
      </c>
      <c r="Y246" s="91"/>
      <c r="Z246" s="91"/>
      <c r="AA246" s="80" t="s">
        <v>1687</v>
      </c>
      <c r="AB246" s="80">
        <v>7200</v>
      </c>
      <c r="AC246" s="80">
        <v>2645</v>
      </c>
      <c r="AD246" s="83"/>
      <c r="AE246" s="83"/>
      <c r="AF246" s="83"/>
      <c r="AG246" s="83"/>
      <c r="AH246" s="115">
        <v>25.9</v>
      </c>
      <c r="AI246" s="80" t="s">
        <v>1706</v>
      </c>
      <c r="AJ246" s="80"/>
      <c r="AK246" s="80" t="s">
        <v>1702</v>
      </c>
      <c r="AL246" s="80"/>
      <c r="AM246" s="80" t="s">
        <v>1392</v>
      </c>
      <c r="AN246" s="80"/>
      <c r="AO246" s="80" t="s">
        <v>1707</v>
      </c>
      <c r="AP246" s="90"/>
      <c r="AQ246" s="90"/>
      <c r="AR246" s="90"/>
      <c r="AS246" s="90" t="s">
        <v>1704</v>
      </c>
      <c r="AT246" s="90"/>
      <c r="AU246" s="102" t="s">
        <v>1708</v>
      </c>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80"/>
      <c r="BT246" s="80"/>
    </row>
    <row r="247" spans="1:4777" s="93" customFormat="1" ht="25.15" customHeight="1" outlineLevel="1" x14ac:dyDescent="0.25">
      <c r="A247" s="80" t="s">
        <v>202</v>
      </c>
      <c r="B247" s="107"/>
      <c r="C247" s="153"/>
      <c r="D247" s="153" t="s">
        <v>1757</v>
      </c>
      <c r="E247" s="107" t="s">
        <v>33</v>
      </c>
      <c r="F247" s="80" t="s">
        <v>1341</v>
      </c>
      <c r="G247" s="9" t="s">
        <v>455</v>
      </c>
      <c r="H247" s="80" t="s">
        <v>998</v>
      </c>
      <c r="I247" s="9" t="s">
        <v>7</v>
      </c>
      <c r="J247" s="80"/>
      <c r="K247" s="90" t="s">
        <v>999</v>
      </c>
      <c r="L247" s="106"/>
      <c r="M247" s="9" t="s">
        <v>1700</v>
      </c>
      <c r="N247" s="154" t="s">
        <v>1709</v>
      </c>
      <c r="O247" s="91">
        <v>5038</v>
      </c>
      <c r="P247" s="91">
        <v>2218</v>
      </c>
      <c r="Q247" s="91">
        <v>2300</v>
      </c>
      <c r="R247" s="91"/>
      <c r="S247" s="91">
        <v>3500</v>
      </c>
      <c r="T247" s="91">
        <v>2300</v>
      </c>
      <c r="U247" s="91">
        <v>7800</v>
      </c>
      <c r="V247" s="91">
        <v>1150</v>
      </c>
      <c r="W247" s="91">
        <v>4750</v>
      </c>
      <c r="X247" s="91">
        <v>1993</v>
      </c>
      <c r="Y247" s="114"/>
      <c r="Z247" s="114"/>
      <c r="AA247" s="80" t="s">
        <v>1691</v>
      </c>
      <c r="AB247" s="80">
        <v>7200</v>
      </c>
      <c r="AC247" s="80">
        <v>2485</v>
      </c>
      <c r="AD247" s="113"/>
      <c r="AE247" s="113"/>
      <c r="AF247" s="113"/>
      <c r="AG247" s="113"/>
      <c r="AH247" s="115">
        <v>25.9</v>
      </c>
      <c r="AI247" s="80" t="s">
        <v>1701</v>
      </c>
      <c r="AJ247" s="80"/>
      <c r="AK247" s="80" t="s">
        <v>1702</v>
      </c>
      <c r="AL247" s="80"/>
      <c r="AM247" s="80" t="s">
        <v>1392</v>
      </c>
      <c r="AN247" s="80"/>
      <c r="AO247" s="107" t="s">
        <v>1703</v>
      </c>
      <c r="AP247" s="90"/>
      <c r="AQ247" s="90"/>
      <c r="AR247" s="90"/>
      <c r="AS247" s="90" t="s">
        <v>1704</v>
      </c>
      <c r="AT247" s="90"/>
      <c r="AU247" s="152" t="s">
        <v>1705</v>
      </c>
      <c r="AV247" s="114"/>
      <c r="AW247" s="114"/>
      <c r="AX247" s="114"/>
      <c r="AY247" s="114"/>
      <c r="AZ247" s="114"/>
      <c r="BA247" s="114"/>
      <c r="BB247" s="114"/>
      <c r="BC247" s="114"/>
      <c r="BD247" s="114"/>
      <c r="BE247" s="114"/>
      <c r="BF247" s="114"/>
      <c r="BG247" s="114"/>
      <c r="BH247" s="114"/>
      <c r="BI247" s="114"/>
      <c r="BJ247" s="114"/>
      <c r="BK247" s="114"/>
      <c r="BL247" s="114"/>
      <c r="BM247" s="114"/>
      <c r="BN247" s="114"/>
      <c r="BO247" s="114"/>
      <c r="BP247" s="114"/>
      <c r="BQ247" s="114"/>
      <c r="BR247" s="114"/>
      <c r="BS247" s="80"/>
      <c r="BT247" s="80"/>
      <c r="BU247" s="110"/>
      <c r="BV247" s="110"/>
      <c r="BW247" s="110"/>
      <c r="BX247" s="110"/>
      <c r="BY247" s="110"/>
      <c r="BZ247" s="110"/>
      <c r="CA247" s="110"/>
      <c r="CB247" s="110"/>
      <c r="CC247" s="110"/>
      <c r="CD247" s="110"/>
      <c r="CE247" s="110"/>
      <c r="CF247" s="110"/>
      <c r="CG247" s="110"/>
      <c r="CH247" s="110"/>
      <c r="CI247" s="110"/>
      <c r="CJ247" s="110"/>
      <c r="CK247" s="110"/>
      <c r="CL247" s="110"/>
      <c r="CM247" s="110"/>
      <c r="CN247" s="110"/>
      <c r="CO247" s="110"/>
      <c r="CP247" s="110"/>
      <c r="CQ247" s="110"/>
      <c r="CR247" s="110"/>
      <c r="CS247" s="110"/>
      <c r="CT247" s="110"/>
      <c r="CU247" s="110"/>
      <c r="CV247" s="110"/>
      <c r="CW247" s="110"/>
      <c r="CX247" s="110"/>
      <c r="CY247" s="110"/>
      <c r="CZ247" s="110"/>
      <c r="DA247" s="110"/>
      <c r="DB247" s="110"/>
      <c r="DC247" s="110"/>
      <c r="DD247" s="110"/>
      <c r="DE247" s="110"/>
      <c r="DF247" s="110"/>
      <c r="DG247" s="110"/>
      <c r="DH247" s="110"/>
      <c r="DI247" s="110"/>
      <c r="DJ247" s="110"/>
      <c r="DK247" s="110"/>
      <c r="DL247" s="110"/>
      <c r="DM247" s="110"/>
      <c r="DN247" s="110"/>
      <c r="DO247" s="110"/>
      <c r="DP247" s="110"/>
      <c r="DQ247" s="110"/>
      <c r="DR247" s="110"/>
      <c r="DS247" s="110"/>
      <c r="DT247" s="110"/>
      <c r="DU247" s="110"/>
      <c r="DV247" s="110"/>
      <c r="DW247" s="110"/>
      <c r="DX247" s="110"/>
      <c r="DY247" s="110"/>
      <c r="DZ247" s="110"/>
      <c r="EA247" s="110"/>
      <c r="EB247" s="110"/>
      <c r="EC247" s="110"/>
      <c r="ED247" s="110"/>
      <c r="EE247" s="110"/>
      <c r="EF247" s="110"/>
      <c r="EG247" s="110"/>
      <c r="EH247" s="110"/>
      <c r="EI247" s="110"/>
      <c r="EJ247" s="110"/>
      <c r="EK247" s="110"/>
      <c r="EL247" s="110"/>
      <c r="EM247" s="110"/>
      <c r="EN247" s="110"/>
      <c r="EO247" s="110"/>
      <c r="EP247" s="110"/>
      <c r="EQ247" s="110"/>
      <c r="ER247" s="110"/>
      <c r="ES247" s="110"/>
      <c r="ET247" s="110"/>
      <c r="EU247" s="110"/>
      <c r="EV247" s="110"/>
      <c r="EW247" s="110"/>
      <c r="EX247" s="110"/>
      <c r="EY247" s="110"/>
      <c r="EZ247" s="110"/>
      <c r="FA247" s="110"/>
      <c r="FB247" s="110"/>
      <c r="FC247" s="110"/>
      <c r="FD247" s="110"/>
      <c r="FE247" s="110"/>
      <c r="FF247" s="110"/>
      <c r="FG247" s="110"/>
      <c r="FH247" s="110"/>
      <c r="FI247" s="110"/>
      <c r="FJ247" s="110"/>
      <c r="FK247" s="110"/>
      <c r="FL247" s="110"/>
      <c r="FM247" s="110"/>
      <c r="FN247" s="110"/>
      <c r="FO247" s="110"/>
      <c r="FP247" s="110"/>
      <c r="FQ247" s="110"/>
      <c r="FR247" s="110"/>
      <c r="FS247" s="110"/>
      <c r="FT247" s="110"/>
      <c r="FU247" s="110"/>
      <c r="FV247" s="110"/>
      <c r="FW247" s="110"/>
      <c r="FX247" s="110"/>
      <c r="FY247" s="110"/>
      <c r="FZ247" s="110"/>
      <c r="GA247" s="110"/>
      <c r="GB247" s="110"/>
      <c r="GC247" s="110"/>
      <c r="GD247" s="110"/>
      <c r="GE247" s="110"/>
      <c r="GF247" s="110"/>
      <c r="GG247" s="110"/>
      <c r="GH247" s="110"/>
      <c r="GI247" s="110"/>
      <c r="GJ247" s="110"/>
      <c r="GK247" s="110"/>
      <c r="GL247" s="110"/>
      <c r="GM247" s="110"/>
      <c r="GN247" s="110"/>
      <c r="GO247" s="110"/>
      <c r="GP247" s="110"/>
      <c r="GQ247" s="110"/>
      <c r="GR247" s="110"/>
      <c r="GS247" s="110"/>
      <c r="GT247" s="110"/>
      <c r="GU247" s="110"/>
      <c r="GV247" s="110"/>
      <c r="GW247" s="110"/>
      <c r="GX247" s="110"/>
      <c r="GY247" s="110"/>
      <c r="GZ247" s="110"/>
      <c r="HA247" s="110"/>
      <c r="HB247" s="110"/>
      <c r="HC247" s="110"/>
      <c r="HD247" s="110"/>
      <c r="HE247" s="110"/>
      <c r="HF247" s="110"/>
      <c r="HG247" s="110"/>
      <c r="HH247" s="110"/>
      <c r="HI247" s="110"/>
      <c r="HJ247" s="110"/>
      <c r="HK247" s="110"/>
      <c r="HL247" s="110"/>
      <c r="HM247" s="110"/>
      <c r="HN247" s="110"/>
      <c r="HO247" s="110"/>
      <c r="HP247" s="110"/>
      <c r="HQ247" s="110"/>
      <c r="HR247" s="110"/>
      <c r="HS247" s="110"/>
      <c r="HT247" s="110"/>
      <c r="HU247" s="110"/>
      <c r="HV247" s="110"/>
      <c r="HW247" s="110"/>
      <c r="HX247" s="110"/>
      <c r="HY247" s="110"/>
      <c r="HZ247" s="110"/>
      <c r="IA247" s="110"/>
      <c r="IB247" s="110"/>
      <c r="IC247" s="110"/>
      <c r="ID247" s="110"/>
      <c r="IE247" s="110"/>
      <c r="IF247" s="110"/>
      <c r="IG247" s="110"/>
      <c r="IH247" s="110"/>
      <c r="II247" s="110"/>
      <c r="IJ247" s="110"/>
      <c r="IK247" s="110"/>
      <c r="IL247" s="110"/>
      <c r="IM247" s="110"/>
      <c r="IN247" s="110"/>
      <c r="IO247" s="110"/>
      <c r="IP247" s="110"/>
      <c r="IQ247" s="110"/>
      <c r="IR247" s="110"/>
      <c r="IS247" s="110"/>
      <c r="IT247" s="110"/>
      <c r="IU247" s="110"/>
      <c r="IV247" s="110"/>
      <c r="IW247" s="110"/>
      <c r="IX247" s="110"/>
      <c r="IY247" s="110"/>
      <c r="IZ247" s="110"/>
      <c r="JA247" s="110"/>
      <c r="JB247" s="110"/>
      <c r="JC247" s="110"/>
      <c r="JD247" s="110"/>
      <c r="JE247" s="110"/>
      <c r="JF247" s="110"/>
      <c r="JG247" s="110"/>
      <c r="JH247" s="110"/>
      <c r="JI247" s="110"/>
      <c r="JJ247" s="110"/>
      <c r="JK247" s="110"/>
      <c r="JL247" s="110"/>
      <c r="JM247" s="110"/>
      <c r="JN247" s="110"/>
      <c r="JO247" s="110"/>
      <c r="JP247" s="110"/>
      <c r="JQ247" s="110"/>
      <c r="JR247" s="110"/>
      <c r="JS247" s="110"/>
      <c r="JT247" s="110"/>
      <c r="JU247" s="110"/>
      <c r="JV247" s="110"/>
      <c r="JW247" s="110"/>
      <c r="JX247" s="110"/>
      <c r="JY247" s="110"/>
      <c r="JZ247" s="110"/>
      <c r="KA247" s="110"/>
      <c r="KB247" s="110"/>
      <c r="KC247" s="110"/>
      <c r="KD247" s="110"/>
      <c r="KE247" s="110"/>
      <c r="KF247" s="110"/>
      <c r="KG247" s="110"/>
      <c r="KH247" s="110"/>
      <c r="KI247" s="110"/>
      <c r="KJ247" s="110"/>
      <c r="KK247" s="110"/>
      <c r="KL247" s="110"/>
      <c r="KM247" s="110"/>
      <c r="KN247" s="110"/>
      <c r="KO247" s="110"/>
      <c r="KP247" s="110"/>
      <c r="KQ247" s="110"/>
      <c r="KR247" s="110"/>
      <c r="KS247" s="110"/>
      <c r="KT247" s="110"/>
      <c r="KU247" s="110"/>
      <c r="KV247" s="110"/>
      <c r="KW247" s="110"/>
      <c r="KX247" s="110"/>
      <c r="KY247" s="110"/>
      <c r="KZ247" s="110"/>
      <c r="LA247" s="110"/>
      <c r="LB247" s="110"/>
      <c r="LC247" s="110"/>
      <c r="LD247" s="110"/>
      <c r="LE247" s="110"/>
      <c r="LF247" s="110"/>
      <c r="LG247" s="110"/>
      <c r="LH247" s="110"/>
      <c r="LI247" s="110"/>
      <c r="LJ247" s="110"/>
      <c r="LK247" s="110"/>
      <c r="LL247" s="110"/>
      <c r="LM247" s="110"/>
      <c r="LN247" s="110"/>
      <c r="LO247" s="110"/>
      <c r="LP247" s="110"/>
      <c r="LQ247" s="110"/>
      <c r="LR247" s="110"/>
      <c r="LS247" s="110"/>
      <c r="LT247" s="110"/>
      <c r="LU247" s="110"/>
      <c r="LV247" s="110"/>
      <c r="LW247" s="110"/>
      <c r="LX247" s="110"/>
      <c r="LY247" s="110"/>
      <c r="LZ247" s="110"/>
      <c r="MA247" s="110"/>
      <c r="MB247" s="110"/>
      <c r="MC247" s="110"/>
      <c r="MD247" s="110"/>
      <c r="ME247" s="110"/>
      <c r="MF247" s="110"/>
      <c r="MG247" s="110"/>
      <c r="MH247" s="110"/>
      <c r="MI247" s="110"/>
      <c r="MJ247" s="110"/>
      <c r="MK247" s="110"/>
      <c r="ML247" s="110"/>
      <c r="MM247" s="110"/>
      <c r="MN247" s="110"/>
      <c r="MO247" s="110"/>
      <c r="MP247" s="110"/>
      <c r="MQ247" s="110"/>
      <c r="MR247" s="110"/>
      <c r="MS247" s="110"/>
      <c r="MT247" s="110"/>
      <c r="MU247" s="110"/>
      <c r="MV247" s="110"/>
      <c r="MW247" s="110"/>
      <c r="MX247" s="110"/>
      <c r="MY247" s="110"/>
      <c r="MZ247" s="110"/>
      <c r="NA247" s="110"/>
      <c r="NB247" s="110"/>
      <c r="NC247" s="110"/>
      <c r="ND247" s="110"/>
      <c r="NE247" s="110"/>
      <c r="NF247" s="110"/>
      <c r="NG247" s="110"/>
      <c r="NH247" s="110"/>
      <c r="NI247" s="110"/>
      <c r="NJ247" s="110"/>
      <c r="NK247" s="110"/>
      <c r="NL247" s="110"/>
      <c r="NM247" s="110"/>
      <c r="NN247" s="110"/>
      <c r="NO247" s="110"/>
      <c r="NP247" s="110"/>
      <c r="NQ247" s="110"/>
      <c r="NR247" s="110"/>
      <c r="NS247" s="110"/>
      <c r="NT247" s="110"/>
      <c r="NU247" s="110"/>
      <c r="NV247" s="110"/>
      <c r="NW247" s="110"/>
      <c r="NX247" s="110"/>
      <c r="NY247" s="110"/>
      <c r="NZ247" s="110"/>
      <c r="OA247" s="110"/>
      <c r="OB247" s="110"/>
      <c r="OC247" s="110"/>
      <c r="OD247" s="110"/>
      <c r="OE247" s="110"/>
      <c r="OF247" s="110"/>
      <c r="OG247" s="110"/>
      <c r="OH247" s="110"/>
      <c r="OI247" s="110"/>
      <c r="OJ247" s="110"/>
      <c r="OK247" s="110"/>
      <c r="OL247" s="110"/>
      <c r="OM247" s="110"/>
      <c r="ON247" s="110"/>
      <c r="OO247" s="110"/>
      <c r="OP247" s="110"/>
      <c r="OQ247" s="110"/>
      <c r="OR247" s="110"/>
      <c r="OS247" s="110"/>
      <c r="OT247" s="110"/>
      <c r="OU247" s="110"/>
      <c r="OV247" s="110"/>
      <c r="OW247" s="110"/>
      <c r="OX247" s="110"/>
      <c r="OY247" s="110"/>
      <c r="OZ247" s="110"/>
      <c r="PA247" s="110"/>
      <c r="PB247" s="110"/>
      <c r="PC247" s="110"/>
      <c r="PD247" s="110"/>
      <c r="PE247" s="110"/>
      <c r="PF247" s="110"/>
      <c r="PG247" s="110"/>
      <c r="PH247" s="110"/>
      <c r="PI247" s="110"/>
      <c r="PJ247" s="110"/>
      <c r="PK247" s="110"/>
      <c r="PL247" s="110"/>
      <c r="PM247" s="110"/>
      <c r="PN247" s="110"/>
      <c r="PO247" s="110"/>
      <c r="PP247" s="110"/>
      <c r="PQ247" s="110"/>
      <c r="PR247" s="110"/>
      <c r="PS247" s="110"/>
      <c r="PT247" s="110"/>
      <c r="PU247" s="110"/>
      <c r="PV247" s="110"/>
      <c r="PW247" s="110"/>
      <c r="PX247" s="110"/>
      <c r="PY247" s="110"/>
      <c r="PZ247" s="110"/>
      <c r="QA247" s="110"/>
      <c r="QB247" s="110"/>
      <c r="QC247" s="110"/>
      <c r="QD247" s="110"/>
      <c r="QE247" s="110"/>
      <c r="QF247" s="110"/>
      <c r="QG247" s="110"/>
      <c r="QH247" s="110"/>
      <c r="QI247" s="110"/>
      <c r="QJ247" s="110"/>
      <c r="QK247" s="110"/>
      <c r="QL247" s="110"/>
      <c r="QM247" s="110"/>
      <c r="QN247" s="110"/>
      <c r="QO247" s="110"/>
      <c r="QP247" s="110"/>
      <c r="QQ247" s="110"/>
      <c r="QR247" s="110"/>
      <c r="QS247" s="110"/>
      <c r="QT247" s="110"/>
      <c r="QU247" s="110"/>
      <c r="QV247" s="110"/>
      <c r="QW247" s="110"/>
      <c r="QX247" s="110"/>
      <c r="QY247" s="110"/>
      <c r="QZ247" s="110"/>
      <c r="RA247" s="110"/>
      <c r="RB247" s="110"/>
      <c r="RC247" s="110"/>
      <c r="RD247" s="110"/>
      <c r="RE247" s="110"/>
      <c r="RF247" s="110"/>
      <c r="RG247" s="110"/>
      <c r="RH247" s="110"/>
      <c r="RI247" s="110"/>
      <c r="RJ247" s="110"/>
      <c r="RK247" s="110"/>
      <c r="RL247" s="110"/>
      <c r="RM247" s="110"/>
      <c r="RN247" s="110"/>
      <c r="RO247" s="110"/>
      <c r="RP247" s="110"/>
      <c r="RQ247" s="110"/>
      <c r="RR247" s="110"/>
      <c r="RS247" s="110"/>
      <c r="RT247" s="110"/>
      <c r="RU247" s="110"/>
      <c r="RV247" s="110"/>
      <c r="RW247" s="110"/>
      <c r="RX247" s="110"/>
      <c r="RY247" s="110"/>
      <c r="RZ247" s="110"/>
      <c r="SA247" s="110"/>
      <c r="SB247" s="110"/>
      <c r="SC247" s="110"/>
      <c r="SD247" s="110"/>
      <c r="SE247" s="110"/>
      <c r="SF247" s="110"/>
      <c r="SG247" s="110"/>
      <c r="SH247" s="110"/>
      <c r="SI247" s="110"/>
      <c r="SJ247" s="110"/>
      <c r="SK247" s="110"/>
      <c r="SL247" s="110"/>
      <c r="SM247" s="110"/>
      <c r="SN247" s="110"/>
      <c r="SO247" s="110"/>
      <c r="SP247" s="110"/>
      <c r="SQ247" s="110"/>
      <c r="SR247" s="110"/>
      <c r="SS247" s="110"/>
      <c r="ST247" s="110"/>
      <c r="SU247" s="110"/>
      <c r="SV247" s="110"/>
      <c r="SW247" s="110"/>
      <c r="SX247" s="110"/>
      <c r="SY247" s="110"/>
      <c r="SZ247" s="110"/>
      <c r="TA247" s="110"/>
      <c r="TB247" s="110"/>
      <c r="TC247" s="110"/>
      <c r="TD247" s="110"/>
      <c r="TE247" s="110"/>
      <c r="TF247" s="110"/>
      <c r="TG247" s="110"/>
      <c r="TH247" s="110"/>
      <c r="TI247" s="110"/>
      <c r="TJ247" s="110"/>
      <c r="TK247" s="110"/>
      <c r="TL247" s="110"/>
      <c r="TM247" s="110"/>
      <c r="TN247" s="110"/>
      <c r="TO247" s="110"/>
      <c r="TP247" s="110"/>
      <c r="TQ247" s="110"/>
      <c r="TR247" s="110"/>
      <c r="TS247" s="110"/>
      <c r="TT247" s="110"/>
      <c r="TU247" s="110"/>
      <c r="TV247" s="110"/>
      <c r="TW247" s="110"/>
      <c r="TX247" s="110"/>
      <c r="TY247" s="110"/>
      <c r="TZ247" s="110"/>
      <c r="UA247" s="110"/>
      <c r="UB247" s="110"/>
      <c r="UC247" s="110"/>
      <c r="UD247" s="110"/>
      <c r="UE247" s="110"/>
      <c r="UF247" s="110"/>
      <c r="UG247" s="110"/>
      <c r="UH247" s="110"/>
      <c r="UI247" s="110"/>
      <c r="UJ247" s="110"/>
      <c r="UK247" s="110"/>
      <c r="UL247" s="110"/>
      <c r="UM247" s="110"/>
      <c r="UN247" s="110"/>
      <c r="UO247" s="110"/>
      <c r="UP247" s="110"/>
      <c r="UQ247" s="110"/>
      <c r="UR247" s="110"/>
      <c r="US247" s="110"/>
      <c r="UT247" s="110"/>
      <c r="UU247" s="110"/>
      <c r="UV247" s="110"/>
      <c r="UW247" s="110"/>
      <c r="UX247" s="110"/>
      <c r="UY247" s="110"/>
      <c r="UZ247" s="110"/>
      <c r="VA247" s="110"/>
      <c r="VB247" s="110"/>
      <c r="VC247" s="110"/>
      <c r="VD247" s="110"/>
      <c r="VE247" s="110"/>
      <c r="VF247" s="110"/>
      <c r="VG247" s="110"/>
      <c r="VH247" s="110"/>
      <c r="VI247" s="110"/>
      <c r="VJ247" s="110"/>
      <c r="VK247" s="110"/>
      <c r="VL247" s="110"/>
      <c r="VM247" s="110"/>
      <c r="VN247" s="110"/>
      <c r="VO247" s="110"/>
      <c r="VP247" s="110"/>
      <c r="VQ247" s="110"/>
      <c r="VR247" s="110"/>
      <c r="VS247" s="110"/>
      <c r="VT247" s="110"/>
      <c r="VU247" s="110"/>
      <c r="VV247" s="110"/>
      <c r="VW247" s="110"/>
      <c r="VX247" s="110"/>
      <c r="VY247" s="110"/>
      <c r="VZ247" s="110"/>
      <c r="WA247" s="110"/>
      <c r="WB247" s="110"/>
      <c r="WC247" s="110"/>
      <c r="WD247" s="110"/>
      <c r="WE247" s="110"/>
      <c r="WF247" s="110"/>
      <c r="WG247" s="110"/>
      <c r="WH247" s="110"/>
      <c r="WI247" s="110"/>
      <c r="WJ247" s="110"/>
      <c r="WK247" s="110"/>
      <c r="WL247" s="110"/>
      <c r="WM247" s="110"/>
      <c r="WN247" s="110"/>
      <c r="WO247" s="110"/>
      <c r="WP247" s="110"/>
      <c r="WQ247" s="110"/>
      <c r="WR247" s="110"/>
      <c r="WS247" s="110"/>
      <c r="WT247" s="110"/>
      <c r="WU247" s="110"/>
      <c r="WV247" s="110"/>
      <c r="WW247" s="110"/>
      <c r="WX247" s="110"/>
      <c r="WY247" s="110"/>
      <c r="WZ247" s="110"/>
      <c r="XA247" s="110"/>
      <c r="XB247" s="110"/>
      <c r="XC247" s="110"/>
      <c r="XD247" s="110"/>
      <c r="XE247" s="110"/>
      <c r="XF247" s="110"/>
      <c r="XG247" s="110"/>
      <c r="XH247" s="110"/>
      <c r="XI247" s="110"/>
      <c r="XJ247" s="110"/>
      <c r="XK247" s="110"/>
      <c r="XL247" s="110"/>
      <c r="XM247" s="110"/>
      <c r="XN247" s="110"/>
      <c r="XO247" s="110"/>
      <c r="XP247" s="110"/>
      <c r="XQ247" s="110"/>
      <c r="XR247" s="110"/>
      <c r="XS247" s="110"/>
      <c r="XT247" s="110"/>
      <c r="XU247" s="110"/>
      <c r="XV247" s="110"/>
      <c r="XW247" s="110"/>
      <c r="XX247" s="110"/>
      <c r="XY247" s="110"/>
      <c r="XZ247" s="110"/>
      <c r="YA247" s="110"/>
      <c r="YB247" s="110"/>
      <c r="YC247" s="110"/>
      <c r="YD247" s="110"/>
      <c r="YE247" s="110"/>
      <c r="YF247" s="110"/>
      <c r="YG247" s="110"/>
      <c r="YH247" s="110"/>
      <c r="YI247" s="110"/>
      <c r="YJ247" s="110"/>
      <c r="YK247" s="110"/>
      <c r="YL247" s="110"/>
      <c r="YM247" s="110"/>
      <c r="YN247" s="110"/>
      <c r="YO247" s="110"/>
      <c r="YP247" s="110"/>
      <c r="YQ247" s="110"/>
      <c r="YR247" s="110"/>
      <c r="YS247" s="110"/>
      <c r="YT247" s="110"/>
      <c r="YU247" s="110"/>
      <c r="YV247" s="110"/>
      <c r="YW247" s="110"/>
      <c r="YX247" s="110"/>
      <c r="YY247" s="110"/>
      <c r="YZ247" s="110"/>
      <c r="ZA247" s="110"/>
      <c r="ZB247" s="110"/>
      <c r="ZC247" s="110"/>
      <c r="ZD247" s="110"/>
      <c r="ZE247" s="110"/>
      <c r="ZF247" s="110"/>
      <c r="ZG247" s="110"/>
      <c r="ZH247" s="110"/>
      <c r="ZI247" s="110"/>
      <c r="ZJ247" s="110"/>
      <c r="ZK247" s="110"/>
      <c r="ZL247" s="110"/>
      <c r="ZM247" s="110"/>
      <c r="ZN247" s="110"/>
      <c r="ZO247" s="110"/>
      <c r="ZP247" s="110"/>
      <c r="ZQ247" s="110"/>
      <c r="ZR247" s="110"/>
      <c r="ZS247" s="110"/>
      <c r="ZT247" s="110"/>
      <c r="ZU247" s="110"/>
      <c r="ZV247" s="110"/>
      <c r="ZW247" s="110"/>
      <c r="ZX247" s="110"/>
      <c r="ZY247" s="110"/>
      <c r="ZZ247" s="110"/>
      <c r="AAA247" s="110"/>
      <c r="AAB247" s="110"/>
      <c r="AAC247" s="110"/>
      <c r="AAD247" s="110"/>
      <c r="AAE247" s="110"/>
      <c r="AAF247" s="110"/>
      <c r="AAG247" s="110"/>
      <c r="AAH247" s="110"/>
      <c r="AAI247" s="110"/>
      <c r="AAJ247" s="110"/>
      <c r="AAK247" s="110"/>
      <c r="AAL247" s="110"/>
      <c r="AAM247" s="110"/>
      <c r="AAN247" s="110"/>
      <c r="AAO247" s="110"/>
      <c r="AAP247" s="110"/>
      <c r="AAQ247" s="110"/>
      <c r="AAR247" s="110"/>
      <c r="AAS247" s="110"/>
      <c r="AAT247" s="110"/>
      <c r="AAU247" s="110"/>
      <c r="AAV247" s="110"/>
      <c r="AAW247" s="110"/>
      <c r="AAX247" s="110"/>
      <c r="AAY247" s="110"/>
      <c r="AAZ247" s="110"/>
      <c r="ABA247" s="110"/>
      <c r="ABB247" s="110"/>
      <c r="ABC247" s="110"/>
      <c r="ABD247" s="110"/>
      <c r="ABE247" s="110"/>
      <c r="ABF247" s="110"/>
      <c r="ABG247" s="110"/>
      <c r="ABH247" s="110"/>
      <c r="ABI247" s="110"/>
      <c r="ABJ247" s="110"/>
      <c r="ABK247" s="110"/>
      <c r="ABL247" s="110"/>
      <c r="ABM247" s="110"/>
      <c r="ABN247" s="110"/>
      <c r="ABO247" s="110"/>
      <c r="ABP247" s="110"/>
      <c r="ABQ247" s="110"/>
      <c r="ABR247" s="110"/>
      <c r="ABS247" s="110"/>
      <c r="ABT247" s="110"/>
      <c r="ABU247" s="110"/>
      <c r="ABV247" s="110"/>
      <c r="ABW247" s="110"/>
      <c r="ABX247" s="110"/>
      <c r="ABY247" s="110"/>
      <c r="ABZ247" s="110"/>
      <c r="ACA247" s="110"/>
      <c r="ACB247" s="110"/>
      <c r="ACC247" s="110"/>
      <c r="ACD247" s="110"/>
      <c r="ACE247" s="110"/>
      <c r="ACF247" s="110"/>
      <c r="ACG247" s="110"/>
      <c r="ACH247" s="110"/>
      <c r="ACI247" s="110"/>
      <c r="ACJ247" s="110"/>
      <c r="ACK247" s="110"/>
      <c r="ACL247" s="110"/>
      <c r="ACM247" s="110"/>
      <c r="ACN247" s="110"/>
      <c r="ACO247" s="110"/>
      <c r="ACP247" s="110"/>
      <c r="ACQ247" s="110"/>
      <c r="ACR247" s="110"/>
      <c r="ACS247" s="110"/>
      <c r="ACT247" s="110"/>
      <c r="ACU247" s="110"/>
      <c r="ACV247" s="110"/>
      <c r="ACW247" s="110"/>
      <c r="ACX247" s="110"/>
      <c r="ACY247" s="110"/>
      <c r="ACZ247" s="110"/>
      <c r="ADA247" s="110"/>
      <c r="ADB247" s="110"/>
      <c r="ADC247" s="110"/>
      <c r="ADD247" s="110"/>
      <c r="ADE247" s="110"/>
      <c r="ADF247" s="110"/>
      <c r="ADG247" s="110"/>
      <c r="ADH247" s="110"/>
      <c r="ADI247" s="110"/>
      <c r="ADJ247" s="110"/>
      <c r="ADK247" s="110"/>
      <c r="ADL247" s="110"/>
      <c r="ADM247" s="110"/>
      <c r="ADN247" s="110"/>
      <c r="ADO247" s="110"/>
      <c r="ADP247" s="110"/>
      <c r="ADQ247" s="110"/>
      <c r="ADR247" s="110"/>
      <c r="ADS247" s="110"/>
      <c r="ADT247" s="110"/>
      <c r="ADU247" s="110"/>
      <c r="ADV247" s="110"/>
      <c r="ADW247" s="110"/>
      <c r="ADX247" s="110"/>
      <c r="ADY247" s="110"/>
      <c r="ADZ247" s="110"/>
      <c r="AEA247" s="110"/>
      <c r="AEB247" s="110"/>
      <c r="AEC247" s="110"/>
      <c r="AED247" s="110"/>
      <c r="AEE247" s="110"/>
      <c r="AEF247" s="110"/>
      <c r="AEG247" s="110"/>
      <c r="AEH247" s="110"/>
      <c r="AEI247" s="110"/>
      <c r="AEJ247" s="110"/>
      <c r="AEK247" s="110"/>
      <c r="AEL247" s="110"/>
      <c r="AEM247" s="110"/>
      <c r="AEN247" s="110"/>
      <c r="AEO247" s="110"/>
      <c r="AEP247" s="110"/>
      <c r="AEQ247" s="110"/>
      <c r="AER247" s="110"/>
      <c r="AES247" s="110"/>
      <c r="AET247" s="110"/>
      <c r="AEU247" s="110"/>
      <c r="AEV247" s="110"/>
      <c r="AEW247" s="110"/>
      <c r="AEX247" s="110"/>
      <c r="AEY247" s="110"/>
      <c r="AEZ247" s="110"/>
      <c r="AFA247" s="110"/>
      <c r="AFB247" s="110"/>
      <c r="AFC247" s="110"/>
      <c r="AFD247" s="110"/>
      <c r="AFE247" s="110"/>
      <c r="AFF247" s="110"/>
      <c r="AFG247" s="110"/>
      <c r="AFH247" s="110"/>
      <c r="AFI247" s="110"/>
      <c r="AFJ247" s="110"/>
      <c r="AFK247" s="110"/>
      <c r="AFL247" s="110"/>
      <c r="AFM247" s="110"/>
      <c r="AFN247" s="110"/>
      <c r="AFO247" s="110"/>
      <c r="AFP247" s="110"/>
      <c r="AFQ247" s="110"/>
      <c r="AFR247" s="110"/>
      <c r="AFS247" s="110"/>
      <c r="AFT247" s="110"/>
      <c r="AFU247" s="110"/>
      <c r="AFV247" s="110"/>
      <c r="AFW247" s="110"/>
      <c r="AFX247" s="110"/>
      <c r="AFY247" s="110"/>
      <c r="AFZ247" s="110"/>
      <c r="AGA247" s="110"/>
      <c r="AGB247" s="110"/>
      <c r="AGC247" s="110"/>
      <c r="AGD247" s="110"/>
      <c r="AGE247" s="110"/>
      <c r="AGF247" s="110"/>
      <c r="AGG247" s="110"/>
      <c r="AGH247" s="110"/>
      <c r="AGI247" s="110"/>
      <c r="AGJ247" s="110"/>
      <c r="AGK247" s="110"/>
      <c r="AGL247" s="110"/>
      <c r="AGM247" s="110"/>
      <c r="AGN247" s="110"/>
      <c r="AGO247" s="110"/>
      <c r="AGP247" s="110"/>
      <c r="AGQ247" s="110"/>
      <c r="AGR247" s="110"/>
      <c r="AGS247" s="110"/>
      <c r="AGT247" s="110"/>
      <c r="AGU247" s="110"/>
      <c r="AGV247" s="110"/>
      <c r="AGW247" s="110"/>
      <c r="AGX247" s="110"/>
      <c r="AGY247" s="110"/>
      <c r="AGZ247" s="110"/>
      <c r="AHA247" s="110"/>
      <c r="AHB247" s="110"/>
      <c r="AHC247" s="110"/>
      <c r="AHD247" s="110"/>
      <c r="AHE247" s="110"/>
      <c r="AHF247" s="110"/>
      <c r="AHG247" s="110"/>
      <c r="AHH247" s="110"/>
      <c r="AHI247" s="110"/>
      <c r="AHJ247" s="110"/>
      <c r="AHK247" s="110"/>
      <c r="AHL247" s="110"/>
      <c r="AHM247" s="110"/>
      <c r="AHN247" s="110"/>
      <c r="AHO247" s="110"/>
      <c r="AHP247" s="110"/>
      <c r="AHQ247" s="110"/>
      <c r="AHR247" s="110"/>
      <c r="AHS247" s="110"/>
      <c r="AHT247" s="110"/>
      <c r="AHU247" s="110"/>
      <c r="AHV247" s="110"/>
      <c r="AHW247" s="110"/>
      <c r="AHX247" s="110"/>
      <c r="AHY247" s="110"/>
      <c r="AHZ247" s="110"/>
      <c r="AIA247" s="110"/>
      <c r="AIB247" s="110"/>
      <c r="AIC247" s="110"/>
      <c r="AID247" s="110"/>
      <c r="AIE247" s="110"/>
      <c r="AIF247" s="110"/>
      <c r="AIG247" s="110"/>
      <c r="AIH247" s="110"/>
      <c r="AII247" s="110"/>
      <c r="AIJ247" s="110"/>
      <c r="AIK247" s="110"/>
      <c r="AIL247" s="110"/>
      <c r="AIM247" s="110"/>
      <c r="AIN247" s="110"/>
      <c r="AIO247" s="110"/>
      <c r="AIP247" s="110"/>
      <c r="AIQ247" s="110"/>
      <c r="AIR247" s="110"/>
      <c r="AIS247" s="110"/>
      <c r="AIT247" s="110"/>
      <c r="AIU247" s="110"/>
      <c r="AIV247" s="110"/>
      <c r="AIW247" s="110"/>
      <c r="AIX247" s="110"/>
      <c r="AIY247" s="110"/>
      <c r="AIZ247" s="110"/>
      <c r="AJA247" s="110"/>
      <c r="AJB247" s="110"/>
      <c r="AJC247" s="110"/>
      <c r="AJD247" s="110"/>
      <c r="AJE247" s="110"/>
      <c r="AJF247" s="110"/>
      <c r="AJG247" s="110"/>
      <c r="AJH247" s="110"/>
      <c r="AJI247" s="110"/>
      <c r="AJJ247" s="110"/>
      <c r="AJK247" s="110"/>
      <c r="AJL247" s="110"/>
      <c r="AJM247" s="110"/>
      <c r="AJN247" s="110"/>
      <c r="AJO247" s="110"/>
      <c r="AJP247" s="110"/>
      <c r="AJQ247" s="110"/>
      <c r="AJR247" s="110"/>
      <c r="AJS247" s="110"/>
      <c r="AJT247" s="110"/>
      <c r="AJU247" s="110"/>
      <c r="AJV247" s="110"/>
      <c r="AJW247" s="110"/>
      <c r="AJX247" s="110"/>
      <c r="AJY247" s="110"/>
      <c r="AJZ247" s="110"/>
      <c r="AKA247" s="110"/>
      <c r="AKB247" s="110"/>
      <c r="AKC247" s="110"/>
      <c r="AKD247" s="110"/>
      <c r="AKE247" s="110"/>
      <c r="AKF247" s="110"/>
      <c r="AKG247" s="110"/>
      <c r="AKH247" s="110"/>
      <c r="AKI247" s="110"/>
      <c r="AKJ247" s="110"/>
      <c r="AKK247" s="110"/>
      <c r="AKL247" s="110"/>
      <c r="AKM247" s="110"/>
      <c r="AKN247" s="110"/>
      <c r="AKO247" s="110"/>
      <c r="AKP247" s="110"/>
      <c r="AKQ247" s="110"/>
      <c r="AKR247" s="110"/>
      <c r="AKS247" s="110"/>
      <c r="AKT247" s="110"/>
      <c r="AKU247" s="110"/>
      <c r="AKV247" s="110"/>
      <c r="AKW247" s="110"/>
      <c r="AKX247" s="110"/>
      <c r="AKY247" s="110"/>
      <c r="AKZ247" s="110"/>
      <c r="ALA247" s="110"/>
      <c r="ALB247" s="110"/>
      <c r="ALC247" s="110"/>
      <c r="ALD247" s="110"/>
      <c r="ALE247" s="110"/>
      <c r="ALF247" s="110"/>
      <c r="ALG247" s="110"/>
      <c r="ALH247" s="110"/>
      <c r="ALI247" s="110"/>
      <c r="ALJ247" s="110"/>
      <c r="ALK247" s="110"/>
      <c r="ALL247" s="110"/>
      <c r="ALM247" s="110"/>
      <c r="ALN247" s="110"/>
      <c r="ALO247" s="110"/>
      <c r="ALP247" s="110"/>
      <c r="ALQ247" s="110"/>
      <c r="ALR247" s="110"/>
      <c r="ALS247" s="110"/>
      <c r="ALT247" s="110"/>
      <c r="ALU247" s="110"/>
      <c r="ALV247" s="110"/>
      <c r="ALW247" s="110"/>
      <c r="ALX247" s="110"/>
      <c r="ALY247" s="110"/>
      <c r="ALZ247" s="110"/>
      <c r="AMA247" s="110"/>
      <c r="AMB247" s="110"/>
      <c r="AMC247" s="110"/>
      <c r="AMD247" s="110"/>
      <c r="AME247" s="110"/>
      <c r="AMF247" s="110"/>
      <c r="AMG247" s="110"/>
      <c r="AMH247" s="110"/>
      <c r="AMI247" s="110"/>
      <c r="AMJ247" s="110"/>
      <c r="AMK247" s="110"/>
      <c r="AML247" s="110"/>
      <c r="AMM247" s="110"/>
      <c r="AMN247" s="110"/>
      <c r="AMO247" s="110"/>
      <c r="AMP247" s="110"/>
      <c r="AMQ247" s="110"/>
      <c r="AMR247" s="110"/>
      <c r="AMS247" s="110"/>
      <c r="AMT247" s="110"/>
      <c r="AMU247" s="110"/>
      <c r="AMV247" s="110"/>
      <c r="AMW247" s="110"/>
      <c r="AMX247" s="110"/>
      <c r="AMY247" s="110"/>
      <c r="AMZ247" s="110"/>
      <c r="ANA247" s="110"/>
      <c r="ANB247" s="110"/>
      <c r="ANC247" s="110"/>
      <c r="AND247" s="110"/>
      <c r="ANE247" s="110"/>
      <c r="ANF247" s="110"/>
      <c r="ANG247" s="110"/>
      <c r="ANH247" s="110"/>
      <c r="ANI247" s="110"/>
      <c r="ANJ247" s="110"/>
      <c r="ANK247" s="110"/>
      <c r="ANL247" s="110"/>
      <c r="ANM247" s="110"/>
      <c r="ANN247" s="110"/>
      <c r="ANO247" s="110"/>
      <c r="ANP247" s="110"/>
      <c r="ANQ247" s="110"/>
      <c r="ANR247" s="110"/>
      <c r="ANS247" s="110"/>
      <c r="ANT247" s="110"/>
      <c r="ANU247" s="110"/>
      <c r="ANV247" s="110"/>
      <c r="ANW247" s="110"/>
      <c r="ANX247" s="110"/>
      <c r="ANY247" s="110"/>
      <c r="ANZ247" s="110"/>
      <c r="AOA247" s="110"/>
      <c r="AOB247" s="110"/>
      <c r="AOC247" s="110"/>
      <c r="AOD247" s="110"/>
      <c r="AOE247" s="110"/>
      <c r="AOF247" s="110"/>
      <c r="AOG247" s="110"/>
      <c r="AOH247" s="110"/>
      <c r="AOI247" s="110"/>
      <c r="AOJ247" s="110"/>
      <c r="AOK247" s="110"/>
      <c r="AOL247" s="110"/>
      <c r="AOM247" s="110"/>
      <c r="AON247" s="110"/>
      <c r="AOO247" s="110"/>
      <c r="AOP247" s="110"/>
      <c r="AOQ247" s="110"/>
      <c r="AOR247" s="110"/>
      <c r="AOS247" s="110"/>
      <c r="AOT247" s="110"/>
      <c r="AOU247" s="110"/>
      <c r="AOV247" s="110"/>
      <c r="AOW247" s="110"/>
      <c r="AOX247" s="110"/>
      <c r="AOY247" s="110"/>
      <c r="AOZ247" s="110"/>
      <c r="APA247" s="110"/>
      <c r="APB247" s="110"/>
      <c r="APC247" s="110"/>
      <c r="APD247" s="110"/>
      <c r="APE247" s="110"/>
      <c r="APF247" s="110"/>
      <c r="APG247" s="110"/>
      <c r="APH247" s="110"/>
      <c r="API247" s="110"/>
      <c r="APJ247" s="110"/>
      <c r="APK247" s="110"/>
      <c r="APL247" s="110"/>
      <c r="APM247" s="110"/>
      <c r="APN247" s="110"/>
      <c r="APO247" s="110"/>
      <c r="APP247" s="110"/>
      <c r="APQ247" s="110"/>
      <c r="APR247" s="110"/>
      <c r="APS247" s="110"/>
      <c r="APT247" s="110"/>
      <c r="APU247" s="110"/>
      <c r="APV247" s="110"/>
      <c r="APW247" s="110"/>
      <c r="APX247" s="110"/>
      <c r="APY247" s="110"/>
      <c r="APZ247" s="110"/>
      <c r="AQA247" s="110"/>
      <c r="AQB247" s="110"/>
      <c r="AQC247" s="110"/>
      <c r="AQD247" s="110"/>
      <c r="AQE247" s="110"/>
      <c r="AQF247" s="110"/>
      <c r="AQG247" s="110"/>
      <c r="AQH247" s="110"/>
      <c r="AQI247" s="110"/>
      <c r="AQJ247" s="110"/>
      <c r="AQK247" s="110"/>
      <c r="AQL247" s="110"/>
      <c r="AQM247" s="110"/>
      <c r="AQN247" s="110"/>
      <c r="AQO247" s="110"/>
      <c r="AQP247" s="110"/>
      <c r="AQQ247" s="110"/>
      <c r="AQR247" s="110"/>
      <c r="AQS247" s="110"/>
      <c r="AQT247" s="110"/>
      <c r="AQU247" s="110"/>
      <c r="AQV247" s="110"/>
      <c r="AQW247" s="110"/>
      <c r="AQX247" s="110"/>
      <c r="AQY247" s="110"/>
      <c r="AQZ247" s="110"/>
      <c r="ARA247" s="110"/>
      <c r="ARB247" s="110"/>
      <c r="ARC247" s="110"/>
      <c r="ARD247" s="110"/>
      <c r="ARE247" s="110"/>
      <c r="ARF247" s="110"/>
      <c r="ARG247" s="110"/>
      <c r="ARH247" s="110"/>
      <c r="ARI247" s="110"/>
      <c r="ARJ247" s="110"/>
      <c r="ARK247" s="110"/>
      <c r="ARL247" s="110"/>
      <c r="ARM247" s="110"/>
      <c r="ARN247" s="110"/>
      <c r="ARO247" s="110"/>
      <c r="ARP247" s="110"/>
      <c r="ARQ247" s="110"/>
      <c r="ARR247" s="110"/>
      <c r="ARS247" s="110"/>
      <c r="ART247" s="110"/>
      <c r="ARU247" s="110"/>
      <c r="ARV247" s="110"/>
      <c r="ARW247" s="110"/>
      <c r="ARX247" s="110"/>
      <c r="ARY247" s="110"/>
      <c r="ARZ247" s="110"/>
      <c r="ASA247" s="110"/>
      <c r="ASB247" s="110"/>
      <c r="ASC247" s="110"/>
      <c r="ASD247" s="110"/>
      <c r="ASE247" s="110"/>
      <c r="ASF247" s="110"/>
      <c r="ASG247" s="110"/>
      <c r="ASH247" s="110"/>
      <c r="ASI247" s="110"/>
      <c r="ASJ247" s="110"/>
      <c r="ASK247" s="110"/>
      <c r="ASL247" s="110"/>
      <c r="ASM247" s="110"/>
      <c r="ASN247" s="110"/>
      <c r="ASO247" s="110"/>
      <c r="ASP247" s="110"/>
      <c r="ASQ247" s="110"/>
      <c r="ASR247" s="110"/>
      <c r="ASS247" s="110"/>
      <c r="AST247" s="110"/>
      <c r="ASU247" s="110"/>
      <c r="ASV247" s="110"/>
      <c r="ASW247" s="110"/>
      <c r="ASX247" s="110"/>
      <c r="ASY247" s="110"/>
      <c r="ASZ247" s="110"/>
      <c r="ATA247" s="110"/>
      <c r="ATB247" s="110"/>
      <c r="ATC247" s="110"/>
      <c r="ATD247" s="110"/>
      <c r="ATE247" s="110"/>
      <c r="ATF247" s="110"/>
      <c r="ATG247" s="110"/>
      <c r="ATH247" s="110"/>
      <c r="ATI247" s="110"/>
      <c r="ATJ247" s="110"/>
      <c r="ATK247" s="110"/>
      <c r="ATL247" s="110"/>
      <c r="ATM247" s="110"/>
      <c r="ATN247" s="110"/>
      <c r="ATO247" s="110"/>
      <c r="ATP247" s="110"/>
      <c r="ATQ247" s="110"/>
      <c r="ATR247" s="110"/>
      <c r="ATS247" s="110"/>
      <c r="ATT247" s="110"/>
      <c r="ATU247" s="110"/>
      <c r="ATV247" s="110"/>
      <c r="ATW247" s="110"/>
      <c r="ATX247" s="110"/>
      <c r="ATY247" s="110"/>
      <c r="ATZ247" s="110"/>
      <c r="AUA247" s="110"/>
      <c r="AUB247" s="110"/>
      <c r="AUC247" s="110"/>
      <c r="AUD247" s="110"/>
      <c r="AUE247" s="110"/>
      <c r="AUF247" s="110"/>
      <c r="AUG247" s="110"/>
      <c r="AUH247" s="110"/>
      <c r="AUI247" s="110"/>
      <c r="AUJ247" s="110"/>
      <c r="AUK247" s="110"/>
      <c r="AUL247" s="110"/>
      <c r="AUM247" s="110"/>
      <c r="AUN247" s="110"/>
      <c r="AUO247" s="110"/>
      <c r="AUP247" s="110"/>
      <c r="AUQ247" s="110"/>
      <c r="AUR247" s="110"/>
      <c r="AUS247" s="110"/>
      <c r="AUT247" s="110"/>
      <c r="AUU247" s="110"/>
      <c r="AUV247" s="110"/>
      <c r="AUW247" s="110"/>
      <c r="AUX247" s="110"/>
      <c r="AUY247" s="110"/>
      <c r="AUZ247" s="110"/>
      <c r="AVA247" s="110"/>
      <c r="AVB247" s="110"/>
      <c r="AVC247" s="110"/>
      <c r="AVD247" s="110"/>
      <c r="AVE247" s="110"/>
      <c r="AVF247" s="110"/>
      <c r="AVG247" s="110"/>
      <c r="AVH247" s="110"/>
      <c r="AVI247" s="110"/>
      <c r="AVJ247" s="110"/>
      <c r="AVK247" s="110"/>
      <c r="AVL247" s="110"/>
      <c r="AVM247" s="110"/>
      <c r="AVN247" s="110"/>
      <c r="AVO247" s="110"/>
      <c r="AVP247" s="110"/>
      <c r="AVQ247" s="110"/>
      <c r="AVR247" s="110"/>
      <c r="AVS247" s="110"/>
      <c r="AVT247" s="110"/>
      <c r="AVU247" s="110"/>
      <c r="AVV247" s="110"/>
      <c r="AVW247" s="110"/>
      <c r="AVX247" s="110"/>
      <c r="AVY247" s="110"/>
      <c r="AVZ247" s="110"/>
      <c r="AWA247" s="110"/>
      <c r="AWB247" s="110"/>
      <c r="AWC247" s="110"/>
      <c r="AWD247" s="110"/>
      <c r="AWE247" s="110"/>
      <c r="AWF247" s="110"/>
      <c r="AWG247" s="110"/>
      <c r="AWH247" s="110"/>
      <c r="AWI247" s="110"/>
      <c r="AWJ247" s="110"/>
      <c r="AWK247" s="110"/>
      <c r="AWL247" s="110"/>
      <c r="AWM247" s="110"/>
      <c r="AWN247" s="110"/>
      <c r="AWO247" s="110"/>
      <c r="AWP247" s="110"/>
      <c r="AWQ247" s="110"/>
      <c r="AWR247" s="110"/>
      <c r="AWS247" s="110"/>
      <c r="AWT247" s="110"/>
      <c r="AWU247" s="110"/>
      <c r="AWV247" s="110"/>
      <c r="AWW247" s="110"/>
      <c r="AWX247" s="110"/>
      <c r="AWY247" s="110"/>
      <c r="AWZ247" s="110"/>
      <c r="AXA247" s="110"/>
      <c r="AXB247" s="110"/>
      <c r="AXC247" s="110"/>
      <c r="AXD247" s="110"/>
      <c r="AXE247" s="110"/>
      <c r="AXF247" s="110"/>
      <c r="AXG247" s="110"/>
      <c r="AXH247" s="110"/>
      <c r="AXI247" s="110"/>
      <c r="AXJ247" s="110"/>
      <c r="AXK247" s="110"/>
      <c r="AXL247" s="110"/>
      <c r="AXM247" s="110"/>
      <c r="AXN247" s="110"/>
      <c r="AXO247" s="110"/>
      <c r="AXP247" s="110"/>
      <c r="AXQ247" s="110"/>
      <c r="AXR247" s="110"/>
      <c r="AXS247" s="110"/>
      <c r="AXT247" s="110"/>
      <c r="AXU247" s="110"/>
      <c r="AXV247" s="110"/>
      <c r="AXW247" s="110"/>
      <c r="AXX247" s="110"/>
      <c r="AXY247" s="110"/>
      <c r="AXZ247" s="110"/>
      <c r="AYA247" s="110"/>
      <c r="AYB247" s="110"/>
      <c r="AYC247" s="110"/>
      <c r="AYD247" s="110"/>
      <c r="AYE247" s="110"/>
      <c r="AYF247" s="110"/>
      <c r="AYG247" s="110"/>
      <c r="AYH247" s="110"/>
      <c r="AYI247" s="110"/>
      <c r="AYJ247" s="110"/>
      <c r="AYK247" s="110"/>
      <c r="AYL247" s="110"/>
      <c r="AYM247" s="110"/>
      <c r="AYN247" s="110"/>
      <c r="AYO247" s="110"/>
      <c r="AYP247" s="110"/>
      <c r="AYQ247" s="110"/>
      <c r="AYR247" s="110"/>
      <c r="AYS247" s="110"/>
      <c r="AYT247" s="110"/>
      <c r="AYU247" s="110"/>
      <c r="AYV247" s="110"/>
      <c r="AYW247" s="110"/>
      <c r="AYX247" s="110"/>
      <c r="AYY247" s="110"/>
      <c r="AYZ247" s="110"/>
      <c r="AZA247" s="110"/>
      <c r="AZB247" s="110"/>
      <c r="AZC247" s="110"/>
      <c r="AZD247" s="110"/>
      <c r="AZE247" s="110"/>
      <c r="AZF247" s="110"/>
      <c r="AZG247" s="110"/>
      <c r="AZH247" s="110"/>
      <c r="AZI247" s="110"/>
      <c r="AZJ247" s="110"/>
      <c r="AZK247" s="110"/>
      <c r="AZL247" s="110"/>
      <c r="AZM247" s="110"/>
      <c r="AZN247" s="110"/>
      <c r="AZO247" s="110"/>
      <c r="AZP247" s="110"/>
      <c r="AZQ247" s="110"/>
      <c r="AZR247" s="110"/>
      <c r="AZS247" s="110"/>
      <c r="AZT247" s="110"/>
      <c r="AZU247" s="110"/>
      <c r="AZV247" s="110"/>
      <c r="AZW247" s="110"/>
      <c r="AZX247" s="110"/>
      <c r="AZY247" s="110"/>
      <c r="AZZ247" s="110"/>
      <c r="BAA247" s="110"/>
      <c r="BAB247" s="110"/>
      <c r="BAC247" s="110"/>
      <c r="BAD247" s="110"/>
      <c r="BAE247" s="110"/>
      <c r="BAF247" s="110"/>
      <c r="BAG247" s="110"/>
      <c r="BAH247" s="110"/>
      <c r="BAI247" s="110"/>
      <c r="BAJ247" s="110"/>
      <c r="BAK247" s="110"/>
      <c r="BAL247" s="110"/>
      <c r="BAM247" s="110"/>
      <c r="BAN247" s="110"/>
      <c r="BAO247" s="110"/>
      <c r="BAP247" s="110"/>
      <c r="BAQ247" s="110"/>
      <c r="BAR247" s="110"/>
      <c r="BAS247" s="110"/>
      <c r="BAT247" s="110"/>
      <c r="BAU247" s="110"/>
      <c r="BAV247" s="110"/>
      <c r="BAW247" s="110"/>
      <c r="BAX247" s="110"/>
      <c r="BAY247" s="110"/>
      <c r="BAZ247" s="110"/>
      <c r="BBA247" s="110"/>
      <c r="BBB247" s="110"/>
      <c r="BBC247" s="110"/>
      <c r="BBD247" s="110"/>
      <c r="BBE247" s="110"/>
      <c r="BBF247" s="110"/>
      <c r="BBG247" s="110"/>
      <c r="BBH247" s="110"/>
      <c r="BBI247" s="110"/>
      <c r="BBJ247" s="110"/>
      <c r="BBK247" s="110"/>
      <c r="BBL247" s="110"/>
      <c r="BBM247" s="110"/>
      <c r="BBN247" s="110"/>
      <c r="BBO247" s="110"/>
      <c r="BBP247" s="110"/>
      <c r="BBQ247" s="110"/>
      <c r="BBR247" s="110"/>
      <c r="BBS247" s="110"/>
      <c r="BBT247" s="110"/>
      <c r="BBU247" s="110"/>
      <c r="BBV247" s="110"/>
      <c r="BBW247" s="110"/>
      <c r="BBX247" s="110"/>
      <c r="BBY247" s="110"/>
      <c r="BBZ247" s="110"/>
      <c r="BCA247" s="110"/>
      <c r="BCB247" s="110"/>
      <c r="BCC247" s="110"/>
      <c r="BCD247" s="110"/>
      <c r="BCE247" s="110"/>
      <c r="BCF247" s="110"/>
      <c r="BCG247" s="110"/>
      <c r="BCH247" s="110"/>
      <c r="BCI247" s="110"/>
      <c r="BCJ247" s="110"/>
      <c r="BCK247" s="110"/>
      <c r="BCL247" s="110"/>
      <c r="BCM247" s="110"/>
      <c r="BCN247" s="110"/>
      <c r="BCO247" s="110"/>
      <c r="BCP247" s="110"/>
      <c r="BCQ247" s="110"/>
      <c r="BCR247" s="110"/>
      <c r="BCS247" s="110"/>
      <c r="BCT247" s="110"/>
      <c r="BCU247" s="110"/>
      <c r="BCV247" s="110"/>
      <c r="BCW247" s="110"/>
      <c r="BCX247" s="110"/>
      <c r="BCY247" s="110"/>
      <c r="BCZ247" s="110"/>
      <c r="BDA247" s="110"/>
      <c r="BDB247" s="110"/>
      <c r="BDC247" s="110"/>
      <c r="BDD247" s="110"/>
      <c r="BDE247" s="110"/>
      <c r="BDF247" s="110"/>
      <c r="BDG247" s="110"/>
      <c r="BDH247" s="110"/>
      <c r="BDI247" s="110"/>
      <c r="BDJ247" s="110"/>
      <c r="BDK247" s="110"/>
      <c r="BDL247" s="110"/>
      <c r="BDM247" s="110"/>
      <c r="BDN247" s="110"/>
      <c r="BDO247" s="110"/>
      <c r="BDP247" s="110"/>
      <c r="BDQ247" s="110"/>
      <c r="BDR247" s="110"/>
      <c r="BDS247" s="110"/>
      <c r="BDT247" s="110"/>
      <c r="BDU247" s="110"/>
      <c r="BDV247" s="110"/>
      <c r="BDW247" s="110"/>
      <c r="BDX247" s="110"/>
      <c r="BDY247" s="110"/>
      <c r="BDZ247" s="110"/>
      <c r="BEA247" s="110"/>
      <c r="BEB247" s="110"/>
      <c r="BEC247" s="110"/>
      <c r="BED247" s="110"/>
      <c r="BEE247" s="110"/>
      <c r="BEF247" s="110"/>
      <c r="BEG247" s="110"/>
      <c r="BEH247" s="110"/>
      <c r="BEI247" s="110"/>
      <c r="BEJ247" s="110"/>
      <c r="BEK247" s="110"/>
      <c r="BEL247" s="110"/>
      <c r="BEM247" s="110"/>
      <c r="BEN247" s="110"/>
      <c r="BEO247" s="110"/>
      <c r="BEP247" s="110"/>
      <c r="BEQ247" s="110"/>
      <c r="BER247" s="110"/>
      <c r="BES247" s="110"/>
      <c r="BET247" s="110"/>
      <c r="BEU247" s="110"/>
      <c r="BEV247" s="110"/>
      <c r="BEW247" s="110"/>
      <c r="BEX247" s="110"/>
      <c r="BEY247" s="110"/>
      <c r="BEZ247" s="110"/>
      <c r="BFA247" s="110"/>
      <c r="BFB247" s="110"/>
      <c r="BFC247" s="110"/>
      <c r="BFD247" s="110"/>
      <c r="BFE247" s="110"/>
      <c r="BFF247" s="110"/>
      <c r="BFG247" s="110"/>
      <c r="BFH247" s="110"/>
      <c r="BFI247" s="110"/>
      <c r="BFJ247" s="110"/>
      <c r="BFK247" s="110"/>
      <c r="BFL247" s="110"/>
      <c r="BFM247" s="110"/>
      <c r="BFN247" s="110"/>
      <c r="BFO247" s="110"/>
      <c r="BFP247" s="110"/>
      <c r="BFQ247" s="110"/>
      <c r="BFR247" s="110"/>
      <c r="BFS247" s="110"/>
      <c r="BFT247" s="110"/>
      <c r="BFU247" s="110"/>
      <c r="BFV247" s="110"/>
      <c r="BFW247" s="110"/>
      <c r="BFX247" s="110"/>
      <c r="BFY247" s="110"/>
      <c r="BFZ247" s="110"/>
      <c r="BGA247" s="110"/>
      <c r="BGB247" s="110"/>
      <c r="BGC247" s="110"/>
      <c r="BGD247" s="110"/>
      <c r="BGE247" s="110"/>
      <c r="BGF247" s="110"/>
      <c r="BGG247" s="110"/>
      <c r="BGH247" s="110"/>
      <c r="BGI247" s="110"/>
      <c r="BGJ247" s="110"/>
      <c r="BGK247" s="110"/>
      <c r="BGL247" s="110"/>
      <c r="BGM247" s="110"/>
      <c r="BGN247" s="110"/>
      <c r="BGO247" s="110"/>
      <c r="BGP247" s="110"/>
      <c r="BGQ247" s="110"/>
      <c r="BGR247" s="110"/>
      <c r="BGS247" s="110"/>
      <c r="BGT247" s="110"/>
      <c r="BGU247" s="110"/>
      <c r="BGV247" s="110"/>
      <c r="BGW247" s="110"/>
      <c r="BGX247" s="110"/>
      <c r="BGY247" s="110"/>
      <c r="BGZ247" s="110"/>
      <c r="BHA247" s="110"/>
      <c r="BHB247" s="110"/>
      <c r="BHC247" s="110"/>
      <c r="BHD247" s="110"/>
      <c r="BHE247" s="110"/>
      <c r="BHF247" s="110"/>
      <c r="BHG247" s="110"/>
      <c r="BHH247" s="110"/>
      <c r="BHI247" s="110"/>
      <c r="BHJ247" s="110"/>
      <c r="BHK247" s="110"/>
      <c r="BHL247" s="110"/>
      <c r="BHM247" s="110"/>
      <c r="BHN247" s="110"/>
      <c r="BHO247" s="110"/>
      <c r="BHP247" s="110"/>
      <c r="BHQ247" s="110"/>
      <c r="BHR247" s="110"/>
      <c r="BHS247" s="110"/>
      <c r="BHT247" s="110"/>
      <c r="BHU247" s="110"/>
      <c r="BHV247" s="110"/>
      <c r="BHW247" s="110"/>
      <c r="BHX247" s="110"/>
      <c r="BHY247" s="110"/>
      <c r="BHZ247" s="110"/>
      <c r="BIA247" s="110"/>
      <c r="BIB247" s="110"/>
      <c r="BIC247" s="110"/>
      <c r="BID247" s="110"/>
      <c r="BIE247" s="110"/>
      <c r="BIF247" s="110"/>
      <c r="BIG247" s="110"/>
      <c r="BIH247" s="110"/>
      <c r="BII247" s="110"/>
      <c r="BIJ247" s="110"/>
      <c r="BIK247" s="110"/>
      <c r="BIL247" s="110"/>
      <c r="BIM247" s="110"/>
      <c r="BIN247" s="110"/>
      <c r="BIO247" s="110"/>
      <c r="BIP247" s="110"/>
      <c r="BIQ247" s="110"/>
      <c r="BIR247" s="110"/>
      <c r="BIS247" s="110"/>
      <c r="BIT247" s="110"/>
      <c r="BIU247" s="110"/>
      <c r="BIV247" s="110"/>
      <c r="BIW247" s="110"/>
      <c r="BIX247" s="110"/>
      <c r="BIY247" s="110"/>
      <c r="BIZ247" s="110"/>
      <c r="BJA247" s="110"/>
      <c r="BJB247" s="110"/>
      <c r="BJC247" s="110"/>
      <c r="BJD247" s="110"/>
      <c r="BJE247" s="110"/>
      <c r="BJF247" s="110"/>
      <c r="BJG247" s="110"/>
      <c r="BJH247" s="110"/>
      <c r="BJI247" s="110"/>
      <c r="BJJ247" s="110"/>
      <c r="BJK247" s="110"/>
      <c r="BJL247" s="110"/>
      <c r="BJM247" s="110"/>
      <c r="BJN247" s="110"/>
      <c r="BJO247" s="110"/>
      <c r="BJP247" s="110"/>
      <c r="BJQ247" s="110"/>
      <c r="BJR247" s="110"/>
      <c r="BJS247" s="110"/>
      <c r="BJT247" s="110"/>
      <c r="BJU247" s="110"/>
      <c r="BJV247" s="110"/>
      <c r="BJW247" s="110"/>
      <c r="BJX247" s="110"/>
      <c r="BJY247" s="110"/>
      <c r="BJZ247" s="110"/>
      <c r="BKA247" s="110"/>
      <c r="BKB247" s="110"/>
      <c r="BKC247" s="110"/>
      <c r="BKD247" s="110"/>
      <c r="BKE247" s="110"/>
      <c r="BKF247" s="110"/>
      <c r="BKG247" s="110"/>
      <c r="BKH247" s="110"/>
      <c r="BKI247" s="110"/>
      <c r="BKJ247" s="110"/>
      <c r="BKK247" s="110"/>
      <c r="BKL247" s="110"/>
      <c r="BKM247" s="110"/>
      <c r="BKN247" s="110"/>
      <c r="BKO247" s="110"/>
      <c r="BKP247" s="110"/>
      <c r="BKQ247" s="110"/>
      <c r="BKR247" s="110"/>
      <c r="BKS247" s="110"/>
      <c r="BKT247" s="110"/>
      <c r="BKU247" s="110"/>
      <c r="BKV247" s="110"/>
      <c r="BKW247" s="110"/>
      <c r="BKX247" s="110"/>
      <c r="BKY247" s="110"/>
      <c r="BKZ247" s="110"/>
      <c r="BLA247" s="110"/>
      <c r="BLB247" s="110"/>
      <c r="BLC247" s="110"/>
      <c r="BLD247" s="110"/>
      <c r="BLE247" s="110"/>
      <c r="BLF247" s="110"/>
      <c r="BLG247" s="110"/>
      <c r="BLH247" s="110"/>
      <c r="BLI247" s="110"/>
      <c r="BLJ247" s="110"/>
      <c r="BLK247" s="110"/>
      <c r="BLL247" s="110"/>
      <c r="BLM247" s="110"/>
      <c r="BLN247" s="110"/>
      <c r="BLO247" s="110"/>
      <c r="BLP247" s="110"/>
      <c r="BLQ247" s="110"/>
      <c r="BLR247" s="110"/>
      <c r="BLS247" s="110"/>
      <c r="BLT247" s="110"/>
      <c r="BLU247" s="110"/>
      <c r="BLV247" s="110"/>
      <c r="BLW247" s="110"/>
      <c r="BLX247" s="110"/>
      <c r="BLY247" s="110"/>
      <c r="BLZ247" s="110"/>
      <c r="BMA247" s="110"/>
      <c r="BMB247" s="110"/>
      <c r="BMC247" s="110"/>
      <c r="BMD247" s="110"/>
      <c r="BME247" s="110"/>
      <c r="BMF247" s="110"/>
      <c r="BMG247" s="110"/>
      <c r="BMH247" s="110"/>
      <c r="BMI247" s="110"/>
      <c r="BMJ247" s="110"/>
      <c r="BMK247" s="110"/>
      <c r="BML247" s="110"/>
      <c r="BMM247" s="110"/>
      <c r="BMN247" s="110"/>
      <c r="BMO247" s="110"/>
      <c r="BMP247" s="110"/>
      <c r="BMQ247" s="110"/>
      <c r="BMR247" s="110"/>
      <c r="BMS247" s="110"/>
      <c r="BMT247" s="110"/>
      <c r="BMU247" s="110"/>
      <c r="BMV247" s="110"/>
      <c r="BMW247" s="110"/>
      <c r="BMX247" s="110"/>
      <c r="BMY247" s="110"/>
      <c r="BMZ247" s="110"/>
      <c r="BNA247" s="110"/>
      <c r="BNB247" s="110"/>
      <c r="BNC247" s="110"/>
      <c r="BND247" s="110"/>
      <c r="BNE247" s="110"/>
      <c r="BNF247" s="110"/>
      <c r="BNG247" s="110"/>
      <c r="BNH247" s="110"/>
      <c r="BNI247" s="110"/>
      <c r="BNJ247" s="110"/>
      <c r="BNK247" s="110"/>
      <c r="BNL247" s="110"/>
      <c r="BNM247" s="110"/>
      <c r="BNN247" s="110"/>
      <c r="BNO247" s="110"/>
      <c r="BNP247" s="110"/>
      <c r="BNQ247" s="110"/>
      <c r="BNR247" s="110"/>
      <c r="BNS247" s="110"/>
      <c r="BNT247" s="110"/>
      <c r="BNU247" s="110"/>
      <c r="BNV247" s="110"/>
      <c r="BNW247" s="110"/>
      <c r="BNX247" s="110"/>
      <c r="BNY247" s="110"/>
      <c r="BNZ247" s="110"/>
      <c r="BOA247" s="110"/>
      <c r="BOB247" s="110"/>
      <c r="BOC247" s="110"/>
      <c r="BOD247" s="110"/>
      <c r="BOE247" s="110"/>
      <c r="BOF247" s="110"/>
      <c r="BOG247" s="110"/>
      <c r="BOH247" s="110"/>
      <c r="BOI247" s="110"/>
      <c r="BOJ247" s="110"/>
      <c r="BOK247" s="110"/>
      <c r="BOL247" s="110"/>
      <c r="BOM247" s="110"/>
      <c r="BON247" s="110"/>
      <c r="BOO247" s="110"/>
      <c r="BOP247" s="110"/>
      <c r="BOQ247" s="110"/>
      <c r="BOR247" s="110"/>
      <c r="BOS247" s="110"/>
      <c r="BOT247" s="110"/>
      <c r="BOU247" s="110"/>
      <c r="BOV247" s="110"/>
      <c r="BOW247" s="110"/>
      <c r="BOX247" s="110"/>
      <c r="BOY247" s="110"/>
      <c r="BOZ247" s="110"/>
      <c r="BPA247" s="110"/>
      <c r="BPB247" s="110"/>
      <c r="BPC247" s="110"/>
      <c r="BPD247" s="110"/>
      <c r="BPE247" s="110"/>
      <c r="BPF247" s="110"/>
      <c r="BPG247" s="110"/>
      <c r="BPH247" s="110"/>
      <c r="BPI247" s="110"/>
      <c r="BPJ247" s="110"/>
      <c r="BPK247" s="110"/>
      <c r="BPL247" s="110"/>
      <c r="BPM247" s="110"/>
      <c r="BPN247" s="110"/>
      <c r="BPO247" s="110"/>
      <c r="BPP247" s="110"/>
      <c r="BPQ247" s="110"/>
      <c r="BPR247" s="110"/>
      <c r="BPS247" s="110"/>
      <c r="BPT247" s="110"/>
      <c r="BPU247" s="110"/>
      <c r="BPV247" s="110"/>
      <c r="BPW247" s="110"/>
      <c r="BPX247" s="110"/>
      <c r="BPY247" s="110"/>
      <c r="BPZ247" s="110"/>
      <c r="BQA247" s="110"/>
      <c r="BQB247" s="110"/>
      <c r="BQC247" s="110"/>
      <c r="BQD247" s="110"/>
      <c r="BQE247" s="110"/>
      <c r="BQF247" s="110"/>
      <c r="BQG247" s="110"/>
      <c r="BQH247" s="110"/>
      <c r="BQI247" s="110"/>
      <c r="BQJ247" s="110"/>
      <c r="BQK247" s="110"/>
      <c r="BQL247" s="110"/>
      <c r="BQM247" s="110"/>
      <c r="BQN247" s="110"/>
      <c r="BQO247" s="110"/>
      <c r="BQP247" s="110"/>
      <c r="BQQ247" s="110"/>
      <c r="BQR247" s="110"/>
      <c r="BQS247" s="110"/>
      <c r="BQT247" s="110"/>
      <c r="BQU247" s="110"/>
      <c r="BQV247" s="110"/>
      <c r="BQW247" s="110"/>
      <c r="BQX247" s="110"/>
      <c r="BQY247" s="110"/>
      <c r="BQZ247" s="110"/>
      <c r="BRA247" s="110"/>
      <c r="BRB247" s="110"/>
      <c r="BRC247" s="110"/>
      <c r="BRD247" s="110"/>
      <c r="BRE247" s="110"/>
      <c r="BRF247" s="110"/>
      <c r="BRG247" s="110"/>
      <c r="BRH247" s="110"/>
      <c r="BRI247" s="110"/>
      <c r="BRJ247" s="110"/>
      <c r="BRK247" s="110"/>
      <c r="BRL247" s="110"/>
      <c r="BRM247" s="110"/>
      <c r="BRN247" s="110"/>
      <c r="BRO247" s="110"/>
      <c r="BRP247" s="110"/>
      <c r="BRQ247" s="110"/>
      <c r="BRR247" s="110"/>
      <c r="BRS247" s="110"/>
      <c r="BRT247" s="110"/>
      <c r="BRU247" s="110"/>
      <c r="BRV247" s="110"/>
      <c r="BRW247" s="110"/>
      <c r="BRX247" s="110"/>
      <c r="BRY247" s="110"/>
      <c r="BRZ247" s="110"/>
      <c r="BSA247" s="110"/>
      <c r="BSB247" s="110"/>
      <c r="BSC247" s="110"/>
      <c r="BSD247" s="110"/>
      <c r="BSE247" s="110"/>
      <c r="BSF247" s="110"/>
      <c r="BSG247" s="110"/>
      <c r="BSH247" s="110"/>
      <c r="BSI247" s="110"/>
      <c r="BSJ247" s="110"/>
      <c r="BSK247" s="110"/>
      <c r="BSL247" s="110"/>
      <c r="BSM247" s="110"/>
      <c r="BSN247" s="110"/>
      <c r="BSO247" s="110"/>
      <c r="BSP247" s="110"/>
      <c r="BSQ247" s="110"/>
      <c r="BSR247" s="110"/>
      <c r="BSS247" s="110"/>
      <c r="BST247" s="110"/>
      <c r="BSU247" s="110"/>
      <c r="BSV247" s="110"/>
      <c r="BSW247" s="110"/>
      <c r="BSX247" s="110"/>
      <c r="BSY247" s="110"/>
      <c r="BSZ247" s="110"/>
      <c r="BTA247" s="110"/>
      <c r="BTB247" s="110"/>
      <c r="BTC247" s="110"/>
      <c r="BTD247" s="110"/>
      <c r="BTE247" s="110"/>
      <c r="BTF247" s="110"/>
      <c r="BTG247" s="110"/>
      <c r="BTH247" s="110"/>
      <c r="BTI247" s="110"/>
      <c r="BTJ247" s="110"/>
      <c r="BTK247" s="110"/>
      <c r="BTL247" s="110"/>
      <c r="BTM247" s="110"/>
      <c r="BTN247" s="110"/>
      <c r="BTO247" s="110"/>
      <c r="BTP247" s="110"/>
      <c r="BTQ247" s="110"/>
      <c r="BTR247" s="110"/>
      <c r="BTS247" s="110"/>
      <c r="BTT247" s="110"/>
      <c r="BTU247" s="110"/>
      <c r="BTV247" s="110"/>
      <c r="BTW247" s="110"/>
      <c r="BTX247" s="110"/>
      <c r="BTY247" s="110"/>
      <c r="BTZ247" s="110"/>
      <c r="BUA247" s="110"/>
      <c r="BUB247" s="110"/>
      <c r="BUC247" s="110"/>
      <c r="BUD247" s="110"/>
      <c r="BUE247" s="110"/>
      <c r="BUF247" s="110"/>
      <c r="BUG247" s="110"/>
      <c r="BUH247" s="110"/>
      <c r="BUI247" s="110"/>
      <c r="BUJ247" s="110"/>
      <c r="BUK247" s="110"/>
      <c r="BUL247" s="110"/>
      <c r="BUM247" s="110"/>
      <c r="BUN247" s="110"/>
      <c r="BUO247" s="110"/>
      <c r="BUP247" s="110"/>
      <c r="BUQ247" s="110"/>
      <c r="BUR247" s="110"/>
      <c r="BUS247" s="110"/>
      <c r="BUT247" s="110"/>
      <c r="BUU247" s="110"/>
      <c r="BUV247" s="110"/>
      <c r="BUW247" s="110"/>
      <c r="BUX247" s="110"/>
      <c r="BUY247" s="110"/>
      <c r="BUZ247" s="110"/>
      <c r="BVA247" s="110"/>
      <c r="BVB247" s="110"/>
      <c r="BVC247" s="110"/>
      <c r="BVD247" s="110"/>
      <c r="BVE247" s="110"/>
      <c r="BVF247" s="110"/>
      <c r="BVG247" s="110"/>
      <c r="BVH247" s="110"/>
      <c r="BVI247" s="110"/>
      <c r="BVJ247" s="110"/>
      <c r="BVK247" s="110"/>
      <c r="BVL247" s="110"/>
      <c r="BVM247" s="110"/>
      <c r="BVN247" s="110"/>
      <c r="BVO247" s="110"/>
      <c r="BVP247" s="110"/>
      <c r="BVQ247" s="110"/>
      <c r="BVR247" s="110"/>
      <c r="BVS247" s="110"/>
      <c r="BVT247" s="110"/>
      <c r="BVU247" s="110"/>
      <c r="BVV247" s="110"/>
      <c r="BVW247" s="110"/>
      <c r="BVX247" s="110"/>
      <c r="BVY247" s="110"/>
      <c r="BVZ247" s="110"/>
      <c r="BWA247" s="110"/>
      <c r="BWB247" s="110"/>
      <c r="BWC247" s="110"/>
      <c r="BWD247" s="110"/>
      <c r="BWE247" s="110"/>
      <c r="BWF247" s="110"/>
      <c r="BWG247" s="110"/>
      <c r="BWH247" s="110"/>
      <c r="BWI247" s="110"/>
      <c r="BWJ247" s="110"/>
      <c r="BWK247" s="110"/>
      <c r="BWL247" s="110"/>
      <c r="BWM247" s="110"/>
      <c r="BWN247" s="110"/>
      <c r="BWO247" s="110"/>
      <c r="BWP247" s="110"/>
      <c r="BWQ247" s="110"/>
      <c r="BWR247" s="110"/>
      <c r="BWS247" s="110"/>
      <c r="BWT247" s="110"/>
      <c r="BWU247" s="110"/>
      <c r="BWV247" s="110"/>
      <c r="BWW247" s="110"/>
      <c r="BWX247" s="110"/>
      <c r="BWY247" s="110"/>
      <c r="BWZ247" s="110"/>
      <c r="BXA247" s="110"/>
      <c r="BXB247" s="110"/>
      <c r="BXC247" s="110"/>
      <c r="BXD247" s="110"/>
      <c r="BXE247" s="110"/>
      <c r="BXF247" s="110"/>
      <c r="BXG247" s="110"/>
      <c r="BXH247" s="110"/>
      <c r="BXI247" s="110"/>
      <c r="BXJ247" s="110"/>
      <c r="BXK247" s="110"/>
      <c r="BXL247" s="110"/>
      <c r="BXM247" s="110"/>
      <c r="BXN247" s="110"/>
      <c r="BXO247" s="110"/>
      <c r="BXP247" s="110"/>
      <c r="BXQ247" s="110"/>
      <c r="BXR247" s="110"/>
      <c r="BXS247" s="110"/>
      <c r="BXT247" s="110"/>
      <c r="BXU247" s="110"/>
      <c r="BXV247" s="110"/>
      <c r="BXW247" s="110"/>
      <c r="BXX247" s="110"/>
      <c r="BXY247" s="110"/>
      <c r="BXZ247" s="110"/>
      <c r="BYA247" s="110"/>
      <c r="BYB247" s="110"/>
      <c r="BYC247" s="110"/>
      <c r="BYD247" s="110"/>
      <c r="BYE247" s="110"/>
      <c r="BYF247" s="110"/>
      <c r="BYG247" s="110"/>
      <c r="BYH247" s="110"/>
      <c r="BYI247" s="110"/>
      <c r="BYJ247" s="110"/>
      <c r="BYK247" s="110"/>
      <c r="BYL247" s="110"/>
      <c r="BYM247" s="110"/>
      <c r="BYN247" s="110"/>
      <c r="BYO247" s="110"/>
      <c r="BYP247" s="110"/>
      <c r="BYQ247" s="110"/>
      <c r="BYR247" s="110"/>
      <c r="BYS247" s="110"/>
      <c r="BYT247" s="110"/>
      <c r="BYU247" s="110"/>
      <c r="BYV247" s="110"/>
      <c r="BYW247" s="110"/>
      <c r="BYX247" s="110"/>
      <c r="BYY247" s="110"/>
      <c r="BYZ247" s="110"/>
      <c r="BZA247" s="110"/>
      <c r="BZB247" s="110"/>
      <c r="BZC247" s="110"/>
      <c r="BZD247" s="110"/>
      <c r="BZE247" s="110"/>
      <c r="BZF247" s="110"/>
      <c r="BZG247" s="110"/>
      <c r="BZH247" s="110"/>
      <c r="BZI247" s="110"/>
      <c r="BZJ247" s="110"/>
      <c r="BZK247" s="110"/>
      <c r="BZL247" s="110"/>
      <c r="BZM247" s="110"/>
      <c r="BZN247" s="110"/>
      <c r="BZO247" s="110"/>
      <c r="BZP247" s="110"/>
      <c r="BZQ247" s="110"/>
      <c r="BZR247" s="110"/>
      <c r="BZS247" s="110"/>
      <c r="BZT247" s="110"/>
      <c r="BZU247" s="110"/>
      <c r="BZV247" s="110"/>
      <c r="BZW247" s="110"/>
      <c r="BZX247" s="110"/>
      <c r="BZY247" s="110"/>
      <c r="BZZ247" s="110"/>
      <c r="CAA247" s="110"/>
      <c r="CAB247" s="110"/>
      <c r="CAC247" s="110"/>
      <c r="CAD247" s="110"/>
      <c r="CAE247" s="110"/>
      <c r="CAF247" s="110"/>
      <c r="CAG247" s="110"/>
      <c r="CAH247" s="110"/>
      <c r="CAI247" s="110"/>
      <c r="CAJ247" s="110"/>
      <c r="CAK247" s="110"/>
      <c r="CAL247" s="110"/>
      <c r="CAM247" s="110"/>
      <c r="CAN247" s="110"/>
      <c r="CAO247" s="110"/>
      <c r="CAP247" s="110"/>
      <c r="CAQ247" s="110"/>
      <c r="CAR247" s="110"/>
      <c r="CAS247" s="110"/>
      <c r="CAT247" s="110"/>
      <c r="CAU247" s="110"/>
      <c r="CAV247" s="110"/>
      <c r="CAW247" s="110"/>
      <c r="CAX247" s="110"/>
      <c r="CAY247" s="110"/>
      <c r="CAZ247" s="110"/>
      <c r="CBA247" s="110"/>
      <c r="CBB247" s="110"/>
      <c r="CBC247" s="110"/>
      <c r="CBD247" s="110"/>
      <c r="CBE247" s="110"/>
      <c r="CBF247" s="110"/>
      <c r="CBG247" s="110"/>
      <c r="CBH247" s="110"/>
      <c r="CBI247" s="110"/>
      <c r="CBJ247" s="110"/>
      <c r="CBK247" s="110"/>
      <c r="CBL247" s="110"/>
      <c r="CBM247" s="110"/>
      <c r="CBN247" s="110"/>
      <c r="CBO247" s="110"/>
      <c r="CBP247" s="110"/>
      <c r="CBQ247" s="110"/>
      <c r="CBR247" s="110"/>
      <c r="CBS247" s="110"/>
      <c r="CBT247" s="110"/>
      <c r="CBU247" s="110"/>
      <c r="CBV247" s="110"/>
      <c r="CBW247" s="110"/>
      <c r="CBX247" s="110"/>
      <c r="CBY247" s="110"/>
      <c r="CBZ247" s="110"/>
      <c r="CCA247" s="110"/>
      <c r="CCB247" s="110"/>
      <c r="CCC247" s="110"/>
      <c r="CCD247" s="110"/>
      <c r="CCE247" s="110"/>
      <c r="CCF247" s="110"/>
      <c r="CCG247" s="110"/>
      <c r="CCH247" s="110"/>
      <c r="CCI247" s="110"/>
      <c r="CCJ247" s="110"/>
      <c r="CCK247" s="110"/>
      <c r="CCL247" s="110"/>
      <c r="CCM247" s="110"/>
      <c r="CCN247" s="110"/>
      <c r="CCO247" s="110"/>
      <c r="CCP247" s="110"/>
      <c r="CCQ247" s="110"/>
      <c r="CCR247" s="110"/>
      <c r="CCS247" s="110"/>
      <c r="CCT247" s="110"/>
      <c r="CCU247" s="110"/>
      <c r="CCV247" s="110"/>
      <c r="CCW247" s="110"/>
      <c r="CCX247" s="110"/>
      <c r="CCY247" s="110"/>
      <c r="CCZ247" s="110"/>
      <c r="CDA247" s="110"/>
      <c r="CDB247" s="110"/>
      <c r="CDC247" s="110"/>
      <c r="CDD247" s="110"/>
      <c r="CDE247" s="110"/>
      <c r="CDF247" s="110"/>
      <c r="CDG247" s="110"/>
      <c r="CDH247" s="110"/>
      <c r="CDI247" s="110"/>
      <c r="CDJ247" s="110"/>
      <c r="CDK247" s="110"/>
      <c r="CDL247" s="110"/>
      <c r="CDM247" s="110"/>
      <c r="CDN247" s="110"/>
      <c r="CDO247" s="110"/>
      <c r="CDP247" s="110"/>
      <c r="CDQ247" s="110"/>
      <c r="CDR247" s="110"/>
      <c r="CDS247" s="110"/>
      <c r="CDT247" s="110"/>
      <c r="CDU247" s="110"/>
      <c r="CDV247" s="110"/>
      <c r="CDW247" s="110"/>
      <c r="CDX247" s="110"/>
      <c r="CDY247" s="110"/>
      <c r="CDZ247" s="110"/>
      <c r="CEA247" s="110"/>
      <c r="CEB247" s="110"/>
      <c r="CEC247" s="110"/>
      <c r="CED247" s="110"/>
      <c r="CEE247" s="110"/>
      <c r="CEF247" s="110"/>
      <c r="CEG247" s="110"/>
      <c r="CEH247" s="110"/>
      <c r="CEI247" s="110"/>
      <c r="CEJ247" s="110"/>
      <c r="CEK247" s="110"/>
      <c r="CEL247" s="110"/>
      <c r="CEM247" s="110"/>
      <c r="CEN247" s="110"/>
      <c r="CEO247" s="110"/>
      <c r="CEP247" s="110"/>
      <c r="CEQ247" s="110"/>
      <c r="CER247" s="110"/>
      <c r="CES247" s="110"/>
      <c r="CET247" s="110"/>
      <c r="CEU247" s="110"/>
      <c r="CEV247" s="110"/>
      <c r="CEW247" s="110"/>
      <c r="CEX247" s="110"/>
      <c r="CEY247" s="110"/>
      <c r="CEZ247" s="110"/>
      <c r="CFA247" s="110"/>
      <c r="CFB247" s="110"/>
      <c r="CFC247" s="110"/>
      <c r="CFD247" s="110"/>
      <c r="CFE247" s="110"/>
      <c r="CFF247" s="110"/>
      <c r="CFG247" s="110"/>
      <c r="CFH247" s="110"/>
      <c r="CFI247" s="110"/>
      <c r="CFJ247" s="110"/>
      <c r="CFK247" s="110"/>
      <c r="CFL247" s="110"/>
      <c r="CFM247" s="110"/>
      <c r="CFN247" s="110"/>
      <c r="CFO247" s="110"/>
      <c r="CFP247" s="110"/>
      <c r="CFQ247" s="110"/>
      <c r="CFR247" s="110"/>
      <c r="CFS247" s="110"/>
      <c r="CFT247" s="110"/>
      <c r="CFU247" s="110"/>
      <c r="CFV247" s="110"/>
      <c r="CFW247" s="110"/>
      <c r="CFX247" s="110"/>
      <c r="CFY247" s="110"/>
      <c r="CFZ247" s="110"/>
      <c r="CGA247" s="110"/>
      <c r="CGB247" s="110"/>
      <c r="CGC247" s="110"/>
      <c r="CGD247" s="110"/>
      <c r="CGE247" s="110"/>
      <c r="CGF247" s="110"/>
      <c r="CGG247" s="110"/>
      <c r="CGH247" s="110"/>
      <c r="CGI247" s="110"/>
      <c r="CGJ247" s="110"/>
      <c r="CGK247" s="110"/>
      <c r="CGL247" s="110"/>
      <c r="CGM247" s="110"/>
      <c r="CGN247" s="110"/>
      <c r="CGO247" s="110"/>
      <c r="CGP247" s="110"/>
      <c r="CGQ247" s="110"/>
      <c r="CGR247" s="110"/>
      <c r="CGS247" s="110"/>
      <c r="CGT247" s="110"/>
      <c r="CGU247" s="110"/>
      <c r="CGV247" s="110"/>
      <c r="CGW247" s="110"/>
      <c r="CGX247" s="110"/>
      <c r="CGY247" s="110"/>
      <c r="CGZ247" s="110"/>
      <c r="CHA247" s="110"/>
      <c r="CHB247" s="110"/>
      <c r="CHC247" s="110"/>
      <c r="CHD247" s="110"/>
      <c r="CHE247" s="110"/>
      <c r="CHF247" s="110"/>
      <c r="CHG247" s="110"/>
      <c r="CHH247" s="110"/>
      <c r="CHI247" s="110"/>
      <c r="CHJ247" s="110"/>
      <c r="CHK247" s="110"/>
      <c r="CHL247" s="110"/>
      <c r="CHM247" s="110"/>
      <c r="CHN247" s="110"/>
      <c r="CHO247" s="110"/>
      <c r="CHP247" s="110"/>
      <c r="CHQ247" s="110"/>
      <c r="CHR247" s="110"/>
      <c r="CHS247" s="110"/>
      <c r="CHT247" s="110"/>
      <c r="CHU247" s="110"/>
      <c r="CHV247" s="110"/>
      <c r="CHW247" s="110"/>
      <c r="CHX247" s="110"/>
      <c r="CHY247" s="110"/>
      <c r="CHZ247" s="110"/>
      <c r="CIA247" s="110"/>
      <c r="CIB247" s="110"/>
      <c r="CIC247" s="110"/>
      <c r="CID247" s="110"/>
      <c r="CIE247" s="110"/>
      <c r="CIF247" s="110"/>
      <c r="CIG247" s="110"/>
      <c r="CIH247" s="110"/>
      <c r="CII247" s="110"/>
      <c r="CIJ247" s="110"/>
      <c r="CIK247" s="110"/>
      <c r="CIL247" s="110"/>
      <c r="CIM247" s="110"/>
      <c r="CIN247" s="110"/>
      <c r="CIO247" s="110"/>
      <c r="CIP247" s="110"/>
      <c r="CIQ247" s="110"/>
      <c r="CIR247" s="110"/>
      <c r="CIS247" s="110"/>
      <c r="CIT247" s="110"/>
      <c r="CIU247" s="110"/>
      <c r="CIV247" s="110"/>
      <c r="CIW247" s="110"/>
      <c r="CIX247" s="110"/>
      <c r="CIY247" s="110"/>
      <c r="CIZ247" s="110"/>
      <c r="CJA247" s="110"/>
      <c r="CJB247" s="110"/>
      <c r="CJC247" s="110"/>
      <c r="CJD247" s="110"/>
      <c r="CJE247" s="110"/>
      <c r="CJF247" s="110"/>
      <c r="CJG247" s="110"/>
      <c r="CJH247" s="110"/>
      <c r="CJI247" s="110"/>
      <c r="CJJ247" s="110"/>
      <c r="CJK247" s="110"/>
      <c r="CJL247" s="110"/>
      <c r="CJM247" s="110"/>
      <c r="CJN247" s="110"/>
      <c r="CJO247" s="110"/>
      <c r="CJP247" s="110"/>
      <c r="CJQ247" s="110"/>
      <c r="CJR247" s="110"/>
      <c r="CJS247" s="110"/>
      <c r="CJT247" s="110"/>
      <c r="CJU247" s="110"/>
      <c r="CJV247" s="110"/>
      <c r="CJW247" s="110"/>
      <c r="CJX247" s="110"/>
      <c r="CJY247" s="110"/>
      <c r="CJZ247" s="110"/>
      <c r="CKA247" s="110"/>
      <c r="CKB247" s="110"/>
      <c r="CKC247" s="110"/>
      <c r="CKD247" s="110"/>
      <c r="CKE247" s="110"/>
      <c r="CKF247" s="110"/>
      <c r="CKG247" s="110"/>
      <c r="CKH247" s="110"/>
      <c r="CKI247" s="110"/>
      <c r="CKJ247" s="110"/>
      <c r="CKK247" s="110"/>
      <c r="CKL247" s="110"/>
      <c r="CKM247" s="110"/>
      <c r="CKN247" s="110"/>
      <c r="CKO247" s="110"/>
      <c r="CKP247" s="110"/>
      <c r="CKQ247" s="110"/>
      <c r="CKR247" s="110"/>
      <c r="CKS247" s="110"/>
      <c r="CKT247" s="110"/>
      <c r="CKU247" s="110"/>
      <c r="CKV247" s="110"/>
      <c r="CKW247" s="110"/>
      <c r="CKX247" s="110"/>
      <c r="CKY247" s="110"/>
      <c r="CKZ247" s="110"/>
      <c r="CLA247" s="110"/>
      <c r="CLB247" s="110"/>
      <c r="CLC247" s="110"/>
      <c r="CLD247" s="110"/>
      <c r="CLE247" s="110"/>
      <c r="CLF247" s="110"/>
      <c r="CLG247" s="110"/>
      <c r="CLH247" s="110"/>
      <c r="CLI247" s="110"/>
      <c r="CLJ247" s="110"/>
      <c r="CLK247" s="110"/>
      <c r="CLL247" s="110"/>
      <c r="CLM247" s="110"/>
      <c r="CLN247" s="110"/>
      <c r="CLO247" s="110"/>
      <c r="CLP247" s="110"/>
      <c r="CLQ247" s="110"/>
      <c r="CLR247" s="110"/>
      <c r="CLS247" s="110"/>
      <c r="CLT247" s="110"/>
      <c r="CLU247" s="110"/>
      <c r="CLV247" s="110"/>
      <c r="CLW247" s="110"/>
      <c r="CLX247" s="110"/>
      <c r="CLY247" s="110"/>
      <c r="CLZ247" s="110"/>
      <c r="CMA247" s="110"/>
      <c r="CMB247" s="110"/>
      <c r="CMC247" s="110"/>
      <c r="CMD247" s="110"/>
      <c r="CME247" s="110"/>
      <c r="CMF247" s="110"/>
      <c r="CMG247" s="110"/>
      <c r="CMH247" s="110"/>
      <c r="CMI247" s="110"/>
      <c r="CMJ247" s="110"/>
      <c r="CMK247" s="110"/>
      <c r="CML247" s="110"/>
      <c r="CMM247" s="110"/>
      <c r="CMN247" s="110"/>
      <c r="CMO247" s="110"/>
      <c r="CMP247" s="110"/>
      <c r="CMQ247" s="110"/>
      <c r="CMR247" s="110"/>
      <c r="CMS247" s="110"/>
      <c r="CMT247" s="110"/>
      <c r="CMU247" s="110"/>
      <c r="CMV247" s="110"/>
      <c r="CMW247" s="110"/>
      <c r="CMX247" s="110"/>
      <c r="CMY247" s="110"/>
      <c r="CMZ247" s="110"/>
      <c r="CNA247" s="110"/>
      <c r="CNB247" s="110"/>
      <c r="CNC247" s="110"/>
      <c r="CND247" s="110"/>
      <c r="CNE247" s="110"/>
      <c r="CNF247" s="110"/>
      <c r="CNG247" s="110"/>
      <c r="CNH247" s="110"/>
      <c r="CNI247" s="110"/>
      <c r="CNJ247" s="110"/>
      <c r="CNK247" s="110"/>
      <c r="CNL247" s="110"/>
      <c r="CNM247" s="110"/>
      <c r="CNN247" s="110"/>
      <c r="CNO247" s="110"/>
      <c r="CNP247" s="110"/>
      <c r="CNQ247" s="110"/>
      <c r="CNR247" s="110"/>
      <c r="CNS247" s="110"/>
      <c r="CNT247" s="110"/>
      <c r="CNU247" s="110"/>
      <c r="CNV247" s="110"/>
      <c r="CNW247" s="110"/>
      <c r="CNX247" s="110"/>
      <c r="CNY247" s="110"/>
      <c r="CNZ247" s="110"/>
      <c r="COA247" s="110"/>
      <c r="COB247" s="110"/>
      <c r="COC247" s="110"/>
      <c r="COD247" s="110"/>
      <c r="COE247" s="110"/>
      <c r="COF247" s="110"/>
      <c r="COG247" s="110"/>
      <c r="COH247" s="110"/>
      <c r="COI247" s="110"/>
      <c r="COJ247" s="110"/>
      <c r="COK247" s="110"/>
      <c r="COL247" s="110"/>
      <c r="COM247" s="110"/>
      <c r="CON247" s="110"/>
      <c r="COO247" s="110"/>
      <c r="COP247" s="110"/>
      <c r="COQ247" s="110"/>
      <c r="COR247" s="110"/>
      <c r="COS247" s="110"/>
      <c r="COT247" s="110"/>
      <c r="COU247" s="110"/>
      <c r="COV247" s="110"/>
      <c r="COW247" s="110"/>
      <c r="COX247" s="110"/>
      <c r="COY247" s="110"/>
      <c r="COZ247" s="110"/>
      <c r="CPA247" s="110"/>
      <c r="CPB247" s="110"/>
      <c r="CPC247" s="110"/>
      <c r="CPD247" s="110"/>
      <c r="CPE247" s="110"/>
      <c r="CPF247" s="110"/>
      <c r="CPG247" s="110"/>
      <c r="CPH247" s="110"/>
      <c r="CPI247" s="110"/>
      <c r="CPJ247" s="110"/>
      <c r="CPK247" s="110"/>
      <c r="CPL247" s="110"/>
      <c r="CPM247" s="110"/>
      <c r="CPN247" s="110"/>
      <c r="CPO247" s="110"/>
      <c r="CPP247" s="110"/>
      <c r="CPQ247" s="110"/>
      <c r="CPR247" s="110"/>
      <c r="CPS247" s="110"/>
      <c r="CPT247" s="110"/>
      <c r="CPU247" s="110"/>
      <c r="CPV247" s="110"/>
      <c r="CPW247" s="110"/>
      <c r="CPX247" s="110"/>
      <c r="CPY247" s="110"/>
      <c r="CPZ247" s="110"/>
      <c r="CQA247" s="110"/>
      <c r="CQB247" s="110"/>
      <c r="CQC247" s="110"/>
      <c r="CQD247" s="110"/>
      <c r="CQE247" s="110"/>
      <c r="CQF247" s="110"/>
      <c r="CQG247" s="110"/>
      <c r="CQH247" s="110"/>
      <c r="CQI247" s="110"/>
      <c r="CQJ247" s="110"/>
      <c r="CQK247" s="110"/>
      <c r="CQL247" s="110"/>
      <c r="CQM247" s="110"/>
      <c r="CQN247" s="110"/>
      <c r="CQO247" s="110"/>
      <c r="CQP247" s="110"/>
      <c r="CQQ247" s="110"/>
      <c r="CQR247" s="110"/>
      <c r="CQS247" s="110"/>
      <c r="CQT247" s="110"/>
      <c r="CQU247" s="110"/>
      <c r="CQV247" s="110"/>
      <c r="CQW247" s="110"/>
      <c r="CQX247" s="110"/>
      <c r="CQY247" s="110"/>
      <c r="CQZ247" s="110"/>
      <c r="CRA247" s="110"/>
      <c r="CRB247" s="110"/>
      <c r="CRC247" s="110"/>
      <c r="CRD247" s="110"/>
      <c r="CRE247" s="110"/>
      <c r="CRF247" s="110"/>
      <c r="CRG247" s="110"/>
      <c r="CRH247" s="110"/>
      <c r="CRI247" s="110"/>
      <c r="CRJ247" s="110"/>
      <c r="CRK247" s="110"/>
      <c r="CRL247" s="110"/>
      <c r="CRM247" s="110"/>
      <c r="CRN247" s="110"/>
      <c r="CRO247" s="110"/>
      <c r="CRP247" s="110"/>
      <c r="CRQ247" s="110"/>
      <c r="CRR247" s="110"/>
      <c r="CRS247" s="110"/>
      <c r="CRT247" s="110"/>
      <c r="CRU247" s="110"/>
      <c r="CRV247" s="110"/>
      <c r="CRW247" s="110"/>
      <c r="CRX247" s="110"/>
      <c r="CRY247" s="110"/>
      <c r="CRZ247" s="110"/>
      <c r="CSA247" s="110"/>
      <c r="CSB247" s="110"/>
      <c r="CSC247" s="110"/>
      <c r="CSD247" s="110"/>
      <c r="CSE247" s="110"/>
      <c r="CSF247" s="110"/>
      <c r="CSG247" s="110"/>
      <c r="CSH247" s="110"/>
      <c r="CSI247" s="110"/>
      <c r="CSJ247" s="110"/>
      <c r="CSK247" s="110"/>
      <c r="CSL247" s="110"/>
      <c r="CSM247" s="110"/>
      <c r="CSN247" s="110"/>
      <c r="CSO247" s="110"/>
      <c r="CSP247" s="110"/>
      <c r="CSQ247" s="110"/>
      <c r="CSR247" s="110"/>
      <c r="CSS247" s="110"/>
      <c r="CST247" s="110"/>
      <c r="CSU247" s="110"/>
      <c r="CSV247" s="110"/>
      <c r="CSW247" s="110"/>
      <c r="CSX247" s="110"/>
      <c r="CSY247" s="110"/>
      <c r="CSZ247" s="110"/>
      <c r="CTA247" s="110"/>
      <c r="CTB247" s="110"/>
      <c r="CTC247" s="110"/>
      <c r="CTD247" s="110"/>
      <c r="CTE247" s="110"/>
      <c r="CTF247" s="110"/>
      <c r="CTG247" s="110"/>
      <c r="CTH247" s="110"/>
      <c r="CTI247" s="110"/>
      <c r="CTJ247" s="110"/>
      <c r="CTK247" s="110"/>
      <c r="CTL247" s="110"/>
      <c r="CTM247" s="110"/>
      <c r="CTN247" s="110"/>
      <c r="CTO247" s="110"/>
      <c r="CTP247" s="110"/>
      <c r="CTQ247" s="110"/>
      <c r="CTR247" s="110"/>
      <c r="CTS247" s="110"/>
      <c r="CTT247" s="110"/>
      <c r="CTU247" s="110"/>
      <c r="CTV247" s="110"/>
      <c r="CTW247" s="110"/>
      <c r="CTX247" s="110"/>
      <c r="CTY247" s="110"/>
      <c r="CTZ247" s="110"/>
      <c r="CUA247" s="110"/>
      <c r="CUB247" s="110"/>
      <c r="CUC247" s="110"/>
      <c r="CUD247" s="110"/>
      <c r="CUE247" s="110"/>
      <c r="CUF247" s="110"/>
      <c r="CUG247" s="110"/>
      <c r="CUH247" s="110"/>
      <c r="CUI247" s="110"/>
      <c r="CUJ247" s="110"/>
      <c r="CUK247" s="110"/>
      <c r="CUL247" s="110"/>
      <c r="CUM247" s="110"/>
      <c r="CUN247" s="110"/>
      <c r="CUO247" s="110"/>
      <c r="CUP247" s="110"/>
      <c r="CUQ247" s="110"/>
      <c r="CUR247" s="110"/>
      <c r="CUS247" s="110"/>
      <c r="CUT247" s="110"/>
      <c r="CUU247" s="110"/>
      <c r="CUV247" s="110"/>
      <c r="CUW247" s="110"/>
      <c r="CUX247" s="110"/>
      <c r="CUY247" s="110"/>
      <c r="CUZ247" s="110"/>
      <c r="CVA247" s="110"/>
      <c r="CVB247" s="110"/>
      <c r="CVC247" s="110"/>
      <c r="CVD247" s="110"/>
      <c r="CVE247" s="110"/>
      <c r="CVF247" s="110"/>
      <c r="CVG247" s="110"/>
      <c r="CVH247" s="110"/>
      <c r="CVI247" s="110"/>
      <c r="CVJ247" s="110"/>
      <c r="CVK247" s="110"/>
      <c r="CVL247" s="110"/>
      <c r="CVM247" s="110"/>
      <c r="CVN247" s="110"/>
      <c r="CVO247" s="110"/>
      <c r="CVP247" s="110"/>
      <c r="CVQ247" s="110"/>
      <c r="CVR247" s="110"/>
      <c r="CVS247" s="110"/>
      <c r="CVT247" s="110"/>
      <c r="CVU247" s="110"/>
      <c r="CVV247" s="110"/>
      <c r="CVW247" s="110"/>
      <c r="CVX247" s="110"/>
      <c r="CVY247" s="110"/>
      <c r="CVZ247" s="110"/>
      <c r="CWA247" s="110"/>
      <c r="CWB247" s="110"/>
      <c r="CWC247" s="110"/>
      <c r="CWD247" s="110"/>
      <c r="CWE247" s="110"/>
      <c r="CWF247" s="110"/>
      <c r="CWG247" s="110"/>
      <c r="CWH247" s="110"/>
      <c r="CWI247" s="110"/>
      <c r="CWJ247" s="110"/>
      <c r="CWK247" s="110"/>
      <c r="CWL247" s="110"/>
      <c r="CWM247" s="110"/>
      <c r="CWN247" s="110"/>
      <c r="CWO247" s="110"/>
      <c r="CWP247" s="110"/>
      <c r="CWQ247" s="110"/>
      <c r="CWR247" s="110"/>
      <c r="CWS247" s="110"/>
      <c r="CWT247" s="110"/>
      <c r="CWU247" s="110"/>
      <c r="CWV247" s="110"/>
      <c r="CWW247" s="110"/>
      <c r="CWX247" s="110"/>
      <c r="CWY247" s="110"/>
      <c r="CWZ247" s="110"/>
      <c r="CXA247" s="110"/>
      <c r="CXB247" s="110"/>
      <c r="CXC247" s="110"/>
      <c r="CXD247" s="110"/>
      <c r="CXE247" s="110"/>
      <c r="CXF247" s="110"/>
      <c r="CXG247" s="110"/>
      <c r="CXH247" s="110"/>
      <c r="CXI247" s="110"/>
      <c r="CXJ247" s="110"/>
      <c r="CXK247" s="110"/>
      <c r="CXL247" s="110"/>
      <c r="CXM247" s="110"/>
      <c r="CXN247" s="110"/>
      <c r="CXO247" s="110"/>
      <c r="CXP247" s="110"/>
      <c r="CXQ247" s="110"/>
      <c r="CXR247" s="110"/>
      <c r="CXS247" s="110"/>
      <c r="CXT247" s="110"/>
      <c r="CXU247" s="110"/>
      <c r="CXV247" s="110"/>
      <c r="CXW247" s="110"/>
      <c r="CXX247" s="110"/>
      <c r="CXY247" s="110"/>
      <c r="CXZ247" s="110"/>
      <c r="CYA247" s="110"/>
      <c r="CYB247" s="110"/>
      <c r="CYC247" s="110"/>
      <c r="CYD247" s="110"/>
      <c r="CYE247" s="110"/>
      <c r="CYF247" s="110"/>
      <c r="CYG247" s="110"/>
      <c r="CYH247" s="110"/>
      <c r="CYI247" s="110"/>
      <c r="CYJ247" s="110"/>
      <c r="CYK247" s="110"/>
      <c r="CYL247" s="110"/>
      <c r="CYM247" s="110"/>
      <c r="CYN247" s="110"/>
      <c r="CYO247" s="110"/>
      <c r="CYP247" s="110"/>
      <c r="CYQ247" s="110"/>
      <c r="CYR247" s="110"/>
      <c r="CYS247" s="110"/>
      <c r="CYT247" s="110"/>
      <c r="CYU247" s="110"/>
      <c r="CYV247" s="110"/>
      <c r="CYW247" s="110"/>
      <c r="CYX247" s="110"/>
      <c r="CYY247" s="110"/>
      <c r="CYZ247" s="110"/>
      <c r="CZA247" s="110"/>
      <c r="CZB247" s="110"/>
      <c r="CZC247" s="110"/>
      <c r="CZD247" s="110"/>
      <c r="CZE247" s="110"/>
      <c r="CZF247" s="110"/>
      <c r="CZG247" s="110"/>
      <c r="CZH247" s="110"/>
      <c r="CZI247" s="110"/>
      <c r="CZJ247" s="110"/>
      <c r="CZK247" s="110"/>
      <c r="CZL247" s="110"/>
      <c r="CZM247" s="110"/>
      <c r="CZN247" s="110"/>
      <c r="CZO247" s="110"/>
      <c r="CZP247" s="110"/>
      <c r="CZQ247" s="110"/>
      <c r="CZR247" s="110"/>
      <c r="CZS247" s="110"/>
      <c r="CZT247" s="110"/>
      <c r="CZU247" s="110"/>
      <c r="CZV247" s="110"/>
      <c r="CZW247" s="110"/>
      <c r="CZX247" s="110"/>
      <c r="CZY247" s="110"/>
      <c r="CZZ247" s="110"/>
      <c r="DAA247" s="110"/>
      <c r="DAB247" s="110"/>
      <c r="DAC247" s="110"/>
      <c r="DAD247" s="110"/>
      <c r="DAE247" s="110"/>
      <c r="DAF247" s="110"/>
      <c r="DAG247" s="110"/>
      <c r="DAH247" s="110"/>
      <c r="DAI247" s="110"/>
      <c r="DAJ247" s="110"/>
      <c r="DAK247" s="110"/>
      <c r="DAL247" s="110"/>
      <c r="DAM247" s="110"/>
      <c r="DAN247" s="110"/>
      <c r="DAO247" s="110"/>
      <c r="DAP247" s="110"/>
      <c r="DAQ247" s="110"/>
      <c r="DAR247" s="110"/>
      <c r="DAS247" s="110"/>
      <c r="DAT247" s="110"/>
      <c r="DAU247" s="110"/>
      <c r="DAV247" s="110"/>
      <c r="DAW247" s="110"/>
      <c r="DAX247" s="110"/>
      <c r="DAY247" s="110"/>
      <c r="DAZ247" s="110"/>
      <c r="DBA247" s="110"/>
      <c r="DBB247" s="110"/>
      <c r="DBC247" s="110"/>
      <c r="DBD247" s="110"/>
      <c r="DBE247" s="110"/>
      <c r="DBF247" s="110"/>
      <c r="DBG247" s="110"/>
      <c r="DBH247" s="110"/>
      <c r="DBI247" s="110"/>
      <c r="DBJ247" s="110"/>
      <c r="DBK247" s="110"/>
      <c r="DBL247" s="110"/>
      <c r="DBM247" s="110"/>
      <c r="DBN247" s="110"/>
      <c r="DBO247" s="110"/>
      <c r="DBP247" s="110"/>
      <c r="DBQ247" s="110"/>
      <c r="DBR247" s="110"/>
      <c r="DBS247" s="110"/>
      <c r="DBT247" s="110"/>
      <c r="DBU247" s="110"/>
      <c r="DBV247" s="110"/>
      <c r="DBW247" s="110"/>
      <c r="DBX247" s="110"/>
      <c r="DBY247" s="110"/>
      <c r="DBZ247" s="110"/>
      <c r="DCA247" s="110"/>
      <c r="DCB247" s="110"/>
      <c r="DCC247" s="110"/>
      <c r="DCD247" s="110"/>
      <c r="DCE247" s="110"/>
      <c r="DCF247" s="110"/>
      <c r="DCG247" s="110"/>
      <c r="DCH247" s="110"/>
      <c r="DCI247" s="110"/>
      <c r="DCJ247" s="110"/>
      <c r="DCK247" s="110"/>
      <c r="DCL247" s="110"/>
      <c r="DCM247" s="110"/>
      <c r="DCN247" s="110"/>
      <c r="DCO247" s="110"/>
      <c r="DCP247" s="110"/>
      <c r="DCQ247" s="110"/>
      <c r="DCR247" s="110"/>
      <c r="DCS247" s="110"/>
      <c r="DCT247" s="110"/>
      <c r="DCU247" s="110"/>
      <c r="DCV247" s="110"/>
      <c r="DCW247" s="110"/>
      <c r="DCX247" s="110"/>
      <c r="DCY247" s="110"/>
      <c r="DCZ247" s="110"/>
      <c r="DDA247" s="110"/>
      <c r="DDB247" s="110"/>
      <c r="DDC247" s="110"/>
      <c r="DDD247" s="110"/>
      <c r="DDE247" s="110"/>
      <c r="DDF247" s="110"/>
      <c r="DDG247" s="110"/>
      <c r="DDH247" s="110"/>
      <c r="DDI247" s="110"/>
      <c r="DDJ247" s="110"/>
      <c r="DDK247" s="110"/>
      <c r="DDL247" s="110"/>
      <c r="DDM247" s="110"/>
      <c r="DDN247" s="110"/>
      <c r="DDO247" s="110"/>
      <c r="DDP247" s="110"/>
      <c r="DDQ247" s="110"/>
      <c r="DDR247" s="110"/>
      <c r="DDS247" s="110"/>
      <c r="DDT247" s="110"/>
      <c r="DDU247" s="110"/>
      <c r="DDV247" s="110"/>
      <c r="DDW247" s="110"/>
      <c r="DDX247" s="110"/>
      <c r="DDY247" s="110"/>
      <c r="DDZ247" s="110"/>
      <c r="DEA247" s="110"/>
      <c r="DEB247" s="110"/>
      <c r="DEC247" s="110"/>
      <c r="DED247" s="110"/>
      <c r="DEE247" s="110"/>
      <c r="DEF247" s="110"/>
      <c r="DEG247" s="110"/>
      <c r="DEH247" s="110"/>
      <c r="DEI247" s="110"/>
      <c r="DEJ247" s="110"/>
      <c r="DEK247" s="110"/>
      <c r="DEL247" s="110"/>
      <c r="DEM247" s="110"/>
      <c r="DEN247" s="110"/>
      <c r="DEO247" s="110"/>
      <c r="DEP247" s="110"/>
      <c r="DEQ247" s="110"/>
      <c r="DER247" s="110"/>
      <c r="DES247" s="110"/>
      <c r="DET247" s="110"/>
      <c r="DEU247" s="110"/>
      <c r="DEV247" s="110"/>
      <c r="DEW247" s="110"/>
      <c r="DEX247" s="110"/>
      <c r="DEY247" s="110"/>
      <c r="DEZ247" s="110"/>
      <c r="DFA247" s="110"/>
      <c r="DFB247" s="110"/>
      <c r="DFC247" s="110"/>
      <c r="DFD247" s="110"/>
      <c r="DFE247" s="110"/>
      <c r="DFF247" s="110"/>
      <c r="DFG247" s="110"/>
      <c r="DFH247" s="110"/>
      <c r="DFI247" s="110"/>
      <c r="DFJ247" s="110"/>
      <c r="DFK247" s="110"/>
      <c r="DFL247" s="110"/>
      <c r="DFM247" s="110"/>
      <c r="DFN247" s="110"/>
      <c r="DFO247" s="110"/>
      <c r="DFP247" s="110"/>
      <c r="DFQ247" s="110"/>
      <c r="DFR247" s="110"/>
      <c r="DFS247" s="110"/>
      <c r="DFT247" s="110"/>
      <c r="DFU247" s="110"/>
      <c r="DFV247" s="110"/>
      <c r="DFW247" s="110"/>
      <c r="DFX247" s="110"/>
      <c r="DFY247" s="110"/>
      <c r="DFZ247" s="110"/>
      <c r="DGA247" s="110"/>
      <c r="DGB247" s="110"/>
      <c r="DGC247" s="110"/>
      <c r="DGD247" s="110"/>
      <c r="DGE247" s="110"/>
      <c r="DGF247" s="110"/>
      <c r="DGG247" s="110"/>
      <c r="DGH247" s="110"/>
      <c r="DGI247" s="110"/>
      <c r="DGJ247" s="110"/>
      <c r="DGK247" s="110"/>
      <c r="DGL247" s="110"/>
      <c r="DGM247" s="110"/>
      <c r="DGN247" s="110"/>
      <c r="DGO247" s="110"/>
      <c r="DGP247" s="110"/>
      <c r="DGQ247" s="110"/>
      <c r="DGR247" s="110"/>
      <c r="DGS247" s="110"/>
      <c r="DGT247" s="110"/>
      <c r="DGU247" s="110"/>
      <c r="DGV247" s="110"/>
      <c r="DGW247" s="110"/>
      <c r="DGX247" s="110"/>
      <c r="DGY247" s="110"/>
      <c r="DGZ247" s="110"/>
      <c r="DHA247" s="110"/>
      <c r="DHB247" s="110"/>
      <c r="DHC247" s="110"/>
      <c r="DHD247" s="110"/>
      <c r="DHE247" s="110"/>
      <c r="DHF247" s="110"/>
      <c r="DHG247" s="110"/>
      <c r="DHH247" s="110"/>
      <c r="DHI247" s="110"/>
      <c r="DHJ247" s="110"/>
      <c r="DHK247" s="110"/>
      <c r="DHL247" s="110"/>
      <c r="DHM247" s="110"/>
      <c r="DHN247" s="110"/>
      <c r="DHO247" s="110"/>
      <c r="DHP247" s="110"/>
      <c r="DHQ247" s="110"/>
      <c r="DHR247" s="110"/>
      <c r="DHS247" s="110"/>
      <c r="DHT247" s="110"/>
      <c r="DHU247" s="110"/>
      <c r="DHV247" s="110"/>
      <c r="DHW247" s="110"/>
      <c r="DHX247" s="110"/>
      <c r="DHY247" s="110"/>
      <c r="DHZ247" s="110"/>
      <c r="DIA247" s="110"/>
      <c r="DIB247" s="110"/>
      <c r="DIC247" s="110"/>
      <c r="DID247" s="110"/>
      <c r="DIE247" s="110"/>
      <c r="DIF247" s="110"/>
      <c r="DIG247" s="110"/>
      <c r="DIH247" s="110"/>
      <c r="DII247" s="110"/>
      <c r="DIJ247" s="110"/>
      <c r="DIK247" s="110"/>
      <c r="DIL247" s="110"/>
      <c r="DIM247" s="110"/>
      <c r="DIN247" s="110"/>
      <c r="DIO247" s="110"/>
      <c r="DIP247" s="110"/>
      <c r="DIQ247" s="110"/>
      <c r="DIR247" s="110"/>
      <c r="DIS247" s="110"/>
      <c r="DIT247" s="110"/>
      <c r="DIU247" s="110"/>
      <c r="DIV247" s="110"/>
      <c r="DIW247" s="110"/>
      <c r="DIX247" s="110"/>
      <c r="DIY247" s="110"/>
      <c r="DIZ247" s="110"/>
      <c r="DJA247" s="110"/>
      <c r="DJB247" s="110"/>
      <c r="DJC247" s="110"/>
      <c r="DJD247" s="110"/>
      <c r="DJE247" s="110"/>
      <c r="DJF247" s="110"/>
      <c r="DJG247" s="110"/>
      <c r="DJH247" s="110"/>
      <c r="DJI247" s="110"/>
      <c r="DJJ247" s="110"/>
      <c r="DJK247" s="110"/>
      <c r="DJL247" s="110"/>
      <c r="DJM247" s="110"/>
      <c r="DJN247" s="110"/>
      <c r="DJO247" s="110"/>
      <c r="DJP247" s="110"/>
      <c r="DJQ247" s="110"/>
      <c r="DJR247" s="110"/>
      <c r="DJS247" s="110"/>
      <c r="DJT247" s="110"/>
      <c r="DJU247" s="110"/>
      <c r="DJV247" s="110"/>
      <c r="DJW247" s="110"/>
      <c r="DJX247" s="110"/>
      <c r="DJY247" s="110"/>
      <c r="DJZ247" s="110"/>
      <c r="DKA247" s="110"/>
      <c r="DKB247" s="110"/>
      <c r="DKC247" s="110"/>
      <c r="DKD247" s="110"/>
      <c r="DKE247" s="110"/>
      <c r="DKF247" s="110"/>
      <c r="DKG247" s="110"/>
      <c r="DKH247" s="110"/>
      <c r="DKI247" s="110"/>
      <c r="DKJ247" s="110"/>
      <c r="DKK247" s="110"/>
      <c r="DKL247" s="110"/>
      <c r="DKM247" s="110"/>
      <c r="DKN247" s="110"/>
      <c r="DKO247" s="110"/>
      <c r="DKP247" s="110"/>
      <c r="DKQ247" s="110"/>
      <c r="DKR247" s="110"/>
      <c r="DKS247" s="110"/>
      <c r="DKT247" s="110"/>
      <c r="DKU247" s="110"/>
      <c r="DKV247" s="110"/>
      <c r="DKW247" s="110"/>
      <c r="DKX247" s="110"/>
      <c r="DKY247" s="110"/>
      <c r="DKZ247" s="110"/>
      <c r="DLA247" s="110"/>
      <c r="DLB247" s="110"/>
      <c r="DLC247" s="110"/>
      <c r="DLD247" s="110"/>
      <c r="DLE247" s="110"/>
      <c r="DLF247" s="110"/>
      <c r="DLG247" s="110"/>
      <c r="DLH247" s="110"/>
      <c r="DLI247" s="110"/>
      <c r="DLJ247" s="110"/>
      <c r="DLK247" s="110"/>
      <c r="DLL247" s="110"/>
      <c r="DLM247" s="110"/>
      <c r="DLN247" s="110"/>
      <c r="DLO247" s="110"/>
      <c r="DLP247" s="110"/>
      <c r="DLQ247" s="110"/>
      <c r="DLR247" s="110"/>
      <c r="DLS247" s="110"/>
      <c r="DLT247" s="110"/>
      <c r="DLU247" s="110"/>
      <c r="DLV247" s="110"/>
      <c r="DLW247" s="110"/>
      <c r="DLX247" s="110"/>
      <c r="DLY247" s="110"/>
      <c r="DLZ247" s="110"/>
      <c r="DMA247" s="110"/>
      <c r="DMB247" s="110"/>
      <c r="DMC247" s="110"/>
      <c r="DMD247" s="110"/>
      <c r="DME247" s="110"/>
      <c r="DMF247" s="110"/>
      <c r="DMG247" s="110"/>
      <c r="DMH247" s="110"/>
      <c r="DMI247" s="110"/>
      <c r="DMJ247" s="110"/>
      <c r="DMK247" s="110"/>
      <c r="DML247" s="110"/>
      <c r="DMM247" s="110"/>
      <c r="DMN247" s="110"/>
      <c r="DMO247" s="110"/>
      <c r="DMP247" s="110"/>
      <c r="DMQ247" s="110"/>
      <c r="DMR247" s="110"/>
      <c r="DMS247" s="110"/>
      <c r="DMT247" s="110"/>
      <c r="DMU247" s="110"/>
      <c r="DMV247" s="110"/>
      <c r="DMW247" s="110"/>
      <c r="DMX247" s="110"/>
      <c r="DMY247" s="110"/>
      <c r="DMZ247" s="110"/>
      <c r="DNA247" s="110"/>
      <c r="DNB247" s="110"/>
      <c r="DNC247" s="110"/>
      <c r="DND247" s="110"/>
      <c r="DNE247" s="110"/>
      <c r="DNF247" s="110"/>
      <c r="DNG247" s="110"/>
      <c r="DNH247" s="110"/>
      <c r="DNI247" s="110"/>
      <c r="DNJ247" s="110"/>
      <c r="DNK247" s="110"/>
      <c r="DNL247" s="110"/>
      <c r="DNM247" s="110"/>
      <c r="DNN247" s="110"/>
      <c r="DNO247" s="110"/>
      <c r="DNP247" s="110"/>
      <c r="DNQ247" s="110"/>
      <c r="DNR247" s="110"/>
      <c r="DNS247" s="110"/>
      <c r="DNT247" s="110"/>
      <c r="DNU247" s="110"/>
      <c r="DNV247" s="110"/>
      <c r="DNW247" s="110"/>
      <c r="DNX247" s="110"/>
      <c r="DNY247" s="110"/>
      <c r="DNZ247" s="110"/>
      <c r="DOA247" s="110"/>
      <c r="DOB247" s="110"/>
      <c r="DOC247" s="110"/>
      <c r="DOD247" s="110"/>
      <c r="DOE247" s="110"/>
      <c r="DOF247" s="110"/>
      <c r="DOG247" s="110"/>
      <c r="DOH247" s="110"/>
      <c r="DOI247" s="110"/>
      <c r="DOJ247" s="110"/>
      <c r="DOK247" s="110"/>
      <c r="DOL247" s="110"/>
      <c r="DOM247" s="110"/>
      <c r="DON247" s="110"/>
      <c r="DOO247" s="110"/>
      <c r="DOP247" s="110"/>
      <c r="DOQ247" s="110"/>
      <c r="DOR247" s="110"/>
      <c r="DOS247" s="110"/>
      <c r="DOT247" s="110"/>
      <c r="DOU247" s="110"/>
      <c r="DOV247" s="110"/>
      <c r="DOW247" s="110"/>
      <c r="DOX247" s="110"/>
      <c r="DOY247" s="110"/>
      <c r="DOZ247" s="110"/>
      <c r="DPA247" s="110"/>
      <c r="DPB247" s="110"/>
      <c r="DPC247" s="110"/>
      <c r="DPD247" s="110"/>
      <c r="DPE247" s="110"/>
      <c r="DPF247" s="110"/>
      <c r="DPG247" s="110"/>
      <c r="DPH247" s="110"/>
      <c r="DPI247" s="110"/>
      <c r="DPJ247" s="110"/>
      <c r="DPK247" s="110"/>
      <c r="DPL247" s="110"/>
      <c r="DPM247" s="110"/>
      <c r="DPN247" s="110"/>
      <c r="DPO247" s="110"/>
      <c r="DPP247" s="110"/>
      <c r="DPQ247" s="110"/>
      <c r="DPR247" s="110"/>
      <c r="DPS247" s="110"/>
      <c r="DPT247" s="110"/>
      <c r="DPU247" s="110"/>
      <c r="DPV247" s="110"/>
      <c r="DPW247" s="110"/>
      <c r="DPX247" s="110"/>
      <c r="DPY247" s="110"/>
      <c r="DPZ247" s="110"/>
      <c r="DQA247" s="110"/>
      <c r="DQB247" s="110"/>
      <c r="DQC247" s="110"/>
      <c r="DQD247" s="110"/>
      <c r="DQE247" s="110"/>
      <c r="DQF247" s="110"/>
      <c r="DQG247" s="110"/>
      <c r="DQH247" s="110"/>
      <c r="DQI247" s="110"/>
      <c r="DQJ247" s="110"/>
      <c r="DQK247" s="110"/>
      <c r="DQL247" s="110"/>
      <c r="DQM247" s="110"/>
      <c r="DQN247" s="110"/>
      <c r="DQO247" s="110"/>
      <c r="DQP247" s="110"/>
      <c r="DQQ247" s="110"/>
      <c r="DQR247" s="110"/>
      <c r="DQS247" s="110"/>
      <c r="DQT247" s="110"/>
      <c r="DQU247" s="110"/>
      <c r="DQV247" s="110"/>
      <c r="DQW247" s="110"/>
      <c r="DQX247" s="110"/>
      <c r="DQY247" s="110"/>
      <c r="DQZ247" s="110"/>
      <c r="DRA247" s="110"/>
      <c r="DRB247" s="110"/>
      <c r="DRC247" s="110"/>
      <c r="DRD247" s="110"/>
      <c r="DRE247" s="110"/>
      <c r="DRF247" s="110"/>
      <c r="DRG247" s="110"/>
      <c r="DRH247" s="110"/>
      <c r="DRI247" s="110"/>
      <c r="DRJ247" s="110"/>
      <c r="DRK247" s="110"/>
      <c r="DRL247" s="110"/>
      <c r="DRM247" s="110"/>
      <c r="DRN247" s="110"/>
      <c r="DRO247" s="110"/>
      <c r="DRP247" s="110"/>
      <c r="DRQ247" s="110"/>
      <c r="DRR247" s="110"/>
      <c r="DRS247" s="110"/>
      <c r="DRT247" s="110"/>
      <c r="DRU247" s="110"/>
      <c r="DRV247" s="110"/>
      <c r="DRW247" s="110"/>
      <c r="DRX247" s="110"/>
      <c r="DRY247" s="110"/>
      <c r="DRZ247" s="110"/>
      <c r="DSA247" s="110"/>
      <c r="DSB247" s="110"/>
      <c r="DSC247" s="110"/>
      <c r="DSD247" s="110"/>
      <c r="DSE247" s="110"/>
      <c r="DSF247" s="110"/>
      <c r="DSG247" s="110"/>
      <c r="DSH247" s="110"/>
      <c r="DSI247" s="110"/>
      <c r="DSJ247" s="110"/>
      <c r="DSK247" s="110"/>
      <c r="DSL247" s="110"/>
      <c r="DSM247" s="110"/>
      <c r="DSN247" s="110"/>
      <c r="DSO247" s="110"/>
      <c r="DSP247" s="110"/>
      <c r="DSQ247" s="110"/>
      <c r="DSR247" s="110"/>
      <c r="DSS247" s="110"/>
      <c r="DST247" s="110"/>
      <c r="DSU247" s="110"/>
      <c r="DSV247" s="110"/>
      <c r="DSW247" s="110"/>
      <c r="DSX247" s="110"/>
      <c r="DSY247" s="110"/>
      <c r="DSZ247" s="110"/>
      <c r="DTA247" s="110"/>
      <c r="DTB247" s="110"/>
      <c r="DTC247" s="110"/>
      <c r="DTD247" s="110"/>
      <c r="DTE247" s="110"/>
      <c r="DTF247" s="110"/>
      <c r="DTG247" s="110"/>
      <c r="DTH247" s="110"/>
      <c r="DTI247" s="110"/>
      <c r="DTJ247" s="110"/>
      <c r="DTK247" s="110"/>
      <c r="DTL247" s="110"/>
      <c r="DTM247" s="110"/>
      <c r="DTN247" s="110"/>
      <c r="DTO247" s="110"/>
      <c r="DTP247" s="110"/>
      <c r="DTQ247" s="110"/>
      <c r="DTR247" s="110"/>
      <c r="DTS247" s="110"/>
      <c r="DTT247" s="110"/>
      <c r="DTU247" s="110"/>
      <c r="DTV247" s="110"/>
      <c r="DTW247" s="110"/>
      <c r="DTX247" s="110"/>
      <c r="DTY247" s="110"/>
      <c r="DTZ247" s="110"/>
      <c r="DUA247" s="110"/>
      <c r="DUB247" s="110"/>
      <c r="DUC247" s="110"/>
      <c r="DUD247" s="110"/>
      <c r="DUE247" s="110"/>
      <c r="DUF247" s="110"/>
      <c r="DUG247" s="110"/>
      <c r="DUH247" s="110"/>
      <c r="DUI247" s="110"/>
      <c r="DUJ247" s="110"/>
      <c r="DUK247" s="110"/>
      <c r="DUL247" s="110"/>
      <c r="DUM247" s="110"/>
      <c r="DUN247" s="110"/>
      <c r="DUO247" s="110"/>
      <c r="DUP247" s="110"/>
      <c r="DUQ247" s="110"/>
      <c r="DUR247" s="110"/>
      <c r="DUS247" s="110"/>
      <c r="DUT247" s="110"/>
      <c r="DUU247" s="110"/>
      <c r="DUV247" s="110"/>
      <c r="DUW247" s="110"/>
      <c r="DUX247" s="110"/>
      <c r="DUY247" s="110"/>
      <c r="DUZ247" s="110"/>
      <c r="DVA247" s="110"/>
      <c r="DVB247" s="110"/>
      <c r="DVC247" s="110"/>
      <c r="DVD247" s="110"/>
      <c r="DVE247" s="110"/>
      <c r="DVF247" s="110"/>
      <c r="DVG247" s="110"/>
      <c r="DVH247" s="110"/>
      <c r="DVI247" s="110"/>
      <c r="DVJ247" s="110"/>
      <c r="DVK247" s="110"/>
      <c r="DVL247" s="110"/>
      <c r="DVM247" s="110"/>
      <c r="DVN247" s="110"/>
      <c r="DVO247" s="110"/>
      <c r="DVP247" s="110"/>
      <c r="DVQ247" s="110"/>
      <c r="DVR247" s="110"/>
      <c r="DVS247" s="110"/>
      <c r="DVT247" s="110"/>
      <c r="DVU247" s="110"/>
      <c r="DVV247" s="110"/>
      <c r="DVW247" s="110"/>
      <c r="DVX247" s="110"/>
      <c r="DVY247" s="110"/>
      <c r="DVZ247" s="110"/>
      <c r="DWA247" s="110"/>
      <c r="DWB247" s="110"/>
      <c r="DWC247" s="110"/>
      <c r="DWD247" s="110"/>
      <c r="DWE247" s="110"/>
      <c r="DWF247" s="110"/>
      <c r="DWG247" s="110"/>
      <c r="DWH247" s="110"/>
      <c r="DWI247" s="110"/>
      <c r="DWJ247" s="110"/>
      <c r="DWK247" s="110"/>
      <c r="DWL247" s="110"/>
      <c r="DWM247" s="110"/>
      <c r="DWN247" s="110"/>
      <c r="DWO247" s="110"/>
      <c r="DWP247" s="110"/>
      <c r="DWQ247" s="110"/>
      <c r="DWR247" s="110"/>
      <c r="DWS247" s="110"/>
      <c r="DWT247" s="110"/>
      <c r="DWU247" s="110"/>
      <c r="DWV247" s="110"/>
      <c r="DWW247" s="110"/>
      <c r="DWX247" s="110"/>
      <c r="DWY247" s="110"/>
      <c r="DWZ247" s="110"/>
      <c r="DXA247" s="110"/>
      <c r="DXB247" s="110"/>
      <c r="DXC247" s="110"/>
      <c r="DXD247" s="110"/>
      <c r="DXE247" s="110"/>
      <c r="DXF247" s="110"/>
      <c r="DXG247" s="110"/>
      <c r="DXH247" s="110"/>
      <c r="DXI247" s="110"/>
      <c r="DXJ247" s="110"/>
      <c r="DXK247" s="110"/>
      <c r="DXL247" s="110"/>
      <c r="DXM247" s="110"/>
      <c r="DXN247" s="110"/>
      <c r="DXO247" s="110"/>
      <c r="DXP247" s="110"/>
      <c r="DXQ247" s="110"/>
      <c r="DXR247" s="110"/>
      <c r="DXS247" s="110"/>
      <c r="DXT247" s="110"/>
      <c r="DXU247" s="110"/>
      <c r="DXV247" s="110"/>
      <c r="DXW247" s="110"/>
      <c r="DXX247" s="110"/>
      <c r="DXY247" s="110"/>
      <c r="DXZ247" s="110"/>
      <c r="DYA247" s="110"/>
      <c r="DYB247" s="110"/>
      <c r="DYC247" s="110"/>
      <c r="DYD247" s="110"/>
      <c r="DYE247" s="110"/>
      <c r="DYF247" s="110"/>
      <c r="DYG247" s="110"/>
      <c r="DYH247" s="110"/>
      <c r="DYI247" s="110"/>
      <c r="DYJ247" s="110"/>
      <c r="DYK247" s="110"/>
      <c r="DYL247" s="110"/>
      <c r="DYM247" s="110"/>
      <c r="DYN247" s="110"/>
      <c r="DYO247" s="110"/>
      <c r="DYP247" s="110"/>
      <c r="DYQ247" s="110"/>
      <c r="DYR247" s="110"/>
      <c r="DYS247" s="110"/>
      <c r="DYT247" s="110"/>
      <c r="DYU247" s="110"/>
      <c r="DYV247" s="110"/>
      <c r="DYW247" s="110"/>
      <c r="DYX247" s="110"/>
      <c r="DYY247" s="110"/>
      <c r="DYZ247" s="110"/>
      <c r="DZA247" s="110"/>
      <c r="DZB247" s="110"/>
      <c r="DZC247" s="110"/>
      <c r="DZD247" s="110"/>
      <c r="DZE247" s="110"/>
      <c r="DZF247" s="110"/>
      <c r="DZG247" s="110"/>
      <c r="DZH247" s="110"/>
      <c r="DZI247" s="110"/>
      <c r="DZJ247" s="110"/>
      <c r="DZK247" s="110"/>
      <c r="DZL247" s="110"/>
      <c r="DZM247" s="110"/>
      <c r="DZN247" s="110"/>
      <c r="DZO247" s="110"/>
      <c r="DZP247" s="110"/>
      <c r="DZQ247" s="110"/>
      <c r="DZR247" s="110"/>
      <c r="DZS247" s="110"/>
      <c r="DZT247" s="110"/>
      <c r="DZU247" s="110"/>
      <c r="DZV247" s="110"/>
      <c r="DZW247" s="110"/>
      <c r="DZX247" s="110"/>
      <c r="DZY247" s="110"/>
      <c r="DZZ247" s="110"/>
      <c r="EAA247" s="110"/>
      <c r="EAB247" s="110"/>
      <c r="EAC247" s="110"/>
      <c r="EAD247" s="110"/>
      <c r="EAE247" s="110"/>
      <c r="EAF247" s="110"/>
      <c r="EAG247" s="110"/>
      <c r="EAH247" s="110"/>
      <c r="EAI247" s="110"/>
      <c r="EAJ247" s="110"/>
      <c r="EAK247" s="110"/>
      <c r="EAL247" s="110"/>
      <c r="EAM247" s="110"/>
      <c r="EAN247" s="110"/>
      <c r="EAO247" s="110"/>
      <c r="EAP247" s="110"/>
      <c r="EAQ247" s="110"/>
      <c r="EAR247" s="110"/>
      <c r="EAS247" s="110"/>
      <c r="EAT247" s="110"/>
      <c r="EAU247" s="110"/>
      <c r="EAV247" s="110"/>
      <c r="EAW247" s="110"/>
      <c r="EAX247" s="110"/>
      <c r="EAY247" s="110"/>
      <c r="EAZ247" s="110"/>
      <c r="EBA247" s="110"/>
      <c r="EBB247" s="110"/>
      <c r="EBC247" s="110"/>
      <c r="EBD247" s="110"/>
      <c r="EBE247" s="110"/>
      <c r="EBF247" s="110"/>
      <c r="EBG247" s="110"/>
      <c r="EBH247" s="110"/>
      <c r="EBI247" s="110"/>
      <c r="EBJ247" s="110"/>
      <c r="EBK247" s="110"/>
      <c r="EBL247" s="110"/>
      <c r="EBM247" s="110"/>
      <c r="EBN247" s="110"/>
      <c r="EBO247" s="110"/>
      <c r="EBP247" s="110"/>
      <c r="EBQ247" s="110"/>
      <c r="EBR247" s="110"/>
      <c r="EBS247" s="110"/>
      <c r="EBT247" s="110"/>
      <c r="EBU247" s="110"/>
      <c r="EBV247" s="110"/>
      <c r="EBW247" s="110"/>
      <c r="EBX247" s="110"/>
      <c r="EBY247" s="110"/>
      <c r="EBZ247" s="110"/>
      <c r="ECA247" s="110"/>
      <c r="ECB247" s="110"/>
      <c r="ECC247" s="110"/>
      <c r="ECD247" s="110"/>
      <c r="ECE247" s="110"/>
      <c r="ECF247" s="110"/>
      <c r="ECG247" s="110"/>
      <c r="ECH247" s="110"/>
      <c r="ECI247" s="110"/>
      <c r="ECJ247" s="110"/>
      <c r="ECK247" s="110"/>
      <c r="ECL247" s="110"/>
      <c r="ECM247" s="110"/>
      <c r="ECN247" s="110"/>
      <c r="ECO247" s="110"/>
      <c r="ECP247" s="110"/>
      <c r="ECQ247" s="110"/>
      <c r="ECR247" s="110"/>
      <c r="ECS247" s="110"/>
      <c r="ECT247" s="110"/>
      <c r="ECU247" s="110"/>
      <c r="ECV247" s="110"/>
      <c r="ECW247" s="110"/>
      <c r="ECX247" s="110"/>
      <c r="ECY247" s="110"/>
      <c r="ECZ247" s="110"/>
      <c r="EDA247" s="110"/>
      <c r="EDB247" s="110"/>
      <c r="EDC247" s="110"/>
      <c r="EDD247" s="110"/>
      <c r="EDE247" s="110"/>
      <c r="EDF247" s="110"/>
      <c r="EDG247" s="110"/>
      <c r="EDH247" s="110"/>
      <c r="EDI247" s="110"/>
      <c r="EDJ247" s="110"/>
      <c r="EDK247" s="110"/>
      <c r="EDL247" s="110"/>
      <c r="EDM247" s="110"/>
      <c r="EDN247" s="110"/>
      <c r="EDO247" s="110"/>
      <c r="EDP247" s="110"/>
      <c r="EDQ247" s="110"/>
      <c r="EDR247" s="110"/>
      <c r="EDS247" s="110"/>
      <c r="EDT247" s="110"/>
      <c r="EDU247" s="110"/>
      <c r="EDV247" s="110"/>
      <c r="EDW247" s="110"/>
      <c r="EDX247" s="110"/>
      <c r="EDY247" s="110"/>
      <c r="EDZ247" s="110"/>
      <c r="EEA247" s="110"/>
      <c r="EEB247" s="110"/>
      <c r="EEC247" s="110"/>
      <c r="EED247" s="110"/>
      <c r="EEE247" s="110"/>
      <c r="EEF247" s="110"/>
      <c r="EEG247" s="110"/>
      <c r="EEH247" s="110"/>
      <c r="EEI247" s="110"/>
      <c r="EEJ247" s="110"/>
      <c r="EEK247" s="110"/>
      <c r="EEL247" s="110"/>
      <c r="EEM247" s="110"/>
      <c r="EEN247" s="110"/>
      <c r="EEO247" s="110"/>
      <c r="EEP247" s="110"/>
      <c r="EEQ247" s="110"/>
      <c r="EER247" s="110"/>
      <c r="EES247" s="110"/>
      <c r="EET247" s="110"/>
      <c r="EEU247" s="110"/>
      <c r="EEV247" s="110"/>
      <c r="EEW247" s="110"/>
      <c r="EEX247" s="110"/>
      <c r="EEY247" s="110"/>
      <c r="EEZ247" s="110"/>
      <c r="EFA247" s="110"/>
      <c r="EFB247" s="110"/>
      <c r="EFC247" s="110"/>
      <c r="EFD247" s="110"/>
      <c r="EFE247" s="110"/>
      <c r="EFF247" s="110"/>
      <c r="EFG247" s="110"/>
      <c r="EFH247" s="110"/>
      <c r="EFI247" s="110"/>
      <c r="EFJ247" s="110"/>
      <c r="EFK247" s="110"/>
      <c r="EFL247" s="110"/>
      <c r="EFM247" s="110"/>
      <c r="EFN247" s="110"/>
      <c r="EFO247" s="110"/>
      <c r="EFP247" s="110"/>
      <c r="EFQ247" s="110"/>
      <c r="EFR247" s="110"/>
      <c r="EFS247" s="110"/>
      <c r="EFT247" s="110"/>
      <c r="EFU247" s="110"/>
      <c r="EFV247" s="110"/>
      <c r="EFW247" s="110"/>
      <c r="EFX247" s="110"/>
      <c r="EFY247" s="110"/>
      <c r="EFZ247" s="110"/>
      <c r="EGA247" s="110"/>
      <c r="EGB247" s="110"/>
      <c r="EGC247" s="110"/>
      <c r="EGD247" s="110"/>
      <c r="EGE247" s="110"/>
      <c r="EGF247" s="110"/>
      <c r="EGG247" s="110"/>
      <c r="EGH247" s="110"/>
      <c r="EGI247" s="110"/>
      <c r="EGJ247" s="110"/>
      <c r="EGK247" s="110"/>
      <c r="EGL247" s="110"/>
      <c r="EGM247" s="110"/>
      <c r="EGN247" s="110"/>
      <c r="EGO247" s="110"/>
      <c r="EGP247" s="110"/>
      <c r="EGQ247" s="110"/>
      <c r="EGR247" s="110"/>
      <c r="EGS247" s="110"/>
      <c r="EGT247" s="110"/>
      <c r="EGU247" s="110"/>
      <c r="EGV247" s="110"/>
      <c r="EGW247" s="110"/>
      <c r="EGX247" s="110"/>
      <c r="EGY247" s="110"/>
      <c r="EGZ247" s="110"/>
      <c r="EHA247" s="110"/>
      <c r="EHB247" s="110"/>
      <c r="EHC247" s="110"/>
      <c r="EHD247" s="110"/>
      <c r="EHE247" s="110"/>
      <c r="EHF247" s="110"/>
      <c r="EHG247" s="110"/>
      <c r="EHH247" s="110"/>
      <c r="EHI247" s="110"/>
      <c r="EHJ247" s="110"/>
      <c r="EHK247" s="110"/>
      <c r="EHL247" s="110"/>
      <c r="EHM247" s="110"/>
      <c r="EHN247" s="110"/>
      <c r="EHO247" s="110"/>
      <c r="EHP247" s="110"/>
      <c r="EHQ247" s="110"/>
      <c r="EHR247" s="110"/>
      <c r="EHS247" s="110"/>
      <c r="EHT247" s="110"/>
      <c r="EHU247" s="110"/>
      <c r="EHV247" s="110"/>
      <c r="EHW247" s="110"/>
      <c r="EHX247" s="110"/>
      <c r="EHY247" s="110"/>
      <c r="EHZ247" s="110"/>
      <c r="EIA247" s="110"/>
      <c r="EIB247" s="110"/>
      <c r="EIC247" s="110"/>
      <c r="EID247" s="110"/>
      <c r="EIE247" s="110"/>
      <c r="EIF247" s="110"/>
      <c r="EIG247" s="110"/>
      <c r="EIH247" s="110"/>
      <c r="EII247" s="110"/>
      <c r="EIJ247" s="110"/>
      <c r="EIK247" s="110"/>
      <c r="EIL247" s="110"/>
      <c r="EIM247" s="110"/>
      <c r="EIN247" s="110"/>
      <c r="EIO247" s="110"/>
      <c r="EIP247" s="110"/>
      <c r="EIQ247" s="110"/>
      <c r="EIR247" s="110"/>
      <c r="EIS247" s="110"/>
      <c r="EIT247" s="110"/>
      <c r="EIU247" s="110"/>
      <c r="EIV247" s="110"/>
      <c r="EIW247" s="110"/>
      <c r="EIX247" s="110"/>
      <c r="EIY247" s="110"/>
      <c r="EIZ247" s="110"/>
      <c r="EJA247" s="110"/>
      <c r="EJB247" s="110"/>
      <c r="EJC247" s="110"/>
      <c r="EJD247" s="110"/>
      <c r="EJE247" s="110"/>
      <c r="EJF247" s="110"/>
      <c r="EJG247" s="110"/>
      <c r="EJH247" s="110"/>
      <c r="EJI247" s="110"/>
      <c r="EJJ247" s="110"/>
      <c r="EJK247" s="110"/>
      <c r="EJL247" s="110"/>
      <c r="EJM247" s="110"/>
      <c r="EJN247" s="110"/>
      <c r="EJO247" s="110"/>
      <c r="EJP247" s="110"/>
      <c r="EJQ247" s="110"/>
      <c r="EJR247" s="110"/>
      <c r="EJS247" s="110"/>
      <c r="EJT247" s="110"/>
      <c r="EJU247" s="110"/>
      <c r="EJV247" s="110"/>
      <c r="EJW247" s="110"/>
      <c r="EJX247" s="110"/>
      <c r="EJY247" s="110"/>
      <c r="EJZ247" s="110"/>
      <c r="EKA247" s="110"/>
      <c r="EKB247" s="110"/>
      <c r="EKC247" s="110"/>
      <c r="EKD247" s="110"/>
      <c r="EKE247" s="110"/>
      <c r="EKF247" s="110"/>
      <c r="EKG247" s="110"/>
      <c r="EKH247" s="110"/>
      <c r="EKI247" s="110"/>
      <c r="EKJ247" s="110"/>
      <c r="EKK247" s="110"/>
      <c r="EKL247" s="110"/>
      <c r="EKM247" s="110"/>
      <c r="EKN247" s="110"/>
      <c r="EKO247" s="110"/>
      <c r="EKP247" s="110"/>
      <c r="EKQ247" s="110"/>
      <c r="EKR247" s="110"/>
      <c r="EKS247" s="110"/>
      <c r="EKT247" s="110"/>
      <c r="EKU247" s="110"/>
      <c r="EKV247" s="110"/>
      <c r="EKW247" s="110"/>
      <c r="EKX247" s="110"/>
      <c r="EKY247" s="110"/>
      <c r="EKZ247" s="110"/>
      <c r="ELA247" s="110"/>
      <c r="ELB247" s="110"/>
      <c r="ELC247" s="110"/>
      <c r="ELD247" s="110"/>
      <c r="ELE247" s="110"/>
      <c r="ELF247" s="110"/>
      <c r="ELG247" s="110"/>
      <c r="ELH247" s="110"/>
      <c r="ELI247" s="110"/>
      <c r="ELJ247" s="110"/>
      <c r="ELK247" s="110"/>
      <c r="ELL247" s="110"/>
      <c r="ELM247" s="110"/>
      <c r="ELN247" s="110"/>
      <c r="ELO247" s="110"/>
      <c r="ELP247" s="110"/>
      <c r="ELQ247" s="110"/>
      <c r="ELR247" s="110"/>
      <c r="ELS247" s="110"/>
      <c r="ELT247" s="110"/>
      <c r="ELU247" s="110"/>
      <c r="ELV247" s="110"/>
      <c r="ELW247" s="110"/>
      <c r="ELX247" s="110"/>
      <c r="ELY247" s="110"/>
      <c r="ELZ247" s="110"/>
      <c r="EMA247" s="110"/>
      <c r="EMB247" s="110"/>
      <c r="EMC247" s="110"/>
      <c r="EMD247" s="110"/>
      <c r="EME247" s="110"/>
      <c r="EMF247" s="110"/>
      <c r="EMG247" s="110"/>
      <c r="EMH247" s="110"/>
      <c r="EMI247" s="110"/>
      <c r="EMJ247" s="110"/>
      <c r="EMK247" s="110"/>
      <c r="EML247" s="110"/>
      <c r="EMM247" s="110"/>
      <c r="EMN247" s="110"/>
      <c r="EMO247" s="110"/>
      <c r="EMP247" s="110"/>
      <c r="EMQ247" s="110"/>
      <c r="EMR247" s="110"/>
      <c r="EMS247" s="110"/>
      <c r="EMT247" s="110"/>
      <c r="EMU247" s="110"/>
      <c r="EMV247" s="110"/>
      <c r="EMW247" s="110"/>
      <c r="EMX247" s="110"/>
      <c r="EMY247" s="110"/>
      <c r="EMZ247" s="110"/>
      <c r="ENA247" s="110"/>
      <c r="ENB247" s="110"/>
      <c r="ENC247" s="110"/>
      <c r="END247" s="110"/>
      <c r="ENE247" s="110"/>
      <c r="ENF247" s="110"/>
      <c r="ENG247" s="110"/>
      <c r="ENH247" s="110"/>
      <c r="ENI247" s="110"/>
      <c r="ENJ247" s="110"/>
      <c r="ENK247" s="110"/>
      <c r="ENL247" s="110"/>
      <c r="ENM247" s="110"/>
      <c r="ENN247" s="110"/>
      <c r="ENO247" s="110"/>
      <c r="ENP247" s="110"/>
      <c r="ENQ247" s="110"/>
      <c r="ENR247" s="110"/>
      <c r="ENS247" s="110"/>
      <c r="ENT247" s="110"/>
      <c r="ENU247" s="110"/>
      <c r="ENV247" s="110"/>
      <c r="ENW247" s="110"/>
      <c r="ENX247" s="110"/>
      <c r="ENY247" s="110"/>
      <c r="ENZ247" s="110"/>
      <c r="EOA247" s="110"/>
      <c r="EOB247" s="110"/>
      <c r="EOC247" s="110"/>
      <c r="EOD247" s="110"/>
      <c r="EOE247" s="110"/>
      <c r="EOF247" s="110"/>
      <c r="EOG247" s="110"/>
      <c r="EOH247" s="110"/>
      <c r="EOI247" s="110"/>
      <c r="EOJ247" s="110"/>
      <c r="EOK247" s="110"/>
      <c r="EOL247" s="110"/>
      <c r="EOM247" s="110"/>
      <c r="EON247" s="110"/>
      <c r="EOO247" s="110"/>
      <c r="EOP247" s="110"/>
      <c r="EOQ247" s="110"/>
      <c r="EOR247" s="110"/>
      <c r="EOS247" s="110"/>
      <c r="EOT247" s="110"/>
      <c r="EOU247" s="110"/>
      <c r="EOV247" s="110"/>
      <c r="EOW247" s="110"/>
      <c r="EOX247" s="110"/>
      <c r="EOY247" s="110"/>
      <c r="EOZ247" s="110"/>
      <c r="EPA247" s="110"/>
      <c r="EPB247" s="110"/>
      <c r="EPC247" s="110"/>
      <c r="EPD247" s="110"/>
      <c r="EPE247" s="110"/>
      <c r="EPF247" s="110"/>
      <c r="EPG247" s="110"/>
      <c r="EPH247" s="110"/>
      <c r="EPI247" s="110"/>
      <c r="EPJ247" s="110"/>
      <c r="EPK247" s="110"/>
      <c r="EPL247" s="110"/>
      <c r="EPM247" s="110"/>
      <c r="EPN247" s="110"/>
      <c r="EPO247" s="110"/>
      <c r="EPP247" s="110"/>
      <c r="EPQ247" s="110"/>
      <c r="EPR247" s="110"/>
      <c r="EPS247" s="110"/>
      <c r="EPT247" s="110"/>
      <c r="EPU247" s="110"/>
      <c r="EPV247" s="110"/>
      <c r="EPW247" s="110"/>
      <c r="EPX247" s="110"/>
      <c r="EPY247" s="110"/>
      <c r="EPZ247" s="110"/>
      <c r="EQA247" s="110"/>
      <c r="EQB247" s="110"/>
      <c r="EQC247" s="110"/>
      <c r="EQD247" s="110"/>
      <c r="EQE247" s="110"/>
      <c r="EQF247" s="110"/>
      <c r="EQG247" s="110"/>
      <c r="EQH247" s="110"/>
      <c r="EQI247" s="110"/>
      <c r="EQJ247" s="110"/>
      <c r="EQK247" s="110"/>
      <c r="EQL247" s="110"/>
      <c r="EQM247" s="110"/>
      <c r="EQN247" s="110"/>
      <c r="EQO247" s="110"/>
      <c r="EQP247" s="110"/>
      <c r="EQQ247" s="110"/>
      <c r="EQR247" s="110"/>
      <c r="EQS247" s="110"/>
      <c r="EQT247" s="110"/>
      <c r="EQU247" s="110"/>
      <c r="EQV247" s="110"/>
      <c r="EQW247" s="110"/>
      <c r="EQX247" s="110"/>
      <c r="EQY247" s="110"/>
      <c r="EQZ247" s="110"/>
      <c r="ERA247" s="110"/>
      <c r="ERB247" s="110"/>
      <c r="ERC247" s="110"/>
      <c r="ERD247" s="110"/>
      <c r="ERE247" s="110"/>
      <c r="ERF247" s="110"/>
      <c r="ERG247" s="110"/>
      <c r="ERH247" s="110"/>
      <c r="ERI247" s="110"/>
      <c r="ERJ247" s="110"/>
      <c r="ERK247" s="110"/>
      <c r="ERL247" s="110"/>
      <c r="ERM247" s="110"/>
      <c r="ERN247" s="110"/>
      <c r="ERO247" s="110"/>
      <c r="ERP247" s="110"/>
      <c r="ERQ247" s="110"/>
      <c r="ERR247" s="110"/>
      <c r="ERS247" s="110"/>
      <c r="ERT247" s="110"/>
      <c r="ERU247" s="110"/>
      <c r="ERV247" s="110"/>
      <c r="ERW247" s="110"/>
      <c r="ERX247" s="110"/>
      <c r="ERY247" s="110"/>
      <c r="ERZ247" s="110"/>
      <c r="ESA247" s="110"/>
      <c r="ESB247" s="110"/>
      <c r="ESC247" s="110"/>
      <c r="ESD247" s="110"/>
      <c r="ESE247" s="110"/>
      <c r="ESF247" s="110"/>
      <c r="ESG247" s="110"/>
      <c r="ESH247" s="110"/>
      <c r="ESI247" s="110"/>
      <c r="ESJ247" s="110"/>
      <c r="ESK247" s="110"/>
      <c r="ESL247" s="110"/>
      <c r="ESM247" s="110"/>
      <c r="ESN247" s="110"/>
      <c r="ESO247" s="110"/>
      <c r="ESP247" s="110"/>
      <c r="ESQ247" s="110"/>
      <c r="ESR247" s="110"/>
      <c r="ESS247" s="110"/>
      <c r="EST247" s="110"/>
      <c r="ESU247" s="110"/>
      <c r="ESV247" s="110"/>
      <c r="ESW247" s="110"/>
      <c r="ESX247" s="110"/>
      <c r="ESY247" s="110"/>
      <c r="ESZ247" s="110"/>
      <c r="ETA247" s="110"/>
      <c r="ETB247" s="110"/>
      <c r="ETC247" s="110"/>
      <c r="ETD247" s="110"/>
      <c r="ETE247" s="110"/>
      <c r="ETF247" s="110"/>
      <c r="ETG247" s="110"/>
      <c r="ETH247" s="110"/>
      <c r="ETI247" s="110"/>
      <c r="ETJ247" s="110"/>
      <c r="ETK247" s="110"/>
      <c r="ETL247" s="110"/>
      <c r="ETM247" s="110"/>
      <c r="ETN247" s="110"/>
      <c r="ETO247" s="110"/>
      <c r="ETP247" s="110"/>
      <c r="ETQ247" s="110"/>
      <c r="ETR247" s="110"/>
      <c r="ETS247" s="110"/>
      <c r="ETT247" s="110"/>
      <c r="ETU247" s="110"/>
      <c r="ETV247" s="110"/>
      <c r="ETW247" s="110"/>
      <c r="ETX247" s="110"/>
      <c r="ETY247" s="110"/>
      <c r="ETZ247" s="110"/>
      <c r="EUA247" s="110"/>
      <c r="EUB247" s="110"/>
      <c r="EUC247" s="110"/>
      <c r="EUD247" s="110"/>
      <c r="EUE247" s="110"/>
      <c r="EUF247" s="110"/>
      <c r="EUG247" s="110"/>
      <c r="EUH247" s="110"/>
      <c r="EUI247" s="110"/>
      <c r="EUJ247" s="110"/>
      <c r="EUK247" s="110"/>
      <c r="EUL247" s="110"/>
      <c r="EUM247" s="110"/>
      <c r="EUN247" s="110"/>
      <c r="EUO247" s="110"/>
      <c r="EUP247" s="110"/>
      <c r="EUQ247" s="110"/>
      <c r="EUR247" s="110"/>
      <c r="EUS247" s="110"/>
      <c r="EUT247" s="110"/>
      <c r="EUU247" s="110"/>
      <c r="EUV247" s="110"/>
      <c r="EUW247" s="110"/>
      <c r="EUX247" s="110"/>
      <c r="EUY247" s="110"/>
      <c r="EUZ247" s="110"/>
      <c r="EVA247" s="110"/>
      <c r="EVB247" s="110"/>
      <c r="EVC247" s="110"/>
      <c r="EVD247" s="110"/>
      <c r="EVE247" s="110"/>
      <c r="EVF247" s="110"/>
      <c r="EVG247" s="110"/>
      <c r="EVH247" s="110"/>
      <c r="EVI247" s="110"/>
      <c r="EVJ247" s="110"/>
      <c r="EVK247" s="110"/>
      <c r="EVL247" s="110"/>
      <c r="EVM247" s="110"/>
      <c r="EVN247" s="110"/>
      <c r="EVO247" s="110"/>
      <c r="EVP247" s="110"/>
      <c r="EVQ247" s="110"/>
      <c r="EVR247" s="110"/>
      <c r="EVS247" s="110"/>
      <c r="EVT247" s="110"/>
      <c r="EVU247" s="110"/>
      <c r="EVV247" s="110"/>
      <c r="EVW247" s="110"/>
      <c r="EVX247" s="110"/>
      <c r="EVY247" s="110"/>
      <c r="EVZ247" s="110"/>
      <c r="EWA247" s="110"/>
      <c r="EWB247" s="110"/>
      <c r="EWC247" s="110"/>
      <c r="EWD247" s="110"/>
      <c r="EWE247" s="110"/>
      <c r="EWF247" s="110"/>
      <c r="EWG247" s="110"/>
      <c r="EWH247" s="110"/>
      <c r="EWI247" s="110"/>
      <c r="EWJ247" s="110"/>
      <c r="EWK247" s="110"/>
      <c r="EWL247" s="110"/>
      <c r="EWM247" s="110"/>
      <c r="EWN247" s="110"/>
      <c r="EWO247" s="110"/>
      <c r="EWP247" s="110"/>
      <c r="EWQ247" s="110"/>
      <c r="EWR247" s="110"/>
      <c r="EWS247" s="110"/>
      <c r="EWT247" s="110"/>
      <c r="EWU247" s="110"/>
      <c r="EWV247" s="110"/>
      <c r="EWW247" s="110"/>
      <c r="EWX247" s="110"/>
      <c r="EWY247" s="110"/>
      <c r="EWZ247" s="110"/>
      <c r="EXA247" s="110"/>
      <c r="EXB247" s="110"/>
      <c r="EXC247" s="110"/>
      <c r="EXD247" s="110"/>
      <c r="EXE247" s="110"/>
      <c r="EXF247" s="110"/>
      <c r="EXG247" s="110"/>
      <c r="EXH247" s="110"/>
      <c r="EXI247" s="110"/>
      <c r="EXJ247" s="110"/>
      <c r="EXK247" s="110"/>
      <c r="EXL247" s="110"/>
      <c r="EXM247" s="110"/>
      <c r="EXN247" s="110"/>
      <c r="EXO247" s="110"/>
      <c r="EXP247" s="110"/>
      <c r="EXQ247" s="110"/>
      <c r="EXR247" s="110"/>
      <c r="EXS247" s="110"/>
      <c r="EXT247" s="110"/>
      <c r="EXU247" s="110"/>
      <c r="EXV247" s="110"/>
      <c r="EXW247" s="110"/>
      <c r="EXX247" s="110"/>
      <c r="EXY247" s="110"/>
      <c r="EXZ247" s="110"/>
      <c r="EYA247" s="110"/>
      <c r="EYB247" s="110"/>
      <c r="EYC247" s="110"/>
      <c r="EYD247" s="110"/>
      <c r="EYE247" s="110"/>
      <c r="EYF247" s="110"/>
      <c r="EYG247" s="110"/>
      <c r="EYH247" s="110"/>
      <c r="EYI247" s="110"/>
      <c r="EYJ247" s="110"/>
      <c r="EYK247" s="110"/>
      <c r="EYL247" s="110"/>
      <c r="EYM247" s="110"/>
      <c r="EYN247" s="110"/>
      <c r="EYO247" s="110"/>
      <c r="EYP247" s="110"/>
      <c r="EYQ247" s="110"/>
      <c r="EYR247" s="110"/>
      <c r="EYS247" s="110"/>
      <c r="EYT247" s="110"/>
      <c r="EYU247" s="110"/>
      <c r="EYV247" s="110"/>
      <c r="EYW247" s="110"/>
      <c r="EYX247" s="110"/>
      <c r="EYY247" s="110"/>
      <c r="EYZ247" s="110"/>
      <c r="EZA247" s="110"/>
      <c r="EZB247" s="110"/>
      <c r="EZC247" s="110"/>
      <c r="EZD247" s="110"/>
      <c r="EZE247" s="110"/>
      <c r="EZF247" s="110"/>
      <c r="EZG247" s="110"/>
      <c r="EZH247" s="110"/>
      <c r="EZI247" s="110"/>
      <c r="EZJ247" s="110"/>
      <c r="EZK247" s="110"/>
      <c r="EZL247" s="110"/>
      <c r="EZM247" s="110"/>
      <c r="EZN247" s="110"/>
      <c r="EZO247" s="110"/>
      <c r="EZP247" s="110"/>
      <c r="EZQ247" s="110"/>
      <c r="EZR247" s="110"/>
      <c r="EZS247" s="110"/>
      <c r="EZT247" s="110"/>
      <c r="EZU247" s="110"/>
      <c r="EZV247" s="110"/>
      <c r="EZW247" s="110"/>
      <c r="EZX247" s="110"/>
      <c r="EZY247" s="110"/>
      <c r="EZZ247" s="110"/>
      <c r="FAA247" s="110"/>
      <c r="FAB247" s="110"/>
      <c r="FAC247" s="110"/>
      <c r="FAD247" s="110"/>
      <c r="FAE247" s="110"/>
      <c r="FAF247" s="110"/>
      <c r="FAG247" s="110"/>
      <c r="FAH247" s="110"/>
      <c r="FAI247" s="110"/>
      <c r="FAJ247" s="110"/>
      <c r="FAK247" s="110"/>
      <c r="FAL247" s="110"/>
      <c r="FAM247" s="110"/>
      <c r="FAN247" s="110"/>
      <c r="FAO247" s="110"/>
      <c r="FAP247" s="110"/>
      <c r="FAQ247" s="110"/>
      <c r="FAR247" s="110"/>
      <c r="FAS247" s="110"/>
      <c r="FAT247" s="110"/>
      <c r="FAU247" s="110"/>
      <c r="FAV247" s="110"/>
      <c r="FAW247" s="110"/>
      <c r="FAX247" s="110"/>
      <c r="FAY247" s="110"/>
      <c r="FAZ247" s="110"/>
      <c r="FBA247" s="110"/>
      <c r="FBB247" s="110"/>
      <c r="FBC247" s="110"/>
      <c r="FBD247" s="110"/>
      <c r="FBE247" s="110"/>
      <c r="FBF247" s="110"/>
      <c r="FBG247" s="110"/>
      <c r="FBH247" s="110"/>
      <c r="FBI247" s="110"/>
      <c r="FBJ247" s="110"/>
      <c r="FBK247" s="110"/>
      <c r="FBL247" s="110"/>
      <c r="FBM247" s="110"/>
      <c r="FBN247" s="110"/>
      <c r="FBO247" s="110"/>
      <c r="FBP247" s="110"/>
      <c r="FBQ247" s="110"/>
      <c r="FBR247" s="110"/>
      <c r="FBS247" s="110"/>
      <c r="FBT247" s="110"/>
      <c r="FBU247" s="110"/>
      <c r="FBV247" s="110"/>
      <c r="FBW247" s="110"/>
      <c r="FBX247" s="110"/>
      <c r="FBY247" s="110"/>
      <c r="FBZ247" s="110"/>
      <c r="FCA247" s="110"/>
      <c r="FCB247" s="110"/>
      <c r="FCC247" s="110"/>
      <c r="FCD247" s="110"/>
      <c r="FCE247" s="110"/>
      <c r="FCF247" s="110"/>
      <c r="FCG247" s="110"/>
      <c r="FCH247" s="110"/>
      <c r="FCI247" s="110"/>
      <c r="FCJ247" s="110"/>
      <c r="FCK247" s="110"/>
      <c r="FCL247" s="110"/>
      <c r="FCM247" s="110"/>
      <c r="FCN247" s="110"/>
      <c r="FCO247" s="110"/>
      <c r="FCP247" s="110"/>
      <c r="FCQ247" s="110"/>
      <c r="FCR247" s="110"/>
      <c r="FCS247" s="110"/>
      <c r="FCT247" s="110"/>
      <c r="FCU247" s="110"/>
      <c r="FCV247" s="110"/>
      <c r="FCW247" s="110"/>
      <c r="FCX247" s="110"/>
      <c r="FCY247" s="110"/>
      <c r="FCZ247" s="110"/>
      <c r="FDA247" s="110"/>
      <c r="FDB247" s="110"/>
      <c r="FDC247" s="110"/>
      <c r="FDD247" s="110"/>
      <c r="FDE247" s="110"/>
      <c r="FDF247" s="110"/>
      <c r="FDG247" s="110"/>
      <c r="FDH247" s="110"/>
      <c r="FDI247" s="110"/>
      <c r="FDJ247" s="110"/>
      <c r="FDK247" s="110"/>
      <c r="FDL247" s="110"/>
      <c r="FDM247" s="110"/>
      <c r="FDN247" s="110"/>
      <c r="FDO247" s="110"/>
      <c r="FDP247" s="110"/>
      <c r="FDQ247" s="110"/>
      <c r="FDR247" s="110"/>
      <c r="FDS247" s="110"/>
      <c r="FDT247" s="110"/>
      <c r="FDU247" s="110"/>
      <c r="FDV247" s="110"/>
      <c r="FDW247" s="110"/>
      <c r="FDX247" s="110"/>
      <c r="FDY247" s="110"/>
      <c r="FDZ247" s="110"/>
      <c r="FEA247" s="110"/>
      <c r="FEB247" s="110"/>
      <c r="FEC247" s="110"/>
      <c r="FED247" s="110"/>
      <c r="FEE247" s="110"/>
      <c r="FEF247" s="110"/>
      <c r="FEG247" s="110"/>
      <c r="FEH247" s="110"/>
      <c r="FEI247" s="110"/>
      <c r="FEJ247" s="110"/>
      <c r="FEK247" s="110"/>
      <c r="FEL247" s="110"/>
      <c r="FEM247" s="110"/>
      <c r="FEN247" s="110"/>
      <c r="FEO247" s="110"/>
      <c r="FEP247" s="110"/>
      <c r="FEQ247" s="110"/>
      <c r="FER247" s="110"/>
      <c r="FES247" s="110"/>
      <c r="FET247" s="110"/>
      <c r="FEU247" s="110"/>
      <c r="FEV247" s="110"/>
      <c r="FEW247" s="110"/>
      <c r="FEX247" s="110"/>
      <c r="FEY247" s="110"/>
      <c r="FEZ247" s="110"/>
      <c r="FFA247" s="110"/>
      <c r="FFB247" s="110"/>
      <c r="FFC247" s="110"/>
      <c r="FFD247" s="110"/>
      <c r="FFE247" s="110"/>
      <c r="FFF247" s="110"/>
      <c r="FFG247" s="110"/>
      <c r="FFH247" s="110"/>
      <c r="FFI247" s="110"/>
      <c r="FFJ247" s="110"/>
      <c r="FFK247" s="110"/>
      <c r="FFL247" s="110"/>
      <c r="FFM247" s="110"/>
      <c r="FFN247" s="110"/>
      <c r="FFO247" s="110"/>
      <c r="FFP247" s="110"/>
      <c r="FFQ247" s="110"/>
      <c r="FFR247" s="110"/>
      <c r="FFS247" s="110"/>
      <c r="FFT247" s="110"/>
      <c r="FFU247" s="110"/>
      <c r="FFV247" s="110"/>
      <c r="FFW247" s="110"/>
      <c r="FFX247" s="110"/>
      <c r="FFY247" s="110"/>
      <c r="FFZ247" s="110"/>
      <c r="FGA247" s="110"/>
      <c r="FGB247" s="110"/>
      <c r="FGC247" s="110"/>
      <c r="FGD247" s="110"/>
      <c r="FGE247" s="110"/>
      <c r="FGF247" s="110"/>
      <c r="FGG247" s="110"/>
      <c r="FGH247" s="110"/>
      <c r="FGI247" s="110"/>
      <c r="FGJ247" s="110"/>
      <c r="FGK247" s="110"/>
      <c r="FGL247" s="110"/>
      <c r="FGM247" s="110"/>
      <c r="FGN247" s="110"/>
      <c r="FGO247" s="110"/>
      <c r="FGP247" s="110"/>
      <c r="FGQ247" s="110"/>
      <c r="FGR247" s="110"/>
      <c r="FGS247" s="110"/>
      <c r="FGT247" s="110"/>
      <c r="FGU247" s="110"/>
      <c r="FGV247" s="110"/>
      <c r="FGW247" s="110"/>
      <c r="FGX247" s="110"/>
      <c r="FGY247" s="110"/>
      <c r="FGZ247" s="110"/>
      <c r="FHA247" s="110"/>
      <c r="FHB247" s="110"/>
      <c r="FHC247" s="110"/>
      <c r="FHD247" s="110"/>
      <c r="FHE247" s="110"/>
      <c r="FHF247" s="110"/>
      <c r="FHG247" s="110"/>
      <c r="FHH247" s="110"/>
      <c r="FHI247" s="110"/>
      <c r="FHJ247" s="110"/>
      <c r="FHK247" s="110"/>
      <c r="FHL247" s="110"/>
      <c r="FHM247" s="110"/>
      <c r="FHN247" s="110"/>
      <c r="FHO247" s="110"/>
      <c r="FHP247" s="110"/>
      <c r="FHQ247" s="110"/>
      <c r="FHR247" s="110"/>
      <c r="FHS247" s="110"/>
      <c r="FHT247" s="110"/>
      <c r="FHU247" s="110"/>
      <c r="FHV247" s="110"/>
      <c r="FHW247" s="110"/>
      <c r="FHX247" s="110"/>
      <c r="FHY247" s="110"/>
      <c r="FHZ247" s="110"/>
      <c r="FIA247" s="110"/>
      <c r="FIB247" s="110"/>
      <c r="FIC247" s="110"/>
      <c r="FID247" s="110"/>
      <c r="FIE247" s="110"/>
      <c r="FIF247" s="110"/>
      <c r="FIG247" s="110"/>
      <c r="FIH247" s="110"/>
      <c r="FII247" s="110"/>
      <c r="FIJ247" s="110"/>
      <c r="FIK247" s="110"/>
      <c r="FIL247" s="110"/>
      <c r="FIM247" s="110"/>
      <c r="FIN247" s="110"/>
      <c r="FIO247" s="110"/>
      <c r="FIP247" s="110"/>
      <c r="FIQ247" s="110"/>
      <c r="FIR247" s="110"/>
      <c r="FIS247" s="110"/>
      <c r="FIT247" s="110"/>
      <c r="FIU247" s="110"/>
      <c r="FIV247" s="110"/>
      <c r="FIW247" s="110"/>
      <c r="FIX247" s="110"/>
      <c r="FIY247" s="110"/>
      <c r="FIZ247" s="110"/>
      <c r="FJA247" s="110"/>
      <c r="FJB247" s="110"/>
      <c r="FJC247" s="110"/>
      <c r="FJD247" s="110"/>
      <c r="FJE247" s="110"/>
      <c r="FJF247" s="110"/>
      <c r="FJG247" s="110"/>
      <c r="FJH247" s="110"/>
      <c r="FJI247" s="110"/>
      <c r="FJJ247" s="110"/>
      <c r="FJK247" s="110"/>
      <c r="FJL247" s="110"/>
      <c r="FJM247" s="110"/>
      <c r="FJN247" s="110"/>
      <c r="FJO247" s="110"/>
      <c r="FJP247" s="110"/>
      <c r="FJQ247" s="110"/>
      <c r="FJR247" s="110"/>
      <c r="FJS247" s="110"/>
      <c r="FJT247" s="110"/>
      <c r="FJU247" s="110"/>
      <c r="FJV247" s="110"/>
      <c r="FJW247" s="110"/>
      <c r="FJX247" s="110"/>
      <c r="FJY247" s="110"/>
      <c r="FJZ247" s="110"/>
      <c r="FKA247" s="110"/>
      <c r="FKB247" s="110"/>
      <c r="FKC247" s="110"/>
      <c r="FKD247" s="110"/>
      <c r="FKE247" s="110"/>
      <c r="FKF247" s="110"/>
      <c r="FKG247" s="110"/>
      <c r="FKH247" s="110"/>
      <c r="FKI247" s="110"/>
      <c r="FKJ247" s="110"/>
      <c r="FKK247" s="110"/>
      <c r="FKL247" s="110"/>
      <c r="FKM247" s="110"/>
      <c r="FKN247" s="110"/>
      <c r="FKO247" s="110"/>
      <c r="FKP247" s="110"/>
      <c r="FKQ247" s="110"/>
      <c r="FKR247" s="110"/>
      <c r="FKS247" s="110"/>
      <c r="FKT247" s="110"/>
      <c r="FKU247" s="110"/>
      <c r="FKV247" s="110"/>
      <c r="FKW247" s="110"/>
      <c r="FKX247" s="110"/>
      <c r="FKY247" s="110"/>
      <c r="FKZ247" s="110"/>
      <c r="FLA247" s="110"/>
      <c r="FLB247" s="110"/>
      <c r="FLC247" s="110"/>
      <c r="FLD247" s="110"/>
      <c r="FLE247" s="110"/>
      <c r="FLF247" s="110"/>
      <c r="FLG247" s="110"/>
      <c r="FLH247" s="110"/>
      <c r="FLI247" s="110"/>
      <c r="FLJ247" s="110"/>
      <c r="FLK247" s="110"/>
      <c r="FLL247" s="110"/>
      <c r="FLM247" s="110"/>
      <c r="FLN247" s="110"/>
      <c r="FLO247" s="110"/>
      <c r="FLP247" s="110"/>
      <c r="FLQ247" s="110"/>
      <c r="FLR247" s="110"/>
      <c r="FLS247" s="110"/>
      <c r="FLT247" s="110"/>
      <c r="FLU247" s="110"/>
      <c r="FLV247" s="110"/>
      <c r="FLW247" s="110"/>
      <c r="FLX247" s="110"/>
      <c r="FLY247" s="110"/>
      <c r="FLZ247" s="110"/>
      <c r="FMA247" s="110"/>
      <c r="FMB247" s="110"/>
      <c r="FMC247" s="110"/>
      <c r="FMD247" s="110"/>
      <c r="FME247" s="110"/>
      <c r="FMF247" s="110"/>
      <c r="FMG247" s="110"/>
      <c r="FMH247" s="110"/>
      <c r="FMI247" s="110"/>
      <c r="FMJ247" s="110"/>
      <c r="FMK247" s="110"/>
      <c r="FML247" s="110"/>
      <c r="FMM247" s="110"/>
      <c r="FMN247" s="110"/>
      <c r="FMO247" s="110"/>
      <c r="FMP247" s="110"/>
      <c r="FMQ247" s="110"/>
      <c r="FMR247" s="110"/>
      <c r="FMS247" s="110"/>
      <c r="FMT247" s="110"/>
      <c r="FMU247" s="110"/>
      <c r="FMV247" s="110"/>
      <c r="FMW247" s="110"/>
      <c r="FMX247" s="110"/>
      <c r="FMY247" s="110"/>
      <c r="FMZ247" s="110"/>
      <c r="FNA247" s="110"/>
      <c r="FNB247" s="110"/>
      <c r="FNC247" s="110"/>
      <c r="FND247" s="110"/>
      <c r="FNE247" s="110"/>
      <c r="FNF247" s="110"/>
      <c r="FNG247" s="110"/>
      <c r="FNH247" s="110"/>
      <c r="FNI247" s="110"/>
      <c r="FNJ247" s="110"/>
      <c r="FNK247" s="110"/>
      <c r="FNL247" s="110"/>
      <c r="FNM247" s="110"/>
      <c r="FNN247" s="110"/>
      <c r="FNO247" s="110"/>
      <c r="FNP247" s="110"/>
      <c r="FNQ247" s="110"/>
      <c r="FNR247" s="110"/>
      <c r="FNS247" s="110"/>
      <c r="FNT247" s="110"/>
      <c r="FNU247" s="110"/>
      <c r="FNV247" s="110"/>
      <c r="FNW247" s="110"/>
      <c r="FNX247" s="110"/>
      <c r="FNY247" s="110"/>
      <c r="FNZ247" s="110"/>
      <c r="FOA247" s="110"/>
      <c r="FOB247" s="110"/>
      <c r="FOC247" s="110"/>
      <c r="FOD247" s="110"/>
      <c r="FOE247" s="110"/>
      <c r="FOF247" s="110"/>
      <c r="FOG247" s="110"/>
      <c r="FOH247" s="110"/>
      <c r="FOI247" s="110"/>
      <c r="FOJ247" s="110"/>
      <c r="FOK247" s="110"/>
      <c r="FOL247" s="110"/>
      <c r="FOM247" s="110"/>
      <c r="FON247" s="110"/>
      <c r="FOO247" s="110"/>
      <c r="FOP247" s="110"/>
      <c r="FOQ247" s="110"/>
      <c r="FOR247" s="110"/>
      <c r="FOS247" s="110"/>
      <c r="FOT247" s="110"/>
      <c r="FOU247" s="110"/>
      <c r="FOV247" s="110"/>
      <c r="FOW247" s="110"/>
      <c r="FOX247" s="110"/>
      <c r="FOY247" s="110"/>
      <c r="FOZ247" s="110"/>
      <c r="FPA247" s="110"/>
      <c r="FPB247" s="110"/>
      <c r="FPC247" s="110"/>
      <c r="FPD247" s="110"/>
      <c r="FPE247" s="110"/>
      <c r="FPF247" s="110"/>
      <c r="FPG247" s="110"/>
      <c r="FPH247" s="110"/>
      <c r="FPI247" s="110"/>
      <c r="FPJ247" s="110"/>
      <c r="FPK247" s="110"/>
      <c r="FPL247" s="110"/>
      <c r="FPM247" s="110"/>
      <c r="FPN247" s="110"/>
      <c r="FPO247" s="110"/>
      <c r="FPP247" s="110"/>
      <c r="FPQ247" s="110"/>
      <c r="FPR247" s="110"/>
      <c r="FPS247" s="110"/>
      <c r="FPT247" s="110"/>
      <c r="FPU247" s="110"/>
      <c r="FPV247" s="110"/>
      <c r="FPW247" s="110"/>
      <c r="FPX247" s="110"/>
      <c r="FPY247" s="110"/>
      <c r="FPZ247" s="110"/>
      <c r="FQA247" s="110"/>
      <c r="FQB247" s="110"/>
      <c r="FQC247" s="110"/>
      <c r="FQD247" s="110"/>
      <c r="FQE247" s="110"/>
      <c r="FQF247" s="110"/>
      <c r="FQG247" s="110"/>
      <c r="FQH247" s="110"/>
      <c r="FQI247" s="110"/>
      <c r="FQJ247" s="110"/>
      <c r="FQK247" s="110"/>
      <c r="FQL247" s="110"/>
      <c r="FQM247" s="110"/>
      <c r="FQN247" s="110"/>
      <c r="FQO247" s="110"/>
      <c r="FQP247" s="110"/>
      <c r="FQQ247" s="110"/>
      <c r="FQR247" s="110"/>
      <c r="FQS247" s="110"/>
      <c r="FQT247" s="110"/>
      <c r="FQU247" s="110"/>
      <c r="FQV247" s="110"/>
      <c r="FQW247" s="110"/>
      <c r="FQX247" s="110"/>
      <c r="FQY247" s="110"/>
      <c r="FQZ247" s="110"/>
      <c r="FRA247" s="110"/>
      <c r="FRB247" s="110"/>
      <c r="FRC247" s="110"/>
      <c r="FRD247" s="110"/>
      <c r="FRE247" s="110"/>
      <c r="FRF247" s="110"/>
      <c r="FRG247" s="110"/>
      <c r="FRH247" s="110"/>
      <c r="FRI247" s="110"/>
      <c r="FRJ247" s="110"/>
      <c r="FRK247" s="110"/>
      <c r="FRL247" s="110"/>
      <c r="FRM247" s="110"/>
      <c r="FRN247" s="110"/>
      <c r="FRO247" s="110"/>
      <c r="FRP247" s="110"/>
      <c r="FRQ247" s="110"/>
      <c r="FRR247" s="110"/>
      <c r="FRS247" s="110"/>
      <c r="FRT247" s="110"/>
      <c r="FRU247" s="110"/>
      <c r="FRV247" s="110"/>
      <c r="FRW247" s="110"/>
      <c r="FRX247" s="110"/>
      <c r="FRY247" s="110"/>
      <c r="FRZ247" s="110"/>
      <c r="FSA247" s="110"/>
      <c r="FSB247" s="110"/>
      <c r="FSC247" s="110"/>
      <c r="FSD247" s="110"/>
      <c r="FSE247" s="110"/>
      <c r="FSF247" s="110"/>
      <c r="FSG247" s="110"/>
      <c r="FSH247" s="110"/>
      <c r="FSI247" s="110"/>
      <c r="FSJ247" s="110"/>
      <c r="FSK247" s="110"/>
      <c r="FSL247" s="110"/>
      <c r="FSM247" s="110"/>
      <c r="FSN247" s="110"/>
      <c r="FSO247" s="110"/>
      <c r="FSP247" s="110"/>
      <c r="FSQ247" s="110"/>
      <c r="FSR247" s="110"/>
      <c r="FSS247" s="110"/>
      <c r="FST247" s="110"/>
      <c r="FSU247" s="110"/>
      <c r="FSV247" s="110"/>
      <c r="FSW247" s="110"/>
      <c r="FSX247" s="110"/>
      <c r="FSY247" s="110"/>
      <c r="FSZ247" s="110"/>
      <c r="FTA247" s="110"/>
      <c r="FTB247" s="110"/>
      <c r="FTC247" s="110"/>
      <c r="FTD247" s="110"/>
      <c r="FTE247" s="110"/>
      <c r="FTF247" s="110"/>
      <c r="FTG247" s="110"/>
      <c r="FTH247" s="110"/>
      <c r="FTI247" s="110"/>
      <c r="FTJ247" s="110"/>
      <c r="FTK247" s="110"/>
      <c r="FTL247" s="110"/>
      <c r="FTM247" s="110"/>
      <c r="FTN247" s="110"/>
      <c r="FTO247" s="110"/>
      <c r="FTP247" s="110"/>
      <c r="FTQ247" s="110"/>
      <c r="FTR247" s="110"/>
      <c r="FTS247" s="110"/>
      <c r="FTT247" s="110"/>
      <c r="FTU247" s="110"/>
      <c r="FTV247" s="110"/>
      <c r="FTW247" s="110"/>
      <c r="FTX247" s="110"/>
      <c r="FTY247" s="110"/>
      <c r="FTZ247" s="110"/>
      <c r="FUA247" s="110"/>
      <c r="FUB247" s="110"/>
      <c r="FUC247" s="110"/>
      <c r="FUD247" s="110"/>
      <c r="FUE247" s="110"/>
      <c r="FUF247" s="110"/>
      <c r="FUG247" s="110"/>
      <c r="FUH247" s="110"/>
      <c r="FUI247" s="110"/>
      <c r="FUJ247" s="110"/>
      <c r="FUK247" s="110"/>
      <c r="FUL247" s="110"/>
      <c r="FUM247" s="110"/>
      <c r="FUN247" s="110"/>
      <c r="FUO247" s="110"/>
      <c r="FUP247" s="110"/>
      <c r="FUQ247" s="110"/>
      <c r="FUR247" s="110"/>
      <c r="FUS247" s="110"/>
      <c r="FUT247" s="110"/>
      <c r="FUU247" s="110"/>
      <c r="FUV247" s="110"/>
      <c r="FUW247" s="110"/>
      <c r="FUX247" s="110"/>
      <c r="FUY247" s="110"/>
      <c r="FUZ247" s="110"/>
      <c r="FVA247" s="110"/>
      <c r="FVB247" s="110"/>
      <c r="FVC247" s="110"/>
      <c r="FVD247" s="110"/>
      <c r="FVE247" s="110"/>
      <c r="FVF247" s="110"/>
      <c r="FVG247" s="110"/>
      <c r="FVH247" s="110"/>
      <c r="FVI247" s="110"/>
      <c r="FVJ247" s="110"/>
      <c r="FVK247" s="110"/>
      <c r="FVL247" s="110"/>
      <c r="FVM247" s="110"/>
      <c r="FVN247" s="110"/>
      <c r="FVO247" s="110"/>
      <c r="FVP247" s="110"/>
      <c r="FVQ247" s="110"/>
      <c r="FVR247" s="110"/>
      <c r="FVS247" s="110"/>
      <c r="FVT247" s="110"/>
      <c r="FVU247" s="110"/>
      <c r="FVV247" s="110"/>
      <c r="FVW247" s="110"/>
      <c r="FVX247" s="110"/>
      <c r="FVY247" s="110"/>
      <c r="FVZ247" s="110"/>
      <c r="FWA247" s="110"/>
      <c r="FWB247" s="110"/>
      <c r="FWC247" s="110"/>
      <c r="FWD247" s="110"/>
      <c r="FWE247" s="110"/>
      <c r="FWF247" s="110"/>
      <c r="FWG247" s="110"/>
      <c r="FWH247" s="110"/>
      <c r="FWI247" s="110"/>
      <c r="FWJ247" s="110"/>
      <c r="FWK247" s="110"/>
      <c r="FWL247" s="110"/>
      <c r="FWM247" s="110"/>
      <c r="FWN247" s="110"/>
      <c r="FWO247" s="110"/>
      <c r="FWP247" s="110"/>
      <c r="FWQ247" s="110"/>
      <c r="FWR247" s="110"/>
      <c r="FWS247" s="110"/>
      <c r="FWT247" s="110"/>
      <c r="FWU247" s="110"/>
      <c r="FWV247" s="110"/>
      <c r="FWW247" s="110"/>
      <c r="FWX247" s="110"/>
      <c r="FWY247" s="110"/>
      <c r="FWZ247" s="110"/>
      <c r="FXA247" s="110"/>
      <c r="FXB247" s="110"/>
      <c r="FXC247" s="110"/>
      <c r="FXD247" s="110"/>
      <c r="FXE247" s="110"/>
      <c r="FXF247" s="110"/>
      <c r="FXG247" s="110"/>
      <c r="FXH247" s="110"/>
      <c r="FXI247" s="110"/>
      <c r="FXJ247" s="110"/>
      <c r="FXK247" s="110"/>
      <c r="FXL247" s="110"/>
      <c r="FXM247" s="110"/>
      <c r="FXN247" s="110"/>
      <c r="FXO247" s="110"/>
      <c r="FXP247" s="110"/>
      <c r="FXQ247" s="110"/>
      <c r="FXR247" s="110"/>
      <c r="FXS247" s="110"/>
      <c r="FXT247" s="110"/>
      <c r="FXU247" s="110"/>
      <c r="FXV247" s="110"/>
      <c r="FXW247" s="110"/>
      <c r="FXX247" s="110"/>
      <c r="FXY247" s="110"/>
      <c r="FXZ247" s="110"/>
      <c r="FYA247" s="110"/>
      <c r="FYB247" s="110"/>
      <c r="FYC247" s="110"/>
      <c r="FYD247" s="110"/>
      <c r="FYE247" s="110"/>
      <c r="FYF247" s="110"/>
      <c r="FYG247" s="110"/>
      <c r="FYH247" s="110"/>
      <c r="FYI247" s="110"/>
      <c r="FYJ247" s="110"/>
      <c r="FYK247" s="110"/>
      <c r="FYL247" s="110"/>
      <c r="FYM247" s="110"/>
      <c r="FYN247" s="110"/>
      <c r="FYO247" s="110"/>
      <c r="FYP247" s="110"/>
      <c r="FYQ247" s="110"/>
      <c r="FYR247" s="110"/>
      <c r="FYS247" s="110"/>
      <c r="FYT247" s="110"/>
      <c r="FYU247" s="110"/>
      <c r="FYV247" s="110"/>
      <c r="FYW247" s="110"/>
      <c r="FYX247" s="110"/>
      <c r="FYY247" s="110"/>
      <c r="FYZ247" s="110"/>
      <c r="FZA247" s="110"/>
      <c r="FZB247" s="110"/>
      <c r="FZC247" s="110"/>
      <c r="FZD247" s="110"/>
      <c r="FZE247" s="110"/>
      <c r="FZF247" s="110"/>
      <c r="FZG247" s="110"/>
      <c r="FZH247" s="110"/>
      <c r="FZI247" s="110"/>
      <c r="FZJ247" s="110"/>
      <c r="FZK247" s="110"/>
      <c r="FZL247" s="110"/>
      <c r="FZM247" s="110"/>
      <c r="FZN247" s="110"/>
      <c r="FZO247" s="110"/>
      <c r="FZP247" s="110"/>
      <c r="FZQ247" s="110"/>
      <c r="FZR247" s="110"/>
      <c r="FZS247" s="110"/>
      <c r="FZT247" s="110"/>
      <c r="FZU247" s="110"/>
      <c r="FZV247" s="110"/>
      <c r="FZW247" s="110"/>
      <c r="FZX247" s="110"/>
      <c r="FZY247" s="110"/>
      <c r="FZZ247" s="110"/>
      <c r="GAA247" s="110"/>
      <c r="GAB247" s="110"/>
      <c r="GAC247" s="110"/>
      <c r="GAD247" s="110"/>
      <c r="GAE247" s="110"/>
      <c r="GAF247" s="110"/>
      <c r="GAG247" s="110"/>
      <c r="GAH247" s="110"/>
      <c r="GAI247" s="110"/>
      <c r="GAJ247" s="110"/>
      <c r="GAK247" s="110"/>
      <c r="GAL247" s="110"/>
      <c r="GAM247" s="110"/>
      <c r="GAN247" s="110"/>
      <c r="GAO247" s="110"/>
      <c r="GAP247" s="110"/>
      <c r="GAQ247" s="110"/>
      <c r="GAR247" s="110"/>
      <c r="GAS247" s="110"/>
    </row>
    <row r="248" spans="1:4777" s="93" customFormat="1" ht="25.15" customHeight="1" outlineLevel="1" x14ac:dyDescent="0.25">
      <c r="A248" s="80" t="s">
        <v>202</v>
      </c>
      <c r="B248" s="80"/>
      <c r="C248" s="80"/>
      <c r="D248" s="80" t="s">
        <v>1756</v>
      </c>
      <c r="E248" s="90" t="s">
        <v>33</v>
      </c>
      <c r="F248" s="80" t="s">
        <v>34</v>
      </c>
      <c r="G248" s="80" t="s">
        <v>455</v>
      </c>
      <c r="H248" s="80" t="s">
        <v>998</v>
      </c>
      <c r="I248" s="80" t="s">
        <v>7</v>
      </c>
      <c r="J248" s="80"/>
      <c r="K248" s="90" t="s">
        <v>30</v>
      </c>
      <c r="L248" s="106"/>
      <c r="M248" s="80" t="s">
        <v>1710</v>
      </c>
      <c r="N248" s="83" t="s">
        <v>35</v>
      </c>
      <c r="O248" s="91">
        <v>5006</v>
      </c>
      <c r="P248" s="91">
        <v>2172</v>
      </c>
      <c r="Q248" s="91">
        <v>2300</v>
      </c>
      <c r="R248" s="91"/>
      <c r="S248" s="91">
        <v>3390</v>
      </c>
      <c r="T248" s="91">
        <v>2300</v>
      </c>
      <c r="U248" s="91">
        <v>7790</v>
      </c>
      <c r="V248" s="91">
        <v>1020</v>
      </c>
      <c r="W248" s="91">
        <v>4750</v>
      </c>
      <c r="X248" s="91">
        <v>1992</v>
      </c>
      <c r="Y248" s="91"/>
      <c r="Z248" s="91"/>
      <c r="AA248" s="80" t="s">
        <v>1683</v>
      </c>
      <c r="AB248" s="80">
        <v>7200</v>
      </c>
      <c r="AC248" s="80">
        <v>2860</v>
      </c>
      <c r="AD248" s="92"/>
      <c r="AE248" s="92"/>
      <c r="AF248" s="92"/>
      <c r="AG248" s="92"/>
      <c r="AH248" s="115">
        <v>25</v>
      </c>
      <c r="AI248" s="90" t="s">
        <v>1711</v>
      </c>
      <c r="AJ248" s="90"/>
      <c r="AK248" s="90" t="s">
        <v>1375</v>
      </c>
      <c r="AL248" s="90"/>
      <c r="AM248" s="90" t="s">
        <v>1712</v>
      </c>
      <c r="AN248" s="90"/>
      <c r="AO248" s="90" t="s">
        <v>1703</v>
      </c>
      <c r="AP248" s="90"/>
      <c r="AQ248" s="90"/>
      <c r="AR248" s="90"/>
      <c r="AS248" s="90" t="s">
        <v>1704</v>
      </c>
      <c r="AT248" s="90"/>
      <c r="AU248" s="152" t="s">
        <v>1705</v>
      </c>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80"/>
      <c r="BT248" s="80"/>
    </row>
    <row r="249" spans="1:4777" s="93" customFormat="1" ht="25.15" customHeight="1" outlineLevel="1" x14ac:dyDescent="0.25">
      <c r="A249" s="80" t="s">
        <v>202</v>
      </c>
      <c r="B249" s="80"/>
      <c r="C249" s="80"/>
      <c r="D249" s="80" t="s">
        <v>1756</v>
      </c>
      <c r="E249" s="90" t="s">
        <v>33</v>
      </c>
      <c r="F249" s="80" t="s">
        <v>34</v>
      </c>
      <c r="G249" s="80" t="s">
        <v>455</v>
      </c>
      <c r="H249" s="80" t="s">
        <v>998</v>
      </c>
      <c r="I249" s="80" t="s">
        <v>7</v>
      </c>
      <c r="J249" s="80"/>
      <c r="K249" s="90" t="s">
        <v>999</v>
      </c>
      <c r="L249" s="90"/>
      <c r="M249" s="80" t="s">
        <v>1710</v>
      </c>
      <c r="N249" s="83" t="s">
        <v>460</v>
      </c>
      <c r="O249" s="91">
        <v>5038</v>
      </c>
      <c r="P249" s="91">
        <v>2218</v>
      </c>
      <c r="Q249" s="91">
        <v>2300</v>
      </c>
      <c r="R249" s="91"/>
      <c r="S249" s="91">
        <v>3500</v>
      </c>
      <c r="T249" s="91">
        <v>2300</v>
      </c>
      <c r="U249" s="91">
        <v>7800</v>
      </c>
      <c r="V249" s="91">
        <v>1150</v>
      </c>
      <c r="W249" s="91">
        <v>4750</v>
      </c>
      <c r="X249" s="91">
        <v>1993</v>
      </c>
      <c r="Y249" s="91"/>
      <c r="Z249" s="91"/>
      <c r="AA249" s="80" t="s">
        <v>1000</v>
      </c>
      <c r="AB249" s="80">
        <v>7200</v>
      </c>
      <c r="AC249" s="80">
        <v>2910</v>
      </c>
      <c r="AD249" s="83"/>
      <c r="AE249" s="83"/>
      <c r="AF249" s="83"/>
      <c r="AG249" s="83"/>
      <c r="AH249" s="115">
        <v>25.9</v>
      </c>
      <c r="AI249" s="90" t="s">
        <v>1711</v>
      </c>
      <c r="AJ249" s="90"/>
      <c r="AK249" s="90" t="s">
        <v>1375</v>
      </c>
      <c r="AL249" s="90"/>
      <c r="AM249" s="90" t="s">
        <v>1712</v>
      </c>
      <c r="AN249" s="90"/>
      <c r="AO249" s="80" t="s">
        <v>1707</v>
      </c>
      <c r="AP249" s="90"/>
      <c r="AQ249" s="90"/>
      <c r="AR249" s="90"/>
      <c r="AS249" s="90" t="s">
        <v>1704</v>
      </c>
      <c r="AT249" s="90"/>
      <c r="AU249" s="102" t="s">
        <v>1708</v>
      </c>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80"/>
      <c r="BT249" s="80"/>
    </row>
    <row r="250" spans="1:4777" s="93" customFormat="1" ht="25.15" customHeight="1" outlineLevel="1" x14ac:dyDescent="0.25">
      <c r="A250" s="80" t="s">
        <v>202</v>
      </c>
      <c r="B250" s="1"/>
      <c r="C250" s="153"/>
      <c r="D250" s="153" t="s">
        <v>1757</v>
      </c>
      <c r="E250" s="90" t="s">
        <v>33</v>
      </c>
      <c r="F250" s="80" t="s">
        <v>34</v>
      </c>
      <c r="G250" s="80" t="s">
        <v>455</v>
      </c>
      <c r="H250" s="80" t="s">
        <v>998</v>
      </c>
      <c r="I250" s="80" t="s">
        <v>7</v>
      </c>
      <c r="J250" s="80"/>
      <c r="K250" s="90" t="s">
        <v>999</v>
      </c>
      <c r="L250" s="106"/>
      <c r="M250" s="80" t="s">
        <v>1710</v>
      </c>
      <c r="N250" s="154" t="s">
        <v>1709</v>
      </c>
      <c r="O250" s="91">
        <v>5006</v>
      </c>
      <c r="P250" s="91">
        <v>2172</v>
      </c>
      <c r="Q250" s="91">
        <v>2300</v>
      </c>
      <c r="R250" s="91"/>
      <c r="S250" s="91">
        <v>3390</v>
      </c>
      <c r="T250" s="91">
        <v>2300</v>
      </c>
      <c r="U250" s="91">
        <v>7790</v>
      </c>
      <c r="V250" s="91">
        <v>1020</v>
      </c>
      <c r="W250" s="91">
        <v>4750</v>
      </c>
      <c r="X250" s="91">
        <v>1992</v>
      </c>
      <c r="Y250" s="116"/>
      <c r="Z250" s="116"/>
      <c r="AA250" s="80" t="s">
        <v>1683</v>
      </c>
      <c r="AB250" s="80">
        <v>7200</v>
      </c>
      <c r="AC250" s="80">
        <v>2860</v>
      </c>
      <c r="AD250" s="117"/>
      <c r="AE250" s="117"/>
      <c r="AF250" s="117"/>
      <c r="AG250" s="117"/>
      <c r="AH250" s="115">
        <v>25.9</v>
      </c>
      <c r="AI250" s="90" t="s">
        <v>1711</v>
      </c>
      <c r="AJ250" s="90"/>
      <c r="AK250" s="90" t="s">
        <v>1375</v>
      </c>
      <c r="AL250" s="90"/>
      <c r="AM250" s="90" t="s">
        <v>1712</v>
      </c>
      <c r="AN250" s="90"/>
      <c r="AO250" s="107" t="s">
        <v>1703</v>
      </c>
      <c r="AP250" s="90"/>
      <c r="AQ250" s="90"/>
      <c r="AR250" s="90"/>
      <c r="AS250" s="90" t="s">
        <v>1704</v>
      </c>
      <c r="AT250" s="90"/>
      <c r="AU250" s="152" t="s">
        <v>1705</v>
      </c>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80"/>
      <c r="BT250" s="80"/>
      <c r="BU250" s="111"/>
      <c r="BV250" s="111"/>
      <c r="BW250" s="111"/>
      <c r="BX250" s="111"/>
      <c r="BY250" s="111"/>
      <c r="BZ250" s="111"/>
      <c r="CA250" s="111"/>
      <c r="CB250" s="111"/>
      <c r="CC250" s="111"/>
      <c r="CD250" s="111"/>
      <c r="CE250" s="111"/>
      <c r="CF250" s="111"/>
      <c r="CG250" s="111"/>
      <c r="CH250" s="111"/>
      <c r="CI250" s="111"/>
      <c r="CJ250" s="111"/>
      <c r="CK250" s="111"/>
      <c r="CL250" s="111"/>
      <c r="CM250" s="111"/>
      <c r="CN250" s="111"/>
      <c r="CO250" s="111"/>
      <c r="CP250" s="111"/>
      <c r="CQ250" s="111"/>
      <c r="CR250" s="111"/>
      <c r="CS250" s="111"/>
      <c r="CT250" s="111"/>
      <c r="CU250" s="111"/>
      <c r="CV250" s="111"/>
      <c r="CW250" s="111"/>
      <c r="CX250" s="111"/>
      <c r="CY250" s="111"/>
      <c r="CZ250" s="111"/>
      <c r="DA250" s="111"/>
      <c r="DB250" s="111"/>
      <c r="DC250" s="111"/>
      <c r="DD250" s="111"/>
      <c r="DE250" s="111"/>
      <c r="DF250" s="111"/>
      <c r="DG250" s="111"/>
      <c r="DH250" s="111"/>
      <c r="DI250" s="111"/>
      <c r="DJ250" s="111"/>
      <c r="DK250" s="111"/>
      <c r="DL250" s="111"/>
      <c r="DM250" s="111"/>
      <c r="DN250" s="111"/>
      <c r="DO250" s="111"/>
      <c r="DP250" s="111"/>
      <c r="DQ250" s="111"/>
      <c r="DR250" s="111"/>
      <c r="DS250" s="111"/>
      <c r="DT250" s="111"/>
      <c r="DU250" s="111"/>
      <c r="DV250" s="111"/>
      <c r="DW250" s="111"/>
      <c r="DX250" s="111"/>
      <c r="DY250" s="111"/>
      <c r="DZ250" s="111"/>
      <c r="EA250" s="111"/>
      <c r="EB250" s="111"/>
      <c r="EC250" s="111"/>
      <c r="ED250" s="111"/>
      <c r="EE250" s="111"/>
      <c r="EF250" s="111"/>
      <c r="EG250" s="111"/>
      <c r="EH250" s="111"/>
      <c r="EI250" s="111"/>
      <c r="EJ250" s="111"/>
      <c r="EK250" s="111"/>
      <c r="EL250" s="111"/>
      <c r="EM250" s="111"/>
      <c r="EN250" s="111"/>
      <c r="EO250" s="111"/>
      <c r="EP250" s="111"/>
      <c r="EQ250" s="111"/>
      <c r="ER250" s="111"/>
      <c r="ES250" s="111"/>
      <c r="ET250" s="111"/>
      <c r="EU250" s="111"/>
      <c r="EV250" s="111"/>
      <c r="EW250" s="111"/>
      <c r="EX250" s="111"/>
      <c r="EY250" s="111"/>
      <c r="EZ250" s="111"/>
      <c r="FA250" s="111"/>
      <c r="FB250" s="111"/>
      <c r="FC250" s="111"/>
      <c r="FD250" s="111"/>
      <c r="FE250" s="111"/>
      <c r="FF250" s="111"/>
      <c r="FG250" s="111"/>
      <c r="FH250" s="111"/>
      <c r="FI250" s="111"/>
      <c r="FJ250" s="111"/>
      <c r="FK250" s="111"/>
      <c r="FL250" s="111"/>
      <c r="FM250" s="111"/>
      <c r="FN250" s="111"/>
      <c r="FO250" s="111"/>
      <c r="FP250" s="111"/>
      <c r="FQ250" s="111"/>
      <c r="FR250" s="111"/>
      <c r="FS250" s="111"/>
      <c r="FT250" s="111"/>
      <c r="FU250" s="111"/>
      <c r="FV250" s="111"/>
      <c r="FW250" s="111"/>
      <c r="FX250" s="111"/>
      <c r="FY250" s="111"/>
      <c r="FZ250" s="111"/>
      <c r="GA250" s="111"/>
      <c r="GB250" s="111"/>
      <c r="GC250" s="111"/>
      <c r="GD250" s="111"/>
      <c r="GE250" s="111"/>
      <c r="GF250" s="111"/>
      <c r="GG250" s="111"/>
      <c r="GH250" s="111"/>
      <c r="GI250" s="111"/>
      <c r="GJ250" s="111"/>
      <c r="GK250" s="111"/>
      <c r="GL250" s="111"/>
      <c r="GM250" s="111"/>
      <c r="GN250" s="111"/>
      <c r="GO250" s="111"/>
      <c r="GP250" s="111"/>
      <c r="GQ250" s="111"/>
      <c r="GR250" s="111"/>
      <c r="GS250" s="111"/>
      <c r="GT250" s="111"/>
      <c r="GU250" s="111"/>
      <c r="GV250" s="111"/>
      <c r="GW250" s="111"/>
      <c r="GX250" s="111"/>
      <c r="GY250" s="111"/>
      <c r="GZ250" s="111"/>
      <c r="HA250" s="111"/>
      <c r="HB250" s="111"/>
      <c r="HC250" s="111"/>
      <c r="HD250" s="111"/>
      <c r="HE250" s="111"/>
      <c r="HF250" s="111"/>
      <c r="HG250" s="111"/>
      <c r="HH250" s="111"/>
      <c r="HI250" s="111"/>
      <c r="HJ250" s="111"/>
      <c r="HK250" s="111"/>
      <c r="HL250" s="111"/>
      <c r="HM250" s="111"/>
      <c r="HN250" s="111"/>
      <c r="HO250" s="111"/>
      <c r="HP250" s="111"/>
      <c r="HQ250" s="111"/>
      <c r="HR250" s="111"/>
      <c r="HS250" s="111"/>
      <c r="HT250" s="111"/>
      <c r="HU250" s="111"/>
      <c r="HV250" s="111"/>
      <c r="HW250" s="111"/>
      <c r="HX250" s="111"/>
      <c r="HY250" s="111"/>
      <c r="HZ250" s="111"/>
      <c r="IA250" s="111"/>
      <c r="IB250" s="111"/>
      <c r="IC250" s="111"/>
      <c r="ID250" s="111"/>
      <c r="IE250" s="111"/>
      <c r="IF250" s="111"/>
      <c r="IG250" s="111"/>
      <c r="IH250" s="111"/>
      <c r="II250" s="111"/>
      <c r="IJ250" s="111"/>
      <c r="IK250" s="111"/>
      <c r="IL250" s="111"/>
      <c r="IM250" s="111"/>
      <c r="IN250" s="111"/>
      <c r="IO250" s="111"/>
      <c r="IP250" s="111"/>
      <c r="IQ250" s="111"/>
      <c r="IR250" s="111"/>
      <c r="IS250" s="111"/>
      <c r="IT250" s="111"/>
      <c r="IU250" s="111"/>
      <c r="IV250" s="111"/>
      <c r="IW250" s="111"/>
      <c r="IX250" s="111"/>
      <c r="IY250" s="111"/>
      <c r="IZ250" s="111"/>
      <c r="JA250" s="111"/>
      <c r="JB250" s="111"/>
      <c r="JC250" s="111"/>
      <c r="JD250" s="111"/>
      <c r="JE250" s="111"/>
      <c r="JF250" s="111"/>
      <c r="JG250" s="111"/>
      <c r="JH250" s="111"/>
      <c r="JI250" s="111"/>
      <c r="JJ250" s="111"/>
      <c r="JK250" s="111"/>
      <c r="JL250" s="111"/>
      <c r="JM250" s="111"/>
      <c r="JN250" s="111"/>
      <c r="JO250" s="111"/>
      <c r="JP250" s="111"/>
      <c r="JQ250" s="111"/>
      <c r="JR250" s="111"/>
      <c r="JS250" s="111"/>
      <c r="JT250" s="111"/>
      <c r="JU250" s="111"/>
      <c r="JV250" s="111"/>
      <c r="JW250" s="111"/>
      <c r="JX250" s="111"/>
      <c r="JY250" s="111"/>
      <c r="JZ250" s="111"/>
      <c r="KA250" s="111"/>
      <c r="KB250" s="111"/>
      <c r="KC250" s="111"/>
      <c r="KD250" s="111"/>
      <c r="KE250" s="111"/>
      <c r="KF250" s="111"/>
      <c r="KG250" s="111"/>
      <c r="KH250" s="111"/>
      <c r="KI250" s="111"/>
      <c r="KJ250" s="111"/>
      <c r="KK250" s="111"/>
      <c r="KL250" s="111"/>
      <c r="KM250" s="111"/>
      <c r="KN250" s="111"/>
      <c r="KO250" s="111"/>
      <c r="KP250" s="111"/>
      <c r="KQ250" s="111"/>
      <c r="KR250" s="111"/>
      <c r="KS250" s="111"/>
      <c r="KT250" s="111"/>
      <c r="KU250" s="111"/>
      <c r="KV250" s="111"/>
      <c r="KW250" s="111"/>
      <c r="KX250" s="111"/>
      <c r="KY250" s="111"/>
      <c r="KZ250" s="111"/>
      <c r="LA250" s="111"/>
      <c r="LB250" s="111"/>
      <c r="LC250" s="111"/>
      <c r="LD250" s="111"/>
      <c r="LE250" s="111"/>
      <c r="LF250" s="111"/>
      <c r="LG250" s="111"/>
      <c r="LH250" s="111"/>
      <c r="LI250" s="111"/>
      <c r="LJ250" s="111"/>
      <c r="LK250" s="111"/>
      <c r="LL250" s="111"/>
      <c r="LM250" s="111"/>
      <c r="LN250" s="111"/>
      <c r="LO250" s="111"/>
      <c r="LP250" s="111"/>
      <c r="LQ250" s="111"/>
      <c r="LR250" s="111"/>
      <c r="LS250" s="111"/>
      <c r="LT250" s="111"/>
      <c r="LU250" s="111"/>
      <c r="LV250" s="111"/>
      <c r="LW250" s="111"/>
      <c r="LX250" s="111"/>
      <c r="LY250" s="111"/>
      <c r="LZ250" s="111"/>
      <c r="MA250" s="111"/>
      <c r="MB250" s="111"/>
      <c r="MC250" s="111"/>
      <c r="MD250" s="111"/>
      <c r="ME250" s="111"/>
      <c r="MF250" s="111"/>
      <c r="MG250" s="111"/>
      <c r="MH250" s="111"/>
      <c r="MI250" s="111"/>
      <c r="MJ250" s="111"/>
      <c r="MK250" s="111"/>
      <c r="ML250" s="111"/>
      <c r="MM250" s="111"/>
      <c r="MN250" s="111"/>
      <c r="MO250" s="111"/>
      <c r="MP250" s="111"/>
      <c r="MQ250" s="111"/>
      <c r="MR250" s="111"/>
      <c r="MS250" s="111"/>
      <c r="MT250" s="111"/>
      <c r="MU250" s="111"/>
      <c r="MV250" s="111"/>
      <c r="MW250" s="111"/>
      <c r="MX250" s="111"/>
      <c r="MY250" s="111"/>
      <c r="MZ250" s="111"/>
      <c r="NA250" s="111"/>
      <c r="NB250" s="111"/>
      <c r="NC250" s="111"/>
      <c r="ND250" s="111"/>
      <c r="NE250" s="111"/>
      <c r="NF250" s="111"/>
      <c r="NG250" s="111"/>
      <c r="NH250" s="111"/>
      <c r="NI250" s="111"/>
      <c r="NJ250" s="111"/>
      <c r="NK250" s="111"/>
      <c r="NL250" s="111"/>
      <c r="NM250" s="111"/>
      <c r="NN250" s="111"/>
      <c r="NO250" s="111"/>
      <c r="NP250" s="111"/>
      <c r="NQ250" s="111"/>
      <c r="NR250" s="111"/>
      <c r="NS250" s="111"/>
      <c r="NT250" s="111"/>
      <c r="NU250" s="111"/>
      <c r="NV250" s="111"/>
      <c r="NW250" s="111"/>
      <c r="NX250" s="111"/>
      <c r="NY250" s="111"/>
      <c r="NZ250" s="111"/>
      <c r="OA250" s="111"/>
      <c r="OB250" s="111"/>
      <c r="OC250" s="111"/>
      <c r="OD250" s="111"/>
      <c r="OE250" s="111"/>
      <c r="OF250" s="111"/>
      <c r="OG250" s="111"/>
      <c r="OH250" s="111"/>
      <c r="OI250" s="111"/>
      <c r="OJ250" s="111"/>
      <c r="OK250" s="111"/>
      <c r="OL250" s="111"/>
      <c r="OM250" s="111"/>
      <c r="ON250" s="111"/>
      <c r="OO250" s="111"/>
      <c r="OP250" s="111"/>
      <c r="OQ250" s="111"/>
      <c r="OR250" s="111"/>
      <c r="OS250" s="111"/>
      <c r="OT250" s="111"/>
      <c r="OU250" s="111"/>
      <c r="OV250" s="111"/>
      <c r="OW250" s="111"/>
      <c r="OX250" s="111"/>
      <c r="OY250" s="111"/>
      <c r="OZ250" s="111"/>
      <c r="PA250" s="111"/>
      <c r="PB250" s="111"/>
      <c r="PC250" s="111"/>
      <c r="PD250" s="111"/>
      <c r="PE250" s="111"/>
      <c r="PF250" s="111"/>
      <c r="PG250" s="111"/>
      <c r="PH250" s="111"/>
      <c r="PI250" s="111"/>
      <c r="PJ250" s="111"/>
      <c r="PK250" s="111"/>
      <c r="PL250" s="111"/>
      <c r="PM250" s="111"/>
      <c r="PN250" s="111"/>
      <c r="PO250" s="111"/>
      <c r="PP250" s="111"/>
      <c r="PQ250" s="111"/>
      <c r="PR250" s="111"/>
      <c r="PS250" s="111"/>
      <c r="PT250" s="111"/>
      <c r="PU250" s="111"/>
      <c r="PV250" s="111"/>
      <c r="PW250" s="111"/>
      <c r="PX250" s="111"/>
      <c r="PY250" s="111"/>
      <c r="PZ250" s="111"/>
      <c r="QA250" s="111"/>
      <c r="QB250" s="111"/>
      <c r="QC250" s="111"/>
      <c r="QD250" s="111"/>
      <c r="QE250" s="111"/>
      <c r="QF250" s="111"/>
      <c r="QG250" s="111"/>
      <c r="QH250" s="111"/>
      <c r="QI250" s="111"/>
      <c r="QJ250" s="111"/>
      <c r="QK250" s="111"/>
      <c r="QL250" s="111"/>
      <c r="QM250" s="111"/>
      <c r="QN250" s="111"/>
      <c r="QO250" s="111"/>
      <c r="QP250" s="111"/>
      <c r="QQ250" s="111"/>
      <c r="QR250" s="111"/>
      <c r="QS250" s="111"/>
      <c r="QT250" s="111"/>
      <c r="QU250" s="111"/>
      <c r="QV250" s="111"/>
      <c r="QW250" s="111"/>
      <c r="QX250" s="111"/>
      <c r="QY250" s="111"/>
      <c r="QZ250" s="111"/>
      <c r="RA250" s="111"/>
      <c r="RB250" s="111"/>
      <c r="RC250" s="111"/>
      <c r="RD250" s="111"/>
      <c r="RE250" s="111"/>
      <c r="RF250" s="111"/>
      <c r="RG250" s="111"/>
      <c r="RH250" s="111"/>
      <c r="RI250" s="111"/>
      <c r="RJ250" s="111"/>
      <c r="RK250" s="111"/>
      <c r="RL250" s="111"/>
      <c r="RM250" s="111"/>
      <c r="RN250" s="111"/>
      <c r="RO250" s="111"/>
      <c r="RP250" s="111"/>
      <c r="RQ250" s="111"/>
      <c r="RR250" s="111"/>
      <c r="RS250" s="111"/>
      <c r="RT250" s="111"/>
      <c r="RU250" s="111"/>
      <c r="RV250" s="111"/>
      <c r="RW250" s="111"/>
      <c r="RX250" s="111"/>
      <c r="RY250" s="111"/>
      <c r="RZ250" s="111"/>
      <c r="SA250" s="111"/>
      <c r="SB250" s="111"/>
      <c r="SC250" s="111"/>
      <c r="SD250" s="111"/>
      <c r="SE250" s="111"/>
      <c r="SF250" s="111"/>
      <c r="SG250" s="111"/>
      <c r="SH250" s="111"/>
      <c r="SI250" s="111"/>
      <c r="SJ250" s="111"/>
      <c r="SK250" s="111"/>
      <c r="SL250" s="111"/>
      <c r="SM250" s="111"/>
      <c r="SN250" s="111"/>
      <c r="SO250" s="111"/>
      <c r="SP250" s="111"/>
      <c r="SQ250" s="111"/>
      <c r="SR250" s="111"/>
      <c r="SS250" s="111"/>
      <c r="ST250" s="111"/>
      <c r="SU250" s="111"/>
      <c r="SV250" s="111"/>
      <c r="SW250" s="111"/>
      <c r="SX250" s="111"/>
      <c r="SY250" s="111"/>
      <c r="SZ250" s="111"/>
      <c r="TA250" s="111"/>
      <c r="TB250" s="111"/>
      <c r="TC250" s="111"/>
      <c r="TD250" s="111"/>
      <c r="TE250" s="111"/>
      <c r="TF250" s="111"/>
      <c r="TG250" s="111"/>
      <c r="TH250" s="111"/>
      <c r="TI250" s="111"/>
      <c r="TJ250" s="111"/>
      <c r="TK250" s="111"/>
      <c r="TL250" s="111"/>
      <c r="TM250" s="111"/>
      <c r="TN250" s="111"/>
      <c r="TO250" s="111"/>
      <c r="TP250" s="111"/>
      <c r="TQ250" s="111"/>
      <c r="TR250" s="111"/>
      <c r="TS250" s="111"/>
      <c r="TT250" s="111"/>
      <c r="TU250" s="111"/>
      <c r="TV250" s="111"/>
      <c r="TW250" s="111"/>
      <c r="TX250" s="111"/>
      <c r="TY250" s="111"/>
      <c r="TZ250" s="111"/>
      <c r="UA250" s="111"/>
      <c r="UB250" s="111"/>
      <c r="UC250" s="111"/>
      <c r="UD250" s="111"/>
      <c r="UE250" s="111"/>
      <c r="UF250" s="111"/>
      <c r="UG250" s="111"/>
      <c r="UH250" s="111"/>
      <c r="UI250" s="111"/>
      <c r="UJ250" s="111"/>
      <c r="UK250" s="111"/>
      <c r="UL250" s="111"/>
      <c r="UM250" s="111"/>
      <c r="UN250" s="111"/>
      <c r="UO250" s="111"/>
      <c r="UP250" s="111"/>
      <c r="UQ250" s="111"/>
      <c r="UR250" s="111"/>
      <c r="US250" s="111"/>
      <c r="UT250" s="111"/>
      <c r="UU250" s="111"/>
      <c r="UV250" s="111"/>
      <c r="UW250" s="111"/>
      <c r="UX250" s="111"/>
      <c r="UY250" s="111"/>
      <c r="UZ250" s="111"/>
      <c r="VA250" s="111"/>
      <c r="VB250" s="111"/>
      <c r="VC250" s="111"/>
      <c r="VD250" s="111"/>
      <c r="VE250" s="111"/>
      <c r="VF250" s="111"/>
      <c r="VG250" s="111"/>
      <c r="VH250" s="111"/>
      <c r="VI250" s="111"/>
      <c r="VJ250" s="111"/>
      <c r="VK250" s="111"/>
      <c r="VL250" s="111"/>
      <c r="VM250" s="111"/>
      <c r="VN250" s="111"/>
      <c r="VO250" s="111"/>
      <c r="VP250" s="111"/>
      <c r="VQ250" s="111"/>
      <c r="VR250" s="111"/>
      <c r="VS250" s="111"/>
      <c r="VT250" s="111"/>
      <c r="VU250" s="111"/>
      <c r="VV250" s="111"/>
      <c r="VW250" s="111"/>
      <c r="VX250" s="111"/>
      <c r="VY250" s="111"/>
      <c r="VZ250" s="111"/>
      <c r="WA250" s="111"/>
      <c r="WB250" s="111"/>
      <c r="WC250" s="111"/>
      <c r="WD250" s="111"/>
      <c r="WE250" s="111"/>
      <c r="WF250" s="111"/>
      <c r="WG250" s="111"/>
      <c r="WH250" s="111"/>
      <c r="WI250" s="111"/>
      <c r="WJ250" s="111"/>
      <c r="WK250" s="111"/>
      <c r="WL250" s="111"/>
      <c r="WM250" s="111"/>
      <c r="WN250" s="111"/>
      <c r="WO250" s="111"/>
      <c r="WP250" s="111"/>
      <c r="WQ250" s="111"/>
      <c r="WR250" s="111"/>
      <c r="WS250" s="111"/>
      <c r="WT250" s="111"/>
      <c r="WU250" s="111"/>
      <c r="WV250" s="111"/>
      <c r="WW250" s="111"/>
      <c r="WX250" s="111"/>
      <c r="WY250" s="111"/>
      <c r="WZ250" s="111"/>
      <c r="XA250" s="111"/>
      <c r="XB250" s="111"/>
      <c r="XC250" s="111"/>
      <c r="XD250" s="111"/>
      <c r="XE250" s="111"/>
      <c r="XF250" s="111"/>
      <c r="XG250" s="111"/>
      <c r="XH250" s="111"/>
      <c r="XI250" s="111"/>
      <c r="XJ250" s="111"/>
      <c r="XK250" s="111"/>
      <c r="XL250" s="111"/>
      <c r="XM250" s="111"/>
      <c r="XN250" s="111"/>
      <c r="XO250" s="111"/>
      <c r="XP250" s="111"/>
      <c r="XQ250" s="111"/>
      <c r="XR250" s="111"/>
      <c r="XS250" s="111"/>
      <c r="XT250" s="111"/>
      <c r="XU250" s="111"/>
      <c r="XV250" s="111"/>
      <c r="XW250" s="111"/>
      <c r="XX250" s="111"/>
      <c r="XY250" s="111"/>
      <c r="XZ250" s="111"/>
      <c r="YA250" s="111"/>
      <c r="YB250" s="111"/>
      <c r="YC250" s="111"/>
      <c r="YD250" s="111"/>
      <c r="YE250" s="111"/>
      <c r="YF250" s="111"/>
      <c r="YG250" s="111"/>
      <c r="YH250" s="111"/>
      <c r="YI250" s="111"/>
      <c r="YJ250" s="111"/>
      <c r="YK250" s="111"/>
      <c r="YL250" s="111"/>
      <c r="YM250" s="111"/>
      <c r="YN250" s="111"/>
      <c r="YO250" s="111"/>
      <c r="YP250" s="111"/>
      <c r="YQ250" s="111"/>
      <c r="YR250" s="111"/>
      <c r="YS250" s="111"/>
      <c r="YT250" s="111"/>
      <c r="YU250" s="111"/>
      <c r="YV250" s="111"/>
      <c r="YW250" s="111"/>
      <c r="YX250" s="111"/>
      <c r="YY250" s="111"/>
      <c r="YZ250" s="111"/>
      <c r="ZA250" s="111"/>
      <c r="ZB250" s="111"/>
      <c r="ZC250" s="111"/>
      <c r="ZD250" s="111"/>
      <c r="ZE250" s="111"/>
      <c r="ZF250" s="111"/>
      <c r="ZG250" s="111"/>
      <c r="ZH250" s="111"/>
      <c r="ZI250" s="111"/>
      <c r="ZJ250" s="111"/>
      <c r="ZK250" s="111"/>
      <c r="ZL250" s="111"/>
      <c r="ZM250" s="111"/>
      <c r="ZN250" s="111"/>
      <c r="ZO250" s="111"/>
      <c r="ZP250" s="111"/>
      <c r="ZQ250" s="111"/>
      <c r="ZR250" s="111"/>
      <c r="ZS250" s="111"/>
      <c r="ZT250" s="111"/>
      <c r="ZU250" s="111"/>
      <c r="ZV250" s="111"/>
      <c r="ZW250" s="111"/>
      <c r="ZX250" s="111"/>
      <c r="ZY250" s="111"/>
      <c r="ZZ250" s="111"/>
      <c r="AAA250" s="111"/>
      <c r="AAB250" s="111"/>
      <c r="AAC250" s="111"/>
      <c r="AAD250" s="111"/>
      <c r="AAE250" s="111"/>
      <c r="AAF250" s="111"/>
      <c r="AAG250" s="111"/>
      <c r="AAH250" s="111"/>
      <c r="AAI250" s="111"/>
      <c r="AAJ250" s="111"/>
      <c r="AAK250" s="111"/>
      <c r="AAL250" s="111"/>
      <c r="AAM250" s="111"/>
      <c r="AAN250" s="111"/>
      <c r="AAO250" s="111"/>
      <c r="AAP250" s="111"/>
      <c r="AAQ250" s="111"/>
      <c r="AAR250" s="111"/>
      <c r="AAS250" s="111"/>
      <c r="AAT250" s="111"/>
      <c r="AAU250" s="111"/>
      <c r="AAV250" s="111"/>
      <c r="AAW250" s="111"/>
      <c r="AAX250" s="111"/>
      <c r="AAY250" s="111"/>
      <c r="AAZ250" s="111"/>
      <c r="ABA250" s="111"/>
      <c r="ABB250" s="111"/>
      <c r="ABC250" s="111"/>
      <c r="ABD250" s="111"/>
      <c r="ABE250" s="111"/>
      <c r="ABF250" s="111"/>
      <c r="ABG250" s="111"/>
      <c r="ABH250" s="111"/>
      <c r="ABI250" s="111"/>
      <c r="ABJ250" s="111"/>
      <c r="ABK250" s="111"/>
      <c r="ABL250" s="111"/>
      <c r="ABM250" s="111"/>
      <c r="ABN250" s="111"/>
      <c r="ABO250" s="111"/>
      <c r="ABP250" s="111"/>
      <c r="ABQ250" s="111"/>
      <c r="ABR250" s="111"/>
      <c r="ABS250" s="111"/>
      <c r="ABT250" s="111"/>
      <c r="ABU250" s="111"/>
      <c r="ABV250" s="111"/>
      <c r="ABW250" s="111"/>
      <c r="ABX250" s="111"/>
      <c r="ABY250" s="111"/>
      <c r="ABZ250" s="111"/>
      <c r="ACA250" s="111"/>
      <c r="ACB250" s="111"/>
      <c r="ACC250" s="111"/>
      <c r="ACD250" s="111"/>
      <c r="ACE250" s="111"/>
      <c r="ACF250" s="111"/>
      <c r="ACG250" s="111"/>
      <c r="ACH250" s="111"/>
      <c r="ACI250" s="111"/>
      <c r="ACJ250" s="111"/>
      <c r="ACK250" s="111"/>
      <c r="ACL250" s="111"/>
      <c r="ACM250" s="111"/>
      <c r="ACN250" s="111"/>
      <c r="ACO250" s="111"/>
      <c r="ACP250" s="111"/>
      <c r="ACQ250" s="111"/>
      <c r="ACR250" s="111"/>
      <c r="ACS250" s="111"/>
      <c r="ACT250" s="111"/>
      <c r="ACU250" s="111"/>
      <c r="ACV250" s="111"/>
      <c r="ACW250" s="111"/>
      <c r="ACX250" s="111"/>
      <c r="ACY250" s="111"/>
      <c r="ACZ250" s="111"/>
      <c r="ADA250" s="111"/>
      <c r="ADB250" s="111"/>
      <c r="ADC250" s="111"/>
      <c r="ADD250" s="111"/>
      <c r="ADE250" s="111"/>
      <c r="ADF250" s="111"/>
      <c r="ADG250" s="111"/>
      <c r="ADH250" s="111"/>
      <c r="ADI250" s="111"/>
      <c r="ADJ250" s="111"/>
      <c r="ADK250" s="111"/>
      <c r="ADL250" s="111"/>
      <c r="ADM250" s="111"/>
      <c r="ADN250" s="111"/>
      <c r="ADO250" s="111"/>
      <c r="ADP250" s="111"/>
      <c r="ADQ250" s="111"/>
      <c r="ADR250" s="111"/>
      <c r="ADS250" s="111"/>
      <c r="ADT250" s="111"/>
      <c r="ADU250" s="111"/>
      <c r="ADV250" s="111"/>
      <c r="ADW250" s="111"/>
      <c r="ADX250" s="111"/>
      <c r="ADY250" s="111"/>
      <c r="ADZ250" s="111"/>
      <c r="AEA250" s="111"/>
      <c r="AEB250" s="111"/>
      <c r="AEC250" s="111"/>
      <c r="AED250" s="111"/>
      <c r="AEE250" s="111"/>
      <c r="AEF250" s="111"/>
      <c r="AEG250" s="111"/>
      <c r="AEH250" s="111"/>
      <c r="AEI250" s="111"/>
      <c r="AEJ250" s="111"/>
      <c r="AEK250" s="111"/>
      <c r="AEL250" s="111"/>
      <c r="AEM250" s="111"/>
      <c r="AEN250" s="111"/>
      <c r="AEO250" s="111"/>
      <c r="AEP250" s="111"/>
      <c r="AEQ250" s="111"/>
      <c r="AER250" s="111"/>
      <c r="AES250" s="111"/>
      <c r="AET250" s="111"/>
      <c r="AEU250" s="111"/>
      <c r="AEV250" s="111"/>
      <c r="AEW250" s="111"/>
      <c r="AEX250" s="111"/>
      <c r="AEY250" s="111"/>
      <c r="AEZ250" s="111"/>
      <c r="AFA250" s="111"/>
      <c r="AFB250" s="111"/>
      <c r="AFC250" s="111"/>
      <c r="AFD250" s="111"/>
      <c r="AFE250" s="111"/>
      <c r="AFF250" s="111"/>
      <c r="AFG250" s="111"/>
      <c r="AFH250" s="111"/>
      <c r="AFI250" s="111"/>
      <c r="AFJ250" s="111"/>
      <c r="AFK250" s="111"/>
      <c r="AFL250" s="111"/>
      <c r="AFM250" s="111"/>
      <c r="AFN250" s="111"/>
      <c r="AFO250" s="111"/>
      <c r="AFP250" s="111"/>
      <c r="AFQ250" s="111"/>
      <c r="AFR250" s="111"/>
      <c r="AFS250" s="111"/>
      <c r="AFT250" s="111"/>
      <c r="AFU250" s="111"/>
      <c r="AFV250" s="111"/>
      <c r="AFW250" s="111"/>
      <c r="AFX250" s="111"/>
      <c r="AFY250" s="111"/>
      <c r="AFZ250" s="111"/>
      <c r="AGA250" s="111"/>
      <c r="AGB250" s="111"/>
      <c r="AGC250" s="111"/>
      <c r="AGD250" s="111"/>
      <c r="AGE250" s="111"/>
      <c r="AGF250" s="111"/>
      <c r="AGG250" s="111"/>
      <c r="AGH250" s="111"/>
      <c r="AGI250" s="111"/>
      <c r="AGJ250" s="111"/>
      <c r="AGK250" s="111"/>
      <c r="AGL250" s="111"/>
      <c r="AGM250" s="111"/>
      <c r="AGN250" s="111"/>
      <c r="AGO250" s="111"/>
      <c r="AGP250" s="111"/>
      <c r="AGQ250" s="111"/>
      <c r="AGR250" s="111"/>
      <c r="AGS250" s="111"/>
      <c r="AGT250" s="111"/>
      <c r="AGU250" s="111"/>
      <c r="AGV250" s="111"/>
      <c r="AGW250" s="111"/>
      <c r="AGX250" s="111"/>
      <c r="AGY250" s="111"/>
      <c r="AGZ250" s="111"/>
      <c r="AHA250" s="111"/>
      <c r="AHB250" s="111"/>
      <c r="AHC250" s="111"/>
      <c r="AHD250" s="111"/>
      <c r="AHE250" s="111"/>
      <c r="AHF250" s="111"/>
      <c r="AHG250" s="111"/>
      <c r="AHH250" s="111"/>
      <c r="AHI250" s="111"/>
      <c r="AHJ250" s="111"/>
      <c r="AHK250" s="111"/>
      <c r="AHL250" s="111"/>
      <c r="AHM250" s="111"/>
      <c r="AHN250" s="111"/>
      <c r="AHO250" s="111"/>
      <c r="AHP250" s="111"/>
      <c r="AHQ250" s="111"/>
      <c r="AHR250" s="111"/>
      <c r="AHS250" s="111"/>
      <c r="AHT250" s="111"/>
      <c r="AHU250" s="111"/>
      <c r="AHV250" s="111"/>
      <c r="AHW250" s="111"/>
      <c r="AHX250" s="111"/>
      <c r="AHY250" s="111"/>
      <c r="AHZ250" s="111"/>
      <c r="AIA250" s="111"/>
      <c r="AIB250" s="111"/>
      <c r="AIC250" s="111"/>
      <c r="AID250" s="111"/>
      <c r="AIE250" s="111"/>
      <c r="AIF250" s="111"/>
      <c r="AIG250" s="111"/>
      <c r="AIH250" s="111"/>
      <c r="AII250" s="111"/>
      <c r="AIJ250" s="111"/>
      <c r="AIK250" s="111"/>
      <c r="AIL250" s="111"/>
      <c r="AIM250" s="111"/>
      <c r="AIN250" s="111"/>
      <c r="AIO250" s="111"/>
      <c r="AIP250" s="111"/>
      <c r="AIQ250" s="111"/>
      <c r="AIR250" s="111"/>
      <c r="AIS250" s="111"/>
      <c r="AIT250" s="111"/>
      <c r="AIU250" s="111"/>
      <c r="AIV250" s="111"/>
      <c r="AIW250" s="111"/>
      <c r="AIX250" s="111"/>
      <c r="AIY250" s="111"/>
      <c r="AIZ250" s="111"/>
      <c r="AJA250" s="111"/>
      <c r="AJB250" s="111"/>
      <c r="AJC250" s="111"/>
      <c r="AJD250" s="111"/>
      <c r="AJE250" s="111"/>
      <c r="AJF250" s="111"/>
      <c r="AJG250" s="111"/>
      <c r="AJH250" s="111"/>
      <c r="AJI250" s="111"/>
      <c r="AJJ250" s="111"/>
      <c r="AJK250" s="111"/>
      <c r="AJL250" s="111"/>
      <c r="AJM250" s="111"/>
      <c r="AJN250" s="111"/>
      <c r="AJO250" s="111"/>
      <c r="AJP250" s="111"/>
      <c r="AJQ250" s="111"/>
      <c r="AJR250" s="111"/>
      <c r="AJS250" s="111"/>
      <c r="AJT250" s="111"/>
      <c r="AJU250" s="111"/>
      <c r="AJV250" s="111"/>
      <c r="AJW250" s="111"/>
      <c r="AJX250" s="111"/>
      <c r="AJY250" s="111"/>
      <c r="AJZ250" s="111"/>
      <c r="AKA250" s="111"/>
      <c r="AKB250" s="111"/>
      <c r="AKC250" s="111"/>
      <c r="AKD250" s="111"/>
      <c r="AKE250" s="111"/>
      <c r="AKF250" s="111"/>
      <c r="AKG250" s="111"/>
      <c r="AKH250" s="111"/>
      <c r="AKI250" s="111"/>
      <c r="AKJ250" s="111"/>
      <c r="AKK250" s="111"/>
      <c r="AKL250" s="111"/>
      <c r="AKM250" s="111"/>
      <c r="AKN250" s="111"/>
      <c r="AKO250" s="111"/>
      <c r="AKP250" s="111"/>
      <c r="AKQ250" s="111"/>
      <c r="AKR250" s="111"/>
      <c r="AKS250" s="111"/>
      <c r="AKT250" s="111"/>
      <c r="AKU250" s="111"/>
      <c r="AKV250" s="111"/>
      <c r="AKW250" s="111"/>
      <c r="AKX250" s="111"/>
      <c r="AKY250" s="111"/>
      <c r="AKZ250" s="111"/>
      <c r="ALA250" s="111"/>
      <c r="ALB250" s="111"/>
      <c r="ALC250" s="111"/>
      <c r="ALD250" s="111"/>
      <c r="ALE250" s="111"/>
      <c r="ALF250" s="111"/>
      <c r="ALG250" s="111"/>
      <c r="ALH250" s="111"/>
      <c r="ALI250" s="111"/>
      <c r="ALJ250" s="111"/>
      <c r="ALK250" s="111"/>
      <c r="ALL250" s="111"/>
      <c r="ALM250" s="111"/>
      <c r="ALN250" s="111"/>
      <c r="ALO250" s="111"/>
      <c r="ALP250" s="111"/>
      <c r="ALQ250" s="111"/>
      <c r="ALR250" s="111"/>
      <c r="ALS250" s="111"/>
      <c r="ALT250" s="111"/>
      <c r="ALU250" s="111"/>
      <c r="ALV250" s="111"/>
      <c r="ALW250" s="111"/>
      <c r="ALX250" s="111"/>
      <c r="ALY250" s="111"/>
      <c r="ALZ250" s="111"/>
      <c r="AMA250" s="111"/>
      <c r="AMB250" s="111"/>
      <c r="AMC250" s="111"/>
      <c r="AMD250" s="111"/>
      <c r="AME250" s="111"/>
      <c r="AMF250" s="111"/>
      <c r="AMG250" s="111"/>
      <c r="AMH250" s="111"/>
      <c r="AMI250" s="111"/>
      <c r="AMJ250" s="111"/>
      <c r="AMK250" s="111"/>
      <c r="AML250" s="111"/>
      <c r="AMM250" s="111"/>
      <c r="AMN250" s="111"/>
      <c r="AMO250" s="111"/>
      <c r="AMP250" s="111"/>
      <c r="AMQ250" s="111"/>
      <c r="AMR250" s="111"/>
      <c r="AMS250" s="111"/>
      <c r="AMT250" s="111"/>
      <c r="AMU250" s="111"/>
      <c r="AMV250" s="111"/>
      <c r="AMW250" s="111"/>
      <c r="AMX250" s="111"/>
      <c r="AMY250" s="111"/>
      <c r="AMZ250" s="111"/>
      <c r="ANA250" s="111"/>
      <c r="ANB250" s="111"/>
      <c r="ANC250" s="111"/>
      <c r="AND250" s="111"/>
      <c r="ANE250" s="111"/>
      <c r="ANF250" s="111"/>
      <c r="ANG250" s="111"/>
      <c r="ANH250" s="111"/>
      <c r="ANI250" s="111"/>
      <c r="ANJ250" s="111"/>
      <c r="ANK250" s="111"/>
      <c r="ANL250" s="111"/>
      <c r="ANM250" s="111"/>
      <c r="ANN250" s="111"/>
      <c r="ANO250" s="111"/>
      <c r="ANP250" s="111"/>
      <c r="ANQ250" s="111"/>
      <c r="ANR250" s="111"/>
      <c r="ANS250" s="111"/>
      <c r="ANT250" s="111"/>
      <c r="ANU250" s="111"/>
      <c r="ANV250" s="111"/>
      <c r="ANW250" s="111"/>
      <c r="ANX250" s="111"/>
      <c r="ANY250" s="111"/>
      <c r="ANZ250" s="111"/>
      <c r="AOA250" s="111"/>
      <c r="AOB250" s="111"/>
      <c r="AOC250" s="111"/>
      <c r="AOD250" s="111"/>
      <c r="AOE250" s="111"/>
      <c r="AOF250" s="111"/>
      <c r="AOG250" s="111"/>
      <c r="AOH250" s="111"/>
      <c r="AOI250" s="111"/>
      <c r="AOJ250" s="111"/>
      <c r="AOK250" s="111"/>
      <c r="AOL250" s="111"/>
      <c r="AOM250" s="111"/>
      <c r="AON250" s="111"/>
      <c r="AOO250" s="111"/>
      <c r="AOP250" s="111"/>
      <c r="AOQ250" s="111"/>
      <c r="AOR250" s="111"/>
      <c r="AOS250" s="111"/>
      <c r="AOT250" s="111"/>
      <c r="AOU250" s="111"/>
      <c r="AOV250" s="111"/>
      <c r="AOW250" s="111"/>
      <c r="AOX250" s="111"/>
      <c r="AOY250" s="111"/>
      <c r="AOZ250" s="111"/>
      <c r="APA250" s="111"/>
      <c r="APB250" s="111"/>
      <c r="APC250" s="111"/>
      <c r="APD250" s="111"/>
      <c r="APE250" s="111"/>
      <c r="APF250" s="111"/>
      <c r="APG250" s="111"/>
      <c r="APH250" s="111"/>
      <c r="API250" s="111"/>
      <c r="APJ250" s="111"/>
      <c r="APK250" s="111"/>
      <c r="APL250" s="111"/>
      <c r="APM250" s="111"/>
      <c r="APN250" s="111"/>
      <c r="APO250" s="111"/>
      <c r="APP250" s="111"/>
      <c r="APQ250" s="111"/>
      <c r="APR250" s="111"/>
      <c r="APS250" s="111"/>
      <c r="APT250" s="111"/>
      <c r="APU250" s="111"/>
      <c r="APV250" s="111"/>
      <c r="APW250" s="111"/>
      <c r="APX250" s="111"/>
      <c r="APY250" s="111"/>
      <c r="APZ250" s="111"/>
      <c r="AQA250" s="111"/>
      <c r="AQB250" s="111"/>
      <c r="AQC250" s="111"/>
      <c r="AQD250" s="111"/>
      <c r="AQE250" s="111"/>
      <c r="AQF250" s="111"/>
      <c r="AQG250" s="111"/>
      <c r="AQH250" s="111"/>
      <c r="AQI250" s="111"/>
      <c r="AQJ250" s="111"/>
      <c r="AQK250" s="111"/>
      <c r="AQL250" s="111"/>
      <c r="AQM250" s="111"/>
      <c r="AQN250" s="111"/>
      <c r="AQO250" s="111"/>
      <c r="AQP250" s="111"/>
      <c r="AQQ250" s="111"/>
      <c r="AQR250" s="111"/>
      <c r="AQS250" s="111"/>
      <c r="AQT250" s="111"/>
      <c r="AQU250" s="111"/>
      <c r="AQV250" s="111"/>
      <c r="AQW250" s="111"/>
      <c r="AQX250" s="111"/>
      <c r="AQY250" s="111"/>
      <c r="AQZ250" s="111"/>
      <c r="ARA250" s="111"/>
      <c r="ARB250" s="111"/>
      <c r="ARC250" s="111"/>
      <c r="ARD250" s="111"/>
      <c r="ARE250" s="111"/>
      <c r="ARF250" s="111"/>
      <c r="ARG250" s="111"/>
      <c r="ARH250" s="111"/>
      <c r="ARI250" s="111"/>
      <c r="ARJ250" s="111"/>
      <c r="ARK250" s="111"/>
      <c r="ARL250" s="111"/>
      <c r="ARM250" s="111"/>
      <c r="ARN250" s="111"/>
      <c r="ARO250" s="111"/>
      <c r="ARP250" s="111"/>
      <c r="ARQ250" s="111"/>
      <c r="ARR250" s="111"/>
      <c r="ARS250" s="111"/>
      <c r="ART250" s="111"/>
      <c r="ARU250" s="111"/>
      <c r="ARV250" s="111"/>
      <c r="ARW250" s="111"/>
      <c r="ARX250" s="111"/>
      <c r="ARY250" s="111"/>
      <c r="ARZ250" s="111"/>
      <c r="ASA250" s="111"/>
      <c r="ASB250" s="111"/>
      <c r="ASC250" s="111"/>
      <c r="ASD250" s="111"/>
      <c r="ASE250" s="111"/>
      <c r="ASF250" s="111"/>
      <c r="ASG250" s="111"/>
      <c r="ASH250" s="111"/>
      <c r="ASI250" s="111"/>
      <c r="ASJ250" s="111"/>
      <c r="ASK250" s="111"/>
      <c r="ASL250" s="111"/>
      <c r="ASM250" s="111"/>
      <c r="ASN250" s="111"/>
      <c r="ASO250" s="111"/>
      <c r="ASP250" s="111"/>
      <c r="ASQ250" s="111"/>
      <c r="ASR250" s="111"/>
      <c r="ASS250" s="111"/>
      <c r="AST250" s="111"/>
      <c r="ASU250" s="111"/>
      <c r="ASV250" s="111"/>
      <c r="ASW250" s="111"/>
      <c r="ASX250" s="111"/>
      <c r="ASY250" s="111"/>
      <c r="ASZ250" s="111"/>
      <c r="ATA250" s="111"/>
      <c r="ATB250" s="111"/>
      <c r="ATC250" s="111"/>
      <c r="ATD250" s="111"/>
      <c r="ATE250" s="111"/>
      <c r="ATF250" s="111"/>
      <c r="ATG250" s="111"/>
      <c r="ATH250" s="111"/>
      <c r="ATI250" s="111"/>
      <c r="ATJ250" s="111"/>
      <c r="ATK250" s="111"/>
      <c r="ATL250" s="111"/>
      <c r="ATM250" s="111"/>
      <c r="ATN250" s="111"/>
      <c r="ATO250" s="111"/>
      <c r="ATP250" s="111"/>
      <c r="ATQ250" s="111"/>
      <c r="ATR250" s="111"/>
      <c r="ATS250" s="111"/>
      <c r="ATT250" s="111"/>
      <c r="ATU250" s="111"/>
      <c r="ATV250" s="111"/>
      <c r="ATW250" s="111"/>
      <c r="ATX250" s="111"/>
      <c r="ATY250" s="111"/>
      <c r="ATZ250" s="111"/>
      <c r="AUA250" s="111"/>
      <c r="AUB250" s="111"/>
      <c r="AUC250" s="111"/>
      <c r="AUD250" s="111"/>
      <c r="AUE250" s="111"/>
      <c r="AUF250" s="111"/>
      <c r="AUG250" s="111"/>
      <c r="AUH250" s="111"/>
      <c r="AUI250" s="111"/>
      <c r="AUJ250" s="111"/>
      <c r="AUK250" s="111"/>
      <c r="AUL250" s="111"/>
      <c r="AUM250" s="111"/>
      <c r="AUN250" s="111"/>
      <c r="AUO250" s="111"/>
      <c r="AUP250" s="111"/>
      <c r="AUQ250" s="111"/>
      <c r="AUR250" s="111"/>
      <c r="AUS250" s="111"/>
      <c r="AUT250" s="111"/>
      <c r="AUU250" s="111"/>
      <c r="AUV250" s="111"/>
      <c r="AUW250" s="111"/>
      <c r="AUX250" s="111"/>
      <c r="AUY250" s="111"/>
      <c r="AUZ250" s="111"/>
      <c r="AVA250" s="111"/>
      <c r="AVB250" s="111"/>
      <c r="AVC250" s="111"/>
      <c r="AVD250" s="111"/>
      <c r="AVE250" s="111"/>
      <c r="AVF250" s="111"/>
      <c r="AVG250" s="111"/>
      <c r="AVH250" s="111"/>
      <c r="AVI250" s="111"/>
      <c r="AVJ250" s="111"/>
      <c r="AVK250" s="111"/>
      <c r="AVL250" s="111"/>
      <c r="AVM250" s="111"/>
      <c r="AVN250" s="111"/>
      <c r="AVO250" s="111"/>
      <c r="AVP250" s="111"/>
      <c r="AVQ250" s="111"/>
      <c r="AVR250" s="111"/>
      <c r="AVS250" s="111"/>
      <c r="AVT250" s="111"/>
      <c r="AVU250" s="111"/>
      <c r="AVV250" s="111"/>
      <c r="AVW250" s="111"/>
      <c r="AVX250" s="111"/>
      <c r="AVY250" s="111"/>
      <c r="AVZ250" s="111"/>
      <c r="AWA250" s="111"/>
      <c r="AWB250" s="111"/>
      <c r="AWC250" s="111"/>
      <c r="AWD250" s="111"/>
      <c r="AWE250" s="111"/>
      <c r="AWF250" s="111"/>
      <c r="AWG250" s="111"/>
      <c r="AWH250" s="111"/>
      <c r="AWI250" s="111"/>
      <c r="AWJ250" s="111"/>
      <c r="AWK250" s="111"/>
      <c r="AWL250" s="111"/>
      <c r="AWM250" s="111"/>
      <c r="AWN250" s="111"/>
      <c r="AWO250" s="111"/>
      <c r="AWP250" s="111"/>
      <c r="AWQ250" s="111"/>
      <c r="AWR250" s="111"/>
      <c r="AWS250" s="111"/>
      <c r="AWT250" s="111"/>
      <c r="AWU250" s="111"/>
      <c r="AWV250" s="111"/>
      <c r="AWW250" s="111"/>
      <c r="AWX250" s="111"/>
      <c r="AWY250" s="111"/>
      <c r="AWZ250" s="111"/>
      <c r="AXA250" s="111"/>
      <c r="AXB250" s="111"/>
      <c r="AXC250" s="111"/>
      <c r="AXD250" s="111"/>
      <c r="AXE250" s="111"/>
      <c r="AXF250" s="111"/>
      <c r="AXG250" s="111"/>
      <c r="AXH250" s="111"/>
      <c r="AXI250" s="111"/>
      <c r="AXJ250" s="111"/>
      <c r="AXK250" s="111"/>
      <c r="AXL250" s="111"/>
      <c r="AXM250" s="111"/>
      <c r="AXN250" s="111"/>
      <c r="AXO250" s="111"/>
      <c r="AXP250" s="111"/>
      <c r="AXQ250" s="111"/>
      <c r="AXR250" s="111"/>
      <c r="AXS250" s="111"/>
      <c r="AXT250" s="111"/>
      <c r="AXU250" s="111"/>
      <c r="AXV250" s="111"/>
      <c r="AXW250" s="111"/>
      <c r="AXX250" s="111"/>
      <c r="AXY250" s="111"/>
      <c r="AXZ250" s="111"/>
      <c r="AYA250" s="111"/>
      <c r="AYB250" s="111"/>
      <c r="AYC250" s="111"/>
      <c r="AYD250" s="111"/>
      <c r="AYE250" s="111"/>
      <c r="AYF250" s="111"/>
      <c r="AYG250" s="111"/>
      <c r="AYH250" s="111"/>
      <c r="AYI250" s="111"/>
      <c r="AYJ250" s="111"/>
      <c r="AYK250" s="111"/>
      <c r="AYL250" s="111"/>
      <c r="AYM250" s="111"/>
      <c r="AYN250" s="111"/>
      <c r="AYO250" s="111"/>
      <c r="AYP250" s="111"/>
      <c r="AYQ250" s="111"/>
      <c r="AYR250" s="111"/>
      <c r="AYS250" s="111"/>
      <c r="AYT250" s="111"/>
      <c r="AYU250" s="111"/>
      <c r="AYV250" s="111"/>
      <c r="AYW250" s="111"/>
      <c r="AYX250" s="111"/>
      <c r="AYY250" s="111"/>
      <c r="AYZ250" s="111"/>
      <c r="AZA250" s="111"/>
      <c r="AZB250" s="111"/>
      <c r="AZC250" s="111"/>
      <c r="AZD250" s="111"/>
      <c r="AZE250" s="111"/>
      <c r="AZF250" s="111"/>
      <c r="AZG250" s="111"/>
      <c r="AZH250" s="111"/>
      <c r="AZI250" s="111"/>
      <c r="AZJ250" s="111"/>
      <c r="AZK250" s="111"/>
      <c r="AZL250" s="111"/>
      <c r="AZM250" s="111"/>
      <c r="AZN250" s="111"/>
      <c r="AZO250" s="111"/>
      <c r="AZP250" s="111"/>
      <c r="AZQ250" s="111"/>
      <c r="AZR250" s="111"/>
      <c r="AZS250" s="111"/>
      <c r="AZT250" s="111"/>
      <c r="AZU250" s="111"/>
      <c r="AZV250" s="111"/>
      <c r="AZW250" s="111"/>
      <c r="AZX250" s="111"/>
      <c r="AZY250" s="111"/>
      <c r="AZZ250" s="111"/>
      <c r="BAA250" s="111"/>
      <c r="BAB250" s="111"/>
      <c r="BAC250" s="111"/>
      <c r="BAD250" s="111"/>
      <c r="BAE250" s="111"/>
      <c r="BAF250" s="111"/>
      <c r="BAG250" s="111"/>
      <c r="BAH250" s="111"/>
      <c r="BAI250" s="111"/>
      <c r="BAJ250" s="111"/>
      <c r="BAK250" s="111"/>
      <c r="BAL250" s="111"/>
      <c r="BAM250" s="111"/>
      <c r="BAN250" s="111"/>
      <c r="BAO250" s="111"/>
      <c r="BAP250" s="111"/>
      <c r="BAQ250" s="111"/>
      <c r="BAR250" s="111"/>
      <c r="BAS250" s="111"/>
      <c r="BAT250" s="111"/>
      <c r="BAU250" s="111"/>
      <c r="BAV250" s="111"/>
      <c r="BAW250" s="111"/>
      <c r="BAX250" s="111"/>
      <c r="BAY250" s="111"/>
      <c r="BAZ250" s="111"/>
      <c r="BBA250" s="111"/>
      <c r="BBB250" s="111"/>
      <c r="BBC250" s="111"/>
      <c r="BBD250" s="111"/>
      <c r="BBE250" s="111"/>
      <c r="BBF250" s="111"/>
      <c r="BBG250" s="111"/>
      <c r="BBH250" s="111"/>
      <c r="BBI250" s="111"/>
      <c r="BBJ250" s="111"/>
      <c r="BBK250" s="111"/>
      <c r="BBL250" s="111"/>
      <c r="BBM250" s="111"/>
      <c r="BBN250" s="111"/>
      <c r="BBO250" s="111"/>
      <c r="BBP250" s="111"/>
      <c r="BBQ250" s="111"/>
      <c r="BBR250" s="111"/>
      <c r="BBS250" s="111"/>
      <c r="BBT250" s="111"/>
      <c r="BBU250" s="111"/>
      <c r="BBV250" s="111"/>
      <c r="BBW250" s="111"/>
      <c r="BBX250" s="111"/>
      <c r="BBY250" s="111"/>
      <c r="BBZ250" s="111"/>
      <c r="BCA250" s="111"/>
      <c r="BCB250" s="111"/>
      <c r="BCC250" s="111"/>
      <c r="BCD250" s="111"/>
      <c r="BCE250" s="111"/>
      <c r="BCF250" s="111"/>
      <c r="BCG250" s="111"/>
      <c r="BCH250" s="111"/>
      <c r="BCI250" s="111"/>
      <c r="BCJ250" s="111"/>
      <c r="BCK250" s="111"/>
      <c r="BCL250" s="111"/>
      <c r="BCM250" s="111"/>
      <c r="BCN250" s="111"/>
      <c r="BCO250" s="111"/>
      <c r="BCP250" s="111"/>
      <c r="BCQ250" s="111"/>
      <c r="BCR250" s="111"/>
      <c r="BCS250" s="111"/>
      <c r="BCT250" s="111"/>
      <c r="BCU250" s="111"/>
      <c r="BCV250" s="111"/>
      <c r="BCW250" s="111"/>
      <c r="BCX250" s="111"/>
      <c r="BCY250" s="111"/>
      <c r="BCZ250" s="111"/>
      <c r="BDA250" s="111"/>
      <c r="BDB250" s="111"/>
      <c r="BDC250" s="111"/>
      <c r="BDD250" s="111"/>
      <c r="BDE250" s="111"/>
      <c r="BDF250" s="111"/>
      <c r="BDG250" s="111"/>
      <c r="BDH250" s="111"/>
      <c r="BDI250" s="111"/>
      <c r="BDJ250" s="111"/>
      <c r="BDK250" s="111"/>
      <c r="BDL250" s="111"/>
      <c r="BDM250" s="111"/>
      <c r="BDN250" s="111"/>
      <c r="BDO250" s="111"/>
      <c r="BDP250" s="111"/>
      <c r="BDQ250" s="111"/>
      <c r="BDR250" s="111"/>
      <c r="BDS250" s="111"/>
      <c r="BDT250" s="111"/>
      <c r="BDU250" s="111"/>
      <c r="BDV250" s="111"/>
      <c r="BDW250" s="111"/>
      <c r="BDX250" s="111"/>
      <c r="BDY250" s="111"/>
      <c r="BDZ250" s="111"/>
      <c r="BEA250" s="111"/>
      <c r="BEB250" s="111"/>
      <c r="BEC250" s="111"/>
      <c r="BED250" s="111"/>
      <c r="BEE250" s="111"/>
      <c r="BEF250" s="111"/>
      <c r="BEG250" s="111"/>
      <c r="BEH250" s="111"/>
      <c r="BEI250" s="111"/>
      <c r="BEJ250" s="111"/>
      <c r="BEK250" s="111"/>
      <c r="BEL250" s="111"/>
      <c r="BEM250" s="111"/>
      <c r="BEN250" s="111"/>
      <c r="BEO250" s="111"/>
      <c r="BEP250" s="111"/>
      <c r="BEQ250" s="111"/>
      <c r="BER250" s="111"/>
      <c r="BES250" s="111"/>
      <c r="BET250" s="111"/>
      <c r="BEU250" s="111"/>
      <c r="BEV250" s="111"/>
      <c r="BEW250" s="111"/>
      <c r="BEX250" s="111"/>
      <c r="BEY250" s="111"/>
      <c r="BEZ250" s="111"/>
      <c r="BFA250" s="111"/>
      <c r="BFB250" s="111"/>
      <c r="BFC250" s="111"/>
      <c r="BFD250" s="111"/>
      <c r="BFE250" s="111"/>
      <c r="BFF250" s="111"/>
      <c r="BFG250" s="111"/>
      <c r="BFH250" s="111"/>
      <c r="BFI250" s="111"/>
      <c r="BFJ250" s="111"/>
      <c r="BFK250" s="111"/>
      <c r="BFL250" s="111"/>
      <c r="BFM250" s="111"/>
      <c r="BFN250" s="111"/>
      <c r="BFO250" s="111"/>
      <c r="BFP250" s="111"/>
      <c r="BFQ250" s="111"/>
      <c r="BFR250" s="111"/>
      <c r="BFS250" s="111"/>
      <c r="BFT250" s="111"/>
      <c r="BFU250" s="111"/>
      <c r="BFV250" s="111"/>
      <c r="BFW250" s="111"/>
      <c r="BFX250" s="111"/>
      <c r="BFY250" s="111"/>
      <c r="BFZ250" s="111"/>
      <c r="BGA250" s="111"/>
      <c r="BGB250" s="111"/>
      <c r="BGC250" s="111"/>
      <c r="BGD250" s="111"/>
      <c r="BGE250" s="111"/>
      <c r="BGF250" s="111"/>
      <c r="BGG250" s="111"/>
      <c r="BGH250" s="111"/>
      <c r="BGI250" s="111"/>
      <c r="BGJ250" s="111"/>
      <c r="BGK250" s="111"/>
      <c r="BGL250" s="111"/>
      <c r="BGM250" s="111"/>
      <c r="BGN250" s="111"/>
      <c r="BGO250" s="111"/>
      <c r="BGP250" s="111"/>
      <c r="BGQ250" s="111"/>
      <c r="BGR250" s="111"/>
      <c r="BGS250" s="111"/>
      <c r="BGT250" s="111"/>
      <c r="BGU250" s="111"/>
      <c r="BGV250" s="111"/>
      <c r="BGW250" s="111"/>
      <c r="BGX250" s="111"/>
      <c r="BGY250" s="111"/>
      <c r="BGZ250" s="111"/>
      <c r="BHA250" s="111"/>
      <c r="BHB250" s="111"/>
      <c r="BHC250" s="111"/>
      <c r="BHD250" s="111"/>
      <c r="BHE250" s="111"/>
      <c r="BHF250" s="111"/>
      <c r="BHG250" s="111"/>
      <c r="BHH250" s="111"/>
      <c r="BHI250" s="111"/>
      <c r="BHJ250" s="111"/>
      <c r="BHK250" s="111"/>
      <c r="BHL250" s="111"/>
      <c r="BHM250" s="111"/>
      <c r="BHN250" s="111"/>
      <c r="BHO250" s="111"/>
      <c r="BHP250" s="111"/>
      <c r="BHQ250" s="111"/>
      <c r="BHR250" s="111"/>
      <c r="BHS250" s="111"/>
      <c r="BHT250" s="111"/>
      <c r="BHU250" s="111"/>
      <c r="BHV250" s="111"/>
      <c r="BHW250" s="111"/>
      <c r="BHX250" s="111"/>
      <c r="BHY250" s="111"/>
      <c r="BHZ250" s="111"/>
      <c r="BIA250" s="111"/>
      <c r="BIB250" s="111"/>
      <c r="BIC250" s="111"/>
      <c r="BID250" s="111"/>
      <c r="BIE250" s="111"/>
      <c r="BIF250" s="111"/>
      <c r="BIG250" s="111"/>
      <c r="BIH250" s="111"/>
      <c r="BII250" s="111"/>
      <c r="BIJ250" s="111"/>
      <c r="BIK250" s="111"/>
      <c r="BIL250" s="111"/>
      <c r="BIM250" s="111"/>
      <c r="BIN250" s="111"/>
      <c r="BIO250" s="111"/>
      <c r="BIP250" s="111"/>
      <c r="BIQ250" s="111"/>
      <c r="BIR250" s="111"/>
      <c r="BIS250" s="111"/>
      <c r="BIT250" s="111"/>
      <c r="BIU250" s="111"/>
      <c r="BIV250" s="111"/>
      <c r="BIW250" s="111"/>
      <c r="BIX250" s="111"/>
      <c r="BIY250" s="111"/>
      <c r="BIZ250" s="111"/>
      <c r="BJA250" s="111"/>
      <c r="BJB250" s="111"/>
      <c r="BJC250" s="111"/>
      <c r="BJD250" s="111"/>
      <c r="BJE250" s="111"/>
      <c r="BJF250" s="111"/>
      <c r="BJG250" s="111"/>
      <c r="BJH250" s="111"/>
      <c r="BJI250" s="111"/>
      <c r="BJJ250" s="111"/>
      <c r="BJK250" s="111"/>
      <c r="BJL250" s="111"/>
      <c r="BJM250" s="111"/>
      <c r="BJN250" s="111"/>
      <c r="BJO250" s="111"/>
      <c r="BJP250" s="111"/>
      <c r="BJQ250" s="111"/>
      <c r="BJR250" s="111"/>
      <c r="BJS250" s="111"/>
      <c r="BJT250" s="111"/>
      <c r="BJU250" s="111"/>
      <c r="BJV250" s="111"/>
      <c r="BJW250" s="111"/>
      <c r="BJX250" s="111"/>
      <c r="BJY250" s="111"/>
      <c r="BJZ250" s="111"/>
      <c r="BKA250" s="111"/>
      <c r="BKB250" s="111"/>
      <c r="BKC250" s="111"/>
      <c r="BKD250" s="111"/>
      <c r="BKE250" s="111"/>
      <c r="BKF250" s="111"/>
      <c r="BKG250" s="111"/>
      <c r="BKH250" s="111"/>
      <c r="BKI250" s="111"/>
      <c r="BKJ250" s="111"/>
      <c r="BKK250" s="111"/>
      <c r="BKL250" s="111"/>
      <c r="BKM250" s="111"/>
      <c r="BKN250" s="111"/>
      <c r="BKO250" s="111"/>
      <c r="BKP250" s="111"/>
      <c r="BKQ250" s="111"/>
      <c r="BKR250" s="111"/>
      <c r="BKS250" s="111"/>
      <c r="BKT250" s="111"/>
      <c r="BKU250" s="111"/>
      <c r="BKV250" s="111"/>
      <c r="BKW250" s="111"/>
      <c r="BKX250" s="111"/>
      <c r="BKY250" s="111"/>
      <c r="BKZ250" s="111"/>
      <c r="BLA250" s="111"/>
      <c r="BLB250" s="111"/>
      <c r="BLC250" s="111"/>
      <c r="BLD250" s="111"/>
      <c r="BLE250" s="111"/>
      <c r="BLF250" s="111"/>
      <c r="BLG250" s="111"/>
      <c r="BLH250" s="111"/>
      <c r="BLI250" s="111"/>
      <c r="BLJ250" s="111"/>
      <c r="BLK250" s="111"/>
      <c r="BLL250" s="111"/>
      <c r="BLM250" s="111"/>
      <c r="BLN250" s="111"/>
      <c r="BLO250" s="111"/>
      <c r="BLP250" s="111"/>
      <c r="BLQ250" s="111"/>
      <c r="BLR250" s="111"/>
      <c r="BLS250" s="111"/>
      <c r="BLT250" s="111"/>
      <c r="BLU250" s="111"/>
      <c r="BLV250" s="111"/>
      <c r="BLW250" s="111"/>
      <c r="BLX250" s="111"/>
      <c r="BLY250" s="111"/>
      <c r="BLZ250" s="111"/>
      <c r="BMA250" s="111"/>
      <c r="BMB250" s="111"/>
      <c r="BMC250" s="111"/>
      <c r="BMD250" s="111"/>
      <c r="BME250" s="111"/>
      <c r="BMF250" s="111"/>
      <c r="BMG250" s="111"/>
      <c r="BMH250" s="111"/>
      <c r="BMI250" s="111"/>
      <c r="BMJ250" s="111"/>
      <c r="BMK250" s="111"/>
      <c r="BML250" s="111"/>
      <c r="BMM250" s="111"/>
      <c r="BMN250" s="111"/>
      <c r="BMO250" s="111"/>
      <c r="BMP250" s="111"/>
      <c r="BMQ250" s="111"/>
      <c r="BMR250" s="111"/>
      <c r="BMS250" s="111"/>
      <c r="BMT250" s="111"/>
      <c r="BMU250" s="111"/>
      <c r="BMV250" s="111"/>
      <c r="BMW250" s="111"/>
      <c r="BMX250" s="111"/>
      <c r="BMY250" s="111"/>
      <c r="BMZ250" s="111"/>
      <c r="BNA250" s="111"/>
      <c r="BNB250" s="111"/>
      <c r="BNC250" s="111"/>
      <c r="BND250" s="111"/>
      <c r="BNE250" s="111"/>
      <c r="BNF250" s="111"/>
      <c r="BNG250" s="111"/>
      <c r="BNH250" s="111"/>
      <c r="BNI250" s="111"/>
      <c r="BNJ250" s="111"/>
      <c r="BNK250" s="111"/>
      <c r="BNL250" s="111"/>
      <c r="BNM250" s="111"/>
      <c r="BNN250" s="111"/>
      <c r="BNO250" s="111"/>
      <c r="BNP250" s="111"/>
      <c r="BNQ250" s="111"/>
      <c r="BNR250" s="111"/>
      <c r="BNS250" s="111"/>
      <c r="BNT250" s="111"/>
      <c r="BNU250" s="111"/>
      <c r="BNV250" s="111"/>
      <c r="BNW250" s="111"/>
      <c r="BNX250" s="111"/>
      <c r="BNY250" s="111"/>
      <c r="BNZ250" s="111"/>
      <c r="BOA250" s="111"/>
      <c r="BOB250" s="111"/>
      <c r="BOC250" s="111"/>
      <c r="BOD250" s="111"/>
      <c r="BOE250" s="111"/>
      <c r="BOF250" s="111"/>
      <c r="BOG250" s="111"/>
      <c r="BOH250" s="111"/>
      <c r="BOI250" s="111"/>
      <c r="BOJ250" s="111"/>
      <c r="BOK250" s="111"/>
      <c r="BOL250" s="111"/>
      <c r="BOM250" s="111"/>
      <c r="BON250" s="111"/>
      <c r="BOO250" s="111"/>
      <c r="BOP250" s="111"/>
      <c r="BOQ250" s="111"/>
      <c r="BOR250" s="111"/>
      <c r="BOS250" s="111"/>
      <c r="BOT250" s="111"/>
      <c r="BOU250" s="111"/>
      <c r="BOV250" s="111"/>
      <c r="BOW250" s="111"/>
      <c r="BOX250" s="111"/>
      <c r="BOY250" s="111"/>
      <c r="BOZ250" s="111"/>
      <c r="BPA250" s="111"/>
      <c r="BPB250" s="111"/>
      <c r="BPC250" s="111"/>
      <c r="BPD250" s="111"/>
      <c r="BPE250" s="111"/>
      <c r="BPF250" s="111"/>
      <c r="BPG250" s="111"/>
      <c r="BPH250" s="111"/>
      <c r="BPI250" s="111"/>
      <c r="BPJ250" s="111"/>
      <c r="BPK250" s="111"/>
      <c r="BPL250" s="111"/>
      <c r="BPM250" s="111"/>
      <c r="BPN250" s="111"/>
      <c r="BPO250" s="111"/>
      <c r="BPP250" s="111"/>
      <c r="BPQ250" s="111"/>
      <c r="BPR250" s="111"/>
      <c r="BPS250" s="111"/>
      <c r="BPT250" s="111"/>
      <c r="BPU250" s="111"/>
      <c r="BPV250" s="111"/>
      <c r="BPW250" s="111"/>
      <c r="BPX250" s="111"/>
      <c r="BPY250" s="111"/>
      <c r="BPZ250" s="111"/>
      <c r="BQA250" s="111"/>
      <c r="BQB250" s="111"/>
      <c r="BQC250" s="111"/>
      <c r="BQD250" s="111"/>
      <c r="BQE250" s="111"/>
      <c r="BQF250" s="111"/>
      <c r="BQG250" s="111"/>
      <c r="BQH250" s="111"/>
      <c r="BQI250" s="111"/>
      <c r="BQJ250" s="111"/>
      <c r="BQK250" s="111"/>
      <c r="BQL250" s="111"/>
      <c r="BQM250" s="111"/>
      <c r="BQN250" s="111"/>
      <c r="BQO250" s="111"/>
      <c r="BQP250" s="111"/>
      <c r="BQQ250" s="111"/>
      <c r="BQR250" s="111"/>
      <c r="BQS250" s="111"/>
      <c r="BQT250" s="111"/>
      <c r="BQU250" s="111"/>
      <c r="BQV250" s="111"/>
      <c r="BQW250" s="111"/>
      <c r="BQX250" s="111"/>
      <c r="BQY250" s="111"/>
      <c r="BQZ250" s="111"/>
      <c r="BRA250" s="111"/>
      <c r="BRB250" s="111"/>
      <c r="BRC250" s="111"/>
      <c r="BRD250" s="111"/>
      <c r="BRE250" s="111"/>
      <c r="BRF250" s="111"/>
      <c r="BRG250" s="111"/>
      <c r="BRH250" s="111"/>
      <c r="BRI250" s="111"/>
      <c r="BRJ250" s="111"/>
      <c r="BRK250" s="111"/>
      <c r="BRL250" s="111"/>
      <c r="BRM250" s="111"/>
      <c r="BRN250" s="111"/>
      <c r="BRO250" s="111"/>
      <c r="BRP250" s="111"/>
      <c r="BRQ250" s="111"/>
      <c r="BRR250" s="111"/>
      <c r="BRS250" s="111"/>
      <c r="BRT250" s="111"/>
      <c r="BRU250" s="111"/>
      <c r="BRV250" s="111"/>
      <c r="BRW250" s="111"/>
      <c r="BRX250" s="111"/>
      <c r="BRY250" s="111"/>
      <c r="BRZ250" s="111"/>
      <c r="BSA250" s="111"/>
      <c r="BSB250" s="111"/>
      <c r="BSC250" s="111"/>
      <c r="BSD250" s="111"/>
      <c r="BSE250" s="111"/>
      <c r="BSF250" s="111"/>
      <c r="BSG250" s="111"/>
      <c r="BSH250" s="111"/>
      <c r="BSI250" s="111"/>
      <c r="BSJ250" s="111"/>
      <c r="BSK250" s="111"/>
      <c r="BSL250" s="111"/>
      <c r="BSM250" s="111"/>
      <c r="BSN250" s="111"/>
      <c r="BSO250" s="111"/>
      <c r="BSP250" s="111"/>
      <c r="BSQ250" s="111"/>
      <c r="BSR250" s="111"/>
      <c r="BSS250" s="111"/>
      <c r="BST250" s="111"/>
      <c r="BSU250" s="111"/>
      <c r="BSV250" s="111"/>
      <c r="BSW250" s="111"/>
      <c r="BSX250" s="111"/>
      <c r="BSY250" s="111"/>
      <c r="BSZ250" s="111"/>
      <c r="BTA250" s="111"/>
      <c r="BTB250" s="111"/>
      <c r="BTC250" s="111"/>
      <c r="BTD250" s="111"/>
      <c r="BTE250" s="111"/>
      <c r="BTF250" s="111"/>
      <c r="BTG250" s="111"/>
      <c r="BTH250" s="111"/>
      <c r="BTI250" s="111"/>
      <c r="BTJ250" s="111"/>
      <c r="BTK250" s="111"/>
      <c r="BTL250" s="111"/>
      <c r="BTM250" s="111"/>
      <c r="BTN250" s="111"/>
      <c r="BTO250" s="111"/>
      <c r="BTP250" s="111"/>
      <c r="BTQ250" s="111"/>
      <c r="BTR250" s="111"/>
      <c r="BTS250" s="111"/>
      <c r="BTT250" s="111"/>
      <c r="BTU250" s="111"/>
      <c r="BTV250" s="111"/>
      <c r="BTW250" s="111"/>
      <c r="BTX250" s="111"/>
      <c r="BTY250" s="111"/>
      <c r="BTZ250" s="111"/>
      <c r="BUA250" s="111"/>
      <c r="BUB250" s="111"/>
      <c r="BUC250" s="111"/>
      <c r="BUD250" s="111"/>
      <c r="BUE250" s="111"/>
      <c r="BUF250" s="111"/>
      <c r="BUG250" s="111"/>
      <c r="BUH250" s="111"/>
      <c r="BUI250" s="111"/>
      <c r="BUJ250" s="111"/>
      <c r="BUK250" s="111"/>
      <c r="BUL250" s="111"/>
      <c r="BUM250" s="111"/>
      <c r="BUN250" s="111"/>
      <c r="BUO250" s="111"/>
      <c r="BUP250" s="111"/>
      <c r="BUQ250" s="111"/>
      <c r="BUR250" s="111"/>
      <c r="BUS250" s="111"/>
      <c r="BUT250" s="111"/>
      <c r="BUU250" s="111"/>
      <c r="BUV250" s="111"/>
      <c r="BUW250" s="111"/>
      <c r="BUX250" s="111"/>
      <c r="BUY250" s="111"/>
      <c r="BUZ250" s="111"/>
      <c r="BVA250" s="111"/>
      <c r="BVB250" s="111"/>
      <c r="BVC250" s="111"/>
      <c r="BVD250" s="111"/>
      <c r="BVE250" s="111"/>
      <c r="BVF250" s="111"/>
      <c r="BVG250" s="111"/>
      <c r="BVH250" s="111"/>
      <c r="BVI250" s="111"/>
      <c r="BVJ250" s="111"/>
      <c r="BVK250" s="111"/>
      <c r="BVL250" s="111"/>
      <c r="BVM250" s="111"/>
      <c r="BVN250" s="111"/>
      <c r="BVO250" s="111"/>
      <c r="BVP250" s="111"/>
      <c r="BVQ250" s="111"/>
      <c r="BVR250" s="111"/>
      <c r="BVS250" s="111"/>
      <c r="BVT250" s="111"/>
      <c r="BVU250" s="111"/>
      <c r="BVV250" s="111"/>
      <c r="BVW250" s="111"/>
      <c r="BVX250" s="111"/>
      <c r="BVY250" s="111"/>
      <c r="BVZ250" s="111"/>
      <c r="BWA250" s="111"/>
      <c r="BWB250" s="111"/>
      <c r="BWC250" s="111"/>
      <c r="BWD250" s="111"/>
      <c r="BWE250" s="111"/>
      <c r="BWF250" s="111"/>
      <c r="BWG250" s="111"/>
      <c r="BWH250" s="111"/>
      <c r="BWI250" s="111"/>
      <c r="BWJ250" s="111"/>
      <c r="BWK250" s="111"/>
      <c r="BWL250" s="111"/>
      <c r="BWM250" s="111"/>
      <c r="BWN250" s="111"/>
      <c r="BWO250" s="111"/>
      <c r="BWP250" s="111"/>
      <c r="BWQ250" s="111"/>
      <c r="BWR250" s="111"/>
      <c r="BWS250" s="111"/>
      <c r="BWT250" s="111"/>
      <c r="BWU250" s="111"/>
      <c r="BWV250" s="111"/>
      <c r="BWW250" s="111"/>
      <c r="BWX250" s="111"/>
      <c r="BWY250" s="111"/>
      <c r="BWZ250" s="111"/>
      <c r="BXA250" s="111"/>
      <c r="BXB250" s="111"/>
      <c r="BXC250" s="111"/>
      <c r="BXD250" s="111"/>
      <c r="BXE250" s="111"/>
      <c r="BXF250" s="111"/>
      <c r="BXG250" s="111"/>
      <c r="BXH250" s="111"/>
      <c r="BXI250" s="111"/>
      <c r="BXJ250" s="111"/>
      <c r="BXK250" s="111"/>
      <c r="BXL250" s="111"/>
      <c r="BXM250" s="111"/>
      <c r="BXN250" s="111"/>
      <c r="BXO250" s="111"/>
      <c r="BXP250" s="111"/>
      <c r="BXQ250" s="111"/>
      <c r="BXR250" s="111"/>
      <c r="BXS250" s="111"/>
      <c r="BXT250" s="111"/>
      <c r="BXU250" s="111"/>
      <c r="BXV250" s="111"/>
      <c r="BXW250" s="111"/>
      <c r="BXX250" s="111"/>
      <c r="BXY250" s="111"/>
      <c r="BXZ250" s="111"/>
      <c r="BYA250" s="111"/>
      <c r="BYB250" s="111"/>
      <c r="BYC250" s="111"/>
      <c r="BYD250" s="111"/>
      <c r="BYE250" s="111"/>
      <c r="BYF250" s="111"/>
      <c r="BYG250" s="111"/>
      <c r="BYH250" s="111"/>
      <c r="BYI250" s="111"/>
      <c r="BYJ250" s="111"/>
      <c r="BYK250" s="111"/>
      <c r="BYL250" s="111"/>
      <c r="BYM250" s="111"/>
      <c r="BYN250" s="111"/>
      <c r="BYO250" s="111"/>
      <c r="BYP250" s="111"/>
      <c r="BYQ250" s="111"/>
      <c r="BYR250" s="111"/>
      <c r="BYS250" s="111"/>
      <c r="BYT250" s="111"/>
      <c r="BYU250" s="111"/>
      <c r="BYV250" s="111"/>
      <c r="BYW250" s="111"/>
      <c r="BYX250" s="111"/>
      <c r="BYY250" s="111"/>
      <c r="BYZ250" s="111"/>
      <c r="BZA250" s="111"/>
      <c r="BZB250" s="111"/>
      <c r="BZC250" s="111"/>
      <c r="BZD250" s="111"/>
      <c r="BZE250" s="111"/>
      <c r="BZF250" s="111"/>
      <c r="BZG250" s="111"/>
      <c r="BZH250" s="111"/>
      <c r="BZI250" s="111"/>
      <c r="BZJ250" s="111"/>
      <c r="BZK250" s="111"/>
      <c r="BZL250" s="111"/>
      <c r="BZM250" s="111"/>
      <c r="BZN250" s="111"/>
      <c r="BZO250" s="111"/>
      <c r="BZP250" s="111"/>
      <c r="BZQ250" s="111"/>
      <c r="BZR250" s="111"/>
      <c r="BZS250" s="111"/>
      <c r="BZT250" s="111"/>
      <c r="BZU250" s="111"/>
      <c r="BZV250" s="111"/>
      <c r="BZW250" s="111"/>
      <c r="BZX250" s="111"/>
      <c r="BZY250" s="111"/>
      <c r="BZZ250" s="111"/>
      <c r="CAA250" s="111"/>
      <c r="CAB250" s="111"/>
      <c r="CAC250" s="111"/>
      <c r="CAD250" s="111"/>
      <c r="CAE250" s="111"/>
      <c r="CAF250" s="111"/>
      <c r="CAG250" s="111"/>
      <c r="CAH250" s="111"/>
      <c r="CAI250" s="111"/>
      <c r="CAJ250" s="111"/>
      <c r="CAK250" s="111"/>
      <c r="CAL250" s="111"/>
      <c r="CAM250" s="111"/>
      <c r="CAN250" s="111"/>
      <c r="CAO250" s="111"/>
      <c r="CAP250" s="111"/>
      <c r="CAQ250" s="111"/>
      <c r="CAR250" s="111"/>
      <c r="CAS250" s="111"/>
      <c r="CAT250" s="111"/>
      <c r="CAU250" s="111"/>
      <c r="CAV250" s="111"/>
      <c r="CAW250" s="111"/>
      <c r="CAX250" s="111"/>
      <c r="CAY250" s="111"/>
      <c r="CAZ250" s="111"/>
      <c r="CBA250" s="111"/>
      <c r="CBB250" s="111"/>
      <c r="CBC250" s="111"/>
      <c r="CBD250" s="111"/>
      <c r="CBE250" s="111"/>
      <c r="CBF250" s="111"/>
      <c r="CBG250" s="111"/>
      <c r="CBH250" s="111"/>
      <c r="CBI250" s="111"/>
      <c r="CBJ250" s="111"/>
      <c r="CBK250" s="111"/>
      <c r="CBL250" s="111"/>
      <c r="CBM250" s="111"/>
      <c r="CBN250" s="111"/>
      <c r="CBO250" s="111"/>
      <c r="CBP250" s="111"/>
      <c r="CBQ250" s="111"/>
      <c r="CBR250" s="111"/>
      <c r="CBS250" s="111"/>
      <c r="CBT250" s="111"/>
      <c r="CBU250" s="111"/>
      <c r="CBV250" s="111"/>
      <c r="CBW250" s="111"/>
      <c r="CBX250" s="111"/>
      <c r="CBY250" s="111"/>
      <c r="CBZ250" s="111"/>
      <c r="CCA250" s="111"/>
      <c r="CCB250" s="111"/>
      <c r="CCC250" s="111"/>
      <c r="CCD250" s="111"/>
      <c r="CCE250" s="111"/>
      <c r="CCF250" s="111"/>
      <c r="CCG250" s="111"/>
      <c r="CCH250" s="111"/>
      <c r="CCI250" s="111"/>
      <c r="CCJ250" s="111"/>
      <c r="CCK250" s="111"/>
      <c r="CCL250" s="111"/>
      <c r="CCM250" s="111"/>
      <c r="CCN250" s="111"/>
      <c r="CCO250" s="111"/>
      <c r="CCP250" s="111"/>
      <c r="CCQ250" s="111"/>
      <c r="CCR250" s="111"/>
      <c r="CCS250" s="111"/>
      <c r="CCT250" s="111"/>
      <c r="CCU250" s="111"/>
      <c r="CCV250" s="111"/>
      <c r="CCW250" s="111"/>
      <c r="CCX250" s="111"/>
      <c r="CCY250" s="111"/>
      <c r="CCZ250" s="111"/>
      <c r="CDA250" s="111"/>
      <c r="CDB250" s="111"/>
      <c r="CDC250" s="111"/>
      <c r="CDD250" s="111"/>
      <c r="CDE250" s="111"/>
      <c r="CDF250" s="111"/>
      <c r="CDG250" s="111"/>
      <c r="CDH250" s="111"/>
      <c r="CDI250" s="111"/>
      <c r="CDJ250" s="111"/>
      <c r="CDK250" s="111"/>
      <c r="CDL250" s="111"/>
      <c r="CDM250" s="111"/>
      <c r="CDN250" s="111"/>
      <c r="CDO250" s="111"/>
      <c r="CDP250" s="111"/>
      <c r="CDQ250" s="111"/>
      <c r="CDR250" s="111"/>
      <c r="CDS250" s="111"/>
      <c r="CDT250" s="111"/>
      <c r="CDU250" s="111"/>
      <c r="CDV250" s="111"/>
      <c r="CDW250" s="111"/>
      <c r="CDX250" s="111"/>
      <c r="CDY250" s="111"/>
      <c r="CDZ250" s="111"/>
      <c r="CEA250" s="111"/>
      <c r="CEB250" s="111"/>
      <c r="CEC250" s="111"/>
      <c r="CED250" s="111"/>
      <c r="CEE250" s="111"/>
      <c r="CEF250" s="111"/>
      <c r="CEG250" s="111"/>
      <c r="CEH250" s="111"/>
      <c r="CEI250" s="111"/>
      <c r="CEJ250" s="111"/>
      <c r="CEK250" s="111"/>
      <c r="CEL250" s="111"/>
      <c r="CEM250" s="111"/>
      <c r="CEN250" s="111"/>
      <c r="CEO250" s="111"/>
      <c r="CEP250" s="111"/>
      <c r="CEQ250" s="111"/>
      <c r="CER250" s="111"/>
      <c r="CES250" s="111"/>
      <c r="CET250" s="111"/>
      <c r="CEU250" s="111"/>
      <c r="CEV250" s="111"/>
      <c r="CEW250" s="111"/>
      <c r="CEX250" s="111"/>
      <c r="CEY250" s="111"/>
      <c r="CEZ250" s="111"/>
      <c r="CFA250" s="111"/>
      <c r="CFB250" s="111"/>
      <c r="CFC250" s="111"/>
      <c r="CFD250" s="111"/>
      <c r="CFE250" s="111"/>
      <c r="CFF250" s="111"/>
      <c r="CFG250" s="111"/>
      <c r="CFH250" s="111"/>
      <c r="CFI250" s="111"/>
      <c r="CFJ250" s="111"/>
      <c r="CFK250" s="111"/>
      <c r="CFL250" s="111"/>
      <c r="CFM250" s="111"/>
      <c r="CFN250" s="111"/>
      <c r="CFO250" s="111"/>
      <c r="CFP250" s="111"/>
      <c r="CFQ250" s="111"/>
      <c r="CFR250" s="111"/>
      <c r="CFS250" s="111"/>
      <c r="CFT250" s="111"/>
      <c r="CFU250" s="111"/>
      <c r="CFV250" s="111"/>
      <c r="CFW250" s="111"/>
      <c r="CFX250" s="111"/>
      <c r="CFY250" s="111"/>
      <c r="CFZ250" s="111"/>
      <c r="CGA250" s="111"/>
      <c r="CGB250" s="111"/>
      <c r="CGC250" s="111"/>
      <c r="CGD250" s="111"/>
      <c r="CGE250" s="111"/>
      <c r="CGF250" s="111"/>
      <c r="CGG250" s="111"/>
      <c r="CGH250" s="111"/>
      <c r="CGI250" s="111"/>
      <c r="CGJ250" s="111"/>
      <c r="CGK250" s="111"/>
      <c r="CGL250" s="111"/>
      <c r="CGM250" s="111"/>
      <c r="CGN250" s="111"/>
      <c r="CGO250" s="111"/>
      <c r="CGP250" s="111"/>
      <c r="CGQ250" s="111"/>
      <c r="CGR250" s="111"/>
      <c r="CGS250" s="111"/>
      <c r="CGT250" s="111"/>
      <c r="CGU250" s="111"/>
      <c r="CGV250" s="111"/>
      <c r="CGW250" s="111"/>
      <c r="CGX250" s="111"/>
      <c r="CGY250" s="111"/>
      <c r="CGZ250" s="111"/>
      <c r="CHA250" s="111"/>
      <c r="CHB250" s="111"/>
      <c r="CHC250" s="111"/>
      <c r="CHD250" s="111"/>
      <c r="CHE250" s="111"/>
      <c r="CHF250" s="111"/>
      <c r="CHG250" s="111"/>
      <c r="CHH250" s="111"/>
      <c r="CHI250" s="111"/>
      <c r="CHJ250" s="111"/>
      <c r="CHK250" s="111"/>
      <c r="CHL250" s="111"/>
      <c r="CHM250" s="111"/>
      <c r="CHN250" s="111"/>
      <c r="CHO250" s="111"/>
      <c r="CHP250" s="111"/>
      <c r="CHQ250" s="111"/>
      <c r="CHR250" s="111"/>
      <c r="CHS250" s="111"/>
      <c r="CHT250" s="111"/>
      <c r="CHU250" s="111"/>
      <c r="CHV250" s="111"/>
      <c r="CHW250" s="111"/>
      <c r="CHX250" s="111"/>
      <c r="CHY250" s="111"/>
      <c r="CHZ250" s="111"/>
      <c r="CIA250" s="111"/>
      <c r="CIB250" s="111"/>
      <c r="CIC250" s="111"/>
      <c r="CID250" s="111"/>
      <c r="CIE250" s="111"/>
      <c r="CIF250" s="111"/>
      <c r="CIG250" s="111"/>
      <c r="CIH250" s="111"/>
      <c r="CII250" s="111"/>
      <c r="CIJ250" s="111"/>
      <c r="CIK250" s="111"/>
      <c r="CIL250" s="111"/>
      <c r="CIM250" s="111"/>
      <c r="CIN250" s="111"/>
      <c r="CIO250" s="111"/>
      <c r="CIP250" s="111"/>
      <c r="CIQ250" s="111"/>
      <c r="CIR250" s="111"/>
      <c r="CIS250" s="111"/>
      <c r="CIT250" s="111"/>
      <c r="CIU250" s="111"/>
      <c r="CIV250" s="111"/>
      <c r="CIW250" s="111"/>
      <c r="CIX250" s="111"/>
      <c r="CIY250" s="111"/>
      <c r="CIZ250" s="111"/>
      <c r="CJA250" s="111"/>
      <c r="CJB250" s="111"/>
      <c r="CJC250" s="111"/>
      <c r="CJD250" s="111"/>
      <c r="CJE250" s="111"/>
      <c r="CJF250" s="111"/>
      <c r="CJG250" s="111"/>
      <c r="CJH250" s="111"/>
      <c r="CJI250" s="111"/>
      <c r="CJJ250" s="111"/>
      <c r="CJK250" s="111"/>
      <c r="CJL250" s="111"/>
      <c r="CJM250" s="111"/>
      <c r="CJN250" s="111"/>
      <c r="CJO250" s="111"/>
      <c r="CJP250" s="111"/>
      <c r="CJQ250" s="111"/>
      <c r="CJR250" s="111"/>
      <c r="CJS250" s="111"/>
      <c r="CJT250" s="111"/>
      <c r="CJU250" s="111"/>
      <c r="CJV250" s="111"/>
      <c r="CJW250" s="111"/>
      <c r="CJX250" s="111"/>
      <c r="CJY250" s="111"/>
      <c r="CJZ250" s="111"/>
      <c r="CKA250" s="111"/>
      <c r="CKB250" s="111"/>
      <c r="CKC250" s="111"/>
      <c r="CKD250" s="111"/>
      <c r="CKE250" s="111"/>
      <c r="CKF250" s="111"/>
      <c r="CKG250" s="111"/>
      <c r="CKH250" s="111"/>
      <c r="CKI250" s="111"/>
      <c r="CKJ250" s="111"/>
      <c r="CKK250" s="111"/>
      <c r="CKL250" s="111"/>
      <c r="CKM250" s="111"/>
      <c r="CKN250" s="111"/>
      <c r="CKO250" s="111"/>
      <c r="CKP250" s="111"/>
      <c r="CKQ250" s="111"/>
      <c r="CKR250" s="111"/>
      <c r="CKS250" s="111"/>
      <c r="CKT250" s="111"/>
      <c r="CKU250" s="111"/>
      <c r="CKV250" s="111"/>
      <c r="CKW250" s="111"/>
      <c r="CKX250" s="111"/>
      <c r="CKY250" s="111"/>
      <c r="CKZ250" s="111"/>
      <c r="CLA250" s="111"/>
      <c r="CLB250" s="111"/>
      <c r="CLC250" s="111"/>
      <c r="CLD250" s="111"/>
      <c r="CLE250" s="111"/>
      <c r="CLF250" s="111"/>
      <c r="CLG250" s="111"/>
      <c r="CLH250" s="111"/>
      <c r="CLI250" s="111"/>
      <c r="CLJ250" s="111"/>
      <c r="CLK250" s="111"/>
      <c r="CLL250" s="111"/>
      <c r="CLM250" s="111"/>
      <c r="CLN250" s="111"/>
      <c r="CLO250" s="111"/>
      <c r="CLP250" s="111"/>
      <c r="CLQ250" s="111"/>
      <c r="CLR250" s="111"/>
      <c r="CLS250" s="111"/>
      <c r="CLT250" s="111"/>
      <c r="CLU250" s="111"/>
      <c r="CLV250" s="111"/>
      <c r="CLW250" s="111"/>
      <c r="CLX250" s="111"/>
      <c r="CLY250" s="111"/>
      <c r="CLZ250" s="111"/>
      <c r="CMA250" s="111"/>
      <c r="CMB250" s="111"/>
      <c r="CMC250" s="111"/>
      <c r="CMD250" s="111"/>
      <c r="CME250" s="111"/>
      <c r="CMF250" s="111"/>
      <c r="CMG250" s="111"/>
      <c r="CMH250" s="111"/>
      <c r="CMI250" s="111"/>
      <c r="CMJ250" s="111"/>
      <c r="CMK250" s="111"/>
      <c r="CML250" s="111"/>
      <c r="CMM250" s="111"/>
      <c r="CMN250" s="111"/>
      <c r="CMO250" s="111"/>
      <c r="CMP250" s="111"/>
      <c r="CMQ250" s="111"/>
      <c r="CMR250" s="111"/>
      <c r="CMS250" s="111"/>
      <c r="CMT250" s="111"/>
      <c r="CMU250" s="111"/>
      <c r="CMV250" s="111"/>
      <c r="CMW250" s="111"/>
      <c r="CMX250" s="111"/>
      <c r="CMY250" s="111"/>
      <c r="CMZ250" s="111"/>
      <c r="CNA250" s="111"/>
      <c r="CNB250" s="111"/>
      <c r="CNC250" s="111"/>
      <c r="CND250" s="111"/>
      <c r="CNE250" s="111"/>
      <c r="CNF250" s="111"/>
      <c r="CNG250" s="111"/>
      <c r="CNH250" s="111"/>
      <c r="CNI250" s="111"/>
      <c r="CNJ250" s="111"/>
      <c r="CNK250" s="111"/>
      <c r="CNL250" s="111"/>
      <c r="CNM250" s="111"/>
      <c r="CNN250" s="111"/>
      <c r="CNO250" s="111"/>
      <c r="CNP250" s="111"/>
      <c r="CNQ250" s="111"/>
      <c r="CNR250" s="111"/>
      <c r="CNS250" s="111"/>
      <c r="CNT250" s="111"/>
      <c r="CNU250" s="111"/>
      <c r="CNV250" s="111"/>
      <c r="CNW250" s="111"/>
      <c r="CNX250" s="111"/>
      <c r="CNY250" s="111"/>
      <c r="CNZ250" s="111"/>
      <c r="COA250" s="111"/>
      <c r="COB250" s="111"/>
      <c r="COC250" s="111"/>
      <c r="COD250" s="111"/>
      <c r="COE250" s="111"/>
      <c r="COF250" s="111"/>
      <c r="COG250" s="111"/>
      <c r="COH250" s="111"/>
      <c r="COI250" s="111"/>
      <c r="COJ250" s="111"/>
      <c r="COK250" s="111"/>
      <c r="COL250" s="111"/>
      <c r="COM250" s="111"/>
      <c r="CON250" s="111"/>
      <c r="COO250" s="111"/>
      <c r="COP250" s="111"/>
      <c r="COQ250" s="111"/>
      <c r="COR250" s="111"/>
      <c r="COS250" s="111"/>
      <c r="COT250" s="111"/>
      <c r="COU250" s="111"/>
      <c r="COV250" s="111"/>
      <c r="COW250" s="111"/>
      <c r="COX250" s="111"/>
      <c r="COY250" s="111"/>
      <c r="COZ250" s="111"/>
      <c r="CPA250" s="111"/>
      <c r="CPB250" s="111"/>
      <c r="CPC250" s="111"/>
      <c r="CPD250" s="111"/>
      <c r="CPE250" s="111"/>
      <c r="CPF250" s="111"/>
      <c r="CPG250" s="111"/>
      <c r="CPH250" s="111"/>
      <c r="CPI250" s="111"/>
      <c r="CPJ250" s="111"/>
      <c r="CPK250" s="111"/>
      <c r="CPL250" s="111"/>
      <c r="CPM250" s="111"/>
      <c r="CPN250" s="111"/>
      <c r="CPO250" s="111"/>
      <c r="CPP250" s="111"/>
      <c r="CPQ250" s="111"/>
      <c r="CPR250" s="111"/>
      <c r="CPS250" s="111"/>
      <c r="CPT250" s="111"/>
      <c r="CPU250" s="111"/>
      <c r="CPV250" s="111"/>
      <c r="CPW250" s="111"/>
      <c r="CPX250" s="111"/>
      <c r="CPY250" s="111"/>
      <c r="CPZ250" s="111"/>
      <c r="CQA250" s="111"/>
      <c r="CQB250" s="111"/>
      <c r="CQC250" s="111"/>
      <c r="CQD250" s="111"/>
      <c r="CQE250" s="111"/>
      <c r="CQF250" s="111"/>
      <c r="CQG250" s="111"/>
      <c r="CQH250" s="111"/>
      <c r="CQI250" s="111"/>
      <c r="CQJ250" s="111"/>
      <c r="CQK250" s="111"/>
      <c r="CQL250" s="111"/>
      <c r="CQM250" s="111"/>
      <c r="CQN250" s="111"/>
      <c r="CQO250" s="111"/>
      <c r="CQP250" s="111"/>
      <c r="CQQ250" s="111"/>
      <c r="CQR250" s="111"/>
      <c r="CQS250" s="111"/>
      <c r="CQT250" s="111"/>
      <c r="CQU250" s="111"/>
      <c r="CQV250" s="111"/>
      <c r="CQW250" s="111"/>
      <c r="CQX250" s="111"/>
      <c r="CQY250" s="111"/>
      <c r="CQZ250" s="111"/>
      <c r="CRA250" s="111"/>
      <c r="CRB250" s="111"/>
      <c r="CRC250" s="111"/>
      <c r="CRD250" s="111"/>
      <c r="CRE250" s="111"/>
      <c r="CRF250" s="111"/>
      <c r="CRG250" s="111"/>
      <c r="CRH250" s="111"/>
      <c r="CRI250" s="111"/>
      <c r="CRJ250" s="111"/>
      <c r="CRK250" s="111"/>
      <c r="CRL250" s="111"/>
      <c r="CRM250" s="111"/>
      <c r="CRN250" s="111"/>
      <c r="CRO250" s="111"/>
      <c r="CRP250" s="111"/>
      <c r="CRQ250" s="111"/>
      <c r="CRR250" s="111"/>
      <c r="CRS250" s="111"/>
      <c r="CRT250" s="111"/>
      <c r="CRU250" s="111"/>
      <c r="CRV250" s="111"/>
      <c r="CRW250" s="111"/>
      <c r="CRX250" s="111"/>
      <c r="CRY250" s="111"/>
      <c r="CRZ250" s="111"/>
      <c r="CSA250" s="111"/>
      <c r="CSB250" s="111"/>
      <c r="CSC250" s="111"/>
      <c r="CSD250" s="111"/>
      <c r="CSE250" s="111"/>
      <c r="CSF250" s="111"/>
      <c r="CSG250" s="111"/>
      <c r="CSH250" s="111"/>
      <c r="CSI250" s="111"/>
      <c r="CSJ250" s="111"/>
      <c r="CSK250" s="111"/>
      <c r="CSL250" s="111"/>
      <c r="CSM250" s="111"/>
      <c r="CSN250" s="111"/>
      <c r="CSO250" s="111"/>
      <c r="CSP250" s="111"/>
      <c r="CSQ250" s="111"/>
      <c r="CSR250" s="111"/>
      <c r="CSS250" s="111"/>
      <c r="CST250" s="111"/>
      <c r="CSU250" s="111"/>
      <c r="CSV250" s="111"/>
      <c r="CSW250" s="111"/>
      <c r="CSX250" s="111"/>
      <c r="CSY250" s="111"/>
      <c r="CSZ250" s="111"/>
      <c r="CTA250" s="111"/>
      <c r="CTB250" s="111"/>
      <c r="CTC250" s="111"/>
      <c r="CTD250" s="111"/>
      <c r="CTE250" s="111"/>
      <c r="CTF250" s="111"/>
      <c r="CTG250" s="111"/>
      <c r="CTH250" s="111"/>
      <c r="CTI250" s="111"/>
      <c r="CTJ250" s="111"/>
      <c r="CTK250" s="111"/>
      <c r="CTL250" s="111"/>
      <c r="CTM250" s="111"/>
      <c r="CTN250" s="111"/>
      <c r="CTO250" s="111"/>
      <c r="CTP250" s="111"/>
      <c r="CTQ250" s="111"/>
      <c r="CTR250" s="111"/>
      <c r="CTS250" s="111"/>
      <c r="CTT250" s="111"/>
      <c r="CTU250" s="111"/>
      <c r="CTV250" s="111"/>
      <c r="CTW250" s="111"/>
      <c r="CTX250" s="111"/>
      <c r="CTY250" s="111"/>
      <c r="CTZ250" s="111"/>
      <c r="CUA250" s="111"/>
      <c r="CUB250" s="111"/>
      <c r="CUC250" s="111"/>
      <c r="CUD250" s="111"/>
      <c r="CUE250" s="111"/>
      <c r="CUF250" s="111"/>
      <c r="CUG250" s="111"/>
      <c r="CUH250" s="111"/>
      <c r="CUI250" s="111"/>
      <c r="CUJ250" s="111"/>
      <c r="CUK250" s="111"/>
      <c r="CUL250" s="111"/>
      <c r="CUM250" s="111"/>
      <c r="CUN250" s="111"/>
      <c r="CUO250" s="111"/>
      <c r="CUP250" s="111"/>
      <c r="CUQ250" s="111"/>
      <c r="CUR250" s="111"/>
      <c r="CUS250" s="111"/>
      <c r="CUT250" s="111"/>
      <c r="CUU250" s="111"/>
      <c r="CUV250" s="111"/>
      <c r="CUW250" s="111"/>
      <c r="CUX250" s="111"/>
      <c r="CUY250" s="111"/>
      <c r="CUZ250" s="111"/>
      <c r="CVA250" s="111"/>
      <c r="CVB250" s="111"/>
      <c r="CVC250" s="111"/>
      <c r="CVD250" s="111"/>
      <c r="CVE250" s="111"/>
      <c r="CVF250" s="111"/>
      <c r="CVG250" s="111"/>
      <c r="CVH250" s="111"/>
      <c r="CVI250" s="111"/>
      <c r="CVJ250" s="111"/>
      <c r="CVK250" s="111"/>
      <c r="CVL250" s="111"/>
      <c r="CVM250" s="111"/>
      <c r="CVN250" s="111"/>
      <c r="CVO250" s="111"/>
      <c r="CVP250" s="111"/>
      <c r="CVQ250" s="111"/>
      <c r="CVR250" s="111"/>
      <c r="CVS250" s="111"/>
      <c r="CVT250" s="111"/>
      <c r="CVU250" s="111"/>
      <c r="CVV250" s="111"/>
      <c r="CVW250" s="111"/>
      <c r="CVX250" s="111"/>
      <c r="CVY250" s="111"/>
      <c r="CVZ250" s="111"/>
      <c r="CWA250" s="111"/>
      <c r="CWB250" s="111"/>
      <c r="CWC250" s="111"/>
      <c r="CWD250" s="111"/>
      <c r="CWE250" s="111"/>
      <c r="CWF250" s="111"/>
      <c r="CWG250" s="111"/>
      <c r="CWH250" s="111"/>
      <c r="CWI250" s="111"/>
      <c r="CWJ250" s="111"/>
      <c r="CWK250" s="111"/>
      <c r="CWL250" s="111"/>
      <c r="CWM250" s="111"/>
      <c r="CWN250" s="111"/>
      <c r="CWO250" s="111"/>
      <c r="CWP250" s="111"/>
      <c r="CWQ250" s="111"/>
      <c r="CWR250" s="111"/>
      <c r="CWS250" s="111"/>
      <c r="CWT250" s="111"/>
      <c r="CWU250" s="111"/>
      <c r="CWV250" s="111"/>
      <c r="CWW250" s="111"/>
      <c r="CWX250" s="111"/>
      <c r="CWY250" s="111"/>
      <c r="CWZ250" s="111"/>
      <c r="CXA250" s="111"/>
      <c r="CXB250" s="111"/>
      <c r="CXC250" s="111"/>
      <c r="CXD250" s="111"/>
      <c r="CXE250" s="111"/>
      <c r="CXF250" s="111"/>
      <c r="CXG250" s="111"/>
      <c r="CXH250" s="111"/>
      <c r="CXI250" s="111"/>
      <c r="CXJ250" s="111"/>
      <c r="CXK250" s="111"/>
      <c r="CXL250" s="111"/>
      <c r="CXM250" s="111"/>
      <c r="CXN250" s="111"/>
      <c r="CXO250" s="111"/>
      <c r="CXP250" s="111"/>
      <c r="CXQ250" s="111"/>
      <c r="CXR250" s="111"/>
      <c r="CXS250" s="111"/>
      <c r="CXT250" s="111"/>
      <c r="CXU250" s="111"/>
      <c r="CXV250" s="111"/>
      <c r="CXW250" s="111"/>
      <c r="CXX250" s="111"/>
      <c r="CXY250" s="111"/>
      <c r="CXZ250" s="111"/>
      <c r="CYA250" s="111"/>
      <c r="CYB250" s="111"/>
      <c r="CYC250" s="111"/>
      <c r="CYD250" s="111"/>
      <c r="CYE250" s="111"/>
      <c r="CYF250" s="111"/>
      <c r="CYG250" s="111"/>
      <c r="CYH250" s="111"/>
      <c r="CYI250" s="111"/>
      <c r="CYJ250" s="111"/>
      <c r="CYK250" s="111"/>
      <c r="CYL250" s="111"/>
      <c r="CYM250" s="111"/>
      <c r="CYN250" s="111"/>
      <c r="CYO250" s="111"/>
      <c r="CYP250" s="111"/>
      <c r="CYQ250" s="111"/>
      <c r="CYR250" s="111"/>
      <c r="CYS250" s="111"/>
      <c r="CYT250" s="111"/>
      <c r="CYU250" s="111"/>
      <c r="CYV250" s="111"/>
      <c r="CYW250" s="111"/>
      <c r="CYX250" s="111"/>
      <c r="CYY250" s="111"/>
      <c r="CYZ250" s="111"/>
      <c r="CZA250" s="111"/>
      <c r="CZB250" s="111"/>
      <c r="CZC250" s="111"/>
      <c r="CZD250" s="111"/>
      <c r="CZE250" s="111"/>
      <c r="CZF250" s="111"/>
      <c r="CZG250" s="111"/>
      <c r="CZH250" s="111"/>
      <c r="CZI250" s="111"/>
      <c r="CZJ250" s="111"/>
      <c r="CZK250" s="111"/>
      <c r="CZL250" s="111"/>
      <c r="CZM250" s="111"/>
      <c r="CZN250" s="111"/>
      <c r="CZO250" s="111"/>
      <c r="CZP250" s="111"/>
      <c r="CZQ250" s="111"/>
      <c r="CZR250" s="111"/>
      <c r="CZS250" s="111"/>
      <c r="CZT250" s="111"/>
      <c r="CZU250" s="111"/>
      <c r="CZV250" s="111"/>
      <c r="CZW250" s="111"/>
      <c r="CZX250" s="111"/>
      <c r="CZY250" s="111"/>
      <c r="CZZ250" s="111"/>
      <c r="DAA250" s="111"/>
      <c r="DAB250" s="111"/>
      <c r="DAC250" s="111"/>
      <c r="DAD250" s="111"/>
      <c r="DAE250" s="111"/>
      <c r="DAF250" s="111"/>
      <c r="DAG250" s="111"/>
      <c r="DAH250" s="111"/>
      <c r="DAI250" s="111"/>
      <c r="DAJ250" s="111"/>
      <c r="DAK250" s="111"/>
      <c r="DAL250" s="111"/>
      <c r="DAM250" s="111"/>
      <c r="DAN250" s="111"/>
      <c r="DAO250" s="111"/>
      <c r="DAP250" s="111"/>
      <c r="DAQ250" s="111"/>
      <c r="DAR250" s="111"/>
      <c r="DAS250" s="111"/>
      <c r="DAT250" s="111"/>
      <c r="DAU250" s="111"/>
      <c r="DAV250" s="111"/>
      <c r="DAW250" s="111"/>
      <c r="DAX250" s="111"/>
      <c r="DAY250" s="111"/>
      <c r="DAZ250" s="111"/>
      <c r="DBA250" s="111"/>
      <c r="DBB250" s="111"/>
      <c r="DBC250" s="111"/>
      <c r="DBD250" s="111"/>
      <c r="DBE250" s="111"/>
      <c r="DBF250" s="111"/>
      <c r="DBG250" s="111"/>
      <c r="DBH250" s="111"/>
      <c r="DBI250" s="111"/>
      <c r="DBJ250" s="111"/>
      <c r="DBK250" s="111"/>
      <c r="DBL250" s="111"/>
      <c r="DBM250" s="111"/>
      <c r="DBN250" s="111"/>
      <c r="DBO250" s="111"/>
      <c r="DBP250" s="111"/>
      <c r="DBQ250" s="111"/>
      <c r="DBR250" s="111"/>
      <c r="DBS250" s="111"/>
      <c r="DBT250" s="111"/>
      <c r="DBU250" s="111"/>
      <c r="DBV250" s="111"/>
      <c r="DBW250" s="111"/>
      <c r="DBX250" s="111"/>
      <c r="DBY250" s="111"/>
      <c r="DBZ250" s="111"/>
      <c r="DCA250" s="111"/>
      <c r="DCB250" s="111"/>
      <c r="DCC250" s="111"/>
      <c r="DCD250" s="111"/>
      <c r="DCE250" s="111"/>
      <c r="DCF250" s="111"/>
      <c r="DCG250" s="111"/>
      <c r="DCH250" s="111"/>
      <c r="DCI250" s="111"/>
      <c r="DCJ250" s="111"/>
      <c r="DCK250" s="111"/>
      <c r="DCL250" s="111"/>
      <c r="DCM250" s="111"/>
      <c r="DCN250" s="111"/>
      <c r="DCO250" s="111"/>
      <c r="DCP250" s="111"/>
      <c r="DCQ250" s="111"/>
      <c r="DCR250" s="111"/>
      <c r="DCS250" s="111"/>
      <c r="DCT250" s="111"/>
      <c r="DCU250" s="111"/>
      <c r="DCV250" s="111"/>
      <c r="DCW250" s="111"/>
      <c r="DCX250" s="111"/>
      <c r="DCY250" s="111"/>
      <c r="DCZ250" s="111"/>
      <c r="DDA250" s="111"/>
      <c r="DDB250" s="111"/>
      <c r="DDC250" s="111"/>
      <c r="DDD250" s="111"/>
      <c r="DDE250" s="111"/>
      <c r="DDF250" s="111"/>
      <c r="DDG250" s="111"/>
      <c r="DDH250" s="111"/>
      <c r="DDI250" s="111"/>
      <c r="DDJ250" s="111"/>
      <c r="DDK250" s="111"/>
      <c r="DDL250" s="111"/>
      <c r="DDM250" s="111"/>
      <c r="DDN250" s="111"/>
      <c r="DDO250" s="111"/>
      <c r="DDP250" s="111"/>
      <c r="DDQ250" s="111"/>
      <c r="DDR250" s="111"/>
      <c r="DDS250" s="111"/>
      <c r="DDT250" s="111"/>
      <c r="DDU250" s="111"/>
      <c r="DDV250" s="111"/>
      <c r="DDW250" s="111"/>
      <c r="DDX250" s="111"/>
      <c r="DDY250" s="111"/>
      <c r="DDZ250" s="111"/>
      <c r="DEA250" s="111"/>
      <c r="DEB250" s="111"/>
      <c r="DEC250" s="111"/>
      <c r="DED250" s="111"/>
      <c r="DEE250" s="111"/>
      <c r="DEF250" s="111"/>
      <c r="DEG250" s="111"/>
      <c r="DEH250" s="111"/>
      <c r="DEI250" s="111"/>
      <c r="DEJ250" s="111"/>
      <c r="DEK250" s="111"/>
      <c r="DEL250" s="111"/>
      <c r="DEM250" s="111"/>
      <c r="DEN250" s="111"/>
      <c r="DEO250" s="111"/>
      <c r="DEP250" s="111"/>
      <c r="DEQ250" s="111"/>
      <c r="DER250" s="111"/>
      <c r="DES250" s="111"/>
      <c r="DET250" s="111"/>
      <c r="DEU250" s="111"/>
      <c r="DEV250" s="111"/>
      <c r="DEW250" s="111"/>
      <c r="DEX250" s="111"/>
      <c r="DEY250" s="111"/>
      <c r="DEZ250" s="111"/>
      <c r="DFA250" s="111"/>
      <c r="DFB250" s="111"/>
      <c r="DFC250" s="111"/>
      <c r="DFD250" s="111"/>
      <c r="DFE250" s="111"/>
      <c r="DFF250" s="111"/>
      <c r="DFG250" s="111"/>
      <c r="DFH250" s="111"/>
      <c r="DFI250" s="111"/>
      <c r="DFJ250" s="111"/>
      <c r="DFK250" s="111"/>
      <c r="DFL250" s="111"/>
      <c r="DFM250" s="111"/>
      <c r="DFN250" s="111"/>
      <c r="DFO250" s="111"/>
      <c r="DFP250" s="111"/>
      <c r="DFQ250" s="111"/>
      <c r="DFR250" s="111"/>
      <c r="DFS250" s="111"/>
      <c r="DFT250" s="111"/>
      <c r="DFU250" s="111"/>
      <c r="DFV250" s="111"/>
      <c r="DFW250" s="111"/>
      <c r="DFX250" s="111"/>
      <c r="DFY250" s="111"/>
      <c r="DFZ250" s="111"/>
      <c r="DGA250" s="111"/>
      <c r="DGB250" s="111"/>
      <c r="DGC250" s="111"/>
      <c r="DGD250" s="111"/>
      <c r="DGE250" s="111"/>
      <c r="DGF250" s="111"/>
      <c r="DGG250" s="111"/>
      <c r="DGH250" s="111"/>
      <c r="DGI250" s="111"/>
      <c r="DGJ250" s="111"/>
      <c r="DGK250" s="111"/>
      <c r="DGL250" s="111"/>
      <c r="DGM250" s="111"/>
      <c r="DGN250" s="111"/>
      <c r="DGO250" s="111"/>
      <c r="DGP250" s="111"/>
      <c r="DGQ250" s="111"/>
      <c r="DGR250" s="111"/>
      <c r="DGS250" s="111"/>
      <c r="DGT250" s="111"/>
      <c r="DGU250" s="111"/>
      <c r="DGV250" s="111"/>
      <c r="DGW250" s="111"/>
      <c r="DGX250" s="111"/>
      <c r="DGY250" s="111"/>
      <c r="DGZ250" s="111"/>
      <c r="DHA250" s="111"/>
      <c r="DHB250" s="111"/>
      <c r="DHC250" s="111"/>
      <c r="DHD250" s="111"/>
      <c r="DHE250" s="111"/>
      <c r="DHF250" s="111"/>
      <c r="DHG250" s="111"/>
      <c r="DHH250" s="111"/>
      <c r="DHI250" s="111"/>
      <c r="DHJ250" s="111"/>
      <c r="DHK250" s="111"/>
      <c r="DHL250" s="111"/>
      <c r="DHM250" s="111"/>
      <c r="DHN250" s="111"/>
      <c r="DHO250" s="111"/>
      <c r="DHP250" s="111"/>
      <c r="DHQ250" s="111"/>
      <c r="DHR250" s="111"/>
      <c r="DHS250" s="111"/>
      <c r="DHT250" s="111"/>
      <c r="DHU250" s="111"/>
      <c r="DHV250" s="111"/>
      <c r="DHW250" s="111"/>
      <c r="DHX250" s="111"/>
      <c r="DHY250" s="111"/>
      <c r="DHZ250" s="111"/>
      <c r="DIA250" s="111"/>
      <c r="DIB250" s="111"/>
      <c r="DIC250" s="111"/>
      <c r="DID250" s="111"/>
      <c r="DIE250" s="111"/>
      <c r="DIF250" s="111"/>
      <c r="DIG250" s="111"/>
      <c r="DIH250" s="111"/>
      <c r="DII250" s="111"/>
      <c r="DIJ250" s="111"/>
      <c r="DIK250" s="111"/>
      <c r="DIL250" s="111"/>
      <c r="DIM250" s="111"/>
      <c r="DIN250" s="111"/>
      <c r="DIO250" s="111"/>
      <c r="DIP250" s="111"/>
      <c r="DIQ250" s="111"/>
      <c r="DIR250" s="111"/>
      <c r="DIS250" s="111"/>
      <c r="DIT250" s="111"/>
      <c r="DIU250" s="111"/>
      <c r="DIV250" s="111"/>
      <c r="DIW250" s="111"/>
      <c r="DIX250" s="111"/>
      <c r="DIY250" s="111"/>
      <c r="DIZ250" s="111"/>
      <c r="DJA250" s="111"/>
      <c r="DJB250" s="111"/>
      <c r="DJC250" s="111"/>
      <c r="DJD250" s="111"/>
      <c r="DJE250" s="111"/>
      <c r="DJF250" s="111"/>
      <c r="DJG250" s="111"/>
      <c r="DJH250" s="111"/>
      <c r="DJI250" s="111"/>
      <c r="DJJ250" s="111"/>
      <c r="DJK250" s="111"/>
      <c r="DJL250" s="111"/>
      <c r="DJM250" s="111"/>
      <c r="DJN250" s="111"/>
      <c r="DJO250" s="111"/>
      <c r="DJP250" s="111"/>
      <c r="DJQ250" s="111"/>
      <c r="DJR250" s="111"/>
      <c r="DJS250" s="111"/>
      <c r="DJT250" s="111"/>
      <c r="DJU250" s="111"/>
      <c r="DJV250" s="111"/>
      <c r="DJW250" s="111"/>
      <c r="DJX250" s="111"/>
      <c r="DJY250" s="111"/>
      <c r="DJZ250" s="111"/>
      <c r="DKA250" s="111"/>
      <c r="DKB250" s="111"/>
      <c r="DKC250" s="111"/>
      <c r="DKD250" s="111"/>
      <c r="DKE250" s="111"/>
      <c r="DKF250" s="111"/>
      <c r="DKG250" s="111"/>
      <c r="DKH250" s="111"/>
      <c r="DKI250" s="111"/>
      <c r="DKJ250" s="111"/>
      <c r="DKK250" s="111"/>
      <c r="DKL250" s="111"/>
      <c r="DKM250" s="111"/>
      <c r="DKN250" s="111"/>
      <c r="DKO250" s="111"/>
      <c r="DKP250" s="111"/>
      <c r="DKQ250" s="111"/>
      <c r="DKR250" s="111"/>
      <c r="DKS250" s="111"/>
      <c r="DKT250" s="111"/>
      <c r="DKU250" s="111"/>
      <c r="DKV250" s="111"/>
      <c r="DKW250" s="111"/>
      <c r="DKX250" s="111"/>
      <c r="DKY250" s="111"/>
      <c r="DKZ250" s="111"/>
      <c r="DLA250" s="111"/>
      <c r="DLB250" s="111"/>
      <c r="DLC250" s="111"/>
      <c r="DLD250" s="111"/>
      <c r="DLE250" s="111"/>
      <c r="DLF250" s="111"/>
      <c r="DLG250" s="111"/>
      <c r="DLH250" s="111"/>
      <c r="DLI250" s="111"/>
      <c r="DLJ250" s="111"/>
      <c r="DLK250" s="111"/>
      <c r="DLL250" s="111"/>
      <c r="DLM250" s="111"/>
      <c r="DLN250" s="111"/>
      <c r="DLO250" s="111"/>
      <c r="DLP250" s="111"/>
      <c r="DLQ250" s="111"/>
      <c r="DLR250" s="111"/>
      <c r="DLS250" s="111"/>
      <c r="DLT250" s="111"/>
      <c r="DLU250" s="111"/>
      <c r="DLV250" s="111"/>
      <c r="DLW250" s="111"/>
      <c r="DLX250" s="111"/>
      <c r="DLY250" s="111"/>
      <c r="DLZ250" s="111"/>
      <c r="DMA250" s="111"/>
      <c r="DMB250" s="111"/>
      <c r="DMC250" s="111"/>
      <c r="DMD250" s="111"/>
      <c r="DME250" s="111"/>
      <c r="DMF250" s="111"/>
      <c r="DMG250" s="111"/>
      <c r="DMH250" s="111"/>
      <c r="DMI250" s="111"/>
      <c r="DMJ250" s="111"/>
      <c r="DMK250" s="111"/>
      <c r="DML250" s="111"/>
      <c r="DMM250" s="111"/>
      <c r="DMN250" s="111"/>
      <c r="DMO250" s="111"/>
      <c r="DMP250" s="111"/>
      <c r="DMQ250" s="111"/>
      <c r="DMR250" s="111"/>
      <c r="DMS250" s="111"/>
      <c r="DMT250" s="111"/>
      <c r="DMU250" s="111"/>
      <c r="DMV250" s="111"/>
      <c r="DMW250" s="111"/>
      <c r="DMX250" s="111"/>
      <c r="DMY250" s="111"/>
      <c r="DMZ250" s="111"/>
      <c r="DNA250" s="111"/>
      <c r="DNB250" s="111"/>
      <c r="DNC250" s="111"/>
      <c r="DND250" s="111"/>
      <c r="DNE250" s="111"/>
      <c r="DNF250" s="111"/>
      <c r="DNG250" s="111"/>
      <c r="DNH250" s="111"/>
      <c r="DNI250" s="111"/>
      <c r="DNJ250" s="111"/>
      <c r="DNK250" s="111"/>
      <c r="DNL250" s="111"/>
      <c r="DNM250" s="111"/>
      <c r="DNN250" s="111"/>
      <c r="DNO250" s="111"/>
      <c r="DNP250" s="111"/>
      <c r="DNQ250" s="111"/>
      <c r="DNR250" s="111"/>
      <c r="DNS250" s="111"/>
      <c r="DNT250" s="111"/>
      <c r="DNU250" s="111"/>
      <c r="DNV250" s="111"/>
      <c r="DNW250" s="111"/>
      <c r="DNX250" s="111"/>
      <c r="DNY250" s="111"/>
      <c r="DNZ250" s="111"/>
      <c r="DOA250" s="111"/>
      <c r="DOB250" s="111"/>
      <c r="DOC250" s="111"/>
      <c r="DOD250" s="111"/>
      <c r="DOE250" s="111"/>
      <c r="DOF250" s="111"/>
      <c r="DOG250" s="111"/>
      <c r="DOH250" s="111"/>
      <c r="DOI250" s="111"/>
      <c r="DOJ250" s="111"/>
      <c r="DOK250" s="111"/>
      <c r="DOL250" s="111"/>
      <c r="DOM250" s="111"/>
      <c r="DON250" s="111"/>
      <c r="DOO250" s="111"/>
      <c r="DOP250" s="111"/>
      <c r="DOQ250" s="111"/>
      <c r="DOR250" s="111"/>
      <c r="DOS250" s="111"/>
      <c r="DOT250" s="111"/>
      <c r="DOU250" s="111"/>
      <c r="DOV250" s="111"/>
      <c r="DOW250" s="111"/>
      <c r="DOX250" s="111"/>
      <c r="DOY250" s="111"/>
      <c r="DOZ250" s="111"/>
      <c r="DPA250" s="111"/>
      <c r="DPB250" s="111"/>
      <c r="DPC250" s="111"/>
      <c r="DPD250" s="111"/>
      <c r="DPE250" s="111"/>
      <c r="DPF250" s="111"/>
      <c r="DPG250" s="111"/>
      <c r="DPH250" s="111"/>
      <c r="DPI250" s="111"/>
      <c r="DPJ250" s="111"/>
      <c r="DPK250" s="111"/>
      <c r="DPL250" s="111"/>
      <c r="DPM250" s="111"/>
      <c r="DPN250" s="111"/>
      <c r="DPO250" s="111"/>
      <c r="DPP250" s="111"/>
      <c r="DPQ250" s="111"/>
      <c r="DPR250" s="111"/>
      <c r="DPS250" s="111"/>
      <c r="DPT250" s="111"/>
      <c r="DPU250" s="111"/>
      <c r="DPV250" s="111"/>
      <c r="DPW250" s="111"/>
      <c r="DPX250" s="111"/>
      <c r="DPY250" s="111"/>
      <c r="DPZ250" s="111"/>
      <c r="DQA250" s="111"/>
      <c r="DQB250" s="111"/>
      <c r="DQC250" s="111"/>
      <c r="DQD250" s="111"/>
      <c r="DQE250" s="111"/>
      <c r="DQF250" s="111"/>
      <c r="DQG250" s="111"/>
      <c r="DQH250" s="111"/>
      <c r="DQI250" s="111"/>
      <c r="DQJ250" s="111"/>
      <c r="DQK250" s="111"/>
      <c r="DQL250" s="111"/>
      <c r="DQM250" s="111"/>
      <c r="DQN250" s="111"/>
      <c r="DQO250" s="111"/>
      <c r="DQP250" s="111"/>
      <c r="DQQ250" s="111"/>
      <c r="DQR250" s="111"/>
      <c r="DQS250" s="111"/>
      <c r="DQT250" s="111"/>
      <c r="DQU250" s="111"/>
      <c r="DQV250" s="111"/>
      <c r="DQW250" s="111"/>
      <c r="DQX250" s="111"/>
      <c r="DQY250" s="111"/>
      <c r="DQZ250" s="111"/>
      <c r="DRA250" s="111"/>
      <c r="DRB250" s="111"/>
      <c r="DRC250" s="111"/>
      <c r="DRD250" s="111"/>
      <c r="DRE250" s="111"/>
      <c r="DRF250" s="111"/>
      <c r="DRG250" s="111"/>
      <c r="DRH250" s="111"/>
      <c r="DRI250" s="111"/>
      <c r="DRJ250" s="111"/>
      <c r="DRK250" s="111"/>
      <c r="DRL250" s="111"/>
      <c r="DRM250" s="111"/>
      <c r="DRN250" s="111"/>
      <c r="DRO250" s="111"/>
      <c r="DRP250" s="111"/>
      <c r="DRQ250" s="111"/>
      <c r="DRR250" s="111"/>
      <c r="DRS250" s="111"/>
      <c r="DRT250" s="111"/>
      <c r="DRU250" s="111"/>
      <c r="DRV250" s="111"/>
      <c r="DRW250" s="111"/>
      <c r="DRX250" s="111"/>
      <c r="DRY250" s="111"/>
      <c r="DRZ250" s="111"/>
      <c r="DSA250" s="111"/>
      <c r="DSB250" s="111"/>
      <c r="DSC250" s="111"/>
      <c r="DSD250" s="111"/>
      <c r="DSE250" s="111"/>
      <c r="DSF250" s="111"/>
      <c r="DSG250" s="111"/>
      <c r="DSH250" s="111"/>
      <c r="DSI250" s="111"/>
      <c r="DSJ250" s="111"/>
      <c r="DSK250" s="111"/>
      <c r="DSL250" s="111"/>
      <c r="DSM250" s="111"/>
      <c r="DSN250" s="111"/>
      <c r="DSO250" s="111"/>
      <c r="DSP250" s="111"/>
      <c r="DSQ250" s="111"/>
      <c r="DSR250" s="111"/>
      <c r="DSS250" s="111"/>
      <c r="DST250" s="111"/>
      <c r="DSU250" s="111"/>
      <c r="DSV250" s="111"/>
      <c r="DSW250" s="111"/>
      <c r="DSX250" s="111"/>
      <c r="DSY250" s="111"/>
      <c r="DSZ250" s="111"/>
      <c r="DTA250" s="111"/>
      <c r="DTB250" s="111"/>
      <c r="DTC250" s="111"/>
      <c r="DTD250" s="111"/>
      <c r="DTE250" s="111"/>
      <c r="DTF250" s="111"/>
      <c r="DTG250" s="111"/>
      <c r="DTH250" s="111"/>
      <c r="DTI250" s="111"/>
      <c r="DTJ250" s="111"/>
      <c r="DTK250" s="111"/>
      <c r="DTL250" s="111"/>
      <c r="DTM250" s="111"/>
      <c r="DTN250" s="111"/>
      <c r="DTO250" s="111"/>
      <c r="DTP250" s="111"/>
      <c r="DTQ250" s="111"/>
      <c r="DTR250" s="111"/>
      <c r="DTS250" s="111"/>
      <c r="DTT250" s="111"/>
      <c r="DTU250" s="111"/>
      <c r="DTV250" s="111"/>
      <c r="DTW250" s="111"/>
      <c r="DTX250" s="111"/>
      <c r="DTY250" s="111"/>
      <c r="DTZ250" s="111"/>
      <c r="DUA250" s="111"/>
      <c r="DUB250" s="111"/>
      <c r="DUC250" s="111"/>
      <c r="DUD250" s="111"/>
      <c r="DUE250" s="111"/>
      <c r="DUF250" s="111"/>
      <c r="DUG250" s="111"/>
      <c r="DUH250" s="111"/>
      <c r="DUI250" s="111"/>
      <c r="DUJ250" s="111"/>
      <c r="DUK250" s="111"/>
      <c r="DUL250" s="111"/>
      <c r="DUM250" s="111"/>
      <c r="DUN250" s="111"/>
      <c r="DUO250" s="111"/>
      <c r="DUP250" s="111"/>
      <c r="DUQ250" s="111"/>
      <c r="DUR250" s="111"/>
      <c r="DUS250" s="111"/>
      <c r="DUT250" s="111"/>
      <c r="DUU250" s="111"/>
      <c r="DUV250" s="111"/>
      <c r="DUW250" s="111"/>
      <c r="DUX250" s="111"/>
      <c r="DUY250" s="111"/>
      <c r="DUZ250" s="111"/>
      <c r="DVA250" s="111"/>
      <c r="DVB250" s="111"/>
      <c r="DVC250" s="111"/>
      <c r="DVD250" s="111"/>
      <c r="DVE250" s="111"/>
      <c r="DVF250" s="111"/>
      <c r="DVG250" s="111"/>
      <c r="DVH250" s="111"/>
      <c r="DVI250" s="111"/>
      <c r="DVJ250" s="111"/>
      <c r="DVK250" s="111"/>
      <c r="DVL250" s="111"/>
      <c r="DVM250" s="111"/>
      <c r="DVN250" s="111"/>
      <c r="DVO250" s="111"/>
      <c r="DVP250" s="111"/>
      <c r="DVQ250" s="111"/>
      <c r="DVR250" s="111"/>
      <c r="DVS250" s="111"/>
      <c r="DVT250" s="111"/>
      <c r="DVU250" s="111"/>
      <c r="DVV250" s="111"/>
      <c r="DVW250" s="111"/>
      <c r="DVX250" s="111"/>
      <c r="DVY250" s="111"/>
      <c r="DVZ250" s="111"/>
      <c r="DWA250" s="111"/>
      <c r="DWB250" s="111"/>
      <c r="DWC250" s="111"/>
      <c r="DWD250" s="111"/>
      <c r="DWE250" s="111"/>
      <c r="DWF250" s="111"/>
      <c r="DWG250" s="111"/>
      <c r="DWH250" s="111"/>
      <c r="DWI250" s="111"/>
      <c r="DWJ250" s="111"/>
      <c r="DWK250" s="111"/>
      <c r="DWL250" s="111"/>
      <c r="DWM250" s="111"/>
      <c r="DWN250" s="111"/>
      <c r="DWO250" s="111"/>
      <c r="DWP250" s="111"/>
      <c r="DWQ250" s="111"/>
      <c r="DWR250" s="111"/>
      <c r="DWS250" s="111"/>
      <c r="DWT250" s="111"/>
      <c r="DWU250" s="111"/>
      <c r="DWV250" s="111"/>
      <c r="DWW250" s="111"/>
      <c r="DWX250" s="111"/>
      <c r="DWY250" s="111"/>
      <c r="DWZ250" s="111"/>
      <c r="DXA250" s="111"/>
      <c r="DXB250" s="111"/>
      <c r="DXC250" s="111"/>
      <c r="DXD250" s="111"/>
      <c r="DXE250" s="111"/>
      <c r="DXF250" s="111"/>
      <c r="DXG250" s="111"/>
      <c r="DXH250" s="111"/>
      <c r="DXI250" s="111"/>
      <c r="DXJ250" s="111"/>
      <c r="DXK250" s="111"/>
      <c r="DXL250" s="111"/>
      <c r="DXM250" s="111"/>
      <c r="DXN250" s="111"/>
      <c r="DXO250" s="111"/>
      <c r="DXP250" s="111"/>
      <c r="DXQ250" s="111"/>
      <c r="DXR250" s="111"/>
      <c r="DXS250" s="111"/>
      <c r="DXT250" s="111"/>
      <c r="DXU250" s="111"/>
      <c r="DXV250" s="111"/>
      <c r="DXW250" s="111"/>
      <c r="DXX250" s="111"/>
      <c r="DXY250" s="111"/>
      <c r="DXZ250" s="111"/>
      <c r="DYA250" s="111"/>
      <c r="DYB250" s="111"/>
      <c r="DYC250" s="111"/>
      <c r="DYD250" s="111"/>
      <c r="DYE250" s="111"/>
      <c r="DYF250" s="111"/>
      <c r="DYG250" s="111"/>
      <c r="DYH250" s="111"/>
      <c r="DYI250" s="111"/>
      <c r="DYJ250" s="111"/>
      <c r="DYK250" s="111"/>
      <c r="DYL250" s="111"/>
      <c r="DYM250" s="111"/>
      <c r="DYN250" s="111"/>
      <c r="DYO250" s="111"/>
      <c r="DYP250" s="111"/>
      <c r="DYQ250" s="111"/>
      <c r="DYR250" s="111"/>
      <c r="DYS250" s="111"/>
      <c r="DYT250" s="111"/>
      <c r="DYU250" s="111"/>
      <c r="DYV250" s="111"/>
      <c r="DYW250" s="111"/>
      <c r="DYX250" s="111"/>
      <c r="DYY250" s="111"/>
      <c r="DYZ250" s="111"/>
      <c r="DZA250" s="111"/>
      <c r="DZB250" s="111"/>
      <c r="DZC250" s="111"/>
      <c r="DZD250" s="111"/>
      <c r="DZE250" s="111"/>
      <c r="DZF250" s="111"/>
      <c r="DZG250" s="111"/>
      <c r="DZH250" s="111"/>
      <c r="DZI250" s="111"/>
      <c r="DZJ250" s="111"/>
      <c r="DZK250" s="111"/>
      <c r="DZL250" s="111"/>
      <c r="DZM250" s="111"/>
      <c r="DZN250" s="111"/>
      <c r="DZO250" s="111"/>
      <c r="DZP250" s="111"/>
      <c r="DZQ250" s="111"/>
      <c r="DZR250" s="111"/>
      <c r="DZS250" s="111"/>
      <c r="DZT250" s="111"/>
      <c r="DZU250" s="111"/>
      <c r="DZV250" s="111"/>
      <c r="DZW250" s="111"/>
      <c r="DZX250" s="111"/>
      <c r="DZY250" s="111"/>
      <c r="DZZ250" s="111"/>
      <c r="EAA250" s="111"/>
      <c r="EAB250" s="111"/>
      <c r="EAC250" s="111"/>
      <c r="EAD250" s="111"/>
      <c r="EAE250" s="111"/>
      <c r="EAF250" s="111"/>
      <c r="EAG250" s="111"/>
      <c r="EAH250" s="111"/>
      <c r="EAI250" s="111"/>
      <c r="EAJ250" s="111"/>
      <c r="EAK250" s="111"/>
      <c r="EAL250" s="111"/>
      <c r="EAM250" s="111"/>
      <c r="EAN250" s="111"/>
      <c r="EAO250" s="111"/>
      <c r="EAP250" s="111"/>
      <c r="EAQ250" s="111"/>
      <c r="EAR250" s="111"/>
      <c r="EAS250" s="111"/>
      <c r="EAT250" s="111"/>
      <c r="EAU250" s="111"/>
      <c r="EAV250" s="111"/>
      <c r="EAW250" s="111"/>
      <c r="EAX250" s="111"/>
      <c r="EAY250" s="111"/>
      <c r="EAZ250" s="111"/>
      <c r="EBA250" s="111"/>
      <c r="EBB250" s="111"/>
      <c r="EBC250" s="111"/>
      <c r="EBD250" s="111"/>
      <c r="EBE250" s="111"/>
      <c r="EBF250" s="111"/>
      <c r="EBG250" s="111"/>
      <c r="EBH250" s="111"/>
      <c r="EBI250" s="111"/>
      <c r="EBJ250" s="111"/>
      <c r="EBK250" s="111"/>
      <c r="EBL250" s="111"/>
      <c r="EBM250" s="111"/>
      <c r="EBN250" s="111"/>
      <c r="EBO250" s="111"/>
      <c r="EBP250" s="111"/>
      <c r="EBQ250" s="111"/>
      <c r="EBR250" s="111"/>
      <c r="EBS250" s="111"/>
      <c r="EBT250" s="111"/>
      <c r="EBU250" s="111"/>
      <c r="EBV250" s="111"/>
      <c r="EBW250" s="111"/>
      <c r="EBX250" s="111"/>
      <c r="EBY250" s="111"/>
      <c r="EBZ250" s="111"/>
      <c r="ECA250" s="111"/>
      <c r="ECB250" s="111"/>
      <c r="ECC250" s="111"/>
      <c r="ECD250" s="111"/>
      <c r="ECE250" s="111"/>
      <c r="ECF250" s="111"/>
      <c r="ECG250" s="111"/>
      <c r="ECH250" s="111"/>
      <c r="ECI250" s="111"/>
      <c r="ECJ250" s="111"/>
      <c r="ECK250" s="111"/>
      <c r="ECL250" s="111"/>
      <c r="ECM250" s="111"/>
      <c r="ECN250" s="111"/>
      <c r="ECO250" s="111"/>
      <c r="ECP250" s="111"/>
      <c r="ECQ250" s="111"/>
      <c r="ECR250" s="111"/>
      <c r="ECS250" s="111"/>
      <c r="ECT250" s="111"/>
      <c r="ECU250" s="111"/>
      <c r="ECV250" s="111"/>
      <c r="ECW250" s="111"/>
      <c r="ECX250" s="111"/>
      <c r="ECY250" s="111"/>
      <c r="ECZ250" s="111"/>
      <c r="EDA250" s="111"/>
      <c r="EDB250" s="111"/>
      <c r="EDC250" s="111"/>
      <c r="EDD250" s="111"/>
      <c r="EDE250" s="111"/>
      <c r="EDF250" s="111"/>
      <c r="EDG250" s="111"/>
      <c r="EDH250" s="111"/>
      <c r="EDI250" s="111"/>
      <c r="EDJ250" s="111"/>
      <c r="EDK250" s="111"/>
      <c r="EDL250" s="111"/>
      <c r="EDM250" s="111"/>
      <c r="EDN250" s="111"/>
      <c r="EDO250" s="111"/>
      <c r="EDP250" s="111"/>
      <c r="EDQ250" s="111"/>
      <c r="EDR250" s="111"/>
      <c r="EDS250" s="111"/>
      <c r="EDT250" s="111"/>
      <c r="EDU250" s="111"/>
      <c r="EDV250" s="111"/>
      <c r="EDW250" s="111"/>
      <c r="EDX250" s="111"/>
      <c r="EDY250" s="111"/>
      <c r="EDZ250" s="111"/>
      <c r="EEA250" s="111"/>
      <c r="EEB250" s="111"/>
      <c r="EEC250" s="111"/>
      <c r="EED250" s="111"/>
      <c r="EEE250" s="111"/>
      <c r="EEF250" s="111"/>
      <c r="EEG250" s="111"/>
      <c r="EEH250" s="111"/>
      <c r="EEI250" s="111"/>
      <c r="EEJ250" s="111"/>
      <c r="EEK250" s="111"/>
      <c r="EEL250" s="111"/>
      <c r="EEM250" s="111"/>
      <c r="EEN250" s="111"/>
      <c r="EEO250" s="111"/>
      <c r="EEP250" s="111"/>
      <c r="EEQ250" s="111"/>
      <c r="EER250" s="111"/>
      <c r="EES250" s="111"/>
      <c r="EET250" s="111"/>
      <c r="EEU250" s="111"/>
      <c r="EEV250" s="111"/>
      <c r="EEW250" s="111"/>
      <c r="EEX250" s="111"/>
      <c r="EEY250" s="111"/>
      <c r="EEZ250" s="111"/>
      <c r="EFA250" s="111"/>
      <c r="EFB250" s="111"/>
      <c r="EFC250" s="111"/>
      <c r="EFD250" s="111"/>
      <c r="EFE250" s="111"/>
      <c r="EFF250" s="111"/>
      <c r="EFG250" s="111"/>
      <c r="EFH250" s="111"/>
      <c r="EFI250" s="111"/>
      <c r="EFJ250" s="111"/>
      <c r="EFK250" s="111"/>
      <c r="EFL250" s="111"/>
      <c r="EFM250" s="111"/>
      <c r="EFN250" s="111"/>
      <c r="EFO250" s="111"/>
      <c r="EFP250" s="111"/>
      <c r="EFQ250" s="111"/>
      <c r="EFR250" s="111"/>
      <c r="EFS250" s="111"/>
      <c r="EFT250" s="111"/>
      <c r="EFU250" s="111"/>
      <c r="EFV250" s="111"/>
      <c r="EFW250" s="111"/>
      <c r="EFX250" s="111"/>
      <c r="EFY250" s="111"/>
      <c r="EFZ250" s="111"/>
      <c r="EGA250" s="111"/>
      <c r="EGB250" s="111"/>
      <c r="EGC250" s="111"/>
      <c r="EGD250" s="111"/>
      <c r="EGE250" s="111"/>
      <c r="EGF250" s="111"/>
      <c r="EGG250" s="111"/>
      <c r="EGH250" s="111"/>
      <c r="EGI250" s="111"/>
      <c r="EGJ250" s="111"/>
      <c r="EGK250" s="111"/>
      <c r="EGL250" s="111"/>
      <c r="EGM250" s="111"/>
      <c r="EGN250" s="111"/>
      <c r="EGO250" s="111"/>
      <c r="EGP250" s="111"/>
      <c r="EGQ250" s="111"/>
      <c r="EGR250" s="111"/>
      <c r="EGS250" s="111"/>
      <c r="EGT250" s="111"/>
      <c r="EGU250" s="111"/>
      <c r="EGV250" s="111"/>
      <c r="EGW250" s="111"/>
      <c r="EGX250" s="111"/>
      <c r="EGY250" s="111"/>
      <c r="EGZ250" s="111"/>
      <c r="EHA250" s="111"/>
      <c r="EHB250" s="111"/>
      <c r="EHC250" s="111"/>
      <c r="EHD250" s="111"/>
      <c r="EHE250" s="111"/>
      <c r="EHF250" s="111"/>
      <c r="EHG250" s="111"/>
      <c r="EHH250" s="111"/>
      <c r="EHI250" s="111"/>
      <c r="EHJ250" s="111"/>
      <c r="EHK250" s="111"/>
      <c r="EHL250" s="111"/>
      <c r="EHM250" s="111"/>
      <c r="EHN250" s="111"/>
      <c r="EHO250" s="111"/>
      <c r="EHP250" s="111"/>
      <c r="EHQ250" s="111"/>
      <c r="EHR250" s="111"/>
      <c r="EHS250" s="111"/>
      <c r="EHT250" s="111"/>
      <c r="EHU250" s="111"/>
      <c r="EHV250" s="111"/>
      <c r="EHW250" s="111"/>
      <c r="EHX250" s="111"/>
      <c r="EHY250" s="111"/>
      <c r="EHZ250" s="111"/>
      <c r="EIA250" s="111"/>
      <c r="EIB250" s="111"/>
      <c r="EIC250" s="111"/>
      <c r="EID250" s="111"/>
      <c r="EIE250" s="111"/>
      <c r="EIF250" s="111"/>
      <c r="EIG250" s="111"/>
      <c r="EIH250" s="111"/>
      <c r="EII250" s="111"/>
      <c r="EIJ250" s="111"/>
      <c r="EIK250" s="111"/>
      <c r="EIL250" s="111"/>
      <c r="EIM250" s="111"/>
      <c r="EIN250" s="111"/>
      <c r="EIO250" s="111"/>
      <c r="EIP250" s="111"/>
      <c r="EIQ250" s="111"/>
      <c r="EIR250" s="111"/>
      <c r="EIS250" s="111"/>
      <c r="EIT250" s="111"/>
      <c r="EIU250" s="111"/>
      <c r="EIV250" s="111"/>
      <c r="EIW250" s="111"/>
      <c r="EIX250" s="111"/>
      <c r="EIY250" s="111"/>
      <c r="EIZ250" s="111"/>
      <c r="EJA250" s="111"/>
      <c r="EJB250" s="111"/>
      <c r="EJC250" s="111"/>
      <c r="EJD250" s="111"/>
      <c r="EJE250" s="111"/>
      <c r="EJF250" s="111"/>
      <c r="EJG250" s="111"/>
      <c r="EJH250" s="111"/>
      <c r="EJI250" s="111"/>
      <c r="EJJ250" s="111"/>
      <c r="EJK250" s="111"/>
      <c r="EJL250" s="111"/>
      <c r="EJM250" s="111"/>
      <c r="EJN250" s="111"/>
      <c r="EJO250" s="111"/>
      <c r="EJP250" s="111"/>
      <c r="EJQ250" s="111"/>
      <c r="EJR250" s="111"/>
      <c r="EJS250" s="111"/>
      <c r="EJT250" s="111"/>
      <c r="EJU250" s="111"/>
      <c r="EJV250" s="111"/>
      <c r="EJW250" s="111"/>
      <c r="EJX250" s="111"/>
      <c r="EJY250" s="111"/>
      <c r="EJZ250" s="111"/>
      <c r="EKA250" s="111"/>
      <c r="EKB250" s="111"/>
      <c r="EKC250" s="111"/>
      <c r="EKD250" s="111"/>
      <c r="EKE250" s="111"/>
      <c r="EKF250" s="111"/>
      <c r="EKG250" s="111"/>
      <c r="EKH250" s="111"/>
      <c r="EKI250" s="111"/>
      <c r="EKJ250" s="111"/>
      <c r="EKK250" s="111"/>
      <c r="EKL250" s="111"/>
      <c r="EKM250" s="111"/>
      <c r="EKN250" s="111"/>
      <c r="EKO250" s="111"/>
      <c r="EKP250" s="111"/>
      <c r="EKQ250" s="111"/>
      <c r="EKR250" s="111"/>
      <c r="EKS250" s="111"/>
      <c r="EKT250" s="111"/>
      <c r="EKU250" s="111"/>
      <c r="EKV250" s="111"/>
      <c r="EKW250" s="111"/>
      <c r="EKX250" s="111"/>
      <c r="EKY250" s="111"/>
      <c r="EKZ250" s="111"/>
      <c r="ELA250" s="111"/>
      <c r="ELB250" s="111"/>
      <c r="ELC250" s="111"/>
      <c r="ELD250" s="111"/>
      <c r="ELE250" s="111"/>
      <c r="ELF250" s="111"/>
      <c r="ELG250" s="111"/>
      <c r="ELH250" s="111"/>
      <c r="ELI250" s="111"/>
      <c r="ELJ250" s="111"/>
      <c r="ELK250" s="111"/>
      <c r="ELL250" s="111"/>
      <c r="ELM250" s="111"/>
      <c r="ELN250" s="111"/>
      <c r="ELO250" s="111"/>
      <c r="ELP250" s="111"/>
      <c r="ELQ250" s="111"/>
      <c r="ELR250" s="111"/>
      <c r="ELS250" s="111"/>
      <c r="ELT250" s="111"/>
      <c r="ELU250" s="111"/>
      <c r="ELV250" s="111"/>
      <c r="ELW250" s="111"/>
      <c r="ELX250" s="111"/>
      <c r="ELY250" s="111"/>
      <c r="ELZ250" s="111"/>
      <c r="EMA250" s="111"/>
      <c r="EMB250" s="111"/>
      <c r="EMC250" s="111"/>
      <c r="EMD250" s="111"/>
      <c r="EME250" s="111"/>
      <c r="EMF250" s="111"/>
      <c r="EMG250" s="111"/>
      <c r="EMH250" s="111"/>
      <c r="EMI250" s="111"/>
      <c r="EMJ250" s="111"/>
      <c r="EMK250" s="111"/>
      <c r="EML250" s="111"/>
      <c r="EMM250" s="111"/>
      <c r="EMN250" s="111"/>
      <c r="EMO250" s="111"/>
      <c r="EMP250" s="111"/>
      <c r="EMQ250" s="111"/>
      <c r="EMR250" s="111"/>
      <c r="EMS250" s="111"/>
      <c r="EMT250" s="111"/>
      <c r="EMU250" s="111"/>
      <c r="EMV250" s="111"/>
      <c r="EMW250" s="111"/>
      <c r="EMX250" s="111"/>
      <c r="EMY250" s="111"/>
      <c r="EMZ250" s="111"/>
      <c r="ENA250" s="111"/>
      <c r="ENB250" s="111"/>
      <c r="ENC250" s="111"/>
      <c r="END250" s="111"/>
      <c r="ENE250" s="111"/>
      <c r="ENF250" s="111"/>
      <c r="ENG250" s="111"/>
      <c r="ENH250" s="111"/>
      <c r="ENI250" s="111"/>
      <c r="ENJ250" s="111"/>
      <c r="ENK250" s="111"/>
      <c r="ENL250" s="111"/>
      <c r="ENM250" s="111"/>
      <c r="ENN250" s="111"/>
      <c r="ENO250" s="111"/>
      <c r="ENP250" s="111"/>
      <c r="ENQ250" s="111"/>
      <c r="ENR250" s="111"/>
      <c r="ENS250" s="111"/>
      <c r="ENT250" s="111"/>
      <c r="ENU250" s="111"/>
      <c r="ENV250" s="111"/>
      <c r="ENW250" s="111"/>
      <c r="ENX250" s="111"/>
      <c r="ENY250" s="111"/>
      <c r="ENZ250" s="111"/>
      <c r="EOA250" s="111"/>
      <c r="EOB250" s="111"/>
      <c r="EOC250" s="111"/>
      <c r="EOD250" s="111"/>
      <c r="EOE250" s="111"/>
      <c r="EOF250" s="111"/>
      <c r="EOG250" s="111"/>
      <c r="EOH250" s="111"/>
      <c r="EOI250" s="111"/>
      <c r="EOJ250" s="111"/>
      <c r="EOK250" s="111"/>
      <c r="EOL250" s="111"/>
      <c r="EOM250" s="111"/>
      <c r="EON250" s="111"/>
      <c r="EOO250" s="111"/>
      <c r="EOP250" s="111"/>
      <c r="EOQ250" s="111"/>
      <c r="EOR250" s="111"/>
      <c r="EOS250" s="111"/>
      <c r="EOT250" s="111"/>
      <c r="EOU250" s="111"/>
      <c r="EOV250" s="111"/>
      <c r="EOW250" s="111"/>
      <c r="EOX250" s="111"/>
      <c r="EOY250" s="111"/>
      <c r="EOZ250" s="111"/>
      <c r="EPA250" s="111"/>
      <c r="EPB250" s="111"/>
      <c r="EPC250" s="111"/>
      <c r="EPD250" s="111"/>
      <c r="EPE250" s="111"/>
      <c r="EPF250" s="111"/>
      <c r="EPG250" s="111"/>
      <c r="EPH250" s="111"/>
      <c r="EPI250" s="111"/>
      <c r="EPJ250" s="111"/>
      <c r="EPK250" s="111"/>
      <c r="EPL250" s="111"/>
      <c r="EPM250" s="111"/>
      <c r="EPN250" s="111"/>
      <c r="EPO250" s="111"/>
      <c r="EPP250" s="111"/>
      <c r="EPQ250" s="111"/>
      <c r="EPR250" s="111"/>
      <c r="EPS250" s="111"/>
      <c r="EPT250" s="111"/>
      <c r="EPU250" s="111"/>
      <c r="EPV250" s="111"/>
      <c r="EPW250" s="111"/>
      <c r="EPX250" s="111"/>
      <c r="EPY250" s="111"/>
      <c r="EPZ250" s="111"/>
      <c r="EQA250" s="111"/>
      <c r="EQB250" s="111"/>
      <c r="EQC250" s="111"/>
      <c r="EQD250" s="111"/>
      <c r="EQE250" s="111"/>
      <c r="EQF250" s="111"/>
      <c r="EQG250" s="111"/>
      <c r="EQH250" s="111"/>
      <c r="EQI250" s="111"/>
      <c r="EQJ250" s="111"/>
      <c r="EQK250" s="111"/>
      <c r="EQL250" s="111"/>
      <c r="EQM250" s="111"/>
      <c r="EQN250" s="111"/>
      <c r="EQO250" s="111"/>
      <c r="EQP250" s="111"/>
      <c r="EQQ250" s="111"/>
      <c r="EQR250" s="111"/>
      <c r="EQS250" s="111"/>
      <c r="EQT250" s="111"/>
      <c r="EQU250" s="111"/>
      <c r="EQV250" s="111"/>
      <c r="EQW250" s="111"/>
      <c r="EQX250" s="111"/>
      <c r="EQY250" s="111"/>
      <c r="EQZ250" s="111"/>
      <c r="ERA250" s="111"/>
      <c r="ERB250" s="111"/>
      <c r="ERC250" s="111"/>
      <c r="ERD250" s="111"/>
      <c r="ERE250" s="111"/>
      <c r="ERF250" s="111"/>
      <c r="ERG250" s="111"/>
      <c r="ERH250" s="111"/>
      <c r="ERI250" s="111"/>
      <c r="ERJ250" s="111"/>
      <c r="ERK250" s="111"/>
      <c r="ERL250" s="111"/>
      <c r="ERM250" s="111"/>
      <c r="ERN250" s="111"/>
      <c r="ERO250" s="111"/>
      <c r="ERP250" s="111"/>
      <c r="ERQ250" s="111"/>
      <c r="ERR250" s="111"/>
      <c r="ERS250" s="111"/>
      <c r="ERT250" s="111"/>
      <c r="ERU250" s="111"/>
      <c r="ERV250" s="111"/>
      <c r="ERW250" s="111"/>
      <c r="ERX250" s="111"/>
      <c r="ERY250" s="111"/>
      <c r="ERZ250" s="111"/>
      <c r="ESA250" s="111"/>
      <c r="ESB250" s="111"/>
      <c r="ESC250" s="111"/>
      <c r="ESD250" s="111"/>
      <c r="ESE250" s="111"/>
      <c r="ESF250" s="111"/>
      <c r="ESG250" s="111"/>
      <c r="ESH250" s="111"/>
      <c r="ESI250" s="111"/>
      <c r="ESJ250" s="111"/>
      <c r="ESK250" s="111"/>
      <c r="ESL250" s="111"/>
      <c r="ESM250" s="111"/>
      <c r="ESN250" s="111"/>
      <c r="ESO250" s="111"/>
      <c r="ESP250" s="111"/>
      <c r="ESQ250" s="111"/>
      <c r="ESR250" s="111"/>
      <c r="ESS250" s="111"/>
      <c r="EST250" s="111"/>
      <c r="ESU250" s="111"/>
      <c r="ESV250" s="111"/>
      <c r="ESW250" s="111"/>
      <c r="ESX250" s="111"/>
      <c r="ESY250" s="111"/>
      <c r="ESZ250" s="111"/>
      <c r="ETA250" s="111"/>
      <c r="ETB250" s="111"/>
      <c r="ETC250" s="111"/>
      <c r="ETD250" s="111"/>
      <c r="ETE250" s="111"/>
      <c r="ETF250" s="111"/>
      <c r="ETG250" s="111"/>
      <c r="ETH250" s="111"/>
      <c r="ETI250" s="111"/>
      <c r="ETJ250" s="111"/>
      <c r="ETK250" s="111"/>
      <c r="ETL250" s="111"/>
      <c r="ETM250" s="111"/>
      <c r="ETN250" s="111"/>
      <c r="ETO250" s="111"/>
      <c r="ETP250" s="111"/>
      <c r="ETQ250" s="111"/>
      <c r="ETR250" s="111"/>
      <c r="ETS250" s="111"/>
      <c r="ETT250" s="111"/>
      <c r="ETU250" s="111"/>
      <c r="ETV250" s="111"/>
      <c r="ETW250" s="111"/>
      <c r="ETX250" s="111"/>
      <c r="ETY250" s="111"/>
      <c r="ETZ250" s="111"/>
      <c r="EUA250" s="111"/>
      <c r="EUB250" s="111"/>
      <c r="EUC250" s="111"/>
      <c r="EUD250" s="111"/>
      <c r="EUE250" s="111"/>
      <c r="EUF250" s="111"/>
      <c r="EUG250" s="111"/>
      <c r="EUH250" s="111"/>
      <c r="EUI250" s="111"/>
      <c r="EUJ250" s="111"/>
      <c r="EUK250" s="111"/>
      <c r="EUL250" s="111"/>
      <c r="EUM250" s="111"/>
      <c r="EUN250" s="111"/>
      <c r="EUO250" s="111"/>
      <c r="EUP250" s="111"/>
      <c r="EUQ250" s="111"/>
      <c r="EUR250" s="111"/>
      <c r="EUS250" s="111"/>
      <c r="EUT250" s="111"/>
      <c r="EUU250" s="111"/>
      <c r="EUV250" s="111"/>
      <c r="EUW250" s="111"/>
      <c r="EUX250" s="111"/>
      <c r="EUY250" s="111"/>
      <c r="EUZ250" s="111"/>
      <c r="EVA250" s="111"/>
      <c r="EVB250" s="111"/>
      <c r="EVC250" s="111"/>
      <c r="EVD250" s="111"/>
      <c r="EVE250" s="111"/>
      <c r="EVF250" s="111"/>
      <c r="EVG250" s="111"/>
      <c r="EVH250" s="111"/>
      <c r="EVI250" s="111"/>
      <c r="EVJ250" s="111"/>
      <c r="EVK250" s="111"/>
      <c r="EVL250" s="111"/>
      <c r="EVM250" s="111"/>
      <c r="EVN250" s="111"/>
      <c r="EVO250" s="111"/>
      <c r="EVP250" s="111"/>
      <c r="EVQ250" s="111"/>
      <c r="EVR250" s="111"/>
      <c r="EVS250" s="111"/>
      <c r="EVT250" s="111"/>
      <c r="EVU250" s="111"/>
      <c r="EVV250" s="111"/>
      <c r="EVW250" s="111"/>
      <c r="EVX250" s="111"/>
      <c r="EVY250" s="111"/>
      <c r="EVZ250" s="111"/>
      <c r="EWA250" s="111"/>
      <c r="EWB250" s="111"/>
      <c r="EWC250" s="111"/>
      <c r="EWD250" s="111"/>
      <c r="EWE250" s="111"/>
      <c r="EWF250" s="111"/>
      <c r="EWG250" s="111"/>
      <c r="EWH250" s="111"/>
      <c r="EWI250" s="111"/>
      <c r="EWJ250" s="111"/>
      <c r="EWK250" s="111"/>
      <c r="EWL250" s="111"/>
      <c r="EWM250" s="111"/>
      <c r="EWN250" s="111"/>
      <c r="EWO250" s="111"/>
      <c r="EWP250" s="111"/>
      <c r="EWQ250" s="111"/>
      <c r="EWR250" s="111"/>
      <c r="EWS250" s="111"/>
      <c r="EWT250" s="111"/>
      <c r="EWU250" s="111"/>
      <c r="EWV250" s="111"/>
      <c r="EWW250" s="111"/>
      <c r="EWX250" s="111"/>
      <c r="EWY250" s="111"/>
      <c r="EWZ250" s="111"/>
      <c r="EXA250" s="111"/>
      <c r="EXB250" s="111"/>
      <c r="EXC250" s="111"/>
      <c r="EXD250" s="111"/>
      <c r="EXE250" s="111"/>
      <c r="EXF250" s="111"/>
      <c r="EXG250" s="111"/>
      <c r="EXH250" s="111"/>
      <c r="EXI250" s="111"/>
      <c r="EXJ250" s="111"/>
      <c r="EXK250" s="111"/>
      <c r="EXL250" s="111"/>
      <c r="EXM250" s="111"/>
      <c r="EXN250" s="111"/>
      <c r="EXO250" s="111"/>
      <c r="EXP250" s="111"/>
      <c r="EXQ250" s="111"/>
      <c r="EXR250" s="111"/>
      <c r="EXS250" s="111"/>
      <c r="EXT250" s="111"/>
      <c r="EXU250" s="111"/>
      <c r="EXV250" s="111"/>
      <c r="EXW250" s="111"/>
      <c r="EXX250" s="111"/>
      <c r="EXY250" s="111"/>
      <c r="EXZ250" s="111"/>
      <c r="EYA250" s="111"/>
      <c r="EYB250" s="111"/>
      <c r="EYC250" s="111"/>
      <c r="EYD250" s="111"/>
      <c r="EYE250" s="111"/>
      <c r="EYF250" s="111"/>
      <c r="EYG250" s="111"/>
      <c r="EYH250" s="111"/>
      <c r="EYI250" s="111"/>
      <c r="EYJ250" s="111"/>
      <c r="EYK250" s="111"/>
      <c r="EYL250" s="111"/>
      <c r="EYM250" s="111"/>
      <c r="EYN250" s="111"/>
      <c r="EYO250" s="111"/>
      <c r="EYP250" s="111"/>
      <c r="EYQ250" s="111"/>
      <c r="EYR250" s="111"/>
      <c r="EYS250" s="111"/>
      <c r="EYT250" s="111"/>
      <c r="EYU250" s="111"/>
      <c r="EYV250" s="111"/>
      <c r="EYW250" s="111"/>
      <c r="EYX250" s="111"/>
      <c r="EYY250" s="111"/>
      <c r="EYZ250" s="111"/>
      <c r="EZA250" s="111"/>
      <c r="EZB250" s="111"/>
      <c r="EZC250" s="111"/>
      <c r="EZD250" s="111"/>
      <c r="EZE250" s="111"/>
      <c r="EZF250" s="111"/>
      <c r="EZG250" s="111"/>
      <c r="EZH250" s="111"/>
      <c r="EZI250" s="111"/>
      <c r="EZJ250" s="111"/>
      <c r="EZK250" s="111"/>
      <c r="EZL250" s="111"/>
      <c r="EZM250" s="111"/>
      <c r="EZN250" s="111"/>
      <c r="EZO250" s="111"/>
      <c r="EZP250" s="111"/>
      <c r="EZQ250" s="111"/>
      <c r="EZR250" s="111"/>
      <c r="EZS250" s="111"/>
      <c r="EZT250" s="111"/>
      <c r="EZU250" s="111"/>
      <c r="EZV250" s="111"/>
      <c r="EZW250" s="111"/>
      <c r="EZX250" s="111"/>
      <c r="EZY250" s="111"/>
      <c r="EZZ250" s="111"/>
      <c r="FAA250" s="111"/>
      <c r="FAB250" s="111"/>
      <c r="FAC250" s="111"/>
      <c r="FAD250" s="111"/>
      <c r="FAE250" s="111"/>
      <c r="FAF250" s="111"/>
      <c r="FAG250" s="111"/>
      <c r="FAH250" s="111"/>
      <c r="FAI250" s="111"/>
      <c r="FAJ250" s="111"/>
      <c r="FAK250" s="111"/>
      <c r="FAL250" s="111"/>
      <c r="FAM250" s="111"/>
      <c r="FAN250" s="111"/>
      <c r="FAO250" s="111"/>
      <c r="FAP250" s="111"/>
      <c r="FAQ250" s="111"/>
      <c r="FAR250" s="111"/>
      <c r="FAS250" s="111"/>
      <c r="FAT250" s="111"/>
      <c r="FAU250" s="111"/>
      <c r="FAV250" s="111"/>
      <c r="FAW250" s="111"/>
      <c r="FAX250" s="111"/>
      <c r="FAY250" s="111"/>
      <c r="FAZ250" s="111"/>
      <c r="FBA250" s="111"/>
      <c r="FBB250" s="111"/>
      <c r="FBC250" s="111"/>
      <c r="FBD250" s="111"/>
      <c r="FBE250" s="111"/>
      <c r="FBF250" s="111"/>
      <c r="FBG250" s="111"/>
      <c r="FBH250" s="111"/>
      <c r="FBI250" s="111"/>
      <c r="FBJ250" s="111"/>
      <c r="FBK250" s="111"/>
      <c r="FBL250" s="111"/>
      <c r="FBM250" s="111"/>
      <c r="FBN250" s="111"/>
      <c r="FBO250" s="111"/>
      <c r="FBP250" s="111"/>
      <c r="FBQ250" s="111"/>
      <c r="FBR250" s="111"/>
      <c r="FBS250" s="111"/>
      <c r="FBT250" s="111"/>
      <c r="FBU250" s="111"/>
      <c r="FBV250" s="111"/>
      <c r="FBW250" s="111"/>
      <c r="FBX250" s="111"/>
      <c r="FBY250" s="111"/>
      <c r="FBZ250" s="111"/>
      <c r="FCA250" s="111"/>
      <c r="FCB250" s="111"/>
      <c r="FCC250" s="111"/>
      <c r="FCD250" s="111"/>
      <c r="FCE250" s="111"/>
      <c r="FCF250" s="111"/>
      <c r="FCG250" s="111"/>
      <c r="FCH250" s="111"/>
      <c r="FCI250" s="111"/>
      <c r="FCJ250" s="111"/>
      <c r="FCK250" s="111"/>
      <c r="FCL250" s="111"/>
      <c r="FCM250" s="111"/>
      <c r="FCN250" s="111"/>
      <c r="FCO250" s="111"/>
      <c r="FCP250" s="111"/>
      <c r="FCQ250" s="111"/>
      <c r="FCR250" s="111"/>
      <c r="FCS250" s="111"/>
      <c r="FCT250" s="111"/>
      <c r="FCU250" s="111"/>
      <c r="FCV250" s="111"/>
      <c r="FCW250" s="111"/>
      <c r="FCX250" s="111"/>
      <c r="FCY250" s="111"/>
      <c r="FCZ250" s="111"/>
      <c r="FDA250" s="111"/>
      <c r="FDB250" s="111"/>
      <c r="FDC250" s="111"/>
      <c r="FDD250" s="111"/>
      <c r="FDE250" s="111"/>
      <c r="FDF250" s="111"/>
      <c r="FDG250" s="111"/>
      <c r="FDH250" s="111"/>
      <c r="FDI250" s="111"/>
      <c r="FDJ250" s="111"/>
      <c r="FDK250" s="111"/>
      <c r="FDL250" s="111"/>
      <c r="FDM250" s="111"/>
      <c r="FDN250" s="111"/>
      <c r="FDO250" s="111"/>
      <c r="FDP250" s="111"/>
      <c r="FDQ250" s="111"/>
      <c r="FDR250" s="111"/>
      <c r="FDS250" s="111"/>
      <c r="FDT250" s="111"/>
      <c r="FDU250" s="111"/>
      <c r="FDV250" s="111"/>
      <c r="FDW250" s="111"/>
      <c r="FDX250" s="111"/>
      <c r="FDY250" s="111"/>
      <c r="FDZ250" s="111"/>
      <c r="FEA250" s="111"/>
      <c r="FEB250" s="111"/>
      <c r="FEC250" s="111"/>
      <c r="FED250" s="111"/>
      <c r="FEE250" s="111"/>
      <c r="FEF250" s="111"/>
      <c r="FEG250" s="111"/>
      <c r="FEH250" s="111"/>
      <c r="FEI250" s="111"/>
      <c r="FEJ250" s="111"/>
      <c r="FEK250" s="111"/>
      <c r="FEL250" s="111"/>
      <c r="FEM250" s="111"/>
      <c r="FEN250" s="111"/>
      <c r="FEO250" s="111"/>
      <c r="FEP250" s="111"/>
      <c r="FEQ250" s="111"/>
      <c r="FER250" s="111"/>
      <c r="FES250" s="111"/>
      <c r="FET250" s="111"/>
      <c r="FEU250" s="111"/>
      <c r="FEV250" s="111"/>
      <c r="FEW250" s="111"/>
      <c r="FEX250" s="111"/>
      <c r="FEY250" s="111"/>
      <c r="FEZ250" s="111"/>
      <c r="FFA250" s="111"/>
      <c r="FFB250" s="111"/>
      <c r="FFC250" s="111"/>
      <c r="FFD250" s="111"/>
      <c r="FFE250" s="111"/>
      <c r="FFF250" s="111"/>
      <c r="FFG250" s="111"/>
      <c r="FFH250" s="111"/>
      <c r="FFI250" s="111"/>
      <c r="FFJ250" s="111"/>
      <c r="FFK250" s="111"/>
      <c r="FFL250" s="111"/>
      <c r="FFM250" s="111"/>
      <c r="FFN250" s="111"/>
      <c r="FFO250" s="111"/>
      <c r="FFP250" s="111"/>
      <c r="FFQ250" s="111"/>
      <c r="FFR250" s="111"/>
      <c r="FFS250" s="111"/>
      <c r="FFT250" s="111"/>
      <c r="FFU250" s="111"/>
      <c r="FFV250" s="111"/>
      <c r="FFW250" s="111"/>
      <c r="FFX250" s="111"/>
      <c r="FFY250" s="111"/>
      <c r="FFZ250" s="111"/>
      <c r="FGA250" s="111"/>
      <c r="FGB250" s="111"/>
      <c r="FGC250" s="111"/>
      <c r="FGD250" s="111"/>
      <c r="FGE250" s="111"/>
      <c r="FGF250" s="111"/>
      <c r="FGG250" s="111"/>
      <c r="FGH250" s="111"/>
      <c r="FGI250" s="111"/>
      <c r="FGJ250" s="111"/>
      <c r="FGK250" s="111"/>
      <c r="FGL250" s="111"/>
      <c r="FGM250" s="111"/>
      <c r="FGN250" s="111"/>
      <c r="FGO250" s="111"/>
      <c r="FGP250" s="111"/>
      <c r="FGQ250" s="111"/>
      <c r="FGR250" s="111"/>
      <c r="FGS250" s="111"/>
      <c r="FGT250" s="111"/>
      <c r="FGU250" s="111"/>
      <c r="FGV250" s="111"/>
      <c r="FGW250" s="111"/>
      <c r="FGX250" s="111"/>
      <c r="FGY250" s="111"/>
      <c r="FGZ250" s="111"/>
      <c r="FHA250" s="111"/>
      <c r="FHB250" s="111"/>
      <c r="FHC250" s="111"/>
      <c r="FHD250" s="111"/>
      <c r="FHE250" s="111"/>
      <c r="FHF250" s="111"/>
      <c r="FHG250" s="111"/>
      <c r="FHH250" s="111"/>
      <c r="FHI250" s="111"/>
      <c r="FHJ250" s="111"/>
      <c r="FHK250" s="111"/>
      <c r="FHL250" s="111"/>
      <c r="FHM250" s="111"/>
      <c r="FHN250" s="111"/>
      <c r="FHO250" s="111"/>
      <c r="FHP250" s="111"/>
      <c r="FHQ250" s="111"/>
      <c r="FHR250" s="111"/>
      <c r="FHS250" s="111"/>
      <c r="FHT250" s="111"/>
      <c r="FHU250" s="111"/>
      <c r="FHV250" s="111"/>
      <c r="FHW250" s="111"/>
      <c r="FHX250" s="111"/>
      <c r="FHY250" s="111"/>
      <c r="FHZ250" s="111"/>
      <c r="FIA250" s="111"/>
      <c r="FIB250" s="111"/>
      <c r="FIC250" s="111"/>
      <c r="FID250" s="111"/>
      <c r="FIE250" s="111"/>
      <c r="FIF250" s="111"/>
      <c r="FIG250" s="111"/>
      <c r="FIH250" s="111"/>
      <c r="FII250" s="111"/>
      <c r="FIJ250" s="111"/>
      <c r="FIK250" s="111"/>
      <c r="FIL250" s="111"/>
      <c r="FIM250" s="111"/>
      <c r="FIN250" s="111"/>
      <c r="FIO250" s="111"/>
      <c r="FIP250" s="111"/>
      <c r="FIQ250" s="111"/>
      <c r="FIR250" s="111"/>
      <c r="FIS250" s="111"/>
      <c r="FIT250" s="111"/>
      <c r="FIU250" s="111"/>
      <c r="FIV250" s="111"/>
      <c r="FIW250" s="111"/>
      <c r="FIX250" s="111"/>
      <c r="FIY250" s="111"/>
      <c r="FIZ250" s="111"/>
      <c r="FJA250" s="111"/>
      <c r="FJB250" s="111"/>
      <c r="FJC250" s="111"/>
      <c r="FJD250" s="111"/>
      <c r="FJE250" s="111"/>
      <c r="FJF250" s="111"/>
      <c r="FJG250" s="111"/>
      <c r="FJH250" s="111"/>
      <c r="FJI250" s="111"/>
      <c r="FJJ250" s="111"/>
      <c r="FJK250" s="111"/>
      <c r="FJL250" s="111"/>
      <c r="FJM250" s="111"/>
      <c r="FJN250" s="111"/>
      <c r="FJO250" s="111"/>
      <c r="FJP250" s="111"/>
      <c r="FJQ250" s="111"/>
      <c r="FJR250" s="111"/>
      <c r="FJS250" s="111"/>
      <c r="FJT250" s="111"/>
      <c r="FJU250" s="111"/>
      <c r="FJV250" s="111"/>
      <c r="FJW250" s="111"/>
      <c r="FJX250" s="111"/>
      <c r="FJY250" s="111"/>
      <c r="FJZ250" s="111"/>
      <c r="FKA250" s="111"/>
      <c r="FKB250" s="111"/>
      <c r="FKC250" s="111"/>
      <c r="FKD250" s="111"/>
      <c r="FKE250" s="111"/>
      <c r="FKF250" s="111"/>
      <c r="FKG250" s="111"/>
      <c r="FKH250" s="111"/>
      <c r="FKI250" s="111"/>
      <c r="FKJ250" s="111"/>
      <c r="FKK250" s="111"/>
      <c r="FKL250" s="111"/>
      <c r="FKM250" s="111"/>
      <c r="FKN250" s="111"/>
      <c r="FKO250" s="111"/>
      <c r="FKP250" s="111"/>
      <c r="FKQ250" s="111"/>
      <c r="FKR250" s="111"/>
      <c r="FKS250" s="111"/>
      <c r="FKT250" s="111"/>
      <c r="FKU250" s="111"/>
      <c r="FKV250" s="111"/>
      <c r="FKW250" s="111"/>
      <c r="FKX250" s="111"/>
      <c r="FKY250" s="111"/>
      <c r="FKZ250" s="111"/>
      <c r="FLA250" s="111"/>
      <c r="FLB250" s="111"/>
      <c r="FLC250" s="111"/>
      <c r="FLD250" s="111"/>
      <c r="FLE250" s="111"/>
      <c r="FLF250" s="111"/>
      <c r="FLG250" s="111"/>
      <c r="FLH250" s="111"/>
      <c r="FLI250" s="111"/>
      <c r="FLJ250" s="111"/>
      <c r="FLK250" s="111"/>
      <c r="FLL250" s="111"/>
      <c r="FLM250" s="111"/>
      <c r="FLN250" s="111"/>
      <c r="FLO250" s="111"/>
      <c r="FLP250" s="111"/>
      <c r="FLQ250" s="111"/>
      <c r="FLR250" s="111"/>
      <c r="FLS250" s="111"/>
      <c r="FLT250" s="111"/>
      <c r="FLU250" s="111"/>
      <c r="FLV250" s="111"/>
      <c r="FLW250" s="111"/>
      <c r="FLX250" s="111"/>
      <c r="FLY250" s="111"/>
      <c r="FLZ250" s="111"/>
      <c r="FMA250" s="111"/>
      <c r="FMB250" s="111"/>
      <c r="FMC250" s="111"/>
      <c r="FMD250" s="111"/>
      <c r="FME250" s="111"/>
      <c r="FMF250" s="111"/>
      <c r="FMG250" s="111"/>
      <c r="FMH250" s="111"/>
      <c r="FMI250" s="111"/>
      <c r="FMJ250" s="111"/>
      <c r="FMK250" s="111"/>
      <c r="FML250" s="111"/>
      <c r="FMM250" s="111"/>
      <c r="FMN250" s="111"/>
      <c r="FMO250" s="111"/>
      <c r="FMP250" s="111"/>
      <c r="FMQ250" s="111"/>
      <c r="FMR250" s="111"/>
      <c r="FMS250" s="111"/>
      <c r="FMT250" s="111"/>
      <c r="FMU250" s="111"/>
      <c r="FMV250" s="111"/>
      <c r="FMW250" s="111"/>
      <c r="FMX250" s="111"/>
      <c r="FMY250" s="111"/>
      <c r="FMZ250" s="111"/>
      <c r="FNA250" s="111"/>
      <c r="FNB250" s="111"/>
      <c r="FNC250" s="111"/>
      <c r="FND250" s="111"/>
      <c r="FNE250" s="111"/>
      <c r="FNF250" s="111"/>
      <c r="FNG250" s="111"/>
      <c r="FNH250" s="111"/>
      <c r="FNI250" s="111"/>
      <c r="FNJ250" s="111"/>
      <c r="FNK250" s="111"/>
      <c r="FNL250" s="111"/>
      <c r="FNM250" s="111"/>
      <c r="FNN250" s="111"/>
      <c r="FNO250" s="111"/>
      <c r="FNP250" s="111"/>
      <c r="FNQ250" s="111"/>
      <c r="FNR250" s="111"/>
      <c r="FNS250" s="111"/>
      <c r="FNT250" s="111"/>
      <c r="FNU250" s="111"/>
      <c r="FNV250" s="111"/>
      <c r="FNW250" s="111"/>
      <c r="FNX250" s="111"/>
      <c r="FNY250" s="111"/>
      <c r="FNZ250" s="111"/>
      <c r="FOA250" s="111"/>
      <c r="FOB250" s="111"/>
      <c r="FOC250" s="111"/>
      <c r="FOD250" s="111"/>
      <c r="FOE250" s="111"/>
      <c r="FOF250" s="111"/>
      <c r="FOG250" s="111"/>
      <c r="FOH250" s="111"/>
      <c r="FOI250" s="111"/>
      <c r="FOJ250" s="111"/>
      <c r="FOK250" s="111"/>
      <c r="FOL250" s="111"/>
      <c r="FOM250" s="111"/>
      <c r="FON250" s="111"/>
      <c r="FOO250" s="111"/>
      <c r="FOP250" s="111"/>
      <c r="FOQ250" s="111"/>
      <c r="FOR250" s="111"/>
      <c r="FOS250" s="111"/>
      <c r="FOT250" s="111"/>
      <c r="FOU250" s="111"/>
      <c r="FOV250" s="111"/>
      <c r="FOW250" s="111"/>
      <c r="FOX250" s="111"/>
      <c r="FOY250" s="111"/>
      <c r="FOZ250" s="111"/>
      <c r="FPA250" s="111"/>
      <c r="FPB250" s="111"/>
      <c r="FPC250" s="111"/>
      <c r="FPD250" s="111"/>
      <c r="FPE250" s="111"/>
      <c r="FPF250" s="111"/>
      <c r="FPG250" s="111"/>
      <c r="FPH250" s="111"/>
      <c r="FPI250" s="111"/>
      <c r="FPJ250" s="111"/>
      <c r="FPK250" s="111"/>
      <c r="FPL250" s="111"/>
      <c r="FPM250" s="111"/>
      <c r="FPN250" s="111"/>
      <c r="FPO250" s="111"/>
      <c r="FPP250" s="111"/>
      <c r="FPQ250" s="111"/>
      <c r="FPR250" s="111"/>
      <c r="FPS250" s="111"/>
      <c r="FPT250" s="111"/>
      <c r="FPU250" s="111"/>
      <c r="FPV250" s="111"/>
      <c r="FPW250" s="111"/>
      <c r="FPX250" s="111"/>
      <c r="FPY250" s="111"/>
      <c r="FPZ250" s="111"/>
      <c r="FQA250" s="111"/>
      <c r="FQB250" s="111"/>
      <c r="FQC250" s="111"/>
      <c r="FQD250" s="111"/>
      <c r="FQE250" s="111"/>
      <c r="FQF250" s="111"/>
      <c r="FQG250" s="111"/>
      <c r="FQH250" s="111"/>
      <c r="FQI250" s="111"/>
      <c r="FQJ250" s="111"/>
      <c r="FQK250" s="111"/>
      <c r="FQL250" s="111"/>
      <c r="FQM250" s="111"/>
      <c r="FQN250" s="111"/>
      <c r="FQO250" s="111"/>
      <c r="FQP250" s="111"/>
      <c r="FQQ250" s="111"/>
      <c r="FQR250" s="111"/>
      <c r="FQS250" s="111"/>
      <c r="FQT250" s="111"/>
      <c r="FQU250" s="111"/>
      <c r="FQV250" s="111"/>
      <c r="FQW250" s="111"/>
      <c r="FQX250" s="111"/>
      <c r="FQY250" s="111"/>
      <c r="FQZ250" s="111"/>
      <c r="FRA250" s="111"/>
      <c r="FRB250" s="111"/>
      <c r="FRC250" s="111"/>
      <c r="FRD250" s="111"/>
      <c r="FRE250" s="111"/>
      <c r="FRF250" s="111"/>
      <c r="FRG250" s="111"/>
      <c r="FRH250" s="111"/>
      <c r="FRI250" s="111"/>
      <c r="FRJ250" s="111"/>
      <c r="FRK250" s="111"/>
      <c r="FRL250" s="111"/>
      <c r="FRM250" s="111"/>
      <c r="FRN250" s="111"/>
      <c r="FRO250" s="111"/>
      <c r="FRP250" s="111"/>
      <c r="FRQ250" s="111"/>
      <c r="FRR250" s="111"/>
      <c r="FRS250" s="111"/>
      <c r="FRT250" s="111"/>
      <c r="FRU250" s="111"/>
      <c r="FRV250" s="111"/>
      <c r="FRW250" s="111"/>
      <c r="FRX250" s="111"/>
      <c r="FRY250" s="111"/>
      <c r="FRZ250" s="111"/>
      <c r="FSA250" s="111"/>
      <c r="FSB250" s="111"/>
      <c r="FSC250" s="111"/>
      <c r="FSD250" s="111"/>
      <c r="FSE250" s="111"/>
      <c r="FSF250" s="111"/>
      <c r="FSG250" s="111"/>
      <c r="FSH250" s="111"/>
      <c r="FSI250" s="111"/>
      <c r="FSJ250" s="111"/>
      <c r="FSK250" s="111"/>
      <c r="FSL250" s="111"/>
      <c r="FSM250" s="111"/>
      <c r="FSN250" s="111"/>
      <c r="FSO250" s="111"/>
      <c r="FSP250" s="111"/>
      <c r="FSQ250" s="111"/>
      <c r="FSR250" s="111"/>
      <c r="FSS250" s="111"/>
      <c r="FST250" s="111"/>
      <c r="FSU250" s="111"/>
      <c r="FSV250" s="111"/>
      <c r="FSW250" s="111"/>
      <c r="FSX250" s="111"/>
      <c r="FSY250" s="111"/>
      <c r="FSZ250" s="111"/>
      <c r="FTA250" s="111"/>
      <c r="FTB250" s="111"/>
      <c r="FTC250" s="111"/>
      <c r="FTD250" s="111"/>
      <c r="FTE250" s="111"/>
      <c r="FTF250" s="111"/>
      <c r="FTG250" s="111"/>
      <c r="FTH250" s="111"/>
      <c r="FTI250" s="111"/>
      <c r="FTJ250" s="111"/>
      <c r="FTK250" s="111"/>
      <c r="FTL250" s="111"/>
      <c r="FTM250" s="111"/>
      <c r="FTN250" s="111"/>
      <c r="FTO250" s="111"/>
      <c r="FTP250" s="111"/>
      <c r="FTQ250" s="111"/>
      <c r="FTR250" s="111"/>
      <c r="FTS250" s="111"/>
      <c r="FTT250" s="111"/>
      <c r="FTU250" s="111"/>
      <c r="FTV250" s="111"/>
      <c r="FTW250" s="111"/>
      <c r="FTX250" s="111"/>
      <c r="FTY250" s="111"/>
      <c r="FTZ250" s="111"/>
      <c r="FUA250" s="111"/>
      <c r="FUB250" s="111"/>
      <c r="FUC250" s="111"/>
      <c r="FUD250" s="111"/>
      <c r="FUE250" s="111"/>
      <c r="FUF250" s="111"/>
      <c r="FUG250" s="111"/>
      <c r="FUH250" s="111"/>
      <c r="FUI250" s="111"/>
      <c r="FUJ250" s="111"/>
      <c r="FUK250" s="111"/>
      <c r="FUL250" s="111"/>
      <c r="FUM250" s="111"/>
      <c r="FUN250" s="111"/>
      <c r="FUO250" s="111"/>
      <c r="FUP250" s="111"/>
      <c r="FUQ250" s="111"/>
      <c r="FUR250" s="111"/>
      <c r="FUS250" s="111"/>
      <c r="FUT250" s="111"/>
      <c r="FUU250" s="111"/>
      <c r="FUV250" s="111"/>
      <c r="FUW250" s="111"/>
      <c r="FUX250" s="111"/>
      <c r="FUY250" s="111"/>
      <c r="FUZ250" s="111"/>
      <c r="FVA250" s="111"/>
      <c r="FVB250" s="111"/>
      <c r="FVC250" s="111"/>
      <c r="FVD250" s="111"/>
      <c r="FVE250" s="111"/>
      <c r="FVF250" s="111"/>
      <c r="FVG250" s="111"/>
      <c r="FVH250" s="111"/>
      <c r="FVI250" s="111"/>
      <c r="FVJ250" s="111"/>
      <c r="FVK250" s="111"/>
      <c r="FVL250" s="111"/>
      <c r="FVM250" s="111"/>
      <c r="FVN250" s="111"/>
      <c r="FVO250" s="111"/>
      <c r="FVP250" s="111"/>
      <c r="FVQ250" s="111"/>
      <c r="FVR250" s="111"/>
      <c r="FVS250" s="111"/>
      <c r="FVT250" s="111"/>
      <c r="FVU250" s="111"/>
      <c r="FVV250" s="111"/>
      <c r="FVW250" s="111"/>
      <c r="FVX250" s="111"/>
      <c r="FVY250" s="111"/>
      <c r="FVZ250" s="111"/>
      <c r="FWA250" s="111"/>
      <c r="FWB250" s="111"/>
      <c r="FWC250" s="111"/>
      <c r="FWD250" s="111"/>
      <c r="FWE250" s="111"/>
      <c r="FWF250" s="111"/>
      <c r="FWG250" s="111"/>
      <c r="FWH250" s="111"/>
      <c r="FWI250" s="111"/>
      <c r="FWJ250" s="111"/>
      <c r="FWK250" s="111"/>
      <c r="FWL250" s="111"/>
      <c r="FWM250" s="111"/>
      <c r="FWN250" s="111"/>
      <c r="FWO250" s="111"/>
      <c r="FWP250" s="111"/>
      <c r="FWQ250" s="111"/>
      <c r="FWR250" s="111"/>
      <c r="FWS250" s="111"/>
      <c r="FWT250" s="111"/>
      <c r="FWU250" s="111"/>
      <c r="FWV250" s="111"/>
      <c r="FWW250" s="111"/>
      <c r="FWX250" s="111"/>
      <c r="FWY250" s="111"/>
      <c r="FWZ250" s="111"/>
      <c r="FXA250" s="111"/>
      <c r="FXB250" s="111"/>
      <c r="FXC250" s="111"/>
      <c r="FXD250" s="111"/>
      <c r="FXE250" s="111"/>
      <c r="FXF250" s="111"/>
      <c r="FXG250" s="111"/>
      <c r="FXH250" s="111"/>
      <c r="FXI250" s="111"/>
      <c r="FXJ250" s="111"/>
      <c r="FXK250" s="111"/>
      <c r="FXL250" s="111"/>
      <c r="FXM250" s="111"/>
      <c r="FXN250" s="111"/>
      <c r="FXO250" s="111"/>
      <c r="FXP250" s="111"/>
      <c r="FXQ250" s="111"/>
      <c r="FXR250" s="111"/>
      <c r="FXS250" s="111"/>
      <c r="FXT250" s="111"/>
      <c r="FXU250" s="111"/>
      <c r="FXV250" s="111"/>
      <c r="FXW250" s="111"/>
      <c r="FXX250" s="111"/>
      <c r="FXY250" s="111"/>
      <c r="FXZ250" s="111"/>
      <c r="FYA250" s="111"/>
      <c r="FYB250" s="111"/>
      <c r="FYC250" s="111"/>
      <c r="FYD250" s="111"/>
      <c r="FYE250" s="111"/>
      <c r="FYF250" s="111"/>
      <c r="FYG250" s="111"/>
      <c r="FYH250" s="111"/>
      <c r="FYI250" s="111"/>
      <c r="FYJ250" s="111"/>
      <c r="FYK250" s="111"/>
      <c r="FYL250" s="111"/>
      <c r="FYM250" s="111"/>
      <c r="FYN250" s="111"/>
      <c r="FYO250" s="111"/>
      <c r="FYP250" s="111"/>
      <c r="FYQ250" s="111"/>
      <c r="FYR250" s="111"/>
      <c r="FYS250" s="111"/>
      <c r="FYT250" s="111"/>
      <c r="FYU250" s="111"/>
      <c r="FYV250" s="111"/>
      <c r="FYW250" s="111"/>
      <c r="FYX250" s="111"/>
      <c r="FYY250" s="111"/>
      <c r="FYZ250" s="111"/>
      <c r="FZA250" s="111"/>
      <c r="FZB250" s="111"/>
      <c r="FZC250" s="111"/>
      <c r="FZD250" s="111"/>
      <c r="FZE250" s="111"/>
      <c r="FZF250" s="111"/>
      <c r="FZG250" s="111"/>
      <c r="FZH250" s="111"/>
      <c r="FZI250" s="111"/>
      <c r="FZJ250" s="111"/>
      <c r="FZK250" s="111"/>
      <c r="FZL250" s="111"/>
      <c r="FZM250" s="111"/>
      <c r="FZN250" s="111"/>
      <c r="FZO250" s="111"/>
      <c r="FZP250" s="111"/>
      <c r="FZQ250" s="111"/>
      <c r="FZR250" s="111"/>
      <c r="FZS250" s="111"/>
      <c r="FZT250" s="111"/>
      <c r="FZU250" s="111"/>
      <c r="FZV250" s="111"/>
      <c r="FZW250" s="111"/>
      <c r="FZX250" s="111"/>
      <c r="FZY250" s="111"/>
      <c r="FZZ250" s="111"/>
      <c r="GAA250" s="111"/>
      <c r="GAB250" s="111"/>
      <c r="GAC250" s="111"/>
      <c r="GAD250" s="111"/>
      <c r="GAE250" s="111"/>
      <c r="GAF250" s="111"/>
      <c r="GAG250" s="111"/>
      <c r="GAH250" s="111"/>
      <c r="GAI250" s="111"/>
      <c r="GAJ250" s="111"/>
    </row>
    <row r="251" spans="1:4777" s="93" customFormat="1" ht="25.15" customHeight="1" outlineLevel="1" x14ac:dyDescent="0.25">
      <c r="A251" s="80" t="s">
        <v>202</v>
      </c>
      <c r="B251" s="90"/>
      <c r="C251" s="90"/>
      <c r="D251" s="80" t="s">
        <v>1756</v>
      </c>
      <c r="E251" s="90" t="s">
        <v>33</v>
      </c>
      <c r="F251" s="90" t="s">
        <v>37</v>
      </c>
      <c r="G251" s="90" t="s">
        <v>38</v>
      </c>
      <c r="H251" s="80" t="s">
        <v>998</v>
      </c>
      <c r="I251" s="90" t="s">
        <v>7</v>
      </c>
      <c r="J251" s="80"/>
      <c r="K251" s="90" t="s">
        <v>999</v>
      </c>
      <c r="L251" s="90"/>
      <c r="M251" s="90" t="s">
        <v>1713</v>
      </c>
      <c r="N251" s="92" t="s">
        <v>31</v>
      </c>
      <c r="O251" s="94">
        <v>6038</v>
      </c>
      <c r="P251" s="94">
        <v>2318</v>
      </c>
      <c r="Q251" s="94">
        <v>2300</v>
      </c>
      <c r="R251" s="94"/>
      <c r="S251" s="94">
        <v>3350</v>
      </c>
      <c r="T251" s="94">
        <v>2400</v>
      </c>
      <c r="U251" s="94">
        <v>8200</v>
      </c>
      <c r="V251" s="94">
        <v>1017</v>
      </c>
      <c r="W251" s="94">
        <v>4185</v>
      </c>
      <c r="X251" s="94">
        <v>2743</v>
      </c>
      <c r="Y251" s="94"/>
      <c r="Z251" s="94">
        <v>14</v>
      </c>
      <c r="AA251" s="90" t="s">
        <v>1008</v>
      </c>
      <c r="AB251" s="80">
        <v>7490</v>
      </c>
      <c r="AC251" s="80">
        <v>1855</v>
      </c>
      <c r="AD251" s="92"/>
      <c r="AE251" s="92"/>
      <c r="AF251" s="92"/>
      <c r="AG251" s="118"/>
      <c r="AH251" s="115">
        <v>32.1</v>
      </c>
      <c r="AI251" s="90" t="s">
        <v>1714</v>
      </c>
      <c r="AJ251" s="90"/>
      <c r="AK251" s="90" t="s">
        <v>1402</v>
      </c>
      <c r="AL251" s="90"/>
      <c r="AM251" s="90" t="s">
        <v>1715</v>
      </c>
      <c r="AN251" s="90"/>
      <c r="AO251" s="90" t="s">
        <v>1716</v>
      </c>
      <c r="AP251" s="90"/>
      <c r="AQ251" s="90"/>
      <c r="AR251" s="90"/>
      <c r="AS251" s="90" t="s">
        <v>1717</v>
      </c>
      <c r="AT251" s="90"/>
      <c r="AU251" s="155" t="s">
        <v>1718</v>
      </c>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80"/>
      <c r="BT251" s="80"/>
    </row>
    <row r="252" spans="1:4777" s="93" customFormat="1" ht="25.15" customHeight="1" outlineLevel="1" x14ac:dyDescent="0.25">
      <c r="A252" s="80" t="s">
        <v>202</v>
      </c>
      <c r="B252" s="90"/>
      <c r="C252" s="90"/>
      <c r="D252" s="80" t="s">
        <v>1756</v>
      </c>
      <c r="E252" s="90" t="s">
        <v>33</v>
      </c>
      <c r="F252" s="90" t="s">
        <v>37</v>
      </c>
      <c r="G252" s="90" t="s">
        <v>38</v>
      </c>
      <c r="H252" s="80" t="s">
        <v>998</v>
      </c>
      <c r="I252" s="90" t="s">
        <v>7</v>
      </c>
      <c r="J252" s="80"/>
      <c r="K252" s="90" t="s">
        <v>999</v>
      </c>
      <c r="L252" s="90"/>
      <c r="M252" s="90" t="s">
        <v>1713</v>
      </c>
      <c r="N252" s="92" t="s">
        <v>456</v>
      </c>
      <c r="O252" s="94">
        <v>6003</v>
      </c>
      <c r="P252" s="94">
        <v>2416</v>
      </c>
      <c r="Q252" s="94">
        <v>2300</v>
      </c>
      <c r="R252" s="94"/>
      <c r="S252" s="94">
        <v>3350</v>
      </c>
      <c r="T252" s="94">
        <v>2550</v>
      </c>
      <c r="U252" s="94">
        <v>8200</v>
      </c>
      <c r="V252" s="94">
        <v>1023</v>
      </c>
      <c r="W252" s="94">
        <v>4185</v>
      </c>
      <c r="X252" s="94">
        <v>2743</v>
      </c>
      <c r="Y252" s="94"/>
      <c r="Z252" s="94"/>
      <c r="AA252" s="90" t="s">
        <v>1719</v>
      </c>
      <c r="AB252" s="80">
        <v>7490</v>
      </c>
      <c r="AC252" s="80">
        <v>1605</v>
      </c>
      <c r="AD252" s="92"/>
      <c r="AE252" s="92"/>
      <c r="AF252" s="92"/>
      <c r="AG252" s="118"/>
      <c r="AH252" s="115">
        <v>33.299999999999997</v>
      </c>
      <c r="AI252" s="90" t="s">
        <v>1720</v>
      </c>
      <c r="AJ252" s="90"/>
      <c r="AK252" s="90" t="s">
        <v>1402</v>
      </c>
      <c r="AL252" s="90"/>
      <c r="AM252" s="90" t="s">
        <v>1715</v>
      </c>
      <c r="AN252" s="90"/>
      <c r="AO252" s="90" t="s">
        <v>1721</v>
      </c>
      <c r="AP252" s="90"/>
      <c r="AQ252" s="90"/>
      <c r="AR252" s="90"/>
      <c r="AS252" s="90" t="s">
        <v>1717</v>
      </c>
      <c r="AT252" s="90"/>
      <c r="AU252" s="155" t="s">
        <v>1722</v>
      </c>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80"/>
      <c r="BT252" s="80"/>
    </row>
    <row r="253" spans="1:4777" s="93" customFormat="1" ht="25.15" customHeight="1" outlineLevel="1" x14ac:dyDescent="0.25">
      <c r="A253" s="80" t="s">
        <v>202</v>
      </c>
      <c r="B253" s="80"/>
      <c r="C253" s="90"/>
      <c r="D253" s="80" t="s">
        <v>1756</v>
      </c>
      <c r="E253" s="90" t="s">
        <v>33</v>
      </c>
      <c r="F253" s="80" t="s">
        <v>37</v>
      </c>
      <c r="G253" s="80" t="s">
        <v>41</v>
      </c>
      <c r="H253" s="80" t="s">
        <v>998</v>
      </c>
      <c r="I253" s="80" t="s">
        <v>7</v>
      </c>
      <c r="J253" s="80"/>
      <c r="K253" s="90" t="s">
        <v>999</v>
      </c>
      <c r="L253" s="90"/>
      <c r="M253" s="80" t="s">
        <v>1723</v>
      </c>
      <c r="N253" s="92" t="s">
        <v>31</v>
      </c>
      <c r="O253" s="91">
        <v>6238</v>
      </c>
      <c r="P253" s="91">
        <v>2468</v>
      </c>
      <c r="Q253" s="91">
        <v>2400</v>
      </c>
      <c r="R253" s="94"/>
      <c r="S253" s="91">
        <v>3500</v>
      </c>
      <c r="T253" s="94">
        <v>2550</v>
      </c>
      <c r="U253" s="91">
        <v>8400</v>
      </c>
      <c r="V253" s="91">
        <v>1060</v>
      </c>
      <c r="W253" s="91">
        <v>4455</v>
      </c>
      <c r="X253" s="91">
        <v>2673</v>
      </c>
      <c r="Y253" s="91"/>
      <c r="Z253" s="91">
        <v>15</v>
      </c>
      <c r="AA253" s="80" t="s">
        <v>1008</v>
      </c>
      <c r="AB253" s="80">
        <v>10000</v>
      </c>
      <c r="AC253" s="80">
        <v>3970</v>
      </c>
      <c r="AD253" s="83"/>
      <c r="AE253" s="83"/>
      <c r="AF253" s="83"/>
      <c r="AG253" s="118"/>
      <c r="AH253" s="115">
        <v>36.9</v>
      </c>
      <c r="AI253" s="90" t="s">
        <v>1714</v>
      </c>
      <c r="AJ253" s="90"/>
      <c r="AK253" s="90" t="s">
        <v>1402</v>
      </c>
      <c r="AL253" s="90"/>
      <c r="AM253" s="90" t="s">
        <v>1724</v>
      </c>
      <c r="AN253" s="90"/>
      <c r="AO253" s="80" t="s">
        <v>1725</v>
      </c>
      <c r="AP253" s="90"/>
      <c r="AQ253" s="90"/>
      <c r="AR253" s="90"/>
      <c r="AS253" s="90" t="s">
        <v>1726</v>
      </c>
      <c r="AT253" s="90"/>
      <c r="AU253" s="102" t="s">
        <v>1727</v>
      </c>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80"/>
      <c r="BT253" s="80"/>
    </row>
    <row r="254" spans="1:4777" s="93" customFormat="1" ht="25.15" customHeight="1" outlineLevel="1" x14ac:dyDescent="0.25">
      <c r="A254" s="80" t="s">
        <v>202</v>
      </c>
      <c r="B254" s="80"/>
      <c r="C254" s="90"/>
      <c r="D254" s="80" t="s">
        <v>1756</v>
      </c>
      <c r="E254" s="90" t="s">
        <v>33</v>
      </c>
      <c r="F254" s="80" t="s">
        <v>37</v>
      </c>
      <c r="G254" s="80" t="s">
        <v>41</v>
      </c>
      <c r="H254" s="80" t="s">
        <v>998</v>
      </c>
      <c r="I254" s="80" t="s">
        <v>7</v>
      </c>
      <c r="J254" s="80"/>
      <c r="K254" s="90" t="s">
        <v>999</v>
      </c>
      <c r="L254" s="90"/>
      <c r="M254" s="80" t="s">
        <v>1723</v>
      </c>
      <c r="N254" s="92" t="s">
        <v>456</v>
      </c>
      <c r="O254" s="91">
        <v>6203</v>
      </c>
      <c r="P254" s="91">
        <v>2468</v>
      </c>
      <c r="Q254" s="91">
        <v>2300</v>
      </c>
      <c r="R254" s="94"/>
      <c r="S254" s="91">
        <v>3400</v>
      </c>
      <c r="T254" s="94">
        <v>2550</v>
      </c>
      <c r="U254" s="91">
        <v>8400</v>
      </c>
      <c r="V254" s="91">
        <v>1060</v>
      </c>
      <c r="W254" s="91">
        <v>4455</v>
      </c>
      <c r="X254" s="91">
        <v>2673</v>
      </c>
      <c r="Y254" s="91"/>
      <c r="Z254" s="91"/>
      <c r="AA254" s="80" t="s">
        <v>1719</v>
      </c>
      <c r="AB254" s="80">
        <v>10000</v>
      </c>
      <c r="AC254" s="80">
        <v>3720</v>
      </c>
      <c r="AD254" s="83"/>
      <c r="AE254" s="83"/>
      <c r="AF254" s="83"/>
      <c r="AG254" s="118"/>
      <c r="AH254" s="115">
        <v>35.200000000000003</v>
      </c>
      <c r="AI254" s="90" t="s">
        <v>1720</v>
      </c>
      <c r="AJ254" s="90"/>
      <c r="AK254" s="90" t="s">
        <v>1402</v>
      </c>
      <c r="AL254" s="90"/>
      <c r="AM254" s="90" t="s">
        <v>1724</v>
      </c>
      <c r="AN254" s="90"/>
      <c r="AO254" s="80" t="s">
        <v>1728</v>
      </c>
      <c r="AP254" s="90"/>
      <c r="AQ254" s="90"/>
      <c r="AR254" s="90"/>
      <c r="AS254" s="90" t="s">
        <v>1726</v>
      </c>
      <c r="AT254" s="90"/>
      <c r="AU254" s="102" t="s">
        <v>1729</v>
      </c>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80"/>
      <c r="BT254" s="80"/>
    </row>
    <row r="255" spans="1:4777" s="93" customFormat="1" ht="25.15" customHeight="1" outlineLevel="1" x14ac:dyDescent="0.25">
      <c r="A255" s="80" t="s">
        <v>202</v>
      </c>
      <c r="B255" s="80"/>
      <c r="C255" s="90"/>
      <c r="D255" s="80" t="s">
        <v>1756</v>
      </c>
      <c r="E255" s="90" t="s">
        <v>469</v>
      </c>
      <c r="F255" s="80" t="s">
        <v>50</v>
      </c>
      <c r="G255" s="80" t="s">
        <v>42</v>
      </c>
      <c r="H255" s="80" t="s">
        <v>998</v>
      </c>
      <c r="I255" s="80" t="s">
        <v>7</v>
      </c>
      <c r="J255" s="80"/>
      <c r="K255" s="90" t="s">
        <v>999</v>
      </c>
      <c r="L255" s="90"/>
      <c r="M255" s="80" t="s">
        <v>1730</v>
      </c>
      <c r="N255" s="92" t="s">
        <v>31</v>
      </c>
      <c r="O255" s="91">
        <v>7025</v>
      </c>
      <c r="P255" s="91">
        <v>2468</v>
      </c>
      <c r="Q255" s="91">
        <v>2400</v>
      </c>
      <c r="R255" s="94"/>
      <c r="S255" s="91">
        <v>3600</v>
      </c>
      <c r="T255" s="94">
        <v>2550</v>
      </c>
      <c r="U255" s="91">
        <v>9200</v>
      </c>
      <c r="V255" s="91">
        <v>1125</v>
      </c>
      <c r="W255" s="91">
        <v>5000</v>
      </c>
      <c r="X255" s="91">
        <v>2875</v>
      </c>
      <c r="Y255" s="91"/>
      <c r="Z255" s="91">
        <v>17</v>
      </c>
      <c r="AA255" s="80" t="s">
        <v>1001</v>
      </c>
      <c r="AB255" s="80">
        <v>11990</v>
      </c>
      <c r="AC255" s="80">
        <v>4870</v>
      </c>
      <c r="AD255" s="92"/>
      <c r="AE255" s="83"/>
      <c r="AF255" s="83"/>
      <c r="AG255" s="118"/>
      <c r="AH255" s="115">
        <v>41.6</v>
      </c>
      <c r="AI255" s="90" t="s">
        <v>1731</v>
      </c>
      <c r="AJ255" s="90"/>
      <c r="AK255" s="90" t="s">
        <v>1547</v>
      </c>
      <c r="AL255" s="90"/>
      <c r="AM255" s="90" t="s">
        <v>1554</v>
      </c>
      <c r="AN255" s="90"/>
      <c r="AO255" s="80" t="s">
        <v>1732</v>
      </c>
      <c r="AP255" s="90"/>
      <c r="AQ255" s="90"/>
      <c r="AR255" s="90"/>
      <c r="AS255" s="90" t="s">
        <v>1733</v>
      </c>
      <c r="AT255" s="90"/>
      <c r="AU255" s="102" t="s">
        <v>1734</v>
      </c>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80"/>
      <c r="BT255" s="80"/>
    </row>
    <row r="256" spans="1:4777" s="93" customFormat="1" ht="25.15" customHeight="1" outlineLevel="1" x14ac:dyDescent="0.25">
      <c r="A256" s="80" t="s">
        <v>202</v>
      </c>
      <c r="B256" s="80"/>
      <c r="C256" s="90"/>
      <c r="D256" s="80" t="s">
        <v>1756</v>
      </c>
      <c r="E256" s="90" t="s">
        <v>469</v>
      </c>
      <c r="F256" s="80" t="s">
        <v>50</v>
      </c>
      <c r="G256" s="80" t="s">
        <v>42</v>
      </c>
      <c r="H256" s="80" t="s">
        <v>998</v>
      </c>
      <c r="I256" s="80" t="s">
        <v>7</v>
      </c>
      <c r="J256" s="80"/>
      <c r="K256" s="90" t="s">
        <v>999</v>
      </c>
      <c r="L256" s="90"/>
      <c r="M256" s="80" t="s">
        <v>1730</v>
      </c>
      <c r="N256" s="92" t="s">
        <v>456</v>
      </c>
      <c r="O256" s="91">
        <v>7003</v>
      </c>
      <c r="P256" s="94">
        <v>2416</v>
      </c>
      <c r="Q256" s="94">
        <v>2300</v>
      </c>
      <c r="R256" s="94"/>
      <c r="S256" s="91">
        <v>3500</v>
      </c>
      <c r="T256" s="94">
        <v>2550</v>
      </c>
      <c r="U256" s="91">
        <v>9200</v>
      </c>
      <c r="V256" s="91">
        <v>1125</v>
      </c>
      <c r="W256" s="91">
        <v>5000</v>
      </c>
      <c r="X256" s="91">
        <v>2875</v>
      </c>
      <c r="Y256" s="91"/>
      <c r="Z256" s="91"/>
      <c r="AA256" s="80" t="s">
        <v>1735</v>
      </c>
      <c r="AB256" s="80">
        <v>11990</v>
      </c>
      <c r="AC256" s="80">
        <v>4555</v>
      </c>
      <c r="AD256" s="92"/>
      <c r="AE256" s="83"/>
      <c r="AF256" s="83"/>
      <c r="AG256" s="118"/>
      <c r="AH256" s="115">
        <v>38.9</v>
      </c>
      <c r="AI256" s="90" t="s">
        <v>1736</v>
      </c>
      <c r="AJ256" s="90"/>
      <c r="AK256" s="90" t="s">
        <v>1547</v>
      </c>
      <c r="AL256" s="90"/>
      <c r="AM256" s="90" t="s">
        <v>1554</v>
      </c>
      <c r="AN256" s="90"/>
      <c r="AO256" s="80" t="s">
        <v>1728</v>
      </c>
      <c r="AP256" s="90"/>
      <c r="AQ256" s="90"/>
      <c r="AR256" s="90"/>
      <c r="AS256" s="90" t="s">
        <v>1733</v>
      </c>
      <c r="AT256" s="90"/>
      <c r="AU256" s="102" t="s">
        <v>1737</v>
      </c>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80"/>
      <c r="BT256" s="80"/>
    </row>
    <row r="257" spans="1:16213" s="93" customFormat="1" ht="25.15" customHeight="1" outlineLevel="1" x14ac:dyDescent="0.25">
      <c r="A257" s="80" t="s">
        <v>202</v>
      </c>
      <c r="B257" s="90"/>
      <c r="C257" s="90"/>
      <c r="D257" s="80" t="s">
        <v>1756</v>
      </c>
      <c r="E257" s="90" t="s">
        <v>469</v>
      </c>
      <c r="F257" s="90" t="s">
        <v>50</v>
      </c>
      <c r="G257" s="90" t="s">
        <v>42</v>
      </c>
      <c r="H257" s="80" t="s">
        <v>998</v>
      </c>
      <c r="I257" s="90" t="s">
        <v>7</v>
      </c>
      <c r="J257" s="80"/>
      <c r="K257" s="90" t="s">
        <v>999</v>
      </c>
      <c r="L257" s="90"/>
      <c r="M257" s="90" t="s">
        <v>1738</v>
      </c>
      <c r="N257" s="92" t="s">
        <v>31</v>
      </c>
      <c r="O257" s="94">
        <v>7925</v>
      </c>
      <c r="P257" s="94">
        <v>2468</v>
      </c>
      <c r="Q257" s="94">
        <v>2400</v>
      </c>
      <c r="R257" s="94"/>
      <c r="S257" s="94">
        <v>3650</v>
      </c>
      <c r="T257" s="94">
        <v>2550</v>
      </c>
      <c r="U257" s="94">
        <v>10100</v>
      </c>
      <c r="V257" s="94">
        <v>1198</v>
      </c>
      <c r="W257" s="94">
        <v>5900</v>
      </c>
      <c r="X257" s="94">
        <v>2875</v>
      </c>
      <c r="Y257" s="94"/>
      <c r="Z257" s="94">
        <v>18</v>
      </c>
      <c r="AA257" s="90" t="s">
        <v>1001</v>
      </c>
      <c r="AB257" s="80">
        <v>16000</v>
      </c>
      <c r="AC257" s="80">
        <v>8050</v>
      </c>
      <c r="AD257" s="92"/>
      <c r="AE257" s="92"/>
      <c r="AF257" s="92"/>
      <c r="AG257" s="118"/>
      <c r="AH257" s="115">
        <v>46.9</v>
      </c>
      <c r="AI257" s="90" t="s">
        <v>1731</v>
      </c>
      <c r="AJ257" s="90"/>
      <c r="AK257" s="90" t="s">
        <v>1552</v>
      </c>
      <c r="AL257" s="90"/>
      <c r="AM257" s="90" t="s">
        <v>1562</v>
      </c>
      <c r="AN257" s="90"/>
      <c r="AO257" s="90" t="s">
        <v>1739</v>
      </c>
      <c r="AP257" s="90"/>
      <c r="AQ257" s="90"/>
      <c r="AR257" s="90"/>
      <c r="AS257" s="90" t="s">
        <v>1740</v>
      </c>
      <c r="AT257" s="90"/>
      <c r="AU257" s="155" t="s">
        <v>1741</v>
      </c>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80"/>
      <c r="BT257" s="80"/>
    </row>
    <row r="258" spans="1:16213" s="93" customFormat="1" ht="25.15" customHeight="1" outlineLevel="1" x14ac:dyDescent="0.25">
      <c r="A258" s="80" t="s">
        <v>202</v>
      </c>
      <c r="B258" s="90"/>
      <c r="C258" s="90"/>
      <c r="D258" s="80" t="s">
        <v>1756</v>
      </c>
      <c r="E258" s="90" t="s">
        <v>469</v>
      </c>
      <c r="F258" s="90" t="s">
        <v>50</v>
      </c>
      <c r="G258" s="90" t="s">
        <v>42</v>
      </c>
      <c r="H258" s="80" t="s">
        <v>998</v>
      </c>
      <c r="I258" s="90" t="s">
        <v>7</v>
      </c>
      <c r="J258" s="80"/>
      <c r="K258" s="90" t="s">
        <v>999</v>
      </c>
      <c r="L258" s="90"/>
      <c r="M258" s="90" t="s">
        <v>1738</v>
      </c>
      <c r="N258" s="92" t="s">
        <v>456</v>
      </c>
      <c r="O258" s="94">
        <v>7903</v>
      </c>
      <c r="P258" s="94">
        <v>2416</v>
      </c>
      <c r="Q258" s="94">
        <v>2400</v>
      </c>
      <c r="R258" s="94"/>
      <c r="S258" s="94">
        <v>3650</v>
      </c>
      <c r="T258" s="94">
        <v>2550</v>
      </c>
      <c r="U258" s="94">
        <v>10100</v>
      </c>
      <c r="V258" s="94">
        <v>1155</v>
      </c>
      <c r="W258" s="94">
        <v>5900</v>
      </c>
      <c r="X258" s="94">
        <v>2875</v>
      </c>
      <c r="Y258" s="94"/>
      <c r="Z258" s="94"/>
      <c r="AA258" s="90" t="s">
        <v>1735</v>
      </c>
      <c r="AB258" s="80">
        <v>16000</v>
      </c>
      <c r="AC258" s="80">
        <v>7725</v>
      </c>
      <c r="AD258" s="92"/>
      <c r="AE258" s="92"/>
      <c r="AF258" s="92"/>
      <c r="AG258" s="118"/>
      <c r="AH258" s="115">
        <v>45.8</v>
      </c>
      <c r="AI258" s="90" t="s">
        <v>1736</v>
      </c>
      <c r="AJ258" s="90"/>
      <c r="AK258" s="90" t="s">
        <v>1552</v>
      </c>
      <c r="AL258" s="90"/>
      <c r="AM258" s="90" t="s">
        <v>1562</v>
      </c>
      <c r="AN258" s="90"/>
      <c r="AO258" s="90" t="s">
        <v>1742</v>
      </c>
      <c r="AP258" s="90"/>
      <c r="AQ258" s="90"/>
      <c r="AR258" s="90"/>
      <c r="AS258" s="90" t="s">
        <v>1740</v>
      </c>
      <c r="AT258" s="90"/>
      <c r="AU258" s="155" t="s">
        <v>1743</v>
      </c>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80"/>
      <c r="BT258" s="80"/>
    </row>
    <row r="259" spans="1:16213" s="95" customFormat="1" ht="25.15" customHeight="1" outlineLevel="1" x14ac:dyDescent="0.25">
      <c r="A259" s="80" t="s">
        <v>202</v>
      </c>
      <c r="B259" s="80"/>
      <c r="C259" s="90"/>
      <c r="D259" s="80" t="s">
        <v>1756</v>
      </c>
      <c r="E259" s="90" t="s">
        <v>469</v>
      </c>
      <c r="F259" s="80" t="s">
        <v>50</v>
      </c>
      <c r="G259" s="80" t="s">
        <v>43</v>
      </c>
      <c r="H259" s="80" t="s">
        <v>998</v>
      </c>
      <c r="I259" s="80" t="s">
        <v>7</v>
      </c>
      <c r="J259" s="80"/>
      <c r="K259" s="90" t="s">
        <v>999</v>
      </c>
      <c r="L259" s="90"/>
      <c r="M259" s="80" t="s">
        <v>1744</v>
      </c>
      <c r="N259" s="92" t="s">
        <v>31</v>
      </c>
      <c r="O259" s="91">
        <v>8922</v>
      </c>
      <c r="P259" s="94">
        <v>2468</v>
      </c>
      <c r="Q259" s="91">
        <v>2500</v>
      </c>
      <c r="R259" s="94"/>
      <c r="S259" s="91">
        <v>3850</v>
      </c>
      <c r="T259" s="94">
        <v>2550</v>
      </c>
      <c r="U259" s="91">
        <v>11200</v>
      </c>
      <c r="V259" s="91">
        <v>1300</v>
      </c>
      <c r="W259" s="91">
        <v>6450</v>
      </c>
      <c r="X259" s="91">
        <v>3330</v>
      </c>
      <c r="Y259" s="91"/>
      <c r="Z259" s="91">
        <v>21</v>
      </c>
      <c r="AA259" s="80" t="s">
        <v>1001</v>
      </c>
      <c r="AB259" s="80">
        <v>19000</v>
      </c>
      <c r="AC259" s="80">
        <v>9275</v>
      </c>
      <c r="AD259" s="92"/>
      <c r="AE259" s="83"/>
      <c r="AF259" s="83"/>
      <c r="AG259" s="118"/>
      <c r="AH259" s="115">
        <v>55</v>
      </c>
      <c r="AI259" s="90" t="s">
        <v>1745</v>
      </c>
      <c r="AJ259" s="90"/>
      <c r="AK259" s="90" t="s">
        <v>1746</v>
      </c>
      <c r="AL259" s="90"/>
      <c r="AM259" s="90" t="s">
        <v>1593</v>
      </c>
      <c r="AN259" s="90"/>
      <c r="AO259" s="80" t="s">
        <v>1747</v>
      </c>
      <c r="AP259" s="90"/>
      <c r="AQ259" s="90"/>
      <c r="AR259" s="90"/>
      <c r="AS259" s="90" t="s">
        <v>1740</v>
      </c>
      <c r="AT259" s="90"/>
      <c r="AU259" s="102" t="s">
        <v>1748</v>
      </c>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80"/>
      <c r="BT259" s="80"/>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c r="DA259" s="93"/>
      <c r="DB259" s="93"/>
      <c r="DC259" s="93"/>
      <c r="DD259" s="93"/>
      <c r="DE259" s="93"/>
      <c r="DF259" s="93"/>
      <c r="DG259" s="93"/>
      <c r="DH259" s="93"/>
      <c r="DI259" s="93"/>
      <c r="DJ259" s="93"/>
      <c r="DK259" s="93"/>
      <c r="DL259" s="93"/>
      <c r="DM259" s="93"/>
      <c r="DN259" s="93"/>
      <c r="DO259" s="93"/>
      <c r="DP259" s="93"/>
      <c r="DQ259" s="93"/>
      <c r="DR259" s="93"/>
      <c r="DS259" s="93"/>
      <c r="DT259" s="93"/>
      <c r="DU259" s="93"/>
      <c r="DV259" s="93"/>
      <c r="DW259" s="93"/>
      <c r="DX259" s="93"/>
      <c r="DY259" s="93"/>
      <c r="DZ259" s="93"/>
      <c r="EA259" s="93"/>
      <c r="EB259" s="93"/>
      <c r="EC259" s="93"/>
      <c r="ED259" s="93"/>
      <c r="EE259" s="93"/>
      <c r="EF259" s="93"/>
      <c r="EG259" s="93"/>
      <c r="EH259" s="93"/>
      <c r="EI259" s="93"/>
      <c r="EJ259" s="93"/>
      <c r="EK259" s="93"/>
      <c r="EL259" s="93"/>
      <c r="EM259" s="93"/>
      <c r="EN259" s="93"/>
      <c r="EO259" s="93"/>
      <c r="EP259" s="93"/>
      <c r="EQ259" s="93"/>
      <c r="ER259" s="93"/>
      <c r="ES259" s="93"/>
      <c r="ET259" s="93"/>
      <c r="EU259" s="93"/>
      <c r="EV259" s="93"/>
      <c r="EW259" s="93"/>
      <c r="EX259" s="93"/>
      <c r="EY259" s="93"/>
      <c r="EZ259" s="93"/>
      <c r="FA259" s="93"/>
      <c r="FB259" s="93"/>
      <c r="FC259" s="93"/>
      <c r="FD259" s="93"/>
      <c r="FE259" s="93"/>
      <c r="FF259" s="93"/>
      <c r="FG259" s="93"/>
      <c r="FH259" s="93"/>
      <c r="FI259" s="93"/>
      <c r="FJ259" s="93"/>
      <c r="FK259" s="93"/>
      <c r="FL259" s="93"/>
      <c r="FM259" s="93"/>
      <c r="FN259" s="93"/>
      <c r="FO259" s="93"/>
      <c r="FP259" s="93"/>
      <c r="FQ259" s="93"/>
      <c r="FR259" s="93"/>
      <c r="FS259" s="93"/>
      <c r="FT259" s="93"/>
      <c r="FU259" s="93"/>
      <c r="FV259" s="93"/>
      <c r="FW259" s="93"/>
      <c r="FX259" s="93"/>
      <c r="FY259" s="93"/>
      <c r="FZ259" s="93"/>
      <c r="GA259" s="93"/>
      <c r="GB259" s="93"/>
      <c r="GC259" s="93"/>
      <c r="GD259" s="93"/>
      <c r="GE259" s="93"/>
      <c r="GF259" s="93"/>
      <c r="GG259" s="93"/>
      <c r="GH259" s="93"/>
      <c r="GI259" s="93"/>
      <c r="GJ259" s="93"/>
      <c r="GK259" s="93"/>
      <c r="GL259" s="93"/>
      <c r="GM259" s="93"/>
      <c r="GN259" s="93"/>
      <c r="GO259" s="93"/>
      <c r="GP259" s="93"/>
      <c r="GQ259" s="93"/>
      <c r="GR259" s="93"/>
      <c r="GS259" s="93"/>
      <c r="GT259" s="93"/>
      <c r="GU259" s="93"/>
      <c r="GV259" s="93"/>
      <c r="GW259" s="93"/>
      <c r="GX259" s="93"/>
      <c r="GY259" s="93"/>
      <c r="GZ259" s="93"/>
      <c r="HA259" s="93"/>
      <c r="HB259" s="93"/>
      <c r="HC259" s="93"/>
      <c r="HD259" s="93"/>
      <c r="HE259" s="93"/>
      <c r="HF259" s="93"/>
      <c r="HG259" s="93"/>
      <c r="HH259" s="93"/>
      <c r="HI259" s="93"/>
      <c r="HJ259" s="93"/>
      <c r="HK259" s="93"/>
      <c r="HL259" s="93"/>
      <c r="HM259" s="93"/>
      <c r="HN259" s="93"/>
      <c r="HO259" s="93"/>
      <c r="HP259" s="93"/>
      <c r="HQ259" s="93"/>
      <c r="HR259" s="93"/>
      <c r="HS259" s="93"/>
      <c r="HT259" s="93"/>
      <c r="HU259" s="93"/>
      <c r="HV259" s="93"/>
      <c r="HW259" s="93"/>
      <c r="HX259" s="93"/>
      <c r="HY259" s="93"/>
      <c r="HZ259" s="93"/>
      <c r="IA259" s="93"/>
      <c r="IB259" s="93"/>
      <c r="IC259" s="93"/>
      <c r="ID259" s="93"/>
      <c r="IE259" s="93"/>
      <c r="IF259" s="93"/>
      <c r="IG259" s="93"/>
      <c r="IH259" s="93"/>
      <c r="II259" s="93"/>
      <c r="IJ259" s="93"/>
      <c r="IK259" s="93"/>
      <c r="IL259" s="93"/>
      <c r="IM259" s="93"/>
      <c r="IN259" s="93"/>
      <c r="IO259" s="93"/>
      <c r="IP259" s="93"/>
      <c r="IQ259" s="93"/>
      <c r="IR259" s="93"/>
      <c r="IS259" s="93"/>
      <c r="IT259" s="93"/>
      <c r="IU259" s="93"/>
      <c r="IV259" s="93"/>
      <c r="IW259" s="93"/>
      <c r="IX259" s="93"/>
      <c r="IY259" s="93"/>
      <c r="IZ259" s="93"/>
      <c r="JA259" s="93"/>
      <c r="JB259" s="93"/>
      <c r="JC259" s="93"/>
      <c r="JD259" s="93"/>
      <c r="JE259" s="93"/>
      <c r="JF259" s="93"/>
      <c r="JG259" s="93"/>
      <c r="JH259" s="93"/>
      <c r="JI259" s="93"/>
      <c r="JJ259" s="93"/>
      <c r="JK259" s="93"/>
      <c r="JL259" s="93"/>
      <c r="JM259" s="93"/>
      <c r="JN259" s="93"/>
      <c r="JO259" s="93"/>
      <c r="JP259" s="93"/>
      <c r="JQ259" s="93"/>
      <c r="JR259" s="93"/>
      <c r="JS259" s="93"/>
      <c r="JT259" s="93"/>
      <c r="JU259" s="93"/>
      <c r="JV259" s="93"/>
      <c r="JW259" s="93"/>
      <c r="JX259" s="93"/>
      <c r="JY259" s="93"/>
      <c r="JZ259" s="93"/>
      <c r="KA259" s="93"/>
      <c r="KB259" s="93"/>
      <c r="KC259" s="93"/>
      <c r="KD259" s="93"/>
      <c r="KE259" s="93"/>
      <c r="KF259" s="93"/>
      <c r="KG259" s="93"/>
      <c r="KH259" s="93"/>
      <c r="KI259" s="93"/>
      <c r="KJ259" s="93"/>
      <c r="KK259" s="93"/>
      <c r="KL259" s="93"/>
      <c r="KM259" s="93"/>
      <c r="KN259" s="93"/>
      <c r="KO259" s="93"/>
      <c r="KP259" s="93"/>
      <c r="KQ259" s="93"/>
      <c r="KR259" s="93"/>
      <c r="KS259" s="93"/>
      <c r="KT259" s="93"/>
      <c r="KU259" s="93"/>
      <c r="KV259" s="93"/>
      <c r="KW259" s="93"/>
      <c r="KX259" s="93"/>
      <c r="KY259" s="93"/>
      <c r="KZ259" s="93"/>
      <c r="LA259" s="93"/>
      <c r="LB259" s="93"/>
      <c r="LC259" s="93"/>
      <c r="LD259" s="93"/>
      <c r="LE259" s="93"/>
      <c r="LF259" s="93"/>
      <c r="LG259" s="93"/>
      <c r="LH259" s="93"/>
      <c r="LI259" s="93"/>
      <c r="LJ259" s="93"/>
      <c r="LK259" s="93"/>
      <c r="LL259" s="93"/>
      <c r="LM259" s="93"/>
      <c r="LN259" s="93"/>
      <c r="LO259" s="93"/>
      <c r="LP259" s="93"/>
      <c r="LQ259" s="93"/>
      <c r="LR259" s="93"/>
      <c r="LS259" s="93"/>
      <c r="LT259" s="93"/>
      <c r="LU259" s="93"/>
      <c r="LV259" s="93"/>
      <c r="LW259" s="93"/>
      <c r="LX259" s="93"/>
      <c r="LY259" s="93"/>
      <c r="LZ259" s="93"/>
      <c r="MA259" s="93"/>
      <c r="MB259" s="93"/>
      <c r="MC259" s="93"/>
      <c r="MD259" s="93"/>
      <c r="ME259" s="93"/>
      <c r="MF259" s="93"/>
      <c r="MG259" s="93"/>
      <c r="MH259" s="93"/>
      <c r="MI259" s="93"/>
      <c r="MJ259" s="93"/>
      <c r="MK259" s="93"/>
      <c r="ML259" s="93"/>
      <c r="MM259" s="93"/>
      <c r="MN259" s="93"/>
      <c r="MO259" s="93"/>
      <c r="MP259" s="93"/>
      <c r="MQ259" s="93"/>
      <c r="MR259" s="93"/>
      <c r="MS259" s="93"/>
      <c r="MT259" s="93"/>
      <c r="MU259" s="93"/>
      <c r="MV259" s="93"/>
      <c r="MW259" s="93"/>
      <c r="MX259" s="93"/>
      <c r="MY259" s="93"/>
      <c r="MZ259" s="93"/>
      <c r="NA259" s="93"/>
      <c r="NB259" s="93"/>
      <c r="NC259" s="93"/>
      <c r="ND259" s="93"/>
      <c r="NE259" s="93"/>
      <c r="NF259" s="93"/>
      <c r="NG259" s="93"/>
      <c r="NH259" s="93"/>
      <c r="NI259" s="93"/>
      <c r="NJ259" s="93"/>
      <c r="NK259" s="93"/>
      <c r="NL259" s="93"/>
      <c r="NM259" s="93"/>
      <c r="NN259" s="93"/>
      <c r="NO259" s="93"/>
      <c r="NP259" s="93"/>
      <c r="NQ259" s="93"/>
      <c r="NR259" s="93"/>
      <c r="NS259" s="93"/>
      <c r="NT259" s="93"/>
      <c r="NU259" s="93"/>
      <c r="NV259" s="93"/>
      <c r="NW259" s="93"/>
      <c r="NX259" s="93"/>
      <c r="NY259" s="93"/>
      <c r="NZ259" s="93"/>
      <c r="OA259" s="93"/>
      <c r="OB259" s="93"/>
      <c r="OC259" s="93"/>
      <c r="OD259" s="93"/>
      <c r="OE259" s="93"/>
      <c r="OF259" s="93"/>
      <c r="OG259" s="93"/>
      <c r="OH259" s="93"/>
      <c r="OI259" s="93"/>
      <c r="OJ259" s="93"/>
      <c r="OK259" s="93"/>
      <c r="OL259" s="93"/>
      <c r="OM259" s="93"/>
      <c r="ON259" s="93"/>
      <c r="OO259" s="93"/>
      <c r="OP259" s="93"/>
      <c r="OQ259" s="93"/>
      <c r="OR259" s="93"/>
      <c r="OS259" s="93"/>
      <c r="OT259" s="93"/>
      <c r="OU259" s="93"/>
      <c r="OV259" s="93"/>
      <c r="OW259" s="93"/>
      <c r="OX259" s="93"/>
      <c r="OY259" s="93"/>
      <c r="OZ259" s="93"/>
      <c r="PA259" s="93"/>
      <c r="PB259" s="93"/>
      <c r="PC259" s="93"/>
      <c r="PD259" s="93"/>
      <c r="PE259" s="93"/>
      <c r="PF259" s="93"/>
      <c r="PG259" s="93"/>
      <c r="PH259" s="93"/>
      <c r="PI259" s="93"/>
      <c r="PJ259" s="93"/>
      <c r="PK259" s="93"/>
      <c r="PL259" s="93"/>
      <c r="PM259" s="93"/>
      <c r="PN259" s="93"/>
      <c r="PO259" s="93"/>
      <c r="PP259" s="93"/>
      <c r="PQ259" s="93"/>
      <c r="PR259" s="93"/>
      <c r="PS259" s="93"/>
      <c r="PT259" s="93"/>
      <c r="PU259" s="93"/>
      <c r="PV259" s="93"/>
      <c r="PW259" s="93"/>
      <c r="PX259" s="93"/>
      <c r="PY259" s="93"/>
      <c r="PZ259" s="93"/>
      <c r="QA259" s="93"/>
      <c r="QB259" s="93"/>
      <c r="QC259" s="93"/>
      <c r="QD259" s="93"/>
      <c r="QE259" s="93"/>
      <c r="QF259" s="93"/>
      <c r="QG259" s="93"/>
      <c r="QH259" s="93"/>
      <c r="QI259" s="93"/>
      <c r="QJ259" s="93"/>
      <c r="QK259" s="93"/>
      <c r="QL259" s="93"/>
      <c r="QM259" s="93"/>
      <c r="QN259" s="93"/>
      <c r="QO259" s="93"/>
      <c r="QP259" s="93"/>
      <c r="QQ259" s="93"/>
      <c r="QR259" s="93"/>
      <c r="QS259" s="93"/>
      <c r="QT259" s="93"/>
      <c r="QU259" s="93"/>
      <c r="QV259" s="93"/>
      <c r="QW259" s="93"/>
      <c r="QX259" s="93"/>
      <c r="QY259" s="93"/>
      <c r="QZ259" s="93"/>
      <c r="RA259" s="93"/>
      <c r="RB259" s="93"/>
      <c r="RC259" s="93"/>
      <c r="RD259" s="93"/>
      <c r="RE259" s="93"/>
      <c r="RF259" s="93"/>
      <c r="RG259" s="93"/>
      <c r="RH259" s="93"/>
      <c r="RI259" s="93"/>
      <c r="RJ259" s="93"/>
      <c r="RK259" s="93"/>
      <c r="RL259" s="93"/>
      <c r="RM259" s="93"/>
      <c r="RN259" s="93"/>
      <c r="RO259" s="93"/>
      <c r="RP259" s="93"/>
      <c r="RQ259" s="93"/>
      <c r="RR259" s="93"/>
      <c r="RS259" s="93"/>
      <c r="RT259" s="93"/>
      <c r="RU259" s="93"/>
      <c r="RV259" s="93"/>
      <c r="RW259" s="93"/>
      <c r="RX259" s="93"/>
      <c r="RY259" s="93"/>
      <c r="RZ259" s="93"/>
      <c r="SA259" s="93"/>
      <c r="SB259" s="93"/>
      <c r="SC259" s="93"/>
      <c r="SD259" s="93"/>
      <c r="SE259" s="93"/>
      <c r="SF259" s="93"/>
      <c r="SG259" s="93"/>
      <c r="SH259" s="93"/>
      <c r="SI259" s="93"/>
      <c r="SJ259" s="93"/>
      <c r="SK259" s="93"/>
      <c r="SL259" s="93"/>
      <c r="SM259" s="93"/>
      <c r="SN259" s="93"/>
      <c r="SO259" s="93"/>
      <c r="SP259" s="93"/>
      <c r="SQ259" s="93"/>
      <c r="SR259" s="93"/>
      <c r="SS259" s="93"/>
      <c r="ST259" s="93"/>
      <c r="SU259" s="93"/>
      <c r="SV259" s="93"/>
      <c r="SW259" s="93"/>
      <c r="SX259" s="93"/>
      <c r="SY259" s="93"/>
      <c r="SZ259" s="93"/>
      <c r="TA259" s="93"/>
      <c r="TB259" s="93"/>
      <c r="TC259" s="93"/>
      <c r="TD259" s="93"/>
      <c r="TE259" s="93"/>
      <c r="TF259" s="93"/>
      <c r="TG259" s="93"/>
      <c r="TH259" s="93"/>
      <c r="TI259" s="93"/>
      <c r="TJ259" s="93"/>
      <c r="TK259" s="93"/>
      <c r="TL259" s="93"/>
      <c r="TM259" s="93"/>
      <c r="TN259" s="93"/>
      <c r="TO259" s="93"/>
      <c r="TP259" s="93"/>
      <c r="TQ259" s="93"/>
      <c r="TR259" s="93"/>
      <c r="TS259" s="93"/>
      <c r="TT259" s="93"/>
      <c r="TU259" s="93"/>
      <c r="TV259" s="93"/>
      <c r="TW259" s="93"/>
      <c r="TX259" s="93"/>
      <c r="TY259" s="93"/>
      <c r="TZ259" s="93"/>
      <c r="UA259" s="93"/>
      <c r="UB259" s="93"/>
      <c r="UC259" s="93"/>
      <c r="UD259" s="93"/>
      <c r="UE259" s="93"/>
      <c r="UF259" s="93"/>
      <c r="UG259" s="93"/>
      <c r="UH259" s="93"/>
      <c r="UI259" s="93"/>
      <c r="UJ259" s="93"/>
      <c r="UK259" s="93"/>
      <c r="UL259" s="93"/>
      <c r="UM259" s="93"/>
      <c r="UN259" s="93"/>
      <c r="UO259" s="93"/>
      <c r="UP259" s="93"/>
      <c r="UQ259" s="93"/>
      <c r="UR259" s="93"/>
      <c r="US259" s="93"/>
      <c r="UT259" s="93"/>
      <c r="UU259" s="93"/>
      <c r="UV259" s="93"/>
      <c r="UW259" s="93"/>
      <c r="UX259" s="93"/>
      <c r="UY259" s="93"/>
      <c r="UZ259" s="93"/>
      <c r="VA259" s="93"/>
      <c r="VB259" s="93"/>
      <c r="VC259" s="93"/>
      <c r="VD259" s="93"/>
      <c r="VE259" s="93"/>
      <c r="VF259" s="93"/>
      <c r="VG259" s="93"/>
      <c r="VH259" s="93"/>
      <c r="VI259" s="93"/>
      <c r="VJ259" s="93"/>
      <c r="VK259" s="93"/>
      <c r="VL259" s="93"/>
      <c r="VM259" s="93"/>
      <c r="VN259" s="93"/>
      <c r="VO259" s="93"/>
      <c r="VP259" s="93"/>
      <c r="VQ259" s="93"/>
      <c r="VR259" s="93"/>
      <c r="VS259" s="93"/>
      <c r="VT259" s="93"/>
      <c r="VU259" s="93"/>
      <c r="VV259" s="93"/>
      <c r="VW259" s="93"/>
      <c r="VX259" s="93"/>
      <c r="VY259" s="93"/>
      <c r="VZ259" s="93"/>
      <c r="WA259" s="93"/>
      <c r="WB259" s="93"/>
      <c r="WC259" s="93"/>
      <c r="WD259" s="93"/>
      <c r="WE259" s="93"/>
      <c r="WF259" s="93"/>
      <c r="WG259" s="93"/>
      <c r="WH259" s="93"/>
      <c r="WI259" s="93"/>
      <c r="WJ259" s="93"/>
      <c r="WK259" s="93"/>
      <c r="WL259" s="93"/>
      <c r="WM259" s="93"/>
      <c r="WN259" s="93"/>
      <c r="WO259" s="93"/>
      <c r="WP259" s="93"/>
      <c r="WQ259" s="93"/>
      <c r="WR259" s="93"/>
      <c r="WS259" s="93"/>
      <c r="WT259" s="93"/>
      <c r="WU259" s="93"/>
      <c r="WV259" s="93"/>
      <c r="WW259" s="93"/>
      <c r="WX259" s="93"/>
      <c r="WY259" s="93"/>
      <c r="WZ259" s="93"/>
      <c r="XA259" s="93"/>
      <c r="XB259" s="93"/>
      <c r="XC259" s="93"/>
      <c r="XD259" s="93"/>
      <c r="XE259" s="93"/>
      <c r="XF259" s="93"/>
      <c r="XG259" s="93"/>
      <c r="XH259" s="93"/>
      <c r="XI259" s="93"/>
      <c r="XJ259" s="93"/>
      <c r="XK259" s="93"/>
      <c r="XL259" s="93"/>
      <c r="XM259" s="93"/>
      <c r="XN259" s="93"/>
      <c r="XO259" s="93"/>
      <c r="XP259" s="93"/>
      <c r="XQ259" s="93"/>
      <c r="XR259" s="93"/>
      <c r="XS259" s="93"/>
      <c r="XT259" s="93"/>
      <c r="XU259" s="93"/>
      <c r="XV259" s="93"/>
      <c r="XW259" s="93"/>
      <c r="XX259" s="93"/>
      <c r="XY259" s="93"/>
      <c r="XZ259" s="93"/>
      <c r="YA259" s="93"/>
      <c r="YB259" s="93"/>
      <c r="YC259" s="93"/>
      <c r="YD259" s="93"/>
      <c r="YE259" s="93"/>
      <c r="YF259" s="93"/>
      <c r="YG259" s="93"/>
      <c r="YH259" s="93"/>
      <c r="YI259" s="93"/>
      <c r="YJ259" s="93"/>
      <c r="YK259" s="93"/>
      <c r="YL259" s="93"/>
      <c r="YM259" s="93"/>
      <c r="YN259" s="93"/>
      <c r="YO259" s="93"/>
      <c r="YP259" s="93"/>
      <c r="YQ259" s="93"/>
      <c r="YR259" s="93"/>
      <c r="YS259" s="93"/>
      <c r="YT259" s="93"/>
      <c r="YU259" s="93"/>
      <c r="YV259" s="93"/>
      <c r="YW259" s="93"/>
      <c r="YX259" s="93"/>
      <c r="YY259" s="93"/>
      <c r="YZ259" s="93"/>
      <c r="ZA259" s="93"/>
      <c r="ZB259" s="93"/>
      <c r="ZC259" s="93"/>
      <c r="ZD259" s="93"/>
      <c r="ZE259" s="93"/>
      <c r="ZF259" s="93"/>
      <c r="ZG259" s="93"/>
      <c r="ZH259" s="93"/>
      <c r="ZI259" s="93"/>
      <c r="ZJ259" s="93"/>
      <c r="ZK259" s="93"/>
      <c r="ZL259" s="93"/>
      <c r="ZM259" s="93"/>
      <c r="ZN259" s="93"/>
      <c r="ZO259" s="93"/>
      <c r="ZP259" s="93"/>
      <c r="ZQ259" s="93"/>
      <c r="ZR259" s="93"/>
      <c r="ZS259" s="93"/>
      <c r="ZT259" s="93"/>
      <c r="ZU259" s="93"/>
      <c r="ZV259" s="93"/>
      <c r="ZW259" s="93"/>
      <c r="ZX259" s="93"/>
      <c r="ZY259" s="93"/>
      <c r="ZZ259" s="93"/>
      <c r="AAA259" s="93"/>
      <c r="AAB259" s="93"/>
      <c r="AAC259" s="93"/>
      <c r="AAD259" s="93"/>
      <c r="AAE259" s="93"/>
      <c r="AAF259" s="93"/>
      <c r="AAG259" s="93"/>
      <c r="AAH259" s="93"/>
      <c r="AAI259" s="93"/>
      <c r="AAJ259" s="93"/>
      <c r="AAK259" s="93"/>
      <c r="AAL259" s="93"/>
      <c r="AAM259" s="93"/>
      <c r="AAN259" s="93"/>
      <c r="AAO259" s="93"/>
      <c r="AAP259" s="93"/>
      <c r="AAQ259" s="93"/>
      <c r="AAR259" s="93"/>
      <c r="AAS259" s="93"/>
      <c r="AAT259" s="93"/>
      <c r="AAU259" s="93"/>
      <c r="AAV259" s="93"/>
      <c r="AAW259" s="93"/>
      <c r="AAX259" s="93"/>
      <c r="AAY259" s="93"/>
      <c r="AAZ259" s="93"/>
      <c r="ABA259" s="93"/>
      <c r="ABB259" s="93"/>
      <c r="ABC259" s="93"/>
      <c r="ABD259" s="93"/>
      <c r="ABE259" s="93"/>
      <c r="ABF259" s="93"/>
      <c r="ABG259" s="93"/>
      <c r="ABH259" s="93"/>
      <c r="ABI259" s="93"/>
      <c r="ABJ259" s="93"/>
      <c r="ABK259" s="93"/>
      <c r="ABL259" s="93"/>
      <c r="ABM259" s="93"/>
      <c r="ABN259" s="93"/>
      <c r="ABO259" s="93"/>
      <c r="ABP259" s="93"/>
      <c r="ABQ259" s="93"/>
      <c r="ABR259" s="93"/>
      <c r="ABS259" s="93"/>
      <c r="ABT259" s="93"/>
      <c r="ABU259" s="93"/>
      <c r="ABV259" s="93"/>
      <c r="ABW259" s="93"/>
      <c r="ABX259" s="93"/>
      <c r="ABY259" s="93"/>
      <c r="ABZ259" s="93"/>
      <c r="ACA259" s="93"/>
      <c r="ACB259" s="93"/>
      <c r="ACC259" s="93"/>
      <c r="ACD259" s="93"/>
      <c r="ACE259" s="93"/>
      <c r="ACF259" s="93"/>
      <c r="ACG259" s="93"/>
      <c r="ACH259" s="93"/>
      <c r="ACI259" s="93"/>
      <c r="ACJ259" s="93"/>
      <c r="ACK259" s="93"/>
      <c r="ACL259" s="93"/>
      <c r="ACM259" s="93"/>
      <c r="ACN259" s="93"/>
      <c r="ACO259" s="93"/>
      <c r="ACP259" s="93"/>
      <c r="ACQ259" s="93"/>
      <c r="ACR259" s="93"/>
      <c r="ACS259" s="93"/>
      <c r="ACT259" s="93"/>
      <c r="ACU259" s="93"/>
      <c r="ACV259" s="93"/>
      <c r="ACW259" s="93"/>
      <c r="ACX259" s="93"/>
      <c r="ACY259" s="93"/>
      <c r="ACZ259" s="93"/>
      <c r="ADA259" s="93"/>
      <c r="ADB259" s="93"/>
      <c r="ADC259" s="93"/>
      <c r="ADD259" s="93"/>
      <c r="ADE259" s="93"/>
      <c r="ADF259" s="93"/>
      <c r="ADG259" s="93"/>
      <c r="ADH259" s="93"/>
      <c r="ADI259" s="93"/>
      <c r="ADJ259" s="93"/>
      <c r="ADK259" s="93"/>
      <c r="ADL259" s="93"/>
      <c r="ADM259" s="93"/>
      <c r="ADN259" s="93"/>
      <c r="ADO259" s="93"/>
      <c r="ADP259" s="93"/>
      <c r="ADQ259" s="93"/>
      <c r="ADR259" s="93"/>
      <c r="ADS259" s="93"/>
      <c r="ADT259" s="93"/>
      <c r="ADU259" s="93"/>
      <c r="ADV259" s="93"/>
      <c r="ADW259" s="93"/>
      <c r="ADX259" s="93"/>
      <c r="ADY259" s="93"/>
      <c r="ADZ259" s="93"/>
      <c r="AEA259" s="93"/>
      <c r="AEB259" s="93"/>
      <c r="AEC259" s="93"/>
      <c r="AED259" s="93"/>
      <c r="AEE259" s="93"/>
      <c r="AEF259" s="93"/>
      <c r="AEG259" s="93"/>
      <c r="AEH259" s="93"/>
      <c r="AEI259" s="93"/>
      <c r="AEJ259" s="93"/>
      <c r="AEK259" s="93"/>
      <c r="AEL259" s="93"/>
      <c r="AEM259" s="93"/>
      <c r="AEN259" s="93"/>
      <c r="AEO259" s="93"/>
      <c r="AEP259" s="93"/>
      <c r="AEQ259" s="93"/>
      <c r="AER259" s="93"/>
      <c r="AES259" s="93"/>
      <c r="AET259" s="93"/>
      <c r="AEU259" s="93"/>
      <c r="AEV259" s="93"/>
      <c r="AEW259" s="93"/>
      <c r="AEX259" s="93"/>
      <c r="AEY259" s="93"/>
      <c r="AEZ259" s="93"/>
      <c r="AFA259" s="93"/>
      <c r="AFB259" s="93"/>
      <c r="AFC259" s="93"/>
      <c r="AFD259" s="93"/>
      <c r="AFE259" s="93"/>
      <c r="AFF259" s="93"/>
      <c r="AFG259" s="93"/>
      <c r="AFH259" s="93"/>
      <c r="AFI259" s="93"/>
      <c r="AFJ259" s="93"/>
      <c r="AFK259" s="93"/>
      <c r="AFL259" s="93"/>
      <c r="AFM259" s="93"/>
      <c r="AFN259" s="93"/>
      <c r="AFO259" s="93"/>
      <c r="AFP259" s="93"/>
      <c r="AFQ259" s="93"/>
      <c r="AFR259" s="93"/>
      <c r="AFS259" s="93"/>
      <c r="AFT259" s="93"/>
      <c r="AFU259" s="93"/>
      <c r="AFV259" s="93"/>
      <c r="AFW259" s="93"/>
      <c r="AFX259" s="93"/>
      <c r="AFY259" s="93"/>
      <c r="AFZ259" s="93"/>
      <c r="AGA259" s="93"/>
      <c r="AGB259" s="93"/>
      <c r="AGC259" s="93"/>
      <c r="AGD259" s="93"/>
      <c r="AGE259" s="93"/>
      <c r="AGF259" s="93"/>
      <c r="AGG259" s="93"/>
      <c r="AGH259" s="93"/>
      <c r="AGI259" s="93"/>
      <c r="AGJ259" s="93"/>
      <c r="AGK259" s="93"/>
      <c r="AGL259" s="93"/>
      <c r="AGM259" s="93"/>
      <c r="AGN259" s="93"/>
      <c r="AGO259" s="93"/>
      <c r="AGP259" s="93"/>
      <c r="AGQ259" s="93"/>
      <c r="AGR259" s="93"/>
      <c r="AGS259" s="93"/>
      <c r="AGT259" s="93"/>
      <c r="AGU259" s="93"/>
      <c r="AGV259" s="93"/>
      <c r="AGW259" s="93"/>
      <c r="AGX259" s="93"/>
      <c r="AGY259" s="93"/>
      <c r="AGZ259" s="93"/>
      <c r="AHA259" s="93"/>
      <c r="AHB259" s="93"/>
      <c r="AHC259" s="93"/>
      <c r="AHD259" s="93"/>
      <c r="AHE259" s="93"/>
      <c r="AHF259" s="93"/>
      <c r="AHG259" s="93"/>
      <c r="AHH259" s="93"/>
      <c r="AHI259" s="93"/>
      <c r="AHJ259" s="93"/>
      <c r="AHK259" s="93"/>
      <c r="AHL259" s="93"/>
      <c r="AHM259" s="93"/>
      <c r="AHN259" s="93"/>
      <c r="AHO259" s="93"/>
      <c r="AHP259" s="93"/>
      <c r="AHQ259" s="93"/>
      <c r="AHR259" s="93"/>
      <c r="AHS259" s="93"/>
      <c r="AHT259" s="93"/>
      <c r="AHU259" s="93"/>
      <c r="AHV259" s="93"/>
      <c r="AHW259" s="93"/>
      <c r="AHX259" s="93"/>
      <c r="AHY259" s="93"/>
      <c r="AHZ259" s="93"/>
      <c r="AIA259" s="93"/>
      <c r="AIB259" s="93"/>
      <c r="AIC259" s="93"/>
      <c r="AID259" s="93"/>
      <c r="AIE259" s="93"/>
      <c r="AIF259" s="93"/>
      <c r="AIG259" s="93"/>
      <c r="AIH259" s="93"/>
      <c r="AII259" s="93"/>
      <c r="AIJ259" s="93"/>
      <c r="AIK259" s="93"/>
      <c r="AIL259" s="93"/>
      <c r="AIM259" s="93"/>
      <c r="AIN259" s="93"/>
      <c r="AIO259" s="93"/>
      <c r="AIP259" s="93"/>
      <c r="AIQ259" s="93"/>
      <c r="AIR259" s="93"/>
      <c r="AIS259" s="93"/>
      <c r="AIT259" s="93"/>
      <c r="AIU259" s="93"/>
      <c r="AIV259" s="93"/>
      <c r="AIW259" s="93"/>
      <c r="AIX259" s="93"/>
      <c r="AIY259" s="93"/>
      <c r="AIZ259" s="93"/>
      <c r="AJA259" s="93"/>
      <c r="AJB259" s="93"/>
      <c r="AJC259" s="93"/>
      <c r="AJD259" s="93"/>
      <c r="AJE259" s="93"/>
      <c r="AJF259" s="93"/>
      <c r="AJG259" s="93"/>
      <c r="AJH259" s="93"/>
      <c r="AJI259" s="93"/>
      <c r="AJJ259" s="93"/>
      <c r="AJK259" s="93"/>
      <c r="AJL259" s="93"/>
      <c r="AJM259" s="93"/>
      <c r="AJN259" s="93"/>
      <c r="AJO259" s="93"/>
      <c r="AJP259" s="93"/>
      <c r="AJQ259" s="93"/>
      <c r="AJR259" s="93"/>
      <c r="AJS259" s="93"/>
      <c r="AJT259" s="93"/>
      <c r="AJU259" s="93"/>
      <c r="AJV259" s="93"/>
      <c r="AJW259" s="93"/>
      <c r="AJX259" s="93"/>
      <c r="AJY259" s="93"/>
      <c r="AJZ259" s="93"/>
      <c r="AKA259" s="93"/>
      <c r="AKB259" s="93"/>
      <c r="AKC259" s="93"/>
      <c r="AKD259" s="93"/>
      <c r="AKE259" s="93"/>
      <c r="AKF259" s="93"/>
      <c r="AKG259" s="93"/>
      <c r="AKH259" s="93"/>
      <c r="AKI259" s="93"/>
      <c r="AKJ259" s="93"/>
      <c r="AKK259" s="93"/>
      <c r="AKL259" s="93"/>
      <c r="AKM259" s="93"/>
      <c r="AKN259" s="93"/>
      <c r="AKO259" s="93"/>
      <c r="AKP259" s="93"/>
      <c r="AKQ259" s="93"/>
      <c r="AKR259" s="93"/>
      <c r="AKS259" s="93"/>
      <c r="AKT259" s="93"/>
      <c r="AKU259" s="93"/>
      <c r="AKV259" s="93"/>
      <c r="AKW259" s="93"/>
      <c r="AKX259" s="93"/>
      <c r="AKY259" s="93"/>
      <c r="AKZ259" s="93"/>
      <c r="ALA259" s="93"/>
      <c r="ALB259" s="93"/>
      <c r="ALC259" s="93"/>
      <c r="ALD259" s="93"/>
      <c r="ALE259" s="93"/>
      <c r="ALF259" s="93"/>
      <c r="ALG259" s="93"/>
      <c r="ALH259" s="93"/>
      <c r="ALI259" s="93"/>
      <c r="ALJ259" s="93"/>
      <c r="ALK259" s="93"/>
      <c r="ALL259" s="93"/>
      <c r="ALM259" s="93"/>
      <c r="ALN259" s="93"/>
      <c r="ALO259" s="93"/>
      <c r="ALP259" s="93"/>
      <c r="ALQ259" s="93"/>
      <c r="ALR259" s="93"/>
      <c r="ALS259" s="93"/>
      <c r="ALT259" s="93"/>
      <c r="ALU259" s="93"/>
      <c r="ALV259" s="93"/>
      <c r="ALW259" s="93"/>
      <c r="ALX259" s="93"/>
      <c r="ALY259" s="93"/>
      <c r="ALZ259" s="93"/>
      <c r="AMA259" s="93"/>
      <c r="AMB259" s="93"/>
      <c r="AMC259" s="93"/>
      <c r="AMD259" s="93"/>
      <c r="AME259" s="93"/>
      <c r="AMF259" s="93"/>
      <c r="AMG259" s="93"/>
      <c r="AMH259" s="93"/>
      <c r="AMI259" s="93"/>
      <c r="AMJ259" s="93"/>
      <c r="AMK259" s="93"/>
      <c r="AML259" s="93"/>
      <c r="AMM259" s="93"/>
      <c r="AMN259" s="93"/>
      <c r="AMO259" s="93"/>
      <c r="AMP259" s="93"/>
      <c r="AMQ259" s="93"/>
      <c r="AMR259" s="93"/>
      <c r="AMS259" s="93"/>
      <c r="AMT259" s="93"/>
      <c r="AMU259" s="93"/>
      <c r="AMV259" s="93"/>
      <c r="AMW259" s="93"/>
      <c r="AMX259" s="93"/>
      <c r="AMY259" s="93"/>
      <c r="AMZ259" s="93"/>
      <c r="ANA259" s="93"/>
      <c r="ANB259" s="93"/>
      <c r="ANC259" s="93"/>
      <c r="AND259" s="93"/>
      <c r="ANE259" s="93"/>
      <c r="ANF259" s="93"/>
      <c r="ANG259" s="93"/>
      <c r="ANH259" s="93"/>
      <c r="ANI259" s="93"/>
      <c r="ANJ259" s="93"/>
      <c r="ANK259" s="93"/>
      <c r="ANL259" s="93"/>
      <c r="ANM259" s="93"/>
      <c r="ANN259" s="93"/>
      <c r="ANO259" s="93"/>
      <c r="ANP259" s="93"/>
      <c r="ANQ259" s="93"/>
      <c r="ANR259" s="93"/>
      <c r="ANS259" s="93"/>
      <c r="ANT259" s="93"/>
      <c r="ANU259" s="93"/>
      <c r="ANV259" s="93"/>
      <c r="ANW259" s="93"/>
      <c r="ANX259" s="93"/>
      <c r="ANY259" s="93"/>
      <c r="ANZ259" s="93"/>
      <c r="AOA259" s="93"/>
      <c r="AOB259" s="93"/>
      <c r="AOC259" s="93"/>
      <c r="AOD259" s="93"/>
      <c r="AOE259" s="93"/>
      <c r="AOF259" s="93"/>
      <c r="AOG259" s="93"/>
      <c r="AOH259" s="93"/>
      <c r="AOI259" s="93"/>
      <c r="AOJ259" s="93"/>
      <c r="AOK259" s="93"/>
      <c r="AOL259" s="93"/>
      <c r="AOM259" s="93"/>
      <c r="AON259" s="93"/>
      <c r="AOO259" s="93"/>
      <c r="AOP259" s="93"/>
      <c r="AOQ259" s="93"/>
      <c r="AOR259" s="93"/>
      <c r="AOS259" s="93"/>
      <c r="AOT259" s="93"/>
      <c r="AOU259" s="93"/>
      <c r="AOV259" s="93"/>
      <c r="AOW259" s="93"/>
      <c r="AOX259" s="93"/>
      <c r="AOY259" s="93"/>
      <c r="AOZ259" s="93"/>
      <c r="APA259" s="93"/>
      <c r="APB259" s="93"/>
      <c r="APC259" s="93"/>
      <c r="APD259" s="93"/>
      <c r="APE259" s="93"/>
      <c r="APF259" s="93"/>
      <c r="APG259" s="93"/>
      <c r="APH259" s="93"/>
      <c r="API259" s="93"/>
      <c r="APJ259" s="93"/>
      <c r="APK259" s="93"/>
      <c r="APL259" s="93"/>
      <c r="APM259" s="93"/>
      <c r="APN259" s="93"/>
      <c r="APO259" s="93"/>
      <c r="APP259" s="93"/>
      <c r="APQ259" s="93"/>
      <c r="APR259" s="93"/>
      <c r="APS259" s="93"/>
      <c r="APT259" s="93"/>
      <c r="APU259" s="93"/>
      <c r="APV259" s="93"/>
      <c r="APW259" s="93"/>
      <c r="APX259" s="93"/>
      <c r="APY259" s="93"/>
      <c r="APZ259" s="93"/>
      <c r="AQA259" s="93"/>
      <c r="AQB259" s="93"/>
      <c r="AQC259" s="93"/>
      <c r="AQD259" s="93"/>
      <c r="AQE259" s="93"/>
      <c r="AQF259" s="93"/>
      <c r="AQG259" s="93"/>
      <c r="AQH259" s="93"/>
      <c r="AQI259" s="93"/>
      <c r="AQJ259" s="93"/>
      <c r="AQK259" s="93"/>
      <c r="AQL259" s="93"/>
      <c r="AQM259" s="93"/>
      <c r="AQN259" s="93"/>
      <c r="AQO259" s="93"/>
      <c r="AQP259" s="93"/>
      <c r="AQQ259" s="93"/>
      <c r="AQR259" s="93"/>
      <c r="AQS259" s="93"/>
      <c r="AQT259" s="93"/>
      <c r="AQU259" s="93"/>
      <c r="AQV259" s="93"/>
      <c r="AQW259" s="93"/>
      <c r="AQX259" s="93"/>
      <c r="AQY259" s="93"/>
      <c r="AQZ259" s="93"/>
      <c r="ARA259" s="93"/>
      <c r="ARB259" s="93"/>
      <c r="ARC259" s="93"/>
      <c r="ARD259" s="93"/>
      <c r="ARE259" s="93"/>
      <c r="ARF259" s="93"/>
      <c r="ARG259" s="93"/>
      <c r="ARH259" s="93"/>
      <c r="ARI259" s="93"/>
      <c r="ARJ259" s="93"/>
      <c r="ARK259" s="93"/>
      <c r="ARL259" s="93"/>
      <c r="ARM259" s="93"/>
      <c r="ARN259" s="93"/>
      <c r="ARO259" s="93"/>
      <c r="ARP259" s="93"/>
      <c r="ARQ259" s="93"/>
      <c r="ARR259" s="93"/>
      <c r="ARS259" s="93"/>
      <c r="ART259" s="93"/>
      <c r="ARU259" s="93"/>
      <c r="ARV259" s="93"/>
      <c r="ARW259" s="93"/>
      <c r="ARX259" s="93"/>
      <c r="ARY259" s="93"/>
      <c r="ARZ259" s="93"/>
      <c r="ASA259" s="93"/>
      <c r="ASB259" s="93"/>
      <c r="ASC259" s="93"/>
      <c r="ASD259" s="93"/>
      <c r="ASE259" s="93"/>
      <c r="ASF259" s="93"/>
      <c r="ASG259" s="93"/>
      <c r="ASH259" s="93"/>
      <c r="ASI259" s="93"/>
      <c r="ASJ259" s="93"/>
      <c r="ASK259" s="93"/>
      <c r="ASL259" s="93"/>
      <c r="ASM259" s="93"/>
      <c r="ASN259" s="93"/>
      <c r="ASO259" s="93"/>
      <c r="ASP259" s="93"/>
      <c r="ASQ259" s="93"/>
      <c r="ASR259" s="93"/>
      <c r="ASS259" s="93"/>
      <c r="AST259" s="93"/>
      <c r="ASU259" s="93"/>
      <c r="ASV259" s="93"/>
      <c r="ASW259" s="93"/>
      <c r="ASX259" s="93"/>
      <c r="ASY259" s="93"/>
      <c r="ASZ259" s="93"/>
      <c r="ATA259" s="93"/>
      <c r="ATB259" s="93"/>
      <c r="ATC259" s="93"/>
      <c r="ATD259" s="93"/>
      <c r="ATE259" s="93"/>
      <c r="ATF259" s="93"/>
      <c r="ATG259" s="93"/>
      <c r="ATH259" s="93"/>
      <c r="ATI259" s="93"/>
      <c r="ATJ259" s="93"/>
      <c r="ATK259" s="93"/>
      <c r="ATL259" s="93"/>
      <c r="ATM259" s="93"/>
      <c r="ATN259" s="93"/>
      <c r="ATO259" s="93"/>
      <c r="ATP259" s="93"/>
      <c r="ATQ259" s="93"/>
      <c r="ATR259" s="93"/>
      <c r="ATS259" s="93"/>
      <c r="ATT259" s="93"/>
      <c r="ATU259" s="93"/>
      <c r="ATV259" s="93"/>
      <c r="ATW259" s="93"/>
      <c r="ATX259" s="93"/>
      <c r="ATY259" s="93"/>
      <c r="ATZ259" s="93"/>
      <c r="AUA259" s="93"/>
      <c r="AUB259" s="93"/>
      <c r="AUC259" s="93"/>
      <c r="AUD259" s="93"/>
      <c r="AUE259" s="93"/>
      <c r="AUF259" s="93"/>
      <c r="AUG259" s="93"/>
      <c r="AUH259" s="93"/>
      <c r="AUI259" s="93"/>
      <c r="AUJ259" s="93"/>
      <c r="AUK259" s="93"/>
      <c r="AUL259" s="93"/>
      <c r="AUM259" s="93"/>
      <c r="AUN259" s="93"/>
      <c r="AUO259" s="93"/>
      <c r="AUP259" s="93"/>
      <c r="AUQ259" s="93"/>
      <c r="AUR259" s="93"/>
      <c r="AUS259" s="93"/>
      <c r="AUT259" s="93"/>
      <c r="AUU259" s="93"/>
      <c r="AUV259" s="93"/>
      <c r="AUW259" s="93"/>
      <c r="AUX259" s="93"/>
      <c r="AUY259" s="93"/>
      <c r="AUZ259" s="93"/>
      <c r="AVA259" s="93"/>
      <c r="AVB259" s="93"/>
      <c r="AVC259" s="93"/>
      <c r="AVD259" s="93"/>
      <c r="AVE259" s="93"/>
      <c r="AVF259" s="93"/>
      <c r="AVG259" s="93"/>
      <c r="AVH259" s="93"/>
      <c r="AVI259" s="93"/>
      <c r="AVJ259" s="93"/>
      <c r="AVK259" s="93"/>
      <c r="AVL259" s="93"/>
      <c r="AVM259" s="93"/>
      <c r="AVN259" s="93"/>
      <c r="AVO259" s="93"/>
      <c r="AVP259" s="93"/>
      <c r="AVQ259" s="93"/>
      <c r="AVR259" s="93"/>
      <c r="AVS259" s="93"/>
      <c r="AVT259" s="93"/>
      <c r="AVU259" s="93"/>
      <c r="AVV259" s="93"/>
      <c r="AVW259" s="93"/>
      <c r="AVX259" s="93"/>
      <c r="AVY259" s="93"/>
      <c r="AVZ259" s="93"/>
      <c r="AWA259" s="93"/>
      <c r="AWB259" s="93"/>
      <c r="AWC259" s="93"/>
      <c r="AWD259" s="93"/>
      <c r="AWE259" s="93"/>
      <c r="AWF259" s="93"/>
      <c r="AWG259" s="93"/>
      <c r="AWH259" s="93"/>
      <c r="AWI259" s="93"/>
      <c r="AWJ259" s="93"/>
      <c r="AWK259" s="93"/>
      <c r="AWL259" s="93"/>
      <c r="AWM259" s="93"/>
      <c r="AWN259" s="93"/>
      <c r="AWO259" s="93"/>
      <c r="AWP259" s="93"/>
      <c r="AWQ259" s="93"/>
      <c r="AWR259" s="93"/>
      <c r="AWS259" s="93"/>
      <c r="AWT259" s="93"/>
      <c r="AWU259" s="93"/>
      <c r="AWV259" s="93"/>
      <c r="AWW259" s="93"/>
      <c r="AWX259" s="93"/>
      <c r="AWY259" s="93"/>
      <c r="AWZ259" s="93"/>
      <c r="AXA259" s="93"/>
      <c r="AXB259" s="93"/>
      <c r="AXC259" s="93"/>
      <c r="AXD259" s="93"/>
      <c r="AXE259" s="93"/>
      <c r="AXF259" s="93"/>
      <c r="AXG259" s="93"/>
      <c r="AXH259" s="93"/>
      <c r="AXI259" s="93"/>
      <c r="AXJ259" s="93"/>
      <c r="AXK259" s="93"/>
      <c r="AXL259" s="93"/>
      <c r="AXM259" s="93"/>
      <c r="AXN259" s="93"/>
      <c r="AXO259" s="93"/>
      <c r="AXP259" s="93"/>
      <c r="AXQ259" s="93"/>
      <c r="AXR259" s="93"/>
      <c r="AXS259" s="93"/>
      <c r="AXT259" s="93"/>
      <c r="AXU259" s="93"/>
      <c r="AXV259" s="93"/>
      <c r="AXW259" s="93"/>
      <c r="AXX259" s="93"/>
      <c r="AXY259" s="93"/>
      <c r="AXZ259" s="93"/>
      <c r="AYA259" s="93"/>
      <c r="AYB259" s="93"/>
      <c r="AYC259" s="93"/>
      <c r="AYD259" s="93"/>
      <c r="AYE259" s="93"/>
      <c r="AYF259" s="93"/>
      <c r="AYG259" s="93"/>
      <c r="AYH259" s="93"/>
      <c r="AYI259" s="93"/>
      <c r="AYJ259" s="93"/>
      <c r="AYK259" s="93"/>
      <c r="AYL259" s="93"/>
      <c r="AYM259" s="93"/>
      <c r="AYN259" s="93"/>
      <c r="AYO259" s="93"/>
      <c r="AYP259" s="93"/>
      <c r="AYQ259" s="93"/>
      <c r="AYR259" s="93"/>
      <c r="AYS259" s="93"/>
      <c r="AYT259" s="93"/>
      <c r="AYU259" s="93"/>
      <c r="AYV259" s="93"/>
      <c r="AYW259" s="93"/>
      <c r="AYX259" s="93"/>
      <c r="AYY259" s="93"/>
      <c r="AYZ259" s="93"/>
      <c r="AZA259" s="93"/>
      <c r="AZB259" s="93"/>
      <c r="AZC259" s="93"/>
      <c r="AZD259" s="93"/>
      <c r="AZE259" s="93"/>
      <c r="AZF259" s="93"/>
      <c r="AZG259" s="93"/>
      <c r="AZH259" s="93"/>
      <c r="AZI259" s="93"/>
      <c r="AZJ259" s="93"/>
      <c r="AZK259" s="93"/>
      <c r="AZL259" s="93"/>
      <c r="AZM259" s="93"/>
      <c r="AZN259" s="93"/>
      <c r="AZO259" s="93"/>
      <c r="AZP259" s="93"/>
      <c r="AZQ259" s="93"/>
      <c r="AZR259" s="93"/>
      <c r="AZS259" s="93"/>
      <c r="AZT259" s="93"/>
      <c r="AZU259" s="93"/>
      <c r="AZV259" s="93"/>
      <c r="AZW259" s="93"/>
      <c r="AZX259" s="93"/>
      <c r="AZY259" s="93"/>
      <c r="AZZ259" s="93"/>
      <c r="BAA259" s="93"/>
      <c r="BAB259" s="93"/>
      <c r="BAC259" s="93"/>
      <c r="BAD259" s="93"/>
      <c r="BAE259" s="93"/>
      <c r="BAF259" s="93"/>
      <c r="BAG259" s="93"/>
      <c r="BAH259" s="93"/>
      <c r="BAI259" s="93"/>
      <c r="BAJ259" s="93"/>
      <c r="BAK259" s="93"/>
      <c r="BAL259" s="93"/>
      <c r="BAM259" s="93"/>
      <c r="BAN259" s="93"/>
      <c r="BAO259" s="93"/>
      <c r="BAP259" s="93"/>
      <c r="BAQ259" s="93"/>
      <c r="BAR259" s="93"/>
      <c r="BAS259" s="93"/>
      <c r="BAT259" s="93"/>
      <c r="BAU259" s="93"/>
      <c r="BAV259" s="93"/>
      <c r="BAW259" s="93"/>
      <c r="BAX259" s="93"/>
      <c r="BAY259" s="93"/>
      <c r="BAZ259" s="93"/>
      <c r="BBA259" s="93"/>
      <c r="BBB259" s="93"/>
      <c r="BBC259" s="93"/>
      <c r="BBD259" s="93"/>
      <c r="BBE259" s="93"/>
      <c r="BBF259" s="93"/>
      <c r="BBG259" s="93"/>
      <c r="BBH259" s="93"/>
      <c r="BBI259" s="93"/>
      <c r="BBJ259" s="93"/>
      <c r="BBK259" s="93"/>
      <c r="BBL259" s="93"/>
      <c r="BBM259" s="93"/>
      <c r="BBN259" s="93"/>
      <c r="BBO259" s="93"/>
      <c r="BBP259" s="93"/>
      <c r="BBQ259" s="93"/>
      <c r="BBR259" s="93"/>
      <c r="BBS259" s="93"/>
      <c r="BBT259" s="93"/>
      <c r="BBU259" s="93"/>
      <c r="BBV259" s="93"/>
      <c r="BBW259" s="93"/>
      <c r="BBX259" s="93"/>
      <c r="BBY259" s="93"/>
      <c r="BBZ259" s="93"/>
      <c r="BCA259" s="93"/>
      <c r="BCB259" s="93"/>
      <c r="BCC259" s="93"/>
      <c r="BCD259" s="93"/>
      <c r="BCE259" s="93"/>
      <c r="BCF259" s="93"/>
      <c r="BCG259" s="93"/>
      <c r="BCH259" s="93"/>
      <c r="BCI259" s="93"/>
      <c r="BCJ259" s="93"/>
      <c r="BCK259" s="93"/>
      <c r="BCL259" s="93"/>
      <c r="BCM259" s="93"/>
      <c r="BCN259" s="93"/>
      <c r="BCO259" s="93"/>
      <c r="BCP259" s="93"/>
      <c r="BCQ259" s="93"/>
      <c r="BCR259" s="93"/>
      <c r="BCS259" s="93"/>
      <c r="BCT259" s="93"/>
      <c r="BCU259" s="93"/>
      <c r="BCV259" s="93"/>
      <c r="BCW259" s="93"/>
      <c r="BCX259" s="93"/>
      <c r="BCY259" s="93"/>
      <c r="BCZ259" s="93"/>
      <c r="BDA259" s="93"/>
      <c r="BDB259" s="93"/>
      <c r="BDC259" s="93"/>
      <c r="BDD259" s="93"/>
      <c r="BDE259" s="93"/>
      <c r="BDF259" s="93"/>
      <c r="BDG259" s="93"/>
      <c r="BDH259" s="93"/>
      <c r="BDI259" s="93"/>
      <c r="BDJ259" s="93"/>
      <c r="BDK259" s="93"/>
      <c r="BDL259" s="93"/>
      <c r="BDM259" s="93"/>
      <c r="BDN259" s="93"/>
      <c r="BDO259" s="93"/>
      <c r="BDP259" s="93"/>
      <c r="BDQ259" s="93"/>
      <c r="BDR259" s="93"/>
      <c r="BDS259" s="93"/>
      <c r="BDT259" s="93"/>
      <c r="BDU259" s="93"/>
      <c r="BDV259" s="93"/>
      <c r="BDW259" s="93"/>
      <c r="BDX259" s="93"/>
      <c r="BDY259" s="93"/>
      <c r="BDZ259" s="93"/>
      <c r="BEA259" s="93"/>
      <c r="BEB259" s="93"/>
      <c r="BEC259" s="93"/>
      <c r="BED259" s="93"/>
      <c r="BEE259" s="93"/>
      <c r="BEF259" s="93"/>
      <c r="BEG259" s="93"/>
      <c r="BEH259" s="93"/>
      <c r="BEI259" s="93"/>
      <c r="BEJ259" s="93"/>
      <c r="BEK259" s="93"/>
      <c r="BEL259" s="93"/>
      <c r="BEM259" s="93"/>
      <c r="BEN259" s="93"/>
      <c r="BEO259" s="93"/>
      <c r="BEP259" s="93"/>
      <c r="BEQ259" s="93"/>
      <c r="BER259" s="93"/>
      <c r="BES259" s="93"/>
      <c r="BET259" s="93"/>
      <c r="BEU259" s="93"/>
      <c r="BEV259" s="93"/>
      <c r="BEW259" s="93"/>
      <c r="BEX259" s="93"/>
      <c r="BEY259" s="93"/>
      <c r="BEZ259" s="93"/>
      <c r="BFA259" s="93"/>
      <c r="BFB259" s="93"/>
      <c r="BFC259" s="93"/>
      <c r="BFD259" s="93"/>
      <c r="BFE259" s="93"/>
      <c r="BFF259" s="93"/>
      <c r="BFG259" s="93"/>
      <c r="BFH259" s="93"/>
      <c r="BFI259" s="93"/>
      <c r="BFJ259" s="93"/>
      <c r="BFK259" s="93"/>
      <c r="BFL259" s="93"/>
      <c r="BFM259" s="93"/>
      <c r="BFN259" s="93"/>
      <c r="BFO259" s="93"/>
      <c r="BFP259" s="93"/>
      <c r="BFQ259" s="93"/>
      <c r="BFR259" s="93"/>
      <c r="BFS259" s="93"/>
      <c r="BFT259" s="93"/>
      <c r="BFU259" s="93"/>
      <c r="BFV259" s="93"/>
      <c r="BFW259" s="93"/>
      <c r="BFX259" s="93"/>
      <c r="BFY259" s="93"/>
      <c r="BFZ259" s="93"/>
      <c r="BGA259" s="93"/>
      <c r="BGB259" s="93"/>
      <c r="BGC259" s="93"/>
      <c r="BGD259" s="93"/>
      <c r="BGE259" s="93"/>
      <c r="BGF259" s="93"/>
      <c r="BGG259" s="93"/>
      <c r="BGH259" s="93"/>
      <c r="BGI259" s="93"/>
      <c r="BGJ259" s="93"/>
      <c r="BGK259" s="93"/>
      <c r="BGL259" s="93"/>
      <c r="BGM259" s="93"/>
      <c r="BGN259" s="93"/>
      <c r="BGO259" s="93"/>
      <c r="BGP259" s="93"/>
      <c r="BGQ259" s="93"/>
      <c r="BGR259" s="93"/>
      <c r="BGS259" s="93"/>
      <c r="BGT259" s="93"/>
      <c r="BGU259" s="93"/>
      <c r="BGV259" s="93"/>
      <c r="BGW259" s="93"/>
      <c r="BGX259" s="93"/>
      <c r="BGY259" s="93"/>
      <c r="BGZ259" s="93"/>
      <c r="BHA259" s="93"/>
      <c r="BHB259" s="93"/>
      <c r="BHC259" s="93"/>
      <c r="BHD259" s="93"/>
      <c r="BHE259" s="93"/>
      <c r="BHF259" s="93"/>
      <c r="BHG259" s="93"/>
      <c r="BHH259" s="93"/>
      <c r="BHI259" s="93"/>
      <c r="BHJ259" s="93"/>
      <c r="BHK259" s="93"/>
      <c r="BHL259" s="93"/>
      <c r="BHM259" s="93"/>
      <c r="BHN259" s="93"/>
      <c r="BHO259" s="93"/>
      <c r="BHP259" s="93"/>
      <c r="BHQ259" s="93"/>
      <c r="BHR259" s="93"/>
      <c r="BHS259" s="93"/>
      <c r="BHT259" s="93"/>
      <c r="BHU259" s="93"/>
      <c r="BHV259" s="93"/>
      <c r="BHW259" s="93"/>
      <c r="BHX259" s="93"/>
      <c r="BHY259" s="93"/>
      <c r="BHZ259" s="93"/>
      <c r="BIA259" s="93"/>
      <c r="BIB259" s="93"/>
      <c r="BIC259" s="93"/>
      <c r="BID259" s="93"/>
      <c r="BIE259" s="93"/>
      <c r="BIF259" s="93"/>
      <c r="BIG259" s="93"/>
      <c r="BIH259" s="93"/>
      <c r="BII259" s="93"/>
      <c r="BIJ259" s="93"/>
      <c r="BIK259" s="93"/>
      <c r="BIL259" s="93"/>
      <c r="BIM259" s="93"/>
      <c r="BIN259" s="93"/>
      <c r="BIO259" s="93"/>
      <c r="BIP259" s="93"/>
      <c r="BIQ259" s="93"/>
      <c r="BIR259" s="93"/>
      <c r="BIS259" s="93"/>
      <c r="BIT259" s="93"/>
      <c r="BIU259" s="93"/>
      <c r="BIV259" s="93"/>
      <c r="BIW259" s="93"/>
      <c r="BIX259" s="93"/>
      <c r="BIY259" s="93"/>
      <c r="BIZ259" s="93"/>
      <c r="BJA259" s="93"/>
      <c r="BJB259" s="93"/>
      <c r="BJC259" s="93"/>
      <c r="BJD259" s="93"/>
      <c r="BJE259" s="93"/>
      <c r="BJF259" s="93"/>
      <c r="BJG259" s="93"/>
      <c r="BJH259" s="93"/>
      <c r="BJI259" s="93"/>
      <c r="BJJ259" s="93"/>
      <c r="BJK259" s="93"/>
      <c r="BJL259" s="93"/>
      <c r="BJM259" s="93"/>
      <c r="BJN259" s="93"/>
      <c r="BJO259" s="93"/>
      <c r="BJP259" s="93"/>
      <c r="BJQ259" s="93"/>
      <c r="BJR259" s="93"/>
      <c r="BJS259" s="93"/>
      <c r="BJT259" s="93"/>
      <c r="BJU259" s="93"/>
      <c r="BJV259" s="93"/>
      <c r="BJW259" s="93"/>
      <c r="BJX259" s="93"/>
      <c r="BJY259" s="93"/>
      <c r="BJZ259" s="93"/>
      <c r="BKA259" s="93"/>
      <c r="BKB259" s="93"/>
      <c r="BKC259" s="93"/>
      <c r="BKD259" s="93"/>
      <c r="BKE259" s="93"/>
      <c r="BKF259" s="93"/>
      <c r="BKG259" s="93"/>
      <c r="BKH259" s="93"/>
      <c r="BKI259" s="93"/>
      <c r="BKJ259" s="93"/>
      <c r="BKK259" s="93"/>
      <c r="BKL259" s="93"/>
      <c r="BKM259" s="93"/>
      <c r="BKN259" s="93"/>
      <c r="BKO259" s="93"/>
      <c r="BKP259" s="93"/>
      <c r="BKQ259" s="93"/>
      <c r="BKR259" s="93"/>
      <c r="BKS259" s="93"/>
      <c r="BKT259" s="93"/>
      <c r="BKU259" s="93"/>
      <c r="BKV259" s="93"/>
      <c r="BKW259" s="93"/>
      <c r="BKX259" s="93"/>
      <c r="BKY259" s="93"/>
      <c r="BKZ259" s="93"/>
      <c r="BLA259" s="93"/>
      <c r="BLB259" s="93"/>
      <c r="BLC259" s="93"/>
      <c r="BLD259" s="93"/>
      <c r="BLE259" s="93"/>
      <c r="BLF259" s="93"/>
      <c r="BLG259" s="93"/>
      <c r="BLH259" s="93"/>
      <c r="BLI259" s="93"/>
      <c r="BLJ259" s="93"/>
      <c r="BLK259" s="93"/>
      <c r="BLL259" s="93"/>
      <c r="BLM259" s="93"/>
      <c r="BLN259" s="93"/>
      <c r="BLO259" s="93"/>
      <c r="BLP259" s="93"/>
      <c r="BLQ259" s="93"/>
      <c r="BLR259" s="93"/>
      <c r="BLS259" s="93"/>
      <c r="BLT259" s="93"/>
      <c r="BLU259" s="93"/>
      <c r="BLV259" s="93"/>
      <c r="BLW259" s="93"/>
      <c r="BLX259" s="93"/>
      <c r="BLY259" s="93"/>
      <c r="BLZ259" s="93"/>
      <c r="BMA259" s="93"/>
      <c r="BMB259" s="93"/>
      <c r="BMC259" s="93"/>
      <c r="BMD259" s="93"/>
      <c r="BME259" s="93"/>
      <c r="BMF259" s="93"/>
      <c r="BMG259" s="93"/>
      <c r="BMH259" s="93"/>
      <c r="BMI259" s="93"/>
      <c r="BMJ259" s="93"/>
      <c r="BMK259" s="93"/>
      <c r="BML259" s="93"/>
      <c r="BMM259" s="93"/>
      <c r="BMN259" s="93"/>
      <c r="BMO259" s="93"/>
      <c r="BMP259" s="93"/>
      <c r="BMQ259" s="93"/>
      <c r="BMR259" s="93"/>
      <c r="BMS259" s="93"/>
      <c r="BMT259" s="93"/>
      <c r="BMU259" s="93"/>
      <c r="BMV259" s="93"/>
      <c r="BMW259" s="93"/>
      <c r="BMX259" s="93"/>
      <c r="BMY259" s="93"/>
      <c r="BMZ259" s="93"/>
      <c r="BNA259" s="93"/>
      <c r="BNB259" s="93"/>
      <c r="BNC259" s="93"/>
      <c r="BND259" s="93"/>
      <c r="BNE259" s="93"/>
      <c r="BNF259" s="93"/>
      <c r="BNG259" s="93"/>
      <c r="BNH259" s="93"/>
      <c r="BNI259" s="93"/>
      <c r="BNJ259" s="93"/>
      <c r="BNK259" s="93"/>
      <c r="BNL259" s="93"/>
      <c r="BNM259" s="93"/>
      <c r="BNN259" s="93"/>
      <c r="BNO259" s="93"/>
      <c r="BNP259" s="93"/>
      <c r="BNQ259" s="93"/>
      <c r="BNR259" s="93"/>
      <c r="BNS259" s="93"/>
      <c r="BNT259" s="93"/>
      <c r="BNU259" s="93"/>
      <c r="BNV259" s="93"/>
      <c r="BNW259" s="93"/>
      <c r="BNX259" s="93"/>
      <c r="BNY259" s="93"/>
      <c r="BNZ259" s="93"/>
      <c r="BOA259" s="93"/>
      <c r="BOB259" s="93"/>
      <c r="BOC259" s="93"/>
      <c r="BOD259" s="93"/>
      <c r="BOE259" s="93"/>
      <c r="BOF259" s="93"/>
      <c r="BOG259" s="93"/>
      <c r="BOH259" s="93"/>
      <c r="BOI259" s="93"/>
      <c r="BOJ259" s="93"/>
      <c r="BOK259" s="93"/>
      <c r="BOL259" s="93"/>
      <c r="BOM259" s="93"/>
      <c r="BON259" s="93"/>
      <c r="BOO259" s="93"/>
      <c r="BOP259" s="93"/>
      <c r="BOQ259" s="93"/>
      <c r="BOR259" s="93"/>
      <c r="BOS259" s="93"/>
      <c r="BOT259" s="93"/>
      <c r="BOU259" s="93"/>
      <c r="BOV259" s="93"/>
      <c r="BOW259" s="93"/>
      <c r="BOX259" s="93"/>
      <c r="BOY259" s="93"/>
      <c r="BOZ259" s="93"/>
      <c r="BPA259" s="93"/>
      <c r="BPB259" s="93"/>
      <c r="BPC259" s="93"/>
      <c r="BPD259" s="93"/>
      <c r="BPE259" s="93"/>
      <c r="BPF259" s="93"/>
      <c r="BPG259" s="93"/>
      <c r="BPH259" s="93"/>
      <c r="BPI259" s="93"/>
      <c r="BPJ259" s="93"/>
      <c r="BPK259" s="93"/>
      <c r="BPL259" s="93"/>
      <c r="BPM259" s="93"/>
      <c r="BPN259" s="93"/>
      <c r="BPO259" s="93"/>
      <c r="BPP259" s="93"/>
      <c r="BPQ259" s="93"/>
      <c r="BPR259" s="93"/>
      <c r="BPS259" s="93"/>
      <c r="BPT259" s="93"/>
      <c r="BPU259" s="93"/>
      <c r="BPV259" s="93"/>
      <c r="BPW259" s="93"/>
      <c r="BPX259" s="93"/>
      <c r="BPY259" s="93"/>
      <c r="BPZ259" s="93"/>
      <c r="BQA259" s="93"/>
      <c r="BQB259" s="93"/>
      <c r="BQC259" s="93"/>
      <c r="BQD259" s="93"/>
      <c r="BQE259" s="93"/>
      <c r="BQF259" s="93"/>
      <c r="BQG259" s="93"/>
      <c r="BQH259" s="93"/>
      <c r="BQI259" s="93"/>
      <c r="BQJ259" s="93"/>
      <c r="BQK259" s="93"/>
      <c r="BQL259" s="93"/>
      <c r="BQM259" s="93"/>
      <c r="BQN259" s="93"/>
      <c r="BQO259" s="93"/>
      <c r="BQP259" s="93"/>
      <c r="BQQ259" s="93"/>
      <c r="BQR259" s="93"/>
      <c r="BQS259" s="93"/>
      <c r="BQT259" s="93"/>
      <c r="BQU259" s="93"/>
      <c r="BQV259" s="93"/>
      <c r="BQW259" s="93"/>
      <c r="BQX259" s="93"/>
      <c r="BQY259" s="93"/>
      <c r="BQZ259" s="93"/>
      <c r="BRA259" s="93"/>
      <c r="BRB259" s="93"/>
      <c r="BRC259" s="93"/>
      <c r="BRD259" s="93"/>
      <c r="BRE259" s="93"/>
      <c r="BRF259" s="93"/>
      <c r="BRG259" s="93"/>
      <c r="BRH259" s="93"/>
      <c r="BRI259" s="93"/>
      <c r="BRJ259" s="93"/>
      <c r="BRK259" s="93"/>
      <c r="BRL259" s="93"/>
      <c r="BRM259" s="93"/>
      <c r="BRN259" s="93"/>
      <c r="BRO259" s="93"/>
      <c r="BRP259" s="93"/>
      <c r="BRQ259" s="93"/>
      <c r="BRR259" s="93"/>
      <c r="BRS259" s="93"/>
      <c r="BRT259" s="93"/>
      <c r="BRU259" s="93"/>
      <c r="BRV259" s="93"/>
      <c r="BRW259" s="93"/>
      <c r="BRX259" s="93"/>
      <c r="BRY259" s="93"/>
      <c r="BRZ259" s="93"/>
      <c r="BSA259" s="93"/>
      <c r="BSB259" s="93"/>
      <c r="BSC259" s="93"/>
      <c r="BSD259" s="93"/>
      <c r="BSE259" s="93"/>
      <c r="BSF259" s="93"/>
      <c r="BSG259" s="93"/>
      <c r="BSH259" s="93"/>
      <c r="BSI259" s="93"/>
      <c r="BSJ259" s="93"/>
      <c r="BSK259" s="93"/>
      <c r="BSL259" s="93"/>
      <c r="BSM259" s="93"/>
      <c r="BSN259" s="93"/>
      <c r="BSO259" s="93"/>
      <c r="BSP259" s="93"/>
      <c r="BSQ259" s="93"/>
      <c r="BSR259" s="93"/>
      <c r="BSS259" s="93"/>
      <c r="BST259" s="93"/>
      <c r="BSU259" s="93"/>
      <c r="BSV259" s="93"/>
      <c r="BSW259" s="93"/>
      <c r="BSX259" s="93"/>
      <c r="BSY259" s="93"/>
      <c r="BSZ259" s="93"/>
      <c r="BTA259" s="93"/>
      <c r="BTB259" s="93"/>
      <c r="BTC259" s="93"/>
      <c r="BTD259" s="93"/>
      <c r="BTE259" s="93"/>
      <c r="BTF259" s="93"/>
      <c r="BTG259" s="93"/>
      <c r="BTH259" s="93"/>
      <c r="BTI259" s="93"/>
      <c r="BTJ259" s="93"/>
      <c r="BTK259" s="93"/>
      <c r="BTL259" s="93"/>
      <c r="BTM259" s="93"/>
      <c r="BTN259" s="93"/>
      <c r="BTO259" s="93"/>
      <c r="BTP259" s="93"/>
      <c r="BTQ259" s="93"/>
      <c r="BTR259" s="93"/>
      <c r="BTS259" s="93"/>
      <c r="BTT259" s="93"/>
      <c r="BTU259" s="93"/>
      <c r="BTV259" s="93"/>
      <c r="BTW259" s="93"/>
      <c r="BTX259" s="93"/>
      <c r="BTY259" s="93"/>
      <c r="BTZ259" s="93"/>
      <c r="BUA259" s="93"/>
      <c r="BUB259" s="93"/>
      <c r="BUC259" s="93"/>
      <c r="BUD259" s="93"/>
      <c r="BUE259" s="93"/>
      <c r="BUF259" s="93"/>
      <c r="BUG259" s="93"/>
      <c r="BUH259" s="93"/>
      <c r="BUI259" s="93"/>
      <c r="BUJ259" s="93"/>
      <c r="BUK259" s="93"/>
      <c r="BUL259" s="93"/>
      <c r="BUM259" s="93"/>
      <c r="BUN259" s="93"/>
      <c r="BUO259" s="93"/>
      <c r="BUP259" s="93"/>
      <c r="BUQ259" s="93"/>
      <c r="BUR259" s="93"/>
      <c r="BUS259" s="93"/>
      <c r="BUT259" s="93"/>
      <c r="BUU259" s="93"/>
      <c r="BUV259" s="93"/>
      <c r="BUW259" s="93"/>
      <c r="BUX259" s="93"/>
      <c r="BUY259" s="93"/>
      <c r="BUZ259" s="93"/>
      <c r="BVA259" s="93"/>
      <c r="BVB259" s="93"/>
      <c r="BVC259" s="93"/>
      <c r="BVD259" s="93"/>
      <c r="BVE259" s="93"/>
      <c r="BVF259" s="93"/>
      <c r="BVG259" s="93"/>
      <c r="BVH259" s="93"/>
      <c r="BVI259" s="93"/>
      <c r="BVJ259" s="93"/>
      <c r="BVK259" s="93"/>
      <c r="BVL259" s="93"/>
      <c r="BVM259" s="93"/>
      <c r="BVN259" s="93"/>
      <c r="BVO259" s="93"/>
      <c r="BVP259" s="93"/>
      <c r="BVQ259" s="93"/>
      <c r="BVR259" s="93"/>
      <c r="BVS259" s="93"/>
      <c r="BVT259" s="93"/>
      <c r="BVU259" s="93"/>
      <c r="BVV259" s="93"/>
      <c r="BVW259" s="93"/>
      <c r="BVX259" s="93"/>
      <c r="BVY259" s="93"/>
      <c r="BVZ259" s="93"/>
      <c r="BWA259" s="93"/>
      <c r="BWB259" s="93"/>
      <c r="BWC259" s="93"/>
      <c r="BWD259" s="93"/>
      <c r="BWE259" s="93"/>
      <c r="BWF259" s="93"/>
      <c r="BWG259" s="93"/>
      <c r="BWH259" s="93"/>
      <c r="BWI259" s="93"/>
      <c r="BWJ259" s="93"/>
      <c r="BWK259" s="93"/>
      <c r="BWL259" s="93"/>
      <c r="BWM259" s="93"/>
      <c r="BWN259" s="93"/>
      <c r="BWO259" s="93"/>
      <c r="BWP259" s="93"/>
      <c r="BWQ259" s="93"/>
      <c r="BWR259" s="93"/>
      <c r="BWS259" s="93"/>
      <c r="BWT259" s="93"/>
      <c r="BWU259" s="93"/>
      <c r="BWV259" s="93"/>
      <c r="BWW259" s="93"/>
      <c r="BWX259" s="93"/>
      <c r="BWY259" s="93"/>
      <c r="BWZ259" s="93"/>
      <c r="BXA259" s="93"/>
      <c r="BXB259" s="93"/>
      <c r="BXC259" s="93"/>
      <c r="BXD259" s="93"/>
      <c r="BXE259" s="93"/>
      <c r="BXF259" s="93"/>
      <c r="BXG259" s="93"/>
      <c r="BXH259" s="93"/>
      <c r="BXI259" s="93"/>
      <c r="BXJ259" s="93"/>
      <c r="BXK259" s="93"/>
      <c r="BXL259" s="93"/>
      <c r="BXM259" s="93"/>
      <c r="BXN259" s="93"/>
      <c r="BXO259" s="93"/>
      <c r="BXP259" s="93"/>
      <c r="BXQ259" s="93"/>
      <c r="BXR259" s="93"/>
      <c r="BXS259" s="93"/>
      <c r="BXT259" s="93"/>
      <c r="BXU259" s="93"/>
      <c r="BXV259" s="93"/>
      <c r="BXW259" s="93"/>
      <c r="BXX259" s="93"/>
      <c r="BXY259" s="93"/>
      <c r="BXZ259" s="93"/>
      <c r="BYA259" s="93"/>
      <c r="BYB259" s="93"/>
      <c r="BYC259" s="93"/>
      <c r="BYD259" s="93"/>
      <c r="BYE259" s="93"/>
      <c r="BYF259" s="93"/>
      <c r="BYG259" s="93"/>
      <c r="BYH259" s="93"/>
      <c r="BYI259" s="93"/>
      <c r="BYJ259" s="93"/>
      <c r="BYK259" s="93"/>
      <c r="BYL259" s="93"/>
      <c r="BYM259" s="93"/>
      <c r="BYN259" s="93"/>
      <c r="BYO259" s="93"/>
      <c r="BYP259" s="93"/>
      <c r="BYQ259" s="93"/>
      <c r="BYR259" s="93"/>
      <c r="BYS259" s="93"/>
      <c r="BYT259" s="93"/>
      <c r="BYU259" s="93"/>
      <c r="BYV259" s="93"/>
      <c r="BYW259" s="93"/>
      <c r="BYX259" s="93"/>
      <c r="BYY259" s="93"/>
      <c r="BYZ259" s="93"/>
      <c r="BZA259" s="93"/>
      <c r="BZB259" s="93"/>
      <c r="BZC259" s="93"/>
      <c r="BZD259" s="93"/>
      <c r="BZE259" s="93"/>
      <c r="BZF259" s="93"/>
      <c r="BZG259" s="93"/>
      <c r="BZH259" s="93"/>
      <c r="BZI259" s="93"/>
      <c r="BZJ259" s="93"/>
      <c r="BZK259" s="93"/>
      <c r="BZL259" s="93"/>
      <c r="BZM259" s="93"/>
      <c r="BZN259" s="93"/>
      <c r="BZO259" s="93"/>
      <c r="BZP259" s="93"/>
      <c r="BZQ259" s="93"/>
      <c r="BZR259" s="93"/>
      <c r="BZS259" s="93"/>
      <c r="BZT259" s="93"/>
      <c r="BZU259" s="93"/>
      <c r="BZV259" s="93"/>
      <c r="BZW259" s="93"/>
      <c r="BZX259" s="93"/>
      <c r="BZY259" s="93"/>
      <c r="BZZ259" s="93"/>
      <c r="CAA259" s="93"/>
      <c r="CAB259" s="93"/>
      <c r="CAC259" s="93"/>
      <c r="CAD259" s="93"/>
      <c r="CAE259" s="93"/>
      <c r="CAF259" s="93"/>
      <c r="CAG259" s="93"/>
      <c r="CAH259" s="93"/>
      <c r="CAI259" s="93"/>
      <c r="CAJ259" s="93"/>
      <c r="CAK259" s="93"/>
      <c r="CAL259" s="93"/>
      <c r="CAM259" s="93"/>
      <c r="CAN259" s="93"/>
      <c r="CAO259" s="93"/>
      <c r="CAP259" s="93"/>
      <c r="CAQ259" s="93"/>
      <c r="CAR259" s="93"/>
      <c r="CAS259" s="93"/>
      <c r="CAT259" s="93"/>
      <c r="CAU259" s="93"/>
      <c r="CAV259" s="93"/>
      <c r="CAW259" s="93"/>
      <c r="CAX259" s="93"/>
      <c r="CAY259" s="93"/>
      <c r="CAZ259" s="93"/>
      <c r="CBA259" s="93"/>
      <c r="CBB259" s="93"/>
      <c r="CBC259" s="93"/>
      <c r="CBD259" s="93"/>
      <c r="CBE259" s="93"/>
      <c r="CBF259" s="93"/>
      <c r="CBG259" s="93"/>
      <c r="CBH259" s="93"/>
      <c r="CBI259" s="93"/>
      <c r="CBJ259" s="93"/>
      <c r="CBK259" s="93"/>
      <c r="CBL259" s="93"/>
      <c r="CBM259" s="93"/>
      <c r="CBN259" s="93"/>
      <c r="CBO259" s="93"/>
      <c r="CBP259" s="93"/>
      <c r="CBQ259" s="93"/>
      <c r="CBR259" s="93"/>
      <c r="CBS259" s="93"/>
      <c r="CBT259" s="93"/>
      <c r="CBU259" s="93"/>
      <c r="CBV259" s="93"/>
      <c r="CBW259" s="93"/>
      <c r="CBX259" s="93"/>
      <c r="CBY259" s="93"/>
      <c r="CBZ259" s="93"/>
      <c r="CCA259" s="93"/>
      <c r="CCB259" s="93"/>
      <c r="CCC259" s="93"/>
      <c r="CCD259" s="93"/>
      <c r="CCE259" s="93"/>
      <c r="CCF259" s="93"/>
      <c r="CCG259" s="93"/>
      <c r="CCH259" s="93"/>
      <c r="CCI259" s="93"/>
      <c r="CCJ259" s="93"/>
      <c r="CCK259" s="93"/>
      <c r="CCL259" s="93"/>
      <c r="CCM259" s="93"/>
      <c r="CCN259" s="93"/>
      <c r="CCO259" s="93"/>
      <c r="CCP259" s="93"/>
      <c r="CCQ259" s="93"/>
      <c r="CCR259" s="93"/>
      <c r="CCS259" s="93"/>
      <c r="CCT259" s="93"/>
      <c r="CCU259" s="93"/>
      <c r="CCV259" s="93"/>
      <c r="CCW259" s="93"/>
      <c r="CCX259" s="93"/>
      <c r="CCY259" s="93"/>
      <c r="CCZ259" s="93"/>
      <c r="CDA259" s="93"/>
      <c r="CDB259" s="93"/>
      <c r="CDC259" s="93"/>
      <c r="CDD259" s="93"/>
      <c r="CDE259" s="93"/>
      <c r="CDF259" s="93"/>
      <c r="CDG259" s="93"/>
      <c r="CDH259" s="93"/>
      <c r="CDI259" s="93"/>
      <c r="CDJ259" s="93"/>
      <c r="CDK259" s="93"/>
      <c r="CDL259" s="93"/>
      <c r="CDM259" s="93"/>
      <c r="CDN259" s="93"/>
      <c r="CDO259" s="93"/>
      <c r="CDP259" s="93"/>
      <c r="CDQ259" s="93"/>
      <c r="CDR259" s="93"/>
      <c r="CDS259" s="93"/>
      <c r="CDT259" s="93"/>
      <c r="CDU259" s="93"/>
      <c r="CDV259" s="93"/>
      <c r="CDW259" s="93"/>
      <c r="CDX259" s="93"/>
      <c r="CDY259" s="93"/>
      <c r="CDZ259" s="93"/>
      <c r="CEA259" s="93"/>
      <c r="CEB259" s="93"/>
      <c r="CEC259" s="93"/>
      <c r="CED259" s="93"/>
      <c r="CEE259" s="93"/>
      <c r="CEF259" s="93"/>
      <c r="CEG259" s="93"/>
      <c r="CEH259" s="93"/>
      <c r="CEI259" s="93"/>
      <c r="CEJ259" s="93"/>
      <c r="CEK259" s="93"/>
      <c r="CEL259" s="93"/>
      <c r="CEM259" s="93"/>
      <c r="CEN259" s="93"/>
      <c r="CEO259" s="93"/>
      <c r="CEP259" s="93"/>
      <c r="CEQ259" s="93"/>
      <c r="CER259" s="93"/>
      <c r="CES259" s="93"/>
      <c r="CET259" s="93"/>
      <c r="CEU259" s="93"/>
      <c r="CEV259" s="93"/>
      <c r="CEW259" s="93"/>
      <c r="CEX259" s="93"/>
      <c r="CEY259" s="93"/>
      <c r="CEZ259" s="93"/>
      <c r="CFA259" s="93"/>
      <c r="CFB259" s="93"/>
      <c r="CFC259" s="93"/>
      <c r="CFD259" s="93"/>
      <c r="CFE259" s="93"/>
      <c r="CFF259" s="93"/>
      <c r="CFG259" s="93"/>
      <c r="CFH259" s="93"/>
      <c r="CFI259" s="93"/>
      <c r="CFJ259" s="93"/>
      <c r="CFK259" s="93"/>
      <c r="CFL259" s="93"/>
      <c r="CFM259" s="93"/>
      <c r="CFN259" s="93"/>
      <c r="CFO259" s="93"/>
      <c r="CFP259" s="93"/>
      <c r="CFQ259" s="93"/>
      <c r="CFR259" s="93"/>
      <c r="CFS259" s="93"/>
      <c r="CFT259" s="93"/>
      <c r="CFU259" s="93"/>
      <c r="CFV259" s="93"/>
      <c r="CFW259" s="93"/>
      <c r="CFX259" s="93"/>
      <c r="CFY259" s="93"/>
      <c r="CFZ259" s="93"/>
      <c r="CGA259" s="93"/>
      <c r="CGB259" s="93"/>
      <c r="CGC259" s="93"/>
      <c r="CGD259" s="93"/>
      <c r="CGE259" s="93"/>
      <c r="CGF259" s="93"/>
      <c r="CGG259" s="93"/>
      <c r="CGH259" s="93"/>
      <c r="CGI259" s="93"/>
      <c r="CGJ259" s="93"/>
      <c r="CGK259" s="93"/>
      <c r="CGL259" s="93"/>
      <c r="CGM259" s="93"/>
      <c r="CGN259" s="93"/>
      <c r="CGO259" s="93"/>
      <c r="CGP259" s="93"/>
      <c r="CGQ259" s="93"/>
      <c r="CGR259" s="93"/>
      <c r="CGS259" s="93"/>
      <c r="CGT259" s="93"/>
      <c r="CGU259" s="93"/>
      <c r="CGV259" s="93"/>
      <c r="CGW259" s="93"/>
      <c r="CGX259" s="93"/>
      <c r="CGY259" s="93"/>
      <c r="CGZ259" s="93"/>
      <c r="CHA259" s="93"/>
      <c r="CHB259" s="93"/>
      <c r="CHC259" s="93"/>
      <c r="CHD259" s="93"/>
      <c r="CHE259" s="93"/>
      <c r="CHF259" s="93"/>
      <c r="CHG259" s="93"/>
      <c r="CHH259" s="93"/>
      <c r="CHI259" s="93"/>
      <c r="CHJ259" s="93"/>
      <c r="CHK259" s="93"/>
      <c r="CHL259" s="93"/>
      <c r="CHM259" s="93"/>
      <c r="CHN259" s="93"/>
      <c r="CHO259" s="93"/>
      <c r="CHP259" s="93"/>
      <c r="CHQ259" s="93"/>
      <c r="CHR259" s="93"/>
      <c r="CHS259" s="93"/>
      <c r="CHT259" s="93"/>
      <c r="CHU259" s="93"/>
      <c r="CHV259" s="93"/>
      <c r="CHW259" s="93"/>
      <c r="CHX259" s="93"/>
      <c r="CHY259" s="93"/>
      <c r="CHZ259" s="93"/>
      <c r="CIA259" s="93"/>
      <c r="CIB259" s="93"/>
      <c r="CIC259" s="93"/>
      <c r="CID259" s="93"/>
      <c r="CIE259" s="93"/>
      <c r="CIF259" s="93"/>
      <c r="CIG259" s="93"/>
      <c r="CIH259" s="93"/>
      <c r="CII259" s="93"/>
      <c r="CIJ259" s="93"/>
      <c r="CIK259" s="93"/>
      <c r="CIL259" s="93"/>
      <c r="CIM259" s="93"/>
      <c r="CIN259" s="93"/>
      <c r="CIO259" s="93"/>
      <c r="CIP259" s="93"/>
      <c r="CIQ259" s="93"/>
      <c r="CIR259" s="93"/>
      <c r="CIS259" s="93"/>
      <c r="CIT259" s="93"/>
      <c r="CIU259" s="93"/>
      <c r="CIV259" s="93"/>
      <c r="CIW259" s="93"/>
      <c r="CIX259" s="93"/>
      <c r="CIY259" s="93"/>
      <c r="CIZ259" s="93"/>
      <c r="CJA259" s="93"/>
      <c r="CJB259" s="93"/>
      <c r="CJC259" s="93"/>
      <c r="CJD259" s="93"/>
      <c r="CJE259" s="93"/>
      <c r="CJF259" s="93"/>
      <c r="CJG259" s="93"/>
      <c r="CJH259" s="93"/>
      <c r="CJI259" s="93"/>
      <c r="CJJ259" s="93"/>
      <c r="CJK259" s="93"/>
      <c r="CJL259" s="93"/>
      <c r="CJM259" s="93"/>
      <c r="CJN259" s="93"/>
      <c r="CJO259" s="93"/>
      <c r="CJP259" s="93"/>
      <c r="CJQ259" s="93"/>
      <c r="CJR259" s="93"/>
      <c r="CJS259" s="93"/>
      <c r="CJT259" s="93"/>
      <c r="CJU259" s="93"/>
      <c r="CJV259" s="93"/>
      <c r="CJW259" s="93"/>
      <c r="CJX259" s="93"/>
      <c r="CJY259" s="93"/>
      <c r="CJZ259" s="93"/>
      <c r="CKA259" s="93"/>
      <c r="CKB259" s="93"/>
      <c r="CKC259" s="93"/>
      <c r="CKD259" s="93"/>
      <c r="CKE259" s="93"/>
      <c r="CKF259" s="93"/>
      <c r="CKG259" s="93"/>
      <c r="CKH259" s="93"/>
      <c r="CKI259" s="93"/>
      <c r="CKJ259" s="93"/>
      <c r="CKK259" s="93"/>
      <c r="CKL259" s="93"/>
      <c r="CKM259" s="93"/>
      <c r="CKN259" s="93"/>
      <c r="CKO259" s="93"/>
      <c r="CKP259" s="93"/>
      <c r="CKQ259" s="93"/>
      <c r="CKR259" s="93"/>
      <c r="CKS259" s="93"/>
      <c r="CKT259" s="93"/>
      <c r="CKU259" s="93"/>
      <c r="CKV259" s="93"/>
      <c r="CKW259" s="93"/>
      <c r="CKX259" s="93"/>
      <c r="CKY259" s="93"/>
      <c r="CKZ259" s="93"/>
      <c r="CLA259" s="93"/>
      <c r="CLB259" s="93"/>
      <c r="CLC259" s="93"/>
      <c r="CLD259" s="93"/>
      <c r="CLE259" s="93"/>
      <c r="CLF259" s="93"/>
      <c r="CLG259" s="93"/>
      <c r="CLH259" s="93"/>
      <c r="CLI259" s="93"/>
      <c r="CLJ259" s="93"/>
      <c r="CLK259" s="93"/>
      <c r="CLL259" s="93"/>
      <c r="CLM259" s="93"/>
      <c r="CLN259" s="93"/>
      <c r="CLO259" s="93"/>
      <c r="CLP259" s="93"/>
      <c r="CLQ259" s="93"/>
      <c r="CLR259" s="93"/>
      <c r="CLS259" s="93"/>
      <c r="CLT259" s="93"/>
      <c r="CLU259" s="93"/>
      <c r="CLV259" s="93"/>
      <c r="CLW259" s="93"/>
      <c r="CLX259" s="93"/>
      <c r="CLY259" s="93"/>
      <c r="CLZ259" s="93"/>
      <c r="CMA259" s="93"/>
      <c r="CMB259" s="93"/>
      <c r="CMC259" s="93"/>
      <c r="CMD259" s="93"/>
      <c r="CME259" s="93"/>
      <c r="CMF259" s="93"/>
      <c r="CMG259" s="93"/>
      <c r="CMH259" s="93"/>
      <c r="CMI259" s="93"/>
      <c r="CMJ259" s="93"/>
      <c r="CMK259" s="93"/>
      <c r="CML259" s="93"/>
      <c r="CMM259" s="93"/>
      <c r="CMN259" s="93"/>
      <c r="CMO259" s="93"/>
      <c r="CMP259" s="93"/>
      <c r="CMQ259" s="93"/>
      <c r="CMR259" s="93"/>
      <c r="CMS259" s="93"/>
      <c r="CMT259" s="93"/>
      <c r="CMU259" s="93"/>
      <c r="CMV259" s="93"/>
      <c r="CMW259" s="93"/>
      <c r="CMX259" s="93"/>
      <c r="CMY259" s="93"/>
      <c r="CMZ259" s="93"/>
      <c r="CNA259" s="93"/>
      <c r="CNB259" s="93"/>
      <c r="CNC259" s="93"/>
      <c r="CND259" s="93"/>
      <c r="CNE259" s="93"/>
      <c r="CNF259" s="93"/>
      <c r="CNG259" s="93"/>
      <c r="CNH259" s="93"/>
      <c r="CNI259" s="93"/>
      <c r="CNJ259" s="93"/>
      <c r="CNK259" s="93"/>
      <c r="CNL259" s="93"/>
      <c r="CNM259" s="93"/>
      <c r="CNN259" s="93"/>
      <c r="CNO259" s="93"/>
      <c r="CNP259" s="93"/>
      <c r="CNQ259" s="93"/>
      <c r="CNR259" s="93"/>
      <c r="CNS259" s="93"/>
      <c r="CNT259" s="93"/>
      <c r="CNU259" s="93"/>
      <c r="CNV259" s="93"/>
      <c r="CNW259" s="93"/>
      <c r="CNX259" s="93"/>
      <c r="CNY259" s="93"/>
      <c r="CNZ259" s="93"/>
      <c r="COA259" s="93"/>
      <c r="COB259" s="93"/>
      <c r="COC259" s="93"/>
      <c r="COD259" s="93"/>
      <c r="COE259" s="93"/>
      <c r="COF259" s="93"/>
      <c r="COG259" s="93"/>
      <c r="COH259" s="93"/>
      <c r="COI259" s="93"/>
      <c r="COJ259" s="93"/>
      <c r="COK259" s="93"/>
      <c r="COL259" s="93"/>
      <c r="COM259" s="93"/>
      <c r="CON259" s="93"/>
      <c r="COO259" s="93"/>
      <c r="COP259" s="93"/>
      <c r="COQ259" s="93"/>
      <c r="COR259" s="93"/>
      <c r="COS259" s="93"/>
      <c r="COT259" s="93"/>
      <c r="COU259" s="93"/>
      <c r="COV259" s="93"/>
      <c r="COW259" s="93"/>
      <c r="COX259" s="93"/>
      <c r="COY259" s="93"/>
      <c r="COZ259" s="93"/>
      <c r="CPA259" s="93"/>
      <c r="CPB259" s="93"/>
      <c r="CPC259" s="93"/>
      <c r="CPD259" s="93"/>
      <c r="CPE259" s="93"/>
      <c r="CPF259" s="93"/>
      <c r="CPG259" s="93"/>
      <c r="CPH259" s="93"/>
      <c r="CPI259" s="93"/>
      <c r="CPJ259" s="93"/>
      <c r="CPK259" s="93"/>
      <c r="CPL259" s="93"/>
      <c r="CPM259" s="93"/>
      <c r="CPN259" s="93"/>
      <c r="CPO259" s="93"/>
      <c r="CPP259" s="93"/>
      <c r="CPQ259" s="93"/>
      <c r="CPR259" s="93"/>
      <c r="CPS259" s="93"/>
      <c r="CPT259" s="93"/>
      <c r="CPU259" s="93"/>
      <c r="CPV259" s="93"/>
      <c r="CPW259" s="93"/>
      <c r="CPX259" s="93"/>
      <c r="CPY259" s="93"/>
      <c r="CPZ259" s="93"/>
      <c r="CQA259" s="93"/>
      <c r="CQB259" s="93"/>
      <c r="CQC259" s="93"/>
      <c r="CQD259" s="93"/>
      <c r="CQE259" s="93"/>
      <c r="CQF259" s="93"/>
      <c r="CQG259" s="93"/>
      <c r="CQH259" s="93"/>
      <c r="CQI259" s="93"/>
      <c r="CQJ259" s="93"/>
      <c r="CQK259" s="93"/>
      <c r="CQL259" s="93"/>
      <c r="CQM259" s="93"/>
      <c r="CQN259" s="93"/>
      <c r="CQO259" s="93"/>
      <c r="CQP259" s="93"/>
      <c r="CQQ259" s="93"/>
      <c r="CQR259" s="93"/>
      <c r="CQS259" s="93"/>
      <c r="CQT259" s="93"/>
      <c r="CQU259" s="93"/>
      <c r="CQV259" s="93"/>
      <c r="CQW259" s="93"/>
      <c r="CQX259" s="93"/>
      <c r="CQY259" s="93"/>
      <c r="CQZ259" s="93"/>
      <c r="CRA259" s="93"/>
      <c r="CRB259" s="93"/>
      <c r="CRC259" s="93"/>
      <c r="CRD259" s="93"/>
      <c r="CRE259" s="93"/>
      <c r="CRF259" s="93"/>
      <c r="CRG259" s="93"/>
      <c r="CRH259" s="93"/>
      <c r="CRI259" s="93"/>
      <c r="CRJ259" s="93"/>
      <c r="CRK259" s="93"/>
      <c r="CRL259" s="93"/>
      <c r="CRM259" s="93"/>
      <c r="CRN259" s="93"/>
      <c r="CRO259" s="93"/>
      <c r="CRP259" s="93"/>
      <c r="CRQ259" s="93"/>
      <c r="CRR259" s="93"/>
      <c r="CRS259" s="93"/>
      <c r="CRT259" s="93"/>
      <c r="CRU259" s="93"/>
      <c r="CRV259" s="93"/>
      <c r="CRW259" s="93"/>
      <c r="CRX259" s="93"/>
      <c r="CRY259" s="93"/>
      <c r="CRZ259" s="93"/>
      <c r="CSA259" s="93"/>
      <c r="CSB259" s="93"/>
      <c r="CSC259" s="93"/>
      <c r="CSD259" s="93"/>
      <c r="CSE259" s="93"/>
      <c r="CSF259" s="93"/>
      <c r="CSG259" s="93"/>
      <c r="CSH259" s="93"/>
      <c r="CSI259" s="93"/>
      <c r="CSJ259" s="93"/>
      <c r="CSK259" s="93"/>
      <c r="CSL259" s="93"/>
      <c r="CSM259" s="93"/>
      <c r="CSN259" s="93"/>
      <c r="CSO259" s="93"/>
      <c r="CSP259" s="93"/>
      <c r="CSQ259" s="93"/>
      <c r="CSR259" s="93"/>
      <c r="CSS259" s="93"/>
      <c r="CST259" s="93"/>
      <c r="CSU259" s="93"/>
      <c r="CSV259" s="93"/>
      <c r="CSW259" s="93"/>
      <c r="CSX259" s="93"/>
      <c r="CSY259" s="93"/>
      <c r="CSZ259" s="93"/>
      <c r="CTA259" s="93"/>
      <c r="CTB259" s="93"/>
      <c r="CTC259" s="93"/>
      <c r="CTD259" s="93"/>
      <c r="CTE259" s="93"/>
      <c r="CTF259" s="93"/>
      <c r="CTG259" s="93"/>
      <c r="CTH259" s="93"/>
      <c r="CTI259" s="93"/>
      <c r="CTJ259" s="93"/>
      <c r="CTK259" s="93"/>
      <c r="CTL259" s="93"/>
      <c r="CTM259" s="93"/>
      <c r="CTN259" s="93"/>
      <c r="CTO259" s="93"/>
      <c r="CTP259" s="93"/>
      <c r="CTQ259" s="93"/>
      <c r="CTR259" s="93"/>
      <c r="CTS259" s="93"/>
      <c r="CTT259" s="93"/>
      <c r="CTU259" s="93"/>
      <c r="CTV259" s="93"/>
      <c r="CTW259" s="93"/>
      <c r="CTX259" s="93"/>
      <c r="CTY259" s="93"/>
      <c r="CTZ259" s="93"/>
      <c r="CUA259" s="93"/>
      <c r="CUB259" s="93"/>
      <c r="CUC259" s="93"/>
      <c r="CUD259" s="93"/>
      <c r="CUE259" s="93"/>
      <c r="CUF259" s="93"/>
      <c r="CUG259" s="93"/>
      <c r="CUH259" s="93"/>
      <c r="CUI259" s="93"/>
      <c r="CUJ259" s="93"/>
      <c r="CUK259" s="93"/>
      <c r="CUL259" s="93"/>
      <c r="CUM259" s="93"/>
      <c r="CUN259" s="93"/>
      <c r="CUO259" s="93"/>
      <c r="CUP259" s="93"/>
      <c r="CUQ259" s="93"/>
      <c r="CUR259" s="93"/>
      <c r="CUS259" s="93"/>
      <c r="CUT259" s="93"/>
      <c r="CUU259" s="93"/>
      <c r="CUV259" s="93"/>
      <c r="CUW259" s="93"/>
      <c r="CUX259" s="93"/>
      <c r="CUY259" s="93"/>
      <c r="CUZ259" s="93"/>
      <c r="CVA259" s="93"/>
      <c r="CVB259" s="93"/>
      <c r="CVC259" s="93"/>
      <c r="CVD259" s="93"/>
      <c r="CVE259" s="93"/>
      <c r="CVF259" s="93"/>
      <c r="CVG259" s="93"/>
      <c r="CVH259" s="93"/>
      <c r="CVI259" s="93"/>
      <c r="CVJ259" s="93"/>
      <c r="CVK259" s="93"/>
      <c r="CVL259" s="93"/>
      <c r="CVM259" s="93"/>
      <c r="CVN259" s="93"/>
      <c r="CVO259" s="93"/>
      <c r="CVP259" s="93"/>
      <c r="CVQ259" s="93"/>
      <c r="CVR259" s="93"/>
      <c r="CVS259" s="93"/>
      <c r="CVT259" s="93"/>
      <c r="CVU259" s="93"/>
      <c r="CVV259" s="93"/>
      <c r="CVW259" s="93"/>
      <c r="CVX259" s="93"/>
      <c r="CVY259" s="93"/>
      <c r="CVZ259" s="93"/>
      <c r="CWA259" s="93"/>
      <c r="CWB259" s="93"/>
      <c r="CWC259" s="93"/>
      <c r="CWD259" s="93"/>
      <c r="CWE259" s="93"/>
      <c r="CWF259" s="93"/>
      <c r="CWG259" s="93"/>
      <c r="CWH259" s="93"/>
      <c r="CWI259" s="93"/>
      <c r="CWJ259" s="93"/>
      <c r="CWK259" s="93"/>
      <c r="CWL259" s="93"/>
      <c r="CWM259" s="93"/>
      <c r="CWN259" s="93"/>
      <c r="CWO259" s="93"/>
      <c r="CWP259" s="93"/>
      <c r="CWQ259" s="93"/>
      <c r="CWR259" s="93"/>
      <c r="CWS259" s="93"/>
      <c r="CWT259" s="93"/>
      <c r="CWU259" s="93"/>
      <c r="CWV259" s="93"/>
      <c r="CWW259" s="93"/>
      <c r="CWX259" s="93"/>
      <c r="CWY259" s="93"/>
      <c r="CWZ259" s="93"/>
      <c r="CXA259" s="93"/>
      <c r="CXB259" s="93"/>
      <c r="CXC259" s="93"/>
      <c r="CXD259" s="93"/>
      <c r="CXE259" s="93"/>
      <c r="CXF259" s="93"/>
      <c r="CXG259" s="93"/>
      <c r="CXH259" s="93"/>
      <c r="CXI259" s="93"/>
      <c r="CXJ259" s="93"/>
      <c r="CXK259" s="93"/>
      <c r="CXL259" s="93"/>
      <c r="CXM259" s="93"/>
      <c r="CXN259" s="93"/>
      <c r="CXO259" s="93"/>
      <c r="CXP259" s="93"/>
      <c r="CXQ259" s="93"/>
      <c r="CXR259" s="93"/>
      <c r="CXS259" s="93"/>
      <c r="CXT259" s="93"/>
      <c r="CXU259" s="93"/>
      <c r="CXV259" s="93"/>
      <c r="CXW259" s="93"/>
      <c r="CXX259" s="93"/>
      <c r="CXY259" s="93"/>
      <c r="CXZ259" s="93"/>
      <c r="CYA259" s="93"/>
      <c r="CYB259" s="93"/>
      <c r="CYC259" s="93"/>
      <c r="CYD259" s="93"/>
      <c r="CYE259" s="93"/>
      <c r="CYF259" s="93"/>
      <c r="CYG259" s="93"/>
      <c r="CYH259" s="93"/>
      <c r="CYI259" s="93"/>
      <c r="CYJ259" s="93"/>
      <c r="CYK259" s="93"/>
      <c r="CYL259" s="93"/>
      <c r="CYM259" s="93"/>
      <c r="CYN259" s="93"/>
      <c r="CYO259" s="93"/>
      <c r="CYP259" s="93"/>
      <c r="CYQ259" s="93"/>
      <c r="CYR259" s="93"/>
      <c r="CYS259" s="93"/>
      <c r="CYT259" s="93"/>
      <c r="CYU259" s="93"/>
      <c r="CYV259" s="93"/>
      <c r="CYW259" s="93"/>
      <c r="CYX259" s="93"/>
      <c r="CYY259" s="93"/>
      <c r="CYZ259" s="93"/>
      <c r="CZA259" s="93"/>
      <c r="CZB259" s="93"/>
      <c r="CZC259" s="93"/>
      <c r="CZD259" s="93"/>
      <c r="CZE259" s="93"/>
      <c r="CZF259" s="93"/>
      <c r="CZG259" s="93"/>
      <c r="CZH259" s="93"/>
      <c r="CZI259" s="93"/>
      <c r="CZJ259" s="93"/>
      <c r="CZK259" s="93"/>
      <c r="CZL259" s="93"/>
      <c r="CZM259" s="93"/>
      <c r="CZN259" s="93"/>
      <c r="CZO259" s="93"/>
      <c r="CZP259" s="93"/>
      <c r="CZQ259" s="93"/>
      <c r="CZR259" s="93"/>
      <c r="CZS259" s="93"/>
      <c r="CZT259" s="93"/>
      <c r="CZU259" s="93"/>
      <c r="CZV259" s="93"/>
      <c r="CZW259" s="93"/>
      <c r="CZX259" s="93"/>
      <c r="CZY259" s="93"/>
      <c r="CZZ259" s="93"/>
      <c r="DAA259" s="93"/>
      <c r="DAB259" s="93"/>
      <c r="DAC259" s="93"/>
      <c r="DAD259" s="93"/>
      <c r="DAE259" s="93"/>
      <c r="DAF259" s="93"/>
      <c r="DAG259" s="93"/>
      <c r="DAH259" s="93"/>
      <c r="DAI259" s="93"/>
      <c r="DAJ259" s="93"/>
      <c r="DAK259" s="93"/>
      <c r="DAL259" s="93"/>
      <c r="DAM259" s="93"/>
      <c r="DAN259" s="93"/>
      <c r="DAO259" s="93"/>
      <c r="DAP259" s="93"/>
      <c r="DAQ259" s="93"/>
      <c r="DAR259" s="93"/>
      <c r="DAS259" s="93"/>
      <c r="DAT259" s="93"/>
      <c r="DAU259" s="93"/>
      <c r="DAV259" s="93"/>
      <c r="DAW259" s="93"/>
      <c r="DAX259" s="93"/>
      <c r="DAY259" s="93"/>
      <c r="DAZ259" s="93"/>
      <c r="DBA259" s="93"/>
      <c r="DBB259" s="93"/>
      <c r="DBC259" s="93"/>
      <c r="DBD259" s="93"/>
      <c r="DBE259" s="93"/>
      <c r="DBF259" s="93"/>
      <c r="DBG259" s="93"/>
      <c r="DBH259" s="93"/>
      <c r="DBI259" s="93"/>
      <c r="DBJ259" s="93"/>
      <c r="DBK259" s="93"/>
      <c r="DBL259" s="93"/>
      <c r="DBM259" s="93"/>
      <c r="DBN259" s="93"/>
      <c r="DBO259" s="93"/>
      <c r="DBP259" s="93"/>
      <c r="DBQ259" s="93"/>
      <c r="DBR259" s="93"/>
      <c r="DBS259" s="93"/>
      <c r="DBT259" s="93"/>
      <c r="DBU259" s="93"/>
      <c r="DBV259" s="93"/>
      <c r="DBW259" s="93"/>
      <c r="DBX259" s="93"/>
      <c r="DBY259" s="93"/>
      <c r="DBZ259" s="93"/>
      <c r="DCA259" s="93"/>
      <c r="DCB259" s="93"/>
      <c r="DCC259" s="93"/>
      <c r="DCD259" s="93"/>
      <c r="DCE259" s="93"/>
      <c r="DCF259" s="93"/>
      <c r="DCG259" s="93"/>
      <c r="DCH259" s="93"/>
      <c r="DCI259" s="93"/>
      <c r="DCJ259" s="93"/>
      <c r="DCK259" s="93"/>
      <c r="DCL259" s="93"/>
      <c r="DCM259" s="93"/>
      <c r="DCN259" s="93"/>
      <c r="DCO259" s="93"/>
      <c r="DCP259" s="93"/>
      <c r="DCQ259" s="93"/>
      <c r="DCR259" s="93"/>
      <c r="DCS259" s="93"/>
      <c r="DCT259" s="93"/>
      <c r="DCU259" s="93"/>
      <c r="DCV259" s="93"/>
      <c r="DCW259" s="93"/>
      <c r="DCX259" s="93"/>
      <c r="DCY259" s="93"/>
      <c r="DCZ259" s="93"/>
      <c r="DDA259" s="93"/>
      <c r="DDB259" s="93"/>
      <c r="DDC259" s="93"/>
      <c r="DDD259" s="93"/>
      <c r="DDE259" s="93"/>
      <c r="DDF259" s="93"/>
      <c r="DDG259" s="93"/>
      <c r="DDH259" s="93"/>
      <c r="DDI259" s="93"/>
      <c r="DDJ259" s="93"/>
      <c r="DDK259" s="93"/>
      <c r="DDL259" s="93"/>
      <c r="DDM259" s="93"/>
      <c r="DDN259" s="93"/>
      <c r="DDO259" s="93"/>
      <c r="DDP259" s="93"/>
      <c r="DDQ259" s="93"/>
      <c r="DDR259" s="93"/>
      <c r="DDS259" s="93"/>
      <c r="DDT259" s="93"/>
      <c r="DDU259" s="93"/>
      <c r="DDV259" s="93"/>
      <c r="DDW259" s="93"/>
      <c r="DDX259" s="93"/>
      <c r="DDY259" s="93"/>
      <c r="DDZ259" s="93"/>
      <c r="DEA259" s="93"/>
      <c r="DEB259" s="93"/>
      <c r="DEC259" s="93"/>
      <c r="DED259" s="93"/>
      <c r="DEE259" s="93"/>
      <c r="DEF259" s="93"/>
      <c r="DEG259" s="93"/>
      <c r="DEH259" s="93"/>
      <c r="DEI259" s="93"/>
      <c r="DEJ259" s="93"/>
      <c r="DEK259" s="93"/>
      <c r="DEL259" s="93"/>
      <c r="DEM259" s="93"/>
      <c r="DEN259" s="93"/>
      <c r="DEO259" s="93"/>
      <c r="DEP259" s="93"/>
      <c r="DEQ259" s="93"/>
      <c r="DER259" s="93"/>
      <c r="DES259" s="93"/>
      <c r="DET259" s="93"/>
      <c r="DEU259" s="93"/>
      <c r="DEV259" s="93"/>
      <c r="DEW259" s="93"/>
      <c r="DEX259" s="93"/>
      <c r="DEY259" s="93"/>
      <c r="DEZ259" s="93"/>
      <c r="DFA259" s="93"/>
      <c r="DFB259" s="93"/>
      <c r="DFC259" s="93"/>
      <c r="DFD259" s="93"/>
      <c r="DFE259" s="93"/>
      <c r="DFF259" s="93"/>
      <c r="DFG259" s="93"/>
      <c r="DFH259" s="93"/>
      <c r="DFI259" s="93"/>
      <c r="DFJ259" s="93"/>
      <c r="DFK259" s="93"/>
      <c r="DFL259" s="93"/>
      <c r="DFM259" s="93"/>
      <c r="DFN259" s="93"/>
      <c r="DFO259" s="93"/>
      <c r="DFP259" s="93"/>
      <c r="DFQ259" s="93"/>
      <c r="DFR259" s="93"/>
      <c r="DFS259" s="93"/>
      <c r="DFT259" s="93"/>
      <c r="DFU259" s="93"/>
      <c r="DFV259" s="93"/>
      <c r="DFW259" s="93"/>
      <c r="DFX259" s="93"/>
      <c r="DFY259" s="93"/>
      <c r="DFZ259" s="93"/>
      <c r="DGA259" s="93"/>
      <c r="DGB259" s="93"/>
      <c r="DGC259" s="93"/>
      <c r="DGD259" s="93"/>
      <c r="DGE259" s="93"/>
      <c r="DGF259" s="93"/>
      <c r="DGG259" s="93"/>
      <c r="DGH259" s="93"/>
      <c r="DGI259" s="93"/>
      <c r="DGJ259" s="93"/>
      <c r="DGK259" s="93"/>
      <c r="DGL259" s="93"/>
      <c r="DGM259" s="93"/>
      <c r="DGN259" s="93"/>
      <c r="DGO259" s="93"/>
      <c r="DGP259" s="93"/>
      <c r="DGQ259" s="93"/>
      <c r="DGR259" s="93"/>
      <c r="DGS259" s="93"/>
      <c r="DGT259" s="93"/>
      <c r="DGU259" s="93"/>
      <c r="DGV259" s="93"/>
      <c r="DGW259" s="93"/>
      <c r="DGX259" s="93"/>
      <c r="DGY259" s="93"/>
      <c r="DGZ259" s="93"/>
      <c r="DHA259" s="93"/>
      <c r="DHB259" s="93"/>
      <c r="DHC259" s="93"/>
      <c r="DHD259" s="93"/>
      <c r="DHE259" s="93"/>
      <c r="DHF259" s="93"/>
      <c r="DHG259" s="93"/>
      <c r="DHH259" s="93"/>
      <c r="DHI259" s="93"/>
      <c r="DHJ259" s="93"/>
      <c r="DHK259" s="93"/>
      <c r="DHL259" s="93"/>
      <c r="DHM259" s="93"/>
      <c r="DHN259" s="93"/>
      <c r="DHO259" s="93"/>
      <c r="DHP259" s="93"/>
      <c r="DHQ259" s="93"/>
      <c r="DHR259" s="93"/>
      <c r="DHS259" s="93"/>
      <c r="DHT259" s="93"/>
      <c r="DHU259" s="93"/>
      <c r="DHV259" s="93"/>
      <c r="DHW259" s="93"/>
      <c r="DHX259" s="93"/>
      <c r="DHY259" s="93"/>
      <c r="DHZ259" s="93"/>
      <c r="DIA259" s="93"/>
      <c r="DIB259" s="93"/>
      <c r="DIC259" s="93"/>
      <c r="DID259" s="93"/>
      <c r="DIE259" s="93"/>
      <c r="DIF259" s="93"/>
      <c r="DIG259" s="93"/>
      <c r="DIH259" s="93"/>
      <c r="DII259" s="93"/>
      <c r="DIJ259" s="93"/>
      <c r="DIK259" s="93"/>
      <c r="DIL259" s="93"/>
      <c r="DIM259" s="93"/>
      <c r="DIN259" s="93"/>
      <c r="DIO259" s="93"/>
      <c r="DIP259" s="93"/>
      <c r="DIQ259" s="93"/>
      <c r="DIR259" s="93"/>
      <c r="DIS259" s="93"/>
      <c r="DIT259" s="93"/>
      <c r="DIU259" s="93"/>
      <c r="DIV259" s="93"/>
      <c r="DIW259" s="93"/>
      <c r="DIX259" s="93"/>
      <c r="DIY259" s="93"/>
      <c r="DIZ259" s="93"/>
      <c r="DJA259" s="93"/>
      <c r="DJB259" s="93"/>
      <c r="DJC259" s="93"/>
      <c r="DJD259" s="93"/>
      <c r="DJE259" s="93"/>
      <c r="DJF259" s="93"/>
      <c r="DJG259" s="93"/>
      <c r="DJH259" s="93"/>
      <c r="DJI259" s="93"/>
      <c r="DJJ259" s="93"/>
      <c r="DJK259" s="93"/>
      <c r="DJL259" s="93"/>
      <c r="DJM259" s="93"/>
      <c r="DJN259" s="93"/>
      <c r="DJO259" s="93"/>
      <c r="DJP259" s="93"/>
      <c r="DJQ259" s="93"/>
      <c r="DJR259" s="93"/>
      <c r="DJS259" s="93"/>
      <c r="DJT259" s="93"/>
      <c r="DJU259" s="93"/>
      <c r="DJV259" s="93"/>
      <c r="DJW259" s="93"/>
      <c r="DJX259" s="93"/>
      <c r="DJY259" s="93"/>
      <c r="DJZ259" s="93"/>
      <c r="DKA259" s="93"/>
      <c r="DKB259" s="93"/>
      <c r="DKC259" s="93"/>
      <c r="DKD259" s="93"/>
      <c r="DKE259" s="93"/>
      <c r="DKF259" s="93"/>
      <c r="DKG259" s="93"/>
      <c r="DKH259" s="93"/>
      <c r="DKI259" s="93"/>
      <c r="DKJ259" s="93"/>
      <c r="DKK259" s="93"/>
      <c r="DKL259" s="93"/>
      <c r="DKM259" s="93"/>
      <c r="DKN259" s="93"/>
      <c r="DKO259" s="93"/>
      <c r="DKP259" s="93"/>
      <c r="DKQ259" s="93"/>
      <c r="DKR259" s="93"/>
      <c r="DKS259" s="93"/>
      <c r="DKT259" s="93"/>
      <c r="DKU259" s="93"/>
      <c r="DKV259" s="93"/>
      <c r="DKW259" s="93"/>
      <c r="DKX259" s="93"/>
      <c r="DKY259" s="93"/>
      <c r="DKZ259" s="93"/>
      <c r="DLA259" s="93"/>
      <c r="DLB259" s="93"/>
      <c r="DLC259" s="93"/>
      <c r="DLD259" s="93"/>
      <c r="DLE259" s="93"/>
      <c r="DLF259" s="93"/>
      <c r="DLG259" s="93"/>
      <c r="DLH259" s="93"/>
      <c r="DLI259" s="93"/>
      <c r="DLJ259" s="93"/>
      <c r="DLK259" s="93"/>
      <c r="DLL259" s="93"/>
      <c r="DLM259" s="93"/>
      <c r="DLN259" s="93"/>
      <c r="DLO259" s="93"/>
      <c r="DLP259" s="93"/>
      <c r="DLQ259" s="93"/>
      <c r="DLR259" s="93"/>
      <c r="DLS259" s="93"/>
      <c r="DLT259" s="93"/>
      <c r="DLU259" s="93"/>
      <c r="DLV259" s="93"/>
      <c r="DLW259" s="93"/>
      <c r="DLX259" s="93"/>
      <c r="DLY259" s="93"/>
      <c r="DLZ259" s="93"/>
      <c r="DMA259" s="93"/>
      <c r="DMB259" s="93"/>
      <c r="DMC259" s="93"/>
      <c r="DMD259" s="93"/>
      <c r="DME259" s="93"/>
      <c r="DMF259" s="93"/>
      <c r="DMG259" s="93"/>
      <c r="DMH259" s="93"/>
      <c r="DMI259" s="93"/>
      <c r="DMJ259" s="93"/>
      <c r="DMK259" s="93"/>
      <c r="DML259" s="93"/>
      <c r="DMM259" s="93"/>
      <c r="DMN259" s="93"/>
      <c r="DMO259" s="93"/>
      <c r="DMP259" s="93"/>
      <c r="DMQ259" s="93"/>
      <c r="DMR259" s="93"/>
      <c r="DMS259" s="93"/>
      <c r="DMT259" s="93"/>
      <c r="DMU259" s="93"/>
      <c r="DMV259" s="93"/>
      <c r="DMW259" s="93"/>
      <c r="DMX259" s="93"/>
      <c r="DMY259" s="93"/>
      <c r="DMZ259" s="93"/>
      <c r="DNA259" s="93"/>
      <c r="DNB259" s="93"/>
      <c r="DNC259" s="93"/>
      <c r="DND259" s="93"/>
      <c r="DNE259" s="93"/>
      <c r="DNF259" s="93"/>
      <c r="DNG259" s="93"/>
      <c r="DNH259" s="93"/>
      <c r="DNI259" s="93"/>
      <c r="DNJ259" s="93"/>
      <c r="DNK259" s="93"/>
      <c r="DNL259" s="93"/>
      <c r="DNM259" s="93"/>
      <c r="DNN259" s="93"/>
      <c r="DNO259" s="93"/>
      <c r="DNP259" s="93"/>
      <c r="DNQ259" s="93"/>
      <c r="DNR259" s="93"/>
      <c r="DNS259" s="93"/>
      <c r="DNT259" s="93"/>
      <c r="DNU259" s="93"/>
      <c r="DNV259" s="93"/>
      <c r="DNW259" s="93"/>
      <c r="DNX259" s="93"/>
      <c r="DNY259" s="93"/>
      <c r="DNZ259" s="93"/>
      <c r="DOA259" s="93"/>
      <c r="DOB259" s="93"/>
      <c r="DOC259" s="93"/>
      <c r="DOD259" s="93"/>
      <c r="DOE259" s="93"/>
      <c r="DOF259" s="93"/>
      <c r="DOG259" s="93"/>
      <c r="DOH259" s="93"/>
      <c r="DOI259" s="93"/>
      <c r="DOJ259" s="93"/>
      <c r="DOK259" s="93"/>
      <c r="DOL259" s="93"/>
      <c r="DOM259" s="93"/>
      <c r="DON259" s="93"/>
      <c r="DOO259" s="93"/>
      <c r="DOP259" s="93"/>
      <c r="DOQ259" s="93"/>
      <c r="DOR259" s="93"/>
      <c r="DOS259" s="93"/>
      <c r="DOT259" s="93"/>
      <c r="DOU259" s="93"/>
      <c r="DOV259" s="93"/>
      <c r="DOW259" s="93"/>
      <c r="DOX259" s="93"/>
      <c r="DOY259" s="93"/>
      <c r="DOZ259" s="93"/>
      <c r="DPA259" s="93"/>
      <c r="DPB259" s="93"/>
      <c r="DPC259" s="93"/>
      <c r="DPD259" s="93"/>
      <c r="DPE259" s="93"/>
      <c r="DPF259" s="93"/>
      <c r="DPG259" s="93"/>
      <c r="DPH259" s="93"/>
      <c r="DPI259" s="93"/>
      <c r="DPJ259" s="93"/>
      <c r="DPK259" s="93"/>
      <c r="DPL259" s="93"/>
      <c r="DPM259" s="93"/>
      <c r="DPN259" s="93"/>
      <c r="DPO259" s="93"/>
      <c r="DPP259" s="93"/>
      <c r="DPQ259" s="93"/>
      <c r="DPR259" s="93"/>
      <c r="DPS259" s="93"/>
      <c r="DPT259" s="93"/>
      <c r="DPU259" s="93"/>
      <c r="DPV259" s="93"/>
      <c r="DPW259" s="93"/>
      <c r="DPX259" s="93"/>
      <c r="DPY259" s="93"/>
      <c r="DPZ259" s="93"/>
      <c r="DQA259" s="93"/>
      <c r="DQB259" s="93"/>
      <c r="DQC259" s="93"/>
      <c r="DQD259" s="93"/>
      <c r="DQE259" s="93"/>
      <c r="DQF259" s="93"/>
      <c r="DQG259" s="93"/>
      <c r="DQH259" s="93"/>
      <c r="DQI259" s="93"/>
      <c r="DQJ259" s="93"/>
      <c r="DQK259" s="93"/>
      <c r="DQL259" s="93"/>
      <c r="DQM259" s="93"/>
      <c r="DQN259" s="93"/>
      <c r="DQO259" s="93"/>
      <c r="DQP259" s="93"/>
      <c r="DQQ259" s="93"/>
      <c r="DQR259" s="93"/>
      <c r="DQS259" s="93"/>
      <c r="DQT259" s="93"/>
      <c r="DQU259" s="93"/>
      <c r="DQV259" s="93"/>
      <c r="DQW259" s="93"/>
      <c r="DQX259" s="93"/>
      <c r="DQY259" s="93"/>
      <c r="DQZ259" s="93"/>
      <c r="DRA259" s="93"/>
      <c r="DRB259" s="93"/>
      <c r="DRC259" s="93"/>
      <c r="DRD259" s="93"/>
      <c r="DRE259" s="93"/>
      <c r="DRF259" s="93"/>
      <c r="DRG259" s="93"/>
      <c r="DRH259" s="93"/>
      <c r="DRI259" s="93"/>
      <c r="DRJ259" s="93"/>
      <c r="DRK259" s="93"/>
      <c r="DRL259" s="93"/>
      <c r="DRM259" s="93"/>
      <c r="DRN259" s="93"/>
      <c r="DRO259" s="93"/>
      <c r="DRP259" s="93"/>
      <c r="DRQ259" s="93"/>
      <c r="DRR259" s="93"/>
      <c r="DRS259" s="93"/>
      <c r="DRT259" s="93"/>
      <c r="DRU259" s="93"/>
      <c r="DRV259" s="93"/>
      <c r="DRW259" s="93"/>
      <c r="DRX259" s="93"/>
      <c r="DRY259" s="93"/>
      <c r="DRZ259" s="93"/>
      <c r="DSA259" s="93"/>
      <c r="DSB259" s="93"/>
      <c r="DSC259" s="93"/>
      <c r="DSD259" s="93"/>
      <c r="DSE259" s="93"/>
      <c r="DSF259" s="93"/>
      <c r="DSG259" s="93"/>
      <c r="DSH259" s="93"/>
      <c r="DSI259" s="93"/>
      <c r="DSJ259" s="93"/>
      <c r="DSK259" s="93"/>
      <c r="DSL259" s="93"/>
      <c r="DSM259" s="93"/>
      <c r="DSN259" s="93"/>
      <c r="DSO259" s="93"/>
      <c r="DSP259" s="93"/>
      <c r="DSQ259" s="93"/>
      <c r="DSR259" s="93"/>
      <c r="DSS259" s="93"/>
      <c r="DST259" s="93"/>
      <c r="DSU259" s="93"/>
      <c r="DSV259" s="93"/>
      <c r="DSW259" s="93"/>
      <c r="DSX259" s="93"/>
      <c r="DSY259" s="93"/>
      <c r="DSZ259" s="93"/>
      <c r="DTA259" s="93"/>
      <c r="DTB259" s="93"/>
      <c r="DTC259" s="93"/>
      <c r="DTD259" s="93"/>
      <c r="DTE259" s="93"/>
      <c r="DTF259" s="93"/>
      <c r="DTG259" s="93"/>
      <c r="DTH259" s="93"/>
      <c r="DTI259" s="93"/>
      <c r="DTJ259" s="93"/>
      <c r="DTK259" s="93"/>
      <c r="DTL259" s="93"/>
      <c r="DTM259" s="93"/>
      <c r="DTN259" s="93"/>
      <c r="DTO259" s="93"/>
      <c r="DTP259" s="93"/>
      <c r="DTQ259" s="93"/>
      <c r="DTR259" s="93"/>
      <c r="DTS259" s="93"/>
      <c r="DTT259" s="93"/>
      <c r="DTU259" s="93"/>
      <c r="DTV259" s="93"/>
      <c r="DTW259" s="93"/>
      <c r="DTX259" s="93"/>
      <c r="DTY259" s="93"/>
      <c r="DTZ259" s="93"/>
      <c r="DUA259" s="93"/>
      <c r="DUB259" s="93"/>
      <c r="DUC259" s="93"/>
      <c r="DUD259" s="93"/>
      <c r="DUE259" s="93"/>
      <c r="DUF259" s="93"/>
      <c r="DUG259" s="93"/>
      <c r="DUH259" s="93"/>
      <c r="DUI259" s="93"/>
      <c r="DUJ259" s="93"/>
      <c r="DUK259" s="93"/>
      <c r="DUL259" s="93"/>
      <c r="DUM259" s="93"/>
      <c r="DUN259" s="93"/>
      <c r="DUO259" s="93"/>
      <c r="DUP259" s="93"/>
      <c r="DUQ259" s="93"/>
      <c r="DUR259" s="93"/>
      <c r="DUS259" s="93"/>
      <c r="DUT259" s="93"/>
      <c r="DUU259" s="93"/>
      <c r="DUV259" s="93"/>
      <c r="DUW259" s="93"/>
      <c r="DUX259" s="93"/>
      <c r="DUY259" s="93"/>
      <c r="DUZ259" s="93"/>
      <c r="DVA259" s="93"/>
      <c r="DVB259" s="93"/>
      <c r="DVC259" s="93"/>
      <c r="DVD259" s="93"/>
      <c r="DVE259" s="93"/>
      <c r="DVF259" s="93"/>
      <c r="DVG259" s="93"/>
      <c r="DVH259" s="93"/>
      <c r="DVI259" s="93"/>
      <c r="DVJ259" s="93"/>
      <c r="DVK259" s="93"/>
      <c r="DVL259" s="93"/>
      <c r="DVM259" s="93"/>
      <c r="DVN259" s="93"/>
      <c r="DVO259" s="93"/>
      <c r="DVP259" s="93"/>
      <c r="DVQ259" s="93"/>
      <c r="DVR259" s="93"/>
      <c r="DVS259" s="93"/>
      <c r="DVT259" s="93"/>
      <c r="DVU259" s="93"/>
      <c r="DVV259" s="93"/>
      <c r="DVW259" s="93"/>
      <c r="DVX259" s="93"/>
      <c r="DVY259" s="93"/>
      <c r="DVZ259" s="93"/>
      <c r="DWA259" s="93"/>
      <c r="DWB259" s="93"/>
      <c r="DWC259" s="93"/>
      <c r="DWD259" s="93"/>
      <c r="DWE259" s="93"/>
      <c r="DWF259" s="93"/>
      <c r="DWG259" s="93"/>
      <c r="DWH259" s="93"/>
      <c r="DWI259" s="93"/>
      <c r="DWJ259" s="93"/>
      <c r="DWK259" s="93"/>
      <c r="DWL259" s="93"/>
      <c r="DWM259" s="93"/>
      <c r="DWN259" s="93"/>
      <c r="DWO259" s="93"/>
      <c r="DWP259" s="93"/>
      <c r="DWQ259" s="93"/>
      <c r="DWR259" s="93"/>
      <c r="DWS259" s="93"/>
      <c r="DWT259" s="93"/>
      <c r="DWU259" s="93"/>
      <c r="DWV259" s="93"/>
      <c r="DWW259" s="93"/>
      <c r="DWX259" s="93"/>
      <c r="DWY259" s="93"/>
      <c r="DWZ259" s="93"/>
      <c r="DXA259" s="93"/>
      <c r="DXB259" s="93"/>
      <c r="DXC259" s="93"/>
      <c r="DXD259" s="93"/>
      <c r="DXE259" s="93"/>
      <c r="DXF259" s="93"/>
      <c r="DXG259" s="93"/>
      <c r="DXH259" s="93"/>
      <c r="DXI259" s="93"/>
      <c r="DXJ259" s="93"/>
      <c r="DXK259" s="93"/>
      <c r="DXL259" s="93"/>
      <c r="DXM259" s="93"/>
      <c r="DXN259" s="93"/>
      <c r="DXO259" s="93"/>
      <c r="DXP259" s="93"/>
      <c r="DXQ259" s="93"/>
      <c r="DXR259" s="93"/>
      <c r="DXS259" s="93"/>
      <c r="DXT259" s="93"/>
      <c r="DXU259" s="93"/>
      <c r="DXV259" s="93"/>
      <c r="DXW259" s="93"/>
      <c r="DXX259" s="93"/>
      <c r="DXY259" s="93"/>
      <c r="DXZ259" s="93"/>
      <c r="DYA259" s="93"/>
      <c r="DYB259" s="93"/>
      <c r="DYC259" s="93"/>
      <c r="DYD259" s="93"/>
      <c r="DYE259" s="93"/>
      <c r="DYF259" s="93"/>
      <c r="DYG259" s="93"/>
      <c r="DYH259" s="93"/>
      <c r="DYI259" s="93"/>
      <c r="DYJ259" s="93"/>
      <c r="DYK259" s="93"/>
      <c r="DYL259" s="93"/>
      <c r="DYM259" s="93"/>
      <c r="DYN259" s="93"/>
      <c r="DYO259" s="93"/>
      <c r="DYP259" s="93"/>
      <c r="DYQ259" s="93"/>
      <c r="DYR259" s="93"/>
      <c r="DYS259" s="93"/>
      <c r="DYT259" s="93"/>
      <c r="DYU259" s="93"/>
      <c r="DYV259" s="93"/>
      <c r="DYW259" s="93"/>
      <c r="DYX259" s="93"/>
      <c r="DYY259" s="93"/>
      <c r="DYZ259" s="93"/>
      <c r="DZA259" s="93"/>
      <c r="DZB259" s="93"/>
      <c r="DZC259" s="93"/>
      <c r="DZD259" s="93"/>
      <c r="DZE259" s="93"/>
      <c r="DZF259" s="93"/>
      <c r="DZG259" s="93"/>
      <c r="DZH259" s="93"/>
      <c r="DZI259" s="93"/>
      <c r="DZJ259" s="93"/>
      <c r="DZK259" s="93"/>
      <c r="DZL259" s="93"/>
      <c r="DZM259" s="93"/>
      <c r="DZN259" s="93"/>
      <c r="DZO259" s="93"/>
      <c r="DZP259" s="93"/>
      <c r="DZQ259" s="93"/>
      <c r="DZR259" s="93"/>
      <c r="DZS259" s="93"/>
      <c r="DZT259" s="93"/>
      <c r="DZU259" s="93"/>
      <c r="DZV259" s="93"/>
      <c r="DZW259" s="93"/>
      <c r="DZX259" s="93"/>
      <c r="DZY259" s="93"/>
      <c r="DZZ259" s="93"/>
      <c r="EAA259" s="93"/>
      <c r="EAB259" s="93"/>
      <c r="EAC259" s="93"/>
      <c r="EAD259" s="93"/>
      <c r="EAE259" s="93"/>
      <c r="EAF259" s="93"/>
      <c r="EAG259" s="93"/>
      <c r="EAH259" s="93"/>
      <c r="EAI259" s="93"/>
      <c r="EAJ259" s="93"/>
      <c r="EAK259" s="93"/>
      <c r="EAL259" s="93"/>
      <c r="EAM259" s="93"/>
      <c r="EAN259" s="93"/>
      <c r="EAO259" s="93"/>
      <c r="EAP259" s="93"/>
      <c r="EAQ259" s="93"/>
      <c r="EAR259" s="93"/>
      <c r="EAS259" s="93"/>
      <c r="EAT259" s="93"/>
      <c r="EAU259" s="93"/>
      <c r="EAV259" s="93"/>
      <c r="EAW259" s="93"/>
      <c r="EAX259" s="93"/>
      <c r="EAY259" s="93"/>
      <c r="EAZ259" s="93"/>
      <c r="EBA259" s="93"/>
      <c r="EBB259" s="93"/>
      <c r="EBC259" s="93"/>
      <c r="EBD259" s="93"/>
      <c r="EBE259" s="93"/>
      <c r="EBF259" s="93"/>
      <c r="EBG259" s="93"/>
      <c r="EBH259" s="93"/>
      <c r="EBI259" s="93"/>
      <c r="EBJ259" s="93"/>
      <c r="EBK259" s="93"/>
      <c r="EBL259" s="93"/>
      <c r="EBM259" s="93"/>
      <c r="EBN259" s="93"/>
      <c r="EBO259" s="93"/>
      <c r="EBP259" s="93"/>
      <c r="EBQ259" s="93"/>
      <c r="EBR259" s="93"/>
      <c r="EBS259" s="93"/>
      <c r="EBT259" s="93"/>
      <c r="EBU259" s="93"/>
      <c r="EBV259" s="93"/>
      <c r="EBW259" s="93"/>
      <c r="EBX259" s="93"/>
      <c r="EBY259" s="93"/>
      <c r="EBZ259" s="93"/>
      <c r="ECA259" s="93"/>
      <c r="ECB259" s="93"/>
      <c r="ECC259" s="93"/>
      <c r="ECD259" s="93"/>
      <c r="ECE259" s="93"/>
      <c r="ECF259" s="93"/>
      <c r="ECG259" s="93"/>
      <c r="ECH259" s="93"/>
      <c r="ECI259" s="93"/>
      <c r="ECJ259" s="93"/>
      <c r="ECK259" s="93"/>
      <c r="ECL259" s="93"/>
      <c r="ECM259" s="93"/>
      <c r="ECN259" s="93"/>
      <c r="ECO259" s="93"/>
      <c r="ECP259" s="93"/>
      <c r="ECQ259" s="93"/>
      <c r="ECR259" s="93"/>
      <c r="ECS259" s="93"/>
      <c r="ECT259" s="93"/>
      <c r="ECU259" s="93"/>
      <c r="ECV259" s="93"/>
      <c r="ECW259" s="93"/>
      <c r="ECX259" s="93"/>
      <c r="ECY259" s="93"/>
      <c r="ECZ259" s="93"/>
      <c r="EDA259" s="93"/>
      <c r="EDB259" s="93"/>
      <c r="EDC259" s="93"/>
      <c r="EDD259" s="93"/>
      <c r="EDE259" s="93"/>
      <c r="EDF259" s="93"/>
      <c r="EDG259" s="93"/>
      <c r="EDH259" s="93"/>
      <c r="EDI259" s="93"/>
      <c r="EDJ259" s="93"/>
      <c r="EDK259" s="93"/>
      <c r="EDL259" s="93"/>
      <c r="EDM259" s="93"/>
      <c r="EDN259" s="93"/>
      <c r="EDO259" s="93"/>
      <c r="EDP259" s="93"/>
      <c r="EDQ259" s="93"/>
      <c r="EDR259" s="93"/>
      <c r="EDS259" s="93"/>
      <c r="EDT259" s="93"/>
      <c r="EDU259" s="93"/>
      <c r="EDV259" s="93"/>
      <c r="EDW259" s="93"/>
      <c r="EDX259" s="93"/>
      <c r="EDY259" s="93"/>
      <c r="EDZ259" s="93"/>
      <c r="EEA259" s="93"/>
      <c r="EEB259" s="93"/>
      <c r="EEC259" s="93"/>
      <c r="EED259" s="93"/>
      <c r="EEE259" s="93"/>
      <c r="EEF259" s="93"/>
      <c r="EEG259" s="93"/>
      <c r="EEH259" s="93"/>
      <c r="EEI259" s="93"/>
      <c r="EEJ259" s="93"/>
      <c r="EEK259" s="93"/>
      <c r="EEL259" s="93"/>
      <c r="EEM259" s="93"/>
      <c r="EEN259" s="93"/>
      <c r="EEO259" s="93"/>
      <c r="EEP259" s="93"/>
      <c r="EEQ259" s="93"/>
      <c r="EER259" s="93"/>
      <c r="EES259" s="93"/>
      <c r="EET259" s="93"/>
      <c r="EEU259" s="93"/>
      <c r="EEV259" s="93"/>
      <c r="EEW259" s="93"/>
      <c r="EEX259" s="93"/>
      <c r="EEY259" s="93"/>
      <c r="EEZ259" s="93"/>
      <c r="EFA259" s="93"/>
      <c r="EFB259" s="93"/>
      <c r="EFC259" s="93"/>
      <c r="EFD259" s="93"/>
      <c r="EFE259" s="93"/>
      <c r="EFF259" s="93"/>
      <c r="EFG259" s="93"/>
      <c r="EFH259" s="93"/>
      <c r="EFI259" s="93"/>
      <c r="EFJ259" s="93"/>
      <c r="EFK259" s="93"/>
      <c r="EFL259" s="93"/>
      <c r="EFM259" s="93"/>
      <c r="EFN259" s="93"/>
      <c r="EFO259" s="93"/>
      <c r="EFP259" s="93"/>
      <c r="EFQ259" s="93"/>
      <c r="EFR259" s="93"/>
      <c r="EFS259" s="93"/>
      <c r="EFT259" s="93"/>
      <c r="EFU259" s="93"/>
      <c r="EFV259" s="93"/>
      <c r="EFW259" s="93"/>
      <c r="EFX259" s="93"/>
      <c r="EFY259" s="93"/>
      <c r="EFZ259" s="93"/>
      <c r="EGA259" s="93"/>
      <c r="EGB259" s="93"/>
      <c r="EGC259" s="93"/>
      <c r="EGD259" s="93"/>
      <c r="EGE259" s="93"/>
      <c r="EGF259" s="93"/>
      <c r="EGG259" s="93"/>
      <c r="EGH259" s="93"/>
      <c r="EGI259" s="93"/>
      <c r="EGJ259" s="93"/>
      <c r="EGK259" s="93"/>
      <c r="EGL259" s="93"/>
      <c r="EGM259" s="93"/>
      <c r="EGN259" s="93"/>
      <c r="EGO259" s="93"/>
      <c r="EGP259" s="93"/>
      <c r="EGQ259" s="93"/>
      <c r="EGR259" s="93"/>
      <c r="EGS259" s="93"/>
      <c r="EGT259" s="93"/>
      <c r="EGU259" s="93"/>
      <c r="EGV259" s="93"/>
      <c r="EGW259" s="93"/>
      <c r="EGX259" s="93"/>
      <c r="EGY259" s="93"/>
      <c r="EGZ259" s="93"/>
      <c r="EHA259" s="93"/>
      <c r="EHB259" s="93"/>
      <c r="EHC259" s="93"/>
      <c r="EHD259" s="93"/>
      <c r="EHE259" s="93"/>
      <c r="EHF259" s="93"/>
      <c r="EHG259" s="93"/>
      <c r="EHH259" s="93"/>
      <c r="EHI259" s="93"/>
      <c r="EHJ259" s="93"/>
      <c r="EHK259" s="93"/>
      <c r="EHL259" s="93"/>
      <c r="EHM259" s="93"/>
      <c r="EHN259" s="93"/>
      <c r="EHO259" s="93"/>
      <c r="EHP259" s="93"/>
      <c r="EHQ259" s="93"/>
      <c r="EHR259" s="93"/>
      <c r="EHS259" s="93"/>
      <c r="EHT259" s="93"/>
      <c r="EHU259" s="93"/>
      <c r="EHV259" s="93"/>
      <c r="EHW259" s="93"/>
      <c r="EHX259" s="93"/>
      <c r="EHY259" s="93"/>
      <c r="EHZ259" s="93"/>
      <c r="EIA259" s="93"/>
      <c r="EIB259" s="93"/>
      <c r="EIC259" s="93"/>
      <c r="EID259" s="93"/>
      <c r="EIE259" s="93"/>
      <c r="EIF259" s="93"/>
      <c r="EIG259" s="93"/>
      <c r="EIH259" s="93"/>
      <c r="EII259" s="93"/>
      <c r="EIJ259" s="93"/>
      <c r="EIK259" s="93"/>
      <c r="EIL259" s="93"/>
      <c r="EIM259" s="93"/>
      <c r="EIN259" s="93"/>
      <c r="EIO259" s="93"/>
      <c r="EIP259" s="93"/>
      <c r="EIQ259" s="93"/>
      <c r="EIR259" s="93"/>
      <c r="EIS259" s="93"/>
      <c r="EIT259" s="93"/>
      <c r="EIU259" s="93"/>
      <c r="EIV259" s="93"/>
      <c r="EIW259" s="93"/>
      <c r="EIX259" s="93"/>
      <c r="EIY259" s="93"/>
      <c r="EIZ259" s="93"/>
      <c r="EJA259" s="93"/>
      <c r="EJB259" s="93"/>
      <c r="EJC259" s="93"/>
      <c r="EJD259" s="93"/>
      <c r="EJE259" s="93"/>
      <c r="EJF259" s="93"/>
      <c r="EJG259" s="93"/>
      <c r="EJH259" s="93"/>
      <c r="EJI259" s="93"/>
      <c r="EJJ259" s="93"/>
      <c r="EJK259" s="93"/>
      <c r="EJL259" s="93"/>
      <c r="EJM259" s="93"/>
      <c r="EJN259" s="93"/>
      <c r="EJO259" s="93"/>
      <c r="EJP259" s="93"/>
      <c r="EJQ259" s="93"/>
      <c r="EJR259" s="93"/>
      <c r="EJS259" s="93"/>
      <c r="EJT259" s="93"/>
      <c r="EJU259" s="93"/>
      <c r="EJV259" s="93"/>
      <c r="EJW259" s="93"/>
      <c r="EJX259" s="93"/>
      <c r="EJY259" s="93"/>
      <c r="EJZ259" s="93"/>
      <c r="EKA259" s="93"/>
      <c r="EKB259" s="93"/>
      <c r="EKC259" s="93"/>
      <c r="EKD259" s="93"/>
      <c r="EKE259" s="93"/>
      <c r="EKF259" s="93"/>
      <c r="EKG259" s="93"/>
      <c r="EKH259" s="93"/>
      <c r="EKI259" s="93"/>
      <c r="EKJ259" s="93"/>
      <c r="EKK259" s="93"/>
      <c r="EKL259" s="93"/>
      <c r="EKM259" s="93"/>
      <c r="EKN259" s="93"/>
      <c r="EKO259" s="93"/>
      <c r="EKP259" s="93"/>
      <c r="EKQ259" s="93"/>
      <c r="EKR259" s="93"/>
      <c r="EKS259" s="93"/>
      <c r="EKT259" s="93"/>
      <c r="EKU259" s="93"/>
      <c r="EKV259" s="93"/>
      <c r="EKW259" s="93"/>
      <c r="EKX259" s="93"/>
      <c r="EKY259" s="93"/>
      <c r="EKZ259" s="93"/>
      <c r="ELA259" s="93"/>
      <c r="ELB259" s="93"/>
      <c r="ELC259" s="93"/>
      <c r="ELD259" s="93"/>
      <c r="ELE259" s="93"/>
      <c r="ELF259" s="93"/>
      <c r="ELG259" s="93"/>
      <c r="ELH259" s="93"/>
      <c r="ELI259" s="93"/>
      <c r="ELJ259" s="93"/>
      <c r="ELK259" s="93"/>
      <c r="ELL259" s="93"/>
      <c r="ELM259" s="93"/>
      <c r="ELN259" s="93"/>
      <c r="ELO259" s="93"/>
      <c r="ELP259" s="93"/>
      <c r="ELQ259" s="93"/>
      <c r="ELR259" s="93"/>
      <c r="ELS259" s="93"/>
      <c r="ELT259" s="93"/>
      <c r="ELU259" s="93"/>
      <c r="ELV259" s="93"/>
      <c r="ELW259" s="93"/>
      <c r="ELX259" s="93"/>
      <c r="ELY259" s="93"/>
      <c r="ELZ259" s="93"/>
      <c r="EMA259" s="93"/>
      <c r="EMB259" s="93"/>
      <c r="EMC259" s="93"/>
      <c r="EMD259" s="93"/>
      <c r="EME259" s="93"/>
      <c r="EMF259" s="93"/>
      <c r="EMG259" s="93"/>
      <c r="EMH259" s="93"/>
      <c r="EMI259" s="93"/>
      <c r="EMJ259" s="93"/>
      <c r="EMK259" s="93"/>
      <c r="EML259" s="93"/>
      <c r="EMM259" s="93"/>
      <c r="EMN259" s="93"/>
      <c r="EMO259" s="93"/>
      <c r="EMP259" s="93"/>
      <c r="EMQ259" s="93"/>
      <c r="EMR259" s="93"/>
      <c r="EMS259" s="93"/>
      <c r="EMT259" s="93"/>
      <c r="EMU259" s="93"/>
      <c r="EMV259" s="93"/>
      <c r="EMW259" s="93"/>
      <c r="EMX259" s="93"/>
      <c r="EMY259" s="93"/>
      <c r="EMZ259" s="93"/>
      <c r="ENA259" s="93"/>
      <c r="ENB259" s="93"/>
      <c r="ENC259" s="93"/>
      <c r="END259" s="93"/>
      <c r="ENE259" s="93"/>
      <c r="ENF259" s="93"/>
      <c r="ENG259" s="93"/>
      <c r="ENH259" s="93"/>
      <c r="ENI259" s="93"/>
      <c r="ENJ259" s="93"/>
      <c r="ENK259" s="93"/>
      <c r="ENL259" s="93"/>
      <c r="ENM259" s="93"/>
      <c r="ENN259" s="93"/>
      <c r="ENO259" s="93"/>
      <c r="ENP259" s="93"/>
      <c r="ENQ259" s="93"/>
      <c r="ENR259" s="93"/>
      <c r="ENS259" s="93"/>
      <c r="ENT259" s="93"/>
      <c r="ENU259" s="93"/>
      <c r="ENV259" s="93"/>
      <c r="ENW259" s="93"/>
      <c r="ENX259" s="93"/>
      <c r="ENY259" s="93"/>
      <c r="ENZ259" s="93"/>
      <c r="EOA259" s="93"/>
      <c r="EOB259" s="93"/>
      <c r="EOC259" s="93"/>
      <c r="EOD259" s="93"/>
      <c r="EOE259" s="93"/>
      <c r="EOF259" s="93"/>
      <c r="EOG259" s="93"/>
      <c r="EOH259" s="93"/>
      <c r="EOI259" s="93"/>
      <c r="EOJ259" s="93"/>
      <c r="EOK259" s="93"/>
      <c r="EOL259" s="93"/>
      <c r="EOM259" s="93"/>
      <c r="EON259" s="93"/>
      <c r="EOO259" s="93"/>
      <c r="EOP259" s="93"/>
      <c r="EOQ259" s="93"/>
      <c r="EOR259" s="93"/>
      <c r="EOS259" s="93"/>
      <c r="EOT259" s="93"/>
      <c r="EOU259" s="93"/>
      <c r="EOV259" s="93"/>
      <c r="EOW259" s="93"/>
      <c r="EOX259" s="93"/>
      <c r="EOY259" s="93"/>
      <c r="EOZ259" s="93"/>
      <c r="EPA259" s="93"/>
      <c r="EPB259" s="93"/>
      <c r="EPC259" s="93"/>
      <c r="EPD259" s="93"/>
      <c r="EPE259" s="93"/>
      <c r="EPF259" s="93"/>
      <c r="EPG259" s="93"/>
      <c r="EPH259" s="93"/>
      <c r="EPI259" s="93"/>
      <c r="EPJ259" s="93"/>
      <c r="EPK259" s="93"/>
      <c r="EPL259" s="93"/>
      <c r="EPM259" s="93"/>
      <c r="EPN259" s="93"/>
      <c r="EPO259" s="93"/>
      <c r="EPP259" s="93"/>
      <c r="EPQ259" s="93"/>
      <c r="EPR259" s="93"/>
      <c r="EPS259" s="93"/>
      <c r="EPT259" s="93"/>
      <c r="EPU259" s="93"/>
      <c r="EPV259" s="93"/>
      <c r="EPW259" s="93"/>
      <c r="EPX259" s="93"/>
      <c r="EPY259" s="93"/>
      <c r="EPZ259" s="93"/>
      <c r="EQA259" s="93"/>
      <c r="EQB259" s="93"/>
      <c r="EQC259" s="93"/>
      <c r="EQD259" s="93"/>
      <c r="EQE259" s="93"/>
      <c r="EQF259" s="93"/>
      <c r="EQG259" s="93"/>
      <c r="EQH259" s="93"/>
      <c r="EQI259" s="93"/>
      <c r="EQJ259" s="93"/>
      <c r="EQK259" s="93"/>
      <c r="EQL259" s="93"/>
      <c r="EQM259" s="93"/>
      <c r="EQN259" s="93"/>
      <c r="EQO259" s="93"/>
      <c r="EQP259" s="93"/>
      <c r="EQQ259" s="93"/>
      <c r="EQR259" s="93"/>
      <c r="EQS259" s="93"/>
      <c r="EQT259" s="93"/>
      <c r="EQU259" s="93"/>
      <c r="EQV259" s="93"/>
      <c r="EQW259" s="93"/>
      <c r="EQX259" s="93"/>
      <c r="EQY259" s="93"/>
      <c r="EQZ259" s="93"/>
      <c r="ERA259" s="93"/>
      <c r="ERB259" s="93"/>
      <c r="ERC259" s="93"/>
      <c r="ERD259" s="93"/>
      <c r="ERE259" s="93"/>
      <c r="ERF259" s="93"/>
      <c r="ERG259" s="93"/>
      <c r="ERH259" s="93"/>
      <c r="ERI259" s="93"/>
      <c r="ERJ259" s="93"/>
      <c r="ERK259" s="93"/>
      <c r="ERL259" s="93"/>
      <c r="ERM259" s="93"/>
      <c r="ERN259" s="93"/>
      <c r="ERO259" s="93"/>
      <c r="ERP259" s="93"/>
      <c r="ERQ259" s="93"/>
      <c r="ERR259" s="93"/>
      <c r="ERS259" s="93"/>
      <c r="ERT259" s="93"/>
      <c r="ERU259" s="93"/>
      <c r="ERV259" s="93"/>
      <c r="ERW259" s="93"/>
      <c r="ERX259" s="93"/>
      <c r="ERY259" s="93"/>
      <c r="ERZ259" s="93"/>
      <c r="ESA259" s="93"/>
      <c r="ESB259" s="93"/>
      <c r="ESC259" s="93"/>
      <c r="ESD259" s="93"/>
      <c r="ESE259" s="93"/>
      <c r="ESF259" s="93"/>
      <c r="ESG259" s="93"/>
      <c r="ESH259" s="93"/>
      <c r="ESI259" s="93"/>
      <c r="ESJ259" s="93"/>
      <c r="ESK259" s="93"/>
      <c r="ESL259" s="93"/>
      <c r="ESM259" s="93"/>
      <c r="ESN259" s="93"/>
      <c r="ESO259" s="93"/>
      <c r="ESP259" s="93"/>
      <c r="ESQ259" s="93"/>
      <c r="ESR259" s="93"/>
      <c r="ESS259" s="93"/>
      <c r="EST259" s="93"/>
      <c r="ESU259" s="93"/>
      <c r="ESV259" s="93"/>
      <c r="ESW259" s="93"/>
      <c r="ESX259" s="93"/>
      <c r="ESY259" s="93"/>
      <c r="ESZ259" s="93"/>
      <c r="ETA259" s="93"/>
      <c r="ETB259" s="93"/>
      <c r="ETC259" s="93"/>
      <c r="ETD259" s="93"/>
      <c r="ETE259" s="93"/>
      <c r="ETF259" s="93"/>
      <c r="ETG259" s="93"/>
      <c r="ETH259" s="93"/>
      <c r="ETI259" s="93"/>
      <c r="ETJ259" s="93"/>
      <c r="ETK259" s="93"/>
      <c r="ETL259" s="93"/>
      <c r="ETM259" s="93"/>
      <c r="ETN259" s="93"/>
      <c r="ETO259" s="93"/>
      <c r="ETP259" s="93"/>
      <c r="ETQ259" s="93"/>
      <c r="ETR259" s="93"/>
      <c r="ETS259" s="93"/>
      <c r="ETT259" s="93"/>
      <c r="ETU259" s="93"/>
      <c r="ETV259" s="93"/>
      <c r="ETW259" s="93"/>
      <c r="ETX259" s="93"/>
      <c r="ETY259" s="93"/>
      <c r="ETZ259" s="93"/>
      <c r="EUA259" s="93"/>
      <c r="EUB259" s="93"/>
      <c r="EUC259" s="93"/>
      <c r="EUD259" s="93"/>
      <c r="EUE259" s="93"/>
      <c r="EUF259" s="93"/>
      <c r="EUG259" s="93"/>
      <c r="EUH259" s="93"/>
      <c r="EUI259" s="93"/>
      <c r="EUJ259" s="93"/>
      <c r="EUK259" s="93"/>
      <c r="EUL259" s="93"/>
      <c r="EUM259" s="93"/>
      <c r="EUN259" s="93"/>
      <c r="EUO259" s="93"/>
      <c r="EUP259" s="93"/>
      <c r="EUQ259" s="93"/>
      <c r="EUR259" s="93"/>
      <c r="EUS259" s="93"/>
      <c r="EUT259" s="93"/>
      <c r="EUU259" s="93"/>
      <c r="EUV259" s="93"/>
      <c r="EUW259" s="93"/>
      <c r="EUX259" s="93"/>
      <c r="EUY259" s="93"/>
      <c r="EUZ259" s="93"/>
      <c r="EVA259" s="93"/>
      <c r="EVB259" s="93"/>
      <c r="EVC259" s="93"/>
      <c r="EVD259" s="93"/>
      <c r="EVE259" s="93"/>
      <c r="EVF259" s="93"/>
      <c r="EVG259" s="93"/>
      <c r="EVH259" s="93"/>
      <c r="EVI259" s="93"/>
      <c r="EVJ259" s="93"/>
      <c r="EVK259" s="93"/>
      <c r="EVL259" s="93"/>
      <c r="EVM259" s="93"/>
      <c r="EVN259" s="93"/>
      <c r="EVO259" s="93"/>
      <c r="EVP259" s="93"/>
      <c r="EVQ259" s="93"/>
      <c r="EVR259" s="93"/>
      <c r="EVS259" s="93"/>
      <c r="EVT259" s="93"/>
      <c r="EVU259" s="93"/>
      <c r="EVV259" s="93"/>
      <c r="EVW259" s="93"/>
      <c r="EVX259" s="93"/>
      <c r="EVY259" s="93"/>
      <c r="EVZ259" s="93"/>
      <c r="EWA259" s="93"/>
      <c r="EWB259" s="93"/>
      <c r="EWC259" s="93"/>
      <c r="EWD259" s="93"/>
      <c r="EWE259" s="93"/>
      <c r="EWF259" s="93"/>
      <c r="EWG259" s="93"/>
      <c r="EWH259" s="93"/>
      <c r="EWI259" s="93"/>
      <c r="EWJ259" s="93"/>
      <c r="EWK259" s="93"/>
      <c r="EWL259" s="93"/>
      <c r="EWM259" s="93"/>
      <c r="EWN259" s="93"/>
      <c r="EWO259" s="93"/>
      <c r="EWP259" s="93"/>
      <c r="EWQ259" s="93"/>
      <c r="EWR259" s="93"/>
      <c r="EWS259" s="93"/>
      <c r="EWT259" s="93"/>
      <c r="EWU259" s="93"/>
      <c r="EWV259" s="93"/>
      <c r="EWW259" s="93"/>
      <c r="EWX259" s="93"/>
      <c r="EWY259" s="93"/>
      <c r="EWZ259" s="93"/>
      <c r="EXA259" s="93"/>
      <c r="EXB259" s="93"/>
      <c r="EXC259" s="93"/>
      <c r="EXD259" s="93"/>
      <c r="EXE259" s="93"/>
      <c r="EXF259" s="93"/>
      <c r="EXG259" s="93"/>
      <c r="EXH259" s="93"/>
      <c r="EXI259" s="93"/>
      <c r="EXJ259" s="93"/>
      <c r="EXK259" s="93"/>
      <c r="EXL259" s="93"/>
      <c r="EXM259" s="93"/>
      <c r="EXN259" s="93"/>
      <c r="EXO259" s="93"/>
      <c r="EXP259" s="93"/>
      <c r="EXQ259" s="93"/>
      <c r="EXR259" s="93"/>
      <c r="EXS259" s="93"/>
      <c r="EXT259" s="93"/>
      <c r="EXU259" s="93"/>
      <c r="EXV259" s="93"/>
      <c r="EXW259" s="93"/>
      <c r="EXX259" s="93"/>
      <c r="EXY259" s="93"/>
      <c r="EXZ259" s="93"/>
      <c r="EYA259" s="93"/>
      <c r="EYB259" s="93"/>
      <c r="EYC259" s="93"/>
      <c r="EYD259" s="93"/>
      <c r="EYE259" s="93"/>
      <c r="EYF259" s="93"/>
      <c r="EYG259" s="93"/>
      <c r="EYH259" s="93"/>
      <c r="EYI259" s="93"/>
      <c r="EYJ259" s="93"/>
      <c r="EYK259" s="93"/>
      <c r="EYL259" s="93"/>
      <c r="EYM259" s="93"/>
      <c r="EYN259" s="93"/>
      <c r="EYO259" s="93"/>
      <c r="EYP259" s="93"/>
      <c r="EYQ259" s="93"/>
      <c r="EYR259" s="93"/>
      <c r="EYS259" s="93"/>
      <c r="EYT259" s="93"/>
      <c r="EYU259" s="93"/>
      <c r="EYV259" s="93"/>
      <c r="EYW259" s="93"/>
      <c r="EYX259" s="93"/>
      <c r="EYY259" s="93"/>
      <c r="EYZ259" s="93"/>
      <c r="EZA259" s="93"/>
      <c r="EZB259" s="93"/>
      <c r="EZC259" s="93"/>
      <c r="EZD259" s="93"/>
      <c r="EZE259" s="93"/>
      <c r="EZF259" s="93"/>
      <c r="EZG259" s="93"/>
      <c r="EZH259" s="93"/>
      <c r="EZI259" s="93"/>
      <c r="EZJ259" s="93"/>
      <c r="EZK259" s="93"/>
      <c r="EZL259" s="93"/>
      <c r="EZM259" s="93"/>
      <c r="EZN259" s="93"/>
      <c r="EZO259" s="93"/>
      <c r="EZP259" s="93"/>
      <c r="EZQ259" s="93"/>
      <c r="EZR259" s="93"/>
      <c r="EZS259" s="93"/>
      <c r="EZT259" s="93"/>
      <c r="EZU259" s="93"/>
      <c r="EZV259" s="93"/>
      <c r="EZW259" s="93"/>
      <c r="EZX259" s="93"/>
      <c r="EZY259" s="93"/>
      <c r="EZZ259" s="93"/>
      <c r="FAA259" s="93"/>
      <c r="FAB259" s="93"/>
      <c r="FAC259" s="93"/>
      <c r="FAD259" s="93"/>
      <c r="FAE259" s="93"/>
      <c r="FAF259" s="93"/>
      <c r="FAG259" s="93"/>
      <c r="FAH259" s="93"/>
      <c r="FAI259" s="93"/>
      <c r="FAJ259" s="93"/>
      <c r="FAK259" s="93"/>
      <c r="FAL259" s="93"/>
      <c r="FAM259" s="93"/>
      <c r="FAN259" s="93"/>
      <c r="FAO259" s="93"/>
      <c r="FAP259" s="93"/>
      <c r="FAQ259" s="93"/>
      <c r="FAR259" s="93"/>
      <c r="FAS259" s="93"/>
      <c r="FAT259" s="93"/>
      <c r="FAU259" s="93"/>
      <c r="FAV259" s="93"/>
      <c r="FAW259" s="93"/>
      <c r="FAX259" s="93"/>
      <c r="FAY259" s="93"/>
      <c r="FAZ259" s="93"/>
      <c r="FBA259" s="93"/>
      <c r="FBB259" s="93"/>
      <c r="FBC259" s="93"/>
      <c r="FBD259" s="93"/>
      <c r="FBE259" s="93"/>
      <c r="FBF259" s="93"/>
      <c r="FBG259" s="93"/>
      <c r="FBH259" s="93"/>
      <c r="FBI259" s="93"/>
      <c r="FBJ259" s="93"/>
      <c r="FBK259" s="93"/>
      <c r="FBL259" s="93"/>
      <c r="FBM259" s="93"/>
      <c r="FBN259" s="93"/>
      <c r="FBO259" s="93"/>
      <c r="FBP259" s="93"/>
      <c r="FBQ259" s="93"/>
      <c r="FBR259" s="93"/>
      <c r="FBS259" s="93"/>
      <c r="FBT259" s="93"/>
      <c r="FBU259" s="93"/>
      <c r="FBV259" s="93"/>
      <c r="FBW259" s="93"/>
      <c r="FBX259" s="93"/>
      <c r="FBY259" s="93"/>
      <c r="FBZ259" s="93"/>
      <c r="FCA259" s="93"/>
      <c r="FCB259" s="93"/>
      <c r="FCC259" s="93"/>
      <c r="FCD259" s="93"/>
      <c r="FCE259" s="93"/>
      <c r="FCF259" s="93"/>
      <c r="FCG259" s="93"/>
      <c r="FCH259" s="93"/>
      <c r="FCI259" s="93"/>
      <c r="FCJ259" s="93"/>
      <c r="FCK259" s="93"/>
      <c r="FCL259" s="93"/>
      <c r="FCM259" s="93"/>
      <c r="FCN259" s="93"/>
      <c r="FCO259" s="93"/>
      <c r="FCP259" s="93"/>
      <c r="FCQ259" s="93"/>
      <c r="FCR259" s="93"/>
      <c r="FCS259" s="93"/>
      <c r="FCT259" s="93"/>
      <c r="FCU259" s="93"/>
      <c r="FCV259" s="93"/>
      <c r="FCW259" s="93"/>
      <c r="FCX259" s="93"/>
      <c r="FCY259" s="93"/>
      <c r="FCZ259" s="93"/>
      <c r="FDA259" s="93"/>
      <c r="FDB259" s="93"/>
      <c r="FDC259" s="93"/>
      <c r="FDD259" s="93"/>
      <c r="FDE259" s="93"/>
      <c r="FDF259" s="93"/>
      <c r="FDG259" s="93"/>
      <c r="FDH259" s="93"/>
      <c r="FDI259" s="93"/>
      <c r="FDJ259" s="93"/>
      <c r="FDK259" s="93"/>
      <c r="FDL259" s="93"/>
      <c r="FDM259" s="93"/>
      <c r="FDN259" s="93"/>
      <c r="FDO259" s="93"/>
      <c r="FDP259" s="93"/>
      <c r="FDQ259" s="93"/>
      <c r="FDR259" s="93"/>
      <c r="FDS259" s="93"/>
      <c r="FDT259" s="93"/>
      <c r="FDU259" s="93"/>
      <c r="FDV259" s="93"/>
      <c r="FDW259" s="93"/>
      <c r="FDX259" s="93"/>
      <c r="FDY259" s="93"/>
      <c r="FDZ259" s="93"/>
      <c r="FEA259" s="93"/>
      <c r="FEB259" s="93"/>
      <c r="FEC259" s="93"/>
      <c r="FED259" s="93"/>
      <c r="FEE259" s="93"/>
      <c r="FEF259" s="93"/>
      <c r="FEG259" s="93"/>
      <c r="FEH259" s="93"/>
      <c r="FEI259" s="93"/>
      <c r="FEJ259" s="93"/>
      <c r="FEK259" s="93"/>
      <c r="FEL259" s="93"/>
      <c r="FEM259" s="93"/>
      <c r="FEN259" s="93"/>
      <c r="FEO259" s="93"/>
      <c r="FEP259" s="93"/>
      <c r="FEQ259" s="93"/>
      <c r="FER259" s="93"/>
      <c r="FES259" s="93"/>
      <c r="FET259" s="93"/>
      <c r="FEU259" s="93"/>
      <c r="FEV259" s="93"/>
      <c r="FEW259" s="93"/>
      <c r="FEX259" s="93"/>
      <c r="FEY259" s="93"/>
      <c r="FEZ259" s="93"/>
      <c r="FFA259" s="93"/>
      <c r="FFB259" s="93"/>
      <c r="FFC259" s="93"/>
      <c r="FFD259" s="93"/>
      <c r="FFE259" s="93"/>
      <c r="FFF259" s="93"/>
      <c r="FFG259" s="93"/>
      <c r="FFH259" s="93"/>
      <c r="FFI259" s="93"/>
      <c r="FFJ259" s="93"/>
      <c r="FFK259" s="93"/>
      <c r="FFL259" s="93"/>
      <c r="FFM259" s="93"/>
      <c r="FFN259" s="93"/>
      <c r="FFO259" s="93"/>
      <c r="FFP259" s="93"/>
      <c r="FFQ259" s="93"/>
      <c r="FFR259" s="93"/>
      <c r="FFS259" s="93"/>
      <c r="FFT259" s="93"/>
      <c r="FFU259" s="93"/>
      <c r="FFV259" s="93"/>
      <c r="FFW259" s="93"/>
      <c r="FFX259" s="93"/>
      <c r="FFY259" s="93"/>
      <c r="FFZ259" s="93"/>
      <c r="FGA259" s="93"/>
      <c r="FGB259" s="93"/>
      <c r="FGC259" s="93"/>
      <c r="FGD259" s="93"/>
      <c r="FGE259" s="93"/>
      <c r="FGF259" s="93"/>
      <c r="FGG259" s="93"/>
      <c r="FGH259" s="93"/>
      <c r="FGI259" s="93"/>
      <c r="FGJ259" s="93"/>
      <c r="FGK259" s="93"/>
      <c r="FGL259" s="93"/>
      <c r="FGM259" s="93"/>
      <c r="FGN259" s="93"/>
      <c r="FGO259" s="93"/>
      <c r="FGP259" s="93"/>
      <c r="FGQ259" s="93"/>
      <c r="FGR259" s="93"/>
      <c r="FGS259" s="93"/>
      <c r="FGT259" s="93"/>
      <c r="FGU259" s="93"/>
      <c r="FGV259" s="93"/>
      <c r="FGW259" s="93"/>
      <c r="FGX259" s="93"/>
      <c r="FGY259" s="93"/>
      <c r="FGZ259" s="93"/>
      <c r="FHA259" s="93"/>
      <c r="FHB259" s="93"/>
      <c r="FHC259" s="93"/>
      <c r="FHD259" s="93"/>
      <c r="FHE259" s="93"/>
      <c r="FHF259" s="93"/>
      <c r="FHG259" s="93"/>
      <c r="FHH259" s="93"/>
      <c r="FHI259" s="93"/>
      <c r="FHJ259" s="93"/>
      <c r="FHK259" s="93"/>
      <c r="FHL259" s="93"/>
      <c r="FHM259" s="93"/>
      <c r="FHN259" s="93"/>
      <c r="FHO259" s="93"/>
      <c r="FHP259" s="93"/>
      <c r="FHQ259" s="93"/>
      <c r="FHR259" s="93"/>
      <c r="FHS259" s="93"/>
      <c r="FHT259" s="93"/>
      <c r="FHU259" s="93"/>
      <c r="FHV259" s="93"/>
      <c r="FHW259" s="93"/>
      <c r="FHX259" s="93"/>
      <c r="FHY259" s="93"/>
      <c r="FHZ259" s="93"/>
      <c r="FIA259" s="93"/>
      <c r="FIB259" s="93"/>
      <c r="FIC259" s="93"/>
      <c r="FID259" s="93"/>
      <c r="FIE259" s="93"/>
      <c r="FIF259" s="93"/>
      <c r="FIG259" s="93"/>
      <c r="FIH259" s="93"/>
      <c r="FII259" s="93"/>
      <c r="FIJ259" s="93"/>
      <c r="FIK259" s="93"/>
      <c r="FIL259" s="93"/>
      <c r="FIM259" s="93"/>
      <c r="FIN259" s="93"/>
      <c r="FIO259" s="93"/>
      <c r="FIP259" s="93"/>
      <c r="FIQ259" s="93"/>
      <c r="FIR259" s="93"/>
      <c r="FIS259" s="93"/>
      <c r="FIT259" s="93"/>
      <c r="FIU259" s="93"/>
      <c r="FIV259" s="93"/>
      <c r="FIW259" s="93"/>
      <c r="FIX259" s="93"/>
      <c r="FIY259" s="93"/>
      <c r="FIZ259" s="93"/>
      <c r="FJA259" s="93"/>
      <c r="FJB259" s="93"/>
      <c r="FJC259" s="93"/>
      <c r="FJD259" s="93"/>
      <c r="FJE259" s="93"/>
      <c r="FJF259" s="93"/>
      <c r="FJG259" s="93"/>
      <c r="FJH259" s="93"/>
      <c r="FJI259" s="93"/>
      <c r="FJJ259" s="93"/>
      <c r="FJK259" s="93"/>
      <c r="FJL259" s="93"/>
      <c r="FJM259" s="93"/>
      <c r="FJN259" s="93"/>
      <c r="FJO259" s="93"/>
      <c r="FJP259" s="93"/>
      <c r="FJQ259" s="93"/>
      <c r="FJR259" s="93"/>
      <c r="FJS259" s="93"/>
      <c r="FJT259" s="93"/>
      <c r="FJU259" s="93"/>
      <c r="FJV259" s="93"/>
      <c r="FJW259" s="93"/>
      <c r="FJX259" s="93"/>
      <c r="FJY259" s="93"/>
      <c r="FJZ259" s="93"/>
      <c r="FKA259" s="93"/>
      <c r="FKB259" s="93"/>
      <c r="FKC259" s="93"/>
      <c r="FKD259" s="93"/>
      <c r="FKE259" s="93"/>
      <c r="FKF259" s="93"/>
      <c r="FKG259" s="93"/>
      <c r="FKH259" s="93"/>
      <c r="FKI259" s="93"/>
      <c r="FKJ259" s="93"/>
      <c r="FKK259" s="93"/>
      <c r="FKL259" s="93"/>
      <c r="FKM259" s="93"/>
      <c r="FKN259" s="93"/>
      <c r="FKO259" s="93"/>
      <c r="FKP259" s="93"/>
      <c r="FKQ259" s="93"/>
      <c r="FKR259" s="93"/>
      <c r="FKS259" s="93"/>
      <c r="FKT259" s="93"/>
      <c r="FKU259" s="93"/>
      <c r="FKV259" s="93"/>
      <c r="FKW259" s="93"/>
      <c r="FKX259" s="93"/>
      <c r="FKY259" s="93"/>
      <c r="FKZ259" s="93"/>
      <c r="FLA259" s="93"/>
      <c r="FLB259" s="93"/>
      <c r="FLC259" s="93"/>
      <c r="FLD259" s="93"/>
      <c r="FLE259" s="93"/>
      <c r="FLF259" s="93"/>
      <c r="FLG259" s="93"/>
      <c r="FLH259" s="93"/>
      <c r="FLI259" s="93"/>
      <c r="FLJ259" s="93"/>
      <c r="FLK259" s="93"/>
      <c r="FLL259" s="93"/>
      <c r="FLM259" s="93"/>
      <c r="FLN259" s="93"/>
      <c r="FLO259" s="93"/>
      <c r="FLP259" s="93"/>
      <c r="FLQ259" s="93"/>
      <c r="FLR259" s="93"/>
      <c r="FLS259" s="93"/>
      <c r="FLT259" s="93"/>
      <c r="FLU259" s="93"/>
      <c r="FLV259" s="93"/>
      <c r="FLW259" s="93"/>
      <c r="FLX259" s="93"/>
      <c r="FLY259" s="93"/>
      <c r="FLZ259" s="93"/>
      <c r="FMA259" s="93"/>
      <c r="FMB259" s="93"/>
      <c r="FMC259" s="93"/>
      <c r="FMD259" s="93"/>
      <c r="FME259" s="93"/>
      <c r="FMF259" s="93"/>
      <c r="FMG259" s="93"/>
      <c r="FMH259" s="93"/>
      <c r="FMI259" s="93"/>
      <c r="FMJ259" s="93"/>
      <c r="FMK259" s="93"/>
      <c r="FML259" s="93"/>
      <c r="FMM259" s="93"/>
      <c r="FMN259" s="93"/>
      <c r="FMO259" s="93"/>
      <c r="FMP259" s="93"/>
      <c r="FMQ259" s="93"/>
      <c r="FMR259" s="93"/>
      <c r="FMS259" s="93"/>
      <c r="FMT259" s="93"/>
      <c r="FMU259" s="93"/>
      <c r="FMV259" s="93"/>
      <c r="FMW259" s="93"/>
      <c r="FMX259" s="93"/>
      <c r="FMY259" s="93"/>
      <c r="FMZ259" s="93"/>
      <c r="FNA259" s="93"/>
      <c r="FNB259" s="93"/>
      <c r="FNC259" s="93"/>
      <c r="FND259" s="93"/>
      <c r="FNE259" s="93"/>
      <c r="FNF259" s="93"/>
      <c r="FNG259" s="93"/>
      <c r="FNH259" s="93"/>
      <c r="FNI259" s="93"/>
      <c r="FNJ259" s="93"/>
      <c r="FNK259" s="93"/>
      <c r="FNL259" s="93"/>
      <c r="FNM259" s="93"/>
      <c r="FNN259" s="93"/>
      <c r="FNO259" s="93"/>
      <c r="FNP259" s="93"/>
      <c r="FNQ259" s="93"/>
      <c r="FNR259" s="93"/>
      <c r="FNS259" s="93"/>
      <c r="FNT259" s="93"/>
      <c r="FNU259" s="93"/>
      <c r="FNV259" s="93"/>
      <c r="FNW259" s="93"/>
      <c r="FNX259" s="93"/>
      <c r="FNY259" s="93"/>
      <c r="FNZ259" s="93"/>
      <c r="FOA259" s="93"/>
      <c r="FOB259" s="93"/>
      <c r="FOC259" s="93"/>
      <c r="FOD259" s="93"/>
      <c r="FOE259" s="93"/>
      <c r="FOF259" s="93"/>
      <c r="FOG259" s="93"/>
      <c r="FOH259" s="93"/>
      <c r="FOI259" s="93"/>
      <c r="FOJ259" s="93"/>
      <c r="FOK259" s="93"/>
      <c r="FOL259" s="93"/>
      <c r="FOM259" s="93"/>
      <c r="FON259" s="93"/>
      <c r="FOO259" s="93"/>
      <c r="FOP259" s="93"/>
      <c r="FOQ259" s="93"/>
      <c r="FOR259" s="93"/>
      <c r="FOS259" s="93"/>
      <c r="FOT259" s="93"/>
      <c r="FOU259" s="93"/>
      <c r="FOV259" s="93"/>
      <c r="FOW259" s="93"/>
      <c r="FOX259" s="93"/>
      <c r="FOY259" s="93"/>
      <c r="FOZ259" s="93"/>
      <c r="FPA259" s="93"/>
      <c r="FPB259" s="93"/>
      <c r="FPC259" s="93"/>
      <c r="FPD259" s="93"/>
      <c r="FPE259" s="93"/>
      <c r="FPF259" s="93"/>
      <c r="FPG259" s="93"/>
      <c r="FPH259" s="93"/>
      <c r="FPI259" s="93"/>
      <c r="FPJ259" s="93"/>
      <c r="FPK259" s="93"/>
      <c r="FPL259" s="93"/>
      <c r="FPM259" s="93"/>
      <c r="FPN259" s="93"/>
      <c r="FPO259" s="93"/>
      <c r="FPP259" s="93"/>
      <c r="FPQ259" s="93"/>
      <c r="FPR259" s="93"/>
      <c r="FPS259" s="93"/>
      <c r="FPT259" s="93"/>
      <c r="FPU259" s="93"/>
      <c r="FPV259" s="93"/>
      <c r="FPW259" s="93"/>
      <c r="FPX259" s="93"/>
      <c r="FPY259" s="93"/>
      <c r="FPZ259" s="93"/>
      <c r="FQA259" s="93"/>
      <c r="FQB259" s="93"/>
      <c r="FQC259" s="93"/>
      <c r="FQD259" s="93"/>
      <c r="FQE259" s="93"/>
      <c r="FQF259" s="93"/>
      <c r="FQG259" s="93"/>
      <c r="FQH259" s="93"/>
      <c r="FQI259" s="93"/>
      <c r="FQJ259" s="93"/>
      <c r="FQK259" s="93"/>
      <c r="FQL259" s="93"/>
      <c r="FQM259" s="93"/>
      <c r="FQN259" s="93"/>
      <c r="FQO259" s="93"/>
      <c r="FQP259" s="93"/>
      <c r="FQQ259" s="93"/>
      <c r="FQR259" s="93"/>
      <c r="FQS259" s="93"/>
      <c r="FQT259" s="93"/>
      <c r="FQU259" s="93"/>
      <c r="FQV259" s="93"/>
      <c r="FQW259" s="93"/>
      <c r="FQX259" s="93"/>
      <c r="FQY259" s="93"/>
      <c r="FQZ259" s="93"/>
      <c r="FRA259" s="93"/>
      <c r="FRB259" s="93"/>
      <c r="FRC259" s="93"/>
      <c r="FRD259" s="93"/>
      <c r="FRE259" s="93"/>
      <c r="FRF259" s="93"/>
      <c r="FRG259" s="93"/>
      <c r="FRH259" s="93"/>
      <c r="FRI259" s="93"/>
      <c r="FRJ259" s="93"/>
      <c r="FRK259" s="93"/>
      <c r="FRL259" s="93"/>
      <c r="FRM259" s="93"/>
      <c r="FRN259" s="93"/>
      <c r="FRO259" s="93"/>
      <c r="FRP259" s="93"/>
      <c r="FRQ259" s="93"/>
      <c r="FRR259" s="93"/>
      <c r="FRS259" s="93"/>
      <c r="FRT259" s="93"/>
      <c r="FRU259" s="93"/>
      <c r="FRV259" s="93"/>
      <c r="FRW259" s="93"/>
      <c r="FRX259" s="93"/>
      <c r="FRY259" s="93"/>
      <c r="FRZ259" s="93"/>
      <c r="FSA259" s="93"/>
      <c r="FSB259" s="93"/>
      <c r="FSC259" s="93"/>
      <c r="FSD259" s="93"/>
      <c r="FSE259" s="93"/>
      <c r="FSF259" s="93"/>
      <c r="FSG259" s="93"/>
      <c r="FSH259" s="93"/>
      <c r="FSI259" s="93"/>
      <c r="FSJ259" s="93"/>
      <c r="FSK259" s="93"/>
      <c r="FSL259" s="93"/>
      <c r="FSM259" s="93"/>
      <c r="FSN259" s="93"/>
      <c r="FSO259" s="93"/>
      <c r="FSP259" s="93"/>
      <c r="FSQ259" s="93"/>
      <c r="FSR259" s="93"/>
      <c r="FSS259" s="93"/>
      <c r="FST259" s="93"/>
      <c r="FSU259" s="93"/>
      <c r="FSV259" s="93"/>
      <c r="FSW259" s="93"/>
      <c r="FSX259" s="93"/>
      <c r="FSY259" s="93"/>
      <c r="FSZ259" s="93"/>
      <c r="FTA259" s="93"/>
      <c r="FTB259" s="93"/>
      <c r="FTC259" s="93"/>
      <c r="FTD259" s="93"/>
      <c r="FTE259" s="93"/>
      <c r="FTF259" s="93"/>
      <c r="FTG259" s="93"/>
      <c r="FTH259" s="93"/>
      <c r="FTI259" s="93"/>
      <c r="FTJ259" s="93"/>
      <c r="FTK259" s="93"/>
      <c r="FTL259" s="93"/>
      <c r="FTM259" s="93"/>
      <c r="FTN259" s="93"/>
      <c r="FTO259" s="93"/>
      <c r="FTP259" s="93"/>
      <c r="FTQ259" s="93"/>
      <c r="FTR259" s="93"/>
      <c r="FTS259" s="93"/>
      <c r="FTT259" s="93"/>
      <c r="FTU259" s="93"/>
      <c r="FTV259" s="93"/>
      <c r="FTW259" s="93"/>
      <c r="FTX259" s="93"/>
      <c r="FTY259" s="93"/>
      <c r="FTZ259" s="93"/>
      <c r="FUA259" s="93"/>
      <c r="FUB259" s="93"/>
      <c r="FUC259" s="93"/>
      <c r="FUD259" s="93"/>
      <c r="FUE259" s="93"/>
      <c r="FUF259" s="93"/>
      <c r="FUG259" s="93"/>
      <c r="FUH259" s="93"/>
      <c r="FUI259" s="93"/>
      <c r="FUJ259" s="93"/>
      <c r="FUK259" s="93"/>
      <c r="FUL259" s="93"/>
      <c r="FUM259" s="93"/>
      <c r="FUN259" s="93"/>
      <c r="FUO259" s="93"/>
      <c r="FUP259" s="93"/>
      <c r="FUQ259" s="93"/>
      <c r="FUR259" s="93"/>
      <c r="FUS259" s="93"/>
      <c r="FUT259" s="93"/>
      <c r="FUU259" s="93"/>
      <c r="FUV259" s="93"/>
      <c r="FUW259" s="93"/>
      <c r="FUX259" s="93"/>
      <c r="FUY259" s="93"/>
      <c r="FUZ259" s="93"/>
      <c r="FVA259" s="93"/>
      <c r="FVB259" s="93"/>
      <c r="FVC259" s="93"/>
      <c r="FVD259" s="93"/>
      <c r="FVE259" s="93"/>
      <c r="FVF259" s="93"/>
      <c r="FVG259" s="93"/>
      <c r="FVH259" s="93"/>
      <c r="FVI259" s="93"/>
      <c r="FVJ259" s="93"/>
      <c r="FVK259" s="93"/>
      <c r="FVL259" s="93"/>
      <c r="FVM259" s="93"/>
      <c r="FVN259" s="93"/>
      <c r="FVO259" s="93"/>
      <c r="FVP259" s="93"/>
      <c r="FVQ259" s="93"/>
      <c r="FVR259" s="93"/>
      <c r="FVS259" s="93"/>
      <c r="FVT259" s="93"/>
      <c r="FVU259" s="93"/>
      <c r="FVV259" s="93"/>
      <c r="FVW259" s="93"/>
      <c r="FVX259" s="93"/>
      <c r="FVY259" s="93"/>
      <c r="FVZ259" s="93"/>
      <c r="FWA259" s="93"/>
      <c r="FWB259" s="93"/>
      <c r="FWC259" s="93"/>
      <c r="FWD259" s="93"/>
      <c r="FWE259" s="93"/>
      <c r="FWF259" s="93"/>
      <c r="FWG259" s="93"/>
      <c r="FWH259" s="93"/>
      <c r="FWI259" s="93"/>
      <c r="FWJ259" s="93"/>
      <c r="FWK259" s="93"/>
      <c r="FWL259" s="93"/>
      <c r="FWM259" s="93"/>
      <c r="FWN259" s="93"/>
      <c r="FWO259" s="93"/>
      <c r="FWP259" s="93"/>
      <c r="FWQ259" s="93"/>
      <c r="FWR259" s="93"/>
      <c r="FWS259" s="93"/>
      <c r="FWT259" s="93"/>
      <c r="FWU259" s="93"/>
      <c r="FWV259" s="93"/>
      <c r="FWW259" s="93"/>
      <c r="FWX259" s="93"/>
      <c r="FWY259" s="93"/>
      <c r="FWZ259" s="93"/>
      <c r="FXA259" s="93"/>
      <c r="FXB259" s="93"/>
      <c r="FXC259" s="93"/>
      <c r="FXD259" s="93"/>
      <c r="FXE259" s="93"/>
      <c r="FXF259" s="93"/>
      <c r="FXG259" s="93"/>
      <c r="FXH259" s="93"/>
      <c r="FXI259" s="93"/>
      <c r="FXJ259" s="93"/>
      <c r="FXK259" s="93"/>
      <c r="FXL259" s="93"/>
      <c r="FXM259" s="93"/>
      <c r="FXN259" s="93"/>
      <c r="FXO259" s="93"/>
      <c r="FXP259" s="93"/>
      <c r="FXQ259" s="93"/>
      <c r="FXR259" s="93"/>
      <c r="FXS259" s="93"/>
      <c r="FXT259" s="93"/>
      <c r="FXU259" s="93"/>
      <c r="FXV259" s="93"/>
      <c r="FXW259" s="93"/>
      <c r="FXX259" s="93"/>
      <c r="FXY259" s="93"/>
      <c r="FXZ259" s="93"/>
      <c r="FYA259" s="93"/>
      <c r="FYB259" s="93"/>
      <c r="FYC259" s="93"/>
      <c r="FYD259" s="93"/>
      <c r="FYE259" s="93"/>
      <c r="FYF259" s="93"/>
      <c r="FYG259" s="93"/>
      <c r="FYH259" s="93"/>
      <c r="FYI259" s="93"/>
      <c r="FYJ259" s="93"/>
      <c r="FYK259" s="93"/>
      <c r="FYL259" s="93"/>
      <c r="FYM259" s="93"/>
      <c r="FYN259" s="93"/>
      <c r="FYO259" s="93"/>
      <c r="FYP259" s="93"/>
      <c r="FYQ259" s="93"/>
      <c r="FYR259" s="93"/>
      <c r="FYS259" s="93"/>
      <c r="FYT259" s="93"/>
      <c r="FYU259" s="93"/>
      <c r="FYV259" s="93"/>
      <c r="FYW259" s="93"/>
      <c r="FYX259" s="93"/>
      <c r="FYY259" s="93"/>
      <c r="FYZ259" s="93"/>
      <c r="FZA259" s="93"/>
      <c r="FZB259" s="93"/>
      <c r="FZC259" s="93"/>
      <c r="FZD259" s="93"/>
      <c r="FZE259" s="93"/>
      <c r="FZF259" s="93"/>
      <c r="FZG259" s="93"/>
      <c r="FZH259" s="93"/>
      <c r="FZI259" s="93"/>
      <c r="FZJ259" s="93"/>
      <c r="FZK259" s="93"/>
      <c r="FZL259" s="93"/>
      <c r="FZM259" s="93"/>
      <c r="FZN259" s="93"/>
      <c r="FZO259" s="93"/>
      <c r="FZP259" s="93"/>
      <c r="FZQ259" s="93"/>
      <c r="FZR259" s="93"/>
      <c r="FZS259" s="93"/>
      <c r="FZT259" s="93"/>
      <c r="FZU259" s="93"/>
      <c r="FZV259" s="93"/>
      <c r="FZW259" s="93"/>
      <c r="FZX259" s="93"/>
      <c r="FZY259" s="93"/>
      <c r="FZZ259" s="93"/>
      <c r="GAA259" s="93"/>
      <c r="GAB259" s="93"/>
      <c r="GAC259" s="93"/>
      <c r="GAD259" s="93"/>
      <c r="GAE259" s="93"/>
      <c r="GAF259" s="93"/>
      <c r="GAG259" s="93"/>
      <c r="GAH259" s="93"/>
      <c r="GAI259" s="93"/>
      <c r="GAJ259" s="93"/>
    </row>
    <row r="260" spans="1:16213" s="95" customFormat="1" ht="25.15" customHeight="1" outlineLevel="1" x14ac:dyDescent="0.25">
      <c r="A260" s="80" t="s">
        <v>202</v>
      </c>
      <c r="B260" s="80"/>
      <c r="C260" s="90"/>
      <c r="D260" s="80" t="s">
        <v>1756</v>
      </c>
      <c r="E260" s="90" t="s">
        <v>469</v>
      </c>
      <c r="F260" s="80" t="s">
        <v>50</v>
      </c>
      <c r="G260" s="80" t="s">
        <v>43</v>
      </c>
      <c r="H260" s="80" t="s">
        <v>998</v>
      </c>
      <c r="I260" s="80" t="s">
        <v>7</v>
      </c>
      <c r="J260" s="80"/>
      <c r="K260" s="90" t="s">
        <v>999</v>
      </c>
      <c r="L260" s="90"/>
      <c r="M260" s="80" t="s">
        <v>1744</v>
      </c>
      <c r="N260" s="92" t="s">
        <v>456</v>
      </c>
      <c r="O260" s="91">
        <v>8900</v>
      </c>
      <c r="P260" s="91">
        <v>2410</v>
      </c>
      <c r="Q260" s="91">
        <v>2500</v>
      </c>
      <c r="R260" s="94"/>
      <c r="S260" s="91">
        <v>3850</v>
      </c>
      <c r="T260" s="94">
        <v>2550</v>
      </c>
      <c r="U260" s="91">
        <v>11200</v>
      </c>
      <c r="V260" s="91">
        <v>1300</v>
      </c>
      <c r="W260" s="91">
        <v>6450</v>
      </c>
      <c r="X260" s="91">
        <v>3330</v>
      </c>
      <c r="Y260" s="91"/>
      <c r="Z260" s="91"/>
      <c r="AA260" s="80" t="s">
        <v>1735</v>
      </c>
      <c r="AB260" s="80">
        <v>19000</v>
      </c>
      <c r="AC260" s="80">
        <v>8895</v>
      </c>
      <c r="AD260" s="92"/>
      <c r="AE260" s="83"/>
      <c r="AF260" s="83"/>
      <c r="AG260" s="118"/>
      <c r="AH260" s="115">
        <v>53.6</v>
      </c>
      <c r="AI260" s="90" t="s">
        <v>1749</v>
      </c>
      <c r="AJ260" s="90"/>
      <c r="AK260" s="90" t="s">
        <v>1746</v>
      </c>
      <c r="AL260" s="90"/>
      <c r="AM260" s="90" t="s">
        <v>1593</v>
      </c>
      <c r="AN260" s="90"/>
      <c r="AO260" s="80" t="s">
        <v>1750</v>
      </c>
      <c r="AP260" s="90"/>
      <c r="AQ260" s="90"/>
      <c r="AR260" s="90"/>
      <c r="AS260" s="90" t="s">
        <v>1740</v>
      </c>
      <c r="AT260" s="90"/>
      <c r="AU260" s="102" t="s">
        <v>1751</v>
      </c>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80"/>
      <c r="BT260" s="80"/>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c r="DA260" s="93"/>
      <c r="DB260" s="93"/>
      <c r="DC260" s="93"/>
      <c r="DD260" s="93"/>
      <c r="DE260" s="93"/>
      <c r="DF260" s="93"/>
      <c r="DG260" s="93"/>
      <c r="DH260" s="93"/>
      <c r="DI260" s="93"/>
      <c r="DJ260" s="93"/>
      <c r="DK260" s="93"/>
      <c r="DL260" s="93"/>
      <c r="DM260" s="93"/>
      <c r="DN260" s="93"/>
      <c r="DO260" s="93"/>
      <c r="DP260" s="93"/>
      <c r="DQ260" s="93"/>
      <c r="DR260" s="93"/>
      <c r="DS260" s="93"/>
      <c r="DT260" s="93"/>
      <c r="DU260" s="93"/>
      <c r="DV260" s="93"/>
      <c r="DW260" s="93"/>
      <c r="DX260" s="93"/>
      <c r="DY260" s="93"/>
      <c r="DZ260" s="93"/>
      <c r="EA260" s="93"/>
      <c r="EB260" s="93"/>
      <c r="EC260" s="93"/>
      <c r="ED260" s="93"/>
      <c r="EE260" s="93"/>
      <c r="EF260" s="93"/>
      <c r="EG260" s="93"/>
      <c r="EH260" s="93"/>
      <c r="EI260" s="93"/>
      <c r="EJ260" s="93"/>
      <c r="EK260" s="93"/>
      <c r="EL260" s="93"/>
      <c r="EM260" s="93"/>
      <c r="EN260" s="93"/>
      <c r="EO260" s="93"/>
      <c r="EP260" s="93"/>
      <c r="EQ260" s="93"/>
      <c r="ER260" s="93"/>
      <c r="ES260" s="93"/>
      <c r="ET260" s="93"/>
      <c r="EU260" s="93"/>
      <c r="EV260" s="93"/>
      <c r="EW260" s="93"/>
      <c r="EX260" s="93"/>
      <c r="EY260" s="93"/>
      <c r="EZ260" s="93"/>
      <c r="FA260" s="93"/>
      <c r="FB260" s="93"/>
      <c r="FC260" s="93"/>
      <c r="FD260" s="93"/>
      <c r="FE260" s="93"/>
      <c r="FF260" s="93"/>
      <c r="FG260" s="93"/>
      <c r="FH260" s="93"/>
      <c r="FI260" s="93"/>
      <c r="FJ260" s="93"/>
      <c r="FK260" s="93"/>
      <c r="FL260" s="93"/>
      <c r="FM260" s="93"/>
      <c r="FN260" s="93"/>
      <c r="FO260" s="93"/>
      <c r="FP260" s="93"/>
      <c r="FQ260" s="93"/>
      <c r="FR260" s="93"/>
      <c r="FS260" s="93"/>
      <c r="FT260" s="93"/>
      <c r="FU260" s="93"/>
      <c r="FV260" s="93"/>
      <c r="FW260" s="93"/>
      <c r="FX260" s="93"/>
      <c r="FY260" s="93"/>
      <c r="FZ260" s="93"/>
      <c r="GA260" s="93"/>
      <c r="GB260" s="93"/>
      <c r="GC260" s="93"/>
      <c r="GD260" s="93"/>
      <c r="GE260" s="93"/>
      <c r="GF260" s="93"/>
      <c r="GG260" s="93"/>
      <c r="GH260" s="93"/>
      <c r="GI260" s="93"/>
      <c r="GJ260" s="93"/>
      <c r="GK260" s="93"/>
      <c r="GL260" s="93"/>
      <c r="GM260" s="93"/>
      <c r="GN260" s="93"/>
      <c r="GO260" s="93"/>
      <c r="GP260" s="93"/>
      <c r="GQ260" s="93"/>
      <c r="GR260" s="93"/>
      <c r="GS260" s="93"/>
      <c r="GT260" s="93"/>
      <c r="GU260" s="93"/>
      <c r="GV260" s="93"/>
      <c r="GW260" s="93"/>
      <c r="GX260" s="93"/>
      <c r="GY260" s="93"/>
      <c r="GZ260" s="93"/>
      <c r="HA260" s="93"/>
      <c r="HB260" s="93"/>
      <c r="HC260" s="93"/>
      <c r="HD260" s="93"/>
      <c r="HE260" s="93"/>
      <c r="HF260" s="93"/>
      <c r="HG260" s="93"/>
      <c r="HH260" s="93"/>
      <c r="HI260" s="93"/>
      <c r="HJ260" s="93"/>
      <c r="HK260" s="93"/>
      <c r="HL260" s="93"/>
      <c r="HM260" s="93"/>
      <c r="HN260" s="93"/>
      <c r="HO260" s="93"/>
      <c r="HP260" s="93"/>
      <c r="HQ260" s="93"/>
      <c r="HR260" s="93"/>
      <c r="HS260" s="93"/>
      <c r="HT260" s="93"/>
      <c r="HU260" s="93"/>
      <c r="HV260" s="93"/>
      <c r="HW260" s="93"/>
      <c r="HX260" s="93"/>
      <c r="HY260" s="93"/>
      <c r="HZ260" s="93"/>
      <c r="IA260" s="93"/>
      <c r="IB260" s="93"/>
      <c r="IC260" s="93"/>
      <c r="ID260" s="93"/>
      <c r="IE260" s="93"/>
      <c r="IF260" s="93"/>
      <c r="IG260" s="93"/>
      <c r="IH260" s="93"/>
      <c r="II260" s="93"/>
      <c r="IJ260" s="93"/>
      <c r="IK260" s="93"/>
      <c r="IL260" s="93"/>
      <c r="IM260" s="93"/>
      <c r="IN260" s="93"/>
      <c r="IO260" s="93"/>
      <c r="IP260" s="93"/>
      <c r="IQ260" s="93"/>
      <c r="IR260" s="93"/>
      <c r="IS260" s="93"/>
      <c r="IT260" s="93"/>
      <c r="IU260" s="93"/>
      <c r="IV260" s="93"/>
      <c r="IW260" s="93"/>
      <c r="IX260" s="93"/>
      <c r="IY260" s="93"/>
      <c r="IZ260" s="93"/>
      <c r="JA260" s="93"/>
      <c r="JB260" s="93"/>
      <c r="JC260" s="93"/>
      <c r="JD260" s="93"/>
      <c r="JE260" s="93"/>
      <c r="JF260" s="93"/>
      <c r="JG260" s="93"/>
      <c r="JH260" s="93"/>
      <c r="JI260" s="93"/>
      <c r="JJ260" s="93"/>
      <c r="JK260" s="93"/>
      <c r="JL260" s="93"/>
      <c r="JM260" s="93"/>
      <c r="JN260" s="93"/>
      <c r="JO260" s="93"/>
      <c r="JP260" s="93"/>
      <c r="JQ260" s="93"/>
      <c r="JR260" s="93"/>
      <c r="JS260" s="93"/>
      <c r="JT260" s="93"/>
      <c r="JU260" s="93"/>
      <c r="JV260" s="93"/>
      <c r="JW260" s="93"/>
      <c r="JX260" s="93"/>
      <c r="JY260" s="93"/>
      <c r="JZ260" s="93"/>
      <c r="KA260" s="93"/>
      <c r="KB260" s="93"/>
      <c r="KC260" s="93"/>
      <c r="KD260" s="93"/>
      <c r="KE260" s="93"/>
      <c r="KF260" s="93"/>
      <c r="KG260" s="93"/>
      <c r="KH260" s="93"/>
      <c r="KI260" s="93"/>
      <c r="KJ260" s="93"/>
      <c r="KK260" s="93"/>
      <c r="KL260" s="93"/>
      <c r="KM260" s="93"/>
      <c r="KN260" s="93"/>
      <c r="KO260" s="93"/>
      <c r="KP260" s="93"/>
      <c r="KQ260" s="93"/>
      <c r="KR260" s="93"/>
      <c r="KS260" s="93"/>
      <c r="KT260" s="93"/>
      <c r="KU260" s="93"/>
      <c r="KV260" s="93"/>
      <c r="KW260" s="93"/>
      <c r="KX260" s="93"/>
      <c r="KY260" s="93"/>
      <c r="KZ260" s="93"/>
      <c r="LA260" s="93"/>
      <c r="LB260" s="93"/>
      <c r="LC260" s="93"/>
      <c r="LD260" s="93"/>
      <c r="LE260" s="93"/>
      <c r="LF260" s="93"/>
      <c r="LG260" s="93"/>
      <c r="LH260" s="93"/>
      <c r="LI260" s="93"/>
      <c r="LJ260" s="93"/>
      <c r="LK260" s="93"/>
      <c r="LL260" s="93"/>
      <c r="LM260" s="93"/>
      <c r="LN260" s="93"/>
      <c r="LO260" s="93"/>
      <c r="LP260" s="93"/>
      <c r="LQ260" s="93"/>
      <c r="LR260" s="93"/>
      <c r="LS260" s="93"/>
      <c r="LT260" s="93"/>
      <c r="LU260" s="93"/>
      <c r="LV260" s="93"/>
      <c r="LW260" s="93"/>
      <c r="LX260" s="93"/>
      <c r="LY260" s="93"/>
      <c r="LZ260" s="93"/>
      <c r="MA260" s="93"/>
      <c r="MB260" s="93"/>
      <c r="MC260" s="93"/>
      <c r="MD260" s="93"/>
      <c r="ME260" s="93"/>
      <c r="MF260" s="93"/>
      <c r="MG260" s="93"/>
      <c r="MH260" s="93"/>
      <c r="MI260" s="93"/>
      <c r="MJ260" s="93"/>
      <c r="MK260" s="93"/>
      <c r="ML260" s="93"/>
      <c r="MM260" s="93"/>
      <c r="MN260" s="93"/>
      <c r="MO260" s="93"/>
      <c r="MP260" s="93"/>
      <c r="MQ260" s="93"/>
      <c r="MR260" s="93"/>
      <c r="MS260" s="93"/>
      <c r="MT260" s="93"/>
      <c r="MU260" s="93"/>
      <c r="MV260" s="93"/>
      <c r="MW260" s="93"/>
      <c r="MX260" s="93"/>
      <c r="MY260" s="93"/>
      <c r="MZ260" s="93"/>
      <c r="NA260" s="93"/>
      <c r="NB260" s="93"/>
      <c r="NC260" s="93"/>
      <c r="ND260" s="93"/>
      <c r="NE260" s="93"/>
      <c r="NF260" s="93"/>
      <c r="NG260" s="93"/>
      <c r="NH260" s="93"/>
      <c r="NI260" s="93"/>
      <c r="NJ260" s="93"/>
      <c r="NK260" s="93"/>
      <c r="NL260" s="93"/>
      <c r="NM260" s="93"/>
      <c r="NN260" s="93"/>
      <c r="NO260" s="93"/>
      <c r="NP260" s="93"/>
      <c r="NQ260" s="93"/>
      <c r="NR260" s="93"/>
      <c r="NS260" s="93"/>
      <c r="NT260" s="93"/>
      <c r="NU260" s="93"/>
      <c r="NV260" s="93"/>
      <c r="NW260" s="93"/>
      <c r="NX260" s="93"/>
      <c r="NY260" s="93"/>
      <c r="NZ260" s="93"/>
      <c r="OA260" s="93"/>
      <c r="OB260" s="93"/>
      <c r="OC260" s="93"/>
      <c r="OD260" s="93"/>
      <c r="OE260" s="93"/>
      <c r="OF260" s="93"/>
      <c r="OG260" s="93"/>
      <c r="OH260" s="93"/>
      <c r="OI260" s="93"/>
      <c r="OJ260" s="93"/>
      <c r="OK260" s="93"/>
      <c r="OL260" s="93"/>
      <c r="OM260" s="93"/>
      <c r="ON260" s="93"/>
      <c r="OO260" s="93"/>
      <c r="OP260" s="93"/>
      <c r="OQ260" s="93"/>
      <c r="OR260" s="93"/>
      <c r="OS260" s="93"/>
      <c r="OT260" s="93"/>
      <c r="OU260" s="93"/>
      <c r="OV260" s="93"/>
      <c r="OW260" s="93"/>
      <c r="OX260" s="93"/>
      <c r="OY260" s="93"/>
      <c r="OZ260" s="93"/>
      <c r="PA260" s="93"/>
      <c r="PB260" s="93"/>
      <c r="PC260" s="93"/>
      <c r="PD260" s="93"/>
      <c r="PE260" s="93"/>
      <c r="PF260" s="93"/>
      <c r="PG260" s="93"/>
      <c r="PH260" s="93"/>
      <c r="PI260" s="93"/>
      <c r="PJ260" s="93"/>
      <c r="PK260" s="93"/>
      <c r="PL260" s="93"/>
      <c r="PM260" s="93"/>
      <c r="PN260" s="93"/>
      <c r="PO260" s="93"/>
      <c r="PP260" s="93"/>
      <c r="PQ260" s="93"/>
      <c r="PR260" s="93"/>
      <c r="PS260" s="93"/>
      <c r="PT260" s="93"/>
      <c r="PU260" s="93"/>
      <c r="PV260" s="93"/>
      <c r="PW260" s="93"/>
      <c r="PX260" s="93"/>
      <c r="PY260" s="93"/>
      <c r="PZ260" s="93"/>
      <c r="QA260" s="93"/>
      <c r="QB260" s="93"/>
      <c r="QC260" s="93"/>
      <c r="QD260" s="93"/>
      <c r="QE260" s="93"/>
      <c r="QF260" s="93"/>
      <c r="QG260" s="93"/>
      <c r="QH260" s="93"/>
      <c r="QI260" s="93"/>
      <c r="QJ260" s="93"/>
      <c r="QK260" s="93"/>
      <c r="QL260" s="93"/>
      <c r="QM260" s="93"/>
      <c r="QN260" s="93"/>
      <c r="QO260" s="93"/>
      <c r="QP260" s="93"/>
      <c r="QQ260" s="93"/>
      <c r="QR260" s="93"/>
      <c r="QS260" s="93"/>
      <c r="QT260" s="93"/>
      <c r="QU260" s="93"/>
      <c r="QV260" s="93"/>
      <c r="QW260" s="93"/>
      <c r="QX260" s="93"/>
      <c r="QY260" s="93"/>
      <c r="QZ260" s="93"/>
      <c r="RA260" s="93"/>
      <c r="RB260" s="93"/>
      <c r="RC260" s="93"/>
      <c r="RD260" s="93"/>
      <c r="RE260" s="93"/>
      <c r="RF260" s="93"/>
      <c r="RG260" s="93"/>
      <c r="RH260" s="93"/>
      <c r="RI260" s="93"/>
      <c r="RJ260" s="93"/>
      <c r="RK260" s="93"/>
      <c r="RL260" s="93"/>
      <c r="RM260" s="93"/>
      <c r="RN260" s="93"/>
      <c r="RO260" s="93"/>
      <c r="RP260" s="93"/>
      <c r="RQ260" s="93"/>
      <c r="RR260" s="93"/>
      <c r="RS260" s="93"/>
      <c r="RT260" s="93"/>
      <c r="RU260" s="93"/>
      <c r="RV260" s="93"/>
      <c r="RW260" s="93"/>
      <c r="RX260" s="93"/>
      <c r="RY260" s="93"/>
      <c r="RZ260" s="93"/>
      <c r="SA260" s="93"/>
      <c r="SB260" s="93"/>
      <c r="SC260" s="93"/>
      <c r="SD260" s="93"/>
      <c r="SE260" s="93"/>
      <c r="SF260" s="93"/>
      <c r="SG260" s="93"/>
      <c r="SH260" s="93"/>
      <c r="SI260" s="93"/>
      <c r="SJ260" s="93"/>
      <c r="SK260" s="93"/>
      <c r="SL260" s="93"/>
      <c r="SM260" s="93"/>
      <c r="SN260" s="93"/>
      <c r="SO260" s="93"/>
      <c r="SP260" s="93"/>
      <c r="SQ260" s="93"/>
      <c r="SR260" s="93"/>
      <c r="SS260" s="93"/>
      <c r="ST260" s="93"/>
      <c r="SU260" s="93"/>
      <c r="SV260" s="93"/>
      <c r="SW260" s="93"/>
      <c r="SX260" s="93"/>
      <c r="SY260" s="93"/>
      <c r="SZ260" s="93"/>
      <c r="TA260" s="93"/>
      <c r="TB260" s="93"/>
      <c r="TC260" s="93"/>
      <c r="TD260" s="93"/>
      <c r="TE260" s="93"/>
      <c r="TF260" s="93"/>
      <c r="TG260" s="93"/>
      <c r="TH260" s="93"/>
      <c r="TI260" s="93"/>
      <c r="TJ260" s="93"/>
      <c r="TK260" s="93"/>
      <c r="TL260" s="93"/>
      <c r="TM260" s="93"/>
      <c r="TN260" s="93"/>
      <c r="TO260" s="93"/>
      <c r="TP260" s="93"/>
      <c r="TQ260" s="93"/>
      <c r="TR260" s="93"/>
      <c r="TS260" s="93"/>
      <c r="TT260" s="93"/>
      <c r="TU260" s="93"/>
      <c r="TV260" s="93"/>
      <c r="TW260" s="93"/>
      <c r="TX260" s="93"/>
      <c r="TY260" s="93"/>
      <c r="TZ260" s="93"/>
      <c r="UA260" s="93"/>
      <c r="UB260" s="93"/>
      <c r="UC260" s="93"/>
      <c r="UD260" s="93"/>
      <c r="UE260" s="93"/>
      <c r="UF260" s="93"/>
      <c r="UG260" s="93"/>
      <c r="UH260" s="93"/>
      <c r="UI260" s="93"/>
      <c r="UJ260" s="93"/>
      <c r="UK260" s="93"/>
      <c r="UL260" s="93"/>
      <c r="UM260" s="93"/>
      <c r="UN260" s="93"/>
      <c r="UO260" s="93"/>
      <c r="UP260" s="93"/>
      <c r="UQ260" s="93"/>
      <c r="UR260" s="93"/>
      <c r="US260" s="93"/>
      <c r="UT260" s="93"/>
      <c r="UU260" s="93"/>
      <c r="UV260" s="93"/>
      <c r="UW260" s="93"/>
      <c r="UX260" s="93"/>
      <c r="UY260" s="93"/>
      <c r="UZ260" s="93"/>
      <c r="VA260" s="93"/>
      <c r="VB260" s="93"/>
      <c r="VC260" s="93"/>
      <c r="VD260" s="93"/>
      <c r="VE260" s="93"/>
      <c r="VF260" s="93"/>
      <c r="VG260" s="93"/>
      <c r="VH260" s="93"/>
      <c r="VI260" s="93"/>
      <c r="VJ260" s="93"/>
      <c r="VK260" s="93"/>
      <c r="VL260" s="93"/>
      <c r="VM260" s="93"/>
      <c r="VN260" s="93"/>
      <c r="VO260" s="93"/>
      <c r="VP260" s="93"/>
      <c r="VQ260" s="93"/>
      <c r="VR260" s="93"/>
      <c r="VS260" s="93"/>
      <c r="VT260" s="93"/>
      <c r="VU260" s="93"/>
      <c r="VV260" s="93"/>
      <c r="VW260" s="93"/>
      <c r="VX260" s="93"/>
      <c r="VY260" s="93"/>
      <c r="VZ260" s="93"/>
      <c r="WA260" s="93"/>
      <c r="WB260" s="93"/>
      <c r="WC260" s="93"/>
      <c r="WD260" s="93"/>
      <c r="WE260" s="93"/>
      <c r="WF260" s="93"/>
      <c r="WG260" s="93"/>
      <c r="WH260" s="93"/>
      <c r="WI260" s="93"/>
      <c r="WJ260" s="93"/>
      <c r="WK260" s="93"/>
      <c r="WL260" s="93"/>
      <c r="WM260" s="93"/>
      <c r="WN260" s="93"/>
      <c r="WO260" s="93"/>
      <c r="WP260" s="93"/>
      <c r="WQ260" s="93"/>
      <c r="WR260" s="93"/>
      <c r="WS260" s="93"/>
      <c r="WT260" s="93"/>
      <c r="WU260" s="93"/>
      <c r="WV260" s="93"/>
      <c r="WW260" s="93"/>
      <c r="WX260" s="93"/>
      <c r="WY260" s="93"/>
      <c r="WZ260" s="93"/>
      <c r="XA260" s="93"/>
      <c r="XB260" s="93"/>
      <c r="XC260" s="93"/>
      <c r="XD260" s="93"/>
      <c r="XE260" s="93"/>
      <c r="XF260" s="93"/>
      <c r="XG260" s="93"/>
      <c r="XH260" s="93"/>
      <c r="XI260" s="93"/>
      <c r="XJ260" s="93"/>
      <c r="XK260" s="93"/>
      <c r="XL260" s="93"/>
      <c r="XM260" s="93"/>
      <c r="XN260" s="93"/>
      <c r="XO260" s="93"/>
      <c r="XP260" s="93"/>
      <c r="XQ260" s="93"/>
      <c r="XR260" s="93"/>
      <c r="XS260" s="93"/>
      <c r="XT260" s="93"/>
      <c r="XU260" s="93"/>
      <c r="XV260" s="93"/>
      <c r="XW260" s="93"/>
      <c r="XX260" s="93"/>
      <c r="XY260" s="93"/>
      <c r="XZ260" s="93"/>
      <c r="YA260" s="93"/>
      <c r="YB260" s="93"/>
      <c r="YC260" s="93"/>
      <c r="YD260" s="93"/>
      <c r="YE260" s="93"/>
      <c r="YF260" s="93"/>
      <c r="YG260" s="93"/>
      <c r="YH260" s="93"/>
      <c r="YI260" s="93"/>
      <c r="YJ260" s="93"/>
      <c r="YK260" s="93"/>
      <c r="YL260" s="93"/>
      <c r="YM260" s="93"/>
      <c r="YN260" s="93"/>
      <c r="YO260" s="93"/>
      <c r="YP260" s="93"/>
      <c r="YQ260" s="93"/>
      <c r="YR260" s="93"/>
      <c r="YS260" s="93"/>
      <c r="YT260" s="93"/>
      <c r="YU260" s="93"/>
      <c r="YV260" s="93"/>
      <c r="YW260" s="93"/>
      <c r="YX260" s="93"/>
      <c r="YY260" s="93"/>
      <c r="YZ260" s="93"/>
      <c r="ZA260" s="93"/>
      <c r="ZB260" s="93"/>
      <c r="ZC260" s="93"/>
      <c r="ZD260" s="93"/>
      <c r="ZE260" s="93"/>
      <c r="ZF260" s="93"/>
      <c r="ZG260" s="93"/>
      <c r="ZH260" s="93"/>
      <c r="ZI260" s="93"/>
      <c r="ZJ260" s="93"/>
      <c r="ZK260" s="93"/>
      <c r="ZL260" s="93"/>
      <c r="ZM260" s="93"/>
      <c r="ZN260" s="93"/>
      <c r="ZO260" s="93"/>
      <c r="ZP260" s="93"/>
      <c r="ZQ260" s="93"/>
      <c r="ZR260" s="93"/>
      <c r="ZS260" s="93"/>
      <c r="ZT260" s="93"/>
      <c r="ZU260" s="93"/>
      <c r="ZV260" s="93"/>
      <c r="ZW260" s="93"/>
      <c r="ZX260" s="93"/>
      <c r="ZY260" s="93"/>
      <c r="ZZ260" s="93"/>
      <c r="AAA260" s="93"/>
      <c r="AAB260" s="93"/>
      <c r="AAC260" s="93"/>
      <c r="AAD260" s="93"/>
      <c r="AAE260" s="93"/>
      <c r="AAF260" s="93"/>
      <c r="AAG260" s="93"/>
      <c r="AAH260" s="93"/>
      <c r="AAI260" s="93"/>
      <c r="AAJ260" s="93"/>
      <c r="AAK260" s="93"/>
      <c r="AAL260" s="93"/>
      <c r="AAM260" s="93"/>
      <c r="AAN260" s="93"/>
      <c r="AAO260" s="93"/>
      <c r="AAP260" s="93"/>
      <c r="AAQ260" s="93"/>
      <c r="AAR260" s="93"/>
      <c r="AAS260" s="93"/>
      <c r="AAT260" s="93"/>
      <c r="AAU260" s="93"/>
      <c r="AAV260" s="93"/>
      <c r="AAW260" s="93"/>
      <c r="AAX260" s="93"/>
      <c r="AAY260" s="93"/>
      <c r="AAZ260" s="93"/>
      <c r="ABA260" s="93"/>
      <c r="ABB260" s="93"/>
      <c r="ABC260" s="93"/>
      <c r="ABD260" s="93"/>
      <c r="ABE260" s="93"/>
      <c r="ABF260" s="93"/>
      <c r="ABG260" s="93"/>
      <c r="ABH260" s="93"/>
      <c r="ABI260" s="93"/>
      <c r="ABJ260" s="93"/>
      <c r="ABK260" s="93"/>
      <c r="ABL260" s="93"/>
      <c r="ABM260" s="93"/>
      <c r="ABN260" s="93"/>
      <c r="ABO260" s="93"/>
      <c r="ABP260" s="93"/>
      <c r="ABQ260" s="93"/>
      <c r="ABR260" s="93"/>
      <c r="ABS260" s="93"/>
      <c r="ABT260" s="93"/>
      <c r="ABU260" s="93"/>
      <c r="ABV260" s="93"/>
      <c r="ABW260" s="93"/>
      <c r="ABX260" s="93"/>
      <c r="ABY260" s="93"/>
      <c r="ABZ260" s="93"/>
      <c r="ACA260" s="93"/>
      <c r="ACB260" s="93"/>
      <c r="ACC260" s="93"/>
      <c r="ACD260" s="93"/>
      <c r="ACE260" s="93"/>
      <c r="ACF260" s="93"/>
      <c r="ACG260" s="93"/>
      <c r="ACH260" s="93"/>
      <c r="ACI260" s="93"/>
      <c r="ACJ260" s="93"/>
      <c r="ACK260" s="93"/>
      <c r="ACL260" s="93"/>
      <c r="ACM260" s="93"/>
      <c r="ACN260" s="93"/>
      <c r="ACO260" s="93"/>
      <c r="ACP260" s="93"/>
      <c r="ACQ260" s="93"/>
      <c r="ACR260" s="93"/>
      <c r="ACS260" s="93"/>
      <c r="ACT260" s="93"/>
      <c r="ACU260" s="93"/>
      <c r="ACV260" s="93"/>
      <c r="ACW260" s="93"/>
      <c r="ACX260" s="93"/>
      <c r="ACY260" s="93"/>
      <c r="ACZ260" s="93"/>
      <c r="ADA260" s="93"/>
      <c r="ADB260" s="93"/>
      <c r="ADC260" s="93"/>
      <c r="ADD260" s="93"/>
      <c r="ADE260" s="93"/>
      <c r="ADF260" s="93"/>
      <c r="ADG260" s="93"/>
      <c r="ADH260" s="93"/>
      <c r="ADI260" s="93"/>
      <c r="ADJ260" s="93"/>
      <c r="ADK260" s="93"/>
      <c r="ADL260" s="93"/>
      <c r="ADM260" s="93"/>
      <c r="ADN260" s="93"/>
      <c r="ADO260" s="93"/>
      <c r="ADP260" s="93"/>
      <c r="ADQ260" s="93"/>
      <c r="ADR260" s="93"/>
      <c r="ADS260" s="93"/>
      <c r="ADT260" s="93"/>
      <c r="ADU260" s="93"/>
      <c r="ADV260" s="93"/>
      <c r="ADW260" s="93"/>
      <c r="ADX260" s="93"/>
      <c r="ADY260" s="93"/>
      <c r="ADZ260" s="93"/>
      <c r="AEA260" s="93"/>
      <c r="AEB260" s="93"/>
      <c r="AEC260" s="93"/>
      <c r="AED260" s="93"/>
      <c r="AEE260" s="93"/>
      <c r="AEF260" s="93"/>
      <c r="AEG260" s="93"/>
      <c r="AEH260" s="93"/>
      <c r="AEI260" s="93"/>
      <c r="AEJ260" s="93"/>
      <c r="AEK260" s="93"/>
      <c r="AEL260" s="93"/>
      <c r="AEM260" s="93"/>
      <c r="AEN260" s="93"/>
      <c r="AEO260" s="93"/>
      <c r="AEP260" s="93"/>
      <c r="AEQ260" s="93"/>
      <c r="AER260" s="93"/>
      <c r="AES260" s="93"/>
      <c r="AET260" s="93"/>
      <c r="AEU260" s="93"/>
      <c r="AEV260" s="93"/>
      <c r="AEW260" s="93"/>
      <c r="AEX260" s="93"/>
      <c r="AEY260" s="93"/>
      <c r="AEZ260" s="93"/>
      <c r="AFA260" s="93"/>
      <c r="AFB260" s="93"/>
      <c r="AFC260" s="93"/>
      <c r="AFD260" s="93"/>
      <c r="AFE260" s="93"/>
      <c r="AFF260" s="93"/>
      <c r="AFG260" s="93"/>
      <c r="AFH260" s="93"/>
      <c r="AFI260" s="93"/>
      <c r="AFJ260" s="93"/>
      <c r="AFK260" s="93"/>
      <c r="AFL260" s="93"/>
      <c r="AFM260" s="93"/>
      <c r="AFN260" s="93"/>
      <c r="AFO260" s="93"/>
      <c r="AFP260" s="93"/>
      <c r="AFQ260" s="93"/>
      <c r="AFR260" s="93"/>
      <c r="AFS260" s="93"/>
      <c r="AFT260" s="93"/>
      <c r="AFU260" s="93"/>
      <c r="AFV260" s="93"/>
      <c r="AFW260" s="93"/>
      <c r="AFX260" s="93"/>
      <c r="AFY260" s="93"/>
      <c r="AFZ260" s="93"/>
      <c r="AGA260" s="93"/>
      <c r="AGB260" s="93"/>
      <c r="AGC260" s="93"/>
      <c r="AGD260" s="93"/>
      <c r="AGE260" s="93"/>
      <c r="AGF260" s="93"/>
      <c r="AGG260" s="93"/>
      <c r="AGH260" s="93"/>
      <c r="AGI260" s="93"/>
      <c r="AGJ260" s="93"/>
      <c r="AGK260" s="93"/>
      <c r="AGL260" s="93"/>
      <c r="AGM260" s="93"/>
      <c r="AGN260" s="93"/>
      <c r="AGO260" s="93"/>
      <c r="AGP260" s="93"/>
      <c r="AGQ260" s="93"/>
      <c r="AGR260" s="93"/>
      <c r="AGS260" s="93"/>
      <c r="AGT260" s="93"/>
      <c r="AGU260" s="93"/>
      <c r="AGV260" s="93"/>
      <c r="AGW260" s="93"/>
      <c r="AGX260" s="93"/>
      <c r="AGY260" s="93"/>
      <c r="AGZ260" s="93"/>
      <c r="AHA260" s="93"/>
      <c r="AHB260" s="93"/>
      <c r="AHC260" s="93"/>
      <c r="AHD260" s="93"/>
      <c r="AHE260" s="93"/>
      <c r="AHF260" s="93"/>
      <c r="AHG260" s="93"/>
      <c r="AHH260" s="93"/>
      <c r="AHI260" s="93"/>
      <c r="AHJ260" s="93"/>
      <c r="AHK260" s="93"/>
      <c r="AHL260" s="93"/>
      <c r="AHM260" s="93"/>
      <c r="AHN260" s="93"/>
      <c r="AHO260" s="93"/>
      <c r="AHP260" s="93"/>
      <c r="AHQ260" s="93"/>
      <c r="AHR260" s="93"/>
      <c r="AHS260" s="93"/>
      <c r="AHT260" s="93"/>
      <c r="AHU260" s="93"/>
      <c r="AHV260" s="93"/>
      <c r="AHW260" s="93"/>
      <c r="AHX260" s="93"/>
      <c r="AHY260" s="93"/>
      <c r="AHZ260" s="93"/>
      <c r="AIA260" s="93"/>
      <c r="AIB260" s="93"/>
      <c r="AIC260" s="93"/>
      <c r="AID260" s="93"/>
      <c r="AIE260" s="93"/>
      <c r="AIF260" s="93"/>
      <c r="AIG260" s="93"/>
      <c r="AIH260" s="93"/>
      <c r="AII260" s="93"/>
      <c r="AIJ260" s="93"/>
      <c r="AIK260" s="93"/>
      <c r="AIL260" s="93"/>
      <c r="AIM260" s="93"/>
      <c r="AIN260" s="93"/>
      <c r="AIO260" s="93"/>
      <c r="AIP260" s="93"/>
      <c r="AIQ260" s="93"/>
      <c r="AIR260" s="93"/>
      <c r="AIS260" s="93"/>
      <c r="AIT260" s="93"/>
      <c r="AIU260" s="93"/>
      <c r="AIV260" s="93"/>
      <c r="AIW260" s="93"/>
      <c r="AIX260" s="93"/>
      <c r="AIY260" s="93"/>
      <c r="AIZ260" s="93"/>
      <c r="AJA260" s="93"/>
      <c r="AJB260" s="93"/>
      <c r="AJC260" s="93"/>
      <c r="AJD260" s="93"/>
      <c r="AJE260" s="93"/>
      <c r="AJF260" s="93"/>
      <c r="AJG260" s="93"/>
      <c r="AJH260" s="93"/>
      <c r="AJI260" s="93"/>
      <c r="AJJ260" s="93"/>
      <c r="AJK260" s="93"/>
      <c r="AJL260" s="93"/>
      <c r="AJM260" s="93"/>
      <c r="AJN260" s="93"/>
      <c r="AJO260" s="93"/>
      <c r="AJP260" s="93"/>
      <c r="AJQ260" s="93"/>
      <c r="AJR260" s="93"/>
      <c r="AJS260" s="93"/>
      <c r="AJT260" s="93"/>
      <c r="AJU260" s="93"/>
      <c r="AJV260" s="93"/>
      <c r="AJW260" s="93"/>
      <c r="AJX260" s="93"/>
      <c r="AJY260" s="93"/>
      <c r="AJZ260" s="93"/>
      <c r="AKA260" s="93"/>
      <c r="AKB260" s="93"/>
      <c r="AKC260" s="93"/>
      <c r="AKD260" s="93"/>
      <c r="AKE260" s="93"/>
      <c r="AKF260" s="93"/>
      <c r="AKG260" s="93"/>
      <c r="AKH260" s="93"/>
      <c r="AKI260" s="93"/>
      <c r="AKJ260" s="93"/>
      <c r="AKK260" s="93"/>
      <c r="AKL260" s="93"/>
      <c r="AKM260" s="93"/>
      <c r="AKN260" s="93"/>
      <c r="AKO260" s="93"/>
      <c r="AKP260" s="93"/>
      <c r="AKQ260" s="93"/>
      <c r="AKR260" s="93"/>
      <c r="AKS260" s="93"/>
      <c r="AKT260" s="93"/>
      <c r="AKU260" s="93"/>
      <c r="AKV260" s="93"/>
      <c r="AKW260" s="93"/>
      <c r="AKX260" s="93"/>
      <c r="AKY260" s="93"/>
      <c r="AKZ260" s="93"/>
      <c r="ALA260" s="93"/>
      <c r="ALB260" s="93"/>
      <c r="ALC260" s="93"/>
      <c r="ALD260" s="93"/>
      <c r="ALE260" s="93"/>
      <c r="ALF260" s="93"/>
      <c r="ALG260" s="93"/>
      <c r="ALH260" s="93"/>
      <c r="ALI260" s="93"/>
      <c r="ALJ260" s="93"/>
      <c r="ALK260" s="93"/>
      <c r="ALL260" s="93"/>
      <c r="ALM260" s="93"/>
      <c r="ALN260" s="93"/>
      <c r="ALO260" s="93"/>
      <c r="ALP260" s="93"/>
      <c r="ALQ260" s="93"/>
      <c r="ALR260" s="93"/>
      <c r="ALS260" s="93"/>
      <c r="ALT260" s="93"/>
      <c r="ALU260" s="93"/>
      <c r="ALV260" s="93"/>
      <c r="ALW260" s="93"/>
      <c r="ALX260" s="93"/>
      <c r="ALY260" s="93"/>
      <c r="ALZ260" s="93"/>
      <c r="AMA260" s="93"/>
      <c r="AMB260" s="93"/>
      <c r="AMC260" s="93"/>
      <c r="AMD260" s="93"/>
      <c r="AME260" s="93"/>
      <c r="AMF260" s="93"/>
      <c r="AMG260" s="93"/>
      <c r="AMH260" s="93"/>
      <c r="AMI260" s="93"/>
      <c r="AMJ260" s="93"/>
      <c r="AMK260" s="93"/>
      <c r="AML260" s="93"/>
      <c r="AMM260" s="93"/>
      <c r="AMN260" s="93"/>
      <c r="AMO260" s="93"/>
      <c r="AMP260" s="93"/>
      <c r="AMQ260" s="93"/>
      <c r="AMR260" s="93"/>
      <c r="AMS260" s="93"/>
      <c r="AMT260" s="93"/>
      <c r="AMU260" s="93"/>
      <c r="AMV260" s="93"/>
      <c r="AMW260" s="93"/>
      <c r="AMX260" s="93"/>
      <c r="AMY260" s="93"/>
      <c r="AMZ260" s="93"/>
      <c r="ANA260" s="93"/>
      <c r="ANB260" s="93"/>
      <c r="ANC260" s="93"/>
      <c r="AND260" s="93"/>
      <c r="ANE260" s="93"/>
      <c r="ANF260" s="93"/>
      <c r="ANG260" s="93"/>
      <c r="ANH260" s="93"/>
      <c r="ANI260" s="93"/>
      <c r="ANJ260" s="93"/>
      <c r="ANK260" s="93"/>
      <c r="ANL260" s="93"/>
      <c r="ANM260" s="93"/>
      <c r="ANN260" s="93"/>
      <c r="ANO260" s="93"/>
      <c r="ANP260" s="93"/>
      <c r="ANQ260" s="93"/>
      <c r="ANR260" s="93"/>
      <c r="ANS260" s="93"/>
      <c r="ANT260" s="93"/>
      <c r="ANU260" s="93"/>
      <c r="ANV260" s="93"/>
      <c r="ANW260" s="93"/>
      <c r="ANX260" s="93"/>
      <c r="ANY260" s="93"/>
      <c r="ANZ260" s="93"/>
      <c r="AOA260" s="93"/>
      <c r="AOB260" s="93"/>
      <c r="AOC260" s="93"/>
      <c r="AOD260" s="93"/>
      <c r="AOE260" s="93"/>
      <c r="AOF260" s="93"/>
      <c r="AOG260" s="93"/>
      <c r="AOH260" s="93"/>
      <c r="AOI260" s="93"/>
      <c r="AOJ260" s="93"/>
      <c r="AOK260" s="93"/>
      <c r="AOL260" s="93"/>
      <c r="AOM260" s="93"/>
      <c r="AON260" s="93"/>
      <c r="AOO260" s="93"/>
      <c r="AOP260" s="93"/>
      <c r="AOQ260" s="93"/>
      <c r="AOR260" s="93"/>
      <c r="AOS260" s="93"/>
      <c r="AOT260" s="93"/>
      <c r="AOU260" s="93"/>
      <c r="AOV260" s="93"/>
      <c r="AOW260" s="93"/>
      <c r="AOX260" s="93"/>
      <c r="AOY260" s="93"/>
      <c r="AOZ260" s="93"/>
      <c r="APA260" s="93"/>
      <c r="APB260" s="93"/>
      <c r="APC260" s="93"/>
      <c r="APD260" s="93"/>
      <c r="APE260" s="93"/>
      <c r="APF260" s="93"/>
      <c r="APG260" s="93"/>
      <c r="APH260" s="93"/>
      <c r="API260" s="93"/>
      <c r="APJ260" s="93"/>
      <c r="APK260" s="93"/>
      <c r="APL260" s="93"/>
      <c r="APM260" s="93"/>
      <c r="APN260" s="93"/>
      <c r="APO260" s="93"/>
      <c r="APP260" s="93"/>
      <c r="APQ260" s="93"/>
      <c r="APR260" s="93"/>
      <c r="APS260" s="93"/>
      <c r="APT260" s="93"/>
      <c r="APU260" s="93"/>
      <c r="APV260" s="93"/>
      <c r="APW260" s="93"/>
      <c r="APX260" s="93"/>
      <c r="APY260" s="93"/>
      <c r="APZ260" s="93"/>
      <c r="AQA260" s="93"/>
      <c r="AQB260" s="93"/>
      <c r="AQC260" s="93"/>
      <c r="AQD260" s="93"/>
      <c r="AQE260" s="93"/>
      <c r="AQF260" s="93"/>
      <c r="AQG260" s="93"/>
      <c r="AQH260" s="93"/>
      <c r="AQI260" s="93"/>
      <c r="AQJ260" s="93"/>
      <c r="AQK260" s="93"/>
      <c r="AQL260" s="93"/>
      <c r="AQM260" s="93"/>
      <c r="AQN260" s="93"/>
      <c r="AQO260" s="93"/>
      <c r="AQP260" s="93"/>
      <c r="AQQ260" s="93"/>
      <c r="AQR260" s="93"/>
      <c r="AQS260" s="93"/>
      <c r="AQT260" s="93"/>
      <c r="AQU260" s="93"/>
      <c r="AQV260" s="93"/>
      <c r="AQW260" s="93"/>
      <c r="AQX260" s="93"/>
      <c r="AQY260" s="93"/>
      <c r="AQZ260" s="93"/>
      <c r="ARA260" s="93"/>
      <c r="ARB260" s="93"/>
      <c r="ARC260" s="93"/>
      <c r="ARD260" s="93"/>
      <c r="ARE260" s="93"/>
      <c r="ARF260" s="93"/>
      <c r="ARG260" s="93"/>
      <c r="ARH260" s="93"/>
      <c r="ARI260" s="93"/>
      <c r="ARJ260" s="93"/>
      <c r="ARK260" s="93"/>
      <c r="ARL260" s="93"/>
      <c r="ARM260" s="93"/>
      <c r="ARN260" s="93"/>
      <c r="ARO260" s="93"/>
      <c r="ARP260" s="93"/>
      <c r="ARQ260" s="93"/>
      <c r="ARR260" s="93"/>
      <c r="ARS260" s="93"/>
      <c r="ART260" s="93"/>
      <c r="ARU260" s="93"/>
      <c r="ARV260" s="93"/>
      <c r="ARW260" s="93"/>
      <c r="ARX260" s="93"/>
      <c r="ARY260" s="93"/>
      <c r="ARZ260" s="93"/>
      <c r="ASA260" s="93"/>
      <c r="ASB260" s="93"/>
      <c r="ASC260" s="93"/>
      <c r="ASD260" s="93"/>
      <c r="ASE260" s="93"/>
      <c r="ASF260" s="93"/>
      <c r="ASG260" s="93"/>
      <c r="ASH260" s="93"/>
      <c r="ASI260" s="93"/>
      <c r="ASJ260" s="93"/>
      <c r="ASK260" s="93"/>
      <c r="ASL260" s="93"/>
      <c r="ASM260" s="93"/>
      <c r="ASN260" s="93"/>
      <c r="ASO260" s="93"/>
      <c r="ASP260" s="93"/>
      <c r="ASQ260" s="93"/>
      <c r="ASR260" s="93"/>
      <c r="ASS260" s="93"/>
      <c r="AST260" s="93"/>
      <c r="ASU260" s="93"/>
      <c r="ASV260" s="93"/>
      <c r="ASW260" s="93"/>
      <c r="ASX260" s="93"/>
      <c r="ASY260" s="93"/>
      <c r="ASZ260" s="93"/>
      <c r="ATA260" s="93"/>
      <c r="ATB260" s="93"/>
      <c r="ATC260" s="93"/>
      <c r="ATD260" s="93"/>
      <c r="ATE260" s="93"/>
      <c r="ATF260" s="93"/>
      <c r="ATG260" s="93"/>
      <c r="ATH260" s="93"/>
      <c r="ATI260" s="93"/>
      <c r="ATJ260" s="93"/>
      <c r="ATK260" s="93"/>
      <c r="ATL260" s="93"/>
      <c r="ATM260" s="93"/>
      <c r="ATN260" s="93"/>
      <c r="ATO260" s="93"/>
      <c r="ATP260" s="93"/>
      <c r="ATQ260" s="93"/>
      <c r="ATR260" s="93"/>
      <c r="ATS260" s="93"/>
      <c r="ATT260" s="93"/>
      <c r="ATU260" s="93"/>
      <c r="ATV260" s="93"/>
      <c r="ATW260" s="93"/>
      <c r="ATX260" s="93"/>
      <c r="ATY260" s="93"/>
      <c r="ATZ260" s="93"/>
      <c r="AUA260" s="93"/>
      <c r="AUB260" s="93"/>
      <c r="AUC260" s="93"/>
      <c r="AUD260" s="93"/>
      <c r="AUE260" s="93"/>
      <c r="AUF260" s="93"/>
      <c r="AUG260" s="93"/>
      <c r="AUH260" s="93"/>
      <c r="AUI260" s="93"/>
      <c r="AUJ260" s="93"/>
      <c r="AUK260" s="93"/>
      <c r="AUL260" s="93"/>
      <c r="AUM260" s="93"/>
      <c r="AUN260" s="93"/>
      <c r="AUO260" s="93"/>
      <c r="AUP260" s="93"/>
      <c r="AUQ260" s="93"/>
      <c r="AUR260" s="93"/>
      <c r="AUS260" s="93"/>
      <c r="AUT260" s="93"/>
      <c r="AUU260" s="93"/>
      <c r="AUV260" s="93"/>
      <c r="AUW260" s="93"/>
      <c r="AUX260" s="93"/>
      <c r="AUY260" s="93"/>
      <c r="AUZ260" s="93"/>
      <c r="AVA260" s="93"/>
      <c r="AVB260" s="93"/>
      <c r="AVC260" s="93"/>
      <c r="AVD260" s="93"/>
      <c r="AVE260" s="93"/>
      <c r="AVF260" s="93"/>
      <c r="AVG260" s="93"/>
      <c r="AVH260" s="93"/>
      <c r="AVI260" s="93"/>
      <c r="AVJ260" s="93"/>
      <c r="AVK260" s="93"/>
      <c r="AVL260" s="93"/>
      <c r="AVM260" s="93"/>
      <c r="AVN260" s="93"/>
      <c r="AVO260" s="93"/>
      <c r="AVP260" s="93"/>
      <c r="AVQ260" s="93"/>
      <c r="AVR260" s="93"/>
      <c r="AVS260" s="93"/>
      <c r="AVT260" s="93"/>
      <c r="AVU260" s="93"/>
      <c r="AVV260" s="93"/>
      <c r="AVW260" s="93"/>
      <c r="AVX260" s="93"/>
      <c r="AVY260" s="93"/>
      <c r="AVZ260" s="93"/>
      <c r="AWA260" s="93"/>
      <c r="AWB260" s="93"/>
      <c r="AWC260" s="93"/>
      <c r="AWD260" s="93"/>
      <c r="AWE260" s="93"/>
      <c r="AWF260" s="93"/>
      <c r="AWG260" s="93"/>
      <c r="AWH260" s="93"/>
      <c r="AWI260" s="93"/>
      <c r="AWJ260" s="93"/>
      <c r="AWK260" s="93"/>
      <c r="AWL260" s="93"/>
      <c r="AWM260" s="93"/>
      <c r="AWN260" s="93"/>
      <c r="AWO260" s="93"/>
      <c r="AWP260" s="93"/>
      <c r="AWQ260" s="93"/>
      <c r="AWR260" s="93"/>
      <c r="AWS260" s="93"/>
      <c r="AWT260" s="93"/>
      <c r="AWU260" s="93"/>
      <c r="AWV260" s="93"/>
      <c r="AWW260" s="93"/>
      <c r="AWX260" s="93"/>
      <c r="AWY260" s="93"/>
      <c r="AWZ260" s="93"/>
      <c r="AXA260" s="93"/>
      <c r="AXB260" s="93"/>
      <c r="AXC260" s="93"/>
      <c r="AXD260" s="93"/>
      <c r="AXE260" s="93"/>
      <c r="AXF260" s="93"/>
      <c r="AXG260" s="93"/>
      <c r="AXH260" s="93"/>
      <c r="AXI260" s="93"/>
      <c r="AXJ260" s="93"/>
      <c r="AXK260" s="93"/>
      <c r="AXL260" s="93"/>
      <c r="AXM260" s="93"/>
      <c r="AXN260" s="93"/>
      <c r="AXO260" s="93"/>
      <c r="AXP260" s="93"/>
      <c r="AXQ260" s="93"/>
      <c r="AXR260" s="93"/>
      <c r="AXS260" s="93"/>
      <c r="AXT260" s="93"/>
      <c r="AXU260" s="93"/>
      <c r="AXV260" s="93"/>
      <c r="AXW260" s="93"/>
      <c r="AXX260" s="93"/>
      <c r="AXY260" s="93"/>
      <c r="AXZ260" s="93"/>
      <c r="AYA260" s="93"/>
      <c r="AYB260" s="93"/>
      <c r="AYC260" s="93"/>
      <c r="AYD260" s="93"/>
      <c r="AYE260" s="93"/>
      <c r="AYF260" s="93"/>
      <c r="AYG260" s="93"/>
      <c r="AYH260" s="93"/>
      <c r="AYI260" s="93"/>
      <c r="AYJ260" s="93"/>
      <c r="AYK260" s="93"/>
      <c r="AYL260" s="93"/>
      <c r="AYM260" s="93"/>
      <c r="AYN260" s="93"/>
      <c r="AYO260" s="93"/>
      <c r="AYP260" s="93"/>
      <c r="AYQ260" s="93"/>
      <c r="AYR260" s="93"/>
      <c r="AYS260" s="93"/>
      <c r="AYT260" s="93"/>
      <c r="AYU260" s="93"/>
      <c r="AYV260" s="93"/>
      <c r="AYW260" s="93"/>
      <c r="AYX260" s="93"/>
      <c r="AYY260" s="93"/>
      <c r="AYZ260" s="93"/>
      <c r="AZA260" s="93"/>
      <c r="AZB260" s="93"/>
      <c r="AZC260" s="93"/>
      <c r="AZD260" s="93"/>
      <c r="AZE260" s="93"/>
      <c r="AZF260" s="93"/>
      <c r="AZG260" s="93"/>
      <c r="AZH260" s="93"/>
      <c r="AZI260" s="93"/>
      <c r="AZJ260" s="93"/>
      <c r="AZK260" s="93"/>
      <c r="AZL260" s="93"/>
      <c r="AZM260" s="93"/>
      <c r="AZN260" s="93"/>
      <c r="AZO260" s="93"/>
      <c r="AZP260" s="93"/>
      <c r="AZQ260" s="93"/>
      <c r="AZR260" s="93"/>
      <c r="AZS260" s="93"/>
      <c r="AZT260" s="93"/>
      <c r="AZU260" s="93"/>
      <c r="AZV260" s="93"/>
      <c r="AZW260" s="93"/>
      <c r="AZX260" s="93"/>
      <c r="AZY260" s="93"/>
      <c r="AZZ260" s="93"/>
      <c r="BAA260" s="93"/>
      <c r="BAB260" s="93"/>
      <c r="BAC260" s="93"/>
      <c r="BAD260" s="93"/>
      <c r="BAE260" s="93"/>
      <c r="BAF260" s="93"/>
      <c r="BAG260" s="93"/>
      <c r="BAH260" s="93"/>
      <c r="BAI260" s="93"/>
      <c r="BAJ260" s="93"/>
      <c r="BAK260" s="93"/>
      <c r="BAL260" s="93"/>
      <c r="BAM260" s="93"/>
      <c r="BAN260" s="93"/>
      <c r="BAO260" s="93"/>
      <c r="BAP260" s="93"/>
      <c r="BAQ260" s="93"/>
      <c r="BAR260" s="93"/>
      <c r="BAS260" s="93"/>
      <c r="BAT260" s="93"/>
      <c r="BAU260" s="93"/>
      <c r="BAV260" s="93"/>
      <c r="BAW260" s="93"/>
      <c r="BAX260" s="93"/>
      <c r="BAY260" s="93"/>
      <c r="BAZ260" s="93"/>
      <c r="BBA260" s="93"/>
      <c r="BBB260" s="93"/>
      <c r="BBC260" s="93"/>
      <c r="BBD260" s="93"/>
      <c r="BBE260" s="93"/>
      <c r="BBF260" s="93"/>
      <c r="BBG260" s="93"/>
      <c r="BBH260" s="93"/>
      <c r="BBI260" s="93"/>
      <c r="BBJ260" s="93"/>
      <c r="BBK260" s="93"/>
      <c r="BBL260" s="93"/>
      <c r="BBM260" s="93"/>
      <c r="BBN260" s="93"/>
      <c r="BBO260" s="93"/>
      <c r="BBP260" s="93"/>
      <c r="BBQ260" s="93"/>
      <c r="BBR260" s="93"/>
      <c r="BBS260" s="93"/>
      <c r="BBT260" s="93"/>
      <c r="BBU260" s="93"/>
      <c r="BBV260" s="93"/>
      <c r="BBW260" s="93"/>
      <c r="BBX260" s="93"/>
      <c r="BBY260" s="93"/>
      <c r="BBZ260" s="93"/>
      <c r="BCA260" s="93"/>
      <c r="BCB260" s="93"/>
      <c r="BCC260" s="93"/>
      <c r="BCD260" s="93"/>
      <c r="BCE260" s="93"/>
      <c r="BCF260" s="93"/>
      <c r="BCG260" s="93"/>
      <c r="BCH260" s="93"/>
      <c r="BCI260" s="93"/>
      <c r="BCJ260" s="93"/>
      <c r="BCK260" s="93"/>
      <c r="BCL260" s="93"/>
      <c r="BCM260" s="93"/>
      <c r="BCN260" s="93"/>
      <c r="BCO260" s="93"/>
      <c r="BCP260" s="93"/>
      <c r="BCQ260" s="93"/>
      <c r="BCR260" s="93"/>
      <c r="BCS260" s="93"/>
      <c r="BCT260" s="93"/>
      <c r="BCU260" s="93"/>
      <c r="BCV260" s="93"/>
      <c r="BCW260" s="93"/>
      <c r="BCX260" s="93"/>
      <c r="BCY260" s="93"/>
      <c r="BCZ260" s="93"/>
      <c r="BDA260" s="93"/>
      <c r="BDB260" s="93"/>
      <c r="BDC260" s="93"/>
      <c r="BDD260" s="93"/>
      <c r="BDE260" s="93"/>
      <c r="BDF260" s="93"/>
      <c r="BDG260" s="93"/>
      <c r="BDH260" s="93"/>
      <c r="BDI260" s="93"/>
      <c r="BDJ260" s="93"/>
      <c r="BDK260" s="93"/>
      <c r="BDL260" s="93"/>
      <c r="BDM260" s="93"/>
      <c r="BDN260" s="93"/>
      <c r="BDO260" s="93"/>
      <c r="BDP260" s="93"/>
      <c r="BDQ260" s="93"/>
      <c r="BDR260" s="93"/>
      <c r="BDS260" s="93"/>
      <c r="BDT260" s="93"/>
      <c r="BDU260" s="93"/>
      <c r="BDV260" s="93"/>
      <c r="BDW260" s="93"/>
      <c r="BDX260" s="93"/>
      <c r="BDY260" s="93"/>
      <c r="BDZ260" s="93"/>
      <c r="BEA260" s="93"/>
      <c r="BEB260" s="93"/>
      <c r="BEC260" s="93"/>
      <c r="BED260" s="93"/>
      <c r="BEE260" s="93"/>
      <c r="BEF260" s="93"/>
      <c r="BEG260" s="93"/>
      <c r="BEH260" s="93"/>
      <c r="BEI260" s="93"/>
      <c r="BEJ260" s="93"/>
      <c r="BEK260" s="93"/>
      <c r="BEL260" s="93"/>
      <c r="BEM260" s="93"/>
      <c r="BEN260" s="93"/>
      <c r="BEO260" s="93"/>
      <c r="BEP260" s="93"/>
      <c r="BEQ260" s="93"/>
      <c r="BER260" s="93"/>
      <c r="BES260" s="93"/>
      <c r="BET260" s="93"/>
      <c r="BEU260" s="93"/>
      <c r="BEV260" s="93"/>
      <c r="BEW260" s="93"/>
      <c r="BEX260" s="93"/>
      <c r="BEY260" s="93"/>
      <c r="BEZ260" s="93"/>
      <c r="BFA260" s="93"/>
      <c r="BFB260" s="93"/>
      <c r="BFC260" s="93"/>
      <c r="BFD260" s="93"/>
      <c r="BFE260" s="93"/>
      <c r="BFF260" s="93"/>
      <c r="BFG260" s="93"/>
      <c r="BFH260" s="93"/>
      <c r="BFI260" s="93"/>
      <c r="BFJ260" s="93"/>
      <c r="BFK260" s="93"/>
      <c r="BFL260" s="93"/>
      <c r="BFM260" s="93"/>
      <c r="BFN260" s="93"/>
      <c r="BFO260" s="93"/>
      <c r="BFP260" s="93"/>
      <c r="BFQ260" s="93"/>
      <c r="BFR260" s="93"/>
      <c r="BFS260" s="93"/>
      <c r="BFT260" s="93"/>
      <c r="BFU260" s="93"/>
      <c r="BFV260" s="93"/>
      <c r="BFW260" s="93"/>
      <c r="BFX260" s="93"/>
      <c r="BFY260" s="93"/>
      <c r="BFZ260" s="93"/>
      <c r="BGA260" s="93"/>
      <c r="BGB260" s="93"/>
      <c r="BGC260" s="93"/>
      <c r="BGD260" s="93"/>
      <c r="BGE260" s="93"/>
      <c r="BGF260" s="93"/>
      <c r="BGG260" s="93"/>
      <c r="BGH260" s="93"/>
      <c r="BGI260" s="93"/>
      <c r="BGJ260" s="93"/>
      <c r="BGK260" s="93"/>
      <c r="BGL260" s="93"/>
      <c r="BGM260" s="93"/>
      <c r="BGN260" s="93"/>
      <c r="BGO260" s="93"/>
      <c r="BGP260" s="93"/>
      <c r="BGQ260" s="93"/>
      <c r="BGR260" s="93"/>
      <c r="BGS260" s="93"/>
      <c r="BGT260" s="93"/>
      <c r="BGU260" s="93"/>
      <c r="BGV260" s="93"/>
      <c r="BGW260" s="93"/>
      <c r="BGX260" s="93"/>
      <c r="BGY260" s="93"/>
      <c r="BGZ260" s="93"/>
      <c r="BHA260" s="93"/>
      <c r="BHB260" s="93"/>
      <c r="BHC260" s="93"/>
      <c r="BHD260" s="93"/>
      <c r="BHE260" s="93"/>
      <c r="BHF260" s="93"/>
      <c r="BHG260" s="93"/>
      <c r="BHH260" s="93"/>
      <c r="BHI260" s="93"/>
      <c r="BHJ260" s="93"/>
      <c r="BHK260" s="93"/>
      <c r="BHL260" s="93"/>
      <c r="BHM260" s="93"/>
      <c r="BHN260" s="93"/>
      <c r="BHO260" s="93"/>
      <c r="BHP260" s="93"/>
      <c r="BHQ260" s="93"/>
      <c r="BHR260" s="93"/>
      <c r="BHS260" s="93"/>
      <c r="BHT260" s="93"/>
      <c r="BHU260" s="93"/>
      <c r="BHV260" s="93"/>
      <c r="BHW260" s="93"/>
      <c r="BHX260" s="93"/>
      <c r="BHY260" s="93"/>
      <c r="BHZ260" s="93"/>
      <c r="BIA260" s="93"/>
      <c r="BIB260" s="93"/>
      <c r="BIC260" s="93"/>
      <c r="BID260" s="93"/>
      <c r="BIE260" s="93"/>
      <c r="BIF260" s="93"/>
      <c r="BIG260" s="93"/>
      <c r="BIH260" s="93"/>
      <c r="BII260" s="93"/>
      <c r="BIJ260" s="93"/>
      <c r="BIK260" s="93"/>
      <c r="BIL260" s="93"/>
      <c r="BIM260" s="93"/>
      <c r="BIN260" s="93"/>
      <c r="BIO260" s="93"/>
      <c r="BIP260" s="93"/>
      <c r="BIQ260" s="93"/>
      <c r="BIR260" s="93"/>
      <c r="BIS260" s="93"/>
      <c r="BIT260" s="93"/>
      <c r="BIU260" s="93"/>
      <c r="BIV260" s="93"/>
      <c r="BIW260" s="93"/>
      <c r="BIX260" s="93"/>
      <c r="BIY260" s="93"/>
      <c r="BIZ260" s="93"/>
      <c r="BJA260" s="93"/>
      <c r="BJB260" s="93"/>
      <c r="BJC260" s="93"/>
      <c r="BJD260" s="93"/>
      <c r="BJE260" s="93"/>
      <c r="BJF260" s="93"/>
      <c r="BJG260" s="93"/>
      <c r="BJH260" s="93"/>
      <c r="BJI260" s="93"/>
      <c r="BJJ260" s="93"/>
      <c r="BJK260" s="93"/>
      <c r="BJL260" s="93"/>
      <c r="BJM260" s="93"/>
      <c r="BJN260" s="93"/>
      <c r="BJO260" s="93"/>
      <c r="BJP260" s="93"/>
      <c r="BJQ260" s="93"/>
      <c r="BJR260" s="93"/>
      <c r="BJS260" s="93"/>
      <c r="BJT260" s="93"/>
      <c r="BJU260" s="93"/>
      <c r="BJV260" s="93"/>
      <c r="BJW260" s="93"/>
      <c r="BJX260" s="93"/>
      <c r="BJY260" s="93"/>
      <c r="BJZ260" s="93"/>
      <c r="BKA260" s="93"/>
      <c r="BKB260" s="93"/>
      <c r="BKC260" s="93"/>
      <c r="BKD260" s="93"/>
      <c r="BKE260" s="93"/>
      <c r="BKF260" s="93"/>
      <c r="BKG260" s="93"/>
      <c r="BKH260" s="93"/>
      <c r="BKI260" s="93"/>
      <c r="BKJ260" s="93"/>
      <c r="BKK260" s="93"/>
      <c r="BKL260" s="93"/>
      <c r="BKM260" s="93"/>
      <c r="BKN260" s="93"/>
      <c r="BKO260" s="93"/>
      <c r="BKP260" s="93"/>
      <c r="BKQ260" s="93"/>
      <c r="BKR260" s="93"/>
      <c r="BKS260" s="93"/>
      <c r="BKT260" s="93"/>
      <c r="BKU260" s="93"/>
      <c r="BKV260" s="93"/>
      <c r="BKW260" s="93"/>
      <c r="BKX260" s="93"/>
      <c r="BKY260" s="93"/>
      <c r="BKZ260" s="93"/>
      <c r="BLA260" s="93"/>
      <c r="BLB260" s="93"/>
      <c r="BLC260" s="93"/>
      <c r="BLD260" s="93"/>
      <c r="BLE260" s="93"/>
      <c r="BLF260" s="93"/>
      <c r="BLG260" s="93"/>
      <c r="BLH260" s="93"/>
      <c r="BLI260" s="93"/>
      <c r="BLJ260" s="93"/>
      <c r="BLK260" s="93"/>
      <c r="BLL260" s="93"/>
      <c r="BLM260" s="93"/>
      <c r="BLN260" s="93"/>
      <c r="BLO260" s="93"/>
      <c r="BLP260" s="93"/>
      <c r="BLQ260" s="93"/>
      <c r="BLR260" s="93"/>
      <c r="BLS260" s="93"/>
      <c r="BLT260" s="93"/>
      <c r="BLU260" s="93"/>
      <c r="BLV260" s="93"/>
      <c r="BLW260" s="93"/>
      <c r="BLX260" s="93"/>
      <c r="BLY260" s="93"/>
      <c r="BLZ260" s="93"/>
      <c r="BMA260" s="93"/>
      <c r="BMB260" s="93"/>
      <c r="BMC260" s="93"/>
      <c r="BMD260" s="93"/>
      <c r="BME260" s="93"/>
      <c r="BMF260" s="93"/>
      <c r="BMG260" s="93"/>
      <c r="BMH260" s="93"/>
      <c r="BMI260" s="93"/>
      <c r="BMJ260" s="93"/>
      <c r="BMK260" s="93"/>
      <c r="BML260" s="93"/>
      <c r="BMM260" s="93"/>
      <c r="BMN260" s="93"/>
      <c r="BMO260" s="93"/>
      <c r="BMP260" s="93"/>
      <c r="BMQ260" s="93"/>
      <c r="BMR260" s="93"/>
      <c r="BMS260" s="93"/>
      <c r="BMT260" s="93"/>
      <c r="BMU260" s="93"/>
      <c r="BMV260" s="93"/>
      <c r="BMW260" s="93"/>
      <c r="BMX260" s="93"/>
      <c r="BMY260" s="93"/>
      <c r="BMZ260" s="93"/>
      <c r="BNA260" s="93"/>
      <c r="BNB260" s="93"/>
      <c r="BNC260" s="93"/>
      <c r="BND260" s="93"/>
      <c r="BNE260" s="93"/>
      <c r="BNF260" s="93"/>
      <c r="BNG260" s="93"/>
      <c r="BNH260" s="93"/>
      <c r="BNI260" s="93"/>
      <c r="BNJ260" s="93"/>
      <c r="BNK260" s="93"/>
      <c r="BNL260" s="93"/>
      <c r="BNM260" s="93"/>
      <c r="BNN260" s="93"/>
      <c r="BNO260" s="93"/>
      <c r="BNP260" s="93"/>
      <c r="BNQ260" s="93"/>
      <c r="BNR260" s="93"/>
      <c r="BNS260" s="93"/>
      <c r="BNT260" s="93"/>
      <c r="BNU260" s="93"/>
      <c r="BNV260" s="93"/>
      <c r="BNW260" s="93"/>
      <c r="BNX260" s="93"/>
      <c r="BNY260" s="93"/>
      <c r="BNZ260" s="93"/>
      <c r="BOA260" s="93"/>
      <c r="BOB260" s="93"/>
      <c r="BOC260" s="93"/>
      <c r="BOD260" s="93"/>
      <c r="BOE260" s="93"/>
      <c r="BOF260" s="93"/>
      <c r="BOG260" s="93"/>
      <c r="BOH260" s="93"/>
      <c r="BOI260" s="93"/>
      <c r="BOJ260" s="93"/>
      <c r="BOK260" s="93"/>
      <c r="BOL260" s="93"/>
      <c r="BOM260" s="93"/>
      <c r="BON260" s="93"/>
      <c r="BOO260" s="93"/>
      <c r="BOP260" s="93"/>
      <c r="BOQ260" s="93"/>
      <c r="BOR260" s="93"/>
      <c r="BOS260" s="93"/>
      <c r="BOT260" s="93"/>
      <c r="BOU260" s="93"/>
      <c r="BOV260" s="93"/>
      <c r="BOW260" s="93"/>
      <c r="BOX260" s="93"/>
      <c r="BOY260" s="93"/>
      <c r="BOZ260" s="93"/>
      <c r="BPA260" s="93"/>
      <c r="BPB260" s="93"/>
      <c r="BPC260" s="93"/>
      <c r="BPD260" s="93"/>
      <c r="BPE260" s="93"/>
      <c r="BPF260" s="93"/>
      <c r="BPG260" s="93"/>
      <c r="BPH260" s="93"/>
      <c r="BPI260" s="93"/>
      <c r="BPJ260" s="93"/>
      <c r="BPK260" s="93"/>
      <c r="BPL260" s="93"/>
      <c r="BPM260" s="93"/>
      <c r="BPN260" s="93"/>
      <c r="BPO260" s="93"/>
      <c r="BPP260" s="93"/>
      <c r="BPQ260" s="93"/>
      <c r="BPR260" s="93"/>
      <c r="BPS260" s="93"/>
      <c r="BPT260" s="93"/>
      <c r="BPU260" s="93"/>
      <c r="BPV260" s="93"/>
      <c r="BPW260" s="93"/>
      <c r="BPX260" s="93"/>
      <c r="BPY260" s="93"/>
      <c r="BPZ260" s="93"/>
      <c r="BQA260" s="93"/>
      <c r="BQB260" s="93"/>
      <c r="BQC260" s="93"/>
      <c r="BQD260" s="93"/>
      <c r="BQE260" s="93"/>
      <c r="BQF260" s="93"/>
      <c r="BQG260" s="93"/>
      <c r="BQH260" s="93"/>
      <c r="BQI260" s="93"/>
      <c r="BQJ260" s="93"/>
      <c r="BQK260" s="93"/>
      <c r="BQL260" s="93"/>
      <c r="BQM260" s="93"/>
      <c r="BQN260" s="93"/>
      <c r="BQO260" s="93"/>
      <c r="BQP260" s="93"/>
      <c r="BQQ260" s="93"/>
      <c r="BQR260" s="93"/>
      <c r="BQS260" s="93"/>
      <c r="BQT260" s="93"/>
      <c r="BQU260" s="93"/>
      <c r="BQV260" s="93"/>
      <c r="BQW260" s="93"/>
      <c r="BQX260" s="93"/>
      <c r="BQY260" s="93"/>
      <c r="BQZ260" s="93"/>
      <c r="BRA260" s="93"/>
      <c r="BRB260" s="93"/>
      <c r="BRC260" s="93"/>
      <c r="BRD260" s="93"/>
      <c r="BRE260" s="93"/>
      <c r="BRF260" s="93"/>
      <c r="BRG260" s="93"/>
      <c r="BRH260" s="93"/>
      <c r="BRI260" s="93"/>
      <c r="BRJ260" s="93"/>
      <c r="BRK260" s="93"/>
      <c r="BRL260" s="93"/>
      <c r="BRM260" s="93"/>
      <c r="BRN260" s="93"/>
      <c r="BRO260" s="93"/>
      <c r="BRP260" s="93"/>
      <c r="BRQ260" s="93"/>
      <c r="BRR260" s="93"/>
      <c r="BRS260" s="93"/>
      <c r="BRT260" s="93"/>
      <c r="BRU260" s="93"/>
      <c r="BRV260" s="93"/>
      <c r="BRW260" s="93"/>
      <c r="BRX260" s="93"/>
      <c r="BRY260" s="93"/>
      <c r="BRZ260" s="93"/>
      <c r="BSA260" s="93"/>
      <c r="BSB260" s="93"/>
      <c r="BSC260" s="93"/>
      <c r="BSD260" s="93"/>
      <c r="BSE260" s="93"/>
      <c r="BSF260" s="93"/>
      <c r="BSG260" s="93"/>
      <c r="BSH260" s="93"/>
      <c r="BSI260" s="93"/>
      <c r="BSJ260" s="93"/>
      <c r="BSK260" s="93"/>
      <c r="BSL260" s="93"/>
      <c r="BSM260" s="93"/>
      <c r="BSN260" s="93"/>
      <c r="BSO260" s="93"/>
      <c r="BSP260" s="93"/>
      <c r="BSQ260" s="93"/>
      <c r="BSR260" s="93"/>
      <c r="BSS260" s="93"/>
      <c r="BST260" s="93"/>
      <c r="BSU260" s="93"/>
      <c r="BSV260" s="93"/>
      <c r="BSW260" s="93"/>
      <c r="BSX260" s="93"/>
      <c r="BSY260" s="93"/>
      <c r="BSZ260" s="93"/>
      <c r="BTA260" s="93"/>
      <c r="BTB260" s="93"/>
      <c r="BTC260" s="93"/>
      <c r="BTD260" s="93"/>
      <c r="BTE260" s="93"/>
      <c r="BTF260" s="93"/>
      <c r="BTG260" s="93"/>
      <c r="BTH260" s="93"/>
      <c r="BTI260" s="93"/>
      <c r="BTJ260" s="93"/>
      <c r="BTK260" s="93"/>
      <c r="BTL260" s="93"/>
      <c r="BTM260" s="93"/>
      <c r="BTN260" s="93"/>
      <c r="BTO260" s="93"/>
      <c r="BTP260" s="93"/>
      <c r="BTQ260" s="93"/>
      <c r="BTR260" s="93"/>
      <c r="BTS260" s="93"/>
      <c r="BTT260" s="93"/>
      <c r="BTU260" s="93"/>
      <c r="BTV260" s="93"/>
      <c r="BTW260" s="93"/>
      <c r="BTX260" s="93"/>
      <c r="BTY260" s="93"/>
      <c r="BTZ260" s="93"/>
      <c r="BUA260" s="93"/>
      <c r="BUB260" s="93"/>
      <c r="BUC260" s="93"/>
      <c r="BUD260" s="93"/>
      <c r="BUE260" s="93"/>
      <c r="BUF260" s="93"/>
      <c r="BUG260" s="93"/>
      <c r="BUH260" s="93"/>
      <c r="BUI260" s="93"/>
      <c r="BUJ260" s="93"/>
      <c r="BUK260" s="93"/>
      <c r="BUL260" s="93"/>
      <c r="BUM260" s="93"/>
      <c r="BUN260" s="93"/>
      <c r="BUO260" s="93"/>
      <c r="BUP260" s="93"/>
      <c r="BUQ260" s="93"/>
      <c r="BUR260" s="93"/>
      <c r="BUS260" s="93"/>
      <c r="BUT260" s="93"/>
      <c r="BUU260" s="93"/>
      <c r="BUV260" s="93"/>
      <c r="BUW260" s="93"/>
      <c r="BUX260" s="93"/>
      <c r="BUY260" s="93"/>
      <c r="BUZ260" s="93"/>
      <c r="BVA260" s="93"/>
      <c r="BVB260" s="93"/>
      <c r="BVC260" s="93"/>
      <c r="BVD260" s="93"/>
      <c r="BVE260" s="93"/>
      <c r="BVF260" s="93"/>
      <c r="BVG260" s="93"/>
      <c r="BVH260" s="93"/>
      <c r="BVI260" s="93"/>
      <c r="BVJ260" s="93"/>
      <c r="BVK260" s="93"/>
      <c r="BVL260" s="93"/>
      <c r="BVM260" s="93"/>
      <c r="BVN260" s="93"/>
      <c r="BVO260" s="93"/>
      <c r="BVP260" s="93"/>
      <c r="BVQ260" s="93"/>
      <c r="BVR260" s="93"/>
      <c r="BVS260" s="93"/>
      <c r="BVT260" s="93"/>
      <c r="BVU260" s="93"/>
      <c r="BVV260" s="93"/>
      <c r="BVW260" s="93"/>
      <c r="BVX260" s="93"/>
      <c r="BVY260" s="93"/>
      <c r="BVZ260" s="93"/>
      <c r="BWA260" s="93"/>
      <c r="BWB260" s="93"/>
      <c r="BWC260" s="93"/>
      <c r="BWD260" s="93"/>
      <c r="BWE260" s="93"/>
      <c r="BWF260" s="93"/>
      <c r="BWG260" s="93"/>
      <c r="BWH260" s="93"/>
      <c r="BWI260" s="93"/>
      <c r="BWJ260" s="93"/>
      <c r="BWK260" s="93"/>
      <c r="BWL260" s="93"/>
      <c r="BWM260" s="93"/>
      <c r="BWN260" s="93"/>
      <c r="BWO260" s="93"/>
      <c r="BWP260" s="93"/>
      <c r="BWQ260" s="93"/>
      <c r="BWR260" s="93"/>
      <c r="BWS260" s="93"/>
      <c r="BWT260" s="93"/>
      <c r="BWU260" s="93"/>
      <c r="BWV260" s="93"/>
      <c r="BWW260" s="93"/>
      <c r="BWX260" s="93"/>
      <c r="BWY260" s="93"/>
      <c r="BWZ260" s="93"/>
      <c r="BXA260" s="93"/>
      <c r="BXB260" s="93"/>
      <c r="BXC260" s="93"/>
      <c r="BXD260" s="93"/>
      <c r="BXE260" s="93"/>
      <c r="BXF260" s="93"/>
      <c r="BXG260" s="93"/>
      <c r="BXH260" s="93"/>
      <c r="BXI260" s="93"/>
      <c r="BXJ260" s="93"/>
      <c r="BXK260" s="93"/>
      <c r="BXL260" s="93"/>
      <c r="BXM260" s="93"/>
      <c r="BXN260" s="93"/>
      <c r="BXO260" s="93"/>
      <c r="BXP260" s="93"/>
      <c r="BXQ260" s="93"/>
      <c r="BXR260" s="93"/>
      <c r="BXS260" s="93"/>
      <c r="BXT260" s="93"/>
      <c r="BXU260" s="93"/>
      <c r="BXV260" s="93"/>
      <c r="BXW260" s="93"/>
      <c r="BXX260" s="93"/>
      <c r="BXY260" s="93"/>
      <c r="BXZ260" s="93"/>
      <c r="BYA260" s="93"/>
      <c r="BYB260" s="93"/>
      <c r="BYC260" s="93"/>
      <c r="BYD260" s="93"/>
      <c r="BYE260" s="93"/>
      <c r="BYF260" s="93"/>
      <c r="BYG260" s="93"/>
      <c r="BYH260" s="93"/>
      <c r="BYI260" s="93"/>
      <c r="BYJ260" s="93"/>
      <c r="BYK260" s="93"/>
      <c r="BYL260" s="93"/>
      <c r="BYM260" s="93"/>
      <c r="BYN260" s="93"/>
      <c r="BYO260" s="93"/>
      <c r="BYP260" s="93"/>
      <c r="BYQ260" s="93"/>
      <c r="BYR260" s="93"/>
      <c r="BYS260" s="93"/>
      <c r="BYT260" s="93"/>
      <c r="BYU260" s="93"/>
      <c r="BYV260" s="93"/>
      <c r="BYW260" s="93"/>
      <c r="BYX260" s="93"/>
      <c r="BYY260" s="93"/>
      <c r="BYZ260" s="93"/>
      <c r="BZA260" s="93"/>
      <c r="BZB260" s="93"/>
      <c r="BZC260" s="93"/>
      <c r="BZD260" s="93"/>
      <c r="BZE260" s="93"/>
      <c r="BZF260" s="93"/>
      <c r="BZG260" s="93"/>
      <c r="BZH260" s="93"/>
      <c r="BZI260" s="93"/>
      <c r="BZJ260" s="93"/>
      <c r="BZK260" s="93"/>
      <c r="BZL260" s="93"/>
      <c r="BZM260" s="93"/>
      <c r="BZN260" s="93"/>
      <c r="BZO260" s="93"/>
      <c r="BZP260" s="93"/>
      <c r="BZQ260" s="93"/>
      <c r="BZR260" s="93"/>
      <c r="BZS260" s="93"/>
      <c r="BZT260" s="93"/>
      <c r="BZU260" s="93"/>
      <c r="BZV260" s="93"/>
      <c r="BZW260" s="93"/>
      <c r="BZX260" s="93"/>
      <c r="BZY260" s="93"/>
      <c r="BZZ260" s="93"/>
      <c r="CAA260" s="93"/>
      <c r="CAB260" s="93"/>
      <c r="CAC260" s="93"/>
      <c r="CAD260" s="93"/>
      <c r="CAE260" s="93"/>
      <c r="CAF260" s="93"/>
      <c r="CAG260" s="93"/>
      <c r="CAH260" s="93"/>
      <c r="CAI260" s="93"/>
      <c r="CAJ260" s="93"/>
      <c r="CAK260" s="93"/>
      <c r="CAL260" s="93"/>
      <c r="CAM260" s="93"/>
      <c r="CAN260" s="93"/>
      <c r="CAO260" s="93"/>
      <c r="CAP260" s="93"/>
      <c r="CAQ260" s="93"/>
      <c r="CAR260" s="93"/>
      <c r="CAS260" s="93"/>
      <c r="CAT260" s="93"/>
      <c r="CAU260" s="93"/>
      <c r="CAV260" s="93"/>
      <c r="CAW260" s="93"/>
      <c r="CAX260" s="93"/>
      <c r="CAY260" s="93"/>
      <c r="CAZ260" s="93"/>
      <c r="CBA260" s="93"/>
      <c r="CBB260" s="93"/>
      <c r="CBC260" s="93"/>
      <c r="CBD260" s="93"/>
      <c r="CBE260" s="93"/>
      <c r="CBF260" s="93"/>
      <c r="CBG260" s="93"/>
      <c r="CBH260" s="93"/>
      <c r="CBI260" s="93"/>
      <c r="CBJ260" s="93"/>
      <c r="CBK260" s="93"/>
      <c r="CBL260" s="93"/>
      <c r="CBM260" s="93"/>
      <c r="CBN260" s="93"/>
      <c r="CBO260" s="93"/>
      <c r="CBP260" s="93"/>
      <c r="CBQ260" s="93"/>
      <c r="CBR260" s="93"/>
      <c r="CBS260" s="93"/>
      <c r="CBT260" s="93"/>
      <c r="CBU260" s="93"/>
      <c r="CBV260" s="93"/>
      <c r="CBW260" s="93"/>
      <c r="CBX260" s="93"/>
      <c r="CBY260" s="93"/>
      <c r="CBZ260" s="93"/>
      <c r="CCA260" s="93"/>
      <c r="CCB260" s="93"/>
      <c r="CCC260" s="93"/>
      <c r="CCD260" s="93"/>
      <c r="CCE260" s="93"/>
      <c r="CCF260" s="93"/>
      <c r="CCG260" s="93"/>
      <c r="CCH260" s="93"/>
      <c r="CCI260" s="93"/>
      <c r="CCJ260" s="93"/>
      <c r="CCK260" s="93"/>
      <c r="CCL260" s="93"/>
      <c r="CCM260" s="93"/>
      <c r="CCN260" s="93"/>
      <c r="CCO260" s="93"/>
      <c r="CCP260" s="93"/>
      <c r="CCQ260" s="93"/>
      <c r="CCR260" s="93"/>
      <c r="CCS260" s="93"/>
      <c r="CCT260" s="93"/>
      <c r="CCU260" s="93"/>
      <c r="CCV260" s="93"/>
      <c r="CCW260" s="93"/>
      <c r="CCX260" s="93"/>
      <c r="CCY260" s="93"/>
      <c r="CCZ260" s="93"/>
      <c r="CDA260" s="93"/>
      <c r="CDB260" s="93"/>
      <c r="CDC260" s="93"/>
      <c r="CDD260" s="93"/>
      <c r="CDE260" s="93"/>
      <c r="CDF260" s="93"/>
      <c r="CDG260" s="93"/>
      <c r="CDH260" s="93"/>
      <c r="CDI260" s="93"/>
      <c r="CDJ260" s="93"/>
      <c r="CDK260" s="93"/>
      <c r="CDL260" s="93"/>
      <c r="CDM260" s="93"/>
      <c r="CDN260" s="93"/>
      <c r="CDO260" s="93"/>
      <c r="CDP260" s="93"/>
      <c r="CDQ260" s="93"/>
      <c r="CDR260" s="93"/>
      <c r="CDS260" s="93"/>
      <c r="CDT260" s="93"/>
      <c r="CDU260" s="93"/>
      <c r="CDV260" s="93"/>
      <c r="CDW260" s="93"/>
      <c r="CDX260" s="93"/>
      <c r="CDY260" s="93"/>
      <c r="CDZ260" s="93"/>
      <c r="CEA260" s="93"/>
      <c r="CEB260" s="93"/>
      <c r="CEC260" s="93"/>
      <c r="CED260" s="93"/>
      <c r="CEE260" s="93"/>
      <c r="CEF260" s="93"/>
      <c r="CEG260" s="93"/>
      <c r="CEH260" s="93"/>
      <c r="CEI260" s="93"/>
      <c r="CEJ260" s="93"/>
      <c r="CEK260" s="93"/>
      <c r="CEL260" s="93"/>
      <c r="CEM260" s="93"/>
      <c r="CEN260" s="93"/>
      <c r="CEO260" s="93"/>
      <c r="CEP260" s="93"/>
      <c r="CEQ260" s="93"/>
      <c r="CER260" s="93"/>
      <c r="CES260" s="93"/>
      <c r="CET260" s="93"/>
      <c r="CEU260" s="93"/>
      <c r="CEV260" s="93"/>
      <c r="CEW260" s="93"/>
      <c r="CEX260" s="93"/>
      <c r="CEY260" s="93"/>
      <c r="CEZ260" s="93"/>
      <c r="CFA260" s="93"/>
      <c r="CFB260" s="93"/>
      <c r="CFC260" s="93"/>
      <c r="CFD260" s="93"/>
      <c r="CFE260" s="93"/>
      <c r="CFF260" s="93"/>
      <c r="CFG260" s="93"/>
      <c r="CFH260" s="93"/>
      <c r="CFI260" s="93"/>
      <c r="CFJ260" s="93"/>
      <c r="CFK260" s="93"/>
      <c r="CFL260" s="93"/>
      <c r="CFM260" s="93"/>
      <c r="CFN260" s="93"/>
      <c r="CFO260" s="93"/>
      <c r="CFP260" s="93"/>
      <c r="CFQ260" s="93"/>
      <c r="CFR260" s="93"/>
      <c r="CFS260" s="93"/>
      <c r="CFT260" s="93"/>
      <c r="CFU260" s="93"/>
      <c r="CFV260" s="93"/>
      <c r="CFW260" s="93"/>
      <c r="CFX260" s="93"/>
      <c r="CFY260" s="93"/>
      <c r="CFZ260" s="93"/>
      <c r="CGA260" s="93"/>
      <c r="CGB260" s="93"/>
      <c r="CGC260" s="93"/>
      <c r="CGD260" s="93"/>
      <c r="CGE260" s="93"/>
      <c r="CGF260" s="93"/>
      <c r="CGG260" s="93"/>
      <c r="CGH260" s="93"/>
      <c r="CGI260" s="93"/>
      <c r="CGJ260" s="93"/>
      <c r="CGK260" s="93"/>
      <c r="CGL260" s="93"/>
      <c r="CGM260" s="93"/>
      <c r="CGN260" s="93"/>
      <c r="CGO260" s="93"/>
      <c r="CGP260" s="93"/>
      <c r="CGQ260" s="93"/>
      <c r="CGR260" s="93"/>
      <c r="CGS260" s="93"/>
      <c r="CGT260" s="93"/>
      <c r="CGU260" s="93"/>
      <c r="CGV260" s="93"/>
      <c r="CGW260" s="93"/>
      <c r="CGX260" s="93"/>
      <c r="CGY260" s="93"/>
      <c r="CGZ260" s="93"/>
      <c r="CHA260" s="93"/>
      <c r="CHB260" s="93"/>
      <c r="CHC260" s="93"/>
      <c r="CHD260" s="93"/>
      <c r="CHE260" s="93"/>
      <c r="CHF260" s="93"/>
      <c r="CHG260" s="93"/>
      <c r="CHH260" s="93"/>
      <c r="CHI260" s="93"/>
      <c r="CHJ260" s="93"/>
      <c r="CHK260" s="93"/>
      <c r="CHL260" s="93"/>
      <c r="CHM260" s="93"/>
      <c r="CHN260" s="93"/>
      <c r="CHO260" s="93"/>
      <c r="CHP260" s="93"/>
      <c r="CHQ260" s="93"/>
      <c r="CHR260" s="93"/>
      <c r="CHS260" s="93"/>
      <c r="CHT260" s="93"/>
      <c r="CHU260" s="93"/>
      <c r="CHV260" s="93"/>
      <c r="CHW260" s="93"/>
      <c r="CHX260" s="93"/>
      <c r="CHY260" s="93"/>
      <c r="CHZ260" s="93"/>
      <c r="CIA260" s="93"/>
      <c r="CIB260" s="93"/>
      <c r="CIC260" s="93"/>
      <c r="CID260" s="93"/>
      <c r="CIE260" s="93"/>
      <c r="CIF260" s="93"/>
      <c r="CIG260" s="93"/>
      <c r="CIH260" s="93"/>
      <c r="CII260" s="93"/>
      <c r="CIJ260" s="93"/>
      <c r="CIK260" s="93"/>
      <c r="CIL260" s="93"/>
      <c r="CIM260" s="93"/>
      <c r="CIN260" s="93"/>
      <c r="CIO260" s="93"/>
      <c r="CIP260" s="93"/>
      <c r="CIQ260" s="93"/>
      <c r="CIR260" s="93"/>
      <c r="CIS260" s="93"/>
      <c r="CIT260" s="93"/>
      <c r="CIU260" s="93"/>
      <c r="CIV260" s="93"/>
      <c r="CIW260" s="93"/>
      <c r="CIX260" s="93"/>
      <c r="CIY260" s="93"/>
      <c r="CIZ260" s="93"/>
      <c r="CJA260" s="93"/>
      <c r="CJB260" s="93"/>
      <c r="CJC260" s="93"/>
      <c r="CJD260" s="93"/>
      <c r="CJE260" s="93"/>
      <c r="CJF260" s="93"/>
      <c r="CJG260" s="93"/>
      <c r="CJH260" s="93"/>
      <c r="CJI260" s="93"/>
      <c r="CJJ260" s="93"/>
      <c r="CJK260" s="93"/>
      <c r="CJL260" s="93"/>
      <c r="CJM260" s="93"/>
      <c r="CJN260" s="93"/>
      <c r="CJO260" s="93"/>
      <c r="CJP260" s="93"/>
      <c r="CJQ260" s="93"/>
      <c r="CJR260" s="93"/>
      <c r="CJS260" s="93"/>
      <c r="CJT260" s="93"/>
      <c r="CJU260" s="93"/>
      <c r="CJV260" s="93"/>
      <c r="CJW260" s="93"/>
      <c r="CJX260" s="93"/>
      <c r="CJY260" s="93"/>
      <c r="CJZ260" s="93"/>
      <c r="CKA260" s="93"/>
      <c r="CKB260" s="93"/>
      <c r="CKC260" s="93"/>
      <c r="CKD260" s="93"/>
      <c r="CKE260" s="93"/>
      <c r="CKF260" s="93"/>
      <c r="CKG260" s="93"/>
      <c r="CKH260" s="93"/>
      <c r="CKI260" s="93"/>
      <c r="CKJ260" s="93"/>
      <c r="CKK260" s="93"/>
      <c r="CKL260" s="93"/>
      <c r="CKM260" s="93"/>
      <c r="CKN260" s="93"/>
      <c r="CKO260" s="93"/>
      <c r="CKP260" s="93"/>
      <c r="CKQ260" s="93"/>
      <c r="CKR260" s="93"/>
      <c r="CKS260" s="93"/>
      <c r="CKT260" s="93"/>
      <c r="CKU260" s="93"/>
      <c r="CKV260" s="93"/>
      <c r="CKW260" s="93"/>
      <c r="CKX260" s="93"/>
      <c r="CKY260" s="93"/>
      <c r="CKZ260" s="93"/>
      <c r="CLA260" s="93"/>
      <c r="CLB260" s="93"/>
      <c r="CLC260" s="93"/>
      <c r="CLD260" s="93"/>
      <c r="CLE260" s="93"/>
      <c r="CLF260" s="93"/>
      <c r="CLG260" s="93"/>
      <c r="CLH260" s="93"/>
      <c r="CLI260" s="93"/>
      <c r="CLJ260" s="93"/>
      <c r="CLK260" s="93"/>
      <c r="CLL260" s="93"/>
      <c r="CLM260" s="93"/>
      <c r="CLN260" s="93"/>
      <c r="CLO260" s="93"/>
      <c r="CLP260" s="93"/>
      <c r="CLQ260" s="93"/>
      <c r="CLR260" s="93"/>
      <c r="CLS260" s="93"/>
      <c r="CLT260" s="93"/>
      <c r="CLU260" s="93"/>
      <c r="CLV260" s="93"/>
      <c r="CLW260" s="93"/>
      <c r="CLX260" s="93"/>
      <c r="CLY260" s="93"/>
      <c r="CLZ260" s="93"/>
      <c r="CMA260" s="93"/>
      <c r="CMB260" s="93"/>
      <c r="CMC260" s="93"/>
      <c r="CMD260" s="93"/>
      <c r="CME260" s="93"/>
      <c r="CMF260" s="93"/>
      <c r="CMG260" s="93"/>
      <c r="CMH260" s="93"/>
      <c r="CMI260" s="93"/>
      <c r="CMJ260" s="93"/>
      <c r="CMK260" s="93"/>
      <c r="CML260" s="93"/>
      <c r="CMM260" s="93"/>
      <c r="CMN260" s="93"/>
      <c r="CMO260" s="93"/>
      <c r="CMP260" s="93"/>
      <c r="CMQ260" s="93"/>
      <c r="CMR260" s="93"/>
      <c r="CMS260" s="93"/>
      <c r="CMT260" s="93"/>
      <c r="CMU260" s="93"/>
      <c r="CMV260" s="93"/>
      <c r="CMW260" s="93"/>
      <c r="CMX260" s="93"/>
      <c r="CMY260" s="93"/>
      <c r="CMZ260" s="93"/>
      <c r="CNA260" s="93"/>
      <c r="CNB260" s="93"/>
      <c r="CNC260" s="93"/>
      <c r="CND260" s="93"/>
      <c r="CNE260" s="93"/>
      <c r="CNF260" s="93"/>
      <c r="CNG260" s="93"/>
      <c r="CNH260" s="93"/>
      <c r="CNI260" s="93"/>
      <c r="CNJ260" s="93"/>
      <c r="CNK260" s="93"/>
      <c r="CNL260" s="93"/>
      <c r="CNM260" s="93"/>
      <c r="CNN260" s="93"/>
      <c r="CNO260" s="93"/>
      <c r="CNP260" s="93"/>
      <c r="CNQ260" s="93"/>
      <c r="CNR260" s="93"/>
      <c r="CNS260" s="93"/>
      <c r="CNT260" s="93"/>
      <c r="CNU260" s="93"/>
      <c r="CNV260" s="93"/>
      <c r="CNW260" s="93"/>
      <c r="CNX260" s="93"/>
      <c r="CNY260" s="93"/>
      <c r="CNZ260" s="93"/>
      <c r="COA260" s="93"/>
      <c r="COB260" s="93"/>
      <c r="COC260" s="93"/>
      <c r="COD260" s="93"/>
      <c r="COE260" s="93"/>
      <c r="COF260" s="93"/>
      <c r="COG260" s="93"/>
      <c r="COH260" s="93"/>
      <c r="COI260" s="93"/>
      <c r="COJ260" s="93"/>
      <c r="COK260" s="93"/>
      <c r="COL260" s="93"/>
      <c r="COM260" s="93"/>
      <c r="CON260" s="93"/>
      <c r="COO260" s="93"/>
      <c r="COP260" s="93"/>
      <c r="COQ260" s="93"/>
      <c r="COR260" s="93"/>
      <c r="COS260" s="93"/>
      <c r="COT260" s="93"/>
      <c r="COU260" s="93"/>
      <c r="COV260" s="93"/>
      <c r="COW260" s="93"/>
      <c r="COX260" s="93"/>
      <c r="COY260" s="93"/>
      <c r="COZ260" s="93"/>
      <c r="CPA260" s="93"/>
      <c r="CPB260" s="93"/>
      <c r="CPC260" s="93"/>
      <c r="CPD260" s="93"/>
      <c r="CPE260" s="93"/>
      <c r="CPF260" s="93"/>
      <c r="CPG260" s="93"/>
      <c r="CPH260" s="93"/>
      <c r="CPI260" s="93"/>
      <c r="CPJ260" s="93"/>
      <c r="CPK260" s="93"/>
      <c r="CPL260" s="93"/>
      <c r="CPM260" s="93"/>
      <c r="CPN260" s="93"/>
      <c r="CPO260" s="93"/>
      <c r="CPP260" s="93"/>
      <c r="CPQ260" s="93"/>
      <c r="CPR260" s="93"/>
      <c r="CPS260" s="93"/>
      <c r="CPT260" s="93"/>
      <c r="CPU260" s="93"/>
      <c r="CPV260" s="93"/>
      <c r="CPW260" s="93"/>
      <c r="CPX260" s="93"/>
      <c r="CPY260" s="93"/>
      <c r="CPZ260" s="93"/>
      <c r="CQA260" s="93"/>
      <c r="CQB260" s="93"/>
      <c r="CQC260" s="93"/>
      <c r="CQD260" s="93"/>
      <c r="CQE260" s="93"/>
      <c r="CQF260" s="93"/>
      <c r="CQG260" s="93"/>
      <c r="CQH260" s="93"/>
      <c r="CQI260" s="93"/>
      <c r="CQJ260" s="93"/>
      <c r="CQK260" s="93"/>
      <c r="CQL260" s="93"/>
      <c r="CQM260" s="93"/>
      <c r="CQN260" s="93"/>
      <c r="CQO260" s="93"/>
      <c r="CQP260" s="93"/>
      <c r="CQQ260" s="93"/>
      <c r="CQR260" s="93"/>
      <c r="CQS260" s="93"/>
      <c r="CQT260" s="93"/>
      <c r="CQU260" s="93"/>
      <c r="CQV260" s="93"/>
      <c r="CQW260" s="93"/>
      <c r="CQX260" s="93"/>
      <c r="CQY260" s="93"/>
      <c r="CQZ260" s="93"/>
      <c r="CRA260" s="93"/>
      <c r="CRB260" s="93"/>
      <c r="CRC260" s="93"/>
      <c r="CRD260" s="93"/>
      <c r="CRE260" s="93"/>
      <c r="CRF260" s="93"/>
      <c r="CRG260" s="93"/>
      <c r="CRH260" s="93"/>
      <c r="CRI260" s="93"/>
      <c r="CRJ260" s="93"/>
      <c r="CRK260" s="93"/>
      <c r="CRL260" s="93"/>
      <c r="CRM260" s="93"/>
      <c r="CRN260" s="93"/>
      <c r="CRO260" s="93"/>
      <c r="CRP260" s="93"/>
      <c r="CRQ260" s="93"/>
      <c r="CRR260" s="93"/>
      <c r="CRS260" s="93"/>
      <c r="CRT260" s="93"/>
      <c r="CRU260" s="93"/>
      <c r="CRV260" s="93"/>
      <c r="CRW260" s="93"/>
      <c r="CRX260" s="93"/>
      <c r="CRY260" s="93"/>
      <c r="CRZ260" s="93"/>
      <c r="CSA260" s="93"/>
      <c r="CSB260" s="93"/>
      <c r="CSC260" s="93"/>
      <c r="CSD260" s="93"/>
      <c r="CSE260" s="93"/>
      <c r="CSF260" s="93"/>
      <c r="CSG260" s="93"/>
      <c r="CSH260" s="93"/>
      <c r="CSI260" s="93"/>
      <c r="CSJ260" s="93"/>
      <c r="CSK260" s="93"/>
      <c r="CSL260" s="93"/>
      <c r="CSM260" s="93"/>
      <c r="CSN260" s="93"/>
      <c r="CSO260" s="93"/>
      <c r="CSP260" s="93"/>
      <c r="CSQ260" s="93"/>
      <c r="CSR260" s="93"/>
      <c r="CSS260" s="93"/>
      <c r="CST260" s="93"/>
      <c r="CSU260" s="93"/>
      <c r="CSV260" s="93"/>
      <c r="CSW260" s="93"/>
      <c r="CSX260" s="93"/>
      <c r="CSY260" s="93"/>
      <c r="CSZ260" s="93"/>
      <c r="CTA260" s="93"/>
      <c r="CTB260" s="93"/>
      <c r="CTC260" s="93"/>
      <c r="CTD260" s="93"/>
      <c r="CTE260" s="93"/>
      <c r="CTF260" s="93"/>
      <c r="CTG260" s="93"/>
      <c r="CTH260" s="93"/>
      <c r="CTI260" s="93"/>
      <c r="CTJ260" s="93"/>
      <c r="CTK260" s="93"/>
      <c r="CTL260" s="93"/>
      <c r="CTM260" s="93"/>
      <c r="CTN260" s="93"/>
      <c r="CTO260" s="93"/>
      <c r="CTP260" s="93"/>
      <c r="CTQ260" s="93"/>
      <c r="CTR260" s="93"/>
      <c r="CTS260" s="93"/>
      <c r="CTT260" s="93"/>
      <c r="CTU260" s="93"/>
      <c r="CTV260" s="93"/>
      <c r="CTW260" s="93"/>
      <c r="CTX260" s="93"/>
      <c r="CTY260" s="93"/>
      <c r="CTZ260" s="93"/>
      <c r="CUA260" s="93"/>
      <c r="CUB260" s="93"/>
      <c r="CUC260" s="93"/>
      <c r="CUD260" s="93"/>
      <c r="CUE260" s="93"/>
      <c r="CUF260" s="93"/>
      <c r="CUG260" s="93"/>
      <c r="CUH260" s="93"/>
      <c r="CUI260" s="93"/>
      <c r="CUJ260" s="93"/>
      <c r="CUK260" s="93"/>
      <c r="CUL260" s="93"/>
      <c r="CUM260" s="93"/>
      <c r="CUN260" s="93"/>
      <c r="CUO260" s="93"/>
      <c r="CUP260" s="93"/>
      <c r="CUQ260" s="93"/>
      <c r="CUR260" s="93"/>
      <c r="CUS260" s="93"/>
      <c r="CUT260" s="93"/>
      <c r="CUU260" s="93"/>
      <c r="CUV260" s="93"/>
      <c r="CUW260" s="93"/>
      <c r="CUX260" s="93"/>
      <c r="CUY260" s="93"/>
      <c r="CUZ260" s="93"/>
      <c r="CVA260" s="93"/>
      <c r="CVB260" s="93"/>
      <c r="CVC260" s="93"/>
      <c r="CVD260" s="93"/>
      <c r="CVE260" s="93"/>
      <c r="CVF260" s="93"/>
      <c r="CVG260" s="93"/>
      <c r="CVH260" s="93"/>
      <c r="CVI260" s="93"/>
      <c r="CVJ260" s="93"/>
      <c r="CVK260" s="93"/>
      <c r="CVL260" s="93"/>
      <c r="CVM260" s="93"/>
      <c r="CVN260" s="93"/>
      <c r="CVO260" s="93"/>
      <c r="CVP260" s="93"/>
      <c r="CVQ260" s="93"/>
      <c r="CVR260" s="93"/>
      <c r="CVS260" s="93"/>
      <c r="CVT260" s="93"/>
      <c r="CVU260" s="93"/>
      <c r="CVV260" s="93"/>
      <c r="CVW260" s="93"/>
      <c r="CVX260" s="93"/>
      <c r="CVY260" s="93"/>
      <c r="CVZ260" s="93"/>
      <c r="CWA260" s="93"/>
      <c r="CWB260" s="93"/>
      <c r="CWC260" s="93"/>
      <c r="CWD260" s="93"/>
      <c r="CWE260" s="93"/>
      <c r="CWF260" s="93"/>
      <c r="CWG260" s="93"/>
      <c r="CWH260" s="93"/>
      <c r="CWI260" s="93"/>
      <c r="CWJ260" s="93"/>
      <c r="CWK260" s="93"/>
      <c r="CWL260" s="93"/>
      <c r="CWM260" s="93"/>
      <c r="CWN260" s="93"/>
      <c r="CWO260" s="93"/>
      <c r="CWP260" s="93"/>
      <c r="CWQ260" s="93"/>
      <c r="CWR260" s="93"/>
      <c r="CWS260" s="93"/>
      <c r="CWT260" s="93"/>
      <c r="CWU260" s="93"/>
      <c r="CWV260" s="93"/>
      <c r="CWW260" s="93"/>
      <c r="CWX260" s="93"/>
      <c r="CWY260" s="93"/>
      <c r="CWZ260" s="93"/>
      <c r="CXA260" s="93"/>
      <c r="CXB260" s="93"/>
      <c r="CXC260" s="93"/>
      <c r="CXD260" s="93"/>
      <c r="CXE260" s="93"/>
      <c r="CXF260" s="93"/>
      <c r="CXG260" s="93"/>
      <c r="CXH260" s="93"/>
      <c r="CXI260" s="93"/>
      <c r="CXJ260" s="93"/>
      <c r="CXK260" s="93"/>
      <c r="CXL260" s="93"/>
      <c r="CXM260" s="93"/>
      <c r="CXN260" s="93"/>
      <c r="CXO260" s="93"/>
      <c r="CXP260" s="93"/>
      <c r="CXQ260" s="93"/>
      <c r="CXR260" s="93"/>
      <c r="CXS260" s="93"/>
      <c r="CXT260" s="93"/>
      <c r="CXU260" s="93"/>
      <c r="CXV260" s="93"/>
      <c r="CXW260" s="93"/>
      <c r="CXX260" s="93"/>
      <c r="CXY260" s="93"/>
      <c r="CXZ260" s="93"/>
      <c r="CYA260" s="93"/>
      <c r="CYB260" s="93"/>
      <c r="CYC260" s="93"/>
      <c r="CYD260" s="93"/>
      <c r="CYE260" s="93"/>
      <c r="CYF260" s="93"/>
      <c r="CYG260" s="93"/>
      <c r="CYH260" s="93"/>
      <c r="CYI260" s="93"/>
      <c r="CYJ260" s="93"/>
      <c r="CYK260" s="93"/>
      <c r="CYL260" s="93"/>
      <c r="CYM260" s="93"/>
      <c r="CYN260" s="93"/>
      <c r="CYO260" s="93"/>
      <c r="CYP260" s="93"/>
      <c r="CYQ260" s="93"/>
      <c r="CYR260" s="93"/>
      <c r="CYS260" s="93"/>
      <c r="CYT260" s="93"/>
      <c r="CYU260" s="93"/>
      <c r="CYV260" s="93"/>
      <c r="CYW260" s="93"/>
      <c r="CYX260" s="93"/>
      <c r="CYY260" s="93"/>
      <c r="CYZ260" s="93"/>
      <c r="CZA260" s="93"/>
      <c r="CZB260" s="93"/>
      <c r="CZC260" s="93"/>
      <c r="CZD260" s="93"/>
      <c r="CZE260" s="93"/>
      <c r="CZF260" s="93"/>
      <c r="CZG260" s="93"/>
      <c r="CZH260" s="93"/>
      <c r="CZI260" s="93"/>
      <c r="CZJ260" s="93"/>
      <c r="CZK260" s="93"/>
      <c r="CZL260" s="93"/>
      <c r="CZM260" s="93"/>
      <c r="CZN260" s="93"/>
      <c r="CZO260" s="93"/>
      <c r="CZP260" s="93"/>
      <c r="CZQ260" s="93"/>
      <c r="CZR260" s="93"/>
      <c r="CZS260" s="93"/>
      <c r="CZT260" s="93"/>
      <c r="CZU260" s="93"/>
      <c r="CZV260" s="93"/>
      <c r="CZW260" s="93"/>
      <c r="CZX260" s="93"/>
      <c r="CZY260" s="93"/>
      <c r="CZZ260" s="93"/>
      <c r="DAA260" s="93"/>
      <c r="DAB260" s="93"/>
      <c r="DAC260" s="93"/>
      <c r="DAD260" s="93"/>
      <c r="DAE260" s="93"/>
      <c r="DAF260" s="93"/>
      <c r="DAG260" s="93"/>
      <c r="DAH260" s="93"/>
      <c r="DAI260" s="93"/>
      <c r="DAJ260" s="93"/>
      <c r="DAK260" s="93"/>
      <c r="DAL260" s="93"/>
      <c r="DAM260" s="93"/>
      <c r="DAN260" s="93"/>
      <c r="DAO260" s="93"/>
      <c r="DAP260" s="93"/>
      <c r="DAQ260" s="93"/>
      <c r="DAR260" s="93"/>
      <c r="DAS260" s="93"/>
      <c r="DAT260" s="93"/>
      <c r="DAU260" s="93"/>
      <c r="DAV260" s="93"/>
      <c r="DAW260" s="93"/>
      <c r="DAX260" s="93"/>
      <c r="DAY260" s="93"/>
      <c r="DAZ260" s="93"/>
      <c r="DBA260" s="93"/>
      <c r="DBB260" s="93"/>
      <c r="DBC260" s="93"/>
      <c r="DBD260" s="93"/>
      <c r="DBE260" s="93"/>
      <c r="DBF260" s="93"/>
      <c r="DBG260" s="93"/>
      <c r="DBH260" s="93"/>
      <c r="DBI260" s="93"/>
      <c r="DBJ260" s="93"/>
      <c r="DBK260" s="93"/>
      <c r="DBL260" s="93"/>
      <c r="DBM260" s="93"/>
      <c r="DBN260" s="93"/>
      <c r="DBO260" s="93"/>
      <c r="DBP260" s="93"/>
      <c r="DBQ260" s="93"/>
      <c r="DBR260" s="93"/>
      <c r="DBS260" s="93"/>
      <c r="DBT260" s="93"/>
      <c r="DBU260" s="93"/>
      <c r="DBV260" s="93"/>
      <c r="DBW260" s="93"/>
      <c r="DBX260" s="93"/>
      <c r="DBY260" s="93"/>
      <c r="DBZ260" s="93"/>
      <c r="DCA260" s="93"/>
      <c r="DCB260" s="93"/>
      <c r="DCC260" s="93"/>
      <c r="DCD260" s="93"/>
      <c r="DCE260" s="93"/>
      <c r="DCF260" s="93"/>
      <c r="DCG260" s="93"/>
      <c r="DCH260" s="93"/>
      <c r="DCI260" s="93"/>
      <c r="DCJ260" s="93"/>
      <c r="DCK260" s="93"/>
      <c r="DCL260" s="93"/>
      <c r="DCM260" s="93"/>
      <c r="DCN260" s="93"/>
      <c r="DCO260" s="93"/>
      <c r="DCP260" s="93"/>
      <c r="DCQ260" s="93"/>
      <c r="DCR260" s="93"/>
      <c r="DCS260" s="93"/>
      <c r="DCT260" s="93"/>
      <c r="DCU260" s="93"/>
      <c r="DCV260" s="93"/>
      <c r="DCW260" s="93"/>
      <c r="DCX260" s="93"/>
      <c r="DCY260" s="93"/>
      <c r="DCZ260" s="93"/>
      <c r="DDA260" s="93"/>
      <c r="DDB260" s="93"/>
      <c r="DDC260" s="93"/>
      <c r="DDD260" s="93"/>
      <c r="DDE260" s="93"/>
      <c r="DDF260" s="93"/>
      <c r="DDG260" s="93"/>
      <c r="DDH260" s="93"/>
      <c r="DDI260" s="93"/>
      <c r="DDJ260" s="93"/>
      <c r="DDK260" s="93"/>
      <c r="DDL260" s="93"/>
      <c r="DDM260" s="93"/>
      <c r="DDN260" s="93"/>
      <c r="DDO260" s="93"/>
      <c r="DDP260" s="93"/>
      <c r="DDQ260" s="93"/>
      <c r="DDR260" s="93"/>
      <c r="DDS260" s="93"/>
      <c r="DDT260" s="93"/>
      <c r="DDU260" s="93"/>
      <c r="DDV260" s="93"/>
      <c r="DDW260" s="93"/>
      <c r="DDX260" s="93"/>
      <c r="DDY260" s="93"/>
      <c r="DDZ260" s="93"/>
      <c r="DEA260" s="93"/>
      <c r="DEB260" s="93"/>
      <c r="DEC260" s="93"/>
      <c r="DED260" s="93"/>
      <c r="DEE260" s="93"/>
      <c r="DEF260" s="93"/>
      <c r="DEG260" s="93"/>
      <c r="DEH260" s="93"/>
      <c r="DEI260" s="93"/>
      <c r="DEJ260" s="93"/>
      <c r="DEK260" s="93"/>
      <c r="DEL260" s="93"/>
      <c r="DEM260" s="93"/>
      <c r="DEN260" s="93"/>
      <c r="DEO260" s="93"/>
      <c r="DEP260" s="93"/>
      <c r="DEQ260" s="93"/>
      <c r="DER260" s="93"/>
      <c r="DES260" s="93"/>
      <c r="DET260" s="93"/>
      <c r="DEU260" s="93"/>
      <c r="DEV260" s="93"/>
      <c r="DEW260" s="93"/>
      <c r="DEX260" s="93"/>
      <c r="DEY260" s="93"/>
      <c r="DEZ260" s="93"/>
      <c r="DFA260" s="93"/>
      <c r="DFB260" s="93"/>
      <c r="DFC260" s="93"/>
      <c r="DFD260" s="93"/>
      <c r="DFE260" s="93"/>
      <c r="DFF260" s="93"/>
      <c r="DFG260" s="93"/>
      <c r="DFH260" s="93"/>
      <c r="DFI260" s="93"/>
      <c r="DFJ260" s="93"/>
      <c r="DFK260" s="93"/>
      <c r="DFL260" s="93"/>
      <c r="DFM260" s="93"/>
      <c r="DFN260" s="93"/>
      <c r="DFO260" s="93"/>
      <c r="DFP260" s="93"/>
      <c r="DFQ260" s="93"/>
      <c r="DFR260" s="93"/>
      <c r="DFS260" s="93"/>
      <c r="DFT260" s="93"/>
      <c r="DFU260" s="93"/>
      <c r="DFV260" s="93"/>
      <c r="DFW260" s="93"/>
      <c r="DFX260" s="93"/>
      <c r="DFY260" s="93"/>
      <c r="DFZ260" s="93"/>
      <c r="DGA260" s="93"/>
      <c r="DGB260" s="93"/>
      <c r="DGC260" s="93"/>
      <c r="DGD260" s="93"/>
      <c r="DGE260" s="93"/>
      <c r="DGF260" s="93"/>
      <c r="DGG260" s="93"/>
      <c r="DGH260" s="93"/>
      <c r="DGI260" s="93"/>
      <c r="DGJ260" s="93"/>
      <c r="DGK260" s="93"/>
      <c r="DGL260" s="93"/>
      <c r="DGM260" s="93"/>
      <c r="DGN260" s="93"/>
      <c r="DGO260" s="93"/>
      <c r="DGP260" s="93"/>
      <c r="DGQ260" s="93"/>
      <c r="DGR260" s="93"/>
      <c r="DGS260" s="93"/>
      <c r="DGT260" s="93"/>
      <c r="DGU260" s="93"/>
      <c r="DGV260" s="93"/>
      <c r="DGW260" s="93"/>
      <c r="DGX260" s="93"/>
      <c r="DGY260" s="93"/>
      <c r="DGZ260" s="93"/>
      <c r="DHA260" s="93"/>
      <c r="DHB260" s="93"/>
      <c r="DHC260" s="93"/>
      <c r="DHD260" s="93"/>
      <c r="DHE260" s="93"/>
      <c r="DHF260" s="93"/>
      <c r="DHG260" s="93"/>
      <c r="DHH260" s="93"/>
      <c r="DHI260" s="93"/>
      <c r="DHJ260" s="93"/>
      <c r="DHK260" s="93"/>
      <c r="DHL260" s="93"/>
      <c r="DHM260" s="93"/>
      <c r="DHN260" s="93"/>
      <c r="DHO260" s="93"/>
      <c r="DHP260" s="93"/>
      <c r="DHQ260" s="93"/>
      <c r="DHR260" s="93"/>
      <c r="DHS260" s="93"/>
      <c r="DHT260" s="93"/>
      <c r="DHU260" s="93"/>
      <c r="DHV260" s="93"/>
      <c r="DHW260" s="93"/>
      <c r="DHX260" s="93"/>
      <c r="DHY260" s="93"/>
      <c r="DHZ260" s="93"/>
      <c r="DIA260" s="93"/>
      <c r="DIB260" s="93"/>
      <c r="DIC260" s="93"/>
      <c r="DID260" s="93"/>
      <c r="DIE260" s="93"/>
      <c r="DIF260" s="93"/>
      <c r="DIG260" s="93"/>
      <c r="DIH260" s="93"/>
      <c r="DII260" s="93"/>
      <c r="DIJ260" s="93"/>
      <c r="DIK260" s="93"/>
      <c r="DIL260" s="93"/>
      <c r="DIM260" s="93"/>
      <c r="DIN260" s="93"/>
      <c r="DIO260" s="93"/>
      <c r="DIP260" s="93"/>
      <c r="DIQ260" s="93"/>
      <c r="DIR260" s="93"/>
      <c r="DIS260" s="93"/>
      <c r="DIT260" s="93"/>
      <c r="DIU260" s="93"/>
      <c r="DIV260" s="93"/>
      <c r="DIW260" s="93"/>
      <c r="DIX260" s="93"/>
      <c r="DIY260" s="93"/>
      <c r="DIZ260" s="93"/>
      <c r="DJA260" s="93"/>
      <c r="DJB260" s="93"/>
      <c r="DJC260" s="93"/>
      <c r="DJD260" s="93"/>
      <c r="DJE260" s="93"/>
      <c r="DJF260" s="93"/>
      <c r="DJG260" s="93"/>
      <c r="DJH260" s="93"/>
      <c r="DJI260" s="93"/>
      <c r="DJJ260" s="93"/>
      <c r="DJK260" s="93"/>
      <c r="DJL260" s="93"/>
      <c r="DJM260" s="93"/>
      <c r="DJN260" s="93"/>
      <c r="DJO260" s="93"/>
      <c r="DJP260" s="93"/>
      <c r="DJQ260" s="93"/>
      <c r="DJR260" s="93"/>
      <c r="DJS260" s="93"/>
      <c r="DJT260" s="93"/>
      <c r="DJU260" s="93"/>
      <c r="DJV260" s="93"/>
      <c r="DJW260" s="93"/>
      <c r="DJX260" s="93"/>
      <c r="DJY260" s="93"/>
      <c r="DJZ260" s="93"/>
      <c r="DKA260" s="93"/>
      <c r="DKB260" s="93"/>
      <c r="DKC260" s="93"/>
      <c r="DKD260" s="93"/>
      <c r="DKE260" s="93"/>
      <c r="DKF260" s="93"/>
      <c r="DKG260" s="93"/>
      <c r="DKH260" s="93"/>
      <c r="DKI260" s="93"/>
      <c r="DKJ260" s="93"/>
      <c r="DKK260" s="93"/>
      <c r="DKL260" s="93"/>
      <c r="DKM260" s="93"/>
      <c r="DKN260" s="93"/>
      <c r="DKO260" s="93"/>
      <c r="DKP260" s="93"/>
      <c r="DKQ260" s="93"/>
      <c r="DKR260" s="93"/>
      <c r="DKS260" s="93"/>
      <c r="DKT260" s="93"/>
      <c r="DKU260" s="93"/>
      <c r="DKV260" s="93"/>
      <c r="DKW260" s="93"/>
      <c r="DKX260" s="93"/>
      <c r="DKY260" s="93"/>
      <c r="DKZ260" s="93"/>
      <c r="DLA260" s="93"/>
      <c r="DLB260" s="93"/>
      <c r="DLC260" s="93"/>
      <c r="DLD260" s="93"/>
      <c r="DLE260" s="93"/>
      <c r="DLF260" s="93"/>
      <c r="DLG260" s="93"/>
      <c r="DLH260" s="93"/>
      <c r="DLI260" s="93"/>
      <c r="DLJ260" s="93"/>
      <c r="DLK260" s="93"/>
      <c r="DLL260" s="93"/>
      <c r="DLM260" s="93"/>
      <c r="DLN260" s="93"/>
      <c r="DLO260" s="93"/>
      <c r="DLP260" s="93"/>
      <c r="DLQ260" s="93"/>
      <c r="DLR260" s="93"/>
      <c r="DLS260" s="93"/>
      <c r="DLT260" s="93"/>
      <c r="DLU260" s="93"/>
      <c r="DLV260" s="93"/>
      <c r="DLW260" s="93"/>
      <c r="DLX260" s="93"/>
      <c r="DLY260" s="93"/>
      <c r="DLZ260" s="93"/>
      <c r="DMA260" s="93"/>
      <c r="DMB260" s="93"/>
      <c r="DMC260" s="93"/>
      <c r="DMD260" s="93"/>
      <c r="DME260" s="93"/>
      <c r="DMF260" s="93"/>
      <c r="DMG260" s="93"/>
      <c r="DMH260" s="93"/>
      <c r="DMI260" s="93"/>
      <c r="DMJ260" s="93"/>
      <c r="DMK260" s="93"/>
      <c r="DML260" s="93"/>
      <c r="DMM260" s="93"/>
      <c r="DMN260" s="93"/>
      <c r="DMO260" s="93"/>
      <c r="DMP260" s="93"/>
      <c r="DMQ260" s="93"/>
      <c r="DMR260" s="93"/>
      <c r="DMS260" s="93"/>
      <c r="DMT260" s="93"/>
      <c r="DMU260" s="93"/>
      <c r="DMV260" s="93"/>
      <c r="DMW260" s="93"/>
      <c r="DMX260" s="93"/>
      <c r="DMY260" s="93"/>
      <c r="DMZ260" s="93"/>
      <c r="DNA260" s="93"/>
      <c r="DNB260" s="93"/>
      <c r="DNC260" s="93"/>
      <c r="DND260" s="93"/>
      <c r="DNE260" s="93"/>
      <c r="DNF260" s="93"/>
      <c r="DNG260" s="93"/>
      <c r="DNH260" s="93"/>
      <c r="DNI260" s="93"/>
      <c r="DNJ260" s="93"/>
      <c r="DNK260" s="93"/>
      <c r="DNL260" s="93"/>
      <c r="DNM260" s="93"/>
      <c r="DNN260" s="93"/>
      <c r="DNO260" s="93"/>
      <c r="DNP260" s="93"/>
      <c r="DNQ260" s="93"/>
      <c r="DNR260" s="93"/>
      <c r="DNS260" s="93"/>
      <c r="DNT260" s="93"/>
      <c r="DNU260" s="93"/>
      <c r="DNV260" s="93"/>
      <c r="DNW260" s="93"/>
      <c r="DNX260" s="93"/>
      <c r="DNY260" s="93"/>
      <c r="DNZ260" s="93"/>
      <c r="DOA260" s="93"/>
      <c r="DOB260" s="93"/>
      <c r="DOC260" s="93"/>
      <c r="DOD260" s="93"/>
      <c r="DOE260" s="93"/>
      <c r="DOF260" s="93"/>
      <c r="DOG260" s="93"/>
      <c r="DOH260" s="93"/>
      <c r="DOI260" s="93"/>
      <c r="DOJ260" s="93"/>
      <c r="DOK260" s="93"/>
      <c r="DOL260" s="93"/>
      <c r="DOM260" s="93"/>
      <c r="DON260" s="93"/>
      <c r="DOO260" s="93"/>
      <c r="DOP260" s="93"/>
      <c r="DOQ260" s="93"/>
      <c r="DOR260" s="93"/>
      <c r="DOS260" s="93"/>
      <c r="DOT260" s="93"/>
      <c r="DOU260" s="93"/>
      <c r="DOV260" s="93"/>
      <c r="DOW260" s="93"/>
      <c r="DOX260" s="93"/>
      <c r="DOY260" s="93"/>
      <c r="DOZ260" s="93"/>
      <c r="DPA260" s="93"/>
      <c r="DPB260" s="93"/>
      <c r="DPC260" s="93"/>
      <c r="DPD260" s="93"/>
      <c r="DPE260" s="93"/>
      <c r="DPF260" s="93"/>
      <c r="DPG260" s="93"/>
      <c r="DPH260" s="93"/>
      <c r="DPI260" s="93"/>
      <c r="DPJ260" s="93"/>
      <c r="DPK260" s="93"/>
      <c r="DPL260" s="93"/>
      <c r="DPM260" s="93"/>
      <c r="DPN260" s="93"/>
      <c r="DPO260" s="93"/>
      <c r="DPP260" s="93"/>
      <c r="DPQ260" s="93"/>
      <c r="DPR260" s="93"/>
      <c r="DPS260" s="93"/>
      <c r="DPT260" s="93"/>
      <c r="DPU260" s="93"/>
      <c r="DPV260" s="93"/>
      <c r="DPW260" s="93"/>
      <c r="DPX260" s="93"/>
      <c r="DPY260" s="93"/>
      <c r="DPZ260" s="93"/>
      <c r="DQA260" s="93"/>
      <c r="DQB260" s="93"/>
      <c r="DQC260" s="93"/>
      <c r="DQD260" s="93"/>
      <c r="DQE260" s="93"/>
      <c r="DQF260" s="93"/>
      <c r="DQG260" s="93"/>
      <c r="DQH260" s="93"/>
      <c r="DQI260" s="93"/>
      <c r="DQJ260" s="93"/>
      <c r="DQK260" s="93"/>
      <c r="DQL260" s="93"/>
      <c r="DQM260" s="93"/>
      <c r="DQN260" s="93"/>
      <c r="DQO260" s="93"/>
      <c r="DQP260" s="93"/>
      <c r="DQQ260" s="93"/>
      <c r="DQR260" s="93"/>
      <c r="DQS260" s="93"/>
      <c r="DQT260" s="93"/>
      <c r="DQU260" s="93"/>
      <c r="DQV260" s="93"/>
      <c r="DQW260" s="93"/>
      <c r="DQX260" s="93"/>
      <c r="DQY260" s="93"/>
      <c r="DQZ260" s="93"/>
      <c r="DRA260" s="93"/>
      <c r="DRB260" s="93"/>
      <c r="DRC260" s="93"/>
      <c r="DRD260" s="93"/>
      <c r="DRE260" s="93"/>
      <c r="DRF260" s="93"/>
      <c r="DRG260" s="93"/>
      <c r="DRH260" s="93"/>
      <c r="DRI260" s="93"/>
      <c r="DRJ260" s="93"/>
      <c r="DRK260" s="93"/>
      <c r="DRL260" s="93"/>
      <c r="DRM260" s="93"/>
      <c r="DRN260" s="93"/>
      <c r="DRO260" s="93"/>
      <c r="DRP260" s="93"/>
      <c r="DRQ260" s="93"/>
      <c r="DRR260" s="93"/>
      <c r="DRS260" s="93"/>
      <c r="DRT260" s="93"/>
      <c r="DRU260" s="93"/>
      <c r="DRV260" s="93"/>
      <c r="DRW260" s="93"/>
      <c r="DRX260" s="93"/>
      <c r="DRY260" s="93"/>
      <c r="DRZ260" s="93"/>
      <c r="DSA260" s="93"/>
      <c r="DSB260" s="93"/>
      <c r="DSC260" s="93"/>
      <c r="DSD260" s="93"/>
      <c r="DSE260" s="93"/>
      <c r="DSF260" s="93"/>
      <c r="DSG260" s="93"/>
      <c r="DSH260" s="93"/>
      <c r="DSI260" s="93"/>
      <c r="DSJ260" s="93"/>
      <c r="DSK260" s="93"/>
      <c r="DSL260" s="93"/>
      <c r="DSM260" s="93"/>
      <c r="DSN260" s="93"/>
      <c r="DSO260" s="93"/>
      <c r="DSP260" s="93"/>
      <c r="DSQ260" s="93"/>
      <c r="DSR260" s="93"/>
      <c r="DSS260" s="93"/>
      <c r="DST260" s="93"/>
      <c r="DSU260" s="93"/>
      <c r="DSV260" s="93"/>
      <c r="DSW260" s="93"/>
      <c r="DSX260" s="93"/>
      <c r="DSY260" s="93"/>
      <c r="DSZ260" s="93"/>
      <c r="DTA260" s="93"/>
      <c r="DTB260" s="93"/>
      <c r="DTC260" s="93"/>
      <c r="DTD260" s="93"/>
      <c r="DTE260" s="93"/>
      <c r="DTF260" s="93"/>
      <c r="DTG260" s="93"/>
      <c r="DTH260" s="93"/>
      <c r="DTI260" s="93"/>
      <c r="DTJ260" s="93"/>
      <c r="DTK260" s="93"/>
      <c r="DTL260" s="93"/>
      <c r="DTM260" s="93"/>
      <c r="DTN260" s="93"/>
      <c r="DTO260" s="93"/>
      <c r="DTP260" s="93"/>
      <c r="DTQ260" s="93"/>
      <c r="DTR260" s="93"/>
      <c r="DTS260" s="93"/>
      <c r="DTT260" s="93"/>
      <c r="DTU260" s="93"/>
      <c r="DTV260" s="93"/>
      <c r="DTW260" s="93"/>
      <c r="DTX260" s="93"/>
      <c r="DTY260" s="93"/>
      <c r="DTZ260" s="93"/>
      <c r="DUA260" s="93"/>
      <c r="DUB260" s="93"/>
      <c r="DUC260" s="93"/>
      <c r="DUD260" s="93"/>
      <c r="DUE260" s="93"/>
      <c r="DUF260" s="93"/>
      <c r="DUG260" s="93"/>
      <c r="DUH260" s="93"/>
      <c r="DUI260" s="93"/>
      <c r="DUJ260" s="93"/>
      <c r="DUK260" s="93"/>
      <c r="DUL260" s="93"/>
      <c r="DUM260" s="93"/>
      <c r="DUN260" s="93"/>
      <c r="DUO260" s="93"/>
      <c r="DUP260" s="93"/>
      <c r="DUQ260" s="93"/>
      <c r="DUR260" s="93"/>
      <c r="DUS260" s="93"/>
      <c r="DUT260" s="93"/>
      <c r="DUU260" s="93"/>
      <c r="DUV260" s="93"/>
      <c r="DUW260" s="93"/>
      <c r="DUX260" s="93"/>
      <c r="DUY260" s="93"/>
      <c r="DUZ260" s="93"/>
      <c r="DVA260" s="93"/>
      <c r="DVB260" s="93"/>
      <c r="DVC260" s="93"/>
      <c r="DVD260" s="93"/>
      <c r="DVE260" s="93"/>
      <c r="DVF260" s="93"/>
      <c r="DVG260" s="93"/>
      <c r="DVH260" s="93"/>
      <c r="DVI260" s="93"/>
      <c r="DVJ260" s="93"/>
      <c r="DVK260" s="93"/>
      <c r="DVL260" s="93"/>
      <c r="DVM260" s="93"/>
      <c r="DVN260" s="93"/>
      <c r="DVO260" s="93"/>
      <c r="DVP260" s="93"/>
      <c r="DVQ260" s="93"/>
      <c r="DVR260" s="93"/>
      <c r="DVS260" s="93"/>
      <c r="DVT260" s="93"/>
      <c r="DVU260" s="93"/>
      <c r="DVV260" s="93"/>
      <c r="DVW260" s="93"/>
      <c r="DVX260" s="93"/>
      <c r="DVY260" s="93"/>
      <c r="DVZ260" s="93"/>
      <c r="DWA260" s="93"/>
      <c r="DWB260" s="93"/>
      <c r="DWC260" s="93"/>
      <c r="DWD260" s="93"/>
      <c r="DWE260" s="93"/>
      <c r="DWF260" s="93"/>
      <c r="DWG260" s="93"/>
      <c r="DWH260" s="93"/>
      <c r="DWI260" s="93"/>
      <c r="DWJ260" s="93"/>
      <c r="DWK260" s="93"/>
      <c r="DWL260" s="93"/>
      <c r="DWM260" s="93"/>
      <c r="DWN260" s="93"/>
      <c r="DWO260" s="93"/>
      <c r="DWP260" s="93"/>
      <c r="DWQ260" s="93"/>
      <c r="DWR260" s="93"/>
      <c r="DWS260" s="93"/>
      <c r="DWT260" s="93"/>
      <c r="DWU260" s="93"/>
      <c r="DWV260" s="93"/>
      <c r="DWW260" s="93"/>
      <c r="DWX260" s="93"/>
      <c r="DWY260" s="93"/>
      <c r="DWZ260" s="93"/>
      <c r="DXA260" s="93"/>
      <c r="DXB260" s="93"/>
      <c r="DXC260" s="93"/>
      <c r="DXD260" s="93"/>
      <c r="DXE260" s="93"/>
      <c r="DXF260" s="93"/>
      <c r="DXG260" s="93"/>
      <c r="DXH260" s="93"/>
      <c r="DXI260" s="93"/>
      <c r="DXJ260" s="93"/>
      <c r="DXK260" s="93"/>
      <c r="DXL260" s="93"/>
      <c r="DXM260" s="93"/>
      <c r="DXN260" s="93"/>
      <c r="DXO260" s="93"/>
      <c r="DXP260" s="93"/>
      <c r="DXQ260" s="93"/>
      <c r="DXR260" s="93"/>
      <c r="DXS260" s="93"/>
      <c r="DXT260" s="93"/>
      <c r="DXU260" s="93"/>
      <c r="DXV260" s="93"/>
      <c r="DXW260" s="93"/>
      <c r="DXX260" s="93"/>
      <c r="DXY260" s="93"/>
      <c r="DXZ260" s="93"/>
      <c r="DYA260" s="93"/>
      <c r="DYB260" s="93"/>
      <c r="DYC260" s="93"/>
      <c r="DYD260" s="93"/>
      <c r="DYE260" s="93"/>
      <c r="DYF260" s="93"/>
      <c r="DYG260" s="93"/>
      <c r="DYH260" s="93"/>
      <c r="DYI260" s="93"/>
      <c r="DYJ260" s="93"/>
      <c r="DYK260" s="93"/>
      <c r="DYL260" s="93"/>
      <c r="DYM260" s="93"/>
      <c r="DYN260" s="93"/>
      <c r="DYO260" s="93"/>
      <c r="DYP260" s="93"/>
      <c r="DYQ260" s="93"/>
      <c r="DYR260" s="93"/>
      <c r="DYS260" s="93"/>
      <c r="DYT260" s="93"/>
      <c r="DYU260" s="93"/>
      <c r="DYV260" s="93"/>
      <c r="DYW260" s="93"/>
      <c r="DYX260" s="93"/>
      <c r="DYY260" s="93"/>
      <c r="DYZ260" s="93"/>
      <c r="DZA260" s="93"/>
      <c r="DZB260" s="93"/>
      <c r="DZC260" s="93"/>
      <c r="DZD260" s="93"/>
      <c r="DZE260" s="93"/>
      <c r="DZF260" s="93"/>
      <c r="DZG260" s="93"/>
      <c r="DZH260" s="93"/>
      <c r="DZI260" s="93"/>
      <c r="DZJ260" s="93"/>
      <c r="DZK260" s="93"/>
      <c r="DZL260" s="93"/>
      <c r="DZM260" s="93"/>
      <c r="DZN260" s="93"/>
      <c r="DZO260" s="93"/>
      <c r="DZP260" s="93"/>
      <c r="DZQ260" s="93"/>
      <c r="DZR260" s="93"/>
      <c r="DZS260" s="93"/>
      <c r="DZT260" s="93"/>
      <c r="DZU260" s="93"/>
      <c r="DZV260" s="93"/>
      <c r="DZW260" s="93"/>
      <c r="DZX260" s="93"/>
      <c r="DZY260" s="93"/>
      <c r="DZZ260" s="93"/>
      <c r="EAA260" s="93"/>
      <c r="EAB260" s="93"/>
      <c r="EAC260" s="93"/>
      <c r="EAD260" s="93"/>
      <c r="EAE260" s="93"/>
      <c r="EAF260" s="93"/>
      <c r="EAG260" s="93"/>
      <c r="EAH260" s="93"/>
      <c r="EAI260" s="93"/>
      <c r="EAJ260" s="93"/>
      <c r="EAK260" s="93"/>
      <c r="EAL260" s="93"/>
      <c r="EAM260" s="93"/>
      <c r="EAN260" s="93"/>
      <c r="EAO260" s="93"/>
      <c r="EAP260" s="93"/>
      <c r="EAQ260" s="93"/>
      <c r="EAR260" s="93"/>
      <c r="EAS260" s="93"/>
      <c r="EAT260" s="93"/>
      <c r="EAU260" s="93"/>
      <c r="EAV260" s="93"/>
      <c r="EAW260" s="93"/>
      <c r="EAX260" s="93"/>
      <c r="EAY260" s="93"/>
      <c r="EAZ260" s="93"/>
      <c r="EBA260" s="93"/>
      <c r="EBB260" s="93"/>
      <c r="EBC260" s="93"/>
      <c r="EBD260" s="93"/>
      <c r="EBE260" s="93"/>
      <c r="EBF260" s="93"/>
      <c r="EBG260" s="93"/>
      <c r="EBH260" s="93"/>
      <c r="EBI260" s="93"/>
      <c r="EBJ260" s="93"/>
      <c r="EBK260" s="93"/>
      <c r="EBL260" s="93"/>
      <c r="EBM260" s="93"/>
      <c r="EBN260" s="93"/>
      <c r="EBO260" s="93"/>
      <c r="EBP260" s="93"/>
      <c r="EBQ260" s="93"/>
      <c r="EBR260" s="93"/>
      <c r="EBS260" s="93"/>
      <c r="EBT260" s="93"/>
      <c r="EBU260" s="93"/>
      <c r="EBV260" s="93"/>
      <c r="EBW260" s="93"/>
      <c r="EBX260" s="93"/>
      <c r="EBY260" s="93"/>
      <c r="EBZ260" s="93"/>
      <c r="ECA260" s="93"/>
      <c r="ECB260" s="93"/>
      <c r="ECC260" s="93"/>
      <c r="ECD260" s="93"/>
      <c r="ECE260" s="93"/>
      <c r="ECF260" s="93"/>
      <c r="ECG260" s="93"/>
      <c r="ECH260" s="93"/>
      <c r="ECI260" s="93"/>
      <c r="ECJ260" s="93"/>
      <c r="ECK260" s="93"/>
      <c r="ECL260" s="93"/>
      <c r="ECM260" s="93"/>
      <c r="ECN260" s="93"/>
      <c r="ECO260" s="93"/>
      <c r="ECP260" s="93"/>
      <c r="ECQ260" s="93"/>
      <c r="ECR260" s="93"/>
      <c r="ECS260" s="93"/>
      <c r="ECT260" s="93"/>
      <c r="ECU260" s="93"/>
      <c r="ECV260" s="93"/>
      <c r="ECW260" s="93"/>
      <c r="ECX260" s="93"/>
      <c r="ECY260" s="93"/>
      <c r="ECZ260" s="93"/>
      <c r="EDA260" s="93"/>
      <c r="EDB260" s="93"/>
      <c r="EDC260" s="93"/>
      <c r="EDD260" s="93"/>
      <c r="EDE260" s="93"/>
      <c r="EDF260" s="93"/>
      <c r="EDG260" s="93"/>
      <c r="EDH260" s="93"/>
      <c r="EDI260" s="93"/>
      <c r="EDJ260" s="93"/>
      <c r="EDK260" s="93"/>
      <c r="EDL260" s="93"/>
      <c r="EDM260" s="93"/>
      <c r="EDN260" s="93"/>
      <c r="EDO260" s="93"/>
      <c r="EDP260" s="93"/>
      <c r="EDQ260" s="93"/>
      <c r="EDR260" s="93"/>
      <c r="EDS260" s="93"/>
      <c r="EDT260" s="93"/>
      <c r="EDU260" s="93"/>
      <c r="EDV260" s="93"/>
      <c r="EDW260" s="93"/>
      <c r="EDX260" s="93"/>
      <c r="EDY260" s="93"/>
      <c r="EDZ260" s="93"/>
      <c r="EEA260" s="93"/>
      <c r="EEB260" s="93"/>
      <c r="EEC260" s="93"/>
      <c r="EED260" s="93"/>
      <c r="EEE260" s="93"/>
      <c r="EEF260" s="93"/>
      <c r="EEG260" s="93"/>
      <c r="EEH260" s="93"/>
      <c r="EEI260" s="93"/>
      <c r="EEJ260" s="93"/>
      <c r="EEK260" s="93"/>
      <c r="EEL260" s="93"/>
      <c r="EEM260" s="93"/>
      <c r="EEN260" s="93"/>
      <c r="EEO260" s="93"/>
      <c r="EEP260" s="93"/>
      <c r="EEQ260" s="93"/>
      <c r="EER260" s="93"/>
      <c r="EES260" s="93"/>
      <c r="EET260" s="93"/>
      <c r="EEU260" s="93"/>
      <c r="EEV260" s="93"/>
      <c r="EEW260" s="93"/>
      <c r="EEX260" s="93"/>
      <c r="EEY260" s="93"/>
      <c r="EEZ260" s="93"/>
      <c r="EFA260" s="93"/>
      <c r="EFB260" s="93"/>
      <c r="EFC260" s="93"/>
      <c r="EFD260" s="93"/>
      <c r="EFE260" s="93"/>
      <c r="EFF260" s="93"/>
      <c r="EFG260" s="93"/>
      <c r="EFH260" s="93"/>
      <c r="EFI260" s="93"/>
      <c r="EFJ260" s="93"/>
      <c r="EFK260" s="93"/>
      <c r="EFL260" s="93"/>
      <c r="EFM260" s="93"/>
      <c r="EFN260" s="93"/>
      <c r="EFO260" s="93"/>
      <c r="EFP260" s="93"/>
      <c r="EFQ260" s="93"/>
      <c r="EFR260" s="93"/>
      <c r="EFS260" s="93"/>
      <c r="EFT260" s="93"/>
      <c r="EFU260" s="93"/>
      <c r="EFV260" s="93"/>
      <c r="EFW260" s="93"/>
      <c r="EFX260" s="93"/>
      <c r="EFY260" s="93"/>
      <c r="EFZ260" s="93"/>
      <c r="EGA260" s="93"/>
      <c r="EGB260" s="93"/>
      <c r="EGC260" s="93"/>
      <c r="EGD260" s="93"/>
      <c r="EGE260" s="93"/>
      <c r="EGF260" s="93"/>
      <c r="EGG260" s="93"/>
      <c r="EGH260" s="93"/>
      <c r="EGI260" s="93"/>
      <c r="EGJ260" s="93"/>
      <c r="EGK260" s="93"/>
      <c r="EGL260" s="93"/>
      <c r="EGM260" s="93"/>
      <c r="EGN260" s="93"/>
      <c r="EGO260" s="93"/>
      <c r="EGP260" s="93"/>
      <c r="EGQ260" s="93"/>
      <c r="EGR260" s="93"/>
      <c r="EGS260" s="93"/>
      <c r="EGT260" s="93"/>
      <c r="EGU260" s="93"/>
      <c r="EGV260" s="93"/>
      <c r="EGW260" s="93"/>
      <c r="EGX260" s="93"/>
      <c r="EGY260" s="93"/>
      <c r="EGZ260" s="93"/>
      <c r="EHA260" s="93"/>
      <c r="EHB260" s="93"/>
      <c r="EHC260" s="93"/>
      <c r="EHD260" s="93"/>
      <c r="EHE260" s="93"/>
      <c r="EHF260" s="93"/>
      <c r="EHG260" s="93"/>
      <c r="EHH260" s="93"/>
      <c r="EHI260" s="93"/>
      <c r="EHJ260" s="93"/>
      <c r="EHK260" s="93"/>
      <c r="EHL260" s="93"/>
      <c r="EHM260" s="93"/>
      <c r="EHN260" s="93"/>
      <c r="EHO260" s="93"/>
      <c r="EHP260" s="93"/>
      <c r="EHQ260" s="93"/>
      <c r="EHR260" s="93"/>
      <c r="EHS260" s="93"/>
      <c r="EHT260" s="93"/>
      <c r="EHU260" s="93"/>
      <c r="EHV260" s="93"/>
      <c r="EHW260" s="93"/>
      <c r="EHX260" s="93"/>
      <c r="EHY260" s="93"/>
      <c r="EHZ260" s="93"/>
      <c r="EIA260" s="93"/>
      <c r="EIB260" s="93"/>
      <c r="EIC260" s="93"/>
      <c r="EID260" s="93"/>
      <c r="EIE260" s="93"/>
      <c r="EIF260" s="93"/>
      <c r="EIG260" s="93"/>
      <c r="EIH260" s="93"/>
      <c r="EII260" s="93"/>
      <c r="EIJ260" s="93"/>
      <c r="EIK260" s="93"/>
      <c r="EIL260" s="93"/>
      <c r="EIM260" s="93"/>
      <c r="EIN260" s="93"/>
      <c r="EIO260" s="93"/>
      <c r="EIP260" s="93"/>
      <c r="EIQ260" s="93"/>
      <c r="EIR260" s="93"/>
      <c r="EIS260" s="93"/>
      <c r="EIT260" s="93"/>
      <c r="EIU260" s="93"/>
      <c r="EIV260" s="93"/>
      <c r="EIW260" s="93"/>
      <c r="EIX260" s="93"/>
      <c r="EIY260" s="93"/>
      <c r="EIZ260" s="93"/>
      <c r="EJA260" s="93"/>
      <c r="EJB260" s="93"/>
      <c r="EJC260" s="93"/>
      <c r="EJD260" s="93"/>
      <c r="EJE260" s="93"/>
      <c r="EJF260" s="93"/>
      <c r="EJG260" s="93"/>
      <c r="EJH260" s="93"/>
      <c r="EJI260" s="93"/>
      <c r="EJJ260" s="93"/>
      <c r="EJK260" s="93"/>
      <c r="EJL260" s="93"/>
      <c r="EJM260" s="93"/>
      <c r="EJN260" s="93"/>
      <c r="EJO260" s="93"/>
      <c r="EJP260" s="93"/>
      <c r="EJQ260" s="93"/>
      <c r="EJR260" s="93"/>
      <c r="EJS260" s="93"/>
      <c r="EJT260" s="93"/>
      <c r="EJU260" s="93"/>
      <c r="EJV260" s="93"/>
      <c r="EJW260" s="93"/>
      <c r="EJX260" s="93"/>
      <c r="EJY260" s="93"/>
      <c r="EJZ260" s="93"/>
      <c r="EKA260" s="93"/>
      <c r="EKB260" s="93"/>
      <c r="EKC260" s="93"/>
      <c r="EKD260" s="93"/>
      <c r="EKE260" s="93"/>
      <c r="EKF260" s="93"/>
      <c r="EKG260" s="93"/>
      <c r="EKH260" s="93"/>
      <c r="EKI260" s="93"/>
      <c r="EKJ260" s="93"/>
      <c r="EKK260" s="93"/>
      <c r="EKL260" s="93"/>
      <c r="EKM260" s="93"/>
      <c r="EKN260" s="93"/>
      <c r="EKO260" s="93"/>
      <c r="EKP260" s="93"/>
      <c r="EKQ260" s="93"/>
      <c r="EKR260" s="93"/>
      <c r="EKS260" s="93"/>
      <c r="EKT260" s="93"/>
      <c r="EKU260" s="93"/>
      <c r="EKV260" s="93"/>
      <c r="EKW260" s="93"/>
      <c r="EKX260" s="93"/>
      <c r="EKY260" s="93"/>
      <c r="EKZ260" s="93"/>
      <c r="ELA260" s="93"/>
      <c r="ELB260" s="93"/>
      <c r="ELC260" s="93"/>
      <c r="ELD260" s="93"/>
      <c r="ELE260" s="93"/>
      <c r="ELF260" s="93"/>
      <c r="ELG260" s="93"/>
      <c r="ELH260" s="93"/>
      <c r="ELI260" s="93"/>
      <c r="ELJ260" s="93"/>
      <c r="ELK260" s="93"/>
      <c r="ELL260" s="93"/>
      <c r="ELM260" s="93"/>
      <c r="ELN260" s="93"/>
      <c r="ELO260" s="93"/>
      <c r="ELP260" s="93"/>
      <c r="ELQ260" s="93"/>
      <c r="ELR260" s="93"/>
      <c r="ELS260" s="93"/>
      <c r="ELT260" s="93"/>
      <c r="ELU260" s="93"/>
      <c r="ELV260" s="93"/>
      <c r="ELW260" s="93"/>
      <c r="ELX260" s="93"/>
      <c r="ELY260" s="93"/>
      <c r="ELZ260" s="93"/>
      <c r="EMA260" s="93"/>
      <c r="EMB260" s="93"/>
      <c r="EMC260" s="93"/>
      <c r="EMD260" s="93"/>
      <c r="EME260" s="93"/>
      <c r="EMF260" s="93"/>
      <c r="EMG260" s="93"/>
      <c r="EMH260" s="93"/>
      <c r="EMI260" s="93"/>
      <c r="EMJ260" s="93"/>
      <c r="EMK260" s="93"/>
      <c r="EML260" s="93"/>
      <c r="EMM260" s="93"/>
      <c r="EMN260" s="93"/>
      <c r="EMO260" s="93"/>
      <c r="EMP260" s="93"/>
      <c r="EMQ260" s="93"/>
      <c r="EMR260" s="93"/>
      <c r="EMS260" s="93"/>
      <c r="EMT260" s="93"/>
      <c r="EMU260" s="93"/>
      <c r="EMV260" s="93"/>
      <c r="EMW260" s="93"/>
      <c r="EMX260" s="93"/>
      <c r="EMY260" s="93"/>
      <c r="EMZ260" s="93"/>
      <c r="ENA260" s="93"/>
      <c r="ENB260" s="93"/>
      <c r="ENC260" s="93"/>
      <c r="END260" s="93"/>
      <c r="ENE260" s="93"/>
      <c r="ENF260" s="93"/>
      <c r="ENG260" s="93"/>
      <c r="ENH260" s="93"/>
      <c r="ENI260" s="93"/>
      <c r="ENJ260" s="93"/>
      <c r="ENK260" s="93"/>
      <c r="ENL260" s="93"/>
      <c r="ENM260" s="93"/>
      <c r="ENN260" s="93"/>
      <c r="ENO260" s="93"/>
      <c r="ENP260" s="93"/>
      <c r="ENQ260" s="93"/>
      <c r="ENR260" s="93"/>
      <c r="ENS260" s="93"/>
      <c r="ENT260" s="93"/>
      <c r="ENU260" s="93"/>
      <c r="ENV260" s="93"/>
      <c r="ENW260" s="93"/>
      <c r="ENX260" s="93"/>
      <c r="ENY260" s="93"/>
      <c r="ENZ260" s="93"/>
      <c r="EOA260" s="93"/>
      <c r="EOB260" s="93"/>
      <c r="EOC260" s="93"/>
      <c r="EOD260" s="93"/>
      <c r="EOE260" s="93"/>
      <c r="EOF260" s="93"/>
      <c r="EOG260" s="93"/>
      <c r="EOH260" s="93"/>
      <c r="EOI260" s="93"/>
      <c r="EOJ260" s="93"/>
      <c r="EOK260" s="93"/>
      <c r="EOL260" s="93"/>
      <c r="EOM260" s="93"/>
      <c r="EON260" s="93"/>
      <c r="EOO260" s="93"/>
      <c r="EOP260" s="93"/>
      <c r="EOQ260" s="93"/>
      <c r="EOR260" s="93"/>
      <c r="EOS260" s="93"/>
      <c r="EOT260" s="93"/>
      <c r="EOU260" s="93"/>
      <c r="EOV260" s="93"/>
      <c r="EOW260" s="93"/>
      <c r="EOX260" s="93"/>
      <c r="EOY260" s="93"/>
      <c r="EOZ260" s="93"/>
      <c r="EPA260" s="93"/>
      <c r="EPB260" s="93"/>
      <c r="EPC260" s="93"/>
      <c r="EPD260" s="93"/>
      <c r="EPE260" s="93"/>
      <c r="EPF260" s="93"/>
      <c r="EPG260" s="93"/>
      <c r="EPH260" s="93"/>
      <c r="EPI260" s="93"/>
      <c r="EPJ260" s="93"/>
      <c r="EPK260" s="93"/>
      <c r="EPL260" s="93"/>
      <c r="EPM260" s="93"/>
      <c r="EPN260" s="93"/>
      <c r="EPO260" s="93"/>
      <c r="EPP260" s="93"/>
      <c r="EPQ260" s="93"/>
      <c r="EPR260" s="93"/>
      <c r="EPS260" s="93"/>
      <c r="EPT260" s="93"/>
      <c r="EPU260" s="93"/>
      <c r="EPV260" s="93"/>
      <c r="EPW260" s="93"/>
      <c r="EPX260" s="93"/>
      <c r="EPY260" s="93"/>
      <c r="EPZ260" s="93"/>
      <c r="EQA260" s="93"/>
      <c r="EQB260" s="93"/>
      <c r="EQC260" s="93"/>
      <c r="EQD260" s="93"/>
      <c r="EQE260" s="93"/>
      <c r="EQF260" s="93"/>
      <c r="EQG260" s="93"/>
      <c r="EQH260" s="93"/>
      <c r="EQI260" s="93"/>
      <c r="EQJ260" s="93"/>
      <c r="EQK260" s="93"/>
      <c r="EQL260" s="93"/>
      <c r="EQM260" s="93"/>
      <c r="EQN260" s="93"/>
      <c r="EQO260" s="93"/>
      <c r="EQP260" s="93"/>
      <c r="EQQ260" s="93"/>
      <c r="EQR260" s="93"/>
      <c r="EQS260" s="93"/>
      <c r="EQT260" s="93"/>
      <c r="EQU260" s="93"/>
      <c r="EQV260" s="93"/>
      <c r="EQW260" s="93"/>
      <c r="EQX260" s="93"/>
      <c r="EQY260" s="93"/>
      <c r="EQZ260" s="93"/>
      <c r="ERA260" s="93"/>
      <c r="ERB260" s="93"/>
      <c r="ERC260" s="93"/>
      <c r="ERD260" s="93"/>
      <c r="ERE260" s="93"/>
      <c r="ERF260" s="93"/>
      <c r="ERG260" s="93"/>
      <c r="ERH260" s="93"/>
      <c r="ERI260" s="93"/>
      <c r="ERJ260" s="93"/>
      <c r="ERK260" s="93"/>
      <c r="ERL260" s="93"/>
      <c r="ERM260" s="93"/>
      <c r="ERN260" s="93"/>
      <c r="ERO260" s="93"/>
      <c r="ERP260" s="93"/>
      <c r="ERQ260" s="93"/>
      <c r="ERR260" s="93"/>
      <c r="ERS260" s="93"/>
      <c r="ERT260" s="93"/>
      <c r="ERU260" s="93"/>
      <c r="ERV260" s="93"/>
      <c r="ERW260" s="93"/>
      <c r="ERX260" s="93"/>
      <c r="ERY260" s="93"/>
      <c r="ERZ260" s="93"/>
      <c r="ESA260" s="93"/>
      <c r="ESB260" s="93"/>
      <c r="ESC260" s="93"/>
      <c r="ESD260" s="93"/>
      <c r="ESE260" s="93"/>
      <c r="ESF260" s="93"/>
      <c r="ESG260" s="93"/>
      <c r="ESH260" s="93"/>
      <c r="ESI260" s="93"/>
      <c r="ESJ260" s="93"/>
      <c r="ESK260" s="93"/>
      <c r="ESL260" s="93"/>
      <c r="ESM260" s="93"/>
      <c r="ESN260" s="93"/>
      <c r="ESO260" s="93"/>
      <c r="ESP260" s="93"/>
      <c r="ESQ260" s="93"/>
      <c r="ESR260" s="93"/>
      <c r="ESS260" s="93"/>
      <c r="EST260" s="93"/>
      <c r="ESU260" s="93"/>
      <c r="ESV260" s="93"/>
      <c r="ESW260" s="93"/>
      <c r="ESX260" s="93"/>
      <c r="ESY260" s="93"/>
      <c r="ESZ260" s="93"/>
      <c r="ETA260" s="93"/>
      <c r="ETB260" s="93"/>
      <c r="ETC260" s="93"/>
      <c r="ETD260" s="93"/>
      <c r="ETE260" s="93"/>
      <c r="ETF260" s="93"/>
      <c r="ETG260" s="93"/>
      <c r="ETH260" s="93"/>
      <c r="ETI260" s="93"/>
      <c r="ETJ260" s="93"/>
      <c r="ETK260" s="93"/>
      <c r="ETL260" s="93"/>
      <c r="ETM260" s="93"/>
      <c r="ETN260" s="93"/>
      <c r="ETO260" s="93"/>
      <c r="ETP260" s="93"/>
      <c r="ETQ260" s="93"/>
      <c r="ETR260" s="93"/>
      <c r="ETS260" s="93"/>
      <c r="ETT260" s="93"/>
      <c r="ETU260" s="93"/>
      <c r="ETV260" s="93"/>
      <c r="ETW260" s="93"/>
      <c r="ETX260" s="93"/>
      <c r="ETY260" s="93"/>
      <c r="ETZ260" s="93"/>
      <c r="EUA260" s="93"/>
      <c r="EUB260" s="93"/>
      <c r="EUC260" s="93"/>
      <c r="EUD260" s="93"/>
      <c r="EUE260" s="93"/>
      <c r="EUF260" s="93"/>
      <c r="EUG260" s="93"/>
      <c r="EUH260" s="93"/>
      <c r="EUI260" s="93"/>
      <c r="EUJ260" s="93"/>
      <c r="EUK260" s="93"/>
      <c r="EUL260" s="93"/>
      <c r="EUM260" s="93"/>
      <c r="EUN260" s="93"/>
      <c r="EUO260" s="93"/>
      <c r="EUP260" s="93"/>
      <c r="EUQ260" s="93"/>
      <c r="EUR260" s="93"/>
      <c r="EUS260" s="93"/>
      <c r="EUT260" s="93"/>
      <c r="EUU260" s="93"/>
      <c r="EUV260" s="93"/>
      <c r="EUW260" s="93"/>
      <c r="EUX260" s="93"/>
      <c r="EUY260" s="93"/>
      <c r="EUZ260" s="93"/>
      <c r="EVA260" s="93"/>
      <c r="EVB260" s="93"/>
      <c r="EVC260" s="93"/>
      <c r="EVD260" s="93"/>
      <c r="EVE260" s="93"/>
      <c r="EVF260" s="93"/>
      <c r="EVG260" s="93"/>
      <c r="EVH260" s="93"/>
      <c r="EVI260" s="93"/>
      <c r="EVJ260" s="93"/>
      <c r="EVK260" s="93"/>
      <c r="EVL260" s="93"/>
      <c r="EVM260" s="93"/>
      <c r="EVN260" s="93"/>
      <c r="EVO260" s="93"/>
      <c r="EVP260" s="93"/>
      <c r="EVQ260" s="93"/>
      <c r="EVR260" s="93"/>
      <c r="EVS260" s="93"/>
      <c r="EVT260" s="93"/>
      <c r="EVU260" s="93"/>
      <c r="EVV260" s="93"/>
      <c r="EVW260" s="93"/>
      <c r="EVX260" s="93"/>
      <c r="EVY260" s="93"/>
      <c r="EVZ260" s="93"/>
      <c r="EWA260" s="93"/>
      <c r="EWB260" s="93"/>
      <c r="EWC260" s="93"/>
      <c r="EWD260" s="93"/>
      <c r="EWE260" s="93"/>
      <c r="EWF260" s="93"/>
      <c r="EWG260" s="93"/>
      <c r="EWH260" s="93"/>
      <c r="EWI260" s="93"/>
      <c r="EWJ260" s="93"/>
      <c r="EWK260" s="93"/>
      <c r="EWL260" s="93"/>
      <c r="EWM260" s="93"/>
      <c r="EWN260" s="93"/>
      <c r="EWO260" s="93"/>
      <c r="EWP260" s="93"/>
      <c r="EWQ260" s="93"/>
      <c r="EWR260" s="93"/>
      <c r="EWS260" s="93"/>
      <c r="EWT260" s="93"/>
      <c r="EWU260" s="93"/>
      <c r="EWV260" s="93"/>
      <c r="EWW260" s="93"/>
      <c r="EWX260" s="93"/>
      <c r="EWY260" s="93"/>
      <c r="EWZ260" s="93"/>
      <c r="EXA260" s="93"/>
      <c r="EXB260" s="93"/>
      <c r="EXC260" s="93"/>
      <c r="EXD260" s="93"/>
      <c r="EXE260" s="93"/>
      <c r="EXF260" s="93"/>
      <c r="EXG260" s="93"/>
      <c r="EXH260" s="93"/>
      <c r="EXI260" s="93"/>
      <c r="EXJ260" s="93"/>
      <c r="EXK260" s="93"/>
      <c r="EXL260" s="93"/>
      <c r="EXM260" s="93"/>
      <c r="EXN260" s="93"/>
      <c r="EXO260" s="93"/>
      <c r="EXP260" s="93"/>
      <c r="EXQ260" s="93"/>
      <c r="EXR260" s="93"/>
      <c r="EXS260" s="93"/>
      <c r="EXT260" s="93"/>
      <c r="EXU260" s="93"/>
      <c r="EXV260" s="93"/>
      <c r="EXW260" s="93"/>
      <c r="EXX260" s="93"/>
      <c r="EXY260" s="93"/>
      <c r="EXZ260" s="93"/>
      <c r="EYA260" s="93"/>
      <c r="EYB260" s="93"/>
      <c r="EYC260" s="93"/>
      <c r="EYD260" s="93"/>
      <c r="EYE260" s="93"/>
      <c r="EYF260" s="93"/>
      <c r="EYG260" s="93"/>
      <c r="EYH260" s="93"/>
      <c r="EYI260" s="93"/>
      <c r="EYJ260" s="93"/>
      <c r="EYK260" s="93"/>
      <c r="EYL260" s="93"/>
      <c r="EYM260" s="93"/>
      <c r="EYN260" s="93"/>
      <c r="EYO260" s="93"/>
      <c r="EYP260" s="93"/>
      <c r="EYQ260" s="93"/>
      <c r="EYR260" s="93"/>
      <c r="EYS260" s="93"/>
      <c r="EYT260" s="93"/>
      <c r="EYU260" s="93"/>
      <c r="EYV260" s="93"/>
      <c r="EYW260" s="93"/>
      <c r="EYX260" s="93"/>
      <c r="EYY260" s="93"/>
      <c r="EYZ260" s="93"/>
      <c r="EZA260" s="93"/>
      <c r="EZB260" s="93"/>
      <c r="EZC260" s="93"/>
      <c r="EZD260" s="93"/>
      <c r="EZE260" s="93"/>
      <c r="EZF260" s="93"/>
      <c r="EZG260" s="93"/>
      <c r="EZH260" s="93"/>
      <c r="EZI260" s="93"/>
      <c r="EZJ260" s="93"/>
      <c r="EZK260" s="93"/>
      <c r="EZL260" s="93"/>
      <c r="EZM260" s="93"/>
      <c r="EZN260" s="93"/>
      <c r="EZO260" s="93"/>
      <c r="EZP260" s="93"/>
      <c r="EZQ260" s="93"/>
      <c r="EZR260" s="93"/>
      <c r="EZS260" s="93"/>
      <c r="EZT260" s="93"/>
      <c r="EZU260" s="93"/>
      <c r="EZV260" s="93"/>
      <c r="EZW260" s="93"/>
      <c r="EZX260" s="93"/>
      <c r="EZY260" s="93"/>
      <c r="EZZ260" s="93"/>
      <c r="FAA260" s="93"/>
      <c r="FAB260" s="93"/>
      <c r="FAC260" s="93"/>
      <c r="FAD260" s="93"/>
      <c r="FAE260" s="93"/>
      <c r="FAF260" s="93"/>
      <c r="FAG260" s="93"/>
      <c r="FAH260" s="93"/>
      <c r="FAI260" s="93"/>
      <c r="FAJ260" s="93"/>
      <c r="FAK260" s="93"/>
      <c r="FAL260" s="93"/>
      <c r="FAM260" s="93"/>
      <c r="FAN260" s="93"/>
      <c r="FAO260" s="93"/>
      <c r="FAP260" s="93"/>
      <c r="FAQ260" s="93"/>
      <c r="FAR260" s="93"/>
      <c r="FAS260" s="93"/>
      <c r="FAT260" s="93"/>
      <c r="FAU260" s="93"/>
      <c r="FAV260" s="93"/>
      <c r="FAW260" s="93"/>
      <c r="FAX260" s="93"/>
      <c r="FAY260" s="93"/>
      <c r="FAZ260" s="93"/>
      <c r="FBA260" s="93"/>
      <c r="FBB260" s="93"/>
      <c r="FBC260" s="93"/>
      <c r="FBD260" s="93"/>
      <c r="FBE260" s="93"/>
      <c r="FBF260" s="93"/>
      <c r="FBG260" s="93"/>
      <c r="FBH260" s="93"/>
      <c r="FBI260" s="93"/>
      <c r="FBJ260" s="93"/>
      <c r="FBK260" s="93"/>
      <c r="FBL260" s="93"/>
      <c r="FBM260" s="93"/>
      <c r="FBN260" s="93"/>
      <c r="FBO260" s="93"/>
      <c r="FBP260" s="93"/>
      <c r="FBQ260" s="93"/>
      <c r="FBR260" s="93"/>
      <c r="FBS260" s="93"/>
      <c r="FBT260" s="93"/>
      <c r="FBU260" s="93"/>
      <c r="FBV260" s="93"/>
      <c r="FBW260" s="93"/>
      <c r="FBX260" s="93"/>
      <c r="FBY260" s="93"/>
      <c r="FBZ260" s="93"/>
      <c r="FCA260" s="93"/>
      <c r="FCB260" s="93"/>
      <c r="FCC260" s="93"/>
      <c r="FCD260" s="93"/>
      <c r="FCE260" s="93"/>
      <c r="FCF260" s="93"/>
      <c r="FCG260" s="93"/>
      <c r="FCH260" s="93"/>
      <c r="FCI260" s="93"/>
      <c r="FCJ260" s="93"/>
      <c r="FCK260" s="93"/>
      <c r="FCL260" s="93"/>
      <c r="FCM260" s="93"/>
      <c r="FCN260" s="93"/>
      <c r="FCO260" s="93"/>
      <c r="FCP260" s="93"/>
      <c r="FCQ260" s="93"/>
      <c r="FCR260" s="93"/>
      <c r="FCS260" s="93"/>
      <c r="FCT260" s="93"/>
      <c r="FCU260" s="93"/>
      <c r="FCV260" s="93"/>
      <c r="FCW260" s="93"/>
      <c r="FCX260" s="93"/>
      <c r="FCY260" s="93"/>
      <c r="FCZ260" s="93"/>
      <c r="FDA260" s="93"/>
      <c r="FDB260" s="93"/>
      <c r="FDC260" s="93"/>
      <c r="FDD260" s="93"/>
      <c r="FDE260" s="93"/>
      <c r="FDF260" s="93"/>
      <c r="FDG260" s="93"/>
      <c r="FDH260" s="93"/>
      <c r="FDI260" s="93"/>
      <c r="FDJ260" s="93"/>
      <c r="FDK260" s="93"/>
      <c r="FDL260" s="93"/>
      <c r="FDM260" s="93"/>
      <c r="FDN260" s="93"/>
      <c r="FDO260" s="93"/>
      <c r="FDP260" s="93"/>
      <c r="FDQ260" s="93"/>
      <c r="FDR260" s="93"/>
      <c r="FDS260" s="93"/>
      <c r="FDT260" s="93"/>
      <c r="FDU260" s="93"/>
      <c r="FDV260" s="93"/>
      <c r="FDW260" s="93"/>
      <c r="FDX260" s="93"/>
      <c r="FDY260" s="93"/>
      <c r="FDZ260" s="93"/>
      <c r="FEA260" s="93"/>
      <c r="FEB260" s="93"/>
      <c r="FEC260" s="93"/>
      <c r="FED260" s="93"/>
      <c r="FEE260" s="93"/>
      <c r="FEF260" s="93"/>
      <c r="FEG260" s="93"/>
      <c r="FEH260" s="93"/>
      <c r="FEI260" s="93"/>
      <c r="FEJ260" s="93"/>
      <c r="FEK260" s="93"/>
      <c r="FEL260" s="93"/>
      <c r="FEM260" s="93"/>
      <c r="FEN260" s="93"/>
      <c r="FEO260" s="93"/>
      <c r="FEP260" s="93"/>
      <c r="FEQ260" s="93"/>
      <c r="FER260" s="93"/>
      <c r="FES260" s="93"/>
      <c r="FET260" s="93"/>
      <c r="FEU260" s="93"/>
      <c r="FEV260" s="93"/>
      <c r="FEW260" s="93"/>
      <c r="FEX260" s="93"/>
      <c r="FEY260" s="93"/>
      <c r="FEZ260" s="93"/>
      <c r="FFA260" s="93"/>
      <c r="FFB260" s="93"/>
      <c r="FFC260" s="93"/>
      <c r="FFD260" s="93"/>
      <c r="FFE260" s="93"/>
      <c r="FFF260" s="93"/>
      <c r="FFG260" s="93"/>
      <c r="FFH260" s="93"/>
      <c r="FFI260" s="93"/>
      <c r="FFJ260" s="93"/>
      <c r="FFK260" s="93"/>
      <c r="FFL260" s="93"/>
      <c r="FFM260" s="93"/>
      <c r="FFN260" s="93"/>
      <c r="FFO260" s="93"/>
      <c r="FFP260" s="93"/>
      <c r="FFQ260" s="93"/>
      <c r="FFR260" s="93"/>
      <c r="FFS260" s="93"/>
      <c r="FFT260" s="93"/>
      <c r="FFU260" s="93"/>
      <c r="FFV260" s="93"/>
      <c r="FFW260" s="93"/>
      <c r="FFX260" s="93"/>
      <c r="FFY260" s="93"/>
      <c r="FFZ260" s="93"/>
      <c r="FGA260" s="93"/>
      <c r="FGB260" s="93"/>
      <c r="FGC260" s="93"/>
      <c r="FGD260" s="93"/>
      <c r="FGE260" s="93"/>
      <c r="FGF260" s="93"/>
      <c r="FGG260" s="93"/>
      <c r="FGH260" s="93"/>
      <c r="FGI260" s="93"/>
      <c r="FGJ260" s="93"/>
      <c r="FGK260" s="93"/>
      <c r="FGL260" s="93"/>
      <c r="FGM260" s="93"/>
      <c r="FGN260" s="93"/>
      <c r="FGO260" s="93"/>
      <c r="FGP260" s="93"/>
      <c r="FGQ260" s="93"/>
      <c r="FGR260" s="93"/>
      <c r="FGS260" s="93"/>
      <c r="FGT260" s="93"/>
      <c r="FGU260" s="93"/>
      <c r="FGV260" s="93"/>
      <c r="FGW260" s="93"/>
      <c r="FGX260" s="93"/>
      <c r="FGY260" s="93"/>
      <c r="FGZ260" s="93"/>
      <c r="FHA260" s="93"/>
      <c r="FHB260" s="93"/>
      <c r="FHC260" s="93"/>
      <c r="FHD260" s="93"/>
      <c r="FHE260" s="93"/>
      <c r="FHF260" s="93"/>
      <c r="FHG260" s="93"/>
      <c r="FHH260" s="93"/>
      <c r="FHI260" s="93"/>
      <c r="FHJ260" s="93"/>
      <c r="FHK260" s="93"/>
      <c r="FHL260" s="93"/>
      <c r="FHM260" s="93"/>
      <c r="FHN260" s="93"/>
      <c r="FHO260" s="93"/>
      <c r="FHP260" s="93"/>
      <c r="FHQ260" s="93"/>
      <c r="FHR260" s="93"/>
      <c r="FHS260" s="93"/>
      <c r="FHT260" s="93"/>
      <c r="FHU260" s="93"/>
      <c r="FHV260" s="93"/>
      <c r="FHW260" s="93"/>
      <c r="FHX260" s="93"/>
      <c r="FHY260" s="93"/>
      <c r="FHZ260" s="93"/>
      <c r="FIA260" s="93"/>
      <c r="FIB260" s="93"/>
      <c r="FIC260" s="93"/>
      <c r="FID260" s="93"/>
      <c r="FIE260" s="93"/>
      <c r="FIF260" s="93"/>
      <c r="FIG260" s="93"/>
      <c r="FIH260" s="93"/>
      <c r="FII260" s="93"/>
      <c r="FIJ260" s="93"/>
      <c r="FIK260" s="93"/>
      <c r="FIL260" s="93"/>
      <c r="FIM260" s="93"/>
      <c r="FIN260" s="93"/>
      <c r="FIO260" s="93"/>
      <c r="FIP260" s="93"/>
      <c r="FIQ260" s="93"/>
      <c r="FIR260" s="93"/>
      <c r="FIS260" s="93"/>
      <c r="FIT260" s="93"/>
      <c r="FIU260" s="93"/>
      <c r="FIV260" s="93"/>
      <c r="FIW260" s="93"/>
      <c r="FIX260" s="93"/>
      <c r="FIY260" s="93"/>
      <c r="FIZ260" s="93"/>
      <c r="FJA260" s="93"/>
      <c r="FJB260" s="93"/>
      <c r="FJC260" s="93"/>
      <c r="FJD260" s="93"/>
      <c r="FJE260" s="93"/>
      <c r="FJF260" s="93"/>
      <c r="FJG260" s="93"/>
      <c r="FJH260" s="93"/>
      <c r="FJI260" s="93"/>
      <c r="FJJ260" s="93"/>
      <c r="FJK260" s="93"/>
      <c r="FJL260" s="93"/>
      <c r="FJM260" s="93"/>
      <c r="FJN260" s="93"/>
      <c r="FJO260" s="93"/>
      <c r="FJP260" s="93"/>
      <c r="FJQ260" s="93"/>
      <c r="FJR260" s="93"/>
      <c r="FJS260" s="93"/>
      <c r="FJT260" s="93"/>
      <c r="FJU260" s="93"/>
      <c r="FJV260" s="93"/>
      <c r="FJW260" s="93"/>
      <c r="FJX260" s="93"/>
      <c r="FJY260" s="93"/>
      <c r="FJZ260" s="93"/>
      <c r="FKA260" s="93"/>
      <c r="FKB260" s="93"/>
      <c r="FKC260" s="93"/>
      <c r="FKD260" s="93"/>
      <c r="FKE260" s="93"/>
      <c r="FKF260" s="93"/>
      <c r="FKG260" s="93"/>
      <c r="FKH260" s="93"/>
      <c r="FKI260" s="93"/>
      <c r="FKJ260" s="93"/>
      <c r="FKK260" s="93"/>
      <c r="FKL260" s="93"/>
      <c r="FKM260" s="93"/>
      <c r="FKN260" s="93"/>
      <c r="FKO260" s="93"/>
      <c r="FKP260" s="93"/>
      <c r="FKQ260" s="93"/>
      <c r="FKR260" s="93"/>
      <c r="FKS260" s="93"/>
      <c r="FKT260" s="93"/>
      <c r="FKU260" s="93"/>
      <c r="FKV260" s="93"/>
      <c r="FKW260" s="93"/>
      <c r="FKX260" s="93"/>
      <c r="FKY260" s="93"/>
      <c r="FKZ260" s="93"/>
      <c r="FLA260" s="93"/>
      <c r="FLB260" s="93"/>
      <c r="FLC260" s="93"/>
      <c r="FLD260" s="93"/>
      <c r="FLE260" s="93"/>
      <c r="FLF260" s="93"/>
      <c r="FLG260" s="93"/>
      <c r="FLH260" s="93"/>
      <c r="FLI260" s="93"/>
      <c r="FLJ260" s="93"/>
      <c r="FLK260" s="93"/>
      <c r="FLL260" s="93"/>
      <c r="FLM260" s="93"/>
      <c r="FLN260" s="93"/>
      <c r="FLO260" s="93"/>
      <c r="FLP260" s="93"/>
      <c r="FLQ260" s="93"/>
      <c r="FLR260" s="93"/>
      <c r="FLS260" s="93"/>
      <c r="FLT260" s="93"/>
      <c r="FLU260" s="93"/>
      <c r="FLV260" s="93"/>
      <c r="FLW260" s="93"/>
      <c r="FLX260" s="93"/>
      <c r="FLY260" s="93"/>
      <c r="FLZ260" s="93"/>
      <c r="FMA260" s="93"/>
      <c r="FMB260" s="93"/>
      <c r="FMC260" s="93"/>
      <c r="FMD260" s="93"/>
      <c r="FME260" s="93"/>
      <c r="FMF260" s="93"/>
      <c r="FMG260" s="93"/>
      <c r="FMH260" s="93"/>
      <c r="FMI260" s="93"/>
      <c r="FMJ260" s="93"/>
      <c r="FMK260" s="93"/>
      <c r="FML260" s="93"/>
      <c r="FMM260" s="93"/>
      <c r="FMN260" s="93"/>
      <c r="FMO260" s="93"/>
      <c r="FMP260" s="93"/>
      <c r="FMQ260" s="93"/>
      <c r="FMR260" s="93"/>
      <c r="FMS260" s="93"/>
      <c r="FMT260" s="93"/>
      <c r="FMU260" s="93"/>
      <c r="FMV260" s="93"/>
      <c r="FMW260" s="93"/>
      <c r="FMX260" s="93"/>
      <c r="FMY260" s="93"/>
      <c r="FMZ260" s="93"/>
      <c r="FNA260" s="93"/>
      <c r="FNB260" s="93"/>
      <c r="FNC260" s="93"/>
      <c r="FND260" s="93"/>
      <c r="FNE260" s="93"/>
      <c r="FNF260" s="93"/>
      <c r="FNG260" s="93"/>
      <c r="FNH260" s="93"/>
      <c r="FNI260" s="93"/>
      <c r="FNJ260" s="93"/>
      <c r="FNK260" s="93"/>
      <c r="FNL260" s="93"/>
      <c r="FNM260" s="93"/>
      <c r="FNN260" s="93"/>
      <c r="FNO260" s="93"/>
      <c r="FNP260" s="93"/>
      <c r="FNQ260" s="93"/>
      <c r="FNR260" s="93"/>
      <c r="FNS260" s="93"/>
      <c r="FNT260" s="93"/>
      <c r="FNU260" s="93"/>
      <c r="FNV260" s="93"/>
      <c r="FNW260" s="93"/>
      <c r="FNX260" s="93"/>
      <c r="FNY260" s="93"/>
      <c r="FNZ260" s="93"/>
      <c r="FOA260" s="93"/>
      <c r="FOB260" s="93"/>
      <c r="FOC260" s="93"/>
      <c r="FOD260" s="93"/>
      <c r="FOE260" s="93"/>
      <c r="FOF260" s="93"/>
      <c r="FOG260" s="93"/>
      <c r="FOH260" s="93"/>
      <c r="FOI260" s="93"/>
      <c r="FOJ260" s="93"/>
      <c r="FOK260" s="93"/>
      <c r="FOL260" s="93"/>
      <c r="FOM260" s="93"/>
      <c r="FON260" s="93"/>
      <c r="FOO260" s="93"/>
      <c r="FOP260" s="93"/>
      <c r="FOQ260" s="93"/>
      <c r="FOR260" s="93"/>
      <c r="FOS260" s="93"/>
      <c r="FOT260" s="93"/>
      <c r="FOU260" s="93"/>
      <c r="FOV260" s="93"/>
      <c r="FOW260" s="93"/>
      <c r="FOX260" s="93"/>
      <c r="FOY260" s="93"/>
      <c r="FOZ260" s="93"/>
      <c r="FPA260" s="93"/>
      <c r="FPB260" s="93"/>
      <c r="FPC260" s="93"/>
      <c r="FPD260" s="93"/>
      <c r="FPE260" s="93"/>
      <c r="FPF260" s="93"/>
      <c r="FPG260" s="93"/>
      <c r="FPH260" s="93"/>
      <c r="FPI260" s="93"/>
      <c r="FPJ260" s="93"/>
      <c r="FPK260" s="93"/>
      <c r="FPL260" s="93"/>
      <c r="FPM260" s="93"/>
      <c r="FPN260" s="93"/>
      <c r="FPO260" s="93"/>
      <c r="FPP260" s="93"/>
      <c r="FPQ260" s="93"/>
      <c r="FPR260" s="93"/>
      <c r="FPS260" s="93"/>
      <c r="FPT260" s="93"/>
      <c r="FPU260" s="93"/>
      <c r="FPV260" s="93"/>
      <c r="FPW260" s="93"/>
      <c r="FPX260" s="93"/>
      <c r="FPY260" s="93"/>
      <c r="FPZ260" s="93"/>
      <c r="FQA260" s="93"/>
      <c r="FQB260" s="93"/>
      <c r="FQC260" s="93"/>
      <c r="FQD260" s="93"/>
      <c r="FQE260" s="93"/>
      <c r="FQF260" s="93"/>
      <c r="FQG260" s="93"/>
      <c r="FQH260" s="93"/>
      <c r="FQI260" s="93"/>
      <c r="FQJ260" s="93"/>
      <c r="FQK260" s="93"/>
      <c r="FQL260" s="93"/>
      <c r="FQM260" s="93"/>
      <c r="FQN260" s="93"/>
      <c r="FQO260" s="93"/>
      <c r="FQP260" s="93"/>
      <c r="FQQ260" s="93"/>
      <c r="FQR260" s="93"/>
      <c r="FQS260" s="93"/>
      <c r="FQT260" s="93"/>
      <c r="FQU260" s="93"/>
      <c r="FQV260" s="93"/>
      <c r="FQW260" s="93"/>
      <c r="FQX260" s="93"/>
      <c r="FQY260" s="93"/>
      <c r="FQZ260" s="93"/>
      <c r="FRA260" s="93"/>
      <c r="FRB260" s="93"/>
      <c r="FRC260" s="93"/>
      <c r="FRD260" s="93"/>
      <c r="FRE260" s="93"/>
      <c r="FRF260" s="93"/>
      <c r="FRG260" s="93"/>
      <c r="FRH260" s="93"/>
      <c r="FRI260" s="93"/>
      <c r="FRJ260" s="93"/>
      <c r="FRK260" s="93"/>
      <c r="FRL260" s="93"/>
      <c r="FRM260" s="93"/>
      <c r="FRN260" s="93"/>
      <c r="FRO260" s="93"/>
      <c r="FRP260" s="93"/>
      <c r="FRQ260" s="93"/>
      <c r="FRR260" s="93"/>
      <c r="FRS260" s="93"/>
      <c r="FRT260" s="93"/>
      <c r="FRU260" s="93"/>
      <c r="FRV260" s="93"/>
      <c r="FRW260" s="93"/>
      <c r="FRX260" s="93"/>
      <c r="FRY260" s="93"/>
      <c r="FRZ260" s="93"/>
      <c r="FSA260" s="93"/>
      <c r="FSB260" s="93"/>
      <c r="FSC260" s="93"/>
      <c r="FSD260" s="93"/>
      <c r="FSE260" s="93"/>
      <c r="FSF260" s="93"/>
      <c r="FSG260" s="93"/>
      <c r="FSH260" s="93"/>
      <c r="FSI260" s="93"/>
      <c r="FSJ260" s="93"/>
      <c r="FSK260" s="93"/>
      <c r="FSL260" s="93"/>
      <c r="FSM260" s="93"/>
      <c r="FSN260" s="93"/>
      <c r="FSO260" s="93"/>
      <c r="FSP260" s="93"/>
      <c r="FSQ260" s="93"/>
      <c r="FSR260" s="93"/>
      <c r="FSS260" s="93"/>
      <c r="FST260" s="93"/>
      <c r="FSU260" s="93"/>
      <c r="FSV260" s="93"/>
      <c r="FSW260" s="93"/>
      <c r="FSX260" s="93"/>
      <c r="FSY260" s="93"/>
      <c r="FSZ260" s="93"/>
      <c r="FTA260" s="93"/>
      <c r="FTB260" s="93"/>
      <c r="FTC260" s="93"/>
      <c r="FTD260" s="93"/>
      <c r="FTE260" s="93"/>
      <c r="FTF260" s="93"/>
      <c r="FTG260" s="93"/>
      <c r="FTH260" s="93"/>
      <c r="FTI260" s="93"/>
      <c r="FTJ260" s="93"/>
      <c r="FTK260" s="93"/>
      <c r="FTL260" s="93"/>
      <c r="FTM260" s="93"/>
      <c r="FTN260" s="93"/>
      <c r="FTO260" s="93"/>
      <c r="FTP260" s="93"/>
      <c r="FTQ260" s="93"/>
      <c r="FTR260" s="93"/>
      <c r="FTS260" s="93"/>
      <c r="FTT260" s="93"/>
      <c r="FTU260" s="93"/>
      <c r="FTV260" s="93"/>
      <c r="FTW260" s="93"/>
      <c r="FTX260" s="93"/>
      <c r="FTY260" s="93"/>
      <c r="FTZ260" s="93"/>
      <c r="FUA260" s="93"/>
      <c r="FUB260" s="93"/>
      <c r="FUC260" s="93"/>
      <c r="FUD260" s="93"/>
      <c r="FUE260" s="93"/>
      <c r="FUF260" s="93"/>
      <c r="FUG260" s="93"/>
      <c r="FUH260" s="93"/>
      <c r="FUI260" s="93"/>
      <c r="FUJ260" s="93"/>
      <c r="FUK260" s="93"/>
      <c r="FUL260" s="93"/>
      <c r="FUM260" s="93"/>
      <c r="FUN260" s="93"/>
      <c r="FUO260" s="93"/>
      <c r="FUP260" s="93"/>
      <c r="FUQ260" s="93"/>
      <c r="FUR260" s="93"/>
      <c r="FUS260" s="93"/>
      <c r="FUT260" s="93"/>
      <c r="FUU260" s="93"/>
      <c r="FUV260" s="93"/>
      <c r="FUW260" s="93"/>
      <c r="FUX260" s="93"/>
      <c r="FUY260" s="93"/>
      <c r="FUZ260" s="93"/>
      <c r="FVA260" s="93"/>
      <c r="FVB260" s="93"/>
      <c r="FVC260" s="93"/>
      <c r="FVD260" s="93"/>
      <c r="FVE260" s="93"/>
      <c r="FVF260" s="93"/>
      <c r="FVG260" s="93"/>
      <c r="FVH260" s="93"/>
      <c r="FVI260" s="93"/>
      <c r="FVJ260" s="93"/>
      <c r="FVK260" s="93"/>
      <c r="FVL260" s="93"/>
      <c r="FVM260" s="93"/>
      <c r="FVN260" s="93"/>
      <c r="FVO260" s="93"/>
      <c r="FVP260" s="93"/>
      <c r="FVQ260" s="93"/>
      <c r="FVR260" s="93"/>
      <c r="FVS260" s="93"/>
      <c r="FVT260" s="93"/>
      <c r="FVU260" s="93"/>
      <c r="FVV260" s="93"/>
      <c r="FVW260" s="93"/>
      <c r="FVX260" s="93"/>
      <c r="FVY260" s="93"/>
      <c r="FVZ260" s="93"/>
      <c r="FWA260" s="93"/>
      <c r="FWB260" s="93"/>
      <c r="FWC260" s="93"/>
      <c r="FWD260" s="93"/>
      <c r="FWE260" s="93"/>
      <c r="FWF260" s="93"/>
      <c r="FWG260" s="93"/>
      <c r="FWH260" s="93"/>
      <c r="FWI260" s="93"/>
      <c r="FWJ260" s="93"/>
      <c r="FWK260" s="93"/>
      <c r="FWL260" s="93"/>
      <c r="FWM260" s="93"/>
      <c r="FWN260" s="93"/>
      <c r="FWO260" s="93"/>
      <c r="FWP260" s="93"/>
      <c r="FWQ260" s="93"/>
      <c r="FWR260" s="93"/>
      <c r="FWS260" s="93"/>
      <c r="FWT260" s="93"/>
      <c r="FWU260" s="93"/>
      <c r="FWV260" s="93"/>
      <c r="FWW260" s="93"/>
      <c r="FWX260" s="93"/>
      <c r="FWY260" s="93"/>
      <c r="FWZ260" s="93"/>
      <c r="FXA260" s="93"/>
      <c r="FXB260" s="93"/>
      <c r="FXC260" s="93"/>
      <c r="FXD260" s="93"/>
      <c r="FXE260" s="93"/>
      <c r="FXF260" s="93"/>
      <c r="FXG260" s="93"/>
      <c r="FXH260" s="93"/>
      <c r="FXI260" s="93"/>
      <c r="FXJ260" s="93"/>
      <c r="FXK260" s="93"/>
      <c r="FXL260" s="93"/>
      <c r="FXM260" s="93"/>
      <c r="FXN260" s="93"/>
      <c r="FXO260" s="93"/>
      <c r="FXP260" s="93"/>
      <c r="FXQ260" s="93"/>
      <c r="FXR260" s="93"/>
      <c r="FXS260" s="93"/>
      <c r="FXT260" s="93"/>
      <c r="FXU260" s="93"/>
      <c r="FXV260" s="93"/>
      <c r="FXW260" s="93"/>
      <c r="FXX260" s="93"/>
      <c r="FXY260" s="93"/>
      <c r="FXZ260" s="93"/>
      <c r="FYA260" s="93"/>
      <c r="FYB260" s="93"/>
      <c r="FYC260" s="93"/>
      <c r="FYD260" s="93"/>
      <c r="FYE260" s="93"/>
      <c r="FYF260" s="93"/>
      <c r="FYG260" s="93"/>
      <c r="FYH260" s="93"/>
      <c r="FYI260" s="93"/>
      <c r="FYJ260" s="93"/>
      <c r="FYK260" s="93"/>
      <c r="FYL260" s="93"/>
      <c r="FYM260" s="93"/>
      <c r="FYN260" s="93"/>
      <c r="FYO260" s="93"/>
      <c r="FYP260" s="93"/>
      <c r="FYQ260" s="93"/>
      <c r="FYR260" s="93"/>
      <c r="FYS260" s="93"/>
      <c r="FYT260" s="93"/>
      <c r="FYU260" s="93"/>
      <c r="FYV260" s="93"/>
      <c r="FYW260" s="93"/>
      <c r="FYX260" s="93"/>
      <c r="FYY260" s="93"/>
      <c r="FYZ260" s="93"/>
      <c r="FZA260" s="93"/>
      <c r="FZB260" s="93"/>
      <c r="FZC260" s="93"/>
      <c r="FZD260" s="93"/>
      <c r="FZE260" s="93"/>
      <c r="FZF260" s="93"/>
      <c r="FZG260" s="93"/>
      <c r="FZH260" s="93"/>
      <c r="FZI260" s="93"/>
      <c r="FZJ260" s="93"/>
      <c r="FZK260" s="93"/>
      <c r="FZL260" s="93"/>
      <c r="FZM260" s="93"/>
      <c r="FZN260" s="93"/>
      <c r="FZO260" s="93"/>
      <c r="FZP260" s="93"/>
      <c r="FZQ260" s="93"/>
      <c r="FZR260" s="93"/>
      <c r="FZS260" s="93"/>
      <c r="FZT260" s="93"/>
      <c r="FZU260" s="93"/>
      <c r="FZV260" s="93"/>
      <c r="FZW260" s="93"/>
      <c r="FZX260" s="93"/>
      <c r="FZY260" s="93"/>
      <c r="FZZ260" s="93"/>
      <c r="GAA260" s="93"/>
      <c r="GAB260" s="93"/>
      <c r="GAC260" s="93"/>
      <c r="GAD260" s="93"/>
      <c r="GAE260" s="93"/>
      <c r="GAF260" s="93"/>
      <c r="GAG260" s="93"/>
      <c r="GAH260" s="93"/>
      <c r="GAI260" s="93"/>
      <c r="GAJ260" s="93"/>
    </row>
    <row r="261" spans="1:16213" s="144" customFormat="1" ht="25.15" customHeight="1" outlineLevel="1" x14ac:dyDescent="0.25">
      <c r="A261" s="80" t="s">
        <v>202</v>
      </c>
      <c r="B261" s="80"/>
      <c r="C261" s="80"/>
      <c r="D261" s="80" t="s">
        <v>1756</v>
      </c>
      <c r="E261" s="90" t="s">
        <v>469</v>
      </c>
      <c r="F261" s="80" t="s">
        <v>478</v>
      </c>
      <c r="G261" s="80" t="s">
        <v>45</v>
      </c>
      <c r="H261" s="80"/>
      <c r="I261" s="80"/>
      <c r="J261" s="80"/>
      <c r="K261" s="80" t="s">
        <v>479</v>
      </c>
      <c r="L261" s="80"/>
      <c r="M261" s="80" t="s">
        <v>1752</v>
      </c>
      <c r="N261" s="83" t="s">
        <v>31</v>
      </c>
      <c r="O261" s="80"/>
      <c r="P261" s="80"/>
      <c r="Q261" s="80"/>
      <c r="R261" s="80"/>
      <c r="S261" s="80">
        <v>3924</v>
      </c>
      <c r="T261" s="80">
        <v>2534</v>
      </c>
      <c r="U261" s="80">
        <v>5990</v>
      </c>
      <c r="V261" s="80"/>
      <c r="W261" s="80">
        <v>3800</v>
      </c>
      <c r="X261" s="80">
        <v>825</v>
      </c>
      <c r="Y261" s="80"/>
      <c r="Z261" s="80"/>
      <c r="AA261" s="80" t="s">
        <v>480</v>
      </c>
      <c r="AB261" s="80">
        <v>19000</v>
      </c>
      <c r="AC261" s="80"/>
      <c r="AD261" s="83"/>
      <c r="AE261" s="83"/>
      <c r="AF261" s="83">
        <v>44000</v>
      </c>
      <c r="AG261" s="83">
        <v>7474</v>
      </c>
      <c r="AH261" s="80"/>
      <c r="AI261" s="80" t="s">
        <v>1753</v>
      </c>
      <c r="AJ261" s="80"/>
      <c r="AK261" s="80" t="s">
        <v>1754</v>
      </c>
      <c r="AL261" s="80"/>
      <c r="AM261" s="80" t="s">
        <v>1619</v>
      </c>
      <c r="AN261" s="80"/>
      <c r="AO261" s="80"/>
      <c r="AP261" s="80"/>
      <c r="AQ261" s="80"/>
      <c r="AR261" s="80"/>
      <c r="AS261" s="80"/>
      <c r="AT261" s="80"/>
      <c r="AU261" s="119" t="s">
        <v>481</v>
      </c>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80"/>
      <c r="BT261" s="80"/>
    </row>
    <row r="262" spans="1:16213" s="144" customFormat="1" ht="25.15" customHeight="1" outlineLevel="1" x14ac:dyDescent="0.25">
      <c r="A262" s="80" t="s">
        <v>202</v>
      </c>
      <c r="B262" s="80"/>
      <c r="C262" s="80"/>
      <c r="D262" s="80" t="s">
        <v>1756</v>
      </c>
      <c r="E262" s="90" t="s">
        <v>469</v>
      </c>
      <c r="F262" s="80" t="s">
        <v>478</v>
      </c>
      <c r="G262" s="80" t="s">
        <v>45</v>
      </c>
      <c r="H262" s="80"/>
      <c r="I262" s="80"/>
      <c r="J262" s="80"/>
      <c r="K262" s="80" t="s">
        <v>479</v>
      </c>
      <c r="L262" s="80"/>
      <c r="M262" s="80" t="s">
        <v>1755</v>
      </c>
      <c r="N262" s="83" t="s">
        <v>31</v>
      </c>
      <c r="O262" s="80"/>
      <c r="P262" s="80"/>
      <c r="Q262" s="80"/>
      <c r="R262" s="80"/>
      <c r="S262" s="80">
        <v>3924</v>
      </c>
      <c r="T262" s="80">
        <v>2534</v>
      </c>
      <c r="U262" s="80">
        <v>5990</v>
      </c>
      <c r="V262" s="80"/>
      <c r="W262" s="80">
        <v>3800</v>
      </c>
      <c r="X262" s="80">
        <v>825</v>
      </c>
      <c r="Y262" s="80"/>
      <c r="Z262" s="80"/>
      <c r="AA262" s="80" t="s">
        <v>480</v>
      </c>
      <c r="AB262" s="80">
        <v>19000</v>
      </c>
      <c r="AC262" s="80"/>
      <c r="AD262" s="83"/>
      <c r="AE262" s="83"/>
      <c r="AF262" s="83">
        <v>44000</v>
      </c>
      <c r="AG262" s="83">
        <v>7474</v>
      </c>
      <c r="AH262" s="80"/>
      <c r="AI262" s="80" t="s">
        <v>1753</v>
      </c>
      <c r="AJ262" s="80"/>
      <c r="AK262" s="80" t="s">
        <v>1621</v>
      </c>
      <c r="AL262" s="80"/>
      <c r="AM262" s="80" t="s">
        <v>1619</v>
      </c>
      <c r="AN262" s="80"/>
      <c r="AO262" s="80"/>
      <c r="AP262" s="80"/>
      <c r="AQ262" s="80"/>
      <c r="AR262" s="80"/>
      <c r="AS262" s="80"/>
      <c r="AT262" s="80"/>
      <c r="AU262" s="119" t="s">
        <v>481</v>
      </c>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80"/>
      <c r="BT262" s="80"/>
    </row>
    <row r="263" spans="1:16213" s="95" customFormat="1" ht="25.15" customHeight="1" x14ac:dyDescent="0.25">
      <c r="A263" s="80" t="s">
        <v>202</v>
      </c>
      <c r="B263" s="80"/>
      <c r="C263" s="80" t="s">
        <v>2241</v>
      </c>
      <c r="D263" s="80"/>
      <c r="E263" s="80" t="s">
        <v>448</v>
      </c>
      <c r="F263" s="80" t="s">
        <v>449</v>
      </c>
      <c r="G263" s="80" t="s">
        <v>450</v>
      </c>
      <c r="H263" s="80" t="s">
        <v>998</v>
      </c>
      <c r="I263" s="80"/>
      <c r="J263" s="80"/>
      <c r="K263" s="80" t="s">
        <v>1664</v>
      </c>
      <c r="L263" s="80"/>
      <c r="M263" s="80" t="s">
        <v>2242</v>
      </c>
      <c r="N263" s="83" t="s">
        <v>31</v>
      </c>
      <c r="O263" s="91">
        <v>4200</v>
      </c>
      <c r="P263" s="91">
        <v>2146</v>
      </c>
      <c r="Q263" s="91">
        <v>2100</v>
      </c>
      <c r="R263" s="91"/>
      <c r="S263" s="91">
        <v>2800</v>
      </c>
      <c r="T263" s="91">
        <v>2200</v>
      </c>
      <c r="U263" s="91">
        <v>6640</v>
      </c>
      <c r="V263" s="91">
        <v>630</v>
      </c>
      <c r="W263" s="91">
        <v>4035</v>
      </c>
      <c r="X263" s="91">
        <v>1650</v>
      </c>
      <c r="Y263" s="91"/>
      <c r="Z263" s="91"/>
      <c r="AA263" s="80" t="s">
        <v>2243</v>
      </c>
      <c r="AB263" s="80">
        <v>3500</v>
      </c>
      <c r="AC263" s="80">
        <v>884</v>
      </c>
      <c r="AD263" s="117"/>
      <c r="AE263" s="117"/>
      <c r="AF263" s="117"/>
      <c r="AG263" s="117"/>
      <c r="AH263" s="80" t="s">
        <v>1667</v>
      </c>
      <c r="AI263" s="90" t="s">
        <v>2244</v>
      </c>
      <c r="AJ263" s="90"/>
      <c r="AK263" s="90" t="s">
        <v>1230</v>
      </c>
      <c r="AL263" s="90"/>
      <c r="AM263" s="80" t="s">
        <v>1246</v>
      </c>
      <c r="AN263" s="80"/>
      <c r="AO263" s="80" t="s">
        <v>2245</v>
      </c>
      <c r="AP263" s="80"/>
      <c r="AQ263" s="90"/>
      <c r="AR263" s="90"/>
      <c r="AS263" s="90"/>
      <c r="AT263" s="90"/>
      <c r="AU263" s="156" t="s">
        <v>2246</v>
      </c>
      <c r="AV263" s="80"/>
      <c r="AW263" s="80"/>
      <c r="AX263" s="80"/>
      <c r="AY263" s="91"/>
      <c r="AZ263" s="91"/>
      <c r="BA263" s="91"/>
      <c r="BB263" s="91"/>
      <c r="BC263" s="91"/>
      <c r="BD263" s="91"/>
      <c r="BE263" s="91"/>
      <c r="BF263" s="91"/>
      <c r="BG263" s="91"/>
      <c r="BH263" s="91"/>
      <c r="BI263" s="91"/>
      <c r="BJ263" s="91"/>
      <c r="BK263" s="91"/>
      <c r="BL263" s="91"/>
      <c r="BM263" s="91"/>
      <c r="BN263" s="91"/>
      <c r="BO263" s="91"/>
      <c r="BP263" s="91"/>
      <c r="BQ263" s="91"/>
      <c r="BR263" s="91"/>
      <c r="BS263" s="91">
        <v>1</v>
      </c>
    </row>
    <row r="264" spans="1:16213" s="93" customFormat="1" ht="25.15" customHeight="1" outlineLevel="1" x14ac:dyDescent="0.25">
      <c r="A264" s="80" t="s">
        <v>202</v>
      </c>
      <c r="B264" s="80"/>
      <c r="C264" s="80" t="s">
        <v>2241</v>
      </c>
      <c r="D264" s="80"/>
      <c r="E264" s="80" t="s">
        <v>49</v>
      </c>
      <c r="F264" s="80" t="s">
        <v>1655</v>
      </c>
      <c r="G264" s="80" t="s">
        <v>450</v>
      </c>
      <c r="H264" s="80" t="s">
        <v>998</v>
      </c>
      <c r="I264" s="80"/>
      <c r="J264" s="80"/>
      <c r="K264" s="80" t="s">
        <v>1664</v>
      </c>
      <c r="L264" s="80"/>
      <c r="M264" s="80" t="s">
        <v>2247</v>
      </c>
      <c r="N264" s="83" t="s">
        <v>31</v>
      </c>
      <c r="O264" s="91">
        <v>4200</v>
      </c>
      <c r="P264" s="91">
        <v>2146</v>
      </c>
      <c r="Q264" s="91">
        <v>2100</v>
      </c>
      <c r="R264" s="91"/>
      <c r="S264" s="91">
        <v>2750</v>
      </c>
      <c r="T264" s="91">
        <v>2200</v>
      </c>
      <c r="U264" s="91">
        <v>6810</v>
      </c>
      <c r="V264" s="91">
        <v>580</v>
      </c>
      <c r="W264" s="91">
        <v>4215</v>
      </c>
      <c r="X264" s="91">
        <v>1629</v>
      </c>
      <c r="Y264" s="91"/>
      <c r="Z264" s="91"/>
      <c r="AA264" s="80" t="s">
        <v>2248</v>
      </c>
      <c r="AB264" s="80">
        <v>3500</v>
      </c>
      <c r="AC264" s="80">
        <v>919</v>
      </c>
      <c r="AD264" s="83"/>
      <c r="AE264" s="83"/>
      <c r="AF264" s="83"/>
      <c r="AG264" s="83"/>
      <c r="AH264" s="80" t="s">
        <v>1667</v>
      </c>
      <c r="AI264" s="90" t="s">
        <v>1668</v>
      </c>
      <c r="AJ264" s="90"/>
      <c r="AK264" s="90" t="s">
        <v>1669</v>
      </c>
      <c r="AL264" s="90"/>
      <c r="AM264" s="80" t="s">
        <v>1670</v>
      </c>
      <c r="AN264" s="80"/>
      <c r="AO264" s="80" t="s">
        <v>2249</v>
      </c>
      <c r="AP264" s="80"/>
      <c r="AQ264" s="90"/>
      <c r="AR264" s="90"/>
      <c r="AS264" s="90"/>
      <c r="AT264" s="90"/>
      <c r="AU264" s="156" t="s">
        <v>1672</v>
      </c>
      <c r="AV264" s="80"/>
      <c r="AW264" s="80"/>
      <c r="AX264" s="80"/>
      <c r="AY264" s="91"/>
      <c r="AZ264" s="91"/>
      <c r="BA264" s="91"/>
      <c r="BB264" s="91"/>
      <c r="BC264" s="91"/>
      <c r="BD264" s="91"/>
      <c r="BE264" s="91"/>
      <c r="BF264" s="91"/>
      <c r="BG264" s="91"/>
      <c r="BH264" s="91"/>
      <c r="BI264" s="91"/>
      <c r="BJ264" s="91"/>
      <c r="BK264" s="91"/>
      <c r="BL264" s="91"/>
      <c r="BM264" s="91"/>
      <c r="BN264" s="91"/>
      <c r="BO264" s="91"/>
      <c r="BP264" s="91"/>
      <c r="BQ264" s="91"/>
      <c r="BR264" s="91"/>
      <c r="BS264" s="91">
        <v>1</v>
      </c>
      <c r="BT264" s="95"/>
      <c r="BU264" s="95"/>
      <c r="BV264" s="95"/>
      <c r="BW264" s="95"/>
      <c r="BX264" s="95"/>
      <c r="BY264" s="95"/>
      <c r="BZ264" s="95"/>
      <c r="CA264" s="95"/>
      <c r="CB264" s="95"/>
      <c r="CC264" s="95"/>
      <c r="CD264" s="95"/>
      <c r="CE264" s="95"/>
      <c r="CF264" s="95"/>
      <c r="CG264" s="95"/>
      <c r="CH264" s="95"/>
      <c r="CI264" s="95"/>
      <c r="CJ264" s="95"/>
      <c r="CK264" s="95"/>
      <c r="CL264" s="95"/>
      <c r="CM264" s="95"/>
      <c r="CN264" s="95"/>
      <c r="CO264" s="95"/>
      <c r="CP264" s="95"/>
      <c r="CQ264" s="95"/>
      <c r="CR264" s="95"/>
      <c r="CS264" s="95"/>
      <c r="CT264" s="95"/>
      <c r="CU264" s="95"/>
      <c r="CV264" s="95"/>
      <c r="CW264" s="95"/>
      <c r="CX264" s="95"/>
      <c r="CY264" s="95"/>
      <c r="CZ264" s="95"/>
      <c r="DA264" s="95"/>
      <c r="DB264" s="95"/>
      <c r="DC264" s="95"/>
      <c r="DD264" s="95"/>
      <c r="DE264" s="95"/>
      <c r="DF264" s="95"/>
      <c r="DG264" s="95"/>
      <c r="DH264" s="95"/>
      <c r="DI264" s="95"/>
      <c r="DJ264" s="95"/>
      <c r="DK264" s="95"/>
      <c r="DL264" s="95"/>
      <c r="DM264" s="95"/>
      <c r="DN264" s="95"/>
      <c r="DO264" s="95"/>
      <c r="DP264" s="95"/>
      <c r="DQ264" s="95"/>
      <c r="DR264" s="95"/>
      <c r="DS264" s="95"/>
      <c r="DT264" s="95"/>
      <c r="DU264" s="95"/>
      <c r="DV264" s="95"/>
      <c r="DW264" s="95"/>
      <c r="DX264" s="95"/>
      <c r="DY264" s="95"/>
      <c r="DZ264" s="95"/>
      <c r="EA264" s="95"/>
      <c r="EB264" s="95"/>
      <c r="EC264" s="95"/>
      <c r="ED264" s="95"/>
      <c r="EE264" s="95"/>
      <c r="EF264" s="95"/>
      <c r="EG264" s="95"/>
      <c r="EH264" s="95"/>
      <c r="EI264" s="95"/>
      <c r="EJ264" s="95"/>
      <c r="EK264" s="95"/>
      <c r="EL264" s="95"/>
      <c r="EM264" s="95"/>
      <c r="EN264" s="95"/>
      <c r="EO264" s="95"/>
      <c r="EP264" s="95"/>
      <c r="EQ264" s="95"/>
      <c r="ER264" s="95"/>
      <c r="ES264" s="95"/>
      <c r="ET264" s="95"/>
      <c r="EU264" s="95"/>
      <c r="EV264" s="95"/>
      <c r="EW264" s="95"/>
      <c r="EX264" s="95"/>
      <c r="EY264" s="95"/>
      <c r="EZ264" s="95"/>
      <c r="FA264" s="95"/>
      <c r="FB264" s="95"/>
      <c r="FC264" s="95"/>
      <c r="FD264" s="95"/>
      <c r="FE264" s="95"/>
      <c r="FF264" s="95"/>
      <c r="FG264" s="95"/>
      <c r="FH264" s="95"/>
      <c r="FI264" s="95"/>
      <c r="FJ264" s="95"/>
      <c r="FK264" s="95"/>
      <c r="FL264" s="95"/>
      <c r="FM264" s="95"/>
      <c r="FN264" s="95"/>
      <c r="FO264" s="95"/>
      <c r="FP264" s="95"/>
      <c r="FQ264" s="95"/>
      <c r="FR264" s="95"/>
      <c r="FS264" s="95"/>
      <c r="FT264" s="95"/>
      <c r="FU264" s="95"/>
      <c r="FV264" s="95"/>
      <c r="FW264" s="95"/>
      <c r="FX264" s="95"/>
      <c r="FY264" s="95"/>
      <c r="FZ264" s="95"/>
      <c r="GA264" s="95"/>
      <c r="GB264" s="95"/>
      <c r="GC264" s="95"/>
      <c r="GD264" s="95"/>
      <c r="GE264" s="95"/>
      <c r="GF264" s="95"/>
      <c r="GG264" s="95"/>
      <c r="GH264" s="95"/>
      <c r="GI264" s="95"/>
      <c r="GJ264" s="95"/>
      <c r="GK264" s="95"/>
      <c r="GL264" s="95"/>
      <c r="GM264" s="95"/>
      <c r="GN264" s="95"/>
      <c r="GO264" s="95"/>
      <c r="GP264" s="95"/>
      <c r="GQ264" s="95"/>
      <c r="GR264" s="95"/>
      <c r="GS264" s="95"/>
      <c r="GT264" s="95"/>
      <c r="GU264" s="95"/>
      <c r="GV264" s="95"/>
      <c r="GW264" s="95"/>
      <c r="GX264" s="95"/>
      <c r="GY264" s="95"/>
      <c r="GZ264" s="95"/>
      <c r="HA264" s="95"/>
      <c r="HB264" s="95"/>
      <c r="HC264" s="95"/>
      <c r="HD264" s="95"/>
      <c r="HE264" s="95"/>
      <c r="HF264" s="95"/>
      <c r="HG264" s="95"/>
      <c r="HH264" s="95"/>
      <c r="HI264" s="95"/>
      <c r="HJ264" s="95"/>
      <c r="HK264" s="95"/>
      <c r="HL264" s="95"/>
      <c r="HM264" s="95"/>
      <c r="HN264" s="95"/>
      <c r="HO264" s="95"/>
      <c r="HP264" s="95"/>
      <c r="HQ264" s="95"/>
      <c r="HR264" s="95"/>
      <c r="HS264" s="95"/>
      <c r="HT264" s="95"/>
      <c r="HU264" s="95"/>
      <c r="HV264" s="95"/>
      <c r="HW264" s="95"/>
      <c r="HX264" s="95"/>
      <c r="HY264" s="95"/>
      <c r="HZ264" s="95"/>
      <c r="IA264" s="95"/>
      <c r="IB264" s="95"/>
      <c r="IC264" s="95"/>
      <c r="ID264" s="95"/>
      <c r="IE264" s="95"/>
      <c r="IF264" s="95"/>
      <c r="IG264" s="95"/>
      <c r="IH264" s="95"/>
      <c r="II264" s="95"/>
      <c r="IJ264" s="95"/>
      <c r="IK264" s="95"/>
      <c r="IL264" s="95"/>
      <c r="IM264" s="95"/>
      <c r="IN264" s="95"/>
      <c r="IO264" s="95"/>
      <c r="IP264" s="95"/>
      <c r="IQ264" s="95"/>
      <c r="IR264" s="95"/>
      <c r="IS264" s="95"/>
      <c r="IT264" s="95"/>
      <c r="IU264" s="95"/>
      <c r="IV264" s="95"/>
      <c r="IW264" s="95"/>
      <c r="IX264" s="95"/>
      <c r="IY264" s="95"/>
      <c r="IZ264" s="95"/>
      <c r="JA264" s="95"/>
      <c r="JB264" s="95"/>
      <c r="JC264" s="95"/>
      <c r="JD264" s="95"/>
      <c r="JE264" s="95"/>
      <c r="JF264" s="95"/>
      <c r="JG264" s="95"/>
      <c r="JH264" s="95"/>
      <c r="JI264" s="95"/>
      <c r="JJ264" s="95"/>
      <c r="JK264" s="95"/>
      <c r="JL264" s="95"/>
      <c r="JM264" s="95"/>
      <c r="JN264" s="95"/>
      <c r="JO264" s="95"/>
      <c r="JP264" s="95"/>
      <c r="JQ264" s="95"/>
      <c r="JR264" s="95"/>
      <c r="JS264" s="95"/>
      <c r="JT264" s="95"/>
      <c r="JU264" s="95"/>
      <c r="JV264" s="95"/>
      <c r="JW264" s="95"/>
      <c r="JX264" s="95"/>
      <c r="JY264" s="95"/>
      <c r="JZ264" s="95"/>
      <c r="KA264" s="95"/>
      <c r="KB264" s="95"/>
      <c r="KC264" s="95"/>
      <c r="KD264" s="95"/>
      <c r="KE264" s="95"/>
      <c r="KF264" s="95"/>
      <c r="KG264" s="95"/>
      <c r="KH264" s="95"/>
      <c r="KI264" s="95"/>
      <c r="KJ264" s="95"/>
      <c r="KK264" s="95"/>
      <c r="KL264" s="95"/>
      <c r="KM264" s="95"/>
      <c r="KN264" s="95"/>
      <c r="KO264" s="95"/>
      <c r="KP264" s="95"/>
      <c r="KQ264" s="95"/>
      <c r="KR264" s="95"/>
      <c r="KS264" s="95"/>
      <c r="KT264" s="95"/>
      <c r="KU264" s="95"/>
      <c r="KV264" s="95"/>
      <c r="KW264" s="95"/>
      <c r="KX264" s="95"/>
      <c r="KY264" s="95"/>
      <c r="KZ264" s="95"/>
      <c r="LA264" s="95"/>
      <c r="LB264" s="95"/>
      <c r="LC264" s="95"/>
      <c r="LD264" s="95"/>
      <c r="LE264" s="95"/>
      <c r="LF264" s="95"/>
      <c r="LG264" s="95"/>
      <c r="LH264" s="95"/>
      <c r="LI264" s="95"/>
      <c r="LJ264" s="95"/>
      <c r="LK264" s="95"/>
      <c r="LL264" s="95"/>
      <c r="LM264" s="95"/>
      <c r="LN264" s="95"/>
      <c r="LO264" s="95"/>
      <c r="LP264" s="95"/>
      <c r="LQ264" s="95"/>
      <c r="LR264" s="95"/>
      <c r="LS264" s="95"/>
      <c r="LT264" s="95"/>
      <c r="LU264" s="95"/>
      <c r="LV264" s="95"/>
      <c r="LW264" s="95"/>
      <c r="LX264" s="95"/>
      <c r="LY264" s="95"/>
      <c r="LZ264" s="95"/>
      <c r="MA264" s="95"/>
      <c r="MB264" s="95"/>
      <c r="MC264" s="95"/>
      <c r="MD264" s="95"/>
      <c r="ME264" s="95"/>
      <c r="MF264" s="95"/>
      <c r="MG264" s="95"/>
      <c r="MH264" s="95"/>
      <c r="MI264" s="95"/>
      <c r="MJ264" s="95"/>
      <c r="MK264" s="95"/>
      <c r="ML264" s="95"/>
      <c r="MM264" s="95"/>
      <c r="MN264" s="95"/>
      <c r="MO264" s="95"/>
      <c r="MP264" s="95"/>
      <c r="MQ264" s="95"/>
      <c r="MR264" s="95"/>
      <c r="MS264" s="95"/>
      <c r="MT264" s="95"/>
      <c r="MU264" s="95"/>
      <c r="MV264" s="95"/>
      <c r="MW264" s="95"/>
      <c r="MX264" s="95"/>
      <c r="MY264" s="95"/>
      <c r="MZ264" s="95"/>
      <c r="NA264" s="95"/>
      <c r="NB264" s="95"/>
      <c r="NC264" s="95"/>
      <c r="ND264" s="95"/>
      <c r="NE264" s="95"/>
      <c r="NF264" s="95"/>
      <c r="NG264" s="95"/>
      <c r="NH264" s="95"/>
      <c r="NI264" s="95"/>
      <c r="NJ264" s="95"/>
      <c r="NK264" s="95"/>
      <c r="NL264" s="95"/>
      <c r="NM264" s="95"/>
      <c r="NN264" s="95"/>
      <c r="NO264" s="95"/>
      <c r="NP264" s="95"/>
      <c r="NQ264" s="95"/>
      <c r="NR264" s="95"/>
      <c r="NS264" s="95"/>
      <c r="NT264" s="95"/>
      <c r="NU264" s="95"/>
      <c r="NV264" s="95"/>
      <c r="NW264" s="95"/>
      <c r="NX264" s="95"/>
      <c r="NY264" s="95"/>
      <c r="NZ264" s="95"/>
      <c r="OA264" s="95"/>
      <c r="OB264" s="95"/>
      <c r="OC264" s="95"/>
      <c r="OD264" s="95"/>
      <c r="OE264" s="95"/>
      <c r="OF264" s="95"/>
      <c r="OG264" s="95"/>
      <c r="OH264" s="95"/>
      <c r="OI264" s="95"/>
      <c r="OJ264" s="95"/>
      <c r="OK264" s="95"/>
      <c r="OL264" s="95"/>
      <c r="OM264" s="95"/>
      <c r="ON264" s="95"/>
      <c r="OO264" s="95"/>
      <c r="OP264" s="95"/>
      <c r="OQ264" s="95"/>
      <c r="OR264" s="95"/>
      <c r="OS264" s="95"/>
      <c r="OT264" s="95"/>
      <c r="OU264" s="95"/>
      <c r="OV264" s="95"/>
      <c r="OW264" s="95"/>
      <c r="OX264" s="95"/>
      <c r="OY264" s="95"/>
      <c r="OZ264" s="95"/>
      <c r="PA264" s="95"/>
      <c r="PB264" s="95"/>
      <c r="PC264" s="95"/>
      <c r="PD264" s="95"/>
      <c r="PE264" s="95"/>
      <c r="PF264" s="95"/>
      <c r="PG264" s="95"/>
      <c r="PH264" s="95"/>
      <c r="PI264" s="95"/>
      <c r="PJ264" s="95"/>
      <c r="PK264" s="95"/>
      <c r="PL264" s="95"/>
      <c r="PM264" s="95"/>
      <c r="PN264" s="95"/>
      <c r="PO264" s="95"/>
      <c r="PP264" s="95"/>
      <c r="PQ264" s="95"/>
      <c r="PR264" s="95"/>
      <c r="PS264" s="95"/>
      <c r="PT264" s="95"/>
      <c r="PU264" s="95"/>
      <c r="PV264" s="95"/>
      <c r="PW264" s="95"/>
      <c r="PX264" s="95"/>
      <c r="PY264" s="95"/>
      <c r="PZ264" s="95"/>
      <c r="QA264" s="95"/>
      <c r="QB264" s="95"/>
      <c r="QC264" s="95"/>
      <c r="QD264" s="95"/>
      <c r="QE264" s="95"/>
      <c r="QF264" s="95"/>
      <c r="QG264" s="95"/>
      <c r="QH264" s="95"/>
      <c r="QI264" s="95"/>
      <c r="QJ264" s="95"/>
      <c r="QK264" s="95"/>
      <c r="QL264" s="95"/>
      <c r="QM264" s="95"/>
      <c r="QN264" s="95"/>
      <c r="QO264" s="95"/>
      <c r="QP264" s="95"/>
      <c r="QQ264" s="95"/>
      <c r="QR264" s="95"/>
      <c r="QS264" s="95"/>
      <c r="QT264" s="95"/>
      <c r="QU264" s="95"/>
      <c r="QV264" s="95"/>
      <c r="QW264" s="95"/>
      <c r="QX264" s="95"/>
      <c r="QY264" s="95"/>
      <c r="QZ264" s="95"/>
      <c r="RA264" s="95"/>
      <c r="RB264" s="95"/>
      <c r="RC264" s="95"/>
      <c r="RD264" s="95"/>
      <c r="RE264" s="95"/>
      <c r="RF264" s="95"/>
      <c r="RG264" s="95"/>
      <c r="RH264" s="95"/>
      <c r="RI264" s="95"/>
      <c r="RJ264" s="95"/>
      <c r="RK264" s="95"/>
      <c r="RL264" s="95"/>
      <c r="RM264" s="95"/>
      <c r="RN264" s="95"/>
      <c r="RO264" s="95"/>
      <c r="RP264" s="95"/>
      <c r="RQ264" s="95"/>
      <c r="RR264" s="95"/>
      <c r="RS264" s="95"/>
      <c r="RT264" s="95"/>
      <c r="RU264" s="95"/>
      <c r="RV264" s="95"/>
      <c r="RW264" s="95"/>
      <c r="RX264" s="95"/>
      <c r="RY264" s="95"/>
      <c r="RZ264" s="95"/>
      <c r="SA264" s="95"/>
      <c r="SB264" s="95"/>
      <c r="SC264" s="95"/>
      <c r="SD264" s="95"/>
      <c r="SE264" s="95"/>
      <c r="SF264" s="95"/>
      <c r="SG264" s="95"/>
      <c r="SH264" s="95"/>
      <c r="SI264" s="95"/>
      <c r="SJ264" s="95"/>
      <c r="SK264" s="95"/>
      <c r="SL264" s="95"/>
      <c r="SM264" s="95"/>
      <c r="SN264" s="95"/>
      <c r="SO264" s="95"/>
      <c r="SP264" s="95"/>
      <c r="SQ264" s="95"/>
      <c r="SR264" s="95"/>
      <c r="SS264" s="95"/>
      <c r="ST264" s="95"/>
      <c r="SU264" s="95"/>
      <c r="SV264" s="95"/>
      <c r="SW264" s="95"/>
      <c r="SX264" s="95"/>
      <c r="SY264" s="95"/>
      <c r="SZ264" s="95"/>
      <c r="TA264" s="95"/>
      <c r="TB264" s="95"/>
      <c r="TC264" s="95"/>
      <c r="TD264" s="95"/>
      <c r="TE264" s="95"/>
      <c r="TF264" s="95"/>
      <c r="TG264" s="95"/>
      <c r="TH264" s="95"/>
      <c r="TI264" s="95"/>
      <c r="TJ264" s="95"/>
      <c r="TK264" s="95"/>
      <c r="TL264" s="95"/>
      <c r="TM264" s="95"/>
      <c r="TN264" s="95"/>
      <c r="TO264" s="95"/>
      <c r="TP264" s="95"/>
      <c r="TQ264" s="95"/>
      <c r="TR264" s="95"/>
      <c r="TS264" s="95"/>
      <c r="TT264" s="95"/>
      <c r="TU264" s="95"/>
      <c r="TV264" s="95"/>
      <c r="TW264" s="95"/>
      <c r="TX264" s="95"/>
      <c r="TY264" s="95"/>
      <c r="TZ264" s="95"/>
      <c r="UA264" s="95"/>
      <c r="UB264" s="95"/>
      <c r="UC264" s="95"/>
      <c r="UD264" s="95"/>
      <c r="UE264" s="95"/>
      <c r="UF264" s="95"/>
      <c r="UG264" s="95"/>
      <c r="UH264" s="95"/>
      <c r="UI264" s="95"/>
      <c r="UJ264" s="95"/>
      <c r="UK264" s="95"/>
      <c r="UL264" s="95"/>
      <c r="UM264" s="95"/>
      <c r="UN264" s="95"/>
      <c r="UO264" s="95"/>
      <c r="UP264" s="95"/>
      <c r="UQ264" s="95"/>
      <c r="UR264" s="95"/>
      <c r="US264" s="95"/>
      <c r="UT264" s="95"/>
      <c r="UU264" s="95"/>
      <c r="UV264" s="95"/>
      <c r="UW264" s="95"/>
      <c r="UX264" s="95"/>
      <c r="UY264" s="95"/>
      <c r="UZ264" s="95"/>
      <c r="VA264" s="95"/>
      <c r="VB264" s="95"/>
      <c r="VC264" s="95"/>
      <c r="VD264" s="95"/>
      <c r="VE264" s="95"/>
      <c r="VF264" s="95"/>
      <c r="VG264" s="95"/>
      <c r="VH264" s="95"/>
      <c r="VI264" s="95"/>
      <c r="VJ264" s="95"/>
      <c r="VK264" s="95"/>
      <c r="VL264" s="95"/>
      <c r="VM264" s="95"/>
      <c r="VN264" s="95"/>
      <c r="VO264" s="95"/>
      <c r="VP264" s="95"/>
      <c r="VQ264" s="95"/>
      <c r="VR264" s="95"/>
      <c r="VS264" s="95"/>
      <c r="VT264" s="95"/>
      <c r="VU264" s="95"/>
      <c r="VV264" s="95"/>
      <c r="VW264" s="95"/>
      <c r="VX264" s="95"/>
      <c r="VY264" s="95"/>
      <c r="VZ264" s="95"/>
      <c r="WA264" s="95"/>
      <c r="WB264" s="95"/>
      <c r="WC264" s="95"/>
      <c r="WD264" s="95"/>
      <c r="WE264" s="95"/>
      <c r="WF264" s="95"/>
      <c r="WG264" s="95"/>
      <c r="WH264" s="95"/>
      <c r="WI264" s="95"/>
      <c r="WJ264" s="95"/>
      <c r="WK264" s="95"/>
      <c r="WL264" s="95"/>
      <c r="WM264" s="95"/>
      <c r="WN264" s="95"/>
      <c r="WO264" s="95"/>
      <c r="WP264" s="95"/>
      <c r="WQ264" s="95"/>
      <c r="WR264" s="95"/>
      <c r="WS264" s="95"/>
      <c r="WT264" s="95"/>
      <c r="WU264" s="95"/>
      <c r="WV264" s="95"/>
      <c r="WW264" s="95"/>
      <c r="WX264" s="95"/>
      <c r="WY264" s="95"/>
      <c r="WZ264" s="95"/>
      <c r="XA264" s="95"/>
      <c r="XB264" s="95"/>
      <c r="XC264" s="95"/>
      <c r="XD264" s="95"/>
      <c r="XE264" s="95"/>
      <c r="XF264" s="95"/>
      <c r="XG264" s="95"/>
      <c r="XH264" s="95"/>
      <c r="XI264" s="95"/>
      <c r="XJ264" s="95"/>
      <c r="XK264" s="95"/>
      <c r="XL264" s="95"/>
      <c r="XM264" s="95"/>
      <c r="XN264" s="95"/>
      <c r="XO264" s="95"/>
      <c r="XP264" s="95"/>
      <c r="XQ264" s="95"/>
      <c r="XR264" s="95"/>
      <c r="XS264" s="95"/>
      <c r="XT264" s="95"/>
      <c r="XU264" s="95"/>
      <c r="XV264" s="95"/>
      <c r="XW264" s="95"/>
      <c r="XX264" s="95"/>
      <c r="XY264" s="95"/>
      <c r="XZ264" s="95"/>
      <c r="YA264" s="95"/>
      <c r="YB264" s="95"/>
      <c r="YC264" s="95"/>
      <c r="YD264" s="95"/>
      <c r="YE264" s="95"/>
      <c r="YF264" s="95"/>
      <c r="YG264" s="95"/>
      <c r="YH264" s="95"/>
      <c r="YI264" s="95"/>
      <c r="YJ264" s="95"/>
      <c r="YK264" s="95"/>
      <c r="YL264" s="95"/>
      <c r="YM264" s="95"/>
      <c r="YN264" s="95"/>
      <c r="YO264" s="95"/>
      <c r="YP264" s="95"/>
      <c r="YQ264" s="95"/>
      <c r="YR264" s="95"/>
      <c r="YS264" s="95"/>
      <c r="YT264" s="95"/>
      <c r="YU264" s="95"/>
      <c r="YV264" s="95"/>
      <c r="YW264" s="95"/>
      <c r="YX264" s="95"/>
      <c r="YY264" s="95"/>
      <c r="YZ264" s="95"/>
      <c r="ZA264" s="95"/>
      <c r="ZB264" s="95"/>
      <c r="ZC264" s="95"/>
      <c r="ZD264" s="95"/>
      <c r="ZE264" s="95"/>
      <c r="ZF264" s="95"/>
      <c r="ZG264" s="95"/>
      <c r="ZH264" s="95"/>
      <c r="ZI264" s="95"/>
      <c r="ZJ264" s="95"/>
      <c r="ZK264" s="95"/>
      <c r="ZL264" s="95"/>
      <c r="ZM264" s="95"/>
      <c r="ZN264" s="95"/>
      <c r="ZO264" s="95"/>
      <c r="ZP264" s="95"/>
      <c r="ZQ264" s="95"/>
      <c r="ZR264" s="95"/>
      <c r="ZS264" s="95"/>
      <c r="ZT264" s="95"/>
      <c r="ZU264" s="95"/>
      <c r="ZV264" s="95"/>
      <c r="ZW264" s="95"/>
      <c r="ZX264" s="95"/>
      <c r="ZY264" s="95"/>
      <c r="ZZ264" s="95"/>
      <c r="AAA264" s="95"/>
      <c r="AAB264" s="95"/>
      <c r="AAC264" s="95"/>
      <c r="AAD264" s="95"/>
      <c r="AAE264" s="95"/>
      <c r="AAF264" s="95"/>
      <c r="AAG264" s="95"/>
      <c r="AAH264" s="95"/>
      <c r="AAI264" s="95"/>
      <c r="AAJ264" s="95"/>
      <c r="AAK264" s="95"/>
      <c r="AAL264" s="95"/>
      <c r="AAM264" s="95"/>
      <c r="AAN264" s="95"/>
      <c r="AAO264" s="95"/>
      <c r="AAP264" s="95"/>
      <c r="AAQ264" s="95"/>
      <c r="AAR264" s="95"/>
      <c r="AAS264" s="95"/>
      <c r="AAT264" s="95"/>
      <c r="AAU264" s="95"/>
      <c r="AAV264" s="95"/>
      <c r="AAW264" s="95"/>
      <c r="AAX264" s="95"/>
      <c r="AAY264" s="95"/>
      <c r="AAZ264" s="95"/>
      <c r="ABA264" s="95"/>
      <c r="ABB264" s="95"/>
      <c r="ABC264" s="95"/>
      <c r="ABD264" s="95"/>
      <c r="ABE264" s="95"/>
      <c r="ABF264" s="95"/>
      <c r="ABG264" s="95"/>
      <c r="ABH264" s="95"/>
      <c r="ABI264" s="95"/>
      <c r="ABJ264" s="95"/>
      <c r="ABK264" s="95"/>
      <c r="ABL264" s="95"/>
      <c r="ABM264" s="95"/>
      <c r="ABN264" s="95"/>
      <c r="ABO264" s="95"/>
      <c r="ABP264" s="95"/>
      <c r="ABQ264" s="95"/>
      <c r="ABR264" s="95"/>
      <c r="ABS264" s="95"/>
      <c r="ABT264" s="95"/>
      <c r="ABU264" s="95"/>
      <c r="ABV264" s="95"/>
      <c r="ABW264" s="95"/>
      <c r="ABX264" s="95"/>
      <c r="ABY264" s="95"/>
      <c r="ABZ264" s="95"/>
      <c r="ACA264" s="95"/>
      <c r="ACB264" s="95"/>
      <c r="ACC264" s="95"/>
      <c r="ACD264" s="95"/>
      <c r="ACE264" s="95"/>
      <c r="ACF264" s="95"/>
      <c r="ACG264" s="95"/>
      <c r="ACH264" s="95"/>
      <c r="ACI264" s="95"/>
      <c r="ACJ264" s="95"/>
      <c r="ACK264" s="95"/>
      <c r="ACL264" s="95"/>
      <c r="ACM264" s="95"/>
      <c r="ACN264" s="95"/>
      <c r="ACO264" s="95"/>
      <c r="ACP264" s="95"/>
      <c r="ACQ264" s="95"/>
      <c r="ACR264" s="95"/>
      <c r="ACS264" s="95"/>
      <c r="ACT264" s="95"/>
      <c r="ACU264" s="95"/>
      <c r="ACV264" s="95"/>
      <c r="ACW264" s="95"/>
      <c r="ACX264" s="95"/>
      <c r="ACY264" s="95"/>
      <c r="ACZ264" s="95"/>
      <c r="ADA264" s="95"/>
      <c r="ADB264" s="95"/>
      <c r="ADC264" s="95"/>
      <c r="ADD264" s="95"/>
      <c r="ADE264" s="95"/>
      <c r="ADF264" s="95"/>
      <c r="ADG264" s="95"/>
      <c r="ADH264" s="95"/>
      <c r="ADI264" s="95"/>
      <c r="ADJ264" s="95"/>
      <c r="ADK264" s="95"/>
      <c r="ADL264" s="95"/>
      <c r="ADM264" s="95"/>
      <c r="ADN264" s="95"/>
      <c r="ADO264" s="95"/>
      <c r="ADP264" s="95"/>
      <c r="ADQ264" s="95"/>
      <c r="ADR264" s="95"/>
      <c r="ADS264" s="95"/>
      <c r="ADT264" s="95"/>
      <c r="ADU264" s="95"/>
      <c r="ADV264" s="95"/>
      <c r="ADW264" s="95"/>
      <c r="ADX264" s="95"/>
      <c r="ADY264" s="95"/>
      <c r="ADZ264" s="95"/>
      <c r="AEA264" s="95"/>
      <c r="AEB264" s="95"/>
      <c r="AEC264" s="95"/>
      <c r="AED264" s="95"/>
      <c r="AEE264" s="95"/>
      <c r="AEF264" s="95"/>
      <c r="AEG264" s="95"/>
      <c r="AEH264" s="95"/>
      <c r="AEI264" s="95"/>
      <c r="AEJ264" s="95"/>
      <c r="AEK264" s="95"/>
      <c r="AEL264" s="95"/>
      <c r="AEM264" s="95"/>
      <c r="AEN264" s="95"/>
      <c r="AEO264" s="95"/>
      <c r="AEP264" s="95"/>
      <c r="AEQ264" s="95"/>
      <c r="AER264" s="95"/>
      <c r="AES264" s="95"/>
      <c r="AET264" s="95"/>
      <c r="AEU264" s="95"/>
      <c r="AEV264" s="95"/>
      <c r="AEW264" s="95"/>
      <c r="AEX264" s="95"/>
      <c r="AEY264" s="95"/>
      <c r="AEZ264" s="95"/>
      <c r="AFA264" s="95"/>
      <c r="AFB264" s="95"/>
      <c r="AFC264" s="95"/>
      <c r="AFD264" s="95"/>
      <c r="AFE264" s="95"/>
      <c r="AFF264" s="95"/>
      <c r="AFG264" s="95"/>
      <c r="AFH264" s="95"/>
      <c r="AFI264" s="95"/>
      <c r="AFJ264" s="95"/>
      <c r="AFK264" s="95"/>
      <c r="AFL264" s="95"/>
      <c r="AFM264" s="95"/>
      <c r="AFN264" s="95"/>
      <c r="AFO264" s="95"/>
      <c r="AFP264" s="95"/>
      <c r="AFQ264" s="95"/>
      <c r="AFR264" s="95"/>
      <c r="AFS264" s="95"/>
      <c r="AFT264" s="95"/>
      <c r="AFU264" s="95"/>
      <c r="AFV264" s="95"/>
      <c r="AFW264" s="95"/>
      <c r="AFX264" s="95"/>
      <c r="AFY264" s="95"/>
      <c r="AFZ264" s="95"/>
      <c r="AGA264" s="95"/>
      <c r="AGB264" s="95"/>
      <c r="AGC264" s="95"/>
      <c r="AGD264" s="95"/>
      <c r="AGE264" s="95"/>
      <c r="AGF264" s="95"/>
      <c r="AGG264" s="95"/>
      <c r="AGH264" s="95"/>
      <c r="AGI264" s="95"/>
      <c r="AGJ264" s="95"/>
      <c r="AGK264" s="95"/>
      <c r="AGL264" s="95"/>
      <c r="AGM264" s="95"/>
      <c r="AGN264" s="95"/>
      <c r="AGO264" s="95"/>
      <c r="AGP264" s="95"/>
      <c r="AGQ264" s="95"/>
      <c r="AGR264" s="95"/>
      <c r="AGS264" s="95"/>
      <c r="AGT264" s="95"/>
      <c r="AGU264" s="95"/>
      <c r="AGV264" s="95"/>
      <c r="AGW264" s="95"/>
      <c r="AGX264" s="95"/>
      <c r="AGY264" s="95"/>
      <c r="AGZ264" s="95"/>
      <c r="AHA264" s="95"/>
      <c r="AHB264" s="95"/>
      <c r="AHC264" s="95"/>
      <c r="AHD264" s="95"/>
      <c r="AHE264" s="95"/>
      <c r="AHF264" s="95"/>
      <c r="AHG264" s="95"/>
      <c r="AHH264" s="95"/>
      <c r="AHI264" s="95"/>
      <c r="AHJ264" s="95"/>
      <c r="AHK264" s="95"/>
      <c r="AHL264" s="95"/>
      <c r="AHM264" s="95"/>
      <c r="AHN264" s="95"/>
      <c r="AHO264" s="95"/>
      <c r="AHP264" s="95"/>
      <c r="AHQ264" s="95"/>
      <c r="AHR264" s="95"/>
      <c r="AHS264" s="95"/>
      <c r="AHT264" s="95"/>
      <c r="AHU264" s="95"/>
      <c r="AHV264" s="95"/>
      <c r="AHW264" s="95"/>
      <c r="AHX264" s="95"/>
      <c r="AHY264" s="95"/>
      <c r="AHZ264" s="95"/>
      <c r="AIA264" s="95"/>
      <c r="AIB264" s="95"/>
      <c r="AIC264" s="95"/>
      <c r="AID264" s="95"/>
      <c r="AIE264" s="95"/>
      <c r="AIF264" s="95"/>
      <c r="AIG264" s="95"/>
      <c r="AIH264" s="95"/>
      <c r="AII264" s="95"/>
      <c r="AIJ264" s="95"/>
      <c r="AIK264" s="95"/>
      <c r="AIL264" s="95"/>
      <c r="AIM264" s="95"/>
      <c r="AIN264" s="95"/>
      <c r="AIO264" s="95"/>
      <c r="AIP264" s="95"/>
      <c r="AIQ264" s="95"/>
      <c r="AIR264" s="95"/>
      <c r="AIS264" s="95"/>
      <c r="AIT264" s="95"/>
      <c r="AIU264" s="95"/>
      <c r="AIV264" s="95"/>
      <c r="AIW264" s="95"/>
      <c r="AIX264" s="95"/>
      <c r="AIY264" s="95"/>
      <c r="AIZ264" s="95"/>
      <c r="AJA264" s="95"/>
      <c r="AJB264" s="95"/>
      <c r="AJC264" s="95"/>
      <c r="AJD264" s="95"/>
      <c r="AJE264" s="95"/>
      <c r="AJF264" s="95"/>
      <c r="AJG264" s="95"/>
      <c r="AJH264" s="95"/>
      <c r="AJI264" s="95"/>
      <c r="AJJ264" s="95"/>
      <c r="AJK264" s="95"/>
      <c r="AJL264" s="95"/>
      <c r="AJM264" s="95"/>
      <c r="AJN264" s="95"/>
      <c r="AJO264" s="95"/>
      <c r="AJP264" s="95"/>
      <c r="AJQ264" s="95"/>
      <c r="AJR264" s="95"/>
      <c r="AJS264" s="95"/>
      <c r="AJT264" s="95"/>
      <c r="AJU264" s="95"/>
      <c r="AJV264" s="95"/>
      <c r="AJW264" s="95"/>
      <c r="AJX264" s="95"/>
      <c r="AJY264" s="95"/>
      <c r="AJZ264" s="95"/>
      <c r="AKA264" s="95"/>
      <c r="AKB264" s="95"/>
      <c r="AKC264" s="95"/>
      <c r="AKD264" s="95"/>
      <c r="AKE264" s="95"/>
      <c r="AKF264" s="95"/>
      <c r="AKG264" s="95"/>
      <c r="AKH264" s="95"/>
      <c r="AKI264" s="95"/>
      <c r="AKJ264" s="95"/>
      <c r="AKK264" s="95"/>
      <c r="AKL264" s="95"/>
      <c r="AKM264" s="95"/>
      <c r="AKN264" s="95"/>
      <c r="AKO264" s="95"/>
      <c r="AKP264" s="95"/>
      <c r="AKQ264" s="95"/>
      <c r="AKR264" s="95"/>
      <c r="AKS264" s="95"/>
      <c r="AKT264" s="95"/>
      <c r="AKU264" s="95"/>
      <c r="AKV264" s="95"/>
      <c r="AKW264" s="95"/>
      <c r="AKX264" s="95"/>
      <c r="AKY264" s="95"/>
      <c r="AKZ264" s="95"/>
      <c r="ALA264" s="95"/>
      <c r="ALB264" s="95"/>
      <c r="ALC264" s="95"/>
      <c r="ALD264" s="95"/>
      <c r="ALE264" s="95"/>
      <c r="ALF264" s="95"/>
      <c r="ALG264" s="95"/>
      <c r="ALH264" s="95"/>
      <c r="ALI264" s="95"/>
      <c r="ALJ264" s="95"/>
      <c r="ALK264" s="95"/>
      <c r="ALL264" s="95"/>
      <c r="ALM264" s="95"/>
      <c r="ALN264" s="95"/>
      <c r="ALO264" s="95"/>
      <c r="ALP264" s="95"/>
      <c r="ALQ264" s="95"/>
      <c r="ALR264" s="95"/>
      <c r="ALS264" s="95"/>
      <c r="ALT264" s="95"/>
      <c r="ALU264" s="95"/>
      <c r="ALV264" s="95"/>
      <c r="ALW264" s="95"/>
      <c r="ALX264" s="95"/>
      <c r="ALY264" s="95"/>
      <c r="ALZ264" s="95"/>
      <c r="AMA264" s="95"/>
      <c r="AMB264" s="95"/>
      <c r="AMC264" s="95"/>
      <c r="AMD264" s="95"/>
      <c r="AME264" s="95"/>
      <c r="AMF264" s="95"/>
      <c r="AMG264" s="95"/>
      <c r="AMH264" s="95"/>
      <c r="AMI264" s="95"/>
      <c r="AMJ264" s="95"/>
      <c r="AMK264" s="95"/>
      <c r="AML264" s="95"/>
      <c r="AMM264" s="95"/>
      <c r="AMN264" s="95"/>
      <c r="AMO264" s="95"/>
      <c r="AMP264" s="95"/>
      <c r="AMQ264" s="95"/>
      <c r="AMR264" s="95"/>
      <c r="AMS264" s="95"/>
      <c r="AMT264" s="95"/>
      <c r="AMU264" s="95"/>
      <c r="AMV264" s="95"/>
      <c r="AMW264" s="95"/>
      <c r="AMX264" s="95"/>
      <c r="AMY264" s="95"/>
      <c r="AMZ264" s="95"/>
      <c r="ANA264" s="95"/>
      <c r="ANB264" s="95"/>
      <c r="ANC264" s="95"/>
      <c r="AND264" s="95"/>
      <c r="ANE264" s="95"/>
      <c r="ANF264" s="95"/>
      <c r="ANG264" s="95"/>
      <c r="ANH264" s="95"/>
      <c r="ANI264" s="95"/>
      <c r="ANJ264" s="95"/>
      <c r="ANK264" s="95"/>
      <c r="ANL264" s="95"/>
      <c r="ANM264" s="95"/>
      <c r="ANN264" s="95"/>
      <c r="ANO264" s="95"/>
      <c r="ANP264" s="95"/>
      <c r="ANQ264" s="95"/>
      <c r="ANR264" s="95"/>
      <c r="ANS264" s="95"/>
      <c r="ANT264" s="95"/>
      <c r="ANU264" s="95"/>
      <c r="ANV264" s="95"/>
      <c r="ANW264" s="95"/>
      <c r="ANX264" s="95"/>
      <c r="ANY264" s="95"/>
      <c r="ANZ264" s="95"/>
      <c r="AOA264" s="95"/>
      <c r="AOB264" s="95"/>
      <c r="AOC264" s="95"/>
      <c r="AOD264" s="95"/>
      <c r="AOE264" s="95"/>
      <c r="AOF264" s="95"/>
      <c r="AOG264" s="95"/>
      <c r="AOH264" s="95"/>
      <c r="AOI264" s="95"/>
      <c r="AOJ264" s="95"/>
      <c r="AOK264" s="95"/>
      <c r="AOL264" s="95"/>
      <c r="AOM264" s="95"/>
      <c r="AON264" s="95"/>
      <c r="AOO264" s="95"/>
      <c r="AOP264" s="95"/>
      <c r="AOQ264" s="95"/>
      <c r="AOR264" s="95"/>
      <c r="AOS264" s="95"/>
      <c r="AOT264" s="95"/>
      <c r="AOU264" s="95"/>
      <c r="AOV264" s="95"/>
      <c r="AOW264" s="95"/>
      <c r="AOX264" s="95"/>
      <c r="AOY264" s="95"/>
      <c r="AOZ264" s="95"/>
      <c r="APA264" s="95"/>
      <c r="APB264" s="95"/>
      <c r="APC264" s="95"/>
      <c r="APD264" s="95"/>
      <c r="APE264" s="95"/>
      <c r="APF264" s="95"/>
      <c r="APG264" s="95"/>
      <c r="APH264" s="95"/>
      <c r="API264" s="95"/>
      <c r="APJ264" s="95"/>
      <c r="APK264" s="95"/>
      <c r="APL264" s="95"/>
      <c r="APM264" s="95"/>
      <c r="APN264" s="95"/>
      <c r="APO264" s="95"/>
      <c r="APP264" s="95"/>
      <c r="APQ264" s="95"/>
      <c r="APR264" s="95"/>
      <c r="APS264" s="95"/>
      <c r="APT264" s="95"/>
      <c r="APU264" s="95"/>
      <c r="APV264" s="95"/>
      <c r="APW264" s="95"/>
      <c r="APX264" s="95"/>
      <c r="APY264" s="95"/>
      <c r="APZ264" s="95"/>
      <c r="AQA264" s="95"/>
      <c r="AQB264" s="95"/>
      <c r="AQC264" s="95"/>
      <c r="AQD264" s="95"/>
      <c r="AQE264" s="95"/>
      <c r="AQF264" s="95"/>
      <c r="AQG264" s="95"/>
      <c r="AQH264" s="95"/>
      <c r="AQI264" s="95"/>
      <c r="AQJ264" s="95"/>
      <c r="AQK264" s="95"/>
      <c r="AQL264" s="95"/>
      <c r="AQM264" s="95"/>
      <c r="AQN264" s="95"/>
      <c r="AQO264" s="95"/>
      <c r="AQP264" s="95"/>
      <c r="AQQ264" s="95"/>
      <c r="AQR264" s="95"/>
      <c r="AQS264" s="95"/>
      <c r="AQT264" s="95"/>
      <c r="AQU264" s="95"/>
      <c r="AQV264" s="95"/>
      <c r="AQW264" s="95"/>
      <c r="AQX264" s="95"/>
      <c r="AQY264" s="95"/>
      <c r="AQZ264" s="95"/>
      <c r="ARA264" s="95"/>
      <c r="ARB264" s="95"/>
      <c r="ARC264" s="95"/>
      <c r="ARD264" s="95"/>
      <c r="ARE264" s="95"/>
      <c r="ARF264" s="95"/>
      <c r="ARG264" s="95"/>
      <c r="ARH264" s="95"/>
      <c r="ARI264" s="95"/>
      <c r="ARJ264" s="95"/>
      <c r="ARK264" s="95"/>
      <c r="ARL264" s="95"/>
      <c r="ARM264" s="95"/>
      <c r="ARN264" s="95"/>
      <c r="ARO264" s="95"/>
      <c r="ARP264" s="95"/>
      <c r="ARQ264" s="95"/>
      <c r="ARR264" s="95"/>
      <c r="ARS264" s="95"/>
      <c r="ART264" s="95"/>
      <c r="ARU264" s="95"/>
      <c r="ARV264" s="95"/>
      <c r="ARW264" s="95"/>
      <c r="ARX264" s="95"/>
      <c r="ARY264" s="95"/>
      <c r="ARZ264" s="95"/>
      <c r="ASA264" s="95"/>
      <c r="ASB264" s="95"/>
      <c r="ASC264" s="95"/>
      <c r="ASD264" s="95"/>
      <c r="ASE264" s="95"/>
      <c r="ASF264" s="95"/>
      <c r="ASG264" s="95"/>
      <c r="ASH264" s="95"/>
      <c r="ASI264" s="95"/>
      <c r="ASJ264" s="95"/>
      <c r="ASK264" s="95"/>
      <c r="ASL264" s="95"/>
      <c r="ASM264" s="95"/>
      <c r="ASN264" s="95"/>
      <c r="ASO264" s="95"/>
      <c r="ASP264" s="95"/>
      <c r="ASQ264" s="95"/>
      <c r="ASR264" s="95"/>
      <c r="ASS264" s="95"/>
      <c r="AST264" s="95"/>
      <c r="ASU264" s="95"/>
      <c r="ASV264" s="95"/>
      <c r="ASW264" s="95"/>
      <c r="ASX264" s="95"/>
      <c r="ASY264" s="95"/>
      <c r="ASZ264" s="95"/>
      <c r="ATA264" s="95"/>
      <c r="ATB264" s="95"/>
      <c r="ATC264" s="95"/>
      <c r="ATD264" s="95"/>
      <c r="ATE264" s="95"/>
      <c r="ATF264" s="95"/>
      <c r="ATG264" s="95"/>
      <c r="ATH264" s="95"/>
      <c r="ATI264" s="95"/>
      <c r="ATJ264" s="95"/>
      <c r="ATK264" s="95"/>
      <c r="ATL264" s="95"/>
      <c r="ATM264" s="95"/>
      <c r="ATN264" s="95"/>
      <c r="ATO264" s="95"/>
      <c r="ATP264" s="95"/>
      <c r="ATQ264" s="95"/>
      <c r="ATR264" s="95"/>
      <c r="ATS264" s="95"/>
      <c r="ATT264" s="95"/>
      <c r="ATU264" s="95"/>
      <c r="ATV264" s="95"/>
      <c r="ATW264" s="95"/>
      <c r="ATX264" s="95"/>
      <c r="ATY264" s="95"/>
      <c r="ATZ264" s="95"/>
      <c r="AUA264" s="95"/>
      <c r="AUB264" s="95"/>
      <c r="AUC264" s="95"/>
      <c r="AUD264" s="95"/>
      <c r="AUE264" s="95"/>
      <c r="AUF264" s="95"/>
      <c r="AUG264" s="95"/>
      <c r="AUH264" s="95"/>
      <c r="AUI264" s="95"/>
      <c r="AUJ264" s="95"/>
      <c r="AUK264" s="95"/>
      <c r="AUL264" s="95"/>
      <c r="AUM264" s="95"/>
      <c r="AUN264" s="95"/>
      <c r="AUO264" s="95"/>
      <c r="AUP264" s="95"/>
      <c r="AUQ264" s="95"/>
      <c r="AUR264" s="95"/>
      <c r="AUS264" s="95"/>
      <c r="AUT264" s="95"/>
      <c r="AUU264" s="95"/>
      <c r="AUV264" s="95"/>
      <c r="AUW264" s="95"/>
      <c r="AUX264" s="95"/>
      <c r="AUY264" s="95"/>
      <c r="AUZ264" s="95"/>
      <c r="AVA264" s="95"/>
      <c r="AVB264" s="95"/>
      <c r="AVC264" s="95"/>
      <c r="AVD264" s="95"/>
      <c r="AVE264" s="95"/>
      <c r="AVF264" s="95"/>
      <c r="AVG264" s="95"/>
      <c r="AVH264" s="95"/>
      <c r="AVI264" s="95"/>
      <c r="AVJ264" s="95"/>
      <c r="AVK264" s="95"/>
      <c r="AVL264" s="95"/>
      <c r="AVM264" s="95"/>
      <c r="AVN264" s="95"/>
      <c r="AVO264" s="95"/>
      <c r="AVP264" s="95"/>
      <c r="AVQ264" s="95"/>
      <c r="AVR264" s="95"/>
      <c r="AVS264" s="95"/>
      <c r="AVT264" s="95"/>
      <c r="AVU264" s="95"/>
      <c r="AVV264" s="95"/>
      <c r="AVW264" s="95"/>
      <c r="AVX264" s="95"/>
      <c r="AVY264" s="95"/>
      <c r="AVZ264" s="95"/>
      <c r="AWA264" s="95"/>
      <c r="AWB264" s="95"/>
      <c r="AWC264" s="95"/>
      <c r="AWD264" s="95"/>
      <c r="AWE264" s="95"/>
      <c r="AWF264" s="95"/>
      <c r="AWG264" s="95"/>
      <c r="AWH264" s="95"/>
      <c r="AWI264" s="95"/>
      <c r="AWJ264" s="95"/>
      <c r="AWK264" s="95"/>
      <c r="AWL264" s="95"/>
      <c r="AWM264" s="95"/>
      <c r="AWN264" s="95"/>
      <c r="AWO264" s="95"/>
      <c r="AWP264" s="95"/>
      <c r="AWQ264" s="95"/>
      <c r="AWR264" s="95"/>
      <c r="AWS264" s="95"/>
      <c r="AWT264" s="95"/>
      <c r="AWU264" s="95"/>
      <c r="AWV264" s="95"/>
      <c r="AWW264" s="95"/>
      <c r="AWX264" s="95"/>
      <c r="AWY264" s="95"/>
      <c r="AWZ264" s="95"/>
      <c r="AXA264" s="95"/>
      <c r="AXB264" s="95"/>
      <c r="AXC264" s="95"/>
      <c r="AXD264" s="95"/>
      <c r="AXE264" s="95"/>
      <c r="AXF264" s="95"/>
      <c r="AXG264" s="95"/>
      <c r="AXH264" s="95"/>
      <c r="AXI264" s="95"/>
      <c r="AXJ264" s="95"/>
      <c r="AXK264" s="95"/>
      <c r="AXL264" s="95"/>
      <c r="AXM264" s="95"/>
      <c r="AXN264" s="95"/>
      <c r="AXO264" s="95"/>
      <c r="AXP264" s="95"/>
      <c r="AXQ264" s="95"/>
      <c r="AXR264" s="95"/>
      <c r="AXS264" s="95"/>
      <c r="AXT264" s="95"/>
      <c r="AXU264" s="95"/>
      <c r="AXV264" s="95"/>
      <c r="AXW264" s="95"/>
      <c r="AXX264" s="95"/>
      <c r="AXY264" s="95"/>
      <c r="AXZ264" s="95"/>
      <c r="AYA264" s="95"/>
      <c r="AYB264" s="95"/>
      <c r="AYC264" s="95"/>
      <c r="AYD264" s="95"/>
      <c r="AYE264" s="95"/>
      <c r="AYF264" s="95"/>
      <c r="AYG264" s="95"/>
      <c r="AYH264" s="95"/>
      <c r="AYI264" s="95"/>
      <c r="AYJ264" s="95"/>
      <c r="AYK264" s="95"/>
      <c r="AYL264" s="95"/>
      <c r="AYM264" s="95"/>
      <c r="AYN264" s="95"/>
      <c r="AYO264" s="95"/>
      <c r="AYP264" s="95"/>
      <c r="AYQ264" s="95"/>
      <c r="AYR264" s="95"/>
      <c r="AYS264" s="95"/>
      <c r="AYT264" s="95"/>
      <c r="AYU264" s="95"/>
      <c r="AYV264" s="95"/>
      <c r="AYW264" s="95"/>
      <c r="AYX264" s="95"/>
      <c r="AYY264" s="95"/>
      <c r="AYZ264" s="95"/>
      <c r="AZA264" s="95"/>
      <c r="AZB264" s="95"/>
      <c r="AZC264" s="95"/>
      <c r="AZD264" s="95"/>
      <c r="AZE264" s="95"/>
      <c r="AZF264" s="95"/>
      <c r="AZG264" s="95"/>
      <c r="AZH264" s="95"/>
      <c r="AZI264" s="95"/>
      <c r="AZJ264" s="95"/>
      <c r="AZK264" s="95"/>
      <c r="AZL264" s="95"/>
      <c r="AZM264" s="95"/>
      <c r="AZN264" s="95"/>
      <c r="AZO264" s="95"/>
      <c r="AZP264" s="95"/>
      <c r="AZQ264" s="95"/>
      <c r="AZR264" s="95"/>
      <c r="AZS264" s="95"/>
      <c r="AZT264" s="95"/>
      <c r="AZU264" s="95"/>
      <c r="AZV264" s="95"/>
      <c r="AZW264" s="95"/>
      <c r="AZX264" s="95"/>
      <c r="AZY264" s="95"/>
      <c r="AZZ264" s="95"/>
      <c r="BAA264" s="95"/>
      <c r="BAB264" s="95"/>
      <c r="BAC264" s="95"/>
      <c r="BAD264" s="95"/>
      <c r="BAE264" s="95"/>
      <c r="BAF264" s="95"/>
      <c r="BAG264" s="95"/>
      <c r="BAH264" s="95"/>
      <c r="BAI264" s="95"/>
      <c r="BAJ264" s="95"/>
      <c r="BAK264" s="95"/>
      <c r="BAL264" s="95"/>
      <c r="BAM264" s="95"/>
      <c r="BAN264" s="95"/>
      <c r="BAO264" s="95"/>
      <c r="BAP264" s="95"/>
      <c r="BAQ264" s="95"/>
      <c r="BAR264" s="95"/>
      <c r="BAS264" s="95"/>
      <c r="BAT264" s="95"/>
      <c r="BAU264" s="95"/>
      <c r="BAV264" s="95"/>
      <c r="BAW264" s="95"/>
      <c r="BAX264" s="95"/>
      <c r="BAY264" s="95"/>
      <c r="BAZ264" s="95"/>
      <c r="BBA264" s="95"/>
      <c r="BBB264" s="95"/>
      <c r="BBC264" s="95"/>
      <c r="BBD264" s="95"/>
      <c r="BBE264" s="95"/>
      <c r="BBF264" s="95"/>
      <c r="BBG264" s="95"/>
      <c r="BBH264" s="95"/>
      <c r="BBI264" s="95"/>
      <c r="BBJ264" s="95"/>
      <c r="BBK264" s="95"/>
      <c r="BBL264" s="95"/>
      <c r="BBM264" s="95"/>
      <c r="BBN264" s="95"/>
      <c r="BBO264" s="95"/>
      <c r="BBP264" s="95"/>
      <c r="BBQ264" s="95"/>
      <c r="BBR264" s="95"/>
      <c r="BBS264" s="95"/>
      <c r="BBT264" s="95"/>
      <c r="BBU264" s="95"/>
      <c r="BBV264" s="95"/>
      <c r="BBW264" s="95"/>
      <c r="BBX264" s="95"/>
      <c r="BBY264" s="95"/>
      <c r="BBZ264" s="95"/>
      <c r="BCA264" s="95"/>
      <c r="BCB264" s="95"/>
      <c r="BCC264" s="95"/>
      <c r="BCD264" s="95"/>
      <c r="BCE264" s="95"/>
      <c r="BCF264" s="95"/>
      <c r="BCG264" s="95"/>
      <c r="BCH264" s="95"/>
      <c r="BCI264" s="95"/>
      <c r="BCJ264" s="95"/>
      <c r="BCK264" s="95"/>
      <c r="BCL264" s="95"/>
      <c r="BCM264" s="95"/>
      <c r="BCN264" s="95"/>
      <c r="BCO264" s="95"/>
      <c r="BCP264" s="95"/>
      <c r="BCQ264" s="95"/>
      <c r="BCR264" s="95"/>
      <c r="BCS264" s="95"/>
      <c r="BCT264" s="95"/>
      <c r="BCU264" s="95"/>
      <c r="BCV264" s="95"/>
      <c r="BCW264" s="95"/>
      <c r="BCX264" s="95"/>
      <c r="BCY264" s="95"/>
      <c r="BCZ264" s="95"/>
      <c r="BDA264" s="95"/>
      <c r="BDB264" s="95"/>
      <c r="BDC264" s="95"/>
      <c r="BDD264" s="95"/>
      <c r="BDE264" s="95"/>
      <c r="BDF264" s="95"/>
      <c r="BDG264" s="95"/>
      <c r="BDH264" s="95"/>
      <c r="BDI264" s="95"/>
      <c r="BDJ264" s="95"/>
      <c r="BDK264" s="95"/>
      <c r="BDL264" s="95"/>
      <c r="BDM264" s="95"/>
      <c r="BDN264" s="95"/>
      <c r="BDO264" s="95"/>
      <c r="BDP264" s="95"/>
      <c r="BDQ264" s="95"/>
      <c r="BDR264" s="95"/>
      <c r="BDS264" s="95"/>
      <c r="BDT264" s="95"/>
      <c r="BDU264" s="95"/>
      <c r="BDV264" s="95"/>
      <c r="BDW264" s="95"/>
      <c r="BDX264" s="95"/>
      <c r="BDY264" s="95"/>
      <c r="BDZ264" s="95"/>
      <c r="BEA264" s="95"/>
      <c r="BEB264" s="95"/>
      <c r="BEC264" s="95"/>
      <c r="BED264" s="95"/>
      <c r="BEE264" s="95"/>
      <c r="BEF264" s="95"/>
      <c r="BEG264" s="95"/>
      <c r="BEH264" s="95"/>
      <c r="BEI264" s="95"/>
      <c r="BEJ264" s="95"/>
      <c r="BEK264" s="95"/>
      <c r="BEL264" s="95"/>
      <c r="BEM264" s="95"/>
      <c r="BEN264" s="95"/>
      <c r="BEO264" s="95"/>
      <c r="BEP264" s="95"/>
      <c r="BEQ264" s="95"/>
      <c r="BER264" s="95"/>
      <c r="BES264" s="95"/>
      <c r="BET264" s="95"/>
      <c r="BEU264" s="95"/>
      <c r="BEV264" s="95"/>
      <c r="BEW264" s="95"/>
      <c r="BEX264" s="95"/>
      <c r="BEY264" s="95"/>
      <c r="BEZ264" s="95"/>
      <c r="BFA264" s="95"/>
      <c r="BFB264" s="95"/>
      <c r="BFC264" s="95"/>
      <c r="BFD264" s="95"/>
      <c r="BFE264" s="95"/>
      <c r="BFF264" s="95"/>
      <c r="BFG264" s="95"/>
      <c r="BFH264" s="95"/>
      <c r="BFI264" s="95"/>
      <c r="BFJ264" s="95"/>
      <c r="BFK264" s="95"/>
      <c r="BFL264" s="95"/>
      <c r="BFM264" s="95"/>
      <c r="BFN264" s="95"/>
      <c r="BFO264" s="95"/>
      <c r="BFP264" s="95"/>
      <c r="BFQ264" s="95"/>
      <c r="BFR264" s="95"/>
      <c r="BFS264" s="95"/>
      <c r="BFT264" s="95"/>
      <c r="BFU264" s="95"/>
      <c r="BFV264" s="95"/>
      <c r="BFW264" s="95"/>
      <c r="BFX264" s="95"/>
      <c r="BFY264" s="95"/>
      <c r="BFZ264" s="95"/>
      <c r="BGA264" s="95"/>
      <c r="BGB264" s="95"/>
      <c r="BGC264" s="95"/>
      <c r="BGD264" s="95"/>
      <c r="BGE264" s="95"/>
      <c r="BGF264" s="95"/>
      <c r="BGG264" s="95"/>
      <c r="BGH264" s="95"/>
      <c r="BGI264" s="95"/>
      <c r="BGJ264" s="95"/>
      <c r="BGK264" s="95"/>
      <c r="BGL264" s="95"/>
      <c r="BGM264" s="95"/>
      <c r="BGN264" s="95"/>
      <c r="BGO264" s="95"/>
      <c r="BGP264" s="95"/>
      <c r="BGQ264" s="95"/>
      <c r="BGR264" s="95"/>
      <c r="BGS264" s="95"/>
      <c r="BGT264" s="95"/>
      <c r="BGU264" s="95"/>
      <c r="BGV264" s="95"/>
      <c r="BGW264" s="95"/>
      <c r="BGX264" s="95"/>
      <c r="BGY264" s="95"/>
      <c r="BGZ264" s="95"/>
      <c r="BHA264" s="95"/>
      <c r="BHB264" s="95"/>
      <c r="BHC264" s="95"/>
      <c r="BHD264" s="95"/>
      <c r="BHE264" s="95"/>
      <c r="BHF264" s="95"/>
      <c r="BHG264" s="95"/>
      <c r="BHH264" s="95"/>
      <c r="BHI264" s="95"/>
      <c r="BHJ264" s="95"/>
      <c r="BHK264" s="95"/>
      <c r="BHL264" s="95"/>
      <c r="BHM264" s="95"/>
      <c r="BHN264" s="95"/>
      <c r="BHO264" s="95"/>
      <c r="BHP264" s="95"/>
      <c r="BHQ264" s="95"/>
      <c r="BHR264" s="95"/>
      <c r="BHS264" s="95"/>
      <c r="BHT264" s="95"/>
      <c r="BHU264" s="95"/>
      <c r="BHV264" s="95"/>
      <c r="BHW264" s="95"/>
      <c r="BHX264" s="95"/>
      <c r="BHY264" s="95"/>
      <c r="BHZ264" s="95"/>
      <c r="BIA264" s="95"/>
      <c r="BIB264" s="95"/>
      <c r="BIC264" s="95"/>
      <c r="BID264" s="95"/>
      <c r="BIE264" s="95"/>
      <c r="BIF264" s="95"/>
      <c r="BIG264" s="95"/>
      <c r="BIH264" s="95"/>
      <c r="BII264" s="95"/>
      <c r="BIJ264" s="95"/>
      <c r="BIK264" s="95"/>
      <c r="BIL264" s="95"/>
      <c r="BIM264" s="95"/>
      <c r="BIN264" s="95"/>
      <c r="BIO264" s="95"/>
      <c r="BIP264" s="95"/>
      <c r="BIQ264" s="95"/>
      <c r="BIR264" s="95"/>
      <c r="BIS264" s="95"/>
      <c r="BIT264" s="95"/>
      <c r="BIU264" s="95"/>
      <c r="BIV264" s="95"/>
      <c r="BIW264" s="95"/>
      <c r="BIX264" s="95"/>
      <c r="BIY264" s="95"/>
      <c r="BIZ264" s="95"/>
      <c r="BJA264" s="95"/>
      <c r="BJB264" s="95"/>
      <c r="BJC264" s="95"/>
      <c r="BJD264" s="95"/>
      <c r="BJE264" s="95"/>
      <c r="BJF264" s="95"/>
      <c r="BJG264" s="95"/>
      <c r="BJH264" s="95"/>
      <c r="BJI264" s="95"/>
      <c r="BJJ264" s="95"/>
      <c r="BJK264" s="95"/>
      <c r="BJL264" s="95"/>
      <c r="BJM264" s="95"/>
      <c r="BJN264" s="95"/>
      <c r="BJO264" s="95"/>
      <c r="BJP264" s="95"/>
      <c r="BJQ264" s="95"/>
      <c r="BJR264" s="95"/>
      <c r="BJS264" s="95"/>
      <c r="BJT264" s="95"/>
      <c r="BJU264" s="95"/>
      <c r="BJV264" s="95"/>
      <c r="BJW264" s="95"/>
      <c r="BJX264" s="95"/>
      <c r="BJY264" s="95"/>
      <c r="BJZ264" s="95"/>
      <c r="BKA264" s="95"/>
      <c r="BKB264" s="95"/>
      <c r="BKC264" s="95"/>
      <c r="BKD264" s="95"/>
      <c r="BKE264" s="95"/>
      <c r="BKF264" s="95"/>
      <c r="BKG264" s="95"/>
      <c r="BKH264" s="95"/>
      <c r="BKI264" s="95"/>
      <c r="BKJ264" s="95"/>
      <c r="BKK264" s="95"/>
      <c r="BKL264" s="95"/>
      <c r="BKM264" s="95"/>
      <c r="BKN264" s="95"/>
      <c r="BKO264" s="95"/>
      <c r="BKP264" s="95"/>
      <c r="BKQ264" s="95"/>
      <c r="BKR264" s="95"/>
      <c r="BKS264" s="95"/>
      <c r="BKT264" s="95"/>
      <c r="BKU264" s="95"/>
      <c r="BKV264" s="95"/>
      <c r="BKW264" s="95"/>
      <c r="BKX264" s="95"/>
      <c r="BKY264" s="95"/>
      <c r="BKZ264" s="95"/>
      <c r="BLA264" s="95"/>
      <c r="BLB264" s="95"/>
      <c r="BLC264" s="95"/>
      <c r="BLD264" s="95"/>
      <c r="BLE264" s="95"/>
      <c r="BLF264" s="95"/>
      <c r="BLG264" s="95"/>
      <c r="BLH264" s="95"/>
      <c r="BLI264" s="95"/>
      <c r="BLJ264" s="95"/>
      <c r="BLK264" s="95"/>
      <c r="BLL264" s="95"/>
      <c r="BLM264" s="95"/>
      <c r="BLN264" s="95"/>
      <c r="BLO264" s="95"/>
      <c r="BLP264" s="95"/>
      <c r="BLQ264" s="95"/>
      <c r="BLR264" s="95"/>
      <c r="BLS264" s="95"/>
      <c r="BLT264" s="95"/>
      <c r="BLU264" s="95"/>
      <c r="BLV264" s="95"/>
      <c r="BLW264" s="95"/>
      <c r="BLX264" s="95"/>
      <c r="BLY264" s="95"/>
      <c r="BLZ264" s="95"/>
      <c r="BMA264" s="95"/>
      <c r="BMB264" s="95"/>
      <c r="BMC264" s="95"/>
      <c r="BMD264" s="95"/>
      <c r="BME264" s="95"/>
      <c r="BMF264" s="95"/>
      <c r="BMG264" s="95"/>
      <c r="BMH264" s="95"/>
      <c r="BMI264" s="95"/>
      <c r="BMJ264" s="95"/>
      <c r="BMK264" s="95"/>
      <c r="BML264" s="95"/>
      <c r="BMM264" s="95"/>
      <c r="BMN264" s="95"/>
      <c r="BMO264" s="95"/>
      <c r="BMP264" s="95"/>
      <c r="BMQ264" s="95"/>
      <c r="BMR264" s="95"/>
      <c r="BMS264" s="95"/>
      <c r="BMT264" s="95"/>
      <c r="BMU264" s="95"/>
      <c r="BMV264" s="95"/>
      <c r="BMW264" s="95"/>
      <c r="BMX264" s="95"/>
      <c r="BMY264" s="95"/>
      <c r="BMZ264" s="95"/>
      <c r="BNA264" s="95"/>
      <c r="BNB264" s="95"/>
      <c r="BNC264" s="95"/>
      <c r="BND264" s="95"/>
      <c r="BNE264" s="95"/>
      <c r="BNF264" s="95"/>
      <c r="BNG264" s="95"/>
      <c r="BNH264" s="95"/>
      <c r="BNI264" s="95"/>
      <c r="BNJ264" s="95"/>
      <c r="BNK264" s="95"/>
      <c r="BNL264" s="95"/>
      <c r="BNM264" s="95"/>
      <c r="BNN264" s="95"/>
      <c r="BNO264" s="95"/>
      <c r="BNP264" s="95"/>
      <c r="BNQ264" s="95"/>
      <c r="BNR264" s="95"/>
      <c r="BNS264" s="95"/>
      <c r="BNT264" s="95"/>
      <c r="BNU264" s="95"/>
      <c r="BNV264" s="95"/>
      <c r="BNW264" s="95"/>
      <c r="BNX264" s="95"/>
      <c r="BNY264" s="95"/>
      <c r="BNZ264" s="95"/>
      <c r="BOA264" s="95"/>
      <c r="BOB264" s="95"/>
      <c r="BOC264" s="95"/>
      <c r="BOD264" s="95"/>
      <c r="BOE264" s="95"/>
      <c r="BOF264" s="95"/>
      <c r="BOG264" s="95"/>
      <c r="BOH264" s="95"/>
      <c r="BOI264" s="95"/>
      <c r="BOJ264" s="95"/>
      <c r="BOK264" s="95"/>
      <c r="BOL264" s="95"/>
      <c r="BOM264" s="95"/>
      <c r="BON264" s="95"/>
      <c r="BOO264" s="95"/>
      <c r="BOP264" s="95"/>
      <c r="BOQ264" s="95"/>
      <c r="BOR264" s="95"/>
      <c r="BOS264" s="95"/>
      <c r="BOT264" s="95"/>
      <c r="BOU264" s="95"/>
      <c r="BOV264" s="95"/>
      <c r="BOW264" s="95"/>
      <c r="BOX264" s="95"/>
      <c r="BOY264" s="95"/>
      <c r="BOZ264" s="95"/>
      <c r="BPA264" s="95"/>
      <c r="BPB264" s="95"/>
      <c r="BPC264" s="95"/>
      <c r="BPD264" s="95"/>
      <c r="BPE264" s="95"/>
      <c r="BPF264" s="95"/>
      <c r="BPG264" s="95"/>
      <c r="BPH264" s="95"/>
      <c r="BPI264" s="95"/>
      <c r="BPJ264" s="95"/>
      <c r="BPK264" s="95"/>
      <c r="BPL264" s="95"/>
      <c r="BPM264" s="95"/>
      <c r="BPN264" s="95"/>
      <c r="BPO264" s="95"/>
      <c r="BPP264" s="95"/>
      <c r="BPQ264" s="95"/>
      <c r="BPR264" s="95"/>
      <c r="BPS264" s="95"/>
      <c r="BPT264" s="95"/>
      <c r="BPU264" s="95"/>
      <c r="BPV264" s="95"/>
      <c r="BPW264" s="95"/>
      <c r="BPX264" s="95"/>
      <c r="BPY264" s="95"/>
      <c r="BPZ264" s="95"/>
      <c r="BQA264" s="95"/>
      <c r="BQB264" s="95"/>
      <c r="BQC264" s="95"/>
      <c r="BQD264" s="95"/>
      <c r="BQE264" s="95"/>
      <c r="BQF264" s="95"/>
      <c r="BQG264" s="95"/>
      <c r="BQH264" s="95"/>
      <c r="BQI264" s="95"/>
      <c r="BQJ264" s="95"/>
      <c r="BQK264" s="95"/>
      <c r="BQL264" s="95"/>
      <c r="BQM264" s="95"/>
      <c r="BQN264" s="95"/>
      <c r="BQO264" s="95"/>
      <c r="BQP264" s="95"/>
      <c r="BQQ264" s="95"/>
      <c r="BQR264" s="95"/>
      <c r="BQS264" s="95"/>
      <c r="BQT264" s="95"/>
      <c r="BQU264" s="95"/>
      <c r="BQV264" s="95"/>
      <c r="BQW264" s="95"/>
      <c r="BQX264" s="95"/>
      <c r="BQY264" s="95"/>
      <c r="BQZ264" s="95"/>
      <c r="BRA264" s="95"/>
      <c r="BRB264" s="95"/>
      <c r="BRC264" s="95"/>
      <c r="BRD264" s="95"/>
      <c r="BRE264" s="95"/>
      <c r="BRF264" s="95"/>
      <c r="BRG264" s="95"/>
      <c r="BRH264" s="95"/>
      <c r="BRI264" s="95"/>
      <c r="BRJ264" s="95"/>
      <c r="BRK264" s="95"/>
      <c r="BRL264" s="95"/>
      <c r="BRM264" s="95"/>
      <c r="BRN264" s="95"/>
      <c r="BRO264" s="95"/>
      <c r="BRP264" s="95"/>
      <c r="BRQ264" s="95"/>
      <c r="BRR264" s="95"/>
      <c r="BRS264" s="95"/>
      <c r="BRT264" s="95"/>
      <c r="BRU264" s="95"/>
      <c r="BRV264" s="95"/>
      <c r="BRW264" s="95"/>
      <c r="BRX264" s="95"/>
      <c r="BRY264" s="95"/>
      <c r="BRZ264" s="95"/>
      <c r="BSA264" s="95"/>
      <c r="BSB264" s="95"/>
      <c r="BSC264" s="95"/>
      <c r="BSD264" s="95"/>
      <c r="BSE264" s="95"/>
      <c r="BSF264" s="95"/>
      <c r="BSG264" s="95"/>
      <c r="BSH264" s="95"/>
      <c r="BSI264" s="95"/>
      <c r="BSJ264" s="95"/>
      <c r="BSK264" s="95"/>
      <c r="BSL264" s="95"/>
      <c r="BSM264" s="95"/>
      <c r="BSN264" s="95"/>
      <c r="BSO264" s="95"/>
      <c r="BSP264" s="95"/>
      <c r="BSQ264" s="95"/>
      <c r="BSR264" s="95"/>
      <c r="BSS264" s="95"/>
      <c r="BST264" s="95"/>
      <c r="BSU264" s="95"/>
      <c r="BSV264" s="95"/>
      <c r="BSW264" s="95"/>
      <c r="BSX264" s="95"/>
      <c r="BSY264" s="95"/>
      <c r="BSZ264" s="95"/>
      <c r="BTA264" s="95"/>
      <c r="BTB264" s="95"/>
      <c r="BTC264" s="95"/>
      <c r="BTD264" s="95"/>
      <c r="BTE264" s="95"/>
      <c r="BTF264" s="95"/>
      <c r="BTG264" s="95"/>
      <c r="BTH264" s="95"/>
      <c r="BTI264" s="95"/>
      <c r="BTJ264" s="95"/>
      <c r="BTK264" s="95"/>
      <c r="BTL264" s="95"/>
      <c r="BTM264" s="95"/>
      <c r="BTN264" s="95"/>
      <c r="BTO264" s="95"/>
      <c r="BTP264" s="95"/>
      <c r="BTQ264" s="95"/>
      <c r="BTR264" s="95"/>
      <c r="BTS264" s="95"/>
      <c r="BTT264" s="95"/>
      <c r="BTU264" s="95"/>
      <c r="BTV264" s="95"/>
      <c r="BTW264" s="95"/>
      <c r="BTX264" s="95"/>
      <c r="BTY264" s="95"/>
      <c r="BTZ264" s="95"/>
      <c r="BUA264" s="95"/>
      <c r="BUB264" s="95"/>
      <c r="BUC264" s="95"/>
      <c r="BUD264" s="95"/>
      <c r="BUE264" s="95"/>
      <c r="BUF264" s="95"/>
      <c r="BUG264" s="95"/>
      <c r="BUH264" s="95"/>
      <c r="BUI264" s="95"/>
      <c r="BUJ264" s="95"/>
      <c r="BUK264" s="95"/>
      <c r="BUL264" s="95"/>
      <c r="BUM264" s="95"/>
      <c r="BUN264" s="95"/>
      <c r="BUO264" s="95"/>
      <c r="BUP264" s="95"/>
      <c r="BUQ264" s="95"/>
      <c r="BUR264" s="95"/>
      <c r="BUS264" s="95"/>
      <c r="BUT264" s="95"/>
      <c r="BUU264" s="95"/>
      <c r="BUV264" s="95"/>
      <c r="BUW264" s="95"/>
      <c r="BUX264" s="95"/>
      <c r="BUY264" s="95"/>
      <c r="BUZ264" s="95"/>
      <c r="BVA264" s="95"/>
      <c r="BVB264" s="95"/>
      <c r="BVC264" s="95"/>
      <c r="BVD264" s="95"/>
      <c r="BVE264" s="95"/>
      <c r="BVF264" s="95"/>
      <c r="BVG264" s="95"/>
      <c r="BVH264" s="95"/>
      <c r="BVI264" s="95"/>
      <c r="BVJ264" s="95"/>
      <c r="BVK264" s="95"/>
      <c r="BVL264" s="95"/>
      <c r="BVM264" s="95"/>
      <c r="BVN264" s="95"/>
      <c r="BVO264" s="95"/>
      <c r="BVP264" s="95"/>
      <c r="BVQ264" s="95"/>
      <c r="BVR264" s="95"/>
      <c r="BVS264" s="95"/>
      <c r="BVT264" s="95"/>
      <c r="BVU264" s="95"/>
      <c r="BVV264" s="95"/>
      <c r="BVW264" s="95"/>
      <c r="BVX264" s="95"/>
      <c r="BVY264" s="95"/>
      <c r="BVZ264" s="95"/>
      <c r="BWA264" s="95"/>
      <c r="BWB264" s="95"/>
      <c r="BWC264" s="95"/>
      <c r="BWD264" s="95"/>
      <c r="BWE264" s="95"/>
      <c r="BWF264" s="95"/>
      <c r="BWG264" s="95"/>
      <c r="BWH264" s="95"/>
      <c r="BWI264" s="95"/>
      <c r="BWJ264" s="95"/>
      <c r="BWK264" s="95"/>
      <c r="BWL264" s="95"/>
      <c r="BWM264" s="95"/>
      <c r="BWN264" s="95"/>
      <c r="BWO264" s="95"/>
      <c r="BWP264" s="95"/>
      <c r="BWQ264" s="95"/>
      <c r="BWR264" s="95"/>
      <c r="BWS264" s="95"/>
      <c r="BWT264" s="95"/>
      <c r="BWU264" s="95"/>
      <c r="BWV264" s="95"/>
      <c r="BWW264" s="95"/>
      <c r="BWX264" s="95"/>
      <c r="BWY264" s="95"/>
      <c r="BWZ264" s="95"/>
      <c r="BXA264" s="95"/>
      <c r="BXB264" s="95"/>
      <c r="BXC264" s="95"/>
      <c r="BXD264" s="95"/>
      <c r="BXE264" s="95"/>
      <c r="BXF264" s="95"/>
      <c r="BXG264" s="95"/>
      <c r="BXH264" s="95"/>
      <c r="BXI264" s="95"/>
      <c r="BXJ264" s="95"/>
      <c r="BXK264" s="95"/>
      <c r="BXL264" s="95"/>
      <c r="BXM264" s="95"/>
      <c r="BXN264" s="95"/>
      <c r="BXO264" s="95"/>
      <c r="BXP264" s="95"/>
      <c r="BXQ264" s="95"/>
      <c r="BXR264" s="95"/>
      <c r="BXS264" s="95"/>
      <c r="BXT264" s="95"/>
      <c r="BXU264" s="95"/>
      <c r="BXV264" s="95"/>
      <c r="BXW264" s="95"/>
      <c r="BXX264" s="95"/>
      <c r="BXY264" s="95"/>
      <c r="BXZ264" s="95"/>
      <c r="BYA264" s="95"/>
      <c r="BYB264" s="95"/>
      <c r="BYC264" s="95"/>
      <c r="BYD264" s="95"/>
      <c r="BYE264" s="95"/>
      <c r="BYF264" s="95"/>
      <c r="BYG264" s="95"/>
      <c r="BYH264" s="95"/>
      <c r="BYI264" s="95"/>
      <c r="BYJ264" s="95"/>
      <c r="BYK264" s="95"/>
      <c r="BYL264" s="95"/>
      <c r="BYM264" s="95"/>
      <c r="BYN264" s="95"/>
      <c r="BYO264" s="95"/>
      <c r="BYP264" s="95"/>
      <c r="BYQ264" s="95"/>
      <c r="BYR264" s="95"/>
      <c r="BYS264" s="95"/>
      <c r="BYT264" s="95"/>
      <c r="BYU264" s="95"/>
      <c r="BYV264" s="95"/>
      <c r="BYW264" s="95"/>
      <c r="BYX264" s="95"/>
      <c r="BYY264" s="95"/>
      <c r="BYZ264" s="95"/>
      <c r="BZA264" s="95"/>
      <c r="BZB264" s="95"/>
      <c r="BZC264" s="95"/>
      <c r="BZD264" s="95"/>
      <c r="BZE264" s="95"/>
      <c r="BZF264" s="95"/>
      <c r="BZG264" s="95"/>
      <c r="BZH264" s="95"/>
      <c r="BZI264" s="95"/>
      <c r="BZJ264" s="95"/>
      <c r="BZK264" s="95"/>
      <c r="BZL264" s="95"/>
      <c r="BZM264" s="95"/>
      <c r="BZN264" s="95"/>
      <c r="BZO264" s="95"/>
      <c r="BZP264" s="95"/>
      <c r="BZQ264" s="95"/>
      <c r="BZR264" s="95"/>
      <c r="BZS264" s="95"/>
      <c r="BZT264" s="95"/>
      <c r="BZU264" s="95"/>
      <c r="BZV264" s="95"/>
      <c r="BZW264" s="95"/>
      <c r="BZX264" s="95"/>
      <c r="BZY264" s="95"/>
      <c r="BZZ264" s="95"/>
      <c r="CAA264" s="95"/>
      <c r="CAB264" s="95"/>
      <c r="CAC264" s="95"/>
      <c r="CAD264" s="95"/>
      <c r="CAE264" s="95"/>
      <c r="CAF264" s="95"/>
      <c r="CAG264" s="95"/>
      <c r="CAH264" s="95"/>
      <c r="CAI264" s="95"/>
      <c r="CAJ264" s="95"/>
      <c r="CAK264" s="95"/>
      <c r="CAL264" s="95"/>
      <c r="CAM264" s="95"/>
      <c r="CAN264" s="95"/>
      <c r="CAO264" s="95"/>
      <c r="CAP264" s="95"/>
      <c r="CAQ264" s="95"/>
      <c r="CAR264" s="95"/>
      <c r="CAS264" s="95"/>
      <c r="CAT264" s="95"/>
      <c r="CAU264" s="95"/>
      <c r="CAV264" s="95"/>
      <c r="CAW264" s="95"/>
      <c r="CAX264" s="95"/>
      <c r="CAY264" s="95"/>
      <c r="CAZ264" s="95"/>
      <c r="CBA264" s="95"/>
      <c r="CBB264" s="95"/>
      <c r="CBC264" s="95"/>
      <c r="CBD264" s="95"/>
      <c r="CBE264" s="95"/>
      <c r="CBF264" s="95"/>
      <c r="CBG264" s="95"/>
      <c r="CBH264" s="95"/>
      <c r="CBI264" s="95"/>
      <c r="CBJ264" s="95"/>
      <c r="CBK264" s="95"/>
      <c r="CBL264" s="95"/>
      <c r="CBM264" s="95"/>
      <c r="CBN264" s="95"/>
      <c r="CBO264" s="95"/>
      <c r="CBP264" s="95"/>
      <c r="CBQ264" s="95"/>
      <c r="CBR264" s="95"/>
      <c r="CBS264" s="95"/>
      <c r="CBT264" s="95"/>
      <c r="CBU264" s="95"/>
      <c r="CBV264" s="95"/>
      <c r="CBW264" s="95"/>
      <c r="CBX264" s="95"/>
      <c r="CBY264" s="95"/>
      <c r="CBZ264" s="95"/>
      <c r="CCA264" s="95"/>
      <c r="CCB264" s="95"/>
      <c r="CCC264" s="95"/>
      <c r="CCD264" s="95"/>
      <c r="CCE264" s="95"/>
      <c r="CCF264" s="95"/>
      <c r="CCG264" s="95"/>
      <c r="CCH264" s="95"/>
      <c r="CCI264" s="95"/>
      <c r="CCJ264" s="95"/>
      <c r="CCK264" s="95"/>
      <c r="CCL264" s="95"/>
      <c r="CCM264" s="95"/>
      <c r="CCN264" s="95"/>
      <c r="CCO264" s="95"/>
      <c r="CCP264" s="95"/>
      <c r="CCQ264" s="95"/>
      <c r="CCR264" s="95"/>
      <c r="CCS264" s="95"/>
      <c r="CCT264" s="95"/>
      <c r="CCU264" s="95"/>
      <c r="CCV264" s="95"/>
      <c r="CCW264" s="95"/>
      <c r="CCX264" s="95"/>
      <c r="CCY264" s="95"/>
      <c r="CCZ264" s="95"/>
      <c r="CDA264" s="95"/>
      <c r="CDB264" s="95"/>
      <c r="CDC264" s="95"/>
      <c r="CDD264" s="95"/>
      <c r="CDE264" s="95"/>
      <c r="CDF264" s="95"/>
      <c r="CDG264" s="95"/>
      <c r="CDH264" s="95"/>
      <c r="CDI264" s="95"/>
      <c r="CDJ264" s="95"/>
      <c r="CDK264" s="95"/>
      <c r="CDL264" s="95"/>
      <c r="CDM264" s="95"/>
      <c r="CDN264" s="95"/>
      <c r="CDO264" s="95"/>
      <c r="CDP264" s="95"/>
      <c r="CDQ264" s="95"/>
      <c r="CDR264" s="95"/>
      <c r="CDS264" s="95"/>
      <c r="CDT264" s="95"/>
      <c r="CDU264" s="95"/>
      <c r="CDV264" s="95"/>
      <c r="CDW264" s="95"/>
      <c r="CDX264" s="95"/>
      <c r="CDY264" s="95"/>
      <c r="CDZ264" s="95"/>
      <c r="CEA264" s="95"/>
      <c r="CEB264" s="95"/>
      <c r="CEC264" s="95"/>
      <c r="CED264" s="95"/>
      <c r="CEE264" s="95"/>
      <c r="CEF264" s="95"/>
      <c r="CEG264" s="95"/>
      <c r="CEH264" s="95"/>
      <c r="CEI264" s="95"/>
      <c r="CEJ264" s="95"/>
      <c r="CEK264" s="95"/>
      <c r="CEL264" s="95"/>
      <c r="CEM264" s="95"/>
      <c r="CEN264" s="95"/>
      <c r="CEO264" s="95"/>
      <c r="CEP264" s="95"/>
      <c r="CEQ264" s="95"/>
      <c r="CER264" s="95"/>
      <c r="CES264" s="95"/>
      <c r="CET264" s="95"/>
      <c r="CEU264" s="95"/>
      <c r="CEV264" s="95"/>
      <c r="CEW264" s="95"/>
      <c r="CEX264" s="95"/>
      <c r="CEY264" s="95"/>
      <c r="CEZ264" s="95"/>
      <c r="CFA264" s="95"/>
      <c r="CFB264" s="95"/>
      <c r="CFC264" s="95"/>
      <c r="CFD264" s="95"/>
      <c r="CFE264" s="95"/>
      <c r="CFF264" s="95"/>
      <c r="CFG264" s="95"/>
      <c r="CFH264" s="95"/>
      <c r="CFI264" s="95"/>
      <c r="CFJ264" s="95"/>
      <c r="CFK264" s="95"/>
      <c r="CFL264" s="95"/>
      <c r="CFM264" s="95"/>
      <c r="CFN264" s="95"/>
      <c r="CFO264" s="95"/>
      <c r="CFP264" s="95"/>
      <c r="CFQ264" s="95"/>
      <c r="CFR264" s="95"/>
      <c r="CFS264" s="95"/>
      <c r="CFT264" s="95"/>
      <c r="CFU264" s="95"/>
      <c r="CFV264" s="95"/>
      <c r="CFW264" s="95"/>
      <c r="CFX264" s="95"/>
      <c r="CFY264" s="95"/>
      <c r="CFZ264" s="95"/>
      <c r="CGA264" s="95"/>
      <c r="CGB264" s="95"/>
      <c r="CGC264" s="95"/>
      <c r="CGD264" s="95"/>
      <c r="CGE264" s="95"/>
      <c r="CGF264" s="95"/>
      <c r="CGG264" s="95"/>
      <c r="CGH264" s="95"/>
      <c r="CGI264" s="95"/>
      <c r="CGJ264" s="95"/>
      <c r="CGK264" s="95"/>
      <c r="CGL264" s="95"/>
      <c r="CGM264" s="95"/>
      <c r="CGN264" s="95"/>
      <c r="CGO264" s="95"/>
      <c r="CGP264" s="95"/>
      <c r="CGQ264" s="95"/>
      <c r="CGR264" s="95"/>
      <c r="CGS264" s="95"/>
      <c r="CGT264" s="95"/>
      <c r="CGU264" s="95"/>
      <c r="CGV264" s="95"/>
      <c r="CGW264" s="95"/>
      <c r="CGX264" s="95"/>
      <c r="CGY264" s="95"/>
      <c r="CGZ264" s="95"/>
      <c r="CHA264" s="95"/>
      <c r="CHB264" s="95"/>
      <c r="CHC264" s="95"/>
      <c r="CHD264" s="95"/>
      <c r="CHE264" s="95"/>
      <c r="CHF264" s="95"/>
      <c r="CHG264" s="95"/>
      <c r="CHH264" s="95"/>
      <c r="CHI264" s="95"/>
      <c r="CHJ264" s="95"/>
      <c r="CHK264" s="95"/>
      <c r="CHL264" s="95"/>
      <c r="CHM264" s="95"/>
      <c r="CHN264" s="95"/>
      <c r="CHO264" s="95"/>
      <c r="CHP264" s="95"/>
      <c r="CHQ264" s="95"/>
      <c r="CHR264" s="95"/>
      <c r="CHS264" s="95"/>
      <c r="CHT264" s="95"/>
      <c r="CHU264" s="95"/>
      <c r="CHV264" s="95"/>
      <c r="CHW264" s="95"/>
      <c r="CHX264" s="95"/>
      <c r="CHY264" s="95"/>
      <c r="CHZ264" s="95"/>
      <c r="CIA264" s="95"/>
      <c r="CIB264" s="95"/>
      <c r="CIC264" s="95"/>
      <c r="CID264" s="95"/>
      <c r="CIE264" s="95"/>
      <c r="CIF264" s="95"/>
      <c r="CIG264" s="95"/>
      <c r="CIH264" s="95"/>
      <c r="CII264" s="95"/>
      <c r="CIJ264" s="95"/>
      <c r="CIK264" s="95"/>
      <c r="CIL264" s="95"/>
      <c r="CIM264" s="95"/>
      <c r="CIN264" s="95"/>
      <c r="CIO264" s="95"/>
      <c r="CIP264" s="95"/>
      <c r="CIQ264" s="95"/>
      <c r="CIR264" s="95"/>
      <c r="CIS264" s="95"/>
      <c r="CIT264" s="95"/>
      <c r="CIU264" s="95"/>
      <c r="CIV264" s="95"/>
      <c r="CIW264" s="95"/>
      <c r="CIX264" s="95"/>
      <c r="CIY264" s="95"/>
      <c r="CIZ264" s="95"/>
      <c r="CJA264" s="95"/>
      <c r="CJB264" s="95"/>
      <c r="CJC264" s="95"/>
      <c r="CJD264" s="95"/>
      <c r="CJE264" s="95"/>
      <c r="CJF264" s="95"/>
      <c r="CJG264" s="95"/>
      <c r="CJH264" s="95"/>
      <c r="CJI264" s="95"/>
      <c r="CJJ264" s="95"/>
      <c r="CJK264" s="95"/>
      <c r="CJL264" s="95"/>
      <c r="CJM264" s="95"/>
      <c r="CJN264" s="95"/>
      <c r="CJO264" s="95"/>
      <c r="CJP264" s="95"/>
      <c r="CJQ264" s="95"/>
      <c r="CJR264" s="95"/>
      <c r="CJS264" s="95"/>
      <c r="CJT264" s="95"/>
      <c r="CJU264" s="95"/>
      <c r="CJV264" s="95"/>
      <c r="CJW264" s="95"/>
      <c r="CJX264" s="95"/>
      <c r="CJY264" s="95"/>
      <c r="CJZ264" s="95"/>
      <c r="CKA264" s="95"/>
      <c r="CKB264" s="95"/>
      <c r="CKC264" s="95"/>
      <c r="CKD264" s="95"/>
      <c r="CKE264" s="95"/>
      <c r="CKF264" s="95"/>
      <c r="CKG264" s="95"/>
      <c r="CKH264" s="95"/>
      <c r="CKI264" s="95"/>
      <c r="CKJ264" s="95"/>
      <c r="CKK264" s="95"/>
      <c r="CKL264" s="95"/>
      <c r="CKM264" s="95"/>
      <c r="CKN264" s="95"/>
      <c r="CKO264" s="95"/>
      <c r="CKP264" s="95"/>
      <c r="CKQ264" s="95"/>
      <c r="CKR264" s="95"/>
      <c r="CKS264" s="95"/>
      <c r="CKT264" s="95"/>
      <c r="CKU264" s="95"/>
      <c r="CKV264" s="95"/>
      <c r="CKW264" s="95"/>
      <c r="CKX264" s="95"/>
      <c r="CKY264" s="95"/>
      <c r="CKZ264" s="95"/>
      <c r="CLA264" s="95"/>
      <c r="CLB264" s="95"/>
      <c r="CLC264" s="95"/>
      <c r="CLD264" s="95"/>
      <c r="CLE264" s="95"/>
      <c r="CLF264" s="95"/>
      <c r="CLG264" s="95"/>
      <c r="CLH264" s="95"/>
      <c r="CLI264" s="95"/>
      <c r="CLJ264" s="95"/>
      <c r="CLK264" s="95"/>
      <c r="CLL264" s="95"/>
      <c r="CLM264" s="95"/>
      <c r="CLN264" s="95"/>
      <c r="CLO264" s="95"/>
      <c r="CLP264" s="95"/>
      <c r="CLQ264" s="95"/>
      <c r="CLR264" s="95"/>
      <c r="CLS264" s="95"/>
      <c r="CLT264" s="95"/>
      <c r="CLU264" s="95"/>
      <c r="CLV264" s="95"/>
      <c r="CLW264" s="95"/>
      <c r="CLX264" s="95"/>
      <c r="CLY264" s="95"/>
      <c r="CLZ264" s="95"/>
      <c r="CMA264" s="95"/>
      <c r="CMB264" s="95"/>
      <c r="CMC264" s="95"/>
      <c r="CMD264" s="95"/>
      <c r="CME264" s="95"/>
      <c r="CMF264" s="95"/>
      <c r="CMG264" s="95"/>
      <c r="CMH264" s="95"/>
      <c r="CMI264" s="95"/>
      <c r="CMJ264" s="95"/>
      <c r="CMK264" s="95"/>
      <c r="CML264" s="95"/>
      <c r="CMM264" s="95"/>
      <c r="CMN264" s="95"/>
      <c r="CMO264" s="95"/>
      <c r="CMP264" s="95"/>
      <c r="CMQ264" s="95"/>
      <c r="CMR264" s="95"/>
      <c r="CMS264" s="95"/>
      <c r="CMT264" s="95"/>
      <c r="CMU264" s="95"/>
      <c r="CMV264" s="95"/>
      <c r="CMW264" s="95"/>
      <c r="CMX264" s="95"/>
      <c r="CMY264" s="95"/>
      <c r="CMZ264" s="95"/>
      <c r="CNA264" s="95"/>
      <c r="CNB264" s="95"/>
      <c r="CNC264" s="95"/>
      <c r="CND264" s="95"/>
      <c r="CNE264" s="95"/>
      <c r="CNF264" s="95"/>
      <c r="CNG264" s="95"/>
      <c r="CNH264" s="95"/>
      <c r="CNI264" s="95"/>
      <c r="CNJ264" s="95"/>
      <c r="CNK264" s="95"/>
      <c r="CNL264" s="95"/>
      <c r="CNM264" s="95"/>
      <c r="CNN264" s="95"/>
      <c r="CNO264" s="95"/>
      <c r="CNP264" s="95"/>
      <c r="CNQ264" s="95"/>
      <c r="CNR264" s="95"/>
      <c r="CNS264" s="95"/>
      <c r="CNT264" s="95"/>
      <c r="CNU264" s="95"/>
      <c r="CNV264" s="95"/>
      <c r="CNW264" s="95"/>
      <c r="CNX264" s="95"/>
      <c r="CNY264" s="95"/>
      <c r="CNZ264" s="95"/>
      <c r="COA264" s="95"/>
      <c r="COB264" s="95"/>
      <c r="COC264" s="95"/>
      <c r="COD264" s="95"/>
      <c r="COE264" s="95"/>
      <c r="COF264" s="95"/>
      <c r="COG264" s="95"/>
      <c r="COH264" s="95"/>
      <c r="COI264" s="95"/>
      <c r="COJ264" s="95"/>
      <c r="COK264" s="95"/>
      <c r="COL264" s="95"/>
      <c r="COM264" s="95"/>
      <c r="CON264" s="95"/>
      <c r="COO264" s="95"/>
      <c r="COP264" s="95"/>
      <c r="COQ264" s="95"/>
      <c r="COR264" s="95"/>
      <c r="COS264" s="95"/>
      <c r="COT264" s="95"/>
      <c r="COU264" s="95"/>
      <c r="COV264" s="95"/>
      <c r="COW264" s="95"/>
      <c r="COX264" s="95"/>
      <c r="COY264" s="95"/>
      <c r="COZ264" s="95"/>
      <c r="CPA264" s="95"/>
      <c r="CPB264" s="95"/>
      <c r="CPC264" s="95"/>
      <c r="CPD264" s="95"/>
      <c r="CPE264" s="95"/>
      <c r="CPF264" s="95"/>
      <c r="CPG264" s="95"/>
      <c r="CPH264" s="95"/>
      <c r="CPI264" s="95"/>
      <c r="CPJ264" s="95"/>
      <c r="CPK264" s="95"/>
      <c r="CPL264" s="95"/>
      <c r="CPM264" s="95"/>
      <c r="CPN264" s="95"/>
      <c r="CPO264" s="95"/>
      <c r="CPP264" s="95"/>
      <c r="CPQ264" s="95"/>
      <c r="CPR264" s="95"/>
      <c r="CPS264" s="95"/>
      <c r="CPT264" s="95"/>
      <c r="CPU264" s="95"/>
      <c r="CPV264" s="95"/>
      <c r="CPW264" s="95"/>
      <c r="CPX264" s="95"/>
      <c r="CPY264" s="95"/>
      <c r="CPZ264" s="95"/>
      <c r="CQA264" s="95"/>
      <c r="CQB264" s="95"/>
      <c r="CQC264" s="95"/>
      <c r="CQD264" s="95"/>
      <c r="CQE264" s="95"/>
      <c r="CQF264" s="95"/>
      <c r="CQG264" s="95"/>
      <c r="CQH264" s="95"/>
      <c r="CQI264" s="95"/>
      <c r="CQJ264" s="95"/>
      <c r="CQK264" s="95"/>
      <c r="CQL264" s="95"/>
      <c r="CQM264" s="95"/>
      <c r="CQN264" s="95"/>
      <c r="CQO264" s="95"/>
      <c r="CQP264" s="95"/>
      <c r="CQQ264" s="95"/>
      <c r="CQR264" s="95"/>
      <c r="CQS264" s="95"/>
      <c r="CQT264" s="95"/>
      <c r="CQU264" s="95"/>
      <c r="CQV264" s="95"/>
      <c r="CQW264" s="95"/>
      <c r="CQX264" s="95"/>
      <c r="CQY264" s="95"/>
      <c r="CQZ264" s="95"/>
      <c r="CRA264" s="95"/>
      <c r="CRB264" s="95"/>
      <c r="CRC264" s="95"/>
      <c r="CRD264" s="95"/>
      <c r="CRE264" s="95"/>
      <c r="CRF264" s="95"/>
      <c r="CRG264" s="95"/>
      <c r="CRH264" s="95"/>
      <c r="CRI264" s="95"/>
      <c r="CRJ264" s="95"/>
      <c r="CRK264" s="95"/>
      <c r="CRL264" s="95"/>
      <c r="CRM264" s="95"/>
      <c r="CRN264" s="95"/>
      <c r="CRO264" s="95"/>
      <c r="CRP264" s="95"/>
      <c r="CRQ264" s="95"/>
      <c r="CRR264" s="95"/>
      <c r="CRS264" s="95"/>
      <c r="CRT264" s="95"/>
      <c r="CRU264" s="95"/>
      <c r="CRV264" s="95"/>
      <c r="CRW264" s="95"/>
      <c r="CRX264" s="95"/>
      <c r="CRY264" s="95"/>
      <c r="CRZ264" s="95"/>
      <c r="CSA264" s="95"/>
      <c r="CSB264" s="95"/>
      <c r="CSC264" s="95"/>
      <c r="CSD264" s="95"/>
      <c r="CSE264" s="95"/>
      <c r="CSF264" s="95"/>
      <c r="CSG264" s="95"/>
      <c r="CSH264" s="95"/>
      <c r="CSI264" s="95"/>
      <c r="CSJ264" s="95"/>
      <c r="CSK264" s="95"/>
      <c r="CSL264" s="95"/>
      <c r="CSM264" s="95"/>
      <c r="CSN264" s="95"/>
      <c r="CSO264" s="95"/>
      <c r="CSP264" s="95"/>
      <c r="CSQ264" s="95"/>
      <c r="CSR264" s="95"/>
      <c r="CSS264" s="95"/>
      <c r="CST264" s="95"/>
      <c r="CSU264" s="95"/>
      <c r="CSV264" s="95"/>
      <c r="CSW264" s="95"/>
      <c r="CSX264" s="95"/>
      <c r="CSY264" s="95"/>
      <c r="CSZ264" s="95"/>
      <c r="CTA264" s="95"/>
      <c r="CTB264" s="95"/>
      <c r="CTC264" s="95"/>
      <c r="CTD264" s="95"/>
      <c r="CTE264" s="95"/>
      <c r="CTF264" s="95"/>
      <c r="CTG264" s="95"/>
      <c r="CTH264" s="95"/>
      <c r="CTI264" s="95"/>
      <c r="CTJ264" s="95"/>
      <c r="CTK264" s="95"/>
      <c r="CTL264" s="95"/>
      <c r="CTM264" s="95"/>
      <c r="CTN264" s="95"/>
      <c r="CTO264" s="95"/>
      <c r="CTP264" s="95"/>
      <c r="CTQ264" s="95"/>
      <c r="CTR264" s="95"/>
      <c r="CTS264" s="95"/>
      <c r="CTT264" s="95"/>
      <c r="CTU264" s="95"/>
      <c r="CTV264" s="95"/>
      <c r="CTW264" s="95"/>
      <c r="CTX264" s="95"/>
      <c r="CTY264" s="95"/>
      <c r="CTZ264" s="95"/>
      <c r="CUA264" s="95"/>
      <c r="CUB264" s="95"/>
      <c r="CUC264" s="95"/>
      <c r="CUD264" s="95"/>
      <c r="CUE264" s="95"/>
      <c r="CUF264" s="95"/>
      <c r="CUG264" s="95"/>
      <c r="CUH264" s="95"/>
      <c r="CUI264" s="95"/>
      <c r="CUJ264" s="95"/>
      <c r="CUK264" s="95"/>
      <c r="CUL264" s="95"/>
      <c r="CUM264" s="95"/>
      <c r="CUN264" s="95"/>
      <c r="CUO264" s="95"/>
      <c r="CUP264" s="95"/>
      <c r="CUQ264" s="95"/>
      <c r="CUR264" s="95"/>
      <c r="CUS264" s="95"/>
      <c r="CUT264" s="95"/>
      <c r="CUU264" s="95"/>
      <c r="CUV264" s="95"/>
      <c r="CUW264" s="95"/>
      <c r="CUX264" s="95"/>
      <c r="CUY264" s="95"/>
      <c r="CUZ264" s="95"/>
      <c r="CVA264" s="95"/>
      <c r="CVB264" s="95"/>
      <c r="CVC264" s="95"/>
      <c r="CVD264" s="95"/>
      <c r="CVE264" s="95"/>
      <c r="CVF264" s="95"/>
      <c r="CVG264" s="95"/>
      <c r="CVH264" s="95"/>
      <c r="CVI264" s="95"/>
      <c r="CVJ264" s="95"/>
      <c r="CVK264" s="95"/>
      <c r="CVL264" s="95"/>
      <c r="CVM264" s="95"/>
      <c r="CVN264" s="95"/>
      <c r="CVO264" s="95"/>
      <c r="CVP264" s="95"/>
      <c r="CVQ264" s="95"/>
      <c r="CVR264" s="95"/>
      <c r="CVS264" s="95"/>
      <c r="CVT264" s="95"/>
      <c r="CVU264" s="95"/>
      <c r="CVV264" s="95"/>
      <c r="CVW264" s="95"/>
      <c r="CVX264" s="95"/>
      <c r="CVY264" s="95"/>
      <c r="CVZ264" s="95"/>
      <c r="CWA264" s="95"/>
      <c r="CWB264" s="95"/>
      <c r="CWC264" s="95"/>
      <c r="CWD264" s="95"/>
      <c r="CWE264" s="95"/>
      <c r="CWF264" s="95"/>
      <c r="CWG264" s="95"/>
      <c r="CWH264" s="95"/>
      <c r="CWI264" s="95"/>
      <c r="CWJ264" s="95"/>
      <c r="CWK264" s="95"/>
      <c r="CWL264" s="95"/>
      <c r="CWM264" s="95"/>
      <c r="CWN264" s="95"/>
      <c r="CWO264" s="95"/>
      <c r="CWP264" s="95"/>
      <c r="CWQ264" s="95"/>
      <c r="CWR264" s="95"/>
      <c r="CWS264" s="95"/>
      <c r="CWT264" s="95"/>
      <c r="CWU264" s="95"/>
      <c r="CWV264" s="95"/>
      <c r="CWW264" s="95"/>
      <c r="CWX264" s="95"/>
      <c r="CWY264" s="95"/>
      <c r="CWZ264" s="95"/>
      <c r="CXA264" s="95"/>
      <c r="CXB264" s="95"/>
      <c r="CXC264" s="95"/>
      <c r="CXD264" s="95"/>
      <c r="CXE264" s="95"/>
      <c r="CXF264" s="95"/>
      <c r="CXG264" s="95"/>
      <c r="CXH264" s="95"/>
      <c r="CXI264" s="95"/>
      <c r="CXJ264" s="95"/>
      <c r="CXK264" s="95"/>
      <c r="CXL264" s="95"/>
      <c r="CXM264" s="95"/>
      <c r="CXN264" s="95"/>
      <c r="CXO264" s="95"/>
      <c r="CXP264" s="95"/>
      <c r="CXQ264" s="95"/>
      <c r="CXR264" s="95"/>
      <c r="CXS264" s="95"/>
      <c r="CXT264" s="95"/>
      <c r="CXU264" s="95"/>
      <c r="CXV264" s="95"/>
      <c r="CXW264" s="95"/>
      <c r="CXX264" s="95"/>
      <c r="CXY264" s="95"/>
      <c r="CXZ264" s="95"/>
      <c r="CYA264" s="95"/>
      <c r="CYB264" s="95"/>
      <c r="CYC264" s="95"/>
      <c r="CYD264" s="95"/>
      <c r="CYE264" s="95"/>
      <c r="CYF264" s="95"/>
      <c r="CYG264" s="95"/>
      <c r="CYH264" s="95"/>
      <c r="CYI264" s="95"/>
      <c r="CYJ264" s="95"/>
      <c r="CYK264" s="95"/>
      <c r="CYL264" s="95"/>
      <c r="CYM264" s="95"/>
      <c r="CYN264" s="95"/>
      <c r="CYO264" s="95"/>
      <c r="CYP264" s="95"/>
      <c r="CYQ264" s="95"/>
      <c r="CYR264" s="95"/>
      <c r="CYS264" s="95"/>
      <c r="CYT264" s="95"/>
      <c r="CYU264" s="95"/>
      <c r="CYV264" s="95"/>
      <c r="CYW264" s="95"/>
      <c r="CYX264" s="95"/>
      <c r="CYY264" s="95"/>
      <c r="CYZ264" s="95"/>
      <c r="CZA264" s="95"/>
      <c r="CZB264" s="95"/>
      <c r="CZC264" s="95"/>
      <c r="CZD264" s="95"/>
      <c r="CZE264" s="95"/>
      <c r="CZF264" s="95"/>
      <c r="CZG264" s="95"/>
      <c r="CZH264" s="95"/>
      <c r="CZI264" s="95"/>
      <c r="CZJ264" s="95"/>
      <c r="CZK264" s="95"/>
      <c r="CZL264" s="95"/>
      <c r="CZM264" s="95"/>
      <c r="CZN264" s="95"/>
      <c r="CZO264" s="95"/>
      <c r="CZP264" s="95"/>
      <c r="CZQ264" s="95"/>
      <c r="CZR264" s="95"/>
      <c r="CZS264" s="95"/>
      <c r="CZT264" s="95"/>
      <c r="CZU264" s="95"/>
      <c r="CZV264" s="95"/>
      <c r="CZW264" s="95"/>
      <c r="CZX264" s="95"/>
      <c r="CZY264" s="95"/>
      <c r="CZZ264" s="95"/>
      <c r="DAA264" s="95"/>
      <c r="DAB264" s="95"/>
      <c r="DAC264" s="95"/>
      <c r="DAD264" s="95"/>
      <c r="DAE264" s="95"/>
      <c r="DAF264" s="95"/>
      <c r="DAG264" s="95"/>
      <c r="DAH264" s="95"/>
      <c r="DAI264" s="95"/>
      <c r="DAJ264" s="95"/>
      <c r="DAK264" s="95"/>
      <c r="DAL264" s="95"/>
      <c r="DAM264" s="95"/>
      <c r="DAN264" s="95"/>
      <c r="DAO264" s="95"/>
      <c r="DAP264" s="95"/>
      <c r="DAQ264" s="95"/>
      <c r="DAR264" s="95"/>
      <c r="DAS264" s="95"/>
      <c r="DAT264" s="95"/>
      <c r="DAU264" s="95"/>
      <c r="DAV264" s="95"/>
      <c r="DAW264" s="95"/>
      <c r="DAX264" s="95"/>
      <c r="DAY264" s="95"/>
      <c r="DAZ264" s="95"/>
      <c r="DBA264" s="95"/>
      <c r="DBB264" s="95"/>
      <c r="DBC264" s="95"/>
      <c r="DBD264" s="95"/>
      <c r="DBE264" s="95"/>
      <c r="DBF264" s="95"/>
      <c r="DBG264" s="95"/>
      <c r="DBH264" s="95"/>
      <c r="DBI264" s="95"/>
      <c r="DBJ264" s="95"/>
      <c r="DBK264" s="95"/>
      <c r="DBL264" s="95"/>
      <c r="DBM264" s="95"/>
      <c r="DBN264" s="95"/>
      <c r="DBO264" s="95"/>
      <c r="DBP264" s="95"/>
      <c r="DBQ264" s="95"/>
      <c r="DBR264" s="95"/>
      <c r="DBS264" s="95"/>
      <c r="DBT264" s="95"/>
      <c r="DBU264" s="95"/>
      <c r="DBV264" s="95"/>
      <c r="DBW264" s="95"/>
      <c r="DBX264" s="95"/>
      <c r="DBY264" s="95"/>
      <c r="DBZ264" s="95"/>
      <c r="DCA264" s="95"/>
      <c r="DCB264" s="95"/>
      <c r="DCC264" s="95"/>
      <c r="DCD264" s="95"/>
      <c r="DCE264" s="95"/>
      <c r="DCF264" s="95"/>
      <c r="DCG264" s="95"/>
      <c r="DCH264" s="95"/>
      <c r="DCI264" s="95"/>
      <c r="DCJ264" s="95"/>
      <c r="DCK264" s="95"/>
      <c r="DCL264" s="95"/>
      <c r="DCM264" s="95"/>
      <c r="DCN264" s="95"/>
      <c r="DCO264" s="95"/>
      <c r="DCP264" s="95"/>
      <c r="DCQ264" s="95"/>
      <c r="DCR264" s="95"/>
      <c r="DCS264" s="95"/>
      <c r="DCT264" s="95"/>
      <c r="DCU264" s="95"/>
      <c r="DCV264" s="95"/>
      <c r="DCW264" s="95"/>
      <c r="DCX264" s="95"/>
      <c r="DCY264" s="95"/>
      <c r="DCZ264" s="95"/>
      <c r="DDA264" s="95"/>
      <c r="DDB264" s="95"/>
      <c r="DDC264" s="95"/>
      <c r="DDD264" s="95"/>
      <c r="DDE264" s="95"/>
      <c r="DDF264" s="95"/>
      <c r="DDG264" s="95"/>
      <c r="DDH264" s="95"/>
      <c r="DDI264" s="95"/>
      <c r="DDJ264" s="95"/>
      <c r="DDK264" s="95"/>
      <c r="DDL264" s="95"/>
      <c r="DDM264" s="95"/>
      <c r="DDN264" s="95"/>
      <c r="DDO264" s="95"/>
      <c r="DDP264" s="95"/>
      <c r="DDQ264" s="95"/>
      <c r="DDR264" s="95"/>
      <c r="DDS264" s="95"/>
      <c r="DDT264" s="95"/>
      <c r="DDU264" s="95"/>
      <c r="DDV264" s="95"/>
      <c r="DDW264" s="95"/>
      <c r="DDX264" s="95"/>
      <c r="DDY264" s="95"/>
      <c r="DDZ264" s="95"/>
      <c r="DEA264" s="95"/>
      <c r="DEB264" s="95"/>
      <c r="DEC264" s="95"/>
      <c r="DED264" s="95"/>
      <c r="DEE264" s="95"/>
      <c r="DEF264" s="95"/>
      <c r="DEG264" s="95"/>
      <c r="DEH264" s="95"/>
      <c r="DEI264" s="95"/>
      <c r="DEJ264" s="95"/>
      <c r="DEK264" s="95"/>
      <c r="DEL264" s="95"/>
      <c r="DEM264" s="95"/>
      <c r="DEN264" s="95"/>
      <c r="DEO264" s="95"/>
      <c r="DEP264" s="95"/>
      <c r="DEQ264" s="95"/>
      <c r="DER264" s="95"/>
      <c r="DES264" s="95"/>
      <c r="DET264" s="95"/>
      <c r="DEU264" s="95"/>
      <c r="DEV264" s="95"/>
      <c r="DEW264" s="95"/>
      <c r="DEX264" s="95"/>
      <c r="DEY264" s="95"/>
      <c r="DEZ264" s="95"/>
      <c r="DFA264" s="95"/>
      <c r="DFB264" s="95"/>
      <c r="DFC264" s="95"/>
      <c r="DFD264" s="95"/>
      <c r="DFE264" s="95"/>
      <c r="DFF264" s="95"/>
      <c r="DFG264" s="95"/>
      <c r="DFH264" s="95"/>
      <c r="DFI264" s="95"/>
      <c r="DFJ264" s="95"/>
      <c r="DFK264" s="95"/>
      <c r="DFL264" s="95"/>
      <c r="DFM264" s="95"/>
      <c r="DFN264" s="95"/>
      <c r="DFO264" s="95"/>
      <c r="DFP264" s="95"/>
      <c r="DFQ264" s="95"/>
      <c r="DFR264" s="95"/>
      <c r="DFS264" s="95"/>
      <c r="DFT264" s="95"/>
      <c r="DFU264" s="95"/>
      <c r="DFV264" s="95"/>
      <c r="DFW264" s="95"/>
      <c r="DFX264" s="95"/>
      <c r="DFY264" s="95"/>
      <c r="DFZ264" s="95"/>
      <c r="DGA264" s="95"/>
      <c r="DGB264" s="95"/>
      <c r="DGC264" s="95"/>
      <c r="DGD264" s="95"/>
      <c r="DGE264" s="95"/>
      <c r="DGF264" s="95"/>
      <c r="DGG264" s="95"/>
      <c r="DGH264" s="95"/>
      <c r="DGI264" s="95"/>
      <c r="DGJ264" s="95"/>
      <c r="DGK264" s="95"/>
      <c r="DGL264" s="95"/>
      <c r="DGM264" s="95"/>
      <c r="DGN264" s="95"/>
      <c r="DGO264" s="95"/>
      <c r="DGP264" s="95"/>
      <c r="DGQ264" s="95"/>
      <c r="DGR264" s="95"/>
      <c r="DGS264" s="95"/>
      <c r="DGT264" s="95"/>
      <c r="DGU264" s="95"/>
      <c r="DGV264" s="95"/>
      <c r="DGW264" s="95"/>
      <c r="DGX264" s="95"/>
      <c r="DGY264" s="95"/>
      <c r="DGZ264" s="95"/>
      <c r="DHA264" s="95"/>
      <c r="DHB264" s="95"/>
      <c r="DHC264" s="95"/>
      <c r="DHD264" s="95"/>
      <c r="DHE264" s="95"/>
      <c r="DHF264" s="95"/>
      <c r="DHG264" s="95"/>
      <c r="DHH264" s="95"/>
      <c r="DHI264" s="95"/>
      <c r="DHJ264" s="95"/>
      <c r="DHK264" s="95"/>
      <c r="DHL264" s="95"/>
      <c r="DHM264" s="95"/>
      <c r="DHN264" s="95"/>
      <c r="DHO264" s="95"/>
      <c r="DHP264" s="95"/>
      <c r="DHQ264" s="95"/>
      <c r="DHR264" s="95"/>
      <c r="DHS264" s="95"/>
      <c r="DHT264" s="95"/>
      <c r="DHU264" s="95"/>
      <c r="DHV264" s="95"/>
      <c r="DHW264" s="95"/>
      <c r="DHX264" s="95"/>
      <c r="DHY264" s="95"/>
      <c r="DHZ264" s="95"/>
      <c r="DIA264" s="95"/>
      <c r="DIB264" s="95"/>
      <c r="DIC264" s="95"/>
      <c r="DID264" s="95"/>
      <c r="DIE264" s="95"/>
      <c r="DIF264" s="95"/>
      <c r="DIG264" s="95"/>
      <c r="DIH264" s="95"/>
      <c r="DII264" s="95"/>
      <c r="DIJ264" s="95"/>
      <c r="DIK264" s="95"/>
      <c r="DIL264" s="95"/>
      <c r="DIM264" s="95"/>
      <c r="DIN264" s="95"/>
      <c r="DIO264" s="95"/>
      <c r="DIP264" s="95"/>
      <c r="DIQ264" s="95"/>
      <c r="DIR264" s="95"/>
      <c r="DIS264" s="95"/>
      <c r="DIT264" s="95"/>
      <c r="DIU264" s="95"/>
      <c r="DIV264" s="95"/>
      <c r="DIW264" s="95"/>
      <c r="DIX264" s="95"/>
      <c r="DIY264" s="95"/>
      <c r="DIZ264" s="95"/>
      <c r="DJA264" s="95"/>
      <c r="DJB264" s="95"/>
      <c r="DJC264" s="95"/>
      <c r="DJD264" s="95"/>
      <c r="DJE264" s="95"/>
      <c r="DJF264" s="95"/>
      <c r="DJG264" s="95"/>
      <c r="DJH264" s="95"/>
      <c r="DJI264" s="95"/>
      <c r="DJJ264" s="95"/>
      <c r="DJK264" s="95"/>
      <c r="DJL264" s="95"/>
      <c r="DJM264" s="95"/>
      <c r="DJN264" s="95"/>
      <c r="DJO264" s="95"/>
      <c r="DJP264" s="95"/>
      <c r="DJQ264" s="95"/>
      <c r="DJR264" s="95"/>
      <c r="DJS264" s="95"/>
      <c r="DJT264" s="95"/>
      <c r="DJU264" s="95"/>
      <c r="DJV264" s="95"/>
      <c r="DJW264" s="95"/>
      <c r="DJX264" s="95"/>
      <c r="DJY264" s="95"/>
      <c r="DJZ264" s="95"/>
      <c r="DKA264" s="95"/>
      <c r="DKB264" s="95"/>
      <c r="DKC264" s="95"/>
      <c r="DKD264" s="95"/>
      <c r="DKE264" s="95"/>
      <c r="DKF264" s="95"/>
      <c r="DKG264" s="95"/>
      <c r="DKH264" s="95"/>
      <c r="DKI264" s="95"/>
      <c r="DKJ264" s="95"/>
      <c r="DKK264" s="95"/>
      <c r="DKL264" s="95"/>
      <c r="DKM264" s="95"/>
      <c r="DKN264" s="95"/>
      <c r="DKO264" s="95"/>
      <c r="DKP264" s="95"/>
      <c r="DKQ264" s="95"/>
      <c r="DKR264" s="95"/>
      <c r="DKS264" s="95"/>
      <c r="DKT264" s="95"/>
      <c r="DKU264" s="95"/>
      <c r="DKV264" s="95"/>
      <c r="DKW264" s="95"/>
      <c r="DKX264" s="95"/>
      <c r="DKY264" s="95"/>
      <c r="DKZ264" s="95"/>
      <c r="DLA264" s="95"/>
      <c r="DLB264" s="95"/>
      <c r="DLC264" s="95"/>
      <c r="DLD264" s="95"/>
      <c r="DLE264" s="95"/>
      <c r="DLF264" s="95"/>
      <c r="DLG264" s="95"/>
      <c r="DLH264" s="95"/>
      <c r="DLI264" s="95"/>
      <c r="DLJ264" s="95"/>
      <c r="DLK264" s="95"/>
      <c r="DLL264" s="95"/>
      <c r="DLM264" s="95"/>
      <c r="DLN264" s="95"/>
      <c r="DLO264" s="95"/>
      <c r="DLP264" s="95"/>
      <c r="DLQ264" s="95"/>
      <c r="DLR264" s="95"/>
      <c r="DLS264" s="95"/>
      <c r="DLT264" s="95"/>
      <c r="DLU264" s="95"/>
      <c r="DLV264" s="95"/>
      <c r="DLW264" s="95"/>
      <c r="DLX264" s="95"/>
      <c r="DLY264" s="95"/>
      <c r="DLZ264" s="95"/>
      <c r="DMA264" s="95"/>
      <c r="DMB264" s="95"/>
      <c r="DMC264" s="95"/>
      <c r="DMD264" s="95"/>
      <c r="DME264" s="95"/>
      <c r="DMF264" s="95"/>
      <c r="DMG264" s="95"/>
      <c r="DMH264" s="95"/>
      <c r="DMI264" s="95"/>
      <c r="DMJ264" s="95"/>
      <c r="DMK264" s="95"/>
      <c r="DML264" s="95"/>
      <c r="DMM264" s="95"/>
      <c r="DMN264" s="95"/>
      <c r="DMO264" s="95"/>
      <c r="DMP264" s="95"/>
      <c r="DMQ264" s="95"/>
      <c r="DMR264" s="95"/>
      <c r="DMS264" s="95"/>
      <c r="DMT264" s="95"/>
      <c r="DMU264" s="95"/>
      <c r="DMV264" s="95"/>
      <c r="DMW264" s="95"/>
      <c r="DMX264" s="95"/>
      <c r="DMY264" s="95"/>
      <c r="DMZ264" s="95"/>
      <c r="DNA264" s="95"/>
      <c r="DNB264" s="95"/>
      <c r="DNC264" s="95"/>
      <c r="DND264" s="95"/>
      <c r="DNE264" s="95"/>
      <c r="DNF264" s="95"/>
      <c r="DNG264" s="95"/>
      <c r="DNH264" s="95"/>
      <c r="DNI264" s="95"/>
      <c r="DNJ264" s="95"/>
      <c r="DNK264" s="95"/>
      <c r="DNL264" s="95"/>
      <c r="DNM264" s="95"/>
      <c r="DNN264" s="95"/>
      <c r="DNO264" s="95"/>
      <c r="DNP264" s="95"/>
      <c r="DNQ264" s="95"/>
      <c r="DNR264" s="95"/>
      <c r="DNS264" s="95"/>
      <c r="DNT264" s="95"/>
      <c r="DNU264" s="95"/>
      <c r="DNV264" s="95"/>
      <c r="DNW264" s="95"/>
      <c r="DNX264" s="95"/>
      <c r="DNY264" s="95"/>
      <c r="DNZ264" s="95"/>
      <c r="DOA264" s="95"/>
      <c r="DOB264" s="95"/>
      <c r="DOC264" s="95"/>
      <c r="DOD264" s="95"/>
      <c r="DOE264" s="95"/>
      <c r="DOF264" s="95"/>
      <c r="DOG264" s="95"/>
      <c r="DOH264" s="95"/>
      <c r="DOI264" s="95"/>
      <c r="DOJ264" s="95"/>
      <c r="DOK264" s="95"/>
      <c r="DOL264" s="95"/>
      <c r="DOM264" s="95"/>
      <c r="DON264" s="95"/>
      <c r="DOO264" s="95"/>
      <c r="DOP264" s="95"/>
      <c r="DOQ264" s="95"/>
      <c r="DOR264" s="95"/>
      <c r="DOS264" s="95"/>
      <c r="DOT264" s="95"/>
      <c r="DOU264" s="95"/>
      <c r="DOV264" s="95"/>
      <c r="DOW264" s="95"/>
      <c r="DOX264" s="95"/>
      <c r="DOY264" s="95"/>
      <c r="DOZ264" s="95"/>
      <c r="DPA264" s="95"/>
      <c r="DPB264" s="95"/>
      <c r="DPC264" s="95"/>
      <c r="DPD264" s="95"/>
      <c r="DPE264" s="95"/>
      <c r="DPF264" s="95"/>
      <c r="DPG264" s="95"/>
      <c r="DPH264" s="95"/>
      <c r="DPI264" s="95"/>
      <c r="DPJ264" s="95"/>
      <c r="DPK264" s="95"/>
      <c r="DPL264" s="95"/>
      <c r="DPM264" s="95"/>
      <c r="DPN264" s="95"/>
      <c r="DPO264" s="95"/>
      <c r="DPP264" s="95"/>
      <c r="DPQ264" s="95"/>
      <c r="DPR264" s="95"/>
      <c r="DPS264" s="95"/>
      <c r="DPT264" s="95"/>
      <c r="DPU264" s="95"/>
      <c r="DPV264" s="95"/>
      <c r="DPW264" s="95"/>
      <c r="DPX264" s="95"/>
      <c r="DPY264" s="95"/>
      <c r="DPZ264" s="95"/>
      <c r="DQA264" s="95"/>
      <c r="DQB264" s="95"/>
      <c r="DQC264" s="95"/>
      <c r="DQD264" s="95"/>
      <c r="DQE264" s="95"/>
      <c r="DQF264" s="95"/>
      <c r="DQG264" s="95"/>
      <c r="DQH264" s="95"/>
      <c r="DQI264" s="95"/>
      <c r="DQJ264" s="95"/>
      <c r="DQK264" s="95"/>
      <c r="DQL264" s="95"/>
      <c r="DQM264" s="95"/>
      <c r="DQN264" s="95"/>
      <c r="DQO264" s="95"/>
      <c r="DQP264" s="95"/>
      <c r="DQQ264" s="95"/>
      <c r="DQR264" s="95"/>
      <c r="DQS264" s="95"/>
      <c r="DQT264" s="95"/>
      <c r="DQU264" s="95"/>
      <c r="DQV264" s="95"/>
      <c r="DQW264" s="95"/>
      <c r="DQX264" s="95"/>
      <c r="DQY264" s="95"/>
      <c r="DQZ264" s="95"/>
      <c r="DRA264" s="95"/>
      <c r="DRB264" s="95"/>
      <c r="DRC264" s="95"/>
      <c r="DRD264" s="95"/>
      <c r="DRE264" s="95"/>
      <c r="DRF264" s="95"/>
      <c r="DRG264" s="95"/>
      <c r="DRH264" s="95"/>
      <c r="DRI264" s="95"/>
      <c r="DRJ264" s="95"/>
      <c r="DRK264" s="95"/>
      <c r="DRL264" s="95"/>
      <c r="DRM264" s="95"/>
      <c r="DRN264" s="95"/>
      <c r="DRO264" s="95"/>
      <c r="DRP264" s="95"/>
      <c r="DRQ264" s="95"/>
      <c r="DRR264" s="95"/>
      <c r="DRS264" s="95"/>
      <c r="DRT264" s="95"/>
      <c r="DRU264" s="95"/>
      <c r="DRV264" s="95"/>
      <c r="DRW264" s="95"/>
      <c r="DRX264" s="95"/>
      <c r="DRY264" s="95"/>
      <c r="DRZ264" s="95"/>
      <c r="DSA264" s="95"/>
      <c r="DSB264" s="95"/>
      <c r="DSC264" s="95"/>
      <c r="DSD264" s="95"/>
      <c r="DSE264" s="95"/>
      <c r="DSF264" s="95"/>
      <c r="DSG264" s="95"/>
      <c r="DSH264" s="95"/>
      <c r="DSI264" s="95"/>
      <c r="DSJ264" s="95"/>
      <c r="DSK264" s="95"/>
      <c r="DSL264" s="95"/>
      <c r="DSM264" s="95"/>
      <c r="DSN264" s="95"/>
      <c r="DSO264" s="95"/>
      <c r="DSP264" s="95"/>
      <c r="DSQ264" s="95"/>
      <c r="DSR264" s="95"/>
      <c r="DSS264" s="95"/>
      <c r="DST264" s="95"/>
      <c r="DSU264" s="95"/>
      <c r="DSV264" s="95"/>
      <c r="DSW264" s="95"/>
      <c r="DSX264" s="95"/>
      <c r="DSY264" s="95"/>
      <c r="DSZ264" s="95"/>
      <c r="DTA264" s="95"/>
      <c r="DTB264" s="95"/>
      <c r="DTC264" s="95"/>
      <c r="DTD264" s="95"/>
      <c r="DTE264" s="95"/>
      <c r="DTF264" s="95"/>
      <c r="DTG264" s="95"/>
      <c r="DTH264" s="95"/>
      <c r="DTI264" s="95"/>
      <c r="DTJ264" s="95"/>
      <c r="DTK264" s="95"/>
      <c r="DTL264" s="95"/>
      <c r="DTM264" s="95"/>
      <c r="DTN264" s="95"/>
      <c r="DTO264" s="95"/>
      <c r="DTP264" s="95"/>
      <c r="DTQ264" s="95"/>
      <c r="DTR264" s="95"/>
      <c r="DTS264" s="95"/>
      <c r="DTT264" s="95"/>
      <c r="DTU264" s="95"/>
      <c r="DTV264" s="95"/>
      <c r="DTW264" s="95"/>
      <c r="DTX264" s="95"/>
      <c r="DTY264" s="95"/>
      <c r="DTZ264" s="95"/>
      <c r="DUA264" s="95"/>
      <c r="DUB264" s="95"/>
      <c r="DUC264" s="95"/>
      <c r="DUD264" s="95"/>
      <c r="DUE264" s="95"/>
      <c r="DUF264" s="95"/>
      <c r="DUG264" s="95"/>
      <c r="DUH264" s="95"/>
      <c r="DUI264" s="95"/>
      <c r="DUJ264" s="95"/>
      <c r="DUK264" s="95"/>
      <c r="DUL264" s="95"/>
      <c r="DUM264" s="95"/>
      <c r="DUN264" s="95"/>
      <c r="DUO264" s="95"/>
      <c r="DUP264" s="95"/>
      <c r="DUQ264" s="95"/>
      <c r="DUR264" s="95"/>
      <c r="DUS264" s="95"/>
      <c r="DUT264" s="95"/>
      <c r="DUU264" s="95"/>
      <c r="DUV264" s="95"/>
      <c r="DUW264" s="95"/>
      <c r="DUX264" s="95"/>
      <c r="DUY264" s="95"/>
      <c r="DUZ264" s="95"/>
      <c r="DVA264" s="95"/>
      <c r="DVB264" s="95"/>
      <c r="DVC264" s="95"/>
      <c r="DVD264" s="95"/>
      <c r="DVE264" s="95"/>
      <c r="DVF264" s="95"/>
      <c r="DVG264" s="95"/>
      <c r="DVH264" s="95"/>
      <c r="DVI264" s="95"/>
      <c r="DVJ264" s="95"/>
      <c r="DVK264" s="95"/>
      <c r="DVL264" s="95"/>
      <c r="DVM264" s="95"/>
      <c r="DVN264" s="95"/>
      <c r="DVO264" s="95"/>
      <c r="DVP264" s="95"/>
      <c r="DVQ264" s="95"/>
      <c r="DVR264" s="95"/>
      <c r="DVS264" s="95"/>
      <c r="DVT264" s="95"/>
      <c r="DVU264" s="95"/>
      <c r="DVV264" s="95"/>
      <c r="DVW264" s="95"/>
      <c r="DVX264" s="95"/>
      <c r="DVY264" s="95"/>
      <c r="DVZ264" s="95"/>
      <c r="DWA264" s="95"/>
      <c r="DWB264" s="95"/>
      <c r="DWC264" s="95"/>
      <c r="DWD264" s="95"/>
      <c r="DWE264" s="95"/>
      <c r="DWF264" s="95"/>
      <c r="DWG264" s="95"/>
      <c r="DWH264" s="95"/>
      <c r="DWI264" s="95"/>
      <c r="DWJ264" s="95"/>
      <c r="DWK264" s="95"/>
      <c r="DWL264" s="95"/>
      <c r="DWM264" s="95"/>
      <c r="DWN264" s="95"/>
      <c r="DWO264" s="95"/>
      <c r="DWP264" s="95"/>
      <c r="DWQ264" s="95"/>
      <c r="DWR264" s="95"/>
      <c r="DWS264" s="95"/>
      <c r="DWT264" s="95"/>
      <c r="DWU264" s="95"/>
      <c r="DWV264" s="95"/>
      <c r="DWW264" s="95"/>
      <c r="DWX264" s="95"/>
      <c r="DWY264" s="95"/>
      <c r="DWZ264" s="95"/>
      <c r="DXA264" s="95"/>
      <c r="DXB264" s="95"/>
      <c r="DXC264" s="95"/>
      <c r="DXD264" s="95"/>
      <c r="DXE264" s="95"/>
      <c r="DXF264" s="95"/>
      <c r="DXG264" s="95"/>
      <c r="DXH264" s="95"/>
      <c r="DXI264" s="95"/>
      <c r="DXJ264" s="95"/>
      <c r="DXK264" s="95"/>
      <c r="DXL264" s="95"/>
      <c r="DXM264" s="95"/>
      <c r="DXN264" s="95"/>
      <c r="DXO264" s="95"/>
      <c r="DXP264" s="95"/>
      <c r="DXQ264" s="95"/>
      <c r="DXR264" s="95"/>
      <c r="DXS264" s="95"/>
      <c r="DXT264" s="95"/>
      <c r="DXU264" s="95"/>
      <c r="DXV264" s="95"/>
      <c r="DXW264" s="95"/>
      <c r="DXX264" s="95"/>
      <c r="DXY264" s="95"/>
      <c r="DXZ264" s="95"/>
      <c r="DYA264" s="95"/>
      <c r="DYB264" s="95"/>
      <c r="DYC264" s="95"/>
      <c r="DYD264" s="95"/>
      <c r="DYE264" s="95"/>
      <c r="DYF264" s="95"/>
      <c r="DYG264" s="95"/>
      <c r="DYH264" s="95"/>
      <c r="DYI264" s="95"/>
      <c r="DYJ264" s="95"/>
      <c r="DYK264" s="95"/>
      <c r="DYL264" s="95"/>
      <c r="DYM264" s="95"/>
      <c r="DYN264" s="95"/>
      <c r="DYO264" s="95"/>
      <c r="DYP264" s="95"/>
      <c r="DYQ264" s="95"/>
      <c r="DYR264" s="95"/>
      <c r="DYS264" s="95"/>
      <c r="DYT264" s="95"/>
      <c r="DYU264" s="95"/>
      <c r="DYV264" s="95"/>
      <c r="DYW264" s="95"/>
      <c r="DYX264" s="95"/>
      <c r="DYY264" s="95"/>
      <c r="DYZ264" s="95"/>
      <c r="DZA264" s="95"/>
      <c r="DZB264" s="95"/>
      <c r="DZC264" s="95"/>
      <c r="DZD264" s="95"/>
      <c r="DZE264" s="95"/>
      <c r="DZF264" s="95"/>
      <c r="DZG264" s="95"/>
      <c r="DZH264" s="95"/>
      <c r="DZI264" s="95"/>
      <c r="DZJ264" s="95"/>
      <c r="DZK264" s="95"/>
      <c r="DZL264" s="95"/>
      <c r="DZM264" s="95"/>
      <c r="DZN264" s="95"/>
      <c r="DZO264" s="95"/>
      <c r="DZP264" s="95"/>
      <c r="DZQ264" s="95"/>
      <c r="DZR264" s="95"/>
      <c r="DZS264" s="95"/>
      <c r="DZT264" s="95"/>
      <c r="DZU264" s="95"/>
      <c r="DZV264" s="95"/>
      <c r="DZW264" s="95"/>
      <c r="DZX264" s="95"/>
      <c r="DZY264" s="95"/>
      <c r="DZZ264" s="95"/>
      <c r="EAA264" s="95"/>
      <c r="EAB264" s="95"/>
      <c r="EAC264" s="95"/>
      <c r="EAD264" s="95"/>
      <c r="EAE264" s="95"/>
      <c r="EAF264" s="95"/>
      <c r="EAG264" s="95"/>
      <c r="EAH264" s="95"/>
      <c r="EAI264" s="95"/>
      <c r="EAJ264" s="95"/>
      <c r="EAK264" s="95"/>
      <c r="EAL264" s="95"/>
      <c r="EAM264" s="95"/>
      <c r="EAN264" s="95"/>
      <c r="EAO264" s="95"/>
      <c r="EAP264" s="95"/>
      <c r="EAQ264" s="95"/>
      <c r="EAR264" s="95"/>
      <c r="EAS264" s="95"/>
      <c r="EAT264" s="95"/>
      <c r="EAU264" s="95"/>
      <c r="EAV264" s="95"/>
      <c r="EAW264" s="95"/>
      <c r="EAX264" s="95"/>
      <c r="EAY264" s="95"/>
      <c r="EAZ264" s="95"/>
      <c r="EBA264" s="95"/>
      <c r="EBB264" s="95"/>
      <c r="EBC264" s="95"/>
      <c r="EBD264" s="95"/>
      <c r="EBE264" s="95"/>
      <c r="EBF264" s="95"/>
      <c r="EBG264" s="95"/>
      <c r="EBH264" s="95"/>
      <c r="EBI264" s="95"/>
      <c r="EBJ264" s="95"/>
      <c r="EBK264" s="95"/>
      <c r="EBL264" s="95"/>
      <c r="EBM264" s="95"/>
      <c r="EBN264" s="95"/>
      <c r="EBO264" s="95"/>
      <c r="EBP264" s="95"/>
      <c r="EBQ264" s="95"/>
      <c r="EBR264" s="95"/>
      <c r="EBS264" s="95"/>
      <c r="EBT264" s="95"/>
      <c r="EBU264" s="95"/>
      <c r="EBV264" s="95"/>
      <c r="EBW264" s="95"/>
      <c r="EBX264" s="95"/>
      <c r="EBY264" s="95"/>
      <c r="EBZ264" s="95"/>
      <c r="ECA264" s="95"/>
      <c r="ECB264" s="95"/>
      <c r="ECC264" s="95"/>
      <c r="ECD264" s="95"/>
      <c r="ECE264" s="95"/>
      <c r="ECF264" s="95"/>
      <c r="ECG264" s="95"/>
      <c r="ECH264" s="95"/>
      <c r="ECI264" s="95"/>
      <c r="ECJ264" s="95"/>
      <c r="ECK264" s="95"/>
      <c r="ECL264" s="95"/>
      <c r="ECM264" s="95"/>
      <c r="ECN264" s="95"/>
      <c r="ECO264" s="95"/>
      <c r="ECP264" s="95"/>
      <c r="ECQ264" s="95"/>
      <c r="ECR264" s="95"/>
      <c r="ECS264" s="95"/>
      <c r="ECT264" s="95"/>
      <c r="ECU264" s="95"/>
      <c r="ECV264" s="95"/>
      <c r="ECW264" s="95"/>
      <c r="ECX264" s="95"/>
      <c r="ECY264" s="95"/>
      <c r="ECZ264" s="95"/>
      <c r="EDA264" s="95"/>
      <c r="EDB264" s="95"/>
      <c r="EDC264" s="95"/>
      <c r="EDD264" s="95"/>
      <c r="EDE264" s="95"/>
      <c r="EDF264" s="95"/>
      <c r="EDG264" s="95"/>
      <c r="EDH264" s="95"/>
      <c r="EDI264" s="95"/>
      <c r="EDJ264" s="95"/>
      <c r="EDK264" s="95"/>
      <c r="EDL264" s="95"/>
      <c r="EDM264" s="95"/>
      <c r="EDN264" s="95"/>
      <c r="EDO264" s="95"/>
      <c r="EDP264" s="95"/>
      <c r="EDQ264" s="95"/>
      <c r="EDR264" s="95"/>
      <c r="EDS264" s="95"/>
      <c r="EDT264" s="95"/>
      <c r="EDU264" s="95"/>
      <c r="EDV264" s="95"/>
      <c r="EDW264" s="95"/>
      <c r="EDX264" s="95"/>
      <c r="EDY264" s="95"/>
      <c r="EDZ264" s="95"/>
      <c r="EEA264" s="95"/>
      <c r="EEB264" s="95"/>
      <c r="EEC264" s="95"/>
      <c r="EED264" s="95"/>
      <c r="EEE264" s="95"/>
      <c r="EEF264" s="95"/>
      <c r="EEG264" s="95"/>
      <c r="EEH264" s="95"/>
      <c r="EEI264" s="95"/>
      <c r="EEJ264" s="95"/>
      <c r="EEK264" s="95"/>
      <c r="EEL264" s="95"/>
      <c r="EEM264" s="95"/>
      <c r="EEN264" s="95"/>
      <c r="EEO264" s="95"/>
      <c r="EEP264" s="95"/>
      <c r="EEQ264" s="95"/>
      <c r="EER264" s="95"/>
      <c r="EES264" s="95"/>
      <c r="EET264" s="95"/>
      <c r="EEU264" s="95"/>
      <c r="EEV264" s="95"/>
      <c r="EEW264" s="95"/>
      <c r="EEX264" s="95"/>
      <c r="EEY264" s="95"/>
      <c r="EEZ264" s="95"/>
      <c r="EFA264" s="95"/>
      <c r="EFB264" s="95"/>
      <c r="EFC264" s="95"/>
      <c r="EFD264" s="95"/>
      <c r="EFE264" s="95"/>
      <c r="EFF264" s="95"/>
      <c r="EFG264" s="95"/>
      <c r="EFH264" s="95"/>
      <c r="EFI264" s="95"/>
      <c r="EFJ264" s="95"/>
      <c r="EFK264" s="95"/>
      <c r="EFL264" s="95"/>
      <c r="EFM264" s="95"/>
      <c r="EFN264" s="95"/>
      <c r="EFO264" s="95"/>
      <c r="EFP264" s="95"/>
      <c r="EFQ264" s="95"/>
      <c r="EFR264" s="95"/>
      <c r="EFS264" s="95"/>
      <c r="EFT264" s="95"/>
      <c r="EFU264" s="95"/>
      <c r="EFV264" s="95"/>
      <c r="EFW264" s="95"/>
      <c r="EFX264" s="95"/>
      <c r="EFY264" s="95"/>
      <c r="EFZ264" s="95"/>
      <c r="EGA264" s="95"/>
      <c r="EGB264" s="95"/>
      <c r="EGC264" s="95"/>
      <c r="EGD264" s="95"/>
      <c r="EGE264" s="95"/>
      <c r="EGF264" s="95"/>
      <c r="EGG264" s="95"/>
      <c r="EGH264" s="95"/>
      <c r="EGI264" s="95"/>
      <c r="EGJ264" s="95"/>
      <c r="EGK264" s="95"/>
      <c r="EGL264" s="95"/>
      <c r="EGM264" s="95"/>
      <c r="EGN264" s="95"/>
      <c r="EGO264" s="95"/>
      <c r="EGP264" s="95"/>
      <c r="EGQ264" s="95"/>
      <c r="EGR264" s="95"/>
      <c r="EGS264" s="95"/>
      <c r="EGT264" s="95"/>
      <c r="EGU264" s="95"/>
      <c r="EGV264" s="95"/>
      <c r="EGW264" s="95"/>
      <c r="EGX264" s="95"/>
      <c r="EGY264" s="95"/>
      <c r="EGZ264" s="95"/>
      <c r="EHA264" s="95"/>
      <c r="EHB264" s="95"/>
      <c r="EHC264" s="95"/>
      <c r="EHD264" s="95"/>
      <c r="EHE264" s="95"/>
      <c r="EHF264" s="95"/>
      <c r="EHG264" s="95"/>
      <c r="EHH264" s="95"/>
      <c r="EHI264" s="95"/>
      <c r="EHJ264" s="95"/>
      <c r="EHK264" s="95"/>
      <c r="EHL264" s="95"/>
      <c r="EHM264" s="95"/>
      <c r="EHN264" s="95"/>
      <c r="EHO264" s="95"/>
      <c r="EHP264" s="95"/>
      <c r="EHQ264" s="95"/>
      <c r="EHR264" s="95"/>
      <c r="EHS264" s="95"/>
      <c r="EHT264" s="95"/>
      <c r="EHU264" s="95"/>
      <c r="EHV264" s="95"/>
      <c r="EHW264" s="95"/>
      <c r="EHX264" s="95"/>
      <c r="EHY264" s="95"/>
      <c r="EHZ264" s="95"/>
      <c r="EIA264" s="95"/>
      <c r="EIB264" s="95"/>
      <c r="EIC264" s="95"/>
      <c r="EID264" s="95"/>
      <c r="EIE264" s="95"/>
      <c r="EIF264" s="95"/>
      <c r="EIG264" s="95"/>
      <c r="EIH264" s="95"/>
      <c r="EII264" s="95"/>
      <c r="EIJ264" s="95"/>
      <c r="EIK264" s="95"/>
      <c r="EIL264" s="95"/>
      <c r="EIM264" s="95"/>
      <c r="EIN264" s="95"/>
      <c r="EIO264" s="95"/>
      <c r="EIP264" s="95"/>
      <c r="EIQ264" s="95"/>
      <c r="EIR264" s="95"/>
      <c r="EIS264" s="95"/>
      <c r="EIT264" s="95"/>
      <c r="EIU264" s="95"/>
      <c r="EIV264" s="95"/>
      <c r="EIW264" s="95"/>
      <c r="EIX264" s="95"/>
      <c r="EIY264" s="95"/>
      <c r="EIZ264" s="95"/>
      <c r="EJA264" s="95"/>
      <c r="EJB264" s="95"/>
      <c r="EJC264" s="95"/>
      <c r="EJD264" s="95"/>
      <c r="EJE264" s="95"/>
      <c r="EJF264" s="95"/>
      <c r="EJG264" s="95"/>
      <c r="EJH264" s="95"/>
      <c r="EJI264" s="95"/>
      <c r="EJJ264" s="95"/>
      <c r="EJK264" s="95"/>
      <c r="EJL264" s="95"/>
      <c r="EJM264" s="95"/>
      <c r="EJN264" s="95"/>
      <c r="EJO264" s="95"/>
      <c r="EJP264" s="95"/>
      <c r="EJQ264" s="95"/>
      <c r="EJR264" s="95"/>
      <c r="EJS264" s="95"/>
      <c r="EJT264" s="95"/>
      <c r="EJU264" s="95"/>
      <c r="EJV264" s="95"/>
      <c r="EJW264" s="95"/>
      <c r="EJX264" s="95"/>
      <c r="EJY264" s="95"/>
      <c r="EJZ264" s="95"/>
      <c r="EKA264" s="95"/>
      <c r="EKB264" s="95"/>
      <c r="EKC264" s="95"/>
      <c r="EKD264" s="95"/>
      <c r="EKE264" s="95"/>
      <c r="EKF264" s="95"/>
      <c r="EKG264" s="95"/>
      <c r="EKH264" s="95"/>
      <c r="EKI264" s="95"/>
      <c r="EKJ264" s="95"/>
      <c r="EKK264" s="95"/>
      <c r="EKL264" s="95"/>
      <c r="EKM264" s="95"/>
      <c r="EKN264" s="95"/>
      <c r="EKO264" s="95"/>
      <c r="EKP264" s="95"/>
      <c r="EKQ264" s="95"/>
      <c r="EKR264" s="95"/>
      <c r="EKS264" s="95"/>
      <c r="EKT264" s="95"/>
      <c r="EKU264" s="95"/>
      <c r="EKV264" s="95"/>
      <c r="EKW264" s="95"/>
      <c r="EKX264" s="95"/>
      <c r="EKY264" s="95"/>
      <c r="EKZ264" s="95"/>
      <c r="ELA264" s="95"/>
      <c r="ELB264" s="95"/>
      <c r="ELC264" s="95"/>
      <c r="ELD264" s="95"/>
      <c r="ELE264" s="95"/>
      <c r="ELF264" s="95"/>
      <c r="ELG264" s="95"/>
      <c r="ELH264" s="95"/>
      <c r="ELI264" s="95"/>
      <c r="ELJ264" s="95"/>
      <c r="ELK264" s="95"/>
      <c r="ELL264" s="95"/>
      <c r="ELM264" s="95"/>
      <c r="ELN264" s="95"/>
      <c r="ELO264" s="95"/>
      <c r="ELP264" s="95"/>
      <c r="ELQ264" s="95"/>
      <c r="ELR264" s="95"/>
      <c r="ELS264" s="95"/>
      <c r="ELT264" s="95"/>
      <c r="ELU264" s="95"/>
      <c r="ELV264" s="95"/>
      <c r="ELW264" s="95"/>
      <c r="ELX264" s="95"/>
      <c r="ELY264" s="95"/>
      <c r="ELZ264" s="95"/>
      <c r="EMA264" s="95"/>
      <c r="EMB264" s="95"/>
      <c r="EMC264" s="95"/>
      <c r="EMD264" s="95"/>
      <c r="EME264" s="95"/>
      <c r="EMF264" s="95"/>
      <c r="EMG264" s="95"/>
      <c r="EMH264" s="95"/>
      <c r="EMI264" s="95"/>
      <c r="EMJ264" s="95"/>
      <c r="EMK264" s="95"/>
      <c r="EML264" s="95"/>
      <c r="EMM264" s="95"/>
      <c r="EMN264" s="95"/>
      <c r="EMO264" s="95"/>
      <c r="EMP264" s="95"/>
      <c r="EMQ264" s="95"/>
      <c r="EMR264" s="95"/>
      <c r="EMS264" s="95"/>
      <c r="EMT264" s="95"/>
      <c r="EMU264" s="95"/>
      <c r="EMV264" s="95"/>
      <c r="EMW264" s="95"/>
      <c r="EMX264" s="95"/>
      <c r="EMY264" s="95"/>
      <c r="EMZ264" s="95"/>
      <c r="ENA264" s="95"/>
      <c r="ENB264" s="95"/>
      <c r="ENC264" s="95"/>
      <c r="END264" s="95"/>
      <c r="ENE264" s="95"/>
      <c r="ENF264" s="95"/>
      <c r="ENG264" s="95"/>
      <c r="ENH264" s="95"/>
      <c r="ENI264" s="95"/>
      <c r="ENJ264" s="95"/>
      <c r="ENK264" s="95"/>
      <c r="ENL264" s="95"/>
      <c r="ENM264" s="95"/>
      <c r="ENN264" s="95"/>
      <c r="ENO264" s="95"/>
      <c r="ENP264" s="95"/>
      <c r="ENQ264" s="95"/>
      <c r="ENR264" s="95"/>
      <c r="ENS264" s="95"/>
      <c r="ENT264" s="95"/>
      <c r="ENU264" s="95"/>
      <c r="ENV264" s="95"/>
      <c r="ENW264" s="95"/>
      <c r="ENX264" s="95"/>
      <c r="ENY264" s="95"/>
      <c r="ENZ264" s="95"/>
      <c r="EOA264" s="95"/>
      <c r="EOB264" s="95"/>
      <c r="EOC264" s="95"/>
      <c r="EOD264" s="95"/>
      <c r="EOE264" s="95"/>
      <c r="EOF264" s="95"/>
      <c r="EOG264" s="95"/>
      <c r="EOH264" s="95"/>
      <c r="EOI264" s="95"/>
      <c r="EOJ264" s="95"/>
      <c r="EOK264" s="95"/>
      <c r="EOL264" s="95"/>
      <c r="EOM264" s="95"/>
      <c r="EON264" s="95"/>
      <c r="EOO264" s="95"/>
      <c r="EOP264" s="95"/>
      <c r="EOQ264" s="95"/>
      <c r="EOR264" s="95"/>
      <c r="EOS264" s="95"/>
      <c r="EOT264" s="95"/>
      <c r="EOU264" s="95"/>
      <c r="EOV264" s="95"/>
      <c r="EOW264" s="95"/>
      <c r="EOX264" s="95"/>
      <c r="EOY264" s="95"/>
      <c r="EOZ264" s="95"/>
      <c r="EPA264" s="95"/>
      <c r="EPB264" s="95"/>
      <c r="EPC264" s="95"/>
      <c r="EPD264" s="95"/>
      <c r="EPE264" s="95"/>
      <c r="EPF264" s="95"/>
      <c r="EPG264" s="95"/>
      <c r="EPH264" s="95"/>
      <c r="EPI264" s="95"/>
      <c r="EPJ264" s="95"/>
      <c r="EPK264" s="95"/>
      <c r="EPL264" s="95"/>
      <c r="EPM264" s="95"/>
      <c r="EPN264" s="95"/>
      <c r="EPO264" s="95"/>
      <c r="EPP264" s="95"/>
      <c r="EPQ264" s="95"/>
      <c r="EPR264" s="95"/>
      <c r="EPS264" s="95"/>
      <c r="EPT264" s="95"/>
      <c r="EPU264" s="95"/>
      <c r="EPV264" s="95"/>
      <c r="EPW264" s="95"/>
      <c r="EPX264" s="95"/>
      <c r="EPY264" s="95"/>
      <c r="EPZ264" s="95"/>
      <c r="EQA264" s="95"/>
      <c r="EQB264" s="95"/>
      <c r="EQC264" s="95"/>
      <c r="EQD264" s="95"/>
      <c r="EQE264" s="95"/>
      <c r="EQF264" s="95"/>
      <c r="EQG264" s="95"/>
      <c r="EQH264" s="95"/>
      <c r="EQI264" s="95"/>
      <c r="EQJ264" s="95"/>
      <c r="EQK264" s="95"/>
      <c r="EQL264" s="95"/>
      <c r="EQM264" s="95"/>
      <c r="EQN264" s="95"/>
      <c r="EQO264" s="95"/>
      <c r="EQP264" s="95"/>
      <c r="EQQ264" s="95"/>
      <c r="EQR264" s="95"/>
      <c r="EQS264" s="95"/>
      <c r="EQT264" s="95"/>
      <c r="EQU264" s="95"/>
      <c r="EQV264" s="95"/>
      <c r="EQW264" s="95"/>
      <c r="EQX264" s="95"/>
      <c r="EQY264" s="95"/>
      <c r="EQZ264" s="95"/>
      <c r="ERA264" s="95"/>
      <c r="ERB264" s="95"/>
      <c r="ERC264" s="95"/>
      <c r="ERD264" s="95"/>
      <c r="ERE264" s="95"/>
      <c r="ERF264" s="95"/>
      <c r="ERG264" s="95"/>
      <c r="ERH264" s="95"/>
      <c r="ERI264" s="95"/>
      <c r="ERJ264" s="95"/>
      <c r="ERK264" s="95"/>
      <c r="ERL264" s="95"/>
      <c r="ERM264" s="95"/>
      <c r="ERN264" s="95"/>
      <c r="ERO264" s="95"/>
      <c r="ERP264" s="95"/>
      <c r="ERQ264" s="95"/>
      <c r="ERR264" s="95"/>
      <c r="ERS264" s="95"/>
      <c r="ERT264" s="95"/>
      <c r="ERU264" s="95"/>
      <c r="ERV264" s="95"/>
      <c r="ERW264" s="95"/>
      <c r="ERX264" s="95"/>
      <c r="ERY264" s="95"/>
      <c r="ERZ264" s="95"/>
      <c r="ESA264" s="95"/>
      <c r="ESB264" s="95"/>
      <c r="ESC264" s="95"/>
      <c r="ESD264" s="95"/>
      <c r="ESE264" s="95"/>
      <c r="ESF264" s="95"/>
      <c r="ESG264" s="95"/>
      <c r="ESH264" s="95"/>
      <c r="ESI264" s="95"/>
      <c r="ESJ264" s="95"/>
      <c r="ESK264" s="95"/>
      <c r="ESL264" s="95"/>
      <c r="ESM264" s="95"/>
      <c r="ESN264" s="95"/>
      <c r="ESO264" s="95"/>
      <c r="ESP264" s="95"/>
      <c r="ESQ264" s="95"/>
      <c r="ESR264" s="95"/>
      <c r="ESS264" s="95"/>
      <c r="EST264" s="95"/>
      <c r="ESU264" s="95"/>
      <c r="ESV264" s="95"/>
      <c r="ESW264" s="95"/>
      <c r="ESX264" s="95"/>
      <c r="ESY264" s="95"/>
      <c r="ESZ264" s="95"/>
      <c r="ETA264" s="95"/>
      <c r="ETB264" s="95"/>
      <c r="ETC264" s="95"/>
      <c r="ETD264" s="95"/>
      <c r="ETE264" s="95"/>
      <c r="ETF264" s="95"/>
      <c r="ETG264" s="95"/>
      <c r="ETH264" s="95"/>
      <c r="ETI264" s="95"/>
      <c r="ETJ264" s="95"/>
      <c r="ETK264" s="95"/>
      <c r="ETL264" s="95"/>
      <c r="ETM264" s="95"/>
      <c r="ETN264" s="95"/>
      <c r="ETO264" s="95"/>
      <c r="ETP264" s="95"/>
      <c r="ETQ264" s="95"/>
      <c r="ETR264" s="95"/>
      <c r="ETS264" s="95"/>
      <c r="ETT264" s="95"/>
      <c r="ETU264" s="95"/>
      <c r="ETV264" s="95"/>
      <c r="ETW264" s="95"/>
      <c r="ETX264" s="95"/>
      <c r="ETY264" s="95"/>
      <c r="ETZ264" s="95"/>
      <c r="EUA264" s="95"/>
      <c r="EUB264" s="95"/>
      <c r="EUC264" s="95"/>
      <c r="EUD264" s="95"/>
      <c r="EUE264" s="95"/>
      <c r="EUF264" s="95"/>
      <c r="EUG264" s="95"/>
      <c r="EUH264" s="95"/>
      <c r="EUI264" s="95"/>
      <c r="EUJ264" s="95"/>
      <c r="EUK264" s="95"/>
      <c r="EUL264" s="95"/>
      <c r="EUM264" s="95"/>
      <c r="EUN264" s="95"/>
      <c r="EUO264" s="95"/>
      <c r="EUP264" s="95"/>
      <c r="EUQ264" s="95"/>
      <c r="EUR264" s="95"/>
      <c r="EUS264" s="95"/>
      <c r="EUT264" s="95"/>
      <c r="EUU264" s="95"/>
      <c r="EUV264" s="95"/>
      <c r="EUW264" s="95"/>
      <c r="EUX264" s="95"/>
      <c r="EUY264" s="95"/>
      <c r="EUZ264" s="95"/>
      <c r="EVA264" s="95"/>
      <c r="EVB264" s="95"/>
      <c r="EVC264" s="95"/>
      <c r="EVD264" s="95"/>
      <c r="EVE264" s="95"/>
      <c r="EVF264" s="95"/>
      <c r="EVG264" s="95"/>
      <c r="EVH264" s="95"/>
      <c r="EVI264" s="95"/>
      <c r="EVJ264" s="95"/>
      <c r="EVK264" s="95"/>
      <c r="EVL264" s="95"/>
      <c r="EVM264" s="95"/>
      <c r="EVN264" s="95"/>
      <c r="EVO264" s="95"/>
      <c r="EVP264" s="95"/>
      <c r="EVQ264" s="95"/>
      <c r="EVR264" s="95"/>
      <c r="EVS264" s="95"/>
      <c r="EVT264" s="95"/>
      <c r="EVU264" s="95"/>
      <c r="EVV264" s="95"/>
      <c r="EVW264" s="95"/>
      <c r="EVX264" s="95"/>
      <c r="EVY264" s="95"/>
      <c r="EVZ264" s="95"/>
      <c r="EWA264" s="95"/>
      <c r="EWB264" s="95"/>
      <c r="EWC264" s="95"/>
      <c r="EWD264" s="95"/>
      <c r="EWE264" s="95"/>
      <c r="EWF264" s="95"/>
      <c r="EWG264" s="95"/>
      <c r="EWH264" s="95"/>
      <c r="EWI264" s="95"/>
      <c r="EWJ264" s="95"/>
      <c r="EWK264" s="95"/>
      <c r="EWL264" s="95"/>
      <c r="EWM264" s="95"/>
      <c r="EWN264" s="95"/>
      <c r="EWO264" s="95"/>
      <c r="EWP264" s="95"/>
      <c r="EWQ264" s="95"/>
      <c r="EWR264" s="95"/>
      <c r="EWS264" s="95"/>
      <c r="EWT264" s="95"/>
      <c r="EWU264" s="95"/>
      <c r="EWV264" s="95"/>
      <c r="EWW264" s="95"/>
      <c r="EWX264" s="95"/>
      <c r="EWY264" s="95"/>
      <c r="EWZ264" s="95"/>
      <c r="EXA264" s="95"/>
      <c r="EXB264" s="95"/>
      <c r="EXC264" s="95"/>
      <c r="EXD264" s="95"/>
      <c r="EXE264" s="95"/>
      <c r="EXF264" s="95"/>
      <c r="EXG264" s="95"/>
      <c r="EXH264" s="95"/>
      <c r="EXI264" s="95"/>
      <c r="EXJ264" s="95"/>
      <c r="EXK264" s="95"/>
      <c r="EXL264" s="95"/>
      <c r="EXM264" s="95"/>
      <c r="EXN264" s="95"/>
      <c r="EXO264" s="95"/>
      <c r="EXP264" s="95"/>
      <c r="EXQ264" s="95"/>
      <c r="EXR264" s="95"/>
      <c r="EXS264" s="95"/>
      <c r="EXT264" s="95"/>
      <c r="EXU264" s="95"/>
      <c r="EXV264" s="95"/>
      <c r="EXW264" s="95"/>
      <c r="EXX264" s="95"/>
      <c r="EXY264" s="95"/>
      <c r="EXZ264" s="95"/>
      <c r="EYA264" s="95"/>
      <c r="EYB264" s="95"/>
      <c r="EYC264" s="95"/>
      <c r="EYD264" s="95"/>
      <c r="EYE264" s="95"/>
      <c r="EYF264" s="95"/>
      <c r="EYG264" s="95"/>
      <c r="EYH264" s="95"/>
      <c r="EYI264" s="95"/>
      <c r="EYJ264" s="95"/>
      <c r="EYK264" s="95"/>
      <c r="EYL264" s="95"/>
      <c r="EYM264" s="95"/>
      <c r="EYN264" s="95"/>
      <c r="EYO264" s="95"/>
      <c r="EYP264" s="95"/>
      <c r="EYQ264" s="95"/>
      <c r="EYR264" s="95"/>
      <c r="EYS264" s="95"/>
      <c r="EYT264" s="95"/>
      <c r="EYU264" s="95"/>
      <c r="EYV264" s="95"/>
      <c r="EYW264" s="95"/>
      <c r="EYX264" s="95"/>
      <c r="EYY264" s="95"/>
      <c r="EYZ264" s="95"/>
      <c r="EZA264" s="95"/>
      <c r="EZB264" s="95"/>
      <c r="EZC264" s="95"/>
      <c r="EZD264" s="95"/>
      <c r="EZE264" s="95"/>
      <c r="EZF264" s="95"/>
      <c r="EZG264" s="95"/>
      <c r="EZH264" s="95"/>
      <c r="EZI264" s="95"/>
      <c r="EZJ264" s="95"/>
      <c r="EZK264" s="95"/>
      <c r="EZL264" s="95"/>
      <c r="EZM264" s="95"/>
      <c r="EZN264" s="95"/>
      <c r="EZO264" s="95"/>
      <c r="EZP264" s="95"/>
      <c r="EZQ264" s="95"/>
      <c r="EZR264" s="95"/>
      <c r="EZS264" s="95"/>
      <c r="EZT264" s="95"/>
      <c r="EZU264" s="95"/>
      <c r="EZV264" s="95"/>
      <c r="EZW264" s="95"/>
      <c r="EZX264" s="95"/>
      <c r="EZY264" s="95"/>
      <c r="EZZ264" s="95"/>
      <c r="FAA264" s="95"/>
      <c r="FAB264" s="95"/>
      <c r="FAC264" s="95"/>
      <c r="FAD264" s="95"/>
      <c r="FAE264" s="95"/>
      <c r="FAF264" s="95"/>
      <c r="FAG264" s="95"/>
      <c r="FAH264" s="95"/>
      <c r="FAI264" s="95"/>
      <c r="FAJ264" s="95"/>
      <c r="FAK264" s="95"/>
      <c r="FAL264" s="95"/>
      <c r="FAM264" s="95"/>
      <c r="FAN264" s="95"/>
      <c r="FAO264" s="95"/>
      <c r="FAP264" s="95"/>
      <c r="FAQ264" s="95"/>
      <c r="FAR264" s="95"/>
      <c r="FAS264" s="95"/>
      <c r="FAT264" s="95"/>
      <c r="FAU264" s="95"/>
      <c r="FAV264" s="95"/>
      <c r="FAW264" s="95"/>
      <c r="FAX264" s="95"/>
      <c r="FAY264" s="95"/>
      <c r="FAZ264" s="95"/>
      <c r="FBA264" s="95"/>
      <c r="FBB264" s="95"/>
      <c r="FBC264" s="95"/>
      <c r="FBD264" s="95"/>
      <c r="FBE264" s="95"/>
      <c r="FBF264" s="95"/>
      <c r="FBG264" s="95"/>
      <c r="FBH264" s="95"/>
      <c r="FBI264" s="95"/>
      <c r="FBJ264" s="95"/>
      <c r="FBK264" s="95"/>
      <c r="FBL264" s="95"/>
      <c r="FBM264" s="95"/>
      <c r="FBN264" s="95"/>
      <c r="FBO264" s="95"/>
      <c r="FBP264" s="95"/>
      <c r="FBQ264" s="95"/>
      <c r="FBR264" s="95"/>
      <c r="FBS264" s="95"/>
      <c r="FBT264" s="95"/>
      <c r="FBU264" s="95"/>
      <c r="FBV264" s="95"/>
      <c r="FBW264" s="95"/>
      <c r="FBX264" s="95"/>
      <c r="FBY264" s="95"/>
      <c r="FBZ264" s="95"/>
      <c r="FCA264" s="95"/>
      <c r="FCB264" s="95"/>
      <c r="FCC264" s="95"/>
      <c r="FCD264" s="95"/>
      <c r="FCE264" s="95"/>
      <c r="FCF264" s="95"/>
      <c r="FCG264" s="95"/>
      <c r="FCH264" s="95"/>
      <c r="FCI264" s="95"/>
      <c r="FCJ264" s="95"/>
      <c r="FCK264" s="95"/>
      <c r="FCL264" s="95"/>
      <c r="FCM264" s="95"/>
      <c r="FCN264" s="95"/>
      <c r="FCO264" s="95"/>
      <c r="FCP264" s="95"/>
      <c r="FCQ264" s="95"/>
      <c r="FCR264" s="95"/>
      <c r="FCS264" s="95"/>
      <c r="FCT264" s="95"/>
      <c r="FCU264" s="95"/>
      <c r="FCV264" s="95"/>
      <c r="FCW264" s="95"/>
      <c r="FCX264" s="95"/>
      <c r="FCY264" s="95"/>
      <c r="FCZ264" s="95"/>
      <c r="FDA264" s="95"/>
      <c r="FDB264" s="95"/>
      <c r="FDC264" s="95"/>
      <c r="FDD264" s="95"/>
      <c r="FDE264" s="95"/>
      <c r="FDF264" s="95"/>
      <c r="FDG264" s="95"/>
      <c r="FDH264" s="95"/>
      <c r="FDI264" s="95"/>
      <c r="FDJ264" s="95"/>
      <c r="FDK264" s="95"/>
      <c r="FDL264" s="95"/>
      <c r="FDM264" s="95"/>
      <c r="FDN264" s="95"/>
      <c r="FDO264" s="95"/>
      <c r="FDP264" s="95"/>
      <c r="FDQ264" s="95"/>
      <c r="FDR264" s="95"/>
      <c r="FDS264" s="95"/>
      <c r="FDT264" s="95"/>
      <c r="FDU264" s="95"/>
      <c r="FDV264" s="95"/>
      <c r="FDW264" s="95"/>
      <c r="FDX264" s="95"/>
      <c r="FDY264" s="95"/>
      <c r="FDZ264" s="95"/>
      <c r="FEA264" s="95"/>
      <c r="FEB264" s="95"/>
      <c r="FEC264" s="95"/>
      <c r="FED264" s="95"/>
      <c r="FEE264" s="95"/>
      <c r="FEF264" s="95"/>
      <c r="FEG264" s="95"/>
      <c r="FEH264" s="95"/>
      <c r="FEI264" s="95"/>
      <c r="FEJ264" s="95"/>
      <c r="FEK264" s="95"/>
      <c r="FEL264" s="95"/>
      <c r="FEM264" s="95"/>
      <c r="FEN264" s="95"/>
      <c r="FEO264" s="95"/>
      <c r="FEP264" s="95"/>
      <c r="FEQ264" s="95"/>
      <c r="FER264" s="95"/>
      <c r="FES264" s="95"/>
      <c r="FET264" s="95"/>
      <c r="FEU264" s="95"/>
      <c r="FEV264" s="95"/>
      <c r="FEW264" s="95"/>
      <c r="FEX264" s="95"/>
      <c r="FEY264" s="95"/>
      <c r="FEZ264" s="95"/>
      <c r="FFA264" s="95"/>
      <c r="FFB264" s="95"/>
      <c r="FFC264" s="95"/>
      <c r="FFD264" s="95"/>
      <c r="FFE264" s="95"/>
      <c r="FFF264" s="95"/>
      <c r="FFG264" s="95"/>
      <c r="FFH264" s="95"/>
      <c r="FFI264" s="95"/>
      <c r="FFJ264" s="95"/>
      <c r="FFK264" s="95"/>
      <c r="FFL264" s="95"/>
      <c r="FFM264" s="95"/>
      <c r="FFN264" s="95"/>
      <c r="FFO264" s="95"/>
      <c r="FFP264" s="95"/>
      <c r="FFQ264" s="95"/>
      <c r="FFR264" s="95"/>
      <c r="FFS264" s="95"/>
      <c r="FFT264" s="95"/>
      <c r="FFU264" s="95"/>
      <c r="FFV264" s="95"/>
      <c r="FFW264" s="95"/>
      <c r="FFX264" s="95"/>
      <c r="FFY264" s="95"/>
      <c r="FFZ264" s="95"/>
      <c r="FGA264" s="95"/>
      <c r="FGB264" s="95"/>
      <c r="FGC264" s="95"/>
      <c r="FGD264" s="95"/>
      <c r="FGE264" s="95"/>
      <c r="FGF264" s="95"/>
      <c r="FGG264" s="95"/>
      <c r="FGH264" s="95"/>
      <c r="FGI264" s="95"/>
      <c r="FGJ264" s="95"/>
      <c r="FGK264" s="95"/>
      <c r="FGL264" s="95"/>
      <c r="FGM264" s="95"/>
      <c r="FGN264" s="95"/>
      <c r="FGO264" s="95"/>
      <c r="FGP264" s="95"/>
      <c r="FGQ264" s="95"/>
      <c r="FGR264" s="95"/>
      <c r="FGS264" s="95"/>
      <c r="FGT264" s="95"/>
      <c r="FGU264" s="95"/>
      <c r="FGV264" s="95"/>
      <c r="FGW264" s="95"/>
      <c r="FGX264" s="95"/>
      <c r="FGY264" s="95"/>
      <c r="FGZ264" s="95"/>
      <c r="FHA264" s="95"/>
      <c r="FHB264" s="95"/>
      <c r="FHC264" s="95"/>
      <c r="FHD264" s="95"/>
      <c r="FHE264" s="95"/>
      <c r="FHF264" s="95"/>
      <c r="FHG264" s="95"/>
      <c r="FHH264" s="95"/>
      <c r="FHI264" s="95"/>
      <c r="FHJ264" s="95"/>
      <c r="FHK264" s="95"/>
      <c r="FHL264" s="95"/>
      <c r="FHM264" s="95"/>
      <c r="FHN264" s="95"/>
      <c r="FHO264" s="95"/>
      <c r="FHP264" s="95"/>
      <c r="FHQ264" s="95"/>
      <c r="FHR264" s="95"/>
      <c r="FHS264" s="95"/>
      <c r="FHT264" s="95"/>
      <c r="FHU264" s="95"/>
      <c r="FHV264" s="95"/>
      <c r="FHW264" s="95"/>
      <c r="FHX264" s="95"/>
      <c r="FHY264" s="95"/>
      <c r="FHZ264" s="95"/>
      <c r="FIA264" s="95"/>
      <c r="FIB264" s="95"/>
      <c r="FIC264" s="95"/>
      <c r="FID264" s="95"/>
      <c r="FIE264" s="95"/>
      <c r="FIF264" s="95"/>
      <c r="FIG264" s="95"/>
      <c r="FIH264" s="95"/>
      <c r="FII264" s="95"/>
      <c r="FIJ264" s="95"/>
      <c r="FIK264" s="95"/>
      <c r="FIL264" s="95"/>
      <c r="FIM264" s="95"/>
      <c r="FIN264" s="95"/>
      <c r="FIO264" s="95"/>
      <c r="FIP264" s="95"/>
      <c r="FIQ264" s="95"/>
      <c r="FIR264" s="95"/>
      <c r="FIS264" s="95"/>
      <c r="FIT264" s="95"/>
      <c r="FIU264" s="95"/>
      <c r="FIV264" s="95"/>
      <c r="FIW264" s="95"/>
      <c r="FIX264" s="95"/>
      <c r="FIY264" s="95"/>
      <c r="FIZ264" s="95"/>
      <c r="FJA264" s="95"/>
      <c r="FJB264" s="95"/>
      <c r="FJC264" s="95"/>
      <c r="FJD264" s="95"/>
      <c r="FJE264" s="95"/>
      <c r="FJF264" s="95"/>
      <c r="FJG264" s="95"/>
      <c r="FJH264" s="95"/>
      <c r="FJI264" s="95"/>
      <c r="FJJ264" s="95"/>
      <c r="FJK264" s="95"/>
      <c r="FJL264" s="95"/>
      <c r="FJM264" s="95"/>
      <c r="FJN264" s="95"/>
      <c r="FJO264" s="95"/>
      <c r="FJP264" s="95"/>
      <c r="FJQ264" s="95"/>
      <c r="FJR264" s="95"/>
      <c r="FJS264" s="95"/>
      <c r="FJT264" s="95"/>
      <c r="FJU264" s="95"/>
      <c r="FJV264" s="95"/>
      <c r="FJW264" s="95"/>
      <c r="FJX264" s="95"/>
      <c r="FJY264" s="95"/>
      <c r="FJZ264" s="95"/>
      <c r="FKA264" s="95"/>
      <c r="FKB264" s="95"/>
      <c r="FKC264" s="95"/>
      <c r="FKD264" s="95"/>
      <c r="FKE264" s="95"/>
      <c r="FKF264" s="95"/>
      <c r="FKG264" s="95"/>
      <c r="FKH264" s="95"/>
      <c r="FKI264" s="95"/>
      <c r="FKJ264" s="95"/>
      <c r="FKK264" s="95"/>
      <c r="FKL264" s="95"/>
      <c r="FKM264" s="95"/>
      <c r="FKN264" s="95"/>
      <c r="FKO264" s="95"/>
      <c r="FKP264" s="95"/>
      <c r="FKQ264" s="95"/>
      <c r="FKR264" s="95"/>
      <c r="FKS264" s="95"/>
      <c r="FKT264" s="95"/>
      <c r="FKU264" s="95"/>
      <c r="FKV264" s="95"/>
      <c r="FKW264" s="95"/>
      <c r="FKX264" s="95"/>
      <c r="FKY264" s="95"/>
      <c r="FKZ264" s="95"/>
      <c r="FLA264" s="95"/>
      <c r="FLB264" s="95"/>
      <c r="FLC264" s="95"/>
      <c r="FLD264" s="95"/>
      <c r="FLE264" s="95"/>
      <c r="FLF264" s="95"/>
      <c r="FLG264" s="95"/>
      <c r="FLH264" s="95"/>
      <c r="FLI264" s="95"/>
      <c r="FLJ264" s="95"/>
      <c r="FLK264" s="95"/>
      <c r="FLL264" s="95"/>
      <c r="FLM264" s="95"/>
      <c r="FLN264" s="95"/>
      <c r="FLO264" s="95"/>
      <c r="FLP264" s="95"/>
      <c r="FLQ264" s="95"/>
      <c r="FLR264" s="95"/>
      <c r="FLS264" s="95"/>
      <c r="FLT264" s="95"/>
      <c r="FLU264" s="95"/>
      <c r="FLV264" s="95"/>
      <c r="FLW264" s="95"/>
      <c r="FLX264" s="95"/>
      <c r="FLY264" s="95"/>
      <c r="FLZ264" s="95"/>
      <c r="FMA264" s="95"/>
      <c r="FMB264" s="95"/>
      <c r="FMC264" s="95"/>
      <c r="FMD264" s="95"/>
      <c r="FME264" s="95"/>
      <c r="FMF264" s="95"/>
      <c r="FMG264" s="95"/>
      <c r="FMH264" s="95"/>
      <c r="FMI264" s="95"/>
      <c r="FMJ264" s="95"/>
      <c r="FMK264" s="95"/>
      <c r="FML264" s="95"/>
      <c r="FMM264" s="95"/>
      <c r="FMN264" s="95"/>
      <c r="FMO264" s="95"/>
      <c r="FMP264" s="95"/>
      <c r="FMQ264" s="95"/>
      <c r="FMR264" s="95"/>
      <c r="FMS264" s="95"/>
      <c r="FMT264" s="95"/>
      <c r="FMU264" s="95"/>
      <c r="FMV264" s="95"/>
      <c r="FMW264" s="95"/>
      <c r="FMX264" s="95"/>
      <c r="FMY264" s="95"/>
      <c r="FMZ264" s="95"/>
      <c r="FNA264" s="95"/>
      <c r="FNB264" s="95"/>
      <c r="FNC264" s="95"/>
      <c r="FND264" s="95"/>
      <c r="FNE264" s="95"/>
      <c r="FNF264" s="95"/>
      <c r="FNG264" s="95"/>
      <c r="FNH264" s="95"/>
      <c r="FNI264" s="95"/>
      <c r="FNJ264" s="95"/>
      <c r="FNK264" s="95"/>
      <c r="FNL264" s="95"/>
      <c r="FNM264" s="95"/>
      <c r="FNN264" s="95"/>
      <c r="FNO264" s="95"/>
      <c r="FNP264" s="95"/>
      <c r="FNQ264" s="95"/>
      <c r="FNR264" s="95"/>
      <c r="FNS264" s="95"/>
      <c r="FNT264" s="95"/>
      <c r="FNU264" s="95"/>
      <c r="FNV264" s="95"/>
      <c r="FNW264" s="95"/>
      <c r="FNX264" s="95"/>
      <c r="FNY264" s="95"/>
      <c r="FNZ264" s="95"/>
      <c r="FOA264" s="95"/>
      <c r="FOB264" s="95"/>
      <c r="FOC264" s="95"/>
      <c r="FOD264" s="95"/>
      <c r="FOE264" s="95"/>
      <c r="FOF264" s="95"/>
      <c r="FOG264" s="95"/>
      <c r="FOH264" s="95"/>
      <c r="FOI264" s="95"/>
      <c r="FOJ264" s="95"/>
      <c r="FOK264" s="95"/>
      <c r="FOL264" s="95"/>
      <c r="FOM264" s="95"/>
      <c r="FON264" s="95"/>
      <c r="FOO264" s="95"/>
      <c r="FOP264" s="95"/>
      <c r="FOQ264" s="95"/>
      <c r="FOR264" s="95"/>
      <c r="FOS264" s="95"/>
      <c r="FOT264" s="95"/>
      <c r="FOU264" s="95"/>
      <c r="FOV264" s="95"/>
      <c r="FOW264" s="95"/>
      <c r="FOX264" s="95"/>
      <c r="FOY264" s="95"/>
      <c r="FOZ264" s="95"/>
      <c r="FPA264" s="95"/>
      <c r="FPB264" s="95"/>
      <c r="FPC264" s="95"/>
      <c r="FPD264" s="95"/>
      <c r="FPE264" s="95"/>
      <c r="FPF264" s="95"/>
      <c r="FPG264" s="95"/>
      <c r="FPH264" s="95"/>
      <c r="FPI264" s="95"/>
      <c r="FPJ264" s="95"/>
      <c r="FPK264" s="95"/>
      <c r="FPL264" s="95"/>
      <c r="FPM264" s="95"/>
      <c r="FPN264" s="95"/>
      <c r="FPO264" s="95"/>
      <c r="FPP264" s="95"/>
      <c r="FPQ264" s="95"/>
      <c r="FPR264" s="95"/>
      <c r="FPS264" s="95"/>
      <c r="FPT264" s="95"/>
      <c r="FPU264" s="95"/>
      <c r="FPV264" s="95"/>
      <c r="FPW264" s="95"/>
      <c r="FPX264" s="95"/>
      <c r="FPY264" s="95"/>
      <c r="FPZ264" s="95"/>
      <c r="FQA264" s="95"/>
      <c r="FQB264" s="95"/>
      <c r="FQC264" s="95"/>
      <c r="FQD264" s="95"/>
      <c r="FQE264" s="95"/>
      <c r="FQF264" s="95"/>
      <c r="FQG264" s="95"/>
      <c r="FQH264" s="95"/>
      <c r="FQI264" s="95"/>
      <c r="FQJ264" s="95"/>
      <c r="FQK264" s="95"/>
      <c r="FQL264" s="95"/>
      <c r="FQM264" s="95"/>
      <c r="FQN264" s="95"/>
      <c r="FQO264" s="95"/>
      <c r="FQP264" s="95"/>
      <c r="FQQ264" s="95"/>
      <c r="FQR264" s="95"/>
      <c r="FQS264" s="95"/>
      <c r="FQT264" s="95"/>
      <c r="FQU264" s="95"/>
      <c r="FQV264" s="95"/>
      <c r="FQW264" s="95"/>
      <c r="FQX264" s="95"/>
      <c r="FQY264" s="95"/>
      <c r="FQZ264" s="95"/>
      <c r="FRA264" s="95"/>
      <c r="FRB264" s="95"/>
      <c r="FRC264" s="95"/>
      <c r="FRD264" s="95"/>
      <c r="FRE264" s="95"/>
      <c r="FRF264" s="95"/>
      <c r="FRG264" s="95"/>
      <c r="FRH264" s="95"/>
      <c r="FRI264" s="95"/>
      <c r="FRJ264" s="95"/>
      <c r="FRK264" s="95"/>
      <c r="FRL264" s="95"/>
      <c r="FRM264" s="95"/>
      <c r="FRN264" s="95"/>
      <c r="FRO264" s="95"/>
      <c r="FRP264" s="95"/>
      <c r="FRQ264" s="95"/>
      <c r="FRR264" s="95"/>
      <c r="FRS264" s="95"/>
      <c r="FRT264" s="95"/>
      <c r="FRU264" s="95"/>
      <c r="FRV264" s="95"/>
      <c r="FRW264" s="95"/>
      <c r="FRX264" s="95"/>
      <c r="FRY264" s="95"/>
      <c r="FRZ264" s="95"/>
      <c r="FSA264" s="95"/>
      <c r="FSB264" s="95"/>
      <c r="FSC264" s="95"/>
      <c r="FSD264" s="95"/>
      <c r="FSE264" s="95"/>
      <c r="FSF264" s="95"/>
      <c r="FSG264" s="95"/>
      <c r="FSH264" s="95"/>
      <c r="FSI264" s="95"/>
      <c r="FSJ264" s="95"/>
      <c r="FSK264" s="95"/>
      <c r="FSL264" s="95"/>
      <c r="FSM264" s="95"/>
      <c r="FSN264" s="95"/>
      <c r="FSO264" s="95"/>
      <c r="FSP264" s="95"/>
      <c r="FSQ264" s="95"/>
      <c r="FSR264" s="95"/>
      <c r="FSS264" s="95"/>
      <c r="FST264" s="95"/>
      <c r="FSU264" s="95"/>
      <c r="FSV264" s="95"/>
      <c r="FSW264" s="95"/>
      <c r="FSX264" s="95"/>
      <c r="FSY264" s="95"/>
      <c r="FSZ264" s="95"/>
      <c r="FTA264" s="95"/>
      <c r="FTB264" s="95"/>
      <c r="FTC264" s="95"/>
      <c r="FTD264" s="95"/>
      <c r="FTE264" s="95"/>
      <c r="FTF264" s="95"/>
      <c r="FTG264" s="95"/>
      <c r="FTH264" s="95"/>
      <c r="FTI264" s="95"/>
      <c r="FTJ264" s="95"/>
      <c r="FTK264" s="95"/>
      <c r="FTL264" s="95"/>
      <c r="FTM264" s="95"/>
      <c r="FTN264" s="95"/>
      <c r="FTO264" s="95"/>
      <c r="FTP264" s="95"/>
      <c r="FTQ264" s="95"/>
      <c r="FTR264" s="95"/>
      <c r="FTS264" s="95"/>
      <c r="FTT264" s="95"/>
      <c r="FTU264" s="95"/>
      <c r="FTV264" s="95"/>
      <c r="FTW264" s="95"/>
      <c r="FTX264" s="95"/>
      <c r="FTY264" s="95"/>
      <c r="FTZ264" s="95"/>
      <c r="FUA264" s="95"/>
      <c r="FUB264" s="95"/>
      <c r="FUC264" s="95"/>
      <c r="FUD264" s="95"/>
      <c r="FUE264" s="95"/>
      <c r="FUF264" s="95"/>
      <c r="FUG264" s="95"/>
      <c r="FUH264" s="95"/>
      <c r="FUI264" s="95"/>
      <c r="FUJ264" s="95"/>
      <c r="FUK264" s="95"/>
      <c r="FUL264" s="95"/>
      <c r="FUM264" s="95"/>
      <c r="FUN264" s="95"/>
      <c r="FUO264" s="95"/>
      <c r="FUP264" s="95"/>
      <c r="FUQ264" s="95"/>
      <c r="FUR264" s="95"/>
      <c r="FUS264" s="95"/>
      <c r="FUT264" s="95"/>
      <c r="FUU264" s="95"/>
      <c r="FUV264" s="95"/>
      <c r="FUW264" s="95"/>
      <c r="FUX264" s="95"/>
      <c r="FUY264" s="95"/>
      <c r="FUZ264" s="95"/>
      <c r="FVA264" s="95"/>
      <c r="FVB264" s="95"/>
      <c r="FVC264" s="95"/>
      <c r="FVD264" s="95"/>
      <c r="FVE264" s="95"/>
      <c r="FVF264" s="95"/>
      <c r="FVG264" s="95"/>
      <c r="FVH264" s="95"/>
      <c r="FVI264" s="95"/>
      <c r="FVJ264" s="95"/>
      <c r="FVK264" s="95"/>
      <c r="FVL264" s="95"/>
      <c r="FVM264" s="95"/>
      <c r="FVN264" s="95"/>
      <c r="FVO264" s="95"/>
      <c r="FVP264" s="95"/>
      <c r="FVQ264" s="95"/>
      <c r="FVR264" s="95"/>
      <c r="FVS264" s="95"/>
      <c r="FVT264" s="95"/>
      <c r="FVU264" s="95"/>
      <c r="FVV264" s="95"/>
      <c r="FVW264" s="95"/>
      <c r="FVX264" s="95"/>
      <c r="FVY264" s="95"/>
      <c r="FVZ264" s="95"/>
      <c r="FWA264" s="95"/>
      <c r="FWB264" s="95"/>
      <c r="FWC264" s="95"/>
      <c r="FWD264" s="95"/>
      <c r="FWE264" s="95"/>
      <c r="FWF264" s="95"/>
      <c r="FWG264" s="95"/>
      <c r="FWH264" s="95"/>
      <c r="FWI264" s="95"/>
      <c r="FWJ264" s="95"/>
      <c r="FWK264" s="95"/>
      <c r="FWL264" s="95"/>
      <c r="FWM264" s="95"/>
      <c r="FWN264" s="95"/>
      <c r="FWO264" s="95"/>
      <c r="FWP264" s="95"/>
      <c r="FWQ264" s="95"/>
      <c r="FWR264" s="95"/>
      <c r="FWS264" s="95"/>
      <c r="FWT264" s="95"/>
      <c r="FWU264" s="95"/>
      <c r="FWV264" s="95"/>
      <c r="FWW264" s="95"/>
      <c r="FWX264" s="95"/>
      <c r="FWY264" s="95"/>
      <c r="FWZ264" s="95"/>
      <c r="FXA264" s="95"/>
      <c r="FXB264" s="95"/>
      <c r="FXC264" s="95"/>
      <c r="FXD264" s="95"/>
      <c r="FXE264" s="95"/>
      <c r="FXF264" s="95"/>
      <c r="FXG264" s="95"/>
      <c r="FXH264" s="95"/>
      <c r="FXI264" s="95"/>
      <c r="FXJ264" s="95"/>
      <c r="FXK264" s="95"/>
      <c r="FXL264" s="95"/>
      <c r="FXM264" s="95"/>
      <c r="FXN264" s="95"/>
      <c r="FXO264" s="95"/>
      <c r="FXP264" s="95"/>
      <c r="FXQ264" s="95"/>
      <c r="FXR264" s="95"/>
      <c r="FXS264" s="95"/>
      <c r="FXT264" s="95"/>
      <c r="FXU264" s="95"/>
      <c r="FXV264" s="95"/>
      <c r="FXW264" s="95"/>
      <c r="FXX264" s="95"/>
      <c r="FXY264" s="95"/>
      <c r="FXZ264" s="95"/>
      <c r="FYA264" s="95"/>
      <c r="FYB264" s="95"/>
      <c r="FYC264" s="95"/>
      <c r="FYD264" s="95"/>
      <c r="FYE264" s="95"/>
      <c r="FYF264" s="95"/>
      <c r="FYG264" s="95"/>
      <c r="FYH264" s="95"/>
      <c r="FYI264" s="95"/>
      <c r="FYJ264" s="95"/>
      <c r="FYK264" s="95"/>
      <c r="FYL264" s="95"/>
      <c r="FYM264" s="95"/>
      <c r="FYN264" s="95"/>
      <c r="FYO264" s="95"/>
      <c r="FYP264" s="95"/>
      <c r="FYQ264" s="95"/>
      <c r="FYR264" s="95"/>
      <c r="FYS264" s="95"/>
      <c r="FYT264" s="95"/>
      <c r="FYU264" s="95"/>
      <c r="FYV264" s="95"/>
      <c r="FYW264" s="95"/>
      <c r="FYX264" s="95"/>
      <c r="FYY264" s="95"/>
      <c r="FYZ264" s="95"/>
      <c r="FZA264" s="95"/>
      <c r="FZB264" s="95"/>
      <c r="FZC264" s="95"/>
      <c r="FZD264" s="95"/>
      <c r="FZE264" s="95"/>
      <c r="FZF264" s="95"/>
      <c r="FZG264" s="95"/>
      <c r="FZH264" s="95"/>
      <c r="FZI264" s="95"/>
      <c r="FZJ264" s="95"/>
      <c r="FZK264" s="95"/>
      <c r="FZL264" s="95"/>
      <c r="FZM264" s="95"/>
      <c r="FZN264" s="95"/>
      <c r="FZO264" s="95"/>
      <c r="FZP264" s="95"/>
      <c r="FZQ264" s="95"/>
      <c r="FZR264" s="95"/>
      <c r="FZS264" s="95"/>
      <c r="FZT264" s="95"/>
      <c r="FZU264" s="95"/>
      <c r="FZV264" s="95"/>
      <c r="FZW264" s="95"/>
      <c r="FZX264" s="95"/>
      <c r="FZY264" s="95"/>
      <c r="FZZ264" s="95"/>
      <c r="GAA264" s="95"/>
      <c r="GAB264" s="95"/>
      <c r="GAC264" s="95"/>
      <c r="GAD264" s="95"/>
      <c r="GAE264" s="95"/>
      <c r="GAF264" s="95"/>
      <c r="GAG264" s="95"/>
      <c r="GAH264" s="95"/>
      <c r="GAI264" s="95"/>
      <c r="GAJ264" s="95"/>
      <c r="GAK264" s="95"/>
      <c r="GAL264" s="95"/>
      <c r="GAM264" s="95"/>
      <c r="GAN264" s="95"/>
      <c r="GAO264" s="95"/>
      <c r="GAP264" s="95"/>
      <c r="GAQ264" s="95"/>
      <c r="GAR264" s="95"/>
      <c r="GAS264" s="95"/>
      <c r="GAT264" s="95"/>
      <c r="GAU264" s="95"/>
      <c r="GAV264" s="95"/>
      <c r="GAW264" s="95"/>
      <c r="GAX264" s="95"/>
      <c r="GAY264" s="95"/>
      <c r="GAZ264" s="95"/>
      <c r="GBA264" s="95"/>
      <c r="GBB264" s="95"/>
      <c r="GBC264" s="95"/>
      <c r="GBD264" s="95"/>
      <c r="GBE264" s="95"/>
      <c r="GBF264" s="95"/>
      <c r="GBG264" s="95"/>
      <c r="GBH264" s="95"/>
      <c r="GBI264" s="95"/>
      <c r="GBJ264" s="95"/>
      <c r="GBK264" s="95"/>
      <c r="GBL264" s="95"/>
      <c r="GBM264" s="95"/>
      <c r="GBN264" s="95"/>
      <c r="GBO264" s="95"/>
      <c r="GBP264" s="95"/>
      <c r="GBQ264" s="95"/>
      <c r="GBR264" s="95"/>
      <c r="GBS264" s="95"/>
      <c r="GBT264" s="95"/>
      <c r="GBU264" s="95"/>
      <c r="GBV264" s="95"/>
      <c r="GBW264" s="95"/>
      <c r="GBX264" s="95"/>
      <c r="GBY264" s="95"/>
      <c r="GBZ264" s="95"/>
      <c r="GCA264" s="95"/>
      <c r="GCB264" s="95"/>
      <c r="GCC264" s="95"/>
      <c r="GCD264" s="95"/>
      <c r="GCE264" s="95"/>
      <c r="GCF264" s="95"/>
      <c r="GCG264" s="95"/>
      <c r="GCH264" s="95"/>
      <c r="GCI264" s="95"/>
      <c r="GCJ264" s="95"/>
      <c r="GCK264" s="95"/>
      <c r="GCL264" s="95"/>
      <c r="GCM264" s="95"/>
      <c r="GCN264" s="95"/>
      <c r="GCO264" s="95"/>
      <c r="GCP264" s="95"/>
      <c r="GCQ264" s="95"/>
      <c r="GCR264" s="95"/>
      <c r="GCS264" s="95"/>
      <c r="GCT264" s="95"/>
      <c r="GCU264" s="95"/>
      <c r="GCV264" s="95"/>
      <c r="GCW264" s="95"/>
      <c r="GCX264" s="95"/>
      <c r="GCY264" s="95"/>
      <c r="GCZ264" s="95"/>
      <c r="GDA264" s="95"/>
      <c r="GDB264" s="95"/>
      <c r="GDC264" s="95"/>
      <c r="GDD264" s="95"/>
      <c r="GDE264" s="95"/>
      <c r="GDF264" s="95"/>
      <c r="GDG264" s="95"/>
      <c r="GDH264" s="95"/>
      <c r="GDI264" s="95"/>
      <c r="GDJ264" s="95"/>
      <c r="GDK264" s="95"/>
      <c r="GDL264" s="95"/>
      <c r="GDM264" s="95"/>
      <c r="GDN264" s="95"/>
      <c r="GDO264" s="95"/>
      <c r="GDP264" s="95"/>
      <c r="GDQ264" s="95"/>
      <c r="GDR264" s="95"/>
      <c r="GDS264" s="95"/>
      <c r="GDT264" s="95"/>
      <c r="GDU264" s="95"/>
      <c r="GDV264" s="95"/>
      <c r="GDW264" s="95"/>
      <c r="GDX264" s="95"/>
      <c r="GDY264" s="95"/>
      <c r="GDZ264" s="95"/>
      <c r="GEA264" s="95"/>
      <c r="GEB264" s="95"/>
      <c r="GEC264" s="95"/>
      <c r="GED264" s="95"/>
      <c r="GEE264" s="95"/>
      <c r="GEF264" s="95"/>
      <c r="GEG264" s="95"/>
      <c r="GEH264" s="95"/>
      <c r="GEI264" s="95"/>
      <c r="GEJ264" s="95"/>
      <c r="GEK264" s="95"/>
      <c r="GEL264" s="95"/>
      <c r="GEM264" s="95"/>
      <c r="GEN264" s="95"/>
      <c r="GEO264" s="95"/>
      <c r="GEP264" s="95"/>
      <c r="GEQ264" s="95"/>
      <c r="GER264" s="95"/>
      <c r="GES264" s="95"/>
      <c r="GET264" s="95"/>
      <c r="GEU264" s="95"/>
      <c r="GEV264" s="95"/>
      <c r="GEW264" s="95"/>
      <c r="GEX264" s="95"/>
      <c r="GEY264" s="95"/>
      <c r="GEZ264" s="95"/>
      <c r="GFA264" s="95"/>
      <c r="GFB264" s="95"/>
      <c r="GFC264" s="95"/>
      <c r="GFD264" s="95"/>
      <c r="GFE264" s="95"/>
      <c r="GFF264" s="95"/>
      <c r="GFG264" s="95"/>
      <c r="GFH264" s="95"/>
      <c r="GFI264" s="95"/>
      <c r="GFJ264" s="95"/>
      <c r="GFK264" s="95"/>
      <c r="GFL264" s="95"/>
      <c r="GFM264" s="95"/>
      <c r="GFN264" s="95"/>
      <c r="GFO264" s="95"/>
      <c r="GFP264" s="95"/>
      <c r="GFQ264" s="95"/>
      <c r="GFR264" s="95"/>
      <c r="GFS264" s="95"/>
      <c r="GFT264" s="95"/>
      <c r="GFU264" s="95"/>
      <c r="GFV264" s="95"/>
      <c r="GFW264" s="95"/>
      <c r="GFX264" s="95"/>
      <c r="GFY264" s="95"/>
      <c r="GFZ264" s="95"/>
      <c r="GGA264" s="95"/>
      <c r="GGB264" s="95"/>
      <c r="GGC264" s="95"/>
      <c r="GGD264" s="95"/>
      <c r="GGE264" s="95"/>
      <c r="GGF264" s="95"/>
      <c r="GGG264" s="95"/>
      <c r="GGH264" s="95"/>
      <c r="GGI264" s="95"/>
      <c r="GGJ264" s="95"/>
      <c r="GGK264" s="95"/>
      <c r="GGL264" s="95"/>
      <c r="GGM264" s="95"/>
      <c r="GGN264" s="95"/>
      <c r="GGO264" s="95"/>
      <c r="GGP264" s="95"/>
      <c r="GGQ264" s="95"/>
      <c r="GGR264" s="95"/>
      <c r="GGS264" s="95"/>
      <c r="GGT264" s="95"/>
      <c r="GGU264" s="95"/>
      <c r="GGV264" s="95"/>
      <c r="GGW264" s="95"/>
      <c r="GGX264" s="95"/>
      <c r="GGY264" s="95"/>
      <c r="GGZ264" s="95"/>
      <c r="GHA264" s="95"/>
      <c r="GHB264" s="95"/>
      <c r="GHC264" s="95"/>
      <c r="GHD264" s="95"/>
      <c r="GHE264" s="95"/>
      <c r="GHF264" s="95"/>
      <c r="GHG264" s="95"/>
      <c r="GHH264" s="95"/>
      <c r="GHI264" s="95"/>
      <c r="GHJ264" s="95"/>
      <c r="GHK264" s="95"/>
      <c r="GHL264" s="95"/>
      <c r="GHM264" s="95"/>
      <c r="GHN264" s="95"/>
      <c r="GHO264" s="95"/>
      <c r="GHP264" s="95"/>
      <c r="GHQ264" s="95"/>
      <c r="GHR264" s="95"/>
      <c r="GHS264" s="95"/>
      <c r="GHT264" s="95"/>
      <c r="GHU264" s="95"/>
      <c r="GHV264" s="95"/>
      <c r="GHW264" s="95"/>
      <c r="GHX264" s="95"/>
      <c r="GHY264" s="95"/>
      <c r="GHZ264" s="95"/>
      <c r="GIA264" s="95"/>
      <c r="GIB264" s="95"/>
      <c r="GIC264" s="95"/>
      <c r="GID264" s="95"/>
      <c r="GIE264" s="95"/>
      <c r="GIF264" s="95"/>
      <c r="GIG264" s="95"/>
      <c r="GIH264" s="95"/>
      <c r="GII264" s="95"/>
      <c r="GIJ264" s="95"/>
      <c r="GIK264" s="95"/>
      <c r="GIL264" s="95"/>
      <c r="GIM264" s="95"/>
      <c r="GIN264" s="95"/>
      <c r="GIO264" s="95"/>
      <c r="GIP264" s="95"/>
      <c r="GIQ264" s="95"/>
      <c r="GIR264" s="95"/>
      <c r="GIS264" s="95"/>
      <c r="GIT264" s="95"/>
      <c r="GIU264" s="95"/>
      <c r="GIV264" s="95"/>
      <c r="GIW264" s="95"/>
      <c r="GIX264" s="95"/>
      <c r="GIY264" s="95"/>
      <c r="GIZ264" s="95"/>
      <c r="GJA264" s="95"/>
      <c r="GJB264" s="95"/>
      <c r="GJC264" s="95"/>
      <c r="GJD264" s="95"/>
      <c r="GJE264" s="95"/>
      <c r="GJF264" s="95"/>
      <c r="GJG264" s="95"/>
      <c r="GJH264" s="95"/>
      <c r="GJI264" s="95"/>
      <c r="GJJ264" s="95"/>
      <c r="GJK264" s="95"/>
      <c r="GJL264" s="95"/>
      <c r="GJM264" s="95"/>
      <c r="GJN264" s="95"/>
      <c r="GJO264" s="95"/>
      <c r="GJP264" s="95"/>
      <c r="GJQ264" s="95"/>
      <c r="GJR264" s="95"/>
      <c r="GJS264" s="95"/>
      <c r="GJT264" s="95"/>
      <c r="GJU264" s="95"/>
      <c r="GJV264" s="95"/>
      <c r="GJW264" s="95"/>
      <c r="GJX264" s="95"/>
      <c r="GJY264" s="95"/>
      <c r="GJZ264" s="95"/>
      <c r="GKA264" s="95"/>
      <c r="GKB264" s="95"/>
      <c r="GKC264" s="95"/>
      <c r="GKD264" s="95"/>
      <c r="GKE264" s="95"/>
      <c r="GKF264" s="95"/>
      <c r="GKG264" s="95"/>
      <c r="GKH264" s="95"/>
      <c r="GKI264" s="95"/>
      <c r="GKJ264" s="95"/>
      <c r="GKK264" s="95"/>
      <c r="GKL264" s="95"/>
      <c r="GKM264" s="95"/>
      <c r="GKN264" s="95"/>
      <c r="GKO264" s="95"/>
      <c r="GKP264" s="95"/>
      <c r="GKQ264" s="95"/>
      <c r="GKR264" s="95"/>
      <c r="GKS264" s="95"/>
      <c r="GKT264" s="95"/>
      <c r="GKU264" s="95"/>
      <c r="GKV264" s="95"/>
      <c r="GKW264" s="95"/>
      <c r="GKX264" s="95"/>
      <c r="GKY264" s="95"/>
      <c r="GKZ264" s="95"/>
      <c r="GLA264" s="95"/>
      <c r="GLB264" s="95"/>
      <c r="GLC264" s="95"/>
      <c r="GLD264" s="95"/>
      <c r="GLE264" s="95"/>
      <c r="GLF264" s="95"/>
      <c r="GLG264" s="95"/>
      <c r="GLH264" s="95"/>
      <c r="GLI264" s="95"/>
      <c r="GLJ264" s="95"/>
      <c r="GLK264" s="95"/>
      <c r="GLL264" s="95"/>
      <c r="GLM264" s="95"/>
      <c r="GLN264" s="95"/>
      <c r="GLO264" s="95"/>
      <c r="GLP264" s="95"/>
      <c r="GLQ264" s="95"/>
      <c r="GLR264" s="95"/>
      <c r="GLS264" s="95"/>
      <c r="GLT264" s="95"/>
      <c r="GLU264" s="95"/>
      <c r="GLV264" s="95"/>
      <c r="GLW264" s="95"/>
      <c r="GLX264" s="95"/>
      <c r="GLY264" s="95"/>
      <c r="GLZ264" s="95"/>
      <c r="GMA264" s="95"/>
      <c r="GMB264" s="95"/>
      <c r="GMC264" s="95"/>
      <c r="GMD264" s="95"/>
      <c r="GME264" s="95"/>
      <c r="GMF264" s="95"/>
      <c r="GMG264" s="95"/>
      <c r="GMH264" s="95"/>
      <c r="GMI264" s="95"/>
      <c r="GMJ264" s="95"/>
      <c r="GMK264" s="95"/>
      <c r="GML264" s="95"/>
      <c r="GMM264" s="95"/>
      <c r="GMN264" s="95"/>
      <c r="GMO264" s="95"/>
      <c r="GMP264" s="95"/>
      <c r="GMQ264" s="95"/>
      <c r="GMR264" s="95"/>
      <c r="GMS264" s="95"/>
      <c r="GMT264" s="95"/>
      <c r="GMU264" s="95"/>
      <c r="GMV264" s="95"/>
      <c r="GMW264" s="95"/>
      <c r="GMX264" s="95"/>
      <c r="GMY264" s="95"/>
      <c r="GMZ264" s="95"/>
      <c r="GNA264" s="95"/>
      <c r="GNB264" s="95"/>
      <c r="GNC264" s="95"/>
      <c r="GND264" s="95"/>
      <c r="GNE264" s="95"/>
      <c r="GNF264" s="95"/>
      <c r="GNG264" s="95"/>
      <c r="GNH264" s="95"/>
      <c r="GNI264" s="95"/>
      <c r="GNJ264" s="95"/>
      <c r="GNK264" s="95"/>
      <c r="GNL264" s="95"/>
      <c r="GNM264" s="95"/>
      <c r="GNN264" s="95"/>
      <c r="GNO264" s="95"/>
      <c r="GNP264" s="95"/>
      <c r="GNQ264" s="95"/>
      <c r="GNR264" s="95"/>
      <c r="GNS264" s="95"/>
      <c r="GNT264" s="95"/>
      <c r="GNU264" s="95"/>
      <c r="GNV264" s="95"/>
      <c r="GNW264" s="95"/>
      <c r="GNX264" s="95"/>
      <c r="GNY264" s="95"/>
      <c r="GNZ264" s="95"/>
      <c r="GOA264" s="95"/>
      <c r="GOB264" s="95"/>
      <c r="GOC264" s="95"/>
      <c r="GOD264" s="95"/>
      <c r="GOE264" s="95"/>
      <c r="GOF264" s="95"/>
      <c r="GOG264" s="95"/>
      <c r="GOH264" s="95"/>
      <c r="GOI264" s="95"/>
      <c r="GOJ264" s="95"/>
      <c r="GOK264" s="95"/>
      <c r="GOL264" s="95"/>
      <c r="GOM264" s="95"/>
      <c r="GON264" s="95"/>
      <c r="GOO264" s="95"/>
      <c r="GOP264" s="95"/>
      <c r="GOQ264" s="95"/>
      <c r="GOR264" s="95"/>
      <c r="GOS264" s="95"/>
      <c r="GOT264" s="95"/>
      <c r="GOU264" s="95"/>
      <c r="GOV264" s="95"/>
      <c r="GOW264" s="95"/>
      <c r="GOX264" s="95"/>
      <c r="GOY264" s="95"/>
      <c r="GOZ264" s="95"/>
      <c r="GPA264" s="95"/>
      <c r="GPB264" s="95"/>
      <c r="GPC264" s="95"/>
      <c r="GPD264" s="95"/>
      <c r="GPE264" s="95"/>
      <c r="GPF264" s="95"/>
      <c r="GPG264" s="95"/>
      <c r="GPH264" s="95"/>
      <c r="GPI264" s="95"/>
      <c r="GPJ264" s="95"/>
      <c r="GPK264" s="95"/>
      <c r="GPL264" s="95"/>
      <c r="GPM264" s="95"/>
      <c r="GPN264" s="95"/>
      <c r="GPO264" s="95"/>
      <c r="GPP264" s="95"/>
      <c r="GPQ264" s="95"/>
      <c r="GPR264" s="95"/>
      <c r="GPS264" s="95"/>
      <c r="GPT264" s="95"/>
      <c r="GPU264" s="95"/>
      <c r="GPV264" s="95"/>
      <c r="GPW264" s="95"/>
      <c r="GPX264" s="95"/>
      <c r="GPY264" s="95"/>
      <c r="GPZ264" s="95"/>
      <c r="GQA264" s="95"/>
      <c r="GQB264" s="95"/>
      <c r="GQC264" s="95"/>
      <c r="GQD264" s="95"/>
      <c r="GQE264" s="95"/>
      <c r="GQF264" s="95"/>
      <c r="GQG264" s="95"/>
      <c r="GQH264" s="95"/>
      <c r="GQI264" s="95"/>
      <c r="GQJ264" s="95"/>
      <c r="GQK264" s="95"/>
      <c r="GQL264" s="95"/>
      <c r="GQM264" s="95"/>
      <c r="GQN264" s="95"/>
      <c r="GQO264" s="95"/>
      <c r="GQP264" s="95"/>
      <c r="GQQ264" s="95"/>
      <c r="GQR264" s="95"/>
      <c r="GQS264" s="95"/>
      <c r="GQT264" s="95"/>
      <c r="GQU264" s="95"/>
      <c r="GQV264" s="95"/>
      <c r="GQW264" s="95"/>
      <c r="GQX264" s="95"/>
      <c r="GQY264" s="95"/>
      <c r="GQZ264" s="95"/>
      <c r="GRA264" s="95"/>
      <c r="GRB264" s="95"/>
      <c r="GRC264" s="95"/>
      <c r="GRD264" s="95"/>
      <c r="GRE264" s="95"/>
      <c r="GRF264" s="95"/>
      <c r="GRG264" s="95"/>
      <c r="GRH264" s="95"/>
      <c r="GRI264" s="95"/>
      <c r="GRJ264" s="95"/>
      <c r="GRK264" s="95"/>
      <c r="GRL264" s="95"/>
      <c r="GRM264" s="95"/>
      <c r="GRN264" s="95"/>
      <c r="GRO264" s="95"/>
      <c r="GRP264" s="95"/>
      <c r="GRQ264" s="95"/>
      <c r="GRR264" s="95"/>
      <c r="GRS264" s="95"/>
      <c r="GRT264" s="95"/>
      <c r="GRU264" s="95"/>
      <c r="GRV264" s="95"/>
      <c r="GRW264" s="95"/>
      <c r="GRX264" s="95"/>
      <c r="GRY264" s="95"/>
      <c r="GRZ264" s="95"/>
      <c r="GSA264" s="95"/>
      <c r="GSB264" s="95"/>
      <c r="GSC264" s="95"/>
      <c r="GSD264" s="95"/>
      <c r="GSE264" s="95"/>
      <c r="GSF264" s="95"/>
      <c r="GSG264" s="95"/>
      <c r="GSH264" s="95"/>
      <c r="GSI264" s="95"/>
      <c r="GSJ264" s="95"/>
      <c r="GSK264" s="95"/>
      <c r="GSL264" s="95"/>
      <c r="GSM264" s="95"/>
      <c r="GSN264" s="95"/>
      <c r="GSO264" s="95"/>
      <c r="GSP264" s="95"/>
      <c r="GSQ264" s="95"/>
      <c r="GSR264" s="95"/>
      <c r="GSS264" s="95"/>
      <c r="GST264" s="95"/>
      <c r="GSU264" s="95"/>
      <c r="GSV264" s="95"/>
      <c r="GSW264" s="95"/>
      <c r="GSX264" s="95"/>
      <c r="GSY264" s="95"/>
      <c r="GSZ264" s="95"/>
      <c r="GTA264" s="95"/>
      <c r="GTB264" s="95"/>
      <c r="GTC264" s="95"/>
      <c r="GTD264" s="95"/>
      <c r="GTE264" s="95"/>
      <c r="GTF264" s="95"/>
      <c r="GTG264" s="95"/>
      <c r="GTH264" s="95"/>
      <c r="GTI264" s="95"/>
      <c r="GTJ264" s="95"/>
      <c r="GTK264" s="95"/>
      <c r="GTL264" s="95"/>
      <c r="GTM264" s="95"/>
      <c r="GTN264" s="95"/>
      <c r="GTO264" s="95"/>
      <c r="GTP264" s="95"/>
      <c r="GTQ264" s="95"/>
      <c r="GTR264" s="95"/>
      <c r="GTS264" s="95"/>
      <c r="GTT264" s="95"/>
      <c r="GTU264" s="95"/>
      <c r="GTV264" s="95"/>
      <c r="GTW264" s="95"/>
      <c r="GTX264" s="95"/>
      <c r="GTY264" s="95"/>
      <c r="GTZ264" s="95"/>
      <c r="GUA264" s="95"/>
      <c r="GUB264" s="95"/>
      <c r="GUC264" s="95"/>
      <c r="GUD264" s="95"/>
      <c r="GUE264" s="95"/>
      <c r="GUF264" s="95"/>
      <c r="GUG264" s="95"/>
      <c r="GUH264" s="95"/>
      <c r="GUI264" s="95"/>
      <c r="GUJ264" s="95"/>
      <c r="GUK264" s="95"/>
      <c r="GUL264" s="95"/>
      <c r="GUM264" s="95"/>
      <c r="GUN264" s="95"/>
      <c r="GUO264" s="95"/>
      <c r="GUP264" s="95"/>
      <c r="GUQ264" s="95"/>
      <c r="GUR264" s="95"/>
      <c r="GUS264" s="95"/>
      <c r="GUT264" s="95"/>
      <c r="GUU264" s="95"/>
      <c r="GUV264" s="95"/>
      <c r="GUW264" s="95"/>
      <c r="GUX264" s="95"/>
      <c r="GUY264" s="95"/>
      <c r="GUZ264" s="95"/>
      <c r="GVA264" s="95"/>
      <c r="GVB264" s="95"/>
      <c r="GVC264" s="95"/>
      <c r="GVD264" s="95"/>
      <c r="GVE264" s="95"/>
      <c r="GVF264" s="95"/>
      <c r="GVG264" s="95"/>
      <c r="GVH264" s="95"/>
      <c r="GVI264" s="95"/>
      <c r="GVJ264" s="95"/>
      <c r="GVK264" s="95"/>
      <c r="GVL264" s="95"/>
      <c r="GVM264" s="95"/>
      <c r="GVN264" s="95"/>
      <c r="GVO264" s="95"/>
      <c r="GVP264" s="95"/>
      <c r="GVQ264" s="95"/>
      <c r="GVR264" s="95"/>
      <c r="GVS264" s="95"/>
      <c r="GVT264" s="95"/>
      <c r="GVU264" s="95"/>
      <c r="GVV264" s="95"/>
      <c r="GVW264" s="95"/>
      <c r="GVX264" s="95"/>
      <c r="GVY264" s="95"/>
      <c r="GVZ264" s="95"/>
      <c r="GWA264" s="95"/>
      <c r="GWB264" s="95"/>
      <c r="GWC264" s="95"/>
      <c r="GWD264" s="95"/>
      <c r="GWE264" s="95"/>
      <c r="GWF264" s="95"/>
      <c r="GWG264" s="95"/>
      <c r="GWH264" s="95"/>
      <c r="GWI264" s="95"/>
      <c r="GWJ264" s="95"/>
      <c r="GWK264" s="95"/>
      <c r="GWL264" s="95"/>
      <c r="GWM264" s="95"/>
      <c r="GWN264" s="95"/>
      <c r="GWO264" s="95"/>
      <c r="GWP264" s="95"/>
      <c r="GWQ264" s="95"/>
      <c r="GWR264" s="95"/>
      <c r="GWS264" s="95"/>
      <c r="GWT264" s="95"/>
      <c r="GWU264" s="95"/>
      <c r="GWV264" s="95"/>
      <c r="GWW264" s="95"/>
      <c r="GWX264" s="95"/>
      <c r="GWY264" s="95"/>
      <c r="GWZ264" s="95"/>
      <c r="GXA264" s="95"/>
      <c r="GXB264" s="95"/>
      <c r="GXC264" s="95"/>
      <c r="GXD264" s="95"/>
      <c r="GXE264" s="95"/>
      <c r="GXF264" s="95"/>
      <c r="GXG264" s="95"/>
      <c r="GXH264" s="95"/>
      <c r="GXI264" s="95"/>
      <c r="GXJ264" s="95"/>
      <c r="GXK264" s="95"/>
      <c r="GXL264" s="95"/>
      <c r="GXM264" s="95"/>
      <c r="GXN264" s="95"/>
      <c r="GXO264" s="95"/>
      <c r="GXP264" s="95"/>
      <c r="GXQ264" s="95"/>
      <c r="GXR264" s="95"/>
      <c r="GXS264" s="95"/>
      <c r="GXT264" s="95"/>
      <c r="GXU264" s="95"/>
      <c r="GXV264" s="95"/>
      <c r="GXW264" s="95"/>
      <c r="GXX264" s="95"/>
      <c r="GXY264" s="95"/>
      <c r="GXZ264" s="95"/>
      <c r="GYA264" s="95"/>
      <c r="GYB264" s="95"/>
      <c r="GYC264" s="95"/>
      <c r="GYD264" s="95"/>
      <c r="GYE264" s="95"/>
      <c r="GYF264" s="95"/>
      <c r="GYG264" s="95"/>
      <c r="GYH264" s="95"/>
      <c r="GYI264" s="95"/>
      <c r="GYJ264" s="95"/>
      <c r="GYK264" s="95"/>
      <c r="GYL264" s="95"/>
      <c r="GYM264" s="95"/>
      <c r="GYN264" s="95"/>
      <c r="GYO264" s="95"/>
      <c r="GYP264" s="95"/>
      <c r="GYQ264" s="95"/>
      <c r="GYR264" s="95"/>
      <c r="GYS264" s="95"/>
      <c r="GYT264" s="95"/>
      <c r="GYU264" s="95"/>
      <c r="GYV264" s="95"/>
      <c r="GYW264" s="95"/>
      <c r="GYX264" s="95"/>
      <c r="GYY264" s="95"/>
      <c r="GYZ264" s="95"/>
      <c r="GZA264" s="95"/>
      <c r="GZB264" s="95"/>
      <c r="GZC264" s="95"/>
      <c r="GZD264" s="95"/>
      <c r="GZE264" s="95"/>
      <c r="GZF264" s="95"/>
      <c r="GZG264" s="95"/>
      <c r="GZH264" s="95"/>
      <c r="GZI264" s="95"/>
      <c r="GZJ264" s="95"/>
      <c r="GZK264" s="95"/>
      <c r="GZL264" s="95"/>
      <c r="GZM264" s="95"/>
      <c r="GZN264" s="95"/>
      <c r="GZO264" s="95"/>
      <c r="GZP264" s="95"/>
      <c r="GZQ264" s="95"/>
      <c r="GZR264" s="95"/>
      <c r="GZS264" s="95"/>
      <c r="GZT264" s="95"/>
      <c r="GZU264" s="95"/>
      <c r="GZV264" s="95"/>
      <c r="GZW264" s="95"/>
      <c r="GZX264" s="95"/>
      <c r="GZY264" s="95"/>
      <c r="GZZ264" s="95"/>
      <c r="HAA264" s="95"/>
      <c r="HAB264" s="95"/>
      <c r="HAC264" s="95"/>
      <c r="HAD264" s="95"/>
      <c r="HAE264" s="95"/>
      <c r="HAF264" s="95"/>
      <c r="HAG264" s="95"/>
      <c r="HAH264" s="95"/>
      <c r="HAI264" s="95"/>
      <c r="HAJ264" s="95"/>
      <c r="HAK264" s="95"/>
      <c r="HAL264" s="95"/>
      <c r="HAM264" s="95"/>
      <c r="HAN264" s="95"/>
      <c r="HAO264" s="95"/>
      <c r="HAP264" s="95"/>
      <c r="HAQ264" s="95"/>
      <c r="HAR264" s="95"/>
      <c r="HAS264" s="95"/>
      <c r="HAT264" s="95"/>
      <c r="HAU264" s="95"/>
      <c r="HAV264" s="95"/>
      <c r="HAW264" s="95"/>
      <c r="HAX264" s="95"/>
      <c r="HAY264" s="95"/>
      <c r="HAZ264" s="95"/>
      <c r="HBA264" s="95"/>
      <c r="HBB264" s="95"/>
      <c r="HBC264" s="95"/>
      <c r="HBD264" s="95"/>
      <c r="HBE264" s="95"/>
      <c r="HBF264" s="95"/>
      <c r="HBG264" s="95"/>
      <c r="HBH264" s="95"/>
      <c r="HBI264" s="95"/>
      <c r="HBJ264" s="95"/>
      <c r="HBK264" s="95"/>
      <c r="HBL264" s="95"/>
      <c r="HBM264" s="95"/>
      <c r="HBN264" s="95"/>
      <c r="HBO264" s="95"/>
      <c r="HBP264" s="95"/>
      <c r="HBQ264" s="95"/>
      <c r="HBR264" s="95"/>
      <c r="HBS264" s="95"/>
      <c r="HBT264" s="95"/>
      <c r="HBU264" s="95"/>
      <c r="HBV264" s="95"/>
      <c r="HBW264" s="95"/>
      <c r="HBX264" s="95"/>
      <c r="HBY264" s="95"/>
      <c r="HBZ264" s="95"/>
      <c r="HCA264" s="95"/>
      <c r="HCB264" s="95"/>
      <c r="HCC264" s="95"/>
      <c r="HCD264" s="95"/>
      <c r="HCE264" s="95"/>
      <c r="HCF264" s="95"/>
      <c r="HCG264" s="95"/>
      <c r="HCH264" s="95"/>
      <c r="HCI264" s="95"/>
      <c r="HCJ264" s="95"/>
      <c r="HCK264" s="95"/>
      <c r="HCL264" s="95"/>
      <c r="HCM264" s="95"/>
      <c r="HCN264" s="95"/>
      <c r="HCO264" s="95"/>
      <c r="HCP264" s="95"/>
      <c r="HCQ264" s="95"/>
      <c r="HCR264" s="95"/>
      <c r="HCS264" s="95"/>
      <c r="HCT264" s="95"/>
      <c r="HCU264" s="95"/>
      <c r="HCV264" s="95"/>
      <c r="HCW264" s="95"/>
      <c r="HCX264" s="95"/>
      <c r="HCY264" s="95"/>
      <c r="HCZ264" s="95"/>
      <c r="HDA264" s="95"/>
      <c r="HDB264" s="95"/>
      <c r="HDC264" s="95"/>
      <c r="HDD264" s="95"/>
      <c r="HDE264" s="95"/>
      <c r="HDF264" s="95"/>
      <c r="HDG264" s="95"/>
      <c r="HDH264" s="95"/>
      <c r="HDI264" s="95"/>
      <c r="HDJ264" s="95"/>
      <c r="HDK264" s="95"/>
      <c r="HDL264" s="95"/>
      <c r="HDM264" s="95"/>
      <c r="HDN264" s="95"/>
      <c r="HDO264" s="95"/>
      <c r="HDP264" s="95"/>
      <c r="HDQ264" s="95"/>
      <c r="HDR264" s="95"/>
      <c r="HDS264" s="95"/>
      <c r="HDT264" s="95"/>
      <c r="HDU264" s="95"/>
      <c r="HDV264" s="95"/>
      <c r="HDW264" s="95"/>
      <c r="HDX264" s="95"/>
      <c r="HDY264" s="95"/>
      <c r="HDZ264" s="95"/>
      <c r="HEA264" s="95"/>
      <c r="HEB264" s="95"/>
      <c r="HEC264" s="95"/>
      <c r="HED264" s="95"/>
      <c r="HEE264" s="95"/>
      <c r="HEF264" s="95"/>
      <c r="HEG264" s="95"/>
      <c r="HEH264" s="95"/>
      <c r="HEI264" s="95"/>
      <c r="HEJ264" s="95"/>
      <c r="HEK264" s="95"/>
      <c r="HEL264" s="95"/>
      <c r="HEM264" s="95"/>
      <c r="HEN264" s="95"/>
      <c r="HEO264" s="95"/>
      <c r="HEP264" s="95"/>
      <c r="HEQ264" s="95"/>
      <c r="HER264" s="95"/>
      <c r="HES264" s="95"/>
      <c r="HET264" s="95"/>
      <c r="HEU264" s="95"/>
      <c r="HEV264" s="95"/>
      <c r="HEW264" s="95"/>
      <c r="HEX264" s="95"/>
      <c r="HEY264" s="95"/>
      <c r="HEZ264" s="95"/>
      <c r="HFA264" s="95"/>
      <c r="HFB264" s="95"/>
      <c r="HFC264" s="95"/>
      <c r="HFD264" s="95"/>
      <c r="HFE264" s="95"/>
      <c r="HFF264" s="95"/>
      <c r="HFG264" s="95"/>
      <c r="HFH264" s="95"/>
      <c r="HFI264" s="95"/>
      <c r="HFJ264" s="95"/>
      <c r="HFK264" s="95"/>
      <c r="HFL264" s="95"/>
      <c r="HFM264" s="95"/>
      <c r="HFN264" s="95"/>
      <c r="HFO264" s="95"/>
      <c r="HFP264" s="95"/>
      <c r="HFQ264" s="95"/>
      <c r="HFR264" s="95"/>
      <c r="HFS264" s="95"/>
      <c r="HFT264" s="95"/>
      <c r="HFU264" s="95"/>
      <c r="HFV264" s="95"/>
      <c r="HFW264" s="95"/>
      <c r="HFX264" s="95"/>
      <c r="HFY264" s="95"/>
      <c r="HFZ264" s="95"/>
      <c r="HGA264" s="95"/>
      <c r="HGB264" s="95"/>
      <c r="HGC264" s="95"/>
      <c r="HGD264" s="95"/>
      <c r="HGE264" s="95"/>
      <c r="HGF264" s="95"/>
      <c r="HGG264" s="95"/>
      <c r="HGH264" s="95"/>
      <c r="HGI264" s="95"/>
      <c r="HGJ264" s="95"/>
      <c r="HGK264" s="95"/>
      <c r="HGL264" s="95"/>
      <c r="HGM264" s="95"/>
      <c r="HGN264" s="95"/>
      <c r="HGO264" s="95"/>
      <c r="HGP264" s="95"/>
      <c r="HGQ264" s="95"/>
      <c r="HGR264" s="95"/>
      <c r="HGS264" s="95"/>
      <c r="HGT264" s="95"/>
      <c r="HGU264" s="95"/>
      <c r="HGV264" s="95"/>
      <c r="HGW264" s="95"/>
      <c r="HGX264" s="95"/>
      <c r="HGY264" s="95"/>
      <c r="HGZ264" s="95"/>
      <c r="HHA264" s="95"/>
      <c r="HHB264" s="95"/>
      <c r="HHC264" s="95"/>
      <c r="HHD264" s="95"/>
      <c r="HHE264" s="95"/>
      <c r="HHF264" s="95"/>
      <c r="HHG264" s="95"/>
      <c r="HHH264" s="95"/>
      <c r="HHI264" s="95"/>
      <c r="HHJ264" s="95"/>
      <c r="HHK264" s="95"/>
      <c r="HHL264" s="95"/>
      <c r="HHM264" s="95"/>
      <c r="HHN264" s="95"/>
      <c r="HHO264" s="95"/>
      <c r="HHP264" s="95"/>
      <c r="HHQ264" s="95"/>
      <c r="HHR264" s="95"/>
      <c r="HHS264" s="95"/>
      <c r="HHT264" s="95"/>
      <c r="HHU264" s="95"/>
      <c r="HHV264" s="95"/>
      <c r="HHW264" s="95"/>
      <c r="HHX264" s="95"/>
      <c r="HHY264" s="95"/>
      <c r="HHZ264" s="95"/>
      <c r="HIA264" s="95"/>
      <c r="HIB264" s="95"/>
      <c r="HIC264" s="95"/>
      <c r="HID264" s="95"/>
      <c r="HIE264" s="95"/>
      <c r="HIF264" s="95"/>
      <c r="HIG264" s="95"/>
      <c r="HIH264" s="95"/>
      <c r="HII264" s="95"/>
      <c r="HIJ264" s="95"/>
      <c r="HIK264" s="95"/>
      <c r="HIL264" s="95"/>
      <c r="HIM264" s="95"/>
      <c r="HIN264" s="95"/>
      <c r="HIO264" s="95"/>
      <c r="HIP264" s="95"/>
      <c r="HIQ264" s="95"/>
      <c r="HIR264" s="95"/>
      <c r="HIS264" s="95"/>
      <c r="HIT264" s="95"/>
      <c r="HIU264" s="95"/>
      <c r="HIV264" s="95"/>
      <c r="HIW264" s="95"/>
      <c r="HIX264" s="95"/>
      <c r="HIY264" s="95"/>
      <c r="HIZ264" s="95"/>
      <c r="HJA264" s="95"/>
      <c r="HJB264" s="95"/>
      <c r="HJC264" s="95"/>
      <c r="HJD264" s="95"/>
      <c r="HJE264" s="95"/>
      <c r="HJF264" s="95"/>
      <c r="HJG264" s="95"/>
      <c r="HJH264" s="95"/>
      <c r="HJI264" s="95"/>
      <c r="HJJ264" s="95"/>
      <c r="HJK264" s="95"/>
      <c r="HJL264" s="95"/>
      <c r="HJM264" s="95"/>
      <c r="HJN264" s="95"/>
      <c r="HJO264" s="95"/>
      <c r="HJP264" s="95"/>
      <c r="HJQ264" s="95"/>
      <c r="HJR264" s="95"/>
      <c r="HJS264" s="95"/>
      <c r="HJT264" s="95"/>
      <c r="HJU264" s="95"/>
      <c r="HJV264" s="95"/>
      <c r="HJW264" s="95"/>
      <c r="HJX264" s="95"/>
      <c r="HJY264" s="95"/>
      <c r="HJZ264" s="95"/>
      <c r="HKA264" s="95"/>
      <c r="HKB264" s="95"/>
      <c r="HKC264" s="95"/>
      <c r="HKD264" s="95"/>
      <c r="HKE264" s="95"/>
      <c r="HKF264" s="95"/>
      <c r="HKG264" s="95"/>
      <c r="HKH264" s="95"/>
      <c r="HKI264" s="95"/>
      <c r="HKJ264" s="95"/>
      <c r="HKK264" s="95"/>
      <c r="HKL264" s="95"/>
      <c r="HKM264" s="95"/>
      <c r="HKN264" s="95"/>
      <c r="HKO264" s="95"/>
      <c r="HKP264" s="95"/>
      <c r="HKQ264" s="95"/>
      <c r="HKR264" s="95"/>
      <c r="HKS264" s="95"/>
      <c r="HKT264" s="95"/>
      <c r="HKU264" s="95"/>
      <c r="HKV264" s="95"/>
      <c r="HKW264" s="95"/>
      <c r="HKX264" s="95"/>
      <c r="HKY264" s="95"/>
      <c r="HKZ264" s="95"/>
      <c r="HLA264" s="95"/>
      <c r="HLB264" s="95"/>
      <c r="HLC264" s="95"/>
      <c r="HLD264" s="95"/>
      <c r="HLE264" s="95"/>
      <c r="HLF264" s="95"/>
      <c r="HLG264" s="95"/>
      <c r="HLH264" s="95"/>
      <c r="HLI264" s="95"/>
      <c r="HLJ264" s="95"/>
      <c r="HLK264" s="95"/>
      <c r="HLL264" s="95"/>
      <c r="HLM264" s="95"/>
      <c r="HLN264" s="95"/>
      <c r="HLO264" s="95"/>
      <c r="HLP264" s="95"/>
      <c r="HLQ264" s="95"/>
      <c r="HLR264" s="95"/>
      <c r="HLS264" s="95"/>
      <c r="HLT264" s="95"/>
      <c r="HLU264" s="95"/>
      <c r="HLV264" s="95"/>
      <c r="HLW264" s="95"/>
      <c r="HLX264" s="95"/>
      <c r="HLY264" s="95"/>
      <c r="HLZ264" s="95"/>
      <c r="HMA264" s="95"/>
      <c r="HMB264" s="95"/>
      <c r="HMC264" s="95"/>
      <c r="HMD264" s="95"/>
      <c r="HME264" s="95"/>
      <c r="HMF264" s="95"/>
      <c r="HMG264" s="95"/>
      <c r="HMH264" s="95"/>
      <c r="HMI264" s="95"/>
      <c r="HMJ264" s="95"/>
      <c r="HMK264" s="95"/>
      <c r="HML264" s="95"/>
      <c r="HMM264" s="95"/>
      <c r="HMN264" s="95"/>
      <c r="HMO264" s="95"/>
      <c r="HMP264" s="95"/>
      <c r="HMQ264" s="95"/>
      <c r="HMR264" s="95"/>
      <c r="HMS264" s="95"/>
      <c r="HMT264" s="95"/>
      <c r="HMU264" s="95"/>
      <c r="HMV264" s="95"/>
      <c r="HMW264" s="95"/>
      <c r="HMX264" s="95"/>
      <c r="HMY264" s="95"/>
      <c r="HMZ264" s="95"/>
      <c r="HNA264" s="95"/>
      <c r="HNB264" s="95"/>
      <c r="HNC264" s="95"/>
      <c r="HND264" s="95"/>
      <c r="HNE264" s="95"/>
      <c r="HNF264" s="95"/>
      <c r="HNG264" s="95"/>
      <c r="HNH264" s="95"/>
      <c r="HNI264" s="95"/>
      <c r="HNJ264" s="95"/>
      <c r="HNK264" s="95"/>
      <c r="HNL264" s="95"/>
      <c r="HNM264" s="95"/>
      <c r="HNN264" s="95"/>
      <c r="HNO264" s="95"/>
      <c r="HNP264" s="95"/>
      <c r="HNQ264" s="95"/>
      <c r="HNR264" s="95"/>
      <c r="HNS264" s="95"/>
      <c r="HNT264" s="95"/>
      <c r="HNU264" s="95"/>
      <c r="HNV264" s="95"/>
      <c r="HNW264" s="95"/>
      <c r="HNX264" s="95"/>
      <c r="HNY264" s="95"/>
      <c r="HNZ264" s="95"/>
      <c r="HOA264" s="95"/>
      <c r="HOB264" s="95"/>
      <c r="HOC264" s="95"/>
      <c r="HOD264" s="95"/>
      <c r="HOE264" s="95"/>
      <c r="HOF264" s="95"/>
      <c r="HOG264" s="95"/>
      <c r="HOH264" s="95"/>
      <c r="HOI264" s="95"/>
      <c r="HOJ264" s="95"/>
      <c r="HOK264" s="95"/>
      <c r="HOL264" s="95"/>
      <c r="HOM264" s="95"/>
      <c r="HON264" s="95"/>
      <c r="HOO264" s="95"/>
      <c r="HOP264" s="95"/>
      <c r="HOQ264" s="95"/>
      <c r="HOR264" s="95"/>
      <c r="HOS264" s="95"/>
      <c r="HOT264" s="95"/>
      <c r="HOU264" s="95"/>
      <c r="HOV264" s="95"/>
      <c r="HOW264" s="95"/>
      <c r="HOX264" s="95"/>
      <c r="HOY264" s="95"/>
      <c r="HOZ264" s="95"/>
      <c r="HPA264" s="95"/>
      <c r="HPB264" s="95"/>
      <c r="HPC264" s="95"/>
      <c r="HPD264" s="95"/>
      <c r="HPE264" s="95"/>
      <c r="HPF264" s="95"/>
      <c r="HPG264" s="95"/>
      <c r="HPH264" s="95"/>
      <c r="HPI264" s="95"/>
      <c r="HPJ264" s="95"/>
      <c r="HPK264" s="95"/>
      <c r="HPL264" s="95"/>
      <c r="HPM264" s="95"/>
      <c r="HPN264" s="95"/>
      <c r="HPO264" s="95"/>
      <c r="HPP264" s="95"/>
      <c r="HPQ264" s="95"/>
      <c r="HPR264" s="95"/>
      <c r="HPS264" s="95"/>
      <c r="HPT264" s="95"/>
      <c r="HPU264" s="95"/>
      <c r="HPV264" s="95"/>
      <c r="HPW264" s="95"/>
      <c r="HPX264" s="95"/>
      <c r="HPY264" s="95"/>
      <c r="HPZ264" s="95"/>
      <c r="HQA264" s="95"/>
      <c r="HQB264" s="95"/>
      <c r="HQC264" s="95"/>
      <c r="HQD264" s="95"/>
      <c r="HQE264" s="95"/>
      <c r="HQF264" s="95"/>
      <c r="HQG264" s="95"/>
      <c r="HQH264" s="95"/>
      <c r="HQI264" s="95"/>
      <c r="HQJ264" s="95"/>
      <c r="HQK264" s="95"/>
      <c r="HQL264" s="95"/>
      <c r="HQM264" s="95"/>
      <c r="HQN264" s="95"/>
      <c r="HQO264" s="95"/>
      <c r="HQP264" s="95"/>
      <c r="HQQ264" s="95"/>
      <c r="HQR264" s="95"/>
      <c r="HQS264" s="95"/>
      <c r="HQT264" s="95"/>
      <c r="HQU264" s="95"/>
      <c r="HQV264" s="95"/>
      <c r="HQW264" s="95"/>
      <c r="HQX264" s="95"/>
      <c r="HQY264" s="95"/>
      <c r="HQZ264" s="95"/>
      <c r="HRA264" s="95"/>
      <c r="HRB264" s="95"/>
      <c r="HRC264" s="95"/>
      <c r="HRD264" s="95"/>
      <c r="HRE264" s="95"/>
      <c r="HRF264" s="95"/>
      <c r="HRG264" s="95"/>
      <c r="HRH264" s="95"/>
      <c r="HRI264" s="95"/>
      <c r="HRJ264" s="95"/>
      <c r="HRK264" s="95"/>
      <c r="HRL264" s="95"/>
      <c r="HRM264" s="95"/>
      <c r="HRN264" s="95"/>
      <c r="HRO264" s="95"/>
      <c r="HRP264" s="95"/>
      <c r="HRQ264" s="95"/>
      <c r="HRR264" s="95"/>
      <c r="HRS264" s="95"/>
      <c r="HRT264" s="95"/>
      <c r="HRU264" s="95"/>
      <c r="HRV264" s="95"/>
      <c r="HRW264" s="95"/>
      <c r="HRX264" s="95"/>
      <c r="HRY264" s="95"/>
      <c r="HRZ264" s="95"/>
      <c r="HSA264" s="95"/>
      <c r="HSB264" s="95"/>
      <c r="HSC264" s="95"/>
      <c r="HSD264" s="95"/>
      <c r="HSE264" s="95"/>
      <c r="HSF264" s="95"/>
      <c r="HSG264" s="95"/>
      <c r="HSH264" s="95"/>
      <c r="HSI264" s="95"/>
      <c r="HSJ264" s="95"/>
      <c r="HSK264" s="95"/>
      <c r="HSL264" s="95"/>
      <c r="HSM264" s="95"/>
      <c r="HSN264" s="95"/>
      <c r="HSO264" s="95"/>
      <c r="HSP264" s="95"/>
      <c r="HSQ264" s="95"/>
      <c r="HSR264" s="95"/>
      <c r="HSS264" s="95"/>
      <c r="HST264" s="95"/>
      <c r="HSU264" s="95"/>
      <c r="HSV264" s="95"/>
      <c r="HSW264" s="95"/>
      <c r="HSX264" s="95"/>
      <c r="HSY264" s="95"/>
      <c r="HSZ264" s="95"/>
      <c r="HTA264" s="95"/>
      <c r="HTB264" s="95"/>
      <c r="HTC264" s="95"/>
      <c r="HTD264" s="95"/>
      <c r="HTE264" s="95"/>
      <c r="HTF264" s="95"/>
      <c r="HTG264" s="95"/>
      <c r="HTH264" s="95"/>
      <c r="HTI264" s="95"/>
      <c r="HTJ264" s="95"/>
      <c r="HTK264" s="95"/>
      <c r="HTL264" s="95"/>
      <c r="HTM264" s="95"/>
      <c r="HTN264" s="95"/>
      <c r="HTO264" s="95"/>
      <c r="HTP264" s="95"/>
      <c r="HTQ264" s="95"/>
      <c r="HTR264" s="95"/>
      <c r="HTS264" s="95"/>
      <c r="HTT264" s="95"/>
      <c r="HTU264" s="95"/>
      <c r="HTV264" s="95"/>
      <c r="HTW264" s="95"/>
      <c r="HTX264" s="95"/>
      <c r="HTY264" s="95"/>
      <c r="HTZ264" s="95"/>
      <c r="HUA264" s="95"/>
      <c r="HUB264" s="95"/>
      <c r="HUC264" s="95"/>
      <c r="HUD264" s="95"/>
      <c r="HUE264" s="95"/>
      <c r="HUF264" s="95"/>
      <c r="HUG264" s="95"/>
      <c r="HUH264" s="95"/>
      <c r="HUI264" s="95"/>
      <c r="HUJ264" s="95"/>
      <c r="HUK264" s="95"/>
      <c r="HUL264" s="95"/>
      <c r="HUM264" s="95"/>
      <c r="HUN264" s="95"/>
      <c r="HUO264" s="95"/>
      <c r="HUP264" s="95"/>
      <c r="HUQ264" s="95"/>
      <c r="HUR264" s="95"/>
      <c r="HUS264" s="95"/>
      <c r="HUT264" s="95"/>
      <c r="HUU264" s="95"/>
      <c r="HUV264" s="95"/>
      <c r="HUW264" s="95"/>
      <c r="HUX264" s="95"/>
      <c r="HUY264" s="95"/>
      <c r="HUZ264" s="95"/>
      <c r="HVA264" s="95"/>
      <c r="HVB264" s="95"/>
      <c r="HVC264" s="95"/>
      <c r="HVD264" s="95"/>
      <c r="HVE264" s="95"/>
      <c r="HVF264" s="95"/>
      <c r="HVG264" s="95"/>
      <c r="HVH264" s="95"/>
      <c r="HVI264" s="95"/>
      <c r="HVJ264" s="95"/>
      <c r="HVK264" s="95"/>
      <c r="HVL264" s="95"/>
      <c r="HVM264" s="95"/>
      <c r="HVN264" s="95"/>
      <c r="HVO264" s="95"/>
      <c r="HVP264" s="95"/>
      <c r="HVQ264" s="95"/>
      <c r="HVR264" s="95"/>
      <c r="HVS264" s="95"/>
      <c r="HVT264" s="95"/>
      <c r="HVU264" s="95"/>
      <c r="HVV264" s="95"/>
      <c r="HVW264" s="95"/>
      <c r="HVX264" s="95"/>
      <c r="HVY264" s="95"/>
      <c r="HVZ264" s="95"/>
      <c r="HWA264" s="95"/>
      <c r="HWB264" s="95"/>
      <c r="HWC264" s="95"/>
      <c r="HWD264" s="95"/>
      <c r="HWE264" s="95"/>
      <c r="HWF264" s="95"/>
      <c r="HWG264" s="95"/>
      <c r="HWH264" s="95"/>
      <c r="HWI264" s="95"/>
      <c r="HWJ264" s="95"/>
      <c r="HWK264" s="95"/>
      <c r="HWL264" s="95"/>
      <c r="HWM264" s="95"/>
      <c r="HWN264" s="95"/>
      <c r="HWO264" s="95"/>
      <c r="HWP264" s="95"/>
      <c r="HWQ264" s="95"/>
      <c r="HWR264" s="95"/>
      <c r="HWS264" s="95"/>
      <c r="HWT264" s="95"/>
      <c r="HWU264" s="95"/>
      <c r="HWV264" s="95"/>
      <c r="HWW264" s="95"/>
      <c r="HWX264" s="95"/>
      <c r="HWY264" s="95"/>
      <c r="HWZ264" s="95"/>
      <c r="HXA264" s="95"/>
      <c r="HXB264" s="95"/>
      <c r="HXC264" s="95"/>
      <c r="HXD264" s="95"/>
      <c r="HXE264" s="95"/>
      <c r="HXF264" s="95"/>
      <c r="HXG264" s="95"/>
      <c r="HXH264" s="95"/>
      <c r="HXI264" s="95"/>
      <c r="HXJ264" s="95"/>
      <c r="HXK264" s="95"/>
      <c r="HXL264" s="95"/>
      <c r="HXM264" s="95"/>
      <c r="HXN264" s="95"/>
      <c r="HXO264" s="95"/>
      <c r="HXP264" s="95"/>
      <c r="HXQ264" s="95"/>
      <c r="HXR264" s="95"/>
      <c r="HXS264" s="95"/>
      <c r="HXT264" s="95"/>
      <c r="HXU264" s="95"/>
      <c r="HXV264" s="95"/>
      <c r="HXW264" s="95"/>
      <c r="HXX264" s="95"/>
      <c r="HXY264" s="95"/>
      <c r="HXZ264" s="95"/>
      <c r="HYA264" s="95"/>
      <c r="HYB264" s="95"/>
      <c r="HYC264" s="95"/>
      <c r="HYD264" s="95"/>
      <c r="HYE264" s="95"/>
      <c r="HYF264" s="95"/>
      <c r="HYG264" s="95"/>
      <c r="HYH264" s="95"/>
      <c r="HYI264" s="95"/>
      <c r="HYJ264" s="95"/>
      <c r="HYK264" s="95"/>
      <c r="HYL264" s="95"/>
      <c r="HYM264" s="95"/>
      <c r="HYN264" s="95"/>
      <c r="HYO264" s="95"/>
      <c r="HYP264" s="95"/>
      <c r="HYQ264" s="95"/>
      <c r="HYR264" s="95"/>
      <c r="HYS264" s="95"/>
      <c r="HYT264" s="95"/>
      <c r="HYU264" s="95"/>
      <c r="HYV264" s="95"/>
      <c r="HYW264" s="95"/>
      <c r="HYX264" s="95"/>
      <c r="HYY264" s="95"/>
      <c r="HYZ264" s="95"/>
      <c r="HZA264" s="95"/>
      <c r="HZB264" s="95"/>
      <c r="HZC264" s="95"/>
      <c r="HZD264" s="95"/>
      <c r="HZE264" s="95"/>
      <c r="HZF264" s="95"/>
      <c r="HZG264" s="95"/>
      <c r="HZH264" s="95"/>
      <c r="HZI264" s="95"/>
      <c r="HZJ264" s="95"/>
      <c r="HZK264" s="95"/>
      <c r="HZL264" s="95"/>
      <c r="HZM264" s="95"/>
      <c r="HZN264" s="95"/>
      <c r="HZO264" s="95"/>
      <c r="HZP264" s="95"/>
      <c r="HZQ264" s="95"/>
      <c r="HZR264" s="95"/>
      <c r="HZS264" s="95"/>
      <c r="HZT264" s="95"/>
      <c r="HZU264" s="95"/>
      <c r="HZV264" s="95"/>
      <c r="HZW264" s="95"/>
      <c r="HZX264" s="95"/>
      <c r="HZY264" s="95"/>
      <c r="HZZ264" s="95"/>
      <c r="IAA264" s="95"/>
      <c r="IAB264" s="95"/>
      <c r="IAC264" s="95"/>
      <c r="IAD264" s="95"/>
      <c r="IAE264" s="95"/>
      <c r="IAF264" s="95"/>
      <c r="IAG264" s="95"/>
      <c r="IAH264" s="95"/>
      <c r="IAI264" s="95"/>
      <c r="IAJ264" s="95"/>
      <c r="IAK264" s="95"/>
      <c r="IAL264" s="95"/>
      <c r="IAM264" s="95"/>
      <c r="IAN264" s="95"/>
      <c r="IAO264" s="95"/>
      <c r="IAP264" s="95"/>
      <c r="IAQ264" s="95"/>
      <c r="IAR264" s="95"/>
      <c r="IAS264" s="95"/>
      <c r="IAT264" s="95"/>
      <c r="IAU264" s="95"/>
      <c r="IAV264" s="95"/>
      <c r="IAW264" s="95"/>
      <c r="IAX264" s="95"/>
      <c r="IAY264" s="95"/>
      <c r="IAZ264" s="95"/>
      <c r="IBA264" s="95"/>
      <c r="IBB264" s="95"/>
      <c r="IBC264" s="95"/>
      <c r="IBD264" s="95"/>
      <c r="IBE264" s="95"/>
      <c r="IBF264" s="95"/>
      <c r="IBG264" s="95"/>
      <c r="IBH264" s="95"/>
      <c r="IBI264" s="95"/>
      <c r="IBJ264" s="95"/>
      <c r="IBK264" s="95"/>
      <c r="IBL264" s="95"/>
      <c r="IBM264" s="95"/>
      <c r="IBN264" s="95"/>
      <c r="IBO264" s="95"/>
      <c r="IBP264" s="95"/>
      <c r="IBQ264" s="95"/>
      <c r="IBR264" s="95"/>
      <c r="IBS264" s="95"/>
      <c r="IBT264" s="95"/>
      <c r="IBU264" s="95"/>
      <c r="IBV264" s="95"/>
      <c r="IBW264" s="95"/>
      <c r="IBX264" s="95"/>
      <c r="IBY264" s="95"/>
      <c r="IBZ264" s="95"/>
      <c r="ICA264" s="95"/>
      <c r="ICB264" s="95"/>
      <c r="ICC264" s="95"/>
      <c r="ICD264" s="95"/>
      <c r="ICE264" s="95"/>
      <c r="ICF264" s="95"/>
      <c r="ICG264" s="95"/>
      <c r="ICH264" s="95"/>
      <c r="ICI264" s="95"/>
      <c r="ICJ264" s="95"/>
      <c r="ICK264" s="95"/>
      <c r="ICL264" s="95"/>
      <c r="ICM264" s="95"/>
      <c r="ICN264" s="95"/>
      <c r="ICO264" s="95"/>
      <c r="ICP264" s="95"/>
      <c r="ICQ264" s="95"/>
      <c r="ICR264" s="95"/>
      <c r="ICS264" s="95"/>
      <c r="ICT264" s="95"/>
      <c r="ICU264" s="95"/>
      <c r="ICV264" s="95"/>
      <c r="ICW264" s="95"/>
      <c r="ICX264" s="95"/>
      <c r="ICY264" s="95"/>
      <c r="ICZ264" s="95"/>
      <c r="IDA264" s="95"/>
      <c r="IDB264" s="95"/>
      <c r="IDC264" s="95"/>
      <c r="IDD264" s="95"/>
      <c r="IDE264" s="95"/>
      <c r="IDF264" s="95"/>
      <c r="IDG264" s="95"/>
      <c r="IDH264" s="95"/>
      <c r="IDI264" s="95"/>
      <c r="IDJ264" s="95"/>
      <c r="IDK264" s="95"/>
      <c r="IDL264" s="95"/>
      <c r="IDM264" s="95"/>
      <c r="IDN264" s="95"/>
      <c r="IDO264" s="95"/>
      <c r="IDP264" s="95"/>
      <c r="IDQ264" s="95"/>
      <c r="IDR264" s="95"/>
      <c r="IDS264" s="95"/>
      <c r="IDT264" s="95"/>
      <c r="IDU264" s="95"/>
      <c r="IDV264" s="95"/>
      <c r="IDW264" s="95"/>
      <c r="IDX264" s="95"/>
      <c r="IDY264" s="95"/>
      <c r="IDZ264" s="95"/>
      <c r="IEA264" s="95"/>
      <c r="IEB264" s="95"/>
      <c r="IEC264" s="95"/>
      <c r="IED264" s="95"/>
      <c r="IEE264" s="95"/>
      <c r="IEF264" s="95"/>
      <c r="IEG264" s="95"/>
      <c r="IEH264" s="95"/>
      <c r="IEI264" s="95"/>
      <c r="IEJ264" s="95"/>
      <c r="IEK264" s="95"/>
      <c r="IEL264" s="95"/>
      <c r="IEM264" s="95"/>
      <c r="IEN264" s="95"/>
      <c r="IEO264" s="95"/>
      <c r="IEP264" s="95"/>
      <c r="IEQ264" s="95"/>
      <c r="IER264" s="95"/>
      <c r="IES264" s="95"/>
      <c r="IET264" s="95"/>
      <c r="IEU264" s="95"/>
      <c r="IEV264" s="95"/>
      <c r="IEW264" s="95"/>
      <c r="IEX264" s="95"/>
      <c r="IEY264" s="95"/>
      <c r="IEZ264" s="95"/>
      <c r="IFA264" s="95"/>
      <c r="IFB264" s="95"/>
      <c r="IFC264" s="95"/>
      <c r="IFD264" s="95"/>
      <c r="IFE264" s="95"/>
      <c r="IFF264" s="95"/>
      <c r="IFG264" s="95"/>
      <c r="IFH264" s="95"/>
      <c r="IFI264" s="95"/>
      <c r="IFJ264" s="95"/>
      <c r="IFK264" s="95"/>
      <c r="IFL264" s="95"/>
      <c r="IFM264" s="95"/>
      <c r="IFN264" s="95"/>
      <c r="IFO264" s="95"/>
      <c r="IFP264" s="95"/>
      <c r="IFQ264" s="95"/>
      <c r="IFR264" s="95"/>
      <c r="IFS264" s="95"/>
      <c r="IFT264" s="95"/>
      <c r="IFU264" s="95"/>
      <c r="IFV264" s="95"/>
      <c r="IFW264" s="95"/>
      <c r="IFX264" s="95"/>
      <c r="IFY264" s="95"/>
      <c r="IFZ264" s="95"/>
      <c r="IGA264" s="95"/>
      <c r="IGB264" s="95"/>
      <c r="IGC264" s="95"/>
      <c r="IGD264" s="95"/>
      <c r="IGE264" s="95"/>
      <c r="IGF264" s="95"/>
      <c r="IGG264" s="95"/>
      <c r="IGH264" s="95"/>
      <c r="IGI264" s="95"/>
      <c r="IGJ264" s="95"/>
      <c r="IGK264" s="95"/>
      <c r="IGL264" s="95"/>
      <c r="IGM264" s="95"/>
      <c r="IGN264" s="95"/>
      <c r="IGO264" s="95"/>
      <c r="IGP264" s="95"/>
      <c r="IGQ264" s="95"/>
      <c r="IGR264" s="95"/>
      <c r="IGS264" s="95"/>
      <c r="IGT264" s="95"/>
      <c r="IGU264" s="95"/>
      <c r="IGV264" s="95"/>
      <c r="IGW264" s="95"/>
      <c r="IGX264" s="95"/>
      <c r="IGY264" s="95"/>
      <c r="IGZ264" s="95"/>
      <c r="IHA264" s="95"/>
      <c r="IHB264" s="95"/>
      <c r="IHC264" s="95"/>
      <c r="IHD264" s="95"/>
      <c r="IHE264" s="95"/>
      <c r="IHF264" s="95"/>
      <c r="IHG264" s="95"/>
      <c r="IHH264" s="95"/>
      <c r="IHI264" s="95"/>
      <c r="IHJ264" s="95"/>
      <c r="IHK264" s="95"/>
      <c r="IHL264" s="95"/>
      <c r="IHM264" s="95"/>
      <c r="IHN264" s="95"/>
      <c r="IHO264" s="95"/>
      <c r="IHP264" s="95"/>
      <c r="IHQ264" s="95"/>
      <c r="IHR264" s="95"/>
      <c r="IHS264" s="95"/>
      <c r="IHT264" s="95"/>
      <c r="IHU264" s="95"/>
      <c r="IHV264" s="95"/>
      <c r="IHW264" s="95"/>
      <c r="IHX264" s="95"/>
      <c r="IHY264" s="95"/>
      <c r="IHZ264" s="95"/>
      <c r="IIA264" s="95"/>
      <c r="IIB264" s="95"/>
      <c r="IIC264" s="95"/>
      <c r="IID264" s="95"/>
      <c r="IIE264" s="95"/>
      <c r="IIF264" s="95"/>
      <c r="IIG264" s="95"/>
      <c r="IIH264" s="95"/>
      <c r="III264" s="95"/>
      <c r="IIJ264" s="95"/>
      <c r="IIK264" s="95"/>
      <c r="IIL264" s="95"/>
      <c r="IIM264" s="95"/>
      <c r="IIN264" s="95"/>
      <c r="IIO264" s="95"/>
      <c r="IIP264" s="95"/>
      <c r="IIQ264" s="95"/>
      <c r="IIR264" s="95"/>
      <c r="IIS264" s="95"/>
      <c r="IIT264" s="95"/>
      <c r="IIU264" s="95"/>
      <c r="IIV264" s="95"/>
      <c r="IIW264" s="95"/>
      <c r="IIX264" s="95"/>
      <c r="IIY264" s="95"/>
      <c r="IIZ264" s="95"/>
      <c r="IJA264" s="95"/>
      <c r="IJB264" s="95"/>
      <c r="IJC264" s="95"/>
      <c r="IJD264" s="95"/>
      <c r="IJE264" s="95"/>
      <c r="IJF264" s="95"/>
      <c r="IJG264" s="95"/>
      <c r="IJH264" s="95"/>
      <c r="IJI264" s="95"/>
      <c r="IJJ264" s="95"/>
      <c r="IJK264" s="95"/>
      <c r="IJL264" s="95"/>
      <c r="IJM264" s="95"/>
      <c r="IJN264" s="95"/>
      <c r="IJO264" s="95"/>
      <c r="IJP264" s="95"/>
      <c r="IJQ264" s="95"/>
      <c r="IJR264" s="95"/>
      <c r="IJS264" s="95"/>
      <c r="IJT264" s="95"/>
      <c r="IJU264" s="95"/>
      <c r="IJV264" s="95"/>
      <c r="IJW264" s="95"/>
      <c r="IJX264" s="95"/>
      <c r="IJY264" s="95"/>
      <c r="IJZ264" s="95"/>
      <c r="IKA264" s="95"/>
      <c r="IKB264" s="95"/>
      <c r="IKC264" s="95"/>
      <c r="IKD264" s="95"/>
      <c r="IKE264" s="95"/>
      <c r="IKF264" s="95"/>
      <c r="IKG264" s="95"/>
      <c r="IKH264" s="95"/>
      <c r="IKI264" s="95"/>
      <c r="IKJ264" s="95"/>
      <c r="IKK264" s="95"/>
      <c r="IKL264" s="95"/>
      <c r="IKM264" s="95"/>
      <c r="IKN264" s="95"/>
      <c r="IKO264" s="95"/>
      <c r="IKP264" s="95"/>
      <c r="IKQ264" s="95"/>
      <c r="IKR264" s="95"/>
      <c r="IKS264" s="95"/>
      <c r="IKT264" s="95"/>
      <c r="IKU264" s="95"/>
      <c r="IKV264" s="95"/>
      <c r="IKW264" s="95"/>
      <c r="IKX264" s="95"/>
      <c r="IKY264" s="95"/>
      <c r="IKZ264" s="95"/>
      <c r="ILA264" s="95"/>
      <c r="ILB264" s="95"/>
      <c r="ILC264" s="95"/>
      <c r="ILD264" s="95"/>
      <c r="ILE264" s="95"/>
      <c r="ILF264" s="95"/>
      <c r="ILG264" s="95"/>
      <c r="ILH264" s="95"/>
      <c r="ILI264" s="95"/>
      <c r="ILJ264" s="95"/>
      <c r="ILK264" s="95"/>
      <c r="ILL264" s="95"/>
      <c r="ILM264" s="95"/>
      <c r="ILN264" s="95"/>
      <c r="ILO264" s="95"/>
      <c r="ILP264" s="95"/>
      <c r="ILQ264" s="95"/>
      <c r="ILR264" s="95"/>
      <c r="ILS264" s="95"/>
      <c r="ILT264" s="95"/>
      <c r="ILU264" s="95"/>
      <c r="ILV264" s="95"/>
      <c r="ILW264" s="95"/>
      <c r="ILX264" s="95"/>
      <c r="ILY264" s="95"/>
      <c r="ILZ264" s="95"/>
      <c r="IMA264" s="95"/>
      <c r="IMB264" s="95"/>
      <c r="IMC264" s="95"/>
      <c r="IMD264" s="95"/>
      <c r="IME264" s="95"/>
      <c r="IMF264" s="95"/>
      <c r="IMG264" s="95"/>
      <c r="IMH264" s="95"/>
      <c r="IMI264" s="95"/>
      <c r="IMJ264" s="95"/>
      <c r="IMK264" s="95"/>
      <c r="IML264" s="95"/>
      <c r="IMM264" s="95"/>
      <c r="IMN264" s="95"/>
      <c r="IMO264" s="95"/>
      <c r="IMP264" s="95"/>
      <c r="IMQ264" s="95"/>
      <c r="IMR264" s="95"/>
      <c r="IMS264" s="95"/>
      <c r="IMT264" s="95"/>
      <c r="IMU264" s="95"/>
      <c r="IMV264" s="95"/>
      <c r="IMW264" s="95"/>
      <c r="IMX264" s="95"/>
      <c r="IMY264" s="95"/>
      <c r="IMZ264" s="95"/>
      <c r="INA264" s="95"/>
      <c r="INB264" s="95"/>
      <c r="INC264" s="95"/>
      <c r="IND264" s="95"/>
      <c r="INE264" s="95"/>
      <c r="INF264" s="95"/>
      <c r="ING264" s="95"/>
      <c r="INH264" s="95"/>
      <c r="INI264" s="95"/>
      <c r="INJ264" s="95"/>
      <c r="INK264" s="95"/>
      <c r="INL264" s="95"/>
      <c r="INM264" s="95"/>
      <c r="INN264" s="95"/>
      <c r="INO264" s="95"/>
      <c r="INP264" s="95"/>
      <c r="INQ264" s="95"/>
      <c r="INR264" s="95"/>
      <c r="INS264" s="95"/>
      <c r="INT264" s="95"/>
      <c r="INU264" s="95"/>
      <c r="INV264" s="95"/>
      <c r="INW264" s="95"/>
      <c r="INX264" s="95"/>
      <c r="INY264" s="95"/>
      <c r="INZ264" s="95"/>
      <c r="IOA264" s="95"/>
      <c r="IOB264" s="95"/>
      <c r="IOC264" s="95"/>
      <c r="IOD264" s="95"/>
      <c r="IOE264" s="95"/>
      <c r="IOF264" s="95"/>
      <c r="IOG264" s="95"/>
      <c r="IOH264" s="95"/>
      <c r="IOI264" s="95"/>
      <c r="IOJ264" s="95"/>
      <c r="IOK264" s="95"/>
      <c r="IOL264" s="95"/>
      <c r="IOM264" s="95"/>
      <c r="ION264" s="95"/>
      <c r="IOO264" s="95"/>
      <c r="IOP264" s="95"/>
      <c r="IOQ264" s="95"/>
      <c r="IOR264" s="95"/>
      <c r="IOS264" s="95"/>
      <c r="IOT264" s="95"/>
      <c r="IOU264" s="95"/>
      <c r="IOV264" s="95"/>
      <c r="IOW264" s="95"/>
      <c r="IOX264" s="95"/>
      <c r="IOY264" s="95"/>
      <c r="IOZ264" s="95"/>
      <c r="IPA264" s="95"/>
      <c r="IPB264" s="95"/>
      <c r="IPC264" s="95"/>
      <c r="IPD264" s="95"/>
      <c r="IPE264" s="95"/>
      <c r="IPF264" s="95"/>
      <c r="IPG264" s="95"/>
      <c r="IPH264" s="95"/>
      <c r="IPI264" s="95"/>
      <c r="IPJ264" s="95"/>
      <c r="IPK264" s="95"/>
      <c r="IPL264" s="95"/>
      <c r="IPM264" s="95"/>
      <c r="IPN264" s="95"/>
      <c r="IPO264" s="95"/>
      <c r="IPP264" s="95"/>
      <c r="IPQ264" s="95"/>
      <c r="IPR264" s="95"/>
      <c r="IPS264" s="95"/>
      <c r="IPT264" s="95"/>
      <c r="IPU264" s="95"/>
      <c r="IPV264" s="95"/>
      <c r="IPW264" s="95"/>
      <c r="IPX264" s="95"/>
      <c r="IPY264" s="95"/>
      <c r="IPZ264" s="95"/>
      <c r="IQA264" s="95"/>
      <c r="IQB264" s="95"/>
      <c r="IQC264" s="95"/>
      <c r="IQD264" s="95"/>
      <c r="IQE264" s="95"/>
      <c r="IQF264" s="95"/>
      <c r="IQG264" s="95"/>
      <c r="IQH264" s="95"/>
      <c r="IQI264" s="95"/>
      <c r="IQJ264" s="95"/>
      <c r="IQK264" s="95"/>
      <c r="IQL264" s="95"/>
      <c r="IQM264" s="95"/>
      <c r="IQN264" s="95"/>
      <c r="IQO264" s="95"/>
      <c r="IQP264" s="95"/>
      <c r="IQQ264" s="95"/>
      <c r="IQR264" s="95"/>
      <c r="IQS264" s="95"/>
      <c r="IQT264" s="95"/>
      <c r="IQU264" s="95"/>
      <c r="IQV264" s="95"/>
      <c r="IQW264" s="95"/>
      <c r="IQX264" s="95"/>
      <c r="IQY264" s="95"/>
      <c r="IQZ264" s="95"/>
      <c r="IRA264" s="95"/>
      <c r="IRB264" s="95"/>
      <c r="IRC264" s="95"/>
      <c r="IRD264" s="95"/>
      <c r="IRE264" s="95"/>
      <c r="IRF264" s="95"/>
      <c r="IRG264" s="95"/>
      <c r="IRH264" s="95"/>
      <c r="IRI264" s="95"/>
      <c r="IRJ264" s="95"/>
      <c r="IRK264" s="95"/>
      <c r="IRL264" s="95"/>
      <c r="IRM264" s="95"/>
      <c r="IRN264" s="95"/>
      <c r="IRO264" s="95"/>
      <c r="IRP264" s="95"/>
      <c r="IRQ264" s="95"/>
      <c r="IRR264" s="95"/>
      <c r="IRS264" s="95"/>
      <c r="IRT264" s="95"/>
      <c r="IRU264" s="95"/>
      <c r="IRV264" s="95"/>
      <c r="IRW264" s="95"/>
      <c r="IRX264" s="95"/>
      <c r="IRY264" s="95"/>
      <c r="IRZ264" s="95"/>
      <c r="ISA264" s="95"/>
      <c r="ISB264" s="95"/>
      <c r="ISC264" s="95"/>
      <c r="ISD264" s="95"/>
      <c r="ISE264" s="95"/>
      <c r="ISF264" s="95"/>
      <c r="ISG264" s="95"/>
      <c r="ISH264" s="95"/>
      <c r="ISI264" s="95"/>
      <c r="ISJ264" s="95"/>
      <c r="ISK264" s="95"/>
      <c r="ISL264" s="95"/>
      <c r="ISM264" s="95"/>
      <c r="ISN264" s="95"/>
      <c r="ISO264" s="95"/>
      <c r="ISP264" s="95"/>
      <c r="ISQ264" s="95"/>
      <c r="ISR264" s="95"/>
      <c r="ISS264" s="95"/>
      <c r="IST264" s="95"/>
      <c r="ISU264" s="95"/>
      <c r="ISV264" s="95"/>
      <c r="ISW264" s="95"/>
      <c r="ISX264" s="95"/>
      <c r="ISY264" s="95"/>
      <c r="ISZ264" s="95"/>
      <c r="ITA264" s="95"/>
      <c r="ITB264" s="95"/>
      <c r="ITC264" s="95"/>
      <c r="ITD264" s="95"/>
      <c r="ITE264" s="95"/>
      <c r="ITF264" s="95"/>
      <c r="ITG264" s="95"/>
      <c r="ITH264" s="95"/>
      <c r="ITI264" s="95"/>
      <c r="ITJ264" s="95"/>
      <c r="ITK264" s="95"/>
      <c r="ITL264" s="95"/>
      <c r="ITM264" s="95"/>
      <c r="ITN264" s="95"/>
      <c r="ITO264" s="95"/>
      <c r="ITP264" s="95"/>
      <c r="ITQ264" s="95"/>
      <c r="ITR264" s="95"/>
      <c r="ITS264" s="95"/>
      <c r="ITT264" s="95"/>
      <c r="ITU264" s="95"/>
      <c r="ITV264" s="95"/>
      <c r="ITW264" s="95"/>
      <c r="ITX264" s="95"/>
      <c r="ITY264" s="95"/>
      <c r="ITZ264" s="95"/>
      <c r="IUA264" s="95"/>
      <c r="IUB264" s="95"/>
      <c r="IUC264" s="95"/>
      <c r="IUD264" s="95"/>
      <c r="IUE264" s="95"/>
      <c r="IUF264" s="95"/>
      <c r="IUG264" s="95"/>
      <c r="IUH264" s="95"/>
      <c r="IUI264" s="95"/>
      <c r="IUJ264" s="95"/>
      <c r="IUK264" s="95"/>
      <c r="IUL264" s="95"/>
      <c r="IUM264" s="95"/>
      <c r="IUN264" s="95"/>
      <c r="IUO264" s="95"/>
      <c r="IUP264" s="95"/>
      <c r="IUQ264" s="95"/>
      <c r="IUR264" s="95"/>
      <c r="IUS264" s="95"/>
      <c r="IUT264" s="95"/>
      <c r="IUU264" s="95"/>
      <c r="IUV264" s="95"/>
      <c r="IUW264" s="95"/>
      <c r="IUX264" s="95"/>
      <c r="IUY264" s="95"/>
      <c r="IUZ264" s="95"/>
      <c r="IVA264" s="95"/>
      <c r="IVB264" s="95"/>
      <c r="IVC264" s="95"/>
      <c r="IVD264" s="95"/>
      <c r="IVE264" s="95"/>
      <c r="IVF264" s="95"/>
      <c r="IVG264" s="95"/>
      <c r="IVH264" s="95"/>
      <c r="IVI264" s="95"/>
      <c r="IVJ264" s="95"/>
      <c r="IVK264" s="95"/>
      <c r="IVL264" s="95"/>
      <c r="IVM264" s="95"/>
      <c r="IVN264" s="95"/>
      <c r="IVO264" s="95"/>
      <c r="IVP264" s="95"/>
      <c r="IVQ264" s="95"/>
      <c r="IVR264" s="95"/>
      <c r="IVS264" s="95"/>
      <c r="IVT264" s="95"/>
      <c r="IVU264" s="95"/>
      <c r="IVV264" s="95"/>
      <c r="IVW264" s="95"/>
      <c r="IVX264" s="95"/>
      <c r="IVY264" s="95"/>
      <c r="IVZ264" s="95"/>
      <c r="IWA264" s="95"/>
      <c r="IWB264" s="95"/>
      <c r="IWC264" s="95"/>
      <c r="IWD264" s="95"/>
      <c r="IWE264" s="95"/>
      <c r="IWF264" s="95"/>
      <c r="IWG264" s="95"/>
      <c r="IWH264" s="95"/>
      <c r="IWI264" s="95"/>
      <c r="IWJ264" s="95"/>
      <c r="IWK264" s="95"/>
      <c r="IWL264" s="95"/>
      <c r="IWM264" s="95"/>
      <c r="IWN264" s="95"/>
      <c r="IWO264" s="95"/>
      <c r="IWP264" s="95"/>
      <c r="IWQ264" s="95"/>
      <c r="IWR264" s="95"/>
      <c r="IWS264" s="95"/>
      <c r="IWT264" s="95"/>
      <c r="IWU264" s="95"/>
      <c r="IWV264" s="95"/>
      <c r="IWW264" s="95"/>
      <c r="IWX264" s="95"/>
      <c r="IWY264" s="95"/>
      <c r="IWZ264" s="95"/>
      <c r="IXA264" s="95"/>
      <c r="IXB264" s="95"/>
      <c r="IXC264" s="95"/>
      <c r="IXD264" s="95"/>
      <c r="IXE264" s="95"/>
      <c r="IXF264" s="95"/>
      <c r="IXG264" s="95"/>
      <c r="IXH264" s="95"/>
      <c r="IXI264" s="95"/>
      <c r="IXJ264" s="95"/>
      <c r="IXK264" s="95"/>
      <c r="IXL264" s="95"/>
      <c r="IXM264" s="95"/>
      <c r="IXN264" s="95"/>
      <c r="IXO264" s="95"/>
      <c r="IXP264" s="95"/>
      <c r="IXQ264" s="95"/>
      <c r="IXR264" s="95"/>
      <c r="IXS264" s="95"/>
      <c r="IXT264" s="95"/>
      <c r="IXU264" s="95"/>
      <c r="IXV264" s="95"/>
      <c r="IXW264" s="95"/>
      <c r="IXX264" s="95"/>
      <c r="IXY264" s="95"/>
      <c r="IXZ264" s="95"/>
      <c r="IYA264" s="95"/>
      <c r="IYB264" s="95"/>
      <c r="IYC264" s="95"/>
      <c r="IYD264" s="95"/>
      <c r="IYE264" s="95"/>
      <c r="IYF264" s="95"/>
      <c r="IYG264" s="95"/>
      <c r="IYH264" s="95"/>
      <c r="IYI264" s="95"/>
      <c r="IYJ264" s="95"/>
      <c r="IYK264" s="95"/>
      <c r="IYL264" s="95"/>
      <c r="IYM264" s="95"/>
      <c r="IYN264" s="95"/>
      <c r="IYO264" s="95"/>
      <c r="IYP264" s="95"/>
      <c r="IYQ264" s="95"/>
      <c r="IYR264" s="95"/>
      <c r="IYS264" s="95"/>
      <c r="IYT264" s="95"/>
      <c r="IYU264" s="95"/>
      <c r="IYV264" s="95"/>
      <c r="IYW264" s="95"/>
      <c r="IYX264" s="95"/>
      <c r="IYY264" s="95"/>
      <c r="IYZ264" s="95"/>
      <c r="IZA264" s="95"/>
      <c r="IZB264" s="95"/>
      <c r="IZC264" s="95"/>
      <c r="IZD264" s="95"/>
      <c r="IZE264" s="95"/>
      <c r="IZF264" s="95"/>
      <c r="IZG264" s="95"/>
      <c r="IZH264" s="95"/>
      <c r="IZI264" s="95"/>
      <c r="IZJ264" s="95"/>
      <c r="IZK264" s="95"/>
      <c r="IZL264" s="95"/>
      <c r="IZM264" s="95"/>
      <c r="IZN264" s="95"/>
      <c r="IZO264" s="95"/>
      <c r="IZP264" s="95"/>
      <c r="IZQ264" s="95"/>
      <c r="IZR264" s="95"/>
      <c r="IZS264" s="95"/>
      <c r="IZT264" s="95"/>
      <c r="IZU264" s="95"/>
      <c r="IZV264" s="95"/>
      <c r="IZW264" s="95"/>
      <c r="IZX264" s="95"/>
      <c r="IZY264" s="95"/>
      <c r="IZZ264" s="95"/>
      <c r="JAA264" s="95"/>
      <c r="JAB264" s="95"/>
      <c r="JAC264" s="95"/>
      <c r="JAD264" s="95"/>
      <c r="JAE264" s="95"/>
      <c r="JAF264" s="95"/>
      <c r="JAG264" s="95"/>
      <c r="JAH264" s="95"/>
      <c r="JAI264" s="95"/>
      <c r="JAJ264" s="95"/>
      <c r="JAK264" s="95"/>
      <c r="JAL264" s="95"/>
      <c r="JAM264" s="95"/>
      <c r="JAN264" s="95"/>
      <c r="JAO264" s="95"/>
      <c r="JAP264" s="95"/>
      <c r="JAQ264" s="95"/>
      <c r="JAR264" s="95"/>
      <c r="JAS264" s="95"/>
      <c r="JAT264" s="95"/>
      <c r="JAU264" s="95"/>
      <c r="JAV264" s="95"/>
      <c r="JAW264" s="95"/>
      <c r="JAX264" s="95"/>
      <c r="JAY264" s="95"/>
      <c r="JAZ264" s="95"/>
      <c r="JBA264" s="95"/>
      <c r="JBB264" s="95"/>
      <c r="JBC264" s="95"/>
      <c r="JBD264" s="95"/>
      <c r="JBE264" s="95"/>
      <c r="JBF264" s="95"/>
      <c r="JBG264" s="95"/>
      <c r="JBH264" s="95"/>
      <c r="JBI264" s="95"/>
      <c r="JBJ264" s="95"/>
      <c r="JBK264" s="95"/>
      <c r="JBL264" s="95"/>
      <c r="JBM264" s="95"/>
      <c r="JBN264" s="95"/>
      <c r="JBO264" s="95"/>
      <c r="JBP264" s="95"/>
      <c r="JBQ264" s="95"/>
      <c r="JBR264" s="95"/>
      <c r="JBS264" s="95"/>
      <c r="JBT264" s="95"/>
      <c r="JBU264" s="95"/>
      <c r="JBV264" s="95"/>
      <c r="JBW264" s="95"/>
      <c r="JBX264" s="95"/>
      <c r="JBY264" s="95"/>
      <c r="JBZ264" s="95"/>
      <c r="JCA264" s="95"/>
      <c r="JCB264" s="95"/>
      <c r="JCC264" s="95"/>
      <c r="JCD264" s="95"/>
      <c r="JCE264" s="95"/>
      <c r="JCF264" s="95"/>
      <c r="JCG264" s="95"/>
      <c r="JCH264" s="95"/>
      <c r="JCI264" s="95"/>
      <c r="JCJ264" s="95"/>
      <c r="JCK264" s="95"/>
      <c r="JCL264" s="95"/>
      <c r="JCM264" s="95"/>
      <c r="JCN264" s="95"/>
      <c r="JCO264" s="95"/>
      <c r="JCP264" s="95"/>
      <c r="JCQ264" s="95"/>
      <c r="JCR264" s="95"/>
      <c r="JCS264" s="95"/>
      <c r="JCT264" s="95"/>
      <c r="JCU264" s="95"/>
      <c r="JCV264" s="95"/>
      <c r="JCW264" s="95"/>
      <c r="JCX264" s="95"/>
      <c r="JCY264" s="95"/>
      <c r="JCZ264" s="95"/>
      <c r="JDA264" s="95"/>
      <c r="JDB264" s="95"/>
      <c r="JDC264" s="95"/>
      <c r="JDD264" s="95"/>
      <c r="JDE264" s="95"/>
      <c r="JDF264" s="95"/>
      <c r="JDG264" s="95"/>
      <c r="JDH264" s="95"/>
      <c r="JDI264" s="95"/>
      <c r="JDJ264" s="95"/>
      <c r="JDK264" s="95"/>
      <c r="JDL264" s="95"/>
      <c r="JDM264" s="95"/>
      <c r="JDN264" s="95"/>
      <c r="JDO264" s="95"/>
      <c r="JDP264" s="95"/>
      <c r="JDQ264" s="95"/>
      <c r="JDR264" s="95"/>
      <c r="JDS264" s="95"/>
      <c r="JDT264" s="95"/>
      <c r="JDU264" s="95"/>
      <c r="JDV264" s="95"/>
      <c r="JDW264" s="95"/>
      <c r="JDX264" s="95"/>
      <c r="JDY264" s="95"/>
      <c r="JDZ264" s="95"/>
      <c r="JEA264" s="95"/>
      <c r="JEB264" s="95"/>
      <c r="JEC264" s="95"/>
      <c r="JED264" s="95"/>
      <c r="JEE264" s="95"/>
      <c r="JEF264" s="95"/>
      <c r="JEG264" s="95"/>
      <c r="JEH264" s="95"/>
      <c r="JEI264" s="95"/>
      <c r="JEJ264" s="95"/>
      <c r="JEK264" s="95"/>
      <c r="JEL264" s="95"/>
      <c r="JEM264" s="95"/>
      <c r="JEN264" s="95"/>
      <c r="JEO264" s="95"/>
      <c r="JEP264" s="95"/>
      <c r="JEQ264" s="95"/>
      <c r="JER264" s="95"/>
      <c r="JES264" s="95"/>
      <c r="JET264" s="95"/>
      <c r="JEU264" s="95"/>
      <c r="JEV264" s="95"/>
      <c r="JEW264" s="95"/>
      <c r="JEX264" s="95"/>
      <c r="JEY264" s="95"/>
      <c r="JEZ264" s="95"/>
      <c r="JFA264" s="95"/>
      <c r="JFB264" s="95"/>
      <c r="JFC264" s="95"/>
      <c r="JFD264" s="95"/>
      <c r="JFE264" s="95"/>
      <c r="JFF264" s="95"/>
      <c r="JFG264" s="95"/>
      <c r="JFH264" s="95"/>
      <c r="JFI264" s="95"/>
      <c r="JFJ264" s="95"/>
      <c r="JFK264" s="95"/>
      <c r="JFL264" s="95"/>
      <c r="JFM264" s="95"/>
      <c r="JFN264" s="95"/>
      <c r="JFO264" s="95"/>
      <c r="JFP264" s="95"/>
      <c r="JFQ264" s="95"/>
      <c r="JFR264" s="95"/>
      <c r="JFS264" s="95"/>
      <c r="JFT264" s="95"/>
      <c r="JFU264" s="95"/>
      <c r="JFV264" s="95"/>
      <c r="JFW264" s="95"/>
      <c r="JFX264" s="95"/>
      <c r="JFY264" s="95"/>
      <c r="JFZ264" s="95"/>
      <c r="JGA264" s="95"/>
      <c r="JGB264" s="95"/>
      <c r="JGC264" s="95"/>
      <c r="JGD264" s="95"/>
      <c r="JGE264" s="95"/>
      <c r="JGF264" s="95"/>
      <c r="JGG264" s="95"/>
      <c r="JGH264" s="95"/>
      <c r="JGI264" s="95"/>
      <c r="JGJ264" s="95"/>
      <c r="JGK264" s="95"/>
      <c r="JGL264" s="95"/>
      <c r="JGM264" s="95"/>
      <c r="JGN264" s="95"/>
      <c r="JGO264" s="95"/>
      <c r="JGP264" s="95"/>
      <c r="JGQ264" s="95"/>
      <c r="JGR264" s="95"/>
      <c r="JGS264" s="95"/>
      <c r="JGT264" s="95"/>
      <c r="JGU264" s="95"/>
      <c r="JGV264" s="95"/>
      <c r="JGW264" s="95"/>
      <c r="JGX264" s="95"/>
      <c r="JGY264" s="95"/>
      <c r="JGZ264" s="95"/>
      <c r="JHA264" s="95"/>
      <c r="JHB264" s="95"/>
      <c r="JHC264" s="95"/>
      <c r="JHD264" s="95"/>
      <c r="JHE264" s="95"/>
      <c r="JHF264" s="95"/>
      <c r="JHG264" s="95"/>
      <c r="JHH264" s="95"/>
      <c r="JHI264" s="95"/>
      <c r="JHJ264" s="95"/>
      <c r="JHK264" s="95"/>
      <c r="JHL264" s="95"/>
      <c r="JHM264" s="95"/>
      <c r="JHN264" s="95"/>
      <c r="JHO264" s="95"/>
      <c r="JHP264" s="95"/>
      <c r="JHQ264" s="95"/>
      <c r="JHR264" s="95"/>
      <c r="JHS264" s="95"/>
      <c r="JHT264" s="95"/>
      <c r="JHU264" s="95"/>
      <c r="JHV264" s="95"/>
      <c r="JHW264" s="95"/>
      <c r="JHX264" s="95"/>
      <c r="JHY264" s="95"/>
      <c r="JHZ264" s="95"/>
      <c r="JIA264" s="95"/>
      <c r="JIB264" s="95"/>
      <c r="JIC264" s="95"/>
      <c r="JID264" s="95"/>
      <c r="JIE264" s="95"/>
      <c r="JIF264" s="95"/>
      <c r="JIG264" s="95"/>
      <c r="JIH264" s="95"/>
      <c r="JII264" s="95"/>
      <c r="JIJ264" s="95"/>
      <c r="JIK264" s="95"/>
      <c r="JIL264" s="95"/>
      <c r="JIM264" s="95"/>
      <c r="JIN264" s="95"/>
      <c r="JIO264" s="95"/>
      <c r="JIP264" s="95"/>
      <c r="JIQ264" s="95"/>
      <c r="JIR264" s="95"/>
      <c r="JIS264" s="95"/>
      <c r="JIT264" s="95"/>
      <c r="JIU264" s="95"/>
      <c r="JIV264" s="95"/>
      <c r="JIW264" s="95"/>
      <c r="JIX264" s="95"/>
      <c r="JIY264" s="95"/>
      <c r="JIZ264" s="95"/>
      <c r="JJA264" s="95"/>
      <c r="JJB264" s="95"/>
      <c r="JJC264" s="95"/>
      <c r="JJD264" s="95"/>
      <c r="JJE264" s="95"/>
      <c r="JJF264" s="95"/>
      <c r="JJG264" s="95"/>
      <c r="JJH264" s="95"/>
      <c r="JJI264" s="95"/>
      <c r="JJJ264" s="95"/>
      <c r="JJK264" s="95"/>
      <c r="JJL264" s="95"/>
      <c r="JJM264" s="95"/>
      <c r="JJN264" s="95"/>
      <c r="JJO264" s="95"/>
      <c r="JJP264" s="95"/>
      <c r="JJQ264" s="95"/>
      <c r="JJR264" s="95"/>
      <c r="JJS264" s="95"/>
      <c r="JJT264" s="95"/>
      <c r="JJU264" s="95"/>
      <c r="JJV264" s="95"/>
      <c r="JJW264" s="95"/>
      <c r="JJX264" s="95"/>
      <c r="JJY264" s="95"/>
      <c r="JJZ264" s="95"/>
      <c r="JKA264" s="95"/>
      <c r="JKB264" s="95"/>
      <c r="JKC264" s="95"/>
      <c r="JKD264" s="95"/>
      <c r="JKE264" s="95"/>
      <c r="JKF264" s="95"/>
      <c r="JKG264" s="95"/>
      <c r="JKH264" s="95"/>
      <c r="JKI264" s="95"/>
      <c r="JKJ264" s="95"/>
      <c r="JKK264" s="95"/>
      <c r="JKL264" s="95"/>
      <c r="JKM264" s="95"/>
      <c r="JKN264" s="95"/>
      <c r="JKO264" s="95"/>
      <c r="JKP264" s="95"/>
      <c r="JKQ264" s="95"/>
      <c r="JKR264" s="95"/>
      <c r="JKS264" s="95"/>
      <c r="JKT264" s="95"/>
      <c r="JKU264" s="95"/>
      <c r="JKV264" s="95"/>
      <c r="JKW264" s="95"/>
      <c r="JKX264" s="95"/>
      <c r="JKY264" s="95"/>
      <c r="JKZ264" s="95"/>
      <c r="JLA264" s="95"/>
      <c r="JLB264" s="95"/>
      <c r="JLC264" s="95"/>
      <c r="JLD264" s="95"/>
      <c r="JLE264" s="95"/>
      <c r="JLF264" s="95"/>
      <c r="JLG264" s="95"/>
      <c r="JLH264" s="95"/>
      <c r="JLI264" s="95"/>
      <c r="JLJ264" s="95"/>
      <c r="JLK264" s="95"/>
      <c r="JLL264" s="95"/>
      <c r="JLM264" s="95"/>
      <c r="JLN264" s="95"/>
      <c r="JLO264" s="95"/>
      <c r="JLP264" s="95"/>
      <c r="JLQ264" s="95"/>
      <c r="JLR264" s="95"/>
      <c r="JLS264" s="95"/>
      <c r="JLT264" s="95"/>
      <c r="JLU264" s="95"/>
      <c r="JLV264" s="95"/>
      <c r="JLW264" s="95"/>
      <c r="JLX264" s="95"/>
      <c r="JLY264" s="95"/>
      <c r="JLZ264" s="95"/>
      <c r="JMA264" s="95"/>
      <c r="JMB264" s="95"/>
      <c r="JMC264" s="95"/>
      <c r="JMD264" s="95"/>
      <c r="JME264" s="95"/>
      <c r="JMF264" s="95"/>
      <c r="JMG264" s="95"/>
      <c r="JMH264" s="95"/>
      <c r="JMI264" s="95"/>
      <c r="JMJ264" s="95"/>
      <c r="JMK264" s="95"/>
      <c r="JML264" s="95"/>
      <c r="JMM264" s="95"/>
      <c r="JMN264" s="95"/>
      <c r="JMO264" s="95"/>
      <c r="JMP264" s="95"/>
      <c r="JMQ264" s="95"/>
      <c r="JMR264" s="95"/>
      <c r="JMS264" s="95"/>
      <c r="JMT264" s="95"/>
      <c r="JMU264" s="95"/>
      <c r="JMV264" s="95"/>
      <c r="JMW264" s="95"/>
      <c r="JMX264" s="95"/>
      <c r="JMY264" s="95"/>
      <c r="JMZ264" s="95"/>
      <c r="JNA264" s="95"/>
      <c r="JNB264" s="95"/>
      <c r="JNC264" s="95"/>
      <c r="JND264" s="95"/>
      <c r="JNE264" s="95"/>
      <c r="JNF264" s="95"/>
      <c r="JNG264" s="95"/>
      <c r="JNH264" s="95"/>
      <c r="JNI264" s="95"/>
      <c r="JNJ264" s="95"/>
      <c r="JNK264" s="95"/>
      <c r="JNL264" s="95"/>
      <c r="JNM264" s="95"/>
      <c r="JNN264" s="95"/>
      <c r="JNO264" s="95"/>
      <c r="JNP264" s="95"/>
      <c r="JNQ264" s="95"/>
      <c r="JNR264" s="95"/>
      <c r="JNS264" s="95"/>
      <c r="JNT264" s="95"/>
      <c r="JNU264" s="95"/>
      <c r="JNV264" s="95"/>
      <c r="JNW264" s="95"/>
      <c r="JNX264" s="95"/>
      <c r="JNY264" s="95"/>
      <c r="JNZ264" s="95"/>
      <c r="JOA264" s="95"/>
      <c r="JOB264" s="95"/>
      <c r="JOC264" s="95"/>
      <c r="JOD264" s="95"/>
      <c r="JOE264" s="95"/>
      <c r="JOF264" s="95"/>
      <c r="JOG264" s="95"/>
      <c r="JOH264" s="95"/>
      <c r="JOI264" s="95"/>
      <c r="JOJ264" s="95"/>
      <c r="JOK264" s="95"/>
      <c r="JOL264" s="95"/>
      <c r="JOM264" s="95"/>
      <c r="JON264" s="95"/>
      <c r="JOO264" s="95"/>
      <c r="JOP264" s="95"/>
      <c r="JOQ264" s="95"/>
      <c r="JOR264" s="95"/>
      <c r="JOS264" s="95"/>
      <c r="JOT264" s="95"/>
      <c r="JOU264" s="95"/>
      <c r="JOV264" s="95"/>
      <c r="JOW264" s="95"/>
      <c r="JOX264" s="95"/>
      <c r="JOY264" s="95"/>
      <c r="JOZ264" s="95"/>
      <c r="JPA264" s="95"/>
      <c r="JPB264" s="95"/>
      <c r="JPC264" s="95"/>
      <c r="JPD264" s="95"/>
      <c r="JPE264" s="95"/>
      <c r="JPF264" s="95"/>
      <c r="JPG264" s="95"/>
      <c r="JPH264" s="95"/>
      <c r="JPI264" s="95"/>
      <c r="JPJ264" s="95"/>
      <c r="JPK264" s="95"/>
      <c r="JPL264" s="95"/>
      <c r="JPM264" s="95"/>
      <c r="JPN264" s="95"/>
      <c r="JPO264" s="95"/>
      <c r="JPP264" s="95"/>
      <c r="JPQ264" s="95"/>
      <c r="JPR264" s="95"/>
      <c r="JPS264" s="95"/>
      <c r="JPT264" s="95"/>
      <c r="JPU264" s="95"/>
      <c r="JPV264" s="95"/>
      <c r="JPW264" s="95"/>
      <c r="JPX264" s="95"/>
      <c r="JPY264" s="95"/>
      <c r="JPZ264" s="95"/>
      <c r="JQA264" s="95"/>
      <c r="JQB264" s="95"/>
      <c r="JQC264" s="95"/>
      <c r="JQD264" s="95"/>
      <c r="JQE264" s="95"/>
      <c r="JQF264" s="95"/>
      <c r="JQG264" s="95"/>
      <c r="JQH264" s="95"/>
      <c r="JQI264" s="95"/>
      <c r="JQJ264" s="95"/>
      <c r="JQK264" s="95"/>
      <c r="JQL264" s="95"/>
      <c r="JQM264" s="95"/>
      <c r="JQN264" s="95"/>
      <c r="JQO264" s="95"/>
      <c r="JQP264" s="95"/>
      <c r="JQQ264" s="95"/>
      <c r="JQR264" s="95"/>
      <c r="JQS264" s="95"/>
      <c r="JQT264" s="95"/>
      <c r="JQU264" s="95"/>
      <c r="JQV264" s="95"/>
      <c r="JQW264" s="95"/>
      <c r="JQX264" s="95"/>
      <c r="JQY264" s="95"/>
      <c r="JQZ264" s="95"/>
      <c r="JRA264" s="95"/>
      <c r="JRB264" s="95"/>
      <c r="JRC264" s="95"/>
      <c r="JRD264" s="95"/>
      <c r="JRE264" s="95"/>
      <c r="JRF264" s="95"/>
      <c r="JRG264" s="95"/>
      <c r="JRH264" s="95"/>
      <c r="JRI264" s="95"/>
      <c r="JRJ264" s="95"/>
      <c r="JRK264" s="95"/>
      <c r="JRL264" s="95"/>
      <c r="JRM264" s="95"/>
      <c r="JRN264" s="95"/>
      <c r="JRO264" s="95"/>
      <c r="JRP264" s="95"/>
      <c r="JRQ264" s="95"/>
      <c r="JRR264" s="95"/>
      <c r="JRS264" s="95"/>
      <c r="JRT264" s="95"/>
      <c r="JRU264" s="95"/>
      <c r="JRV264" s="95"/>
      <c r="JRW264" s="95"/>
      <c r="JRX264" s="95"/>
      <c r="JRY264" s="95"/>
      <c r="JRZ264" s="95"/>
      <c r="JSA264" s="95"/>
      <c r="JSB264" s="95"/>
      <c r="JSC264" s="95"/>
      <c r="JSD264" s="95"/>
      <c r="JSE264" s="95"/>
      <c r="JSF264" s="95"/>
      <c r="JSG264" s="95"/>
      <c r="JSH264" s="95"/>
      <c r="JSI264" s="95"/>
      <c r="JSJ264" s="95"/>
      <c r="JSK264" s="95"/>
      <c r="JSL264" s="95"/>
      <c r="JSM264" s="95"/>
      <c r="JSN264" s="95"/>
      <c r="JSO264" s="95"/>
      <c r="JSP264" s="95"/>
      <c r="JSQ264" s="95"/>
      <c r="JSR264" s="95"/>
      <c r="JSS264" s="95"/>
      <c r="JST264" s="95"/>
      <c r="JSU264" s="95"/>
      <c r="JSV264" s="95"/>
      <c r="JSW264" s="95"/>
      <c r="JSX264" s="95"/>
      <c r="JSY264" s="95"/>
      <c r="JSZ264" s="95"/>
      <c r="JTA264" s="95"/>
      <c r="JTB264" s="95"/>
      <c r="JTC264" s="95"/>
      <c r="JTD264" s="95"/>
      <c r="JTE264" s="95"/>
      <c r="JTF264" s="95"/>
      <c r="JTG264" s="95"/>
      <c r="JTH264" s="95"/>
      <c r="JTI264" s="95"/>
      <c r="JTJ264" s="95"/>
      <c r="JTK264" s="95"/>
      <c r="JTL264" s="95"/>
      <c r="JTM264" s="95"/>
      <c r="JTN264" s="95"/>
      <c r="JTO264" s="95"/>
      <c r="JTP264" s="95"/>
      <c r="JTQ264" s="95"/>
      <c r="JTR264" s="95"/>
      <c r="JTS264" s="95"/>
      <c r="JTT264" s="95"/>
      <c r="JTU264" s="95"/>
      <c r="JTV264" s="95"/>
      <c r="JTW264" s="95"/>
      <c r="JTX264" s="95"/>
      <c r="JTY264" s="95"/>
      <c r="JTZ264" s="95"/>
      <c r="JUA264" s="95"/>
      <c r="JUB264" s="95"/>
      <c r="JUC264" s="95"/>
      <c r="JUD264" s="95"/>
      <c r="JUE264" s="95"/>
      <c r="JUF264" s="95"/>
      <c r="JUG264" s="95"/>
      <c r="JUH264" s="95"/>
      <c r="JUI264" s="95"/>
      <c r="JUJ264" s="95"/>
      <c r="JUK264" s="95"/>
      <c r="JUL264" s="95"/>
      <c r="JUM264" s="95"/>
      <c r="JUN264" s="95"/>
      <c r="JUO264" s="95"/>
      <c r="JUP264" s="95"/>
      <c r="JUQ264" s="95"/>
      <c r="JUR264" s="95"/>
      <c r="JUS264" s="95"/>
      <c r="JUT264" s="95"/>
      <c r="JUU264" s="95"/>
      <c r="JUV264" s="95"/>
      <c r="JUW264" s="95"/>
      <c r="JUX264" s="95"/>
      <c r="JUY264" s="95"/>
      <c r="JUZ264" s="95"/>
      <c r="JVA264" s="95"/>
      <c r="JVB264" s="95"/>
      <c r="JVC264" s="95"/>
      <c r="JVD264" s="95"/>
      <c r="JVE264" s="95"/>
      <c r="JVF264" s="95"/>
      <c r="JVG264" s="95"/>
      <c r="JVH264" s="95"/>
      <c r="JVI264" s="95"/>
      <c r="JVJ264" s="95"/>
      <c r="JVK264" s="95"/>
      <c r="JVL264" s="95"/>
      <c r="JVM264" s="95"/>
      <c r="JVN264" s="95"/>
      <c r="JVO264" s="95"/>
      <c r="JVP264" s="95"/>
      <c r="JVQ264" s="95"/>
      <c r="JVR264" s="95"/>
      <c r="JVS264" s="95"/>
      <c r="JVT264" s="95"/>
      <c r="JVU264" s="95"/>
      <c r="JVV264" s="95"/>
      <c r="JVW264" s="95"/>
      <c r="JVX264" s="95"/>
      <c r="JVY264" s="95"/>
      <c r="JVZ264" s="95"/>
      <c r="JWA264" s="95"/>
      <c r="JWB264" s="95"/>
      <c r="JWC264" s="95"/>
      <c r="JWD264" s="95"/>
      <c r="JWE264" s="95"/>
      <c r="JWF264" s="95"/>
      <c r="JWG264" s="95"/>
      <c r="JWH264" s="95"/>
      <c r="JWI264" s="95"/>
      <c r="JWJ264" s="95"/>
      <c r="JWK264" s="95"/>
      <c r="JWL264" s="95"/>
      <c r="JWM264" s="95"/>
      <c r="JWN264" s="95"/>
      <c r="JWO264" s="95"/>
      <c r="JWP264" s="95"/>
      <c r="JWQ264" s="95"/>
      <c r="JWR264" s="95"/>
      <c r="JWS264" s="95"/>
      <c r="JWT264" s="95"/>
      <c r="JWU264" s="95"/>
      <c r="JWV264" s="95"/>
      <c r="JWW264" s="95"/>
      <c r="JWX264" s="95"/>
      <c r="JWY264" s="95"/>
      <c r="JWZ264" s="95"/>
      <c r="JXA264" s="95"/>
      <c r="JXB264" s="95"/>
      <c r="JXC264" s="95"/>
      <c r="JXD264" s="95"/>
      <c r="JXE264" s="95"/>
      <c r="JXF264" s="95"/>
      <c r="JXG264" s="95"/>
      <c r="JXH264" s="95"/>
      <c r="JXI264" s="95"/>
      <c r="JXJ264" s="95"/>
      <c r="JXK264" s="95"/>
      <c r="JXL264" s="95"/>
      <c r="JXM264" s="95"/>
      <c r="JXN264" s="95"/>
      <c r="JXO264" s="95"/>
      <c r="JXP264" s="95"/>
      <c r="JXQ264" s="95"/>
      <c r="JXR264" s="95"/>
      <c r="JXS264" s="95"/>
      <c r="JXT264" s="95"/>
      <c r="JXU264" s="95"/>
      <c r="JXV264" s="95"/>
      <c r="JXW264" s="95"/>
      <c r="JXX264" s="95"/>
      <c r="JXY264" s="95"/>
      <c r="JXZ264" s="95"/>
      <c r="JYA264" s="95"/>
      <c r="JYB264" s="95"/>
      <c r="JYC264" s="95"/>
      <c r="JYD264" s="95"/>
      <c r="JYE264" s="95"/>
      <c r="JYF264" s="95"/>
      <c r="JYG264" s="95"/>
      <c r="JYH264" s="95"/>
      <c r="JYI264" s="95"/>
      <c r="JYJ264" s="95"/>
      <c r="JYK264" s="95"/>
      <c r="JYL264" s="95"/>
      <c r="JYM264" s="95"/>
      <c r="JYN264" s="95"/>
      <c r="JYO264" s="95"/>
      <c r="JYP264" s="95"/>
      <c r="JYQ264" s="95"/>
      <c r="JYR264" s="95"/>
      <c r="JYS264" s="95"/>
      <c r="JYT264" s="95"/>
      <c r="JYU264" s="95"/>
      <c r="JYV264" s="95"/>
      <c r="JYW264" s="95"/>
      <c r="JYX264" s="95"/>
      <c r="JYY264" s="95"/>
      <c r="JYZ264" s="95"/>
      <c r="JZA264" s="95"/>
      <c r="JZB264" s="95"/>
      <c r="JZC264" s="95"/>
      <c r="JZD264" s="95"/>
      <c r="JZE264" s="95"/>
      <c r="JZF264" s="95"/>
      <c r="JZG264" s="95"/>
      <c r="JZH264" s="95"/>
      <c r="JZI264" s="95"/>
      <c r="JZJ264" s="95"/>
      <c r="JZK264" s="95"/>
      <c r="JZL264" s="95"/>
      <c r="JZM264" s="95"/>
      <c r="JZN264" s="95"/>
      <c r="JZO264" s="95"/>
      <c r="JZP264" s="95"/>
      <c r="JZQ264" s="95"/>
      <c r="JZR264" s="95"/>
      <c r="JZS264" s="95"/>
      <c r="JZT264" s="95"/>
      <c r="JZU264" s="95"/>
      <c r="JZV264" s="95"/>
      <c r="JZW264" s="95"/>
      <c r="JZX264" s="95"/>
      <c r="JZY264" s="95"/>
      <c r="JZZ264" s="95"/>
      <c r="KAA264" s="95"/>
      <c r="KAB264" s="95"/>
      <c r="KAC264" s="95"/>
      <c r="KAD264" s="95"/>
      <c r="KAE264" s="95"/>
      <c r="KAF264" s="95"/>
      <c r="KAG264" s="95"/>
      <c r="KAH264" s="95"/>
      <c r="KAI264" s="95"/>
      <c r="KAJ264" s="95"/>
      <c r="KAK264" s="95"/>
      <c r="KAL264" s="95"/>
      <c r="KAM264" s="95"/>
      <c r="KAN264" s="95"/>
      <c r="KAO264" s="95"/>
      <c r="KAP264" s="95"/>
      <c r="KAQ264" s="95"/>
      <c r="KAR264" s="95"/>
      <c r="KAS264" s="95"/>
      <c r="KAT264" s="95"/>
      <c r="KAU264" s="95"/>
      <c r="KAV264" s="95"/>
      <c r="KAW264" s="95"/>
      <c r="KAX264" s="95"/>
      <c r="KAY264" s="95"/>
      <c r="KAZ264" s="95"/>
      <c r="KBA264" s="95"/>
      <c r="KBB264" s="95"/>
      <c r="KBC264" s="95"/>
      <c r="KBD264" s="95"/>
      <c r="KBE264" s="95"/>
      <c r="KBF264" s="95"/>
      <c r="KBG264" s="95"/>
      <c r="KBH264" s="95"/>
      <c r="KBI264" s="95"/>
      <c r="KBJ264" s="95"/>
      <c r="KBK264" s="95"/>
      <c r="KBL264" s="95"/>
      <c r="KBM264" s="95"/>
      <c r="KBN264" s="95"/>
      <c r="KBO264" s="95"/>
      <c r="KBP264" s="95"/>
      <c r="KBQ264" s="95"/>
      <c r="KBR264" s="95"/>
      <c r="KBS264" s="95"/>
      <c r="KBT264" s="95"/>
      <c r="KBU264" s="95"/>
      <c r="KBV264" s="95"/>
      <c r="KBW264" s="95"/>
      <c r="KBX264" s="95"/>
      <c r="KBY264" s="95"/>
      <c r="KBZ264" s="95"/>
      <c r="KCA264" s="95"/>
      <c r="KCB264" s="95"/>
      <c r="KCC264" s="95"/>
      <c r="KCD264" s="95"/>
      <c r="KCE264" s="95"/>
      <c r="KCF264" s="95"/>
      <c r="KCG264" s="95"/>
      <c r="KCH264" s="95"/>
      <c r="KCI264" s="95"/>
      <c r="KCJ264" s="95"/>
      <c r="KCK264" s="95"/>
      <c r="KCL264" s="95"/>
      <c r="KCM264" s="95"/>
      <c r="KCN264" s="95"/>
      <c r="KCO264" s="95"/>
      <c r="KCP264" s="95"/>
      <c r="KCQ264" s="95"/>
      <c r="KCR264" s="95"/>
      <c r="KCS264" s="95"/>
      <c r="KCT264" s="95"/>
      <c r="KCU264" s="95"/>
      <c r="KCV264" s="95"/>
      <c r="KCW264" s="95"/>
      <c r="KCX264" s="95"/>
      <c r="KCY264" s="95"/>
      <c r="KCZ264" s="95"/>
      <c r="KDA264" s="95"/>
      <c r="KDB264" s="95"/>
      <c r="KDC264" s="95"/>
      <c r="KDD264" s="95"/>
      <c r="KDE264" s="95"/>
      <c r="KDF264" s="95"/>
      <c r="KDG264" s="95"/>
      <c r="KDH264" s="95"/>
      <c r="KDI264" s="95"/>
      <c r="KDJ264" s="95"/>
      <c r="KDK264" s="95"/>
      <c r="KDL264" s="95"/>
      <c r="KDM264" s="95"/>
      <c r="KDN264" s="95"/>
      <c r="KDO264" s="95"/>
      <c r="KDP264" s="95"/>
      <c r="KDQ264" s="95"/>
      <c r="KDR264" s="95"/>
      <c r="KDS264" s="95"/>
      <c r="KDT264" s="95"/>
      <c r="KDU264" s="95"/>
      <c r="KDV264" s="95"/>
      <c r="KDW264" s="95"/>
      <c r="KDX264" s="95"/>
      <c r="KDY264" s="95"/>
      <c r="KDZ264" s="95"/>
      <c r="KEA264" s="95"/>
      <c r="KEB264" s="95"/>
      <c r="KEC264" s="95"/>
      <c r="KED264" s="95"/>
      <c r="KEE264" s="95"/>
      <c r="KEF264" s="95"/>
      <c r="KEG264" s="95"/>
      <c r="KEH264" s="95"/>
      <c r="KEI264" s="95"/>
      <c r="KEJ264" s="95"/>
      <c r="KEK264" s="95"/>
      <c r="KEL264" s="95"/>
      <c r="KEM264" s="95"/>
      <c r="KEN264" s="95"/>
      <c r="KEO264" s="95"/>
      <c r="KEP264" s="95"/>
      <c r="KEQ264" s="95"/>
      <c r="KER264" s="95"/>
      <c r="KES264" s="95"/>
      <c r="KET264" s="95"/>
      <c r="KEU264" s="95"/>
      <c r="KEV264" s="95"/>
      <c r="KEW264" s="95"/>
      <c r="KEX264" s="95"/>
      <c r="KEY264" s="95"/>
      <c r="KEZ264" s="95"/>
      <c r="KFA264" s="95"/>
      <c r="KFB264" s="95"/>
      <c r="KFC264" s="95"/>
      <c r="KFD264" s="95"/>
      <c r="KFE264" s="95"/>
      <c r="KFF264" s="95"/>
      <c r="KFG264" s="95"/>
      <c r="KFH264" s="95"/>
      <c r="KFI264" s="95"/>
      <c r="KFJ264" s="95"/>
      <c r="KFK264" s="95"/>
      <c r="KFL264" s="95"/>
      <c r="KFM264" s="95"/>
      <c r="KFN264" s="95"/>
      <c r="KFO264" s="95"/>
      <c r="KFP264" s="95"/>
      <c r="KFQ264" s="95"/>
      <c r="KFR264" s="95"/>
      <c r="KFS264" s="95"/>
      <c r="KFT264" s="95"/>
      <c r="KFU264" s="95"/>
      <c r="KFV264" s="95"/>
      <c r="KFW264" s="95"/>
      <c r="KFX264" s="95"/>
      <c r="KFY264" s="95"/>
      <c r="KFZ264" s="95"/>
      <c r="KGA264" s="95"/>
      <c r="KGB264" s="95"/>
      <c r="KGC264" s="95"/>
      <c r="KGD264" s="95"/>
      <c r="KGE264" s="95"/>
      <c r="KGF264" s="95"/>
      <c r="KGG264" s="95"/>
      <c r="KGH264" s="95"/>
      <c r="KGI264" s="95"/>
      <c r="KGJ264" s="95"/>
      <c r="KGK264" s="95"/>
      <c r="KGL264" s="95"/>
      <c r="KGM264" s="95"/>
      <c r="KGN264" s="95"/>
      <c r="KGO264" s="95"/>
      <c r="KGP264" s="95"/>
      <c r="KGQ264" s="95"/>
      <c r="KGR264" s="95"/>
      <c r="KGS264" s="95"/>
      <c r="KGT264" s="95"/>
      <c r="KGU264" s="95"/>
      <c r="KGV264" s="95"/>
      <c r="KGW264" s="95"/>
      <c r="KGX264" s="95"/>
      <c r="KGY264" s="95"/>
      <c r="KGZ264" s="95"/>
      <c r="KHA264" s="95"/>
      <c r="KHB264" s="95"/>
      <c r="KHC264" s="95"/>
      <c r="KHD264" s="95"/>
      <c r="KHE264" s="95"/>
      <c r="KHF264" s="95"/>
      <c r="KHG264" s="95"/>
      <c r="KHH264" s="95"/>
      <c r="KHI264" s="95"/>
      <c r="KHJ264" s="95"/>
      <c r="KHK264" s="95"/>
      <c r="KHL264" s="95"/>
      <c r="KHM264" s="95"/>
      <c r="KHN264" s="95"/>
      <c r="KHO264" s="95"/>
      <c r="KHP264" s="95"/>
      <c r="KHQ264" s="95"/>
      <c r="KHR264" s="95"/>
      <c r="KHS264" s="95"/>
      <c r="KHT264" s="95"/>
      <c r="KHU264" s="95"/>
      <c r="KHV264" s="95"/>
      <c r="KHW264" s="95"/>
      <c r="KHX264" s="95"/>
      <c r="KHY264" s="95"/>
      <c r="KHZ264" s="95"/>
      <c r="KIA264" s="95"/>
      <c r="KIB264" s="95"/>
      <c r="KIC264" s="95"/>
      <c r="KID264" s="95"/>
      <c r="KIE264" s="95"/>
      <c r="KIF264" s="95"/>
      <c r="KIG264" s="95"/>
      <c r="KIH264" s="95"/>
      <c r="KII264" s="95"/>
      <c r="KIJ264" s="95"/>
      <c r="KIK264" s="95"/>
      <c r="KIL264" s="95"/>
      <c r="KIM264" s="95"/>
      <c r="KIN264" s="95"/>
      <c r="KIO264" s="95"/>
      <c r="KIP264" s="95"/>
      <c r="KIQ264" s="95"/>
      <c r="KIR264" s="95"/>
      <c r="KIS264" s="95"/>
      <c r="KIT264" s="95"/>
      <c r="KIU264" s="95"/>
      <c r="KIV264" s="95"/>
      <c r="KIW264" s="95"/>
      <c r="KIX264" s="95"/>
      <c r="KIY264" s="95"/>
      <c r="KIZ264" s="95"/>
      <c r="KJA264" s="95"/>
      <c r="KJB264" s="95"/>
      <c r="KJC264" s="95"/>
      <c r="KJD264" s="95"/>
      <c r="KJE264" s="95"/>
      <c r="KJF264" s="95"/>
      <c r="KJG264" s="95"/>
      <c r="KJH264" s="95"/>
      <c r="KJI264" s="95"/>
      <c r="KJJ264" s="95"/>
      <c r="KJK264" s="95"/>
      <c r="KJL264" s="95"/>
      <c r="KJM264" s="95"/>
      <c r="KJN264" s="95"/>
      <c r="KJO264" s="95"/>
      <c r="KJP264" s="95"/>
      <c r="KJQ264" s="95"/>
      <c r="KJR264" s="95"/>
      <c r="KJS264" s="95"/>
      <c r="KJT264" s="95"/>
      <c r="KJU264" s="95"/>
      <c r="KJV264" s="95"/>
      <c r="KJW264" s="95"/>
      <c r="KJX264" s="95"/>
      <c r="KJY264" s="95"/>
      <c r="KJZ264" s="95"/>
      <c r="KKA264" s="95"/>
      <c r="KKB264" s="95"/>
      <c r="KKC264" s="95"/>
      <c r="KKD264" s="95"/>
      <c r="KKE264" s="95"/>
      <c r="KKF264" s="95"/>
      <c r="KKG264" s="95"/>
      <c r="KKH264" s="95"/>
      <c r="KKI264" s="95"/>
      <c r="KKJ264" s="95"/>
      <c r="KKK264" s="95"/>
      <c r="KKL264" s="95"/>
      <c r="KKM264" s="95"/>
      <c r="KKN264" s="95"/>
      <c r="KKO264" s="95"/>
      <c r="KKP264" s="95"/>
      <c r="KKQ264" s="95"/>
      <c r="KKR264" s="95"/>
      <c r="KKS264" s="95"/>
      <c r="KKT264" s="95"/>
      <c r="KKU264" s="95"/>
      <c r="KKV264" s="95"/>
      <c r="KKW264" s="95"/>
      <c r="KKX264" s="95"/>
      <c r="KKY264" s="95"/>
      <c r="KKZ264" s="95"/>
      <c r="KLA264" s="95"/>
      <c r="KLB264" s="95"/>
      <c r="KLC264" s="95"/>
      <c r="KLD264" s="95"/>
      <c r="KLE264" s="95"/>
      <c r="KLF264" s="95"/>
      <c r="KLG264" s="95"/>
      <c r="KLH264" s="95"/>
      <c r="KLI264" s="95"/>
      <c r="KLJ264" s="95"/>
      <c r="KLK264" s="95"/>
      <c r="KLL264" s="95"/>
      <c r="KLM264" s="95"/>
      <c r="KLN264" s="95"/>
      <c r="KLO264" s="95"/>
      <c r="KLP264" s="95"/>
      <c r="KLQ264" s="95"/>
      <c r="KLR264" s="95"/>
      <c r="KLS264" s="95"/>
      <c r="KLT264" s="95"/>
      <c r="KLU264" s="95"/>
      <c r="KLV264" s="95"/>
      <c r="KLW264" s="95"/>
      <c r="KLX264" s="95"/>
      <c r="KLY264" s="95"/>
      <c r="KLZ264" s="95"/>
      <c r="KMA264" s="95"/>
      <c r="KMB264" s="95"/>
      <c r="KMC264" s="95"/>
      <c r="KMD264" s="95"/>
      <c r="KME264" s="95"/>
      <c r="KMF264" s="95"/>
      <c r="KMG264" s="95"/>
      <c r="KMH264" s="95"/>
      <c r="KMI264" s="95"/>
      <c r="KMJ264" s="95"/>
      <c r="KMK264" s="95"/>
      <c r="KML264" s="95"/>
      <c r="KMM264" s="95"/>
      <c r="KMN264" s="95"/>
      <c r="KMO264" s="95"/>
      <c r="KMP264" s="95"/>
      <c r="KMQ264" s="95"/>
      <c r="KMR264" s="95"/>
      <c r="KMS264" s="95"/>
      <c r="KMT264" s="95"/>
      <c r="KMU264" s="95"/>
      <c r="KMV264" s="95"/>
      <c r="KMW264" s="95"/>
      <c r="KMX264" s="95"/>
      <c r="KMY264" s="95"/>
      <c r="KMZ264" s="95"/>
      <c r="KNA264" s="95"/>
      <c r="KNB264" s="95"/>
      <c r="KNC264" s="95"/>
      <c r="KND264" s="95"/>
      <c r="KNE264" s="95"/>
      <c r="KNF264" s="95"/>
      <c r="KNG264" s="95"/>
      <c r="KNH264" s="95"/>
      <c r="KNI264" s="95"/>
      <c r="KNJ264" s="95"/>
      <c r="KNK264" s="95"/>
      <c r="KNL264" s="95"/>
      <c r="KNM264" s="95"/>
      <c r="KNN264" s="95"/>
      <c r="KNO264" s="95"/>
      <c r="KNP264" s="95"/>
      <c r="KNQ264" s="95"/>
      <c r="KNR264" s="95"/>
      <c r="KNS264" s="95"/>
      <c r="KNT264" s="95"/>
      <c r="KNU264" s="95"/>
      <c r="KNV264" s="95"/>
      <c r="KNW264" s="95"/>
      <c r="KNX264" s="95"/>
      <c r="KNY264" s="95"/>
      <c r="KNZ264" s="95"/>
      <c r="KOA264" s="95"/>
      <c r="KOB264" s="95"/>
      <c r="KOC264" s="95"/>
      <c r="KOD264" s="95"/>
      <c r="KOE264" s="95"/>
      <c r="KOF264" s="95"/>
      <c r="KOG264" s="95"/>
      <c r="KOH264" s="95"/>
      <c r="KOI264" s="95"/>
      <c r="KOJ264" s="95"/>
      <c r="KOK264" s="95"/>
      <c r="KOL264" s="95"/>
      <c r="KOM264" s="95"/>
      <c r="KON264" s="95"/>
      <c r="KOO264" s="95"/>
      <c r="KOP264" s="95"/>
      <c r="KOQ264" s="95"/>
      <c r="KOR264" s="95"/>
      <c r="KOS264" s="95"/>
      <c r="KOT264" s="95"/>
      <c r="KOU264" s="95"/>
      <c r="KOV264" s="95"/>
      <c r="KOW264" s="95"/>
      <c r="KOX264" s="95"/>
      <c r="KOY264" s="95"/>
      <c r="KOZ264" s="95"/>
      <c r="KPA264" s="95"/>
      <c r="KPB264" s="95"/>
      <c r="KPC264" s="95"/>
      <c r="KPD264" s="95"/>
      <c r="KPE264" s="95"/>
      <c r="KPF264" s="95"/>
      <c r="KPG264" s="95"/>
      <c r="KPH264" s="95"/>
      <c r="KPI264" s="95"/>
      <c r="KPJ264" s="95"/>
      <c r="KPK264" s="95"/>
      <c r="KPL264" s="95"/>
      <c r="KPM264" s="95"/>
      <c r="KPN264" s="95"/>
      <c r="KPO264" s="95"/>
      <c r="KPP264" s="95"/>
      <c r="KPQ264" s="95"/>
      <c r="KPR264" s="95"/>
      <c r="KPS264" s="95"/>
      <c r="KPT264" s="95"/>
      <c r="KPU264" s="95"/>
      <c r="KPV264" s="95"/>
      <c r="KPW264" s="95"/>
      <c r="KPX264" s="95"/>
      <c r="KPY264" s="95"/>
      <c r="KPZ264" s="95"/>
      <c r="KQA264" s="95"/>
      <c r="KQB264" s="95"/>
      <c r="KQC264" s="95"/>
      <c r="KQD264" s="95"/>
      <c r="KQE264" s="95"/>
      <c r="KQF264" s="95"/>
      <c r="KQG264" s="95"/>
      <c r="KQH264" s="95"/>
      <c r="KQI264" s="95"/>
      <c r="KQJ264" s="95"/>
      <c r="KQK264" s="95"/>
      <c r="KQL264" s="95"/>
      <c r="KQM264" s="95"/>
      <c r="KQN264" s="95"/>
      <c r="KQO264" s="95"/>
      <c r="KQP264" s="95"/>
      <c r="KQQ264" s="95"/>
      <c r="KQR264" s="95"/>
      <c r="KQS264" s="95"/>
      <c r="KQT264" s="95"/>
      <c r="KQU264" s="95"/>
      <c r="KQV264" s="95"/>
      <c r="KQW264" s="95"/>
      <c r="KQX264" s="95"/>
      <c r="KQY264" s="95"/>
      <c r="KQZ264" s="95"/>
      <c r="KRA264" s="95"/>
      <c r="KRB264" s="95"/>
      <c r="KRC264" s="95"/>
      <c r="KRD264" s="95"/>
      <c r="KRE264" s="95"/>
      <c r="KRF264" s="95"/>
      <c r="KRG264" s="95"/>
      <c r="KRH264" s="95"/>
      <c r="KRI264" s="95"/>
      <c r="KRJ264" s="95"/>
      <c r="KRK264" s="95"/>
      <c r="KRL264" s="95"/>
      <c r="KRM264" s="95"/>
      <c r="KRN264" s="95"/>
      <c r="KRO264" s="95"/>
      <c r="KRP264" s="95"/>
      <c r="KRQ264" s="95"/>
      <c r="KRR264" s="95"/>
      <c r="KRS264" s="95"/>
      <c r="KRT264" s="95"/>
      <c r="KRU264" s="95"/>
      <c r="KRV264" s="95"/>
      <c r="KRW264" s="95"/>
      <c r="KRX264" s="95"/>
      <c r="KRY264" s="95"/>
      <c r="KRZ264" s="95"/>
      <c r="KSA264" s="95"/>
      <c r="KSB264" s="95"/>
      <c r="KSC264" s="95"/>
      <c r="KSD264" s="95"/>
      <c r="KSE264" s="95"/>
      <c r="KSF264" s="95"/>
      <c r="KSG264" s="95"/>
      <c r="KSH264" s="95"/>
      <c r="KSI264" s="95"/>
      <c r="KSJ264" s="95"/>
      <c r="KSK264" s="95"/>
      <c r="KSL264" s="95"/>
      <c r="KSM264" s="95"/>
      <c r="KSN264" s="95"/>
      <c r="KSO264" s="95"/>
      <c r="KSP264" s="95"/>
      <c r="KSQ264" s="95"/>
      <c r="KSR264" s="95"/>
      <c r="KSS264" s="95"/>
      <c r="KST264" s="95"/>
      <c r="KSU264" s="95"/>
      <c r="KSV264" s="95"/>
      <c r="KSW264" s="95"/>
      <c r="KSX264" s="95"/>
      <c r="KSY264" s="95"/>
      <c r="KSZ264" s="95"/>
      <c r="KTA264" s="95"/>
      <c r="KTB264" s="95"/>
      <c r="KTC264" s="95"/>
      <c r="KTD264" s="95"/>
      <c r="KTE264" s="95"/>
      <c r="KTF264" s="95"/>
      <c r="KTG264" s="95"/>
      <c r="KTH264" s="95"/>
      <c r="KTI264" s="95"/>
      <c r="KTJ264" s="95"/>
      <c r="KTK264" s="95"/>
      <c r="KTL264" s="95"/>
      <c r="KTM264" s="95"/>
      <c r="KTN264" s="95"/>
      <c r="KTO264" s="95"/>
      <c r="KTP264" s="95"/>
      <c r="KTQ264" s="95"/>
      <c r="KTR264" s="95"/>
      <c r="KTS264" s="95"/>
      <c r="KTT264" s="95"/>
      <c r="KTU264" s="95"/>
      <c r="KTV264" s="95"/>
      <c r="KTW264" s="95"/>
      <c r="KTX264" s="95"/>
      <c r="KTY264" s="95"/>
      <c r="KTZ264" s="95"/>
      <c r="KUA264" s="95"/>
      <c r="KUB264" s="95"/>
      <c r="KUC264" s="95"/>
      <c r="KUD264" s="95"/>
      <c r="KUE264" s="95"/>
      <c r="KUF264" s="95"/>
      <c r="KUG264" s="95"/>
      <c r="KUH264" s="95"/>
      <c r="KUI264" s="95"/>
      <c r="KUJ264" s="95"/>
      <c r="KUK264" s="95"/>
      <c r="KUL264" s="95"/>
      <c r="KUM264" s="95"/>
      <c r="KUN264" s="95"/>
      <c r="KUO264" s="95"/>
      <c r="KUP264" s="95"/>
      <c r="KUQ264" s="95"/>
      <c r="KUR264" s="95"/>
      <c r="KUS264" s="95"/>
      <c r="KUT264" s="95"/>
      <c r="KUU264" s="95"/>
      <c r="KUV264" s="95"/>
      <c r="KUW264" s="95"/>
      <c r="KUX264" s="95"/>
      <c r="KUY264" s="95"/>
      <c r="KUZ264" s="95"/>
      <c r="KVA264" s="95"/>
      <c r="KVB264" s="95"/>
      <c r="KVC264" s="95"/>
      <c r="KVD264" s="95"/>
      <c r="KVE264" s="95"/>
      <c r="KVF264" s="95"/>
      <c r="KVG264" s="95"/>
      <c r="KVH264" s="95"/>
      <c r="KVI264" s="95"/>
      <c r="KVJ264" s="95"/>
      <c r="KVK264" s="95"/>
      <c r="KVL264" s="95"/>
      <c r="KVM264" s="95"/>
      <c r="KVN264" s="95"/>
      <c r="KVO264" s="95"/>
      <c r="KVP264" s="95"/>
      <c r="KVQ264" s="95"/>
      <c r="KVR264" s="95"/>
      <c r="KVS264" s="95"/>
      <c r="KVT264" s="95"/>
      <c r="KVU264" s="95"/>
      <c r="KVV264" s="95"/>
      <c r="KVW264" s="95"/>
      <c r="KVX264" s="95"/>
      <c r="KVY264" s="95"/>
      <c r="KVZ264" s="95"/>
      <c r="KWA264" s="95"/>
      <c r="KWB264" s="95"/>
      <c r="KWC264" s="95"/>
      <c r="KWD264" s="95"/>
      <c r="KWE264" s="95"/>
      <c r="KWF264" s="95"/>
      <c r="KWG264" s="95"/>
      <c r="KWH264" s="95"/>
      <c r="KWI264" s="95"/>
      <c r="KWJ264" s="95"/>
      <c r="KWK264" s="95"/>
      <c r="KWL264" s="95"/>
      <c r="KWM264" s="95"/>
      <c r="KWN264" s="95"/>
      <c r="KWO264" s="95"/>
      <c r="KWP264" s="95"/>
      <c r="KWQ264" s="95"/>
      <c r="KWR264" s="95"/>
      <c r="KWS264" s="95"/>
      <c r="KWT264" s="95"/>
      <c r="KWU264" s="95"/>
      <c r="KWV264" s="95"/>
      <c r="KWW264" s="95"/>
      <c r="KWX264" s="95"/>
      <c r="KWY264" s="95"/>
      <c r="KWZ264" s="95"/>
      <c r="KXA264" s="95"/>
      <c r="KXB264" s="95"/>
      <c r="KXC264" s="95"/>
      <c r="KXD264" s="95"/>
      <c r="KXE264" s="95"/>
      <c r="KXF264" s="95"/>
      <c r="KXG264" s="95"/>
      <c r="KXH264" s="95"/>
      <c r="KXI264" s="95"/>
      <c r="KXJ264" s="95"/>
      <c r="KXK264" s="95"/>
      <c r="KXL264" s="95"/>
      <c r="KXM264" s="95"/>
      <c r="KXN264" s="95"/>
      <c r="KXO264" s="95"/>
      <c r="KXP264" s="95"/>
      <c r="KXQ264" s="95"/>
      <c r="KXR264" s="95"/>
      <c r="KXS264" s="95"/>
      <c r="KXT264" s="95"/>
      <c r="KXU264" s="95"/>
      <c r="KXV264" s="95"/>
      <c r="KXW264" s="95"/>
      <c r="KXX264" s="95"/>
      <c r="KXY264" s="95"/>
      <c r="KXZ264" s="95"/>
      <c r="KYA264" s="95"/>
      <c r="KYB264" s="95"/>
      <c r="KYC264" s="95"/>
      <c r="KYD264" s="95"/>
      <c r="KYE264" s="95"/>
      <c r="KYF264" s="95"/>
      <c r="KYG264" s="95"/>
      <c r="KYH264" s="95"/>
      <c r="KYI264" s="95"/>
      <c r="KYJ264" s="95"/>
      <c r="KYK264" s="95"/>
      <c r="KYL264" s="95"/>
      <c r="KYM264" s="95"/>
      <c r="KYN264" s="95"/>
      <c r="KYO264" s="95"/>
      <c r="KYP264" s="95"/>
      <c r="KYQ264" s="95"/>
      <c r="KYR264" s="95"/>
      <c r="KYS264" s="95"/>
      <c r="KYT264" s="95"/>
      <c r="KYU264" s="95"/>
      <c r="KYV264" s="95"/>
      <c r="KYW264" s="95"/>
      <c r="KYX264" s="95"/>
      <c r="KYY264" s="95"/>
      <c r="KYZ264" s="95"/>
      <c r="KZA264" s="95"/>
      <c r="KZB264" s="95"/>
      <c r="KZC264" s="95"/>
      <c r="KZD264" s="95"/>
      <c r="KZE264" s="95"/>
      <c r="KZF264" s="95"/>
      <c r="KZG264" s="95"/>
      <c r="KZH264" s="95"/>
      <c r="KZI264" s="95"/>
      <c r="KZJ264" s="95"/>
      <c r="KZK264" s="95"/>
      <c r="KZL264" s="95"/>
      <c r="KZM264" s="95"/>
      <c r="KZN264" s="95"/>
      <c r="KZO264" s="95"/>
      <c r="KZP264" s="95"/>
      <c r="KZQ264" s="95"/>
      <c r="KZR264" s="95"/>
      <c r="KZS264" s="95"/>
      <c r="KZT264" s="95"/>
      <c r="KZU264" s="95"/>
      <c r="KZV264" s="95"/>
      <c r="KZW264" s="95"/>
      <c r="KZX264" s="95"/>
      <c r="KZY264" s="95"/>
      <c r="KZZ264" s="95"/>
      <c r="LAA264" s="95"/>
      <c r="LAB264" s="95"/>
      <c r="LAC264" s="95"/>
      <c r="LAD264" s="95"/>
      <c r="LAE264" s="95"/>
      <c r="LAF264" s="95"/>
      <c r="LAG264" s="95"/>
      <c r="LAH264" s="95"/>
      <c r="LAI264" s="95"/>
      <c r="LAJ264" s="95"/>
      <c r="LAK264" s="95"/>
      <c r="LAL264" s="95"/>
      <c r="LAM264" s="95"/>
      <c r="LAN264" s="95"/>
      <c r="LAO264" s="95"/>
      <c r="LAP264" s="95"/>
      <c r="LAQ264" s="95"/>
      <c r="LAR264" s="95"/>
      <c r="LAS264" s="95"/>
      <c r="LAT264" s="95"/>
      <c r="LAU264" s="95"/>
      <c r="LAV264" s="95"/>
      <c r="LAW264" s="95"/>
      <c r="LAX264" s="95"/>
      <c r="LAY264" s="95"/>
      <c r="LAZ264" s="95"/>
      <c r="LBA264" s="95"/>
      <c r="LBB264" s="95"/>
      <c r="LBC264" s="95"/>
      <c r="LBD264" s="95"/>
      <c r="LBE264" s="95"/>
      <c r="LBF264" s="95"/>
      <c r="LBG264" s="95"/>
      <c r="LBH264" s="95"/>
      <c r="LBI264" s="95"/>
      <c r="LBJ264" s="95"/>
      <c r="LBK264" s="95"/>
      <c r="LBL264" s="95"/>
      <c r="LBM264" s="95"/>
      <c r="LBN264" s="95"/>
      <c r="LBO264" s="95"/>
      <c r="LBP264" s="95"/>
      <c r="LBQ264" s="95"/>
      <c r="LBR264" s="95"/>
      <c r="LBS264" s="95"/>
      <c r="LBT264" s="95"/>
      <c r="LBU264" s="95"/>
      <c r="LBV264" s="95"/>
      <c r="LBW264" s="95"/>
      <c r="LBX264" s="95"/>
      <c r="LBY264" s="95"/>
      <c r="LBZ264" s="95"/>
      <c r="LCA264" s="95"/>
      <c r="LCB264" s="95"/>
      <c r="LCC264" s="95"/>
      <c r="LCD264" s="95"/>
      <c r="LCE264" s="95"/>
      <c r="LCF264" s="95"/>
      <c r="LCG264" s="95"/>
      <c r="LCH264" s="95"/>
      <c r="LCI264" s="95"/>
      <c r="LCJ264" s="95"/>
      <c r="LCK264" s="95"/>
      <c r="LCL264" s="95"/>
      <c r="LCM264" s="95"/>
      <c r="LCN264" s="95"/>
      <c r="LCO264" s="95"/>
      <c r="LCP264" s="95"/>
      <c r="LCQ264" s="95"/>
      <c r="LCR264" s="95"/>
      <c r="LCS264" s="95"/>
      <c r="LCT264" s="95"/>
      <c r="LCU264" s="95"/>
      <c r="LCV264" s="95"/>
      <c r="LCW264" s="95"/>
      <c r="LCX264" s="95"/>
      <c r="LCY264" s="95"/>
      <c r="LCZ264" s="95"/>
      <c r="LDA264" s="95"/>
      <c r="LDB264" s="95"/>
      <c r="LDC264" s="95"/>
      <c r="LDD264" s="95"/>
      <c r="LDE264" s="95"/>
      <c r="LDF264" s="95"/>
      <c r="LDG264" s="95"/>
      <c r="LDH264" s="95"/>
      <c r="LDI264" s="95"/>
      <c r="LDJ264" s="95"/>
      <c r="LDK264" s="95"/>
      <c r="LDL264" s="95"/>
      <c r="LDM264" s="95"/>
      <c r="LDN264" s="95"/>
      <c r="LDO264" s="95"/>
      <c r="LDP264" s="95"/>
      <c r="LDQ264" s="95"/>
      <c r="LDR264" s="95"/>
      <c r="LDS264" s="95"/>
      <c r="LDT264" s="95"/>
      <c r="LDU264" s="95"/>
      <c r="LDV264" s="95"/>
      <c r="LDW264" s="95"/>
      <c r="LDX264" s="95"/>
      <c r="LDY264" s="95"/>
      <c r="LDZ264" s="95"/>
      <c r="LEA264" s="95"/>
      <c r="LEB264" s="95"/>
      <c r="LEC264" s="95"/>
      <c r="LED264" s="95"/>
      <c r="LEE264" s="95"/>
      <c r="LEF264" s="95"/>
      <c r="LEG264" s="95"/>
      <c r="LEH264" s="95"/>
      <c r="LEI264" s="95"/>
      <c r="LEJ264" s="95"/>
      <c r="LEK264" s="95"/>
      <c r="LEL264" s="95"/>
      <c r="LEM264" s="95"/>
      <c r="LEN264" s="95"/>
      <c r="LEO264" s="95"/>
      <c r="LEP264" s="95"/>
      <c r="LEQ264" s="95"/>
      <c r="LER264" s="95"/>
      <c r="LES264" s="95"/>
      <c r="LET264" s="95"/>
      <c r="LEU264" s="95"/>
      <c r="LEV264" s="95"/>
      <c r="LEW264" s="95"/>
      <c r="LEX264" s="95"/>
      <c r="LEY264" s="95"/>
      <c r="LEZ264" s="95"/>
      <c r="LFA264" s="95"/>
      <c r="LFB264" s="95"/>
      <c r="LFC264" s="95"/>
      <c r="LFD264" s="95"/>
      <c r="LFE264" s="95"/>
      <c r="LFF264" s="95"/>
      <c r="LFG264" s="95"/>
      <c r="LFH264" s="95"/>
      <c r="LFI264" s="95"/>
      <c r="LFJ264" s="95"/>
      <c r="LFK264" s="95"/>
      <c r="LFL264" s="95"/>
      <c r="LFM264" s="95"/>
      <c r="LFN264" s="95"/>
      <c r="LFO264" s="95"/>
      <c r="LFP264" s="95"/>
      <c r="LFQ264" s="95"/>
      <c r="LFR264" s="95"/>
      <c r="LFS264" s="95"/>
      <c r="LFT264" s="95"/>
      <c r="LFU264" s="95"/>
      <c r="LFV264" s="95"/>
      <c r="LFW264" s="95"/>
      <c r="LFX264" s="95"/>
      <c r="LFY264" s="95"/>
      <c r="LFZ264" s="95"/>
      <c r="LGA264" s="95"/>
      <c r="LGB264" s="95"/>
      <c r="LGC264" s="95"/>
      <c r="LGD264" s="95"/>
      <c r="LGE264" s="95"/>
      <c r="LGF264" s="95"/>
      <c r="LGG264" s="95"/>
      <c r="LGH264" s="95"/>
      <c r="LGI264" s="95"/>
      <c r="LGJ264" s="95"/>
      <c r="LGK264" s="95"/>
      <c r="LGL264" s="95"/>
      <c r="LGM264" s="95"/>
      <c r="LGN264" s="95"/>
      <c r="LGO264" s="95"/>
      <c r="LGP264" s="95"/>
      <c r="LGQ264" s="95"/>
      <c r="LGR264" s="95"/>
      <c r="LGS264" s="95"/>
      <c r="LGT264" s="95"/>
      <c r="LGU264" s="95"/>
      <c r="LGV264" s="95"/>
      <c r="LGW264" s="95"/>
      <c r="LGX264" s="95"/>
      <c r="LGY264" s="95"/>
      <c r="LGZ264" s="95"/>
      <c r="LHA264" s="95"/>
      <c r="LHB264" s="95"/>
      <c r="LHC264" s="95"/>
      <c r="LHD264" s="95"/>
      <c r="LHE264" s="95"/>
      <c r="LHF264" s="95"/>
      <c r="LHG264" s="95"/>
      <c r="LHH264" s="95"/>
      <c r="LHI264" s="95"/>
      <c r="LHJ264" s="95"/>
      <c r="LHK264" s="95"/>
      <c r="LHL264" s="95"/>
      <c r="LHM264" s="95"/>
      <c r="LHN264" s="95"/>
      <c r="LHO264" s="95"/>
      <c r="LHP264" s="95"/>
      <c r="LHQ264" s="95"/>
      <c r="LHR264" s="95"/>
      <c r="LHS264" s="95"/>
      <c r="LHT264" s="95"/>
      <c r="LHU264" s="95"/>
      <c r="LHV264" s="95"/>
      <c r="LHW264" s="95"/>
      <c r="LHX264" s="95"/>
      <c r="LHY264" s="95"/>
      <c r="LHZ264" s="95"/>
      <c r="LIA264" s="95"/>
      <c r="LIB264" s="95"/>
      <c r="LIC264" s="95"/>
      <c r="LID264" s="95"/>
      <c r="LIE264" s="95"/>
      <c r="LIF264" s="95"/>
      <c r="LIG264" s="95"/>
      <c r="LIH264" s="95"/>
      <c r="LII264" s="95"/>
      <c r="LIJ264" s="95"/>
      <c r="LIK264" s="95"/>
      <c r="LIL264" s="95"/>
      <c r="LIM264" s="95"/>
      <c r="LIN264" s="95"/>
      <c r="LIO264" s="95"/>
      <c r="LIP264" s="95"/>
      <c r="LIQ264" s="95"/>
      <c r="LIR264" s="95"/>
      <c r="LIS264" s="95"/>
      <c r="LIT264" s="95"/>
      <c r="LIU264" s="95"/>
      <c r="LIV264" s="95"/>
      <c r="LIW264" s="95"/>
      <c r="LIX264" s="95"/>
      <c r="LIY264" s="95"/>
      <c r="LIZ264" s="95"/>
      <c r="LJA264" s="95"/>
      <c r="LJB264" s="95"/>
      <c r="LJC264" s="95"/>
      <c r="LJD264" s="95"/>
      <c r="LJE264" s="95"/>
      <c r="LJF264" s="95"/>
      <c r="LJG264" s="95"/>
      <c r="LJH264" s="95"/>
      <c r="LJI264" s="95"/>
      <c r="LJJ264" s="95"/>
      <c r="LJK264" s="95"/>
      <c r="LJL264" s="95"/>
      <c r="LJM264" s="95"/>
      <c r="LJN264" s="95"/>
      <c r="LJO264" s="95"/>
      <c r="LJP264" s="95"/>
      <c r="LJQ264" s="95"/>
      <c r="LJR264" s="95"/>
      <c r="LJS264" s="95"/>
      <c r="LJT264" s="95"/>
      <c r="LJU264" s="95"/>
      <c r="LJV264" s="95"/>
      <c r="LJW264" s="95"/>
      <c r="LJX264" s="95"/>
      <c r="LJY264" s="95"/>
      <c r="LJZ264" s="95"/>
      <c r="LKA264" s="95"/>
      <c r="LKB264" s="95"/>
      <c r="LKC264" s="95"/>
      <c r="LKD264" s="95"/>
      <c r="LKE264" s="95"/>
      <c r="LKF264" s="95"/>
      <c r="LKG264" s="95"/>
      <c r="LKH264" s="95"/>
      <c r="LKI264" s="95"/>
      <c r="LKJ264" s="95"/>
      <c r="LKK264" s="95"/>
      <c r="LKL264" s="95"/>
      <c r="LKM264" s="95"/>
      <c r="LKN264" s="95"/>
      <c r="LKO264" s="95"/>
      <c r="LKP264" s="95"/>
      <c r="LKQ264" s="95"/>
      <c r="LKR264" s="95"/>
      <c r="LKS264" s="95"/>
      <c r="LKT264" s="95"/>
      <c r="LKU264" s="95"/>
      <c r="LKV264" s="95"/>
      <c r="LKW264" s="95"/>
      <c r="LKX264" s="95"/>
      <c r="LKY264" s="95"/>
      <c r="LKZ264" s="95"/>
      <c r="LLA264" s="95"/>
      <c r="LLB264" s="95"/>
      <c r="LLC264" s="95"/>
      <c r="LLD264" s="95"/>
      <c r="LLE264" s="95"/>
      <c r="LLF264" s="95"/>
      <c r="LLG264" s="95"/>
      <c r="LLH264" s="95"/>
      <c r="LLI264" s="95"/>
      <c r="LLJ264" s="95"/>
      <c r="LLK264" s="95"/>
      <c r="LLL264" s="95"/>
      <c r="LLM264" s="95"/>
      <c r="LLN264" s="95"/>
      <c r="LLO264" s="95"/>
      <c r="LLP264" s="95"/>
      <c r="LLQ264" s="95"/>
      <c r="LLR264" s="95"/>
      <c r="LLS264" s="95"/>
      <c r="LLT264" s="95"/>
      <c r="LLU264" s="95"/>
      <c r="LLV264" s="95"/>
      <c r="LLW264" s="95"/>
      <c r="LLX264" s="95"/>
      <c r="LLY264" s="95"/>
      <c r="LLZ264" s="95"/>
      <c r="LMA264" s="95"/>
      <c r="LMB264" s="95"/>
      <c r="LMC264" s="95"/>
      <c r="LMD264" s="95"/>
      <c r="LME264" s="95"/>
      <c r="LMF264" s="95"/>
      <c r="LMG264" s="95"/>
      <c r="LMH264" s="95"/>
      <c r="LMI264" s="95"/>
      <c r="LMJ264" s="95"/>
      <c r="LMK264" s="95"/>
      <c r="LML264" s="95"/>
      <c r="LMM264" s="95"/>
      <c r="LMN264" s="95"/>
      <c r="LMO264" s="95"/>
      <c r="LMP264" s="95"/>
      <c r="LMQ264" s="95"/>
      <c r="LMR264" s="95"/>
      <c r="LMS264" s="95"/>
      <c r="LMT264" s="95"/>
      <c r="LMU264" s="95"/>
      <c r="LMV264" s="95"/>
      <c r="LMW264" s="95"/>
      <c r="LMX264" s="95"/>
      <c r="LMY264" s="95"/>
      <c r="LMZ264" s="95"/>
      <c r="LNA264" s="95"/>
      <c r="LNB264" s="95"/>
      <c r="LNC264" s="95"/>
      <c r="LND264" s="95"/>
      <c r="LNE264" s="95"/>
      <c r="LNF264" s="95"/>
      <c r="LNG264" s="95"/>
      <c r="LNH264" s="95"/>
      <c r="LNI264" s="95"/>
      <c r="LNJ264" s="95"/>
      <c r="LNK264" s="95"/>
      <c r="LNL264" s="95"/>
      <c r="LNM264" s="95"/>
      <c r="LNN264" s="95"/>
      <c r="LNO264" s="95"/>
      <c r="LNP264" s="95"/>
      <c r="LNQ264" s="95"/>
      <c r="LNR264" s="95"/>
      <c r="LNS264" s="95"/>
      <c r="LNT264" s="95"/>
      <c r="LNU264" s="95"/>
      <c r="LNV264" s="95"/>
      <c r="LNW264" s="95"/>
      <c r="LNX264" s="95"/>
      <c r="LNY264" s="95"/>
      <c r="LNZ264" s="95"/>
      <c r="LOA264" s="95"/>
      <c r="LOB264" s="95"/>
      <c r="LOC264" s="95"/>
      <c r="LOD264" s="95"/>
      <c r="LOE264" s="95"/>
      <c r="LOF264" s="95"/>
      <c r="LOG264" s="95"/>
      <c r="LOH264" s="95"/>
      <c r="LOI264" s="95"/>
      <c r="LOJ264" s="95"/>
      <c r="LOK264" s="95"/>
      <c r="LOL264" s="95"/>
      <c r="LOM264" s="95"/>
      <c r="LON264" s="95"/>
      <c r="LOO264" s="95"/>
      <c r="LOP264" s="95"/>
      <c r="LOQ264" s="95"/>
      <c r="LOR264" s="95"/>
      <c r="LOS264" s="95"/>
      <c r="LOT264" s="95"/>
      <c r="LOU264" s="95"/>
      <c r="LOV264" s="95"/>
      <c r="LOW264" s="95"/>
      <c r="LOX264" s="95"/>
      <c r="LOY264" s="95"/>
      <c r="LOZ264" s="95"/>
      <c r="LPA264" s="95"/>
      <c r="LPB264" s="95"/>
      <c r="LPC264" s="95"/>
      <c r="LPD264" s="95"/>
      <c r="LPE264" s="95"/>
      <c r="LPF264" s="95"/>
      <c r="LPG264" s="95"/>
      <c r="LPH264" s="95"/>
      <c r="LPI264" s="95"/>
      <c r="LPJ264" s="95"/>
      <c r="LPK264" s="95"/>
      <c r="LPL264" s="95"/>
      <c r="LPM264" s="95"/>
      <c r="LPN264" s="95"/>
      <c r="LPO264" s="95"/>
      <c r="LPP264" s="95"/>
      <c r="LPQ264" s="95"/>
      <c r="LPR264" s="95"/>
      <c r="LPS264" s="95"/>
      <c r="LPT264" s="95"/>
      <c r="LPU264" s="95"/>
      <c r="LPV264" s="95"/>
      <c r="LPW264" s="95"/>
      <c r="LPX264" s="95"/>
      <c r="LPY264" s="95"/>
      <c r="LPZ264" s="95"/>
      <c r="LQA264" s="95"/>
      <c r="LQB264" s="95"/>
      <c r="LQC264" s="95"/>
      <c r="LQD264" s="95"/>
      <c r="LQE264" s="95"/>
      <c r="LQF264" s="95"/>
      <c r="LQG264" s="95"/>
      <c r="LQH264" s="95"/>
      <c r="LQI264" s="95"/>
      <c r="LQJ264" s="95"/>
      <c r="LQK264" s="95"/>
      <c r="LQL264" s="95"/>
      <c r="LQM264" s="95"/>
      <c r="LQN264" s="95"/>
      <c r="LQO264" s="95"/>
      <c r="LQP264" s="95"/>
      <c r="LQQ264" s="95"/>
      <c r="LQR264" s="95"/>
      <c r="LQS264" s="95"/>
      <c r="LQT264" s="95"/>
      <c r="LQU264" s="95"/>
      <c r="LQV264" s="95"/>
      <c r="LQW264" s="95"/>
      <c r="LQX264" s="95"/>
      <c r="LQY264" s="95"/>
      <c r="LQZ264" s="95"/>
      <c r="LRA264" s="95"/>
      <c r="LRB264" s="95"/>
      <c r="LRC264" s="95"/>
      <c r="LRD264" s="95"/>
      <c r="LRE264" s="95"/>
      <c r="LRF264" s="95"/>
      <c r="LRG264" s="95"/>
      <c r="LRH264" s="95"/>
      <c r="LRI264" s="95"/>
      <c r="LRJ264" s="95"/>
      <c r="LRK264" s="95"/>
      <c r="LRL264" s="95"/>
      <c r="LRM264" s="95"/>
      <c r="LRN264" s="95"/>
      <c r="LRO264" s="95"/>
      <c r="LRP264" s="95"/>
      <c r="LRQ264" s="95"/>
      <c r="LRR264" s="95"/>
      <c r="LRS264" s="95"/>
      <c r="LRT264" s="95"/>
      <c r="LRU264" s="95"/>
      <c r="LRV264" s="95"/>
      <c r="LRW264" s="95"/>
      <c r="LRX264" s="95"/>
      <c r="LRY264" s="95"/>
      <c r="LRZ264" s="95"/>
      <c r="LSA264" s="95"/>
      <c r="LSB264" s="95"/>
      <c r="LSC264" s="95"/>
      <c r="LSD264" s="95"/>
      <c r="LSE264" s="95"/>
      <c r="LSF264" s="95"/>
      <c r="LSG264" s="95"/>
      <c r="LSH264" s="95"/>
      <c r="LSI264" s="95"/>
      <c r="LSJ264" s="95"/>
      <c r="LSK264" s="95"/>
      <c r="LSL264" s="95"/>
      <c r="LSM264" s="95"/>
      <c r="LSN264" s="95"/>
      <c r="LSO264" s="95"/>
      <c r="LSP264" s="95"/>
      <c r="LSQ264" s="95"/>
      <c r="LSR264" s="95"/>
      <c r="LSS264" s="95"/>
      <c r="LST264" s="95"/>
      <c r="LSU264" s="95"/>
      <c r="LSV264" s="95"/>
      <c r="LSW264" s="95"/>
      <c r="LSX264" s="95"/>
      <c r="LSY264" s="95"/>
      <c r="LSZ264" s="95"/>
      <c r="LTA264" s="95"/>
      <c r="LTB264" s="95"/>
      <c r="LTC264" s="95"/>
      <c r="LTD264" s="95"/>
      <c r="LTE264" s="95"/>
      <c r="LTF264" s="95"/>
      <c r="LTG264" s="95"/>
      <c r="LTH264" s="95"/>
      <c r="LTI264" s="95"/>
      <c r="LTJ264" s="95"/>
      <c r="LTK264" s="95"/>
      <c r="LTL264" s="95"/>
      <c r="LTM264" s="95"/>
      <c r="LTN264" s="95"/>
      <c r="LTO264" s="95"/>
      <c r="LTP264" s="95"/>
      <c r="LTQ264" s="95"/>
      <c r="LTR264" s="95"/>
      <c r="LTS264" s="95"/>
      <c r="LTT264" s="95"/>
      <c r="LTU264" s="95"/>
      <c r="LTV264" s="95"/>
      <c r="LTW264" s="95"/>
      <c r="LTX264" s="95"/>
      <c r="LTY264" s="95"/>
      <c r="LTZ264" s="95"/>
      <c r="LUA264" s="95"/>
      <c r="LUB264" s="95"/>
      <c r="LUC264" s="95"/>
      <c r="LUD264" s="95"/>
      <c r="LUE264" s="95"/>
      <c r="LUF264" s="95"/>
      <c r="LUG264" s="95"/>
      <c r="LUH264" s="95"/>
      <c r="LUI264" s="95"/>
      <c r="LUJ264" s="95"/>
      <c r="LUK264" s="95"/>
      <c r="LUL264" s="95"/>
      <c r="LUM264" s="95"/>
      <c r="LUN264" s="95"/>
      <c r="LUO264" s="95"/>
      <c r="LUP264" s="95"/>
      <c r="LUQ264" s="95"/>
      <c r="LUR264" s="95"/>
      <c r="LUS264" s="95"/>
      <c r="LUT264" s="95"/>
      <c r="LUU264" s="95"/>
      <c r="LUV264" s="95"/>
      <c r="LUW264" s="95"/>
      <c r="LUX264" s="95"/>
      <c r="LUY264" s="95"/>
      <c r="LUZ264" s="95"/>
      <c r="LVA264" s="95"/>
      <c r="LVB264" s="95"/>
      <c r="LVC264" s="95"/>
      <c r="LVD264" s="95"/>
      <c r="LVE264" s="95"/>
      <c r="LVF264" s="95"/>
      <c r="LVG264" s="95"/>
      <c r="LVH264" s="95"/>
      <c r="LVI264" s="95"/>
      <c r="LVJ264" s="95"/>
      <c r="LVK264" s="95"/>
      <c r="LVL264" s="95"/>
      <c r="LVM264" s="95"/>
      <c r="LVN264" s="95"/>
      <c r="LVO264" s="95"/>
      <c r="LVP264" s="95"/>
      <c r="LVQ264" s="95"/>
      <c r="LVR264" s="95"/>
      <c r="LVS264" s="95"/>
      <c r="LVT264" s="95"/>
      <c r="LVU264" s="95"/>
      <c r="LVV264" s="95"/>
      <c r="LVW264" s="95"/>
      <c r="LVX264" s="95"/>
      <c r="LVY264" s="95"/>
      <c r="LVZ264" s="95"/>
      <c r="LWA264" s="95"/>
      <c r="LWB264" s="95"/>
      <c r="LWC264" s="95"/>
      <c r="LWD264" s="95"/>
      <c r="LWE264" s="95"/>
      <c r="LWF264" s="95"/>
      <c r="LWG264" s="95"/>
      <c r="LWH264" s="95"/>
      <c r="LWI264" s="95"/>
      <c r="LWJ264" s="95"/>
      <c r="LWK264" s="95"/>
      <c r="LWL264" s="95"/>
      <c r="LWM264" s="95"/>
      <c r="LWN264" s="95"/>
      <c r="LWO264" s="95"/>
      <c r="LWP264" s="95"/>
      <c r="LWQ264" s="95"/>
      <c r="LWR264" s="95"/>
      <c r="LWS264" s="95"/>
      <c r="LWT264" s="95"/>
      <c r="LWU264" s="95"/>
      <c r="LWV264" s="95"/>
      <c r="LWW264" s="95"/>
      <c r="LWX264" s="95"/>
      <c r="LWY264" s="95"/>
      <c r="LWZ264" s="95"/>
      <c r="LXA264" s="95"/>
      <c r="LXB264" s="95"/>
      <c r="LXC264" s="95"/>
      <c r="LXD264" s="95"/>
      <c r="LXE264" s="95"/>
      <c r="LXF264" s="95"/>
      <c r="LXG264" s="95"/>
      <c r="LXH264" s="95"/>
      <c r="LXI264" s="95"/>
      <c r="LXJ264" s="95"/>
      <c r="LXK264" s="95"/>
      <c r="LXL264" s="95"/>
      <c r="LXM264" s="95"/>
      <c r="LXN264" s="95"/>
      <c r="LXO264" s="95"/>
      <c r="LXP264" s="95"/>
      <c r="LXQ264" s="95"/>
      <c r="LXR264" s="95"/>
      <c r="LXS264" s="95"/>
      <c r="LXT264" s="95"/>
      <c r="LXU264" s="95"/>
      <c r="LXV264" s="95"/>
      <c r="LXW264" s="95"/>
      <c r="LXX264" s="95"/>
      <c r="LXY264" s="95"/>
      <c r="LXZ264" s="95"/>
      <c r="LYA264" s="95"/>
      <c r="LYB264" s="95"/>
      <c r="LYC264" s="95"/>
      <c r="LYD264" s="95"/>
      <c r="LYE264" s="95"/>
      <c r="LYF264" s="95"/>
      <c r="LYG264" s="95"/>
      <c r="LYH264" s="95"/>
      <c r="LYI264" s="95"/>
      <c r="LYJ264" s="95"/>
      <c r="LYK264" s="95"/>
      <c r="LYL264" s="95"/>
      <c r="LYM264" s="95"/>
      <c r="LYN264" s="95"/>
      <c r="LYO264" s="95"/>
      <c r="LYP264" s="95"/>
      <c r="LYQ264" s="95"/>
      <c r="LYR264" s="95"/>
      <c r="LYS264" s="95"/>
      <c r="LYT264" s="95"/>
      <c r="LYU264" s="95"/>
      <c r="LYV264" s="95"/>
      <c r="LYW264" s="95"/>
      <c r="LYX264" s="95"/>
      <c r="LYY264" s="95"/>
      <c r="LYZ264" s="95"/>
      <c r="LZA264" s="95"/>
      <c r="LZB264" s="95"/>
      <c r="LZC264" s="95"/>
      <c r="LZD264" s="95"/>
      <c r="LZE264" s="95"/>
      <c r="LZF264" s="95"/>
      <c r="LZG264" s="95"/>
      <c r="LZH264" s="95"/>
      <c r="LZI264" s="95"/>
      <c r="LZJ264" s="95"/>
      <c r="LZK264" s="95"/>
      <c r="LZL264" s="95"/>
      <c r="LZM264" s="95"/>
      <c r="LZN264" s="95"/>
      <c r="LZO264" s="95"/>
      <c r="LZP264" s="95"/>
      <c r="LZQ264" s="95"/>
      <c r="LZR264" s="95"/>
      <c r="LZS264" s="95"/>
      <c r="LZT264" s="95"/>
      <c r="LZU264" s="95"/>
      <c r="LZV264" s="95"/>
      <c r="LZW264" s="95"/>
      <c r="LZX264" s="95"/>
      <c r="LZY264" s="95"/>
      <c r="LZZ264" s="95"/>
      <c r="MAA264" s="95"/>
      <c r="MAB264" s="95"/>
      <c r="MAC264" s="95"/>
      <c r="MAD264" s="95"/>
      <c r="MAE264" s="95"/>
      <c r="MAF264" s="95"/>
      <c r="MAG264" s="95"/>
      <c r="MAH264" s="95"/>
      <c r="MAI264" s="95"/>
      <c r="MAJ264" s="95"/>
      <c r="MAK264" s="95"/>
      <c r="MAL264" s="95"/>
      <c r="MAM264" s="95"/>
      <c r="MAN264" s="95"/>
      <c r="MAO264" s="95"/>
      <c r="MAP264" s="95"/>
      <c r="MAQ264" s="95"/>
      <c r="MAR264" s="95"/>
      <c r="MAS264" s="95"/>
      <c r="MAT264" s="95"/>
      <c r="MAU264" s="95"/>
      <c r="MAV264" s="95"/>
      <c r="MAW264" s="95"/>
      <c r="MAX264" s="95"/>
      <c r="MAY264" s="95"/>
      <c r="MAZ264" s="95"/>
      <c r="MBA264" s="95"/>
      <c r="MBB264" s="95"/>
      <c r="MBC264" s="95"/>
      <c r="MBD264" s="95"/>
      <c r="MBE264" s="95"/>
      <c r="MBF264" s="95"/>
      <c r="MBG264" s="95"/>
      <c r="MBH264" s="95"/>
      <c r="MBI264" s="95"/>
      <c r="MBJ264" s="95"/>
      <c r="MBK264" s="95"/>
      <c r="MBL264" s="95"/>
      <c r="MBM264" s="95"/>
      <c r="MBN264" s="95"/>
      <c r="MBO264" s="95"/>
      <c r="MBP264" s="95"/>
      <c r="MBQ264" s="95"/>
      <c r="MBR264" s="95"/>
      <c r="MBS264" s="95"/>
      <c r="MBT264" s="95"/>
      <c r="MBU264" s="95"/>
      <c r="MBV264" s="95"/>
      <c r="MBW264" s="95"/>
      <c r="MBX264" s="95"/>
      <c r="MBY264" s="95"/>
      <c r="MBZ264" s="95"/>
      <c r="MCA264" s="95"/>
      <c r="MCB264" s="95"/>
      <c r="MCC264" s="95"/>
      <c r="MCD264" s="95"/>
      <c r="MCE264" s="95"/>
      <c r="MCF264" s="95"/>
      <c r="MCG264" s="95"/>
      <c r="MCH264" s="95"/>
      <c r="MCI264" s="95"/>
      <c r="MCJ264" s="95"/>
      <c r="MCK264" s="95"/>
      <c r="MCL264" s="95"/>
      <c r="MCM264" s="95"/>
      <c r="MCN264" s="95"/>
      <c r="MCO264" s="95"/>
      <c r="MCP264" s="95"/>
      <c r="MCQ264" s="95"/>
      <c r="MCR264" s="95"/>
      <c r="MCS264" s="95"/>
      <c r="MCT264" s="95"/>
      <c r="MCU264" s="95"/>
      <c r="MCV264" s="95"/>
      <c r="MCW264" s="95"/>
      <c r="MCX264" s="95"/>
      <c r="MCY264" s="95"/>
      <c r="MCZ264" s="95"/>
      <c r="MDA264" s="95"/>
      <c r="MDB264" s="95"/>
      <c r="MDC264" s="95"/>
      <c r="MDD264" s="95"/>
      <c r="MDE264" s="95"/>
      <c r="MDF264" s="95"/>
      <c r="MDG264" s="95"/>
      <c r="MDH264" s="95"/>
      <c r="MDI264" s="95"/>
      <c r="MDJ264" s="95"/>
      <c r="MDK264" s="95"/>
      <c r="MDL264" s="95"/>
      <c r="MDM264" s="95"/>
      <c r="MDN264" s="95"/>
      <c r="MDO264" s="95"/>
      <c r="MDP264" s="95"/>
      <c r="MDQ264" s="95"/>
      <c r="MDR264" s="95"/>
      <c r="MDS264" s="95"/>
      <c r="MDT264" s="95"/>
      <c r="MDU264" s="95"/>
      <c r="MDV264" s="95"/>
      <c r="MDW264" s="95"/>
      <c r="MDX264" s="95"/>
      <c r="MDY264" s="95"/>
      <c r="MDZ264" s="95"/>
      <c r="MEA264" s="95"/>
      <c r="MEB264" s="95"/>
      <c r="MEC264" s="95"/>
      <c r="MED264" s="95"/>
      <c r="MEE264" s="95"/>
      <c r="MEF264" s="95"/>
      <c r="MEG264" s="95"/>
      <c r="MEH264" s="95"/>
      <c r="MEI264" s="95"/>
      <c r="MEJ264" s="95"/>
      <c r="MEK264" s="95"/>
      <c r="MEL264" s="95"/>
      <c r="MEM264" s="95"/>
      <c r="MEN264" s="95"/>
      <c r="MEO264" s="95"/>
      <c r="MEP264" s="95"/>
      <c r="MEQ264" s="95"/>
      <c r="MER264" s="95"/>
      <c r="MES264" s="95"/>
      <c r="MET264" s="95"/>
      <c r="MEU264" s="95"/>
      <c r="MEV264" s="95"/>
      <c r="MEW264" s="95"/>
      <c r="MEX264" s="95"/>
      <c r="MEY264" s="95"/>
      <c r="MEZ264" s="95"/>
      <c r="MFA264" s="95"/>
      <c r="MFB264" s="95"/>
      <c r="MFC264" s="95"/>
      <c r="MFD264" s="95"/>
      <c r="MFE264" s="95"/>
      <c r="MFF264" s="95"/>
      <c r="MFG264" s="95"/>
      <c r="MFH264" s="95"/>
      <c r="MFI264" s="95"/>
      <c r="MFJ264" s="95"/>
      <c r="MFK264" s="95"/>
      <c r="MFL264" s="95"/>
      <c r="MFM264" s="95"/>
      <c r="MFN264" s="95"/>
      <c r="MFO264" s="95"/>
      <c r="MFP264" s="95"/>
      <c r="MFQ264" s="95"/>
      <c r="MFR264" s="95"/>
      <c r="MFS264" s="95"/>
      <c r="MFT264" s="95"/>
      <c r="MFU264" s="95"/>
      <c r="MFV264" s="95"/>
      <c r="MFW264" s="95"/>
      <c r="MFX264" s="95"/>
      <c r="MFY264" s="95"/>
      <c r="MFZ264" s="95"/>
      <c r="MGA264" s="95"/>
      <c r="MGB264" s="95"/>
      <c r="MGC264" s="95"/>
      <c r="MGD264" s="95"/>
      <c r="MGE264" s="95"/>
      <c r="MGF264" s="95"/>
      <c r="MGG264" s="95"/>
      <c r="MGH264" s="95"/>
      <c r="MGI264" s="95"/>
      <c r="MGJ264" s="95"/>
      <c r="MGK264" s="95"/>
      <c r="MGL264" s="95"/>
      <c r="MGM264" s="95"/>
      <c r="MGN264" s="95"/>
      <c r="MGO264" s="95"/>
      <c r="MGP264" s="95"/>
      <c r="MGQ264" s="95"/>
      <c r="MGR264" s="95"/>
      <c r="MGS264" s="95"/>
      <c r="MGT264" s="95"/>
      <c r="MGU264" s="95"/>
      <c r="MGV264" s="95"/>
      <c r="MGW264" s="95"/>
      <c r="MGX264" s="95"/>
      <c r="MGY264" s="95"/>
      <c r="MGZ264" s="95"/>
      <c r="MHA264" s="95"/>
      <c r="MHB264" s="95"/>
      <c r="MHC264" s="95"/>
      <c r="MHD264" s="95"/>
      <c r="MHE264" s="95"/>
      <c r="MHF264" s="95"/>
      <c r="MHG264" s="95"/>
      <c r="MHH264" s="95"/>
      <c r="MHI264" s="95"/>
      <c r="MHJ264" s="95"/>
      <c r="MHK264" s="95"/>
      <c r="MHL264" s="95"/>
      <c r="MHM264" s="95"/>
      <c r="MHN264" s="95"/>
      <c r="MHO264" s="95"/>
      <c r="MHP264" s="95"/>
      <c r="MHQ264" s="95"/>
      <c r="MHR264" s="95"/>
      <c r="MHS264" s="95"/>
      <c r="MHT264" s="95"/>
      <c r="MHU264" s="95"/>
      <c r="MHV264" s="95"/>
      <c r="MHW264" s="95"/>
      <c r="MHX264" s="95"/>
      <c r="MHY264" s="95"/>
      <c r="MHZ264" s="95"/>
      <c r="MIA264" s="95"/>
      <c r="MIB264" s="95"/>
      <c r="MIC264" s="95"/>
      <c r="MID264" s="95"/>
      <c r="MIE264" s="95"/>
      <c r="MIF264" s="95"/>
      <c r="MIG264" s="95"/>
      <c r="MIH264" s="95"/>
      <c r="MII264" s="95"/>
      <c r="MIJ264" s="95"/>
      <c r="MIK264" s="95"/>
      <c r="MIL264" s="95"/>
      <c r="MIM264" s="95"/>
      <c r="MIN264" s="95"/>
      <c r="MIO264" s="95"/>
      <c r="MIP264" s="95"/>
      <c r="MIQ264" s="95"/>
      <c r="MIR264" s="95"/>
      <c r="MIS264" s="95"/>
      <c r="MIT264" s="95"/>
      <c r="MIU264" s="95"/>
      <c r="MIV264" s="95"/>
      <c r="MIW264" s="95"/>
      <c r="MIX264" s="95"/>
      <c r="MIY264" s="95"/>
      <c r="MIZ264" s="95"/>
      <c r="MJA264" s="95"/>
      <c r="MJB264" s="95"/>
      <c r="MJC264" s="95"/>
      <c r="MJD264" s="95"/>
      <c r="MJE264" s="95"/>
      <c r="MJF264" s="95"/>
      <c r="MJG264" s="95"/>
      <c r="MJH264" s="95"/>
      <c r="MJI264" s="95"/>
      <c r="MJJ264" s="95"/>
      <c r="MJK264" s="95"/>
      <c r="MJL264" s="95"/>
      <c r="MJM264" s="95"/>
      <c r="MJN264" s="95"/>
      <c r="MJO264" s="95"/>
      <c r="MJP264" s="95"/>
      <c r="MJQ264" s="95"/>
      <c r="MJR264" s="95"/>
      <c r="MJS264" s="95"/>
      <c r="MJT264" s="95"/>
      <c r="MJU264" s="95"/>
      <c r="MJV264" s="95"/>
      <c r="MJW264" s="95"/>
      <c r="MJX264" s="95"/>
      <c r="MJY264" s="95"/>
      <c r="MJZ264" s="95"/>
      <c r="MKA264" s="95"/>
      <c r="MKB264" s="95"/>
      <c r="MKC264" s="95"/>
      <c r="MKD264" s="95"/>
      <c r="MKE264" s="95"/>
      <c r="MKF264" s="95"/>
      <c r="MKG264" s="95"/>
      <c r="MKH264" s="95"/>
      <c r="MKI264" s="95"/>
      <c r="MKJ264" s="95"/>
      <c r="MKK264" s="95"/>
      <c r="MKL264" s="95"/>
      <c r="MKM264" s="95"/>
      <c r="MKN264" s="95"/>
      <c r="MKO264" s="95"/>
      <c r="MKP264" s="95"/>
      <c r="MKQ264" s="95"/>
      <c r="MKR264" s="95"/>
      <c r="MKS264" s="95"/>
      <c r="MKT264" s="95"/>
      <c r="MKU264" s="95"/>
      <c r="MKV264" s="95"/>
      <c r="MKW264" s="95"/>
      <c r="MKX264" s="95"/>
      <c r="MKY264" s="95"/>
      <c r="MKZ264" s="95"/>
      <c r="MLA264" s="95"/>
      <c r="MLB264" s="95"/>
      <c r="MLC264" s="95"/>
      <c r="MLD264" s="95"/>
      <c r="MLE264" s="95"/>
      <c r="MLF264" s="95"/>
      <c r="MLG264" s="95"/>
      <c r="MLH264" s="95"/>
      <c r="MLI264" s="95"/>
      <c r="MLJ264" s="95"/>
      <c r="MLK264" s="95"/>
      <c r="MLL264" s="95"/>
      <c r="MLM264" s="95"/>
      <c r="MLN264" s="95"/>
      <c r="MLO264" s="95"/>
      <c r="MLP264" s="95"/>
      <c r="MLQ264" s="95"/>
      <c r="MLR264" s="95"/>
      <c r="MLS264" s="95"/>
      <c r="MLT264" s="95"/>
      <c r="MLU264" s="95"/>
      <c r="MLV264" s="95"/>
      <c r="MLW264" s="95"/>
      <c r="MLX264" s="95"/>
      <c r="MLY264" s="95"/>
      <c r="MLZ264" s="95"/>
      <c r="MMA264" s="95"/>
      <c r="MMB264" s="95"/>
      <c r="MMC264" s="95"/>
      <c r="MMD264" s="95"/>
      <c r="MME264" s="95"/>
      <c r="MMF264" s="95"/>
      <c r="MMG264" s="95"/>
      <c r="MMH264" s="95"/>
      <c r="MMI264" s="95"/>
      <c r="MMJ264" s="95"/>
      <c r="MMK264" s="95"/>
      <c r="MML264" s="95"/>
      <c r="MMM264" s="95"/>
      <c r="MMN264" s="95"/>
      <c r="MMO264" s="95"/>
      <c r="MMP264" s="95"/>
      <c r="MMQ264" s="95"/>
      <c r="MMR264" s="95"/>
      <c r="MMS264" s="95"/>
      <c r="MMT264" s="95"/>
      <c r="MMU264" s="95"/>
      <c r="MMV264" s="95"/>
      <c r="MMW264" s="95"/>
      <c r="MMX264" s="95"/>
      <c r="MMY264" s="95"/>
      <c r="MMZ264" s="95"/>
      <c r="MNA264" s="95"/>
      <c r="MNB264" s="95"/>
      <c r="MNC264" s="95"/>
      <c r="MND264" s="95"/>
      <c r="MNE264" s="95"/>
      <c r="MNF264" s="95"/>
      <c r="MNG264" s="95"/>
      <c r="MNH264" s="95"/>
      <c r="MNI264" s="95"/>
      <c r="MNJ264" s="95"/>
      <c r="MNK264" s="95"/>
      <c r="MNL264" s="95"/>
      <c r="MNM264" s="95"/>
      <c r="MNN264" s="95"/>
      <c r="MNO264" s="95"/>
      <c r="MNP264" s="95"/>
      <c r="MNQ264" s="95"/>
      <c r="MNR264" s="95"/>
      <c r="MNS264" s="95"/>
      <c r="MNT264" s="95"/>
      <c r="MNU264" s="95"/>
      <c r="MNV264" s="95"/>
      <c r="MNW264" s="95"/>
      <c r="MNX264" s="95"/>
      <c r="MNY264" s="95"/>
      <c r="MNZ264" s="95"/>
      <c r="MOA264" s="95"/>
      <c r="MOB264" s="95"/>
      <c r="MOC264" s="95"/>
      <c r="MOD264" s="95"/>
      <c r="MOE264" s="95"/>
      <c r="MOF264" s="95"/>
      <c r="MOG264" s="95"/>
      <c r="MOH264" s="95"/>
      <c r="MOI264" s="95"/>
      <c r="MOJ264" s="95"/>
      <c r="MOK264" s="95"/>
      <c r="MOL264" s="95"/>
      <c r="MOM264" s="95"/>
      <c r="MON264" s="95"/>
      <c r="MOO264" s="95"/>
      <c r="MOP264" s="95"/>
      <c r="MOQ264" s="95"/>
      <c r="MOR264" s="95"/>
      <c r="MOS264" s="95"/>
      <c r="MOT264" s="95"/>
      <c r="MOU264" s="95"/>
      <c r="MOV264" s="95"/>
      <c r="MOW264" s="95"/>
      <c r="MOX264" s="95"/>
      <c r="MOY264" s="95"/>
      <c r="MOZ264" s="95"/>
      <c r="MPA264" s="95"/>
      <c r="MPB264" s="95"/>
      <c r="MPC264" s="95"/>
      <c r="MPD264" s="95"/>
      <c r="MPE264" s="95"/>
      <c r="MPF264" s="95"/>
      <c r="MPG264" s="95"/>
      <c r="MPH264" s="95"/>
      <c r="MPI264" s="95"/>
      <c r="MPJ264" s="95"/>
      <c r="MPK264" s="95"/>
      <c r="MPL264" s="95"/>
      <c r="MPM264" s="95"/>
      <c r="MPN264" s="95"/>
      <c r="MPO264" s="95"/>
      <c r="MPP264" s="95"/>
      <c r="MPQ264" s="95"/>
      <c r="MPR264" s="95"/>
      <c r="MPS264" s="95"/>
      <c r="MPT264" s="95"/>
      <c r="MPU264" s="95"/>
      <c r="MPV264" s="95"/>
      <c r="MPW264" s="95"/>
      <c r="MPX264" s="95"/>
      <c r="MPY264" s="95"/>
      <c r="MPZ264" s="95"/>
      <c r="MQA264" s="95"/>
      <c r="MQB264" s="95"/>
      <c r="MQC264" s="95"/>
      <c r="MQD264" s="95"/>
      <c r="MQE264" s="95"/>
      <c r="MQF264" s="95"/>
      <c r="MQG264" s="95"/>
      <c r="MQH264" s="95"/>
      <c r="MQI264" s="95"/>
      <c r="MQJ264" s="95"/>
      <c r="MQK264" s="95"/>
      <c r="MQL264" s="95"/>
      <c r="MQM264" s="95"/>
      <c r="MQN264" s="95"/>
      <c r="MQO264" s="95"/>
      <c r="MQP264" s="95"/>
      <c r="MQQ264" s="95"/>
      <c r="MQR264" s="95"/>
      <c r="MQS264" s="95"/>
      <c r="MQT264" s="95"/>
      <c r="MQU264" s="95"/>
      <c r="MQV264" s="95"/>
      <c r="MQW264" s="95"/>
      <c r="MQX264" s="95"/>
      <c r="MQY264" s="95"/>
      <c r="MQZ264" s="95"/>
      <c r="MRA264" s="95"/>
      <c r="MRB264" s="95"/>
      <c r="MRC264" s="95"/>
      <c r="MRD264" s="95"/>
      <c r="MRE264" s="95"/>
      <c r="MRF264" s="95"/>
      <c r="MRG264" s="95"/>
      <c r="MRH264" s="95"/>
      <c r="MRI264" s="95"/>
      <c r="MRJ264" s="95"/>
      <c r="MRK264" s="95"/>
      <c r="MRL264" s="95"/>
      <c r="MRM264" s="95"/>
      <c r="MRN264" s="95"/>
      <c r="MRO264" s="95"/>
      <c r="MRP264" s="95"/>
      <c r="MRQ264" s="95"/>
      <c r="MRR264" s="95"/>
      <c r="MRS264" s="95"/>
      <c r="MRT264" s="95"/>
      <c r="MRU264" s="95"/>
      <c r="MRV264" s="95"/>
      <c r="MRW264" s="95"/>
      <c r="MRX264" s="95"/>
      <c r="MRY264" s="95"/>
      <c r="MRZ264" s="95"/>
      <c r="MSA264" s="95"/>
      <c r="MSB264" s="95"/>
      <c r="MSC264" s="95"/>
      <c r="MSD264" s="95"/>
      <c r="MSE264" s="95"/>
      <c r="MSF264" s="95"/>
      <c r="MSG264" s="95"/>
      <c r="MSH264" s="95"/>
      <c r="MSI264" s="95"/>
      <c r="MSJ264" s="95"/>
      <c r="MSK264" s="95"/>
      <c r="MSL264" s="95"/>
      <c r="MSM264" s="95"/>
      <c r="MSN264" s="95"/>
      <c r="MSO264" s="95"/>
      <c r="MSP264" s="95"/>
      <c r="MSQ264" s="95"/>
      <c r="MSR264" s="95"/>
      <c r="MSS264" s="95"/>
      <c r="MST264" s="95"/>
      <c r="MSU264" s="95"/>
      <c r="MSV264" s="95"/>
      <c r="MSW264" s="95"/>
      <c r="MSX264" s="95"/>
      <c r="MSY264" s="95"/>
      <c r="MSZ264" s="95"/>
      <c r="MTA264" s="95"/>
      <c r="MTB264" s="95"/>
      <c r="MTC264" s="95"/>
      <c r="MTD264" s="95"/>
      <c r="MTE264" s="95"/>
      <c r="MTF264" s="95"/>
      <c r="MTG264" s="95"/>
      <c r="MTH264" s="95"/>
      <c r="MTI264" s="95"/>
      <c r="MTJ264" s="95"/>
      <c r="MTK264" s="95"/>
      <c r="MTL264" s="95"/>
      <c r="MTM264" s="95"/>
      <c r="MTN264" s="95"/>
      <c r="MTO264" s="95"/>
      <c r="MTP264" s="95"/>
      <c r="MTQ264" s="95"/>
      <c r="MTR264" s="95"/>
      <c r="MTS264" s="95"/>
      <c r="MTT264" s="95"/>
      <c r="MTU264" s="95"/>
      <c r="MTV264" s="95"/>
      <c r="MTW264" s="95"/>
      <c r="MTX264" s="95"/>
      <c r="MTY264" s="95"/>
      <c r="MTZ264" s="95"/>
      <c r="MUA264" s="95"/>
      <c r="MUB264" s="95"/>
      <c r="MUC264" s="95"/>
      <c r="MUD264" s="95"/>
      <c r="MUE264" s="95"/>
      <c r="MUF264" s="95"/>
      <c r="MUG264" s="95"/>
      <c r="MUH264" s="95"/>
      <c r="MUI264" s="95"/>
      <c r="MUJ264" s="95"/>
      <c r="MUK264" s="95"/>
      <c r="MUL264" s="95"/>
      <c r="MUM264" s="95"/>
      <c r="MUN264" s="95"/>
      <c r="MUO264" s="95"/>
      <c r="MUP264" s="95"/>
      <c r="MUQ264" s="95"/>
      <c r="MUR264" s="95"/>
      <c r="MUS264" s="95"/>
      <c r="MUT264" s="95"/>
      <c r="MUU264" s="95"/>
      <c r="MUV264" s="95"/>
      <c r="MUW264" s="95"/>
      <c r="MUX264" s="95"/>
      <c r="MUY264" s="95"/>
      <c r="MUZ264" s="95"/>
      <c r="MVA264" s="95"/>
      <c r="MVB264" s="95"/>
      <c r="MVC264" s="95"/>
      <c r="MVD264" s="95"/>
      <c r="MVE264" s="95"/>
      <c r="MVF264" s="95"/>
      <c r="MVG264" s="95"/>
      <c r="MVH264" s="95"/>
      <c r="MVI264" s="95"/>
      <c r="MVJ264" s="95"/>
      <c r="MVK264" s="95"/>
      <c r="MVL264" s="95"/>
      <c r="MVM264" s="95"/>
      <c r="MVN264" s="95"/>
      <c r="MVO264" s="95"/>
      <c r="MVP264" s="95"/>
      <c r="MVQ264" s="95"/>
      <c r="MVR264" s="95"/>
      <c r="MVS264" s="95"/>
      <c r="MVT264" s="95"/>
      <c r="MVU264" s="95"/>
      <c r="MVV264" s="95"/>
      <c r="MVW264" s="95"/>
      <c r="MVX264" s="95"/>
      <c r="MVY264" s="95"/>
      <c r="MVZ264" s="95"/>
      <c r="MWA264" s="95"/>
      <c r="MWB264" s="95"/>
      <c r="MWC264" s="95"/>
      <c r="MWD264" s="95"/>
      <c r="MWE264" s="95"/>
      <c r="MWF264" s="95"/>
      <c r="MWG264" s="95"/>
      <c r="MWH264" s="95"/>
      <c r="MWI264" s="95"/>
      <c r="MWJ264" s="95"/>
      <c r="MWK264" s="95"/>
      <c r="MWL264" s="95"/>
      <c r="MWM264" s="95"/>
      <c r="MWN264" s="95"/>
      <c r="MWO264" s="95"/>
      <c r="MWP264" s="95"/>
      <c r="MWQ264" s="95"/>
      <c r="MWR264" s="95"/>
      <c r="MWS264" s="95"/>
      <c r="MWT264" s="95"/>
      <c r="MWU264" s="95"/>
      <c r="MWV264" s="95"/>
      <c r="MWW264" s="95"/>
      <c r="MWX264" s="95"/>
      <c r="MWY264" s="95"/>
      <c r="MWZ264" s="95"/>
      <c r="MXA264" s="95"/>
      <c r="MXB264" s="95"/>
      <c r="MXC264" s="95"/>
      <c r="MXD264" s="95"/>
      <c r="MXE264" s="95"/>
      <c r="MXF264" s="95"/>
      <c r="MXG264" s="95"/>
      <c r="MXH264" s="95"/>
      <c r="MXI264" s="95"/>
      <c r="MXJ264" s="95"/>
      <c r="MXK264" s="95"/>
      <c r="MXL264" s="95"/>
      <c r="MXM264" s="95"/>
      <c r="MXN264" s="95"/>
      <c r="MXO264" s="95"/>
      <c r="MXP264" s="95"/>
      <c r="MXQ264" s="95"/>
      <c r="MXR264" s="95"/>
      <c r="MXS264" s="95"/>
      <c r="MXT264" s="95"/>
      <c r="MXU264" s="95"/>
      <c r="MXV264" s="95"/>
      <c r="MXW264" s="95"/>
      <c r="MXX264" s="95"/>
      <c r="MXY264" s="95"/>
      <c r="MXZ264" s="95"/>
      <c r="MYA264" s="95"/>
      <c r="MYB264" s="95"/>
      <c r="MYC264" s="95"/>
      <c r="MYD264" s="95"/>
      <c r="MYE264" s="95"/>
      <c r="MYF264" s="95"/>
      <c r="MYG264" s="95"/>
      <c r="MYH264" s="95"/>
      <c r="MYI264" s="95"/>
      <c r="MYJ264" s="95"/>
      <c r="MYK264" s="95"/>
      <c r="MYL264" s="95"/>
      <c r="MYM264" s="95"/>
      <c r="MYN264" s="95"/>
      <c r="MYO264" s="95"/>
      <c r="MYP264" s="95"/>
      <c r="MYQ264" s="95"/>
      <c r="MYR264" s="95"/>
      <c r="MYS264" s="95"/>
      <c r="MYT264" s="95"/>
      <c r="MYU264" s="95"/>
      <c r="MYV264" s="95"/>
      <c r="MYW264" s="95"/>
      <c r="MYX264" s="95"/>
      <c r="MYY264" s="95"/>
      <c r="MYZ264" s="95"/>
      <c r="MZA264" s="95"/>
      <c r="MZB264" s="95"/>
      <c r="MZC264" s="95"/>
      <c r="MZD264" s="95"/>
      <c r="MZE264" s="95"/>
      <c r="MZF264" s="95"/>
      <c r="MZG264" s="95"/>
      <c r="MZH264" s="95"/>
      <c r="MZI264" s="95"/>
      <c r="MZJ264" s="95"/>
      <c r="MZK264" s="95"/>
      <c r="MZL264" s="95"/>
      <c r="MZM264" s="95"/>
      <c r="MZN264" s="95"/>
      <c r="MZO264" s="95"/>
      <c r="MZP264" s="95"/>
      <c r="MZQ264" s="95"/>
      <c r="MZR264" s="95"/>
      <c r="MZS264" s="95"/>
      <c r="MZT264" s="95"/>
      <c r="MZU264" s="95"/>
      <c r="MZV264" s="95"/>
      <c r="MZW264" s="95"/>
      <c r="MZX264" s="95"/>
      <c r="MZY264" s="95"/>
      <c r="MZZ264" s="95"/>
      <c r="NAA264" s="95"/>
      <c r="NAB264" s="95"/>
      <c r="NAC264" s="95"/>
      <c r="NAD264" s="95"/>
      <c r="NAE264" s="95"/>
      <c r="NAF264" s="95"/>
      <c r="NAG264" s="95"/>
      <c r="NAH264" s="95"/>
      <c r="NAI264" s="95"/>
      <c r="NAJ264" s="95"/>
      <c r="NAK264" s="95"/>
      <c r="NAL264" s="95"/>
      <c r="NAM264" s="95"/>
      <c r="NAN264" s="95"/>
      <c r="NAO264" s="95"/>
      <c r="NAP264" s="95"/>
      <c r="NAQ264" s="95"/>
      <c r="NAR264" s="95"/>
      <c r="NAS264" s="95"/>
      <c r="NAT264" s="95"/>
      <c r="NAU264" s="95"/>
      <c r="NAV264" s="95"/>
      <c r="NAW264" s="95"/>
      <c r="NAX264" s="95"/>
      <c r="NAY264" s="95"/>
      <c r="NAZ264" s="95"/>
      <c r="NBA264" s="95"/>
      <c r="NBB264" s="95"/>
      <c r="NBC264" s="95"/>
      <c r="NBD264" s="95"/>
      <c r="NBE264" s="95"/>
      <c r="NBF264" s="95"/>
      <c r="NBG264" s="95"/>
      <c r="NBH264" s="95"/>
      <c r="NBI264" s="95"/>
      <c r="NBJ264" s="95"/>
      <c r="NBK264" s="95"/>
      <c r="NBL264" s="95"/>
      <c r="NBM264" s="95"/>
      <c r="NBN264" s="95"/>
      <c r="NBO264" s="95"/>
      <c r="NBP264" s="95"/>
      <c r="NBQ264" s="95"/>
      <c r="NBR264" s="95"/>
      <c r="NBS264" s="95"/>
      <c r="NBT264" s="95"/>
      <c r="NBU264" s="95"/>
      <c r="NBV264" s="95"/>
      <c r="NBW264" s="95"/>
      <c r="NBX264" s="95"/>
      <c r="NBY264" s="95"/>
      <c r="NBZ264" s="95"/>
      <c r="NCA264" s="95"/>
      <c r="NCB264" s="95"/>
      <c r="NCC264" s="95"/>
      <c r="NCD264" s="95"/>
      <c r="NCE264" s="95"/>
      <c r="NCF264" s="95"/>
      <c r="NCG264" s="95"/>
      <c r="NCH264" s="95"/>
      <c r="NCI264" s="95"/>
      <c r="NCJ264" s="95"/>
      <c r="NCK264" s="95"/>
      <c r="NCL264" s="95"/>
      <c r="NCM264" s="95"/>
      <c r="NCN264" s="95"/>
      <c r="NCO264" s="95"/>
      <c r="NCP264" s="95"/>
      <c r="NCQ264" s="95"/>
      <c r="NCR264" s="95"/>
      <c r="NCS264" s="95"/>
      <c r="NCT264" s="95"/>
      <c r="NCU264" s="95"/>
      <c r="NCV264" s="95"/>
      <c r="NCW264" s="95"/>
      <c r="NCX264" s="95"/>
      <c r="NCY264" s="95"/>
      <c r="NCZ264" s="95"/>
      <c r="NDA264" s="95"/>
      <c r="NDB264" s="95"/>
      <c r="NDC264" s="95"/>
      <c r="NDD264" s="95"/>
      <c r="NDE264" s="95"/>
      <c r="NDF264" s="95"/>
      <c r="NDG264" s="95"/>
      <c r="NDH264" s="95"/>
      <c r="NDI264" s="95"/>
      <c r="NDJ264" s="95"/>
      <c r="NDK264" s="95"/>
      <c r="NDL264" s="95"/>
      <c r="NDM264" s="95"/>
      <c r="NDN264" s="95"/>
      <c r="NDO264" s="95"/>
      <c r="NDP264" s="95"/>
      <c r="NDQ264" s="95"/>
      <c r="NDR264" s="95"/>
      <c r="NDS264" s="95"/>
      <c r="NDT264" s="95"/>
      <c r="NDU264" s="95"/>
      <c r="NDV264" s="95"/>
      <c r="NDW264" s="95"/>
      <c r="NDX264" s="95"/>
      <c r="NDY264" s="95"/>
      <c r="NDZ264" s="95"/>
      <c r="NEA264" s="95"/>
      <c r="NEB264" s="95"/>
      <c r="NEC264" s="95"/>
      <c r="NED264" s="95"/>
      <c r="NEE264" s="95"/>
      <c r="NEF264" s="95"/>
      <c r="NEG264" s="95"/>
      <c r="NEH264" s="95"/>
      <c r="NEI264" s="95"/>
      <c r="NEJ264" s="95"/>
      <c r="NEK264" s="95"/>
      <c r="NEL264" s="95"/>
      <c r="NEM264" s="95"/>
      <c r="NEN264" s="95"/>
      <c r="NEO264" s="95"/>
      <c r="NEP264" s="95"/>
      <c r="NEQ264" s="95"/>
      <c r="NER264" s="95"/>
      <c r="NES264" s="95"/>
      <c r="NET264" s="95"/>
      <c r="NEU264" s="95"/>
      <c r="NEV264" s="95"/>
      <c r="NEW264" s="95"/>
      <c r="NEX264" s="95"/>
      <c r="NEY264" s="95"/>
      <c r="NEZ264" s="95"/>
      <c r="NFA264" s="95"/>
      <c r="NFB264" s="95"/>
      <c r="NFC264" s="95"/>
      <c r="NFD264" s="95"/>
      <c r="NFE264" s="95"/>
      <c r="NFF264" s="95"/>
      <c r="NFG264" s="95"/>
      <c r="NFH264" s="95"/>
      <c r="NFI264" s="95"/>
      <c r="NFJ264" s="95"/>
      <c r="NFK264" s="95"/>
      <c r="NFL264" s="95"/>
      <c r="NFM264" s="95"/>
      <c r="NFN264" s="95"/>
      <c r="NFO264" s="95"/>
      <c r="NFP264" s="95"/>
      <c r="NFQ264" s="95"/>
      <c r="NFR264" s="95"/>
      <c r="NFS264" s="95"/>
      <c r="NFT264" s="95"/>
      <c r="NFU264" s="95"/>
      <c r="NFV264" s="95"/>
      <c r="NFW264" s="95"/>
      <c r="NFX264" s="95"/>
      <c r="NFY264" s="95"/>
      <c r="NFZ264" s="95"/>
      <c r="NGA264" s="95"/>
      <c r="NGB264" s="95"/>
      <c r="NGC264" s="95"/>
      <c r="NGD264" s="95"/>
      <c r="NGE264" s="95"/>
      <c r="NGF264" s="95"/>
      <c r="NGG264" s="95"/>
      <c r="NGH264" s="95"/>
      <c r="NGI264" s="95"/>
      <c r="NGJ264" s="95"/>
      <c r="NGK264" s="95"/>
      <c r="NGL264" s="95"/>
      <c r="NGM264" s="95"/>
      <c r="NGN264" s="95"/>
      <c r="NGO264" s="95"/>
      <c r="NGP264" s="95"/>
      <c r="NGQ264" s="95"/>
      <c r="NGR264" s="95"/>
      <c r="NGS264" s="95"/>
      <c r="NGT264" s="95"/>
      <c r="NGU264" s="95"/>
      <c r="NGV264" s="95"/>
      <c r="NGW264" s="95"/>
      <c r="NGX264" s="95"/>
      <c r="NGY264" s="95"/>
      <c r="NGZ264" s="95"/>
      <c r="NHA264" s="95"/>
      <c r="NHB264" s="95"/>
      <c r="NHC264" s="95"/>
      <c r="NHD264" s="95"/>
      <c r="NHE264" s="95"/>
      <c r="NHF264" s="95"/>
      <c r="NHG264" s="95"/>
      <c r="NHH264" s="95"/>
      <c r="NHI264" s="95"/>
      <c r="NHJ264" s="95"/>
      <c r="NHK264" s="95"/>
      <c r="NHL264" s="95"/>
      <c r="NHM264" s="95"/>
      <c r="NHN264" s="95"/>
      <c r="NHO264" s="95"/>
      <c r="NHP264" s="95"/>
      <c r="NHQ264" s="95"/>
      <c r="NHR264" s="95"/>
      <c r="NHS264" s="95"/>
      <c r="NHT264" s="95"/>
      <c r="NHU264" s="95"/>
      <c r="NHV264" s="95"/>
      <c r="NHW264" s="95"/>
      <c r="NHX264" s="95"/>
      <c r="NHY264" s="95"/>
      <c r="NHZ264" s="95"/>
      <c r="NIA264" s="95"/>
      <c r="NIB264" s="95"/>
      <c r="NIC264" s="95"/>
      <c r="NID264" s="95"/>
      <c r="NIE264" s="95"/>
      <c r="NIF264" s="95"/>
      <c r="NIG264" s="95"/>
      <c r="NIH264" s="95"/>
      <c r="NII264" s="95"/>
      <c r="NIJ264" s="95"/>
      <c r="NIK264" s="95"/>
      <c r="NIL264" s="95"/>
      <c r="NIM264" s="95"/>
      <c r="NIN264" s="95"/>
      <c r="NIO264" s="95"/>
      <c r="NIP264" s="95"/>
      <c r="NIQ264" s="95"/>
      <c r="NIR264" s="95"/>
      <c r="NIS264" s="95"/>
      <c r="NIT264" s="95"/>
      <c r="NIU264" s="95"/>
      <c r="NIV264" s="95"/>
      <c r="NIW264" s="95"/>
      <c r="NIX264" s="95"/>
      <c r="NIY264" s="95"/>
      <c r="NIZ264" s="95"/>
      <c r="NJA264" s="95"/>
      <c r="NJB264" s="95"/>
      <c r="NJC264" s="95"/>
      <c r="NJD264" s="95"/>
      <c r="NJE264" s="95"/>
      <c r="NJF264" s="95"/>
      <c r="NJG264" s="95"/>
      <c r="NJH264" s="95"/>
      <c r="NJI264" s="95"/>
      <c r="NJJ264" s="95"/>
      <c r="NJK264" s="95"/>
      <c r="NJL264" s="95"/>
      <c r="NJM264" s="95"/>
      <c r="NJN264" s="95"/>
      <c r="NJO264" s="95"/>
      <c r="NJP264" s="95"/>
      <c r="NJQ264" s="95"/>
      <c r="NJR264" s="95"/>
      <c r="NJS264" s="95"/>
      <c r="NJT264" s="95"/>
      <c r="NJU264" s="95"/>
      <c r="NJV264" s="95"/>
      <c r="NJW264" s="95"/>
      <c r="NJX264" s="95"/>
      <c r="NJY264" s="95"/>
      <c r="NJZ264" s="95"/>
      <c r="NKA264" s="95"/>
      <c r="NKB264" s="95"/>
      <c r="NKC264" s="95"/>
      <c r="NKD264" s="95"/>
      <c r="NKE264" s="95"/>
      <c r="NKF264" s="95"/>
      <c r="NKG264" s="95"/>
      <c r="NKH264" s="95"/>
      <c r="NKI264" s="95"/>
      <c r="NKJ264" s="95"/>
      <c r="NKK264" s="95"/>
      <c r="NKL264" s="95"/>
      <c r="NKM264" s="95"/>
      <c r="NKN264" s="95"/>
      <c r="NKO264" s="95"/>
      <c r="NKP264" s="95"/>
      <c r="NKQ264" s="95"/>
      <c r="NKR264" s="95"/>
      <c r="NKS264" s="95"/>
      <c r="NKT264" s="95"/>
      <c r="NKU264" s="95"/>
      <c r="NKV264" s="95"/>
      <c r="NKW264" s="95"/>
      <c r="NKX264" s="95"/>
      <c r="NKY264" s="95"/>
      <c r="NKZ264" s="95"/>
      <c r="NLA264" s="95"/>
      <c r="NLB264" s="95"/>
      <c r="NLC264" s="95"/>
      <c r="NLD264" s="95"/>
      <c r="NLE264" s="95"/>
      <c r="NLF264" s="95"/>
      <c r="NLG264" s="95"/>
      <c r="NLH264" s="95"/>
      <c r="NLI264" s="95"/>
      <c r="NLJ264" s="95"/>
      <c r="NLK264" s="95"/>
      <c r="NLL264" s="95"/>
      <c r="NLM264" s="95"/>
      <c r="NLN264" s="95"/>
      <c r="NLO264" s="95"/>
      <c r="NLP264" s="95"/>
      <c r="NLQ264" s="95"/>
      <c r="NLR264" s="95"/>
      <c r="NLS264" s="95"/>
      <c r="NLT264" s="95"/>
      <c r="NLU264" s="95"/>
      <c r="NLV264" s="95"/>
      <c r="NLW264" s="95"/>
      <c r="NLX264" s="95"/>
      <c r="NLY264" s="95"/>
      <c r="NLZ264" s="95"/>
      <c r="NMA264" s="95"/>
      <c r="NMB264" s="95"/>
      <c r="NMC264" s="95"/>
      <c r="NMD264" s="95"/>
      <c r="NME264" s="95"/>
      <c r="NMF264" s="95"/>
      <c r="NMG264" s="95"/>
      <c r="NMH264" s="95"/>
      <c r="NMI264" s="95"/>
      <c r="NMJ264" s="95"/>
      <c r="NMK264" s="95"/>
      <c r="NML264" s="95"/>
      <c r="NMM264" s="95"/>
      <c r="NMN264" s="95"/>
      <c r="NMO264" s="95"/>
      <c r="NMP264" s="95"/>
      <c r="NMQ264" s="95"/>
      <c r="NMR264" s="95"/>
      <c r="NMS264" s="95"/>
      <c r="NMT264" s="95"/>
      <c r="NMU264" s="95"/>
      <c r="NMV264" s="95"/>
      <c r="NMW264" s="95"/>
      <c r="NMX264" s="95"/>
      <c r="NMY264" s="95"/>
      <c r="NMZ264" s="95"/>
      <c r="NNA264" s="95"/>
      <c r="NNB264" s="95"/>
      <c r="NNC264" s="95"/>
      <c r="NND264" s="95"/>
      <c r="NNE264" s="95"/>
      <c r="NNF264" s="95"/>
      <c r="NNG264" s="95"/>
      <c r="NNH264" s="95"/>
      <c r="NNI264" s="95"/>
      <c r="NNJ264" s="95"/>
      <c r="NNK264" s="95"/>
      <c r="NNL264" s="95"/>
      <c r="NNM264" s="95"/>
      <c r="NNN264" s="95"/>
      <c r="NNO264" s="95"/>
      <c r="NNP264" s="95"/>
      <c r="NNQ264" s="95"/>
      <c r="NNR264" s="95"/>
      <c r="NNS264" s="95"/>
      <c r="NNT264" s="95"/>
      <c r="NNU264" s="95"/>
      <c r="NNV264" s="95"/>
      <c r="NNW264" s="95"/>
      <c r="NNX264" s="95"/>
      <c r="NNY264" s="95"/>
      <c r="NNZ264" s="95"/>
      <c r="NOA264" s="95"/>
      <c r="NOB264" s="95"/>
      <c r="NOC264" s="95"/>
      <c r="NOD264" s="95"/>
      <c r="NOE264" s="95"/>
      <c r="NOF264" s="95"/>
      <c r="NOG264" s="95"/>
      <c r="NOH264" s="95"/>
      <c r="NOI264" s="95"/>
      <c r="NOJ264" s="95"/>
      <c r="NOK264" s="95"/>
      <c r="NOL264" s="95"/>
      <c r="NOM264" s="95"/>
      <c r="NON264" s="95"/>
      <c r="NOO264" s="95"/>
      <c r="NOP264" s="95"/>
      <c r="NOQ264" s="95"/>
      <c r="NOR264" s="95"/>
      <c r="NOS264" s="95"/>
      <c r="NOT264" s="95"/>
      <c r="NOU264" s="95"/>
      <c r="NOV264" s="95"/>
      <c r="NOW264" s="95"/>
      <c r="NOX264" s="95"/>
      <c r="NOY264" s="95"/>
      <c r="NOZ264" s="95"/>
      <c r="NPA264" s="95"/>
      <c r="NPB264" s="95"/>
      <c r="NPC264" s="95"/>
      <c r="NPD264" s="95"/>
      <c r="NPE264" s="95"/>
      <c r="NPF264" s="95"/>
      <c r="NPG264" s="95"/>
      <c r="NPH264" s="95"/>
      <c r="NPI264" s="95"/>
      <c r="NPJ264" s="95"/>
      <c r="NPK264" s="95"/>
      <c r="NPL264" s="95"/>
      <c r="NPM264" s="95"/>
      <c r="NPN264" s="95"/>
      <c r="NPO264" s="95"/>
      <c r="NPP264" s="95"/>
      <c r="NPQ264" s="95"/>
      <c r="NPR264" s="95"/>
      <c r="NPS264" s="95"/>
      <c r="NPT264" s="95"/>
      <c r="NPU264" s="95"/>
      <c r="NPV264" s="95"/>
      <c r="NPW264" s="95"/>
      <c r="NPX264" s="95"/>
      <c r="NPY264" s="95"/>
      <c r="NPZ264" s="95"/>
      <c r="NQA264" s="95"/>
      <c r="NQB264" s="95"/>
      <c r="NQC264" s="95"/>
      <c r="NQD264" s="95"/>
      <c r="NQE264" s="95"/>
      <c r="NQF264" s="95"/>
      <c r="NQG264" s="95"/>
      <c r="NQH264" s="95"/>
      <c r="NQI264" s="95"/>
      <c r="NQJ264" s="95"/>
      <c r="NQK264" s="95"/>
      <c r="NQL264" s="95"/>
      <c r="NQM264" s="95"/>
      <c r="NQN264" s="95"/>
      <c r="NQO264" s="95"/>
      <c r="NQP264" s="95"/>
      <c r="NQQ264" s="95"/>
      <c r="NQR264" s="95"/>
      <c r="NQS264" s="95"/>
      <c r="NQT264" s="95"/>
      <c r="NQU264" s="95"/>
      <c r="NQV264" s="95"/>
      <c r="NQW264" s="95"/>
      <c r="NQX264" s="95"/>
      <c r="NQY264" s="95"/>
      <c r="NQZ264" s="95"/>
      <c r="NRA264" s="95"/>
      <c r="NRB264" s="95"/>
      <c r="NRC264" s="95"/>
      <c r="NRD264" s="95"/>
      <c r="NRE264" s="95"/>
      <c r="NRF264" s="95"/>
      <c r="NRG264" s="95"/>
      <c r="NRH264" s="95"/>
      <c r="NRI264" s="95"/>
      <c r="NRJ264" s="95"/>
      <c r="NRK264" s="95"/>
      <c r="NRL264" s="95"/>
      <c r="NRM264" s="95"/>
      <c r="NRN264" s="95"/>
      <c r="NRO264" s="95"/>
      <c r="NRP264" s="95"/>
      <c r="NRQ264" s="95"/>
      <c r="NRR264" s="95"/>
      <c r="NRS264" s="95"/>
      <c r="NRT264" s="95"/>
      <c r="NRU264" s="95"/>
      <c r="NRV264" s="95"/>
      <c r="NRW264" s="95"/>
      <c r="NRX264" s="95"/>
      <c r="NRY264" s="95"/>
      <c r="NRZ264" s="95"/>
      <c r="NSA264" s="95"/>
      <c r="NSB264" s="95"/>
      <c r="NSC264" s="95"/>
      <c r="NSD264" s="95"/>
      <c r="NSE264" s="95"/>
      <c r="NSF264" s="95"/>
      <c r="NSG264" s="95"/>
      <c r="NSH264" s="95"/>
      <c r="NSI264" s="95"/>
      <c r="NSJ264" s="95"/>
      <c r="NSK264" s="95"/>
      <c r="NSL264" s="95"/>
      <c r="NSM264" s="95"/>
      <c r="NSN264" s="95"/>
      <c r="NSO264" s="95"/>
      <c r="NSP264" s="95"/>
      <c r="NSQ264" s="95"/>
      <c r="NSR264" s="95"/>
      <c r="NSS264" s="95"/>
      <c r="NST264" s="95"/>
      <c r="NSU264" s="95"/>
      <c r="NSV264" s="95"/>
      <c r="NSW264" s="95"/>
      <c r="NSX264" s="95"/>
      <c r="NSY264" s="95"/>
      <c r="NSZ264" s="95"/>
      <c r="NTA264" s="95"/>
      <c r="NTB264" s="95"/>
      <c r="NTC264" s="95"/>
      <c r="NTD264" s="95"/>
      <c r="NTE264" s="95"/>
      <c r="NTF264" s="95"/>
      <c r="NTG264" s="95"/>
      <c r="NTH264" s="95"/>
      <c r="NTI264" s="95"/>
      <c r="NTJ264" s="95"/>
      <c r="NTK264" s="95"/>
      <c r="NTL264" s="95"/>
      <c r="NTM264" s="95"/>
      <c r="NTN264" s="95"/>
      <c r="NTO264" s="95"/>
      <c r="NTP264" s="95"/>
      <c r="NTQ264" s="95"/>
      <c r="NTR264" s="95"/>
      <c r="NTS264" s="95"/>
      <c r="NTT264" s="95"/>
      <c r="NTU264" s="95"/>
      <c r="NTV264" s="95"/>
      <c r="NTW264" s="95"/>
      <c r="NTX264" s="95"/>
      <c r="NTY264" s="95"/>
      <c r="NTZ264" s="95"/>
      <c r="NUA264" s="95"/>
      <c r="NUB264" s="95"/>
      <c r="NUC264" s="95"/>
      <c r="NUD264" s="95"/>
      <c r="NUE264" s="95"/>
      <c r="NUF264" s="95"/>
      <c r="NUG264" s="95"/>
      <c r="NUH264" s="95"/>
      <c r="NUI264" s="95"/>
      <c r="NUJ264" s="95"/>
      <c r="NUK264" s="95"/>
      <c r="NUL264" s="95"/>
      <c r="NUM264" s="95"/>
      <c r="NUN264" s="95"/>
      <c r="NUO264" s="95"/>
      <c r="NUP264" s="95"/>
      <c r="NUQ264" s="95"/>
      <c r="NUR264" s="95"/>
      <c r="NUS264" s="95"/>
      <c r="NUT264" s="95"/>
      <c r="NUU264" s="95"/>
      <c r="NUV264" s="95"/>
      <c r="NUW264" s="95"/>
      <c r="NUX264" s="95"/>
      <c r="NUY264" s="95"/>
      <c r="NUZ264" s="95"/>
      <c r="NVA264" s="95"/>
      <c r="NVB264" s="95"/>
      <c r="NVC264" s="95"/>
      <c r="NVD264" s="95"/>
      <c r="NVE264" s="95"/>
      <c r="NVF264" s="95"/>
      <c r="NVG264" s="95"/>
      <c r="NVH264" s="95"/>
      <c r="NVI264" s="95"/>
      <c r="NVJ264" s="95"/>
      <c r="NVK264" s="95"/>
      <c r="NVL264" s="95"/>
      <c r="NVM264" s="95"/>
      <c r="NVN264" s="95"/>
      <c r="NVO264" s="95"/>
      <c r="NVP264" s="95"/>
      <c r="NVQ264" s="95"/>
      <c r="NVR264" s="95"/>
      <c r="NVS264" s="95"/>
      <c r="NVT264" s="95"/>
      <c r="NVU264" s="95"/>
      <c r="NVV264" s="95"/>
      <c r="NVW264" s="95"/>
      <c r="NVX264" s="95"/>
      <c r="NVY264" s="95"/>
      <c r="NVZ264" s="95"/>
      <c r="NWA264" s="95"/>
      <c r="NWB264" s="95"/>
      <c r="NWC264" s="95"/>
      <c r="NWD264" s="95"/>
      <c r="NWE264" s="95"/>
      <c r="NWF264" s="95"/>
      <c r="NWG264" s="95"/>
      <c r="NWH264" s="95"/>
      <c r="NWI264" s="95"/>
      <c r="NWJ264" s="95"/>
      <c r="NWK264" s="95"/>
      <c r="NWL264" s="95"/>
      <c r="NWM264" s="95"/>
      <c r="NWN264" s="95"/>
      <c r="NWO264" s="95"/>
      <c r="NWP264" s="95"/>
      <c r="NWQ264" s="95"/>
      <c r="NWR264" s="95"/>
      <c r="NWS264" s="95"/>
      <c r="NWT264" s="95"/>
      <c r="NWU264" s="95"/>
      <c r="NWV264" s="95"/>
      <c r="NWW264" s="95"/>
      <c r="NWX264" s="95"/>
      <c r="NWY264" s="95"/>
      <c r="NWZ264" s="95"/>
      <c r="NXA264" s="95"/>
      <c r="NXB264" s="95"/>
      <c r="NXC264" s="95"/>
      <c r="NXD264" s="95"/>
      <c r="NXE264" s="95"/>
      <c r="NXF264" s="95"/>
      <c r="NXG264" s="95"/>
      <c r="NXH264" s="95"/>
      <c r="NXI264" s="95"/>
      <c r="NXJ264" s="95"/>
      <c r="NXK264" s="95"/>
      <c r="NXL264" s="95"/>
      <c r="NXM264" s="95"/>
      <c r="NXN264" s="95"/>
      <c r="NXO264" s="95"/>
      <c r="NXP264" s="95"/>
      <c r="NXQ264" s="95"/>
      <c r="NXR264" s="95"/>
      <c r="NXS264" s="95"/>
      <c r="NXT264" s="95"/>
      <c r="NXU264" s="95"/>
      <c r="NXV264" s="95"/>
      <c r="NXW264" s="95"/>
      <c r="NXX264" s="95"/>
      <c r="NXY264" s="95"/>
      <c r="NXZ264" s="95"/>
      <c r="NYA264" s="95"/>
      <c r="NYB264" s="95"/>
      <c r="NYC264" s="95"/>
      <c r="NYD264" s="95"/>
      <c r="NYE264" s="95"/>
      <c r="NYF264" s="95"/>
      <c r="NYG264" s="95"/>
      <c r="NYH264" s="95"/>
      <c r="NYI264" s="95"/>
      <c r="NYJ264" s="95"/>
      <c r="NYK264" s="95"/>
      <c r="NYL264" s="95"/>
      <c r="NYM264" s="95"/>
      <c r="NYN264" s="95"/>
      <c r="NYO264" s="95"/>
      <c r="NYP264" s="95"/>
      <c r="NYQ264" s="95"/>
      <c r="NYR264" s="95"/>
      <c r="NYS264" s="95"/>
      <c r="NYT264" s="95"/>
      <c r="NYU264" s="95"/>
      <c r="NYV264" s="95"/>
      <c r="NYW264" s="95"/>
      <c r="NYX264" s="95"/>
      <c r="NYY264" s="95"/>
      <c r="NYZ264" s="95"/>
      <c r="NZA264" s="95"/>
      <c r="NZB264" s="95"/>
      <c r="NZC264" s="95"/>
      <c r="NZD264" s="95"/>
      <c r="NZE264" s="95"/>
      <c r="NZF264" s="95"/>
      <c r="NZG264" s="95"/>
      <c r="NZH264" s="95"/>
      <c r="NZI264" s="95"/>
      <c r="NZJ264" s="95"/>
      <c r="NZK264" s="95"/>
      <c r="NZL264" s="95"/>
      <c r="NZM264" s="95"/>
      <c r="NZN264" s="95"/>
      <c r="NZO264" s="95"/>
      <c r="NZP264" s="95"/>
      <c r="NZQ264" s="95"/>
      <c r="NZR264" s="95"/>
      <c r="NZS264" s="95"/>
      <c r="NZT264" s="95"/>
      <c r="NZU264" s="95"/>
      <c r="NZV264" s="95"/>
      <c r="NZW264" s="95"/>
      <c r="NZX264" s="95"/>
      <c r="NZY264" s="95"/>
      <c r="NZZ264" s="95"/>
      <c r="OAA264" s="95"/>
      <c r="OAB264" s="95"/>
      <c r="OAC264" s="95"/>
      <c r="OAD264" s="95"/>
      <c r="OAE264" s="95"/>
      <c r="OAF264" s="95"/>
      <c r="OAG264" s="95"/>
      <c r="OAH264" s="95"/>
      <c r="OAI264" s="95"/>
      <c r="OAJ264" s="95"/>
      <c r="OAK264" s="95"/>
      <c r="OAL264" s="95"/>
      <c r="OAM264" s="95"/>
      <c r="OAN264" s="95"/>
      <c r="OAO264" s="95"/>
      <c r="OAP264" s="95"/>
      <c r="OAQ264" s="95"/>
      <c r="OAR264" s="95"/>
      <c r="OAS264" s="95"/>
      <c r="OAT264" s="95"/>
      <c r="OAU264" s="95"/>
      <c r="OAV264" s="95"/>
      <c r="OAW264" s="95"/>
      <c r="OAX264" s="95"/>
      <c r="OAY264" s="95"/>
      <c r="OAZ264" s="95"/>
      <c r="OBA264" s="95"/>
      <c r="OBB264" s="95"/>
      <c r="OBC264" s="95"/>
      <c r="OBD264" s="95"/>
      <c r="OBE264" s="95"/>
      <c r="OBF264" s="95"/>
      <c r="OBG264" s="95"/>
      <c r="OBH264" s="95"/>
      <c r="OBI264" s="95"/>
      <c r="OBJ264" s="95"/>
      <c r="OBK264" s="95"/>
      <c r="OBL264" s="95"/>
      <c r="OBM264" s="95"/>
      <c r="OBN264" s="95"/>
      <c r="OBO264" s="95"/>
      <c r="OBP264" s="95"/>
      <c r="OBQ264" s="95"/>
      <c r="OBR264" s="95"/>
      <c r="OBS264" s="95"/>
      <c r="OBT264" s="95"/>
      <c r="OBU264" s="95"/>
      <c r="OBV264" s="95"/>
      <c r="OBW264" s="95"/>
      <c r="OBX264" s="95"/>
      <c r="OBY264" s="95"/>
      <c r="OBZ264" s="95"/>
      <c r="OCA264" s="95"/>
      <c r="OCB264" s="95"/>
      <c r="OCC264" s="95"/>
      <c r="OCD264" s="95"/>
      <c r="OCE264" s="95"/>
      <c r="OCF264" s="95"/>
      <c r="OCG264" s="95"/>
      <c r="OCH264" s="95"/>
      <c r="OCI264" s="95"/>
      <c r="OCJ264" s="95"/>
      <c r="OCK264" s="95"/>
      <c r="OCL264" s="95"/>
      <c r="OCM264" s="95"/>
      <c r="OCN264" s="95"/>
      <c r="OCO264" s="95"/>
      <c r="OCP264" s="95"/>
      <c r="OCQ264" s="95"/>
      <c r="OCR264" s="95"/>
      <c r="OCS264" s="95"/>
      <c r="OCT264" s="95"/>
      <c r="OCU264" s="95"/>
      <c r="OCV264" s="95"/>
      <c r="OCW264" s="95"/>
      <c r="OCX264" s="95"/>
      <c r="OCY264" s="95"/>
      <c r="OCZ264" s="95"/>
      <c r="ODA264" s="95"/>
      <c r="ODB264" s="95"/>
      <c r="ODC264" s="95"/>
      <c r="ODD264" s="95"/>
      <c r="ODE264" s="95"/>
      <c r="ODF264" s="95"/>
      <c r="ODG264" s="95"/>
      <c r="ODH264" s="95"/>
      <c r="ODI264" s="95"/>
      <c r="ODJ264" s="95"/>
      <c r="ODK264" s="95"/>
      <c r="ODL264" s="95"/>
      <c r="ODM264" s="95"/>
      <c r="ODN264" s="95"/>
      <c r="ODO264" s="95"/>
      <c r="ODP264" s="95"/>
      <c r="ODQ264" s="95"/>
      <c r="ODR264" s="95"/>
      <c r="ODS264" s="95"/>
      <c r="ODT264" s="95"/>
      <c r="ODU264" s="95"/>
      <c r="ODV264" s="95"/>
      <c r="ODW264" s="95"/>
      <c r="ODX264" s="95"/>
      <c r="ODY264" s="95"/>
      <c r="ODZ264" s="95"/>
      <c r="OEA264" s="95"/>
      <c r="OEB264" s="95"/>
      <c r="OEC264" s="95"/>
      <c r="OED264" s="95"/>
      <c r="OEE264" s="95"/>
      <c r="OEF264" s="95"/>
      <c r="OEG264" s="95"/>
      <c r="OEH264" s="95"/>
      <c r="OEI264" s="95"/>
      <c r="OEJ264" s="95"/>
      <c r="OEK264" s="95"/>
      <c r="OEL264" s="95"/>
      <c r="OEM264" s="95"/>
      <c r="OEN264" s="95"/>
      <c r="OEO264" s="95"/>
      <c r="OEP264" s="95"/>
      <c r="OEQ264" s="95"/>
      <c r="OER264" s="95"/>
      <c r="OES264" s="95"/>
      <c r="OET264" s="95"/>
      <c r="OEU264" s="95"/>
      <c r="OEV264" s="95"/>
      <c r="OEW264" s="95"/>
      <c r="OEX264" s="95"/>
      <c r="OEY264" s="95"/>
      <c r="OEZ264" s="95"/>
      <c r="OFA264" s="95"/>
      <c r="OFB264" s="95"/>
      <c r="OFC264" s="95"/>
      <c r="OFD264" s="95"/>
      <c r="OFE264" s="95"/>
      <c r="OFF264" s="95"/>
      <c r="OFG264" s="95"/>
      <c r="OFH264" s="95"/>
      <c r="OFI264" s="95"/>
      <c r="OFJ264" s="95"/>
      <c r="OFK264" s="95"/>
      <c r="OFL264" s="95"/>
      <c r="OFM264" s="95"/>
      <c r="OFN264" s="95"/>
      <c r="OFO264" s="95"/>
      <c r="OFP264" s="95"/>
      <c r="OFQ264" s="95"/>
      <c r="OFR264" s="95"/>
      <c r="OFS264" s="95"/>
      <c r="OFT264" s="95"/>
      <c r="OFU264" s="95"/>
      <c r="OFV264" s="95"/>
      <c r="OFW264" s="95"/>
      <c r="OFX264" s="95"/>
      <c r="OFY264" s="95"/>
      <c r="OFZ264" s="95"/>
      <c r="OGA264" s="95"/>
      <c r="OGB264" s="95"/>
      <c r="OGC264" s="95"/>
      <c r="OGD264" s="95"/>
      <c r="OGE264" s="95"/>
      <c r="OGF264" s="95"/>
      <c r="OGG264" s="95"/>
      <c r="OGH264" s="95"/>
      <c r="OGI264" s="95"/>
      <c r="OGJ264" s="95"/>
      <c r="OGK264" s="95"/>
      <c r="OGL264" s="95"/>
      <c r="OGM264" s="95"/>
      <c r="OGN264" s="95"/>
      <c r="OGO264" s="95"/>
      <c r="OGP264" s="95"/>
      <c r="OGQ264" s="95"/>
      <c r="OGR264" s="95"/>
      <c r="OGS264" s="95"/>
      <c r="OGT264" s="95"/>
      <c r="OGU264" s="95"/>
      <c r="OGV264" s="95"/>
      <c r="OGW264" s="95"/>
      <c r="OGX264" s="95"/>
      <c r="OGY264" s="95"/>
      <c r="OGZ264" s="95"/>
      <c r="OHA264" s="95"/>
      <c r="OHB264" s="95"/>
      <c r="OHC264" s="95"/>
      <c r="OHD264" s="95"/>
      <c r="OHE264" s="95"/>
      <c r="OHF264" s="95"/>
      <c r="OHG264" s="95"/>
      <c r="OHH264" s="95"/>
      <c r="OHI264" s="95"/>
      <c r="OHJ264" s="95"/>
      <c r="OHK264" s="95"/>
      <c r="OHL264" s="95"/>
      <c r="OHM264" s="95"/>
      <c r="OHN264" s="95"/>
      <c r="OHO264" s="95"/>
      <c r="OHP264" s="95"/>
      <c r="OHQ264" s="95"/>
      <c r="OHR264" s="95"/>
      <c r="OHS264" s="95"/>
      <c r="OHT264" s="95"/>
      <c r="OHU264" s="95"/>
      <c r="OHV264" s="95"/>
      <c r="OHW264" s="95"/>
      <c r="OHX264" s="95"/>
      <c r="OHY264" s="95"/>
      <c r="OHZ264" s="95"/>
      <c r="OIA264" s="95"/>
      <c r="OIB264" s="95"/>
      <c r="OIC264" s="95"/>
      <c r="OID264" s="95"/>
      <c r="OIE264" s="95"/>
      <c r="OIF264" s="95"/>
      <c r="OIG264" s="95"/>
      <c r="OIH264" s="95"/>
      <c r="OII264" s="95"/>
      <c r="OIJ264" s="95"/>
      <c r="OIK264" s="95"/>
      <c r="OIL264" s="95"/>
      <c r="OIM264" s="95"/>
      <c r="OIN264" s="95"/>
      <c r="OIO264" s="95"/>
      <c r="OIP264" s="95"/>
      <c r="OIQ264" s="95"/>
      <c r="OIR264" s="95"/>
      <c r="OIS264" s="95"/>
      <c r="OIT264" s="95"/>
      <c r="OIU264" s="95"/>
      <c r="OIV264" s="95"/>
      <c r="OIW264" s="95"/>
      <c r="OIX264" s="95"/>
      <c r="OIY264" s="95"/>
      <c r="OIZ264" s="95"/>
      <c r="OJA264" s="95"/>
      <c r="OJB264" s="95"/>
      <c r="OJC264" s="95"/>
      <c r="OJD264" s="95"/>
      <c r="OJE264" s="95"/>
      <c r="OJF264" s="95"/>
      <c r="OJG264" s="95"/>
      <c r="OJH264" s="95"/>
      <c r="OJI264" s="95"/>
      <c r="OJJ264" s="95"/>
      <c r="OJK264" s="95"/>
      <c r="OJL264" s="95"/>
      <c r="OJM264" s="95"/>
      <c r="OJN264" s="95"/>
      <c r="OJO264" s="95"/>
      <c r="OJP264" s="95"/>
      <c r="OJQ264" s="95"/>
      <c r="OJR264" s="95"/>
      <c r="OJS264" s="95"/>
      <c r="OJT264" s="95"/>
      <c r="OJU264" s="95"/>
      <c r="OJV264" s="95"/>
      <c r="OJW264" s="95"/>
      <c r="OJX264" s="95"/>
      <c r="OJY264" s="95"/>
      <c r="OJZ264" s="95"/>
      <c r="OKA264" s="95"/>
      <c r="OKB264" s="95"/>
      <c r="OKC264" s="95"/>
      <c r="OKD264" s="95"/>
      <c r="OKE264" s="95"/>
      <c r="OKF264" s="95"/>
      <c r="OKG264" s="95"/>
      <c r="OKH264" s="95"/>
      <c r="OKI264" s="95"/>
      <c r="OKJ264" s="95"/>
      <c r="OKK264" s="95"/>
      <c r="OKL264" s="95"/>
      <c r="OKM264" s="95"/>
      <c r="OKN264" s="95"/>
      <c r="OKO264" s="95"/>
      <c r="OKP264" s="95"/>
      <c r="OKQ264" s="95"/>
      <c r="OKR264" s="95"/>
      <c r="OKS264" s="95"/>
      <c r="OKT264" s="95"/>
      <c r="OKU264" s="95"/>
      <c r="OKV264" s="95"/>
      <c r="OKW264" s="95"/>
      <c r="OKX264" s="95"/>
      <c r="OKY264" s="95"/>
      <c r="OKZ264" s="95"/>
      <c r="OLA264" s="95"/>
      <c r="OLB264" s="95"/>
      <c r="OLC264" s="95"/>
      <c r="OLD264" s="95"/>
      <c r="OLE264" s="95"/>
      <c r="OLF264" s="95"/>
      <c r="OLG264" s="95"/>
      <c r="OLH264" s="95"/>
      <c r="OLI264" s="95"/>
      <c r="OLJ264" s="95"/>
      <c r="OLK264" s="95"/>
      <c r="OLL264" s="95"/>
      <c r="OLM264" s="95"/>
      <c r="OLN264" s="95"/>
      <c r="OLO264" s="95"/>
      <c r="OLP264" s="95"/>
      <c r="OLQ264" s="95"/>
      <c r="OLR264" s="95"/>
      <c r="OLS264" s="95"/>
      <c r="OLT264" s="95"/>
      <c r="OLU264" s="95"/>
      <c r="OLV264" s="95"/>
      <c r="OLW264" s="95"/>
      <c r="OLX264" s="95"/>
      <c r="OLY264" s="95"/>
      <c r="OLZ264" s="95"/>
      <c r="OMA264" s="95"/>
      <c r="OMB264" s="95"/>
      <c r="OMC264" s="95"/>
      <c r="OMD264" s="95"/>
      <c r="OME264" s="95"/>
      <c r="OMF264" s="95"/>
      <c r="OMG264" s="95"/>
      <c r="OMH264" s="95"/>
      <c r="OMI264" s="95"/>
      <c r="OMJ264" s="95"/>
      <c r="OMK264" s="95"/>
      <c r="OML264" s="95"/>
      <c r="OMM264" s="95"/>
      <c r="OMN264" s="95"/>
      <c r="OMO264" s="95"/>
      <c r="OMP264" s="95"/>
      <c r="OMQ264" s="95"/>
      <c r="OMR264" s="95"/>
      <c r="OMS264" s="95"/>
      <c r="OMT264" s="95"/>
      <c r="OMU264" s="95"/>
      <c r="OMV264" s="95"/>
      <c r="OMW264" s="95"/>
      <c r="OMX264" s="95"/>
      <c r="OMY264" s="95"/>
      <c r="OMZ264" s="95"/>
      <c r="ONA264" s="95"/>
      <c r="ONB264" s="95"/>
      <c r="ONC264" s="95"/>
      <c r="OND264" s="95"/>
      <c r="ONE264" s="95"/>
      <c r="ONF264" s="95"/>
      <c r="ONG264" s="95"/>
      <c r="ONH264" s="95"/>
      <c r="ONI264" s="95"/>
      <c r="ONJ264" s="95"/>
      <c r="ONK264" s="95"/>
      <c r="ONL264" s="95"/>
      <c r="ONM264" s="95"/>
      <c r="ONN264" s="95"/>
      <c r="ONO264" s="95"/>
      <c r="ONP264" s="95"/>
      <c r="ONQ264" s="95"/>
      <c r="ONR264" s="95"/>
      <c r="ONS264" s="95"/>
      <c r="ONT264" s="95"/>
      <c r="ONU264" s="95"/>
      <c r="ONV264" s="95"/>
      <c r="ONW264" s="95"/>
      <c r="ONX264" s="95"/>
      <c r="ONY264" s="95"/>
      <c r="ONZ264" s="95"/>
      <c r="OOA264" s="95"/>
      <c r="OOB264" s="95"/>
      <c r="OOC264" s="95"/>
      <c r="OOD264" s="95"/>
      <c r="OOE264" s="95"/>
      <c r="OOF264" s="95"/>
      <c r="OOG264" s="95"/>
      <c r="OOH264" s="95"/>
      <c r="OOI264" s="95"/>
      <c r="OOJ264" s="95"/>
      <c r="OOK264" s="95"/>
      <c r="OOL264" s="95"/>
      <c r="OOM264" s="95"/>
      <c r="OON264" s="95"/>
      <c r="OOO264" s="95"/>
      <c r="OOP264" s="95"/>
      <c r="OOQ264" s="95"/>
      <c r="OOR264" s="95"/>
      <c r="OOS264" s="95"/>
      <c r="OOT264" s="95"/>
      <c r="OOU264" s="95"/>
      <c r="OOV264" s="95"/>
      <c r="OOW264" s="95"/>
      <c r="OOX264" s="95"/>
      <c r="OOY264" s="95"/>
      <c r="OOZ264" s="95"/>
      <c r="OPA264" s="95"/>
      <c r="OPB264" s="95"/>
      <c r="OPC264" s="95"/>
      <c r="OPD264" s="95"/>
      <c r="OPE264" s="95"/>
      <c r="OPF264" s="95"/>
      <c r="OPG264" s="95"/>
      <c r="OPH264" s="95"/>
      <c r="OPI264" s="95"/>
      <c r="OPJ264" s="95"/>
      <c r="OPK264" s="95"/>
      <c r="OPL264" s="95"/>
      <c r="OPM264" s="95"/>
      <c r="OPN264" s="95"/>
      <c r="OPO264" s="95"/>
      <c r="OPP264" s="95"/>
      <c r="OPQ264" s="95"/>
      <c r="OPR264" s="95"/>
      <c r="OPS264" s="95"/>
      <c r="OPT264" s="95"/>
      <c r="OPU264" s="95"/>
      <c r="OPV264" s="95"/>
      <c r="OPW264" s="95"/>
      <c r="OPX264" s="95"/>
      <c r="OPY264" s="95"/>
      <c r="OPZ264" s="95"/>
      <c r="OQA264" s="95"/>
      <c r="OQB264" s="95"/>
      <c r="OQC264" s="95"/>
      <c r="OQD264" s="95"/>
      <c r="OQE264" s="95"/>
      <c r="OQF264" s="95"/>
      <c r="OQG264" s="95"/>
      <c r="OQH264" s="95"/>
      <c r="OQI264" s="95"/>
      <c r="OQJ264" s="95"/>
      <c r="OQK264" s="95"/>
      <c r="OQL264" s="95"/>
      <c r="OQM264" s="95"/>
      <c r="OQN264" s="95"/>
      <c r="OQO264" s="95"/>
      <c r="OQP264" s="95"/>
      <c r="OQQ264" s="95"/>
      <c r="OQR264" s="95"/>
      <c r="OQS264" s="95"/>
      <c r="OQT264" s="95"/>
      <c r="OQU264" s="95"/>
      <c r="OQV264" s="95"/>
      <c r="OQW264" s="95"/>
      <c r="OQX264" s="95"/>
      <c r="OQY264" s="95"/>
      <c r="OQZ264" s="95"/>
      <c r="ORA264" s="95"/>
      <c r="ORB264" s="95"/>
      <c r="ORC264" s="95"/>
      <c r="ORD264" s="95"/>
      <c r="ORE264" s="95"/>
      <c r="ORF264" s="95"/>
      <c r="ORG264" s="95"/>
      <c r="ORH264" s="95"/>
      <c r="ORI264" s="95"/>
      <c r="ORJ264" s="95"/>
      <c r="ORK264" s="95"/>
      <c r="ORL264" s="95"/>
      <c r="ORM264" s="95"/>
      <c r="ORN264" s="95"/>
      <c r="ORO264" s="95"/>
      <c r="ORP264" s="95"/>
      <c r="ORQ264" s="95"/>
      <c r="ORR264" s="95"/>
      <c r="ORS264" s="95"/>
      <c r="ORT264" s="95"/>
      <c r="ORU264" s="95"/>
      <c r="ORV264" s="95"/>
      <c r="ORW264" s="95"/>
      <c r="ORX264" s="95"/>
      <c r="ORY264" s="95"/>
      <c r="ORZ264" s="95"/>
      <c r="OSA264" s="95"/>
      <c r="OSB264" s="95"/>
      <c r="OSC264" s="95"/>
      <c r="OSD264" s="95"/>
      <c r="OSE264" s="95"/>
      <c r="OSF264" s="95"/>
      <c r="OSG264" s="95"/>
      <c r="OSH264" s="95"/>
      <c r="OSI264" s="95"/>
      <c r="OSJ264" s="95"/>
      <c r="OSK264" s="95"/>
      <c r="OSL264" s="95"/>
      <c r="OSM264" s="95"/>
      <c r="OSN264" s="95"/>
      <c r="OSO264" s="95"/>
      <c r="OSP264" s="95"/>
      <c r="OSQ264" s="95"/>
      <c r="OSR264" s="95"/>
      <c r="OSS264" s="95"/>
      <c r="OST264" s="95"/>
      <c r="OSU264" s="95"/>
      <c r="OSV264" s="95"/>
      <c r="OSW264" s="95"/>
      <c r="OSX264" s="95"/>
      <c r="OSY264" s="95"/>
      <c r="OSZ264" s="95"/>
      <c r="OTA264" s="95"/>
      <c r="OTB264" s="95"/>
      <c r="OTC264" s="95"/>
      <c r="OTD264" s="95"/>
      <c r="OTE264" s="95"/>
      <c r="OTF264" s="95"/>
      <c r="OTG264" s="95"/>
      <c r="OTH264" s="95"/>
      <c r="OTI264" s="95"/>
      <c r="OTJ264" s="95"/>
      <c r="OTK264" s="95"/>
      <c r="OTL264" s="95"/>
      <c r="OTM264" s="95"/>
      <c r="OTN264" s="95"/>
      <c r="OTO264" s="95"/>
      <c r="OTP264" s="95"/>
      <c r="OTQ264" s="95"/>
      <c r="OTR264" s="95"/>
      <c r="OTS264" s="95"/>
      <c r="OTT264" s="95"/>
      <c r="OTU264" s="95"/>
      <c r="OTV264" s="95"/>
      <c r="OTW264" s="95"/>
      <c r="OTX264" s="95"/>
      <c r="OTY264" s="95"/>
      <c r="OTZ264" s="95"/>
      <c r="OUA264" s="95"/>
      <c r="OUB264" s="95"/>
      <c r="OUC264" s="95"/>
      <c r="OUD264" s="95"/>
      <c r="OUE264" s="95"/>
      <c r="OUF264" s="95"/>
      <c r="OUG264" s="95"/>
      <c r="OUH264" s="95"/>
      <c r="OUI264" s="95"/>
      <c r="OUJ264" s="95"/>
      <c r="OUK264" s="95"/>
      <c r="OUL264" s="95"/>
      <c r="OUM264" s="95"/>
      <c r="OUN264" s="95"/>
      <c r="OUO264" s="95"/>
      <c r="OUP264" s="95"/>
      <c r="OUQ264" s="95"/>
      <c r="OUR264" s="95"/>
      <c r="OUS264" s="95"/>
      <c r="OUT264" s="95"/>
      <c r="OUU264" s="95"/>
      <c r="OUV264" s="95"/>
      <c r="OUW264" s="95"/>
      <c r="OUX264" s="95"/>
      <c r="OUY264" s="95"/>
      <c r="OUZ264" s="95"/>
      <c r="OVA264" s="95"/>
      <c r="OVB264" s="95"/>
      <c r="OVC264" s="95"/>
      <c r="OVD264" s="95"/>
      <c r="OVE264" s="95"/>
      <c r="OVF264" s="95"/>
      <c r="OVG264" s="95"/>
      <c r="OVH264" s="95"/>
      <c r="OVI264" s="95"/>
      <c r="OVJ264" s="95"/>
      <c r="OVK264" s="95"/>
      <c r="OVL264" s="95"/>
      <c r="OVM264" s="95"/>
      <c r="OVN264" s="95"/>
      <c r="OVO264" s="95"/>
      <c r="OVP264" s="95"/>
      <c r="OVQ264" s="95"/>
      <c r="OVR264" s="95"/>
      <c r="OVS264" s="95"/>
      <c r="OVT264" s="95"/>
      <c r="OVU264" s="95"/>
      <c r="OVV264" s="95"/>
      <c r="OVW264" s="95"/>
      <c r="OVX264" s="95"/>
      <c r="OVY264" s="95"/>
      <c r="OVZ264" s="95"/>
      <c r="OWA264" s="95"/>
      <c r="OWB264" s="95"/>
      <c r="OWC264" s="95"/>
      <c r="OWD264" s="95"/>
      <c r="OWE264" s="95"/>
      <c r="OWF264" s="95"/>
      <c r="OWG264" s="95"/>
      <c r="OWH264" s="95"/>
      <c r="OWI264" s="95"/>
      <c r="OWJ264" s="95"/>
      <c r="OWK264" s="95"/>
      <c r="OWL264" s="95"/>
      <c r="OWM264" s="95"/>
      <c r="OWN264" s="95"/>
      <c r="OWO264" s="95"/>
      <c r="OWP264" s="95"/>
      <c r="OWQ264" s="95"/>
      <c r="OWR264" s="95"/>
      <c r="OWS264" s="95"/>
      <c r="OWT264" s="95"/>
      <c r="OWU264" s="95"/>
      <c r="OWV264" s="95"/>
      <c r="OWW264" s="95"/>
      <c r="OWX264" s="95"/>
      <c r="OWY264" s="95"/>
      <c r="OWZ264" s="95"/>
      <c r="OXA264" s="95"/>
      <c r="OXB264" s="95"/>
      <c r="OXC264" s="95"/>
      <c r="OXD264" s="95"/>
      <c r="OXE264" s="95"/>
      <c r="OXF264" s="95"/>
      <c r="OXG264" s="95"/>
      <c r="OXH264" s="95"/>
      <c r="OXI264" s="95"/>
      <c r="OXJ264" s="95"/>
      <c r="OXK264" s="95"/>
      <c r="OXL264" s="95"/>
      <c r="OXM264" s="95"/>
      <c r="OXN264" s="95"/>
      <c r="OXO264" s="95"/>
      <c r="OXP264" s="95"/>
      <c r="OXQ264" s="95"/>
      <c r="OXR264" s="95"/>
      <c r="OXS264" s="95"/>
      <c r="OXT264" s="95"/>
      <c r="OXU264" s="95"/>
      <c r="OXV264" s="95"/>
      <c r="OXW264" s="95"/>
      <c r="OXX264" s="95"/>
      <c r="OXY264" s="95"/>
      <c r="OXZ264" s="95"/>
      <c r="OYA264" s="95"/>
      <c r="OYB264" s="95"/>
      <c r="OYC264" s="95"/>
      <c r="OYD264" s="95"/>
      <c r="OYE264" s="95"/>
      <c r="OYF264" s="95"/>
      <c r="OYG264" s="95"/>
      <c r="OYH264" s="95"/>
      <c r="OYI264" s="95"/>
      <c r="OYJ264" s="95"/>
      <c r="OYK264" s="95"/>
      <c r="OYL264" s="95"/>
      <c r="OYM264" s="95"/>
      <c r="OYN264" s="95"/>
      <c r="OYO264" s="95"/>
      <c r="OYP264" s="95"/>
      <c r="OYQ264" s="95"/>
      <c r="OYR264" s="95"/>
      <c r="OYS264" s="95"/>
      <c r="OYT264" s="95"/>
      <c r="OYU264" s="95"/>
      <c r="OYV264" s="95"/>
      <c r="OYW264" s="95"/>
      <c r="OYX264" s="95"/>
      <c r="OYY264" s="95"/>
      <c r="OYZ264" s="95"/>
      <c r="OZA264" s="95"/>
      <c r="OZB264" s="95"/>
      <c r="OZC264" s="95"/>
      <c r="OZD264" s="95"/>
      <c r="OZE264" s="95"/>
      <c r="OZF264" s="95"/>
      <c r="OZG264" s="95"/>
      <c r="OZH264" s="95"/>
      <c r="OZI264" s="95"/>
      <c r="OZJ264" s="95"/>
      <c r="OZK264" s="95"/>
      <c r="OZL264" s="95"/>
      <c r="OZM264" s="95"/>
      <c r="OZN264" s="95"/>
      <c r="OZO264" s="95"/>
      <c r="OZP264" s="95"/>
      <c r="OZQ264" s="95"/>
      <c r="OZR264" s="95"/>
      <c r="OZS264" s="95"/>
      <c r="OZT264" s="95"/>
      <c r="OZU264" s="95"/>
      <c r="OZV264" s="95"/>
      <c r="OZW264" s="95"/>
      <c r="OZX264" s="95"/>
      <c r="OZY264" s="95"/>
      <c r="OZZ264" s="95"/>
      <c r="PAA264" s="95"/>
      <c r="PAB264" s="95"/>
      <c r="PAC264" s="95"/>
      <c r="PAD264" s="95"/>
      <c r="PAE264" s="95"/>
      <c r="PAF264" s="95"/>
      <c r="PAG264" s="95"/>
      <c r="PAH264" s="95"/>
      <c r="PAI264" s="95"/>
      <c r="PAJ264" s="95"/>
      <c r="PAK264" s="95"/>
      <c r="PAL264" s="95"/>
      <c r="PAM264" s="95"/>
      <c r="PAN264" s="95"/>
      <c r="PAO264" s="95"/>
      <c r="PAP264" s="95"/>
      <c r="PAQ264" s="95"/>
      <c r="PAR264" s="95"/>
      <c r="PAS264" s="95"/>
      <c r="PAT264" s="95"/>
      <c r="PAU264" s="95"/>
      <c r="PAV264" s="95"/>
      <c r="PAW264" s="95"/>
      <c r="PAX264" s="95"/>
      <c r="PAY264" s="95"/>
      <c r="PAZ264" s="95"/>
      <c r="PBA264" s="95"/>
      <c r="PBB264" s="95"/>
      <c r="PBC264" s="95"/>
      <c r="PBD264" s="95"/>
      <c r="PBE264" s="95"/>
      <c r="PBF264" s="95"/>
      <c r="PBG264" s="95"/>
      <c r="PBH264" s="95"/>
      <c r="PBI264" s="95"/>
      <c r="PBJ264" s="95"/>
      <c r="PBK264" s="95"/>
      <c r="PBL264" s="95"/>
      <c r="PBM264" s="95"/>
      <c r="PBN264" s="95"/>
      <c r="PBO264" s="95"/>
      <c r="PBP264" s="95"/>
      <c r="PBQ264" s="95"/>
      <c r="PBR264" s="95"/>
      <c r="PBS264" s="95"/>
      <c r="PBT264" s="95"/>
      <c r="PBU264" s="95"/>
      <c r="PBV264" s="95"/>
      <c r="PBW264" s="95"/>
      <c r="PBX264" s="95"/>
      <c r="PBY264" s="95"/>
      <c r="PBZ264" s="95"/>
      <c r="PCA264" s="95"/>
      <c r="PCB264" s="95"/>
      <c r="PCC264" s="95"/>
      <c r="PCD264" s="95"/>
      <c r="PCE264" s="95"/>
      <c r="PCF264" s="95"/>
      <c r="PCG264" s="95"/>
      <c r="PCH264" s="95"/>
      <c r="PCI264" s="95"/>
      <c r="PCJ264" s="95"/>
      <c r="PCK264" s="95"/>
      <c r="PCL264" s="95"/>
      <c r="PCM264" s="95"/>
      <c r="PCN264" s="95"/>
      <c r="PCO264" s="95"/>
      <c r="PCP264" s="95"/>
      <c r="PCQ264" s="95"/>
      <c r="PCR264" s="95"/>
      <c r="PCS264" s="95"/>
      <c r="PCT264" s="95"/>
      <c r="PCU264" s="95"/>
      <c r="PCV264" s="95"/>
      <c r="PCW264" s="95"/>
      <c r="PCX264" s="95"/>
      <c r="PCY264" s="95"/>
      <c r="PCZ264" s="95"/>
      <c r="PDA264" s="95"/>
      <c r="PDB264" s="95"/>
      <c r="PDC264" s="95"/>
      <c r="PDD264" s="95"/>
      <c r="PDE264" s="95"/>
      <c r="PDF264" s="95"/>
      <c r="PDG264" s="95"/>
      <c r="PDH264" s="95"/>
      <c r="PDI264" s="95"/>
      <c r="PDJ264" s="95"/>
      <c r="PDK264" s="95"/>
      <c r="PDL264" s="95"/>
      <c r="PDM264" s="95"/>
      <c r="PDN264" s="95"/>
      <c r="PDO264" s="95"/>
      <c r="PDP264" s="95"/>
      <c r="PDQ264" s="95"/>
      <c r="PDR264" s="95"/>
      <c r="PDS264" s="95"/>
      <c r="PDT264" s="95"/>
      <c r="PDU264" s="95"/>
      <c r="PDV264" s="95"/>
      <c r="PDW264" s="95"/>
      <c r="PDX264" s="95"/>
      <c r="PDY264" s="95"/>
      <c r="PDZ264" s="95"/>
      <c r="PEA264" s="95"/>
      <c r="PEB264" s="95"/>
      <c r="PEC264" s="95"/>
      <c r="PED264" s="95"/>
      <c r="PEE264" s="95"/>
      <c r="PEF264" s="95"/>
      <c r="PEG264" s="95"/>
      <c r="PEH264" s="95"/>
      <c r="PEI264" s="95"/>
      <c r="PEJ264" s="95"/>
      <c r="PEK264" s="95"/>
      <c r="PEL264" s="95"/>
      <c r="PEM264" s="95"/>
      <c r="PEN264" s="95"/>
      <c r="PEO264" s="95"/>
      <c r="PEP264" s="95"/>
      <c r="PEQ264" s="95"/>
      <c r="PER264" s="95"/>
      <c r="PES264" s="95"/>
      <c r="PET264" s="95"/>
      <c r="PEU264" s="95"/>
      <c r="PEV264" s="95"/>
      <c r="PEW264" s="95"/>
      <c r="PEX264" s="95"/>
      <c r="PEY264" s="95"/>
      <c r="PEZ264" s="95"/>
      <c r="PFA264" s="95"/>
      <c r="PFB264" s="95"/>
      <c r="PFC264" s="95"/>
      <c r="PFD264" s="95"/>
      <c r="PFE264" s="95"/>
      <c r="PFF264" s="95"/>
      <c r="PFG264" s="95"/>
      <c r="PFH264" s="95"/>
      <c r="PFI264" s="95"/>
      <c r="PFJ264" s="95"/>
      <c r="PFK264" s="95"/>
      <c r="PFL264" s="95"/>
      <c r="PFM264" s="95"/>
      <c r="PFN264" s="95"/>
      <c r="PFO264" s="95"/>
      <c r="PFP264" s="95"/>
      <c r="PFQ264" s="95"/>
      <c r="PFR264" s="95"/>
      <c r="PFS264" s="95"/>
      <c r="PFT264" s="95"/>
      <c r="PFU264" s="95"/>
      <c r="PFV264" s="95"/>
      <c r="PFW264" s="95"/>
      <c r="PFX264" s="95"/>
      <c r="PFY264" s="95"/>
      <c r="PFZ264" s="95"/>
      <c r="PGA264" s="95"/>
      <c r="PGB264" s="95"/>
      <c r="PGC264" s="95"/>
      <c r="PGD264" s="95"/>
      <c r="PGE264" s="95"/>
      <c r="PGF264" s="95"/>
      <c r="PGG264" s="95"/>
      <c r="PGH264" s="95"/>
      <c r="PGI264" s="95"/>
      <c r="PGJ264" s="95"/>
      <c r="PGK264" s="95"/>
      <c r="PGL264" s="95"/>
      <c r="PGM264" s="95"/>
      <c r="PGN264" s="95"/>
      <c r="PGO264" s="95"/>
      <c r="PGP264" s="95"/>
      <c r="PGQ264" s="95"/>
      <c r="PGR264" s="95"/>
      <c r="PGS264" s="95"/>
      <c r="PGT264" s="95"/>
      <c r="PGU264" s="95"/>
      <c r="PGV264" s="95"/>
      <c r="PGW264" s="95"/>
      <c r="PGX264" s="95"/>
      <c r="PGY264" s="95"/>
      <c r="PGZ264" s="95"/>
      <c r="PHA264" s="95"/>
      <c r="PHB264" s="95"/>
      <c r="PHC264" s="95"/>
      <c r="PHD264" s="95"/>
      <c r="PHE264" s="95"/>
      <c r="PHF264" s="95"/>
      <c r="PHG264" s="95"/>
      <c r="PHH264" s="95"/>
      <c r="PHI264" s="95"/>
      <c r="PHJ264" s="95"/>
      <c r="PHK264" s="95"/>
      <c r="PHL264" s="95"/>
      <c r="PHM264" s="95"/>
      <c r="PHN264" s="95"/>
      <c r="PHO264" s="95"/>
      <c r="PHP264" s="95"/>
      <c r="PHQ264" s="95"/>
      <c r="PHR264" s="95"/>
      <c r="PHS264" s="95"/>
      <c r="PHT264" s="95"/>
      <c r="PHU264" s="95"/>
      <c r="PHV264" s="95"/>
      <c r="PHW264" s="95"/>
      <c r="PHX264" s="95"/>
      <c r="PHY264" s="95"/>
      <c r="PHZ264" s="95"/>
      <c r="PIA264" s="95"/>
      <c r="PIB264" s="95"/>
      <c r="PIC264" s="95"/>
      <c r="PID264" s="95"/>
      <c r="PIE264" s="95"/>
      <c r="PIF264" s="95"/>
      <c r="PIG264" s="95"/>
      <c r="PIH264" s="95"/>
      <c r="PII264" s="95"/>
      <c r="PIJ264" s="95"/>
      <c r="PIK264" s="95"/>
      <c r="PIL264" s="95"/>
      <c r="PIM264" s="95"/>
      <c r="PIN264" s="95"/>
      <c r="PIO264" s="95"/>
      <c r="PIP264" s="95"/>
      <c r="PIQ264" s="95"/>
      <c r="PIR264" s="95"/>
      <c r="PIS264" s="95"/>
      <c r="PIT264" s="95"/>
      <c r="PIU264" s="95"/>
      <c r="PIV264" s="95"/>
      <c r="PIW264" s="95"/>
      <c r="PIX264" s="95"/>
      <c r="PIY264" s="95"/>
      <c r="PIZ264" s="95"/>
      <c r="PJA264" s="95"/>
      <c r="PJB264" s="95"/>
      <c r="PJC264" s="95"/>
      <c r="PJD264" s="95"/>
      <c r="PJE264" s="95"/>
      <c r="PJF264" s="95"/>
      <c r="PJG264" s="95"/>
      <c r="PJH264" s="95"/>
      <c r="PJI264" s="95"/>
      <c r="PJJ264" s="95"/>
      <c r="PJK264" s="95"/>
      <c r="PJL264" s="95"/>
      <c r="PJM264" s="95"/>
      <c r="PJN264" s="95"/>
      <c r="PJO264" s="95"/>
      <c r="PJP264" s="95"/>
      <c r="PJQ264" s="95"/>
      <c r="PJR264" s="95"/>
      <c r="PJS264" s="95"/>
      <c r="PJT264" s="95"/>
      <c r="PJU264" s="95"/>
      <c r="PJV264" s="95"/>
      <c r="PJW264" s="95"/>
      <c r="PJX264" s="95"/>
      <c r="PJY264" s="95"/>
      <c r="PJZ264" s="95"/>
      <c r="PKA264" s="95"/>
      <c r="PKB264" s="95"/>
      <c r="PKC264" s="95"/>
      <c r="PKD264" s="95"/>
      <c r="PKE264" s="95"/>
      <c r="PKF264" s="95"/>
      <c r="PKG264" s="95"/>
      <c r="PKH264" s="95"/>
      <c r="PKI264" s="95"/>
      <c r="PKJ264" s="95"/>
      <c r="PKK264" s="95"/>
      <c r="PKL264" s="95"/>
      <c r="PKM264" s="95"/>
      <c r="PKN264" s="95"/>
      <c r="PKO264" s="95"/>
      <c r="PKP264" s="95"/>
      <c r="PKQ264" s="95"/>
      <c r="PKR264" s="95"/>
      <c r="PKS264" s="95"/>
      <c r="PKT264" s="95"/>
      <c r="PKU264" s="95"/>
      <c r="PKV264" s="95"/>
      <c r="PKW264" s="95"/>
      <c r="PKX264" s="95"/>
      <c r="PKY264" s="95"/>
      <c r="PKZ264" s="95"/>
      <c r="PLA264" s="95"/>
      <c r="PLB264" s="95"/>
      <c r="PLC264" s="95"/>
      <c r="PLD264" s="95"/>
      <c r="PLE264" s="95"/>
      <c r="PLF264" s="95"/>
      <c r="PLG264" s="95"/>
      <c r="PLH264" s="95"/>
      <c r="PLI264" s="95"/>
      <c r="PLJ264" s="95"/>
      <c r="PLK264" s="95"/>
      <c r="PLL264" s="95"/>
      <c r="PLM264" s="95"/>
      <c r="PLN264" s="95"/>
      <c r="PLO264" s="95"/>
      <c r="PLP264" s="95"/>
      <c r="PLQ264" s="95"/>
      <c r="PLR264" s="95"/>
      <c r="PLS264" s="95"/>
      <c r="PLT264" s="95"/>
      <c r="PLU264" s="95"/>
      <c r="PLV264" s="95"/>
      <c r="PLW264" s="95"/>
      <c r="PLX264" s="95"/>
      <c r="PLY264" s="95"/>
      <c r="PLZ264" s="95"/>
      <c r="PMA264" s="95"/>
      <c r="PMB264" s="95"/>
      <c r="PMC264" s="95"/>
      <c r="PMD264" s="95"/>
      <c r="PME264" s="95"/>
      <c r="PMF264" s="95"/>
      <c r="PMG264" s="95"/>
      <c r="PMH264" s="95"/>
      <c r="PMI264" s="95"/>
      <c r="PMJ264" s="95"/>
      <c r="PMK264" s="95"/>
      <c r="PML264" s="95"/>
      <c r="PMM264" s="95"/>
      <c r="PMN264" s="95"/>
      <c r="PMO264" s="95"/>
      <c r="PMP264" s="95"/>
      <c r="PMQ264" s="95"/>
      <c r="PMR264" s="95"/>
      <c r="PMS264" s="95"/>
      <c r="PMT264" s="95"/>
      <c r="PMU264" s="95"/>
      <c r="PMV264" s="95"/>
      <c r="PMW264" s="95"/>
      <c r="PMX264" s="95"/>
      <c r="PMY264" s="95"/>
      <c r="PMZ264" s="95"/>
      <c r="PNA264" s="95"/>
      <c r="PNB264" s="95"/>
      <c r="PNC264" s="95"/>
      <c r="PND264" s="95"/>
      <c r="PNE264" s="95"/>
      <c r="PNF264" s="95"/>
      <c r="PNG264" s="95"/>
      <c r="PNH264" s="95"/>
      <c r="PNI264" s="95"/>
      <c r="PNJ264" s="95"/>
      <c r="PNK264" s="95"/>
      <c r="PNL264" s="95"/>
      <c r="PNM264" s="95"/>
      <c r="PNN264" s="95"/>
      <c r="PNO264" s="95"/>
      <c r="PNP264" s="95"/>
      <c r="PNQ264" s="95"/>
      <c r="PNR264" s="95"/>
      <c r="PNS264" s="95"/>
      <c r="PNT264" s="95"/>
      <c r="PNU264" s="95"/>
      <c r="PNV264" s="95"/>
      <c r="PNW264" s="95"/>
      <c r="PNX264" s="95"/>
      <c r="PNY264" s="95"/>
      <c r="PNZ264" s="95"/>
      <c r="POA264" s="95"/>
      <c r="POB264" s="95"/>
      <c r="POC264" s="95"/>
      <c r="POD264" s="95"/>
      <c r="POE264" s="95"/>
      <c r="POF264" s="95"/>
      <c r="POG264" s="95"/>
      <c r="POH264" s="95"/>
      <c r="POI264" s="95"/>
      <c r="POJ264" s="95"/>
      <c r="POK264" s="95"/>
      <c r="POL264" s="95"/>
      <c r="POM264" s="95"/>
      <c r="PON264" s="95"/>
      <c r="POO264" s="95"/>
      <c r="POP264" s="95"/>
      <c r="POQ264" s="95"/>
      <c r="POR264" s="95"/>
      <c r="POS264" s="95"/>
      <c r="POT264" s="95"/>
      <c r="POU264" s="95"/>
      <c r="POV264" s="95"/>
      <c r="POW264" s="95"/>
      <c r="POX264" s="95"/>
      <c r="POY264" s="95"/>
      <c r="POZ264" s="95"/>
      <c r="PPA264" s="95"/>
      <c r="PPB264" s="95"/>
      <c r="PPC264" s="95"/>
      <c r="PPD264" s="95"/>
      <c r="PPE264" s="95"/>
      <c r="PPF264" s="95"/>
      <c r="PPG264" s="95"/>
      <c r="PPH264" s="95"/>
      <c r="PPI264" s="95"/>
      <c r="PPJ264" s="95"/>
      <c r="PPK264" s="95"/>
      <c r="PPL264" s="95"/>
      <c r="PPM264" s="95"/>
      <c r="PPN264" s="95"/>
      <c r="PPO264" s="95"/>
      <c r="PPP264" s="95"/>
      <c r="PPQ264" s="95"/>
      <c r="PPR264" s="95"/>
      <c r="PPS264" s="95"/>
      <c r="PPT264" s="95"/>
      <c r="PPU264" s="95"/>
      <c r="PPV264" s="95"/>
      <c r="PPW264" s="95"/>
      <c r="PPX264" s="95"/>
      <c r="PPY264" s="95"/>
      <c r="PPZ264" s="95"/>
      <c r="PQA264" s="95"/>
      <c r="PQB264" s="95"/>
      <c r="PQC264" s="95"/>
      <c r="PQD264" s="95"/>
      <c r="PQE264" s="95"/>
      <c r="PQF264" s="95"/>
      <c r="PQG264" s="95"/>
      <c r="PQH264" s="95"/>
      <c r="PQI264" s="95"/>
      <c r="PQJ264" s="95"/>
      <c r="PQK264" s="95"/>
      <c r="PQL264" s="95"/>
      <c r="PQM264" s="95"/>
      <c r="PQN264" s="95"/>
      <c r="PQO264" s="95"/>
      <c r="PQP264" s="95"/>
      <c r="PQQ264" s="95"/>
      <c r="PQR264" s="95"/>
      <c r="PQS264" s="95"/>
      <c r="PQT264" s="95"/>
      <c r="PQU264" s="95"/>
      <c r="PQV264" s="95"/>
      <c r="PQW264" s="95"/>
      <c r="PQX264" s="95"/>
      <c r="PQY264" s="95"/>
      <c r="PQZ264" s="95"/>
      <c r="PRA264" s="95"/>
      <c r="PRB264" s="95"/>
      <c r="PRC264" s="95"/>
      <c r="PRD264" s="95"/>
      <c r="PRE264" s="95"/>
      <c r="PRF264" s="95"/>
      <c r="PRG264" s="95"/>
      <c r="PRH264" s="95"/>
      <c r="PRI264" s="95"/>
      <c r="PRJ264" s="95"/>
      <c r="PRK264" s="95"/>
      <c r="PRL264" s="95"/>
      <c r="PRM264" s="95"/>
      <c r="PRN264" s="95"/>
      <c r="PRO264" s="95"/>
      <c r="PRP264" s="95"/>
      <c r="PRQ264" s="95"/>
      <c r="PRR264" s="95"/>
      <c r="PRS264" s="95"/>
      <c r="PRT264" s="95"/>
      <c r="PRU264" s="95"/>
      <c r="PRV264" s="95"/>
      <c r="PRW264" s="95"/>
      <c r="PRX264" s="95"/>
      <c r="PRY264" s="95"/>
      <c r="PRZ264" s="95"/>
      <c r="PSA264" s="95"/>
      <c r="PSB264" s="95"/>
      <c r="PSC264" s="95"/>
      <c r="PSD264" s="95"/>
      <c r="PSE264" s="95"/>
      <c r="PSF264" s="95"/>
      <c r="PSG264" s="95"/>
      <c r="PSH264" s="95"/>
      <c r="PSI264" s="95"/>
      <c r="PSJ264" s="95"/>
      <c r="PSK264" s="95"/>
      <c r="PSL264" s="95"/>
      <c r="PSM264" s="95"/>
      <c r="PSN264" s="95"/>
      <c r="PSO264" s="95"/>
      <c r="PSP264" s="95"/>
      <c r="PSQ264" s="95"/>
      <c r="PSR264" s="95"/>
      <c r="PSS264" s="95"/>
      <c r="PST264" s="95"/>
      <c r="PSU264" s="95"/>
      <c r="PSV264" s="95"/>
      <c r="PSW264" s="95"/>
      <c r="PSX264" s="95"/>
      <c r="PSY264" s="95"/>
      <c r="PSZ264" s="95"/>
      <c r="PTA264" s="95"/>
      <c r="PTB264" s="95"/>
      <c r="PTC264" s="95"/>
      <c r="PTD264" s="95"/>
      <c r="PTE264" s="95"/>
      <c r="PTF264" s="95"/>
      <c r="PTG264" s="95"/>
      <c r="PTH264" s="95"/>
      <c r="PTI264" s="95"/>
      <c r="PTJ264" s="95"/>
      <c r="PTK264" s="95"/>
      <c r="PTL264" s="95"/>
      <c r="PTM264" s="95"/>
      <c r="PTN264" s="95"/>
      <c r="PTO264" s="95"/>
      <c r="PTP264" s="95"/>
      <c r="PTQ264" s="95"/>
      <c r="PTR264" s="95"/>
      <c r="PTS264" s="95"/>
      <c r="PTT264" s="95"/>
      <c r="PTU264" s="95"/>
      <c r="PTV264" s="95"/>
      <c r="PTW264" s="95"/>
      <c r="PTX264" s="95"/>
      <c r="PTY264" s="95"/>
      <c r="PTZ264" s="95"/>
      <c r="PUA264" s="95"/>
      <c r="PUB264" s="95"/>
      <c r="PUC264" s="95"/>
      <c r="PUD264" s="95"/>
      <c r="PUE264" s="95"/>
      <c r="PUF264" s="95"/>
      <c r="PUG264" s="95"/>
      <c r="PUH264" s="95"/>
      <c r="PUI264" s="95"/>
      <c r="PUJ264" s="95"/>
      <c r="PUK264" s="95"/>
      <c r="PUL264" s="95"/>
      <c r="PUM264" s="95"/>
      <c r="PUN264" s="95"/>
      <c r="PUO264" s="95"/>
      <c r="PUP264" s="95"/>
      <c r="PUQ264" s="95"/>
      <c r="PUR264" s="95"/>
      <c r="PUS264" s="95"/>
      <c r="PUT264" s="95"/>
      <c r="PUU264" s="95"/>
      <c r="PUV264" s="95"/>
      <c r="PUW264" s="95"/>
      <c r="PUX264" s="95"/>
      <c r="PUY264" s="95"/>
      <c r="PUZ264" s="95"/>
      <c r="PVA264" s="95"/>
      <c r="PVB264" s="95"/>
      <c r="PVC264" s="95"/>
      <c r="PVD264" s="95"/>
      <c r="PVE264" s="95"/>
      <c r="PVF264" s="95"/>
      <c r="PVG264" s="95"/>
      <c r="PVH264" s="95"/>
      <c r="PVI264" s="95"/>
      <c r="PVJ264" s="95"/>
      <c r="PVK264" s="95"/>
      <c r="PVL264" s="95"/>
      <c r="PVM264" s="95"/>
      <c r="PVN264" s="95"/>
      <c r="PVO264" s="95"/>
      <c r="PVP264" s="95"/>
      <c r="PVQ264" s="95"/>
      <c r="PVR264" s="95"/>
      <c r="PVS264" s="95"/>
      <c r="PVT264" s="95"/>
      <c r="PVU264" s="95"/>
      <c r="PVV264" s="95"/>
      <c r="PVW264" s="95"/>
      <c r="PVX264" s="95"/>
      <c r="PVY264" s="95"/>
      <c r="PVZ264" s="95"/>
      <c r="PWA264" s="95"/>
      <c r="PWB264" s="95"/>
      <c r="PWC264" s="95"/>
      <c r="PWD264" s="95"/>
      <c r="PWE264" s="95"/>
      <c r="PWF264" s="95"/>
      <c r="PWG264" s="95"/>
      <c r="PWH264" s="95"/>
      <c r="PWI264" s="95"/>
      <c r="PWJ264" s="95"/>
      <c r="PWK264" s="95"/>
      <c r="PWL264" s="95"/>
      <c r="PWM264" s="95"/>
      <c r="PWN264" s="95"/>
      <c r="PWO264" s="95"/>
      <c r="PWP264" s="95"/>
      <c r="PWQ264" s="95"/>
      <c r="PWR264" s="95"/>
      <c r="PWS264" s="95"/>
      <c r="PWT264" s="95"/>
      <c r="PWU264" s="95"/>
      <c r="PWV264" s="95"/>
      <c r="PWW264" s="95"/>
      <c r="PWX264" s="95"/>
      <c r="PWY264" s="95"/>
      <c r="PWZ264" s="95"/>
      <c r="PXA264" s="95"/>
      <c r="PXB264" s="95"/>
      <c r="PXC264" s="95"/>
      <c r="PXD264" s="95"/>
      <c r="PXE264" s="95"/>
      <c r="PXF264" s="95"/>
      <c r="PXG264" s="95"/>
      <c r="PXH264" s="95"/>
      <c r="PXI264" s="95"/>
      <c r="PXJ264" s="95"/>
      <c r="PXK264" s="95"/>
      <c r="PXL264" s="95"/>
      <c r="PXM264" s="95"/>
      <c r="PXN264" s="95"/>
      <c r="PXO264" s="95"/>
      <c r="PXP264" s="95"/>
      <c r="PXQ264" s="95"/>
      <c r="PXR264" s="95"/>
      <c r="PXS264" s="95"/>
      <c r="PXT264" s="95"/>
      <c r="PXU264" s="95"/>
      <c r="PXV264" s="95"/>
      <c r="PXW264" s="95"/>
      <c r="PXX264" s="95"/>
      <c r="PXY264" s="95"/>
      <c r="PXZ264" s="95"/>
      <c r="PYA264" s="95"/>
      <c r="PYB264" s="95"/>
      <c r="PYC264" s="95"/>
      <c r="PYD264" s="95"/>
      <c r="PYE264" s="95"/>
      <c r="PYF264" s="95"/>
      <c r="PYG264" s="95"/>
      <c r="PYH264" s="95"/>
      <c r="PYI264" s="95"/>
      <c r="PYJ264" s="95"/>
      <c r="PYK264" s="95"/>
      <c r="PYL264" s="95"/>
      <c r="PYM264" s="95"/>
      <c r="PYN264" s="95"/>
      <c r="PYO264" s="95"/>
      <c r="PYP264" s="95"/>
      <c r="PYQ264" s="95"/>
      <c r="PYR264" s="95"/>
      <c r="PYS264" s="95"/>
      <c r="PYT264" s="95"/>
      <c r="PYU264" s="95"/>
      <c r="PYV264" s="95"/>
      <c r="PYW264" s="95"/>
      <c r="PYX264" s="95"/>
      <c r="PYY264" s="95"/>
      <c r="PYZ264" s="95"/>
      <c r="PZA264" s="95"/>
      <c r="PZB264" s="95"/>
      <c r="PZC264" s="95"/>
      <c r="PZD264" s="95"/>
      <c r="PZE264" s="95"/>
      <c r="PZF264" s="95"/>
      <c r="PZG264" s="95"/>
      <c r="PZH264" s="95"/>
      <c r="PZI264" s="95"/>
      <c r="PZJ264" s="95"/>
      <c r="PZK264" s="95"/>
      <c r="PZL264" s="95"/>
      <c r="PZM264" s="95"/>
      <c r="PZN264" s="95"/>
      <c r="PZO264" s="95"/>
      <c r="PZP264" s="95"/>
      <c r="PZQ264" s="95"/>
      <c r="PZR264" s="95"/>
      <c r="PZS264" s="95"/>
      <c r="PZT264" s="95"/>
      <c r="PZU264" s="95"/>
      <c r="PZV264" s="95"/>
      <c r="PZW264" s="95"/>
      <c r="PZX264" s="95"/>
      <c r="PZY264" s="95"/>
      <c r="PZZ264" s="95"/>
      <c r="QAA264" s="95"/>
      <c r="QAB264" s="95"/>
      <c r="QAC264" s="95"/>
      <c r="QAD264" s="95"/>
      <c r="QAE264" s="95"/>
      <c r="QAF264" s="95"/>
      <c r="QAG264" s="95"/>
      <c r="QAH264" s="95"/>
      <c r="QAI264" s="95"/>
      <c r="QAJ264" s="95"/>
      <c r="QAK264" s="95"/>
      <c r="QAL264" s="95"/>
      <c r="QAM264" s="95"/>
      <c r="QAN264" s="95"/>
      <c r="QAO264" s="95"/>
      <c r="QAP264" s="95"/>
      <c r="QAQ264" s="95"/>
      <c r="QAR264" s="95"/>
      <c r="QAS264" s="95"/>
      <c r="QAT264" s="95"/>
      <c r="QAU264" s="95"/>
      <c r="QAV264" s="95"/>
      <c r="QAW264" s="95"/>
      <c r="QAX264" s="95"/>
      <c r="QAY264" s="95"/>
      <c r="QAZ264" s="95"/>
      <c r="QBA264" s="95"/>
      <c r="QBB264" s="95"/>
      <c r="QBC264" s="95"/>
      <c r="QBD264" s="95"/>
      <c r="QBE264" s="95"/>
      <c r="QBF264" s="95"/>
      <c r="QBG264" s="95"/>
      <c r="QBH264" s="95"/>
      <c r="QBI264" s="95"/>
      <c r="QBJ264" s="95"/>
      <c r="QBK264" s="95"/>
      <c r="QBL264" s="95"/>
      <c r="QBM264" s="95"/>
      <c r="QBN264" s="95"/>
      <c r="QBO264" s="95"/>
      <c r="QBP264" s="95"/>
      <c r="QBQ264" s="95"/>
      <c r="QBR264" s="95"/>
      <c r="QBS264" s="95"/>
      <c r="QBT264" s="95"/>
      <c r="QBU264" s="95"/>
      <c r="QBV264" s="95"/>
      <c r="QBW264" s="95"/>
      <c r="QBX264" s="95"/>
      <c r="QBY264" s="95"/>
      <c r="QBZ264" s="95"/>
      <c r="QCA264" s="95"/>
      <c r="QCB264" s="95"/>
      <c r="QCC264" s="95"/>
      <c r="QCD264" s="95"/>
      <c r="QCE264" s="95"/>
      <c r="QCF264" s="95"/>
      <c r="QCG264" s="95"/>
      <c r="QCH264" s="95"/>
      <c r="QCI264" s="95"/>
      <c r="QCJ264" s="95"/>
      <c r="QCK264" s="95"/>
      <c r="QCL264" s="95"/>
      <c r="QCM264" s="95"/>
      <c r="QCN264" s="95"/>
      <c r="QCO264" s="95"/>
      <c r="QCP264" s="95"/>
      <c r="QCQ264" s="95"/>
      <c r="QCR264" s="95"/>
      <c r="QCS264" s="95"/>
      <c r="QCT264" s="95"/>
      <c r="QCU264" s="95"/>
      <c r="QCV264" s="95"/>
      <c r="QCW264" s="95"/>
      <c r="QCX264" s="95"/>
      <c r="QCY264" s="95"/>
      <c r="QCZ264" s="95"/>
      <c r="QDA264" s="95"/>
      <c r="QDB264" s="95"/>
      <c r="QDC264" s="95"/>
      <c r="QDD264" s="95"/>
      <c r="QDE264" s="95"/>
      <c r="QDF264" s="95"/>
      <c r="QDG264" s="95"/>
      <c r="QDH264" s="95"/>
      <c r="QDI264" s="95"/>
      <c r="QDJ264" s="95"/>
      <c r="QDK264" s="95"/>
      <c r="QDL264" s="95"/>
      <c r="QDM264" s="95"/>
      <c r="QDN264" s="95"/>
      <c r="QDO264" s="95"/>
      <c r="QDP264" s="95"/>
      <c r="QDQ264" s="95"/>
      <c r="QDR264" s="95"/>
      <c r="QDS264" s="95"/>
      <c r="QDT264" s="95"/>
      <c r="QDU264" s="95"/>
      <c r="QDV264" s="95"/>
      <c r="QDW264" s="95"/>
      <c r="QDX264" s="95"/>
      <c r="QDY264" s="95"/>
      <c r="QDZ264" s="95"/>
      <c r="QEA264" s="95"/>
      <c r="QEB264" s="95"/>
      <c r="QEC264" s="95"/>
      <c r="QED264" s="95"/>
      <c r="QEE264" s="95"/>
      <c r="QEF264" s="95"/>
      <c r="QEG264" s="95"/>
      <c r="QEH264" s="95"/>
      <c r="QEI264" s="95"/>
      <c r="QEJ264" s="95"/>
      <c r="QEK264" s="95"/>
      <c r="QEL264" s="95"/>
      <c r="QEM264" s="95"/>
      <c r="QEN264" s="95"/>
      <c r="QEO264" s="95"/>
      <c r="QEP264" s="95"/>
      <c r="QEQ264" s="95"/>
      <c r="QER264" s="95"/>
      <c r="QES264" s="95"/>
      <c r="QET264" s="95"/>
      <c r="QEU264" s="95"/>
      <c r="QEV264" s="95"/>
      <c r="QEW264" s="95"/>
      <c r="QEX264" s="95"/>
      <c r="QEY264" s="95"/>
      <c r="QEZ264" s="95"/>
      <c r="QFA264" s="95"/>
      <c r="QFB264" s="95"/>
      <c r="QFC264" s="95"/>
      <c r="QFD264" s="95"/>
      <c r="QFE264" s="95"/>
      <c r="QFF264" s="95"/>
      <c r="QFG264" s="95"/>
      <c r="QFH264" s="95"/>
      <c r="QFI264" s="95"/>
      <c r="QFJ264" s="95"/>
      <c r="QFK264" s="95"/>
      <c r="QFL264" s="95"/>
      <c r="QFM264" s="95"/>
      <c r="QFN264" s="95"/>
      <c r="QFO264" s="95"/>
      <c r="QFP264" s="95"/>
      <c r="QFQ264" s="95"/>
      <c r="QFR264" s="95"/>
      <c r="QFS264" s="95"/>
      <c r="QFT264" s="95"/>
      <c r="QFU264" s="95"/>
      <c r="QFV264" s="95"/>
      <c r="QFW264" s="95"/>
      <c r="QFX264" s="95"/>
      <c r="QFY264" s="95"/>
      <c r="QFZ264" s="95"/>
      <c r="QGA264" s="95"/>
      <c r="QGB264" s="95"/>
      <c r="QGC264" s="95"/>
      <c r="QGD264" s="95"/>
      <c r="QGE264" s="95"/>
      <c r="QGF264" s="95"/>
      <c r="QGG264" s="95"/>
      <c r="QGH264" s="95"/>
      <c r="QGI264" s="95"/>
      <c r="QGJ264" s="95"/>
      <c r="QGK264" s="95"/>
      <c r="QGL264" s="95"/>
      <c r="QGM264" s="95"/>
      <c r="QGN264" s="95"/>
      <c r="QGO264" s="95"/>
      <c r="QGP264" s="95"/>
      <c r="QGQ264" s="95"/>
      <c r="QGR264" s="95"/>
      <c r="QGS264" s="95"/>
      <c r="QGT264" s="95"/>
      <c r="QGU264" s="95"/>
      <c r="QGV264" s="95"/>
      <c r="QGW264" s="95"/>
      <c r="QGX264" s="95"/>
      <c r="QGY264" s="95"/>
      <c r="QGZ264" s="95"/>
      <c r="QHA264" s="95"/>
      <c r="QHB264" s="95"/>
      <c r="QHC264" s="95"/>
      <c r="QHD264" s="95"/>
      <c r="QHE264" s="95"/>
      <c r="QHF264" s="95"/>
      <c r="QHG264" s="95"/>
      <c r="QHH264" s="95"/>
      <c r="QHI264" s="95"/>
      <c r="QHJ264" s="95"/>
      <c r="QHK264" s="95"/>
      <c r="QHL264" s="95"/>
      <c r="QHM264" s="95"/>
      <c r="QHN264" s="95"/>
      <c r="QHO264" s="95"/>
      <c r="QHP264" s="95"/>
      <c r="QHQ264" s="95"/>
      <c r="QHR264" s="95"/>
      <c r="QHS264" s="95"/>
      <c r="QHT264" s="95"/>
      <c r="QHU264" s="95"/>
      <c r="QHV264" s="95"/>
      <c r="QHW264" s="95"/>
      <c r="QHX264" s="95"/>
      <c r="QHY264" s="95"/>
      <c r="QHZ264" s="95"/>
      <c r="QIA264" s="95"/>
      <c r="QIB264" s="95"/>
      <c r="QIC264" s="95"/>
      <c r="QID264" s="95"/>
      <c r="QIE264" s="95"/>
      <c r="QIF264" s="95"/>
      <c r="QIG264" s="95"/>
      <c r="QIH264" s="95"/>
      <c r="QII264" s="95"/>
      <c r="QIJ264" s="95"/>
      <c r="QIK264" s="95"/>
      <c r="QIL264" s="95"/>
      <c r="QIM264" s="95"/>
      <c r="QIN264" s="95"/>
      <c r="QIO264" s="95"/>
      <c r="QIP264" s="95"/>
      <c r="QIQ264" s="95"/>
      <c r="QIR264" s="95"/>
      <c r="QIS264" s="95"/>
      <c r="QIT264" s="95"/>
      <c r="QIU264" s="95"/>
      <c r="QIV264" s="95"/>
      <c r="QIW264" s="95"/>
      <c r="QIX264" s="95"/>
      <c r="QIY264" s="95"/>
      <c r="QIZ264" s="95"/>
      <c r="QJA264" s="95"/>
      <c r="QJB264" s="95"/>
      <c r="QJC264" s="95"/>
      <c r="QJD264" s="95"/>
      <c r="QJE264" s="95"/>
      <c r="QJF264" s="95"/>
      <c r="QJG264" s="95"/>
      <c r="QJH264" s="95"/>
      <c r="QJI264" s="95"/>
      <c r="QJJ264" s="95"/>
      <c r="QJK264" s="95"/>
      <c r="QJL264" s="95"/>
      <c r="QJM264" s="95"/>
      <c r="QJN264" s="95"/>
      <c r="QJO264" s="95"/>
      <c r="QJP264" s="95"/>
      <c r="QJQ264" s="95"/>
      <c r="QJR264" s="95"/>
      <c r="QJS264" s="95"/>
      <c r="QJT264" s="95"/>
      <c r="QJU264" s="95"/>
      <c r="QJV264" s="95"/>
      <c r="QJW264" s="95"/>
      <c r="QJX264" s="95"/>
      <c r="QJY264" s="95"/>
      <c r="QJZ264" s="95"/>
      <c r="QKA264" s="95"/>
      <c r="QKB264" s="95"/>
      <c r="QKC264" s="95"/>
      <c r="QKD264" s="95"/>
      <c r="QKE264" s="95"/>
      <c r="QKF264" s="95"/>
      <c r="QKG264" s="95"/>
      <c r="QKH264" s="95"/>
      <c r="QKI264" s="95"/>
      <c r="QKJ264" s="95"/>
      <c r="QKK264" s="95"/>
      <c r="QKL264" s="95"/>
      <c r="QKM264" s="95"/>
      <c r="QKN264" s="95"/>
      <c r="QKO264" s="95"/>
      <c r="QKP264" s="95"/>
      <c r="QKQ264" s="95"/>
      <c r="QKR264" s="95"/>
      <c r="QKS264" s="95"/>
      <c r="QKT264" s="95"/>
      <c r="QKU264" s="95"/>
      <c r="QKV264" s="95"/>
      <c r="QKW264" s="95"/>
      <c r="QKX264" s="95"/>
      <c r="QKY264" s="95"/>
      <c r="QKZ264" s="95"/>
      <c r="QLA264" s="95"/>
      <c r="QLB264" s="95"/>
      <c r="QLC264" s="95"/>
      <c r="QLD264" s="95"/>
      <c r="QLE264" s="95"/>
      <c r="QLF264" s="95"/>
      <c r="QLG264" s="95"/>
      <c r="QLH264" s="95"/>
      <c r="QLI264" s="95"/>
      <c r="QLJ264" s="95"/>
      <c r="QLK264" s="95"/>
      <c r="QLL264" s="95"/>
      <c r="QLM264" s="95"/>
      <c r="QLN264" s="95"/>
      <c r="QLO264" s="95"/>
      <c r="QLP264" s="95"/>
      <c r="QLQ264" s="95"/>
      <c r="QLR264" s="95"/>
      <c r="QLS264" s="95"/>
      <c r="QLT264" s="95"/>
      <c r="QLU264" s="95"/>
      <c r="QLV264" s="95"/>
      <c r="QLW264" s="95"/>
      <c r="QLX264" s="95"/>
      <c r="QLY264" s="95"/>
      <c r="QLZ264" s="95"/>
      <c r="QMA264" s="95"/>
      <c r="QMB264" s="95"/>
      <c r="QMC264" s="95"/>
      <c r="QMD264" s="95"/>
      <c r="QME264" s="95"/>
      <c r="QMF264" s="95"/>
      <c r="QMG264" s="95"/>
      <c r="QMH264" s="95"/>
      <c r="QMI264" s="95"/>
      <c r="QMJ264" s="95"/>
      <c r="QMK264" s="95"/>
      <c r="QML264" s="95"/>
      <c r="QMM264" s="95"/>
      <c r="QMN264" s="95"/>
      <c r="QMO264" s="95"/>
      <c r="QMP264" s="95"/>
      <c r="QMQ264" s="95"/>
      <c r="QMR264" s="95"/>
      <c r="QMS264" s="95"/>
      <c r="QMT264" s="95"/>
      <c r="QMU264" s="95"/>
      <c r="QMV264" s="95"/>
      <c r="QMW264" s="95"/>
      <c r="QMX264" s="95"/>
      <c r="QMY264" s="95"/>
      <c r="QMZ264" s="95"/>
      <c r="QNA264" s="95"/>
      <c r="QNB264" s="95"/>
      <c r="QNC264" s="95"/>
      <c r="QND264" s="95"/>
      <c r="QNE264" s="95"/>
      <c r="QNF264" s="95"/>
      <c r="QNG264" s="95"/>
      <c r="QNH264" s="95"/>
      <c r="QNI264" s="95"/>
      <c r="QNJ264" s="95"/>
      <c r="QNK264" s="95"/>
      <c r="QNL264" s="95"/>
      <c r="QNM264" s="95"/>
      <c r="QNN264" s="95"/>
      <c r="QNO264" s="95"/>
      <c r="QNP264" s="95"/>
      <c r="QNQ264" s="95"/>
      <c r="QNR264" s="95"/>
      <c r="QNS264" s="95"/>
      <c r="QNT264" s="95"/>
      <c r="QNU264" s="95"/>
      <c r="QNV264" s="95"/>
      <c r="QNW264" s="95"/>
      <c r="QNX264" s="95"/>
      <c r="QNY264" s="95"/>
      <c r="QNZ264" s="95"/>
      <c r="QOA264" s="95"/>
      <c r="QOB264" s="95"/>
      <c r="QOC264" s="95"/>
      <c r="QOD264" s="95"/>
      <c r="QOE264" s="95"/>
      <c r="QOF264" s="95"/>
      <c r="QOG264" s="95"/>
      <c r="QOH264" s="95"/>
      <c r="QOI264" s="95"/>
      <c r="QOJ264" s="95"/>
      <c r="QOK264" s="95"/>
      <c r="QOL264" s="95"/>
      <c r="QOM264" s="95"/>
      <c r="QON264" s="95"/>
      <c r="QOO264" s="95"/>
      <c r="QOP264" s="95"/>
      <c r="QOQ264" s="95"/>
      <c r="QOR264" s="95"/>
      <c r="QOS264" s="95"/>
      <c r="QOT264" s="95"/>
      <c r="QOU264" s="95"/>
      <c r="QOV264" s="95"/>
      <c r="QOW264" s="95"/>
      <c r="QOX264" s="95"/>
      <c r="QOY264" s="95"/>
      <c r="QOZ264" s="95"/>
      <c r="QPA264" s="95"/>
      <c r="QPB264" s="95"/>
      <c r="QPC264" s="95"/>
      <c r="QPD264" s="95"/>
      <c r="QPE264" s="95"/>
      <c r="QPF264" s="95"/>
      <c r="QPG264" s="95"/>
      <c r="QPH264" s="95"/>
      <c r="QPI264" s="95"/>
      <c r="QPJ264" s="95"/>
      <c r="QPK264" s="95"/>
      <c r="QPL264" s="95"/>
      <c r="QPM264" s="95"/>
      <c r="QPN264" s="95"/>
      <c r="QPO264" s="95"/>
      <c r="QPP264" s="95"/>
      <c r="QPQ264" s="95"/>
      <c r="QPR264" s="95"/>
      <c r="QPS264" s="95"/>
      <c r="QPT264" s="95"/>
      <c r="QPU264" s="95"/>
      <c r="QPV264" s="95"/>
      <c r="QPW264" s="95"/>
      <c r="QPX264" s="95"/>
      <c r="QPY264" s="95"/>
      <c r="QPZ264" s="95"/>
      <c r="QQA264" s="95"/>
      <c r="QQB264" s="95"/>
      <c r="QQC264" s="95"/>
      <c r="QQD264" s="95"/>
      <c r="QQE264" s="95"/>
      <c r="QQF264" s="95"/>
      <c r="QQG264" s="95"/>
      <c r="QQH264" s="95"/>
      <c r="QQI264" s="95"/>
      <c r="QQJ264" s="95"/>
      <c r="QQK264" s="95"/>
      <c r="QQL264" s="95"/>
      <c r="QQM264" s="95"/>
      <c r="QQN264" s="95"/>
      <c r="QQO264" s="95"/>
      <c r="QQP264" s="95"/>
      <c r="QQQ264" s="95"/>
      <c r="QQR264" s="95"/>
      <c r="QQS264" s="95"/>
      <c r="QQT264" s="95"/>
      <c r="QQU264" s="95"/>
      <c r="QQV264" s="95"/>
      <c r="QQW264" s="95"/>
      <c r="QQX264" s="95"/>
      <c r="QQY264" s="95"/>
      <c r="QQZ264" s="95"/>
      <c r="QRA264" s="95"/>
      <c r="QRB264" s="95"/>
      <c r="QRC264" s="95"/>
      <c r="QRD264" s="95"/>
      <c r="QRE264" s="95"/>
      <c r="QRF264" s="95"/>
      <c r="QRG264" s="95"/>
      <c r="QRH264" s="95"/>
      <c r="QRI264" s="95"/>
      <c r="QRJ264" s="95"/>
      <c r="QRK264" s="95"/>
      <c r="QRL264" s="95"/>
      <c r="QRM264" s="95"/>
      <c r="QRN264" s="95"/>
      <c r="QRO264" s="95"/>
      <c r="QRP264" s="95"/>
      <c r="QRQ264" s="95"/>
      <c r="QRR264" s="95"/>
      <c r="QRS264" s="95"/>
      <c r="QRT264" s="95"/>
      <c r="QRU264" s="95"/>
      <c r="QRV264" s="95"/>
      <c r="QRW264" s="95"/>
      <c r="QRX264" s="95"/>
      <c r="QRY264" s="95"/>
      <c r="QRZ264" s="95"/>
      <c r="QSA264" s="95"/>
      <c r="QSB264" s="95"/>
      <c r="QSC264" s="95"/>
      <c r="QSD264" s="95"/>
      <c r="QSE264" s="95"/>
      <c r="QSF264" s="95"/>
      <c r="QSG264" s="95"/>
      <c r="QSH264" s="95"/>
      <c r="QSI264" s="95"/>
      <c r="QSJ264" s="95"/>
      <c r="QSK264" s="95"/>
      <c r="QSL264" s="95"/>
      <c r="QSM264" s="95"/>
      <c r="QSN264" s="95"/>
      <c r="QSO264" s="95"/>
      <c r="QSP264" s="95"/>
      <c r="QSQ264" s="95"/>
      <c r="QSR264" s="95"/>
      <c r="QSS264" s="95"/>
      <c r="QST264" s="95"/>
      <c r="QSU264" s="95"/>
      <c r="QSV264" s="95"/>
      <c r="QSW264" s="95"/>
      <c r="QSX264" s="95"/>
      <c r="QSY264" s="95"/>
      <c r="QSZ264" s="95"/>
      <c r="QTA264" s="95"/>
      <c r="QTB264" s="95"/>
      <c r="QTC264" s="95"/>
      <c r="QTD264" s="95"/>
      <c r="QTE264" s="95"/>
      <c r="QTF264" s="95"/>
      <c r="QTG264" s="95"/>
      <c r="QTH264" s="95"/>
      <c r="QTI264" s="95"/>
      <c r="QTJ264" s="95"/>
      <c r="QTK264" s="95"/>
      <c r="QTL264" s="95"/>
      <c r="QTM264" s="95"/>
      <c r="QTN264" s="95"/>
      <c r="QTO264" s="95"/>
      <c r="QTP264" s="95"/>
      <c r="QTQ264" s="95"/>
      <c r="QTR264" s="95"/>
      <c r="QTS264" s="95"/>
      <c r="QTT264" s="95"/>
      <c r="QTU264" s="95"/>
      <c r="QTV264" s="95"/>
      <c r="QTW264" s="95"/>
      <c r="QTX264" s="95"/>
      <c r="QTY264" s="95"/>
      <c r="QTZ264" s="95"/>
      <c r="QUA264" s="95"/>
      <c r="QUB264" s="95"/>
      <c r="QUC264" s="95"/>
      <c r="QUD264" s="95"/>
      <c r="QUE264" s="95"/>
      <c r="QUF264" s="95"/>
      <c r="QUG264" s="95"/>
      <c r="QUH264" s="95"/>
      <c r="QUI264" s="95"/>
      <c r="QUJ264" s="95"/>
      <c r="QUK264" s="95"/>
      <c r="QUL264" s="95"/>
      <c r="QUM264" s="95"/>
      <c r="QUN264" s="95"/>
      <c r="QUO264" s="95"/>
      <c r="QUP264" s="95"/>
      <c r="QUQ264" s="95"/>
      <c r="QUR264" s="95"/>
      <c r="QUS264" s="95"/>
      <c r="QUT264" s="95"/>
      <c r="QUU264" s="95"/>
      <c r="QUV264" s="95"/>
      <c r="QUW264" s="95"/>
      <c r="QUX264" s="95"/>
      <c r="QUY264" s="95"/>
      <c r="QUZ264" s="95"/>
      <c r="QVA264" s="95"/>
      <c r="QVB264" s="95"/>
      <c r="QVC264" s="95"/>
      <c r="QVD264" s="95"/>
      <c r="QVE264" s="95"/>
      <c r="QVF264" s="95"/>
      <c r="QVG264" s="95"/>
      <c r="QVH264" s="95"/>
      <c r="QVI264" s="95"/>
      <c r="QVJ264" s="95"/>
      <c r="QVK264" s="95"/>
      <c r="QVL264" s="95"/>
      <c r="QVM264" s="95"/>
      <c r="QVN264" s="95"/>
      <c r="QVO264" s="95"/>
      <c r="QVP264" s="95"/>
      <c r="QVQ264" s="95"/>
      <c r="QVR264" s="95"/>
      <c r="QVS264" s="95"/>
      <c r="QVT264" s="95"/>
      <c r="QVU264" s="95"/>
      <c r="QVV264" s="95"/>
      <c r="QVW264" s="95"/>
      <c r="QVX264" s="95"/>
      <c r="QVY264" s="95"/>
      <c r="QVZ264" s="95"/>
      <c r="QWA264" s="95"/>
      <c r="QWB264" s="95"/>
      <c r="QWC264" s="95"/>
      <c r="QWD264" s="95"/>
      <c r="QWE264" s="95"/>
      <c r="QWF264" s="95"/>
      <c r="QWG264" s="95"/>
      <c r="QWH264" s="95"/>
      <c r="QWI264" s="95"/>
      <c r="QWJ264" s="95"/>
      <c r="QWK264" s="95"/>
      <c r="QWL264" s="95"/>
      <c r="QWM264" s="95"/>
      <c r="QWN264" s="95"/>
      <c r="QWO264" s="95"/>
      <c r="QWP264" s="95"/>
      <c r="QWQ264" s="95"/>
      <c r="QWR264" s="95"/>
      <c r="QWS264" s="95"/>
      <c r="QWT264" s="95"/>
      <c r="QWU264" s="95"/>
      <c r="QWV264" s="95"/>
      <c r="QWW264" s="95"/>
      <c r="QWX264" s="95"/>
      <c r="QWY264" s="95"/>
      <c r="QWZ264" s="95"/>
      <c r="QXA264" s="95"/>
      <c r="QXB264" s="95"/>
      <c r="QXC264" s="95"/>
      <c r="QXD264" s="95"/>
      <c r="QXE264" s="95"/>
      <c r="QXF264" s="95"/>
      <c r="QXG264" s="95"/>
      <c r="QXH264" s="95"/>
      <c r="QXI264" s="95"/>
      <c r="QXJ264" s="95"/>
      <c r="QXK264" s="95"/>
      <c r="QXL264" s="95"/>
      <c r="QXM264" s="95"/>
      <c r="QXN264" s="95"/>
      <c r="QXO264" s="95"/>
      <c r="QXP264" s="95"/>
      <c r="QXQ264" s="95"/>
      <c r="QXR264" s="95"/>
      <c r="QXS264" s="95"/>
      <c r="QXT264" s="95"/>
      <c r="QXU264" s="95"/>
      <c r="QXV264" s="95"/>
      <c r="QXW264" s="95"/>
      <c r="QXX264" s="95"/>
      <c r="QXY264" s="95"/>
      <c r="QXZ264" s="95"/>
      <c r="QYA264" s="95"/>
      <c r="QYB264" s="95"/>
      <c r="QYC264" s="95"/>
      <c r="QYD264" s="95"/>
      <c r="QYE264" s="95"/>
      <c r="QYF264" s="95"/>
      <c r="QYG264" s="95"/>
      <c r="QYH264" s="95"/>
      <c r="QYI264" s="95"/>
      <c r="QYJ264" s="95"/>
      <c r="QYK264" s="95"/>
      <c r="QYL264" s="95"/>
      <c r="QYM264" s="95"/>
      <c r="QYN264" s="95"/>
      <c r="QYO264" s="95"/>
      <c r="QYP264" s="95"/>
      <c r="QYQ264" s="95"/>
      <c r="QYR264" s="95"/>
      <c r="QYS264" s="95"/>
      <c r="QYT264" s="95"/>
      <c r="QYU264" s="95"/>
      <c r="QYV264" s="95"/>
      <c r="QYW264" s="95"/>
      <c r="QYX264" s="95"/>
      <c r="QYY264" s="95"/>
      <c r="QYZ264" s="95"/>
      <c r="QZA264" s="95"/>
      <c r="QZB264" s="95"/>
      <c r="QZC264" s="95"/>
      <c r="QZD264" s="95"/>
      <c r="QZE264" s="95"/>
      <c r="QZF264" s="95"/>
      <c r="QZG264" s="95"/>
      <c r="QZH264" s="95"/>
      <c r="QZI264" s="95"/>
      <c r="QZJ264" s="95"/>
      <c r="QZK264" s="95"/>
      <c r="QZL264" s="95"/>
      <c r="QZM264" s="95"/>
      <c r="QZN264" s="95"/>
      <c r="QZO264" s="95"/>
      <c r="QZP264" s="95"/>
      <c r="QZQ264" s="95"/>
      <c r="QZR264" s="95"/>
      <c r="QZS264" s="95"/>
      <c r="QZT264" s="95"/>
      <c r="QZU264" s="95"/>
      <c r="QZV264" s="95"/>
      <c r="QZW264" s="95"/>
      <c r="QZX264" s="95"/>
      <c r="QZY264" s="95"/>
      <c r="QZZ264" s="95"/>
      <c r="RAA264" s="95"/>
      <c r="RAB264" s="95"/>
      <c r="RAC264" s="95"/>
      <c r="RAD264" s="95"/>
      <c r="RAE264" s="95"/>
      <c r="RAF264" s="95"/>
      <c r="RAG264" s="95"/>
      <c r="RAH264" s="95"/>
      <c r="RAI264" s="95"/>
      <c r="RAJ264" s="95"/>
      <c r="RAK264" s="95"/>
      <c r="RAL264" s="95"/>
      <c r="RAM264" s="95"/>
      <c r="RAN264" s="95"/>
      <c r="RAO264" s="95"/>
      <c r="RAP264" s="95"/>
      <c r="RAQ264" s="95"/>
      <c r="RAR264" s="95"/>
      <c r="RAS264" s="95"/>
      <c r="RAT264" s="95"/>
      <c r="RAU264" s="95"/>
      <c r="RAV264" s="95"/>
      <c r="RAW264" s="95"/>
      <c r="RAX264" s="95"/>
      <c r="RAY264" s="95"/>
      <c r="RAZ264" s="95"/>
      <c r="RBA264" s="95"/>
      <c r="RBB264" s="95"/>
      <c r="RBC264" s="95"/>
      <c r="RBD264" s="95"/>
      <c r="RBE264" s="95"/>
      <c r="RBF264" s="95"/>
      <c r="RBG264" s="95"/>
      <c r="RBH264" s="95"/>
      <c r="RBI264" s="95"/>
      <c r="RBJ264" s="95"/>
      <c r="RBK264" s="95"/>
      <c r="RBL264" s="95"/>
      <c r="RBM264" s="95"/>
      <c r="RBN264" s="95"/>
      <c r="RBO264" s="95"/>
      <c r="RBP264" s="95"/>
      <c r="RBQ264" s="95"/>
      <c r="RBR264" s="95"/>
      <c r="RBS264" s="95"/>
      <c r="RBT264" s="95"/>
      <c r="RBU264" s="95"/>
      <c r="RBV264" s="95"/>
      <c r="RBW264" s="95"/>
      <c r="RBX264" s="95"/>
      <c r="RBY264" s="95"/>
      <c r="RBZ264" s="95"/>
      <c r="RCA264" s="95"/>
      <c r="RCB264" s="95"/>
      <c r="RCC264" s="95"/>
      <c r="RCD264" s="95"/>
      <c r="RCE264" s="95"/>
      <c r="RCF264" s="95"/>
      <c r="RCG264" s="95"/>
      <c r="RCH264" s="95"/>
      <c r="RCI264" s="95"/>
      <c r="RCJ264" s="95"/>
      <c r="RCK264" s="95"/>
      <c r="RCL264" s="95"/>
      <c r="RCM264" s="95"/>
      <c r="RCN264" s="95"/>
      <c r="RCO264" s="95"/>
      <c r="RCP264" s="95"/>
      <c r="RCQ264" s="95"/>
      <c r="RCR264" s="95"/>
      <c r="RCS264" s="95"/>
      <c r="RCT264" s="95"/>
      <c r="RCU264" s="95"/>
      <c r="RCV264" s="95"/>
      <c r="RCW264" s="95"/>
      <c r="RCX264" s="95"/>
      <c r="RCY264" s="95"/>
      <c r="RCZ264" s="95"/>
      <c r="RDA264" s="95"/>
      <c r="RDB264" s="95"/>
      <c r="RDC264" s="95"/>
      <c r="RDD264" s="95"/>
      <c r="RDE264" s="95"/>
      <c r="RDF264" s="95"/>
      <c r="RDG264" s="95"/>
      <c r="RDH264" s="95"/>
      <c r="RDI264" s="95"/>
      <c r="RDJ264" s="95"/>
      <c r="RDK264" s="95"/>
      <c r="RDL264" s="95"/>
      <c r="RDM264" s="95"/>
      <c r="RDN264" s="95"/>
      <c r="RDO264" s="95"/>
      <c r="RDP264" s="95"/>
      <c r="RDQ264" s="95"/>
      <c r="RDR264" s="95"/>
      <c r="RDS264" s="95"/>
      <c r="RDT264" s="95"/>
      <c r="RDU264" s="95"/>
      <c r="RDV264" s="95"/>
      <c r="RDW264" s="95"/>
      <c r="RDX264" s="95"/>
      <c r="RDY264" s="95"/>
      <c r="RDZ264" s="95"/>
      <c r="REA264" s="95"/>
      <c r="REB264" s="95"/>
      <c r="REC264" s="95"/>
      <c r="RED264" s="95"/>
      <c r="REE264" s="95"/>
      <c r="REF264" s="95"/>
      <c r="REG264" s="95"/>
      <c r="REH264" s="95"/>
      <c r="REI264" s="95"/>
      <c r="REJ264" s="95"/>
      <c r="REK264" s="95"/>
      <c r="REL264" s="95"/>
      <c r="REM264" s="95"/>
      <c r="REN264" s="95"/>
      <c r="REO264" s="95"/>
      <c r="REP264" s="95"/>
      <c r="REQ264" s="95"/>
      <c r="RER264" s="95"/>
      <c r="RES264" s="95"/>
      <c r="RET264" s="95"/>
      <c r="REU264" s="95"/>
      <c r="REV264" s="95"/>
      <c r="REW264" s="95"/>
      <c r="REX264" s="95"/>
      <c r="REY264" s="95"/>
      <c r="REZ264" s="95"/>
      <c r="RFA264" s="95"/>
      <c r="RFB264" s="95"/>
      <c r="RFC264" s="95"/>
      <c r="RFD264" s="95"/>
      <c r="RFE264" s="95"/>
      <c r="RFF264" s="95"/>
      <c r="RFG264" s="95"/>
      <c r="RFH264" s="95"/>
      <c r="RFI264" s="95"/>
      <c r="RFJ264" s="95"/>
      <c r="RFK264" s="95"/>
      <c r="RFL264" s="95"/>
      <c r="RFM264" s="95"/>
      <c r="RFN264" s="95"/>
      <c r="RFO264" s="95"/>
      <c r="RFP264" s="95"/>
      <c r="RFQ264" s="95"/>
      <c r="RFR264" s="95"/>
      <c r="RFS264" s="95"/>
      <c r="RFT264" s="95"/>
      <c r="RFU264" s="95"/>
      <c r="RFV264" s="95"/>
      <c r="RFW264" s="95"/>
      <c r="RFX264" s="95"/>
      <c r="RFY264" s="95"/>
      <c r="RFZ264" s="95"/>
      <c r="RGA264" s="95"/>
      <c r="RGB264" s="95"/>
      <c r="RGC264" s="95"/>
      <c r="RGD264" s="95"/>
      <c r="RGE264" s="95"/>
      <c r="RGF264" s="95"/>
      <c r="RGG264" s="95"/>
      <c r="RGH264" s="95"/>
      <c r="RGI264" s="95"/>
      <c r="RGJ264" s="95"/>
      <c r="RGK264" s="95"/>
      <c r="RGL264" s="95"/>
      <c r="RGM264" s="95"/>
      <c r="RGN264" s="95"/>
      <c r="RGO264" s="95"/>
      <c r="RGP264" s="95"/>
      <c r="RGQ264" s="95"/>
      <c r="RGR264" s="95"/>
      <c r="RGS264" s="95"/>
      <c r="RGT264" s="95"/>
      <c r="RGU264" s="95"/>
      <c r="RGV264" s="95"/>
      <c r="RGW264" s="95"/>
      <c r="RGX264" s="95"/>
      <c r="RGY264" s="95"/>
      <c r="RGZ264" s="95"/>
      <c r="RHA264" s="95"/>
      <c r="RHB264" s="95"/>
      <c r="RHC264" s="95"/>
      <c r="RHD264" s="95"/>
      <c r="RHE264" s="95"/>
      <c r="RHF264" s="95"/>
      <c r="RHG264" s="95"/>
      <c r="RHH264" s="95"/>
      <c r="RHI264" s="95"/>
      <c r="RHJ264" s="95"/>
      <c r="RHK264" s="95"/>
      <c r="RHL264" s="95"/>
      <c r="RHM264" s="95"/>
      <c r="RHN264" s="95"/>
      <c r="RHO264" s="95"/>
      <c r="RHP264" s="95"/>
      <c r="RHQ264" s="95"/>
      <c r="RHR264" s="95"/>
      <c r="RHS264" s="95"/>
      <c r="RHT264" s="95"/>
      <c r="RHU264" s="95"/>
      <c r="RHV264" s="95"/>
      <c r="RHW264" s="95"/>
      <c r="RHX264" s="95"/>
      <c r="RHY264" s="95"/>
      <c r="RHZ264" s="95"/>
      <c r="RIA264" s="95"/>
      <c r="RIB264" s="95"/>
      <c r="RIC264" s="95"/>
      <c r="RID264" s="95"/>
      <c r="RIE264" s="95"/>
      <c r="RIF264" s="95"/>
      <c r="RIG264" s="95"/>
      <c r="RIH264" s="95"/>
      <c r="RII264" s="95"/>
      <c r="RIJ264" s="95"/>
      <c r="RIK264" s="95"/>
      <c r="RIL264" s="95"/>
      <c r="RIM264" s="95"/>
      <c r="RIN264" s="95"/>
      <c r="RIO264" s="95"/>
      <c r="RIP264" s="95"/>
      <c r="RIQ264" s="95"/>
      <c r="RIR264" s="95"/>
      <c r="RIS264" s="95"/>
      <c r="RIT264" s="95"/>
      <c r="RIU264" s="95"/>
      <c r="RIV264" s="95"/>
      <c r="RIW264" s="95"/>
      <c r="RIX264" s="95"/>
      <c r="RIY264" s="95"/>
      <c r="RIZ264" s="95"/>
      <c r="RJA264" s="95"/>
      <c r="RJB264" s="95"/>
      <c r="RJC264" s="95"/>
      <c r="RJD264" s="95"/>
      <c r="RJE264" s="95"/>
      <c r="RJF264" s="95"/>
      <c r="RJG264" s="95"/>
      <c r="RJH264" s="95"/>
      <c r="RJI264" s="95"/>
      <c r="RJJ264" s="95"/>
      <c r="RJK264" s="95"/>
      <c r="RJL264" s="95"/>
      <c r="RJM264" s="95"/>
      <c r="RJN264" s="95"/>
      <c r="RJO264" s="95"/>
      <c r="RJP264" s="95"/>
      <c r="RJQ264" s="95"/>
      <c r="RJR264" s="95"/>
      <c r="RJS264" s="95"/>
      <c r="RJT264" s="95"/>
      <c r="RJU264" s="95"/>
      <c r="RJV264" s="95"/>
      <c r="RJW264" s="95"/>
      <c r="RJX264" s="95"/>
      <c r="RJY264" s="95"/>
      <c r="RJZ264" s="95"/>
      <c r="RKA264" s="95"/>
      <c r="RKB264" s="95"/>
      <c r="RKC264" s="95"/>
      <c r="RKD264" s="95"/>
      <c r="RKE264" s="95"/>
      <c r="RKF264" s="95"/>
      <c r="RKG264" s="95"/>
      <c r="RKH264" s="95"/>
      <c r="RKI264" s="95"/>
      <c r="RKJ264" s="95"/>
      <c r="RKK264" s="95"/>
      <c r="RKL264" s="95"/>
      <c r="RKM264" s="95"/>
      <c r="RKN264" s="95"/>
      <c r="RKO264" s="95"/>
      <c r="RKP264" s="95"/>
      <c r="RKQ264" s="95"/>
      <c r="RKR264" s="95"/>
      <c r="RKS264" s="95"/>
      <c r="RKT264" s="95"/>
      <c r="RKU264" s="95"/>
      <c r="RKV264" s="95"/>
      <c r="RKW264" s="95"/>
      <c r="RKX264" s="95"/>
      <c r="RKY264" s="95"/>
      <c r="RKZ264" s="95"/>
      <c r="RLA264" s="95"/>
      <c r="RLB264" s="95"/>
      <c r="RLC264" s="95"/>
      <c r="RLD264" s="95"/>
      <c r="RLE264" s="95"/>
      <c r="RLF264" s="95"/>
      <c r="RLG264" s="95"/>
      <c r="RLH264" s="95"/>
      <c r="RLI264" s="95"/>
      <c r="RLJ264" s="95"/>
      <c r="RLK264" s="95"/>
      <c r="RLL264" s="95"/>
      <c r="RLM264" s="95"/>
      <c r="RLN264" s="95"/>
      <c r="RLO264" s="95"/>
      <c r="RLP264" s="95"/>
      <c r="RLQ264" s="95"/>
      <c r="RLR264" s="95"/>
      <c r="RLS264" s="95"/>
      <c r="RLT264" s="95"/>
      <c r="RLU264" s="95"/>
      <c r="RLV264" s="95"/>
      <c r="RLW264" s="95"/>
      <c r="RLX264" s="95"/>
      <c r="RLY264" s="95"/>
      <c r="RLZ264" s="95"/>
      <c r="RMA264" s="95"/>
      <c r="RMB264" s="95"/>
      <c r="RMC264" s="95"/>
      <c r="RMD264" s="95"/>
      <c r="RME264" s="95"/>
      <c r="RMF264" s="95"/>
      <c r="RMG264" s="95"/>
      <c r="RMH264" s="95"/>
      <c r="RMI264" s="95"/>
      <c r="RMJ264" s="95"/>
      <c r="RMK264" s="95"/>
      <c r="RML264" s="95"/>
      <c r="RMM264" s="95"/>
      <c r="RMN264" s="95"/>
      <c r="RMO264" s="95"/>
      <c r="RMP264" s="95"/>
      <c r="RMQ264" s="95"/>
      <c r="RMR264" s="95"/>
      <c r="RMS264" s="95"/>
      <c r="RMT264" s="95"/>
      <c r="RMU264" s="95"/>
      <c r="RMV264" s="95"/>
      <c r="RMW264" s="95"/>
      <c r="RMX264" s="95"/>
      <c r="RMY264" s="95"/>
      <c r="RMZ264" s="95"/>
      <c r="RNA264" s="95"/>
      <c r="RNB264" s="95"/>
      <c r="RNC264" s="95"/>
      <c r="RND264" s="95"/>
      <c r="RNE264" s="95"/>
      <c r="RNF264" s="95"/>
      <c r="RNG264" s="95"/>
      <c r="RNH264" s="95"/>
      <c r="RNI264" s="95"/>
      <c r="RNJ264" s="95"/>
      <c r="RNK264" s="95"/>
      <c r="RNL264" s="95"/>
      <c r="RNM264" s="95"/>
      <c r="RNN264" s="95"/>
      <c r="RNO264" s="95"/>
      <c r="RNP264" s="95"/>
      <c r="RNQ264" s="95"/>
      <c r="RNR264" s="95"/>
      <c r="RNS264" s="95"/>
      <c r="RNT264" s="95"/>
      <c r="RNU264" s="95"/>
      <c r="RNV264" s="95"/>
      <c r="RNW264" s="95"/>
      <c r="RNX264" s="95"/>
      <c r="RNY264" s="95"/>
      <c r="RNZ264" s="95"/>
      <c r="ROA264" s="95"/>
      <c r="ROB264" s="95"/>
      <c r="ROC264" s="95"/>
      <c r="ROD264" s="95"/>
      <c r="ROE264" s="95"/>
      <c r="ROF264" s="95"/>
      <c r="ROG264" s="95"/>
      <c r="ROH264" s="95"/>
      <c r="ROI264" s="95"/>
      <c r="ROJ264" s="95"/>
      <c r="ROK264" s="95"/>
      <c r="ROL264" s="95"/>
      <c r="ROM264" s="95"/>
      <c r="RON264" s="95"/>
      <c r="ROO264" s="95"/>
      <c r="ROP264" s="95"/>
      <c r="ROQ264" s="95"/>
      <c r="ROR264" s="95"/>
      <c r="ROS264" s="95"/>
      <c r="ROT264" s="95"/>
      <c r="ROU264" s="95"/>
      <c r="ROV264" s="95"/>
      <c r="ROW264" s="95"/>
      <c r="ROX264" s="95"/>
      <c r="ROY264" s="95"/>
      <c r="ROZ264" s="95"/>
      <c r="RPA264" s="95"/>
      <c r="RPB264" s="95"/>
      <c r="RPC264" s="95"/>
      <c r="RPD264" s="95"/>
      <c r="RPE264" s="95"/>
      <c r="RPF264" s="95"/>
      <c r="RPG264" s="95"/>
      <c r="RPH264" s="95"/>
      <c r="RPI264" s="95"/>
      <c r="RPJ264" s="95"/>
      <c r="RPK264" s="95"/>
      <c r="RPL264" s="95"/>
      <c r="RPM264" s="95"/>
      <c r="RPN264" s="95"/>
      <c r="RPO264" s="95"/>
      <c r="RPP264" s="95"/>
      <c r="RPQ264" s="95"/>
      <c r="RPR264" s="95"/>
      <c r="RPS264" s="95"/>
      <c r="RPT264" s="95"/>
      <c r="RPU264" s="95"/>
      <c r="RPV264" s="95"/>
      <c r="RPW264" s="95"/>
      <c r="RPX264" s="95"/>
      <c r="RPY264" s="95"/>
      <c r="RPZ264" s="95"/>
      <c r="RQA264" s="95"/>
      <c r="RQB264" s="95"/>
      <c r="RQC264" s="95"/>
      <c r="RQD264" s="95"/>
      <c r="RQE264" s="95"/>
      <c r="RQF264" s="95"/>
      <c r="RQG264" s="95"/>
      <c r="RQH264" s="95"/>
      <c r="RQI264" s="95"/>
      <c r="RQJ264" s="95"/>
      <c r="RQK264" s="95"/>
      <c r="RQL264" s="95"/>
      <c r="RQM264" s="95"/>
      <c r="RQN264" s="95"/>
      <c r="RQO264" s="95"/>
      <c r="RQP264" s="95"/>
      <c r="RQQ264" s="95"/>
      <c r="RQR264" s="95"/>
      <c r="RQS264" s="95"/>
      <c r="RQT264" s="95"/>
      <c r="RQU264" s="95"/>
      <c r="RQV264" s="95"/>
      <c r="RQW264" s="95"/>
      <c r="RQX264" s="95"/>
      <c r="RQY264" s="95"/>
      <c r="RQZ264" s="95"/>
      <c r="RRA264" s="95"/>
      <c r="RRB264" s="95"/>
      <c r="RRC264" s="95"/>
      <c r="RRD264" s="95"/>
      <c r="RRE264" s="95"/>
      <c r="RRF264" s="95"/>
      <c r="RRG264" s="95"/>
      <c r="RRH264" s="95"/>
      <c r="RRI264" s="95"/>
      <c r="RRJ264" s="95"/>
      <c r="RRK264" s="95"/>
      <c r="RRL264" s="95"/>
      <c r="RRM264" s="95"/>
      <c r="RRN264" s="95"/>
      <c r="RRO264" s="95"/>
      <c r="RRP264" s="95"/>
      <c r="RRQ264" s="95"/>
      <c r="RRR264" s="95"/>
      <c r="RRS264" s="95"/>
      <c r="RRT264" s="95"/>
      <c r="RRU264" s="95"/>
      <c r="RRV264" s="95"/>
      <c r="RRW264" s="95"/>
      <c r="RRX264" s="95"/>
      <c r="RRY264" s="95"/>
      <c r="RRZ264" s="95"/>
      <c r="RSA264" s="95"/>
      <c r="RSB264" s="95"/>
      <c r="RSC264" s="95"/>
      <c r="RSD264" s="95"/>
      <c r="RSE264" s="95"/>
      <c r="RSF264" s="95"/>
      <c r="RSG264" s="95"/>
      <c r="RSH264" s="95"/>
      <c r="RSI264" s="95"/>
      <c r="RSJ264" s="95"/>
      <c r="RSK264" s="95"/>
      <c r="RSL264" s="95"/>
      <c r="RSM264" s="95"/>
      <c r="RSN264" s="95"/>
      <c r="RSO264" s="95"/>
      <c r="RSP264" s="95"/>
      <c r="RSQ264" s="95"/>
      <c r="RSR264" s="95"/>
      <c r="RSS264" s="95"/>
      <c r="RST264" s="95"/>
      <c r="RSU264" s="95"/>
      <c r="RSV264" s="95"/>
      <c r="RSW264" s="95"/>
      <c r="RSX264" s="95"/>
      <c r="RSY264" s="95"/>
      <c r="RSZ264" s="95"/>
      <c r="RTA264" s="95"/>
      <c r="RTB264" s="95"/>
      <c r="RTC264" s="95"/>
      <c r="RTD264" s="95"/>
      <c r="RTE264" s="95"/>
      <c r="RTF264" s="95"/>
      <c r="RTG264" s="95"/>
      <c r="RTH264" s="95"/>
      <c r="RTI264" s="95"/>
      <c r="RTJ264" s="95"/>
      <c r="RTK264" s="95"/>
      <c r="RTL264" s="95"/>
      <c r="RTM264" s="95"/>
      <c r="RTN264" s="95"/>
      <c r="RTO264" s="95"/>
      <c r="RTP264" s="95"/>
      <c r="RTQ264" s="95"/>
      <c r="RTR264" s="95"/>
      <c r="RTS264" s="95"/>
      <c r="RTT264" s="95"/>
      <c r="RTU264" s="95"/>
      <c r="RTV264" s="95"/>
      <c r="RTW264" s="95"/>
      <c r="RTX264" s="95"/>
      <c r="RTY264" s="95"/>
      <c r="RTZ264" s="95"/>
      <c r="RUA264" s="95"/>
      <c r="RUB264" s="95"/>
      <c r="RUC264" s="95"/>
      <c r="RUD264" s="95"/>
      <c r="RUE264" s="95"/>
      <c r="RUF264" s="95"/>
      <c r="RUG264" s="95"/>
      <c r="RUH264" s="95"/>
      <c r="RUI264" s="95"/>
      <c r="RUJ264" s="95"/>
      <c r="RUK264" s="95"/>
      <c r="RUL264" s="95"/>
      <c r="RUM264" s="95"/>
      <c r="RUN264" s="95"/>
      <c r="RUO264" s="95"/>
      <c r="RUP264" s="95"/>
      <c r="RUQ264" s="95"/>
      <c r="RUR264" s="95"/>
      <c r="RUS264" s="95"/>
      <c r="RUT264" s="95"/>
      <c r="RUU264" s="95"/>
      <c r="RUV264" s="95"/>
      <c r="RUW264" s="95"/>
      <c r="RUX264" s="95"/>
      <c r="RUY264" s="95"/>
      <c r="RUZ264" s="95"/>
      <c r="RVA264" s="95"/>
      <c r="RVB264" s="95"/>
      <c r="RVC264" s="95"/>
      <c r="RVD264" s="95"/>
      <c r="RVE264" s="95"/>
      <c r="RVF264" s="95"/>
      <c r="RVG264" s="95"/>
      <c r="RVH264" s="95"/>
      <c r="RVI264" s="95"/>
      <c r="RVJ264" s="95"/>
      <c r="RVK264" s="95"/>
      <c r="RVL264" s="95"/>
      <c r="RVM264" s="95"/>
      <c r="RVN264" s="95"/>
      <c r="RVO264" s="95"/>
      <c r="RVP264" s="95"/>
      <c r="RVQ264" s="95"/>
      <c r="RVR264" s="95"/>
      <c r="RVS264" s="95"/>
      <c r="RVT264" s="95"/>
      <c r="RVU264" s="95"/>
      <c r="RVV264" s="95"/>
      <c r="RVW264" s="95"/>
      <c r="RVX264" s="95"/>
      <c r="RVY264" s="95"/>
      <c r="RVZ264" s="95"/>
      <c r="RWA264" s="95"/>
      <c r="RWB264" s="95"/>
      <c r="RWC264" s="95"/>
      <c r="RWD264" s="95"/>
      <c r="RWE264" s="95"/>
      <c r="RWF264" s="95"/>
      <c r="RWG264" s="95"/>
      <c r="RWH264" s="95"/>
      <c r="RWI264" s="95"/>
      <c r="RWJ264" s="95"/>
      <c r="RWK264" s="95"/>
      <c r="RWL264" s="95"/>
      <c r="RWM264" s="95"/>
      <c r="RWN264" s="95"/>
      <c r="RWO264" s="95"/>
      <c r="RWP264" s="95"/>
      <c r="RWQ264" s="95"/>
      <c r="RWR264" s="95"/>
      <c r="RWS264" s="95"/>
      <c r="RWT264" s="95"/>
      <c r="RWU264" s="95"/>
      <c r="RWV264" s="95"/>
      <c r="RWW264" s="95"/>
      <c r="RWX264" s="95"/>
      <c r="RWY264" s="95"/>
      <c r="RWZ264" s="95"/>
      <c r="RXA264" s="95"/>
      <c r="RXB264" s="95"/>
      <c r="RXC264" s="95"/>
      <c r="RXD264" s="95"/>
      <c r="RXE264" s="95"/>
      <c r="RXF264" s="95"/>
      <c r="RXG264" s="95"/>
      <c r="RXH264" s="95"/>
      <c r="RXI264" s="95"/>
      <c r="RXJ264" s="95"/>
      <c r="RXK264" s="95"/>
      <c r="RXL264" s="95"/>
      <c r="RXM264" s="95"/>
      <c r="RXN264" s="95"/>
      <c r="RXO264" s="95"/>
      <c r="RXP264" s="95"/>
      <c r="RXQ264" s="95"/>
      <c r="RXR264" s="95"/>
      <c r="RXS264" s="95"/>
      <c r="RXT264" s="95"/>
      <c r="RXU264" s="95"/>
      <c r="RXV264" s="95"/>
      <c r="RXW264" s="95"/>
      <c r="RXX264" s="95"/>
      <c r="RXY264" s="95"/>
      <c r="RXZ264" s="95"/>
      <c r="RYA264" s="95"/>
      <c r="RYB264" s="95"/>
      <c r="RYC264" s="95"/>
      <c r="RYD264" s="95"/>
      <c r="RYE264" s="95"/>
      <c r="RYF264" s="95"/>
      <c r="RYG264" s="95"/>
      <c r="RYH264" s="95"/>
      <c r="RYI264" s="95"/>
      <c r="RYJ264" s="95"/>
      <c r="RYK264" s="95"/>
      <c r="RYL264" s="95"/>
      <c r="RYM264" s="95"/>
      <c r="RYN264" s="95"/>
      <c r="RYO264" s="95"/>
      <c r="RYP264" s="95"/>
      <c r="RYQ264" s="95"/>
      <c r="RYR264" s="95"/>
      <c r="RYS264" s="95"/>
      <c r="RYT264" s="95"/>
      <c r="RYU264" s="95"/>
      <c r="RYV264" s="95"/>
      <c r="RYW264" s="95"/>
      <c r="RYX264" s="95"/>
      <c r="RYY264" s="95"/>
      <c r="RYZ264" s="95"/>
      <c r="RZA264" s="95"/>
      <c r="RZB264" s="95"/>
      <c r="RZC264" s="95"/>
      <c r="RZD264" s="95"/>
      <c r="RZE264" s="95"/>
      <c r="RZF264" s="95"/>
      <c r="RZG264" s="95"/>
      <c r="RZH264" s="95"/>
      <c r="RZI264" s="95"/>
      <c r="RZJ264" s="95"/>
      <c r="RZK264" s="95"/>
      <c r="RZL264" s="95"/>
      <c r="RZM264" s="95"/>
      <c r="RZN264" s="95"/>
      <c r="RZO264" s="95"/>
      <c r="RZP264" s="95"/>
      <c r="RZQ264" s="95"/>
      <c r="RZR264" s="95"/>
      <c r="RZS264" s="95"/>
      <c r="RZT264" s="95"/>
      <c r="RZU264" s="95"/>
      <c r="RZV264" s="95"/>
      <c r="RZW264" s="95"/>
      <c r="RZX264" s="95"/>
      <c r="RZY264" s="95"/>
      <c r="RZZ264" s="95"/>
      <c r="SAA264" s="95"/>
      <c r="SAB264" s="95"/>
      <c r="SAC264" s="95"/>
      <c r="SAD264" s="95"/>
      <c r="SAE264" s="95"/>
      <c r="SAF264" s="95"/>
      <c r="SAG264" s="95"/>
      <c r="SAH264" s="95"/>
      <c r="SAI264" s="95"/>
      <c r="SAJ264" s="95"/>
      <c r="SAK264" s="95"/>
      <c r="SAL264" s="95"/>
      <c r="SAM264" s="95"/>
      <c r="SAN264" s="95"/>
      <c r="SAO264" s="95"/>
      <c r="SAP264" s="95"/>
      <c r="SAQ264" s="95"/>
      <c r="SAR264" s="95"/>
      <c r="SAS264" s="95"/>
      <c r="SAT264" s="95"/>
      <c r="SAU264" s="95"/>
      <c r="SAV264" s="95"/>
      <c r="SAW264" s="95"/>
      <c r="SAX264" s="95"/>
      <c r="SAY264" s="95"/>
      <c r="SAZ264" s="95"/>
      <c r="SBA264" s="95"/>
      <c r="SBB264" s="95"/>
      <c r="SBC264" s="95"/>
      <c r="SBD264" s="95"/>
      <c r="SBE264" s="95"/>
      <c r="SBF264" s="95"/>
      <c r="SBG264" s="95"/>
      <c r="SBH264" s="95"/>
      <c r="SBI264" s="95"/>
      <c r="SBJ264" s="95"/>
      <c r="SBK264" s="95"/>
      <c r="SBL264" s="95"/>
      <c r="SBM264" s="95"/>
      <c r="SBN264" s="95"/>
      <c r="SBO264" s="95"/>
      <c r="SBP264" s="95"/>
      <c r="SBQ264" s="95"/>
      <c r="SBR264" s="95"/>
      <c r="SBS264" s="95"/>
      <c r="SBT264" s="95"/>
      <c r="SBU264" s="95"/>
      <c r="SBV264" s="95"/>
      <c r="SBW264" s="95"/>
      <c r="SBX264" s="95"/>
      <c r="SBY264" s="95"/>
      <c r="SBZ264" s="95"/>
      <c r="SCA264" s="95"/>
      <c r="SCB264" s="95"/>
      <c r="SCC264" s="95"/>
      <c r="SCD264" s="95"/>
      <c r="SCE264" s="95"/>
      <c r="SCF264" s="95"/>
      <c r="SCG264" s="95"/>
      <c r="SCH264" s="95"/>
      <c r="SCI264" s="95"/>
      <c r="SCJ264" s="95"/>
      <c r="SCK264" s="95"/>
      <c r="SCL264" s="95"/>
      <c r="SCM264" s="95"/>
      <c r="SCN264" s="95"/>
      <c r="SCO264" s="95"/>
      <c r="SCP264" s="95"/>
      <c r="SCQ264" s="95"/>
      <c r="SCR264" s="95"/>
      <c r="SCS264" s="95"/>
      <c r="SCT264" s="95"/>
      <c r="SCU264" s="95"/>
      <c r="SCV264" s="95"/>
      <c r="SCW264" s="95"/>
      <c r="SCX264" s="95"/>
      <c r="SCY264" s="95"/>
      <c r="SCZ264" s="95"/>
      <c r="SDA264" s="95"/>
      <c r="SDB264" s="95"/>
      <c r="SDC264" s="95"/>
      <c r="SDD264" s="95"/>
      <c r="SDE264" s="95"/>
      <c r="SDF264" s="95"/>
      <c r="SDG264" s="95"/>
      <c r="SDH264" s="95"/>
      <c r="SDI264" s="95"/>
      <c r="SDJ264" s="95"/>
      <c r="SDK264" s="95"/>
      <c r="SDL264" s="95"/>
      <c r="SDM264" s="95"/>
      <c r="SDN264" s="95"/>
      <c r="SDO264" s="95"/>
      <c r="SDP264" s="95"/>
      <c r="SDQ264" s="95"/>
      <c r="SDR264" s="95"/>
      <c r="SDS264" s="95"/>
      <c r="SDT264" s="95"/>
      <c r="SDU264" s="95"/>
      <c r="SDV264" s="95"/>
      <c r="SDW264" s="95"/>
      <c r="SDX264" s="95"/>
      <c r="SDY264" s="95"/>
      <c r="SDZ264" s="95"/>
      <c r="SEA264" s="95"/>
      <c r="SEB264" s="95"/>
      <c r="SEC264" s="95"/>
      <c r="SED264" s="95"/>
      <c r="SEE264" s="95"/>
      <c r="SEF264" s="95"/>
      <c r="SEG264" s="95"/>
      <c r="SEH264" s="95"/>
      <c r="SEI264" s="95"/>
      <c r="SEJ264" s="95"/>
      <c r="SEK264" s="95"/>
      <c r="SEL264" s="95"/>
      <c r="SEM264" s="95"/>
      <c r="SEN264" s="95"/>
      <c r="SEO264" s="95"/>
      <c r="SEP264" s="95"/>
      <c r="SEQ264" s="95"/>
      <c r="SER264" s="95"/>
      <c r="SES264" s="95"/>
      <c r="SET264" s="95"/>
      <c r="SEU264" s="95"/>
      <c r="SEV264" s="95"/>
      <c r="SEW264" s="95"/>
      <c r="SEX264" s="95"/>
      <c r="SEY264" s="95"/>
      <c r="SEZ264" s="95"/>
      <c r="SFA264" s="95"/>
      <c r="SFB264" s="95"/>
      <c r="SFC264" s="95"/>
      <c r="SFD264" s="95"/>
      <c r="SFE264" s="95"/>
      <c r="SFF264" s="95"/>
      <c r="SFG264" s="95"/>
      <c r="SFH264" s="95"/>
      <c r="SFI264" s="95"/>
      <c r="SFJ264" s="95"/>
      <c r="SFK264" s="95"/>
      <c r="SFL264" s="95"/>
      <c r="SFM264" s="95"/>
      <c r="SFN264" s="95"/>
      <c r="SFO264" s="95"/>
      <c r="SFP264" s="95"/>
      <c r="SFQ264" s="95"/>
      <c r="SFR264" s="95"/>
      <c r="SFS264" s="95"/>
      <c r="SFT264" s="95"/>
      <c r="SFU264" s="95"/>
      <c r="SFV264" s="95"/>
      <c r="SFW264" s="95"/>
      <c r="SFX264" s="95"/>
      <c r="SFY264" s="95"/>
      <c r="SFZ264" s="95"/>
      <c r="SGA264" s="95"/>
      <c r="SGB264" s="95"/>
      <c r="SGC264" s="95"/>
      <c r="SGD264" s="95"/>
      <c r="SGE264" s="95"/>
      <c r="SGF264" s="95"/>
      <c r="SGG264" s="95"/>
      <c r="SGH264" s="95"/>
      <c r="SGI264" s="95"/>
      <c r="SGJ264" s="95"/>
      <c r="SGK264" s="95"/>
      <c r="SGL264" s="95"/>
      <c r="SGM264" s="95"/>
      <c r="SGN264" s="95"/>
      <c r="SGO264" s="95"/>
      <c r="SGP264" s="95"/>
      <c r="SGQ264" s="95"/>
      <c r="SGR264" s="95"/>
      <c r="SGS264" s="95"/>
      <c r="SGT264" s="95"/>
      <c r="SGU264" s="95"/>
      <c r="SGV264" s="95"/>
      <c r="SGW264" s="95"/>
      <c r="SGX264" s="95"/>
      <c r="SGY264" s="95"/>
      <c r="SGZ264" s="95"/>
      <c r="SHA264" s="95"/>
      <c r="SHB264" s="95"/>
      <c r="SHC264" s="95"/>
      <c r="SHD264" s="95"/>
      <c r="SHE264" s="95"/>
      <c r="SHF264" s="95"/>
      <c r="SHG264" s="95"/>
      <c r="SHH264" s="95"/>
      <c r="SHI264" s="95"/>
      <c r="SHJ264" s="95"/>
      <c r="SHK264" s="95"/>
      <c r="SHL264" s="95"/>
      <c r="SHM264" s="95"/>
      <c r="SHN264" s="95"/>
      <c r="SHO264" s="95"/>
      <c r="SHP264" s="95"/>
      <c r="SHQ264" s="95"/>
      <c r="SHR264" s="95"/>
      <c r="SHS264" s="95"/>
      <c r="SHT264" s="95"/>
      <c r="SHU264" s="95"/>
      <c r="SHV264" s="95"/>
      <c r="SHW264" s="95"/>
      <c r="SHX264" s="95"/>
      <c r="SHY264" s="95"/>
      <c r="SHZ264" s="95"/>
      <c r="SIA264" s="95"/>
      <c r="SIB264" s="95"/>
      <c r="SIC264" s="95"/>
      <c r="SID264" s="95"/>
      <c r="SIE264" s="95"/>
      <c r="SIF264" s="95"/>
      <c r="SIG264" s="95"/>
      <c r="SIH264" s="95"/>
      <c r="SII264" s="95"/>
      <c r="SIJ264" s="95"/>
      <c r="SIK264" s="95"/>
      <c r="SIL264" s="95"/>
      <c r="SIM264" s="95"/>
      <c r="SIN264" s="95"/>
      <c r="SIO264" s="95"/>
      <c r="SIP264" s="95"/>
      <c r="SIQ264" s="95"/>
      <c r="SIR264" s="95"/>
      <c r="SIS264" s="95"/>
      <c r="SIT264" s="95"/>
      <c r="SIU264" s="95"/>
      <c r="SIV264" s="95"/>
      <c r="SIW264" s="95"/>
      <c r="SIX264" s="95"/>
      <c r="SIY264" s="95"/>
      <c r="SIZ264" s="95"/>
      <c r="SJA264" s="95"/>
      <c r="SJB264" s="95"/>
      <c r="SJC264" s="95"/>
      <c r="SJD264" s="95"/>
      <c r="SJE264" s="95"/>
      <c r="SJF264" s="95"/>
      <c r="SJG264" s="95"/>
      <c r="SJH264" s="95"/>
      <c r="SJI264" s="95"/>
      <c r="SJJ264" s="95"/>
      <c r="SJK264" s="95"/>
      <c r="SJL264" s="95"/>
      <c r="SJM264" s="95"/>
      <c r="SJN264" s="95"/>
      <c r="SJO264" s="95"/>
      <c r="SJP264" s="95"/>
      <c r="SJQ264" s="95"/>
      <c r="SJR264" s="95"/>
      <c r="SJS264" s="95"/>
      <c r="SJT264" s="95"/>
      <c r="SJU264" s="95"/>
      <c r="SJV264" s="95"/>
      <c r="SJW264" s="95"/>
      <c r="SJX264" s="95"/>
      <c r="SJY264" s="95"/>
      <c r="SJZ264" s="95"/>
      <c r="SKA264" s="95"/>
      <c r="SKB264" s="95"/>
      <c r="SKC264" s="95"/>
      <c r="SKD264" s="95"/>
      <c r="SKE264" s="95"/>
      <c r="SKF264" s="95"/>
      <c r="SKG264" s="95"/>
      <c r="SKH264" s="95"/>
      <c r="SKI264" s="95"/>
      <c r="SKJ264" s="95"/>
      <c r="SKK264" s="95"/>
      <c r="SKL264" s="95"/>
      <c r="SKM264" s="95"/>
      <c r="SKN264" s="95"/>
      <c r="SKO264" s="95"/>
      <c r="SKP264" s="95"/>
      <c r="SKQ264" s="95"/>
      <c r="SKR264" s="95"/>
      <c r="SKS264" s="95"/>
      <c r="SKT264" s="95"/>
      <c r="SKU264" s="95"/>
      <c r="SKV264" s="95"/>
      <c r="SKW264" s="95"/>
      <c r="SKX264" s="95"/>
      <c r="SKY264" s="95"/>
      <c r="SKZ264" s="95"/>
      <c r="SLA264" s="95"/>
      <c r="SLB264" s="95"/>
      <c r="SLC264" s="95"/>
      <c r="SLD264" s="95"/>
      <c r="SLE264" s="95"/>
      <c r="SLF264" s="95"/>
      <c r="SLG264" s="95"/>
      <c r="SLH264" s="95"/>
      <c r="SLI264" s="95"/>
      <c r="SLJ264" s="95"/>
      <c r="SLK264" s="95"/>
      <c r="SLL264" s="95"/>
      <c r="SLM264" s="95"/>
      <c r="SLN264" s="95"/>
      <c r="SLO264" s="95"/>
      <c r="SLP264" s="95"/>
      <c r="SLQ264" s="95"/>
      <c r="SLR264" s="95"/>
      <c r="SLS264" s="95"/>
      <c r="SLT264" s="95"/>
      <c r="SLU264" s="95"/>
      <c r="SLV264" s="95"/>
      <c r="SLW264" s="95"/>
      <c r="SLX264" s="95"/>
      <c r="SLY264" s="95"/>
      <c r="SLZ264" s="95"/>
      <c r="SMA264" s="95"/>
      <c r="SMB264" s="95"/>
      <c r="SMC264" s="95"/>
      <c r="SMD264" s="95"/>
      <c r="SME264" s="95"/>
      <c r="SMF264" s="95"/>
      <c r="SMG264" s="95"/>
      <c r="SMH264" s="95"/>
      <c r="SMI264" s="95"/>
      <c r="SMJ264" s="95"/>
      <c r="SMK264" s="95"/>
      <c r="SML264" s="95"/>
      <c r="SMM264" s="95"/>
      <c r="SMN264" s="95"/>
      <c r="SMO264" s="95"/>
      <c r="SMP264" s="95"/>
      <c r="SMQ264" s="95"/>
      <c r="SMR264" s="95"/>
      <c r="SMS264" s="95"/>
      <c r="SMT264" s="95"/>
      <c r="SMU264" s="95"/>
      <c r="SMV264" s="95"/>
      <c r="SMW264" s="95"/>
      <c r="SMX264" s="95"/>
      <c r="SMY264" s="95"/>
      <c r="SMZ264" s="95"/>
      <c r="SNA264" s="95"/>
      <c r="SNB264" s="95"/>
      <c r="SNC264" s="95"/>
      <c r="SND264" s="95"/>
      <c r="SNE264" s="95"/>
      <c r="SNF264" s="95"/>
      <c r="SNG264" s="95"/>
      <c r="SNH264" s="95"/>
      <c r="SNI264" s="95"/>
      <c r="SNJ264" s="95"/>
      <c r="SNK264" s="95"/>
      <c r="SNL264" s="95"/>
      <c r="SNM264" s="95"/>
      <c r="SNN264" s="95"/>
      <c r="SNO264" s="95"/>
      <c r="SNP264" s="95"/>
      <c r="SNQ264" s="95"/>
      <c r="SNR264" s="95"/>
      <c r="SNS264" s="95"/>
      <c r="SNT264" s="95"/>
      <c r="SNU264" s="95"/>
      <c r="SNV264" s="95"/>
      <c r="SNW264" s="95"/>
      <c r="SNX264" s="95"/>
      <c r="SNY264" s="95"/>
      <c r="SNZ264" s="95"/>
      <c r="SOA264" s="95"/>
      <c r="SOB264" s="95"/>
      <c r="SOC264" s="95"/>
      <c r="SOD264" s="95"/>
      <c r="SOE264" s="95"/>
      <c r="SOF264" s="95"/>
      <c r="SOG264" s="95"/>
      <c r="SOH264" s="95"/>
      <c r="SOI264" s="95"/>
      <c r="SOJ264" s="95"/>
      <c r="SOK264" s="95"/>
      <c r="SOL264" s="95"/>
      <c r="SOM264" s="95"/>
      <c r="SON264" s="95"/>
      <c r="SOO264" s="95"/>
      <c r="SOP264" s="95"/>
      <c r="SOQ264" s="95"/>
      <c r="SOR264" s="95"/>
      <c r="SOS264" s="95"/>
      <c r="SOT264" s="95"/>
      <c r="SOU264" s="95"/>
      <c r="SOV264" s="95"/>
      <c r="SOW264" s="95"/>
      <c r="SOX264" s="95"/>
      <c r="SOY264" s="95"/>
      <c r="SOZ264" s="95"/>
      <c r="SPA264" s="95"/>
      <c r="SPB264" s="95"/>
      <c r="SPC264" s="95"/>
      <c r="SPD264" s="95"/>
      <c r="SPE264" s="95"/>
      <c r="SPF264" s="95"/>
      <c r="SPG264" s="95"/>
      <c r="SPH264" s="95"/>
      <c r="SPI264" s="95"/>
      <c r="SPJ264" s="95"/>
      <c r="SPK264" s="95"/>
      <c r="SPL264" s="95"/>
      <c r="SPM264" s="95"/>
      <c r="SPN264" s="95"/>
      <c r="SPO264" s="95"/>
      <c r="SPP264" s="95"/>
      <c r="SPQ264" s="95"/>
      <c r="SPR264" s="95"/>
      <c r="SPS264" s="95"/>
      <c r="SPT264" s="95"/>
      <c r="SPU264" s="95"/>
      <c r="SPV264" s="95"/>
      <c r="SPW264" s="95"/>
      <c r="SPX264" s="95"/>
      <c r="SPY264" s="95"/>
      <c r="SPZ264" s="95"/>
      <c r="SQA264" s="95"/>
      <c r="SQB264" s="95"/>
      <c r="SQC264" s="95"/>
      <c r="SQD264" s="95"/>
      <c r="SQE264" s="95"/>
      <c r="SQF264" s="95"/>
      <c r="SQG264" s="95"/>
      <c r="SQH264" s="95"/>
      <c r="SQI264" s="95"/>
      <c r="SQJ264" s="95"/>
      <c r="SQK264" s="95"/>
      <c r="SQL264" s="95"/>
      <c r="SQM264" s="95"/>
      <c r="SQN264" s="95"/>
      <c r="SQO264" s="95"/>
      <c r="SQP264" s="95"/>
      <c r="SQQ264" s="95"/>
      <c r="SQR264" s="95"/>
      <c r="SQS264" s="95"/>
      <c r="SQT264" s="95"/>
      <c r="SQU264" s="95"/>
      <c r="SQV264" s="95"/>
      <c r="SQW264" s="95"/>
      <c r="SQX264" s="95"/>
      <c r="SQY264" s="95"/>
      <c r="SQZ264" s="95"/>
      <c r="SRA264" s="95"/>
      <c r="SRB264" s="95"/>
      <c r="SRC264" s="95"/>
      <c r="SRD264" s="95"/>
      <c r="SRE264" s="95"/>
      <c r="SRF264" s="95"/>
      <c r="SRG264" s="95"/>
      <c r="SRH264" s="95"/>
      <c r="SRI264" s="95"/>
      <c r="SRJ264" s="95"/>
      <c r="SRK264" s="95"/>
      <c r="SRL264" s="95"/>
      <c r="SRM264" s="95"/>
      <c r="SRN264" s="95"/>
      <c r="SRO264" s="95"/>
      <c r="SRP264" s="95"/>
      <c r="SRQ264" s="95"/>
      <c r="SRR264" s="95"/>
      <c r="SRS264" s="95"/>
      <c r="SRT264" s="95"/>
      <c r="SRU264" s="95"/>
      <c r="SRV264" s="95"/>
      <c r="SRW264" s="95"/>
      <c r="SRX264" s="95"/>
      <c r="SRY264" s="95"/>
      <c r="SRZ264" s="95"/>
      <c r="SSA264" s="95"/>
      <c r="SSB264" s="95"/>
      <c r="SSC264" s="95"/>
      <c r="SSD264" s="95"/>
      <c r="SSE264" s="95"/>
      <c r="SSF264" s="95"/>
      <c r="SSG264" s="95"/>
      <c r="SSH264" s="95"/>
      <c r="SSI264" s="95"/>
      <c r="SSJ264" s="95"/>
      <c r="SSK264" s="95"/>
      <c r="SSL264" s="95"/>
      <c r="SSM264" s="95"/>
      <c r="SSN264" s="95"/>
      <c r="SSO264" s="95"/>
      <c r="SSP264" s="95"/>
      <c r="SSQ264" s="95"/>
      <c r="SSR264" s="95"/>
      <c r="SSS264" s="95"/>
      <c r="SST264" s="95"/>
      <c r="SSU264" s="95"/>
      <c r="SSV264" s="95"/>
      <c r="SSW264" s="95"/>
      <c r="SSX264" s="95"/>
      <c r="SSY264" s="95"/>
      <c r="SSZ264" s="95"/>
      <c r="STA264" s="95"/>
      <c r="STB264" s="95"/>
      <c r="STC264" s="95"/>
      <c r="STD264" s="95"/>
      <c r="STE264" s="95"/>
      <c r="STF264" s="95"/>
      <c r="STG264" s="95"/>
      <c r="STH264" s="95"/>
      <c r="STI264" s="95"/>
      <c r="STJ264" s="95"/>
      <c r="STK264" s="95"/>
      <c r="STL264" s="95"/>
      <c r="STM264" s="95"/>
      <c r="STN264" s="95"/>
      <c r="STO264" s="95"/>
      <c r="STP264" s="95"/>
      <c r="STQ264" s="95"/>
      <c r="STR264" s="95"/>
      <c r="STS264" s="95"/>
      <c r="STT264" s="95"/>
      <c r="STU264" s="95"/>
      <c r="STV264" s="95"/>
      <c r="STW264" s="95"/>
      <c r="STX264" s="95"/>
      <c r="STY264" s="95"/>
      <c r="STZ264" s="95"/>
      <c r="SUA264" s="95"/>
      <c r="SUB264" s="95"/>
      <c r="SUC264" s="95"/>
      <c r="SUD264" s="95"/>
      <c r="SUE264" s="95"/>
      <c r="SUF264" s="95"/>
      <c r="SUG264" s="95"/>
      <c r="SUH264" s="95"/>
      <c r="SUI264" s="95"/>
      <c r="SUJ264" s="95"/>
      <c r="SUK264" s="95"/>
      <c r="SUL264" s="95"/>
      <c r="SUM264" s="95"/>
      <c r="SUN264" s="95"/>
      <c r="SUO264" s="95"/>
      <c r="SUP264" s="95"/>
      <c r="SUQ264" s="95"/>
      <c r="SUR264" s="95"/>
      <c r="SUS264" s="95"/>
      <c r="SUT264" s="95"/>
      <c r="SUU264" s="95"/>
      <c r="SUV264" s="95"/>
      <c r="SUW264" s="95"/>
      <c r="SUX264" s="95"/>
      <c r="SUY264" s="95"/>
      <c r="SUZ264" s="95"/>
      <c r="SVA264" s="95"/>
      <c r="SVB264" s="95"/>
      <c r="SVC264" s="95"/>
      <c r="SVD264" s="95"/>
      <c r="SVE264" s="95"/>
      <c r="SVF264" s="95"/>
      <c r="SVG264" s="95"/>
      <c r="SVH264" s="95"/>
      <c r="SVI264" s="95"/>
      <c r="SVJ264" s="95"/>
      <c r="SVK264" s="95"/>
      <c r="SVL264" s="95"/>
      <c r="SVM264" s="95"/>
      <c r="SVN264" s="95"/>
      <c r="SVO264" s="95"/>
      <c r="SVP264" s="95"/>
      <c r="SVQ264" s="95"/>
      <c r="SVR264" s="95"/>
      <c r="SVS264" s="95"/>
      <c r="SVT264" s="95"/>
      <c r="SVU264" s="95"/>
      <c r="SVV264" s="95"/>
      <c r="SVW264" s="95"/>
      <c r="SVX264" s="95"/>
      <c r="SVY264" s="95"/>
      <c r="SVZ264" s="95"/>
      <c r="SWA264" s="95"/>
      <c r="SWB264" s="95"/>
      <c r="SWC264" s="95"/>
      <c r="SWD264" s="95"/>
      <c r="SWE264" s="95"/>
      <c r="SWF264" s="95"/>
      <c r="SWG264" s="95"/>
      <c r="SWH264" s="95"/>
      <c r="SWI264" s="95"/>
      <c r="SWJ264" s="95"/>
      <c r="SWK264" s="95"/>
      <c r="SWL264" s="95"/>
      <c r="SWM264" s="95"/>
      <c r="SWN264" s="95"/>
      <c r="SWO264" s="95"/>
      <c r="SWP264" s="95"/>
      <c r="SWQ264" s="95"/>
      <c r="SWR264" s="95"/>
      <c r="SWS264" s="95"/>
      <c r="SWT264" s="95"/>
      <c r="SWU264" s="95"/>
      <c r="SWV264" s="95"/>
      <c r="SWW264" s="95"/>
      <c r="SWX264" s="95"/>
      <c r="SWY264" s="95"/>
      <c r="SWZ264" s="95"/>
      <c r="SXA264" s="95"/>
      <c r="SXB264" s="95"/>
      <c r="SXC264" s="95"/>
      <c r="SXD264" s="95"/>
      <c r="SXE264" s="95"/>
      <c r="SXF264" s="95"/>
      <c r="SXG264" s="95"/>
      <c r="SXH264" s="95"/>
      <c r="SXI264" s="95"/>
      <c r="SXJ264" s="95"/>
      <c r="SXK264" s="95"/>
      <c r="SXL264" s="95"/>
      <c r="SXM264" s="95"/>
      <c r="SXN264" s="95"/>
      <c r="SXO264" s="95"/>
      <c r="SXP264" s="95"/>
      <c r="SXQ264" s="95"/>
      <c r="SXR264" s="95"/>
      <c r="SXS264" s="95"/>
      <c r="SXT264" s="95"/>
      <c r="SXU264" s="95"/>
      <c r="SXV264" s="95"/>
      <c r="SXW264" s="95"/>
      <c r="SXX264" s="95"/>
      <c r="SXY264" s="95"/>
      <c r="SXZ264" s="95"/>
      <c r="SYA264" s="95"/>
      <c r="SYB264" s="95"/>
      <c r="SYC264" s="95"/>
      <c r="SYD264" s="95"/>
      <c r="SYE264" s="95"/>
      <c r="SYF264" s="95"/>
      <c r="SYG264" s="95"/>
      <c r="SYH264" s="95"/>
      <c r="SYI264" s="95"/>
      <c r="SYJ264" s="95"/>
      <c r="SYK264" s="95"/>
      <c r="SYL264" s="95"/>
      <c r="SYM264" s="95"/>
      <c r="SYN264" s="95"/>
      <c r="SYO264" s="95"/>
      <c r="SYP264" s="95"/>
      <c r="SYQ264" s="95"/>
      <c r="SYR264" s="95"/>
      <c r="SYS264" s="95"/>
      <c r="SYT264" s="95"/>
      <c r="SYU264" s="95"/>
      <c r="SYV264" s="95"/>
      <c r="SYW264" s="95"/>
      <c r="SYX264" s="95"/>
      <c r="SYY264" s="95"/>
      <c r="SYZ264" s="95"/>
      <c r="SZA264" s="95"/>
      <c r="SZB264" s="95"/>
      <c r="SZC264" s="95"/>
      <c r="SZD264" s="95"/>
      <c r="SZE264" s="95"/>
      <c r="SZF264" s="95"/>
      <c r="SZG264" s="95"/>
      <c r="SZH264" s="95"/>
      <c r="SZI264" s="95"/>
      <c r="SZJ264" s="95"/>
      <c r="SZK264" s="95"/>
      <c r="SZL264" s="95"/>
      <c r="SZM264" s="95"/>
      <c r="SZN264" s="95"/>
      <c r="SZO264" s="95"/>
      <c r="SZP264" s="95"/>
      <c r="SZQ264" s="95"/>
      <c r="SZR264" s="95"/>
      <c r="SZS264" s="95"/>
      <c r="SZT264" s="95"/>
      <c r="SZU264" s="95"/>
      <c r="SZV264" s="95"/>
      <c r="SZW264" s="95"/>
      <c r="SZX264" s="95"/>
      <c r="SZY264" s="95"/>
      <c r="SZZ264" s="95"/>
      <c r="TAA264" s="95"/>
      <c r="TAB264" s="95"/>
      <c r="TAC264" s="95"/>
      <c r="TAD264" s="95"/>
      <c r="TAE264" s="95"/>
      <c r="TAF264" s="95"/>
      <c r="TAG264" s="95"/>
      <c r="TAH264" s="95"/>
      <c r="TAI264" s="95"/>
      <c r="TAJ264" s="95"/>
      <c r="TAK264" s="95"/>
      <c r="TAL264" s="95"/>
      <c r="TAM264" s="95"/>
      <c r="TAN264" s="95"/>
      <c r="TAO264" s="95"/>
      <c r="TAP264" s="95"/>
      <c r="TAQ264" s="95"/>
      <c r="TAR264" s="95"/>
      <c r="TAS264" s="95"/>
      <c r="TAT264" s="95"/>
      <c r="TAU264" s="95"/>
      <c r="TAV264" s="95"/>
      <c r="TAW264" s="95"/>
      <c r="TAX264" s="95"/>
      <c r="TAY264" s="95"/>
      <c r="TAZ264" s="95"/>
      <c r="TBA264" s="95"/>
      <c r="TBB264" s="95"/>
      <c r="TBC264" s="95"/>
      <c r="TBD264" s="95"/>
      <c r="TBE264" s="95"/>
      <c r="TBF264" s="95"/>
      <c r="TBG264" s="95"/>
      <c r="TBH264" s="95"/>
      <c r="TBI264" s="95"/>
      <c r="TBJ264" s="95"/>
      <c r="TBK264" s="95"/>
      <c r="TBL264" s="95"/>
      <c r="TBM264" s="95"/>
      <c r="TBN264" s="95"/>
      <c r="TBO264" s="95"/>
      <c r="TBP264" s="95"/>
      <c r="TBQ264" s="95"/>
      <c r="TBR264" s="95"/>
      <c r="TBS264" s="95"/>
      <c r="TBT264" s="95"/>
      <c r="TBU264" s="95"/>
      <c r="TBV264" s="95"/>
      <c r="TBW264" s="95"/>
      <c r="TBX264" s="95"/>
      <c r="TBY264" s="95"/>
      <c r="TBZ264" s="95"/>
      <c r="TCA264" s="95"/>
      <c r="TCB264" s="95"/>
      <c r="TCC264" s="95"/>
      <c r="TCD264" s="95"/>
      <c r="TCE264" s="95"/>
      <c r="TCF264" s="95"/>
      <c r="TCG264" s="95"/>
      <c r="TCH264" s="95"/>
      <c r="TCI264" s="95"/>
      <c r="TCJ264" s="95"/>
      <c r="TCK264" s="95"/>
      <c r="TCL264" s="95"/>
      <c r="TCM264" s="95"/>
      <c r="TCN264" s="95"/>
      <c r="TCO264" s="95"/>
      <c r="TCP264" s="95"/>
      <c r="TCQ264" s="95"/>
      <c r="TCR264" s="95"/>
      <c r="TCS264" s="95"/>
      <c r="TCT264" s="95"/>
      <c r="TCU264" s="95"/>
      <c r="TCV264" s="95"/>
      <c r="TCW264" s="95"/>
      <c r="TCX264" s="95"/>
      <c r="TCY264" s="95"/>
      <c r="TCZ264" s="95"/>
      <c r="TDA264" s="95"/>
      <c r="TDB264" s="95"/>
      <c r="TDC264" s="95"/>
      <c r="TDD264" s="95"/>
      <c r="TDE264" s="95"/>
      <c r="TDF264" s="95"/>
      <c r="TDG264" s="95"/>
      <c r="TDH264" s="95"/>
      <c r="TDI264" s="95"/>
      <c r="TDJ264" s="95"/>
      <c r="TDK264" s="95"/>
      <c r="TDL264" s="95"/>
      <c r="TDM264" s="95"/>
      <c r="TDN264" s="95"/>
      <c r="TDO264" s="95"/>
      <c r="TDP264" s="95"/>
      <c r="TDQ264" s="95"/>
      <c r="TDR264" s="95"/>
      <c r="TDS264" s="95"/>
      <c r="TDT264" s="95"/>
      <c r="TDU264" s="95"/>
      <c r="TDV264" s="95"/>
      <c r="TDW264" s="95"/>
      <c r="TDX264" s="95"/>
      <c r="TDY264" s="95"/>
      <c r="TDZ264" s="95"/>
      <c r="TEA264" s="95"/>
      <c r="TEB264" s="95"/>
      <c r="TEC264" s="95"/>
      <c r="TED264" s="95"/>
      <c r="TEE264" s="95"/>
      <c r="TEF264" s="95"/>
      <c r="TEG264" s="95"/>
      <c r="TEH264" s="95"/>
      <c r="TEI264" s="95"/>
      <c r="TEJ264" s="95"/>
      <c r="TEK264" s="95"/>
      <c r="TEL264" s="95"/>
      <c r="TEM264" s="95"/>
      <c r="TEN264" s="95"/>
      <c r="TEO264" s="95"/>
      <c r="TEP264" s="95"/>
      <c r="TEQ264" s="95"/>
      <c r="TER264" s="95"/>
      <c r="TES264" s="95"/>
      <c r="TET264" s="95"/>
      <c r="TEU264" s="95"/>
      <c r="TEV264" s="95"/>
      <c r="TEW264" s="95"/>
      <c r="TEX264" s="95"/>
      <c r="TEY264" s="95"/>
      <c r="TEZ264" s="95"/>
      <c r="TFA264" s="95"/>
      <c r="TFB264" s="95"/>
      <c r="TFC264" s="95"/>
      <c r="TFD264" s="95"/>
      <c r="TFE264" s="95"/>
      <c r="TFF264" s="95"/>
      <c r="TFG264" s="95"/>
      <c r="TFH264" s="95"/>
      <c r="TFI264" s="95"/>
      <c r="TFJ264" s="95"/>
      <c r="TFK264" s="95"/>
      <c r="TFL264" s="95"/>
      <c r="TFM264" s="95"/>
      <c r="TFN264" s="95"/>
      <c r="TFO264" s="95"/>
      <c r="TFP264" s="95"/>
      <c r="TFQ264" s="95"/>
      <c r="TFR264" s="95"/>
      <c r="TFS264" s="95"/>
      <c r="TFT264" s="95"/>
      <c r="TFU264" s="95"/>
      <c r="TFV264" s="95"/>
      <c r="TFW264" s="95"/>
      <c r="TFX264" s="95"/>
      <c r="TFY264" s="95"/>
      <c r="TFZ264" s="95"/>
      <c r="TGA264" s="95"/>
      <c r="TGB264" s="95"/>
      <c r="TGC264" s="95"/>
      <c r="TGD264" s="95"/>
      <c r="TGE264" s="95"/>
      <c r="TGF264" s="95"/>
      <c r="TGG264" s="95"/>
      <c r="TGH264" s="95"/>
      <c r="TGI264" s="95"/>
      <c r="TGJ264" s="95"/>
      <c r="TGK264" s="95"/>
      <c r="TGL264" s="95"/>
      <c r="TGM264" s="95"/>
      <c r="TGN264" s="95"/>
      <c r="TGO264" s="95"/>
      <c r="TGP264" s="95"/>
      <c r="TGQ264" s="95"/>
      <c r="TGR264" s="95"/>
      <c r="TGS264" s="95"/>
      <c r="TGT264" s="95"/>
      <c r="TGU264" s="95"/>
      <c r="TGV264" s="95"/>
      <c r="TGW264" s="95"/>
      <c r="TGX264" s="95"/>
      <c r="TGY264" s="95"/>
      <c r="TGZ264" s="95"/>
      <c r="THA264" s="95"/>
      <c r="THB264" s="95"/>
      <c r="THC264" s="95"/>
      <c r="THD264" s="95"/>
      <c r="THE264" s="95"/>
      <c r="THF264" s="95"/>
      <c r="THG264" s="95"/>
      <c r="THH264" s="95"/>
      <c r="THI264" s="95"/>
      <c r="THJ264" s="95"/>
      <c r="THK264" s="95"/>
      <c r="THL264" s="95"/>
      <c r="THM264" s="95"/>
      <c r="THN264" s="95"/>
      <c r="THO264" s="95"/>
      <c r="THP264" s="95"/>
      <c r="THQ264" s="95"/>
      <c r="THR264" s="95"/>
      <c r="THS264" s="95"/>
      <c r="THT264" s="95"/>
      <c r="THU264" s="95"/>
      <c r="THV264" s="95"/>
      <c r="THW264" s="95"/>
      <c r="THX264" s="95"/>
      <c r="THY264" s="95"/>
      <c r="THZ264" s="95"/>
      <c r="TIA264" s="95"/>
      <c r="TIB264" s="95"/>
      <c r="TIC264" s="95"/>
      <c r="TID264" s="95"/>
      <c r="TIE264" s="95"/>
      <c r="TIF264" s="95"/>
      <c r="TIG264" s="95"/>
      <c r="TIH264" s="95"/>
      <c r="TII264" s="95"/>
      <c r="TIJ264" s="95"/>
      <c r="TIK264" s="95"/>
      <c r="TIL264" s="95"/>
      <c r="TIM264" s="95"/>
      <c r="TIN264" s="95"/>
      <c r="TIO264" s="95"/>
      <c r="TIP264" s="95"/>
      <c r="TIQ264" s="95"/>
      <c r="TIR264" s="95"/>
      <c r="TIS264" s="95"/>
      <c r="TIT264" s="95"/>
      <c r="TIU264" s="95"/>
      <c r="TIV264" s="95"/>
      <c r="TIW264" s="95"/>
      <c r="TIX264" s="95"/>
      <c r="TIY264" s="95"/>
      <c r="TIZ264" s="95"/>
      <c r="TJA264" s="95"/>
      <c r="TJB264" s="95"/>
      <c r="TJC264" s="95"/>
      <c r="TJD264" s="95"/>
      <c r="TJE264" s="95"/>
      <c r="TJF264" s="95"/>
      <c r="TJG264" s="95"/>
      <c r="TJH264" s="95"/>
      <c r="TJI264" s="95"/>
      <c r="TJJ264" s="95"/>
      <c r="TJK264" s="95"/>
      <c r="TJL264" s="95"/>
      <c r="TJM264" s="95"/>
      <c r="TJN264" s="95"/>
      <c r="TJO264" s="95"/>
      <c r="TJP264" s="95"/>
      <c r="TJQ264" s="95"/>
      <c r="TJR264" s="95"/>
      <c r="TJS264" s="95"/>
      <c r="TJT264" s="95"/>
      <c r="TJU264" s="95"/>
      <c r="TJV264" s="95"/>
      <c r="TJW264" s="95"/>
      <c r="TJX264" s="95"/>
      <c r="TJY264" s="95"/>
      <c r="TJZ264" s="95"/>
      <c r="TKA264" s="95"/>
      <c r="TKB264" s="95"/>
      <c r="TKC264" s="95"/>
      <c r="TKD264" s="95"/>
      <c r="TKE264" s="95"/>
      <c r="TKF264" s="95"/>
      <c r="TKG264" s="95"/>
      <c r="TKH264" s="95"/>
      <c r="TKI264" s="95"/>
      <c r="TKJ264" s="95"/>
      <c r="TKK264" s="95"/>
      <c r="TKL264" s="95"/>
      <c r="TKM264" s="95"/>
      <c r="TKN264" s="95"/>
      <c r="TKO264" s="95"/>
      <c r="TKP264" s="95"/>
      <c r="TKQ264" s="95"/>
      <c r="TKR264" s="95"/>
      <c r="TKS264" s="95"/>
      <c r="TKT264" s="95"/>
      <c r="TKU264" s="95"/>
      <c r="TKV264" s="95"/>
      <c r="TKW264" s="95"/>
      <c r="TKX264" s="95"/>
      <c r="TKY264" s="95"/>
      <c r="TKZ264" s="95"/>
      <c r="TLA264" s="95"/>
      <c r="TLB264" s="95"/>
      <c r="TLC264" s="95"/>
      <c r="TLD264" s="95"/>
      <c r="TLE264" s="95"/>
      <c r="TLF264" s="95"/>
      <c r="TLG264" s="95"/>
      <c r="TLH264" s="95"/>
      <c r="TLI264" s="95"/>
      <c r="TLJ264" s="95"/>
      <c r="TLK264" s="95"/>
      <c r="TLL264" s="95"/>
      <c r="TLM264" s="95"/>
      <c r="TLN264" s="95"/>
      <c r="TLO264" s="95"/>
      <c r="TLP264" s="95"/>
      <c r="TLQ264" s="95"/>
      <c r="TLR264" s="95"/>
      <c r="TLS264" s="95"/>
      <c r="TLT264" s="95"/>
      <c r="TLU264" s="95"/>
      <c r="TLV264" s="95"/>
      <c r="TLW264" s="95"/>
      <c r="TLX264" s="95"/>
      <c r="TLY264" s="95"/>
      <c r="TLZ264" s="95"/>
      <c r="TMA264" s="95"/>
      <c r="TMB264" s="95"/>
      <c r="TMC264" s="95"/>
      <c r="TMD264" s="95"/>
      <c r="TME264" s="95"/>
      <c r="TMF264" s="95"/>
      <c r="TMG264" s="95"/>
      <c r="TMH264" s="95"/>
      <c r="TMI264" s="95"/>
      <c r="TMJ264" s="95"/>
      <c r="TMK264" s="95"/>
      <c r="TML264" s="95"/>
      <c r="TMM264" s="95"/>
      <c r="TMN264" s="95"/>
      <c r="TMO264" s="95"/>
      <c r="TMP264" s="95"/>
      <c r="TMQ264" s="95"/>
      <c r="TMR264" s="95"/>
      <c r="TMS264" s="95"/>
      <c r="TMT264" s="95"/>
      <c r="TMU264" s="95"/>
      <c r="TMV264" s="95"/>
      <c r="TMW264" s="95"/>
      <c r="TMX264" s="95"/>
      <c r="TMY264" s="95"/>
      <c r="TMZ264" s="95"/>
      <c r="TNA264" s="95"/>
      <c r="TNB264" s="95"/>
      <c r="TNC264" s="95"/>
      <c r="TND264" s="95"/>
      <c r="TNE264" s="95"/>
      <c r="TNF264" s="95"/>
      <c r="TNG264" s="95"/>
      <c r="TNH264" s="95"/>
      <c r="TNI264" s="95"/>
      <c r="TNJ264" s="95"/>
      <c r="TNK264" s="95"/>
      <c r="TNL264" s="95"/>
      <c r="TNM264" s="95"/>
      <c r="TNN264" s="95"/>
      <c r="TNO264" s="95"/>
      <c r="TNP264" s="95"/>
      <c r="TNQ264" s="95"/>
      <c r="TNR264" s="95"/>
      <c r="TNS264" s="95"/>
      <c r="TNT264" s="95"/>
      <c r="TNU264" s="95"/>
      <c r="TNV264" s="95"/>
      <c r="TNW264" s="95"/>
      <c r="TNX264" s="95"/>
      <c r="TNY264" s="95"/>
      <c r="TNZ264" s="95"/>
      <c r="TOA264" s="95"/>
      <c r="TOB264" s="95"/>
      <c r="TOC264" s="95"/>
      <c r="TOD264" s="95"/>
      <c r="TOE264" s="95"/>
      <c r="TOF264" s="95"/>
      <c r="TOG264" s="95"/>
      <c r="TOH264" s="95"/>
      <c r="TOI264" s="95"/>
      <c r="TOJ264" s="95"/>
      <c r="TOK264" s="95"/>
      <c r="TOL264" s="95"/>
      <c r="TOM264" s="95"/>
      <c r="TON264" s="95"/>
      <c r="TOO264" s="95"/>
      <c r="TOP264" s="95"/>
      <c r="TOQ264" s="95"/>
      <c r="TOR264" s="95"/>
      <c r="TOS264" s="95"/>
      <c r="TOT264" s="95"/>
      <c r="TOU264" s="95"/>
      <c r="TOV264" s="95"/>
      <c r="TOW264" s="95"/>
      <c r="TOX264" s="95"/>
      <c r="TOY264" s="95"/>
      <c r="TOZ264" s="95"/>
      <c r="TPA264" s="95"/>
      <c r="TPB264" s="95"/>
      <c r="TPC264" s="95"/>
      <c r="TPD264" s="95"/>
      <c r="TPE264" s="95"/>
      <c r="TPF264" s="95"/>
      <c r="TPG264" s="95"/>
      <c r="TPH264" s="95"/>
      <c r="TPI264" s="95"/>
      <c r="TPJ264" s="95"/>
      <c r="TPK264" s="95"/>
      <c r="TPL264" s="95"/>
      <c r="TPM264" s="95"/>
      <c r="TPN264" s="95"/>
      <c r="TPO264" s="95"/>
      <c r="TPP264" s="95"/>
      <c r="TPQ264" s="95"/>
      <c r="TPR264" s="95"/>
      <c r="TPS264" s="95"/>
      <c r="TPT264" s="95"/>
      <c r="TPU264" s="95"/>
      <c r="TPV264" s="95"/>
      <c r="TPW264" s="95"/>
      <c r="TPX264" s="95"/>
      <c r="TPY264" s="95"/>
      <c r="TPZ264" s="95"/>
      <c r="TQA264" s="95"/>
      <c r="TQB264" s="95"/>
      <c r="TQC264" s="95"/>
      <c r="TQD264" s="95"/>
      <c r="TQE264" s="95"/>
      <c r="TQF264" s="95"/>
      <c r="TQG264" s="95"/>
      <c r="TQH264" s="95"/>
      <c r="TQI264" s="95"/>
      <c r="TQJ264" s="95"/>
      <c r="TQK264" s="95"/>
      <c r="TQL264" s="95"/>
      <c r="TQM264" s="95"/>
      <c r="TQN264" s="95"/>
      <c r="TQO264" s="95"/>
      <c r="TQP264" s="95"/>
      <c r="TQQ264" s="95"/>
      <c r="TQR264" s="95"/>
      <c r="TQS264" s="95"/>
      <c r="TQT264" s="95"/>
      <c r="TQU264" s="95"/>
      <c r="TQV264" s="95"/>
      <c r="TQW264" s="95"/>
      <c r="TQX264" s="95"/>
      <c r="TQY264" s="95"/>
      <c r="TQZ264" s="95"/>
      <c r="TRA264" s="95"/>
      <c r="TRB264" s="95"/>
      <c r="TRC264" s="95"/>
      <c r="TRD264" s="95"/>
      <c r="TRE264" s="95"/>
      <c r="TRF264" s="95"/>
      <c r="TRG264" s="95"/>
      <c r="TRH264" s="95"/>
      <c r="TRI264" s="95"/>
      <c r="TRJ264" s="95"/>
      <c r="TRK264" s="95"/>
      <c r="TRL264" s="95"/>
      <c r="TRM264" s="95"/>
      <c r="TRN264" s="95"/>
      <c r="TRO264" s="95"/>
      <c r="TRP264" s="95"/>
      <c r="TRQ264" s="95"/>
      <c r="TRR264" s="95"/>
      <c r="TRS264" s="95"/>
      <c r="TRT264" s="95"/>
      <c r="TRU264" s="95"/>
      <c r="TRV264" s="95"/>
      <c r="TRW264" s="95"/>
      <c r="TRX264" s="95"/>
      <c r="TRY264" s="95"/>
      <c r="TRZ264" s="95"/>
      <c r="TSA264" s="95"/>
      <c r="TSB264" s="95"/>
      <c r="TSC264" s="95"/>
      <c r="TSD264" s="95"/>
      <c r="TSE264" s="95"/>
      <c r="TSF264" s="95"/>
      <c r="TSG264" s="95"/>
      <c r="TSH264" s="95"/>
      <c r="TSI264" s="95"/>
      <c r="TSJ264" s="95"/>
      <c r="TSK264" s="95"/>
      <c r="TSL264" s="95"/>
      <c r="TSM264" s="95"/>
      <c r="TSN264" s="95"/>
      <c r="TSO264" s="95"/>
      <c r="TSP264" s="95"/>
      <c r="TSQ264" s="95"/>
      <c r="TSR264" s="95"/>
      <c r="TSS264" s="95"/>
      <c r="TST264" s="95"/>
      <c r="TSU264" s="95"/>
      <c r="TSV264" s="95"/>
      <c r="TSW264" s="95"/>
      <c r="TSX264" s="95"/>
      <c r="TSY264" s="95"/>
      <c r="TSZ264" s="95"/>
      <c r="TTA264" s="95"/>
      <c r="TTB264" s="95"/>
      <c r="TTC264" s="95"/>
      <c r="TTD264" s="95"/>
      <c r="TTE264" s="95"/>
      <c r="TTF264" s="95"/>
      <c r="TTG264" s="95"/>
      <c r="TTH264" s="95"/>
      <c r="TTI264" s="95"/>
      <c r="TTJ264" s="95"/>
      <c r="TTK264" s="95"/>
      <c r="TTL264" s="95"/>
      <c r="TTM264" s="95"/>
      <c r="TTN264" s="95"/>
      <c r="TTO264" s="95"/>
      <c r="TTP264" s="95"/>
      <c r="TTQ264" s="95"/>
      <c r="TTR264" s="95"/>
      <c r="TTS264" s="95"/>
      <c r="TTT264" s="95"/>
      <c r="TTU264" s="95"/>
      <c r="TTV264" s="95"/>
      <c r="TTW264" s="95"/>
      <c r="TTX264" s="95"/>
      <c r="TTY264" s="95"/>
      <c r="TTZ264" s="95"/>
      <c r="TUA264" s="95"/>
      <c r="TUB264" s="95"/>
      <c r="TUC264" s="95"/>
      <c r="TUD264" s="95"/>
      <c r="TUE264" s="95"/>
      <c r="TUF264" s="95"/>
      <c r="TUG264" s="95"/>
      <c r="TUH264" s="95"/>
      <c r="TUI264" s="95"/>
      <c r="TUJ264" s="95"/>
      <c r="TUK264" s="95"/>
      <c r="TUL264" s="95"/>
      <c r="TUM264" s="95"/>
      <c r="TUN264" s="95"/>
      <c r="TUO264" s="95"/>
      <c r="TUP264" s="95"/>
      <c r="TUQ264" s="95"/>
      <c r="TUR264" s="95"/>
      <c r="TUS264" s="95"/>
      <c r="TUT264" s="95"/>
      <c r="TUU264" s="95"/>
      <c r="TUV264" s="95"/>
      <c r="TUW264" s="95"/>
      <c r="TUX264" s="95"/>
      <c r="TUY264" s="95"/>
      <c r="TUZ264" s="95"/>
      <c r="TVA264" s="95"/>
      <c r="TVB264" s="95"/>
      <c r="TVC264" s="95"/>
      <c r="TVD264" s="95"/>
      <c r="TVE264" s="95"/>
      <c r="TVF264" s="95"/>
      <c r="TVG264" s="95"/>
      <c r="TVH264" s="95"/>
      <c r="TVI264" s="95"/>
      <c r="TVJ264" s="95"/>
      <c r="TVK264" s="95"/>
      <c r="TVL264" s="95"/>
      <c r="TVM264" s="95"/>
      <c r="TVN264" s="95"/>
      <c r="TVO264" s="95"/>
      <c r="TVP264" s="95"/>
      <c r="TVQ264" s="95"/>
      <c r="TVR264" s="95"/>
      <c r="TVS264" s="95"/>
      <c r="TVT264" s="95"/>
      <c r="TVU264" s="95"/>
      <c r="TVV264" s="95"/>
      <c r="TVW264" s="95"/>
      <c r="TVX264" s="95"/>
      <c r="TVY264" s="95"/>
      <c r="TVZ264" s="95"/>
      <c r="TWA264" s="95"/>
      <c r="TWB264" s="95"/>
      <c r="TWC264" s="95"/>
      <c r="TWD264" s="95"/>
      <c r="TWE264" s="95"/>
      <c r="TWF264" s="95"/>
      <c r="TWG264" s="95"/>
      <c r="TWH264" s="95"/>
      <c r="TWI264" s="95"/>
      <c r="TWJ264" s="95"/>
      <c r="TWK264" s="95"/>
      <c r="TWL264" s="95"/>
      <c r="TWM264" s="95"/>
      <c r="TWN264" s="95"/>
      <c r="TWO264" s="95"/>
      <c r="TWP264" s="95"/>
      <c r="TWQ264" s="95"/>
      <c r="TWR264" s="95"/>
      <c r="TWS264" s="95"/>
      <c r="TWT264" s="95"/>
      <c r="TWU264" s="95"/>
      <c r="TWV264" s="95"/>
      <c r="TWW264" s="95"/>
      <c r="TWX264" s="95"/>
      <c r="TWY264" s="95"/>
      <c r="TWZ264" s="95"/>
      <c r="TXA264" s="95"/>
      <c r="TXB264" s="95"/>
      <c r="TXC264" s="95"/>
      <c r="TXD264" s="95"/>
      <c r="TXE264" s="95"/>
      <c r="TXF264" s="95"/>
      <c r="TXG264" s="95"/>
      <c r="TXH264" s="95"/>
      <c r="TXI264" s="95"/>
      <c r="TXJ264" s="95"/>
      <c r="TXK264" s="95"/>
      <c r="TXL264" s="95"/>
      <c r="TXM264" s="95"/>
      <c r="TXN264" s="95"/>
      <c r="TXO264" s="95"/>
      <c r="TXP264" s="95"/>
      <c r="TXQ264" s="95"/>
      <c r="TXR264" s="95"/>
      <c r="TXS264" s="95"/>
      <c r="TXT264" s="95"/>
      <c r="TXU264" s="95"/>
      <c r="TXV264" s="95"/>
      <c r="TXW264" s="95"/>
      <c r="TXX264" s="95"/>
      <c r="TXY264" s="95"/>
      <c r="TXZ264" s="95"/>
      <c r="TYA264" s="95"/>
      <c r="TYB264" s="95"/>
      <c r="TYC264" s="95"/>
      <c r="TYD264" s="95"/>
      <c r="TYE264" s="95"/>
      <c r="TYF264" s="95"/>
      <c r="TYG264" s="95"/>
      <c r="TYH264" s="95"/>
      <c r="TYI264" s="95"/>
      <c r="TYJ264" s="95"/>
      <c r="TYK264" s="95"/>
      <c r="TYL264" s="95"/>
      <c r="TYM264" s="95"/>
      <c r="TYN264" s="95"/>
      <c r="TYO264" s="95"/>
      <c r="TYP264" s="95"/>
      <c r="TYQ264" s="95"/>
      <c r="TYR264" s="95"/>
      <c r="TYS264" s="95"/>
      <c r="TYT264" s="95"/>
      <c r="TYU264" s="95"/>
      <c r="TYV264" s="95"/>
      <c r="TYW264" s="95"/>
      <c r="TYX264" s="95"/>
      <c r="TYY264" s="95"/>
      <c r="TYZ264" s="95"/>
      <c r="TZA264" s="95"/>
      <c r="TZB264" s="95"/>
      <c r="TZC264" s="95"/>
      <c r="TZD264" s="95"/>
      <c r="TZE264" s="95"/>
      <c r="TZF264" s="95"/>
      <c r="TZG264" s="95"/>
      <c r="TZH264" s="95"/>
      <c r="TZI264" s="95"/>
      <c r="TZJ264" s="95"/>
      <c r="TZK264" s="95"/>
      <c r="TZL264" s="95"/>
      <c r="TZM264" s="95"/>
      <c r="TZN264" s="95"/>
      <c r="TZO264" s="95"/>
      <c r="TZP264" s="95"/>
      <c r="TZQ264" s="95"/>
      <c r="TZR264" s="95"/>
      <c r="TZS264" s="95"/>
      <c r="TZT264" s="95"/>
      <c r="TZU264" s="95"/>
      <c r="TZV264" s="95"/>
      <c r="TZW264" s="95"/>
      <c r="TZX264" s="95"/>
      <c r="TZY264" s="95"/>
      <c r="TZZ264" s="95"/>
      <c r="UAA264" s="95"/>
      <c r="UAB264" s="95"/>
      <c r="UAC264" s="95"/>
      <c r="UAD264" s="95"/>
      <c r="UAE264" s="95"/>
      <c r="UAF264" s="95"/>
      <c r="UAG264" s="95"/>
      <c r="UAH264" s="95"/>
      <c r="UAI264" s="95"/>
      <c r="UAJ264" s="95"/>
      <c r="UAK264" s="95"/>
      <c r="UAL264" s="95"/>
      <c r="UAM264" s="95"/>
      <c r="UAN264" s="95"/>
      <c r="UAO264" s="95"/>
      <c r="UAP264" s="95"/>
      <c r="UAQ264" s="95"/>
      <c r="UAR264" s="95"/>
      <c r="UAS264" s="95"/>
      <c r="UAT264" s="95"/>
      <c r="UAU264" s="95"/>
      <c r="UAV264" s="95"/>
      <c r="UAW264" s="95"/>
      <c r="UAX264" s="95"/>
      <c r="UAY264" s="95"/>
      <c r="UAZ264" s="95"/>
      <c r="UBA264" s="95"/>
      <c r="UBB264" s="95"/>
      <c r="UBC264" s="95"/>
      <c r="UBD264" s="95"/>
      <c r="UBE264" s="95"/>
      <c r="UBF264" s="95"/>
      <c r="UBG264" s="95"/>
      <c r="UBH264" s="95"/>
      <c r="UBI264" s="95"/>
      <c r="UBJ264" s="95"/>
      <c r="UBK264" s="95"/>
      <c r="UBL264" s="95"/>
      <c r="UBM264" s="95"/>
      <c r="UBN264" s="95"/>
      <c r="UBO264" s="95"/>
      <c r="UBP264" s="95"/>
      <c r="UBQ264" s="95"/>
      <c r="UBR264" s="95"/>
      <c r="UBS264" s="95"/>
      <c r="UBT264" s="95"/>
      <c r="UBU264" s="95"/>
      <c r="UBV264" s="95"/>
      <c r="UBW264" s="95"/>
      <c r="UBX264" s="95"/>
      <c r="UBY264" s="95"/>
      <c r="UBZ264" s="95"/>
      <c r="UCA264" s="95"/>
      <c r="UCB264" s="95"/>
      <c r="UCC264" s="95"/>
      <c r="UCD264" s="95"/>
      <c r="UCE264" s="95"/>
      <c r="UCF264" s="95"/>
      <c r="UCG264" s="95"/>
      <c r="UCH264" s="95"/>
      <c r="UCI264" s="95"/>
      <c r="UCJ264" s="95"/>
      <c r="UCK264" s="95"/>
      <c r="UCL264" s="95"/>
      <c r="UCM264" s="95"/>
      <c r="UCN264" s="95"/>
      <c r="UCO264" s="95"/>
      <c r="UCP264" s="95"/>
      <c r="UCQ264" s="95"/>
      <c r="UCR264" s="95"/>
      <c r="UCS264" s="95"/>
      <c r="UCT264" s="95"/>
      <c r="UCU264" s="95"/>
      <c r="UCV264" s="95"/>
      <c r="UCW264" s="95"/>
      <c r="UCX264" s="95"/>
      <c r="UCY264" s="95"/>
      <c r="UCZ264" s="95"/>
      <c r="UDA264" s="95"/>
      <c r="UDB264" s="95"/>
      <c r="UDC264" s="95"/>
      <c r="UDD264" s="95"/>
      <c r="UDE264" s="95"/>
      <c r="UDF264" s="95"/>
      <c r="UDG264" s="95"/>
      <c r="UDH264" s="95"/>
      <c r="UDI264" s="95"/>
      <c r="UDJ264" s="95"/>
      <c r="UDK264" s="95"/>
      <c r="UDL264" s="95"/>
      <c r="UDM264" s="95"/>
      <c r="UDN264" s="95"/>
      <c r="UDO264" s="95"/>
      <c r="UDP264" s="95"/>
      <c r="UDQ264" s="95"/>
      <c r="UDR264" s="95"/>
      <c r="UDS264" s="95"/>
      <c r="UDT264" s="95"/>
      <c r="UDU264" s="95"/>
      <c r="UDV264" s="95"/>
      <c r="UDW264" s="95"/>
      <c r="UDX264" s="95"/>
      <c r="UDY264" s="95"/>
      <c r="UDZ264" s="95"/>
      <c r="UEA264" s="95"/>
      <c r="UEB264" s="95"/>
      <c r="UEC264" s="95"/>
      <c r="UED264" s="95"/>
      <c r="UEE264" s="95"/>
      <c r="UEF264" s="95"/>
      <c r="UEG264" s="95"/>
      <c r="UEH264" s="95"/>
      <c r="UEI264" s="95"/>
      <c r="UEJ264" s="95"/>
      <c r="UEK264" s="95"/>
      <c r="UEL264" s="95"/>
      <c r="UEM264" s="95"/>
      <c r="UEN264" s="95"/>
      <c r="UEO264" s="95"/>
      <c r="UEP264" s="95"/>
      <c r="UEQ264" s="95"/>
      <c r="UER264" s="95"/>
      <c r="UES264" s="95"/>
      <c r="UET264" s="95"/>
      <c r="UEU264" s="95"/>
      <c r="UEV264" s="95"/>
      <c r="UEW264" s="95"/>
      <c r="UEX264" s="95"/>
      <c r="UEY264" s="95"/>
      <c r="UEZ264" s="95"/>
      <c r="UFA264" s="95"/>
      <c r="UFB264" s="95"/>
      <c r="UFC264" s="95"/>
      <c r="UFD264" s="95"/>
      <c r="UFE264" s="95"/>
      <c r="UFF264" s="95"/>
      <c r="UFG264" s="95"/>
      <c r="UFH264" s="95"/>
      <c r="UFI264" s="95"/>
      <c r="UFJ264" s="95"/>
      <c r="UFK264" s="95"/>
      <c r="UFL264" s="95"/>
      <c r="UFM264" s="95"/>
      <c r="UFN264" s="95"/>
      <c r="UFO264" s="95"/>
      <c r="UFP264" s="95"/>
      <c r="UFQ264" s="95"/>
      <c r="UFR264" s="95"/>
      <c r="UFS264" s="95"/>
      <c r="UFT264" s="95"/>
      <c r="UFU264" s="95"/>
      <c r="UFV264" s="95"/>
      <c r="UFW264" s="95"/>
      <c r="UFX264" s="95"/>
      <c r="UFY264" s="95"/>
      <c r="UFZ264" s="95"/>
      <c r="UGA264" s="95"/>
      <c r="UGB264" s="95"/>
      <c r="UGC264" s="95"/>
      <c r="UGD264" s="95"/>
      <c r="UGE264" s="95"/>
      <c r="UGF264" s="95"/>
      <c r="UGG264" s="95"/>
      <c r="UGH264" s="95"/>
      <c r="UGI264" s="95"/>
      <c r="UGJ264" s="95"/>
      <c r="UGK264" s="95"/>
      <c r="UGL264" s="95"/>
      <c r="UGM264" s="95"/>
      <c r="UGN264" s="95"/>
      <c r="UGO264" s="95"/>
      <c r="UGP264" s="95"/>
      <c r="UGQ264" s="95"/>
      <c r="UGR264" s="95"/>
      <c r="UGS264" s="95"/>
      <c r="UGT264" s="95"/>
      <c r="UGU264" s="95"/>
      <c r="UGV264" s="95"/>
      <c r="UGW264" s="95"/>
      <c r="UGX264" s="95"/>
      <c r="UGY264" s="95"/>
      <c r="UGZ264" s="95"/>
      <c r="UHA264" s="95"/>
      <c r="UHB264" s="95"/>
      <c r="UHC264" s="95"/>
      <c r="UHD264" s="95"/>
      <c r="UHE264" s="95"/>
      <c r="UHF264" s="95"/>
      <c r="UHG264" s="95"/>
      <c r="UHH264" s="95"/>
      <c r="UHI264" s="95"/>
      <c r="UHJ264" s="95"/>
      <c r="UHK264" s="95"/>
      <c r="UHL264" s="95"/>
      <c r="UHM264" s="95"/>
      <c r="UHN264" s="95"/>
      <c r="UHO264" s="95"/>
      <c r="UHP264" s="95"/>
      <c r="UHQ264" s="95"/>
      <c r="UHR264" s="95"/>
      <c r="UHS264" s="95"/>
      <c r="UHT264" s="95"/>
      <c r="UHU264" s="95"/>
      <c r="UHV264" s="95"/>
      <c r="UHW264" s="95"/>
      <c r="UHX264" s="95"/>
      <c r="UHY264" s="95"/>
      <c r="UHZ264" s="95"/>
      <c r="UIA264" s="95"/>
      <c r="UIB264" s="95"/>
      <c r="UIC264" s="95"/>
      <c r="UID264" s="95"/>
      <c r="UIE264" s="95"/>
      <c r="UIF264" s="95"/>
      <c r="UIG264" s="95"/>
      <c r="UIH264" s="95"/>
      <c r="UII264" s="95"/>
      <c r="UIJ264" s="95"/>
      <c r="UIK264" s="95"/>
      <c r="UIL264" s="95"/>
      <c r="UIM264" s="95"/>
      <c r="UIN264" s="95"/>
      <c r="UIO264" s="95"/>
      <c r="UIP264" s="95"/>
      <c r="UIQ264" s="95"/>
      <c r="UIR264" s="95"/>
      <c r="UIS264" s="95"/>
      <c r="UIT264" s="95"/>
      <c r="UIU264" s="95"/>
      <c r="UIV264" s="95"/>
      <c r="UIW264" s="95"/>
      <c r="UIX264" s="95"/>
      <c r="UIY264" s="95"/>
      <c r="UIZ264" s="95"/>
      <c r="UJA264" s="95"/>
      <c r="UJB264" s="95"/>
      <c r="UJC264" s="95"/>
      <c r="UJD264" s="95"/>
      <c r="UJE264" s="95"/>
      <c r="UJF264" s="95"/>
      <c r="UJG264" s="95"/>
      <c r="UJH264" s="95"/>
      <c r="UJI264" s="95"/>
      <c r="UJJ264" s="95"/>
      <c r="UJK264" s="95"/>
      <c r="UJL264" s="95"/>
      <c r="UJM264" s="95"/>
      <c r="UJN264" s="95"/>
      <c r="UJO264" s="95"/>
      <c r="UJP264" s="95"/>
      <c r="UJQ264" s="95"/>
      <c r="UJR264" s="95"/>
      <c r="UJS264" s="95"/>
      <c r="UJT264" s="95"/>
      <c r="UJU264" s="95"/>
      <c r="UJV264" s="95"/>
      <c r="UJW264" s="95"/>
      <c r="UJX264" s="95"/>
      <c r="UJY264" s="95"/>
      <c r="UJZ264" s="95"/>
      <c r="UKA264" s="95"/>
      <c r="UKB264" s="95"/>
      <c r="UKC264" s="95"/>
      <c r="UKD264" s="95"/>
      <c r="UKE264" s="95"/>
      <c r="UKF264" s="95"/>
      <c r="UKG264" s="95"/>
      <c r="UKH264" s="95"/>
      <c r="UKI264" s="95"/>
      <c r="UKJ264" s="95"/>
      <c r="UKK264" s="95"/>
      <c r="UKL264" s="95"/>
      <c r="UKM264" s="95"/>
      <c r="UKN264" s="95"/>
      <c r="UKO264" s="95"/>
      <c r="UKP264" s="95"/>
      <c r="UKQ264" s="95"/>
      <c r="UKR264" s="95"/>
      <c r="UKS264" s="95"/>
      <c r="UKT264" s="95"/>
      <c r="UKU264" s="95"/>
      <c r="UKV264" s="95"/>
      <c r="UKW264" s="95"/>
      <c r="UKX264" s="95"/>
      <c r="UKY264" s="95"/>
      <c r="UKZ264" s="95"/>
      <c r="ULA264" s="95"/>
      <c r="ULB264" s="95"/>
      <c r="ULC264" s="95"/>
      <c r="ULD264" s="95"/>
      <c r="ULE264" s="95"/>
      <c r="ULF264" s="95"/>
      <c r="ULG264" s="95"/>
      <c r="ULH264" s="95"/>
      <c r="ULI264" s="95"/>
      <c r="ULJ264" s="95"/>
      <c r="ULK264" s="95"/>
      <c r="ULL264" s="95"/>
      <c r="ULM264" s="95"/>
      <c r="ULN264" s="95"/>
      <c r="ULO264" s="95"/>
      <c r="ULP264" s="95"/>
      <c r="ULQ264" s="95"/>
      <c r="ULR264" s="95"/>
      <c r="ULS264" s="95"/>
      <c r="ULT264" s="95"/>
      <c r="ULU264" s="95"/>
      <c r="ULV264" s="95"/>
      <c r="ULW264" s="95"/>
      <c r="ULX264" s="95"/>
      <c r="ULY264" s="95"/>
      <c r="ULZ264" s="95"/>
      <c r="UMA264" s="95"/>
      <c r="UMB264" s="95"/>
      <c r="UMC264" s="95"/>
      <c r="UMD264" s="95"/>
      <c r="UME264" s="95"/>
      <c r="UMF264" s="95"/>
      <c r="UMG264" s="95"/>
      <c r="UMH264" s="95"/>
      <c r="UMI264" s="95"/>
      <c r="UMJ264" s="95"/>
      <c r="UMK264" s="95"/>
      <c r="UML264" s="95"/>
      <c r="UMM264" s="95"/>
      <c r="UMN264" s="95"/>
      <c r="UMO264" s="95"/>
      <c r="UMP264" s="95"/>
      <c r="UMQ264" s="95"/>
      <c r="UMR264" s="95"/>
      <c r="UMS264" s="95"/>
      <c r="UMT264" s="95"/>
      <c r="UMU264" s="95"/>
      <c r="UMV264" s="95"/>
      <c r="UMW264" s="95"/>
      <c r="UMX264" s="95"/>
      <c r="UMY264" s="95"/>
      <c r="UMZ264" s="95"/>
      <c r="UNA264" s="95"/>
      <c r="UNB264" s="95"/>
      <c r="UNC264" s="95"/>
      <c r="UND264" s="95"/>
      <c r="UNE264" s="95"/>
      <c r="UNF264" s="95"/>
      <c r="UNG264" s="95"/>
      <c r="UNH264" s="95"/>
      <c r="UNI264" s="95"/>
      <c r="UNJ264" s="95"/>
      <c r="UNK264" s="95"/>
      <c r="UNL264" s="95"/>
      <c r="UNM264" s="95"/>
      <c r="UNN264" s="95"/>
      <c r="UNO264" s="95"/>
      <c r="UNP264" s="95"/>
      <c r="UNQ264" s="95"/>
      <c r="UNR264" s="95"/>
      <c r="UNS264" s="95"/>
      <c r="UNT264" s="95"/>
      <c r="UNU264" s="95"/>
      <c r="UNV264" s="95"/>
      <c r="UNW264" s="95"/>
      <c r="UNX264" s="95"/>
      <c r="UNY264" s="95"/>
      <c r="UNZ264" s="95"/>
      <c r="UOA264" s="95"/>
      <c r="UOB264" s="95"/>
      <c r="UOC264" s="95"/>
      <c r="UOD264" s="95"/>
      <c r="UOE264" s="95"/>
      <c r="UOF264" s="95"/>
      <c r="UOG264" s="95"/>
      <c r="UOH264" s="95"/>
      <c r="UOI264" s="95"/>
      <c r="UOJ264" s="95"/>
      <c r="UOK264" s="95"/>
      <c r="UOL264" s="95"/>
      <c r="UOM264" s="95"/>
      <c r="UON264" s="95"/>
      <c r="UOO264" s="95"/>
      <c r="UOP264" s="95"/>
      <c r="UOQ264" s="95"/>
      <c r="UOR264" s="95"/>
      <c r="UOS264" s="95"/>
      <c r="UOT264" s="95"/>
      <c r="UOU264" s="95"/>
      <c r="UOV264" s="95"/>
      <c r="UOW264" s="95"/>
      <c r="UOX264" s="95"/>
      <c r="UOY264" s="95"/>
      <c r="UOZ264" s="95"/>
      <c r="UPA264" s="95"/>
      <c r="UPB264" s="95"/>
      <c r="UPC264" s="95"/>
      <c r="UPD264" s="95"/>
      <c r="UPE264" s="95"/>
      <c r="UPF264" s="95"/>
      <c r="UPG264" s="95"/>
      <c r="UPH264" s="95"/>
      <c r="UPI264" s="95"/>
      <c r="UPJ264" s="95"/>
      <c r="UPK264" s="95"/>
      <c r="UPL264" s="95"/>
      <c r="UPM264" s="95"/>
      <c r="UPN264" s="95"/>
      <c r="UPO264" s="95"/>
      <c r="UPP264" s="95"/>
      <c r="UPQ264" s="95"/>
      <c r="UPR264" s="95"/>
      <c r="UPS264" s="95"/>
      <c r="UPT264" s="95"/>
      <c r="UPU264" s="95"/>
      <c r="UPV264" s="95"/>
      <c r="UPW264" s="95"/>
      <c r="UPX264" s="95"/>
      <c r="UPY264" s="95"/>
      <c r="UPZ264" s="95"/>
      <c r="UQA264" s="95"/>
      <c r="UQB264" s="95"/>
      <c r="UQC264" s="95"/>
      <c r="UQD264" s="95"/>
      <c r="UQE264" s="95"/>
      <c r="UQF264" s="95"/>
      <c r="UQG264" s="95"/>
      <c r="UQH264" s="95"/>
      <c r="UQI264" s="95"/>
      <c r="UQJ264" s="95"/>
      <c r="UQK264" s="95"/>
      <c r="UQL264" s="95"/>
      <c r="UQM264" s="95"/>
      <c r="UQN264" s="95"/>
      <c r="UQO264" s="95"/>
      <c r="UQP264" s="95"/>
      <c r="UQQ264" s="95"/>
      <c r="UQR264" s="95"/>
      <c r="UQS264" s="95"/>
      <c r="UQT264" s="95"/>
      <c r="UQU264" s="95"/>
      <c r="UQV264" s="95"/>
      <c r="UQW264" s="95"/>
      <c r="UQX264" s="95"/>
      <c r="UQY264" s="95"/>
      <c r="UQZ264" s="95"/>
      <c r="URA264" s="95"/>
      <c r="URB264" s="95"/>
      <c r="URC264" s="95"/>
      <c r="URD264" s="95"/>
      <c r="URE264" s="95"/>
      <c r="URF264" s="95"/>
      <c r="URG264" s="95"/>
      <c r="URH264" s="95"/>
      <c r="URI264" s="95"/>
      <c r="URJ264" s="95"/>
      <c r="URK264" s="95"/>
      <c r="URL264" s="95"/>
      <c r="URM264" s="95"/>
      <c r="URN264" s="95"/>
      <c r="URO264" s="95"/>
      <c r="URP264" s="95"/>
      <c r="URQ264" s="95"/>
      <c r="URR264" s="95"/>
      <c r="URS264" s="95"/>
      <c r="URT264" s="95"/>
      <c r="URU264" s="95"/>
      <c r="URV264" s="95"/>
      <c r="URW264" s="95"/>
      <c r="URX264" s="95"/>
      <c r="URY264" s="95"/>
      <c r="URZ264" s="95"/>
      <c r="USA264" s="95"/>
      <c r="USB264" s="95"/>
      <c r="USC264" s="95"/>
      <c r="USD264" s="95"/>
      <c r="USE264" s="95"/>
      <c r="USF264" s="95"/>
      <c r="USG264" s="95"/>
      <c r="USH264" s="95"/>
      <c r="USI264" s="95"/>
      <c r="USJ264" s="95"/>
      <c r="USK264" s="95"/>
      <c r="USL264" s="95"/>
      <c r="USM264" s="95"/>
      <c r="USN264" s="95"/>
      <c r="USO264" s="95"/>
      <c r="USP264" s="95"/>
      <c r="USQ264" s="95"/>
      <c r="USR264" s="95"/>
      <c r="USS264" s="95"/>
      <c r="UST264" s="95"/>
      <c r="USU264" s="95"/>
      <c r="USV264" s="95"/>
      <c r="USW264" s="95"/>
      <c r="USX264" s="95"/>
      <c r="USY264" s="95"/>
      <c r="USZ264" s="95"/>
      <c r="UTA264" s="95"/>
      <c r="UTB264" s="95"/>
      <c r="UTC264" s="95"/>
      <c r="UTD264" s="95"/>
      <c r="UTE264" s="95"/>
      <c r="UTF264" s="95"/>
      <c r="UTG264" s="95"/>
      <c r="UTH264" s="95"/>
      <c r="UTI264" s="95"/>
      <c r="UTJ264" s="95"/>
      <c r="UTK264" s="95"/>
      <c r="UTL264" s="95"/>
      <c r="UTM264" s="95"/>
      <c r="UTN264" s="95"/>
      <c r="UTO264" s="95"/>
      <c r="UTP264" s="95"/>
      <c r="UTQ264" s="95"/>
      <c r="UTR264" s="95"/>
      <c r="UTS264" s="95"/>
      <c r="UTT264" s="95"/>
      <c r="UTU264" s="95"/>
      <c r="UTV264" s="95"/>
      <c r="UTW264" s="95"/>
      <c r="UTX264" s="95"/>
      <c r="UTY264" s="95"/>
      <c r="UTZ264" s="95"/>
      <c r="UUA264" s="95"/>
      <c r="UUB264" s="95"/>
      <c r="UUC264" s="95"/>
      <c r="UUD264" s="95"/>
      <c r="UUE264" s="95"/>
      <c r="UUF264" s="95"/>
      <c r="UUG264" s="95"/>
      <c r="UUH264" s="95"/>
      <c r="UUI264" s="95"/>
      <c r="UUJ264" s="95"/>
      <c r="UUK264" s="95"/>
      <c r="UUL264" s="95"/>
      <c r="UUM264" s="95"/>
      <c r="UUN264" s="95"/>
      <c r="UUO264" s="95"/>
      <c r="UUP264" s="95"/>
      <c r="UUQ264" s="95"/>
      <c r="UUR264" s="95"/>
      <c r="UUS264" s="95"/>
      <c r="UUT264" s="95"/>
      <c r="UUU264" s="95"/>
      <c r="UUV264" s="95"/>
      <c r="UUW264" s="95"/>
      <c r="UUX264" s="95"/>
      <c r="UUY264" s="95"/>
      <c r="UUZ264" s="95"/>
      <c r="UVA264" s="95"/>
      <c r="UVB264" s="95"/>
      <c r="UVC264" s="95"/>
      <c r="UVD264" s="95"/>
      <c r="UVE264" s="95"/>
      <c r="UVF264" s="95"/>
      <c r="UVG264" s="95"/>
      <c r="UVH264" s="95"/>
      <c r="UVI264" s="95"/>
      <c r="UVJ264" s="95"/>
      <c r="UVK264" s="95"/>
      <c r="UVL264" s="95"/>
      <c r="UVM264" s="95"/>
      <c r="UVN264" s="95"/>
      <c r="UVO264" s="95"/>
      <c r="UVP264" s="95"/>
      <c r="UVQ264" s="95"/>
      <c r="UVR264" s="95"/>
      <c r="UVS264" s="95"/>
      <c r="UVT264" s="95"/>
      <c r="UVU264" s="95"/>
      <c r="UVV264" s="95"/>
      <c r="UVW264" s="95"/>
      <c r="UVX264" s="95"/>
      <c r="UVY264" s="95"/>
      <c r="UVZ264" s="95"/>
      <c r="UWA264" s="95"/>
      <c r="UWB264" s="95"/>
      <c r="UWC264" s="95"/>
      <c r="UWD264" s="95"/>
      <c r="UWE264" s="95"/>
      <c r="UWF264" s="95"/>
      <c r="UWG264" s="95"/>
      <c r="UWH264" s="95"/>
      <c r="UWI264" s="95"/>
      <c r="UWJ264" s="95"/>
      <c r="UWK264" s="95"/>
      <c r="UWL264" s="95"/>
      <c r="UWM264" s="95"/>
      <c r="UWN264" s="95"/>
      <c r="UWO264" s="95"/>
      <c r="UWP264" s="95"/>
      <c r="UWQ264" s="95"/>
      <c r="UWR264" s="95"/>
      <c r="UWS264" s="95"/>
      <c r="UWT264" s="95"/>
      <c r="UWU264" s="95"/>
      <c r="UWV264" s="95"/>
      <c r="UWW264" s="95"/>
      <c r="UWX264" s="95"/>
      <c r="UWY264" s="95"/>
      <c r="UWZ264" s="95"/>
      <c r="UXA264" s="95"/>
      <c r="UXB264" s="95"/>
      <c r="UXC264" s="95"/>
      <c r="UXD264" s="95"/>
      <c r="UXE264" s="95"/>
      <c r="UXF264" s="95"/>
      <c r="UXG264" s="95"/>
      <c r="UXH264" s="95"/>
      <c r="UXI264" s="95"/>
      <c r="UXJ264" s="95"/>
      <c r="UXK264" s="95"/>
      <c r="UXL264" s="95"/>
      <c r="UXM264" s="95"/>
      <c r="UXN264" s="95"/>
      <c r="UXO264" s="95"/>
      <c r="UXP264" s="95"/>
      <c r="UXQ264" s="95"/>
      <c r="UXR264" s="95"/>
      <c r="UXS264" s="95"/>
      <c r="UXT264" s="95"/>
      <c r="UXU264" s="95"/>
      <c r="UXV264" s="95"/>
      <c r="UXW264" s="95"/>
      <c r="UXX264" s="95"/>
      <c r="UXY264" s="95"/>
      <c r="UXZ264" s="95"/>
      <c r="UYA264" s="95"/>
      <c r="UYB264" s="95"/>
      <c r="UYC264" s="95"/>
      <c r="UYD264" s="95"/>
      <c r="UYE264" s="95"/>
      <c r="UYF264" s="95"/>
      <c r="UYG264" s="95"/>
      <c r="UYH264" s="95"/>
      <c r="UYI264" s="95"/>
      <c r="UYJ264" s="95"/>
      <c r="UYK264" s="95"/>
      <c r="UYL264" s="95"/>
      <c r="UYM264" s="95"/>
      <c r="UYN264" s="95"/>
      <c r="UYO264" s="95"/>
      <c r="UYP264" s="95"/>
      <c r="UYQ264" s="95"/>
      <c r="UYR264" s="95"/>
      <c r="UYS264" s="95"/>
      <c r="UYT264" s="95"/>
      <c r="UYU264" s="95"/>
      <c r="UYV264" s="95"/>
      <c r="UYW264" s="95"/>
      <c r="UYX264" s="95"/>
      <c r="UYY264" s="95"/>
      <c r="UYZ264" s="95"/>
      <c r="UZA264" s="95"/>
      <c r="UZB264" s="95"/>
      <c r="UZC264" s="95"/>
      <c r="UZD264" s="95"/>
      <c r="UZE264" s="95"/>
      <c r="UZF264" s="95"/>
      <c r="UZG264" s="95"/>
      <c r="UZH264" s="95"/>
      <c r="UZI264" s="95"/>
      <c r="UZJ264" s="95"/>
      <c r="UZK264" s="95"/>
      <c r="UZL264" s="95"/>
      <c r="UZM264" s="95"/>
      <c r="UZN264" s="95"/>
      <c r="UZO264" s="95"/>
      <c r="UZP264" s="95"/>
      <c r="UZQ264" s="95"/>
      <c r="UZR264" s="95"/>
      <c r="UZS264" s="95"/>
      <c r="UZT264" s="95"/>
      <c r="UZU264" s="95"/>
      <c r="UZV264" s="95"/>
      <c r="UZW264" s="95"/>
      <c r="UZX264" s="95"/>
      <c r="UZY264" s="95"/>
      <c r="UZZ264" s="95"/>
      <c r="VAA264" s="95"/>
      <c r="VAB264" s="95"/>
      <c r="VAC264" s="95"/>
      <c r="VAD264" s="95"/>
      <c r="VAE264" s="95"/>
      <c r="VAF264" s="95"/>
      <c r="VAG264" s="95"/>
      <c r="VAH264" s="95"/>
      <c r="VAI264" s="95"/>
      <c r="VAJ264" s="95"/>
      <c r="VAK264" s="95"/>
      <c r="VAL264" s="95"/>
      <c r="VAM264" s="95"/>
      <c r="VAN264" s="95"/>
      <c r="VAO264" s="95"/>
      <c r="VAP264" s="95"/>
      <c r="VAQ264" s="95"/>
      <c r="VAR264" s="95"/>
      <c r="VAS264" s="95"/>
      <c r="VAT264" s="95"/>
      <c r="VAU264" s="95"/>
      <c r="VAV264" s="95"/>
      <c r="VAW264" s="95"/>
      <c r="VAX264" s="95"/>
      <c r="VAY264" s="95"/>
      <c r="VAZ264" s="95"/>
      <c r="VBA264" s="95"/>
      <c r="VBB264" s="95"/>
      <c r="VBC264" s="95"/>
      <c r="VBD264" s="95"/>
      <c r="VBE264" s="95"/>
      <c r="VBF264" s="95"/>
      <c r="VBG264" s="95"/>
      <c r="VBH264" s="95"/>
      <c r="VBI264" s="95"/>
      <c r="VBJ264" s="95"/>
      <c r="VBK264" s="95"/>
      <c r="VBL264" s="95"/>
      <c r="VBM264" s="95"/>
      <c r="VBN264" s="95"/>
      <c r="VBO264" s="95"/>
      <c r="VBP264" s="95"/>
      <c r="VBQ264" s="95"/>
      <c r="VBR264" s="95"/>
      <c r="VBS264" s="95"/>
      <c r="VBT264" s="95"/>
      <c r="VBU264" s="95"/>
      <c r="VBV264" s="95"/>
      <c r="VBW264" s="95"/>
      <c r="VBX264" s="95"/>
      <c r="VBY264" s="95"/>
      <c r="VBZ264" s="95"/>
      <c r="VCA264" s="95"/>
      <c r="VCB264" s="95"/>
      <c r="VCC264" s="95"/>
      <c r="VCD264" s="95"/>
      <c r="VCE264" s="95"/>
      <c r="VCF264" s="95"/>
      <c r="VCG264" s="95"/>
      <c r="VCH264" s="95"/>
      <c r="VCI264" s="95"/>
      <c r="VCJ264" s="95"/>
      <c r="VCK264" s="95"/>
      <c r="VCL264" s="95"/>
      <c r="VCM264" s="95"/>
      <c r="VCN264" s="95"/>
      <c r="VCO264" s="95"/>
      <c r="VCP264" s="95"/>
      <c r="VCQ264" s="95"/>
      <c r="VCR264" s="95"/>
      <c r="VCS264" s="95"/>
      <c r="VCT264" s="95"/>
      <c r="VCU264" s="95"/>
      <c r="VCV264" s="95"/>
      <c r="VCW264" s="95"/>
      <c r="VCX264" s="95"/>
      <c r="VCY264" s="95"/>
      <c r="VCZ264" s="95"/>
      <c r="VDA264" s="95"/>
      <c r="VDB264" s="95"/>
      <c r="VDC264" s="95"/>
      <c r="VDD264" s="95"/>
      <c r="VDE264" s="95"/>
      <c r="VDF264" s="95"/>
      <c r="VDG264" s="95"/>
      <c r="VDH264" s="95"/>
      <c r="VDI264" s="95"/>
      <c r="VDJ264" s="95"/>
      <c r="VDK264" s="95"/>
      <c r="VDL264" s="95"/>
      <c r="VDM264" s="95"/>
      <c r="VDN264" s="95"/>
      <c r="VDO264" s="95"/>
      <c r="VDP264" s="95"/>
      <c r="VDQ264" s="95"/>
      <c r="VDR264" s="95"/>
      <c r="VDS264" s="95"/>
      <c r="VDT264" s="95"/>
      <c r="VDU264" s="95"/>
      <c r="VDV264" s="95"/>
      <c r="VDW264" s="95"/>
      <c r="VDX264" s="95"/>
      <c r="VDY264" s="95"/>
      <c r="VDZ264" s="95"/>
      <c r="VEA264" s="95"/>
      <c r="VEB264" s="95"/>
      <c r="VEC264" s="95"/>
      <c r="VED264" s="95"/>
      <c r="VEE264" s="95"/>
      <c r="VEF264" s="95"/>
      <c r="VEG264" s="95"/>
      <c r="VEH264" s="95"/>
      <c r="VEI264" s="95"/>
      <c r="VEJ264" s="95"/>
      <c r="VEK264" s="95"/>
      <c r="VEL264" s="95"/>
      <c r="VEM264" s="95"/>
      <c r="VEN264" s="95"/>
      <c r="VEO264" s="95"/>
      <c r="VEP264" s="95"/>
      <c r="VEQ264" s="95"/>
      <c r="VER264" s="95"/>
      <c r="VES264" s="95"/>
      <c r="VET264" s="95"/>
      <c r="VEU264" s="95"/>
      <c r="VEV264" s="95"/>
      <c r="VEW264" s="95"/>
      <c r="VEX264" s="95"/>
      <c r="VEY264" s="95"/>
      <c r="VEZ264" s="95"/>
      <c r="VFA264" s="95"/>
      <c r="VFB264" s="95"/>
      <c r="VFC264" s="95"/>
      <c r="VFD264" s="95"/>
      <c r="VFE264" s="95"/>
      <c r="VFF264" s="95"/>
      <c r="VFG264" s="95"/>
      <c r="VFH264" s="95"/>
      <c r="VFI264" s="95"/>
      <c r="VFJ264" s="95"/>
      <c r="VFK264" s="95"/>
      <c r="VFL264" s="95"/>
      <c r="VFM264" s="95"/>
      <c r="VFN264" s="95"/>
      <c r="VFO264" s="95"/>
      <c r="VFP264" s="95"/>
      <c r="VFQ264" s="95"/>
      <c r="VFR264" s="95"/>
      <c r="VFS264" s="95"/>
      <c r="VFT264" s="95"/>
      <c r="VFU264" s="95"/>
      <c r="VFV264" s="95"/>
      <c r="VFW264" s="95"/>
      <c r="VFX264" s="95"/>
      <c r="VFY264" s="95"/>
      <c r="VFZ264" s="95"/>
      <c r="VGA264" s="95"/>
      <c r="VGB264" s="95"/>
      <c r="VGC264" s="95"/>
      <c r="VGD264" s="95"/>
      <c r="VGE264" s="95"/>
      <c r="VGF264" s="95"/>
      <c r="VGG264" s="95"/>
      <c r="VGH264" s="95"/>
      <c r="VGI264" s="95"/>
      <c r="VGJ264" s="95"/>
      <c r="VGK264" s="95"/>
      <c r="VGL264" s="95"/>
      <c r="VGM264" s="95"/>
      <c r="VGN264" s="95"/>
      <c r="VGO264" s="95"/>
      <c r="VGP264" s="95"/>
      <c r="VGQ264" s="95"/>
      <c r="VGR264" s="95"/>
      <c r="VGS264" s="95"/>
      <c r="VGT264" s="95"/>
      <c r="VGU264" s="95"/>
      <c r="VGV264" s="95"/>
      <c r="VGW264" s="95"/>
      <c r="VGX264" s="95"/>
      <c r="VGY264" s="95"/>
      <c r="VGZ264" s="95"/>
      <c r="VHA264" s="95"/>
      <c r="VHB264" s="95"/>
      <c r="VHC264" s="95"/>
      <c r="VHD264" s="95"/>
      <c r="VHE264" s="95"/>
      <c r="VHF264" s="95"/>
      <c r="VHG264" s="95"/>
      <c r="VHH264" s="95"/>
      <c r="VHI264" s="95"/>
      <c r="VHJ264" s="95"/>
      <c r="VHK264" s="95"/>
      <c r="VHL264" s="95"/>
      <c r="VHM264" s="95"/>
      <c r="VHN264" s="95"/>
      <c r="VHO264" s="95"/>
      <c r="VHP264" s="95"/>
      <c r="VHQ264" s="95"/>
      <c r="VHR264" s="95"/>
      <c r="VHS264" s="95"/>
      <c r="VHT264" s="95"/>
      <c r="VHU264" s="95"/>
      <c r="VHV264" s="95"/>
      <c r="VHW264" s="95"/>
      <c r="VHX264" s="95"/>
      <c r="VHY264" s="95"/>
      <c r="VHZ264" s="95"/>
      <c r="VIA264" s="95"/>
      <c r="VIB264" s="95"/>
      <c r="VIC264" s="95"/>
      <c r="VID264" s="95"/>
      <c r="VIE264" s="95"/>
      <c r="VIF264" s="95"/>
      <c r="VIG264" s="95"/>
      <c r="VIH264" s="95"/>
      <c r="VII264" s="95"/>
      <c r="VIJ264" s="95"/>
      <c r="VIK264" s="95"/>
      <c r="VIL264" s="95"/>
      <c r="VIM264" s="95"/>
      <c r="VIN264" s="95"/>
      <c r="VIO264" s="95"/>
      <c r="VIP264" s="95"/>
      <c r="VIQ264" s="95"/>
      <c r="VIR264" s="95"/>
      <c r="VIS264" s="95"/>
      <c r="VIT264" s="95"/>
      <c r="VIU264" s="95"/>
      <c r="VIV264" s="95"/>
      <c r="VIW264" s="95"/>
      <c r="VIX264" s="95"/>
      <c r="VIY264" s="95"/>
      <c r="VIZ264" s="95"/>
      <c r="VJA264" s="95"/>
      <c r="VJB264" s="95"/>
      <c r="VJC264" s="95"/>
      <c r="VJD264" s="95"/>
      <c r="VJE264" s="95"/>
      <c r="VJF264" s="95"/>
      <c r="VJG264" s="95"/>
      <c r="VJH264" s="95"/>
      <c r="VJI264" s="95"/>
      <c r="VJJ264" s="95"/>
      <c r="VJK264" s="95"/>
      <c r="VJL264" s="95"/>
      <c r="VJM264" s="95"/>
      <c r="VJN264" s="95"/>
      <c r="VJO264" s="95"/>
      <c r="VJP264" s="95"/>
      <c r="VJQ264" s="95"/>
      <c r="VJR264" s="95"/>
      <c r="VJS264" s="95"/>
      <c r="VJT264" s="95"/>
      <c r="VJU264" s="95"/>
      <c r="VJV264" s="95"/>
      <c r="VJW264" s="95"/>
      <c r="VJX264" s="95"/>
      <c r="VJY264" s="95"/>
      <c r="VJZ264" s="95"/>
      <c r="VKA264" s="95"/>
      <c r="VKB264" s="95"/>
      <c r="VKC264" s="95"/>
      <c r="VKD264" s="95"/>
      <c r="VKE264" s="95"/>
      <c r="VKF264" s="95"/>
      <c r="VKG264" s="95"/>
      <c r="VKH264" s="95"/>
      <c r="VKI264" s="95"/>
      <c r="VKJ264" s="95"/>
      <c r="VKK264" s="95"/>
      <c r="VKL264" s="95"/>
      <c r="VKM264" s="95"/>
      <c r="VKN264" s="95"/>
      <c r="VKO264" s="95"/>
      <c r="VKP264" s="95"/>
      <c r="VKQ264" s="95"/>
      <c r="VKR264" s="95"/>
      <c r="VKS264" s="95"/>
      <c r="VKT264" s="95"/>
      <c r="VKU264" s="95"/>
      <c r="VKV264" s="95"/>
      <c r="VKW264" s="95"/>
      <c r="VKX264" s="95"/>
      <c r="VKY264" s="95"/>
      <c r="VKZ264" s="95"/>
      <c r="VLA264" s="95"/>
      <c r="VLB264" s="95"/>
      <c r="VLC264" s="95"/>
      <c r="VLD264" s="95"/>
      <c r="VLE264" s="95"/>
      <c r="VLF264" s="95"/>
      <c r="VLG264" s="95"/>
      <c r="VLH264" s="95"/>
      <c r="VLI264" s="95"/>
      <c r="VLJ264" s="95"/>
      <c r="VLK264" s="95"/>
      <c r="VLL264" s="95"/>
      <c r="VLM264" s="95"/>
      <c r="VLN264" s="95"/>
      <c r="VLO264" s="95"/>
      <c r="VLP264" s="95"/>
      <c r="VLQ264" s="95"/>
      <c r="VLR264" s="95"/>
      <c r="VLS264" s="95"/>
      <c r="VLT264" s="95"/>
      <c r="VLU264" s="95"/>
      <c r="VLV264" s="95"/>
      <c r="VLW264" s="95"/>
      <c r="VLX264" s="95"/>
      <c r="VLY264" s="95"/>
      <c r="VLZ264" s="95"/>
      <c r="VMA264" s="95"/>
      <c r="VMB264" s="95"/>
      <c r="VMC264" s="95"/>
      <c r="VMD264" s="95"/>
      <c r="VME264" s="95"/>
      <c r="VMF264" s="95"/>
      <c r="VMG264" s="95"/>
      <c r="VMH264" s="95"/>
      <c r="VMI264" s="95"/>
      <c r="VMJ264" s="95"/>
      <c r="VMK264" s="95"/>
      <c r="VML264" s="95"/>
      <c r="VMM264" s="95"/>
      <c r="VMN264" s="95"/>
      <c r="VMO264" s="95"/>
      <c r="VMP264" s="95"/>
      <c r="VMQ264" s="95"/>
      <c r="VMR264" s="95"/>
      <c r="VMS264" s="95"/>
      <c r="VMT264" s="95"/>
      <c r="VMU264" s="95"/>
      <c r="VMV264" s="95"/>
      <c r="VMW264" s="95"/>
      <c r="VMX264" s="95"/>
      <c r="VMY264" s="95"/>
      <c r="VMZ264" s="95"/>
      <c r="VNA264" s="95"/>
      <c r="VNB264" s="95"/>
      <c r="VNC264" s="95"/>
      <c r="VND264" s="95"/>
      <c r="VNE264" s="95"/>
      <c r="VNF264" s="95"/>
      <c r="VNG264" s="95"/>
      <c r="VNH264" s="95"/>
      <c r="VNI264" s="95"/>
      <c r="VNJ264" s="95"/>
      <c r="VNK264" s="95"/>
      <c r="VNL264" s="95"/>
      <c r="VNM264" s="95"/>
      <c r="VNN264" s="95"/>
      <c r="VNO264" s="95"/>
      <c r="VNP264" s="95"/>
      <c r="VNQ264" s="95"/>
      <c r="VNR264" s="95"/>
      <c r="VNS264" s="95"/>
      <c r="VNT264" s="95"/>
      <c r="VNU264" s="95"/>
      <c r="VNV264" s="95"/>
      <c r="VNW264" s="95"/>
      <c r="VNX264" s="95"/>
      <c r="VNY264" s="95"/>
      <c r="VNZ264" s="95"/>
      <c r="VOA264" s="95"/>
      <c r="VOB264" s="95"/>
      <c r="VOC264" s="95"/>
      <c r="VOD264" s="95"/>
      <c r="VOE264" s="95"/>
      <c r="VOF264" s="95"/>
      <c r="VOG264" s="95"/>
      <c r="VOH264" s="95"/>
      <c r="VOI264" s="95"/>
      <c r="VOJ264" s="95"/>
      <c r="VOK264" s="95"/>
      <c r="VOL264" s="95"/>
      <c r="VOM264" s="95"/>
      <c r="VON264" s="95"/>
      <c r="VOO264" s="95"/>
      <c r="VOP264" s="95"/>
      <c r="VOQ264" s="95"/>
      <c r="VOR264" s="95"/>
      <c r="VOS264" s="95"/>
      <c r="VOT264" s="95"/>
      <c r="VOU264" s="95"/>
      <c r="VOV264" s="95"/>
      <c r="VOW264" s="95"/>
      <c r="VOX264" s="95"/>
      <c r="VOY264" s="95"/>
      <c r="VOZ264" s="95"/>
      <c r="VPA264" s="95"/>
      <c r="VPB264" s="95"/>
      <c r="VPC264" s="95"/>
      <c r="VPD264" s="95"/>
      <c r="VPE264" s="95"/>
      <c r="VPF264" s="95"/>
      <c r="VPG264" s="95"/>
      <c r="VPH264" s="95"/>
      <c r="VPI264" s="95"/>
      <c r="VPJ264" s="95"/>
      <c r="VPK264" s="95"/>
      <c r="VPL264" s="95"/>
      <c r="VPM264" s="95"/>
      <c r="VPN264" s="95"/>
      <c r="VPO264" s="95"/>
      <c r="VPP264" s="95"/>
      <c r="VPQ264" s="95"/>
      <c r="VPR264" s="95"/>
      <c r="VPS264" s="95"/>
      <c r="VPT264" s="95"/>
      <c r="VPU264" s="95"/>
      <c r="VPV264" s="95"/>
      <c r="VPW264" s="95"/>
      <c r="VPX264" s="95"/>
      <c r="VPY264" s="95"/>
      <c r="VPZ264" s="95"/>
      <c r="VQA264" s="95"/>
      <c r="VQB264" s="95"/>
      <c r="VQC264" s="95"/>
      <c r="VQD264" s="95"/>
      <c r="VQE264" s="95"/>
      <c r="VQF264" s="95"/>
      <c r="VQG264" s="95"/>
      <c r="VQH264" s="95"/>
      <c r="VQI264" s="95"/>
      <c r="VQJ264" s="95"/>
      <c r="VQK264" s="95"/>
      <c r="VQL264" s="95"/>
      <c r="VQM264" s="95"/>
      <c r="VQN264" s="95"/>
      <c r="VQO264" s="95"/>
      <c r="VQP264" s="95"/>
      <c r="VQQ264" s="95"/>
      <c r="VQR264" s="95"/>
      <c r="VQS264" s="95"/>
      <c r="VQT264" s="95"/>
      <c r="VQU264" s="95"/>
      <c r="VQV264" s="95"/>
      <c r="VQW264" s="95"/>
      <c r="VQX264" s="95"/>
      <c r="VQY264" s="95"/>
      <c r="VQZ264" s="95"/>
      <c r="VRA264" s="95"/>
      <c r="VRB264" s="95"/>
      <c r="VRC264" s="95"/>
      <c r="VRD264" s="95"/>
      <c r="VRE264" s="95"/>
      <c r="VRF264" s="95"/>
      <c r="VRG264" s="95"/>
      <c r="VRH264" s="95"/>
      <c r="VRI264" s="95"/>
      <c r="VRJ264" s="95"/>
      <c r="VRK264" s="95"/>
      <c r="VRL264" s="95"/>
      <c r="VRM264" s="95"/>
      <c r="VRN264" s="95"/>
      <c r="VRO264" s="95"/>
      <c r="VRP264" s="95"/>
      <c r="VRQ264" s="95"/>
      <c r="VRR264" s="95"/>
      <c r="VRS264" s="95"/>
      <c r="VRT264" s="95"/>
      <c r="VRU264" s="95"/>
      <c r="VRV264" s="95"/>
      <c r="VRW264" s="95"/>
      <c r="VRX264" s="95"/>
      <c r="VRY264" s="95"/>
      <c r="VRZ264" s="95"/>
      <c r="VSA264" s="95"/>
      <c r="VSB264" s="95"/>
      <c r="VSC264" s="95"/>
      <c r="VSD264" s="95"/>
      <c r="VSE264" s="95"/>
      <c r="VSF264" s="95"/>
      <c r="VSG264" s="95"/>
      <c r="VSH264" s="95"/>
      <c r="VSI264" s="95"/>
      <c r="VSJ264" s="95"/>
      <c r="VSK264" s="95"/>
      <c r="VSL264" s="95"/>
      <c r="VSM264" s="95"/>
      <c r="VSN264" s="95"/>
      <c r="VSO264" s="95"/>
      <c r="VSP264" s="95"/>
      <c r="VSQ264" s="95"/>
      <c r="VSR264" s="95"/>
      <c r="VSS264" s="95"/>
      <c r="VST264" s="95"/>
      <c r="VSU264" s="95"/>
      <c r="VSV264" s="95"/>
      <c r="VSW264" s="95"/>
      <c r="VSX264" s="95"/>
      <c r="VSY264" s="95"/>
      <c r="VSZ264" s="95"/>
      <c r="VTA264" s="95"/>
      <c r="VTB264" s="95"/>
      <c r="VTC264" s="95"/>
      <c r="VTD264" s="95"/>
      <c r="VTE264" s="95"/>
      <c r="VTF264" s="95"/>
      <c r="VTG264" s="95"/>
      <c r="VTH264" s="95"/>
      <c r="VTI264" s="95"/>
      <c r="VTJ264" s="95"/>
      <c r="VTK264" s="95"/>
      <c r="VTL264" s="95"/>
      <c r="VTM264" s="95"/>
      <c r="VTN264" s="95"/>
      <c r="VTO264" s="95"/>
      <c r="VTP264" s="95"/>
      <c r="VTQ264" s="95"/>
      <c r="VTR264" s="95"/>
      <c r="VTS264" s="95"/>
      <c r="VTT264" s="95"/>
      <c r="VTU264" s="95"/>
      <c r="VTV264" s="95"/>
      <c r="VTW264" s="95"/>
      <c r="VTX264" s="95"/>
      <c r="VTY264" s="95"/>
      <c r="VTZ264" s="95"/>
      <c r="VUA264" s="95"/>
      <c r="VUB264" s="95"/>
      <c r="VUC264" s="95"/>
      <c r="VUD264" s="95"/>
      <c r="VUE264" s="95"/>
      <c r="VUF264" s="95"/>
      <c r="VUG264" s="95"/>
      <c r="VUH264" s="95"/>
      <c r="VUI264" s="95"/>
      <c r="VUJ264" s="95"/>
      <c r="VUK264" s="95"/>
      <c r="VUL264" s="95"/>
      <c r="VUM264" s="95"/>
      <c r="VUN264" s="95"/>
      <c r="VUO264" s="95"/>
      <c r="VUP264" s="95"/>
      <c r="VUQ264" s="95"/>
      <c r="VUR264" s="95"/>
      <c r="VUS264" s="95"/>
      <c r="VUT264" s="95"/>
      <c r="VUU264" s="95"/>
      <c r="VUV264" s="95"/>
      <c r="VUW264" s="95"/>
      <c r="VUX264" s="95"/>
      <c r="VUY264" s="95"/>
      <c r="VUZ264" s="95"/>
      <c r="VVA264" s="95"/>
      <c r="VVB264" s="95"/>
      <c r="VVC264" s="95"/>
      <c r="VVD264" s="95"/>
      <c r="VVE264" s="95"/>
      <c r="VVF264" s="95"/>
      <c r="VVG264" s="95"/>
      <c r="VVH264" s="95"/>
      <c r="VVI264" s="95"/>
      <c r="VVJ264" s="95"/>
      <c r="VVK264" s="95"/>
      <c r="VVL264" s="95"/>
      <c r="VVM264" s="95"/>
      <c r="VVN264" s="95"/>
      <c r="VVO264" s="95"/>
      <c r="VVP264" s="95"/>
      <c r="VVQ264" s="95"/>
      <c r="VVR264" s="95"/>
      <c r="VVS264" s="95"/>
      <c r="VVT264" s="95"/>
      <c r="VVU264" s="95"/>
      <c r="VVV264" s="95"/>
      <c r="VVW264" s="95"/>
      <c r="VVX264" s="95"/>
      <c r="VVY264" s="95"/>
      <c r="VVZ264" s="95"/>
      <c r="VWA264" s="95"/>
      <c r="VWB264" s="95"/>
      <c r="VWC264" s="95"/>
      <c r="VWD264" s="95"/>
      <c r="VWE264" s="95"/>
      <c r="VWF264" s="95"/>
      <c r="VWG264" s="95"/>
      <c r="VWH264" s="95"/>
      <c r="VWI264" s="95"/>
      <c r="VWJ264" s="95"/>
      <c r="VWK264" s="95"/>
      <c r="VWL264" s="95"/>
      <c r="VWM264" s="95"/>
      <c r="VWN264" s="95"/>
      <c r="VWO264" s="95"/>
      <c r="VWP264" s="95"/>
      <c r="VWQ264" s="95"/>
      <c r="VWR264" s="95"/>
      <c r="VWS264" s="95"/>
      <c r="VWT264" s="95"/>
      <c r="VWU264" s="95"/>
      <c r="VWV264" s="95"/>
      <c r="VWW264" s="95"/>
      <c r="VWX264" s="95"/>
      <c r="VWY264" s="95"/>
      <c r="VWZ264" s="95"/>
      <c r="VXA264" s="95"/>
      <c r="VXB264" s="95"/>
      <c r="VXC264" s="95"/>
      <c r="VXD264" s="95"/>
      <c r="VXE264" s="95"/>
      <c r="VXF264" s="95"/>
      <c r="VXG264" s="95"/>
      <c r="VXH264" s="95"/>
      <c r="VXI264" s="95"/>
      <c r="VXJ264" s="95"/>
      <c r="VXK264" s="95"/>
      <c r="VXL264" s="95"/>
      <c r="VXM264" s="95"/>
      <c r="VXN264" s="95"/>
      <c r="VXO264" s="95"/>
      <c r="VXP264" s="95"/>
      <c r="VXQ264" s="95"/>
      <c r="VXR264" s="95"/>
      <c r="VXS264" s="95"/>
      <c r="VXT264" s="95"/>
      <c r="VXU264" s="95"/>
      <c r="VXV264" s="95"/>
      <c r="VXW264" s="95"/>
      <c r="VXX264" s="95"/>
      <c r="VXY264" s="95"/>
      <c r="VXZ264" s="95"/>
      <c r="VYA264" s="95"/>
      <c r="VYB264" s="95"/>
      <c r="VYC264" s="95"/>
      <c r="VYD264" s="95"/>
      <c r="VYE264" s="95"/>
      <c r="VYF264" s="95"/>
      <c r="VYG264" s="95"/>
      <c r="VYH264" s="95"/>
      <c r="VYI264" s="95"/>
      <c r="VYJ264" s="95"/>
      <c r="VYK264" s="95"/>
      <c r="VYL264" s="95"/>
      <c r="VYM264" s="95"/>
      <c r="VYN264" s="95"/>
      <c r="VYO264" s="95"/>
      <c r="VYP264" s="95"/>
      <c r="VYQ264" s="95"/>
      <c r="VYR264" s="95"/>
      <c r="VYS264" s="95"/>
      <c r="VYT264" s="95"/>
      <c r="VYU264" s="95"/>
      <c r="VYV264" s="95"/>
      <c r="VYW264" s="95"/>
      <c r="VYX264" s="95"/>
      <c r="VYY264" s="95"/>
      <c r="VYZ264" s="95"/>
      <c r="VZA264" s="95"/>
      <c r="VZB264" s="95"/>
      <c r="VZC264" s="95"/>
      <c r="VZD264" s="95"/>
      <c r="VZE264" s="95"/>
      <c r="VZF264" s="95"/>
      <c r="VZG264" s="95"/>
      <c r="VZH264" s="95"/>
      <c r="VZI264" s="95"/>
      <c r="VZJ264" s="95"/>
      <c r="VZK264" s="95"/>
      <c r="VZL264" s="95"/>
      <c r="VZM264" s="95"/>
      <c r="VZN264" s="95"/>
      <c r="VZO264" s="95"/>
      <c r="VZP264" s="95"/>
      <c r="VZQ264" s="95"/>
      <c r="VZR264" s="95"/>
      <c r="VZS264" s="95"/>
      <c r="VZT264" s="95"/>
      <c r="VZU264" s="95"/>
      <c r="VZV264" s="95"/>
      <c r="VZW264" s="95"/>
      <c r="VZX264" s="95"/>
      <c r="VZY264" s="95"/>
      <c r="VZZ264" s="95"/>
      <c r="WAA264" s="95"/>
      <c r="WAB264" s="95"/>
      <c r="WAC264" s="95"/>
      <c r="WAD264" s="95"/>
      <c r="WAE264" s="95"/>
      <c r="WAF264" s="95"/>
      <c r="WAG264" s="95"/>
      <c r="WAH264" s="95"/>
      <c r="WAI264" s="95"/>
      <c r="WAJ264" s="95"/>
      <c r="WAK264" s="95"/>
      <c r="WAL264" s="95"/>
      <c r="WAM264" s="95"/>
      <c r="WAN264" s="95"/>
      <c r="WAO264" s="95"/>
      <c r="WAP264" s="95"/>
      <c r="WAQ264" s="95"/>
      <c r="WAR264" s="95"/>
      <c r="WAS264" s="95"/>
      <c r="WAT264" s="95"/>
      <c r="WAU264" s="95"/>
      <c r="WAV264" s="95"/>
      <c r="WAW264" s="95"/>
      <c r="WAX264" s="95"/>
      <c r="WAY264" s="95"/>
      <c r="WAZ264" s="95"/>
      <c r="WBA264" s="95"/>
      <c r="WBB264" s="95"/>
      <c r="WBC264" s="95"/>
      <c r="WBD264" s="95"/>
      <c r="WBE264" s="95"/>
      <c r="WBF264" s="95"/>
      <c r="WBG264" s="95"/>
      <c r="WBH264" s="95"/>
      <c r="WBI264" s="95"/>
      <c r="WBJ264" s="95"/>
      <c r="WBK264" s="95"/>
      <c r="WBL264" s="95"/>
      <c r="WBM264" s="95"/>
      <c r="WBN264" s="95"/>
      <c r="WBO264" s="95"/>
      <c r="WBP264" s="95"/>
      <c r="WBQ264" s="95"/>
      <c r="WBR264" s="95"/>
      <c r="WBS264" s="95"/>
      <c r="WBT264" s="95"/>
      <c r="WBU264" s="95"/>
      <c r="WBV264" s="95"/>
      <c r="WBW264" s="95"/>
      <c r="WBX264" s="95"/>
      <c r="WBY264" s="95"/>
      <c r="WBZ264" s="95"/>
      <c r="WCA264" s="95"/>
      <c r="WCB264" s="95"/>
      <c r="WCC264" s="95"/>
      <c r="WCD264" s="95"/>
      <c r="WCE264" s="95"/>
      <c r="WCF264" s="95"/>
      <c r="WCG264" s="95"/>
      <c r="WCH264" s="95"/>
      <c r="WCI264" s="95"/>
      <c r="WCJ264" s="95"/>
      <c r="WCK264" s="95"/>
      <c r="WCL264" s="95"/>
      <c r="WCM264" s="95"/>
      <c r="WCN264" s="95"/>
      <c r="WCO264" s="95"/>
      <c r="WCP264" s="95"/>
      <c r="WCQ264" s="95"/>
      <c r="WCR264" s="95"/>
      <c r="WCS264" s="95"/>
      <c r="WCT264" s="95"/>
      <c r="WCU264" s="95"/>
      <c r="WCV264" s="95"/>
      <c r="WCW264" s="95"/>
      <c r="WCX264" s="95"/>
      <c r="WCY264" s="95"/>
      <c r="WCZ264" s="95"/>
      <c r="WDA264" s="95"/>
      <c r="WDB264" s="95"/>
      <c r="WDC264" s="95"/>
      <c r="WDD264" s="95"/>
      <c r="WDE264" s="95"/>
      <c r="WDF264" s="95"/>
      <c r="WDG264" s="95"/>
      <c r="WDH264" s="95"/>
      <c r="WDI264" s="95"/>
      <c r="WDJ264" s="95"/>
      <c r="WDK264" s="95"/>
      <c r="WDL264" s="95"/>
      <c r="WDM264" s="95"/>
      <c r="WDN264" s="95"/>
      <c r="WDO264" s="95"/>
      <c r="WDP264" s="95"/>
      <c r="WDQ264" s="95"/>
      <c r="WDR264" s="95"/>
      <c r="WDS264" s="95"/>
      <c r="WDT264" s="95"/>
      <c r="WDU264" s="95"/>
      <c r="WDV264" s="95"/>
      <c r="WDW264" s="95"/>
      <c r="WDX264" s="95"/>
      <c r="WDY264" s="95"/>
      <c r="WDZ264" s="95"/>
      <c r="WEA264" s="95"/>
      <c r="WEB264" s="95"/>
      <c r="WEC264" s="95"/>
      <c r="WED264" s="95"/>
      <c r="WEE264" s="95"/>
      <c r="WEF264" s="95"/>
      <c r="WEG264" s="95"/>
      <c r="WEH264" s="95"/>
      <c r="WEI264" s="95"/>
      <c r="WEJ264" s="95"/>
      <c r="WEK264" s="95"/>
      <c r="WEL264" s="95"/>
      <c r="WEM264" s="95"/>
      <c r="WEN264" s="95"/>
      <c r="WEO264" s="95"/>
      <c r="WEP264" s="95"/>
      <c r="WEQ264" s="95"/>
      <c r="WER264" s="95"/>
      <c r="WES264" s="95"/>
      <c r="WET264" s="95"/>
      <c r="WEU264" s="95"/>
      <c r="WEV264" s="95"/>
      <c r="WEW264" s="95"/>
      <c r="WEX264" s="95"/>
      <c r="WEY264" s="95"/>
      <c r="WEZ264" s="95"/>
      <c r="WFA264" s="95"/>
      <c r="WFB264" s="95"/>
      <c r="WFC264" s="95"/>
      <c r="WFD264" s="95"/>
      <c r="WFE264" s="95"/>
      <c r="WFF264" s="95"/>
      <c r="WFG264" s="95"/>
      <c r="WFH264" s="95"/>
      <c r="WFI264" s="95"/>
      <c r="WFJ264" s="95"/>
      <c r="WFK264" s="95"/>
      <c r="WFL264" s="95"/>
      <c r="WFM264" s="95"/>
      <c r="WFN264" s="95"/>
      <c r="WFO264" s="95"/>
      <c r="WFP264" s="95"/>
      <c r="WFQ264" s="95"/>
      <c r="WFR264" s="95"/>
      <c r="WFS264" s="95"/>
      <c r="WFT264" s="95"/>
      <c r="WFU264" s="95"/>
      <c r="WFV264" s="95"/>
      <c r="WFW264" s="95"/>
      <c r="WFX264" s="95"/>
      <c r="WFY264" s="95"/>
      <c r="WFZ264" s="95"/>
      <c r="WGA264" s="95"/>
      <c r="WGB264" s="95"/>
      <c r="WGC264" s="95"/>
      <c r="WGD264" s="95"/>
      <c r="WGE264" s="95"/>
      <c r="WGF264" s="95"/>
      <c r="WGG264" s="95"/>
      <c r="WGH264" s="95"/>
      <c r="WGI264" s="95"/>
      <c r="WGJ264" s="95"/>
      <c r="WGK264" s="95"/>
      <c r="WGL264" s="95"/>
      <c r="WGM264" s="95"/>
      <c r="WGN264" s="95"/>
      <c r="WGO264" s="95"/>
      <c r="WGP264" s="95"/>
      <c r="WGQ264" s="95"/>
      <c r="WGR264" s="95"/>
      <c r="WGS264" s="95"/>
      <c r="WGT264" s="95"/>
      <c r="WGU264" s="95"/>
      <c r="WGV264" s="95"/>
      <c r="WGW264" s="95"/>
      <c r="WGX264" s="95"/>
      <c r="WGY264" s="95"/>
      <c r="WGZ264" s="95"/>
      <c r="WHA264" s="95"/>
      <c r="WHB264" s="95"/>
      <c r="WHC264" s="95"/>
      <c r="WHD264" s="95"/>
      <c r="WHE264" s="95"/>
      <c r="WHF264" s="95"/>
      <c r="WHG264" s="95"/>
      <c r="WHH264" s="95"/>
      <c r="WHI264" s="95"/>
      <c r="WHJ264" s="95"/>
      <c r="WHK264" s="95"/>
      <c r="WHL264" s="95"/>
      <c r="WHM264" s="95"/>
      <c r="WHN264" s="95"/>
      <c r="WHO264" s="95"/>
      <c r="WHP264" s="95"/>
      <c r="WHQ264" s="95"/>
      <c r="WHR264" s="95"/>
      <c r="WHS264" s="95"/>
      <c r="WHT264" s="95"/>
      <c r="WHU264" s="95"/>
      <c r="WHV264" s="95"/>
      <c r="WHW264" s="95"/>
      <c r="WHX264" s="95"/>
      <c r="WHY264" s="95"/>
      <c r="WHZ264" s="95"/>
      <c r="WIA264" s="95"/>
      <c r="WIB264" s="95"/>
      <c r="WIC264" s="95"/>
      <c r="WID264" s="95"/>
      <c r="WIE264" s="95"/>
      <c r="WIF264" s="95"/>
      <c r="WIG264" s="95"/>
      <c r="WIH264" s="95"/>
      <c r="WII264" s="95"/>
      <c r="WIJ264" s="95"/>
      <c r="WIK264" s="95"/>
      <c r="WIL264" s="95"/>
      <c r="WIM264" s="95"/>
      <c r="WIN264" s="95"/>
      <c r="WIO264" s="95"/>
      <c r="WIP264" s="95"/>
      <c r="WIQ264" s="95"/>
      <c r="WIR264" s="95"/>
      <c r="WIS264" s="95"/>
      <c r="WIT264" s="95"/>
      <c r="WIU264" s="95"/>
      <c r="WIV264" s="95"/>
      <c r="WIW264" s="95"/>
      <c r="WIX264" s="95"/>
      <c r="WIY264" s="95"/>
      <c r="WIZ264" s="95"/>
      <c r="WJA264" s="95"/>
      <c r="WJB264" s="95"/>
      <c r="WJC264" s="95"/>
      <c r="WJD264" s="95"/>
      <c r="WJE264" s="95"/>
      <c r="WJF264" s="95"/>
      <c r="WJG264" s="95"/>
      <c r="WJH264" s="95"/>
      <c r="WJI264" s="95"/>
      <c r="WJJ264" s="95"/>
      <c r="WJK264" s="95"/>
      <c r="WJL264" s="95"/>
      <c r="WJM264" s="95"/>
      <c r="WJN264" s="95"/>
      <c r="WJO264" s="95"/>
      <c r="WJP264" s="95"/>
      <c r="WJQ264" s="95"/>
      <c r="WJR264" s="95"/>
      <c r="WJS264" s="95"/>
      <c r="WJT264" s="95"/>
      <c r="WJU264" s="95"/>
      <c r="WJV264" s="95"/>
      <c r="WJW264" s="95"/>
      <c r="WJX264" s="95"/>
      <c r="WJY264" s="95"/>
      <c r="WJZ264" s="95"/>
      <c r="WKA264" s="95"/>
      <c r="WKB264" s="95"/>
      <c r="WKC264" s="95"/>
      <c r="WKD264" s="95"/>
      <c r="WKE264" s="95"/>
      <c r="WKF264" s="95"/>
      <c r="WKG264" s="95"/>
      <c r="WKH264" s="95"/>
      <c r="WKI264" s="95"/>
      <c r="WKJ264" s="95"/>
      <c r="WKK264" s="95"/>
      <c r="WKL264" s="95"/>
      <c r="WKM264" s="95"/>
      <c r="WKN264" s="95"/>
      <c r="WKO264" s="95"/>
      <c r="WKP264" s="95"/>
      <c r="WKQ264" s="95"/>
      <c r="WKR264" s="95"/>
      <c r="WKS264" s="95"/>
      <c r="WKT264" s="95"/>
      <c r="WKU264" s="95"/>
      <c r="WKV264" s="95"/>
      <c r="WKW264" s="95"/>
      <c r="WKX264" s="95"/>
      <c r="WKY264" s="95"/>
      <c r="WKZ264" s="95"/>
      <c r="WLA264" s="95"/>
      <c r="WLB264" s="95"/>
      <c r="WLC264" s="95"/>
      <c r="WLD264" s="95"/>
      <c r="WLE264" s="95"/>
      <c r="WLF264" s="95"/>
      <c r="WLG264" s="95"/>
      <c r="WLH264" s="95"/>
      <c r="WLI264" s="95"/>
      <c r="WLJ264" s="95"/>
      <c r="WLK264" s="95"/>
      <c r="WLL264" s="95"/>
      <c r="WLM264" s="95"/>
      <c r="WLN264" s="95"/>
      <c r="WLO264" s="95"/>
      <c r="WLP264" s="95"/>
      <c r="WLQ264" s="95"/>
      <c r="WLR264" s="95"/>
      <c r="WLS264" s="95"/>
      <c r="WLT264" s="95"/>
      <c r="WLU264" s="95"/>
      <c r="WLV264" s="95"/>
      <c r="WLW264" s="95"/>
      <c r="WLX264" s="95"/>
      <c r="WLY264" s="95"/>
      <c r="WLZ264" s="95"/>
      <c r="WMA264" s="95"/>
      <c r="WMB264" s="95"/>
      <c r="WMC264" s="95"/>
      <c r="WMD264" s="95"/>
      <c r="WME264" s="95"/>
      <c r="WMF264" s="95"/>
      <c r="WMG264" s="95"/>
      <c r="WMH264" s="95"/>
      <c r="WMI264" s="95"/>
      <c r="WMJ264" s="95"/>
      <c r="WMK264" s="95"/>
      <c r="WML264" s="95"/>
      <c r="WMM264" s="95"/>
      <c r="WMN264" s="95"/>
      <c r="WMO264" s="95"/>
      <c r="WMP264" s="95"/>
      <c r="WMQ264" s="95"/>
      <c r="WMR264" s="95"/>
      <c r="WMS264" s="95"/>
      <c r="WMT264" s="95"/>
      <c r="WMU264" s="95"/>
      <c r="WMV264" s="95"/>
      <c r="WMW264" s="95"/>
      <c r="WMX264" s="95"/>
      <c r="WMY264" s="95"/>
      <c r="WMZ264" s="95"/>
      <c r="WNA264" s="95"/>
      <c r="WNB264" s="95"/>
      <c r="WNC264" s="95"/>
      <c r="WND264" s="95"/>
      <c r="WNE264" s="95"/>
      <c r="WNF264" s="95"/>
      <c r="WNG264" s="95"/>
      <c r="WNH264" s="95"/>
      <c r="WNI264" s="95"/>
      <c r="WNJ264" s="95"/>
      <c r="WNK264" s="95"/>
      <c r="WNL264" s="95"/>
      <c r="WNM264" s="95"/>
      <c r="WNN264" s="95"/>
      <c r="WNO264" s="95"/>
      <c r="WNP264" s="95"/>
      <c r="WNQ264" s="95"/>
      <c r="WNR264" s="95"/>
      <c r="WNS264" s="95"/>
      <c r="WNT264" s="95"/>
      <c r="WNU264" s="95"/>
      <c r="WNV264" s="95"/>
      <c r="WNW264" s="95"/>
      <c r="WNX264" s="95"/>
      <c r="WNY264" s="95"/>
      <c r="WNZ264" s="95"/>
      <c r="WOA264" s="95"/>
      <c r="WOB264" s="95"/>
      <c r="WOC264" s="95"/>
      <c r="WOD264" s="95"/>
      <c r="WOE264" s="95"/>
      <c r="WOF264" s="95"/>
      <c r="WOG264" s="95"/>
      <c r="WOH264" s="95"/>
      <c r="WOI264" s="95"/>
      <c r="WOJ264" s="95"/>
      <c r="WOK264" s="95"/>
      <c r="WOL264" s="95"/>
      <c r="WOM264" s="95"/>
      <c r="WON264" s="95"/>
      <c r="WOO264" s="95"/>
      <c r="WOP264" s="95"/>
      <c r="WOQ264" s="95"/>
      <c r="WOR264" s="95"/>
      <c r="WOS264" s="95"/>
      <c r="WOT264" s="95"/>
      <c r="WOU264" s="95"/>
      <c r="WOV264" s="95"/>
      <c r="WOW264" s="95"/>
      <c r="WOX264" s="95"/>
      <c r="WOY264" s="95"/>
      <c r="WOZ264" s="95"/>
      <c r="WPA264" s="95"/>
      <c r="WPB264" s="95"/>
      <c r="WPC264" s="95"/>
      <c r="WPD264" s="95"/>
      <c r="WPE264" s="95"/>
      <c r="WPF264" s="95"/>
      <c r="WPG264" s="95"/>
      <c r="WPH264" s="95"/>
      <c r="WPI264" s="95"/>
      <c r="WPJ264" s="95"/>
      <c r="WPK264" s="95"/>
      <c r="WPL264" s="95"/>
      <c r="WPM264" s="95"/>
      <c r="WPN264" s="95"/>
      <c r="WPO264" s="95"/>
      <c r="WPP264" s="95"/>
      <c r="WPQ264" s="95"/>
      <c r="WPR264" s="95"/>
      <c r="WPS264" s="95"/>
      <c r="WPT264" s="95"/>
      <c r="WPU264" s="95"/>
      <c r="WPV264" s="95"/>
      <c r="WPW264" s="95"/>
      <c r="WPX264" s="95"/>
      <c r="WPY264" s="95"/>
      <c r="WPZ264" s="95"/>
      <c r="WQA264" s="95"/>
      <c r="WQB264" s="95"/>
      <c r="WQC264" s="95"/>
      <c r="WQD264" s="95"/>
      <c r="WQE264" s="95"/>
      <c r="WQF264" s="95"/>
      <c r="WQG264" s="95"/>
      <c r="WQH264" s="95"/>
      <c r="WQI264" s="95"/>
      <c r="WQJ264" s="95"/>
      <c r="WQK264" s="95"/>
      <c r="WQL264" s="95"/>
      <c r="WQM264" s="95"/>
      <c r="WQN264" s="95"/>
      <c r="WQO264" s="95"/>
      <c r="WQP264" s="95"/>
      <c r="WQQ264" s="95"/>
      <c r="WQR264" s="95"/>
      <c r="WQS264" s="95"/>
      <c r="WQT264" s="95"/>
      <c r="WQU264" s="95"/>
      <c r="WQV264" s="95"/>
      <c r="WQW264" s="95"/>
      <c r="WQX264" s="95"/>
      <c r="WQY264" s="95"/>
      <c r="WQZ264" s="95"/>
      <c r="WRA264" s="95"/>
      <c r="WRB264" s="95"/>
      <c r="WRC264" s="95"/>
      <c r="WRD264" s="95"/>
      <c r="WRE264" s="95"/>
      <c r="WRF264" s="95"/>
      <c r="WRG264" s="95"/>
      <c r="WRH264" s="95"/>
      <c r="WRI264" s="95"/>
      <c r="WRJ264" s="95"/>
      <c r="WRK264" s="95"/>
      <c r="WRL264" s="95"/>
      <c r="WRM264" s="95"/>
      <c r="WRN264" s="95"/>
      <c r="WRO264" s="95"/>
      <c r="WRP264" s="95"/>
      <c r="WRQ264" s="95"/>
      <c r="WRR264" s="95"/>
      <c r="WRS264" s="95"/>
      <c r="WRT264" s="95"/>
      <c r="WRU264" s="95"/>
      <c r="WRV264" s="95"/>
      <c r="WRW264" s="95"/>
      <c r="WRX264" s="95"/>
      <c r="WRY264" s="95"/>
      <c r="WRZ264" s="95"/>
      <c r="WSA264" s="95"/>
      <c r="WSB264" s="95"/>
      <c r="WSC264" s="95"/>
      <c r="WSD264" s="95"/>
      <c r="WSE264" s="95"/>
      <c r="WSF264" s="95"/>
      <c r="WSG264" s="95"/>
      <c r="WSH264" s="95"/>
      <c r="WSI264" s="95"/>
      <c r="WSJ264" s="95"/>
      <c r="WSK264" s="95"/>
      <c r="WSL264" s="95"/>
      <c r="WSM264" s="95"/>
      <c r="WSN264" s="95"/>
      <c r="WSO264" s="95"/>
      <c r="WSP264" s="95"/>
      <c r="WSQ264" s="95"/>
      <c r="WSR264" s="95"/>
      <c r="WSS264" s="95"/>
      <c r="WST264" s="95"/>
      <c r="WSU264" s="95"/>
      <c r="WSV264" s="95"/>
      <c r="WSW264" s="95"/>
      <c r="WSX264" s="95"/>
      <c r="WSY264" s="95"/>
      <c r="WSZ264" s="95"/>
      <c r="WTA264" s="95"/>
      <c r="WTB264" s="95"/>
      <c r="WTC264" s="95"/>
      <c r="WTD264" s="95"/>
      <c r="WTE264" s="95"/>
      <c r="WTF264" s="95"/>
      <c r="WTG264" s="95"/>
      <c r="WTH264" s="95"/>
      <c r="WTI264" s="95"/>
      <c r="WTJ264" s="95"/>
      <c r="WTK264" s="95"/>
      <c r="WTL264" s="95"/>
      <c r="WTM264" s="95"/>
      <c r="WTN264" s="95"/>
      <c r="WTO264" s="95"/>
      <c r="WTP264" s="95"/>
      <c r="WTQ264" s="95"/>
      <c r="WTR264" s="95"/>
      <c r="WTS264" s="95"/>
      <c r="WTT264" s="95"/>
      <c r="WTU264" s="95"/>
      <c r="WTV264" s="95"/>
      <c r="WTW264" s="95"/>
      <c r="WTX264" s="95"/>
      <c r="WTY264" s="95"/>
      <c r="WTZ264" s="95"/>
      <c r="WUA264" s="95"/>
      <c r="WUB264" s="95"/>
      <c r="WUC264" s="95"/>
      <c r="WUD264" s="95"/>
      <c r="WUE264" s="95"/>
      <c r="WUF264" s="95"/>
      <c r="WUG264" s="95"/>
      <c r="WUH264" s="95"/>
      <c r="WUI264" s="95"/>
      <c r="WUJ264" s="95"/>
      <c r="WUK264" s="95"/>
      <c r="WUL264" s="95"/>
      <c r="WUM264" s="95"/>
      <c r="WUN264" s="95"/>
      <c r="WUO264" s="95"/>
      <c r="WUP264" s="95"/>
      <c r="WUQ264" s="95"/>
      <c r="WUR264" s="95"/>
      <c r="WUS264" s="95"/>
      <c r="WUT264" s="95"/>
      <c r="WUU264" s="95"/>
      <c r="WUV264" s="95"/>
      <c r="WUW264" s="95"/>
      <c r="WUX264" s="95"/>
      <c r="WUY264" s="95"/>
      <c r="WUZ264" s="95"/>
      <c r="WVA264" s="95"/>
      <c r="WVB264" s="95"/>
      <c r="WVC264" s="95"/>
      <c r="WVD264" s="95"/>
      <c r="WVE264" s="95"/>
      <c r="WVF264" s="95"/>
      <c r="WVG264" s="95"/>
      <c r="WVH264" s="95"/>
      <c r="WVI264" s="95"/>
      <c r="WVJ264" s="95"/>
      <c r="WVK264" s="95"/>
      <c r="WVL264" s="95"/>
      <c r="WVM264" s="95"/>
      <c r="WVN264" s="95"/>
      <c r="WVO264" s="95"/>
      <c r="WVP264" s="95"/>
      <c r="WVQ264" s="95"/>
      <c r="WVR264" s="95"/>
      <c r="WVS264" s="95"/>
      <c r="WVT264" s="95"/>
      <c r="WVU264" s="95"/>
      <c r="WVV264" s="95"/>
      <c r="WVW264" s="95"/>
      <c r="WVX264" s="95"/>
      <c r="WVY264" s="95"/>
      <c r="WVZ264" s="95"/>
      <c r="WWA264" s="95"/>
      <c r="WWB264" s="95"/>
      <c r="WWC264" s="95"/>
      <c r="WWD264" s="95"/>
      <c r="WWE264" s="95"/>
      <c r="WWF264" s="95"/>
      <c r="WWG264" s="95"/>
      <c r="WWH264" s="95"/>
      <c r="WWI264" s="95"/>
      <c r="WWJ264" s="95"/>
      <c r="WWK264" s="95"/>
      <c r="WWL264" s="95"/>
      <c r="WWM264" s="95"/>
      <c r="WWN264" s="95"/>
      <c r="WWO264" s="95"/>
      <c r="WWP264" s="95"/>
      <c r="WWQ264" s="95"/>
      <c r="WWR264" s="95"/>
      <c r="WWS264" s="95"/>
      <c r="WWT264" s="95"/>
      <c r="WWU264" s="95"/>
      <c r="WWV264" s="95"/>
      <c r="WWW264" s="95"/>
      <c r="WWX264" s="95"/>
      <c r="WWY264" s="95"/>
      <c r="WWZ264" s="95"/>
      <c r="WXA264" s="95"/>
      <c r="WXB264" s="95"/>
      <c r="WXC264" s="95"/>
      <c r="WXD264" s="95"/>
      <c r="WXE264" s="95"/>
      <c r="WXF264" s="95"/>
      <c r="WXG264" s="95"/>
      <c r="WXH264" s="95"/>
      <c r="WXI264" s="95"/>
      <c r="WXJ264" s="95"/>
      <c r="WXK264" s="95"/>
      <c r="WXL264" s="95"/>
      <c r="WXM264" s="95"/>
      <c r="WXN264" s="95"/>
      <c r="WXO264" s="95"/>
      <c r="WXP264" s="95"/>
      <c r="WXQ264" s="95"/>
      <c r="WXR264" s="95"/>
      <c r="WXS264" s="95"/>
      <c r="WXT264" s="95"/>
      <c r="WXU264" s="95"/>
      <c r="WXV264" s="95"/>
      <c r="WXW264" s="95"/>
      <c r="WXX264" s="95"/>
      <c r="WXY264" s="95"/>
      <c r="WXZ264" s="95"/>
      <c r="WYA264" s="95"/>
      <c r="WYB264" s="95"/>
      <c r="WYC264" s="95"/>
      <c r="WYD264" s="95"/>
      <c r="WYE264" s="95"/>
      <c r="WYF264" s="95"/>
      <c r="WYG264" s="95"/>
      <c r="WYH264" s="95"/>
      <c r="WYI264" s="95"/>
      <c r="WYJ264" s="95"/>
      <c r="WYK264" s="95"/>
      <c r="WYL264" s="95"/>
      <c r="WYM264" s="95"/>
      <c r="WYN264" s="95"/>
      <c r="WYO264" s="95"/>
    </row>
    <row r="265" spans="1:16213" s="122" customFormat="1" ht="25.15" customHeight="1" outlineLevel="1" x14ac:dyDescent="0.25">
      <c r="A265" s="1" t="s">
        <v>202</v>
      </c>
      <c r="B265" s="80"/>
      <c r="C265" s="80" t="s">
        <v>2241</v>
      </c>
      <c r="D265" s="99"/>
      <c r="E265" s="80" t="s">
        <v>33</v>
      </c>
      <c r="F265" s="80" t="s">
        <v>34</v>
      </c>
      <c r="G265" s="80" t="s">
        <v>85</v>
      </c>
      <c r="H265" s="80" t="s">
        <v>998</v>
      </c>
      <c r="I265" s="80" t="s">
        <v>7</v>
      </c>
      <c r="J265" s="80"/>
      <c r="K265" s="80" t="s">
        <v>1664</v>
      </c>
      <c r="L265" s="80"/>
      <c r="M265" s="80" t="s">
        <v>2250</v>
      </c>
      <c r="N265" s="83" t="s">
        <v>31</v>
      </c>
      <c r="O265" s="91">
        <v>4300</v>
      </c>
      <c r="P265" s="157">
        <v>2146</v>
      </c>
      <c r="Q265" s="91">
        <v>2100</v>
      </c>
      <c r="R265" s="91"/>
      <c r="S265" s="91">
        <v>3075</v>
      </c>
      <c r="T265" s="91">
        <v>2200</v>
      </c>
      <c r="U265" s="91">
        <v>7153</v>
      </c>
      <c r="V265" s="91">
        <v>885</v>
      </c>
      <c r="W265" s="91">
        <v>4100</v>
      </c>
      <c r="X265" s="91">
        <v>2005</v>
      </c>
      <c r="Y265" s="91"/>
      <c r="Z265" s="91"/>
      <c r="AA265" s="80" t="s">
        <v>2251</v>
      </c>
      <c r="AB265" s="80">
        <v>3500</v>
      </c>
      <c r="AC265" s="80">
        <v>682</v>
      </c>
      <c r="AD265" s="83"/>
      <c r="AE265" s="83"/>
      <c r="AF265" s="83"/>
      <c r="AG265" s="83"/>
      <c r="AH265" s="80" t="s">
        <v>2252</v>
      </c>
      <c r="AI265" s="90" t="s">
        <v>2253</v>
      </c>
      <c r="AJ265" s="90"/>
      <c r="AK265" s="80" t="s">
        <v>1322</v>
      </c>
      <c r="AL265" s="80"/>
      <c r="AM265" s="80" t="s">
        <v>2254</v>
      </c>
      <c r="AN265" s="80"/>
      <c r="AO265" s="80" t="s">
        <v>2255</v>
      </c>
      <c r="AP265" s="80"/>
      <c r="AQ265" s="90"/>
      <c r="AR265" s="90"/>
      <c r="AS265" s="80" t="s">
        <v>1681</v>
      </c>
      <c r="AT265" s="80"/>
      <c r="AU265" s="156" t="s">
        <v>2256</v>
      </c>
      <c r="AV265" s="80"/>
      <c r="AW265" s="80"/>
      <c r="AX265" s="80"/>
      <c r="AY265" s="91"/>
      <c r="AZ265" s="91"/>
      <c r="BA265" s="91"/>
      <c r="BB265" s="91"/>
      <c r="BC265" s="91"/>
      <c r="BD265" s="91"/>
      <c r="BE265" s="91"/>
      <c r="BF265" s="91"/>
      <c r="BG265" s="91"/>
      <c r="BH265" s="91"/>
      <c r="BI265" s="91"/>
      <c r="BJ265" s="91"/>
      <c r="BK265" s="91"/>
      <c r="BL265" s="91"/>
      <c r="BM265" s="91"/>
      <c r="BN265" s="91"/>
      <c r="BO265" s="91"/>
      <c r="BP265" s="91"/>
      <c r="BQ265" s="91"/>
      <c r="BR265" s="91"/>
      <c r="BS265" s="91">
        <v>1</v>
      </c>
      <c r="BT265" s="95"/>
      <c r="BU265" s="95"/>
      <c r="BV265" s="95"/>
      <c r="BW265" s="95"/>
      <c r="BX265" s="95"/>
      <c r="BY265" s="95"/>
      <c r="BZ265" s="95"/>
      <c r="CA265" s="95"/>
      <c r="CB265" s="95"/>
      <c r="CC265" s="95"/>
      <c r="CD265" s="95"/>
      <c r="CE265" s="95"/>
      <c r="CF265" s="95"/>
      <c r="CG265" s="95"/>
      <c r="CH265" s="95"/>
      <c r="CI265" s="95"/>
      <c r="CJ265" s="95"/>
      <c r="CK265" s="95"/>
      <c r="CL265" s="95"/>
      <c r="CM265" s="95"/>
      <c r="CN265" s="95"/>
      <c r="CO265" s="95"/>
      <c r="CP265" s="95"/>
      <c r="CQ265" s="95"/>
      <c r="CR265" s="95"/>
      <c r="CS265" s="95"/>
      <c r="CT265" s="95"/>
      <c r="CU265" s="95"/>
      <c r="CV265" s="95"/>
      <c r="CW265" s="95"/>
      <c r="CX265" s="95"/>
      <c r="CY265" s="95"/>
      <c r="CZ265" s="95"/>
      <c r="DA265" s="95"/>
      <c r="DB265" s="95"/>
      <c r="DC265" s="95"/>
      <c r="DD265" s="95"/>
      <c r="DE265" s="95"/>
      <c r="DF265" s="95"/>
      <c r="DG265" s="95"/>
      <c r="DH265" s="95"/>
      <c r="DI265" s="95"/>
      <c r="DJ265" s="95"/>
      <c r="DK265" s="95"/>
      <c r="DL265" s="95"/>
      <c r="DM265" s="95"/>
      <c r="DN265" s="95"/>
      <c r="DO265" s="95"/>
      <c r="DP265" s="95"/>
      <c r="DQ265" s="95"/>
      <c r="DR265" s="95"/>
      <c r="DS265" s="95"/>
      <c r="DT265" s="95"/>
      <c r="DU265" s="95"/>
      <c r="DV265" s="95"/>
      <c r="DW265" s="95"/>
      <c r="DX265" s="95"/>
      <c r="DY265" s="95"/>
      <c r="DZ265" s="95"/>
      <c r="EA265" s="95"/>
      <c r="EB265" s="95"/>
      <c r="EC265" s="95"/>
      <c r="ED265" s="95"/>
      <c r="EE265" s="95"/>
      <c r="EF265" s="95"/>
      <c r="EG265" s="95"/>
      <c r="EH265" s="95"/>
      <c r="EI265" s="95"/>
      <c r="EJ265" s="95"/>
      <c r="EK265" s="95"/>
      <c r="EL265" s="95"/>
      <c r="EM265" s="95"/>
      <c r="EN265" s="95"/>
      <c r="EO265" s="95"/>
      <c r="EP265" s="95"/>
      <c r="EQ265" s="95"/>
      <c r="ER265" s="95"/>
      <c r="ES265" s="95"/>
      <c r="ET265" s="95"/>
      <c r="EU265" s="95"/>
      <c r="EV265" s="95"/>
      <c r="EW265" s="95"/>
      <c r="EX265" s="95"/>
      <c r="EY265" s="95"/>
      <c r="EZ265" s="95"/>
      <c r="FA265" s="95"/>
      <c r="FB265" s="95"/>
      <c r="FC265" s="95"/>
      <c r="FD265" s="95"/>
      <c r="FE265" s="95"/>
      <c r="FF265" s="95"/>
      <c r="FG265" s="95"/>
      <c r="FH265" s="95"/>
      <c r="FI265" s="95"/>
      <c r="FJ265" s="95"/>
      <c r="FK265" s="95"/>
      <c r="FL265" s="95"/>
      <c r="FM265" s="95"/>
      <c r="FN265" s="95"/>
      <c r="FO265" s="95"/>
      <c r="FP265" s="95"/>
      <c r="FQ265" s="95"/>
      <c r="FR265" s="95"/>
      <c r="FS265" s="95"/>
      <c r="FT265" s="95"/>
      <c r="FU265" s="95"/>
      <c r="FV265" s="95"/>
      <c r="FW265" s="95"/>
      <c r="FX265" s="95"/>
      <c r="FY265" s="95"/>
      <c r="FZ265" s="95"/>
      <c r="GA265" s="95"/>
      <c r="GB265" s="95"/>
      <c r="GC265" s="95"/>
      <c r="GD265" s="95"/>
      <c r="GE265" s="95"/>
      <c r="GF265" s="95"/>
      <c r="GG265" s="95"/>
      <c r="GH265" s="95"/>
      <c r="GI265" s="95"/>
      <c r="GJ265" s="95"/>
      <c r="GK265" s="95"/>
      <c r="GL265" s="95"/>
      <c r="GM265" s="95"/>
      <c r="GN265" s="95"/>
      <c r="GO265" s="95"/>
      <c r="GP265" s="95"/>
      <c r="GQ265" s="95"/>
      <c r="GR265" s="95"/>
      <c r="GS265" s="95"/>
      <c r="GT265" s="95"/>
      <c r="GU265" s="95"/>
      <c r="GV265" s="95"/>
      <c r="GW265" s="95"/>
      <c r="GX265" s="95"/>
      <c r="GY265" s="95"/>
      <c r="GZ265" s="95"/>
      <c r="HA265" s="95"/>
      <c r="HB265" s="95"/>
      <c r="HC265" s="95"/>
      <c r="HD265" s="95"/>
      <c r="HE265" s="95"/>
      <c r="HF265" s="95"/>
      <c r="HG265" s="95"/>
      <c r="HH265" s="95"/>
      <c r="HI265" s="95"/>
      <c r="HJ265" s="95"/>
      <c r="HK265" s="95"/>
      <c r="HL265" s="95"/>
      <c r="HM265" s="95"/>
      <c r="HN265" s="95"/>
      <c r="HO265" s="95"/>
      <c r="HP265" s="95"/>
      <c r="HQ265" s="95"/>
      <c r="HR265" s="95"/>
      <c r="HS265" s="95"/>
      <c r="HT265" s="95"/>
      <c r="HU265" s="95"/>
      <c r="HV265" s="95"/>
      <c r="HW265" s="95"/>
      <c r="HX265" s="95"/>
      <c r="HY265" s="95"/>
      <c r="HZ265" s="95"/>
      <c r="IA265" s="95"/>
      <c r="IB265" s="95"/>
      <c r="IC265" s="95"/>
      <c r="ID265" s="95"/>
      <c r="IE265" s="95"/>
      <c r="IF265" s="95"/>
      <c r="IG265" s="95"/>
      <c r="IH265" s="95"/>
      <c r="II265" s="95"/>
      <c r="IJ265" s="95"/>
      <c r="IK265" s="95"/>
      <c r="IL265" s="95"/>
      <c r="IM265" s="95"/>
      <c r="IN265" s="95"/>
      <c r="IO265" s="95"/>
      <c r="IP265" s="95"/>
      <c r="IQ265" s="95"/>
      <c r="IR265" s="95"/>
      <c r="IS265" s="95"/>
      <c r="IT265" s="95"/>
      <c r="IU265" s="95"/>
      <c r="IV265" s="95"/>
      <c r="IW265" s="95"/>
      <c r="IX265" s="95"/>
      <c r="IY265" s="95"/>
      <c r="IZ265" s="95"/>
      <c r="JA265" s="95"/>
      <c r="JB265" s="95"/>
      <c r="JC265" s="95"/>
      <c r="JD265" s="95"/>
      <c r="JE265" s="95"/>
      <c r="JF265" s="95"/>
      <c r="JG265" s="95"/>
      <c r="JH265" s="95"/>
      <c r="JI265" s="95"/>
      <c r="JJ265" s="95"/>
      <c r="JK265" s="95"/>
      <c r="JL265" s="95"/>
      <c r="JM265" s="95"/>
      <c r="JN265" s="95"/>
      <c r="JO265" s="95"/>
      <c r="JP265" s="95"/>
      <c r="JQ265" s="95"/>
      <c r="JR265" s="95"/>
      <c r="JS265" s="95"/>
      <c r="JT265" s="95"/>
      <c r="JU265" s="95"/>
      <c r="JV265" s="95"/>
      <c r="JW265" s="95"/>
      <c r="JX265" s="95"/>
      <c r="JY265" s="95"/>
      <c r="JZ265" s="95"/>
      <c r="KA265" s="95"/>
      <c r="KB265" s="95"/>
      <c r="KC265" s="95"/>
      <c r="KD265" s="95"/>
      <c r="KE265" s="95"/>
      <c r="KF265" s="95"/>
      <c r="KG265" s="95"/>
      <c r="KH265" s="95"/>
      <c r="KI265" s="95"/>
      <c r="KJ265" s="95"/>
      <c r="KK265" s="95"/>
      <c r="KL265" s="95"/>
      <c r="KM265" s="95"/>
      <c r="KN265" s="95"/>
      <c r="KO265" s="95"/>
      <c r="KP265" s="95"/>
      <c r="KQ265" s="95"/>
      <c r="KR265" s="95"/>
      <c r="KS265" s="95"/>
      <c r="KT265" s="95"/>
      <c r="KU265" s="95"/>
      <c r="KV265" s="95"/>
      <c r="KW265" s="95"/>
      <c r="KX265" s="95"/>
      <c r="KY265" s="95"/>
      <c r="KZ265" s="95"/>
      <c r="LA265" s="95"/>
      <c r="LB265" s="95"/>
      <c r="LC265" s="95"/>
      <c r="LD265" s="95"/>
      <c r="LE265" s="95"/>
      <c r="LF265" s="95"/>
      <c r="LG265" s="95"/>
      <c r="LH265" s="95"/>
      <c r="LI265" s="95"/>
      <c r="LJ265" s="95"/>
      <c r="LK265" s="95"/>
      <c r="LL265" s="95"/>
      <c r="LM265" s="95"/>
      <c r="LN265" s="95"/>
      <c r="LO265" s="95"/>
      <c r="LP265" s="95"/>
      <c r="LQ265" s="95"/>
      <c r="LR265" s="95"/>
      <c r="LS265" s="95"/>
      <c r="LT265" s="95"/>
      <c r="LU265" s="95"/>
      <c r="LV265" s="95"/>
      <c r="LW265" s="95"/>
      <c r="LX265" s="95"/>
      <c r="LY265" s="95"/>
      <c r="LZ265" s="95"/>
      <c r="MA265" s="95"/>
      <c r="MB265" s="95"/>
      <c r="MC265" s="95"/>
      <c r="MD265" s="95"/>
      <c r="ME265" s="95"/>
      <c r="MF265" s="95"/>
      <c r="MG265" s="95"/>
      <c r="MH265" s="95"/>
      <c r="MI265" s="95"/>
      <c r="MJ265" s="95"/>
      <c r="MK265" s="95"/>
      <c r="ML265" s="95"/>
      <c r="MM265" s="95"/>
      <c r="MN265" s="95"/>
      <c r="MO265" s="95"/>
      <c r="MP265" s="95"/>
      <c r="MQ265" s="95"/>
      <c r="MR265" s="95"/>
      <c r="MS265" s="95"/>
      <c r="MT265" s="95"/>
      <c r="MU265" s="95"/>
      <c r="MV265" s="95"/>
      <c r="MW265" s="95"/>
      <c r="MX265" s="95"/>
      <c r="MY265" s="95"/>
      <c r="MZ265" s="95"/>
      <c r="NA265" s="95"/>
      <c r="NB265" s="95"/>
      <c r="NC265" s="95"/>
      <c r="ND265" s="95"/>
      <c r="NE265" s="95"/>
      <c r="NF265" s="95"/>
      <c r="NG265" s="95"/>
      <c r="NH265" s="95"/>
      <c r="NI265" s="95"/>
      <c r="NJ265" s="95"/>
      <c r="NK265" s="95"/>
      <c r="NL265" s="95"/>
      <c r="NM265" s="95"/>
      <c r="NN265" s="95"/>
      <c r="NO265" s="95"/>
      <c r="NP265" s="95"/>
      <c r="NQ265" s="95"/>
      <c r="NR265" s="95"/>
      <c r="NS265" s="95"/>
      <c r="NT265" s="95"/>
      <c r="NU265" s="95"/>
      <c r="NV265" s="95"/>
      <c r="NW265" s="95"/>
      <c r="NX265" s="95"/>
      <c r="NY265" s="95"/>
      <c r="NZ265" s="95"/>
      <c r="OA265" s="95"/>
      <c r="OB265" s="95"/>
      <c r="OC265" s="95"/>
      <c r="OD265" s="95"/>
      <c r="OE265" s="95"/>
      <c r="OF265" s="95"/>
      <c r="OG265" s="95"/>
      <c r="OH265" s="95"/>
      <c r="OI265" s="95"/>
      <c r="OJ265" s="95"/>
      <c r="OK265" s="95"/>
      <c r="OL265" s="95"/>
      <c r="OM265" s="95"/>
      <c r="ON265" s="95"/>
      <c r="OO265" s="95"/>
      <c r="OP265" s="95"/>
      <c r="OQ265" s="95"/>
      <c r="OR265" s="95"/>
      <c r="OS265" s="95"/>
      <c r="OT265" s="95"/>
      <c r="OU265" s="95"/>
      <c r="OV265" s="95"/>
      <c r="OW265" s="95"/>
      <c r="OX265" s="95"/>
      <c r="OY265" s="95"/>
      <c r="OZ265" s="95"/>
      <c r="PA265" s="95"/>
      <c r="PB265" s="95"/>
      <c r="PC265" s="95"/>
      <c r="PD265" s="95"/>
      <c r="PE265" s="95"/>
      <c r="PF265" s="95"/>
      <c r="PG265" s="95"/>
      <c r="PH265" s="95"/>
      <c r="PI265" s="95"/>
      <c r="PJ265" s="95"/>
      <c r="PK265" s="95"/>
      <c r="PL265" s="95"/>
      <c r="PM265" s="95"/>
      <c r="PN265" s="95"/>
      <c r="PO265" s="95"/>
      <c r="PP265" s="95"/>
      <c r="PQ265" s="95"/>
      <c r="PR265" s="95"/>
      <c r="PS265" s="95"/>
      <c r="PT265" s="95"/>
      <c r="PU265" s="95"/>
      <c r="PV265" s="95"/>
      <c r="PW265" s="95"/>
      <c r="PX265" s="95"/>
      <c r="PY265" s="95"/>
      <c r="PZ265" s="95"/>
      <c r="QA265" s="95"/>
      <c r="QB265" s="95"/>
      <c r="QC265" s="95"/>
      <c r="QD265" s="95"/>
      <c r="QE265" s="95"/>
      <c r="QF265" s="95"/>
      <c r="QG265" s="95"/>
      <c r="QH265" s="95"/>
      <c r="QI265" s="95"/>
      <c r="QJ265" s="95"/>
      <c r="QK265" s="95"/>
      <c r="QL265" s="95"/>
      <c r="QM265" s="95"/>
      <c r="QN265" s="95"/>
      <c r="QO265" s="95"/>
      <c r="QP265" s="95"/>
      <c r="QQ265" s="95"/>
      <c r="QR265" s="95"/>
      <c r="QS265" s="95"/>
      <c r="QT265" s="95"/>
      <c r="QU265" s="95"/>
      <c r="QV265" s="95"/>
      <c r="QW265" s="95"/>
      <c r="QX265" s="95"/>
      <c r="QY265" s="95"/>
      <c r="QZ265" s="95"/>
      <c r="RA265" s="95"/>
      <c r="RB265" s="95"/>
      <c r="RC265" s="95"/>
      <c r="RD265" s="95"/>
      <c r="RE265" s="95"/>
      <c r="RF265" s="95"/>
      <c r="RG265" s="95"/>
      <c r="RH265" s="95"/>
      <c r="RI265" s="95"/>
      <c r="RJ265" s="95"/>
      <c r="RK265" s="95"/>
      <c r="RL265" s="95"/>
      <c r="RM265" s="95"/>
      <c r="RN265" s="95"/>
      <c r="RO265" s="95"/>
      <c r="RP265" s="95"/>
      <c r="RQ265" s="95"/>
      <c r="RR265" s="95"/>
      <c r="RS265" s="95"/>
      <c r="RT265" s="95"/>
      <c r="RU265" s="95"/>
      <c r="RV265" s="95"/>
      <c r="RW265" s="95"/>
      <c r="RX265" s="95"/>
      <c r="RY265" s="95"/>
      <c r="RZ265" s="95"/>
      <c r="SA265" s="95"/>
      <c r="SB265" s="95"/>
      <c r="SC265" s="95"/>
      <c r="SD265" s="95"/>
      <c r="SE265" s="95"/>
      <c r="SF265" s="95"/>
      <c r="SG265" s="95"/>
      <c r="SH265" s="95"/>
      <c r="SI265" s="95"/>
      <c r="SJ265" s="95"/>
      <c r="SK265" s="95"/>
      <c r="SL265" s="95"/>
      <c r="SM265" s="95"/>
      <c r="SN265" s="95"/>
      <c r="SO265" s="95"/>
      <c r="SP265" s="95"/>
      <c r="SQ265" s="95"/>
      <c r="SR265" s="95"/>
      <c r="SS265" s="95"/>
      <c r="ST265" s="95"/>
      <c r="SU265" s="95"/>
      <c r="SV265" s="95"/>
      <c r="SW265" s="95"/>
      <c r="SX265" s="95"/>
      <c r="SY265" s="95"/>
      <c r="SZ265" s="95"/>
      <c r="TA265" s="95"/>
      <c r="TB265" s="95"/>
      <c r="TC265" s="95"/>
      <c r="TD265" s="95"/>
      <c r="TE265" s="95"/>
      <c r="TF265" s="95"/>
      <c r="TG265" s="95"/>
      <c r="TH265" s="95"/>
      <c r="TI265" s="95"/>
      <c r="TJ265" s="95"/>
      <c r="TK265" s="95"/>
      <c r="TL265" s="95"/>
      <c r="TM265" s="95"/>
      <c r="TN265" s="95"/>
      <c r="TO265" s="95"/>
      <c r="TP265" s="95"/>
      <c r="TQ265" s="95"/>
      <c r="TR265" s="95"/>
      <c r="TS265" s="95"/>
      <c r="TT265" s="95"/>
      <c r="TU265" s="95"/>
      <c r="TV265" s="95"/>
      <c r="TW265" s="95"/>
      <c r="TX265" s="95"/>
      <c r="TY265" s="95"/>
      <c r="TZ265" s="95"/>
      <c r="UA265" s="95"/>
      <c r="UB265" s="95"/>
      <c r="UC265" s="95"/>
      <c r="UD265" s="95"/>
      <c r="UE265" s="95"/>
      <c r="UF265" s="95"/>
      <c r="UG265" s="95"/>
      <c r="UH265" s="95"/>
      <c r="UI265" s="95"/>
      <c r="UJ265" s="95"/>
      <c r="UK265" s="95"/>
      <c r="UL265" s="95"/>
      <c r="UM265" s="95"/>
      <c r="UN265" s="95"/>
      <c r="UO265" s="95"/>
      <c r="UP265" s="95"/>
      <c r="UQ265" s="95"/>
      <c r="UR265" s="95"/>
      <c r="US265" s="95"/>
      <c r="UT265" s="95"/>
      <c r="UU265" s="95"/>
      <c r="UV265" s="95"/>
      <c r="UW265" s="95"/>
      <c r="UX265" s="95"/>
      <c r="UY265" s="95"/>
      <c r="UZ265" s="95"/>
      <c r="VA265" s="95"/>
      <c r="VB265" s="95"/>
      <c r="VC265" s="95"/>
      <c r="VD265" s="95"/>
      <c r="VE265" s="95"/>
      <c r="VF265" s="95"/>
      <c r="VG265" s="95"/>
      <c r="VH265" s="95"/>
      <c r="VI265" s="95"/>
      <c r="VJ265" s="95"/>
      <c r="VK265" s="95"/>
      <c r="VL265" s="95"/>
      <c r="VM265" s="95"/>
      <c r="VN265" s="95"/>
      <c r="VO265" s="95"/>
      <c r="VP265" s="95"/>
      <c r="VQ265" s="95"/>
      <c r="VR265" s="95"/>
      <c r="VS265" s="95"/>
      <c r="VT265" s="95"/>
      <c r="VU265" s="95"/>
      <c r="VV265" s="95"/>
      <c r="VW265" s="95"/>
      <c r="VX265" s="95"/>
      <c r="VY265" s="95"/>
      <c r="VZ265" s="95"/>
      <c r="WA265" s="95"/>
      <c r="WB265" s="95"/>
      <c r="WC265" s="95"/>
      <c r="WD265" s="95"/>
      <c r="WE265" s="95"/>
      <c r="WF265" s="95"/>
      <c r="WG265" s="95"/>
      <c r="WH265" s="95"/>
      <c r="WI265" s="95"/>
      <c r="WJ265" s="95"/>
      <c r="WK265" s="95"/>
      <c r="WL265" s="95"/>
      <c r="WM265" s="95"/>
      <c r="WN265" s="95"/>
      <c r="WO265" s="95"/>
      <c r="WP265" s="95"/>
      <c r="WQ265" s="95"/>
      <c r="WR265" s="95"/>
      <c r="WS265" s="95"/>
      <c r="WT265" s="95"/>
      <c r="WU265" s="95"/>
      <c r="WV265" s="95"/>
      <c r="WW265" s="95"/>
      <c r="WX265" s="95"/>
      <c r="WY265" s="95"/>
      <c r="WZ265" s="95"/>
      <c r="XA265" s="95"/>
      <c r="XB265" s="95"/>
      <c r="XC265" s="95"/>
      <c r="XD265" s="95"/>
      <c r="XE265" s="95"/>
      <c r="XF265" s="95"/>
      <c r="XG265" s="95"/>
      <c r="XH265" s="95"/>
      <c r="XI265" s="95"/>
      <c r="XJ265" s="95"/>
      <c r="XK265" s="95"/>
      <c r="XL265" s="95"/>
      <c r="XM265" s="95"/>
      <c r="XN265" s="95"/>
      <c r="XO265" s="95"/>
      <c r="XP265" s="95"/>
      <c r="XQ265" s="95"/>
      <c r="XR265" s="95"/>
      <c r="XS265" s="95"/>
      <c r="XT265" s="95"/>
      <c r="XU265" s="95"/>
      <c r="XV265" s="95"/>
      <c r="XW265" s="95"/>
      <c r="XX265" s="95"/>
      <c r="XY265" s="95"/>
      <c r="XZ265" s="95"/>
      <c r="YA265" s="95"/>
      <c r="YB265" s="95"/>
      <c r="YC265" s="95"/>
      <c r="YD265" s="95"/>
      <c r="YE265" s="95"/>
      <c r="YF265" s="95"/>
      <c r="YG265" s="95"/>
      <c r="YH265" s="95"/>
      <c r="YI265" s="95"/>
      <c r="YJ265" s="95"/>
      <c r="YK265" s="95"/>
      <c r="YL265" s="95"/>
      <c r="YM265" s="95"/>
      <c r="YN265" s="95"/>
      <c r="YO265" s="95"/>
      <c r="YP265" s="95"/>
      <c r="YQ265" s="95"/>
      <c r="YR265" s="95"/>
      <c r="YS265" s="95"/>
      <c r="YT265" s="95"/>
      <c r="YU265" s="95"/>
      <c r="YV265" s="95"/>
      <c r="YW265" s="95"/>
      <c r="YX265" s="95"/>
      <c r="YY265" s="95"/>
      <c r="YZ265" s="95"/>
      <c r="ZA265" s="95"/>
      <c r="ZB265" s="95"/>
      <c r="ZC265" s="95"/>
      <c r="ZD265" s="95"/>
      <c r="ZE265" s="95"/>
      <c r="ZF265" s="95"/>
      <c r="ZG265" s="95"/>
      <c r="ZH265" s="95"/>
      <c r="ZI265" s="95"/>
      <c r="ZJ265" s="95"/>
      <c r="ZK265" s="95"/>
      <c r="ZL265" s="95"/>
      <c r="ZM265" s="95"/>
      <c r="ZN265" s="95"/>
      <c r="ZO265" s="95"/>
      <c r="ZP265" s="95"/>
      <c r="ZQ265" s="95"/>
      <c r="ZR265" s="95"/>
      <c r="ZS265" s="95"/>
      <c r="ZT265" s="95"/>
      <c r="ZU265" s="95"/>
      <c r="ZV265" s="95"/>
      <c r="ZW265" s="95"/>
      <c r="ZX265" s="95"/>
      <c r="ZY265" s="95"/>
      <c r="ZZ265" s="95"/>
      <c r="AAA265" s="95"/>
      <c r="AAB265" s="95"/>
      <c r="AAC265" s="95"/>
      <c r="AAD265" s="95"/>
      <c r="AAE265" s="95"/>
      <c r="AAF265" s="95"/>
      <c r="AAG265" s="95"/>
      <c r="AAH265" s="95"/>
      <c r="AAI265" s="95"/>
      <c r="AAJ265" s="95"/>
      <c r="AAK265" s="95"/>
      <c r="AAL265" s="95"/>
      <c r="AAM265" s="95"/>
      <c r="AAN265" s="95"/>
      <c r="AAO265" s="95"/>
      <c r="AAP265" s="95"/>
      <c r="AAQ265" s="95"/>
      <c r="AAR265" s="95"/>
      <c r="AAS265" s="95"/>
      <c r="AAT265" s="95"/>
      <c r="AAU265" s="95"/>
      <c r="AAV265" s="95"/>
      <c r="AAW265" s="95"/>
      <c r="AAX265" s="95"/>
      <c r="AAY265" s="95"/>
      <c r="AAZ265" s="95"/>
      <c r="ABA265" s="95"/>
      <c r="ABB265" s="95"/>
      <c r="ABC265" s="95"/>
      <c r="ABD265" s="95"/>
      <c r="ABE265" s="95"/>
      <c r="ABF265" s="95"/>
      <c r="ABG265" s="95"/>
      <c r="ABH265" s="95"/>
      <c r="ABI265" s="95"/>
      <c r="ABJ265" s="95"/>
      <c r="ABK265" s="95"/>
      <c r="ABL265" s="95"/>
      <c r="ABM265" s="95"/>
      <c r="ABN265" s="95"/>
      <c r="ABO265" s="95"/>
      <c r="ABP265" s="95"/>
      <c r="ABQ265" s="95"/>
      <c r="ABR265" s="95"/>
      <c r="ABS265" s="95"/>
      <c r="ABT265" s="95"/>
      <c r="ABU265" s="95"/>
      <c r="ABV265" s="95"/>
      <c r="ABW265" s="95"/>
      <c r="ABX265" s="95"/>
      <c r="ABY265" s="95"/>
      <c r="ABZ265" s="95"/>
      <c r="ACA265" s="95"/>
      <c r="ACB265" s="95"/>
      <c r="ACC265" s="95"/>
      <c r="ACD265" s="95"/>
      <c r="ACE265" s="95"/>
      <c r="ACF265" s="95"/>
      <c r="ACG265" s="95"/>
      <c r="ACH265" s="95"/>
      <c r="ACI265" s="95"/>
      <c r="ACJ265" s="95"/>
      <c r="ACK265" s="95"/>
      <c r="ACL265" s="95"/>
      <c r="ACM265" s="95"/>
      <c r="ACN265" s="95"/>
      <c r="ACO265" s="95"/>
      <c r="ACP265" s="95"/>
      <c r="ACQ265" s="95"/>
      <c r="ACR265" s="95"/>
      <c r="ACS265" s="95"/>
      <c r="ACT265" s="95"/>
      <c r="ACU265" s="95"/>
      <c r="ACV265" s="95"/>
      <c r="ACW265" s="95"/>
      <c r="ACX265" s="95"/>
      <c r="ACY265" s="95"/>
      <c r="ACZ265" s="95"/>
      <c r="ADA265" s="95"/>
      <c r="ADB265" s="95"/>
      <c r="ADC265" s="95"/>
      <c r="ADD265" s="95"/>
      <c r="ADE265" s="95"/>
      <c r="ADF265" s="95"/>
      <c r="ADG265" s="95"/>
      <c r="ADH265" s="95"/>
      <c r="ADI265" s="95"/>
      <c r="ADJ265" s="95"/>
      <c r="ADK265" s="95"/>
      <c r="ADL265" s="95"/>
      <c r="ADM265" s="95"/>
      <c r="ADN265" s="95"/>
      <c r="ADO265" s="95"/>
      <c r="ADP265" s="95"/>
      <c r="ADQ265" s="95"/>
      <c r="ADR265" s="95"/>
      <c r="ADS265" s="95"/>
      <c r="ADT265" s="95"/>
      <c r="ADU265" s="95"/>
      <c r="ADV265" s="95"/>
      <c r="ADW265" s="95"/>
      <c r="ADX265" s="95"/>
      <c r="ADY265" s="95"/>
      <c r="ADZ265" s="95"/>
      <c r="AEA265" s="95"/>
      <c r="AEB265" s="95"/>
      <c r="AEC265" s="95"/>
      <c r="AED265" s="95"/>
      <c r="AEE265" s="95"/>
      <c r="AEF265" s="95"/>
      <c r="AEG265" s="95"/>
      <c r="AEH265" s="95"/>
      <c r="AEI265" s="95"/>
      <c r="AEJ265" s="95"/>
      <c r="AEK265" s="95"/>
      <c r="AEL265" s="95"/>
      <c r="AEM265" s="95"/>
      <c r="AEN265" s="95"/>
      <c r="AEO265" s="95"/>
      <c r="AEP265" s="95"/>
      <c r="AEQ265" s="95"/>
      <c r="AER265" s="95"/>
      <c r="AES265" s="95"/>
      <c r="AET265" s="95"/>
      <c r="AEU265" s="95"/>
      <c r="AEV265" s="95"/>
      <c r="AEW265" s="95"/>
      <c r="AEX265" s="95"/>
      <c r="AEY265" s="95"/>
      <c r="AEZ265" s="95"/>
      <c r="AFA265" s="95"/>
      <c r="AFB265" s="95"/>
      <c r="AFC265" s="95"/>
      <c r="AFD265" s="95"/>
      <c r="AFE265" s="95"/>
      <c r="AFF265" s="95"/>
      <c r="AFG265" s="95"/>
      <c r="AFH265" s="95"/>
      <c r="AFI265" s="95"/>
      <c r="AFJ265" s="95"/>
      <c r="AFK265" s="95"/>
      <c r="AFL265" s="95"/>
      <c r="AFM265" s="95"/>
      <c r="AFN265" s="95"/>
      <c r="AFO265" s="95"/>
      <c r="AFP265" s="95"/>
      <c r="AFQ265" s="95"/>
      <c r="AFR265" s="95"/>
      <c r="AFS265" s="95"/>
      <c r="AFT265" s="95"/>
      <c r="AFU265" s="95"/>
      <c r="AFV265" s="95"/>
      <c r="AFW265" s="95"/>
      <c r="AFX265" s="95"/>
      <c r="AFY265" s="95"/>
      <c r="AFZ265" s="95"/>
      <c r="AGA265" s="95"/>
      <c r="AGB265" s="95"/>
      <c r="AGC265" s="95"/>
      <c r="AGD265" s="95"/>
      <c r="AGE265" s="95"/>
      <c r="AGF265" s="95"/>
      <c r="AGG265" s="95"/>
      <c r="AGH265" s="95"/>
      <c r="AGI265" s="95"/>
      <c r="AGJ265" s="95"/>
      <c r="AGK265" s="95"/>
      <c r="AGL265" s="95"/>
      <c r="AGM265" s="95"/>
      <c r="AGN265" s="95"/>
      <c r="AGO265" s="95"/>
      <c r="AGP265" s="95"/>
      <c r="AGQ265" s="95"/>
      <c r="AGR265" s="95"/>
      <c r="AGS265" s="95"/>
      <c r="AGT265" s="95"/>
      <c r="AGU265" s="95"/>
      <c r="AGV265" s="95"/>
      <c r="AGW265" s="95"/>
      <c r="AGX265" s="95"/>
      <c r="AGY265" s="95"/>
      <c r="AGZ265" s="95"/>
      <c r="AHA265" s="95"/>
      <c r="AHB265" s="95"/>
      <c r="AHC265" s="95"/>
      <c r="AHD265" s="95"/>
      <c r="AHE265" s="95"/>
      <c r="AHF265" s="95"/>
      <c r="AHG265" s="95"/>
      <c r="AHH265" s="95"/>
      <c r="AHI265" s="95"/>
      <c r="AHJ265" s="95"/>
      <c r="AHK265" s="95"/>
      <c r="AHL265" s="95"/>
      <c r="AHM265" s="95"/>
      <c r="AHN265" s="95"/>
      <c r="AHO265" s="95"/>
      <c r="AHP265" s="95"/>
      <c r="AHQ265" s="95"/>
      <c r="AHR265" s="95"/>
      <c r="AHS265" s="95"/>
      <c r="AHT265" s="95"/>
      <c r="AHU265" s="95"/>
      <c r="AHV265" s="95"/>
      <c r="AHW265" s="95"/>
      <c r="AHX265" s="95"/>
      <c r="AHY265" s="95"/>
      <c r="AHZ265" s="95"/>
      <c r="AIA265" s="95"/>
      <c r="AIB265" s="95"/>
      <c r="AIC265" s="95"/>
      <c r="AID265" s="95"/>
      <c r="AIE265" s="95"/>
      <c r="AIF265" s="95"/>
      <c r="AIG265" s="95"/>
      <c r="AIH265" s="95"/>
      <c r="AII265" s="95"/>
      <c r="AIJ265" s="95"/>
      <c r="AIK265" s="95"/>
      <c r="AIL265" s="95"/>
      <c r="AIM265" s="95"/>
      <c r="AIN265" s="95"/>
      <c r="AIO265" s="95"/>
      <c r="AIP265" s="95"/>
      <c r="AIQ265" s="95"/>
      <c r="AIR265" s="95"/>
      <c r="AIS265" s="95"/>
      <c r="AIT265" s="95"/>
      <c r="AIU265" s="95"/>
      <c r="AIV265" s="95"/>
      <c r="AIW265" s="95"/>
      <c r="AIX265" s="95"/>
      <c r="AIY265" s="95"/>
      <c r="AIZ265" s="95"/>
      <c r="AJA265" s="95"/>
      <c r="AJB265" s="95"/>
      <c r="AJC265" s="95"/>
      <c r="AJD265" s="95"/>
      <c r="AJE265" s="95"/>
      <c r="AJF265" s="95"/>
      <c r="AJG265" s="95"/>
      <c r="AJH265" s="95"/>
      <c r="AJI265" s="95"/>
      <c r="AJJ265" s="95"/>
      <c r="AJK265" s="95"/>
      <c r="AJL265" s="95"/>
      <c r="AJM265" s="95"/>
      <c r="AJN265" s="95"/>
      <c r="AJO265" s="95"/>
      <c r="AJP265" s="95"/>
      <c r="AJQ265" s="95"/>
      <c r="AJR265" s="95"/>
      <c r="AJS265" s="95"/>
      <c r="AJT265" s="95"/>
      <c r="AJU265" s="95"/>
      <c r="AJV265" s="95"/>
      <c r="AJW265" s="95"/>
      <c r="AJX265" s="95"/>
      <c r="AJY265" s="95"/>
      <c r="AJZ265" s="95"/>
      <c r="AKA265" s="95"/>
      <c r="AKB265" s="95"/>
      <c r="AKC265" s="95"/>
      <c r="AKD265" s="95"/>
      <c r="AKE265" s="95"/>
      <c r="AKF265" s="95"/>
      <c r="AKG265" s="95"/>
      <c r="AKH265" s="95"/>
      <c r="AKI265" s="95"/>
      <c r="AKJ265" s="95"/>
      <c r="AKK265" s="95"/>
      <c r="AKL265" s="95"/>
      <c r="AKM265" s="95"/>
      <c r="AKN265" s="95"/>
      <c r="AKO265" s="95"/>
      <c r="AKP265" s="95"/>
      <c r="AKQ265" s="95"/>
      <c r="AKR265" s="95"/>
      <c r="AKS265" s="95"/>
      <c r="AKT265" s="95"/>
      <c r="AKU265" s="95"/>
      <c r="AKV265" s="95"/>
      <c r="AKW265" s="95"/>
      <c r="AKX265" s="95"/>
      <c r="AKY265" s="95"/>
      <c r="AKZ265" s="95"/>
      <c r="ALA265" s="95"/>
      <c r="ALB265" s="95"/>
      <c r="ALC265" s="95"/>
      <c r="ALD265" s="95"/>
      <c r="ALE265" s="95"/>
      <c r="ALF265" s="95"/>
      <c r="ALG265" s="95"/>
      <c r="ALH265" s="95"/>
      <c r="ALI265" s="95"/>
      <c r="ALJ265" s="95"/>
      <c r="ALK265" s="95"/>
      <c r="ALL265" s="95"/>
      <c r="ALM265" s="95"/>
      <c r="ALN265" s="95"/>
      <c r="ALO265" s="95"/>
      <c r="ALP265" s="95"/>
      <c r="ALQ265" s="95"/>
      <c r="ALR265" s="95"/>
      <c r="ALS265" s="95"/>
      <c r="ALT265" s="95"/>
      <c r="ALU265" s="95"/>
      <c r="ALV265" s="95"/>
      <c r="ALW265" s="95"/>
      <c r="ALX265" s="95"/>
      <c r="ALY265" s="95"/>
      <c r="ALZ265" s="95"/>
      <c r="AMA265" s="95"/>
      <c r="AMB265" s="95"/>
      <c r="AMC265" s="95"/>
      <c r="AMD265" s="95"/>
      <c r="AME265" s="95"/>
      <c r="AMF265" s="95"/>
      <c r="AMG265" s="95"/>
      <c r="AMH265" s="95"/>
      <c r="AMI265" s="95"/>
      <c r="AMJ265" s="95"/>
      <c r="AMK265" s="95"/>
      <c r="AML265" s="95"/>
      <c r="AMM265" s="95"/>
      <c r="AMN265" s="95"/>
      <c r="AMO265" s="95"/>
      <c r="AMP265" s="95"/>
      <c r="AMQ265" s="95"/>
      <c r="AMR265" s="95"/>
      <c r="AMS265" s="95"/>
      <c r="AMT265" s="95"/>
      <c r="AMU265" s="95"/>
      <c r="AMV265" s="95"/>
      <c r="AMW265" s="95"/>
      <c r="AMX265" s="95"/>
      <c r="AMY265" s="95"/>
      <c r="AMZ265" s="95"/>
      <c r="ANA265" s="95"/>
      <c r="ANB265" s="95"/>
      <c r="ANC265" s="95"/>
      <c r="AND265" s="95"/>
      <c r="ANE265" s="95"/>
      <c r="ANF265" s="95"/>
      <c r="ANG265" s="95"/>
      <c r="ANH265" s="95"/>
      <c r="ANI265" s="95"/>
      <c r="ANJ265" s="95"/>
      <c r="ANK265" s="95"/>
      <c r="ANL265" s="95"/>
      <c r="ANM265" s="95"/>
      <c r="ANN265" s="95"/>
      <c r="ANO265" s="95"/>
      <c r="ANP265" s="95"/>
      <c r="ANQ265" s="95"/>
      <c r="ANR265" s="95"/>
      <c r="ANS265" s="95"/>
      <c r="ANT265" s="95"/>
      <c r="ANU265" s="95"/>
      <c r="ANV265" s="95"/>
      <c r="ANW265" s="95"/>
      <c r="ANX265" s="95"/>
      <c r="ANY265" s="95"/>
      <c r="ANZ265" s="95"/>
      <c r="AOA265" s="95"/>
      <c r="AOB265" s="95"/>
      <c r="AOC265" s="95"/>
      <c r="AOD265" s="95"/>
      <c r="AOE265" s="95"/>
      <c r="AOF265" s="95"/>
      <c r="AOG265" s="95"/>
      <c r="AOH265" s="95"/>
      <c r="AOI265" s="95"/>
      <c r="AOJ265" s="95"/>
      <c r="AOK265" s="95"/>
      <c r="AOL265" s="95"/>
      <c r="AOM265" s="95"/>
      <c r="AON265" s="95"/>
      <c r="AOO265" s="95"/>
      <c r="AOP265" s="95"/>
      <c r="AOQ265" s="95"/>
      <c r="AOR265" s="95"/>
      <c r="AOS265" s="95"/>
      <c r="AOT265" s="95"/>
      <c r="AOU265" s="95"/>
      <c r="AOV265" s="95"/>
      <c r="AOW265" s="95"/>
      <c r="AOX265" s="95"/>
      <c r="AOY265" s="95"/>
      <c r="AOZ265" s="95"/>
      <c r="APA265" s="95"/>
      <c r="APB265" s="95"/>
      <c r="APC265" s="95"/>
      <c r="APD265" s="95"/>
      <c r="APE265" s="95"/>
      <c r="APF265" s="95"/>
      <c r="APG265" s="95"/>
      <c r="APH265" s="95"/>
      <c r="API265" s="95"/>
      <c r="APJ265" s="95"/>
      <c r="APK265" s="95"/>
      <c r="APL265" s="95"/>
      <c r="APM265" s="95"/>
      <c r="APN265" s="95"/>
      <c r="APO265" s="95"/>
      <c r="APP265" s="95"/>
      <c r="APQ265" s="95"/>
      <c r="APR265" s="95"/>
      <c r="APS265" s="95"/>
      <c r="APT265" s="95"/>
      <c r="APU265" s="95"/>
      <c r="APV265" s="95"/>
      <c r="APW265" s="95"/>
      <c r="APX265" s="95"/>
      <c r="APY265" s="95"/>
      <c r="APZ265" s="95"/>
      <c r="AQA265" s="95"/>
      <c r="AQB265" s="95"/>
      <c r="AQC265" s="95"/>
      <c r="AQD265" s="95"/>
      <c r="AQE265" s="95"/>
      <c r="AQF265" s="95"/>
      <c r="AQG265" s="95"/>
      <c r="AQH265" s="95"/>
      <c r="AQI265" s="95"/>
      <c r="AQJ265" s="95"/>
      <c r="AQK265" s="95"/>
      <c r="AQL265" s="95"/>
      <c r="AQM265" s="95"/>
      <c r="AQN265" s="95"/>
      <c r="AQO265" s="95"/>
      <c r="AQP265" s="95"/>
      <c r="AQQ265" s="95"/>
      <c r="AQR265" s="95"/>
      <c r="AQS265" s="95"/>
      <c r="AQT265" s="95"/>
      <c r="AQU265" s="95"/>
      <c r="AQV265" s="95"/>
      <c r="AQW265" s="95"/>
      <c r="AQX265" s="95"/>
      <c r="AQY265" s="95"/>
      <c r="AQZ265" s="95"/>
      <c r="ARA265" s="95"/>
      <c r="ARB265" s="95"/>
      <c r="ARC265" s="95"/>
      <c r="ARD265" s="95"/>
      <c r="ARE265" s="95"/>
      <c r="ARF265" s="95"/>
      <c r="ARG265" s="95"/>
      <c r="ARH265" s="95"/>
      <c r="ARI265" s="95"/>
      <c r="ARJ265" s="95"/>
      <c r="ARK265" s="95"/>
      <c r="ARL265" s="95"/>
      <c r="ARM265" s="95"/>
      <c r="ARN265" s="95"/>
      <c r="ARO265" s="95"/>
      <c r="ARP265" s="95"/>
      <c r="ARQ265" s="95"/>
      <c r="ARR265" s="95"/>
      <c r="ARS265" s="95"/>
      <c r="ART265" s="95"/>
      <c r="ARU265" s="95"/>
      <c r="ARV265" s="95"/>
      <c r="ARW265" s="95"/>
      <c r="ARX265" s="95"/>
      <c r="ARY265" s="95"/>
      <c r="ARZ265" s="95"/>
      <c r="ASA265" s="95"/>
      <c r="ASB265" s="95"/>
      <c r="ASC265" s="95"/>
      <c r="ASD265" s="95"/>
      <c r="ASE265" s="95"/>
      <c r="ASF265" s="95"/>
      <c r="ASG265" s="95"/>
      <c r="ASH265" s="95"/>
      <c r="ASI265" s="95"/>
      <c r="ASJ265" s="95"/>
      <c r="ASK265" s="95"/>
      <c r="ASL265" s="95"/>
      <c r="ASM265" s="95"/>
      <c r="ASN265" s="95"/>
      <c r="ASO265" s="95"/>
      <c r="ASP265" s="95"/>
      <c r="ASQ265" s="95"/>
      <c r="ASR265" s="95"/>
      <c r="ASS265" s="95"/>
      <c r="AST265" s="95"/>
      <c r="ASU265" s="95"/>
      <c r="ASV265" s="95"/>
      <c r="ASW265" s="95"/>
      <c r="ASX265" s="95"/>
      <c r="ASY265" s="95"/>
      <c r="ASZ265" s="95"/>
      <c r="ATA265" s="95"/>
      <c r="ATB265" s="95"/>
      <c r="ATC265" s="95"/>
      <c r="ATD265" s="95"/>
      <c r="ATE265" s="95"/>
      <c r="ATF265" s="95"/>
      <c r="ATG265" s="95"/>
      <c r="ATH265" s="95"/>
      <c r="ATI265" s="95"/>
      <c r="ATJ265" s="95"/>
      <c r="ATK265" s="95"/>
      <c r="ATL265" s="95"/>
      <c r="ATM265" s="95"/>
      <c r="ATN265" s="95"/>
      <c r="ATO265" s="95"/>
      <c r="ATP265" s="95"/>
      <c r="ATQ265" s="95"/>
      <c r="ATR265" s="95"/>
      <c r="ATS265" s="95"/>
      <c r="ATT265" s="95"/>
      <c r="ATU265" s="95"/>
      <c r="ATV265" s="95"/>
      <c r="ATW265" s="95"/>
      <c r="ATX265" s="95"/>
      <c r="ATY265" s="95"/>
      <c r="ATZ265" s="95"/>
      <c r="AUA265" s="95"/>
      <c r="AUB265" s="95"/>
      <c r="AUC265" s="95"/>
      <c r="AUD265" s="95"/>
      <c r="AUE265" s="95"/>
      <c r="AUF265" s="95"/>
      <c r="AUG265" s="95"/>
      <c r="AUH265" s="95"/>
      <c r="AUI265" s="95"/>
      <c r="AUJ265" s="95"/>
      <c r="AUK265" s="95"/>
      <c r="AUL265" s="95"/>
      <c r="AUM265" s="95"/>
      <c r="AUN265" s="95"/>
      <c r="AUO265" s="95"/>
      <c r="AUP265" s="95"/>
      <c r="AUQ265" s="95"/>
      <c r="AUR265" s="95"/>
      <c r="AUS265" s="95"/>
      <c r="AUT265" s="95"/>
      <c r="AUU265" s="95"/>
      <c r="AUV265" s="95"/>
      <c r="AUW265" s="95"/>
      <c r="AUX265" s="95"/>
      <c r="AUY265" s="95"/>
      <c r="AUZ265" s="95"/>
      <c r="AVA265" s="95"/>
      <c r="AVB265" s="95"/>
      <c r="AVC265" s="95"/>
      <c r="AVD265" s="95"/>
      <c r="AVE265" s="95"/>
      <c r="AVF265" s="95"/>
      <c r="AVG265" s="95"/>
      <c r="AVH265" s="95"/>
      <c r="AVI265" s="95"/>
      <c r="AVJ265" s="95"/>
      <c r="AVK265" s="95"/>
      <c r="AVL265" s="95"/>
      <c r="AVM265" s="95"/>
      <c r="AVN265" s="95"/>
      <c r="AVO265" s="95"/>
      <c r="AVP265" s="95"/>
      <c r="AVQ265" s="95"/>
      <c r="AVR265" s="95"/>
      <c r="AVS265" s="95"/>
      <c r="AVT265" s="95"/>
      <c r="AVU265" s="95"/>
      <c r="AVV265" s="95"/>
      <c r="AVW265" s="95"/>
      <c r="AVX265" s="95"/>
      <c r="AVY265" s="95"/>
      <c r="AVZ265" s="95"/>
      <c r="AWA265" s="95"/>
      <c r="AWB265" s="95"/>
      <c r="AWC265" s="95"/>
      <c r="AWD265" s="95"/>
      <c r="AWE265" s="95"/>
      <c r="AWF265" s="95"/>
      <c r="AWG265" s="95"/>
      <c r="AWH265" s="95"/>
      <c r="AWI265" s="95"/>
      <c r="AWJ265" s="95"/>
      <c r="AWK265" s="95"/>
      <c r="AWL265" s="95"/>
      <c r="AWM265" s="95"/>
      <c r="AWN265" s="95"/>
      <c r="AWO265" s="95"/>
      <c r="AWP265" s="95"/>
      <c r="AWQ265" s="95"/>
      <c r="AWR265" s="95"/>
      <c r="AWS265" s="95"/>
      <c r="AWT265" s="95"/>
      <c r="AWU265" s="95"/>
      <c r="AWV265" s="95"/>
      <c r="AWW265" s="95"/>
      <c r="AWX265" s="95"/>
      <c r="AWY265" s="95"/>
      <c r="AWZ265" s="95"/>
      <c r="AXA265" s="95"/>
      <c r="AXB265" s="95"/>
      <c r="AXC265" s="95"/>
      <c r="AXD265" s="95"/>
      <c r="AXE265" s="95"/>
      <c r="AXF265" s="95"/>
      <c r="AXG265" s="95"/>
      <c r="AXH265" s="95"/>
      <c r="AXI265" s="95"/>
      <c r="AXJ265" s="95"/>
      <c r="AXK265" s="95"/>
      <c r="AXL265" s="95"/>
      <c r="AXM265" s="95"/>
      <c r="AXN265" s="95"/>
      <c r="AXO265" s="95"/>
      <c r="AXP265" s="95"/>
      <c r="AXQ265" s="95"/>
      <c r="AXR265" s="95"/>
      <c r="AXS265" s="95"/>
      <c r="AXT265" s="95"/>
      <c r="AXU265" s="95"/>
      <c r="AXV265" s="95"/>
      <c r="AXW265" s="95"/>
      <c r="AXX265" s="95"/>
      <c r="AXY265" s="95"/>
      <c r="AXZ265" s="95"/>
      <c r="AYA265" s="95"/>
      <c r="AYB265" s="95"/>
      <c r="AYC265" s="95"/>
      <c r="AYD265" s="95"/>
      <c r="AYE265" s="95"/>
      <c r="AYF265" s="95"/>
      <c r="AYG265" s="95"/>
      <c r="AYH265" s="95"/>
      <c r="AYI265" s="95"/>
      <c r="AYJ265" s="95"/>
      <c r="AYK265" s="95"/>
      <c r="AYL265" s="95"/>
      <c r="AYM265" s="95"/>
      <c r="AYN265" s="95"/>
      <c r="AYO265" s="95"/>
      <c r="AYP265" s="95"/>
      <c r="AYQ265" s="95"/>
      <c r="AYR265" s="95"/>
      <c r="AYS265" s="95"/>
      <c r="AYT265" s="95"/>
      <c r="AYU265" s="95"/>
      <c r="AYV265" s="95"/>
      <c r="AYW265" s="95"/>
      <c r="AYX265" s="95"/>
      <c r="AYY265" s="95"/>
      <c r="AYZ265" s="95"/>
      <c r="AZA265" s="95"/>
      <c r="AZB265" s="95"/>
      <c r="AZC265" s="95"/>
      <c r="AZD265" s="95"/>
      <c r="AZE265" s="95"/>
      <c r="AZF265" s="95"/>
      <c r="AZG265" s="95"/>
      <c r="AZH265" s="95"/>
      <c r="AZI265" s="95"/>
      <c r="AZJ265" s="95"/>
      <c r="AZK265" s="95"/>
      <c r="AZL265" s="95"/>
      <c r="AZM265" s="95"/>
      <c r="AZN265" s="95"/>
      <c r="AZO265" s="95"/>
      <c r="AZP265" s="95"/>
      <c r="AZQ265" s="95"/>
      <c r="AZR265" s="95"/>
      <c r="AZS265" s="95"/>
      <c r="AZT265" s="95"/>
      <c r="AZU265" s="95"/>
      <c r="AZV265" s="95"/>
      <c r="AZW265" s="95"/>
      <c r="AZX265" s="95"/>
      <c r="AZY265" s="95"/>
      <c r="AZZ265" s="95"/>
      <c r="BAA265" s="95"/>
      <c r="BAB265" s="95"/>
      <c r="BAC265" s="95"/>
      <c r="BAD265" s="95"/>
      <c r="BAE265" s="95"/>
      <c r="BAF265" s="95"/>
      <c r="BAG265" s="95"/>
      <c r="BAH265" s="95"/>
      <c r="BAI265" s="95"/>
      <c r="BAJ265" s="95"/>
      <c r="BAK265" s="95"/>
      <c r="BAL265" s="95"/>
      <c r="BAM265" s="95"/>
      <c r="BAN265" s="95"/>
      <c r="BAO265" s="95"/>
      <c r="BAP265" s="95"/>
      <c r="BAQ265" s="95"/>
      <c r="BAR265" s="95"/>
      <c r="BAS265" s="95"/>
      <c r="BAT265" s="95"/>
      <c r="BAU265" s="95"/>
      <c r="BAV265" s="95"/>
      <c r="BAW265" s="95"/>
      <c r="BAX265" s="95"/>
      <c r="BAY265" s="95"/>
      <c r="BAZ265" s="95"/>
      <c r="BBA265" s="95"/>
      <c r="BBB265" s="95"/>
      <c r="BBC265" s="95"/>
      <c r="BBD265" s="95"/>
      <c r="BBE265" s="95"/>
      <c r="BBF265" s="95"/>
      <c r="BBG265" s="95"/>
      <c r="BBH265" s="95"/>
      <c r="BBI265" s="95"/>
      <c r="BBJ265" s="95"/>
      <c r="BBK265" s="95"/>
      <c r="BBL265" s="95"/>
      <c r="BBM265" s="95"/>
      <c r="BBN265" s="95"/>
      <c r="BBO265" s="95"/>
      <c r="BBP265" s="95"/>
      <c r="BBQ265" s="95"/>
      <c r="BBR265" s="95"/>
      <c r="BBS265" s="95"/>
      <c r="BBT265" s="95"/>
      <c r="BBU265" s="95"/>
      <c r="BBV265" s="95"/>
      <c r="BBW265" s="95"/>
      <c r="BBX265" s="95"/>
      <c r="BBY265" s="95"/>
      <c r="BBZ265" s="95"/>
      <c r="BCA265" s="95"/>
      <c r="BCB265" s="95"/>
      <c r="BCC265" s="95"/>
      <c r="BCD265" s="95"/>
      <c r="BCE265" s="95"/>
      <c r="BCF265" s="95"/>
      <c r="BCG265" s="95"/>
      <c r="BCH265" s="95"/>
      <c r="BCI265" s="95"/>
      <c r="BCJ265" s="95"/>
      <c r="BCK265" s="95"/>
      <c r="BCL265" s="95"/>
      <c r="BCM265" s="95"/>
      <c r="BCN265" s="95"/>
      <c r="BCO265" s="95"/>
      <c r="BCP265" s="95"/>
      <c r="BCQ265" s="95"/>
      <c r="BCR265" s="95"/>
      <c r="BCS265" s="95"/>
      <c r="BCT265" s="95"/>
      <c r="BCU265" s="95"/>
      <c r="BCV265" s="95"/>
      <c r="BCW265" s="95"/>
      <c r="BCX265" s="95"/>
      <c r="BCY265" s="95"/>
      <c r="BCZ265" s="95"/>
      <c r="BDA265" s="95"/>
      <c r="BDB265" s="95"/>
      <c r="BDC265" s="95"/>
      <c r="BDD265" s="95"/>
      <c r="BDE265" s="95"/>
      <c r="BDF265" s="95"/>
      <c r="BDG265" s="95"/>
      <c r="BDH265" s="95"/>
      <c r="BDI265" s="95"/>
      <c r="BDJ265" s="95"/>
      <c r="BDK265" s="95"/>
      <c r="BDL265" s="95"/>
      <c r="BDM265" s="95"/>
      <c r="BDN265" s="95"/>
      <c r="BDO265" s="95"/>
      <c r="BDP265" s="95"/>
      <c r="BDQ265" s="95"/>
      <c r="BDR265" s="95"/>
      <c r="BDS265" s="95"/>
      <c r="BDT265" s="95"/>
      <c r="BDU265" s="95"/>
      <c r="BDV265" s="95"/>
      <c r="BDW265" s="95"/>
      <c r="BDX265" s="95"/>
      <c r="BDY265" s="95"/>
      <c r="BDZ265" s="95"/>
      <c r="BEA265" s="95"/>
      <c r="BEB265" s="95"/>
      <c r="BEC265" s="95"/>
      <c r="BED265" s="95"/>
      <c r="BEE265" s="95"/>
      <c r="BEF265" s="95"/>
      <c r="BEG265" s="95"/>
      <c r="BEH265" s="95"/>
      <c r="BEI265" s="95"/>
      <c r="BEJ265" s="95"/>
      <c r="BEK265" s="95"/>
      <c r="BEL265" s="95"/>
      <c r="BEM265" s="95"/>
      <c r="BEN265" s="95"/>
      <c r="BEO265" s="95"/>
      <c r="BEP265" s="95"/>
      <c r="BEQ265" s="95"/>
      <c r="BER265" s="95"/>
      <c r="BES265" s="95"/>
      <c r="BET265" s="95"/>
      <c r="BEU265" s="95"/>
      <c r="BEV265" s="95"/>
      <c r="BEW265" s="95"/>
      <c r="BEX265" s="95"/>
      <c r="BEY265" s="95"/>
      <c r="BEZ265" s="95"/>
      <c r="BFA265" s="95"/>
      <c r="BFB265" s="95"/>
      <c r="BFC265" s="95"/>
      <c r="BFD265" s="95"/>
      <c r="BFE265" s="95"/>
      <c r="BFF265" s="95"/>
      <c r="BFG265" s="95"/>
      <c r="BFH265" s="95"/>
      <c r="BFI265" s="95"/>
      <c r="BFJ265" s="95"/>
      <c r="BFK265" s="95"/>
      <c r="BFL265" s="95"/>
      <c r="BFM265" s="95"/>
      <c r="BFN265" s="95"/>
      <c r="BFO265" s="95"/>
      <c r="BFP265" s="95"/>
      <c r="BFQ265" s="95"/>
      <c r="BFR265" s="95"/>
      <c r="BFS265" s="95"/>
      <c r="BFT265" s="95"/>
      <c r="BFU265" s="95"/>
      <c r="BFV265" s="95"/>
      <c r="BFW265" s="95"/>
      <c r="BFX265" s="95"/>
      <c r="BFY265" s="95"/>
      <c r="BFZ265" s="95"/>
      <c r="BGA265" s="95"/>
      <c r="BGB265" s="95"/>
      <c r="BGC265" s="95"/>
      <c r="BGD265" s="95"/>
      <c r="BGE265" s="95"/>
      <c r="BGF265" s="95"/>
      <c r="BGG265" s="95"/>
      <c r="BGH265" s="95"/>
      <c r="BGI265" s="95"/>
      <c r="BGJ265" s="95"/>
      <c r="BGK265" s="95"/>
      <c r="BGL265" s="95"/>
      <c r="BGM265" s="95"/>
      <c r="BGN265" s="95"/>
      <c r="BGO265" s="95"/>
      <c r="BGP265" s="95"/>
      <c r="BGQ265" s="95"/>
      <c r="BGR265" s="95"/>
      <c r="BGS265" s="95"/>
      <c r="BGT265" s="95"/>
      <c r="BGU265" s="95"/>
      <c r="BGV265" s="95"/>
      <c r="BGW265" s="95"/>
      <c r="BGX265" s="95"/>
      <c r="BGY265" s="95"/>
      <c r="BGZ265" s="95"/>
      <c r="BHA265" s="95"/>
      <c r="BHB265" s="95"/>
      <c r="BHC265" s="95"/>
      <c r="BHD265" s="95"/>
      <c r="BHE265" s="95"/>
      <c r="BHF265" s="95"/>
      <c r="BHG265" s="95"/>
      <c r="BHH265" s="95"/>
      <c r="BHI265" s="95"/>
      <c r="BHJ265" s="95"/>
      <c r="BHK265" s="95"/>
      <c r="BHL265" s="95"/>
      <c r="BHM265" s="95"/>
      <c r="BHN265" s="95"/>
      <c r="BHO265" s="95"/>
      <c r="BHP265" s="95"/>
      <c r="BHQ265" s="95"/>
      <c r="BHR265" s="95"/>
      <c r="BHS265" s="95"/>
      <c r="BHT265" s="95"/>
      <c r="BHU265" s="95"/>
      <c r="BHV265" s="95"/>
      <c r="BHW265" s="95"/>
      <c r="BHX265" s="95"/>
      <c r="BHY265" s="95"/>
      <c r="BHZ265" s="95"/>
      <c r="BIA265" s="95"/>
      <c r="BIB265" s="95"/>
      <c r="BIC265" s="95"/>
      <c r="BID265" s="95"/>
      <c r="BIE265" s="95"/>
      <c r="BIF265" s="95"/>
      <c r="BIG265" s="95"/>
      <c r="BIH265" s="95"/>
      <c r="BII265" s="95"/>
      <c r="BIJ265" s="95"/>
      <c r="BIK265" s="95"/>
      <c r="BIL265" s="95"/>
      <c r="BIM265" s="95"/>
      <c r="BIN265" s="95"/>
      <c r="BIO265" s="95"/>
      <c r="BIP265" s="95"/>
      <c r="BIQ265" s="95"/>
      <c r="BIR265" s="95"/>
      <c r="BIS265" s="95"/>
      <c r="BIT265" s="95"/>
      <c r="BIU265" s="95"/>
      <c r="BIV265" s="95"/>
      <c r="BIW265" s="95"/>
      <c r="BIX265" s="95"/>
      <c r="BIY265" s="95"/>
      <c r="BIZ265" s="95"/>
      <c r="BJA265" s="95"/>
      <c r="BJB265" s="95"/>
      <c r="BJC265" s="95"/>
      <c r="BJD265" s="95"/>
      <c r="BJE265" s="95"/>
      <c r="BJF265" s="95"/>
      <c r="BJG265" s="95"/>
      <c r="BJH265" s="95"/>
      <c r="BJI265" s="95"/>
      <c r="BJJ265" s="95"/>
      <c r="BJK265" s="95"/>
      <c r="BJL265" s="95"/>
      <c r="BJM265" s="95"/>
      <c r="BJN265" s="95"/>
      <c r="BJO265" s="95"/>
      <c r="BJP265" s="95"/>
      <c r="BJQ265" s="95"/>
      <c r="BJR265" s="95"/>
      <c r="BJS265" s="95"/>
      <c r="BJT265" s="95"/>
      <c r="BJU265" s="95"/>
      <c r="BJV265" s="95"/>
      <c r="BJW265" s="95"/>
      <c r="BJX265" s="95"/>
      <c r="BJY265" s="95"/>
      <c r="BJZ265" s="95"/>
      <c r="BKA265" s="95"/>
      <c r="BKB265" s="95"/>
      <c r="BKC265" s="95"/>
      <c r="BKD265" s="95"/>
      <c r="BKE265" s="95"/>
      <c r="BKF265" s="95"/>
      <c r="BKG265" s="95"/>
      <c r="BKH265" s="95"/>
      <c r="BKI265" s="95"/>
      <c r="BKJ265" s="95"/>
      <c r="BKK265" s="95"/>
      <c r="BKL265" s="95"/>
      <c r="BKM265" s="95"/>
      <c r="BKN265" s="95"/>
      <c r="BKO265" s="95"/>
      <c r="BKP265" s="95"/>
      <c r="BKQ265" s="95"/>
      <c r="BKR265" s="95"/>
      <c r="BKS265" s="95"/>
      <c r="BKT265" s="95"/>
      <c r="BKU265" s="95"/>
      <c r="BKV265" s="95"/>
      <c r="BKW265" s="95"/>
      <c r="BKX265" s="95"/>
      <c r="BKY265" s="95"/>
      <c r="BKZ265" s="95"/>
      <c r="BLA265" s="95"/>
      <c r="BLB265" s="95"/>
      <c r="BLC265" s="95"/>
      <c r="BLD265" s="95"/>
      <c r="BLE265" s="95"/>
      <c r="BLF265" s="95"/>
      <c r="BLG265" s="95"/>
      <c r="BLH265" s="95"/>
      <c r="BLI265" s="95"/>
      <c r="BLJ265" s="95"/>
      <c r="BLK265" s="95"/>
      <c r="BLL265" s="95"/>
      <c r="BLM265" s="95"/>
      <c r="BLN265" s="95"/>
      <c r="BLO265" s="95"/>
      <c r="BLP265" s="95"/>
      <c r="BLQ265" s="95"/>
      <c r="BLR265" s="95"/>
      <c r="BLS265" s="95"/>
      <c r="BLT265" s="95"/>
      <c r="BLU265" s="95"/>
      <c r="BLV265" s="95"/>
      <c r="BLW265" s="95"/>
      <c r="BLX265" s="95"/>
      <c r="BLY265" s="95"/>
      <c r="BLZ265" s="95"/>
      <c r="BMA265" s="95"/>
      <c r="BMB265" s="95"/>
      <c r="BMC265" s="95"/>
      <c r="BMD265" s="95"/>
      <c r="BME265" s="95"/>
      <c r="BMF265" s="95"/>
      <c r="BMG265" s="95"/>
      <c r="BMH265" s="95"/>
      <c r="BMI265" s="95"/>
      <c r="BMJ265" s="95"/>
      <c r="BMK265" s="95"/>
      <c r="BML265" s="95"/>
      <c r="BMM265" s="95"/>
      <c r="BMN265" s="95"/>
      <c r="BMO265" s="95"/>
      <c r="BMP265" s="95"/>
      <c r="BMQ265" s="95"/>
      <c r="BMR265" s="95"/>
      <c r="BMS265" s="95"/>
      <c r="BMT265" s="95"/>
      <c r="BMU265" s="95"/>
      <c r="BMV265" s="95"/>
      <c r="BMW265" s="95"/>
      <c r="BMX265" s="95"/>
      <c r="BMY265" s="95"/>
      <c r="BMZ265" s="95"/>
      <c r="BNA265" s="95"/>
      <c r="BNB265" s="95"/>
      <c r="BNC265" s="95"/>
      <c r="BND265" s="95"/>
      <c r="BNE265" s="95"/>
      <c r="BNF265" s="95"/>
      <c r="BNG265" s="95"/>
      <c r="BNH265" s="95"/>
      <c r="BNI265" s="95"/>
      <c r="BNJ265" s="95"/>
      <c r="BNK265" s="95"/>
      <c r="BNL265" s="95"/>
      <c r="BNM265" s="95"/>
      <c r="BNN265" s="95"/>
      <c r="BNO265" s="95"/>
      <c r="BNP265" s="95"/>
      <c r="BNQ265" s="95"/>
      <c r="BNR265" s="95"/>
      <c r="BNS265" s="95"/>
      <c r="BNT265" s="95"/>
      <c r="BNU265" s="95"/>
      <c r="BNV265" s="95"/>
      <c r="BNW265" s="95"/>
      <c r="BNX265" s="95"/>
      <c r="BNY265" s="95"/>
      <c r="BNZ265" s="95"/>
      <c r="BOA265" s="95"/>
      <c r="BOB265" s="95"/>
      <c r="BOC265" s="95"/>
      <c r="BOD265" s="95"/>
      <c r="BOE265" s="95"/>
      <c r="BOF265" s="95"/>
      <c r="BOG265" s="95"/>
      <c r="BOH265" s="95"/>
      <c r="BOI265" s="95"/>
      <c r="BOJ265" s="95"/>
      <c r="BOK265" s="95"/>
      <c r="BOL265" s="95"/>
      <c r="BOM265" s="95"/>
      <c r="BON265" s="95"/>
      <c r="BOO265" s="95"/>
      <c r="BOP265" s="95"/>
      <c r="BOQ265" s="95"/>
      <c r="BOR265" s="95"/>
      <c r="BOS265" s="95"/>
      <c r="BOT265" s="95"/>
      <c r="BOU265" s="95"/>
      <c r="BOV265" s="95"/>
      <c r="BOW265" s="95"/>
      <c r="BOX265" s="95"/>
      <c r="BOY265" s="95"/>
      <c r="BOZ265" s="95"/>
      <c r="BPA265" s="95"/>
      <c r="BPB265" s="95"/>
      <c r="BPC265" s="95"/>
      <c r="BPD265" s="95"/>
      <c r="BPE265" s="95"/>
      <c r="BPF265" s="95"/>
      <c r="BPG265" s="95"/>
      <c r="BPH265" s="95"/>
      <c r="BPI265" s="95"/>
      <c r="BPJ265" s="95"/>
      <c r="BPK265" s="95"/>
      <c r="BPL265" s="95"/>
      <c r="BPM265" s="95"/>
      <c r="BPN265" s="95"/>
      <c r="BPO265" s="95"/>
      <c r="BPP265" s="95"/>
      <c r="BPQ265" s="95"/>
      <c r="BPR265" s="95"/>
      <c r="BPS265" s="95"/>
      <c r="BPT265" s="95"/>
      <c r="BPU265" s="95"/>
      <c r="BPV265" s="95"/>
      <c r="BPW265" s="95"/>
      <c r="BPX265" s="95"/>
      <c r="BPY265" s="95"/>
      <c r="BPZ265" s="95"/>
      <c r="BQA265" s="95"/>
      <c r="BQB265" s="95"/>
      <c r="BQC265" s="95"/>
      <c r="BQD265" s="95"/>
      <c r="BQE265" s="95"/>
      <c r="BQF265" s="95"/>
      <c r="BQG265" s="95"/>
      <c r="BQH265" s="95"/>
      <c r="BQI265" s="95"/>
      <c r="BQJ265" s="95"/>
      <c r="BQK265" s="95"/>
      <c r="BQL265" s="95"/>
      <c r="BQM265" s="95"/>
      <c r="BQN265" s="95"/>
      <c r="BQO265" s="95"/>
      <c r="BQP265" s="95"/>
      <c r="BQQ265" s="95"/>
      <c r="BQR265" s="95"/>
      <c r="BQS265" s="95"/>
      <c r="BQT265" s="95"/>
      <c r="BQU265" s="95"/>
      <c r="BQV265" s="95"/>
      <c r="BQW265" s="95"/>
      <c r="BQX265" s="95"/>
      <c r="BQY265" s="95"/>
      <c r="BQZ265" s="95"/>
      <c r="BRA265" s="95"/>
      <c r="BRB265" s="95"/>
      <c r="BRC265" s="95"/>
      <c r="BRD265" s="95"/>
      <c r="BRE265" s="95"/>
      <c r="BRF265" s="95"/>
      <c r="BRG265" s="95"/>
      <c r="BRH265" s="95"/>
      <c r="BRI265" s="95"/>
      <c r="BRJ265" s="95"/>
      <c r="BRK265" s="95"/>
      <c r="BRL265" s="95"/>
      <c r="BRM265" s="95"/>
      <c r="BRN265" s="95"/>
      <c r="BRO265" s="95"/>
      <c r="BRP265" s="95"/>
      <c r="BRQ265" s="95"/>
      <c r="BRR265" s="95"/>
      <c r="BRS265" s="95"/>
      <c r="BRT265" s="95"/>
      <c r="BRU265" s="95"/>
      <c r="BRV265" s="95"/>
      <c r="BRW265" s="95"/>
      <c r="BRX265" s="95"/>
      <c r="BRY265" s="95"/>
      <c r="BRZ265" s="95"/>
      <c r="BSA265" s="95"/>
      <c r="BSB265" s="95"/>
      <c r="BSC265" s="95"/>
      <c r="BSD265" s="95"/>
      <c r="BSE265" s="95"/>
      <c r="BSF265" s="95"/>
      <c r="BSG265" s="95"/>
      <c r="BSH265" s="95"/>
      <c r="BSI265" s="95"/>
      <c r="BSJ265" s="95"/>
      <c r="BSK265" s="95"/>
      <c r="BSL265" s="95"/>
      <c r="BSM265" s="95"/>
      <c r="BSN265" s="95"/>
      <c r="BSO265" s="95"/>
      <c r="BSP265" s="95"/>
      <c r="BSQ265" s="95"/>
      <c r="BSR265" s="95"/>
      <c r="BSS265" s="95"/>
      <c r="BST265" s="95"/>
      <c r="BSU265" s="95"/>
      <c r="BSV265" s="95"/>
      <c r="BSW265" s="95"/>
      <c r="BSX265" s="95"/>
      <c r="BSY265" s="95"/>
      <c r="BSZ265" s="95"/>
      <c r="BTA265" s="95"/>
      <c r="BTB265" s="95"/>
      <c r="BTC265" s="95"/>
      <c r="BTD265" s="95"/>
      <c r="BTE265" s="95"/>
      <c r="BTF265" s="95"/>
      <c r="BTG265" s="95"/>
      <c r="BTH265" s="95"/>
      <c r="BTI265" s="95"/>
      <c r="BTJ265" s="95"/>
      <c r="BTK265" s="95"/>
      <c r="BTL265" s="95"/>
      <c r="BTM265" s="95"/>
      <c r="BTN265" s="95"/>
      <c r="BTO265" s="95"/>
      <c r="BTP265" s="95"/>
      <c r="BTQ265" s="95"/>
      <c r="BTR265" s="95"/>
      <c r="BTS265" s="95"/>
      <c r="BTT265" s="95"/>
      <c r="BTU265" s="95"/>
      <c r="BTV265" s="95"/>
      <c r="BTW265" s="95"/>
      <c r="BTX265" s="95"/>
      <c r="BTY265" s="95"/>
      <c r="BTZ265" s="95"/>
      <c r="BUA265" s="95"/>
      <c r="BUB265" s="95"/>
      <c r="BUC265" s="95"/>
      <c r="BUD265" s="95"/>
      <c r="BUE265" s="95"/>
      <c r="BUF265" s="95"/>
      <c r="BUG265" s="95"/>
      <c r="BUH265" s="95"/>
      <c r="BUI265" s="95"/>
      <c r="BUJ265" s="95"/>
      <c r="BUK265" s="95"/>
      <c r="BUL265" s="95"/>
      <c r="BUM265" s="95"/>
      <c r="BUN265" s="95"/>
      <c r="BUO265" s="95"/>
      <c r="BUP265" s="95"/>
      <c r="BUQ265" s="95"/>
      <c r="BUR265" s="95"/>
      <c r="BUS265" s="95"/>
      <c r="BUT265" s="95"/>
      <c r="BUU265" s="95"/>
      <c r="BUV265" s="95"/>
      <c r="BUW265" s="95"/>
      <c r="BUX265" s="95"/>
      <c r="BUY265" s="95"/>
      <c r="BUZ265" s="95"/>
      <c r="BVA265" s="95"/>
      <c r="BVB265" s="95"/>
      <c r="BVC265" s="95"/>
      <c r="BVD265" s="95"/>
      <c r="BVE265" s="95"/>
      <c r="BVF265" s="95"/>
      <c r="BVG265" s="95"/>
      <c r="BVH265" s="95"/>
      <c r="BVI265" s="95"/>
      <c r="BVJ265" s="95"/>
      <c r="BVK265" s="95"/>
      <c r="BVL265" s="95"/>
      <c r="BVM265" s="95"/>
      <c r="BVN265" s="95"/>
      <c r="BVO265" s="95"/>
      <c r="BVP265" s="95"/>
      <c r="BVQ265" s="95"/>
      <c r="BVR265" s="95"/>
      <c r="BVS265" s="95"/>
      <c r="BVT265" s="95"/>
      <c r="BVU265" s="95"/>
      <c r="BVV265" s="95"/>
      <c r="BVW265" s="95"/>
      <c r="BVX265" s="95"/>
      <c r="BVY265" s="95"/>
      <c r="BVZ265" s="95"/>
      <c r="BWA265" s="95"/>
      <c r="BWB265" s="95"/>
      <c r="BWC265" s="95"/>
      <c r="BWD265" s="95"/>
      <c r="BWE265" s="95"/>
      <c r="BWF265" s="95"/>
      <c r="BWG265" s="95"/>
      <c r="BWH265" s="95"/>
      <c r="BWI265" s="95"/>
      <c r="BWJ265" s="95"/>
      <c r="BWK265" s="95"/>
      <c r="BWL265" s="95"/>
      <c r="BWM265" s="95"/>
      <c r="BWN265" s="95"/>
      <c r="BWO265" s="95"/>
      <c r="BWP265" s="95"/>
      <c r="BWQ265" s="95"/>
      <c r="BWR265" s="95"/>
      <c r="BWS265" s="95"/>
      <c r="BWT265" s="95"/>
      <c r="BWU265" s="95"/>
      <c r="BWV265" s="95"/>
      <c r="BWW265" s="95"/>
      <c r="BWX265" s="95"/>
      <c r="BWY265" s="95"/>
      <c r="BWZ265" s="95"/>
      <c r="BXA265" s="95"/>
      <c r="BXB265" s="95"/>
      <c r="BXC265" s="95"/>
      <c r="BXD265" s="95"/>
      <c r="BXE265" s="95"/>
      <c r="BXF265" s="95"/>
      <c r="BXG265" s="95"/>
      <c r="BXH265" s="95"/>
      <c r="BXI265" s="95"/>
      <c r="BXJ265" s="95"/>
      <c r="BXK265" s="95"/>
      <c r="BXL265" s="95"/>
      <c r="BXM265" s="95"/>
      <c r="BXN265" s="95"/>
      <c r="BXO265" s="95"/>
      <c r="BXP265" s="95"/>
      <c r="BXQ265" s="95"/>
      <c r="BXR265" s="95"/>
      <c r="BXS265" s="95"/>
      <c r="BXT265" s="95"/>
      <c r="BXU265" s="95"/>
      <c r="BXV265" s="95"/>
      <c r="BXW265" s="95"/>
      <c r="BXX265" s="95"/>
      <c r="BXY265" s="95"/>
      <c r="BXZ265" s="95"/>
      <c r="BYA265" s="95"/>
      <c r="BYB265" s="95"/>
      <c r="BYC265" s="95"/>
      <c r="BYD265" s="95"/>
      <c r="BYE265" s="95"/>
      <c r="BYF265" s="95"/>
      <c r="BYG265" s="95"/>
      <c r="BYH265" s="95"/>
      <c r="BYI265" s="95"/>
      <c r="BYJ265" s="95"/>
      <c r="BYK265" s="95"/>
      <c r="BYL265" s="95"/>
      <c r="BYM265" s="95"/>
      <c r="BYN265" s="95"/>
      <c r="BYO265" s="95"/>
      <c r="BYP265" s="95"/>
      <c r="BYQ265" s="95"/>
      <c r="BYR265" s="95"/>
      <c r="BYS265" s="95"/>
      <c r="BYT265" s="95"/>
      <c r="BYU265" s="95"/>
      <c r="BYV265" s="95"/>
      <c r="BYW265" s="95"/>
      <c r="BYX265" s="95"/>
      <c r="BYY265" s="95"/>
      <c r="BYZ265" s="95"/>
      <c r="BZA265" s="95"/>
      <c r="BZB265" s="95"/>
      <c r="BZC265" s="95"/>
      <c r="BZD265" s="95"/>
      <c r="BZE265" s="95"/>
      <c r="BZF265" s="95"/>
      <c r="BZG265" s="95"/>
      <c r="BZH265" s="95"/>
      <c r="BZI265" s="95"/>
      <c r="BZJ265" s="95"/>
      <c r="BZK265" s="95"/>
      <c r="BZL265" s="95"/>
      <c r="BZM265" s="95"/>
      <c r="BZN265" s="95"/>
      <c r="BZO265" s="95"/>
      <c r="BZP265" s="95"/>
      <c r="BZQ265" s="95"/>
      <c r="BZR265" s="95"/>
      <c r="BZS265" s="95"/>
      <c r="BZT265" s="95"/>
      <c r="BZU265" s="95"/>
      <c r="BZV265" s="95"/>
      <c r="BZW265" s="95"/>
      <c r="BZX265" s="95"/>
      <c r="BZY265" s="95"/>
      <c r="BZZ265" s="95"/>
      <c r="CAA265" s="95"/>
      <c r="CAB265" s="95"/>
      <c r="CAC265" s="95"/>
      <c r="CAD265" s="95"/>
      <c r="CAE265" s="95"/>
      <c r="CAF265" s="95"/>
      <c r="CAG265" s="95"/>
      <c r="CAH265" s="95"/>
      <c r="CAI265" s="95"/>
      <c r="CAJ265" s="95"/>
      <c r="CAK265" s="95"/>
      <c r="CAL265" s="95"/>
      <c r="CAM265" s="95"/>
      <c r="CAN265" s="95"/>
      <c r="CAO265" s="95"/>
      <c r="CAP265" s="95"/>
      <c r="CAQ265" s="95"/>
      <c r="CAR265" s="95"/>
      <c r="CAS265" s="95"/>
      <c r="CAT265" s="95"/>
      <c r="CAU265" s="95"/>
      <c r="CAV265" s="95"/>
      <c r="CAW265" s="95"/>
      <c r="CAX265" s="95"/>
      <c r="CAY265" s="95"/>
      <c r="CAZ265" s="95"/>
      <c r="CBA265" s="95"/>
      <c r="CBB265" s="95"/>
      <c r="CBC265" s="95"/>
      <c r="CBD265" s="95"/>
      <c r="CBE265" s="95"/>
      <c r="CBF265" s="95"/>
      <c r="CBG265" s="95"/>
      <c r="CBH265" s="95"/>
      <c r="CBI265" s="95"/>
      <c r="CBJ265" s="95"/>
      <c r="CBK265" s="95"/>
      <c r="CBL265" s="95"/>
      <c r="CBM265" s="95"/>
      <c r="CBN265" s="95"/>
      <c r="CBO265" s="95"/>
      <c r="CBP265" s="95"/>
      <c r="CBQ265" s="95"/>
      <c r="CBR265" s="95"/>
      <c r="CBS265" s="95"/>
      <c r="CBT265" s="95"/>
      <c r="CBU265" s="95"/>
      <c r="CBV265" s="95"/>
      <c r="CBW265" s="95"/>
      <c r="CBX265" s="95"/>
      <c r="CBY265" s="95"/>
      <c r="CBZ265" s="95"/>
      <c r="CCA265" s="95"/>
      <c r="CCB265" s="95"/>
      <c r="CCC265" s="95"/>
      <c r="CCD265" s="95"/>
      <c r="CCE265" s="95"/>
      <c r="CCF265" s="95"/>
      <c r="CCG265" s="95"/>
      <c r="CCH265" s="95"/>
      <c r="CCI265" s="95"/>
      <c r="CCJ265" s="95"/>
      <c r="CCK265" s="95"/>
      <c r="CCL265" s="95"/>
      <c r="CCM265" s="95"/>
      <c r="CCN265" s="95"/>
      <c r="CCO265" s="95"/>
      <c r="CCP265" s="95"/>
      <c r="CCQ265" s="95"/>
      <c r="CCR265" s="95"/>
      <c r="CCS265" s="95"/>
      <c r="CCT265" s="95"/>
      <c r="CCU265" s="95"/>
      <c r="CCV265" s="95"/>
      <c r="CCW265" s="95"/>
      <c r="CCX265" s="95"/>
      <c r="CCY265" s="95"/>
      <c r="CCZ265" s="95"/>
      <c r="CDA265" s="95"/>
      <c r="CDB265" s="95"/>
      <c r="CDC265" s="95"/>
      <c r="CDD265" s="95"/>
      <c r="CDE265" s="95"/>
      <c r="CDF265" s="95"/>
      <c r="CDG265" s="95"/>
      <c r="CDH265" s="95"/>
      <c r="CDI265" s="95"/>
      <c r="CDJ265" s="95"/>
      <c r="CDK265" s="95"/>
      <c r="CDL265" s="95"/>
      <c r="CDM265" s="95"/>
      <c r="CDN265" s="95"/>
      <c r="CDO265" s="95"/>
      <c r="CDP265" s="95"/>
      <c r="CDQ265" s="95"/>
      <c r="CDR265" s="95"/>
      <c r="CDS265" s="95"/>
      <c r="CDT265" s="95"/>
      <c r="CDU265" s="95"/>
      <c r="CDV265" s="95"/>
      <c r="CDW265" s="95"/>
      <c r="CDX265" s="95"/>
      <c r="CDY265" s="95"/>
      <c r="CDZ265" s="95"/>
      <c r="CEA265" s="95"/>
      <c r="CEB265" s="95"/>
      <c r="CEC265" s="95"/>
      <c r="CED265" s="95"/>
      <c r="CEE265" s="95"/>
      <c r="CEF265" s="95"/>
      <c r="CEG265" s="95"/>
      <c r="CEH265" s="95"/>
      <c r="CEI265" s="95"/>
      <c r="CEJ265" s="95"/>
      <c r="CEK265" s="95"/>
      <c r="CEL265" s="95"/>
      <c r="CEM265" s="95"/>
      <c r="CEN265" s="95"/>
      <c r="CEO265" s="95"/>
      <c r="CEP265" s="95"/>
      <c r="CEQ265" s="95"/>
      <c r="CER265" s="95"/>
      <c r="CES265" s="95"/>
      <c r="CET265" s="95"/>
      <c r="CEU265" s="95"/>
      <c r="CEV265" s="95"/>
      <c r="CEW265" s="95"/>
      <c r="CEX265" s="95"/>
      <c r="CEY265" s="95"/>
      <c r="CEZ265" s="95"/>
      <c r="CFA265" s="95"/>
      <c r="CFB265" s="95"/>
      <c r="CFC265" s="95"/>
      <c r="CFD265" s="95"/>
      <c r="CFE265" s="95"/>
      <c r="CFF265" s="95"/>
      <c r="CFG265" s="95"/>
      <c r="CFH265" s="95"/>
      <c r="CFI265" s="95"/>
      <c r="CFJ265" s="95"/>
      <c r="CFK265" s="95"/>
      <c r="CFL265" s="95"/>
      <c r="CFM265" s="95"/>
      <c r="CFN265" s="95"/>
      <c r="CFO265" s="95"/>
      <c r="CFP265" s="95"/>
      <c r="CFQ265" s="95"/>
      <c r="CFR265" s="95"/>
      <c r="CFS265" s="95"/>
      <c r="CFT265" s="95"/>
      <c r="CFU265" s="95"/>
      <c r="CFV265" s="95"/>
      <c r="CFW265" s="95"/>
      <c r="CFX265" s="95"/>
      <c r="CFY265" s="95"/>
      <c r="CFZ265" s="95"/>
      <c r="CGA265" s="95"/>
      <c r="CGB265" s="95"/>
      <c r="CGC265" s="95"/>
      <c r="CGD265" s="95"/>
      <c r="CGE265" s="95"/>
      <c r="CGF265" s="95"/>
      <c r="CGG265" s="95"/>
      <c r="CGH265" s="95"/>
      <c r="CGI265" s="95"/>
      <c r="CGJ265" s="95"/>
      <c r="CGK265" s="95"/>
      <c r="CGL265" s="95"/>
      <c r="CGM265" s="95"/>
      <c r="CGN265" s="95"/>
      <c r="CGO265" s="95"/>
      <c r="CGP265" s="95"/>
      <c r="CGQ265" s="95"/>
      <c r="CGR265" s="95"/>
      <c r="CGS265" s="95"/>
      <c r="CGT265" s="95"/>
      <c r="CGU265" s="95"/>
      <c r="CGV265" s="95"/>
      <c r="CGW265" s="95"/>
      <c r="CGX265" s="95"/>
      <c r="CGY265" s="95"/>
      <c r="CGZ265" s="95"/>
      <c r="CHA265" s="95"/>
      <c r="CHB265" s="95"/>
      <c r="CHC265" s="95"/>
      <c r="CHD265" s="95"/>
      <c r="CHE265" s="95"/>
      <c r="CHF265" s="95"/>
      <c r="CHG265" s="95"/>
      <c r="CHH265" s="95"/>
      <c r="CHI265" s="95"/>
      <c r="CHJ265" s="95"/>
      <c r="CHK265" s="95"/>
      <c r="CHL265" s="95"/>
      <c r="CHM265" s="95"/>
      <c r="CHN265" s="95"/>
      <c r="CHO265" s="95"/>
      <c r="CHP265" s="95"/>
      <c r="CHQ265" s="95"/>
      <c r="CHR265" s="95"/>
      <c r="CHS265" s="95"/>
      <c r="CHT265" s="95"/>
      <c r="CHU265" s="95"/>
      <c r="CHV265" s="95"/>
      <c r="CHW265" s="95"/>
      <c r="CHX265" s="95"/>
      <c r="CHY265" s="95"/>
      <c r="CHZ265" s="95"/>
      <c r="CIA265" s="95"/>
      <c r="CIB265" s="95"/>
      <c r="CIC265" s="95"/>
      <c r="CID265" s="95"/>
      <c r="CIE265" s="95"/>
      <c r="CIF265" s="95"/>
      <c r="CIG265" s="95"/>
      <c r="CIH265" s="95"/>
      <c r="CII265" s="95"/>
      <c r="CIJ265" s="95"/>
      <c r="CIK265" s="95"/>
      <c r="CIL265" s="95"/>
      <c r="CIM265" s="95"/>
      <c r="CIN265" s="95"/>
      <c r="CIO265" s="95"/>
      <c r="CIP265" s="95"/>
      <c r="CIQ265" s="95"/>
      <c r="CIR265" s="95"/>
      <c r="CIS265" s="95"/>
      <c r="CIT265" s="95"/>
      <c r="CIU265" s="95"/>
      <c r="CIV265" s="95"/>
      <c r="CIW265" s="95"/>
      <c r="CIX265" s="95"/>
      <c r="CIY265" s="95"/>
      <c r="CIZ265" s="95"/>
      <c r="CJA265" s="95"/>
      <c r="CJB265" s="95"/>
      <c r="CJC265" s="95"/>
      <c r="CJD265" s="95"/>
      <c r="CJE265" s="95"/>
      <c r="CJF265" s="95"/>
      <c r="CJG265" s="95"/>
      <c r="CJH265" s="95"/>
      <c r="CJI265" s="95"/>
      <c r="CJJ265" s="95"/>
      <c r="CJK265" s="95"/>
      <c r="CJL265" s="95"/>
      <c r="CJM265" s="95"/>
      <c r="CJN265" s="95"/>
      <c r="CJO265" s="95"/>
      <c r="CJP265" s="95"/>
      <c r="CJQ265" s="95"/>
      <c r="CJR265" s="95"/>
      <c r="CJS265" s="95"/>
      <c r="CJT265" s="95"/>
      <c r="CJU265" s="95"/>
      <c r="CJV265" s="95"/>
      <c r="CJW265" s="95"/>
      <c r="CJX265" s="95"/>
      <c r="CJY265" s="95"/>
      <c r="CJZ265" s="95"/>
      <c r="CKA265" s="95"/>
      <c r="CKB265" s="95"/>
      <c r="CKC265" s="95"/>
      <c r="CKD265" s="95"/>
      <c r="CKE265" s="95"/>
      <c r="CKF265" s="95"/>
      <c r="CKG265" s="95"/>
      <c r="CKH265" s="95"/>
      <c r="CKI265" s="95"/>
      <c r="CKJ265" s="95"/>
      <c r="CKK265" s="95"/>
      <c r="CKL265" s="95"/>
      <c r="CKM265" s="95"/>
      <c r="CKN265" s="95"/>
      <c r="CKO265" s="95"/>
      <c r="CKP265" s="95"/>
      <c r="CKQ265" s="95"/>
      <c r="CKR265" s="95"/>
      <c r="CKS265" s="95"/>
      <c r="CKT265" s="95"/>
      <c r="CKU265" s="95"/>
      <c r="CKV265" s="95"/>
      <c r="CKW265" s="95"/>
      <c r="CKX265" s="95"/>
      <c r="CKY265" s="95"/>
      <c r="CKZ265" s="95"/>
      <c r="CLA265" s="95"/>
      <c r="CLB265" s="95"/>
      <c r="CLC265" s="95"/>
      <c r="CLD265" s="95"/>
      <c r="CLE265" s="95"/>
      <c r="CLF265" s="95"/>
      <c r="CLG265" s="95"/>
      <c r="CLH265" s="95"/>
      <c r="CLI265" s="95"/>
      <c r="CLJ265" s="95"/>
      <c r="CLK265" s="95"/>
      <c r="CLL265" s="95"/>
      <c r="CLM265" s="95"/>
      <c r="CLN265" s="95"/>
      <c r="CLO265" s="95"/>
      <c r="CLP265" s="95"/>
      <c r="CLQ265" s="95"/>
      <c r="CLR265" s="95"/>
      <c r="CLS265" s="95"/>
      <c r="CLT265" s="95"/>
      <c r="CLU265" s="95"/>
      <c r="CLV265" s="95"/>
      <c r="CLW265" s="95"/>
      <c r="CLX265" s="95"/>
      <c r="CLY265" s="95"/>
      <c r="CLZ265" s="95"/>
      <c r="CMA265" s="95"/>
      <c r="CMB265" s="95"/>
      <c r="CMC265" s="95"/>
      <c r="CMD265" s="95"/>
      <c r="CME265" s="95"/>
      <c r="CMF265" s="95"/>
      <c r="CMG265" s="95"/>
      <c r="CMH265" s="95"/>
      <c r="CMI265" s="95"/>
      <c r="CMJ265" s="95"/>
      <c r="CMK265" s="95"/>
      <c r="CML265" s="95"/>
      <c r="CMM265" s="95"/>
      <c r="CMN265" s="95"/>
      <c r="CMO265" s="95"/>
      <c r="CMP265" s="95"/>
      <c r="CMQ265" s="95"/>
      <c r="CMR265" s="95"/>
      <c r="CMS265" s="95"/>
      <c r="CMT265" s="95"/>
      <c r="CMU265" s="95"/>
      <c r="CMV265" s="95"/>
      <c r="CMW265" s="95"/>
      <c r="CMX265" s="95"/>
      <c r="CMY265" s="95"/>
      <c r="CMZ265" s="95"/>
      <c r="CNA265" s="95"/>
      <c r="CNB265" s="95"/>
      <c r="CNC265" s="95"/>
      <c r="CND265" s="95"/>
      <c r="CNE265" s="95"/>
      <c r="CNF265" s="95"/>
      <c r="CNG265" s="95"/>
      <c r="CNH265" s="95"/>
      <c r="CNI265" s="95"/>
      <c r="CNJ265" s="95"/>
      <c r="CNK265" s="95"/>
      <c r="CNL265" s="95"/>
      <c r="CNM265" s="95"/>
      <c r="CNN265" s="95"/>
      <c r="CNO265" s="95"/>
      <c r="CNP265" s="95"/>
      <c r="CNQ265" s="95"/>
      <c r="CNR265" s="95"/>
      <c r="CNS265" s="95"/>
      <c r="CNT265" s="95"/>
      <c r="CNU265" s="95"/>
      <c r="CNV265" s="95"/>
      <c r="CNW265" s="95"/>
      <c r="CNX265" s="95"/>
      <c r="CNY265" s="95"/>
      <c r="CNZ265" s="95"/>
      <c r="COA265" s="95"/>
      <c r="COB265" s="95"/>
      <c r="COC265" s="95"/>
      <c r="COD265" s="95"/>
      <c r="COE265" s="95"/>
      <c r="COF265" s="95"/>
      <c r="COG265" s="95"/>
      <c r="COH265" s="95"/>
      <c r="COI265" s="95"/>
      <c r="COJ265" s="95"/>
      <c r="COK265" s="95"/>
      <c r="COL265" s="95"/>
      <c r="COM265" s="95"/>
      <c r="CON265" s="95"/>
      <c r="COO265" s="95"/>
      <c r="COP265" s="95"/>
      <c r="COQ265" s="95"/>
      <c r="COR265" s="95"/>
      <c r="COS265" s="95"/>
      <c r="COT265" s="95"/>
      <c r="COU265" s="95"/>
      <c r="COV265" s="95"/>
      <c r="COW265" s="95"/>
      <c r="COX265" s="95"/>
      <c r="COY265" s="95"/>
      <c r="COZ265" s="95"/>
      <c r="CPA265" s="95"/>
      <c r="CPB265" s="95"/>
      <c r="CPC265" s="95"/>
      <c r="CPD265" s="95"/>
      <c r="CPE265" s="95"/>
      <c r="CPF265" s="95"/>
      <c r="CPG265" s="95"/>
      <c r="CPH265" s="95"/>
      <c r="CPI265" s="95"/>
      <c r="CPJ265" s="95"/>
      <c r="CPK265" s="95"/>
      <c r="CPL265" s="95"/>
      <c r="CPM265" s="95"/>
      <c r="CPN265" s="95"/>
      <c r="CPO265" s="95"/>
      <c r="CPP265" s="95"/>
      <c r="CPQ265" s="95"/>
      <c r="CPR265" s="95"/>
      <c r="CPS265" s="95"/>
      <c r="CPT265" s="95"/>
      <c r="CPU265" s="95"/>
      <c r="CPV265" s="95"/>
      <c r="CPW265" s="95"/>
      <c r="CPX265" s="95"/>
      <c r="CPY265" s="95"/>
      <c r="CPZ265" s="95"/>
      <c r="CQA265" s="95"/>
      <c r="CQB265" s="95"/>
      <c r="CQC265" s="95"/>
      <c r="CQD265" s="95"/>
      <c r="CQE265" s="95"/>
      <c r="CQF265" s="95"/>
      <c r="CQG265" s="95"/>
      <c r="CQH265" s="95"/>
      <c r="CQI265" s="95"/>
      <c r="CQJ265" s="95"/>
      <c r="CQK265" s="95"/>
      <c r="CQL265" s="95"/>
      <c r="CQM265" s="95"/>
      <c r="CQN265" s="95"/>
      <c r="CQO265" s="95"/>
      <c r="CQP265" s="95"/>
      <c r="CQQ265" s="95"/>
      <c r="CQR265" s="95"/>
      <c r="CQS265" s="95"/>
      <c r="CQT265" s="95"/>
      <c r="CQU265" s="95"/>
      <c r="CQV265" s="95"/>
      <c r="CQW265" s="95"/>
      <c r="CQX265" s="95"/>
      <c r="CQY265" s="95"/>
      <c r="CQZ265" s="95"/>
      <c r="CRA265" s="95"/>
      <c r="CRB265" s="95"/>
      <c r="CRC265" s="95"/>
      <c r="CRD265" s="95"/>
      <c r="CRE265" s="95"/>
      <c r="CRF265" s="95"/>
      <c r="CRG265" s="95"/>
      <c r="CRH265" s="95"/>
      <c r="CRI265" s="95"/>
      <c r="CRJ265" s="95"/>
      <c r="CRK265" s="95"/>
      <c r="CRL265" s="95"/>
      <c r="CRM265" s="95"/>
      <c r="CRN265" s="95"/>
      <c r="CRO265" s="95"/>
      <c r="CRP265" s="95"/>
      <c r="CRQ265" s="95"/>
      <c r="CRR265" s="95"/>
      <c r="CRS265" s="95"/>
      <c r="CRT265" s="95"/>
      <c r="CRU265" s="95"/>
      <c r="CRV265" s="95"/>
      <c r="CRW265" s="95"/>
      <c r="CRX265" s="95"/>
      <c r="CRY265" s="95"/>
      <c r="CRZ265" s="95"/>
      <c r="CSA265" s="95"/>
      <c r="CSB265" s="95"/>
      <c r="CSC265" s="95"/>
      <c r="CSD265" s="95"/>
      <c r="CSE265" s="95"/>
      <c r="CSF265" s="95"/>
      <c r="CSG265" s="95"/>
      <c r="CSH265" s="95"/>
      <c r="CSI265" s="95"/>
      <c r="CSJ265" s="95"/>
      <c r="CSK265" s="95"/>
      <c r="CSL265" s="95"/>
      <c r="CSM265" s="95"/>
      <c r="CSN265" s="95"/>
      <c r="CSO265" s="95"/>
      <c r="CSP265" s="95"/>
      <c r="CSQ265" s="95"/>
      <c r="CSR265" s="95"/>
      <c r="CSS265" s="95"/>
      <c r="CST265" s="95"/>
      <c r="CSU265" s="95"/>
      <c r="CSV265" s="95"/>
      <c r="CSW265" s="95"/>
      <c r="CSX265" s="95"/>
      <c r="CSY265" s="95"/>
      <c r="CSZ265" s="95"/>
      <c r="CTA265" s="95"/>
      <c r="CTB265" s="95"/>
      <c r="CTC265" s="95"/>
      <c r="CTD265" s="95"/>
      <c r="CTE265" s="95"/>
      <c r="CTF265" s="95"/>
      <c r="CTG265" s="95"/>
      <c r="CTH265" s="95"/>
      <c r="CTI265" s="95"/>
      <c r="CTJ265" s="95"/>
      <c r="CTK265" s="95"/>
      <c r="CTL265" s="95"/>
      <c r="CTM265" s="95"/>
      <c r="CTN265" s="95"/>
      <c r="CTO265" s="95"/>
      <c r="CTP265" s="95"/>
      <c r="CTQ265" s="95"/>
      <c r="CTR265" s="95"/>
      <c r="CTS265" s="95"/>
      <c r="CTT265" s="95"/>
      <c r="CTU265" s="95"/>
      <c r="CTV265" s="95"/>
      <c r="CTW265" s="95"/>
      <c r="CTX265" s="95"/>
      <c r="CTY265" s="95"/>
      <c r="CTZ265" s="95"/>
      <c r="CUA265" s="95"/>
      <c r="CUB265" s="95"/>
      <c r="CUC265" s="95"/>
      <c r="CUD265" s="95"/>
      <c r="CUE265" s="95"/>
      <c r="CUF265" s="95"/>
      <c r="CUG265" s="95"/>
      <c r="CUH265" s="95"/>
      <c r="CUI265" s="95"/>
      <c r="CUJ265" s="95"/>
      <c r="CUK265" s="95"/>
      <c r="CUL265" s="95"/>
      <c r="CUM265" s="95"/>
      <c r="CUN265" s="95"/>
      <c r="CUO265" s="95"/>
      <c r="CUP265" s="95"/>
      <c r="CUQ265" s="95"/>
      <c r="CUR265" s="95"/>
      <c r="CUS265" s="95"/>
      <c r="CUT265" s="95"/>
      <c r="CUU265" s="95"/>
      <c r="CUV265" s="95"/>
      <c r="CUW265" s="95"/>
      <c r="CUX265" s="95"/>
      <c r="CUY265" s="95"/>
      <c r="CUZ265" s="95"/>
      <c r="CVA265" s="95"/>
      <c r="CVB265" s="95"/>
      <c r="CVC265" s="95"/>
      <c r="CVD265" s="95"/>
      <c r="CVE265" s="95"/>
      <c r="CVF265" s="95"/>
      <c r="CVG265" s="95"/>
      <c r="CVH265" s="95"/>
      <c r="CVI265" s="95"/>
      <c r="CVJ265" s="95"/>
      <c r="CVK265" s="95"/>
      <c r="CVL265" s="95"/>
      <c r="CVM265" s="95"/>
      <c r="CVN265" s="95"/>
      <c r="CVO265" s="95"/>
      <c r="CVP265" s="95"/>
      <c r="CVQ265" s="95"/>
      <c r="CVR265" s="95"/>
      <c r="CVS265" s="95"/>
      <c r="CVT265" s="95"/>
      <c r="CVU265" s="95"/>
      <c r="CVV265" s="95"/>
      <c r="CVW265" s="95"/>
      <c r="CVX265" s="95"/>
      <c r="CVY265" s="95"/>
      <c r="CVZ265" s="95"/>
      <c r="CWA265" s="95"/>
      <c r="CWB265" s="95"/>
      <c r="CWC265" s="95"/>
      <c r="CWD265" s="95"/>
      <c r="CWE265" s="95"/>
      <c r="CWF265" s="95"/>
      <c r="CWG265" s="95"/>
      <c r="CWH265" s="95"/>
      <c r="CWI265" s="95"/>
      <c r="CWJ265" s="95"/>
      <c r="CWK265" s="95"/>
      <c r="CWL265" s="95"/>
      <c r="CWM265" s="95"/>
      <c r="CWN265" s="95"/>
      <c r="CWO265" s="95"/>
      <c r="CWP265" s="95"/>
      <c r="CWQ265" s="95"/>
      <c r="CWR265" s="95"/>
      <c r="CWS265" s="95"/>
      <c r="CWT265" s="95"/>
      <c r="CWU265" s="95"/>
      <c r="CWV265" s="95"/>
      <c r="CWW265" s="95"/>
      <c r="CWX265" s="95"/>
      <c r="CWY265" s="95"/>
      <c r="CWZ265" s="95"/>
      <c r="CXA265" s="95"/>
      <c r="CXB265" s="95"/>
      <c r="CXC265" s="95"/>
      <c r="CXD265" s="95"/>
      <c r="CXE265" s="95"/>
      <c r="CXF265" s="95"/>
      <c r="CXG265" s="95"/>
      <c r="CXH265" s="95"/>
      <c r="CXI265" s="95"/>
      <c r="CXJ265" s="95"/>
      <c r="CXK265" s="95"/>
      <c r="CXL265" s="95"/>
      <c r="CXM265" s="95"/>
      <c r="CXN265" s="95"/>
      <c r="CXO265" s="95"/>
      <c r="CXP265" s="95"/>
      <c r="CXQ265" s="95"/>
      <c r="CXR265" s="95"/>
      <c r="CXS265" s="95"/>
      <c r="CXT265" s="95"/>
      <c r="CXU265" s="95"/>
      <c r="CXV265" s="95"/>
      <c r="CXW265" s="95"/>
      <c r="CXX265" s="95"/>
      <c r="CXY265" s="95"/>
      <c r="CXZ265" s="95"/>
      <c r="CYA265" s="95"/>
      <c r="CYB265" s="95"/>
      <c r="CYC265" s="95"/>
      <c r="CYD265" s="95"/>
      <c r="CYE265" s="95"/>
      <c r="CYF265" s="95"/>
      <c r="CYG265" s="95"/>
      <c r="CYH265" s="95"/>
      <c r="CYI265" s="95"/>
      <c r="CYJ265" s="95"/>
      <c r="CYK265" s="95"/>
      <c r="CYL265" s="95"/>
      <c r="CYM265" s="95"/>
      <c r="CYN265" s="95"/>
      <c r="CYO265" s="95"/>
      <c r="CYP265" s="95"/>
      <c r="CYQ265" s="95"/>
      <c r="CYR265" s="95"/>
      <c r="CYS265" s="95"/>
      <c r="CYT265" s="95"/>
      <c r="CYU265" s="95"/>
      <c r="CYV265" s="95"/>
      <c r="CYW265" s="95"/>
      <c r="CYX265" s="95"/>
      <c r="CYY265" s="95"/>
      <c r="CYZ265" s="95"/>
      <c r="CZA265" s="95"/>
      <c r="CZB265" s="95"/>
      <c r="CZC265" s="95"/>
      <c r="CZD265" s="95"/>
      <c r="CZE265" s="95"/>
      <c r="CZF265" s="95"/>
      <c r="CZG265" s="95"/>
      <c r="CZH265" s="95"/>
      <c r="CZI265" s="95"/>
      <c r="CZJ265" s="95"/>
      <c r="CZK265" s="95"/>
      <c r="CZL265" s="95"/>
      <c r="CZM265" s="95"/>
      <c r="CZN265" s="95"/>
      <c r="CZO265" s="95"/>
      <c r="CZP265" s="95"/>
      <c r="CZQ265" s="95"/>
      <c r="CZR265" s="95"/>
      <c r="CZS265" s="95"/>
      <c r="CZT265" s="95"/>
      <c r="CZU265" s="95"/>
      <c r="CZV265" s="95"/>
      <c r="CZW265" s="95"/>
      <c r="CZX265" s="95"/>
      <c r="CZY265" s="95"/>
      <c r="CZZ265" s="95"/>
      <c r="DAA265" s="95"/>
      <c r="DAB265" s="95"/>
      <c r="DAC265" s="95"/>
      <c r="DAD265" s="95"/>
      <c r="DAE265" s="95"/>
      <c r="DAF265" s="95"/>
      <c r="DAG265" s="95"/>
      <c r="DAH265" s="95"/>
      <c r="DAI265" s="95"/>
      <c r="DAJ265" s="95"/>
      <c r="DAK265" s="95"/>
      <c r="DAL265" s="95"/>
      <c r="DAM265" s="95"/>
      <c r="DAN265" s="95"/>
      <c r="DAO265" s="95"/>
      <c r="DAP265" s="95"/>
      <c r="DAQ265" s="95"/>
      <c r="DAR265" s="95"/>
      <c r="DAS265" s="95"/>
      <c r="DAT265" s="95"/>
      <c r="DAU265" s="95"/>
      <c r="DAV265" s="95"/>
      <c r="DAW265" s="95"/>
      <c r="DAX265" s="95"/>
      <c r="DAY265" s="95"/>
      <c r="DAZ265" s="95"/>
      <c r="DBA265" s="95"/>
      <c r="DBB265" s="95"/>
      <c r="DBC265" s="95"/>
      <c r="DBD265" s="95"/>
      <c r="DBE265" s="95"/>
      <c r="DBF265" s="95"/>
      <c r="DBG265" s="95"/>
      <c r="DBH265" s="95"/>
      <c r="DBI265" s="95"/>
      <c r="DBJ265" s="95"/>
      <c r="DBK265" s="95"/>
      <c r="DBL265" s="95"/>
      <c r="DBM265" s="95"/>
      <c r="DBN265" s="95"/>
      <c r="DBO265" s="95"/>
      <c r="DBP265" s="95"/>
      <c r="DBQ265" s="95"/>
      <c r="DBR265" s="95"/>
      <c r="DBS265" s="95"/>
      <c r="DBT265" s="95"/>
      <c r="DBU265" s="95"/>
      <c r="DBV265" s="95"/>
      <c r="DBW265" s="95"/>
      <c r="DBX265" s="95"/>
      <c r="DBY265" s="95"/>
      <c r="DBZ265" s="95"/>
      <c r="DCA265" s="95"/>
      <c r="DCB265" s="95"/>
      <c r="DCC265" s="95"/>
      <c r="DCD265" s="95"/>
      <c r="DCE265" s="95"/>
      <c r="DCF265" s="95"/>
      <c r="DCG265" s="95"/>
      <c r="DCH265" s="95"/>
      <c r="DCI265" s="95"/>
      <c r="DCJ265" s="95"/>
      <c r="DCK265" s="95"/>
      <c r="DCL265" s="95"/>
      <c r="DCM265" s="95"/>
      <c r="DCN265" s="95"/>
      <c r="DCO265" s="95"/>
      <c r="DCP265" s="95"/>
      <c r="DCQ265" s="95"/>
      <c r="DCR265" s="95"/>
      <c r="DCS265" s="95"/>
      <c r="DCT265" s="95"/>
      <c r="DCU265" s="95"/>
      <c r="DCV265" s="95"/>
      <c r="DCW265" s="95"/>
      <c r="DCX265" s="95"/>
      <c r="DCY265" s="95"/>
      <c r="DCZ265" s="95"/>
      <c r="DDA265" s="95"/>
      <c r="DDB265" s="95"/>
      <c r="DDC265" s="95"/>
      <c r="DDD265" s="95"/>
      <c r="DDE265" s="95"/>
      <c r="DDF265" s="95"/>
      <c r="DDG265" s="95"/>
      <c r="DDH265" s="95"/>
      <c r="DDI265" s="95"/>
      <c r="DDJ265" s="95"/>
      <c r="DDK265" s="95"/>
      <c r="DDL265" s="95"/>
      <c r="DDM265" s="95"/>
      <c r="DDN265" s="95"/>
      <c r="DDO265" s="95"/>
      <c r="DDP265" s="95"/>
      <c r="DDQ265" s="95"/>
      <c r="DDR265" s="95"/>
      <c r="DDS265" s="95"/>
      <c r="DDT265" s="95"/>
      <c r="DDU265" s="95"/>
      <c r="DDV265" s="95"/>
      <c r="DDW265" s="95"/>
      <c r="DDX265" s="95"/>
      <c r="DDY265" s="95"/>
      <c r="DDZ265" s="95"/>
      <c r="DEA265" s="95"/>
      <c r="DEB265" s="95"/>
      <c r="DEC265" s="95"/>
      <c r="DED265" s="95"/>
      <c r="DEE265" s="95"/>
      <c r="DEF265" s="95"/>
      <c r="DEG265" s="95"/>
      <c r="DEH265" s="95"/>
      <c r="DEI265" s="95"/>
      <c r="DEJ265" s="95"/>
      <c r="DEK265" s="95"/>
      <c r="DEL265" s="95"/>
      <c r="DEM265" s="95"/>
      <c r="DEN265" s="95"/>
      <c r="DEO265" s="95"/>
      <c r="DEP265" s="95"/>
      <c r="DEQ265" s="95"/>
      <c r="DER265" s="95"/>
      <c r="DES265" s="95"/>
      <c r="DET265" s="95"/>
      <c r="DEU265" s="95"/>
      <c r="DEV265" s="95"/>
      <c r="DEW265" s="95"/>
      <c r="DEX265" s="95"/>
      <c r="DEY265" s="95"/>
      <c r="DEZ265" s="95"/>
      <c r="DFA265" s="95"/>
      <c r="DFB265" s="95"/>
      <c r="DFC265" s="95"/>
      <c r="DFD265" s="95"/>
      <c r="DFE265" s="95"/>
      <c r="DFF265" s="95"/>
      <c r="DFG265" s="95"/>
      <c r="DFH265" s="95"/>
      <c r="DFI265" s="95"/>
      <c r="DFJ265" s="95"/>
      <c r="DFK265" s="95"/>
      <c r="DFL265" s="95"/>
      <c r="DFM265" s="95"/>
      <c r="DFN265" s="95"/>
      <c r="DFO265" s="95"/>
      <c r="DFP265" s="95"/>
      <c r="DFQ265" s="95"/>
      <c r="DFR265" s="95"/>
      <c r="DFS265" s="95"/>
      <c r="DFT265" s="95"/>
      <c r="DFU265" s="95"/>
      <c r="DFV265" s="95"/>
      <c r="DFW265" s="95"/>
      <c r="DFX265" s="95"/>
      <c r="DFY265" s="95"/>
      <c r="DFZ265" s="95"/>
      <c r="DGA265" s="95"/>
      <c r="DGB265" s="95"/>
      <c r="DGC265" s="95"/>
      <c r="DGD265" s="95"/>
      <c r="DGE265" s="95"/>
      <c r="DGF265" s="95"/>
      <c r="DGG265" s="95"/>
      <c r="DGH265" s="95"/>
      <c r="DGI265" s="95"/>
      <c r="DGJ265" s="95"/>
      <c r="DGK265" s="95"/>
      <c r="DGL265" s="95"/>
      <c r="DGM265" s="95"/>
      <c r="DGN265" s="95"/>
      <c r="DGO265" s="95"/>
      <c r="DGP265" s="95"/>
      <c r="DGQ265" s="95"/>
      <c r="DGR265" s="95"/>
      <c r="DGS265" s="95"/>
      <c r="DGT265" s="95"/>
      <c r="DGU265" s="95"/>
      <c r="DGV265" s="95"/>
      <c r="DGW265" s="95"/>
      <c r="DGX265" s="95"/>
      <c r="DGY265" s="95"/>
      <c r="DGZ265" s="95"/>
      <c r="DHA265" s="95"/>
      <c r="DHB265" s="95"/>
      <c r="DHC265" s="95"/>
      <c r="DHD265" s="95"/>
      <c r="DHE265" s="95"/>
      <c r="DHF265" s="95"/>
      <c r="DHG265" s="95"/>
      <c r="DHH265" s="95"/>
      <c r="DHI265" s="95"/>
      <c r="DHJ265" s="95"/>
      <c r="DHK265" s="95"/>
      <c r="DHL265" s="95"/>
      <c r="DHM265" s="95"/>
      <c r="DHN265" s="95"/>
      <c r="DHO265" s="95"/>
      <c r="DHP265" s="95"/>
      <c r="DHQ265" s="95"/>
      <c r="DHR265" s="95"/>
      <c r="DHS265" s="95"/>
      <c r="DHT265" s="95"/>
      <c r="DHU265" s="95"/>
      <c r="DHV265" s="95"/>
      <c r="DHW265" s="95"/>
      <c r="DHX265" s="95"/>
      <c r="DHY265" s="95"/>
      <c r="DHZ265" s="95"/>
      <c r="DIA265" s="95"/>
      <c r="DIB265" s="95"/>
      <c r="DIC265" s="95"/>
      <c r="DID265" s="95"/>
      <c r="DIE265" s="95"/>
      <c r="DIF265" s="95"/>
      <c r="DIG265" s="95"/>
      <c r="DIH265" s="95"/>
      <c r="DII265" s="95"/>
      <c r="DIJ265" s="95"/>
      <c r="DIK265" s="95"/>
      <c r="DIL265" s="95"/>
      <c r="DIM265" s="95"/>
      <c r="DIN265" s="95"/>
      <c r="DIO265" s="95"/>
      <c r="DIP265" s="95"/>
      <c r="DIQ265" s="95"/>
      <c r="DIR265" s="95"/>
      <c r="DIS265" s="95"/>
      <c r="DIT265" s="95"/>
      <c r="DIU265" s="95"/>
      <c r="DIV265" s="95"/>
      <c r="DIW265" s="95"/>
      <c r="DIX265" s="95"/>
      <c r="DIY265" s="95"/>
      <c r="DIZ265" s="95"/>
      <c r="DJA265" s="95"/>
      <c r="DJB265" s="95"/>
      <c r="DJC265" s="95"/>
      <c r="DJD265" s="95"/>
      <c r="DJE265" s="95"/>
      <c r="DJF265" s="95"/>
      <c r="DJG265" s="95"/>
      <c r="DJH265" s="95"/>
      <c r="DJI265" s="95"/>
      <c r="DJJ265" s="95"/>
      <c r="DJK265" s="95"/>
      <c r="DJL265" s="95"/>
      <c r="DJM265" s="95"/>
      <c r="DJN265" s="95"/>
      <c r="DJO265" s="95"/>
      <c r="DJP265" s="95"/>
      <c r="DJQ265" s="95"/>
      <c r="DJR265" s="95"/>
      <c r="DJS265" s="95"/>
      <c r="DJT265" s="95"/>
      <c r="DJU265" s="95"/>
      <c r="DJV265" s="95"/>
      <c r="DJW265" s="95"/>
      <c r="DJX265" s="95"/>
      <c r="DJY265" s="95"/>
      <c r="DJZ265" s="95"/>
      <c r="DKA265" s="95"/>
      <c r="DKB265" s="95"/>
      <c r="DKC265" s="95"/>
      <c r="DKD265" s="95"/>
      <c r="DKE265" s="95"/>
      <c r="DKF265" s="95"/>
      <c r="DKG265" s="95"/>
      <c r="DKH265" s="95"/>
      <c r="DKI265" s="95"/>
      <c r="DKJ265" s="95"/>
      <c r="DKK265" s="95"/>
      <c r="DKL265" s="95"/>
      <c r="DKM265" s="95"/>
      <c r="DKN265" s="95"/>
      <c r="DKO265" s="95"/>
      <c r="DKP265" s="95"/>
      <c r="DKQ265" s="95"/>
      <c r="DKR265" s="95"/>
      <c r="DKS265" s="95"/>
      <c r="DKT265" s="95"/>
      <c r="DKU265" s="95"/>
      <c r="DKV265" s="95"/>
      <c r="DKW265" s="95"/>
      <c r="DKX265" s="95"/>
      <c r="DKY265" s="95"/>
      <c r="DKZ265" s="95"/>
      <c r="DLA265" s="95"/>
      <c r="DLB265" s="95"/>
      <c r="DLC265" s="95"/>
      <c r="DLD265" s="95"/>
      <c r="DLE265" s="95"/>
      <c r="DLF265" s="95"/>
      <c r="DLG265" s="95"/>
      <c r="DLH265" s="95"/>
      <c r="DLI265" s="95"/>
      <c r="DLJ265" s="95"/>
      <c r="DLK265" s="95"/>
      <c r="DLL265" s="95"/>
      <c r="DLM265" s="95"/>
      <c r="DLN265" s="95"/>
      <c r="DLO265" s="95"/>
      <c r="DLP265" s="95"/>
      <c r="DLQ265" s="95"/>
      <c r="DLR265" s="95"/>
      <c r="DLS265" s="95"/>
      <c r="DLT265" s="95"/>
      <c r="DLU265" s="95"/>
      <c r="DLV265" s="95"/>
      <c r="DLW265" s="95"/>
      <c r="DLX265" s="95"/>
      <c r="DLY265" s="95"/>
      <c r="DLZ265" s="95"/>
      <c r="DMA265" s="95"/>
      <c r="DMB265" s="95"/>
      <c r="DMC265" s="95"/>
      <c r="DMD265" s="95"/>
      <c r="DME265" s="95"/>
      <c r="DMF265" s="95"/>
      <c r="DMG265" s="95"/>
      <c r="DMH265" s="95"/>
      <c r="DMI265" s="95"/>
      <c r="DMJ265" s="95"/>
      <c r="DMK265" s="95"/>
      <c r="DML265" s="95"/>
      <c r="DMM265" s="95"/>
      <c r="DMN265" s="95"/>
      <c r="DMO265" s="95"/>
      <c r="DMP265" s="95"/>
      <c r="DMQ265" s="95"/>
      <c r="DMR265" s="95"/>
      <c r="DMS265" s="95"/>
      <c r="DMT265" s="95"/>
      <c r="DMU265" s="95"/>
      <c r="DMV265" s="95"/>
      <c r="DMW265" s="95"/>
      <c r="DMX265" s="95"/>
      <c r="DMY265" s="95"/>
      <c r="DMZ265" s="95"/>
      <c r="DNA265" s="95"/>
      <c r="DNB265" s="95"/>
      <c r="DNC265" s="95"/>
      <c r="DND265" s="95"/>
      <c r="DNE265" s="95"/>
      <c r="DNF265" s="95"/>
      <c r="DNG265" s="95"/>
      <c r="DNH265" s="95"/>
      <c r="DNI265" s="95"/>
      <c r="DNJ265" s="95"/>
      <c r="DNK265" s="95"/>
      <c r="DNL265" s="95"/>
      <c r="DNM265" s="95"/>
      <c r="DNN265" s="95"/>
      <c r="DNO265" s="95"/>
      <c r="DNP265" s="95"/>
      <c r="DNQ265" s="95"/>
      <c r="DNR265" s="95"/>
      <c r="DNS265" s="95"/>
      <c r="DNT265" s="95"/>
      <c r="DNU265" s="95"/>
      <c r="DNV265" s="95"/>
      <c r="DNW265" s="95"/>
      <c r="DNX265" s="95"/>
      <c r="DNY265" s="95"/>
      <c r="DNZ265" s="95"/>
      <c r="DOA265" s="95"/>
      <c r="DOB265" s="95"/>
      <c r="DOC265" s="95"/>
      <c r="DOD265" s="95"/>
      <c r="DOE265" s="95"/>
      <c r="DOF265" s="95"/>
      <c r="DOG265" s="95"/>
      <c r="DOH265" s="95"/>
      <c r="DOI265" s="95"/>
      <c r="DOJ265" s="95"/>
      <c r="DOK265" s="95"/>
      <c r="DOL265" s="95"/>
      <c r="DOM265" s="95"/>
      <c r="DON265" s="95"/>
      <c r="DOO265" s="95"/>
      <c r="DOP265" s="95"/>
      <c r="DOQ265" s="95"/>
      <c r="DOR265" s="95"/>
      <c r="DOS265" s="95"/>
      <c r="DOT265" s="95"/>
      <c r="DOU265" s="95"/>
      <c r="DOV265" s="95"/>
      <c r="DOW265" s="95"/>
      <c r="DOX265" s="95"/>
      <c r="DOY265" s="95"/>
      <c r="DOZ265" s="95"/>
      <c r="DPA265" s="95"/>
      <c r="DPB265" s="95"/>
      <c r="DPC265" s="95"/>
      <c r="DPD265" s="95"/>
      <c r="DPE265" s="95"/>
      <c r="DPF265" s="95"/>
      <c r="DPG265" s="95"/>
      <c r="DPH265" s="95"/>
      <c r="DPI265" s="95"/>
      <c r="DPJ265" s="95"/>
      <c r="DPK265" s="95"/>
      <c r="DPL265" s="95"/>
      <c r="DPM265" s="95"/>
      <c r="DPN265" s="95"/>
      <c r="DPO265" s="95"/>
      <c r="DPP265" s="95"/>
      <c r="DPQ265" s="95"/>
      <c r="DPR265" s="95"/>
      <c r="DPS265" s="95"/>
      <c r="DPT265" s="95"/>
      <c r="DPU265" s="95"/>
      <c r="DPV265" s="95"/>
      <c r="DPW265" s="95"/>
      <c r="DPX265" s="95"/>
      <c r="DPY265" s="95"/>
      <c r="DPZ265" s="95"/>
      <c r="DQA265" s="95"/>
      <c r="DQB265" s="95"/>
      <c r="DQC265" s="95"/>
      <c r="DQD265" s="95"/>
      <c r="DQE265" s="95"/>
      <c r="DQF265" s="95"/>
      <c r="DQG265" s="95"/>
      <c r="DQH265" s="95"/>
      <c r="DQI265" s="95"/>
      <c r="DQJ265" s="95"/>
      <c r="DQK265" s="95"/>
      <c r="DQL265" s="95"/>
      <c r="DQM265" s="95"/>
      <c r="DQN265" s="95"/>
      <c r="DQO265" s="95"/>
      <c r="DQP265" s="95"/>
      <c r="DQQ265" s="95"/>
      <c r="DQR265" s="95"/>
      <c r="DQS265" s="95"/>
      <c r="DQT265" s="95"/>
      <c r="DQU265" s="95"/>
      <c r="DQV265" s="95"/>
      <c r="DQW265" s="95"/>
      <c r="DQX265" s="95"/>
      <c r="DQY265" s="95"/>
      <c r="DQZ265" s="95"/>
      <c r="DRA265" s="95"/>
      <c r="DRB265" s="95"/>
      <c r="DRC265" s="95"/>
      <c r="DRD265" s="95"/>
      <c r="DRE265" s="95"/>
      <c r="DRF265" s="95"/>
      <c r="DRG265" s="95"/>
      <c r="DRH265" s="95"/>
      <c r="DRI265" s="95"/>
      <c r="DRJ265" s="95"/>
      <c r="DRK265" s="95"/>
      <c r="DRL265" s="95"/>
      <c r="DRM265" s="95"/>
      <c r="DRN265" s="95"/>
      <c r="DRO265" s="95"/>
      <c r="DRP265" s="95"/>
      <c r="DRQ265" s="95"/>
      <c r="DRR265" s="95"/>
      <c r="DRS265" s="95"/>
      <c r="DRT265" s="95"/>
      <c r="DRU265" s="95"/>
      <c r="DRV265" s="95"/>
      <c r="DRW265" s="95"/>
      <c r="DRX265" s="95"/>
      <c r="DRY265" s="95"/>
      <c r="DRZ265" s="95"/>
      <c r="DSA265" s="95"/>
      <c r="DSB265" s="95"/>
      <c r="DSC265" s="95"/>
      <c r="DSD265" s="95"/>
      <c r="DSE265" s="95"/>
      <c r="DSF265" s="95"/>
      <c r="DSG265" s="95"/>
      <c r="DSH265" s="95"/>
      <c r="DSI265" s="95"/>
      <c r="DSJ265" s="95"/>
      <c r="DSK265" s="95"/>
      <c r="DSL265" s="95"/>
      <c r="DSM265" s="95"/>
      <c r="DSN265" s="95"/>
      <c r="DSO265" s="95"/>
      <c r="DSP265" s="95"/>
      <c r="DSQ265" s="95"/>
      <c r="DSR265" s="95"/>
      <c r="DSS265" s="95"/>
      <c r="DST265" s="95"/>
      <c r="DSU265" s="95"/>
      <c r="DSV265" s="95"/>
      <c r="DSW265" s="95"/>
      <c r="DSX265" s="95"/>
      <c r="DSY265" s="95"/>
      <c r="DSZ265" s="95"/>
      <c r="DTA265" s="95"/>
      <c r="DTB265" s="95"/>
      <c r="DTC265" s="95"/>
      <c r="DTD265" s="95"/>
      <c r="DTE265" s="95"/>
      <c r="DTF265" s="95"/>
      <c r="DTG265" s="95"/>
      <c r="DTH265" s="95"/>
      <c r="DTI265" s="95"/>
      <c r="DTJ265" s="95"/>
      <c r="DTK265" s="95"/>
      <c r="DTL265" s="95"/>
      <c r="DTM265" s="95"/>
      <c r="DTN265" s="95"/>
      <c r="DTO265" s="95"/>
      <c r="DTP265" s="95"/>
      <c r="DTQ265" s="95"/>
      <c r="DTR265" s="95"/>
      <c r="DTS265" s="95"/>
      <c r="DTT265" s="95"/>
      <c r="DTU265" s="95"/>
      <c r="DTV265" s="95"/>
      <c r="DTW265" s="95"/>
      <c r="DTX265" s="95"/>
      <c r="DTY265" s="95"/>
      <c r="DTZ265" s="95"/>
      <c r="DUA265" s="95"/>
      <c r="DUB265" s="95"/>
      <c r="DUC265" s="95"/>
      <c r="DUD265" s="95"/>
      <c r="DUE265" s="95"/>
      <c r="DUF265" s="95"/>
      <c r="DUG265" s="95"/>
      <c r="DUH265" s="95"/>
      <c r="DUI265" s="95"/>
      <c r="DUJ265" s="95"/>
      <c r="DUK265" s="95"/>
      <c r="DUL265" s="95"/>
      <c r="DUM265" s="95"/>
      <c r="DUN265" s="95"/>
      <c r="DUO265" s="95"/>
      <c r="DUP265" s="95"/>
      <c r="DUQ265" s="95"/>
      <c r="DUR265" s="95"/>
      <c r="DUS265" s="95"/>
      <c r="DUT265" s="95"/>
      <c r="DUU265" s="95"/>
      <c r="DUV265" s="95"/>
      <c r="DUW265" s="95"/>
      <c r="DUX265" s="95"/>
      <c r="DUY265" s="95"/>
      <c r="DUZ265" s="95"/>
      <c r="DVA265" s="95"/>
      <c r="DVB265" s="95"/>
      <c r="DVC265" s="95"/>
      <c r="DVD265" s="95"/>
      <c r="DVE265" s="95"/>
      <c r="DVF265" s="95"/>
      <c r="DVG265" s="95"/>
      <c r="DVH265" s="95"/>
      <c r="DVI265" s="95"/>
      <c r="DVJ265" s="95"/>
      <c r="DVK265" s="95"/>
      <c r="DVL265" s="95"/>
      <c r="DVM265" s="95"/>
      <c r="DVN265" s="95"/>
      <c r="DVO265" s="95"/>
      <c r="DVP265" s="95"/>
      <c r="DVQ265" s="95"/>
      <c r="DVR265" s="95"/>
      <c r="DVS265" s="95"/>
      <c r="DVT265" s="95"/>
      <c r="DVU265" s="95"/>
      <c r="DVV265" s="95"/>
      <c r="DVW265" s="95"/>
      <c r="DVX265" s="95"/>
      <c r="DVY265" s="95"/>
      <c r="DVZ265" s="95"/>
      <c r="DWA265" s="95"/>
      <c r="DWB265" s="95"/>
      <c r="DWC265" s="95"/>
      <c r="DWD265" s="95"/>
      <c r="DWE265" s="95"/>
      <c r="DWF265" s="95"/>
      <c r="DWG265" s="95"/>
      <c r="DWH265" s="95"/>
      <c r="DWI265" s="95"/>
      <c r="DWJ265" s="95"/>
      <c r="DWK265" s="95"/>
      <c r="DWL265" s="95"/>
      <c r="DWM265" s="95"/>
      <c r="DWN265" s="95"/>
      <c r="DWO265" s="95"/>
      <c r="DWP265" s="95"/>
      <c r="DWQ265" s="95"/>
      <c r="DWR265" s="95"/>
      <c r="DWS265" s="95"/>
      <c r="DWT265" s="95"/>
      <c r="DWU265" s="95"/>
      <c r="DWV265" s="95"/>
      <c r="DWW265" s="95"/>
      <c r="DWX265" s="95"/>
      <c r="DWY265" s="95"/>
      <c r="DWZ265" s="95"/>
      <c r="DXA265" s="95"/>
      <c r="DXB265" s="95"/>
      <c r="DXC265" s="95"/>
      <c r="DXD265" s="95"/>
      <c r="DXE265" s="95"/>
      <c r="DXF265" s="95"/>
      <c r="DXG265" s="95"/>
      <c r="DXH265" s="95"/>
      <c r="DXI265" s="95"/>
      <c r="DXJ265" s="95"/>
      <c r="DXK265" s="95"/>
      <c r="DXL265" s="95"/>
      <c r="DXM265" s="95"/>
      <c r="DXN265" s="95"/>
      <c r="DXO265" s="95"/>
      <c r="DXP265" s="95"/>
      <c r="DXQ265" s="95"/>
      <c r="DXR265" s="95"/>
      <c r="DXS265" s="95"/>
      <c r="DXT265" s="95"/>
      <c r="DXU265" s="95"/>
      <c r="DXV265" s="95"/>
      <c r="DXW265" s="95"/>
      <c r="DXX265" s="95"/>
      <c r="DXY265" s="95"/>
      <c r="DXZ265" s="95"/>
      <c r="DYA265" s="95"/>
      <c r="DYB265" s="95"/>
      <c r="DYC265" s="95"/>
      <c r="DYD265" s="95"/>
      <c r="DYE265" s="95"/>
      <c r="DYF265" s="95"/>
      <c r="DYG265" s="95"/>
      <c r="DYH265" s="95"/>
      <c r="DYI265" s="95"/>
      <c r="DYJ265" s="95"/>
      <c r="DYK265" s="95"/>
      <c r="DYL265" s="95"/>
      <c r="DYM265" s="95"/>
      <c r="DYN265" s="95"/>
      <c r="DYO265" s="95"/>
      <c r="DYP265" s="95"/>
      <c r="DYQ265" s="95"/>
      <c r="DYR265" s="95"/>
      <c r="DYS265" s="95"/>
      <c r="DYT265" s="95"/>
      <c r="DYU265" s="95"/>
      <c r="DYV265" s="95"/>
      <c r="DYW265" s="95"/>
      <c r="DYX265" s="95"/>
      <c r="DYY265" s="95"/>
      <c r="DYZ265" s="95"/>
      <c r="DZA265" s="95"/>
      <c r="DZB265" s="95"/>
      <c r="DZC265" s="95"/>
      <c r="DZD265" s="95"/>
      <c r="DZE265" s="95"/>
      <c r="DZF265" s="95"/>
      <c r="DZG265" s="95"/>
      <c r="DZH265" s="95"/>
      <c r="DZI265" s="95"/>
      <c r="DZJ265" s="95"/>
      <c r="DZK265" s="95"/>
      <c r="DZL265" s="95"/>
      <c r="DZM265" s="95"/>
      <c r="DZN265" s="95"/>
      <c r="DZO265" s="95"/>
      <c r="DZP265" s="95"/>
      <c r="DZQ265" s="95"/>
      <c r="DZR265" s="95"/>
      <c r="DZS265" s="95"/>
      <c r="DZT265" s="95"/>
      <c r="DZU265" s="95"/>
      <c r="DZV265" s="95"/>
      <c r="DZW265" s="95"/>
      <c r="DZX265" s="95"/>
      <c r="DZY265" s="95"/>
      <c r="DZZ265" s="95"/>
      <c r="EAA265" s="95"/>
      <c r="EAB265" s="95"/>
      <c r="EAC265" s="95"/>
      <c r="EAD265" s="95"/>
      <c r="EAE265" s="95"/>
      <c r="EAF265" s="95"/>
      <c r="EAG265" s="95"/>
      <c r="EAH265" s="95"/>
      <c r="EAI265" s="95"/>
      <c r="EAJ265" s="95"/>
      <c r="EAK265" s="95"/>
      <c r="EAL265" s="95"/>
      <c r="EAM265" s="95"/>
      <c r="EAN265" s="95"/>
      <c r="EAO265" s="95"/>
      <c r="EAP265" s="95"/>
      <c r="EAQ265" s="95"/>
      <c r="EAR265" s="95"/>
      <c r="EAS265" s="95"/>
      <c r="EAT265" s="95"/>
      <c r="EAU265" s="95"/>
      <c r="EAV265" s="95"/>
      <c r="EAW265" s="95"/>
      <c r="EAX265" s="95"/>
      <c r="EAY265" s="95"/>
      <c r="EAZ265" s="95"/>
      <c r="EBA265" s="95"/>
      <c r="EBB265" s="95"/>
      <c r="EBC265" s="95"/>
      <c r="EBD265" s="95"/>
      <c r="EBE265" s="95"/>
      <c r="EBF265" s="95"/>
      <c r="EBG265" s="95"/>
      <c r="EBH265" s="95"/>
      <c r="EBI265" s="95"/>
      <c r="EBJ265" s="95"/>
      <c r="EBK265" s="95"/>
      <c r="EBL265" s="95"/>
      <c r="EBM265" s="95"/>
      <c r="EBN265" s="95"/>
      <c r="EBO265" s="95"/>
      <c r="EBP265" s="95"/>
      <c r="EBQ265" s="95"/>
      <c r="EBR265" s="95"/>
      <c r="EBS265" s="95"/>
      <c r="EBT265" s="95"/>
      <c r="EBU265" s="95"/>
      <c r="EBV265" s="95"/>
      <c r="EBW265" s="95"/>
      <c r="EBX265" s="95"/>
      <c r="EBY265" s="95"/>
      <c r="EBZ265" s="95"/>
      <c r="ECA265" s="95"/>
      <c r="ECB265" s="95"/>
      <c r="ECC265" s="95"/>
      <c r="ECD265" s="95"/>
      <c r="ECE265" s="95"/>
      <c r="ECF265" s="95"/>
      <c r="ECG265" s="95"/>
      <c r="ECH265" s="95"/>
      <c r="ECI265" s="95"/>
      <c r="ECJ265" s="95"/>
      <c r="ECK265" s="95"/>
      <c r="ECL265" s="95"/>
      <c r="ECM265" s="95"/>
      <c r="ECN265" s="95"/>
      <c r="ECO265" s="95"/>
      <c r="ECP265" s="95"/>
      <c r="ECQ265" s="95"/>
      <c r="ECR265" s="95"/>
      <c r="ECS265" s="95"/>
      <c r="ECT265" s="95"/>
      <c r="ECU265" s="95"/>
      <c r="ECV265" s="95"/>
      <c r="ECW265" s="95"/>
      <c r="ECX265" s="95"/>
      <c r="ECY265" s="95"/>
      <c r="ECZ265" s="95"/>
      <c r="EDA265" s="95"/>
      <c r="EDB265" s="95"/>
      <c r="EDC265" s="95"/>
      <c r="EDD265" s="95"/>
      <c r="EDE265" s="95"/>
      <c r="EDF265" s="95"/>
      <c r="EDG265" s="95"/>
      <c r="EDH265" s="95"/>
      <c r="EDI265" s="95"/>
      <c r="EDJ265" s="95"/>
      <c r="EDK265" s="95"/>
      <c r="EDL265" s="95"/>
      <c r="EDM265" s="95"/>
      <c r="EDN265" s="95"/>
      <c r="EDO265" s="95"/>
      <c r="EDP265" s="95"/>
      <c r="EDQ265" s="95"/>
      <c r="EDR265" s="95"/>
      <c r="EDS265" s="95"/>
      <c r="EDT265" s="95"/>
      <c r="EDU265" s="95"/>
      <c r="EDV265" s="95"/>
      <c r="EDW265" s="95"/>
      <c r="EDX265" s="95"/>
      <c r="EDY265" s="95"/>
      <c r="EDZ265" s="95"/>
      <c r="EEA265" s="95"/>
      <c r="EEB265" s="95"/>
      <c r="EEC265" s="95"/>
      <c r="EED265" s="95"/>
      <c r="EEE265" s="95"/>
      <c r="EEF265" s="95"/>
      <c r="EEG265" s="95"/>
      <c r="EEH265" s="95"/>
      <c r="EEI265" s="95"/>
      <c r="EEJ265" s="95"/>
      <c r="EEK265" s="95"/>
      <c r="EEL265" s="95"/>
      <c r="EEM265" s="95"/>
      <c r="EEN265" s="95"/>
      <c r="EEO265" s="95"/>
      <c r="EEP265" s="95"/>
      <c r="EEQ265" s="95"/>
      <c r="EER265" s="95"/>
      <c r="EES265" s="95"/>
      <c r="EET265" s="95"/>
      <c r="EEU265" s="95"/>
      <c r="EEV265" s="95"/>
      <c r="EEW265" s="95"/>
      <c r="EEX265" s="95"/>
      <c r="EEY265" s="95"/>
      <c r="EEZ265" s="95"/>
      <c r="EFA265" s="95"/>
      <c r="EFB265" s="95"/>
      <c r="EFC265" s="95"/>
      <c r="EFD265" s="95"/>
      <c r="EFE265" s="95"/>
      <c r="EFF265" s="95"/>
      <c r="EFG265" s="95"/>
      <c r="EFH265" s="95"/>
      <c r="EFI265" s="95"/>
      <c r="EFJ265" s="95"/>
      <c r="EFK265" s="95"/>
      <c r="EFL265" s="95"/>
      <c r="EFM265" s="95"/>
      <c r="EFN265" s="95"/>
      <c r="EFO265" s="95"/>
      <c r="EFP265" s="95"/>
      <c r="EFQ265" s="95"/>
      <c r="EFR265" s="95"/>
      <c r="EFS265" s="95"/>
      <c r="EFT265" s="95"/>
      <c r="EFU265" s="95"/>
      <c r="EFV265" s="95"/>
      <c r="EFW265" s="95"/>
      <c r="EFX265" s="95"/>
      <c r="EFY265" s="95"/>
      <c r="EFZ265" s="95"/>
      <c r="EGA265" s="95"/>
      <c r="EGB265" s="95"/>
      <c r="EGC265" s="95"/>
      <c r="EGD265" s="95"/>
      <c r="EGE265" s="95"/>
      <c r="EGF265" s="95"/>
      <c r="EGG265" s="95"/>
      <c r="EGH265" s="95"/>
      <c r="EGI265" s="95"/>
      <c r="EGJ265" s="95"/>
      <c r="EGK265" s="95"/>
      <c r="EGL265" s="95"/>
      <c r="EGM265" s="95"/>
      <c r="EGN265" s="95"/>
      <c r="EGO265" s="95"/>
      <c r="EGP265" s="95"/>
      <c r="EGQ265" s="95"/>
      <c r="EGR265" s="95"/>
      <c r="EGS265" s="95"/>
      <c r="EGT265" s="95"/>
      <c r="EGU265" s="95"/>
      <c r="EGV265" s="95"/>
      <c r="EGW265" s="95"/>
      <c r="EGX265" s="95"/>
      <c r="EGY265" s="95"/>
      <c r="EGZ265" s="95"/>
      <c r="EHA265" s="95"/>
      <c r="EHB265" s="95"/>
      <c r="EHC265" s="95"/>
      <c r="EHD265" s="95"/>
      <c r="EHE265" s="95"/>
      <c r="EHF265" s="95"/>
      <c r="EHG265" s="95"/>
      <c r="EHH265" s="95"/>
      <c r="EHI265" s="95"/>
      <c r="EHJ265" s="95"/>
      <c r="EHK265" s="95"/>
      <c r="EHL265" s="95"/>
      <c r="EHM265" s="95"/>
      <c r="EHN265" s="95"/>
      <c r="EHO265" s="95"/>
      <c r="EHP265" s="95"/>
      <c r="EHQ265" s="95"/>
      <c r="EHR265" s="95"/>
      <c r="EHS265" s="95"/>
      <c r="EHT265" s="95"/>
      <c r="EHU265" s="95"/>
      <c r="EHV265" s="95"/>
      <c r="EHW265" s="95"/>
      <c r="EHX265" s="95"/>
      <c r="EHY265" s="95"/>
      <c r="EHZ265" s="95"/>
      <c r="EIA265" s="95"/>
      <c r="EIB265" s="95"/>
      <c r="EIC265" s="95"/>
      <c r="EID265" s="95"/>
      <c r="EIE265" s="95"/>
      <c r="EIF265" s="95"/>
      <c r="EIG265" s="95"/>
      <c r="EIH265" s="95"/>
      <c r="EII265" s="95"/>
      <c r="EIJ265" s="95"/>
      <c r="EIK265" s="95"/>
      <c r="EIL265" s="95"/>
      <c r="EIM265" s="95"/>
      <c r="EIN265" s="95"/>
      <c r="EIO265" s="95"/>
      <c r="EIP265" s="95"/>
      <c r="EIQ265" s="95"/>
      <c r="EIR265" s="95"/>
      <c r="EIS265" s="95"/>
      <c r="EIT265" s="95"/>
      <c r="EIU265" s="95"/>
      <c r="EIV265" s="95"/>
      <c r="EIW265" s="95"/>
      <c r="EIX265" s="95"/>
      <c r="EIY265" s="95"/>
      <c r="EIZ265" s="95"/>
      <c r="EJA265" s="95"/>
      <c r="EJB265" s="95"/>
      <c r="EJC265" s="95"/>
      <c r="EJD265" s="95"/>
      <c r="EJE265" s="95"/>
      <c r="EJF265" s="95"/>
      <c r="EJG265" s="95"/>
      <c r="EJH265" s="95"/>
      <c r="EJI265" s="95"/>
      <c r="EJJ265" s="95"/>
      <c r="EJK265" s="95"/>
      <c r="EJL265" s="95"/>
      <c r="EJM265" s="95"/>
      <c r="EJN265" s="95"/>
      <c r="EJO265" s="95"/>
      <c r="EJP265" s="95"/>
      <c r="EJQ265" s="95"/>
      <c r="EJR265" s="95"/>
      <c r="EJS265" s="95"/>
      <c r="EJT265" s="95"/>
      <c r="EJU265" s="95"/>
      <c r="EJV265" s="95"/>
      <c r="EJW265" s="95"/>
      <c r="EJX265" s="95"/>
      <c r="EJY265" s="95"/>
      <c r="EJZ265" s="95"/>
      <c r="EKA265" s="95"/>
      <c r="EKB265" s="95"/>
      <c r="EKC265" s="95"/>
      <c r="EKD265" s="95"/>
      <c r="EKE265" s="95"/>
      <c r="EKF265" s="95"/>
      <c r="EKG265" s="95"/>
      <c r="EKH265" s="95"/>
      <c r="EKI265" s="95"/>
      <c r="EKJ265" s="95"/>
      <c r="EKK265" s="95"/>
      <c r="EKL265" s="95"/>
      <c r="EKM265" s="95"/>
      <c r="EKN265" s="95"/>
      <c r="EKO265" s="95"/>
      <c r="EKP265" s="95"/>
      <c r="EKQ265" s="95"/>
      <c r="EKR265" s="95"/>
      <c r="EKS265" s="95"/>
      <c r="EKT265" s="95"/>
      <c r="EKU265" s="95"/>
      <c r="EKV265" s="95"/>
      <c r="EKW265" s="95"/>
      <c r="EKX265" s="95"/>
      <c r="EKY265" s="95"/>
      <c r="EKZ265" s="95"/>
      <c r="ELA265" s="95"/>
      <c r="ELB265" s="95"/>
      <c r="ELC265" s="95"/>
      <c r="ELD265" s="95"/>
      <c r="ELE265" s="95"/>
      <c r="ELF265" s="95"/>
      <c r="ELG265" s="95"/>
      <c r="ELH265" s="95"/>
      <c r="ELI265" s="95"/>
      <c r="ELJ265" s="95"/>
      <c r="ELK265" s="95"/>
      <c r="ELL265" s="95"/>
      <c r="ELM265" s="95"/>
      <c r="ELN265" s="95"/>
      <c r="ELO265" s="95"/>
      <c r="ELP265" s="95"/>
      <c r="ELQ265" s="95"/>
      <c r="ELR265" s="95"/>
      <c r="ELS265" s="95"/>
      <c r="ELT265" s="95"/>
      <c r="ELU265" s="95"/>
      <c r="ELV265" s="95"/>
      <c r="ELW265" s="95"/>
      <c r="ELX265" s="95"/>
      <c r="ELY265" s="95"/>
      <c r="ELZ265" s="95"/>
      <c r="EMA265" s="95"/>
      <c r="EMB265" s="95"/>
      <c r="EMC265" s="95"/>
      <c r="EMD265" s="95"/>
      <c r="EME265" s="95"/>
      <c r="EMF265" s="95"/>
      <c r="EMG265" s="95"/>
      <c r="EMH265" s="95"/>
      <c r="EMI265" s="95"/>
      <c r="EMJ265" s="95"/>
      <c r="EMK265" s="95"/>
      <c r="EML265" s="95"/>
      <c r="EMM265" s="95"/>
      <c r="EMN265" s="95"/>
      <c r="EMO265" s="95"/>
      <c r="EMP265" s="95"/>
      <c r="EMQ265" s="95"/>
      <c r="EMR265" s="95"/>
      <c r="EMS265" s="95"/>
      <c r="EMT265" s="95"/>
      <c r="EMU265" s="95"/>
      <c r="EMV265" s="95"/>
      <c r="EMW265" s="95"/>
      <c r="EMX265" s="95"/>
      <c r="EMY265" s="95"/>
      <c r="EMZ265" s="95"/>
      <c r="ENA265" s="95"/>
      <c r="ENB265" s="95"/>
      <c r="ENC265" s="95"/>
      <c r="END265" s="95"/>
      <c r="ENE265" s="95"/>
      <c r="ENF265" s="95"/>
      <c r="ENG265" s="95"/>
      <c r="ENH265" s="95"/>
      <c r="ENI265" s="95"/>
      <c r="ENJ265" s="95"/>
      <c r="ENK265" s="95"/>
      <c r="ENL265" s="95"/>
      <c r="ENM265" s="95"/>
      <c r="ENN265" s="95"/>
      <c r="ENO265" s="95"/>
      <c r="ENP265" s="95"/>
      <c r="ENQ265" s="95"/>
      <c r="ENR265" s="95"/>
      <c r="ENS265" s="95"/>
      <c r="ENT265" s="95"/>
      <c r="ENU265" s="95"/>
      <c r="ENV265" s="95"/>
      <c r="ENW265" s="95"/>
      <c r="ENX265" s="95"/>
      <c r="ENY265" s="95"/>
      <c r="ENZ265" s="95"/>
      <c r="EOA265" s="95"/>
      <c r="EOB265" s="95"/>
      <c r="EOC265" s="95"/>
      <c r="EOD265" s="95"/>
      <c r="EOE265" s="95"/>
      <c r="EOF265" s="95"/>
      <c r="EOG265" s="95"/>
      <c r="EOH265" s="95"/>
      <c r="EOI265" s="95"/>
      <c r="EOJ265" s="95"/>
      <c r="EOK265" s="95"/>
      <c r="EOL265" s="95"/>
      <c r="EOM265" s="95"/>
      <c r="EON265" s="95"/>
      <c r="EOO265" s="95"/>
      <c r="EOP265" s="95"/>
      <c r="EOQ265" s="95"/>
      <c r="EOR265" s="95"/>
      <c r="EOS265" s="95"/>
      <c r="EOT265" s="95"/>
      <c r="EOU265" s="95"/>
      <c r="EOV265" s="95"/>
      <c r="EOW265" s="95"/>
      <c r="EOX265" s="95"/>
      <c r="EOY265" s="95"/>
      <c r="EOZ265" s="95"/>
      <c r="EPA265" s="95"/>
      <c r="EPB265" s="95"/>
      <c r="EPC265" s="95"/>
      <c r="EPD265" s="95"/>
      <c r="EPE265" s="95"/>
      <c r="EPF265" s="95"/>
      <c r="EPG265" s="95"/>
      <c r="EPH265" s="95"/>
      <c r="EPI265" s="95"/>
      <c r="EPJ265" s="95"/>
      <c r="EPK265" s="95"/>
      <c r="EPL265" s="95"/>
      <c r="EPM265" s="95"/>
      <c r="EPN265" s="95"/>
      <c r="EPO265" s="95"/>
      <c r="EPP265" s="95"/>
      <c r="EPQ265" s="95"/>
      <c r="EPR265" s="95"/>
      <c r="EPS265" s="95"/>
      <c r="EPT265" s="95"/>
      <c r="EPU265" s="95"/>
      <c r="EPV265" s="95"/>
      <c r="EPW265" s="95"/>
      <c r="EPX265" s="95"/>
      <c r="EPY265" s="95"/>
      <c r="EPZ265" s="95"/>
      <c r="EQA265" s="95"/>
      <c r="EQB265" s="95"/>
      <c r="EQC265" s="95"/>
      <c r="EQD265" s="95"/>
      <c r="EQE265" s="95"/>
      <c r="EQF265" s="95"/>
      <c r="EQG265" s="95"/>
      <c r="EQH265" s="95"/>
      <c r="EQI265" s="95"/>
      <c r="EQJ265" s="95"/>
      <c r="EQK265" s="95"/>
      <c r="EQL265" s="95"/>
      <c r="EQM265" s="95"/>
      <c r="EQN265" s="95"/>
      <c r="EQO265" s="95"/>
      <c r="EQP265" s="95"/>
      <c r="EQQ265" s="95"/>
      <c r="EQR265" s="95"/>
      <c r="EQS265" s="95"/>
      <c r="EQT265" s="95"/>
      <c r="EQU265" s="95"/>
      <c r="EQV265" s="95"/>
      <c r="EQW265" s="95"/>
      <c r="EQX265" s="95"/>
      <c r="EQY265" s="95"/>
      <c r="EQZ265" s="95"/>
      <c r="ERA265" s="95"/>
      <c r="ERB265" s="95"/>
      <c r="ERC265" s="95"/>
      <c r="ERD265" s="95"/>
      <c r="ERE265" s="95"/>
      <c r="ERF265" s="95"/>
      <c r="ERG265" s="95"/>
      <c r="ERH265" s="95"/>
      <c r="ERI265" s="95"/>
      <c r="ERJ265" s="95"/>
      <c r="ERK265" s="95"/>
      <c r="ERL265" s="95"/>
      <c r="ERM265" s="95"/>
      <c r="ERN265" s="95"/>
      <c r="ERO265" s="95"/>
      <c r="ERP265" s="95"/>
      <c r="ERQ265" s="95"/>
      <c r="ERR265" s="95"/>
      <c r="ERS265" s="95"/>
      <c r="ERT265" s="95"/>
      <c r="ERU265" s="95"/>
      <c r="ERV265" s="95"/>
      <c r="ERW265" s="95"/>
      <c r="ERX265" s="95"/>
      <c r="ERY265" s="95"/>
      <c r="ERZ265" s="95"/>
      <c r="ESA265" s="95"/>
      <c r="ESB265" s="95"/>
      <c r="ESC265" s="95"/>
      <c r="ESD265" s="95"/>
      <c r="ESE265" s="95"/>
      <c r="ESF265" s="95"/>
      <c r="ESG265" s="95"/>
      <c r="ESH265" s="95"/>
      <c r="ESI265" s="95"/>
      <c r="ESJ265" s="95"/>
      <c r="ESK265" s="95"/>
      <c r="ESL265" s="95"/>
      <c r="ESM265" s="95"/>
      <c r="ESN265" s="95"/>
      <c r="ESO265" s="95"/>
      <c r="ESP265" s="95"/>
      <c r="ESQ265" s="95"/>
      <c r="ESR265" s="95"/>
      <c r="ESS265" s="95"/>
      <c r="EST265" s="95"/>
      <c r="ESU265" s="95"/>
      <c r="ESV265" s="95"/>
      <c r="ESW265" s="95"/>
      <c r="ESX265" s="95"/>
      <c r="ESY265" s="95"/>
      <c r="ESZ265" s="95"/>
      <c r="ETA265" s="95"/>
      <c r="ETB265" s="95"/>
      <c r="ETC265" s="95"/>
      <c r="ETD265" s="95"/>
      <c r="ETE265" s="95"/>
      <c r="ETF265" s="95"/>
      <c r="ETG265" s="95"/>
      <c r="ETH265" s="95"/>
      <c r="ETI265" s="95"/>
      <c r="ETJ265" s="95"/>
      <c r="ETK265" s="95"/>
      <c r="ETL265" s="95"/>
      <c r="ETM265" s="95"/>
      <c r="ETN265" s="95"/>
      <c r="ETO265" s="95"/>
      <c r="ETP265" s="95"/>
      <c r="ETQ265" s="95"/>
      <c r="ETR265" s="95"/>
      <c r="ETS265" s="95"/>
      <c r="ETT265" s="95"/>
      <c r="ETU265" s="95"/>
      <c r="ETV265" s="95"/>
      <c r="ETW265" s="95"/>
      <c r="ETX265" s="95"/>
      <c r="ETY265" s="95"/>
      <c r="ETZ265" s="95"/>
      <c r="EUA265" s="95"/>
      <c r="EUB265" s="95"/>
      <c r="EUC265" s="95"/>
      <c r="EUD265" s="95"/>
      <c r="EUE265" s="95"/>
      <c r="EUF265" s="95"/>
      <c r="EUG265" s="95"/>
      <c r="EUH265" s="95"/>
      <c r="EUI265" s="95"/>
      <c r="EUJ265" s="95"/>
      <c r="EUK265" s="95"/>
      <c r="EUL265" s="95"/>
      <c r="EUM265" s="95"/>
      <c r="EUN265" s="95"/>
      <c r="EUO265" s="95"/>
      <c r="EUP265" s="95"/>
      <c r="EUQ265" s="95"/>
      <c r="EUR265" s="95"/>
      <c r="EUS265" s="95"/>
      <c r="EUT265" s="95"/>
      <c r="EUU265" s="95"/>
      <c r="EUV265" s="95"/>
      <c r="EUW265" s="95"/>
      <c r="EUX265" s="95"/>
      <c r="EUY265" s="95"/>
      <c r="EUZ265" s="95"/>
      <c r="EVA265" s="95"/>
      <c r="EVB265" s="95"/>
      <c r="EVC265" s="95"/>
      <c r="EVD265" s="95"/>
      <c r="EVE265" s="95"/>
      <c r="EVF265" s="95"/>
      <c r="EVG265" s="95"/>
      <c r="EVH265" s="95"/>
      <c r="EVI265" s="95"/>
      <c r="EVJ265" s="95"/>
      <c r="EVK265" s="95"/>
      <c r="EVL265" s="95"/>
      <c r="EVM265" s="95"/>
      <c r="EVN265" s="95"/>
      <c r="EVO265" s="95"/>
      <c r="EVP265" s="95"/>
      <c r="EVQ265" s="95"/>
      <c r="EVR265" s="95"/>
      <c r="EVS265" s="95"/>
      <c r="EVT265" s="95"/>
      <c r="EVU265" s="95"/>
      <c r="EVV265" s="95"/>
      <c r="EVW265" s="95"/>
      <c r="EVX265" s="95"/>
      <c r="EVY265" s="95"/>
      <c r="EVZ265" s="95"/>
      <c r="EWA265" s="95"/>
      <c r="EWB265" s="95"/>
      <c r="EWC265" s="95"/>
      <c r="EWD265" s="95"/>
      <c r="EWE265" s="95"/>
      <c r="EWF265" s="95"/>
      <c r="EWG265" s="95"/>
      <c r="EWH265" s="95"/>
      <c r="EWI265" s="95"/>
      <c r="EWJ265" s="95"/>
      <c r="EWK265" s="95"/>
      <c r="EWL265" s="95"/>
      <c r="EWM265" s="95"/>
      <c r="EWN265" s="95"/>
      <c r="EWO265" s="95"/>
      <c r="EWP265" s="95"/>
      <c r="EWQ265" s="95"/>
      <c r="EWR265" s="95"/>
      <c r="EWS265" s="95"/>
      <c r="EWT265" s="95"/>
      <c r="EWU265" s="95"/>
      <c r="EWV265" s="95"/>
      <c r="EWW265" s="95"/>
      <c r="EWX265" s="95"/>
      <c r="EWY265" s="95"/>
      <c r="EWZ265" s="95"/>
      <c r="EXA265" s="95"/>
      <c r="EXB265" s="95"/>
      <c r="EXC265" s="95"/>
      <c r="EXD265" s="95"/>
      <c r="EXE265" s="95"/>
      <c r="EXF265" s="95"/>
      <c r="EXG265" s="95"/>
      <c r="EXH265" s="95"/>
      <c r="EXI265" s="95"/>
      <c r="EXJ265" s="95"/>
      <c r="EXK265" s="95"/>
      <c r="EXL265" s="95"/>
      <c r="EXM265" s="95"/>
      <c r="EXN265" s="95"/>
      <c r="EXO265" s="95"/>
      <c r="EXP265" s="95"/>
      <c r="EXQ265" s="95"/>
      <c r="EXR265" s="95"/>
      <c r="EXS265" s="95"/>
      <c r="EXT265" s="95"/>
      <c r="EXU265" s="95"/>
      <c r="EXV265" s="95"/>
      <c r="EXW265" s="95"/>
      <c r="EXX265" s="95"/>
      <c r="EXY265" s="95"/>
      <c r="EXZ265" s="95"/>
      <c r="EYA265" s="95"/>
      <c r="EYB265" s="95"/>
      <c r="EYC265" s="95"/>
      <c r="EYD265" s="95"/>
      <c r="EYE265" s="95"/>
      <c r="EYF265" s="95"/>
      <c r="EYG265" s="95"/>
      <c r="EYH265" s="95"/>
      <c r="EYI265" s="95"/>
      <c r="EYJ265" s="95"/>
      <c r="EYK265" s="95"/>
      <c r="EYL265" s="95"/>
      <c r="EYM265" s="95"/>
      <c r="EYN265" s="95"/>
      <c r="EYO265" s="95"/>
      <c r="EYP265" s="95"/>
      <c r="EYQ265" s="95"/>
      <c r="EYR265" s="95"/>
      <c r="EYS265" s="95"/>
      <c r="EYT265" s="95"/>
      <c r="EYU265" s="95"/>
      <c r="EYV265" s="95"/>
      <c r="EYW265" s="95"/>
      <c r="EYX265" s="95"/>
      <c r="EYY265" s="95"/>
      <c r="EYZ265" s="95"/>
      <c r="EZA265" s="95"/>
      <c r="EZB265" s="95"/>
      <c r="EZC265" s="95"/>
      <c r="EZD265" s="95"/>
      <c r="EZE265" s="95"/>
      <c r="EZF265" s="95"/>
      <c r="EZG265" s="95"/>
      <c r="EZH265" s="95"/>
      <c r="EZI265" s="95"/>
      <c r="EZJ265" s="95"/>
      <c r="EZK265" s="95"/>
      <c r="EZL265" s="95"/>
      <c r="EZM265" s="95"/>
      <c r="EZN265" s="95"/>
      <c r="EZO265" s="95"/>
      <c r="EZP265" s="95"/>
      <c r="EZQ265" s="95"/>
      <c r="EZR265" s="95"/>
      <c r="EZS265" s="95"/>
      <c r="EZT265" s="95"/>
      <c r="EZU265" s="95"/>
      <c r="EZV265" s="95"/>
      <c r="EZW265" s="95"/>
      <c r="EZX265" s="95"/>
      <c r="EZY265" s="95"/>
      <c r="EZZ265" s="95"/>
      <c r="FAA265" s="95"/>
      <c r="FAB265" s="95"/>
      <c r="FAC265" s="95"/>
      <c r="FAD265" s="95"/>
      <c r="FAE265" s="95"/>
      <c r="FAF265" s="95"/>
      <c r="FAG265" s="95"/>
      <c r="FAH265" s="95"/>
      <c r="FAI265" s="95"/>
      <c r="FAJ265" s="95"/>
      <c r="FAK265" s="95"/>
      <c r="FAL265" s="95"/>
      <c r="FAM265" s="95"/>
      <c r="FAN265" s="95"/>
      <c r="FAO265" s="95"/>
      <c r="FAP265" s="95"/>
      <c r="FAQ265" s="95"/>
      <c r="FAR265" s="95"/>
      <c r="FAS265" s="95"/>
      <c r="FAT265" s="95"/>
      <c r="FAU265" s="95"/>
      <c r="FAV265" s="95"/>
      <c r="FAW265" s="95"/>
      <c r="FAX265" s="95"/>
      <c r="FAY265" s="95"/>
      <c r="FAZ265" s="95"/>
      <c r="FBA265" s="95"/>
      <c r="FBB265" s="95"/>
      <c r="FBC265" s="95"/>
      <c r="FBD265" s="95"/>
      <c r="FBE265" s="95"/>
      <c r="FBF265" s="95"/>
      <c r="FBG265" s="95"/>
      <c r="FBH265" s="95"/>
      <c r="FBI265" s="95"/>
      <c r="FBJ265" s="95"/>
      <c r="FBK265" s="95"/>
      <c r="FBL265" s="95"/>
      <c r="FBM265" s="95"/>
      <c r="FBN265" s="95"/>
      <c r="FBO265" s="95"/>
      <c r="FBP265" s="95"/>
      <c r="FBQ265" s="95"/>
      <c r="FBR265" s="95"/>
      <c r="FBS265" s="95"/>
      <c r="FBT265" s="95"/>
      <c r="FBU265" s="95"/>
      <c r="FBV265" s="95"/>
      <c r="FBW265" s="95"/>
      <c r="FBX265" s="95"/>
      <c r="FBY265" s="95"/>
      <c r="FBZ265" s="95"/>
      <c r="FCA265" s="95"/>
      <c r="FCB265" s="95"/>
      <c r="FCC265" s="95"/>
      <c r="FCD265" s="95"/>
      <c r="FCE265" s="95"/>
      <c r="FCF265" s="95"/>
      <c r="FCG265" s="95"/>
      <c r="FCH265" s="95"/>
      <c r="FCI265" s="95"/>
      <c r="FCJ265" s="95"/>
      <c r="FCK265" s="95"/>
      <c r="FCL265" s="95"/>
      <c r="FCM265" s="95"/>
      <c r="FCN265" s="95"/>
      <c r="FCO265" s="95"/>
      <c r="FCP265" s="95"/>
      <c r="FCQ265" s="95"/>
      <c r="FCR265" s="95"/>
      <c r="FCS265" s="95"/>
      <c r="FCT265" s="95"/>
      <c r="FCU265" s="95"/>
      <c r="FCV265" s="95"/>
      <c r="FCW265" s="95"/>
      <c r="FCX265" s="95"/>
      <c r="FCY265" s="95"/>
      <c r="FCZ265" s="95"/>
      <c r="FDA265" s="95"/>
      <c r="FDB265" s="95"/>
      <c r="FDC265" s="95"/>
      <c r="FDD265" s="95"/>
      <c r="FDE265" s="95"/>
      <c r="FDF265" s="95"/>
      <c r="FDG265" s="95"/>
      <c r="FDH265" s="95"/>
      <c r="FDI265" s="95"/>
      <c r="FDJ265" s="95"/>
      <c r="FDK265" s="95"/>
      <c r="FDL265" s="95"/>
      <c r="FDM265" s="95"/>
      <c r="FDN265" s="95"/>
      <c r="FDO265" s="95"/>
      <c r="FDP265" s="95"/>
      <c r="FDQ265" s="95"/>
      <c r="FDR265" s="95"/>
      <c r="FDS265" s="95"/>
      <c r="FDT265" s="95"/>
      <c r="FDU265" s="95"/>
      <c r="FDV265" s="95"/>
      <c r="FDW265" s="95"/>
      <c r="FDX265" s="95"/>
      <c r="FDY265" s="95"/>
      <c r="FDZ265" s="95"/>
      <c r="FEA265" s="95"/>
      <c r="FEB265" s="95"/>
      <c r="FEC265" s="95"/>
      <c r="FED265" s="95"/>
      <c r="FEE265" s="95"/>
      <c r="FEF265" s="95"/>
      <c r="FEG265" s="95"/>
      <c r="FEH265" s="95"/>
      <c r="FEI265" s="95"/>
      <c r="FEJ265" s="95"/>
      <c r="FEK265" s="95"/>
      <c r="FEL265" s="95"/>
      <c r="FEM265" s="95"/>
      <c r="FEN265" s="95"/>
      <c r="FEO265" s="95"/>
      <c r="FEP265" s="95"/>
      <c r="FEQ265" s="95"/>
      <c r="FER265" s="95"/>
      <c r="FES265" s="95"/>
      <c r="FET265" s="95"/>
      <c r="FEU265" s="95"/>
      <c r="FEV265" s="95"/>
      <c r="FEW265" s="95"/>
      <c r="FEX265" s="95"/>
      <c r="FEY265" s="95"/>
      <c r="FEZ265" s="95"/>
      <c r="FFA265" s="95"/>
      <c r="FFB265" s="95"/>
      <c r="FFC265" s="95"/>
      <c r="FFD265" s="95"/>
      <c r="FFE265" s="95"/>
      <c r="FFF265" s="95"/>
      <c r="FFG265" s="95"/>
      <c r="FFH265" s="95"/>
      <c r="FFI265" s="95"/>
      <c r="FFJ265" s="95"/>
      <c r="FFK265" s="95"/>
      <c r="FFL265" s="95"/>
      <c r="FFM265" s="95"/>
      <c r="FFN265" s="95"/>
      <c r="FFO265" s="95"/>
      <c r="FFP265" s="95"/>
      <c r="FFQ265" s="95"/>
      <c r="FFR265" s="95"/>
      <c r="FFS265" s="95"/>
      <c r="FFT265" s="95"/>
      <c r="FFU265" s="95"/>
      <c r="FFV265" s="95"/>
      <c r="FFW265" s="95"/>
      <c r="FFX265" s="95"/>
      <c r="FFY265" s="95"/>
      <c r="FFZ265" s="95"/>
      <c r="FGA265" s="95"/>
      <c r="FGB265" s="95"/>
      <c r="FGC265" s="95"/>
      <c r="FGD265" s="95"/>
      <c r="FGE265" s="95"/>
      <c r="FGF265" s="95"/>
      <c r="FGG265" s="95"/>
      <c r="FGH265" s="95"/>
      <c r="FGI265" s="95"/>
      <c r="FGJ265" s="95"/>
      <c r="FGK265" s="95"/>
      <c r="FGL265" s="95"/>
      <c r="FGM265" s="95"/>
      <c r="FGN265" s="95"/>
      <c r="FGO265" s="95"/>
      <c r="FGP265" s="95"/>
      <c r="FGQ265" s="95"/>
      <c r="FGR265" s="95"/>
      <c r="FGS265" s="95"/>
      <c r="FGT265" s="95"/>
      <c r="FGU265" s="95"/>
      <c r="FGV265" s="95"/>
      <c r="FGW265" s="95"/>
      <c r="FGX265" s="95"/>
      <c r="FGY265" s="95"/>
      <c r="FGZ265" s="95"/>
      <c r="FHA265" s="95"/>
      <c r="FHB265" s="95"/>
      <c r="FHC265" s="95"/>
      <c r="FHD265" s="95"/>
      <c r="FHE265" s="95"/>
      <c r="FHF265" s="95"/>
      <c r="FHG265" s="95"/>
      <c r="FHH265" s="95"/>
      <c r="FHI265" s="95"/>
      <c r="FHJ265" s="95"/>
      <c r="FHK265" s="95"/>
      <c r="FHL265" s="95"/>
      <c r="FHM265" s="95"/>
      <c r="FHN265" s="95"/>
      <c r="FHO265" s="95"/>
      <c r="FHP265" s="95"/>
      <c r="FHQ265" s="95"/>
      <c r="FHR265" s="95"/>
      <c r="FHS265" s="95"/>
      <c r="FHT265" s="95"/>
      <c r="FHU265" s="95"/>
      <c r="FHV265" s="95"/>
      <c r="FHW265" s="95"/>
      <c r="FHX265" s="95"/>
      <c r="FHY265" s="95"/>
      <c r="FHZ265" s="95"/>
      <c r="FIA265" s="95"/>
      <c r="FIB265" s="95"/>
      <c r="FIC265" s="95"/>
      <c r="FID265" s="95"/>
      <c r="FIE265" s="95"/>
      <c r="FIF265" s="95"/>
      <c r="FIG265" s="95"/>
      <c r="FIH265" s="95"/>
      <c r="FII265" s="95"/>
      <c r="FIJ265" s="95"/>
      <c r="FIK265" s="95"/>
      <c r="FIL265" s="95"/>
      <c r="FIM265" s="95"/>
      <c r="FIN265" s="95"/>
      <c r="FIO265" s="95"/>
      <c r="FIP265" s="95"/>
      <c r="FIQ265" s="95"/>
      <c r="FIR265" s="95"/>
      <c r="FIS265" s="95"/>
      <c r="FIT265" s="95"/>
      <c r="FIU265" s="95"/>
      <c r="FIV265" s="95"/>
      <c r="FIW265" s="95"/>
      <c r="FIX265" s="95"/>
      <c r="FIY265" s="95"/>
      <c r="FIZ265" s="95"/>
      <c r="FJA265" s="95"/>
      <c r="FJB265" s="95"/>
      <c r="FJC265" s="95"/>
      <c r="FJD265" s="95"/>
      <c r="FJE265" s="95"/>
      <c r="FJF265" s="95"/>
      <c r="FJG265" s="95"/>
      <c r="FJH265" s="95"/>
      <c r="FJI265" s="95"/>
      <c r="FJJ265" s="95"/>
      <c r="FJK265" s="95"/>
      <c r="FJL265" s="95"/>
      <c r="FJM265" s="95"/>
      <c r="FJN265" s="95"/>
      <c r="FJO265" s="95"/>
      <c r="FJP265" s="95"/>
      <c r="FJQ265" s="95"/>
      <c r="FJR265" s="95"/>
      <c r="FJS265" s="95"/>
      <c r="FJT265" s="95"/>
      <c r="FJU265" s="95"/>
      <c r="FJV265" s="95"/>
      <c r="FJW265" s="95"/>
      <c r="FJX265" s="95"/>
      <c r="FJY265" s="95"/>
      <c r="FJZ265" s="95"/>
      <c r="FKA265" s="95"/>
      <c r="FKB265" s="95"/>
      <c r="FKC265" s="95"/>
      <c r="FKD265" s="95"/>
      <c r="FKE265" s="95"/>
      <c r="FKF265" s="95"/>
      <c r="FKG265" s="95"/>
      <c r="FKH265" s="95"/>
      <c r="FKI265" s="95"/>
      <c r="FKJ265" s="95"/>
      <c r="FKK265" s="95"/>
      <c r="FKL265" s="95"/>
      <c r="FKM265" s="95"/>
      <c r="FKN265" s="95"/>
      <c r="FKO265" s="95"/>
      <c r="FKP265" s="95"/>
      <c r="FKQ265" s="95"/>
      <c r="FKR265" s="95"/>
      <c r="FKS265" s="95"/>
      <c r="FKT265" s="95"/>
      <c r="FKU265" s="95"/>
      <c r="FKV265" s="95"/>
      <c r="FKW265" s="95"/>
      <c r="FKX265" s="95"/>
      <c r="FKY265" s="95"/>
      <c r="FKZ265" s="95"/>
      <c r="FLA265" s="95"/>
      <c r="FLB265" s="95"/>
      <c r="FLC265" s="95"/>
      <c r="FLD265" s="95"/>
      <c r="FLE265" s="95"/>
      <c r="FLF265" s="95"/>
      <c r="FLG265" s="95"/>
      <c r="FLH265" s="95"/>
      <c r="FLI265" s="95"/>
      <c r="FLJ265" s="95"/>
      <c r="FLK265" s="95"/>
      <c r="FLL265" s="95"/>
      <c r="FLM265" s="95"/>
      <c r="FLN265" s="95"/>
      <c r="FLO265" s="95"/>
      <c r="FLP265" s="95"/>
      <c r="FLQ265" s="95"/>
      <c r="FLR265" s="95"/>
      <c r="FLS265" s="95"/>
      <c r="FLT265" s="95"/>
      <c r="FLU265" s="95"/>
      <c r="FLV265" s="95"/>
      <c r="FLW265" s="95"/>
      <c r="FLX265" s="95"/>
      <c r="FLY265" s="95"/>
      <c r="FLZ265" s="95"/>
      <c r="FMA265" s="95"/>
      <c r="FMB265" s="95"/>
      <c r="FMC265" s="95"/>
      <c r="FMD265" s="95"/>
      <c r="FME265" s="95"/>
      <c r="FMF265" s="95"/>
      <c r="FMG265" s="95"/>
      <c r="FMH265" s="95"/>
      <c r="FMI265" s="95"/>
      <c r="FMJ265" s="95"/>
      <c r="FMK265" s="95"/>
      <c r="FML265" s="95"/>
      <c r="FMM265" s="95"/>
      <c r="FMN265" s="95"/>
      <c r="FMO265" s="95"/>
      <c r="FMP265" s="95"/>
      <c r="FMQ265" s="95"/>
      <c r="FMR265" s="95"/>
      <c r="FMS265" s="95"/>
      <c r="FMT265" s="95"/>
      <c r="FMU265" s="95"/>
      <c r="FMV265" s="95"/>
      <c r="FMW265" s="95"/>
      <c r="FMX265" s="95"/>
      <c r="FMY265" s="95"/>
      <c r="FMZ265" s="95"/>
      <c r="FNA265" s="95"/>
      <c r="FNB265" s="95"/>
      <c r="FNC265" s="95"/>
      <c r="FND265" s="95"/>
      <c r="FNE265" s="95"/>
      <c r="FNF265" s="95"/>
      <c r="FNG265" s="95"/>
      <c r="FNH265" s="95"/>
      <c r="FNI265" s="95"/>
      <c r="FNJ265" s="95"/>
      <c r="FNK265" s="95"/>
      <c r="FNL265" s="95"/>
      <c r="FNM265" s="95"/>
      <c r="FNN265" s="95"/>
      <c r="FNO265" s="95"/>
      <c r="FNP265" s="95"/>
      <c r="FNQ265" s="95"/>
      <c r="FNR265" s="95"/>
      <c r="FNS265" s="95"/>
      <c r="FNT265" s="95"/>
      <c r="FNU265" s="95"/>
      <c r="FNV265" s="95"/>
      <c r="FNW265" s="95"/>
      <c r="FNX265" s="95"/>
      <c r="FNY265" s="95"/>
      <c r="FNZ265" s="95"/>
      <c r="FOA265" s="95"/>
      <c r="FOB265" s="95"/>
      <c r="FOC265" s="95"/>
      <c r="FOD265" s="95"/>
      <c r="FOE265" s="95"/>
      <c r="FOF265" s="95"/>
      <c r="FOG265" s="95"/>
      <c r="FOH265" s="95"/>
      <c r="FOI265" s="95"/>
      <c r="FOJ265" s="95"/>
      <c r="FOK265" s="95"/>
      <c r="FOL265" s="95"/>
      <c r="FOM265" s="95"/>
      <c r="FON265" s="95"/>
      <c r="FOO265" s="95"/>
      <c r="FOP265" s="95"/>
      <c r="FOQ265" s="95"/>
      <c r="FOR265" s="95"/>
      <c r="FOS265" s="95"/>
      <c r="FOT265" s="95"/>
      <c r="FOU265" s="95"/>
      <c r="FOV265" s="95"/>
      <c r="FOW265" s="95"/>
      <c r="FOX265" s="95"/>
      <c r="FOY265" s="95"/>
      <c r="FOZ265" s="95"/>
      <c r="FPA265" s="95"/>
      <c r="FPB265" s="95"/>
      <c r="FPC265" s="95"/>
      <c r="FPD265" s="95"/>
      <c r="FPE265" s="95"/>
      <c r="FPF265" s="95"/>
      <c r="FPG265" s="95"/>
      <c r="FPH265" s="95"/>
      <c r="FPI265" s="95"/>
      <c r="FPJ265" s="95"/>
      <c r="FPK265" s="95"/>
      <c r="FPL265" s="95"/>
      <c r="FPM265" s="95"/>
      <c r="FPN265" s="95"/>
      <c r="FPO265" s="95"/>
      <c r="FPP265" s="95"/>
      <c r="FPQ265" s="95"/>
      <c r="FPR265" s="95"/>
      <c r="FPS265" s="95"/>
      <c r="FPT265" s="95"/>
      <c r="FPU265" s="95"/>
      <c r="FPV265" s="95"/>
      <c r="FPW265" s="95"/>
      <c r="FPX265" s="95"/>
      <c r="FPY265" s="95"/>
      <c r="FPZ265" s="95"/>
      <c r="FQA265" s="95"/>
      <c r="FQB265" s="95"/>
      <c r="FQC265" s="95"/>
      <c r="FQD265" s="95"/>
      <c r="FQE265" s="95"/>
      <c r="FQF265" s="95"/>
      <c r="FQG265" s="95"/>
      <c r="FQH265" s="95"/>
      <c r="FQI265" s="95"/>
      <c r="FQJ265" s="95"/>
      <c r="FQK265" s="95"/>
      <c r="FQL265" s="95"/>
      <c r="FQM265" s="95"/>
      <c r="FQN265" s="95"/>
      <c r="FQO265" s="95"/>
      <c r="FQP265" s="95"/>
      <c r="FQQ265" s="95"/>
      <c r="FQR265" s="95"/>
      <c r="FQS265" s="95"/>
      <c r="FQT265" s="95"/>
      <c r="FQU265" s="95"/>
      <c r="FQV265" s="95"/>
      <c r="FQW265" s="95"/>
      <c r="FQX265" s="95"/>
      <c r="FQY265" s="95"/>
      <c r="FQZ265" s="95"/>
      <c r="FRA265" s="95"/>
      <c r="FRB265" s="95"/>
      <c r="FRC265" s="95"/>
      <c r="FRD265" s="95"/>
      <c r="FRE265" s="95"/>
      <c r="FRF265" s="95"/>
      <c r="FRG265" s="95"/>
      <c r="FRH265" s="95"/>
      <c r="FRI265" s="95"/>
      <c r="FRJ265" s="95"/>
      <c r="FRK265" s="95"/>
      <c r="FRL265" s="95"/>
      <c r="FRM265" s="95"/>
      <c r="FRN265" s="95"/>
      <c r="FRO265" s="95"/>
      <c r="FRP265" s="95"/>
      <c r="FRQ265" s="95"/>
      <c r="FRR265" s="95"/>
      <c r="FRS265" s="95"/>
      <c r="FRT265" s="95"/>
      <c r="FRU265" s="95"/>
      <c r="FRV265" s="95"/>
      <c r="FRW265" s="95"/>
      <c r="FRX265" s="95"/>
      <c r="FRY265" s="95"/>
      <c r="FRZ265" s="95"/>
      <c r="FSA265" s="95"/>
      <c r="FSB265" s="95"/>
      <c r="FSC265" s="95"/>
      <c r="FSD265" s="95"/>
      <c r="FSE265" s="95"/>
      <c r="FSF265" s="95"/>
      <c r="FSG265" s="95"/>
      <c r="FSH265" s="95"/>
      <c r="FSI265" s="95"/>
      <c r="FSJ265" s="95"/>
      <c r="FSK265" s="95"/>
      <c r="FSL265" s="95"/>
      <c r="FSM265" s="95"/>
      <c r="FSN265" s="95"/>
      <c r="FSO265" s="95"/>
      <c r="FSP265" s="95"/>
      <c r="FSQ265" s="95"/>
      <c r="FSR265" s="95"/>
      <c r="FSS265" s="95"/>
      <c r="FST265" s="95"/>
      <c r="FSU265" s="95"/>
      <c r="FSV265" s="95"/>
      <c r="FSW265" s="95"/>
      <c r="FSX265" s="95"/>
      <c r="FSY265" s="95"/>
      <c r="FSZ265" s="95"/>
      <c r="FTA265" s="95"/>
      <c r="FTB265" s="95"/>
      <c r="FTC265" s="95"/>
      <c r="FTD265" s="95"/>
      <c r="FTE265" s="95"/>
      <c r="FTF265" s="95"/>
      <c r="FTG265" s="95"/>
      <c r="FTH265" s="95"/>
      <c r="FTI265" s="95"/>
      <c r="FTJ265" s="95"/>
      <c r="FTK265" s="95"/>
      <c r="FTL265" s="95"/>
      <c r="FTM265" s="95"/>
      <c r="FTN265" s="95"/>
      <c r="FTO265" s="95"/>
      <c r="FTP265" s="95"/>
      <c r="FTQ265" s="95"/>
      <c r="FTR265" s="95"/>
      <c r="FTS265" s="95"/>
      <c r="FTT265" s="95"/>
      <c r="FTU265" s="95"/>
      <c r="FTV265" s="95"/>
      <c r="FTW265" s="95"/>
      <c r="FTX265" s="95"/>
      <c r="FTY265" s="95"/>
      <c r="FTZ265" s="95"/>
      <c r="FUA265" s="95"/>
      <c r="FUB265" s="95"/>
      <c r="FUC265" s="95"/>
      <c r="FUD265" s="95"/>
      <c r="FUE265" s="95"/>
      <c r="FUF265" s="95"/>
      <c r="FUG265" s="95"/>
      <c r="FUH265" s="95"/>
      <c r="FUI265" s="95"/>
      <c r="FUJ265" s="95"/>
      <c r="FUK265" s="95"/>
      <c r="FUL265" s="95"/>
      <c r="FUM265" s="95"/>
      <c r="FUN265" s="95"/>
      <c r="FUO265" s="95"/>
      <c r="FUP265" s="95"/>
      <c r="FUQ265" s="95"/>
      <c r="FUR265" s="95"/>
      <c r="FUS265" s="95"/>
      <c r="FUT265" s="95"/>
      <c r="FUU265" s="95"/>
      <c r="FUV265" s="95"/>
      <c r="FUW265" s="95"/>
      <c r="FUX265" s="95"/>
      <c r="FUY265" s="95"/>
      <c r="FUZ265" s="95"/>
      <c r="FVA265" s="95"/>
      <c r="FVB265" s="95"/>
      <c r="FVC265" s="95"/>
      <c r="FVD265" s="95"/>
      <c r="FVE265" s="95"/>
      <c r="FVF265" s="95"/>
      <c r="FVG265" s="95"/>
      <c r="FVH265" s="95"/>
      <c r="FVI265" s="95"/>
      <c r="FVJ265" s="95"/>
      <c r="FVK265" s="95"/>
      <c r="FVL265" s="95"/>
      <c r="FVM265" s="95"/>
      <c r="FVN265" s="95"/>
      <c r="FVO265" s="95"/>
      <c r="FVP265" s="95"/>
      <c r="FVQ265" s="95"/>
      <c r="FVR265" s="95"/>
      <c r="FVS265" s="95"/>
      <c r="FVT265" s="95"/>
      <c r="FVU265" s="95"/>
      <c r="FVV265" s="95"/>
      <c r="FVW265" s="95"/>
      <c r="FVX265" s="95"/>
      <c r="FVY265" s="95"/>
      <c r="FVZ265" s="95"/>
      <c r="FWA265" s="95"/>
      <c r="FWB265" s="95"/>
      <c r="FWC265" s="95"/>
      <c r="FWD265" s="95"/>
      <c r="FWE265" s="95"/>
      <c r="FWF265" s="95"/>
      <c r="FWG265" s="95"/>
      <c r="FWH265" s="95"/>
      <c r="FWI265" s="95"/>
      <c r="FWJ265" s="95"/>
      <c r="FWK265" s="95"/>
      <c r="FWL265" s="95"/>
      <c r="FWM265" s="95"/>
      <c r="FWN265" s="95"/>
      <c r="FWO265" s="95"/>
      <c r="FWP265" s="95"/>
      <c r="FWQ265" s="95"/>
      <c r="FWR265" s="95"/>
      <c r="FWS265" s="95"/>
      <c r="FWT265" s="95"/>
      <c r="FWU265" s="95"/>
      <c r="FWV265" s="95"/>
      <c r="FWW265" s="95"/>
      <c r="FWX265" s="95"/>
      <c r="FWY265" s="95"/>
      <c r="FWZ265" s="95"/>
      <c r="FXA265" s="95"/>
      <c r="FXB265" s="95"/>
      <c r="FXC265" s="95"/>
      <c r="FXD265" s="95"/>
      <c r="FXE265" s="95"/>
      <c r="FXF265" s="95"/>
      <c r="FXG265" s="95"/>
      <c r="FXH265" s="95"/>
      <c r="FXI265" s="95"/>
      <c r="FXJ265" s="95"/>
      <c r="FXK265" s="95"/>
      <c r="FXL265" s="95"/>
      <c r="FXM265" s="95"/>
      <c r="FXN265" s="95"/>
      <c r="FXO265" s="95"/>
      <c r="FXP265" s="95"/>
      <c r="FXQ265" s="95"/>
      <c r="FXR265" s="95"/>
      <c r="FXS265" s="95"/>
      <c r="FXT265" s="95"/>
      <c r="FXU265" s="95"/>
      <c r="FXV265" s="95"/>
      <c r="FXW265" s="95"/>
      <c r="FXX265" s="95"/>
      <c r="FXY265" s="95"/>
      <c r="FXZ265" s="95"/>
      <c r="FYA265" s="95"/>
      <c r="FYB265" s="95"/>
      <c r="FYC265" s="95"/>
      <c r="FYD265" s="95"/>
      <c r="FYE265" s="95"/>
      <c r="FYF265" s="95"/>
      <c r="FYG265" s="95"/>
      <c r="FYH265" s="95"/>
      <c r="FYI265" s="95"/>
      <c r="FYJ265" s="95"/>
      <c r="FYK265" s="95"/>
      <c r="FYL265" s="95"/>
      <c r="FYM265" s="95"/>
      <c r="FYN265" s="95"/>
      <c r="FYO265" s="95"/>
      <c r="FYP265" s="95"/>
      <c r="FYQ265" s="95"/>
      <c r="FYR265" s="95"/>
      <c r="FYS265" s="95"/>
      <c r="FYT265" s="95"/>
      <c r="FYU265" s="95"/>
      <c r="FYV265" s="95"/>
      <c r="FYW265" s="95"/>
      <c r="FYX265" s="95"/>
      <c r="FYY265" s="95"/>
      <c r="FYZ265" s="95"/>
      <c r="FZA265" s="95"/>
      <c r="FZB265" s="95"/>
      <c r="FZC265" s="95"/>
      <c r="FZD265" s="95"/>
      <c r="FZE265" s="95"/>
      <c r="FZF265" s="95"/>
      <c r="FZG265" s="95"/>
      <c r="FZH265" s="95"/>
      <c r="FZI265" s="95"/>
      <c r="FZJ265" s="95"/>
      <c r="FZK265" s="95"/>
      <c r="FZL265" s="95"/>
      <c r="FZM265" s="95"/>
      <c r="FZN265" s="95"/>
      <c r="FZO265" s="95"/>
      <c r="FZP265" s="95"/>
      <c r="FZQ265" s="95"/>
      <c r="FZR265" s="95"/>
      <c r="FZS265" s="95"/>
      <c r="FZT265" s="95"/>
      <c r="FZU265" s="95"/>
      <c r="FZV265" s="95"/>
      <c r="FZW265" s="95"/>
      <c r="FZX265" s="95"/>
      <c r="FZY265" s="95"/>
      <c r="FZZ265" s="95"/>
      <c r="GAA265" s="95"/>
      <c r="GAB265" s="95"/>
      <c r="GAC265" s="95"/>
      <c r="GAD265" s="95"/>
      <c r="GAE265" s="95"/>
      <c r="GAF265" s="95"/>
      <c r="GAG265" s="95"/>
      <c r="GAH265" s="95"/>
      <c r="GAI265" s="95"/>
      <c r="GAJ265" s="95"/>
      <c r="GAK265" s="95"/>
      <c r="GAL265" s="95"/>
      <c r="GAM265" s="95"/>
      <c r="GAN265" s="95"/>
      <c r="GAO265" s="95"/>
      <c r="GAP265" s="95"/>
      <c r="GAQ265" s="95"/>
      <c r="GAR265" s="95"/>
      <c r="GAS265" s="95"/>
      <c r="GAT265" s="95"/>
      <c r="GAU265" s="95"/>
      <c r="GAV265" s="95"/>
      <c r="GAW265" s="95"/>
      <c r="GAX265" s="95"/>
      <c r="GAY265" s="95"/>
      <c r="GAZ265" s="95"/>
      <c r="GBA265" s="95"/>
      <c r="GBB265" s="95"/>
      <c r="GBC265" s="95"/>
      <c r="GBD265" s="95"/>
      <c r="GBE265" s="95"/>
      <c r="GBF265" s="95"/>
      <c r="GBG265" s="95"/>
      <c r="GBH265" s="95"/>
      <c r="GBI265" s="95"/>
      <c r="GBJ265" s="95"/>
      <c r="GBK265" s="95"/>
      <c r="GBL265" s="95"/>
      <c r="GBM265" s="95"/>
      <c r="GBN265" s="95"/>
      <c r="GBO265" s="95"/>
      <c r="GBP265" s="95"/>
      <c r="GBQ265" s="95"/>
      <c r="GBR265" s="95"/>
      <c r="GBS265" s="95"/>
      <c r="GBT265" s="95"/>
      <c r="GBU265" s="95"/>
      <c r="GBV265" s="95"/>
      <c r="GBW265" s="95"/>
      <c r="GBX265" s="95"/>
      <c r="GBY265" s="95"/>
      <c r="GBZ265" s="95"/>
      <c r="GCA265" s="95"/>
      <c r="GCB265" s="95"/>
      <c r="GCC265" s="95"/>
      <c r="GCD265" s="95"/>
      <c r="GCE265" s="95"/>
      <c r="GCF265" s="95"/>
      <c r="GCG265" s="95"/>
      <c r="GCH265" s="95"/>
      <c r="GCI265" s="95"/>
      <c r="GCJ265" s="95"/>
      <c r="GCK265" s="95"/>
      <c r="GCL265" s="95"/>
      <c r="GCM265" s="95"/>
      <c r="GCN265" s="95"/>
      <c r="GCO265" s="95"/>
      <c r="GCP265" s="95"/>
      <c r="GCQ265" s="95"/>
      <c r="GCR265" s="95"/>
      <c r="GCS265" s="95"/>
      <c r="GCT265" s="95"/>
      <c r="GCU265" s="95"/>
      <c r="GCV265" s="95"/>
      <c r="GCW265" s="95"/>
      <c r="GCX265" s="95"/>
      <c r="GCY265" s="95"/>
      <c r="GCZ265" s="95"/>
      <c r="GDA265" s="95"/>
      <c r="GDB265" s="95"/>
      <c r="GDC265" s="95"/>
      <c r="GDD265" s="95"/>
      <c r="GDE265" s="95"/>
      <c r="GDF265" s="95"/>
      <c r="GDG265" s="95"/>
      <c r="GDH265" s="95"/>
      <c r="GDI265" s="95"/>
      <c r="GDJ265" s="95"/>
      <c r="GDK265" s="95"/>
      <c r="GDL265" s="95"/>
      <c r="GDM265" s="95"/>
      <c r="GDN265" s="95"/>
      <c r="GDO265" s="95"/>
      <c r="GDP265" s="95"/>
      <c r="GDQ265" s="95"/>
      <c r="GDR265" s="95"/>
      <c r="GDS265" s="95"/>
      <c r="GDT265" s="95"/>
      <c r="GDU265" s="95"/>
      <c r="GDV265" s="95"/>
      <c r="GDW265" s="95"/>
      <c r="GDX265" s="95"/>
      <c r="GDY265" s="95"/>
      <c r="GDZ265" s="95"/>
      <c r="GEA265" s="95"/>
      <c r="GEB265" s="95"/>
      <c r="GEC265" s="95"/>
      <c r="GED265" s="95"/>
      <c r="GEE265" s="95"/>
      <c r="GEF265" s="95"/>
      <c r="GEG265" s="95"/>
      <c r="GEH265" s="95"/>
      <c r="GEI265" s="95"/>
      <c r="GEJ265" s="95"/>
      <c r="GEK265" s="95"/>
      <c r="GEL265" s="95"/>
      <c r="GEM265" s="95"/>
      <c r="GEN265" s="95"/>
      <c r="GEO265" s="95"/>
      <c r="GEP265" s="95"/>
      <c r="GEQ265" s="95"/>
      <c r="GER265" s="95"/>
      <c r="GES265" s="95"/>
      <c r="GET265" s="95"/>
      <c r="GEU265" s="95"/>
      <c r="GEV265" s="95"/>
      <c r="GEW265" s="95"/>
      <c r="GEX265" s="95"/>
      <c r="GEY265" s="95"/>
      <c r="GEZ265" s="95"/>
      <c r="GFA265" s="95"/>
      <c r="GFB265" s="95"/>
      <c r="GFC265" s="95"/>
      <c r="GFD265" s="95"/>
      <c r="GFE265" s="95"/>
      <c r="GFF265" s="95"/>
      <c r="GFG265" s="95"/>
      <c r="GFH265" s="95"/>
      <c r="GFI265" s="95"/>
      <c r="GFJ265" s="95"/>
      <c r="GFK265" s="95"/>
      <c r="GFL265" s="95"/>
      <c r="GFM265" s="95"/>
      <c r="GFN265" s="95"/>
      <c r="GFO265" s="95"/>
      <c r="GFP265" s="95"/>
      <c r="GFQ265" s="95"/>
      <c r="GFR265" s="95"/>
      <c r="GFS265" s="95"/>
      <c r="GFT265" s="95"/>
      <c r="GFU265" s="95"/>
      <c r="GFV265" s="95"/>
      <c r="GFW265" s="95"/>
      <c r="GFX265" s="95"/>
      <c r="GFY265" s="95"/>
      <c r="GFZ265" s="95"/>
      <c r="GGA265" s="95"/>
      <c r="GGB265" s="95"/>
      <c r="GGC265" s="95"/>
      <c r="GGD265" s="95"/>
      <c r="GGE265" s="95"/>
      <c r="GGF265" s="95"/>
      <c r="GGG265" s="95"/>
      <c r="GGH265" s="95"/>
      <c r="GGI265" s="95"/>
      <c r="GGJ265" s="95"/>
      <c r="GGK265" s="95"/>
      <c r="GGL265" s="95"/>
      <c r="GGM265" s="95"/>
      <c r="GGN265" s="95"/>
      <c r="GGO265" s="95"/>
      <c r="GGP265" s="95"/>
      <c r="GGQ265" s="95"/>
      <c r="GGR265" s="95"/>
      <c r="GGS265" s="95"/>
      <c r="GGT265" s="95"/>
      <c r="GGU265" s="95"/>
      <c r="GGV265" s="95"/>
      <c r="GGW265" s="95"/>
      <c r="GGX265" s="95"/>
      <c r="GGY265" s="95"/>
      <c r="GGZ265" s="95"/>
      <c r="GHA265" s="95"/>
      <c r="GHB265" s="95"/>
      <c r="GHC265" s="95"/>
      <c r="GHD265" s="95"/>
      <c r="GHE265" s="95"/>
      <c r="GHF265" s="95"/>
      <c r="GHG265" s="95"/>
      <c r="GHH265" s="95"/>
      <c r="GHI265" s="95"/>
      <c r="GHJ265" s="95"/>
      <c r="GHK265" s="95"/>
      <c r="GHL265" s="95"/>
      <c r="GHM265" s="95"/>
      <c r="GHN265" s="95"/>
      <c r="GHO265" s="95"/>
      <c r="GHP265" s="95"/>
      <c r="GHQ265" s="95"/>
      <c r="GHR265" s="95"/>
      <c r="GHS265" s="95"/>
      <c r="GHT265" s="95"/>
      <c r="GHU265" s="95"/>
      <c r="GHV265" s="95"/>
      <c r="GHW265" s="95"/>
      <c r="GHX265" s="95"/>
      <c r="GHY265" s="95"/>
      <c r="GHZ265" s="95"/>
      <c r="GIA265" s="95"/>
      <c r="GIB265" s="95"/>
      <c r="GIC265" s="95"/>
      <c r="GID265" s="95"/>
      <c r="GIE265" s="95"/>
      <c r="GIF265" s="95"/>
      <c r="GIG265" s="95"/>
      <c r="GIH265" s="95"/>
      <c r="GII265" s="95"/>
      <c r="GIJ265" s="95"/>
      <c r="GIK265" s="95"/>
      <c r="GIL265" s="95"/>
      <c r="GIM265" s="95"/>
      <c r="GIN265" s="95"/>
      <c r="GIO265" s="95"/>
      <c r="GIP265" s="95"/>
      <c r="GIQ265" s="95"/>
      <c r="GIR265" s="95"/>
      <c r="GIS265" s="95"/>
      <c r="GIT265" s="95"/>
      <c r="GIU265" s="95"/>
      <c r="GIV265" s="95"/>
      <c r="GIW265" s="95"/>
      <c r="GIX265" s="95"/>
      <c r="GIY265" s="95"/>
      <c r="GIZ265" s="95"/>
      <c r="GJA265" s="95"/>
      <c r="GJB265" s="95"/>
      <c r="GJC265" s="95"/>
      <c r="GJD265" s="95"/>
      <c r="GJE265" s="95"/>
      <c r="GJF265" s="95"/>
      <c r="GJG265" s="95"/>
      <c r="GJH265" s="95"/>
      <c r="GJI265" s="95"/>
      <c r="GJJ265" s="95"/>
      <c r="GJK265" s="95"/>
      <c r="GJL265" s="95"/>
      <c r="GJM265" s="95"/>
      <c r="GJN265" s="95"/>
      <c r="GJO265" s="95"/>
      <c r="GJP265" s="95"/>
      <c r="GJQ265" s="95"/>
      <c r="GJR265" s="95"/>
      <c r="GJS265" s="95"/>
      <c r="GJT265" s="95"/>
      <c r="GJU265" s="95"/>
      <c r="GJV265" s="95"/>
      <c r="GJW265" s="95"/>
      <c r="GJX265" s="95"/>
      <c r="GJY265" s="95"/>
      <c r="GJZ265" s="95"/>
      <c r="GKA265" s="95"/>
      <c r="GKB265" s="95"/>
      <c r="GKC265" s="95"/>
      <c r="GKD265" s="95"/>
      <c r="GKE265" s="95"/>
      <c r="GKF265" s="95"/>
      <c r="GKG265" s="95"/>
      <c r="GKH265" s="95"/>
      <c r="GKI265" s="95"/>
      <c r="GKJ265" s="95"/>
      <c r="GKK265" s="95"/>
      <c r="GKL265" s="95"/>
      <c r="GKM265" s="95"/>
      <c r="GKN265" s="95"/>
      <c r="GKO265" s="95"/>
      <c r="GKP265" s="95"/>
      <c r="GKQ265" s="95"/>
      <c r="GKR265" s="95"/>
      <c r="GKS265" s="95"/>
      <c r="GKT265" s="95"/>
      <c r="GKU265" s="95"/>
      <c r="GKV265" s="95"/>
      <c r="GKW265" s="95"/>
      <c r="GKX265" s="95"/>
      <c r="GKY265" s="95"/>
      <c r="GKZ265" s="95"/>
      <c r="GLA265" s="95"/>
      <c r="GLB265" s="95"/>
      <c r="GLC265" s="95"/>
      <c r="GLD265" s="95"/>
      <c r="GLE265" s="95"/>
      <c r="GLF265" s="95"/>
      <c r="GLG265" s="95"/>
      <c r="GLH265" s="95"/>
      <c r="GLI265" s="95"/>
      <c r="GLJ265" s="95"/>
      <c r="GLK265" s="95"/>
      <c r="GLL265" s="95"/>
      <c r="GLM265" s="95"/>
      <c r="GLN265" s="95"/>
      <c r="GLO265" s="95"/>
      <c r="GLP265" s="95"/>
      <c r="GLQ265" s="95"/>
      <c r="GLR265" s="95"/>
      <c r="GLS265" s="95"/>
      <c r="GLT265" s="95"/>
      <c r="GLU265" s="95"/>
      <c r="GLV265" s="95"/>
      <c r="GLW265" s="95"/>
      <c r="GLX265" s="95"/>
      <c r="GLY265" s="95"/>
      <c r="GLZ265" s="95"/>
      <c r="GMA265" s="95"/>
      <c r="GMB265" s="95"/>
      <c r="GMC265" s="95"/>
      <c r="GMD265" s="95"/>
      <c r="GME265" s="95"/>
      <c r="GMF265" s="95"/>
      <c r="GMG265" s="95"/>
      <c r="GMH265" s="95"/>
      <c r="GMI265" s="95"/>
      <c r="GMJ265" s="95"/>
      <c r="GMK265" s="95"/>
      <c r="GML265" s="95"/>
      <c r="GMM265" s="95"/>
      <c r="GMN265" s="95"/>
      <c r="GMO265" s="95"/>
      <c r="GMP265" s="95"/>
      <c r="GMQ265" s="95"/>
      <c r="GMR265" s="95"/>
      <c r="GMS265" s="95"/>
      <c r="GMT265" s="95"/>
      <c r="GMU265" s="95"/>
      <c r="GMV265" s="95"/>
      <c r="GMW265" s="95"/>
      <c r="GMX265" s="95"/>
      <c r="GMY265" s="95"/>
      <c r="GMZ265" s="95"/>
      <c r="GNA265" s="95"/>
      <c r="GNB265" s="95"/>
      <c r="GNC265" s="95"/>
      <c r="GND265" s="95"/>
      <c r="GNE265" s="95"/>
      <c r="GNF265" s="95"/>
      <c r="GNG265" s="95"/>
      <c r="GNH265" s="95"/>
      <c r="GNI265" s="95"/>
      <c r="GNJ265" s="95"/>
      <c r="GNK265" s="95"/>
      <c r="GNL265" s="95"/>
      <c r="GNM265" s="95"/>
      <c r="GNN265" s="95"/>
      <c r="GNO265" s="95"/>
      <c r="GNP265" s="95"/>
      <c r="GNQ265" s="95"/>
      <c r="GNR265" s="95"/>
      <c r="GNS265" s="95"/>
      <c r="GNT265" s="95"/>
      <c r="GNU265" s="95"/>
      <c r="GNV265" s="95"/>
      <c r="GNW265" s="95"/>
      <c r="GNX265" s="95"/>
      <c r="GNY265" s="95"/>
      <c r="GNZ265" s="95"/>
      <c r="GOA265" s="95"/>
      <c r="GOB265" s="95"/>
      <c r="GOC265" s="95"/>
      <c r="GOD265" s="95"/>
      <c r="GOE265" s="95"/>
      <c r="GOF265" s="95"/>
      <c r="GOG265" s="95"/>
      <c r="GOH265" s="95"/>
      <c r="GOI265" s="95"/>
      <c r="GOJ265" s="95"/>
      <c r="GOK265" s="95"/>
      <c r="GOL265" s="95"/>
      <c r="GOM265" s="95"/>
      <c r="GON265" s="95"/>
      <c r="GOO265" s="95"/>
      <c r="GOP265" s="95"/>
      <c r="GOQ265" s="95"/>
      <c r="GOR265" s="95"/>
      <c r="GOS265" s="95"/>
      <c r="GOT265" s="95"/>
      <c r="GOU265" s="95"/>
      <c r="GOV265" s="95"/>
      <c r="GOW265" s="95"/>
      <c r="GOX265" s="95"/>
      <c r="GOY265" s="95"/>
      <c r="GOZ265" s="95"/>
      <c r="GPA265" s="95"/>
      <c r="GPB265" s="95"/>
      <c r="GPC265" s="95"/>
      <c r="GPD265" s="95"/>
      <c r="GPE265" s="95"/>
      <c r="GPF265" s="95"/>
      <c r="GPG265" s="95"/>
      <c r="GPH265" s="95"/>
      <c r="GPI265" s="95"/>
      <c r="GPJ265" s="95"/>
      <c r="GPK265" s="95"/>
      <c r="GPL265" s="95"/>
      <c r="GPM265" s="95"/>
      <c r="GPN265" s="95"/>
      <c r="GPO265" s="95"/>
      <c r="GPP265" s="95"/>
      <c r="GPQ265" s="95"/>
      <c r="GPR265" s="95"/>
      <c r="GPS265" s="95"/>
      <c r="GPT265" s="95"/>
      <c r="GPU265" s="95"/>
      <c r="GPV265" s="95"/>
      <c r="GPW265" s="95"/>
      <c r="GPX265" s="95"/>
      <c r="GPY265" s="95"/>
      <c r="GPZ265" s="95"/>
      <c r="GQA265" s="95"/>
      <c r="GQB265" s="95"/>
      <c r="GQC265" s="95"/>
      <c r="GQD265" s="95"/>
      <c r="GQE265" s="95"/>
      <c r="GQF265" s="95"/>
      <c r="GQG265" s="95"/>
      <c r="GQH265" s="95"/>
      <c r="GQI265" s="95"/>
      <c r="GQJ265" s="95"/>
      <c r="GQK265" s="95"/>
      <c r="GQL265" s="95"/>
      <c r="GQM265" s="95"/>
      <c r="GQN265" s="95"/>
      <c r="GQO265" s="95"/>
      <c r="GQP265" s="95"/>
      <c r="GQQ265" s="95"/>
      <c r="GQR265" s="95"/>
      <c r="GQS265" s="95"/>
      <c r="GQT265" s="95"/>
      <c r="GQU265" s="95"/>
      <c r="GQV265" s="95"/>
      <c r="GQW265" s="95"/>
      <c r="GQX265" s="95"/>
      <c r="GQY265" s="95"/>
      <c r="GQZ265" s="95"/>
      <c r="GRA265" s="95"/>
      <c r="GRB265" s="95"/>
      <c r="GRC265" s="95"/>
      <c r="GRD265" s="95"/>
      <c r="GRE265" s="95"/>
      <c r="GRF265" s="95"/>
      <c r="GRG265" s="95"/>
      <c r="GRH265" s="95"/>
      <c r="GRI265" s="95"/>
      <c r="GRJ265" s="95"/>
      <c r="GRK265" s="95"/>
      <c r="GRL265" s="95"/>
      <c r="GRM265" s="95"/>
      <c r="GRN265" s="95"/>
      <c r="GRO265" s="95"/>
      <c r="GRP265" s="95"/>
      <c r="GRQ265" s="95"/>
      <c r="GRR265" s="95"/>
      <c r="GRS265" s="95"/>
      <c r="GRT265" s="95"/>
      <c r="GRU265" s="95"/>
      <c r="GRV265" s="95"/>
      <c r="GRW265" s="95"/>
      <c r="GRX265" s="95"/>
      <c r="GRY265" s="95"/>
      <c r="GRZ265" s="95"/>
      <c r="GSA265" s="95"/>
      <c r="GSB265" s="95"/>
      <c r="GSC265" s="95"/>
      <c r="GSD265" s="95"/>
      <c r="GSE265" s="95"/>
      <c r="GSF265" s="95"/>
      <c r="GSG265" s="95"/>
      <c r="GSH265" s="95"/>
      <c r="GSI265" s="95"/>
      <c r="GSJ265" s="95"/>
      <c r="GSK265" s="95"/>
      <c r="GSL265" s="95"/>
      <c r="GSM265" s="95"/>
      <c r="GSN265" s="95"/>
      <c r="GSO265" s="95"/>
      <c r="GSP265" s="95"/>
      <c r="GSQ265" s="95"/>
      <c r="GSR265" s="95"/>
      <c r="GSS265" s="95"/>
      <c r="GST265" s="95"/>
      <c r="GSU265" s="95"/>
      <c r="GSV265" s="95"/>
      <c r="GSW265" s="95"/>
      <c r="GSX265" s="95"/>
      <c r="GSY265" s="95"/>
      <c r="GSZ265" s="95"/>
      <c r="GTA265" s="95"/>
      <c r="GTB265" s="95"/>
      <c r="GTC265" s="95"/>
      <c r="GTD265" s="95"/>
      <c r="GTE265" s="95"/>
      <c r="GTF265" s="95"/>
      <c r="GTG265" s="95"/>
      <c r="GTH265" s="95"/>
      <c r="GTI265" s="95"/>
      <c r="GTJ265" s="95"/>
      <c r="GTK265" s="95"/>
      <c r="GTL265" s="95"/>
      <c r="GTM265" s="95"/>
      <c r="GTN265" s="95"/>
      <c r="GTO265" s="95"/>
      <c r="GTP265" s="95"/>
      <c r="GTQ265" s="95"/>
      <c r="GTR265" s="95"/>
      <c r="GTS265" s="95"/>
      <c r="GTT265" s="95"/>
      <c r="GTU265" s="95"/>
      <c r="GTV265" s="95"/>
      <c r="GTW265" s="95"/>
      <c r="GTX265" s="95"/>
      <c r="GTY265" s="95"/>
      <c r="GTZ265" s="95"/>
      <c r="GUA265" s="95"/>
      <c r="GUB265" s="95"/>
      <c r="GUC265" s="95"/>
      <c r="GUD265" s="95"/>
      <c r="GUE265" s="95"/>
      <c r="GUF265" s="95"/>
      <c r="GUG265" s="95"/>
      <c r="GUH265" s="95"/>
      <c r="GUI265" s="95"/>
      <c r="GUJ265" s="95"/>
      <c r="GUK265" s="95"/>
      <c r="GUL265" s="95"/>
      <c r="GUM265" s="95"/>
      <c r="GUN265" s="95"/>
      <c r="GUO265" s="95"/>
      <c r="GUP265" s="95"/>
      <c r="GUQ265" s="95"/>
      <c r="GUR265" s="95"/>
      <c r="GUS265" s="95"/>
      <c r="GUT265" s="95"/>
      <c r="GUU265" s="95"/>
      <c r="GUV265" s="95"/>
      <c r="GUW265" s="95"/>
      <c r="GUX265" s="95"/>
      <c r="GUY265" s="95"/>
      <c r="GUZ265" s="95"/>
      <c r="GVA265" s="95"/>
      <c r="GVB265" s="95"/>
      <c r="GVC265" s="95"/>
      <c r="GVD265" s="95"/>
      <c r="GVE265" s="95"/>
      <c r="GVF265" s="95"/>
      <c r="GVG265" s="95"/>
      <c r="GVH265" s="95"/>
      <c r="GVI265" s="95"/>
      <c r="GVJ265" s="95"/>
      <c r="GVK265" s="95"/>
      <c r="GVL265" s="95"/>
      <c r="GVM265" s="95"/>
      <c r="GVN265" s="95"/>
      <c r="GVO265" s="95"/>
      <c r="GVP265" s="95"/>
      <c r="GVQ265" s="95"/>
      <c r="GVR265" s="95"/>
      <c r="GVS265" s="95"/>
      <c r="GVT265" s="95"/>
      <c r="GVU265" s="95"/>
      <c r="GVV265" s="95"/>
      <c r="GVW265" s="95"/>
      <c r="GVX265" s="95"/>
      <c r="GVY265" s="95"/>
      <c r="GVZ265" s="95"/>
      <c r="GWA265" s="95"/>
      <c r="GWB265" s="95"/>
      <c r="GWC265" s="95"/>
      <c r="GWD265" s="95"/>
      <c r="GWE265" s="95"/>
      <c r="GWF265" s="95"/>
      <c r="GWG265" s="95"/>
      <c r="GWH265" s="95"/>
      <c r="GWI265" s="95"/>
      <c r="GWJ265" s="95"/>
      <c r="GWK265" s="95"/>
      <c r="GWL265" s="95"/>
      <c r="GWM265" s="95"/>
      <c r="GWN265" s="95"/>
      <c r="GWO265" s="95"/>
      <c r="GWP265" s="95"/>
      <c r="GWQ265" s="95"/>
      <c r="GWR265" s="95"/>
      <c r="GWS265" s="95"/>
      <c r="GWT265" s="95"/>
      <c r="GWU265" s="95"/>
      <c r="GWV265" s="95"/>
      <c r="GWW265" s="95"/>
      <c r="GWX265" s="95"/>
      <c r="GWY265" s="95"/>
      <c r="GWZ265" s="95"/>
      <c r="GXA265" s="95"/>
      <c r="GXB265" s="95"/>
      <c r="GXC265" s="95"/>
      <c r="GXD265" s="95"/>
      <c r="GXE265" s="95"/>
      <c r="GXF265" s="95"/>
      <c r="GXG265" s="95"/>
      <c r="GXH265" s="95"/>
      <c r="GXI265" s="95"/>
      <c r="GXJ265" s="95"/>
      <c r="GXK265" s="95"/>
      <c r="GXL265" s="95"/>
      <c r="GXM265" s="95"/>
      <c r="GXN265" s="95"/>
      <c r="GXO265" s="95"/>
      <c r="GXP265" s="95"/>
      <c r="GXQ265" s="95"/>
      <c r="GXR265" s="95"/>
      <c r="GXS265" s="95"/>
      <c r="GXT265" s="95"/>
      <c r="GXU265" s="95"/>
      <c r="GXV265" s="95"/>
      <c r="GXW265" s="95"/>
      <c r="GXX265" s="95"/>
      <c r="GXY265" s="95"/>
      <c r="GXZ265" s="95"/>
      <c r="GYA265" s="95"/>
      <c r="GYB265" s="95"/>
      <c r="GYC265" s="95"/>
      <c r="GYD265" s="95"/>
      <c r="GYE265" s="95"/>
      <c r="GYF265" s="95"/>
      <c r="GYG265" s="95"/>
      <c r="GYH265" s="95"/>
      <c r="GYI265" s="95"/>
      <c r="GYJ265" s="95"/>
      <c r="GYK265" s="95"/>
      <c r="GYL265" s="95"/>
      <c r="GYM265" s="95"/>
      <c r="GYN265" s="95"/>
      <c r="GYO265" s="95"/>
      <c r="GYP265" s="95"/>
      <c r="GYQ265" s="95"/>
      <c r="GYR265" s="95"/>
      <c r="GYS265" s="95"/>
      <c r="GYT265" s="95"/>
      <c r="GYU265" s="95"/>
      <c r="GYV265" s="95"/>
      <c r="GYW265" s="95"/>
      <c r="GYX265" s="95"/>
      <c r="GYY265" s="95"/>
      <c r="GYZ265" s="95"/>
      <c r="GZA265" s="95"/>
      <c r="GZB265" s="95"/>
      <c r="GZC265" s="95"/>
      <c r="GZD265" s="95"/>
      <c r="GZE265" s="95"/>
      <c r="GZF265" s="95"/>
      <c r="GZG265" s="95"/>
      <c r="GZH265" s="95"/>
      <c r="GZI265" s="95"/>
      <c r="GZJ265" s="95"/>
      <c r="GZK265" s="95"/>
      <c r="GZL265" s="95"/>
      <c r="GZM265" s="95"/>
      <c r="GZN265" s="95"/>
      <c r="GZO265" s="95"/>
      <c r="GZP265" s="95"/>
      <c r="GZQ265" s="95"/>
      <c r="GZR265" s="95"/>
      <c r="GZS265" s="95"/>
      <c r="GZT265" s="95"/>
      <c r="GZU265" s="95"/>
      <c r="GZV265" s="95"/>
      <c r="GZW265" s="95"/>
      <c r="GZX265" s="95"/>
      <c r="GZY265" s="95"/>
      <c r="GZZ265" s="95"/>
      <c r="HAA265" s="95"/>
      <c r="HAB265" s="95"/>
      <c r="HAC265" s="95"/>
      <c r="HAD265" s="95"/>
      <c r="HAE265" s="95"/>
      <c r="HAF265" s="95"/>
      <c r="HAG265" s="95"/>
      <c r="HAH265" s="95"/>
      <c r="HAI265" s="95"/>
      <c r="HAJ265" s="95"/>
      <c r="HAK265" s="95"/>
      <c r="HAL265" s="95"/>
      <c r="HAM265" s="95"/>
      <c r="HAN265" s="95"/>
      <c r="HAO265" s="95"/>
      <c r="HAP265" s="95"/>
      <c r="HAQ265" s="95"/>
      <c r="HAR265" s="95"/>
      <c r="HAS265" s="95"/>
      <c r="HAT265" s="95"/>
      <c r="HAU265" s="95"/>
      <c r="HAV265" s="95"/>
      <c r="HAW265" s="95"/>
      <c r="HAX265" s="95"/>
      <c r="HAY265" s="95"/>
      <c r="HAZ265" s="95"/>
      <c r="HBA265" s="95"/>
      <c r="HBB265" s="95"/>
      <c r="HBC265" s="95"/>
      <c r="HBD265" s="95"/>
      <c r="HBE265" s="95"/>
      <c r="HBF265" s="95"/>
      <c r="HBG265" s="95"/>
      <c r="HBH265" s="95"/>
      <c r="HBI265" s="95"/>
      <c r="HBJ265" s="95"/>
      <c r="HBK265" s="95"/>
      <c r="HBL265" s="95"/>
      <c r="HBM265" s="95"/>
      <c r="HBN265" s="95"/>
      <c r="HBO265" s="95"/>
      <c r="HBP265" s="95"/>
      <c r="HBQ265" s="95"/>
      <c r="HBR265" s="95"/>
      <c r="HBS265" s="95"/>
      <c r="HBT265" s="95"/>
      <c r="HBU265" s="95"/>
      <c r="HBV265" s="95"/>
      <c r="HBW265" s="95"/>
      <c r="HBX265" s="95"/>
      <c r="HBY265" s="95"/>
      <c r="HBZ265" s="95"/>
      <c r="HCA265" s="95"/>
      <c r="HCB265" s="95"/>
      <c r="HCC265" s="95"/>
      <c r="HCD265" s="95"/>
      <c r="HCE265" s="95"/>
      <c r="HCF265" s="95"/>
      <c r="HCG265" s="95"/>
      <c r="HCH265" s="95"/>
      <c r="HCI265" s="95"/>
      <c r="HCJ265" s="95"/>
      <c r="HCK265" s="95"/>
      <c r="HCL265" s="95"/>
      <c r="HCM265" s="95"/>
      <c r="HCN265" s="95"/>
      <c r="HCO265" s="95"/>
      <c r="HCP265" s="95"/>
      <c r="HCQ265" s="95"/>
      <c r="HCR265" s="95"/>
      <c r="HCS265" s="95"/>
      <c r="HCT265" s="95"/>
      <c r="HCU265" s="95"/>
      <c r="HCV265" s="95"/>
      <c r="HCW265" s="95"/>
      <c r="HCX265" s="95"/>
      <c r="HCY265" s="95"/>
      <c r="HCZ265" s="95"/>
      <c r="HDA265" s="95"/>
      <c r="HDB265" s="95"/>
      <c r="HDC265" s="95"/>
      <c r="HDD265" s="95"/>
      <c r="HDE265" s="95"/>
      <c r="HDF265" s="95"/>
      <c r="HDG265" s="95"/>
      <c r="HDH265" s="95"/>
      <c r="HDI265" s="95"/>
      <c r="HDJ265" s="95"/>
      <c r="HDK265" s="95"/>
      <c r="HDL265" s="95"/>
      <c r="HDM265" s="95"/>
      <c r="HDN265" s="95"/>
      <c r="HDO265" s="95"/>
      <c r="HDP265" s="95"/>
      <c r="HDQ265" s="95"/>
      <c r="HDR265" s="95"/>
      <c r="HDS265" s="95"/>
      <c r="HDT265" s="95"/>
      <c r="HDU265" s="95"/>
      <c r="HDV265" s="95"/>
      <c r="HDW265" s="95"/>
      <c r="HDX265" s="95"/>
      <c r="HDY265" s="95"/>
      <c r="HDZ265" s="95"/>
      <c r="HEA265" s="95"/>
      <c r="HEB265" s="95"/>
      <c r="HEC265" s="95"/>
      <c r="HED265" s="95"/>
      <c r="HEE265" s="95"/>
      <c r="HEF265" s="95"/>
      <c r="HEG265" s="95"/>
      <c r="HEH265" s="95"/>
      <c r="HEI265" s="95"/>
      <c r="HEJ265" s="95"/>
      <c r="HEK265" s="95"/>
      <c r="HEL265" s="95"/>
      <c r="HEM265" s="95"/>
      <c r="HEN265" s="95"/>
      <c r="HEO265" s="95"/>
      <c r="HEP265" s="95"/>
      <c r="HEQ265" s="95"/>
      <c r="HER265" s="95"/>
      <c r="HES265" s="95"/>
      <c r="HET265" s="95"/>
      <c r="HEU265" s="95"/>
      <c r="HEV265" s="95"/>
      <c r="HEW265" s="95"/>
      <c r="HEX265" s="95"/>
      <c r="HEY265" s="95"/>
      <c r="HEZ265" s="95"/>
      <c r="HFA265" s="95"/>
      <c r="HFB265" s="95"/>
      <c r="HFC265" s="95"/>
      <c r="HFD265" s="95"/>
      <c r="HFE265" s="95"/>
      <c r="HFF265" s="95"/>
      <c r="HFG265" s="95"/>
      <c r="HFH265" s="95"/>
      <c r="HFI265" s="95"/>
      <c r="HFJ265" s="95"/>
      <c r="HFK265" s="95"/>
      <c r="HFL265" s="95"/>
      <c r="HFM265" s="95"/>
      <c r="HFN265" s="95"/>
      <c r="HFO265" s="95"/>
      <c r="HFP265" s="95"/>
      <c r="HFQ265" s="95"/>
      <c r="HFR265" s="95"/>
      <c r="HFS265" s="95"/>
      <c r="HFT265" s="95"/>
      <c r="HFU265" s="95"/>
      <c r="HFV265" s="95"/>
      <c r="HFW265" s="95"/>
      <c r="HFX265" s="95"/>
      <c r="HFY265" s="95"/>
      <c r="HFZ265" s="95"/>
      <c r="HGA265" s="95"/>
      <c r="HGB265" s="95"/>
      <c r="HGC265" s="95"/>
      <c r="HGD265" s="95"/>
      <c r="HGE265" s="95"/>
      <c r="HGF265" s="95"/>
      <c r="HGG265" s="95"/>
      <c r="HGH265" s="95"/>
      <c r="HGI265" s="95"/>
      <c r="HGJ265" s="95"/>
      <c r="HGK265" s="95"/>
      <c r="HGL265" s="95"/>
      <c r="HGM265" s="95"/>
      <c r="HGN265" s="95"/>
      <c r="HGO265" s="95"/>
      <c r="HGP265" s="95"/>
      <c r="HGQ265" s="95"/>
      <c r="HGR265" s="95"/>
      <c r="HGS265" s="95"/>
      <c r="HGT265" s="95"/>
      <c r="HGU265" s="95"/>
      <c r="HGV265" s="95"/>
      <c r="HGW265" s="95"/>
      <c r="HGX265" s="95"/>
      <c r="HGY265" s="95"/>
      <c r="HGZ265" s="95"/>
      <c r="HHA265" s="95"/>
      <c r="HHB265" s="95"/>
      <c r="HHC265" s="95"/>
      <c r="HHD265" s="95"/>
      <c r="HHE265" s="95"/>
      <c r="HHF265" s="95"/>
      <c r="HHG265" s="95"/>
      <c r="HHH265" s="95"/>
      <c r="HHI265" s="95"/>
      <c r="HHJ265" s="95"/>
      <c r="HHK265" s="95"/>
      <c r="HHL265" s="95"/>
      <c r="HHM265" s="95"/>
      <c r="HHN265" s="95"/>
      <c r="HHO265" s="95"/>
      <c r="HHP265" s="95"/>
      <c r="HHQ265" s="95"/>
      <c r="HHR265" s="95"/>
      <c r="HHS265" s="95"/>
      <c r="HHT265" s="95"/>
      <c r="HHU265" s="95"/>
      <c r="HHV265" s="95"/>
      <c r="HHW265" s="95"/>
      <c r="HHX265" s="95"/>
      <c r="HHY265" s="95"/>
      <c r="HHZ265" s="95"/>
      <c r="HIA265" s="95"/>
      <c r="HIB265" s="95"/>
      <c r="HIC265" s="95"/>
      <c r="HID265" s="95"/>
      <c r="HIE265" s="95"/>
      <c r="HIF265" s="95"/>
      <c r="HIG265" s="95"/>
      <c r="HIH265" s="95"/>
      <c r="HII265" s="95"/>
      <c r="HIJ265" s="95"/>
      <c r="HIK265" s="95"/>
      <c r="HIL265" s="95"/>
      <c r="HIM265" s="95"/>
      <c r="HIN265" s="95"/>
      <c r="HIO265" s="95"/>
      <c r="HIP265" s="95"/>
      <c r="HIQ265" s="95"/>
      <c r="HIR265" s="95"/>
      <c r="HIS265" s="95"/>
      <c r="HIT265" s="95"/>
      <c r="HIU265" s="95"/>
      <c r="HIV265" s="95"/>
      <c r="HIW265" s="95"/>
      <c r="HIX265" s="95"/>
      <c r="HIY265" s="95"/>
      <c r="HIZ265" s="95"/>
      <c r="HJA265" s="95"/>
      <c r="HJB265" s="95"/>
      <c r="HJC265" s="95"/>
      <c r="HJD265" s="95"/>
      <c r="HJE265" s="95"/>
      <c r="HJF265" s="95"/>
      <c r="HJG265" s="95"/>
      <c r="HJH265" s="95"/>
      <c r="HJI265" s="95"/>
      <c r="HJJ265" s="95"/>
      <c r="HJK265" s="95"/>
      <c r="HJL265" s="95"/>
      <c r="HJM265" s="95"/>
      <c r="HJN265" s="95"/>
      <c r="HJO265" s="95"/>
      <c r="HJP265" s="95"/>
      <c r="HJQ265" s="95"/>
      <c r="HJR265" s="95"/>
      <c r="HJS265" s="95"/>
      <c r="HJT265" s="95"/>
      <c r="HJU265" s="95"/>
      <c r="HJV265" s="95"/>
      <c r="HJW265" s="95"/>
      <c r="HJX265" s="95"/>
      <c r="HJY265" s="95"/>
      <c r="HJZ265" s="95"/>
      <c r="HKA265" s="95"/>
      <c r="HKB265" s="95"/>
      <c r="HKC265" s="95"/>
      <c r="HKD265" s="95"/>
      <c r="HKE265" s="95"/>
      <c r="HKF265" s="95"/>
      <c r="HKG265" s="95"/>
      <c r="HKH265" s="95"/>
      <c r="HKI265" s="95"/>
      <c r="HKJ265" s="95"/>
      <c r="HKK265" s="95"/>
      <c r="HKL265" s="95"/>
      <c r="HKM265" s="95"/>
      <c r="HKN265" s="95"/>
      <c r="HKO265" s="95"/>
      <c r="HKP265" s="95"/>
      <c r="HKQ265" s="95"/>
      <c r="HKR265" s="95"/>
      <c r="HKS265" s="95"/>
      <c r="HKT265" s="95"/>
      <c r="HKU265" s="95"/>
      <c r="HKV265" s="95"/>
      <c r="HKW265" s="95"/>
      <c r="HKX265" s="95"/>
      <c r="HKY265" s="95"/>
      <c r="HKZ265" s="95"/>
      <c r="HLA265" s="95"/>
      <c r="HLB265" s="95"/>
      <c r="HLC265" s="95"/>
      <c r="HLD265" s="95"/>
      <c r="HLE265" s="95"/>
      <c r="HLF265" s="95"/>
      <c r="HLG265" s="95"/>
      <c r="HLH265" s="95"/>
      <c r="HLI265" s="95"/>
      <c r="HLJ265" s="95"/>
      <c r="HLK265" s="95"/>
      <c r="HLL265" s="95"/>
      <c r="HLM265" s="95"/>
      <c r="HLN265" s="95"/>
      <c r="HLO265" s="95"/>
      <c r="HLP265" s="95"/>
      <c r="HLQ265" s="95"/>
      <c r="HLR265" s="95"/>
      <c r="HLS265" s="95"/>
      <c r="HLT265" s="95"/>
      <c r="HLU265" s="95"/>
      <c r="HLV265" s="95"/>
      <c r="HLW265" s="95"/>
      <c r="HLX265" s="95"/>
      <c r="HLY265" s="95"/>
      <c r="HLZ265" s="95"/>
      <c r="HMA265" s="95"/>
      <c r="HMB265" s="95"/>
      <c r="HMC265" s="95"/>
      <c r="HMD265" s="95"/>
      <c r="HME265" s="95"/>
      <c r="HMF265" s="95"/>
      <c r="HMG265" s="95"/>
      <c r="HMH265" s="95"/>
      <c r="HMI265" s="95"/>
      <c r="HMJ265" s="95"/>
      <c r="HMK265" s="95"/>
      <c r="HML265" s="95"/>
      <c r="HMM265" s="95"/>
      <c r="HMN265" s="95"/>
      <c r="HMO265" s="95"/>
      <c r="HMP265" s="95"/>
      <c r="HMQ265" s="95"/>
      <c r="HMR265" s="95"/>
      <c r="HMS265" s="95"/>
      <c r="HMT265" s="95"/>
      <c r="HMU265" s="95"/>
      <c r="HMV265" s="95"/>
      <c r="HMW265" s="95"/>
      <c r="HMX265" s="95"/>
      <c r="HMY265" s="95"/>
      <c r="HMZ265" s="95"/>
      <c r="HNA265" s="95"/>
      <c r="HNB265" s="95"/>
      <c r="HNC265" s="95"/>
      <c r="HND265" s="95"/>
      <c r="HNE265" s="95"/>
      <c r="HNF265" s="95"/>
      <c r="HNG265" s="95"/>
      <c r="HNH265" s="95"/>
      <c r="HNI265" s="95"/>
      <c r="HNJ265" s="95"/>
      <c r="HNK265" s="95"/>
      <c r="HNL265" s="95"/>
      <c r="HNM265" s="95"/>
      <c r="HNN265" s="95"/>
      <c r="HNO265" s="95"/>
      <c r="HNP265" s="95"/>
      <c r="HNQ265" s="95"/>
      <c r="HNR265" s="95"/>
      <c r="HNS265" s="95"/>
      <c r="HNT265" s="95"/>
      <c r="HNU265" s="95"/>
      <c r="HNV265" s="95"/>
      <c r="HNW265" s="95"/>
      <c r="HNX265" s="95"/>
      <c r="HNY265" s="95"/>
      <c r="HNZ265" s="95"/>
      <c r="HOA265" s="95"/>
      <c r="HOB265" s="95"/>
      <c r="HOC265" s="95"/>
      <c r="HOD265" s="95"/>
      <c r="HOE265" s="95"/>
      <c r="HOF265" s="95"/>
      <c r="HOG265" s="95"/>
      <c r="HOH265" s="95"/>
      <c r="HOI265" s="95"/>
      <c r="HOJ265" s="95"/>
      <c r="HOK265" s="95"/>
      <c r="HOL265" s="95"/>
      <c r="HOM265" s="95"/>
      <c r="HON265" s="95"/>
      <c r="HOO265" s="95"/>
      <c r="HOP265" s="95"/>
      <c r="HOQ265" s="95"/>
      <c r="HOR265" s="95"/>
      <c r="HOS265" s="95"/>
      <c r="HOT265" s="95"/>
      <c r="HOU265" s="95"/>
      <c r="HOV265" s="95"/>
      <c r="HOW265" s="95"/>
      <c r="HOX265" s="95"/>
      <c r="HOY265" s="95"/>
      <c r="HOZ265" s="95"/>
      <c r="HPA265" s="95"/>
      <c r="HPB265" s="95"/>
      <c r="HPC265" s="95"/>
      <c r="HPD265" s="95"/>
      <c r="HPE265" s="95"/>
      <c r="HPF265" s="95"/>
      <c r="HPG265" s="95"/>
      <c r="HPH265" s="95"/>
      <c r="HPI265" s="95"/>
      <c r="HPJ265" s="95"/>
      <c r="HPK265" s="95"/>
      <c r="HPL265" s="95"/>
      <c r="HPM265" s="95"/>
      <c r="HPN265" s="95"/>
      <c r="HPO265" s="95"/>
      <c r="HPP265" s="95"/>
      <c r="HPQ265" s="95"/>
      <c r="HPR265" s="95"/>
      <c r="HPS265" s="95"/>
      <c r="HPT265" s="95"/>
      <c r="HPU265" s="95"/>
      <c r="HPV265" s="95"/>
      <c r="HPW265" s="95"/>
      <c r="HPX265" s="95"/>
      <c r="HPY265" s="95"/>
      <c r="HPZ265" s="95"/>
      <c r="HQA265" s="95"/>
      <c r="HQB265" s="95"/>
      <c r="HQC265" s="95"/>
      <c r="HQD265" s="95"/>
      <c r="HQE265" s="95"/>
      <c r="HQF265" s="95"/>
      <c r="HQG265" s="95"/>
      <c r="HQH265" s="95"/>
      <c r="HQI265" s="95"/>
      <c r="HQJ265" s="95"/>
      <c r="HQK265" s="95"/>
      <c r="HQL265" s="95"/>
      <c r="HQM265" s="95"/>
      <c r="HQN265" s="95"/>
      <c r="HQO265" s="95"/>
      <c r="HQP265" s="95"/>
      <c r="HQQ265" s="95"/>
      <c r="HQR265" s="95"/>
      <c r="HQS265" s="95"/>
      <c r="HQT265" s="95"/>
      <c r="HQU265" s="95"/>
      <c r="HQV265" s="95"/>
      <c r="HQW265" s="95"/>
      <c r="HQX265" s="95"/>
      <c r="HQY265" s="95"/>
      <c r="HQZ265" s="95"/>
      <c r="HRA265" s="95"/>
      <c r="HRB265" s="95"/>
      <c r="HRC265" s="95"/>
      <c r="HRD265" s="95"/>
      <c r="HRE265" s="95"/>
      <c r="HRF265" s="95"/>
      <c r="HRG265" s="95"/>
      <c r="HRH265" s="95"/>
      <c r="HRI265" s="95"/>
      <c r="HRJ265" s="95"/>
      <c r="HRK265" s="95"/>
      <c r="HRL265" s="95"/>
      <c r="HRM265" s="95"/>
      <c r="HRN265" s="95"/>
      <c r="HRO265" s="95"/>
      <c r="HRP265" s="95"/>
      <c r="HRQ265" s="95"/>
      <c r="HRR265" s="95"/>
      <c r="HRS265" s="95"/>
      <c r="HRT265" s="95"/>
      <c r="HRU265" s="95"/>
      <c r="HRV265" s="95"/>
      <c r="HRW265" s="95"/>
      <c r="HRX265" s="95"/>
      <c r="HRY265" s="95"/>
      <c r="HRZ265" s="95"/>
      <c r="HSA265" s="95"/>
      <c r="HSB265" s="95"/>
      <c r="HSC265" s="95"/>
      <c r="HSD265" s="95"/>
      <c r="HSE265" s="95"/>
      <c r="HSF265" s="95"/>
      <c r="HSG265" s="95"/>
      <c r="HSH265" s="95"/>
      <c r="HSI265" s="95"/>
      <c r="HSJ265" s="95"/>
      <c r="HSK265" s="95"/>
      <c r="HSL265" s="95"/>
      <c r="HSM265" s="95"/>
      <c r="HSN265" s="95"/>
      <c r="HSO265" s="95"/>
      <c r="HSP265" s="95"/>
      <c r="HSQ265" s="95"/>
      <c r="HSR265" s="95"/>
      <c r="HSS265" s="95"/>
      <c r="HST265" s="95"/>
      <c r="HSU265" s="95"/>
      <c r="HSV265" s="95"/>
      <c r="HSW265" s="95"/>
      <c r="HSX265" s="95"/>
      <c r="HSY265" s="95"/>
      <c r="HSZ265" s="95"/>
      <c r="HTA265" s="95"/>
      <c r="HTB265" s="95"/>
      <c r="HTC265" s="95"/>
      <c r="HTD265" s="95"/>
      <c r="HTE265" s="95"/>
      <c r="HTF265" s="95"/>
      <c r="HTG265" s="95"/>
      <c r="HTH265" s="95"/>
      <c r="HTI265" s="95"/>
      <c r="HTJ265" s="95"/>
      <c r="HTK265" s="95"/>
      <c r="HTL265" s="95"/>
      <c r="HTM265" s="95"/>
      <c r="HTN265" s="95"/>
      <c r="HTO265" s="95"/>
      <c r="HTP265" s="95"/>
      <c r="HTQ265" s="95"/>
      <c r="HTR265" s="95"/>
      <c r="HTS265" s="95"/>
      <c r="HTT265" s="95"/>
      <c r="HTU265" s="95"/>
      <c r="HTV265" s="95"/>
      <c r="HTW265" s="95"/>
      <c r="HTX265" s="95"/>
      <c r="HTY265" s="95"/>
      <c r="HTZ265" s="95"/>
      <c r="HUA265" s="95"/>
      <c r="HUB265" s="95"/>
      <c r="HUC265" s="95"/>
      <c r="HUD265" s="95"/>
      <c r="HUE265" s="95"/>
      <c r="HUF265" s="95"/>
      <c r="HUG265" s="95"/>
      <c r="HUH265" s="95"/>
      <c r="HUI265" s="95"/>
      <c r="HUJ265" s="95"/>
      <c r="HUK265" s="95"/>
      <c r="HUL265" s="95"/>
      <c r="HUM265" s="95"/>
      <c r="HUN265" s="95"/>
      <c r="HUO265" s="95"/>
      <c r="HUP265" s="95"/>
      <c r="HUQ265" s="95"/>
      <c r="HUR265" s="95"/>
      <c r="HUS265" s="95"/>
      <c r="HUT265" s="95"/>
      <c r="HUU265" s="95"/>
      <c r="HUV265" s="95"/>
      <c r="HUW265" s="95"/>
      <c r="HUX265" s="95"/>
      <c r="HUY265" s="95"/>
      <c r="HUZ265" s="95"/>
      <c r="HVA265" s="95"/>
      <c r="HVB265" s="95"/>
      <c r="HVC265" s="95"/>
      <c r="HVD265" s="95"/>
      <c r="HVE265" s="95"/>
      <c r="HVF265" s="95"/>
      <c r="HVG265" s="95"/>
      <c r="HVH265" s="95"/>
      <c r="HVI265" s="95"/>
      <c r="HVJ265" s="95"/>
      <c r="HVK265" s="95"/>
      <c r="HVL265" s="95"/>
      <c r="HVM265" s="95"/>
      <c r="HVN265" s="95"/>
      <c r="HVO265" s="95"/>
      <c r="HVP265" s="95"/>
      <c r="HVQ265" s="95"/>
      <c r="HVR265" s="95"/>
      <c r="HVS265" s="95"/>
      <c r="HVT265" s="95"/>
      <c r="HVU265" s="95"/>
      <c r="HVV265" s="95"/>
      <c r="HVW265" s="95"/>
      <c r="HVX265" s="95"/>
      <c r="HVY265" s="95"/>
      <c r="HVZ265" s="95"/>
      <c r="HWA265" s="95"/>
      <c r="HWB265" s="95"/>
      <c r="HWC265" s="95"/>
      <c r="HWD265" s="95"/>
      <c r="HWE265" s="95"/>
      <c r="HWF265" s="95"/>
      <c r="HWG265" s="95"/>
      <c r="HWH265" s="95"/>
      <c r="HWI265" s="95"/>
      <c r="HWJ265" s="95"/>
      <c r="HWK265" s="95"/>
      <c r="HWL265" s="95"/>
      <c r="HWM265" s="95"/>
      <c r="HWN265" s="95"/>
      <c r="HWO265" s="95"/>
      <c r="HWP265" s="95"/>
      <c r="HWQ265" s="95"/>
      <c r="HWR265" s="95"/>
      <c r="HWS265" s="95"/>
      <c r="HWT265" s="95"/>
      <c r="HWU265" s="95"/>
      <c r="HWV265" s="95"/>
      <c r="HWW265" s="95"/>
      <c r="HWX265" s="95"/>
      <c r="HWY265" s="95"/>
      <c r="HWZ265" s="95"/>
      <c r="HXA265" s="95"/>
      <c r="HXB265" s="95"/>
      <c r="HXC265" s="95"/>
      <c r="HXD265" s="95"/>
      <c r="HXE265" s="95"/>
      <c r="HXF265" s="95"/>
      <c r="HXG265" s="95"/>
      <c r="HXH265" s="95"/>
      <c r="HXI265" s="95"/>
      <c r="HXJ265" s="95"/>
      <c r="HXK265" s="95"/>
      <c r="HXL265" s="95"/>
      <c r="HXM265" s="95"/>
      <c r="HXN265" s="95"/>
      <c r="HXO265" s="95"/>
      <c r="HXP265" s="95"/>
      <c r="HXQ265" s="95"/>
      <c r="HXR265" s="95"/>
      <c r="HXS265" s="95"/>
      <c r="HXT265" s="95"/>
      <c r="HXU265" s="95"/>
      <c r="HXV265" s="95"/>
      <c r="HXW265" s="95"/>
      <c r="HXX265" s="95"/>
      <c r="HXY265" s="95"/>
      <c r="HXZ265" s="95"/>
      <c r="HYA265" s="95"/>
      <c r="HYB265" s="95"/>
      <c r="HYC265" s="95"/>
      <c r="HYD265" s="95"/>
      <c r="HYE265" s="95"/>
      <c r="HYF265" s="95"/>
      <c r="HYG265" s="95"/>
      <c r="HYH265" s="95"/>
      <c r="HYI265" s="95"/>
      <c r="HYJ265" s="95"/>
      <c r="HYK265" s="95"/>
      <c r="HYL265" s="95"/>
      <c r="HYM265" s="95"/>
      <c r="HYN265" s="95"/>
      <c r="HYO265" s="95"/>
      <c r="HYP265" s="95"/>
      <c r="HYQ265" s="95"/>
      <c r="HYR265" s="95"/>
      <c r="HYS265" s="95"/>
      <c r="HYT265" s="95"/>
      <c r="HYU265" s="95"/>
      <c r="HYV265" s="95"/>
      <c r="HYW265" s="95"/>
      <c r="HYX265" s="95"/>
      <c r="HYY265" s="95"/>
      <c r="HYZ265" s="95"/>
      <c r="HZA265" s="95"/>
      <c r="HZB265" s="95"/>
      <c r="HZC265" s="95"/>
      <c r="HZD265" s="95"/>
      <c r="HZE265" s="95"/>
      <c r="HZF265" s="95"/>
      <c r="HZG265" s="95"/>
      <c r="HZH265" s="95"/>
      <c r="HZI265" s="95"/>
      <c r="HZJ265" s="95"/>
      <c r="HZK265" s="95"/>
      <c r="HZL265" s="95"/>
      <c r="HZM265" s="95"/>
      <c r="HZN265" s="95"/>
      <c r="HZO265" s="95"/>
      <c r="HZP265" s="95"/>
      <c r="HZQ265" s="95"/>
      <c r="HZR265" s="95"/>
      <c r="HZS265" s="95"/>
      <c r="HZT265" s="95"/>
      <c r="HZU265" s="95"/>
      <c r="HZV265" s="95"/>
      <c r="HZW265" s="95"/>
      <c r="HZX265" s="95"/>
      <c r="HZY265" s="95"/>
      <c r="HZZ265" s="95"/>
      <c r="IAA265" s="95"/>
      <c r="IAB265" s="95"/>
      <c r="IAC265" s="95"/>
      <c r="IAD265" s="95"/>
      <c r="IAE265" s="95"/>
      <c r="IAF265" s="95"/>
      <c r="IAG265" s="95"/>
      <c r="IAH265" s="95"/>
      <c r="IAI265" s="95"/>
      <c r="IAJ265" s="95"/>
      <c r="IAK265" s="95"/>
      <c r="IAL265" s="95"/>
      <c r="IAM265" s="95"/>
      <c r="IAN265" s="95"/>
      <c r="IAO265" s="95"/>
      <c r="IAP265" s="95"/>
      <c r="IAQ265" s="95"/>
      <c r="IAR265" s="95"/>
      <c r="IAS265" s="95"/>
      <c r="IAT265" s="95"/>
      <c r="IAU265" s="95"/>
      <c r="IAV265" s="95"/>
      <c r="IAW265" s="95"/>
      <c r="IAX265" s="95"/>
      <c r="IAY265" s="95"/>
      <c r="IAZ265" s="95"/>
      <c r="IBA265" s="95"/>
      <c r="IBB265" s="95"/>
      <c r="IBC265" s="95"/>
      <c r="IBD265" s="95"/>
      <c r="IBE265" s="95"/>
      <c r="IBF265" s="95"/>
      <c r="IBG265" s="95"/>
      <c r="IBH265" s="95"/>
      <c r="IBI265" s="95"/>
      <c r="IBJ265" s="95"/>
      <c r="IBK265" s="95"/>
      <c r="IBL265" s="95"/>
      <c r="IBM265" s="95"/>
      <c r="IBN265" s="95"/>
      <c r="IBO265" s="95"/>
      <c r="IBP265" s="95"/>
      <c r="IBQ265" s="95"/>
      <c r="IBR265" s="95"/>
      <c r="IBS265" s="95"/>
      <c r="IBT265" s="95"/>
      <c r="IBU265" s="95"/>
      <c r="IBV265" s="95"/>
      <c r="IBW265" s="95"/>
      <c r="IBX265" s="95"/>
      <c r="IBY265" s="95"/>
      <c r="IBZ265" s="95"/>
      <c r="ICA265" s="95"/>
      <c r="ICB265" s="95"/>
      <c r="ICC265" s="95"/>
      <c r="ICD265" s="95"/>
      <c r="ICE265" s="95"/>
      <c r="ICF265" s="95"/>
      <c r="ICG265" s="95"/>
      <c r="ICH265" s="95"/>
      <c r="ICI265" s="95"/>
      <c r="ICJ265" s="95"/>
      <c r="ICK265" s="95"/>
      <c r="ICL265" s="95"/>
      <c r="ICM265" s="95"/>
      <c r="ICN265" s="95"/>
      <c r="ICO265" s="95"/>
      <c r="ICP265" s="95"/>
      <c r="ICQ265" s="95"/>
      <c r="ICR265" s="95"/>
      <c r="ICS265" s="95"/>
      <c r="ICT265" s="95"/>
      <c r="ICU265" s="95"/>
      <c r="ICV265" s="95"/>
      <c r="ICW265" s="95"/>
      <c r="ICX265" s="95"/>
      <c r="ICY265" s="95"/>
      <c r="ICZ265" s="95"/>
      <c r="IDA265" s="95"/>
      <c r="IDB265" s="95"/>
      <c r="IDC265" s="95"/>
      <c r="IDD265" s="95"/>
      <c r="IDE265" s="95"/>
      <c r="IDF265" s="95"/>
      <c r="IDG265" s="95"/>
      <c r="IDH265" s="95"/>
      <c r="IDI265" s="95"/>
      <c r="IDJ265" s="95"/>
      <c r="IDK265" s="95"/>
      <c r="IDL265" s="95"/>
      <c r="IDM265" s="95"/>
      <c r="IDN265" s="95"/>
      <c r="IDO265" s="95"/>
      <c r="IDP265" s="95"/>
      <c r="IDQ265" s="95"/>
      <c r="IDR265" s="95"/>
      <c r="IDS265" s="95"/>
      <c r="IDT265" s="95"/>
      <c r="IDU265" s="95"/>
      <c r="IDV265" s="95"/>
      <c r="IDW265" s="95"/>
      <c r="IDX265" s="95"/>
      <c r="IDY265" s="95"/>
      <c r="IDZ265" s="95"/>
      <c r="IEA265" s="95"/>
      <c r="IEB265" s="95"/>
      <c r="IEC265" s="95"/>
      <c r="IED265" s="95"/>
      <c r="IEE265" s="95"/>
      <c r="IEF265" s="95"/>
      <c r="IEG265" s="95"/>
      <c r="IEH265" s="95"/>
      <c r="IEI265" s="95"/>
      <c r="IEJ265" s="95"/>
      <c r="IEK265" s="95"/>
      <c r="IEL265" s="95"/>
      <c r="IEM265" s="95"/>
      <c r="IEN265" s="95"/>
      <c r="IEO265" s="95"/>
      <c r="IEP265" s="95"/>
      <c r="IEQ265" s="95"/>
      <c r="IER265" s="95"/>
      <c r="IES265" s="95"/>
      <c r="IET265" s="95"/>
      <c r="IEU265" s="95"/>
      <c r="IEV265" s="95"/>
      <c r="IEW265" s="95"/>
      <c r="IEX265" s="95"/>
      <c r="IEY265" s="95"/>
      <c r="IEZ265" s="95"/>
      <c r="IFA265" s="95"/>
      <c r="IFB265" s="95"/>
      <c r="IFC265" s="95"/>
      <c r="IFD265" s="95"/>
      <c r="IFE265" s="95"/>
      <c r="IFF265" s="95"/>
      <c r="IFG265" s="95"/>
      <c r="IFH265" s="95"/>
      <c r="IFI265" s="95"/>
      <c r="IFJ265" s="95"/>
      <c r="IFK265" s="95"/>
      <c r="IFL265" s="95"/>
      <c r="IFM265" s="95"/>
      <c r="IFN265" s="95"/>
      <c r="IFO265" s="95"/>
      <c r="IFP265" s="95"/>
      <c r="IFQ265" s="95"/>
      <c r="IFR265" s="95"/>
      <c r="IFS265" s="95"/>
      <c r="IFT265" s="95"/>
      <c r="IFU265" s="95"/>
      <c r="IFV265" s="95"/>
      <c r="IFW265" s="95"/>
      <c r="IFX265" s="95"/>
      <c r="IFY265" s="95"/>
      <c r="IFZ265" s="95"/>
      <c r="IGA265" s="95"/>
      <c r="IGB265" s="95"/>
      <c r="IGC265" s="95"/>
      <c r="IGD265" s="95"/>
      <c r="IGE265" s="95"/>
      <c r="IGF265" s="95"/>
      <c r="IGG265" s="95"/>
      <c r="IGH265" s="95"/>
      <c r="IGI265" s="95"/>
      <c r="IGJ265" s="95"/>
      <c r="IGK265" s="95"/>
      <c r="IGL265" s="95"/>
      <c r="IGM265" s="95"/>
      <c r="IGN265" s="95"/>
      <c r="IGO265" s="95"/>
      <c r="IGP265" s="95"/>
      <c r="IGQ265" s="95"/>
      <c r="IGR265" s="95"/>
      <c r="IGS265" s="95"/>
      <c r="IGT265" s="95"/>
      <c r="IGU265" s="95"/>
      <c r="IGV265" s="95"/>
      <c r="IGW265" s="95"/>
      <c r="IGX265" s="95"/>
      <c r="IGY265" s="95"/>
      <c r="IGZ265" s="95"/>
      <c r="IHA265" s="95"/>
      <c r="IHB265" s="95"/>
      <c r="IHC265" s="95"/>
      <c r="IHD265" s="95"/>
      <c r="IHE265" s="95"/>
      <c r="IHF265" s="95"/>
      <c r="IHG265" s="95"/>
      <c r="IHH265" s="95"/>
      <c r="IHI265" s="95"/>
      <c r="IHJ265" s="95"/>
      <c r="IHK265" s="95"/>
      <c r="IHL265" s="95"/>
      <c r="IHM265" s="95"/>
      <c r="IHN265" s="95"/>
      <c r="IHO265" s="95"/>
      <c r="IHP265" s="95"/>
      <c r="IHQ265" s="95"/>
      <c r="IHR265" s="95"/>
      <c r="IHS265" s="95"/>
      <c r="IHT265" s="95"/>
      <c r="IHU265" s="95"/>
      <c r="IHV265" s="95"/>
      <c r="IHW265" s="95"/>
      <c r="IHX265" s="95"/>
      <c r="IHY265" s="95"/>
      <c r="IHZ265" s="95"/>
      <c r="IIA265" s="95"/>
      <c r="IIB265" s="95"/>
      <c r="IIC265" s="95"/>
      <c r="IID265" s="95"/>
      <c r="IIE265" s="95"/>
      <c r="IIF265" s="95"/>
      <c r="IIG265" s="95"/>
      <c r="IIH265" s="95"/>
      <c r="III265" s="95"/>
      <c r="IIJ265" s="95"/>
      <c r="IIK265" s="95"/>
      <c r="IIL265" s="95"/>
      <c r="IIM265" s="95"/>
      <c r="IIN265" s="95"/>
      <c r="IIO265" s="95"/>
      <c r="IIP265" s="95"/>
      <c r="IIQ265" s="95"/>
      <c r="IIR265" s="95"/>
      <c r="IIS265" s="95"/>
      <c r="IIT265" s="95"/>
      <c r="IIU265" s="95"/>
      <c r="IIV265" s="95"/>
      <c r="IIW265" s="95"/>
      <c r="IIX265" s="95"/>
      <c r="IIY265" s="95"/>
      <c r="IIZ265" s="95"/>
      <c r="IJA265" s="95"/>
      <c r="IJB265" s="95"/>
      <c r="IJC265" s="95"/>
      <c r="IJD265" s="95"/>
      <c r="IJE265" s="95"/>
      <c r="IJF265" s="95"/>
      <c r="IJG265" s="95"/>
      <c r="IJH265" s="95"/>
      <c r="IJI265" s="95"/>
      <c r="IJJ265" s="95"/>
      <c r="IJK265" s="95"/>
      <c r="IJL265" s="95"/>
      <c r="IJM265" s="95"/>
      <c r="IJN265" s="95"/>
      <c r="IJO265" s="95"/>
      <c r="IJP265" s="95"/>
      <c r="IJQ265" s="95"/>
      <c r="IJR265" s="95"/>
      <c r="IJS265" s="95"/>
      <c r="IJT265" s="95"/>
      <c r="IJU265" s="95"/>
      <c r="IJV265" s="95"/>
      <c r="IJW265" s="95"/>
      <c r="IJX265" s="95"/>
      <c r="IJY265" s="95"/>
      <c r="IJZ265" s="95"/>
      <c r="IKA265" s="95"/>
      <c r="IKB265" s="95"/>
      <c r="IKC265" s="95"/>
      <c r="IKD265" s="95"/>
      <c r="IKE265" s="95"/>
      <c r="IKF265" s="95"/>
      <c r="IKG265" s="95"/>
      <c r="IKH265" s="95"/>
      <c r="IKI265" s="95"/>
      <c r="IKJ265" s="95"/>
      <c r="IKK265" s="95"/>
      <c r="IKL265" s="95"/>
      <c r="IKM265" s="95"/>
      <c r="IKN265" s="95"/>
      <c r="IKO265" s="95"/>
      <c r="IKP265" s="95"/>
      <c r="IKQ265" s="95"/>
      <c r="IKR265" s="95"/>
      <c r="IKS265" s="95"/>
      <c r="IKT265" s="95"/>
      <c r="IKU265" s="95"/>
      <c r="IKV265" s="95"/>
      <c r="IKW265" s="95"/>
      <c r="IKX265" s="95"/>
      <c r="IKY265" s="95"/>
      <c r="IKZ265" s="95"/>
      <c r="ILA265" s="95"/>
      <c r="ILB265" s="95"/>
      <c r="ILC265" s="95"/>
      <c r="ILD265" s="95"/>
      <c r="ILE265" s="95"/>
      <c r="ILF265" s="95"/>
      <c r="ILG265" s="95"/>
      <c r="ILH265" s="95"/>
      <c r="ILI265" s="95"/>
      <c r="ILJ265" s="95"/>
      <c r="ILK265" s="95"/>
      <c r="ILL265" s="95"/>
      <c r="ILM265" s="95"/>
      <c r="ILN265" s="95"/>
      <c r="ILO265" s="95"/>
      <c r="ILP265" s="95"/>
      <c r="ILQ265" s="95"/>
      <c r="ILR265" s="95"/>
      <c r="ILS265" s="95"/>
      <c r="ILT265" s="95"/>
      <c r="ILU265" s="95"/>
      <c r="ILV265" s="95"/>
      <c r="ILW265" s="95"/>
      <c r="ILX265" s="95"/>
      <c r="ILY265" s="95"/>
      <c r="ILZ265" s="95"/>
      <c r="IMA265" s="95"/>
      <c r="IMB265" s="95"/>
      <c r="IMC265" s="95"/>
      <c r="IMD265" s="95"/>
      <c r="IME265" s="95"/>
      <c r="IMF265" s="95"/>
      <c r="IMG265" s="95"/>
      <c r="IMH265" s="95"/>
      <c r="IMI265" s="95"/>
      <c r="IMJ265" s="95"/>
      <c r="IMK265" s="95"/>
      <c r="IML265" s="95"/>
      <c r="IMM265" s="95"/>
      <c r="IMN265" s="95"/>
      <c r="IMO265" s="95"/>
      <c r="IMP265" s="95"/>
      <c r="IMQ265" s="95"/>
      <c r="IMR265" s="95"/>
      <c r="IMS265" s="95"/>
      <c r="IMT265" s="95"/>
      <c r="IMU265" s="95"/>
      <c r="IMV265" s="95"/>
      <c r="IMW265" s="95"/>
      <c r="IMX265" s="95"/>
      <c r="IMY265" s="95"/>
      <c r="IMZ265" s="95"/>
      <c r="INA265" s="95"/>
      <c r="INB265" s="95"/>
      <c r="INC265" s="95"/>
      <c r="IND265" s="95"/>
      <c r="INE265" s="95"/>
      <c r="INF265" s="95"/>
      <c r="ING265" s="95"/>
      <c r="INH265" s="95"/>
      <c r="INI265" s="95"/>
      <c r="INJ265" s="95"/>
      <c r="INK265" s="95"/>
      <c r="INL265" s="95"/>
      <c r="INM265" s="95"/>
      <c r="INN265" s="95"/>
      <c r="INO265" s="95"/>
      <c r="INP265" s="95"/>
      <c r="INQ265" s="95"/>
      <c r="INR265" s="95"/>
      <c r="INS265" s="95"/>
      <c r="INT265" s="95"/>
      <c r="INU265" s="95"/>
      <c r="INV265" s="95"/>
      <c r="INW265" s="95"/>
      <c r="INX265" s="95"/>
      <c r="INY265" s="95"/>
      <c r="INZ265" s="95"/>
      <c r="IOA265" s="95"/>
      <c r="IOB265" s="95"/>
      <c r="IOC265" s="95"/>
      <c r="IOD265" s="95"/>
      <c r="IOE265" s="95"/>
      <c r="IOF265" s="95"/>
      <c r="IOG265" s="95"/>
      <c r="IOH265" s="95"/>
      <c r="IOI265" s="95"/>
      <c r="IOJ265" s="95"/>
      <c r="IOK265" s="95"/>
      <c r="IOL265" s="95"/>
      <c r="IOM265" s="95"/>
      <c r="ION265" s="95"/>
      <c r="IOO265" s="95"/>
      <c r="IOP265" s="95"/>
      <c r="IOQ265" s="95"/>
      <c r="IOR265" s="95"/>
      <c r="IOS265" s="95"/>
      <c r="IOT265" s="95"/>
      <c r="IOU265" s="95"/>
      <c r="IOV265" s="95"/>
      <c r="IOW265" s="95"/>
      <c r="IOX265" s="95"/>
      <c r="IOY265" s="95"/>
      <c r="IOZ265" s="95"/>
      <c r="IPA265" s="95"/>
      <c r="IPB265" s="95"/>
      <c r="IPC265" s="95"/>
      <c r="IPD265" s="95"/>
      <c r="IPE265" s="95"/>
      <c r="IPF265" s="95"/>
      <c r="IPG265" s="95"/>
      <c r="IPH265" s="95"/>
      <c r="IPI265" s="95"/>
      <c r="IPJ265" s="95"/>
      <c r="IPK265" s="95"/>
      <c r="IPL265" s="95"/>
      <c r="IPM265" s="95"/>
      <c r="IPN265" s="95"/>
      <c r="IPO265" s="95"/>
      <c r="IPP265" s="95"/>
      <c r="IPQ265" s="95"/>
      <c r="IPR265" s="95"/>
      <c r="IPS265" s="95"/>
      <c r="IPT265" s="95"/>
      <c r="IPU265" s="95"/>
      <c r="IPV265" s="95"/>
      <c r="IPW265" s="95"/>
      <c r="IPX265" s="95"/>
      <c r="IPY265" s="95"/>
      <c r="IPZ265" s="95"/>
      <c r="IQA265" s="95"/>
      <c r="IQB265" s="95"/>
      <c r="IQC265" s="95"/>
      <c r="IQD265" s="95"/>
      <c r="IQE265" s="95"/>
      <c r="IQF265" s="95"/>
      <c r="IQG265" s="95"/>
      <c r="IQH265" s="95"/>
      <c r="IQI265" s="95"/>
      <c r="IQJ265" s="95"/>
      <c r="IQK265" s="95"/>
      <c r="IQL265" s="95"/>
      <c r="IQM265" s="95"/>
      <c r="IQN265" s="95"/>
      <c r="IQO265" s="95"/>
      <c r="IQP265" s="95"/>
      <c r="IQQ265" s="95"/>
      <c r="IQR265" s="95"/>
      <c r="IQS265" s="95"/>
      <c r="IQT265" s="95"/>
      <c r="IQU265" s="95"/>
      <c r="IQV265" s="95"/>
      <c r="IQW265" s="95"/>
      <c r="IQX265" s="95"/>
      <c r="IQY265" s="95"/>
      <c r="IQZ265" s="95"/>
      <c r="IRA265" s="95"/>
      <c r="IRB265" s="95"/>
      <c r="IRC265" s="95"/>
      <c r="IRD265" s="95"/>
      <c r="IRE265" s="95"/>
      <c r="IRF265" s="95"/>
      <c r="IRG265" s="95"/>
      <c r="IRH265" s="95"/>
      <c r="IRI265" s="95"/>
      <c r="IRJ265" s="95"/>
      <c r="IRK265" s="95"/>
      <c r="IRL265" s="95"/>
      <c r="IRM265" s="95"/>
      <c r="IRN265" s="95"/>
      <c r="IRO265" s="95"/>
      <c r="IRP265" s="95"/>
      <c r="IRQ265" s="95"/>
      <c r="IRR265" s="95"/>
      <c r="IRS265" s="95"/>
      <c r="IRT265" s="95"/>
      <c r="IRU265" s="95"/>
      <c r="IRV265" s="95"/>
      <c r="IRW265" s="95"/>
      <c r="IRX265" s="95"/>
      <c r="IRY265" s="95"/>
      <c r="IRZ265" s="95"/>
      <c r="ISA265" s="95"/>
      <c r="ISB265" s="95"/>
      <c r="ISC265" s="95"/>
      <c r="ISD265" s="95"/>
      <c r="ISE265" s="95"/>
      <c r="ISF265" s="95"/>
      <c r="ISG265" s="95"/>
      <c r="ISH265" s="95"/>
      <c r="ISI265" s="95"/>
      <c r="ISJ265" s="95"/>
      <c r="ISK265" s="95"/>
      <c r="ISL265" s="95"/>
      <c r="ISM265" s="95"/>
      <c r="ISN265" s="95"/>
      <c r="ISO265" s="95"/>
      <c r="ISP265" s="95"/>
      <c r="ISQ265" s="95"/>
      <c r="ISR265" s="95"/>
      <c r="ISS265" s="95"/>
      <c r="IST265" s="95"/>
      <c r="ISU265" s="95"/>
      <c r="ISV265" s="95"/>
      <c r="ISW265" s="95"/>
      <c r="ISX265" s="95"/>
      <c r="ISY265" s="95"/>
      <c r="ISZ265" s="95"/>
      <c r="ITA265" s="95"/>
      <c r="ITB265" s="95"/>
      <c r="ITC265" s="95"/>
      <c r="ITD265" s="95"/>
      <c r="ITE265" s="95"/>
      <c r="ITF265" s="95"/>
      <c r="ITG265" s="95"/>
      <c r="ITH265" s="95"/>
      <c r="ITI265" s="95"/>
      <c r="ITJ265" s="95"/>
      <c r="ITK265" s="95"/>
      <c r="ITL265" s="95"/>
      <c r="ITM265" s="95"/>
      <c r="ITN265" s="95"/>
      <c r="ITO265" s="95"/>
      <c r="ITP265" s="95"/>
      <c r="ITQ265" s="95"/>
      <c r="ITR265" s="95"/>
      <c r="ITS265" s="95"/>
      <c r="ITT265" s="95"/>
      <c r="ITU265" s="95"/>
      <c r="ITV265" s="95"/>
      <c r="ITW265" s="95"/>
      <c r="ITX265" s="95"/>
      <c r="ITY265" s="95"/>
      <c r="ITZ265" s="95"/>
      <c r="IUA265" s="95"/>
      <c r="IUB265" s="95"/>
      <c r="IUC265" s="95"/>
      <c r="IUD265" s="95"/>
      <c r="IUE265" s="95"/>
      <c r="IUF265" s="95"/>
      <c r="IUG265" s="95"/>
      <c r="IUH265" s="95"/>
      <c r="IUI265" s="95"/>
      <c r="IUJ265" s="95"/>
      <c r="IUK265" s="95"/>
      <c r="IUL265" s="95"/>
      <c r="IUM265" s="95"/>
      <c r="IUN265" s="95"/>
      <c r="IUO265" s="95"/>
      <c r="IUP265" s="95"/>
      <c r="IUQ265" s="95"/>
      <c r="IUR265" s="95"/>
      <c r="IUS265" s="95"/>
      <c r="IUT265" s="95"/>
      <c r="IUU265" s="95"/>
      <c r="IUV265" s="95"/>
      <c r="IUW265" s="95"/>
      <c r="IUX265" s="95"/>
      <c r="IUY265" s="95"/>
      <c r="IUZ265" s="95"/>
      <c r="IVA265" s="95"/>
      <c r="IVB265" s="95"/>
      <c r="IVC265" s="95"/>
      <c r="IVD265" s="95"/>
      <c r="IVE265" s="95"/>
      <c r="IVF265" s="95"/>
      <c r="IVG265" s="95"/>
      <c r="IVH265" s="95"/>
      <c r="IVI265" s="95"/>
      <c r="IVJ265" s="95"/>
      <c r="IVK265" s="95"/>
      <c r="IVL265" s="95"/>
      <c r="IVM265" s="95"/>
      <c r="IVN265" s="95"/>
      <c r="IVO265" s="95"/>
      <c r="IVP265" s="95"/>
      <c r="IVQ265" s="95"/>
      <c r="IVR265" s="95"/>
      <c r="IVS265" s="95"/>
      <c r="IVT265" s="95"/>
      <c r="IVU265" s="95"/>
      <c r="IVV265" s="95"/>
      <c r="IVW265" s="95"/>
      <c r="IVX265" s="95"/>
      <c r="IVY265" s="95"/>
      <c r="IVZ265" s="95"/>
      <c r="IWA265" s="95"/>
      <c r="IWB265" s="95"/>
      <c r="IWC265" s="95"/>
      <c r="IWD265" s="95"/>
      <c r="IWE265" s="95"/>
      <c r="IWF265" s="95"/>
      <c r="IWG265" s="95"/>
      <c r="IWH265" s="95"/>
      <c r="IWI265" s="95"/>
      <c r="IWJ265" s="95"/>
      <c r="IWK265" s="95"/>
      <c r="IWL265" s="95"/>
      <c r="IWM265" s="95"/>
      <c r="IWN265" s="95"/>
      <c r="IWO265" s="95"/>
      <c r="IWP265" s="95"/>
      <c r="IWQ265" s="95"/>
      <c r="IWR265" s="95"/>
      <c r="IWS265" s="95"/>
      <c r="IWT265" s="95"/>
      <c r="IWU265" s="95"/>
      <c r="IWV265" s="95"/>
      <c r="IWW265" s="95"/>
      <c r="IWX265" s="95"/>
      <c r="IWY265" s="95"/>
      <c r="IWZ265" s="95"/>
      <c r="IXA265" s="95"/>
      <c r="IXB265" s="95"/>
      <c r="IXC265" s="95"/>
      <c r="IXD265" s="95"/>
      <c r="IXE265" s="95"/>
      <c r="IXF265" s="95"/>
      <c r="IXG265" s="95"/>
      <c r="IXH265" s="95"/>
      <c r="IXI265" s="95"/>
      <c r="IXJ265" s="95"/>
      <c r="IXK265" s="95"/>
      <c r="IXL265" s="95"/>
      <c r="IXM265" s="95"/>
      <c r="IXN265" s="95"/>
      <c r="IXO265" s="95"/>
      <c r="IXP265" s="95"/>
      <c r="IXQ265" s="95"/>
      <c r="IXR265" s="95"/>
      <c r="IXS265" s="95"/>
      <c r="IXT265" s="95"/>
      <c r="IXU265" s="95"/>
      <c r="IXV265" s="95"/>
      <c r="IXW265" s="95"/>
      <c r="IXX265" s="95"/>
      <c r="IXY265" s="95"/>
      <c r="IXZ265" s="95"/>
      <c r="IYA265" s="95"/>
      <c r="IYB265" s="95"/>
      <c r="IYC265" s="95"/>
      <c r="IYD265" s="95"/>
      <c r="IYE265" s="95"/>
      <c r="IYF265" s="95"/>
      <c r="IYG265" s="95"/>
      <c r="IYH265" s="95"/>
      <c r="IYI265" s="95"/>
      <c r="IYJ265" s="95"/>
      <c r="IYK265" s="95"/>
      <c r="IYL265" s="95"/>
      <c r="IYM265" s="95"/>
      <c r="IYN265" s="95"/>
      <c r="IYO265" s="95"/>
      <c r="IYP265" s="95"/>
      <c r="IYQ265" s="95"/>
      <c r="IYR265" s="95"/>
      <c r="IYS265" s="95"/>
      <c r="IYT265" s="95"/>
      <c r="IYU265" s="95"/>
      <c r="IYV265" s="95"/>
      <c r="IYW265" s="95"/>
      <c r="IYX265" s="95"/>
      <c r="IYY265" s="95"/>
      <c r="IYZ265" s="95"/>
      <c r="IZA265" s="95"/>
      <c r="IZB265" s="95"/>
      <c r="IZC265" s="95"/>
      <c r="IZD265" s="95"/>
      <c r="IZE265" s="95"/>
      <c r="IZF265" s="95"/>
      <c r="IZG265" s="95"/>
      <c r="IZH265" s="95"/>
      <c r="IZI265" s="95"/>
      <c r="IZJ265" s="95"/>
      <c r="IZK265" s="95"/>
      <c r="IZL265" s="95"/>
      <c r="IZM265" s="95"/>
      <c r="IZN265" s="95"/>
      <c r="IZO265" s="95"/>
      <c r="IZP265" s="95"/>
      <c r="IZQ265" s="95"/>
      <c r="IZR265" s="95"/>
      <c r="IZS265" s="95"/>
      <c r="IZT265" s="95"/>
      <c r="IZU265" s="95"/>
      <c r="IZV265" s="95"/>
      <c r="IZW265" s="95"/>
      <c r="IZX265" s="95"/>
      <c r="IZY265" s="95"/>
      <c r="IZZ265" s="95"/>
      <c r="JAA265" s="95"/>
      <c r="JAB265" s="95"/>
      <c r="JAC265" s="95"/>
      <c r="JAD265" s="95"/>
      <c r="JAE265" s="95"/>
      <c r="JAF265" s="95"/>
      <c r="JAG265" s="95"/>
      <c r="JAH265" s="95"/>
      <c r="JAI265" s="95"/>
      <c r="JAJ265" s="95"/>
      <c r="JAK265" s="95"/>
      <c r="JAL265" s="95"/>
      <c r="JAM265" s="95"/>
      <c r="JAN265" s="95"/>
      <c r="JAO265" s="95"/>
      <c r="JAP265" s="95"/>
      <c r="JAQ265" s="95"/>
      <c r="JAR265" s="95"/>
      <c r="JAS265" s="95"/>
      <c r="JAT265" s="95"/>
      <c r="JAU265" s="95"/>
      <c r="JAV265" s="95"/>
      <c r="JAW265" s="95"/>
      <c r="JAX265" s="95"/>
      <c r="JAY265" s="95"/>
      <c r="JAZ265" s="95"/>
      <c r="JBA265" s="95"/>
      <c r="JBB265" s="95"/>
      <c r="JBC265" s="95"/>
      <c r="JBD265" s="95"/>
      <c r="JBE265" s="95"/>
      <c r="JBF265" s="95"/>
      <c r="JBG265" s="95"/>
      <c r="JBH265" s="95"/>
      <c r="JBI265" s="95"/>
      <c r="JBJ265" s="95"/>
      <c r="JBK265" s="95"/>
      <c r="JBL265" s="95"/>
      <c r="JBM265" s="95"/>
      <c r="JBN265" s="95"/>
      <c r="JBO265" s="95"/>
      <c r="JBP265" s="95"/>
      <c r="JBQ265" s="95"/>
      <c r="JBR265" s="95"/>
      <c r="JBS265" s="95"/>
      <c r="JBT265" s="95"/>
      <c r="JBU265" s="95"/>
      <c r="JBV265" s="95"/>
      <c r="JBW265" s="95"/>
      <c r="JBX265" s="95"/>
      <c r="JBY265" s="95"/>
      <c r="JBZ265" s="95"/>
      <c r="JCA265" s="95"/>
      <c r="JCB265" s="95"/>
      <c r="JCC265" s="95"/>
      <c r="JCD265" s="95"/>
      <c r="JCE265" s="95"/>
      <c r="JCF265" s="95"/>
      <c r="JCG265" s="95"/>
      <c r="JCH265" s="95"/>
      <c r="JCI265" s="95"/>
      <c r="JCJ265" s="95"/>
      <c r="JCK265" s="95"/>
      <c r="JCL265" s="95"/>
      <c r="JCM265" s="95"/>
      <c r="JCN265" s="95"/>
      <c r="JCO265" s="95"/>
      <c r="JCP265" s="95"/>
      <c r="JCQ265" s="95"/>
      <c r="JCR265" s="95"/>
      <c r="JCS265" s="95"/>
      <c r="JCT265" s="95"/>
      <c r="JCU265" s="95"/>
      <c r="JCV265" s="95"/>
      <c r="JCW265" s="95"/>
      <c r="JCX265" s="95"/>
      <c r="JCY265" s="95"/>
      <c r="JCZ265" s="95"/>
      <c r="JDA265" s="95"/>
      <c r="JDB265" s="95"/>
      <c r="JDC265" s="95"/>
      <c r="JDD265" s="95"/>
      <c r="JDE265" s="95"/>
      <c r="JDF265" s="95"/>
      <c r="JDG265" s="95"/>
      <c r="JDH265" s="95"/>
      <c r="JDI265" s="95"/>
      <c r="JDJ265" s="95"/>
      <c r="JDK265" s="95"/>
      <c r="JDL265" s="95"/>
      <c r="JDM265" s="95"/>
      <c r="JDN265" s="95"/>
      <c r="JDO265" s="95"/>
      <c r="JDP265" s="95"/>
      <c r="JDQ265" s="95"/>
      <c r="JDR265" s="95"/>
      <c r="JDS265" s="95"/>
      <c r="JDT265" s="95"/>
      <c r="JDU265" s="95"/>
      <c r="JDV265" s="95"/>
      <c r="JDW265" s="95"/>
      <c r="JDX265" s="95"/>
      <c r="JDY265" s="95"/>
      <c r="JDZ265" s="95"/>
      <c r="JEA265" s="95"/>
      <c r="JEB265" s="95"/>
      <c r="JEC265" s="95"/>
      <c r="JED265" s="95"/>
      <c r="JEE265" s="95"/>
      <c r="JEF265" s="95"/>
      <c r="JEG265" s="95"/>
      <c r="JEH265" s="95"/>
      <c r="JEI265" s="95"/>
      <c r="JEJ265" s="95"/>
      <c r="JEK265" s="95"/>
      <c r="JEL265" s="95"/>
      <c r="JEM265" s="95"/>
      <c r="JEN265" s="95"/>
      <c r="JEO265" s="95"/>
      <c r="JEP265" s="95"/>
      <c r="JEQ265" s="95"/>
      <c r="JER265" s="95"/>
      <c r="JES265" s="95"/>
      <c r="JET265" s="95"/>
      <c r="JEU265" s="95"/>
      <c r="JEV265" s="95"/>
      <c r="JEW265" s="95"/>
      <c r="JEX265" s="95"/>
      <c r="JEY265" s="95"/>
      <c r="JEZ265" s="95"/>
      <c r="JFA265" s="95"/>
      <c r="JFB265" s="95"/>
      <c r="JFC265" s="95"/>
      <c r="JFD265" s="95"/>
      <c r="JFE265" s="95"/>
      <c r="JFF265" s="95"/>
      <c r="JFG265" s="95"/>
      <c r="JFH265" s="95"/>
      <c r="JFI265" s="95"/>
      <c r="JFJ265" s="95"/>
      <c r="JFK265" s="95"/>
      <c r="JFL265" s="95"/>
      <c r="JFM265" s="95"/>
      <c r="JFN265" s="95"/>
      <c r="JFO265" s="95"/>
      <c r="JFP265" s="95"/>
      <c r="JFQ265" s="95"/>
      <c r="JFR265" s="95"/>
      <c r="JFS265" s="95"/>
      <c r="JFT265" s="95"/>
      <c r="JFU265" s="95"/>
      <c r="JFV265" s="95"/>
      <c r="JFW265" s="95"/>
      <c r="JFX265" s="95"/>
      <c r="JFY265" s="95"/>
      <c r="JFZ265" s="95"/>
      <c r="JGA265" s="95"/>
      <c r="JGB265" s="95"/>
      <c r="JGC265" s="95"/>
      <c r="JGD265" s="95"/>
      <c r="JGE265" s="95"/>
      <c r="JGF265" s="95"/>
      <c r="JGG265" s="95"/>
      <c r="JGH265" s="95"/>
      <c r="JGI265" s="95"/>
      <c r="JGJ265" s="95"/>
      <c r="JGK265" s="95"/>
      <c r="JGL265" s="95"/>
      <c r="JGM265" s="95"/>
      <c r="JGN265" s="95"/>
      <c r="JGO265" s="95"/>
      <c r="JGP265" s="95"/>
      <c r="JGQ265" s="95"/>
      <c r="JGR265" s="95"/>
      <c r="JGS265" s="95"/>
      <c r="JGT265" s="95"/>
      <c r="JGU265" s="95"/>
      <c r="JGV265" s="95"/>
      <c r="JGW265" s="95"/>
      <c r="JGX265" s="95"/>
      <c r="JGY265" s="95"/>
      <c r="JGZ265" s="95"/>
      <c r="JHA265" s="95"/>
      <c r="JHB265" s="95"/>
      <c r="JHC265" s="95"/>
      <c r="JHD265" s="95"/>
      <c r="JHE265" s="95"/>
      <c r="JHF265" s="95"/>
      <c r="JHG265" s="95"/>
      <c r="JHH265" s="95"/>
      <c r="JHI265" s="95"/>
      <c r="JHJ265" s="95"/>
      <c r="JHK265" s="95"/>
      <c r="JHL265" s="95"/>
      <c r="JHM265" s="95"/>
      <c r="JHN265" s="95"/>
      <c r="JHO265" s="95"/>
      <c r="JHP265" s="95"/>
      <c r="JHQ265" s="95"/>
      <c r="JHR265" s="95"/>
      <c r="JHS265" s="95"/>
      <c r="JHT265" s="95"/>
      <c r="JHU265" s="95"/>
      <c r="JHV265" s="95"/>
      <c r="JHW265" s="95"/>
      <c r="JHX265" s="95"/>
      <c r="JHY265" s="95"/>
      <c r="JHZ265" s="95"/>
      <c r="JIA265" s="95"/>
      <c r="JIB265" s="95"/>
      <c r="JIC265" s="95"/>
      <c r="JID265" s="95"/>
      <c r="JIE265" s="95"/>
      <c r="JIF265" s="95"/>
      <c r="JIG265" s="95"/>
      <c r="JIH265" s="95"/>
      <c r="JII265" s="95"/>
      <c r="JIJ265" s="95"/>
      <c r="JIK265" s="95"/>
      <c r="JIL265" s="95"/>
      <c r="JIM265" s="95"/>
      <c r="JIN265" s="95"/>
      <c r="JIO265" s="95"/>
      <c r="JIP265" s="95"/>
      <c r="JIQ265" s="95"/>
      <c r="JIR265" s="95"/>
      <c r="JIS265" s="95"/>
      <c r="JIT265" s="95"/>
      <c r="JIU265" s="95"/>
      <c r="JIV265" s="95"/>
      <c r="JIW265" s="95"/>
      <c r="JIX265" s="95"/>
      <c r="JIY265" s="95"/>
      <c r="JIZ265" s="95"/>
      <c r="JJA265" s="95"/>
      <c r="JJB265" s="95"/>
      <c r="JJC265" s="95"/>
      <c r="JJD265" s="95"/>
      <c r="JJE265" s="95"/>
      <c r="JJF265" s="95"/>
      <c r="JJG265" s="95"/>
      <c r="JJH265" s="95"/>
      <c r="JJI265" s="95"/>
      <c r="JJJ265" s="95"/>
      <c r="JJK265" s="95"/>
      <c r="JJL265" s="95"/>
      <c r="JJM265" s="95"/>
      <c r="JJN265" s="95"/>
      <c r="JJO265" s="95"/>
      <c r="JJP265" s="95"/>
      <c r="JJQ265" s="95"/>
      <c r="JJR265" s="95"/>
      <c r="JJS265" s="95"/>
      <c r="JJT265" s="95"/>
      <c r="JJU265" s="95"/>
      <c r="JJV265" s="95"/>
      <c r="JJW265" s="95"/>
      <c r="JJX265" s="95"/>
      <c r="JJY265" s="95"/>
      <c r="JJZ265" s="95"/>
      <c r="JKA265" s="95"/>
      <c r="JKB265" s="95"/>
      <c r="JKC265" s="95"/>
      <c r="JKD265" s="95"/>
      <c r="JKE265" s="95"/>
      <c r="JKF265" s="95"/>
      <c r="JKG265" s="95"/>
      <c r="JKH265" s="95"/>
      <c r="JKI265" s="95"/>
      <c r="JKJ265" s="95"/>
      <c r="JKK265" s="95"/>
      <c r="JKL265" s="95"/>
      <c r="JKM265" s="95"/>
      <c r="JKN265" s="95"/>
      <c r="JKO265" s="95"/>
      <c r="JKP265" s="95"/>
      <c r="JKQ265" s="95"/>
      <c r="JKR265" s="95"/>
      <c r="JKS265" s="95"/>
      <c r="JKT265" s="95"/>
      <c r="JKU265" s="95"/>
      <c r="JKV265" s="95"/>
      <c r="JKW265" s="95"/>
      <c r="JKX265" s="95"/>
      <c r="JKY265" s="95"/>
      <c r="JKZ265" s="95"/>
      <c r="JLA265" s="95"/>
      <c r="JLB265" s="95"/>
      <c r="JLC265" s="95"/>
      <c r="JLD265" s="95"/>
      <c r="JLE265" s="95"/>
      <c r="JLF265" s="95"/>
      <c r="JLG265" s="95"/>
      <c r="JLH265" s="95"/>
      <c r="JLI265" s="95"/>
      <c r="JLJ265" s="95"/>
      <c r="JLK265" s="95"/>
      <c r="JLL265" s="95"/>
      <c r="JLM265" s="95"/>
      <c r="JLN265" s="95"/>
      <c r="JLO265" s="95"/>
      <c r="JLP265" s="95"/>
      <c r="JLQ265" s="95"/>
      <c r="JLR265" s="95"/>
      <c r="JLS265" s="95"/>
      <c r="JLT265" s="95"/>
      <c r="JLU265" s="95"/>
      <c r="JLV265" s="95"/>
      <c r="JLW265" s="95"/>
      <c r="JLX265" s="95"/>
      <c r="JLY265" s="95"/>
      <c r="JLZ265" s="95"/>
      <c r="JMA265" s="95"/>
      <c r="JMB265" s="95"/>
      <c r="JMC265" s="95"/>
      <c r="JMD265" s="95"/>
      <c r="JME265" s="95"/>
      <c r="JMF265" s="95"/>
      <c r="JMG265" s="95"/>
      <c r="JMH265" s="95"/>
      <c r="JMI265" s="95"/>
      <c r="JMJ265" s="95"/>
      <c r="JMK265" s="95"/>
      <c r="JML265" s="95"/>
      <c r="JMM265" s="95"/>
      <c r="JMN265" s="95"/>
      <c r="JMO265" s="95"/>
      <c r="JMP265" s="95"/>
      <c r="JMQ265" s="95"/>
      <c r="JMR265" s="95"/>
      <c r="JMS265" s="95"/>
      <c r="JMT265" s="95"/>
      <c r="JMU265" s="95"/>
      <c r="JMV265" s="95"/>
      <c r="JMW265" s="95"/>
      <c r="JMX265" s="95"/>
      <c r="JMY265" s="95"/>
      <c r="JMZ265" s="95"/>
      <c r="JNA265" s="95"/>
      <c r="JNB265" s="95"/>
      <c r="JNC265" s="95"/>
      <c r="JND265" s="95"/>
      <c r="JNE265" s="95"/>
      <c r="JNF265" s="95"/>
      <c r="JNG265" s="95"/>
      <c r="JNH265" s="95"/>
      <c r="JNI265" s="95"/>
      <c r="JNJ265" s="95"/>
      <c r="JNK265" s="95"/>
      <c r="JNL265" s="95"/>
      <c r="JNM265" s="95"/>
      <c r="JNN265" s="95"/>
      <c r="JNO265" s="95"/>
      <c r="JNP265" s="95"/>
      <c r="JNQ265" s="95"/>
      <c r="JNR265" s="95"/>
      <c r="JNS265" s="95"/>
      <c r="JNT265" s="95"/>
      <c r="JNU265" s="95"/>
      <c r="JNV265" s="95"/>
      <c r="JNW265" s="95"/>
      <c r="JNX265" s="95"/>
      <c r="JNY265" s="95"/>
      <c r="JNZ265" s="95"/>
      <c r="JOA265" s="95"/>
      <c r="JOB265" s="95"/>
      <c r="JOC265" s="95"/>
      <c r="JOD265" s="95"/>
      <c r="JOE265" s="95"/>
      <c r="JOF265" s="95"/>
      <c r="JOG265" s="95"/>
      <c r="JOH265" s="95"/>
      <c r="JOI265" s="95"/>
      <c r="JOJ265" s="95"/>
      <c r="JOK265" s="95"/>
      <c r="JOL265" s="95"/>
      <c r="JOM265" s="95"/>
      <c r="JON265" s="95"/>
      <c r="JOO265" s="95"/>
      <c r="JOP265" s="95"/>
      <c r="JOQ265" s="95"/>
      <c r="JOR265" s="95"/>
      <c r="JOS265" s="95"/>
      <c r="JOT265" s="95"/>
      <c r="JOU265" s="95"/>
      <c r="JOV265" s="95"/>
      <c r="JOW265" s="95"/>
      <c r="JOX265" s="95"/>
      <c r="JOY265" s="95"/>
      <c r="JOZ265" s="95"/>
      <c r="JPA265" s="95"/>
      <c r="JPB265" s="95"/>
      <c r="JPC265" s="95"/>
      <c r="JPD265" s="95"/>
      <c r="JPE265" s="95"/>
      <c r="JPF265" s="95"/>
      <c r="JPG265" s="95"/>
      <c r="JPH265" s="95"/>
      <c r="JPI265" s="95"/>
      <c r="JPJ265" s="95"/>
      <c r="JPK265" s="95"/>
      <c r="JPL265" s="95"/>
      <c r="JPM265" s="95"/>
      <c r="JPN265" s="95"/>
      <c r="JPO265" s="95"/>
      <c r="JPP265" s="95"/>
      <c r="JPQ265" s="95"/>
      <c r="JPR265" s="95"/>
      <c r="JPS265" s="95"/>
      <c r="JPT265" s="95"/>
      <c r="JPU265" s="95"/>
      <c r="JPV265" s="95"/>
      <c r="JPW265" s="95"/>
      <c r="JPX265" s="95"/>
      <c r="JPY265" s="95"/>
      <c r="JPZ265" s="95"/>
      <c r="JQA265" s="95"/>
      <c r="JQB265" s="95"/>
      <c r="JQC265" s="95"/>
      <c r="JQD265" s="95"/>
      <c r="JQE265" s="95"/>
      <c r="JQF265" s="95"/>
      <c r="JQG265" s="95"/>
      <c r="JQH265" s="95"/>
      <c r="JQI265" s="95"/>
      <c r="JQJ265" s="95"/>
      <c r="JQK265" s="95"/>
      <c r="JQL265" s="95"/>
      <c r="JQM265" s="95"/>
      <c r="JQN265" s="95"/>
      <c r="JQO265" s="95"/>
      <c r="JQP265" s="95"/>
      <c r="JQQ265" s="95"/>
      <c r="JQR265" s="95"/>
      <c r="JQS265" s="95"/>
      <c r="JQT265" s="95"/>
      <c r="JQU265" s="95"/>
      <c r="JQV265" s="95"/>
      <c r="JQW265" s="95"/>
      <c r="JQX265" s="95"/>
      <c r="JQY265" s="95"/>
      <c r="JQZ265" s="95"/>
      <c r="JRA265" s="95"/>
      <c r="JRB265" s="95"/>
      <c r="JRC265" s="95"/>
      <c r="JRD265" s="95"/>
      <c r="JRE265" s="95"/>
      <c r="JRF265" s="95"/>
      <c r="JRG265" s="95"/>
      <c r="JRH265" s="95"/>
      <c r="JRI265" s="95"/>
      <c r="JRJ265" s="95"/>
      <c r="JRK265" s="95"/>
      <c r="JRL265" s="95"/>
      <c r="JRM265" s="95"/>
      <c r="JRN265" s="95"/>
      <c r="JRO265" s="95"/>
      <c r="JRP265" s="95"/>
      <c r="JRQ265" s="95"/>
      <c r="JRR265" s="95"/>
      <c r="JRS265" s="95"/>
      <c r="JRT265" s="95"/>
      <c r="JRU265" s="95"/>
      <c r="JRV265" s="95"/>
      <c r="JRW265" s="95"/>
      <c r="JRX265" s="95"/>
      <c r="JRY265" s="95"/>
      <c r="JRZ265" s="95"/>
      <c r="JSA265" s="95"/>
      <c r="JSB265" s="95"/>
      <c r="JSC265" s="95"/>
      <c r="JSD265" s="95"/>
      <c r="JSE265" s="95"/>
      <c r="JSF265" s="95"/>
      <c r="JSG265" s="95"/>
      <c r="JSH265" s="95"/>
      <c r="JSI265" s="95"/>
      <c r="JSJ265" s="95"/>
      <c r="JSK265" s="95"/>
      <c r="JSL265" s="95"/>
      <c r="JSM265" s="95"/>
      <c r="JSN265" s="95"/>
      <c r="JSO265" s="95"/>
      <c r="JSP265" s="95"/>
      <c r="JSQ265" s="95"/>
      <c r="JSR265" s="95"/>
      <c r="JSS265" s="95"/>
      <c r="JST265" s="95"/>
      <c r="JSU265" s="95"/>
      <c r="JSV265" s="95"/>
      <c r="JSW265" s="95"/>
      <c r="JSX265" s="95"/>
      <c r="JSY265" s="95"/>
      <c r="JSZ265" s="95"/>
      <c r="JTA265" s="95"/>
      <c r="JTB265" s="95"/>
      <c r="JTC265" s="95"/>
      <c r="JTD265" s="95"/>
      <c r="JTE265" s="95"/>
      <c r="JTF265" s="95"/>
      <c r="JTG265" s="95"/>
      <c r="JTH265" s="95"/>
      <c r="JTI265" s="95"/>
      <c r="JTJ265" s="95"/>
      <c r="JTK265" s="95"/>
      <c r="JTL265" s="95"/>
      <c r="JTM265" s="95"/>
      <c r="JTN265" s="95"/>
      <c r="JTO265" s="95"/>
      <c r="JTP265" s="95"/>
      <c r="JTQ265" s="95"/>
      <c r="JTR265" s="95"/>
      <c r="JTS265" s="95"/>
      <c r="JTT265" s="95"/>
      <c r="JTU265" s="95"/>
      <c r="JTV265" s="95"/>
      <c r="JTW265" s="95"/>
      <c r="JTX265" s="95"/>
      <c r="JTY265" s="95"/>
      <c r="JTZ265" s="95"/>
      <c r="JUA265" s="95"/>
      <c r="JUB265" s="95"/>
      <c r="JUC265" s="95"/>
      <c r="JUD265" s="95"/>
      <c r="JUE265" s="95"/>
      <c r="JUF265" s="95"/>
      <c r="JUG265" s="95"/>
      <c r="JUH265" s="95"/>
      <c r="JUI265" s="95"/>
      <c r="JUJ265" s="95"/>
      <c r="JUK265" s="95"/>
      <c r="JUL265" s="95"/>
      <c r="JUM265" s="95"/>
      <c r="JUN265" s="95"/>
      <c r="JUO265" s="95"/>
      <c r="JUP265" s="95"/>
      <c r="JUQ265" s="95"/>
      <c r="JUR265" s="95"/>
      <c r="JUS265" s="95"/>
      <c r="JUT265" s="95"/>
      <c r="JUU265" s="95"/>
      <c r="JUV265" s="95"/>
      <c r="JUW265" s="95"/>
      <c r="JUX265" s="95"/>
      <c r="JUY265" s="95"/>
      <c r="JUZ265" s="95"/>
      <c r="JVA265" s="95"/>
      <c r="JVB265" s="95"/>
      <c r="JVC265" s="95"/>
      <c r="JVD265" s="95"/>
      <c r="JVE265" s="95"/>
      <c r="JVF265" s="95"/>
      <c r="JVG265" s="95"/>
      <c r="JVH265" s="95"/>
      <c r="JVI265" s="95"/>
      <c r="JVJ265" s="95"/>
      <c r="JVK265" s="95"/>
      <c r="JVL265" s="95"/>
      <c r="JVM265" s="95"/>
      <c r="JVN265" s="95"/>
      <c r="JVO265" s="95"/>
      <c r="JVP265" s="95"/>
      <c r="JVQ265" s="95"/>
      <c r="JVR265" s="95"/>
      <c r="JVS265" s="95"/>
      <c r="JVT265" s="95"/>
      <c r="JVU265" s="95"/>
      <c r="JVV265" s="95"/>
      <c r="JVW265" s="95"/>
      <c r="JVX265" s="95"/>
      <c r="JVY265" s="95"/>
      <c r="JVZ265" s="95"/>
      <c r="JWA265" s="95"/>
      <c r="JWB265" s="95"/>
      <c r="JWC265" s="95"/>
      <c r="JWD265" s="95"/>
      <c r="JWE265" s="95"/>
      <c r="JWF265" s="95"/>
      <c r="JWG265" s="95"/>
      <c r="JWH265" s="95"/>
      <c r="JWI265" s="95"/>
      <c r="JWJ265" s="95"/>
      <c r="JWK265" s="95"/>
      <c r="JWL265" s="95"/>
      <c r="JWM265" s="95"/>
      <c r="JWN265" s="95"/>
      <c r="JWO265" s="95"/>
      <c r="JWP265" s="95"/>
      <c r="JWQ265" s="95"/>
      <c r="JWR265" s="95"/>
      <c r="JWS265" s="95"/>
      <c r="JWT265" s="95"/>
      <c r="JWU265" s="95"/>
      <c r="JWV265" s="95"/>
      <c r="JWW265" s="95"/>
      <c r="JWX265" s="95"/>
      <c r="JWY265" s="95"/>
      <c r="JWZ265" s="95"/>
      <c r="JXA265" s="95"/>
      <c r="JXB265" s="95"/>
      <c r="JXC265" s="95"/>
      <c r="JXD265" s="95"/>
      <c r="JXE265" s="95"/>
      <c r="JXF265" s="95"/>
      <c r="JXG265" s="95"/>
      <c r="JXH265" s="95"/>
      <c r="JXI265" s="95"/>
      <c r="JXJ265" s="95"/>
      <c r="JXK265" s="95"/>
      <c r="JXL265" s="95"/>
      <c r="JXM265" s="95"/>
      <c r="JXN265" s="95"/>
      <c r="JXO265" s="95"/>
      <c r="JXP265" s="95"/>
      <c r="JXQ265" s="95"/>
      <c r="JXR265" s="95"/>
      <c r="JXS265" s="95"/>
      <c r="JXT265" s="95"/>
      <c r="JXU265" s="95"/>
      <c r="JXV265" s="95"/>
      <c r="JXW265" s="95"/>
      <c r="JXX265" s="95"/>
      <c r="JXY265" s="95"/>
      <c r="JXZ265" s="95"/>
      <c r="JYA265" s="95"/>
      <c r="JYB265" s="95"/>
      <c r="JYC265" s="95"/>
      <c r="JYD265" s="95"/>
      <c r="JYE265" s="95"/>
      <c r="JYF265" s="95"/>
      <c r="JYG265" s="95"/>
      <c r="JYH265" s="95"/>
      <c r="JYI265" s="95"/>
      <c r="JYJ265" s="95"/>
      <c r="JYK265" s="95"/>
      <c r="JYL265" s="95"/>
      <c r="JYM265" s="95"/>
      <c r="JYN265" s="95"/>
      <c r="JYO265" s="95"/>
      <c r="JYP265" s="95"/>
      <c r="JYQ265" s="95"/>
      <c r="JYR265" s="95"/>
      <c r="JYS265" s="95"/>
      <c r="JYT265" s="95"/>
      <c r="JYU265" s="95"/>
      <c r="JYV265" s="95"/>
      <c r="JYW265" s="95"/>
      <c r="JYX265" s="95"/>
      <c r="JYY265" s="95"/>
      <c r="JYZ265" s="95"/>
      <c r="JZA265" s="95"/>
      <c r="JZB265" s="95"/>
      <c r="JZC265" s="95"/>
      <c r="JZD265" s="95"/>
      <c r="JZE265" s="95"/>
      <c r="JZF265" s="95"/>
      <c r="JZG265" s="95"/>
      <c r="JZH265" s="95"/>
      <c r="JZI265" s="95"/>
      <c r="JZJ265" s="95"/>
      <c r="JZK265" s="95"/>
      <c r="JZL265" s="95"/>
      <c r="JZM265" s="95"/>
      <c r="JZN265" s="95"/>
      <c r="JZO265" s="95"/>
      <c r="JZP265" s="95"/>
      <c r="JZQ265" s="95"/>
      <c r="JZR265" s="95"/>
      <c r="JZS265" s="95"/>
      <c r="JZT265" s="95"/>
      <c r="JZU265" s="95"/>
      <c r="JZV265" s="95"/>
      <c r="JZW265" s="95"/>
      <c r="JZX265" s="95"/>
      <c r="JZY265" s="95"/>
      <c r="JZZ265" s="95"/>
      <c r="KAA265" s="95"/>
      <c r="KAB265" s="95"/>
      <c r="KAC265" s="95"/>
      <c r="KAD265" s="95"/>
      <c r="KAE265" s="95"/>
      <c r="KAF265" s="95"/>
      <c r="KAG265" s="95"/>
      <c r="KAH265" s="95"/>
      <c r="KAI265" s="95"/>
      <c r="KAJ265" s="95"/>
      <c r="KAK265" s="95"/>
      <c r="KAL265" s="95"/>
      <c r="KAM265" s="95"/>
      <c r="KAN265" s="95"/>
      <c r="KAO265" s="95"/>
      <c r="KAP265" s="95"/>
      <c r="KAQ265" s="95"/>
      <c r="KAR265" s="95"/>
      <c r="KAS265" s="95"/>
      <c r="KAT265" s="95"/>
      <c r="KAU265" s="95"/>
      <c r="KAV265" s="95"/>
      <c r="KAW265" s="95"/>
      <c r="KAX265" s="95"/>
      <c r="KAY265" s="95"/>
      <c r="KAZ265" s="95"/>
      <c r="KBA265" s="95"/>
      <c r="KBB265" s="95"/>
      <c r="KBC265" s="95"/>
      <c r="KBD265" s="95"/>
      <c r="KBE265" s="95"/>
      <c r="KBF265" s="95"/>
      <c r="KBG265" s="95"/>
      <c r="KBH265" s="95"/>
      <c r="KBI265" s="95"/>
      <c r="KBJ265" s="95"/>
      <c r="KBK265" s="95"/>
      <c r="KBL265" s="95"/>
      <c r="KBM265" s="95"/>
      <c r="KBN265" s="95"/>
      <c r="KBO265" s="95"/>
      <c r="KBP265" s="95"/>
      <c r="KBQ265" s="95"/>
      <c r="KBR265" s="95"/>
      <c r="KBS265" s="95"/>
      <c r="KBT265" s="95"/>
      <c r="KBU265" s="95"/>
      <c r="KBV265" s="95"/>
      <c r="KBW265" s="95"/>
      <c r="KBX265" s="95"/>
      <c r="KBY265" s="95"/>
      <c r="KBZ265" s="95"/>
      <c r="KCA265" s="95"/>
      <c r="KCB265" s="95"/>
      <c r="KCC265" s="95"/>
      <c r="KCD265" s="95"/>
      <c r="KCE265" s="95"/>
      <c r="KCF265" s="95"/>
      <c r="KCG265" s="95"/>
      <c r="KCH265" s="95"/>
      <c r="KCI265" s="95"/>
      <c r="KCJ265" s="95"/>
      <c r="KCK265" s="95"/>
      <c r="KCL265" s="95"/>
      <c r="KCM265" s="95"/>
      <c r="KCN265" s="95"/>
      <c r="KCO265" s="95"/>
      <c r="KCP265" s="95"/>
      <c r="KCQ265" s="95"/>
      <c r="KCR265" s="95"/>
      <c r="KCS265" s="95"/>
      <c r="KCT265" s="95"/>
      <c r="KCU265" s="95"/>
      <c r="KCV265" s="95"/>
      <c r="KCW265" s="95"/>
      <c r="KCX265" s="95"/>
      <c r="KCY265" s="95"/>
      <c r="KCZ265" s="95"/>
      <c r="KDA265" s="95"/>
      <c r="KDB265" s="95"/>
      <c r="KDC265" s="95"/>
      <c r="KDD265" s="95"/>
      <c r="KDE265" s="95"/>
      <c r="KDF265" s="95"/>
      <c r="KDG265" s="95"/>
      <c r="KDH265" s="95"/>
      <c r="KDI265" s="95"/>
      <c r="KDJ265" s="95"/>
      <c r="KDK265" s="95"/>
      <c r="KDL265" s="95"/>
      <c r="KDM265" s="95"/>
      <c r="KDN265" s="95"/>
      <c r="KDO265" s="95"/>
      <c r="KDP265" s="95"/>
      <c r="KDQ265" s="95"/>
      <c r="KDR265" s="95"/>
      <c r="KDS265" s="95"/>
      <c r="KDT265" s="95"/>
      <c r="KDU265" s="95"/>
      <c r="KDV265" s="95"/>
      <c r="KDW265" s="95"/>
      <c r="KDX265" s="95"/>
      <c r="KDY265" s="95"/>
      <c r="KDZ265" s="95"/>
      <c r="KEA265" s="95"/>
      <c r="KEB265" s="95"/>
      <c r="KEC265" s="95"/>
      <c r="KED265" s="95"/>
      <c r="KEE265" s="95"/>
      <c r="KEF265" s="95"/>
      <c r="KEG265" s="95"/>
      <c r="KEH265" s="95"/>
      <c r="KEI265" s="95"/>
      <c r="KEJ265" s="95"/>
      <c r="KEK265" s="95"/>
      <c r="KEL265" s="95"/>
      <c r="KEM265" s="95"/>
      <c r="KEN265" s="95"/>
      <c r="KEO265" s="95"/>
      <c r="KEP265" s="95"/>
      <c r="KEQ265" s="95"/>
      <c r="KER265" s="95"/>
      <c r="KES265" s="95"/>
      <c r="KET265" s="95"/>
      <c r="KEU265" s="95"/>
      <c r="KEV265" s="95"/>
      <c r="KEW265" s="95"/>
      <c r="KEX265" s="95"/>
      <c r="KEY265" s="95"/>
      <c r="KEZ265" s="95"/>
      <c r="KFA265" s="95"/>
      <c r="KFB265" s="95"/>
      <c r="KFC265" s="95"/>
      <c r="KFD265" s="95"/>
      <c r="KFE265" s="95"/>
      <c r="KFF265" s="95"/>
      <c r="KFG265" s="95"/>
      <c r="KFH265" s="95"/>
      <c r="KFI265" s="95"/>
      <c r="KFJ265" s="95"/>
      <c r="KFK265" s="95"/>
      <c r="KFL265" s="95"/>
      <c r="KFM265" s="95"/>
      <c r="KFN265" s="95"/>
      <c r="KFO265" s="95"/>
      <c r="KFP265" s="95"/>
      <c r="KFQ265" s="95"/>
      <c r="KFR265" s="95"/>
      <c r="KFS265" s="95"/>
      <c r="KFT265" s="95"/>
      <c r="KFU265" s="95"/>
      <c r="KFV265" s="95"/>
      <c r="KFW265" s="95"/>
      <c r="KFX265" s="95"/>
      <c r="KFY265" s="95"/>
      <c r="KFZ265" s="95"/>
      <c r="KGA265" s="95"/>
      <c r="KGB265" s="95"/>
      <c r="KGC265" s="95"/>
      <c r="KGD265" s="95"/>
      <c r="KGE265" s="95"/>
      <c r="KGF265" s="95"/>
      <c r="KGG265" s="95"/>
      <c r="KGH265" s="95"/>
      <c r="KGI265" s="95"/>
      <c r="KGJ265" s="95"/>
      <c r="KGK265" s="95"/>
      <c r="KGL265" s="95"/>
      <c r="KGM265" s="95"/>
      <c r="KGN265" s="95"/>
      <c r="KGO265" s="95"/>
      <c r="KGP265" s="95"/>
      <c r="KGQ265" s="95"/>
      <c r="KGR265" s="95"/>
      <c r="KGS265" s="95"/>
      <c r="KGT265" s="95"/>
      <c r="KGU265" s="95"/>
      <c r="KGV265" s="95"/>
      <c r="KGW265" s="95"/>
      <c r="KGX265" s="95"/>
      <c r="KGY265" s="95"/>
      <c r="KGZ265" s="95"/>
      <c r="KHA265" s="95"/>
      <c r="KHB265" s="95"/>
      <c r="KHC265" s="95"/>
      <c r="KHD265" s="95"/>
      <c r="KHE265" s="95"/>
      <c r="KHF265" s="95"/>
      <c r="KHG265" s="95"/>
      <c r="KHH265" s="95"/>
      <c r="KHI265" s="95"/>
      <c r="KHJ265" s="95"/>
      <c r="KHK265" s="95"/>
      <c r="KHL265" s="95"/>
      <c r="KHM265" s="95"/>
      <c r="KHN265" s="95"/>
      <c r="KHO265" s="95"/>
      <c r="KHP265" s="95"/>
      <c r="KHQ265" s="95"/>
      <c r="KHR265" s="95"/>
      <c r="KHS265" s="95"/>
      <c r="KHT265" s="95"/>
      <c r="KHU265" s="95"/>
      <c r="KHV265" s="95"/>
      <c r="KHW265" s="95"/>
      <c r="KHX265" s="95"/>
      <c r="KHY265" s="95"/>
      <c r="KHZ265" s="95"/>
      <c r="KIA265" s="95"/>
      <c r="KIB265" s="95"/>
      <c r="KIC265" s="95"/>
      <c r="KID265" s="95"/>
      <c r="KIE265" s="95"/>
      <c r="KIF265" s="95"/>
      <c r="KIG265" s="95"/>
      <c r="KIH265" s="95"/>
      <c r="KII265" s="95"/>
      <c r="KIJ265" s="95"/>
      <c r="KIK265" s="95"/>
      <c r="KIL265" s="95"/>
      <c r="KIM265" s="95"/>
      <c r="KIN265" s="95"/>
      <c r="KIO265" s="95"/>
      <c r="KIP265" s="95"/>
      <c r="KIQ265" s="95"/>
      <c r="KIR265" s="95"/>
      <c r="KIS265" s="95"/>
      <c r="KIT265" s="95"/>
      <c r="KIU265" s="95"/>
      <c r="KIV265" s="95"/>
      <c r="KIW265" s="95"/>
      <c r="KIX265" s="95"/>
      <c r="KIY265" s="95"/>
      <c r="KIZ265" s="95"/>
      <c r="KJA265" s="95"/>
      <c r="KJB265" s="95"/>
      <c r="KJC265" s="95"/>
      <c r="KJD265" s="95"/>
      <c r="KJE265" s="95"/>
      <c r="KJF265" s="95"/>
      <c r="KJG265" s="95"/>
      <c r="KJH265" s="95"/>
      <c r="KJI265" s="95"/>
      <c r="KJJ265" s="95"/>
      <c r="KJK265" s="95"/>
      <c r="KJL265" s="95"/>
      <c r="KJM265" s="95"/>
      <c r="KJN265" s="95"/>
      <c r="KJO265" s="95"/>
      <c r="KJP265" s="95"/>
      <c r="KJQ265" s="95"/>
      <c r="KJR265" s="95"/>
      <c r="KJS265" s="95"/>
      <c r="KJT265" s="95"/>
      <c r="KJU265" s="95"/>
      <c r="KJV265" s="95"/>
      <c r="KJW265" s="95"/>
      <c r="KJX265" s="95"/>
      <c r="KJY265" s="95"/>
      <c r="KJZ265" s="95"/>
      <c r="KKA265" s="95"/>
      <c r="KKB265" s="95"/>
      <c r="KKC265" s="95"/>
      <c r="KKD265" s="95"/>
      <c r="KKE265" s="95"/>
      <c r="KKF265" s="95"/>
      <c r="KKG265" s="95"/>
      <c r="KKH265" s="95"/>
      <c r="KKI265" s="95"/>
      <c r="KKJ265" s="95"/>
      <c r="KKK265" s="95"/>
      <c r="KKL265" s="95"/>
      <c r="KKM265" s="95"/>
      <c r="KKN265" s="95"/>
      <c r="KKO265" s="95"/>
      <c r="KKP265" s="95"/>
      <c r="KKQ265" s="95"/>
      <c r="KKR265" s="95"/>
      <c r="KKS265" s="95"/>
      <c r="KKT265" s="95"/>
      <c r="KKU265" s="95"/>
      <c r="KKV265" s="95"/>
      <c r="KKW265" s="95"/>
      <c r="KKX265" s="95"/>
      <c r="KKY265" s="95"/>
      <c r="KKZ265" s="95"/>
      <c r="KLA265" s="95"/>
      <c r="KLB265" s="95"/>
      <c r="KLC265" s="95"/>
      <c r="KLD265" s="95"/>
      <c r="KLE265" s="95"/>
      <c r="KLF265" s="95"/>
      <c r="KLG265" s="95"/>
      <c r="KLH265" s="95"/>
      <c r="KLI265" s="95"/>
      <c r="KLJ265" s="95"/>
      <c r="KLK265" s="95"/>
      <c r="KLL265" s="95"/>
      <c r="KLM265" s="95"/>
      <c r="KLN265" s="95"/>
      <c r="KLO265" s="95"/>
      <c r="KLP265" s="95"/>
      <c r="KLQ265" s="95"/>
      <c r="KLR265" s="95"/>
      <c r="KLS265" s="95"/>
      <c r="KLT265" s="95"/>
      <c r="KLU265" s="95"/>
      <c r="KLV265" s="95"/>
      <c r="KLW265" s="95"/>
      <c r="KLX265" s="95"/>
      <c r="KLY265" s="95"/>
      <c r="KLZ265" s="95"/>
      <c r="KMA265" s="95"/>
      <c r="KMB265" s="95"/>
      <c r="KMC265" s="95"/>
      <c r="KMD265" s="95"/>
      <c r="KME265" s="95"/>
      <c r="KMF265" s="95"/>
      <c r="KMG265" s="95"/>
      <c r="KMH265" s="95"/>
      <c r="KMI265" s="95"/>
      <c r="KMJ265" s="95"/>
      <c r="KMK265" s="95"/>
      <c r="KML265" s="95"/>
      <c r="KMM265" s="95"/>
      <c r="KMN265" s="95"/>
      <c r="KMO265" s="95"/>
      <c r="KMP265" s="95"/>
      <c r="KMQ265" s="95"/>
      <c r="KMR265" s="95"/>
      <c r="KMS265" s="95"/>
      <c r="KMT265" s="95"/>
      <c r="KMU265" s="95"/>
      <c r="KMV265" s="95"/>
      <c r="KMW265" s="95"/>
      <c r="KMX265" s="95"/>
      <c r="KMY265" s="95"/>
      <c r="KMZ265" s="95"/>
      <c r="KNA265" s="95"/>
      <c r="KNB265" s="95"/>
      <c r="KNC265" s="95"/>
      <c r="KND265" s="95"/>
      <c r="KNE265" s="95"/>
      <c r="KNF265" s="95"/>
      <c r="KNG265" s="95"/>
      <c r="KNH265" s="95"/>
      <c r="KNI265" s="95"/>
      <c r="KNJ265" s="95"/>
      <c r="KNK265" s="95"/>
      <c r="KNL265" s="95"/>
      <c r="KNM265" s="95"/>
      <c r="KNN265" s="95"/>
      <c r="KNO265" s="95"/>
      <c r="KNP265" s="95"/>
      <c r="KNQ265" s="95"/>
      <c r="KNR265" s="95"/>
      <c r="KNS265" s="95"/>
      <c r="KNT265" s="95"/>
      <c r="KNU265" s="95"/>
      <c r="KNV265" s="95"/>
      <c r="KNW265" s="95"/>
      <c r="KNX265" s="95"/>
      <c r="KNY265" s="95"/>
      <c r="KNZ265" s="95"/>
      <c r="KOA265" s="95"/>
      <c r="KOB265" s="95"/>
      <c r="KOC265" s="95"/>
      <c r="KOD265" s="95"/>
      <c r="KOE265" s="95"/>
      <c r="KOF265" s="95"/>
      <c r="KOG265" s="95"/>
      <c r="KOH265" s="95"/>
      <c r="KOI265" s="95"/>
      <c r="KOJ265" s="95"/>
      <c r="KOK265" s="95"/>
      <c r="KOL265" s="95"/>
      <c r="KOM265" s="95"/>
      <c r="KON265" s="95"/>
      <c r="KOO265" s="95"/>
      <c r="KOP265" s="95"/>
      <c r="KOQ265" s="95"/>
      <c r="KOR265" s="95"/>
      <c r="KOS265" s="95"/>
      <c r="KOT265" s="95"/>
      <c r="KOU265" s="95"/>
      <c r="KOV265" s="95"/>
      <c r="KOW265" s="95"/>
      <c r="KOX265" s="95"/>
      <c r="KOY265" s="95"/>
      <c r="KOZ265" s="95"/>
      <c r="KPA265" s="95"/>
      <c r="KPB265" s="95"/>
      <c r="KPC265" s="95"/>
      <c r="KPD265" s="95"/>
      <c r="KPE265" s="95"/>
      <c r="KPF265" s="95"/>
      <c r="KPG265" s="95"/>
      <c r="KPH265" s="95"/>
      <c r="KPI265" s="95"/>
      <c r="KPJ265" s="95"/>
      <c r="KPK265" s="95"/>
      <c r="KPL265" s="95"/>
      <c r="KPM265" s="95"/>
      <c r="KPN265" s="95"/>
      <c r="KPO265" s="95"/>
      <c r="KPP265" s="95"/>
      <c r="KPQ265" s="95"/>
      <c r="KPR265" s="95"/>
      <c r="KPS265" s="95"/>
      <c r="KPT265" s="95"/>
      <c r="KPU265" s="95"/>
      <c r="KPV265" s="95"/>
      <c r="KPW265" s="95"/>
      <c r="KPX265" s="95"/>
      <c r="KPY265" s="95"/>
      <c r="KPZ265" s="95"/>
      <c r="KQA265" s="95"/>
      <c r="KQB265" s="95"/>
      <c r="KQC265" s="95"/>
      <c r="KQD265" s="95"/>
      <c r="KQE265" s="95"/>
      <c r="KQF265" s="95"/>
      <c r="KQG265" s="95"/>
      <c r="KQH265" s="95"/>
      <c r="KQI265" s="95"/>
      <c r="KQJ265" s="95"/>
      <c r="KQK265" s="95"/>
      <c r="KQL265" s="95"/>
      <c r="KQM265" s="95"/>
      <c r="KQN265" s="95"/>
      <c r="KQO265" s="95"/>
      <c r="KQP265" s="95"/>
      <c r="KQQ265" s="95"/>
      <c r="KQR265" s="95"/>
      <c r="KQS265" s="95"/>
      <c r="KQT265" s="95"/>
      <c r="KQU265" s="95"/>
      <c r="KQV265" s="95"/>
      <c r="KQW265" s="95"/>
      <c r="KQX265" s="95"/>
      <c r="KQY265" s="95"/>
      <c r="KQZ265" s="95"/>
      <c r="KRA265" s="95"/>
      <c r="KRB265" s="95"/>
      <c r="KRC265" s="95"/>
      <c r="KRD265" s="95"/>
      <c r="KRE265" s="95"/>
      <c r="KRF265" s="95"/>
      <c r="KRG265" s="95"/>
      <c r="KRH265" s="95"/>
      <c r="KRI265" s="95"/>
      <c r="KRJ265" s="95"/>
      <c r="KRK265" s="95"/>
      <c r="KRL265" s="95"/>
      <c r="KRM265" s="95"/>
      <c r="KRN265" s="95"/>
      <c r="KRO265" s="95"/>
      <c r="KRP265" s="95"/>
      <c r="KRQ265" s="95"/>
      <c r="KRR265" s="95"/>
      <c r="KRS265" s="95"/>
      <c r="KRT265" s="95"/>
      <c r="KRU265" s="95"/>
      <c r="KRV265" s="95"/>
      <c r="KRW265" s="95"/>
      <c r="KRX265" s="95"/>
      <c r="KRY265" s="95"/>
      <c r="KRZ265" s="95"/>
      <c r="KSA265" s="95"/>
      <c r="KSB265" s="95"/>
      <c r="KSC265" s="95"/>
      <c r="KSD265" s="95"/>
      <c r="KSE265" s="95"/>
      <c r="KSF265" s="95"/>
      <c r="KSG265" s="95"/>
      <c r="KSH265" s="95"/>
      <c r="KSI265" s="95"/>
      <c r="KSJ265" s="95"/>
      <c r="KSK265" s="95"/>
      <c r="KSL265" s="95"/>
      <c r="KSM265" s="95"/>
      <c r="KSN265" s="95"/>
      <c r="KSO265" s="95"/>
      <c r="KSP265" s="95"/>
      <c r="KSQ265" s="95"/>
      <c r="KSR265" s="95"/>
      <c r="KSS265" s="95"/>
      <c r="KST265" s="95"/>
      <c r="KSU265" s="95"/>
      <c r="KSV265" s="95"/>
      <c r="KSW265" s="95"/>
      <c r="KSX265" s="95"/>
      <c r="KSY265" s="95"/>
      <c r="KSZ265" s="95"/>
      <c r="KTA265" s="95"/>
      <c r="KTB265" s="95"/>
      <c r="KTC265" s="95"/>
      <c r="KTD265" s="95"/>
      <c r="KTE265" s="95"/>
      <c r="KTF265" s="95"/>
      <c r="KTG265" s="95"/>
      <c r="KTH265" s="95"/>
      <c r="KTI265" s="95"/>
      <c r="KTJ265" s="95"/>
      <c r="KTK265" s="95"/>
      <c r="KTL265" s="95"/>
      <c r="KTM265" s="95"/>
      <c r="KTN265" s="95"/>
      <c r="KTO265" s="95"/>
      <c r="KTP265" s="95"/>
      <c r="KTQ265" s="95"/>
      <c r="KTR265" s="95"/>
      <c r="KTS265" s="95"/>
      <c r="KTT265" s="95"/>
      <c r="KTU265" s="95"/>
      <c r="KTV265" s="95"/>
      <c r="KTW265" s="95"/>
      <c r="KTX265" s="95"/>
      <c r="KTY265" s="95"/>
      <c r="KTZ265" s="95"/>
      <c r="KUA265" s="95"/>
      <c r="KUB265" s="95"/>
      <c r="KUC265" s="95"/>
      <c r="KUD265" s="95"/>
      <c r="KUE265" s="95"/>
      <c r="KUF265" s="95"/>
      <c r="KUG265" s="95"/>
      <c r="KUH265" s="95"/>
      <c r="KUI265" s="95"/>
      <c r="KUJ265" s="95"/>
      <c r="KUK265" s="95"/>
      <c r="KUL265" s="95"/>
      <c r="KUM265" s="95"/>
      <c r="KUN265" s="95"/>
      <c r="KUO265" s="95"/>
      <c r="KUP265" s="95"/>
      <c r="KUQ265" s="95"/>
      <c r="KUR265" s="95"/>
      <c r="KUS265" s="95"/>
      <c r="KUT265" s="95"/>
      <c r="KUU265" s="95"/>
      <c r="KUV265" s="95"/>
      <c r="KUW265" s="95"/>
      <c r="KUX265" s="95"/>
      <c r="KUY265" s="95"/>
      <c r="KUZ265" s="95"/>
      <c r="KVA265" s="95"/>
      <c r="KVB265" s="95"/>
      <c r="KVC265" s="95"/>
      <c r="KVD265" s="95"/>
      <c r="KVE265" s="95"/>
      <c r="KVF265" s="95"/>
      <c r="KVG265" s="95"/>
      <c r="KVH265" s="95"/>
      <c r="KVI265" s="95"/>
      <c r="KVJ265" s="95"/>
      <c r="KVK265" s="95"/>
      <c r="KVL265" s="95"/>
      <c r="KVM265" s="95"/>
      <c r="KVN265" s="95"/>
      <c r="KVO265" s="95"/>
      <c r="KVP265" s="95"/>
      <c r="KVQ265" s="95"/>
      <c r="KVR265" s="95"/>
      <c r="KVS265" s="95"/>
      <c r="KVT265" s="95"/>
      <c r="KVU265" s="95"/>
      <c r="KVV265" s="95"/>
      <c r="KVW265" s="95"/>
      <c r="KVX265" s="95"/>
      <c r="KVY265" s="95"/>
      <c r="KVZ265" s="95"/>
      <c r="KWA265" s="95"/>
      <c r="KWB265" s="95"/>
      <c r="KWC265" s="95"/>
      <c r="KWD265" s="95"/>
      <c r="KWE265" s="95"/>
      <c r="KWF265" s="95"/>
      <c r="KWG265" s="95"/>
      <c r="KWH265" s="95"/>
      <c r="KWI265" s="95"/>
      <c r="KWJ265" s="95"/>
      <c r="KWK265" s="95"/>
      <c r="KWL265" s="95"/>
      <c r="KWM265" s="95"/>
      <c r="KWN265" s="95"/>
      <c r="KWO265" s="95"/>
      <c r="KWP265" s="95"/>
      <c r="KWQ265" s="95"/>
      <c r="KWR265" s="95"/>
      <c r="KWS265" s="95"/>
      <c r="KWT265" s="95"/>
      <c r="KWU265" s="95"/>
      <c r="KWV265" s="95"/>
      <c r="KWW265" s="95"/>
      <c r="KWX265" s="95"/>
      <c r="KWY265" s="95"/>
      <c r="KWZ265" s="95"/>
      <c r="KXA265" s="95"/>
      <c r="KXB265" s="95"/>
      <c r="KXC265" s="95"/>
      <c r="KXD265" s="95"/>
      <c r="KXE265" s="95"/>
      <c r="KXF265" s="95"/>
      <c r="KXG265" s="95"/>
      <c r="KXH265" s="95"/>
      <c r="KXI265" s="95"/>
      <c r="KXJ265" s="95"/>
      <c r="KXK265" s="95"/>
      <c r="KXL265" s="95"/>
      <c r="KXM265" s="95"/>
      <c r="KXN265" s="95"/>
      <c r="KXO265" s="95"/>
      <c r="KXP265" s="95"/>
      <c r="KXQ265" s="95"/>
      <c r="KXR265" s="95"/>
      <c r="KXS265" s="95"/>
      <c r="KXT265" s="95"/>
      <c r="KXU265" s="95"/>
      <c r="KXV265" s="95"/>
      <c r="KXW265" s="95"/>
      <c r="KXX265" s="95"/>
      <c r="KXY265" s="95"/>
      <c r="KXZ265" s="95"/>
      <c r="KYA265" s="95"/>
      <c r="KYB265" s="95"/>
      <c r="KYC265" s="95"/>
      <c r="KYD265" s="95"/>
      <c r="KYE265" s="95"/>
      <c r="KYF265" s="95"/>
      <c r="KYG265" s="95"/>
      <c r="KYH265" s="95"/>
      <c r="KYI265" s="95"/>
      <c r="KYJ265" s="95"/>
      <c r="KYK265" s="95"/>
      <c r="KYL265" s="95"/>
      <c r="KYM265" s="95"/>
      <c r="KYN265" s="95"/>
      <c r="KYO265" s="95"/>
      <c r="KYP265" s="95"/>
      <c r="KYQ265" s="95"/>
      <c r="KYR265" s="95"/>
      <c r="KYS265" s="95"/>
      <c r="KYT265" s="95"/>
      <c r="KYU265" s="95"/>
      <c r="KYV265" s="95"/>
      <c r="KYW265" s="95"/>
      <c r="KYX265" s="95"/>
      <c r="KYY265" s="95"/>
      <c r="KYZ265" s="95"/>
      <c r="KZA265" s="95"/>
      <c r="KZB265" s="95"/>
      <c r="KZC265" s="95"/>
      <c r="KZD265" s="95"/>
      <c r="KZE265" s="95"/>
      <c r="KZF265" s="95"/>
      <c r="KZG265" s="95"/>
      <c r="KZH265" s="95"/>
      <c r="KZI265" s="95"/>
      <c r="KZJ265" s="95"/>
      <c r="KZK265" s="95"/>
      <c r="KZL265" s="95"/>
      <c r="KZM265" s="95"/>
      <c r="KZN265" s="95"/>
      <c r="KZO265" s="95"/>
      <c r="KZP265" s="95"/>
      <c r="KZQ265" s="95"/>
      <c r="KZR265" s="95"/>
      <c r="KZS265" s="95"/>
      <c r="KZT265" s="95"/>
      <c r="KZU265" s="95"/>
      <c r="KZV265" s="95"/>
      <c r="KZW265" s="95"/>
      <c r="KZX265" s="95"/>
      <c r="KZY265" s="95"/>
      <c r="KZZ265" s="95"/>
      <c r="LAA265" s="95"/>
      <c r="LAB265" s="95"/>
      <c r="LAC265" s="95"/>
      <c r="LAD265" s="95"/>
      <c r="LAE265" s="95"/>
      <c r="LAF265" s="95"/>
      <c r="LAG265" s="95"/>
      <c r="LAH265" s="95"/>
      <c r="LAI265" s="95"/>
      <c r="LAJ265" s="95"/>
      <c r="LAK265" s="95"/>
      <c r="LAL265" s="95"/>
      <c r="LAM265" s="95"/>
      <c r="LAN265" s="95"/>
      <c r="LAO265" s="95"/>
      <c r="LAP265" s="95"/>
      <c r="LAQ265" s="95"/>
      <c r="LAR265" s="95"/>
      <c r="LAS265" s="95"/>
      <c r="LAT265" s="95"/>
      <c r="LAU265" s="95"/>
      <c r="LAV265" s="95"/>
      <c r="LAW265" s="95"/>
      <c r="LAX265" s="95"/>
      <c r="LAY265" s="95"/>
      <c r="LAZ265" s="95"/>
      <c r="LBA265" s="95"/>
      <c r="LBB265" s="95"/>
      <c r="LBC265" s="95"/>
      <c r="LBD265" s="95"/>
      <c r="LBE265" s="95"/>
      <c r="LBF265" s="95"/>
      <c r="LBG265" s="95"/>
      <c r="LBH265" s="95"/>
      <c r="LBI265" s="95"/>
      <c r="LBJ265" s="95"/>
      <c r="LBK265" s="95"/>
      <c r="LBL265" s="95"/>
      <c r="LBM265" s="95"/>
      <c r="LBN265" s="95"/>
      <c r="LBO265" s="95"/>
      <c r="LBP265" s="95"/>
      <c r="LBQ265" s="95"/>
      <c r="LBR265" s="95"/>
      <c r="LBS265" s="95"/>
      <c r="LBT265" s="95"/>
      <c r="LBU265" s="95"/>
      <c r="LBV265" s="95"/>
      <c r="LBW265" s="95"/>
      <c r="LBX265" s="95"/>
      <c r="LBY265" s="95"/>
      <c r="LBZ265" s="95"/>
      <c r="LCA265" s="95"/>
      <c r="LCB265" s="95"/>
      <c r="LCC265" s="95"/>
      <c r="LCD265" s="95"/>
      <c r="LCE265" s="95"/>
      <c r="LCF265" s="95"/>
      <c r="LCG265" s="95"/>
      <c r="LCH265" s="95"/>
      <c r="LCI265" s="95"/>
      <c r="LCJ265" s="95"/>
      <c r="LCK265" s="95"/>
      <c r="LCL265" s="95"/>
      <c r="LCM265" s="95"/>
      <c r="LCN265" s="95"/>
      <c r="LCO265" s="95"/>
      <c r="LCP265" s="95"/>
      <c r="LCQ265" s="95"/>
      <c r="LCR265" s="95"/>
      <c r="LCS265" s="95"/>
      <c r="LCT265" s="95"/>
      <c r="LCU265" s="95"/>
      <c r="LCV265" s="95"/>
      <c r="LCW265" s="95"/>
      <c r="LCX265" s="95"/>
      <c r="LCY265" s="95"/>
      <c r="LCZ265" s="95"/>
      <c r="LDA265" s="95"/>
      <c r="LDB265" s="95"/>
      <c r="LDC265" s="95"/>
      <c r="LDD265" s="95"/>
      <c r="LDE265" s="95"/>
      <c r="LDF265" s="95"/>
      <c r="LDG265" s="95"/>
      <c r="LDH265" s="95"/>
      <c r="LDI265" s="95"/>
      <c r="LDJ265" s="95"/>
      <c r="LDK265" s="95"/>
      <c r="LDL265" s="95"/>
      <c r="LDM265" s="95"/>
      <c r="LDN265" s="95"/>
      <c r="LDO265" s="95"/>
      <c r="LDP265" s="95"/>
      <c r="LDQ265" s="95"/>
      <c r="LDR265" s="95"/>
      <c r="LDS265" s="95"/>
      <c r="LDT265" s="95"/>
      <c r="LDU265" s="95"/>
      <c r="LDV265" s="95"/>
      <c r="LDW265" s="95"/>
      <c r="LDX265" s="95"/>
      <c r="LDY265" s="95"/>
      <c r="LDZ265" s="95"/>
      <c r="LEA265" s="95"/>
      <c r="LEB265" s="95"/>
      <c r="LEC265" s="95"/>
      <c r="LED265" s="95"/>
      <c r="LEE265" s="95"/>
      <c r="LEF265" s="95"/>
      <c r="LEG265" s="95"/>
      <c r="LEH265" s="95"/>
      <c r="LEI265" s="95"/>
      <c r="LEJ265" s="95"/>
      <c r="LEK265" s="95"/>
      <c r="LEL265" s="95"/>
      <c r="LEM265" s="95"/>
      <c r="LEN265" s="95"/>
      <c r="LEO265" s="95"/>
      <c r="LEP265" s="95"/>
      <c r="LEQ265" s="95"/>
      <c r="LER265" s="95"/>
      <c r="LES265" s="95"/>
      <c r="LET265" s="95"/>
      <c r="LEU265" s="95"/>
      <c r="LEV265" s="95"/>
      <c r="LEW265" s="95"/>
      <c r="LEX265" s="95"/>
      <c r="LEY265" s="95"/>
      <c r="LEZ265" s="95"/>
      <c r="LFA265" s="95"/>
      <c r="LFB265" s="95"/>
      <c r="LFC265" s="95"/>
      <c r="LFD265" s="95"/>
      <c r="LFE265" s="95"/>
      <c r="LFF265" s="95"/>
      <c r="LFG265" s="95"/>
      <c r="LFH265" s="95"/>
      <c r="LFI265" s="95"/>
      <c r="LFJ265" s="95"/>
      <c r="LFK265" s="95"/>
      <c r="LFL265" s="95"/>
      <c r="LFM265" s="95"/>
      <c r="LFN265" s="95"/>
      <c r="LFO265" s="95"/>
      <c r="LFP265" s="95"/>
      <c r="LFQ265" s="95"/>
      <c r="LFR265" s="95"/>
      <c r="LFS265" s="95"/>
      <c r="LFT265" s="95"/>
      <c r="LFU265" s="95"/>
      <c r="LFV265" s="95"/>
      <c r="LFW265" s="95"/>
      <c r="LFX265" s="95"/>
      <c r="LFY265" s="95"/>
      <c r="LFZ265" s="95"/>
      <c r="LGA265" s="95"/>
      <c r="LGB265" s="95"/>
      <c r="LGC265" s="95"/>
      <c r="LGD265" s="95"/>
      <c r="LGE265" s="95"/>
      <c r="LGF265" s="95"/>
      <c r="LGG265" s="95"/>
      <c r="LGH265" s="95"/>
      <c r="LGI265" s="95"/>
      <c r="LGJ265" s="95"/>
      <c r="LGK265" s="95"/>
      <c r="LGL265" s="95"/>
      <c r="LGM265" s="95"/>
      <c r="LGN265" s="95"/>
      <c r="LGO265" s="95"/>
      <c r="LGP265" s="95"/>
      <c r="LGQ265" s="95"/>
      <c r="LGR265" s="95"/>
      <c r="LGS265" s="95"/>
      <c r="LGT265" s="95"/>
      <c r="LGU265" s="95"/>
      <c r="LGV265" s="95"/>
      <c r="LGW265" s="95"/>
      <c r="LGX265" s="95"/>
      <c r="LGY265" s="95"/>
      <c r="LGZ265" s="95"/>
      <c r="LHA265" s="95"/>
      <c r="LHB265" s="95"/>
      <c r="LHC265" s="95"/>
      <c r="LHD265" s="95"/>
      <c r="LHE265" s="95"/>
      <c r="LHF265" s="95"/>
      <c r="LHG265" s="95"/>
      <c r="LHH265" s="95"/>
      <c r="LHI265" s="95"/>
      <c r="LHJ265" s="95"/>
      <c r="LHK265" s="95"/>
      <c r="LHL265" s="95"/>
      <c r="LHM265" s="95"/>
      <c r="LHN265" s="95"/>
      <c r="LHO265" s="95"/>
      <c r="LHP265" s="95"/>
      <c r="LHQ265" s="95"/>
      <c r="LHR265" s="95"/>
      <c r="LHS265" s="95"/>
      <c r="LHT265" s="95"/>
      <c r="LHU265" s="95"/>
      <c r="LHV265" s="95"/>
      <c r="LHW265" s="95"/>
      <c r="LHX265" s="95"/>
      <c r="LHY265" s="95"/>
      <c r="LHZ265" s="95"/>
      <c r="LIA265" s="95"/>
      <c r="LIB265" s="95"/>
      <c r="LIC265" s="95"/>
      <c r="LID265" s="95"/>
      <c r="LIE265" s="95"/>
      <c r="LIF265" s="95"/>
      <c r="LIG265" s="95"/>
      <c r="LIH265" s="95"/>
      <c r="LII265" s="95"/>
      <c r="LIJ265" s="95"/>
      <c r="LIK265" s="95"/>
      <c r="LIL265" s="95"/>
      <c r="LIM265" s="95"/>
      <c r="LIN265" s="95"/>
      <c r="LIO265" s="95"/>
      <c r="LIP265" s="95"/>
      <c r="LIQ265" s="95"/>
      <c r="LIR265" s="95"/>
      <c r="LIS265" s="95"/>
      <c r="LIT265" s="95"/>
      <c r="LIU265" s="95"/>
      <c r="LIV265" s="95"/>
      <c r="LIW265" s="95"/>
      <c r="LIX265" s="95"/>
      <c r="LIY265" s="95"/>
      <c r="LIZ265" s="95"/>
      <c r="LJA265" s="95"/>
      <c r="LJB265" s="95"/>
      <c r="LJC265" s="95"/>
      <c r="LJD265" s="95"/>
      <c r="LJE265" s="95"/>
      <c r="LJF265" s="95"/>
      <c r="LJG265" s="95"/>
      <c r="LJH265" s="95"/>
      <c r="LJI265" s="95"/>
      <c r="LJJ265" s="95"/>
      <c r="LJK265" s="95"/>
      <c r="LJL265" s="95"/>
      <c r="LJM265" s="95"/>
      <c r="LJN265" s="95"/>
      <c r="LJO265" s="95"/>
      <c r="LJP265" s="95"/>
      <c r="LJQ265" s="95"/>
      <c r="LJR265" s="95"/>
      <c r="LJS265" s="95"/>
      <c r="LJT265" s="95"/>
      <c r="LJU265" s="95"/>
      <c r="LJV265" s="95"/>
      <c r="LJW265" s="95"/>
      <c r="LJX265" s="95"/>
      <c r="LJY265" s="95"/>
      <c r="LJZ265" s="95"/>
      <c r="LKA265" s="95"/>
      <c r="LKB265" s="95"/>
      <c r="LKC265" s="95"/>
      <c r="LKD265" s="95"/>
      <c r="LKE265" s="95"/>
      <c r="LKF265" s="95"/>
      <c r="LKG265" s="95"/>
      <c r="LKH265" s="95"/>
      <c r="LKI265" s="95"/>
      <c r="LKJ265" s="95"/>
      <c r="LKK265" s="95"/>
      <c r="LKL265" s="95"/>
      <c r="LKM265" s="95"/>
      <c r="LKN265" s="95"/>
      <c r="LKO265" s="95"/>
      <c r="LKP265" s="95"/>
      <c r="LKQ265" s="95"/>
      <c r="LKR265" s="95"/>
      <c r="LKS265" s="95"/>
      <c r="LKT265" s="95"/>
      <c r="LKU265" s="95"/>
      <c r="LKV265" s="95"/>
      <c r="LKW265" s="95"/>
      <c r="LKX265" s="95"/>
      <c r="LKY265" s="95"/>
      <c r="LKZ265" s="95"/>
      <c r="LLA265" s="95"/>
      <c r="LLB265" s="95"/>
      <c r="LLC265" s="95"/>
      <c r="LLD265" s="95"/>
      <c r="LLE265" s="95"/>
      <c r="LLF265" s="95"/>
      <c r="LLG265" s="95"/>
      <c r="LLH265" s="95"/>
      <c r="LLI265" s="95"/>
      <c r="LLJ265" s="95"/>
      <c r="LLK265" s="95"/>
      <c r="LLL265" s="95"/>
      <c r="LLM265" s="95"/>
      <c r="LLN265" s="95"/>
      <c r="LLO265" s="95"/>
      <c r="LLP265" s="95"/>
      <c r="LLQ265" s="95"/>
      <c r="LLR265" s="95"/>
      <c r="LLS265" s="95"/>
      <c r="LLT265" s="95"/>
      <c r="LLU265" s="95"/>
      <c r="LLV265" s="95"/>
      <c r="LLW265" s="95"/>
      <c r="LLX265" s="95"/>
      <c r="LLY265" s="95"/>
      <c r="LLZ265" s="95"/>
      <c r="LMA265" s="95"/>
      <c r="LMB265" s="95"/>
      <c r="LMC265" s="95"/>
      <c r="LMD265" s="95"/>
      <c r="LME265" s="95"/>
      <c r="LMF265" s="95"/>
      <c r="LMG265" s="95"/>
      <c r="LMH265" s="95"/>
      <c r="LMI265" s="95"/>
      <c r="LMJ265" s="95"/>
      <c r="LMK265" s="95"/>
      <c r="LML265" s="95"/>
      <c r="LMM265" s="95"/>
      <c r="LMN265" s="95"/>
      <c r="LMO265" s="95"/>
      <c r="LMP265" s="95"/>
      <c r="LMQ265" s="95"/>
      <c r="LMR265" s="95"/>
      <c r="LMS265" s="95"/>
      <c r="LMT265" s="95"/>
      <c r="LMU265" s="95"/>
      <c r="LMV265" s="95"/>
      <c r="LMW265" s="95"/>
      <c r="LMX265" s="95"/>
      <c r="LMY265" s="95"/>
      <c r="LMZ265" s="95"/>
      <c r="LNA265" s="95"/>
      <c r="LNB265" s="95"/>
      <c r="LNC265" s="95"/>
      <c r="LND265" s="95"/>
      <c r="LNE265" s="95"/>
      <c r="LNF265" s="95"/>
      <c r="LNG265" s="95"/>
      <c r="LNH265" s="95"/>
      <c r="LNI265" s="95"/>
      <c r="LNJ265" s="95"/>
      <c r="LNK265" s="95"/>
      <c r="LNL265" s="95"/>
      <c r="LNM265" s="95"/>
      <c r="LNN265" s="95"/>
      <c r="LNO265" s="95"/>
      <c r="LNP265" s="95"/>
      <c r="LNQ265" s="95"/>
      <c r="LNR265" s="95"/>
      <c r="LNS265" s="95"/>
      <c r="LNT265" s="95"/>
      <c r="LNU265" s="95"/>
      <c r="LNV265" s="95"/>
      <c r="LNW265" s="95"/>
      <c r="LNX265" s="95"/>
      <c r="LNY265" s="95"/>
      <c r="LNZ265" s="95"/>
      <c r="LOA265" s="95"/>
      <c r="LOB265" s="95"/>
      <c r="LOC265" s="95"/>
      <c r="LOD265" s="95"/>
      <c r="LOE265" s="95"/>
      <c r="LOF265" s="95"/>
      <c r="LOG265" s="95"/>
      <c r="LOH265" s="95"/>
      <c r="LOI265" s="95"/>
      <c r="LOJ265" s="95"/>
      <c r="LOK265" s="95"/>
      <c r="LOL265" s="95"/>
      <c r="LOM265" s="95"/>
      <c r="LON265" s="95"/>
      <c r="LOO265" s="95"/>
      <c r="LOP265" s="95"/>
      <c r="LOQ265" s="95"/>
      <c r="LOR265" s="95"/>
      <c r="LOS265" s="95"/>
      <c r="LOT265" s="95"/>
      <c r="LOU265" s="95"/>
      <c r="LOV265" s="95"/>
      <c r="LOW265" s="95"/>
      <c r="LOX265" s="95"/>
      <c r="LOY265" s="95"/>
      <c r="LOZ265" s="95"/>
      <c r="LPA265" s="95"/>
      <c r="LPB265" s="95"/>
      <c r="LPC265" s="95"/>
      <c r="LPD265" s="95"/>
      <c r="LPE265" s="95"/>
      <c r="LPF265" s="95"/>
      <c r="LPG265" s="95"/>
      <c r="LPH265" s="95"/>
      <c r="LPI265" s="95"/>
      <c r="LPJ265" s="95"/>
      <c r="LPK265" s="95"/>
      <c r="LPL265" s="95"/>
      <c r="LPM265" s="95"/>
      <c r="LPN265" s="95"/>
      <c r="LPO265" s="95"/>
      <c r="LPP265" s="95"/>
      <c r="LPQ265" s="95"/>
      <c r="LPR265" s="95"/>
      <c r="LPS265" s="95"/>
      <c r="LPT265" s="95"/>
      <c r="LPU265" s="95"/>
      <c r="LPV265" s="95"/>
      <c r="LPW265" s="95"/>
      <c r="LPX265" s="95"/>
      <c r="LPY265" s="95"/>
      <c r="LPZ265" s="95"/>
      <c r="LQA265" s="95"/>
      <c r="LQB265" s="95"/>
      <c r="LQC265" s="95"/>
      <c r="LQD265" s="95"/>
      <c r="LQE265" s="95"/>
      <c r="LQF265" s="95"/>
      <c r="LQG265" s="95"/>
      <c r="LQH265" s="95"/>
      <c r="LQI265" s="95"/>
      <c r="LQJ265" s="95"/>
      <c r="LQK265" s="95"/>
      <c r="LQL265" s="95"/>
      <c r="LQM265" s="95"/>
      <c r="LQN265" s="95"/>
      <c r="LQO265" s="95"/>
      <c r="LQP265" s="95"/>
      <c r="LQQ265" s="95"/>
      <c r="LQR265" s="95"/>
      <c r="LQS265" s="95"/>
      <c r="LQT265" s="95"/>
      <c r="LQU265" s="95"/>
      <c r="LQV265" s="95"/>
      <c r="LQW265" s="95"/>
      <c r="LQX265" s="95"/>
      <c r="LQY265" s="95"/>
      <c r="LQZ265" s="95"/>
      <c r="LRA265" s="95"/>
      <c r="LRB265" s="95"/>
      <c r="LRC265" s="95"/>
      <c r="LRD265" s="95"/>
      <c r="LRE265" s="95"/>
      <c r="LRF265" s="95"/>
      <c r="LRG265" s="95"/>
      <c r="LRH265" s="95"/>
      <c r="LRI265" s="95"/>
      <c r="LRJ265" s="95"/>
      <c r="LRK265" s="95"/>
      <c r="LRL265" s="95"/>
      <c r="LRM265" s="95"/>
      <c r="LRN265" s="95"/>
      <c r="LRO265" s="95"/>
      <c r="LRP265" s="95"/>
      <c r="LRQ265" s="95"/>
      <c r="LRR265" s="95"/>
      <c r="LRS265" s="95"/>
      <c r="LRT265" s="95"/>
      <c r="LRU265" s="95"/>
      <c r="LRV265" s="95"/>
      <c r="LRW265" s="95"/>
      <c r="LRX265" s="95"/>
      <c r="LRY265" s="95"/>
      <c r="LRZ265" s="95"/>
      <c r="LSA265" s="95"/>
      <c r="LSB265" s="95"/>
      <c r="LSC265" s="95"/>
      <c r="LSD265" s="95"/>
      <c r="LSE265" s="95"/>
      <c r="LSF265" s="95"/>
      <c r="LSG265" s="95"/>
      <c r="LSH265" s="95"/>
      <c r="LSI265" s="95"/>
      <c r="LSJ265" s="95"/>
      <c r="LSK265" s="95"/>
      <c r="LSL265" s="95"/>
      <c r="LSM265" s="95"/>
      <c r="LSN265" s="95"/>
      <c r="LSO265" s="95"/>
      <c r="LSP265" s="95"/>
      <c r="LSQ265" s="95"/>
      <c r="LSR265" s="95"/>
      <c r="LSS265" s="95"/>
      <c r="LST265" s="95"/>
      <c r="LSU265" s="95"/>
      <c r="LSV265" s="95"/>
      <c r="LSW265" s="95"/>
      <c r="LSX265" s="95"/>
      <c r="LSY265" s="95"/>
      <c r="LSZ265" s="95"/>
      <c r="LTA265" s="95"/>
      <c r="LTB265" s="95"/>
      <c r="LTC265" s="95"/>
      <c r="LTD265" s="95"/>
      <c r="LTE265" s="95"/>
      <c r="LTF265" s="95"/>
      <c r="LTG265" s="95"/>
      <c r="LTH265" s="95"/>
      <c r="LTI265" s="95"/>
      <c r="LTJ265" s="95"/>
      <c r="LTK265" s="95"/>
      <c r="LTL265" s="95"/>
      <c r="LTM265" s="95"/>
      <c r="LTN265" s="95"/>
      <c r="LTO265" s="95"/>
      <c r="LTP265" s="95"/>
      <c r="LTQ265" s="95"/>
      <c r="LTR265" s="95"/>
      <c r="LTS265" s="95"/>
      <c r="LTT265" s="95"/>
      <c r="LTU265" s="95"/>
      <c r="LTV265" s="95"/>
      <c r="LTW265" s="95"/>
      <c r="LTX265" s="95"/>
      <c r="LTY265" s="95"/>
      <c r="LTZ265" s="95"/>
      <c r="LUA265" s="95"/>
      <c r="LUB265" s="95"/>
      <c r="LUC265" s="95"/>
      <c r="LUD265" s="95"/>
      <c r="LUE265" s="95"/>
      <c r="LUF265" s="95"/>
      <c r="LUG265" s="95"/>
      <c r="LUH265" s="95"/>
      <c r="LUI265" s="95"/>
      <c r="LUJ265" s="95"/>
      <c r="LUK265" s="95"/>
      <c r="LUL265" s="95"/>
      <c r="LUM265" s="95"/>
      <c r="LUN265" s="95"/>
      <c r="LUO265" s="95"/>
      <c r="LUP265" s="95"/>
      <c r="LUQ265" s="95"/>
      <c r="LUR265" s="95"/>
      <c r="LUS265" s="95"/>
      <c r="LUT265" s="95"/>
      <c r="LUU265" s="95"/>
      <c r="LUV265" s="95"/>
      <c r="LUW265" s="95"/>
      <c r="LUX265" s="95"/>
      <c r="LUY265" s="95"/>
      <c r="LUZ265" s="95"/>
      <c r="LVA265" s="95"/>
      <c r="LVB265" s="95"/>
      <c r="LVC265" s="95"/>
      <c r="LVD265" s="95"/>
      <c r="LVE265" s="95"/>
      <c r="LVF265" s="95"/>
      <c r="LVG265" s="95"/>
      <c r="LVH265" s="95"/>
      <c r="LVI265" s="95"/>
      <c r="LVJ265" s="95"/>
      <c r="LVK265" s="95"/>
      <c r="LVL265" s="95"/>
      <c r="LVM265" s="95"/>
      <c r="LVN265" s="95"/>
      <c r="LVO265" s="95"/>
      <c r="LVP265" s="95"/>
      <c r="LVQ265" s="95"/>
      <c r="LVR265" s="95"/>
      <c r="LVS265" s="95"/>
      <c r="LVT265" s="95"/>
      <c r="LVU265" s="95"/>
      <c r="LVV265" s="95"/>
      <c r="LVW265" s="95"/>
      <c r="LVX265" s="95"/>
      <c r="LVY265" s="95"/>
      <c r="LVZ265" s="95"/>
      <c r="LWA265" s="95"/>
      <c r="LWB265" s="95"/>
      <c r="LWC265" s="95"/>
      <c r="LWD265" s="95"/>
      <c r="LWE265" s="95"/>
      <c r="LWF265" s="95"/>
      <c r="LWG265" s="95"/>
      <c r="LWH265" s="95"/>
      <c r="LWI265" s="95"/>
      <c r="LWJ265" s="95"/>
      <c r="LWK265" s="95"/>
      <c r="LWL265" s="95"/>
      <c r="LWM265" s="95"/>
      <c r="LWN265" s="95"/>
      <c r="LWO265" s="95"/>
      <c r="LWP265" s="95"/>
      <c r="LWQ265" s="95"/>
      <c r="LWR265" s="95"/>
      <c r="LWS265" s="95"/>
      <c r="LWT265" s="95"/>
      <c r="LWU265" s="95"/>
      <c r="LWV265" s="95"/>
      <c r="LWW265" s="95"/>
      <c r="LWX265" s="95"/>
      <c r="LWY265" s="95"/>
      <c r="LWZ265" s="95"/>
      <c r="LXA265" s="95"/>
      <c r="LXB265" s="95"/>
      <c r="LXC265" s="95"/>
      <c r="LXD265" s="95"/>
      <c r="LXE265" s="95"/>
      <c r="LXF265" s="95"/>
      <c r="LXG265" s="95"/>
      <c r="LXH265" s="95"/>
      <c r="LXI265" s="95"/>
      <c r="LXJ265" s="95"/>
      <c r="LXK265" s="95"/>
      <c r="LXL265" s="95"/>
      <c r="LXM265" s="95"/>
      <c r="LXN265" s="95"/>
      <c r="LXO265" s="95"/>
      <c r="LXP265" s="95"/>
      <c r="LXQ265" s="95"/>
      <c r="LXR265" s="95"/>
      <c r="LXS265" s="95"/>
      <c r="LXT265" s="95"/>
      <c r="LXU265" s="95"/>
      <c r="LXV265" s="95"/>
      <c r="LXW265" s="95"/>
      <c r="LXX265" s="95"/>
      <c r="LXY265" s="95"/>
      <c r="LXZ265" s="95"/>
      <c r="LYA265" s="95"/>
      <c r="LYB265" s="95"/>
      <c r="LYC265" s="95"/>
      <c r="LYD265" s="95"/>
      <c r="LYE265" s="95"/>
      <c r="LYF265" s="95"/>
      <c r="LYG265" s="95"/>
      <c r="LYH265" s="95"/>
      <c r="LYI265" s="95"/>
      <c r="LYJ265" s="95"/>
      <c r="LYK265" s="95"/>
      <c r="LYL265" s="95"/>
      <c r="LYM265" s="95"/>
      <c r="LYN265" s="95"/>
      <c r="LYO265" s="95"/>
      <c r="LYP265" s="95"/>
      <c r="LYQ265" s="95"/>
      <c r="LYR265" s="95"/>
      <c r="LYS265" s="95"/>
      <c r="LYT265" s="95"/>
      <c r="LYU265" s="95"/>
      <c r="LYV265" s="95"/>
      <c r="LYW265" s="95"/>
      <c r="LYX265" s="95"/>
      <c r="LYY265" s="95"/>
      <c r="LYZ265" s="95"/>
      <c r="LZA265" s="95"/>
      <c r="LZB265" s="95"/>
      <c r="LZC265" s="95"/>
      <c r="LZD265" s="95"/>
      <c r="LZE265" s="95"/>
      <c r="LZF265" s="95"/>
      <c r="LZG265" s="95"/>
      <c r="LZH265" s="95"/>
      <c r="LZI265" s="95"/>
      <c r="LZJ265" s="95"/>
      <c r="LZK265" s="95"/>
      <c r="LZL265" s="95"/>
      <c r="LZM265" s="95"/>
      <c r="LZN265" s="95"/>
      <c r="LZO265" s="95"/>
      <c r="LZP265" s="95"/>
      <c r="LZQ265" s="95"/>
      <c r="LZR265" s="95"/>
      <c r="LZS265" s="95"/>
      <c r="LZT265" s="95"/>
      <c r="LZU265" s="95"/>
      <c r="LZV265" s="95"/>
      <c r="LZW265" s="95"/>
      <c r="LZX265" s="95"/>
      <c r="LZY265" s="95"/>
      <c r="LZZ265" s="95"/>
      <c r="MAA265" s="95"/>
      <c r="MAB265" s="95"/>
      <c r="MAC265" s="95"/>
      <c r="MAD265" s="95"/>
      <c r="MAE265" s="95"/>
      <c r="MAF265" s="95"/>
      <c r="MAG265" s="95"/>
      <c r="MAH265" s="95"/>
      <c r="MAI265" s="95"/>
      <c r="MAJ265" s="95"/>
      <c r="MAK265" s="95"/>
      <c r="MAL265" s="95"/>
      <c r="MAM265" s="95"/>
      <c r="MAN265" s="95"/>
      <c r="MAO265" s="95"/>
      <c r="MAP265" s="95"/>
      <c r="MAQ265" s="95"/>
      <c r="MAR265" s="95"/>
      <c r="MAS265" s="95"/>
      <c r="MAT265" s="95"/>
      <c r="MAU265" s="95"/>
      <c r="MAV265" s="95"/>
      <c r="MAW265" s="95"/>
      <c r="MAX265" s="95"/>
      <c r="MAY265" s="95"/>
      <c r="MAZ265" s="95"/>
      <c r="MBA265" s="95"/>
      <c r="MBB265" s="95"/>
      <c r="MBC265" s="95"/>
      <c r="MBD265" s="95"/>
      <c r="MBE265" s="95"/>
      <c r="MBF265" s="95"/>
      <c r="MBG265" s="95"/>
      <c r="MBH265" s="95"/>
      <c r="MBI265" s="95"/>
      <c r="MBJ265" s="95"/>
      <c r="MBK265" s="95"/>
      <c r="MBL265" s="95"/>
      <c r="MBM265" s="95"/>
      <c r="MBN265" s="95"/>
      <c r="MBO265" s="95"/>
      <c r="MBP265" s="95"/>
      <c r="MBQ265" s="95"/>
      <c r="MBR265" s="95"/>
      <c r="MBS265" s="95"/>
      <c r="MBT265" s="95"/>
      <c r="MBU265" s="95"/>
      <c r="MBV265" s="95"/>
      <c r="MBW265" s="95"/>
      <c r="MBX265" s="95"/>
      <c r="MBY265" s="95"/>
      <c r="MBZ265" s="95"/>
      <c r="MCA265" s="95"/>
      <c r="MCB265" s="95"/>
      <c r="MCC265" s="95"/>
      <c r="MCD265" s="95"/>
      <c r="MCE265" s="95"/>
      <c r="MCF265" s="95"/>
      <c r="MCG265" s="95"/>
      <c r="MCH265" s="95"/>
      <c r="MCI265" s="95"/>
      <c r="MCJ265" s="95"/>
      <c r="MCK265" s="95"/>
      <c r="MCL265" s="95"/>
      <c r="MCM265" s="95"/>
      <c r="MCN265" s="95"/>
      <c r="MCO265" s="95"/>
      <c r="MCP265" s="95"/>
      <c r="MCQ265" s="95"/>
      <c r="MCR265" s="95"/>
      <c r="MCS265" s="95"/>
      <c r="MCT265" s="95"/>
      <c r="MCU265" s="95"/>
      <c r="MCV265" s="95"/>
      <c r="MCW265" s="95"/>
      <c r="MCX265" s="95"/>
      <c r="MCY265" s="95"/>
      <c r="MCZ265" s="95"/>
      <c r="MDA265" s="95"/>
      <c r="MDB265" s="95"/>
      <c r="MDC265" s="95"/>
      <c r="MDD265" s="95"/>
      <c r="MDE265" s="95"/>
      <c r="MDF265" s="95"/>
      <c r="MDG265" s="95"/>
      <c r="MDH265" s="95"/>
      <c r="MDI265" s="95"/>
      <c r="MDJ265" s="95"/>
      <c r="MDK265" s="95"/>
      <c r="MDL265" s="95"/>
      <c r="MDM265" s="95"/>
      <c r="MDN265" s="95"/>
      <c r="MDO265" s="95"/>
      <c r="MDP265" s="95"/>
      <c r="MDQ265" s="95"/>
      <c r="MDR265" s="95"/>
      <c r="MDS265" s="95"/>
      <c r="MDT265" s="95"/>
      <c r="MDU265" s="95"/>
      <c r="MDV265" s="95"/>
      <c r="MDW265" s="95"/>
      <c r="MDX265" s="95"/>
      <c r="MDY265" s="95"/>
      <c r="MDZ265" s="95"/>
      <c r="MEA265" s="95"/>
      <c r="MEB265" s="95"/>
      <c r="MEC265" s="95"/>
      <c r="MED265" s="95"/>
      <c r="MEE265" s="95"/>
      <c r="MEF265" s="95"/>
      <c r="MEG265" s="95"/>
      <c r="MEH265" s="95"/>
      <c r="MEI265" s="95"/>
      <c r="MEJ265" s="95"/>
      <c r="MEK265" s="95"/>
      <c r="MEL265" s="95"/>
      <c r="MEM265" s="95"/>
      <c r="MEN265" s="95"/>
      <c r="MEO265" s="95"/>
      <c r="MEP265" s="95"/>
      <c r="MEQ265" s="95"/>
      <c r="MER265" s="95"/>
      <c r="MES265" s="95"/>
      <c r="MET265" s="95"/>
      <c r="MEU265" s="95"/>
      <c r="MEV265" s="95"/>
      <c r="MEW265" s="95"/>
      <c r="MEX265" s="95"/>
      <c r="MEY265" s="95"/>
      <c r="MEZ265" s="95"/>
      <c r="MFA265" s="95"/>
      <c r="MFB265" s="95"/>
      <c r="MFC265" s="95"/>
      <c r="MFD265" s="95"/>
      <c r="MFE265" s="95"/>
      <c r="MFF265" s="95"/>
      <c r="MFG265" s="95"/>
      <c r="MFH265" s="95"/>
      <c r="MFI265" s="95"/>
      <c r="MFJ265" s="95"/>
      <c r="MFK265" s="95"/>
      <c r="MFL265" s="95"/>
      <c r="MFM265" s="95"/>
      <c r="MFN265" s="95"/>
      <c r="MFO265" s="95"/>
      <c r="MFP265" s="95"/>
      <c r="MFQ265" s="95"/>
      <c r="MFR265" s="95"/>
      <c r="MFS265" s="95"/>
      <c r="MFT265" s="95"/>
      <c r="MFU265" s="95"/>
      <c r="MFV265" s="95"/>
      <c r="MFW265" s="95"/>
      <c r="MFX265" s="95"/>
      <c r="MFY265" s="95"/>
      <c r="MFZ265" s="95"/>
      <c r="MGA265" s="95"/>
      <c r="MGB265" s="95"/>
      <c r="MGC265" s="95"/>
      <c r="MGD265" s="95"/>
      <c r="MGE265" s="95"/>
      <c r="MGF265" s="95"/>
      <c r="MGG265" s="95"/>
      <c r="MGH265" s="95"/>
      <c r="MGI265" s="95"/>
      <c r="MGJ265" s="95"/>
      <c r="MGK265" s="95"/>
      <c r="MGL265" s="95"/>
      <c r="MGM265" s="95"/>
      <c r="MGN265" s="95"/>
      <c r="MGO265" s="95"/>
      <c r="MGP265" s="95"/>
      <c r="MGQ265" s="95"/>
      <c r="MGR265" s="95"/>
      <c r="MGS265" s="95"/>
      <c r="MGT265" s="95"/>
      <c r="MGU265" s="95"/>
      <c r="MGV265" s="95"/>
      <c r="MGW265" s="95"/>
      <c r="MGX265" s="95"/>
      <c r="MGY265" s="95"/>
      <c r="MGZ265" s="95"/>
      <c r="MHA265" s="95"/>
      <c r="MHB265" s="95"/>
      <c r="MHC265" s="95"/>
      <c r="MHD265" s="95"/>
      <c r="MHE265" s="95"/>
      <c r="MHF265" s="95"/>
      <c r="MHG265" s="95"/>
      <c r="MHH265" s="95"/>
      <c r="MHI265" s="95"/>
      <c r="MHJ265" s="95"/>
      <c r="MHK265" s="95"/>
      <c r="MHL265" s="95"/>
      <c r="MHM265" s="95"/>
      <c r="MHN265" s="95"/>
      <c r="MHO265" s="95"/>
      <c r="MHP265" s="95"/>
      <c r="MHQ265" s="95"/>
      <c r="MHR265" s="95"/>
      <c r="MHS265" s="95"/>
      <c r="MHT265" s="95"/>
      <c r="MHU265" s="95"/>
      <c r="MHV265" s="95"/>
      <c r="MHW265" s="95"/>
      <c r="MHX265" s="95"/>
      <c r="MHY265" s="95"/>
      <c r="MHZ265" s="95"/>
      <c r="MIA265" s="95"/>
      <c r="MIB265" s="95"/>
      <c r="MIC265" s="95"/>
      <c r="MID265" s="95"/>
      <c r="MIE265" s="95"/>
      <c r="MIF265" s="95"/>
      <c r="MIG265" s="95"/>
      <c r="MIH265" s="95"/>
      <c r="MII265" s="95"/>
      <c r="MIJ265" s="95"/>
      <c r="MIK265" s="95"/>
      <c r="MIL265" s="95"/>
      <c r="MIM265" s="95"/>
      <c r="MIN265" s="95"/>
      <c r="MIO265" s="95"/>
      <c r="MIP265" s="95"/>
      <c r="MIQ265" s="95"/>
      <c r="MIR265" s="95"/>
      <c r="MIS265" s="95"/>
      <c r="MIT265" s="95"/>
      <c r="MIU265" s="95"/>
      <c r="MIV265" s="95"/>
      <c r="MIW265" s="95"/>
      <c r="MIX265" s="95"/>
      <c r="MIY265" s="95"/>
      <c r="MIZ265" s="95"/>
      <c r="MJA265" s="95"/>
      <c r="MJB265" s="95"/>
      <c r="MJC265" s="95"/>
      <c r="MJD265" s="95"/>
      <c r="MJE265" s="95"/>
      <c r="MJF265" s="95"/>
      <c r="MJG265" s="95"/>
      <c r="MJH265" s="95"/>
      <c r="MJI265" s="95"/>
      <c r="MJJ265" s="95"/>
      <c r="MJK265" s="95"/>
      <c r="MJL265" s="95"/>
      <c r="MJM265" s="95"/>
      <c r="MJN265" s="95"/>
      <c r="MJO265" s="95"/>
      <c r="MJP265" s="95"/>
      <c r="MJQ265" s="95"/>
      <c r="MJR265" s="95"/>
      <c r="MJS265" s="95"/>
      <c r="MJT265" s="95"/>
      <c r="MJU265" s="95"/>
      <c r="MJV265" s="95"/>
      <c r="MJW265" s="95"/>
      <c r="MJX265" s="95"/>
      <c r="MJY265" s="95"/>
      <c r="MJZ265" s="95"/>
      <c r="MKA265" s="95"/>
      <c r="MKB265" s="95"/>
      <c r="MKC265" s="95"/>
      <c r="MKD265" s="95"/>
      <c r="MKE265" s="95"/>
      <c r="MKF265" s="95"/>
      <c r="MKG265" s="95"/>
      <c r="MKH265" s="95"/>
      <c r="MKI265" s="95"/>
      <c r="MKJ265" s="95"/>
      <c r="MKK265" s="95"/>
      <c r="MKL265" s="95"/>
      <c r="MKM265" s="95"/>
      <c r="MKN265" s="95"/>
      <c r="MKO265" s="95"/>
      <c r="MKP265" s="95"/>
      <c r="MKQ265" s="95"/>
      <c r="MKR265" s="95"/>
      <c r="MKS265" s="95"/>
      <c r="MKT265" s="95"/>
      <c r="MKU265" s="95"/>
      <c r="MKV265" s="95"/>
      <c r="MKW265" s="95"/>
      <c r="MKX265" s="95"/>
      <c r="MKY265" s="95"/>
      <c r="MKZ265" s="95"/>
      <c r="MLA265" s="95"/>
      <c r="MLB265" s="95"/>
      <c r="MLC265" s="95"/>
      <c r="MLD265" s="95"/>
      <c r="MLE265" s="95"/>
      <c r="MLF265" s="95"/>
      <c r="MLG265" s="95"/>
      <c r="MLH265" s="95"/>
      <c r="MLI265" s="95"/>
      <c r="MLJ265" s="95"/>
      <c r="MLK265" s="95"/>
      <c r="MLL265" s="95"/>
      <c r="MLM265" s="95"/>
      <c r="MLN265" s="95"/>
      <c r="MLO265" s="95"/>
      <c r="MLP265" s="95"/>
      <c r="MLQ265" s="95"/>
      <c r="MLR265" s="95"/>
      <c r="MLS265" s="95"/>
      <c r="MLT265" s="95"/>
      <c r="MLU265" s="95"/>
      <c r="MLV265" s="95"/>
      <c r="MLW265" s="95"/>
      <c r="MLX265" s="95"/>
      <c r="MLY265" s="95"/>
      <c r="MLZ265" s="95"/>
      <c r="MMA265" s="95"/>
      <c r="MMB265" s="95"/>
      <c r="MMC265" s="95"/>
      <c r="MMD265" s="95"/>
      <c r="MME265" s="95"/>
      <c r="MMF265" s="95"/>
      <c r="MMG265" s="95"/>
      <c r="MMH265" s="95"/>
      <c r="MMI265" s="95"/>
      <c r="MMJ265" s="95"/>
      <c r="MMK265" s="95"/>
      <c r="MML265" s="95"/>
      <c r="MMM265" s="95"/>
      <c r="MMN265" s="95"/>
      <c r="MMO265" s="95"/>
      <c r="MMP265" s="95"/>
      <c r="MMQ265" s="95"/>
      <c r="MMR265" s="95"/>
      <c r="MMS265" s="95"/>
      <c r="MMT265" s="95"/>
      <c r="MMU265" s="95"/>
      <c r="MMV265" s="95"/>
      <c r="MMW265" s="95"/>
      <c r="MMX265" s="95"/>
      <c r="MMY265" s="95"/>
      <c r="MMZ265" s="95"/>
      <c r="MNA265" s="95"/>
      <c r="MNB265" s="95"/>
      <c r="MNC265" s="95"/>
      <c r="MND265" s="95"/>
      <c r="MNE265" s="95"/>
      <c r="MNF265" s="95"/>
      <c r="MNG265" s="95"/>
      <c r="MNH265" s="95"/>
      <c r="MNI265" s="95"/>
      <c r="MNJ265" s="95"/>
      <c r="MNK265" s="95"/>
      <c r="MNL265" s="95"/>
      <c r="MNM265" s="95"/>
      <c r="MNN265" s="95"/>
      <c r="MNO265" s="95"/>
      <c r="MNP265" s="95"/>
      <c r="MNQ265" s="95"/>
      <c r="MNR265" s="95"/>
      <c r="MNS265" s="95"/>
      <c r="MNT265" s="95"/>
      <c r="MNU265" s="95"/>
      <c r="MNV265" s="95"/>
      <c r="MNW265" s="95"/>
      <c r="MNX265" s="95"/>
      <c r="MNY265" s="95"/>
      <c r="MNZ265" s="95"/>
      <c r="MOA265" s="95"/>
      <c r="MOB265" s="95"/>
      <c r="MOC265" s="95"/>
      <c r="MOD265" s="95"/>
      <c r="MOE265" s="95"/>
      <c r="MOF265" s="95"/>
      <c r="MOG265" s="95"/>
      <c r="MOH265" s="95"/>
      <c r="MOI265" s="95"/>
      <c r="MOJ265" s="95"/>
      <c r="MOK265" s="95"/>
      <c r="MOL265" s="95"/>
      <c r="MOM265" s="95"/>
      <c r="MON265" s="95"/>
      <c r="MOO265" s="95"/>
      <c r="MOP265" s="95"/>
      <c r="MOQ265" s="95"/>
      <c r="MOR265" s="95"/>
      <c r="MOS265" s="95"/>
      <c r="MOT265" s="95"/>
      <c r="MOU265" s="95"/>
      <c r="MOV265" s="95"/>
      <c r="MOW265" s="95"/>
      <c r="MOX265" s="95"/>
      <c r="MOY265" s="95"/>
      <c r="MOZ265" s="95"/>
      <c r="MPA265" s="95"/>
      <c r="MPB265" s="95"/>
      <c r="MPC265" s="95"/>
      <c r="MPD265" s="95"/>
      <c r="MPE265" s="95"/>
      <c r="MPF265" s="95"/>
      <c r="MPG265" s="95"/>
      <c r="MPH265" s="95"/>
      <c r="MPI265" s="95"/>
      <c r="MPJ265" s="95"/>
      <c r="MPK265" s="95"/>
      <c r="MPL265" s="95"/>
      <c r="MPM265" s="95"/>
      <c r="MPN265" s="95"/>
      <c r="MPO265" s="95"/>
      <c r="MPP265" s="95"/>
      <c r="MPQ265" s="95"/>
      <c r="MPR265" s="95"/>
      <c r="MPS265" s="95"/>
      <c r="MPT265" s="95"/>
      <c r="MPU265" s="95"/>
      <c r="MPV265" s="95"/>
      <c r="MPW265" s="95"/>
      <c r="MPX265" s="95"/>
      <c r="MPY265" s="95"/>
      <c r="MPZ265" s="95"/>
      <c r="MQA265" s="95"/>
      <c r="MQB265" s="95"/>
      <c r="MQC265" s="95"/>
      <c r="MQD265" s="95"/>
      <c r="MQE265" s="95"/>
      <c r="MQF265" s="95"/>
      <c r="MQG265" s="95"/>
      <c r="MQH265" s="95"/>
      <c r="MQI265" s="95"/>
      <c r="MQJ265" s="95"/>
      <c r="MQK265" s="95"/>
      <c r="MQL265" s="95"/>
      <c r="MQM265" s="95"/>
      <c r="MQN265" s="95"/>
      <c r="MQO265" s="95"/>
      <c r="MQP265" s="95"/>
      <c r="MQQ265" s="95"/>
      <c r="MQR265" s="95"/>
      <c r="MQS265" s="95"/>
      <c r="MQT265" s="95"/>
      <c r="MQU265" s="95"/>
      <c r="MQV265" s="95"/>
      <c r="MQW265" s="95"/>
      <c r="MQX265" s="95"/>
      <c r="MQY265" s="95"/>
      <c r="MQZ265" s="95"/>
      <c r="MRA265" s="95"/>
      <c r="MRB265" s="95"/>
      <c r="MRC265" s="95"/>
      <c r="MRD265" s="95"/>
      <c r="MRE265" s="95"/>
      <c r="MRF265" s="95"/>
      <c r="MRG265" s="95"/>
      <c r="MRH265" s="95"/>
      <c r="MRI265" s="95"/>
      <c r="MRJ265" s="95"/>
      <c r="MRK265" s="95"/>
      <c r="MRL265" s="95"/>
      <c r="MRM265" s="95"/>
      <c r="MRN265" s="95"/>
      <c r="MRO265" s="95"/>
      <c r="MRP265" s="95"/>
      <c r="MRQ265" s="95"/>
      <c r="MRR265" s="95"/>
      <c r="MRS265" s="95"/>
      <c r="MRT265" s="95"/>
      <c r="MRU265" s="95"/>
      <c r="MRV265" s="95"/>
      <c r="MRW265" s="95"/>
      <c r="MRX265" s="95"/>
      <c r="MRY265" s="95"/>
      <c r="MRZ265" s="95"/>
      <c r="MSA265" s="95"/>
      <c r="MSB265" s="95"/>
      <c r="MSC265" s="95"/>
      <c r="MSD265" s="95"/>
      <c r="MSE265" s="95"/>
      <c r="MSF265" s="95"/>
      <c r="MSG265" s="95"/>
      <c r="MSH265" s="95"/>
      <c r="MSI265" s="95"/>
      <c r="MSJ265" s="95"/>
      <c r="MSK265" s="95"/>
      <c r="MSL265" s="95"/>
      <c r="MSM265" s="95"/>
      <c r="MSN265" s="95"/>
      <c r="MSO265" s="95"/>
      <c r="MSP265" s="95"/>
      <c r="MSQ265" s="95"/>
      <c r="MSR265" s="95"/>
      <c r="MSS265" s="95"/>
      <c r="MST265" s="95"/>
      <c r="MSU265" s="95"/>
      <c r="MSV265" s="95"/>
      <c r="MSW265" s="95"/>
      <c r="MSX265" s="95"/>
      <c r="MSY265" s="95"/>
      <c r="MSZ265" s="95"/>
      <c r="MTA265" s="95"/>
      <c r="MTB265" s="95"/>
      <c r="MTC265" s="95"/>
      <c r="MTD265" s="95"/>
      <c r="MTE265" s="95"/>
      <c r="MTF265" s="95"/>
      <c r="MTG265" s="95"/>
      <c r="MTH265" s="95"/>
      <c r="MTI265" s="95"/>
      <c r="MTJ265" s="95"/>
      <c r="MTK265" s="95"/>
      <c r="MTL265" s="95"/>
      <c r="MTM265" s="95"/>
      <c r="MTN265" s="95"/>
      <c r="MTO265" s="95"/>
      <c r="MTP265" s="95"/>
      <c r="MTQ265" s="95"/>
      <c r="MTR265" s="95"/>
      <c r="MTS265" s="95"/>
      <c r="MTT265" s="95"/>
      <c r="MTU265" s="95"/>
      <c r="MTV265" s="95"/>
      <c r="MTW265" s="95"/>
      <c r="MTX265" s="95"/>
      <c r="MTY265" s="95"/>
      <c r="MTZ265" s="95"/>
      <c r="MUA265" s="95"/>
      <c r="MUB265" s="95"/>
      <c r="MUC265" s="95"/>
      <c r="MUD265" s="95"/>
      <c r="MUE265" s="95"/>
      <c r="MUF265" s="95"/>
      <c r="MUG265" s="95"/>
      <c r="MUH265" s="95"/>
      <c r="MUI265" s="95"/>
      <c r="MUJ265" s="95"/>
      <c r="MUK265" s="95"/>
      <c r="MUL265" s="95"/>
      <c r="MUM265" s="95"/>
      <c r="MUN265" s="95"/>
      <c r="MUO265" s="95"/>
      <c r="MUP265" s="95"/>
      <c r="MUQ265" s="95"/>
      <c r="MUR265" s="95"/>
      <c r="MUS265" s="95"/>
      <c r="MUT265" s="95"/>
      <c r="MUU265" s="95"/>
      <c r="MUV265" s="95"/>
      <c r="MUW265" s="95"/>
      <c r="MUX265" s="95"/>
      <c r="MUY265" s="95"/>
      <c r="MUZ265" s="95"/>
      <c r="MVA265" s="95"/>
      <c r="MVB265" s="95"/>
      <c r="MVC265" s="95"/>
      <c r="MVD265" s="95"/>
      <c r="MVE265" s="95"/>
      <c r="MVF265" s="95"/>
      <c r="MVG265" s="95"/>
      <c r="MVH265" s="95"/>
      <c r="MVI265" s="95"/>
      <c r="MVJ265" s="95"/>
      <c r="MVK265" s="95"/>
      <c r="MVL265" s="95"/>
      <c r="MVM265" s="95"/>
      <c r="MVN265" s="95"/>
      <c r="MVO265" s="95"/>
      <c r="MVP265" s="95"/>
      <c r="MVQ265" s="95"/>
      <c r="MVR265" s="95"/>
      <c r="MVS265" s="95"/>
      <c r="MVT265" s="95"/>
      <c r="MVU265" s="95"/>
      <c r="MVV265" s="95"/>
      <c r="MVW265" s="95"/>
      <c r="MVX265" s="95"/>
      <c r="MVY265" s="95"/>
      <c r="MVZ265" s="95"/>
      <c r="MWA265" s="95"/>
      <c r="MWB265" s="95"/>
      <c r="MWC265" s="95"/>
      <c r="MWD265" s="95"/>
      <c r="MWE265" s="95"/>
      <c r="MWF265" s="95"/>
      <c r="MWG265" s="95"/>
      <c r="MWH265" s="95"/>
      <c r="MWI265" s="95"/>
      <c r="MWJ265" s="95"/>
      <c r="MWK265" s="95"/>
      <c r="MWL265" s="95"/>
      <c r="MWM265" s="95"/>
      <c r="MWN265" s="95"/>
      <c r="MWO265" s="95"/>
      <c r="MWP265" s="95"/>
      <c r="MWQ265" s="95"/>
      <c r="MWR265" s="95"/>
      <c r="MWS265" s="95"/>
      <c r="MWT265" s="95"/>
      <c r="MWU265" s="95"/>
      <c r="MWV265" s="95"/>
      <c r="MWW265" s="95"/>
      <c r="MWX265" s="95"/>
      <c r="MWY265" s="95"/>
      <c r="MWZ265" s="95"/>
      <c r="MXA265" s="95"/>
      <c r="MXB265" s="95"/>
      <c r="MXC265" s="95"/>
      <c r="MXD265" s="95"/>
      <c r="MXE265" s="95"/>
      <c r="MXF265" s="95"/>
      <c r="MXG265" s="95"/>
      <c r="MXH265" s="95"/>
      <c r="MXI265" s="95"/>
      <c r="MXJ265" s="95"/>
      <c r="MXK265" s="95"/>
      <c r="MXL265" s="95"/>
      <c r="MXM265" s="95"/>
      <c r="MXN265" s="95"/>
      <c r="MXO265" s="95"/>
      <c r="MXP265" s="95"/>
      <c r="MXQ265" s="95"/>
      <c r="MXR265" s="95"/>
      <c r="MXS265" s="95"/>
      <c r="MXT265" s="95"/>
      <c r="MXU265" s="95"/>
      <c r="MXV265" s="95"/>
      <c r="MXW265" s="95"/>
      <c r="MXX265" s="95"/>
      <c r="MXY265" s="95"/>
      <c r="MXZ265" s="95"/>
      <c r="MYA265" s="95"/>
      <c r="MYB265" s="95"/>
      <c r="MYC265" s="95"/>
      <c r="MYD265" s="95"/>
      <c r="MYE265" s="95"/>
      <c r="MYF265" s="95"/>
      <c r="MYG265" s="95"/>
      <c r="MYH265" s="95"/>
      <c r="MYI265" s="95"/>
      <c r="MYJ265" s="95"/>
      <c r="MYK265" s="95"/>
      <c r="MYL265" s="95"/>
      <c r="MYM265" s="95"/>
      <c r="MYN265" s="95"/>
      <c r="MYO265" s="95"/>
      <c r="MYP265" s="95"/>
      <c r="MYQ265" s="95"/>
      <c r="MYR265" s="95"/>
      <c r="MYS265" s="95"/>
      <c r="MYT265" s="95"/>
      <c r="MYU265" s="95"/>
      <c r="MYV265" s="95"/>
      <c r="MYW265" s="95"/>
      <c r="MYX265" s="95"/>
      <c r="MYY265" s="95"/>
      <c r="MYZ265" s="95"/>
      <c r="MZA265" s="95"/>
      <c r="MZB265" s="95"/>
      <c r="MZC265" s="95"/>
      <c r="MZD265" s="95"/>
      <c r="MZE265" s="95"/>
      <c r="MZF265" s="95"/>
      <c r="MZG265" s="95"/>
      <c r="MZH265" s="95"/>
      <c r="MZI265" s="95"/>
      <c r="MZJ265" s="95"/>
      <c r="MZK265" s="95"/>
      <c r="MZL265" s="95"/>
      <c r="MZM265" s="95"/>
      <c r="MZN265" s="95"/>
      <c r="MZO265" s="95"/>
      <c r="MZP265" s="95"/>
      <c r="MZQ265" s="95"/>
      <c r="MZR265" s="95"/>
      <c r="MZS265" s="95"/>
      <c r="MZT265" s="95"/>
      <c r="MZU265" s="95"/>
      <c r="MZV265" s="95"/>
      <c r="MZW265" s="95"/>
      <c r="MZX265" s="95"/>
      <c r="MZY265" s="95"/>
      <c r="MZZ265" s="95"/>
      <c r="NAA265" s="95"/>
      <c r="NAB265" s="95"/>
      <c r="NAC265" s="95"/>
      <c r="NAD265" s="95"/>
      <c r="NAE265" s="95"/>
      <c r="NAF265" s="95"/>
      <c r="NAG265" s="95"/>
      <c r="NAH265" s="95"/>
      <c r="NAI265" s="95"/>
      <c r="NAJ265" s="95"/>
      <c r="NAK265" s="95"/>
      <c r="NAL265" s="95"/>
      <c r="NAM265" s="95"/>
      <c r="NAN265" s="95"/>
      <c r="NAO265" s="95"/>
      <c r="NAP265" s="95"/>
      <c r="NAQ265" s="95"/>
      <c r="NAR265" s="95"/>
      <c r="NAS265" s="95"/>
      <c r="NAT265" s="95"/>
      <c r="NAU265" s="95"/>
      <c r="NAV265" s="95"/>
      <c r="NAW265" s="95"/>
      <c r="NAX265" s="95"/>
      <c r="NAY265" s="95"/>
      <c r="NAZ265" s="95"/>
      <c r="NBA265" s="95"/>
      <c r="NBB265" s="95"/>
      <c r="NBC265" s="95"/>
      <c r="NBD265" s="95"/>
      <c r="NBE265" s="95"/>
      <c r="NBF265" s="95"/>
      <c r="NBG265" s="95"/>
      <c r="NBH265" s="95"/>
      <c r="NBI265" s="95"/>
      <c r="NBJ265" s="95"/>
      <c r="NBK265" s="95"/>
      <c r="NBL265" s="95"/>
      <c r="NBM265" s="95"/>
      <c r="NBN265" s="95"/>
      <c r="NBO265" s="95"/>
      <c r="NBP265" s="95"/>
      <c r="NBQ265" s="95"/>
      <c r="NBR265" s="95"/>
      <c r="NBS265" s="95"/>
      <c r="NBT265" s="95"/>
      <c r="NBU265" s="95"/>
      <c r="NBV265" s="95"/>
      <c r="NBW265" s="95"/>
      <c r="NBX265" s="95"/>
      <c r="NBY265" s="95"/>
      <c r="NBZ265" s="95"/>
      <c r="NCA265" s="95"/>
      <c r="NCB265" s="95"/>
      <c r="NCC265" s="95"/>
      <c r="NCD265" s="95"/>
      <c r="NCE265" s="95"/>
      <c r="NCF265" s="95"/>
      <c r="NCG265" s="95"/>
      <c r="NCH265" s="95"/>
      <c r="NCI265" s="95"/>
      <c r="NCJ265" s="95"/>
      <c r="NCK265" s="95"/>
      <c r="NCL265" s="95"/>
      <c r="NCM265" s="95"/>
      <c r="NCN265" s="95"/>
      <c r="NCO265" s="95"/>
      <c r="NCP265" s="95"/>
      <c r="NCQ265" s="95"/>
      <c r="NCR265" s="95"/>
      <c r="NCS265" s="95"/>
      <c r="NCT265" s="95"/>
      <c r="NCU265" s="95"/>
      <c r="NCV265" s="95"/>
      <c r="NCW265" s="95"/>
      <c r="NCX265" s="95"/>
      <c r="NCY265" s="95"/>
      <c r="NCZ265" s="95"/>
      <c r="NDA265" s="95"/>
      <c r="NDB265" s="95"/>
      <c r="NDC265" s="95"/>
      <c r="NDD265" s="95"/>
      <c r="NDE265" s="95"/>
      <c r="NDF265" s="95"/>
      <c r="NDG265" s="95"/>
      <c r="NDH265" s="95"/>
      <c r="NDI265" s="95"/>
      <c r="NDJ265" s="95"/>
      <c r="NDK265" s="95"/>
      <c r="NDL265" s="95"/>
      <c r="NDM265" s="95"/>
      <c r="NDN265" s="95"/>
      <c r="NDO265" s="95"/>
      <c r="NDP265" s="95"/>
      <c r="NDQ265" s="95"/>
      <c r="NDR265" s="95"/>
      <c r="NDS265" s="95"/>
      <c r="NDT265" s="95"/>
      <c r="NDU265" s="95"/>
      <c r="NDV265" s="95"/>
      <c r="NDW265" s="95"/>
      <c r="NDX265" s="95"/>
      <c r="NDY265" s="95"/>
      <c r="NDZ265" s="95"/>
      <c r="NEA265" s="95"/>
      <c r="NEB265" s="95"/>
      <c r="NEC265" s="95"/>
      <c r="NED265" s="95"/>
      <c r="NEE265" s="95"/>
      <c r="NEF265" s="95"/>
      <c r="NEG265" s="95"/>
      <c r="NEH265" s="95"/>
      <c r="NEI265" s="95"/>
      <c r="NEJ265" s="95"/>
      <c r="NEK265" s="95"/>
      <c r="NEL265" s="95"/>
      <c r="NEM265" s="95"/>
      <c r="NEN265" s="95"/>
      <c r="NEO265" s="95"/>
      <c r="NEP265" s="95"/>
      <c r="NEQ265" s="95"/>
      <c r="NER265" s="95"/>
      <c r="NES265" s="95"/>
      <c r="NET265" s="95"/>
      <c r="NEU265" s="95"/>
      <c r="NEV265" s="95"/>
      <c r="NEW265" s="95"/>
      <c r="NEX265" s="95"/>
      <c r="NEY265" s="95"/>
      <c r="NEZ265" s="95"/>
      <c r="NFA265" s="95"/>
      <c r="NFB265" s="95"/>
      <c r="NFC265" s="95"/>
      <c r="NFD265" s="95"/>
      <c r="NFE265" s="95"/>
      <c r="NFF265" s="95"/>
      <c r="NFG265" s="95"/>
      <c r="NFH265" s="95"/>
      <c r="NFI265" s="95"/>
      <c r="NFJ265" s="95"/>
      <c r="NFK265" s="95"/>
      <c r="NFL265" s="95"/>
      <c r="NFM265" s="95"/>
      <c r="NFN265" s="95"/>
      <c r="NFO265" s="95"/>
      <c r="NFP265" s="95"/>
      <c r="NFQ265" s="95"/>
      <c r="NFR265" s="95"/>
      <c r="NFS265" s="95"/>
      <c r="NFT265" s="95"/>
      <c r="NFU265" s="95"/>
      <c r="NFV265" s="95"/>
      <c r="NFW265" s="95"/>
      <c r="NFX265" s="95"/>
      <c r="NFY265" s="95"/>
      <c r="NFZ265" s="95"/>
      <c r="NGA265" s="95"/>
      <c r="NGB265" s="95"/>
      <c r="NGC265" s="95"/>
      <c r="NGD265" s="95"/>
      <c r="NGE265" s="95"/>
      <c r="NGF265" s="95"/>
      <c r="NGG265" s="95"/>
      <c r="NGH265" s="95"/>
      <c r="NGI265" s="95"/>
      <c r="NGJ265" s="95"/>
      <c r="NGK265" s="95"/>
      <c r="NGL265" s="95"/>
      <c r="NGM265" s="95"/>
      <c r="NGN265" s="95"/>
      <c r="NGO265" s="95"/>
      <c r="NGP265" s="95"/>
      <c r="NGQ265" s="95"/>
      <c r="NGR265" s="95"/>
      <c r="NGS265" s="95"/>
      <c r="NGT265" s="95"/>
      <c r="NGU265" s="95"/>
      <c r="NGV265" s="95"/>
      <c r="NGW265" s="95"/>
      <c r="NGX265" s="95"/>
      <c r="NGY265" s="95"/>
      <c r="NGZ265" s="95"/>
      <c r="NHA265" s="95"/>
      <c r="NHB265" s="95"/>
      <c r="NHC265" s="95"/>
      <c r="NHD265" s="95"/>
      <c r="NHE265" s="95"/>
      <c r="NHF265" s="95"/>
      <c r="NHG265" s="95"/>
      <c r="NHH265" s="95"/>
      <c r="NHI265" s="95"/>
      <c r="NHJ265" s="95"/>
      <c r="NHK265" s="95"/>
      <c r="NHL265" s="95"/>
      <c r="NHM265" s="95"/>
      <c r="NHN265" s="95"/>
      <c r="NHO265" s="95"/>
      <c r="NHP265" s="95"/>
      <c r="NHQ265" s="95"/>
      <c r="NHR265" s="95"/>
      <c r="NHS265" s="95"/>
      <c r="NHT265" s="95"/>
      <c r="NHU265" s="95"/>
      <c r="NHV265" s="95"/>
      <c r="NHW265" s="95"/>
      <c r="NHX265" s="95"/>
      <c r="NHY265" s="95"/>
      <c r="NHZ265" s="95"/>
      <c r="NIA265" s="95"/>
      <c r="NIB265" s="95"/>
      <c r="NIC265" s="95"/>
      <c r="NID265" s="95"/>
      <c r="NIE265" s="95"/>
      <c r="NIF265" s="95"/>
      <c r="NIG265" s="95"/>
      <c r="NIH265" s="95"/>
      <c r="NII265" s="95"/>
      <c r="NIJ265" s="95"/>
      <c r="NIK265" s="95"/>
      <c r="NIL265" s="95"/>
      <c r="NIM265" s="95"/>
      <c r="NIN265" s="95"/>
      <c r="NIO265" s="95"/>
      <c r="NIP265" s="95"/>
      <c r="NIQ265" s="95"/>
      <c r="NIR265" s="95"/>
      <c r="NIS265" s="95"/>
      <c r="NIT265" s="95"/>
      <c r="NIU265" s="95"/>
      <c r="NIV265" s="95"/>
      <c r="NIW265" s="95"/>
      <c r="NIX265" s="95"/>
      <c r="NIY265" s="95"/>
      <c r="NIZ265" s="95"/>
      <c r="NJA265" s="95"/>
      <c r="NJB265" s="95"/>
      <c r="NJC265" s="95"/>
      <c r="NJD265" s="95"/>
      <c r="NJE265" s="95"/>
      <c r="NJF265" s="95"/>
      <c r="NJG265" s="95"/>
      <c r="NJH265" s="95"/>
      <c r="NJI265" s="95"/>
      <c r="NJJ265" s="95"/>
      <c r="NJK265" s="95"/>
      <c r="NJL265" s="95"/>
      <c r="NJM265" s="95"/>
      <c r="NJN265" s="95"/>
      <c r="NJO265" s="95"/>
      <c r="NJP265" s="95"/>
      <c r="NJQ265" s="95"/>
      <c r="NJR265" s="95"/>
      <c r="NJS265" s="95"/>
      <c r="NJT265" s="95"/>
      <c r="NJU265" s="95"/>
      <c r="NJV265" s="95"/>
      <c r="NJW265" s="95"/>
      <c r="NJX265" s="95"/>
      <c r="NJY265" s="95"/>
      <c r="NJZ265" s="95"/>
      <c r="NKA265" s="95"/>
      <c r="NKB265" s="95"/>
      <c r="NKC265" s="95"/>
      <c r="NKD265" s="95"/>
      <c r="NKE265" s="95"/>
      <c r="NKF265" s="95"/>
      <c r="NKG265" s="95"/>
      <c r="NKH265" s="95"/>
      <c r="NKI265" s="95"/>
      <c r="NKJ265" s="95"/>
      <c r="NKK265" s="95"/>
      <c r="NKL265" s="95"/>
      <c r="NKM265" s="95"/>
      <c r="NKN265" s="95"/>
      <c r="NKO265" s="95"/>
      <c r="NKP265" s="95"/>
      <c r="NKQ265" s="95"/>
      <c r="NKR265" s="95"/>
      <c r="NKS265" s="95"/>
      <c r="NKT265" s="95"/>
      <c r="NKU265" s="95"/>
      <c r="NKV265" s="95"/>
      <c r="NKW265" s="95"/>
      <c r="NKX265" s="95"/>
      <c r="NKY265" s="95"/>
      <c r="NKZ265" s="95"/>
      <c r="NLA265" s="95"/>
      <c r="NLB265" s="95"/>
      <c r="NLC265" s="95"/>
      <c r="NLD265" s="95"/>
      <c r="NLE265" s="95"/>
      <c r="NLF265" s="95"/>
      <c r="NLG265" s="95"/>
      <c r="NLH265" s="95"/>
      <c r="NLI265" s="95"/>
      <c r="NLJ265" s="95"/>
      <c r="NLK265" s="95"/>
      <c r="NLL265" s="95"/>
      <c r="NLM265" s="95"/>
      <c r="NLN265" s="95"/>
      <c r="NLO265" s="95"/>
      <c r="NLP265" s="95"/>
      <c r="NLQ265" s="95"/>
      <c r="NLR265" s="95"/>
      <c r="NLS265" s="95"/>
      <c r="NLT265" s="95"/>
      <c r="NLU265" s="95"/>
      <c r="NLV265" s="95"/>
      <c r="NLW265" s="95"/>
      <c r="NLX265" s="95"/>
      <c r="NLY265" s="95"/>
      <c r="NLZ265" s="95"/>
      <c r="NMA265" s="95"/>
      <c r="NMB265" s="95"/>
      <c r="NMC265" s="95"/>
      <c r="NMD265" s="95"/>
      <c r="NME265" s="95"/>
      <c r="NMF265" s="95"/>
      <c r="NMG265" s="95"/>
      <c r="NMH265" s="95"/>
      <c r="NMI265" s="95"/>
      <c r="NMJ265" s="95"/>
      <c r="NMK265" s="95"/>
      <c r="NML265" s="95"/>
      <c r="NMM265" s="95"/>
      <c r="NMN265" s="95"/>
      <c r="NMO265" s="95"/>
      <c r="NMP265" s="95"/>
      <c r="NMQ265" s="95"/>
      <c r="NMR265" s="95"/>
      <c r="NMS265" s="95"/>
      <c r="NMT265" s="95"/>
      <c r="NMU265" s="95"/>
      <c r="NMV265" s="95"/>
      <c r="NMW265" s="95"/>
      <c r="NMX265" s="95"/>
      <c r="NMY265" s="95"/>
      <c r="NMZ265" s="95"/>
      <c r="NNA265" s="95"/>
      <c r="NNB265" s="95"/>
      <c r="NNC265" s="95"/>
      <c r="NND265" s="95"/>
      <c r="NNE265" s="95"/>
      <c r="NNF265" s="95"/>
      <c r="NNG265" s="95"/>
      <c r="NNH265" s="95"/>
      <c r="NNI265" s="95"/>
      <c r="NNJ265" s="95"/>
      <c r="NNK265" s="95"/>
      <c r="NNL265" s="95"/>
      <c r="NNM265" s="95"/>
      <c r="NNN265" s="95"/>
      <c r="NNO265" s="95"/>
      <c r="NNP265" s="95"/>
      <c r="NNQ265" s="95"/>
      <c r="NNR265" s="95"/>
      <c r="NNS265" s="95"/>
      <c r="NNT265" s="95"/>
      <c r="NNU265" s="95"/>
      <c r="NNV265" s="95"/>
      <c r="NNW265" s="95"/>
      <c r="NNX265" s="95"/>
      <c r="NNY265" s="95"/>
      <c r="NNZ265" s="95"/>
      <c r="NOA265" s="95"/>
      <c r="NOB265" s="95"/>
      <c r="NOC265" s="95"/>
      <c r="NOD265" s="95"/>
      <c r="NOE265" s="95"/>
      <c r="NOF265" s="95"/>
      <c r="NOG265" s="95"/>
      <c r="NOH265" s="95"/>
      <c r="NOI265" s="95"/>
      <c r="NOJ265" s="95"/>
      <c r="NOK265" s="95"/>
      <c r="NOL265" s="95"/>
      <c r="NOM265" s="95"/>
      <c r="NON265" s="95"/>
      <c r="NOO265" s="95"/>
      <c r="NOP265" s="95"/>
      <c r="NOQ265" s="95"/>
      <c r="NOR265" s="95"/>
      <c r="NOS265" s="95"/>
      <c r="NOT265" s="95"/>
      <c r="NOU265" s="95"/>
      <c r="NOV265" s="95"/>
      <c r="NOW265" s="95"/>
      <c r="NOX265" s="95"/>
      <c r="NOY265" s="95"/>
      <c r="NOZ265" s="95"/>
      <c r="NPA265" s="95"/>
      <c r="NPB265" s="95"/>
      <c r="NPC265" s="95"/>
      <c r="NPD265" s="95"/>
      <c r="NPE265" s="95"/>
      <c r="NPF265" s="95"/>
      <c r="NPG265" s="95"/>
      <c r="NPH265" s="95"/>
      <c r="NPI265" s="95"/>
      <c r="NPJ265" s="95"/>
      <c r="NPK265" s="95"/>
      <c r="NPL265" s="95"/>
      <c r="NPM265" s="95"/>
      <c r="NPN265" s="95"/>
      <c r="NPO265" s="95"/>
      <c r="NPP265" s="95"/>
      <c r="NPQ265" s="95"/>
      <c r="NPR265" s="95"/>
      <c r="NPS265" s="95"/>
      <c r="NPT265" s="95"/>
      <c r="NPU265" s="95"/>
      <c r="NPV265" s="95"/>
      <c r="NPW265" s="95"/>
      <c r="NPX265" s="95"/>
      <c r="NPY265" s="95"/>
      <c r="NPZ265" s="95"/>
      <c r="NQA265" s="95"/>
      <c r="NQB265" s="95"/>
      <c r="NQC265" s="95"/>
      <c r="NQD265" s="95"/>
      <c r="NQE265" s="95"/>
      <c r="NQF265" s="95"/>
      <c r="NQG265" s="95"/>
      <c r="NQH265" s="95"/>
      <c r="NQI265" s="95"/>
      <c r="NQJ265" s="95"/>
      <c r="NQK265" s="95"/>
      <c r="NQL265" s="95"/>
      <c r="NQM265" s="95"/>
      <c r="NQN265" s="95"/>
      <c r="NQO265" s="95"/>
      <c r="NQP265" s="95"/>
      <c r="NQQ265" s="95"/>
      <c r="NQR265" s="95"/>
      <c r="NQS265" s="95"/>
      <c r="NQT265" s="95"/>
      <c r="NQU265" s="95"/>
      <c r="NQV265" s="95"/>
      <c r="NQW265" s="95"/>
      <c r="NQX265" s="95"/>
      <c r="NQY265" s="95"/>
      <c r="NQZ265" s="95"/>
      <c r="NRA265" s="95"/>
      <c r="NRB265" s="95"/>
      <c r="NRC265" s="95"/>
      <c r="NRD265" s="95"/>
      <c r="NRE265" s="95"/>
      <c r="NRF265" s="95"/>
      <c r="NRG265" s="95"/>
      <c r="NRH265" s="95"/>
      <c r="NRI265" s="95"/>
      <c r="NRJ265" s="95"/>
      <c r="NRK265" s="95"/>
      <c r="NRL265" s="95"/>
      <c r="NRM265" s="95"/>
      <c r="NRN265" s="95"/>
      <c r="NRO265" s="95"/>
      <c r="NRP265" s="95"/>
      <c r="NRQ265" s="95"/>
      <c r="NRR265" s="95"/>
      <c r="NRS265" s="95"/>
      <c r="NRT265" s="95"/>
      <c r="NRU265" s="95"/>
      <c r="NRV265" s="95"/>
      <c r="NRW265" s="95"/>
      <c r="NRX265" s="95"/>
      <c r="NRY265" s="95"/>
      <c r="NRZ265" s="95"/>
      <c r="NSA265" s="95"/>
      <c r="NSB265" s="95"/>
      <c r="NSC265" s="95"/>
      <c r="NSD265" s="95"/>
      <c r="NSE265" s="95"/>
      <c r="NSF265" s="95"/>
      <c r="NSG265" s="95"/>
      <c r="NSH265" s="95"/>
      <c r="NSI265" s="95"/>
      <c r="NSJ265" s="95"/>
      <c r="NSK265" s="95"/>
      <c r="NSL265" s="95"/>
      <c r="NSM265" s="95"/>
      <c r="NSN265" s="95"/>
      <c r="NSO265" s="95"/>
      <c r="NSP265" s="95"/>
      <c r="NSQ265" s="95"/>
      <c r="NSR265" s="95"/>
      <c r="NSS265" s="95"/>
      <c r="NST265" s="95"/>
      <c r="NSU265" s="95"/>
      <c r="NSV265" s="95"/>
      <c r="NSW265" s="95"/>
      <c r="NSX265" s="95"/>
      <c r="NSY265" s="95"/>
      <c r="NSZ265" s="95"/>
      <c r="NTA265" s="95"/>
      <c r="NTB265" s="95"/>
      <c r="NTC265" s="95"/>
      <c r="NTD265" s="95"/>
      <c r="NTE265" s="95"/>
      <c r="NTF265" s="95"/>
      <c r="NTG265" s="95"/>
      <c r="NTH265" s="95"/>
      <c r="NTI265" s="95"/>
      <c r="NTJ265" s="95"/>
      <c r="NTK265" s="95"/>
      <c r="NTL265" s="95"/>
      <c r="NTM265" s="95"/>
      <c r="NTN265" s="95"/>
      <c r="NTO265" s="95"/>
      <c r="NTP265" s="95"/>
      <c r="NTQ265" s="95"/>
      <c r="NTR265" s="95"/>
      <c r="NTS265" s="95"/>
      <c r="NTT265" s="95"/>
      <c r="NTU265" s="95"/>
      <c r="NTV265" s="95"/>
      <c r="NTW265" s="95"/>
      <c r="NTX265" s="95"/>
      <c r="NTY265" s="95"/>
      <c r="NTZ265" s="95"/>
      <c r="NUA265" s="95"/>
      <c r="NUB265" s="95"/>
      <c r="NUC265" s="95"/>
      <c r="NUD265" s="95"/>
      <c r="NUE265" s="95"/>
      <c r="NUF265" s="95"/>
      <c r="NUG265" s="95"/>
      <c r="NUH265" s="95"/>
      <c r="NUI265" s="95"/>
      <c r="NUJ265" s="95"/>
      <c r="NUK265" s="95"/>
      <c r="NUL265" s="95"/>
      <c r="NUM265" s="95"/>
      <c r="NUN265" s="95"/>
      <c r="NUO265" s="95"/>
      <c r="NUP265" s="95"/>
      <c r="NUQ265" s="95"/>
      <c r="NUR265" s="95"/>
      <c r="NUS265" s="95"/>
      <c r="NUT265" s="95"/>
      <c r="NUU265" s="95"/>
      <c r="NUV265" s="95"/>
      <c r="NUW265" s="95"/>
      <c r="NUX265" s="95"/>
      <c r="NUY265" s="95"/>
      <c r="NUZ265" s="95"/>
      <c r="NVA265" s="95"/>
      <c r="NVB265" s="95"/>
      <c r="NVC265" s="95"/>
      <c r="NVD265" s="95"/>
      <c r="NVE265" s="95"/>
      <c r="NVF265" s="95"/>
      <c r="NVG265" s="95"/>
      <c r="NVH265" s="95"/>
      <c r="NVI265" s="95"/>
      <c r="NVJ265" s="95"/>
      <c r="NVK265" s="95"/>
      <c r="NVL265" s="95"/>
      <c r="NVM265" s="95"/>
      <c r="NVN265" s="95"/>
      <c r="NVO265" s="95"/>
      <c r="NVP265" s="95"/>
      <c r="NVQ265" s="95"/>
      <c r="NVR265" s="95"/>
      <c r="NVS265" s="95"/>
      <c r="NVT265" s="95"/>
      <c r="NVU265" s="95"/>
      <c r="NVV265" s="95"/>
      <c r="NVW265" s="95"/>
      <c r="NVX265" s="95"/>
      <c r="NVY265" s="95"/>
      <c r="NVZ265" s="95"/>
      <c r="NWA265" s="95"/>
      <c r="NWB265" s="95"/>
      <c r="NWC265" s="95"/>
      <c r="NWD265" s="95"/>
      <c r="NWE265" s="95"/>
      <c r="NWF265" s="95"/>
      <c r="NWG265" s="95"/>
      <c r="NWH265" s="95"/>
      <c r="NWI265" s="95"/>
      <c r="NWJ265" s="95"/>
      <c r="NWK265" s="95"/>
      <c r="NWL265" s="95"/>
      <c r="NWM265" s="95"/>
      <c r="NWN265" s="95"/>
      <c r="NWO265" s="95"/>
      <c r="NWP265" s="95"/>
      <c r="NWQ265" s="95"/>
      <c r="NWR265" s="95"/>
      <c r="NWS265" s="95"/>
      <c r="NWT265" s="95"/>
      <c r="NWU265" s="95"/>
      <c r="NWV265" s="95"/>
      <c r="NWW265" s="95"/>
      <c r="NWX265" s="95"/>
      <c r="NWY265" s="95"/>
      <c r="NWZ265" s="95"/>
      <c r="NXA265" s="95"/>
      <c r="NXB265" s="95"/>
      <c r="NXC265" s="95"/>
      <c r="NXD265" s="95"/>
      <c r="NXE265" s="95"/>
      <c r="NXF265" s="95"/>
      <c r="NXG265" s="95"/>
      <c r="NXH265" s="95"/>
      <c r="NXI265" s="95"/>
      <c r="NXJ265" s="95"/>
      <c r="NXK265" s="95"/>
      <c r="NXL265" s="95"/>
      <c r="NXM265" s="95"/>
      <c r="NXN265" s="95"/>
      <c r="NXO265" s="95"/>
      <c r="NXP265" s="95"/>
      <c r="NXQ265" s="95"/>
      <c r="NXR265" s="95"/>
      <c r="NXS265" s="95"/>
      <c r="NXT265" s="95"/>
      <c r="NXU265" s="95"/>
      <c r="NXV265" s="95"/>
      <c r="NXW265" s="95"/>
      <c r="NXX265" s="95"/>
      <c r="NXY265" s="95"/>
      <c r="NXZ265" s="95"/>
      <c r="NYA265" s="95"/>
      <c r="NYB265" s="95"/>
      <c r="NYC265" s="95"/>
      <c r="NYD265" s="95"/>
      <c r="NYE265" s="95"/>
      <c r="NYF265" s="95"/>
      <c r="NYG265" s="95"/>
      <c r="NYH265" s="95"/>
      <c r="NYI265" s="95"/>
      <c r="NYJ265" s="95"/>
      <c r="NYK265" s="95"/>
      <c r="NYL265" s="95"/>
      <c r="NYM265" s="95"/>
      <c r="NYN265" s="95"/>
      <c r="NYO265" s="95"/>
      <c r="NYP265" s="95"/>
      <c r="NYQ265" s="95"/>
      <c r="NYR265" s="95"/>
      <c r="NYS265" s="95"/>
      <c r="NYT265" s="95"/>
      <c r="NYU265" s="95"/>
      <c r="NYV265" s="95"/>
      <c r="NYW265" s="95"/>
      <c r="NYX265" s="95"/>
      <c r="NYY265" s="95"/>
      <c r="NYZ265" s="95"/>
      <c r="NZA265" s="95"/>
      <c r="NZB265" s="95"/>
      <c r="NZC265" s="95"/>
      <c r="NZD265" s="95"/>
      <c r="NZE265" s="95"/>
      <c r="NZF265" s="95"/>
      <c r="NZG265" s="95"/>
      <c r="NZH265" s="95"/>
      <c r="NZI265" s="95"/>
      <c r="NZJ265" s="95"/>
      <c r="NZK265" s="95"/>
      <c r="NZL265" s="95"/>
      <c r="NZM265" s="95"/>
      <c r="NZN265" s="95"/>
      <c r="NZO265" s="95"/>
      <c r="NZP265" s="95"/>
      <c r="NZQ265" s="95"/>
      <c r="NZR265" s="95"/>
      <c r="NZS265" s="95"/>
      <c r="NZT265" s="95"/>
      <c r="NZU265" s="95"/>
      <c r="NZV265" s="95"/>
      <c r="NZW265" s="95"/>
      <c r="NZX265" s="95"/>
      <c r="NZY265" s="95"/>
      <c r="NZZ265" s="95"/>
      <c r="OAA265" s="95"/>
      <c r="OAB265" s="95"/>
      <c r="OAC265" s="95"/>
      <c r="OAD265" s="95"/>
      <c r="OAE265" s="95"/>
      <c r="OAF265" s="95"/>
      <c r="OAG265" s="95"/>
      <c r="OAH265" s="95"/>
      <c r="OAI265" s="95"/>
      <c r="OAJ265" s="95"/>
      <c r="OAK265" s="95"/>
      <c r="OAL265" s="95"/>
      <c r="OAM265" s="95"/>
      <c r="OAN265" s="95"/>
      <c r="OAO265" s="95"/>
      <c r="OAP265" s="95"/>
      <c r="OAQ265" s="95"/>
      <c r="OAR265" s="95"/>
      <c r="OAS265" s="95"/>
      <c r="OAT265" s="95"/>
      <c r="OAU265" s="95"/>
      <c r="OAV265" s="95"/>
      <c r="OAW265" s="95"/>
      <c r="OAX265" s="95"/>
      <c r="OAY265" s="95"/>
      <c r="OAZ265" s="95"/>
      <c r="OBA265" s="95"/>
      <c r="OBB265" s="95"/>
      <c r="OBC265" s="95"/>
      <c r="OBD265" s="95"/>
      <c r="OBE265" s="95"/>
      <c r="OBF265" s="95"/>
      <c r="OBG265" s="95"/>
      <c r="OBH265" s="95"/>
      <c r="OBI265" s="95"/>
      <c r="OBJ265" s="95"/>
      <c r="OBK265" s="95"/>
      <c r="OBL265" s="95"/>
      <c r="OBM265" s="95"/>
      <c r="OBN265" s="95"/>
      <c r="OBO265" s="95"/>
      <c r="OBP265" s="95"/>
      <c r="OBQ265" s="95"/>
      <c r="OBR265" s="95"/>
      <c r="OBS265" s="95"/>
      <c r="OBT265" s="95"/>
      <c r="OBU265" s="95"/>
      <c r="OBV265" s="95"/>
      <c r="OBW265" s="95"/>
      <c r="OBX265" s="95"/>
      <c r="OBY265" s="95"/>
      <c r="OBZ265" s="95"/>
      <c r="OCA265" s="95"/>
      <c r="OCB265" s="95"/>
      <c r="OCC265" s="95"/>
      <c r="OCD265" s="95"/>
      <c r="OCE265" s="95"/>
      <c r="OCF265" s="95"/>
      <c r="OCG265" s="95"/>
      <c r="OCH265" s="95"/>
      <c r="OCI265" s="95"/>
      <c r="OCJ265" s="95"/>
      <c r="OCK265" s="95"/>
      <c r="OCL265" s="95"/>
      <c r="OCM265" s="95"/>
      <c r="OCN265" s="95"/>
      <c r="OCO265" s="95"/>
      <c r="OCP265" s="95"/>
      <c r="OCQ265" s="95"/>
      <c r="OCR265" s="95"/>
      <c r="OCS265" s="95"/>
      <c r="OCT265" s="95"/>
      <c r="OCU265" s="95"/>
      <c r="OCV265" s="95"/>
      <c r="OCW265" s="95"/>
      <c r="OCX265" s="95"/>
      <c r="OCY265" s="95"/>
      <c r="OCZ265" s="95"/>
      <c r="ODA265" s="95"/>
      <c r="ODB265" s="95"/>
      <c r="ODC265" s="95"/>
      <c r="ODD265" s="95"/>
      <c r="ODE265" s="95"/>
      <c r="ODF265" s="95"/>
      <c r="ODG265" s="95"/>
      <c r="ODH265" s="95"/>
      <c r="ODI265" s="95"/>
      <c r="ODJ265" s="95"/>
      <c r="ODK265" s="95"/>
      <c r="ODL265" s="95"/>
      <c r="ODM265" s="95"/>
      <c r="ODN265" s="95"/>
      <c r="ODO265" s="95"/>
      <c r="ODP265" s="95"/>
      <c r="ODQ265" s="95"/>
      <c r="ODR265" s="95"/>
      <c r="ODS265" s="95"/>
      <c r="ODT265" s="95"/>
      <c r="ODU265" s="95"/>
      <c r="ODV265" s="95"/>
      <c r="ODW265" s="95"/>
      <c r="ODX265" s="95"/>
      <c r="ODY265" s="95"/>
      <c r="ODZ265" s="95"/>
      <c r="OEA265" s="95"/>
      <c r="OEB265" s="95"/>
      <c r="OEC265" s="95"/>
      <c r="OED265" s="95"/>
      <c r="OEE265" s="95"/>
      <c r="OEF265" s="95"/>
      <c r="OEG265" s="95"/>
      <c r="OEH265" s="95"/>
      <c r="OEI265" s="95"/>
      <c r="OEJ265" s="95"/>
      <c r="OEK265" s="95"/>
      <c r="OEL265" s="95"/>
      <c r="OEM265" s="95"/>
      <c r="OEN265" s="95"/>
      <c r="OEO265" s="95"/>
      <c r="OEP265" s="95"/>
      <c r="OEQ265" s="95"/>
      <c r="OER265" s="95"/>
      <c r="OES265" s="95"/>
      <c r="OET265" s="95"/>
      <c r="OEU265" s="95"/>
      <c r="OEV265" s="95"/>
      <c r="OEW265" s="95"/>
      <c r="OEX265" s="95"/>
      <c r="OEY265" s="95"/>
      <c r="OEZ265" s="95"/>
      <c r="OFA265" s="95"/>
      <c r="OFB265" s="95"/>
      <c r="OFC265" s="95"/>
      <c r="OFD265" s="95"/>
      <c r="OFE265" s="95"/>
      <c r="OFF265" s="95"/>
      <c r="OFG265" s="95"/>
      <c r="OFH265" s="95"/>
      <c r="OFI265" s="95"/>
      <c r="OFJ265" s="95"/>
      <c r="OFK265" s="95"/>
      <c r="OFL265" s="95"/>
      <c r="OFM265" s="95"/>
      <c r="OFN265" s="95"/>
      <c r="OFO265" s="95"/>
      <c r="OFP265" s="95"/>
      <c r="OFQ265" s="95"/>
      <c r="OFR265" s="95"/>
      <c r="OFS265" s="95"/>
      <c r="OFT265" s="95"/>
      <c r="OFU265" s="95"/>
      <c r="OFV265" s="95"/>
      <c r="OFW265" s="95"/>
      <c r="OFX265" s="95"/>
      <c r="OFY265" s="95"/>
      <c r="OFZ265" s="95"/>
      <c r="OGA265" s="95"/>
      <c r="OGB265" s="95"/>
      <c r="OGC265" s="95"/>
      <c r="OGD265" s="95"/>
      <c r="OGE265" s="95"/>
      <c r="OGF265" s="95"/>
      <c r="OGG265" s="95"/>
      <c r="OGH265" s="95"/>
      <c r="OGI265" s="95"/>
      <c r="OGJ265" s="95"/>
      <c r="OGK265" s="95"/>
      <c r="OGL265" s="95"/>
      <c r="OGM265" s="95"/>
      <c r="OGN265" s="95"/>
      <c r="OGO265" s="95"/>
      <c r="OGP265" s="95"/>
      <c r="OGQ265" s="95"/>
      <c r="OGR265" s="95"/>
      <c r="OGS265" s="95"/>
      <c r="OGT265" s="95"/>
      <c r="OGU265" s="95"/>
      <c r="OGV265" s="95"/>
      <c r="OGW265" s="95"/>
      <c r="OGX265" s="95"/>
      <c r="OGY265" s="95"/>
      <c r="OGZ265" s="95"/>
      <c r="OHA265" s="95"/>
      <c r="OHB265" s="95"/>
      <c r="OHC265" s="95"/>
      <c r="OHD265" s="95"/>
      <c r="OHE265" s="95"/>
      <c r="OHF265" s="95"/>
      <c r="OHG265" s="95"/>
      <c r="OHH265" s="95"/>
      <c r="OHI265" s="95"/>
      <c r="OHJ265" s="95"/>
      <c r="OHK265" s="95"/>
      <c r="OHL265" s="95"/>
      <c r="OHM265" s="95"/>
      <c r="OHN265" s="95"/>
      <c r="OHO265" s="95"/>
      <c r="OHP265" s="95"/>
      <c r="OHQ265" s="95"/>
      <c r="OHR265" s="95"/>
      <c r="OHS265" s="95"/>
      <c r="OHT265" s="95"/>
      <c r="OHU265" s="95"/>
      <c r="OHV265" s="95"/>
      <c r="OHW265" s="95"/>
      <c r="OHX265" s="95"/>
      <c r="OHY265" s="95"/>
      <c r="OHZ265" s="95"/>
      <c r="OIA265" s="95"/>
      <c r="OIB265" s="95"/>
      <c r="OIC265" s="95"/>
      <c r="OID265" s="95"/>
      <c r="OIE265" s="95"/>
      <c r="OIF265" s="95"/>
      <c r="OIG265" s="95"/>
      <c r="OIH265" s="95"/>
      <c r="OII265" s="95"/>
      <c r="OIJ265" s="95"/>
      <c r="OIK265" s="95"/>
      <c r="OIL265" s="95"/>
      <c r="OIM265" s="95"/>
      <c r="OIN265" s="95"/>
      <c r="OIO265" s="95"/>
      <c r="OIP265" s="95"/>
      <c r="OIQ265" s="95"/>
      <c r="OIR265" s="95"/>
      <c r="OIS265" s="95"/>
      <c r="OIT265" s="95"/>
      <c r="OIU265" s="95"/>
      <c r="OIV265" s="95"/>
      <c r="OIW265" s="95"/>
      <c r="OIX265" s="95"/>
      <c r="OIY265" s="95"/>
      <c r="OIZ265" s="95"/>
      <c r="OJA265" s="95"/>
      <c r="OJB265" s="95"/>
      <c r="OJC265" s="95"/>
      <c r="OJD265" s="95"/>
      <c r="OJE265" s="95"/>
      <c r="OJF265" s="95"/>
      <c r="OJG265" s="95"/>
      <c r="OJH265" s="95"/>
      <c r="OJI265" s="95"/>
      <c r="OJJ265" s="95"/>
      <c r="OJK265" s="95"/>
      <c r="OJL265" s="95"/>
      <c r="OJM265" s="95"/>
      <c r="OJN265" s="95"/>
      <c r="OJO265" s="95"/>
      <c r="OJP265" s="95"/>
      <c r="OJQ265" s="95"/>
      <c r="OJR265" s="95"/>
      <c r="OJS265" s="95"/>
      <c r="OJT265" s="95"/>
      <c r="OJU265" s="95"/>
      <c r="OJV265" s="95"/>
      <c r="OJW265" s="95"/>
      <c r="OJX265" s="95"/>
      <c r="OJY265" s="95"/>
      <c r="OJZ265" s="95"/>
      <c r="OKA265" s="95"/>
      <c r="OKB265" s="95"/>
      <c r="OKC265" s="95"/>
      <c r="OKD265" s="95"/>
      <c r="OKE265" s="95"/>
      <c r="OKF265" s="95"/>
      <c r="OKG265" s="95"/>
      <c r="OKH265" s="95"/>
      <c r="OKI265" s="95"/>
      <c r="OKJ265" s="95"/>
      <c r="OKK265" s="95"/>
      <c r="OKL265" s="95"/>
      <c r="OKM265" s="95"/>
      <c r="OKN265" s="95"/>
      <c r="OKO265" s="95"/>
      <c r="OKP265" s="95"/>
      <c r="OKQ265" s="95"/>
      <c r="OKR265" s="95"/>
      <c r="OKS265" s="95"/>
      <c r="OKT265" s="95"/>
      <c r="OKU265" s="95"/>
      <c r="OKV265" s="95"/>
      <c r="OKW265" s="95"/>
      <c r="OKX265" s="95"/>
      <c r="OKY265" s="95"/>
      <c r="OKZ265" s="95"/>
      <c r="OLA265" s="95"/>
      <c r="OLB265" s="95"/>
      <c r="OLC265" s="95"/>
      <c r="OLD265" s="95"/>
      <c r="OLE265" s="95"/>
      <c r="OLF265" s="95"/>
      <c r="OLG265" s="95"/>
      <c r="OLH265" s="95"/>
      <c r="OLI265" s="95"/>
      <c r="OLJ265" s="95"/>
      <c r="OLK265" s="95"/>
      <c r="OLL265" s="95"/>
      <c r="OLM265" s="95"/>
      <c r="OLN265" s="95"/>
      <c r="OLO265" s="95"/>
      <c r="OLP265" s="95"/>
      <c r="OLQ265" s="95"/>
      <c r="OLR265" s="95"/>
      <c r="OLS265" s="95"/>
      <c r="OLT265" s="95"/>
      <c r="OLU265" s="95"/>
      <c r="OLV265" s="95"/>
      <c r="OLW265" s="95"/>
      <c r="OLX265" s="95"/>
      <c r="OLY265" s="95"/>
      <c r="OLZ265" s="95"/>
      <c r="OMA265" s="95"/>
      <c r="OMB265" s="95"/>
      <c r="OMC265" s="95"/>
      <c r="OMD265" s="95"/>
      <c r="OME265" s="95"/>
      <c r="OMF265" s="95"/>
      <c r="OMG265" s="95"/>
      <c r="OMH265" s="95"/>
      <c r="OMI265" s="95"/>
      <c r="OMJ265" s="95"/>
      <c r="OMK265" s="95"/>
      <c r="OML265" s="95"/>
      <c r="OMM265" s="95"/>
      <c r="OMN265" s="95"/>
      <c r="OMO265" s="95"/>
      <c r="OMP265" s="95"/>
      <c r="OMQ265" s="95"/>
      <c r="OMR265" s="95"/>
      <c r="OMS265" s="95"/>
      <c r="OMT265" s="95"/>
      <c r="OMU265" s="95"/>
      <c r="OMV265" s="95"/>
      <c r="OMW265" s="95"/>
      <c r="OMX265" s="95"/>
      <c r="OMY265" s="95"/>
      <c r="OMZ265" s="95"/>
      <c r="ONA265" s="95"/>
      <c r="ONB265" s="95"/>
      <c r="ONC265" s="95"/>
      <c r="OND265" s="95"/>
      <c r="ONE265" s="95"/>
      <c r="ONF265" s="95"/>
      <c r="ONG265" s="95"/>
      <c r="ONH265" s="95"/>
      <c r="ONI265" s="95"/>
      <c r="ONJ265" s="95"/>
      <c r="ONK265" s="95"/>
      <c r="ONL265" s="95"/>
      <c r="ONM265" s="95"/>
      <c r="ONN265" s="95"/>
      <c r="ONO265" s="95"/>
      <c r="ONP265" s="95"/>
      <c r="ONQ265" s="95"/>
      <c r="ONR265" s="95"/>
      <c r="ONS265" s="95"/>
      <c r="ONT265" s="95"/>
      <c r="ONU265" s="95"/>
      <c r="ONV265" s="95"/>
      <c r="ONW265" s="95"/>
      <c r="ONX265" s="95"/>
      <c r="ONY265" s="95"/>
      <c r="ONZ265" s="95"/>
      <c r="OOA265" s="95"/>
      <c r="OOB265" s="95"/>
      <c r="OOC265" s="95"/>
      <c r="OOD265" s="95"/>
      <c r="OOE265" s="95"/>
      <c r="OOF265" s="95"/>
      <c r="OOG265" s="95"/>
      <c r="OOH265" s="95"/>
      <c r="OOI265" s="95"/>
      <c r="OOJ265" s="95"/>
      <c r="OOK265" s="95"/>
      <c r="OOL265" s="95"/>
      <c r="OOM265" s="95"/>
      <c r="OON265" s="95"/>
      <c r="OOO265" s="95"/>
      <c r="OOP265" s="95"/>
      <c r="OOQ265" s="95"/>
      <c r="OOR265" s="95"/>
      <c r="OOS265" s="95"/>
      <c r="OOT265" s="95"/>
      <c r="OOU265" s="95"/>
      <c r="OOV265" s="95"/>
      <c r="OOW265" s="95"/>
      <c r="OOX265" s="95"/>
      <c r="OOY265" s="95"/>
      <c r="OOZ265" s="95"/>
      <c r="OPA265" s="95"/>
      <c r="OPB265" s="95"/>
      <c r="OPC265" s="95"/>
      <c r="OPD265" s="95"/>
      <c r="OPE265" s="95"/>
      <c r="OPF265" s="95"/>
      <c r="OPG265" s="95"/>
      <c r="OPH265" s="95"/>
      <c r="OPI265" s="95"/>
      <c r="OPJ265" s="95"/>
      <c r="OPK265" s="95"/>
      <c r="OPL265" s="95"/>
      <c r="OPM265" s="95"/>
      <c r="OPN265" s="95"/>
      <c r="OPO265" s="95"/>
      <c r="OPP265" s="95"/>
      <c r="OPQ265" s="95"/>
      <c r="OPR265" s="95"/>
      <c r="OPS265" s="95"/>
      <c r="OPT265" s="95"/>
      <c r="OPU265" s="95"/>
      <c r="OPV265" s="95"/>
      <c r="OPW265" s="95"/>
      <c r="OPX265" s="95"/>
      <c r="OPY265" s="95"/>
      <c r="OPZ265" s="95"/>
      <c r="OQA265" s="95"/>
      <c r="OQB265" s="95"/>
      <c r="OQC265" s="95"/>
      <c r="OQD265" s="95"/>
      <c r="OQE265" s="95"/>
      <c r="OQF265" s="95"/>
      <c r="OQG265" s="95"/>
      <c r="OQH265" s="95"/>
      <c r="OQI265" s="95"/>
      <c r="OQJ265" s="95"/>
      <c r="OQK265" s="95"/>
      <c r="OQL265" s="95"/>
      <c r="OQM265" s="95"/>
      <c r="OQN265" s="95"/>
      <c r="OQO265" s="95"/>
      <c r="OQP265" s="95"/>
      <c r="OQQ265" s="95"/>
      <c r="OQR265" s="95"/>
      <c r="OQS265" s="95"/>
      <c r="OQT265" s="95"/>
      <c r="OQU265" s="95"/>
      <c r="OQV265" s="95"/>
      <c r="OQW265" s="95"/>
      <c r="OQX265" s="95"/>
      <c r="OQY265" s="95"/>
      <c r="OQZ265" s="95"/>
      <c r="ORA265" s="95"/>
      <c r="ORB265" s="95"/>
      <c r="ORC265" s="95"/>
      <c r="ORD265" s="95"/>
      <c r="ORE265" s="95"/>
      <c r="ORF265" s="95"/>
      <c r="ORG265" s="95"/>
      <c r="ORH265" s="95"/>
      <c r="ORI265" s="95"/>
      <c r="ORJ265" s="95"/>
      <c r="ORK265" s="95"/>
      <c r="ORL265" s="95"/>
      <c r="ORM265" s="95"/>
      <c r="ORN265" s="95"/>
      <c r="ORO265" s="95"/>
      <c r="ORP265" s="95"/>
      <c r="ORQ265" s="95"/>
      <c r="ORR265" s="95"/>
      <c r="ORS265" s="95"/>
      <c r="ORT265" s="95"/>
      <c r="ORU265" s="95"/>
      <c r="ORV265" s="95"/>
      <c r="ORW265" s="95"/>
      <c r="ORX265" s="95"/>
      <c r="ORY265" s="95"/>
      <c r="ORZ265" s="95"/>
      <c r="OSA265" s="95"/>
      <c r="OSB265" s="95"/>
      <c r="OSC265" s="95"/>
      <c r="OSD265" s="95"/>
      <c r="OSE265" s="95"/>
      <c r="OSF265" s="95"/>
      <c r="OSG265" s="95"/>
      <c r="OSH265" s="95"/>
      <c r="OSI265" s="95"/>
      <c r="OSJ265" s="95"/>
      <c r="OSK265" s="95"/>
      <c r="OSL265" s="95"/>
      <c r="OSM265" s="95"/>
      <c r="OSN265" s="95"/>
      <c r="OSO265" s="95"/>
      <c r="OSP265" s="95"/>
      <c r="OSQ265" s="95"/>
      <c r="OSR265" s="95"/>
      <c r="OSS265" s="95"/>
      <c r="OST265" s="95"/>
      <c r="OSU265" s="95"/>
      <c r="OSV265" s="95"/>
      <c r="OSW265" s="95"/>
      <c r="OSX265" s="95"/>
      <c r="OSY265" s="95"/>
      <c r="OSZ265" s="95"/>
      <c r="OTA265" s="95"/>
      <c r="OTB265" s="95"/>
      <c r="OTC265" s="95"/>
      <c r="OTD265" s="95"/>
      <c r="OTE265" s="95"/>
      <c r="OTF265" s="95"/>
      <c r="OTG265" s="95"/>
      <c r="OTH265" s="95"/>
      <c r="OTI265" s="95"/>
      <c r="OTJ265" s="95"/>
      <c r="OTK265" s="95"/>
      <c r="OTL265" s="95"/>
      <c r="OTM265" s="95"/>
      <c r="OTN265" s="95"/>
      <c r="OTO265" s="95"/>
      <c r="OTP265" s="95"/>
      <c r="OTQ265" s="95"/>
      <c r="OTR265" s="95"/>
      <c r="OTS265" s="95"/>
      <c r="OTT265" s="95"/>
      <c r="OTU265" s="95"/>
      <c r="OTV265" s="95"/>
      <c r="OTW265" s="95"/>
      <c r="OTX265" s="95"/>
      <c r="OTY265" s="95"/>
      <c r="OTZ265" s="95"/>
      <c r="OUA265" s="95"/>
      <c r="OUB265" s="95"/>
      <c r="OUC265" s="95"/>
      <c r="OUD265" s="95"/>
      <c r="OUE265" s="95"/>
      <c r="OUF265" s="95"/>
      <c r="OUG265" s="95"/>
      <c r="OUH265" s="95"/>
      <c r="OUI265" s="95"/>
      <c r="OUJ265" s="95"/>
      <c r="OUK265" s="95"/>
      <c r="OUL265" s="95"/>
      <c r="OUM265" s="95"/>
      <c r="OUN265" s="95"/>
      <c r="OUO265" s="95"/>
      <c r="OUP265" s="95"/>
      <c r="OUQ265" s="95"/>
      <c r="OUR265" s="95"/>
      <c r="OUS265" s="95"/>
      <c r="OUT265" s="95"/>
      <c r="OUU265" s="95"/>
      <c r="OUV265" s="95"/>
      <c r="OUW265" s="95"/>
      <c r="OUX265" s="95"/>
      <c r="OUY265" s="95"/>
      <c r="OUZ265" s="95"/>
      <c r="OVA265" s="95"/>
      <c r="OVB265" s="95"/>
      <c r="OVC265" s="95"/>
      <c r="OVD265" s="95"/>
      <c r="OVE265" s="95"/>
      <c r="OVF265" s="95"/>
      <c r="OVG265" s="95"/>
      <c r="OVH265" s="95"/>
      <c r="OVI265" s="95"/>
      <c r="OVJ265" s="95"/>
      <c r="OVK265" s="95"/>
      <c r="OVL265" s="95"/>
      <c r="OVM265" s="95"/>
      <c r="OVN265" s="95"/>
      <c r="OVO265" s="95"/>
      <c r="OVP265" s="95"/>
      <c r="OVQ265" s="95"/>
      <c r="OVR265" s="95"/>
      <c r="OVS265" s="95"/>
      <c r="OVT265" s="95"/>
      <c r="OVU265" s="95"/>
      <c r="OVV265" s="95"/>
      <c r="OVW265" s="95"/>
      <c r="OVX265" s="95"/>
      <c r="OVY265" s="95"/>
      <c r="OVZ265" s="95"/>
      <c r="OWA265" s="95"/>
      <c r="OWB265" s="95"/>
      <c r="OWC265" s="95"/>
      <c r="OWD265" s="95"/>
      <c r="OWE265" s="95"/>
      <c r="OWF265" s="95"/>
      <c r="OWG265" s="95"/>
      <c r="OWH265" s="95"/>
      <c r="OWI265" s="95"/>
      <c r="OWJ265" s="95"/>
      <c r="OWK265" s="95"/>
      <c r="OWL265" s="95"/>
      <c r="OWM265" s="95"/>
      <c r="OWN265" s="95"/>
      <c r="OWO265" s="95"/>
      <c r="OWP265" s="95"/>
      <c r="OWQ265" s="95"/>
      <c r="OWR265" s="95"/>
      <c r="OWS265" s="95"/>
      <c r="OWT265" s="95"/>
      <c r="OWU265" s="95"/>
      <c r="OWV265" s="95"/>
      <c r="OWW265" s="95"/>
      <c r="OWX265" s="95"/>
      <c r="OWY265" s="95"/>
      <c r="OWZ265" s="95"/>
      <c r="OXA265" s="95"/>
      <c r="OXB265" s="95"/>
      <c r="OXC265" s="95"/>
      <c r="OXD265" s="95"/>
      <c r="OXE265" s="95"/>
      <c r="OXF265" s="95"/>
      <c r="OXG265" s="95"/>
      <c r="OXH265" s="95"/>
      <c r="OXI265" s="95"/>
      <c r="OXJ265" s="95"/>
      <c r="OXK265" s="95"/>
      <c r="OXL265" s="95"/>
      <c r="OXM265" s="95"/>
      <c r="OXN265" s="95"/>
      <c r="OXO265" s="95"/>
      <c r="OXP265" s="95"/>
      <c r="OXQ265" s="95"/>
      <c r="OXR265" s="95"/>
      <c r="OXS265" s="95"/>
      <c r="OXT265" s="95"/>
      <c r="OXU265" s="95"/>
      <c r="OXV265" s="95"/>
      <c r="OXW265" s="95"/>
      <c r="OXX265" s="95"/>
      <c r="OXY265" s="95"/>
      <c r="OXZ265" s="95"/>
      <c r="OYA265" s="95"/>
      <c r="OYB265" s="95"/>
      <c r="OYC265" s="95"/>
      <c r="OYD265" s="95"/>
      <c r="OYE265" s="95"/>
      <c r="OYF265" s="95"/>
      <c r="OYG265" s="95"/>
      <c r="OYH265" s="95"/>
      <c r="OYI265" s="95"/>
      <c r="OYJ265" s="95"/>
      <c r="OYK265" s="95"/>
      <c r="OYL265" s="95"/>
      <c r="OYM265" s="95"/>
      <c r="OYN265" s="95"/>
      <c r="OYO265" s="95"/>
      <c r="OYP265" s="95"/>
      <c r="OYQ265" s="95"/>
      <c r="OYR265" s="95"/>
      <c r="OYS265" s="95"/>
      <c r="OYT265" s="95"/>
      <c r="OYU265" s="95"/>
      <c r="OYV265" s="95"/>
      <c r="OYW265" s="95"/>
      <c r="OYX265" s="95"/>
      <c r="OYY265" s="95"/>
      <c r="OYZ265" s="95"/>
      <c r="OZA265" s="95"/>
      <c r="OZB265" s="95"/>
      <c r="OZC265" s="95"/>
      <c r="OZD265" s="95"/>
      <c r="OZE265" s="95"/>
      <c r="OZF265" s="95"/>
      <c r="OZG265" s="95"/>
      <c r="OZH265" s="95"/>
      <c r="OZI265" s="95"/>
      <c r="OZJ265" s="95"/>
      <c r="OZK265" s="95"/>
      <c r="OZL265" s="95"/>
      <c r="OZM265" s="95"/>
      <c r="OZN265" s="95"/>
      <c r="OZO265" s="95"/>
      <c r="OZP265" s="95"/>
      <c r="OZQ265" s="95"/>
      <c r="OZR265" s="95"/>
      <c r="OZS265" s="95"/>
      <c r="OZT265" s="95"/>
      <c r="OZU265" s="95"/>
      <c r="OZV265" s="95"/>
      <c r="OZW265" s="95"/>
      <c r="OZX265" s="95"/>
      <c r="OZY265" s="95"/>
      <c r="OZZ265" s="95"/>
      <c r="PAA265" s="95"/>
      <c r="PAB265" s="95"/>
      <c r="PAC265" s="95"/>
      <c r="PAD265" s="95"/>
      <c r="PAE265" s="95"/>
      <c r="PAF265" s="95"/>
      <c r="PAG265" s="95"/>
      <c r="PAH265" s="95"/>
      <c r="PAI265" s="95"/>
      <c r="PAJ265" s="95"/>
      <c r="PAK265" s="95"/>
      <c r="PAL265" s="95"/>
      <c r="PAM265" s="95"/>
      <c r="PAN265" s="95"/>
      <c r="PAO265" s="95"/>
      <c r="PAP265" s="95"/>
      <c r="PAQ265" s="95"/>
      <c r="PAR265" s="95"/>
      <c r="PAS265" s="95"/>
      <c r="PAT265" s="95"/>
      <c r="PAU265" s="95"/>
      <c r="PAV265" s="95"/>
      <c r="PAW265" s="95"/>
      <c r="PAX265" s="95"/>
      <c r="PAY265" s="95"/>
      <c r="PAZ265" s="95"/>
      <c r="PBA265" s="95"/>
      <c r="PBB265" s="95"/>
      <c r="PBC265" s="95"/>
      <c r="PBD265" s="95"/>
      <c r="PBE265" s="95"/>
      <c r="PBF265" s="95"/>
      <c r="PBG265" s="95"/>
      <c r="PBH265" s="95"/>
      <c r="PBI265" s="95"/>
      <c r="PBJ265" s="95"/>
      <c r="PBK265" s="95"/>
      <c r="PBL265" s="95"/>
      <c r="PBM265" s="95"/>
      <c r="PBN265" s="95"/>
      <c r="PBO265" s="95"/>
      <c r="PBP265" s="95"/>
      <c r="PBQ265" s="95"/>
      <c r="PBR265" s="95"/>
      <c r="PBS265" s="95"/>
      <c r="PBT265" s="95"/>
      <c r="PBU265" s="95"/>
      <c r="PBV265" s="95"/>
      <c r="PBW265" s="95"/>
      <c r="PBX265" s="95"/>
      <c r="PBY265" s="95"/>
      <c r="PBZ265" s="95"/>
      <c r="PCA265" s="95"/>
      <c r="PCB265" s="95"/>
      <c r="PCC265" s="95"/>
      <c r="PCD265" s="95"/>
      <c r="PCE265" s="95"/>
      <c r="PCF265" s="95"/>
      <c r="PCG265" s="95"/>
      <c r="PCH265" s="95"/>
      <c r="PCI265" s="95"/>
      <c r="PCJ265" s="95"/>
      <c r="PCK265" s="95"/>
      <c r="PCL265" s="95"/>
      <c r="PCM265" s="95"/>
      <c r="PCN265" s="95"/>
      <c r="PCO265" s="95"/>
      <c r="PCP265" s="95"/>
      <c r="PCQ265" s="95"/>
      <c r="PCR265" s="95"/>
      <c r="PCS265" s="95"/>
      <c r="PCT265" s="95"/>
      <c r="PCU265" s="95"/>
      <c r="PCV265" s="95"/>
      <c r="PCW265" s="95"/>
      <c r="PCX265" s="95"/>
      <c r="PCY265" s="95"/>
      <c r="PCZ265" s="95"/>
      <c r="PDA265" s="95"/>
      <c r="PDB265" s="95"/>
      <c r="PDC265" s="95"/>
      <c r="PDD265" s="95"/>
      <c r="PDE265" s="95"/>
      <c r="PDF265" s="95"/>
      <c r="PDG265" s="95"/>
      <c r="PDH265" s="95"/>
      <c r="PDI265" s="95"/>
      <c r="PDJ265" s="95"/>
      <c r="PDK265" s="95"/>
      <c r="PDL265" s="95"/>
      <c r="PDM265" s="95"/>
      <c r="PDN265" s="95"/>
      <c r="PDO265" s="95"/>
      <c r="PDP265" s="95"/>
      <c r="PDQ265" s="95"/>
      <c r="PDR265" s="95"/>
      <c r="PDS265" s="95"/>
      <c r="PDT265" s="95"/>
      <c r="PDU265" s="95"/>
      <c r="PDV265" s="95"/>
      <c r="PDW265" s="95"/>
      <c r="PDX265" s="95"/>
      <c r="PDY265" s="95"/>
      <c r="PDZ265" s="95"/>
      <c r="PEA265" s="95"/>
      <c r="PEB265" s="95"/>
      <c r="PEC265" s="95"/>
      <c r="PED265" s="95"/>
      <c r="PEE265" s="95"/>
      <c r="PEF265" s="95"/>
      <c r="PEG265" s="95"/>
      <c r="PEH265" s="95"/>
      <c r="PEI265" s="95"/>
      <c r="PEJ265" s="95"/>
      <c r="PEK265" s="95"/>
      <c r="PEL265" s="95"/>
      <c r="PEM265" s="95"/>
      <c r="PEN265" s="95"/>
      <c r="PEO265" s="95"/>
      <c r="PEP265" s="95"/>
      <c r="PEQ265" s="95"/>
      <c r="PER265" s="95"/>
      <c r="PES265" s="95"/>
      <c r="PET265" s="95"/>
      <c r="PEU265" s="95"/>
      <c r="PEV265" s="95"/>
      <c r="PEW265" s="95"/>
      <c r="PEX265" s="95"/>
      <c r="PEY265" s="95"/>
      <c r="PEZ265" s="95"/>
      <c r="PFA265" s="95"/>
      <c r="PFB265" s="95"/>
      <c r="PFC265" s="95"/>
      <c r="PFD265" s="95"/>
      <c r="PFE265" s="95"/>
      <c r="PFF265" s="95"/>
      <c r="PFG265" s="95"/>
      <c r="PFH265" s="95"/>
      <c r="PFI265" s="95"/>
      <c r="PFJ265" s="95"/>
      <c r="PFK265" s="95"/>
      <c r="PFL265" s="95"/>
      <c r="PFM265" s="95"/>
      <c r="PFN265" s="95"/>
      <c r="PFO265" s="95"/>
      <c r="PFP265" s="95"/>
      <c r="PFQ265" s="95"/>
      <c r="PFR265" s="95"/>
      <c r="PFS265" s="95"/>
      <c r="PFT265" s="95"/>
      <c r="PFU265" s="95"/>
      <c r="PFV265" s="95"/>
      <c r="PFW265" s="95"/>
      <c r="PFX265" s="95"/>
      <c r="PFY265" s="95"/>
      <c r="PFZ265" s="95"/>
      <c r="PGA265" s="95"/>
      <c r="PGB265" s="95"/>
      <c r="PGC265" s="95"/>
      <c r="PGD265" s="95"/>
      <c r="PGE265" s="95"/>
      <c r="PGF265" s="95"/>
      <c r="PGG265" s="95"/>
      <c r="PGH265" s="95"/>
      <c r="PGI265" s="95"/>
      <c r="PGJ265" s="95"/>
      <c r="PGK265" s="95"/>
      <c r="PGL265" s="95"/>
      <c r="PGM265" s="95"/>
      <c r="PGN265" s="95"/>
      <c r="PGO265" s="95"/>
      <c r="PGP265" s="95"/>
      <c r="PGQ265" s="95"/>
      <c r="PGR265" s="95"/>
      <c r="PGS265" s="95"/>
      <c r="PGT265" s="95"/>
      <c r="PGU265" s="95"/>
      <c r="PGV265" s="95"/>
      <c r="PGW265" s="95"/>
      <c r="PGX265" s="95"/>
      <c r="PGY265" s="95"/>
      <c r="PGZ265" s="95"/>
      <c r="PHA265" s="95"/>
      <c r="PHB265" s="95"/>
      <c r="PHC265" s="95"/>
      <c r="PHD265" s="95"/>
      <c r="PHE265" s="95"/>
      <c r="PHF265" s="95"/>
      <c r="PHG265" s="95"/>
      <c r="PHH265" s="95"/>
      <c r="PHI265" s="95"/>
      <c r="PHJ265" s="95"/>
      <c r="PHK265" s="95"/>
      <c r="PHL265" s="95"/>
      <c r="PHM265" s="95"/>
      <c r="PHN265" s="95"/>
      <c r="PHO265" s="95"/>
      <c r="PHP265" s="95"/>
      <c r="PHQ265" s="95"/>
      <c r="PHR265" s="95"/>
      <c r="PHS265" s="95"/>
      <c r="PHT265" s="95"/>
      <c r="PHU265" s="95"/>
      <c r="PHV265" s="95"/>
      <c r="PHW265" s="95"/>
      <c r="PHX265" s="95"/>
      <c r="PHY265" s="95"/>
      <c r="PHZ265" s="95"/>
      <c r="PIA265" s="95"/>
      <c r="PIB265" s="95"/>
      <c r="PIC265" s="95"/>
      <c r="PID265" s="95"/>
      <c r="PIE265" s="95"/>
      <c r="PIF265" s="95"/>
      <c r="PIG265" s="95"/>
      <c r="PIH265" s="95"/>
      <c r="PII265" s="95"/>
      <c r="PIJ265" s="95"/>
      <c r="PIK265" s="95"/>
      <c r="PIL265" s="95"/>
      <c r="PIM265" s="95"/>
      <c r="PIN265" s="95"/>
      <c r="PIO265" s="95"/>
      <c r="PIP265" s="95"/>
      <c r="PIQ265" s="95"/>
      <c r="PIR265" s="95"/>
      <c r="PIS265" s="95"/>
      <c r="PIT265" s="95"/>
      <c r="PIU265" s="95"/>
      <c r="PIV265" s="95"/>
      <c r="PIW265" s="95"/>
      <c r="PIX265" s="95"/>
      <c r="PIY265" s="95"/>
      <c r="PIZ265" s="95"/>
      <c r="PJA265" s="95"/>
      <c r="PJB265" s="95"/>
      <c r="PJC265" s="95"/>
      <c r="PJD265" s="95"/>
      <c r="PJE265" s="95"/>
      <c r="PJF265" s="95"/>
      <c r="PJG265" s="95"/>
      <c r="PJH265" s="95"/>
      <c r="PJI265" s="95"/>
      <c r="PJJ265" s="95"/>
      <c r="PJK265" s="95"/>
      <c r="PJL265" s="95"/>
      <c r="PJM265" s="95"/>
      <c r="PJN265" s="95"/>
      <c r="PJO265" s="95"/>
      <c r="PJP265" s="95"/>
      <c r="PJQ265" s="95"/>
      <c r="PJR265" s="95"/>
      <c r="PJS265" s="95"/>
      <c r="PJT265" s="95"/>
      <c r="PJU265" s="95"/>
      <c r="PJV265" s="95"/>
      <c r="PJW265" s="95"/>
      <c r="PJX265" s="95"/>
      <c r="PJY265" s="95"/>
      <c r="PJZ265" s="95"/>
      <c r="PKA265" s="95"/>
      <c r="PKB265" s="95"/>
      <c r="PKC265" s="95"/>
      <c r="PKD265" s="95"/>
      <c r="PKE265" s="95"/>
      <c r="PKF265" s="95"/>
      <c r="PKG265" s="95"/>
      <c r="PKH265" s="95"/>
      <c r="PKI265" s="95"/>
      <c r="PKJ265" s="95"/>
      <c r="PKK265" s="95"/>
      <c r="PKL265" s="95"/>
      <c r="PKM265" s="95"/>
      <c r="PKN265" s="95"/>
      <c r="PKO265" s="95"/>
      <c r="PKP265" s="95"/>
      <c r="PKQ265" s="95"/>
      <c r="PKR265" s="95"/>
      <c r="PKS265" s="95"/>
      <c r="PKT265" s="95"/>
      <c r="PKU265" s="95"/>
      <c r="PKV265" s="95"/>
      <c r="PKW265" s="95"/>
      <c r="PKX265" s="95"/>
      <c r="PKY265" s="95"/>
      <c r="PKZ265" s="95"/>
      <c r="PLA265" s="95"/>
      <c r="PLB265" s="95"/>
      <c r="PLC265" s="95"/>
      <c r="PLD265" s="95"/>
      <c r="PLE265" s="95"/>
      <c r="PLF265" s="95"/>
      <c r="PLG265" s="95"/>
      <c r="PLH265" s="95"/>
      <c r="PLI265" s="95"/>
      <c r="PLJ265" s="95"/>
      <c r="PLK265" s="95"/>
      <c r="PLL265" s="95"/>
      <c r="PLM265" s="95"/>
      <c r="PLN265" s="95"/>
      <c r="PLO265" s="95"/>
      <c r="PLP265" s="95"/>
      <c r="PLQ265" s="95"/>
      <c r="PLR265" s="95"/>
      <c r="PLS265" s="95"/>
      <c r="PLT265" s="95"/>
      <c r="PLU265" s="95"/>
      <c r="PLV265" s="95"/>
      <c r="PLW265" s="95"/>
      <c r="PLX265" s="95"/>
      <c r="PLY265" s="95"/>
      <c r="PLZ265" s="95"/>
      <c r="PMA265" s="95"/>
      <c r="PMB265" s="95"/>
      <c r="PMC265" s="95"/>
      <c r="PMD265" s="95"/>
      <c r="PME265" s="95"/>
      <c r="PMF265" s="95"/>
      <c r="PMG265" s="95"/>
      <c r="PMH265" s="95"/>
      <c r="PMI265" s="95"/>
      <c r="PMJ265" s="95"/>
      <c r="PMK265" s="95"/>
      <c r="PML265" s="95"/>
      <c r="PMM265" s="95"/>
      <c r="PMN265" s="95"/>
      <c r="PMO265" s="95"/>
      <c r="PMP265" s="95"/>
      <c r="PMQ265" s="95"/>
      <c r="PMR265" s="95"/>
      <c r="PMS265" s="95"/>
      <c r="PMT265" s="95"/>
      <c r="PMU265" s="95"/>
      <c r="PMV265" s="95"/>
      <c r="PMW265" s="95"/>
      <c r="PMX265" s="95"/>
      <c r="PMY265" s="95"/>
      <c r="PMZ265" s="95"/>
      <c r="PNA265" s="95"/>
      <c r="PNB265" s="95"/>
      <c r="PNC265" s="95"/>
      <c r="PND265" s="95"/>
      <c r="PNE265" s="95"/>
      <c r="PNF265" s="95"/>
      <c r="PNG265" s="95"/>
      <c r="PNH265" s="95"/>
      <c r="PNI265" s="95"/>
      <c r="PNJ265" s="95"/>
      <c r="PNK265" s="95"/>
      <c r="PNL265" s="95"/>
      <c r="PNM265" s="95"/>
      <c r="PNN265" s="95"/>
      <c r="PNO265" s="95"/>
      <c r="PNP265" s="95"/>
      <c r="PNQ265" s="95"/>
      <c r="PNR265" s="95"/>
      <c r="PNS265" s="95"/>
      <c r="PNT265" s="95"/>
      <c r="PNU265" s="95"/>
      <c r="PNV265" s="95"/>
      <c r="PNW265" s="95"/>
      <c r="PNX265" s="95"/>
      <c r="PNY265" s="95"/>
      <c r="PNZ265" s="95"/>
      <c r="POA265" s="95"/>
      <c r="POB265" s="95"/>
      <c r="POC265" s="95"/>
      <c r="POD265" s="95"/>
      <c r="POE265" s="95"/>
      <c r="POF265" s="95"/>
      <c r="POG265" s="95"/>
      <c r="POH265" s="95"/>
      <c r="POI265" s="95"/>
      <c r="POJ265" s="95"/>
      <c r="POK265" s="95"/>
      <c r="POL265" s="95"/>
      <c r="POM265" s="95"/>
      <c r="PON265" s="95"/>
      <c r="POO265" s="95"/>
      <c r="POP265" s="95"/>
      <c r="POQ265" s="95"/>
      <c r="POR265" s="95"/>
      <c r="POS265" s="95"/>
      <c r="POT265" s="95"/>
      <c r="POU265" s="95"/>
      <c r="POV265" s="95"/>
      <c r="POW265" s="95"/>
      <c r="POX265" s="95"/>
      <c r="POY265" s="95"/>
      <c r="POZ265" s="95"/>
      <c r="PPA265" s="95"/>
      <c r="PPB265" s="95"/>
      <c r="PPC265" s="95"/>
      <c r="PPD265" s="95"/>
      <c r="PPE265" s="95"/>
      <c r="PPF265" s="95"/>
      <c r="PPG265" s="95"/>
      <c r="PPH265" s="95"/>
      <c r="PPI265" s="95"/>
      <c r="PPJ265" s="95"/>
      <c r="PPK265" s="95"/>
      <c r="PPL265" s="95"/>
      <c r="PPM265" s="95"/>
      <c r="PPN265" s="95"/>
      <c r="PPO265" s="95"/>
      <c r="PPP265" s="95"/>
      <c r="PPQ265" s="95"/>
      <c r="PPR265" s="95"/>
      <c r="PPS265" s="95"/>
      <c r="PPT265" s="95"/>
      <c r="PPU265" s="95"/>
      <c r="PPV265" s="95"/>
      <c r="PPW265" s="95"/>
      <c r="PPX265" s="95"/>
      <c r="PPY265" s="95"/>
      <c r="PPZ265" s="95"/>
      <c r="PQA265" s="95"/>
      <c r="PQB265" s="95"/>
      <c r="PQC265" s="95"/>
      <c r="PQD265" s="95"/>
      <c r="PQE265" s="95"/>
      <c r="PQF265" s="95"/>
      <c r="PQG265" s="95"/>
      <c r="PQH265" s="95"/>
      <c r="PQI265" s="95"/>
      <c r="PQJ265" s="95"/>
      <c r="PQK265" s="95"/>
      <c r="PQL265" s="95"/>
      <c r="PQM265" s="95"/>
      <c r="PQN265" s="95"/>
      <c r="PQO265" s="95"/>
      <c r="PQP265" s="95"/>
      <c r="PQQ265" s="95"/>
      <c r="PQR265" s="95"/>
      <c r="PQS265" s="95"/>
      <c r="PQT265" s="95"/>
      <c r="PQU265" s="95"/>
      <c r="PQV265" s="95"/>
      <c r="PQW265" s="95"/>
      <c r="PQX265" s="95"/>
      <c r="PQY265" s="95"/>
      <c r="PQZ265" s="95"/>
      <c r="PRA265" s="95"/>
      <c r="PRB265" s="95"/>
      <c r="PRC265" s="95"/>
      <c r="PRD265" s="95"/>
      <c r="PRE265" s="95"/>
      <c r="PRF265" s="95"/>
      <c r="PRG265" s="95"/>
      <c r="PRH265" s="95"/>
      <c r="PRI265" s="95"/>
      <c r="PRJ265" s="95"/>
      <c r="PRK265" s="95"/>
      <c r="PRL265" s="95"/>
      <c r="PRM265" s="95"/>
      <c r="PRN265" s="95"/>
      <c r="PRO265" s="95"/>
      <c r="PRP265" s="95"/>
      <c r="PRQ265" s="95"/>
      <c r="PRR265" s="95"/>
      <c r="PRS265" s="95"/>
      <c r="PRT265" s="95"/>
      <c r="PRU265" s="95"/>
      <c r="PRV265" s="95"/>
      <c r="PRW265" s="95"/>
      <c r="PRX265" s="95"/>
      <c r="PRY265" s="95"/>
      <c r="PRZ265" s="95"/>
      <c r="PSA265" s="95"/>
      <c r="PSB265" s="95"/>
      <c r="PSC265" s="95"/>
      <c r="PSD265" s="95"/>
      <c r="PSE265" s="95"/>
      <c r="PSF265" s="95"/>
      <c r="PSG265" s="95"/>
      <c r="PSH265" s="95"/>
      <c r="PSI265" s="95"/>
      <c r="PSJ265" s="95"/>
      <c r="PSK265" s="95"/>
      <c r="PSL265" s="95"/>
      <c r="PSM265" s="95"/>
      <c r="PSN265" s="95"/>
      <c r="PSO265" s="95"/>
      <c r="PSP265" s="95"/>
      <c r="PSQ265" s="95"/>
      <c r="PSR265" s="95"/>
      <c r="PSS265" s="95"/>
      <c r="PST265" s="95"/>
      <c r="PSU265" s="95"/>
      <c r="PSV265" s="95"/>
      <c r="PSW265" s="95"/>
      <c r="PSX265" s="95"/>
      <c r="PSY265" s="95"/>
      <c r="PSZ265" s="95"/>
      <c r="PTA265" s="95"/>
      <c r="PTB265" s="95"/>
      <c r="PTC265" s="95"/>
      <c r="PTD265" s="95"/>
      <c r="PTE265" s="95"/>
      <c r="PTF265" s="95"/>
      <c r="PTG265" s="95"/>
      <c r="PTH265" s="95"/>
      <c r="PTI265" s="95"/>
      <c r="PTJ265" s="95"/>
      <c r="PTK265" s="95"/>
      <c r="PTL265" s="95"/>
      <c r="PTM265" s="95"/>
      <c r="PTN265" s="95"/>
      <c r="PTO265" s="95"/>
      <c r="PTP265" s="95"/>
      <c r="PTQ265" s="95"/>
      <c r="PTR265" s="95"/>
      <c r="PTS265" s="95"/>
      <c r="PTT265" s="95"/>
      <c r="PTU265" s="95"/>
      <c r="PTV265" s="95"/>
      <c r="PTW265" s="95"/>
      <c r="PTX265" s="95"/>
      <c r="PTY265" s="95"/>
      <c r="PTZ265" s="95"/>
      <c r="PUA265" s="95"/>
      <c r="PUB265" s="95"/>
      <c r="PUC265" s="95"/>
      <c r="PUD265" s="95"/>
      <c r="PUE265" s="95"/>
      <c r="PUF265" s="95"/>
      <c r="PUG265" s="95"/>
      <c r="PUH265" s="95"/>
      <c r="PUI265" s="95"/>
      <c r="PUJ265" s="95"/>
      <c r="PUK265" s="95"/>
      <c r="PUL265" s="95"/>
      <c r="PUM265" s="95"/>
      <c r="PUN265" s="95"/>
      <c r="PUO265" s="95"/>
      <c r="PUP265" s="95"/>
      <c r="PUQ265" s="95"/>
      <c r="PUR265" s="95"/>
      <c r="PUS265" s="95"/>
      <c r="PUT265" s="95"/>
      <c r="PUU265" s="95"/>
      <c r="PUV265" s="95"/>
      <c r="PUW265" s="95"/>
      <c r="PUX265" s="95"/>
      <c r="PUY265" s="95"/>
      <c r="PUZ265" s="95"/>
      <c r="PVA265" s="95"/>
      <c r="PVB265" s="95"/>
      <c r="PVC265" s="95"/>
      <c r="PVD265" s="95"/>
      <c r="PVE265" s="95"/>
      <c r="PVF265" s="95"/>
      <c r="PVG265" s="95"/>
      <c r="PVH265" s="95"/>
      <c r="PVI265" s="95"/>
      <c r="PVJ265" s="95"/>
      <c r="PVK265" s="95"/>
      <c r="PVL265" s="95"/>
      <c r="PVM265" s="95"/>
      <c r="PVN265" s="95"/>
      <c r="PVO265" s="95"/>
      <c r="PVP265" s="95"/>
      <c r="PVQ265" s="95"/>
      <c r="PVR265" s="95"/>
      <c r="PVS265" s="95"/>
      <c r="PVT265" s="95"/>
      <c r="PVU265" s="95"/>
      <c r="PVV265" s="95"/>
      <c r="PVW265" s="95"/>
      <c r="PVX265" s="95"/>
      <c r="PVY265" s="95"/>
      <c r="PVZ265" s="95"/>
      <c r="PWA265" s="95"/>
      <c r="PWB265" s="95"/>
      <c r="PWC265" s="95"/>
      <c r="PWD265" s="95"/>
      <c r="PWE265" s="95"/>
      <c r="PWF265" s="95"/>
      <c r="PWG265" s="95"/>
      <c r="PWH265" s="95"/>
      <c r="PWI265" s="95"/>
      <c r="PWJ265" s="95"/>
      <c r="PWK265" s="95"/>
      <c r="PWL265" s="95"/>
      <c r="PWM265" s="95"/>
      <c r="PWN265" s="95"/>
      <c r="PWO265" s="95"/>
      <c r="PWP265" s="95"/>
      <c r="PWQ265" s="95"/>
      <c r="PWR265" s="95"/>
      <c r="PWS265" s="95"/>
      <c r="PWT265" s="95"/>
      <c r="PWU265" s="95"/>
      <c r="PWV265" s="95"/>
      <c r="PWW265" s="95"/>
      <c r="PWX265" s="95"/>
      <c r="PWY265" s="95"/>
      <c r="PWZ265" s="95"/>
      <c r="PXA265" s="95"/>
      <c r="PXB265" s="95"/>
      <c r="PXC265" s="95"/>
      <c r="PXD265" s="95"/>
      <c r="PXE265" s="95"/>
      <c r="PXF265" s="95"/>
      <c r="PXG265" s="95"/>
      <c r="PXH265" s="95"/>
      <c r="PXI265" s="95"/>
      <c r="PXJ265" s="95"/>
      <c r="PXK265" s="95"/>
      <c r="PXL265" s="95"/>
      <c r="PXM265" s="95"/>
      <c r="PXN265" s="95"/>
      <c r="PXO265" s="95"/>
      <c r="PXP265" s="95"/>
      <c r="PXQ265" s="95"/>
      <c r="PXR265" s="95"/>
      <c r="PXS265" s="95"/>
      <c r="PXT265" s="95"/>
      <c r="PXU265" s="95"/>
      <c r="PXV265" s="95"/>
      <c r="PXW265" s="95"/>
      <c r="PXX265" s="95"/>
      <c r="PXY265" s="95"/>
      <c r="PXZ265" s="95"/>
      <c r="PYA265" s="95"/>
      <c r="PYB265" s="95"/>
      <c r="PYC265" s="95"/>
      <c r="PYD265" s="95"/>
      <c r="PYE265" s="95"/>
      <c r="PYF265" s="95"/>
      <c r="PYG265" s="95"/>
      <c r="PYH265" s="95"/>
      <c r="PYI265" s="95"/>
      <c r="PYJ265" s="95"/>
      <c r="PYK265" s="95"/>
      <c r="PYL265" s="95"/>
      <c r="PYM265" s="95"/>
      <c r="PYN265" s="95"/>
      <c r="PYO265" s="95"/>
      <c r="PYP265" s="95"/>
      <c r="PYQ265" s="95"/>
      <c r="PYR265" s="95"/>
      <c r="PYS265" s="95"/>
      <c r="PYT265" s="95"/>
      <c r="PYU265" s="95"/>
      <c r="PYV265" s="95"/>
      <c r="PYW265" s="95"/>
      <c r="PYX265" s="95"/>
      <c r="PYY265" s="95"/>
      <c r="PYZ265" s="95"/>
      <c r="PZA265" s="95"/>
      <c r="PZB265" s="95"/>
      <c r="PZC265" s="95"/>
      <c r="PZD265" s="95"/>
      <c r="PZE265" s="95"/>
      <c r="PZF265" s="95"/>
      <c r="PZG265" s="95"/>
      <c r="PZH265" s="95"/>
      <c r="PZI265" s="95"/>
      <c r="PZJ265" s="95"/>
      <c r="PZK265" s="95"/>
      <c r="PZL265" s="95"/>
      <c r="PZM265" s="95"/>
      <c r="PZN265" s="95"/>
      <c r="PZO265" s="95"/>
      <c r="PZP265" s="95"/>
      <c r="PZQ265" s="95"/>
      <c r="PZR265" s="95"/>
      <c r="PZS265" s="95"/>
      <c r="PZT265" s="95"/>
      <c r="PZU265" s="95"/>
      <c r="PZV265" s="95"/>
      <c r="PZW265" s="95"/>
      <c r="PZX265" s="95"/>
      <c r="PZY265" s="95"/>
      <c r="PZZ265" s="95"/>
      <c r="QAA265" s="95"/>
      <c r="QAB265" s="95"/>
      <c r="QAC265" s="95"/>
      <c r="QAD265" s="95"/>
      <c r="QAE265" s="95"/>
      <c r="QAF265" s="95"/>
      <c r="QAG265" s="95"/>
      <c r="QAH265" s="95"/>
      <c r="QAI265" s="95"/>
      <c r="QAJ265" s="95"/>
      <c r="QAK265" s="95"/>
      <c r="QAL265" s="95"/>
      <c r="QAM265" s="95"/>
      <c r="QAN265" s="95"/>
      <c r="QAO265" s="95"/>
      <c r="QAP265" s="95"/>
      <c r="QAQ265" s="95"/>
      <c r="QAR265" s="95"/>
      <c r="QAS265" s="95"/>
      <c r="QAT265" s="95"/>
      <c r="QAU265" s="95"/>
      <c r="QAV265" s="95"/>
      <c r="QAW265" s="95"/>
      <c r="QAX265" s="95"/>
      <c r="QAY265" s="95"/>
      <c r="QAZ265" s="95"/>
      <c r="QBA265" s="95"/>
      <c r="QBB265" s="95"/>
      <c r="QBC265" s="95"/>
      <c r="QBD265" s="95"/>
      <c r="QBE265" s="95"/>
      <c r="QBF265" s="95"/>
      <c r="QBG265" s="95"/>
      <c r="QBH265" s="95"/>
      <c r="QBI265" s="95"/>
      <c r="QBJ265" s="95"/>
      <c r="QBK265" s="95"/>
      <c r="QBL265" s="95"/>
      <c r="QBM265" s="95"/>
      <c r="QBN265" s="95"/>
      <c r="QBO265" s="95"/>
      <c r="QBP265" s="95"/>
      <c r="QBQ265" s="95"/>
      <c r="QBR265" s="95"/>
      <c r="QBS265" s="95"/>
      <c r="QBT265" s="95"/>
      <c r="QBU265" s="95"/>
      <c r="QBV265" s="95"/>
      <c r="QBW265" s="95"/>
      <c r="QBX265" s="95"/>
      <c r="QBY265" s="95"/>
      <c r="QBZ265" s="95"/>
      <c r="QCA265" s="95"/>
      <c r="QCB265" s="95"/>
      <c r="QCC265" s="95"/>
      <c r="QCD265" s="95"/>
      <c r="QCE265" s="95"/>
      <c r="QCF265" s="95"/>
      <c r="QCG265" s="95"/>
      <c r="QCH265" s="95"/>
      <c r="QCI265" s="95"/>
      <c r="QCJ265" s="95"/>
      <c r="QCK265" s="95"/>
      <c r="QCL265" s="95"/>
      <c r="QCM265" s="95"/>
      <c r="QCN265" s="95"/>
      <c r="QCO265" s="95"/>
      <c r="QCP265" s="95"/>
      <c r="QCQ265" s="95"/>
      <c r="QCR265" s="95"/>
      <c r="QCS265" s="95"/>
      <c r="QCT265" s="95"/>
      <c r="QCU265" s="95"/>
      <c r="QCV265" s="95"/>
      <c r="QCW265" s="95"/>
      <c r="QCX265" s="95"/>
      <c r="QCY265" s="95"/>
      <c r="QCZ265" s="95"/>
      <c r="QDA265" s="95"/>
      <c r="QDB265" s="95"/>
      <c r="QDC265" s="95"/>
      <c r="QDD265" s="95"/>
      <c r="QDE265" s="95"/>
      <c r="QDF265" s="95"/>
      <c r="QDG265" s="95"/>
      <c r="QDH265" s="95"/>
      <c r="QDI265" s="95"/>
      <c r="QDJ265" s="95"/>
      <c r="QDK265" s="95"/>
      <c r="QDL265" s="95"/>
      <c r="QDM265" s="95"/>
      <c r="QDN265" s="95"/>
      <c r="QDO265" s="95"/>
      <c r="QDP265" s="95"/>
      <c r="QDQ265" s="95"/>
      <c r="QDR265" s="95"/>
      <c r="QDS265" s="95"/>
      <c r="QDT265" s="95"/>
      <c r="QDU265" s="95"/>
      <c r="QDV265" s="95"/>
      <c r="QDW265" s="95"/>
      <c r="QDX265" s="95"/>
      <c r="QDY265" s="95"/>
      <c r="QDZ265" s="95"/>
      <c r="QEA265" s="95"/>
      <c r="QEB265" s="95"/>
      <c r="QEC265" s="95"/>
      <c r="QED265" s="95"/>
      <c r="QEE265" s="95"/>
      <c r="QEF265" s="95"/>
      <c r="QEG265" s="95"/>
      <c r="QEH265" s="95"/>
      <c r="QEI265" s="95"/>
      <c r="QEJ265" s="95"/>
      <c r="QEK265" s="95"/>
      <c r="QEL265" s="95"/>
      <c r="QEM265" s="95"/>
      <c r="QEN265" s="95"/>
      <c r="QEO265" s="95"/>
      <c r="QEP265" s="95"/>
      <c r="QEQ265" s="95"/>
      <c r="QER265" s="95"/>
      <c r="QES265" s="95"/>
      <c r="QET265" s="95"/>
      <c r="QEU265" s="95"/>
      <c r="QEV265" s="95"/>
      <c r="QEW265" s="95"/>
      <c r="QEX265" s="95"/>
      <c r="QEY265" s="95"/>
      <c r="QEZ265" s="95"/>
      <c r="QFA265" s="95"/>
      <c r="QFB265" s="95"/>
      <c r="QFC265" s="95"/>
      <c r="QFD265" s="95"/>
      <c r="QFE265" s="95"/>
      <c r="QFF265" s="95"/>
      <c r="QFG265" s="95"/>
      <c r="QFH265" s="95"/>
      <c r="QFI265" s="95"/>
      <c r="QFJ265" s="95"/>
      <c r="QFK265" s="95"/>
      <c r="QFL265" s="95"/>
      <c r="QFM265" s="95"/>
      <c r="QFN265" s="95"/>
      <c r="QFO265" s="95"/>
      <c r="QFP265" s="95"/>
      <c r="QFQ265" s="95"/>
      <c r="QFR265" s="95"/>
      <c r="QFS265" s="95"/>
      <c r="QFT265" s="95"/>
      <c r="QFU265" s="95"/>
      <c r="QFV265" s="95"/>
      <c r="QFW265" s="95"/>
      <c r="QFX265" s="95"/>
      <c r="QFY265" s="95"/>
      <c r="QFZ265" s="95"/>
      <c r="QGA265" s="95"/>
      <c r="QGB265" s="95"/>
      <c r="QGC265" s="95"/>
      <c r="QGD265" s="95"/>
      <c r="QGE265" s="95"/>
      <c r="QGF265" s="95"/>
      <c r="QGG265" s="95"/>
      <c r="QGH265" s="95"/>
      <c r="QGI265" s="95"/>
      <c r="QGJ265" s="95"/>
      <c r="QGK265" s="95"/>
      <c r="QGL265" s="95"/>
      <c r="QGM265" s="95"/>
      <c r="QGN265" s="95"/>
      <c r="QGO265" s="95"/>
      <c r="QGP265" s="95"/>
      <c r="QGQ265" s="95"/>
      <c r="QGR265" s="95"/>
      <c r="QGS265" s="95"/>
      <c r="QGT265" s="95"/>
      <c r="QGU265" s="95"/>
      <c r="QGV265" s="95"/>
      <c r="QGW265" s="95"/>
      <c r="QGX265" s="95"/>
      <c r="QGY265" s="95"/>
      <c r="QGZ265" s="95"/>
      <c r="QHA265" s="95"/>
      <c r="QHB265" s="95"/>
      <c r="QHC265" s="95"/>
      <c r="QHD265" s="95"/>
      <c r="QHE265" s="95"/>
      <c r="QHF265" s="95"/>
      <c r="QHG265" s="95"/>
      <c r="QHH265" s="95"/>
      <c r="QHI265" s="95"/>
      <c r="QHJ265" s="95"/>
      <c r="QHK265" s="95"/>
      <c r="QHL265" s="95"/>
      <c r="QHM265" s="95"/>
      <c r="QHN265" s="95"/>
      <c r="QHO265" s="95"/>
      <c r="QHP265" s="95"/>
      <c r="QHQ265" s="95"/>
      <c r="QHR265" s="95"/>
      <c r="QHS265" s="95"/>
      <c r="QHT265" s="95"/>
      <c r="QHU265" s="95"/>
      <c r="QHV265" s="95"/>
      <c r="QHW265" s="95"/>
      <c r="QHX265" s="95"/>
      <c r="QHY265" s="95"/>
      <c r="QHZ265" s="95"/>
      <c r="QIA265" s="95"/>
      <c r="QIB265" s="95"/>
      <c r="QIC265" s="95"/>
      <c r="QID265" s="95"/>
      <c r="QIE265" s="95"/>
      <c r="QIF265" s="95"/>
      <c r="QIG265" s="95"/>
      <c r="QIH265" s="95"/>
      <c r="QII265" s="95"/>
      <c r="QIJ265" s="95"/>
      <c r="QIK265" s="95"/>
      <c r="QIL265" s="95"/>
      <c r="QIM265" s="95"/>
      <c r="QIN265" s="95"/>
      <c r="QIO265" s="95"/>
      <c r="QIP265" s="95"/>
      <c r="QIQ265" s="95"/>
      <c r="QIR265" s="95"/>
      <c r="QIS265" s="95"/>
      <c r="QIT265" s="95"/>
      <c r="QIU265" s="95"/>
      <c r="QIV265" s="95"/>
      <c r="QIW265" s="95"/>
      <c r="QIX265" s="95"/>
      <c r="QIY265" s="95"/>
      <c r="QIZ265" s="95"/>
      <c r="QJA265" s="95"/>
      <c r="QJB265" s="95"/>
      <c r="QJC265" s="95"/>
      <c r="QJD265" s="95"/>
      <c r="QJE265" s="95"/>
      <c r="QJF265" s="95"/>
      <c r="QJG265" s="95"/>
      <c r="QJH265" s="95"/>
      <c r="QJI265" s="95"/>
      <c r="QJJ265" s="95"/>
      <c r="QJK265" s="95"/>
      <c r="QJL265" s="95"/>
      <c r="QJM265" s="95"/>
      <c r="QJN265" s="95"/>
      <c r="QJO265" s="95"/>
      <c r="QJP265" s="95"/>
      <c r="QJQ265" s="95"/>
      <c r="QJR265" s="95"/>
      <c r="QJS265" s="95"/>
      <c r="QJT265" s="95"/>
      <c r="QJU265" s="95"/>
      <c r="QJV265" s="95"/>
      <c r="QJW265" s="95"/>
      <c r="QJX265" s="95"/>
      <c r="QJY265" s="95"/>
      <c r="QJZ265" s="95"/>
      <c r="QKA265" s="95"/>
      <c r="QKB265" s="95"/>
      <c r="QKC265" s="95"/>
      <c r="QKD265" s="95"/>
      <c r="QKE265" s="95"/>
      <c r="QKF265" s="95"/>
      <c r="QKG265" s="95"/>
      <c r="QKH265" s="95"/>
      <c r="QKI265" s="95"/>
      <c r="QKJ265" s="95"/>
      <c r="QKK265" s="95"/>
      <c r="QKL265" s="95"/>
      <c r="QKM265" s="95"/>
      <c r="QKN265" s="95"/>
      <c r="QKO265" s="95"/>
      <c r="QKP265" s="95"/>
      <c r="QKQ265" s="95"/>
      <c r="QKR265" s="95"/>
      <c r="QKS265" s="95"/>
      <c r="QKT265" s="95"/>
      <c r="QKU265" s="95"/>
      <c r="QKV265" s="95"/>
      <c r="QKW265" s="95"/>
      <c r="QKX265" s="95"/>
      <c r="QKY265" s="95"/>
      <c r="QKZ265" s="95"/>
      <c r="QLA265" s="95"/>
      <c r="QLB265" s="95"/>
      <c r="QLC265" s="95"/>
      <c r="QLD265" s="95"/>
      <c r="QLE265" s="95"/>
      <c r="QLF265" s="95"/>
      <c r="QLG265" s="95"/>
      <c r="QLH265" s="95"/>
      <c r="QLI265" s="95"/>
      <c r="QLJ265" s="95"/>
      <c r="QLK265" s="95"/>
      <c r="QLL265" s="95"/>
      <c r="QLM265" s="95"/>
      <c r="QLN265" s="95"/>
      <c r="QLO265" s="95"/>
      <c r="QLP265" s="95"/>
      <c r="QLQ265" s="95"/>
      <c r="QLR265" s="95"/>
      <c r="QLS265" s="95"/>
      <c r="QLT265" s="95"/>
      <c r="QLU265" s="95"/>
      <c r="QLV265" s="95"/>
      <c r="QLW265" s="95"/>
      <c r="QLX265" s="95"/>
      <c r="QLY265" s="95"/>
      <c r="QLZ265" s="95"/>
      <c r="QMA265" s="95"/>
      <c r="QMB265" s="95"/>
      <c r="QMC265" s="95"/>
      <c r="QMD265" s="95"/>
      <c r="QME265" s="95"/>
      <c r="QMF265" s="95"/>
      <c r="QMG265" s="95"/>
      <c r="QMH265" s="95"/>
      <c r="QMI265" s="95"/>
      <c r="QMJ265" s="95"/>
      <c r="QMK265" s="95"/>
      <c r="QML265" s="95"/>
      <c r="QMM265" s="95"/>
      <c r="QMN265" s="95"/>
      <c r="QMO265" s="95"/>
      <c r="QMP265" s="95"/>
      <c r="QMQ265" s="95"/>
      <c r="QMR265" s="95"/>
      <c r="QMS265" s="95"/>
      <c r="QMT265" s="95"/>
      <c r="QMU265" s="95"/>
      <c r="QMV265" s="95"/>
      <c r="QMW265" s="95"/>
      <c r="QMX265" s="95"/>
      <c r="QMY265" s="95"/>
      <c r="QMZ265" s="95"/>
      <c r="QNA265" s="95"/>
      <c r="QNB265" s="95"/>
      <c r="QNC265" s="95"/>
      <c r="QND265" s="95"/>
      <c r="QNE265" s="95"/>
      <c r="QNF265" s="95"/>
      <c r="QNG265" s="95"/>
      <c r="QNH265" s="95"/>
      <c r="QNI265" s="95"/>
      <c r="QNJ265" s="95"/>
      <c r="QNK265" s="95"/>
      <c r="QNL265" s="95"/>
      <c r="QNM265" s="95"/>
      <c r="QNN265" s="95"/>
      <c r="QNO265" s="95"/>
      <c r="QNP265" s="95"/>
      <c r="QNQ265" s="95"/>
      <c r="QNR265" s="95"/>
      <c r="QNS265" s="95"/>
      <c r="QNT265" s="95"/>
      <c r="QNU265" s="95"/>
      <c r="QNV265" s="95"/>
      <c r="QNW265" s="95"/>
      <c r="QNX265" s="95"/>
      <c r="QNY265" s="95"/>
      <c r="QNZ265" s="95"/>
      <c r="QOA265" s="95"/>
      <c r="QOB265" s="95"/>
      <c r="QOC265" s="95"/>
      <c r="QOD265" s="95"/>
      <c r="QOE265" s="95"/>
      <c r="QOF265" s="95"/>
      <c r="QOG265" s="95"/>
      <c r="QOH265" s="95"/>
      <c r="QOI265" s="95"/>
      <c r="QOJ265" s="95"/>
      <c r="QOK265" s="95"/>
      <c r="QOL265" s="95"/>
      <c r="QOM265" s="95"/>
      <c r="QON265" s="95"/>
      <c r="QOO265" s="95"/>
      <c r="QOP265" s="95"/>
      <c r="QOQ265" s="95"/>
      <c r="QOR265" s="95"/>
      <c r="QOS265" s="95"/>
      <c r="QOT265" s="95"/>
      <c r="QOU265" s="95"/>
      <c r="QOV265" s="95"/>
      <c r="QOW265" s="95"/>
      <c r="QOX265" s="95"/>
      <c r="QOY265" s="95"/>
      <c r="QOZ265" s="95"/>
      <c r="QPA265" s="95"/>
      <c r="QPB265" s="95"/>
      <c r="QPC265" s="95"/>
      <c r="QPD265" s="95"/>
      <c r="QPE265" s="95"/>
      <c r="QPF265" s="95"/>
      <c r="QPG265" s="95"/>
      <c r="QPH265" s="95"/>
      <c r="QPI265" s="95"/>
      <c r="QPJ265" s="95"/>
      <c r="QPK265" s="95"/>
      <c r="QPL265" s="95"/>
      <c r="QPM265" s="95"/>
      <c r="QPN265" s="95"/>
      <c r="QPO265" s="95"/>
      <c r="QPP265" s="95"/>
      <c r="QPQ265" s="95"/>
      <c r="QPR265" s="95"/>
      <c r="QPS265" s="95"/>
      <c r="QPT265" s="95"/>
      <c r="QPU265" s="95"/>
      <c r="QPV265" s="95"/>
      <c r="QPW265" s="95"/>
      <c r="QPX265" s="95"/>
      <c r="QPY265" s="95"/>
      <c r="QPZ265" s="95"/>
      <c r="QQA265" s="95"/>
      <c r="QQB265" s="95"/>
      <c r="QQC265" s="95"/>
      <c r="QQD265" s="95"/>
      <c r="QQE265" s="95"/>
      <c r="QQF265" s="95"/>
      <c r="QQG265" s="95"/>
      <c r="QQH265" s="95"/>
      <c r="QQI265" s="95"/>
      <c r="QQJ265" s="95"/>
      <c r="QQK265" s="95"/>
      <c r="QQL265" s="95"/>
      <c r="QQM265" s="95"/>
      <c r="QQN265" s="95"/>
      <c r="QQO265" s="95"/>
      <c r="QQP265" s="95"/>
      <c r="QQQ265" s="95"/>
      <c r="QQR265" s="95"/>
      <c r="QQS265" s="95"/>
      <c r="QQT265" s="95"/>
      <c r="QQU265" s="95"/>
      <c r="QQV265" s="95"/>
      <c r="QQW265" s="95"/>
      <c r="QQX265" s="95"/>
      <c r="QQY265" s="95"/>
      <c r="QQZ265" s="95"/>
      <c r="QRA265" s="95"/>
      <c r="QRB265" s="95"/>
      <c r="QRC265" s="95"/>
      <c r="QRD265" s="95"/>
      <c r="QRE265" s="95"/>
      <c r="QRF265" s="95"/>
      <c r="QRG265" s="95"/>
      <c r="QRH265" s="95"/>
      <c r="QRI265" s="95"/>
      <c r="QRJ265" s="95"/>
      <c r="QRK265" s="95"/>
      <c r="QRL265" s="95"/>
      <c r="QRM265" s="95"/>
      <c r="QRN265" s="95"/>
      <c r="QRO265" s="95"/>
      <c r="QRP265" s="95"/>
      <c r="QRQ265" s="95"/>
      <c r="QRR265" s="95"/>
      <c r="QRS265" s="95"/>
      <c r="QRT265" s="95"/>
      <c r="QRU265" s="95"/>
      <c r="QRV265" s="95"/>
      <c r="QRW265" s="95"/>
      <c r="QRX265" s="95"/>
      <c r="QRY265" s="95"/>
      <c r="QRZ265" s="95"/>
      <c r="QSA265" s="95"/>
      <c r="QSB265" s="95"/>
      <c r="QSC265" s="95"/>
      <c r="QSD265" s="95"/>
      <c r="QSE265" s="95"/>
      <c r="QSF265" s="95"/>
      <c r="QSG265" s="95"/>
      <c r="QSH265" s="95"/>
      <c r="QSI265" s="95"/>
      <c r="QSJ265" s="95"/>
      <c r="QSK265" s="95"/>
      <c r="QSL265" s="95"/>
      <c r="QSM265" s="95"/>
      <c r="QSN265" s="95"/>
      <c r="QSO265" s="95"/>
      <c r="QSP265" s="95"/>
      <c r="QSQ265" s="95"/>
      <c r="QSR265" s="95"/>
      <c r="QSS265" s="95"/>
      <c r="QST265" s="95"/>
      <c r="QSU265" s="95"/>
      <c r="QSV265" s="95"/>
      <c r="QSW265" s="95"/>
      <c r="QSX265" s="95"/>
      <c r="QSY265" s="95"/>
      <c r="QSZ265" s="95"/>
      <c r="QTA265" s="95"/>
      <c r="QTB265" s="95"/>
      <c r="QTC265" s="95"/>
      <c r="QTD265" s="95"/>
      <c r="QTE265" s="95"/>
      <c r="QTF265" s="95"/>
      <c r="QTG265" s="95"/>
      <c r="QTH265" s="95"/>
      <c r="QTI265" s="95"/>
      <c r="QTJ265" s="95"/>
      <c r="QTK265" s="95"/>
      <c r="QTL265" s="95"/>
      <c r="QTM265" s="95"/>
      <c r="QTN265" s="95"/>
      <c r="QTO265" s="95"/>
      <c r="QTP265" s="95"/>
      <c r="QTQ265" s="95"/>
      <c r="QTR265" s="95"/>
      <c r="QTS265" s="95"/>
      <c r="QTT265" s="95"/>
      <c r="QTU265" s="95"/>
      <c r="QTV265" s="95"/>
      <c r="QTW265" s="95"/>
      <c r="QTX265" s="95"/>
      <c r="QTY265" s="95"/>
      <c r="QTZ265" s="95"/>
      <c r="QUA265" s="95"/>
      <c r="QUB265" s="95"/>
      <c r="QUC265" s="95"/>
      <c r="QUD265" s="95"/>
      <c r="QUE265" s="95"/>
      <c r="QUF265" s="95"/>
      <c r="QUG265" s="95"/>
      <c r="QUH265" s="95"/>
      <c r="QUI265" s="95"/>
      <c r="QUJ265" s="95"/>
      <c r="QUK265" s="95"/>
      <c r="QUL265" s="95"/>
      <c r="QUM265" s="95"/>
      <c r="QUN265" s="95"/>
      <c r="QUO265" s="95"/>
      <c r="QUP265" s="95"/>
      <c r="QUQ265" s="95"/>
      <c r="QUR265" s="95"/>
      <c r="QUS265" s="95"/>
      <c r="QUT265" s="95"/>
      <c r="QUU265" s="95"/>
      <c r="QUV265" s="95"/>
      <c r="QUW265" s="95"/>
      <c r="QUX265" s="95"/>
      <c r="QUY265" s="95"/>
      <c r="QUZ265" s="95"/>
      <c r="QVA265" s="95"/>
      <c r="QVB265" s="95"/>
      <c r="QVC265" s="95"/>
      <c r="QVD265" s="95"/>
      <c r="QVE265" s="95"/>
      <c r="QVF265" s="95"/>
      <c r="QVG265" s="95"/>
      <c r="QVH265" s="95"/>
      <c r="QVI265" s="95"/>
      <c r="QVJ265" s="95"/>
      <c r="QVK265" s="95"/>
      <c r="QVL265" s="95"/>
      <c r="QVM265" s="95"/>
      <c r="QVN265" s="95"/>
      <c r="QVO265" s="95"/>
      <c r="QVP265" s="95"/>
      <c r="QVQ265" s="95"/>
      <c r="QVR265" s="95"/>
      <c r="QVS265" s="95"/>
      <c r="QVT265" s="95"/>
      <c r="QVU265" s="95"/>
      <c r="QVV265" s="95"/>
      <c r="QVW265" s="95"/>
      <c r="QVX265" s="95"/>
      <c r="QVY265" s="95"/>
      <c r="QVZ265" s="95"/>
      <c r="QWA265" s="95"/>
      <c r="QWB265" s="95"/>
      <c r="QWC265" s="95"/>
      <c r="QWD265" s="95"/>
      <c r="QWE265" s="95"/>
      <c r="QWF265" s="95"/>
      <c r="QWG265" s="95"/>
      <c r="QWH265" s="95"/>
      <c r="QWI265" s="95"/>
      <c r="QWJ265" s="95"/>
      <c r="QWK265" s="95"/>
      <c r="QWL265" s="95"/>
      <c r="QWM265" s="95"/>
      <c r="QWN265" s="95"/>
      <c r="QWO265" s="95"/>
      <c r="QWP265" s="95"/>
      <c r="QWQ265" s="95"/>
      <c r="QWR265" s="95"/>
      <c r="QWS265" s="95"/>
      <c r="QWT265" s="95"/>
      <c r="QWU265" s="95"/>
      <c r="QWV265" s="95"/>
      <c r="QWW265" s="95"/>
      <c r="QWX265" s="95"/>
      <c r="QWY265" s="95"/>
      <c r="QWZ265" s="95"/>
      <c r="QXA265" s="95"/>
      <c r="QXB265" s="95"/>
      <c r="QXC265" s="95"/>
      <c r="QXD265" s="95"/>
      <c r="QXE265" s="95"/>
      <c r="QXF265" s="95"/>
      <c r="QXG265" s="95"/>
      <c r="QXH265" s="95"/>
      <c r="QXI265" s="95"/>
      <c r="QXJ265" s="95"/>
      <c r="QXK265" s="95"/>
      <c r="QXL265" s="95"/>
      <c r="QXM265" s="95"/>
      <c r="QXN265" s="95"/>
      <c r="QXO265" s="95"/>
      <c r="QXP265" s="95"/>
      <c r="QXQ265" s="95"/>
      <c r="QXR265" s="95"/>
      <c r="QXS265" s="95"/>
      <c r="QXT265" s="95"/>
      <c r="QXU265" s="95"/>
      <c r="QXV265" s="95"/>
      <c r="QXW265" s="95"/>
      <c r="QXX265" s="95"/>
      <c r="QXY265" s="95"/>
      <c r="QXZ265" s="95"/>
      <c r="QYA265" s="95"/>
      <c r="QYB265" s="95"/>
      <c r="QYC265" s="95"/>
      <c r="QYD265" s="95"/>
      <c r="QYE265" s="95"/>
      <c r="QYF265" s="95"/>
      <c r="QYG265" s="95"/>
      <c r="QYH265" s="95"/>
      <c r="QYI265" s="95"/>
      <c r="QYJ265" s="95"/>
      <c r="QYK265" s="95"/>
      <c r="QYL265" s="95"/>
      <c r="QYM265" s="95"/>
      <c r="QYN265" s="95"/>
      <c r="QYO265" s="95"/>
      <c r="QYP265" s="95"/>
      <c r="QYQ265" s="95"/>
      <c r="QYR265" s="95"/>
      <c r="QYS265" s="95"/>
      <c r="QYT265" s="95"/>
      <c r="QYU265" s="95"/>
      <c r="QYV265" s="95"/>
      <c r="QYW265" s="95"/>
      <c r="QYX265" s="95"/>
      <c r="QYY265" s="95"/>
      <c r="QYZ265" s="95"/>
      <c r="QZA265" s="95"/>
      <c r="QZB265" s="95"/>
      <c r="QZC265" s="95"/>
      <c r="QZD265" s="95"/>
      <c r="QZE265" s="95"/>
      <c r="QZF265" s="95"/>
      <c r="QZG265" s="95"/>
      <c r="QZH265" s="95"/>
      <c r="QZI265" s="95"/>
      <c r="QZJ265" s="95"/>
      <c r="QZK265" s="95"/>
      <c r="QZL265" s="95"/>
      <c r="QZM265" s="95"/>
      <c r="QZN265" s="95"/>
      <c r="QZO265" s="95"/>
      <c r="QZP265" s="95"/>
      <c r="QZQ265" s="95"/>
      <c r="QZR265" s="95"/>
      <c r="QZS265" s="95"/>
      <c r="QZT265" s="95"/>
      <c r="QZU265" s="95"/>
      <c r="QZV265" s="95"/>
      <c r="QZW265" s="95"/>
      <c r="QZX265" s="95"/>
      <c r="QZY265" s="95"/>
      <c r="QZZ265" s="95"/>
      <c r="RAA265" s="95"/>
      <c r="RAB265" s="95"/>
      <c r="RAC265" s="95"/>
      <c r="RAD265" s="95"/>
      <c r="RAE265" s="95"/>
      <c r="RAF265" s="95"/>
      <c r="RAG265" s="95"/>
      <c r="RAH265" s="95"/>
      <c r="RAI265" s="95"/>
      <c r="RAJ265" s="95"/>
      <c r="RAK265" s="95"/>
      <c r="RAL265" s="95"/>
      <c r="RAM265" s="95"/>
      <c r="RAN265" s="95"/>
      <c r="RAO265" s="95"/>
      <c r="RAP265" s="95"/>
      <c r="RAQ265" s="95"/>
      <c r="RAR265" s="95"/>
      <c r="RAS265" s="95"/>
      <c r="RAT265" s="95"/>
      <c r="RAU265" s="95"/>
      <c r="RAV265" s="95"/>
      <c r="RAW265" s="95"/>
      <c r="RAX265" s="95"/>
      <c r="RAY265" s="95"/>
      <c r="RAZ265" s="95"/>
      <c r="RBA265" s="95"/>
      <c r="RBB265" s="95"/>
      <c r="RBC265" s="95"/>
      <c r="RBD265" s="95"/>
      <c r="RBE265" s="95"/>
      <c r="RBF265" s="95"/>
      <c r="RBG265" s="95"/>
      <c r="RBH265" s="95"/>
      <c r="RBI265" s="95"/>
      <c r="RBJ265" s="95"/>
      <c r="RBK265" s="95"/>
      <c r="RBL265" s="95"/>
      <c r="RBM265" s="95"/>
      <c r="RBN265" s="95"/>
      <c r="RBO265" s="95"/>
      <c r="RBP265" s="95"/>
      <c r="RBQ265" s="95"/>
      <c r="RBR265" s="95"/>
      <c r="RBS265" s="95"/>
      <c r="RBT265" s="95"/>
      <c r="RBU265" s="95"/>
      <c r="RBV265" s="95"/>
      <c r="RBW265" s="95"/>
      <c r="RBX265" s="95"/>
      <c r="RBY265" s="95"/>
      <c r="RBZ265" s="95"/>
      <c r="RCA265" s="95"/>
      <c r="RCB265" s="95"/>
      <c r="RCC265" s="95"/>
      <c r="RCD265" s="95"/>
      <c r="RCE265" s="95"/>
      <c r="RCF265" s="95"/>
      <c r="RCG265" s="95"/>
      <c r="RCH265" s="95"/>
      <c r="RCI265" s="95"/>
      <c r="RCJ265" s="95"/>
      <c r="RCK265" s="95"/>
      <c r="RCL265" s="95"/>
      <c r="RCM265" s="95"/>
      <c r="RCN265" s="95"/>
      <c r="RCO265" s="95"/>
      <c r="RCP265" s="95"/>
      <c r="RCQ265" s="95"/>
      <c r="RCR265" s="95"/>
      <c r="RCS265" s="95"/>
      <c r="RCT265" s="95"/>
      <c r="RCU265" s="95"/>
      <c r="RCV265" s="95"/>
      <c r="RCW265" s="95"/>
      <c r="RCX265" s="95"/>
      <c r="RCY265" s="95"/>
      <c r="RCZ265" s="95"/>
      <c r="RDA265" s="95"/>
      <c r="RDB265" s="95"/>
      <c r="RDC265" s="95"/>
      <c r="RDD265" s="95"/>
      <c r="RDE265" s="95"/>
      <c r="RDF265" s="95"/>
      <c r="RDG265" s="95"/>
      <c r="RDH265" s="95"/>
      <c r="RDI265" s="95"/>
      <c r="RDJ265" s="95"/>
      <c r="RDK265" s="95"/>
      <c r="RDL265" s="95"/>
      <c r="RDM265" s="95"/>
      <c r="RDN265" s="95"/>
      <c r="RDO265" s="95"/>
      <c r="RDP265" s="95"/>
      <c r="RDQ265" s="95"/>
      <c r="RDR265" s="95"/>
      <c r="RDS265" s="95"/>
      <c r="RDT265" s="95"/>
      <c r="RDU265" s="95"/>
      <c r="RDV265" s="95"/>
      <c r="RDW265" s="95"/>
      <c r="RDX265" s="95"/>
      <c r="RDY265" s="95"/>
      <c r="RDZ265" s="95"/>
      <c r="REA265" s="95"/>
      <c r="REB265" s="95"/>
      <c r="REC265" s="95"/>
      <c r="RED265" s="95"/>
      <c r="REE265" s="95"/>
      <c r="REF265" s="95"/>
      <c r="REG265" s="95"/>
      <c r="REH265" s="95"/>
      <c r="REI265" s="95"/>
      <c r="REJ265" s="95"/>
      <c r="REK265" s="95"/>
      <c r="REL265" s="95"/>
      <c r="REM265" s="95"/>
      <c r="REN265" s="95"/>
      <c r="REO265" s="95"/>
      <c r="REP265" s="95"/>
      <c r="REQ265" s="95"/>
      <c r="RER265" s="95"/>
      <c r="RES265" s="95"/>
      <c r="RET265" s="95"/>
      <c r="REU265" s="95"/>
      <c r="REV265" s="95"/>
      <c r="REW265" s="95"/>
      <c r="REX265" s="95"/>
      <c r="REY265" s="95"/>
      <c r="REZ265" s="95"/>
      <c r="RFA265" s="95"/>
      <c r="RFB265" s="95"/>
      <c r="RFC265" s="95"/>
      <c r="RFD265" s="95"/>
      <c r="RFE265" s="95"/>
      <c r="RFF265" s="95"/>
      <c r="RFG265" s="95"/>
      <c r="RFH265" s="95"/>
      <c r="RFI265" s="95"/>
      <c r="RFJ265" s="95"/>
      <c r="RFK265" s="95"/>
      <c r="RFL265" s="95"/>
      <c r="RFM265" s="95"/>
      <c r="RFN265" s="95"/>
      <c r="RFO265" s="95"/>
      <c r="RFP265" s="95"/>
      <c r="RFQ265" s="95"/>
      <c r="RFR265" s="95"/>
      <c r="RFS265" s="95"/>
      <c r="RFT265" s="95"/>
      <c r="RFU265" s="95"/>
      <c r="RFV265" s="95"/>
      <c r="RFW265" s="95"/>
      <c r="RFX265" s="95"/>
      <c r="RFY265" s="95"/>
      <c r="RFZ265" s="95"/>
      <c r="RGA265" s="95"/>
      <c r="RGB265" s="95"/>
      <c r="RGC265" s="95"/>
      <c r="RGD265" s="95"/>
      <c r="RGE265" s="95"/>
      <c r="RGF265" s="95"/>
      <c r="RGG265" s="95"/>
      <c r="RGH265" s="95"/>
      <c r="RGI265" s="95"/>
      <c r="RGJ265" s="95"/>
      <c r="RGK265" s="95"/>
      <c r="RGL265" s="95"/>
      <c r="RGM265" s="95"/>
      <c r="RGN265" s="95"/>
      <c r="RGO265" s="95"/>
      <c r="RGP265" s="95"/>
      <c r="RGQ265" s="95"/>
      <c r="RGR265" s="95"/>
      <c r="RGS265" s="95"/>
      <c r="RGT265" s="95"/>
      <c r="RGU265" s="95"/>
      <c r="RGV265" s="95"/>
      <c r="RGW265" s="95"/>
      <c r="RGX265" s="95"/>
      <c r="RGY265" s="95"/>
      <c r="RGZ265" s="95"/>
      <c r="RHA265" s="95"/>
      <c r="RHB265" s="95"/>
      <c r="RHC265" s="95"/>
      <c r="RHD265" s="95"/>
      <c r="RHE265" s="95"/>
      <c r="RHF265" s="95"/>
      <c r="RHG265" s="95"/>
      <c r="RHH265" s="95"/>
      <c r="RHI265" s="95"/>
      <c r="RHJ265" s="95"/>
      <c r="RHK265" s="95"/>
      <c r="RHL265" s="95"/>
      <c r="RHM265" s="95"/>
      <c r="RHN265" s="95"/>
      <c r="RHO265" s="95"/>
      <c r="RHP265" s="95"/>
      <c r="RHQ265" s="95"/>
      <c r="RHR265" s="95"/>
      <c r="RHS265" s="95"/>
      <c r="RHT265" s="95"/>
      <c r="RHU265" s="95"/>
      <c r="RHV265" s="95"/>
      <c r="RHW265" s="95"/>
      <c r="RHX265" s="95"/>
      <c r="RHY265" s="95"/>
      <c r="RHZ265" s="95"/>
      <c r="RIA265" s="95"/>
      <c r="RIB265" s="95"/>
      <c r="RIC265" s="95"/>
      <c r="RID265" s="95"/>
      <c r="RIE265" s="95"/>
      <c r="RIF265" s="95"/>
      <c r="RIG265" s="95"/>
      <c r="RIH265" s="95"/>
      <c r="RII265" s="95"/>
      <c r="RIJ265" s="95"/>
      <c r="RIK265" s="95"/>
      <c r="RIL265" s="95"/>
      <c r="RIM265" s="95"/>
      <c r="RIN265" s="95"/>
      <c r="RIO265" s="95"/>
      <c r="RIP265" s="95"/>
      <c r="RIQ265" s="95"/>
      <c r="RIR265" s="95"/>
      <c r="RIS265" s="95"/>
      <c r="RIT265" s="95"/>
      <c r="RIU265" s="95"/>
      <c r="RIV265" s="95"/>
      <c r="RIW265" s="95"/>
      <c r="RIX265" s="95"/>
      <c r="RIY265" s="95"/>
      <c r="RIZ265" s="95"/>
      <c r="RJA265" s="95"/>
      <c r="RJB265" s="95"/>
      <c r="RJC265" s="95"/>
      <c r="RJD265" s="95"/>
      <c r="RJE265" s="95"/>
      <c r="RJF265" s="95"/>
      <c r="RJG265" s="95"/>
      <c r="RJH265" s="95"/>
      <c r="RJI265" s="95"/>
      <c r="RJJ265" s="95"/>
      <c r="RJK265" s="95"/>
      <c r="RJL265" s="95"/>
      <c r="RJM265" s="95"/>
      <c r="RJN265" s="95"/>
      <c r="RJO265" s="95"/>
      <c r="RJP265" s="95"/>
      <c r="RJQ265" s="95"/>
      <c r="RJR265" s="95"/>
      <c r="RJS265" s="95"/>
      <c r="RJT265" s="95"/>
      <c r="RJU265" s="95"/>
      <c r="RJV265" s="95"/>
      <c r="RJW265" s="95"/>
      <c r="RJX265" s="95"/>
      <c r="RJY265" s="95"/>
      <c r="RJZ265" s="95"/>
      <c r="RKA265" s="95"/>
      <c r="RKB265" s="95"/>
      <c r="RKC265" s="95"/>
      <c r="RKD265" s="95"/>
      <c r="RKE265" s="95"/>
      <c r="RKF265" s="95"/>
      <c r="RKG265" s="95"/>
      <c r="RKH265" s="95"/>
      <c r="RKI265" s="95"/>
      <c r="RKJ265" s="95"/>
      <c r="RKK265" s="95"/>
      <c r="RKL265" s="95"/>
      <c r="RKM265" s="95"/>
      <c r="RKN265" s="95"/>
      <c r="RKO265" s="95"/>
      <c r="RKP265" s="95"/>
      <c r="RKQ265" s="95"/>
      <c r="RKR265" s="95"/>
      <c r="RKS265" s="95"/>
      <c r="RKT265" s="95"/>
      <c r="RKU265" s="95"/>
      <c r="RKV265" s="95"/>
      <c r="RKW265" s="95"/>
      <c r="RKX265" s="95"/>
      <c r="RKY265" s="95"/>
      <c r="RKZ265" s="95"/>
      <c r="RLA265" s="95"/>
      <c r="RLB265" s="95"/>
      <c r="RLC265" s="95"/>
      <c r="RLD265" s="95"/>
      <c r="RLE265" s="95"/>
      <c r="RLF265" s="95"/>
      <c r="RLG265" s="95"/>
      <c r="RLH265" s="95"/>
      <c r="RLI265" s="95"/>
      <c r="RLJ265" s="95"/>
      <c r="RLK265" s="95"/>
      <c r="RLL265" s="95"/>
      <c r="RLM265" s="95"/>
      <c r="RLN265" s="95"/>
      <c r="RLO265" s="95"/>
      <c r="RLP265" s="95"/>
      <c r="RLQ265" s="95"/>
      <c r="RLR265" s="95"/>
      <c r="RLS265" s="95"/>
      <c r="RLT265" s="95"/>
      <c r="RLU265" s="95"/>
      <c r="RLV265" s="95"/>
      <c r="RLW265" s="95"/>
      <c r="RLX265" s="95"/>
      <c r="RLY265" s="95"/>
      <c r="RLZ265" s="95"/>
      <c r="RMA265" s="95"/>
      <c r="RMB265" s="95"/>
      <c r="RMC265" s="95"/>
      <c r="RMD265" s="95"/>
      <c r="RME265" s="95"/>
      <c r="RMF265" s="95"/>
      <c r="RMG265" s="95"/>
      <c r="RMH265" s="95"/>
      <c r="RMI265" s="95"/>
      <c r="RMJ265" s="95"/>
      <c r="RMK265" s="95"/>
      <c r="RML265" s="95"/>
      <c r="RMM265" s="95"/>
      <c r="RMN265" s="95"/>
      <c r="RMO265" s="95"/>
      <c r="RMP265" s="95"/>
      <c r="RMQ265" s="95"/>
      <c r="RMR265" s="95"/>
      <c r="RMS265" s="95"/>
      <c r="RMT265" s="95"/>
      <c r="RMU265" s="95"/>
      <c r="RMV265" s="95"/>
      <c r="RMW265" s="95"/>
      <c r="RMX265" s="95"/>
      <c r="RMY265" s="95"/>
      <c r="RMZ265" s="95"/>
      <c r="RNA265" s="95"/>
      <c r="RNB265" s="95"/>
      <c r="RNC265" s="95"/>
      <c r="RND265" s="95"/>
      <c r="RNE265" s="95"/>
      <c r="RNF265" s="95"/>
      <c r="RNG265" s="95"/>
      <c r="RNH265" s="95"/>
      <c r="RNI265" s="95"/>
      <c r="RNJ265" s="95"/>
      <c r="RNK265" s="95"/>
      <c r="RNL265" s="95"/>
      <c r="RNM265" s="95"/>
      <c r="RNN265" s="95"/>
      <c r="RNO265" s="95"/>
      <c r="RNP265" s="95"/>
      <c r="RNQ265" s="95"/>
      <c r="RNR265" s="95"/>
      <c r="RNS265" s="95"/>
      <c r="RNT265" s="95"/>
      <c r="RNU265" s="95"/>
      <c r="RNV265" s="95"/>
      <c r="RNW265" s="95"/>
      <c r="RNX265" s="95"/>
      <c r="RNY265" s="95"/>
      <c r="RNZ265" s="95"/>
      <c r="ROA265" s="95"/>
      <c r="ROB265" s="95"/>
      <c r="ROC265" s="95"/>
      <c r="ROD265" s="95"/>
      <c r="ROE265" s="95"/>
      <c r="ROF265" s="95"/>
      <c r="ROG265" s="95"/>
      <c r="ROH265" s="95"/>
      <c r="ROI265" s="95"/>
      <c r="ROJ265" s="95"/>
      <c r="ROK265" s="95"/>
      <c r="ROL265" s="95"/>
      <c r="ROM265" s="95"/>
      <c r="RON265" s="95"/>
      <c r="ROO265" s="95"/>
      <c r="ROP265" s="95"/>
      <c r="ROQ265" s="95"/>
      <c r="ROR265" s="95"/>
      <c r="ROS265" s="95"/>
      <c r="ROT265" s="95"/>
      <c r="ROU265" s="95"/>
      <c r="ROV265" s="95"/>
      <c r="ROW265" s="95"/>
      <c r="ROX265" s="95"/>
      <c r="ROY265" s="95"/>
      <c r="ROZ265" s="95"/>
      <c r="RPA265" s="95"/>
      <c r="RPB265" s="95"/>
      <c r="RPC265" s="95"/>
      <c r="RPD265" s="95"/>
      <c r="RPE265" s="95"/>
      <c r="RPF265" s="95"/>
      <c r="RPG265" s="95"/>
      <c r="RPH265" s="95"/>
      <c r="RPI265" s="95"/>
      <c r="RPJ265" s="95"/>
      <c r="RPK265" s="95"/>
      <c r="RPL265" s="95"/>
      <c r="RPM265" s="95"/>
      <c r="RPN265" s="95"/>
      <c r="RPO265" s="95"/>
      <c r="RPP265" s="95"/>
      <c r="RPQ265" s="95"/>
      <c r="RPR265" s="95"/>
      <c r="RPS265" s="95"/>
      <c r="RPT265" s="95"/>
      <c r="RPU265" s="95"/>
      <c r="RPV265" s="95"/>
      <c r="RPW265" s="95"/>
      <c r="RPX265" s="95"/>
      <c r="RPY265" s="95"/>
      <c r="RPZ265" s="95"/>
      <c r="RQA265" s="95"/>
      <c r="RQB265" s="95"/>
      <c r="RQC265" s="95"/>
      <c r="RQD265" s="95"/>
      <c r="RQE265" s="95"/>
      <c r="RQF265" s="95"/>
      <c r="RQG265" s="95"/>
      <c r="RQH265" s="95"/>
      <c r="RQI265" s="95"/>
      <c r="RQJ265" s="95"/>
      <c r="RQK265" s="95"/>
      <c r="RQL265" s="95"/>
      <c r="RQM265" s="95"/>
      <c r="RQN265" s="95"/>
      <c r="RQO265" s="95"/>
      <c r="RQP265" s="95"/>
      <c r="RQQ265" s="95"/>
      <c r="RQR265" s="95"/>
      <c r="RQS265" s="95"/>
      <c r="RQT265" s="95"/>
      <c r="RQU265" s="95"/>
      <c r="RQV265" s="95"/>
      <c r="RQW265" s="95"/>
      <c r="RQX265" s="95"/>
      <c r="RQY265" s="95"/>
      <c r="RQZ265" s="95"/>
      <c r="RRA265" s="95"/>
      <c r="RRB265" s="95"/>
      <c r="RRC265" s="95"/>
      <c r="RRD265" s="95"/>
      <c r="RRE265" s="95"/>
      <c r="RRF265" s="95"/>
      <c r="RRG265" s="95"/>
      <c r="RRH265" s="95"/>
      <c r="RRI265" s="95"/>
      <c r="RRJ265" s="95"/>
      <c r="RRK265" s="95"/>
      <c r="RRL265" s="95"/>
      <c r="RRM265" s="95"/>
      <c r="RRN265" s="95"/>
      <c r="RRO265" s="95"/>
      <c r="RRP265" s="95"/>
      <c r="RRQ265" s="95"/>
      <c r="RRR265" s="95"/>
      <c r="RRS265" s="95"/>
      <c r="RRT265" s="95"/>
      <c r="RRU265" s="95"/>
      <c r="RRV265" s="95"/>
      <c r="RRW265" s="95"/>
      <c r="RRX265" s="95"/>
      <c r="RRY265" s="95"/>
      <c r="RRZ265" s="95"/>
      <c r="RSA265" s="95"/>
      <c r="RSB265" s="95"/>
      <c r="RSC265" s="95"/>
      <c r="RSD265" s="95"/>
      <c r="RSE265" s="95"/>
      <c r="RSF265" s="95"/>
      <c r="RSG265" s="95"/>
      <c r="RSH265" s="95"/>
      <c r="RSI265" s="95"/>
      <c r="RSJ265" s="95"/>
      <c r="RSK265" s="95"/>
      <c r="RSL265" s="95"/>
      <c r="RSM265" s="95"/>
      <c r="RSN265" s="95"/>
      <c r="RSO265" s="95"/>
      <c r="RSP265" s="95"/>
      <c r="RSQ265" s="95"/>
      <c r="RSR265" s="95"/>
      <c r="RSS265" s="95"/>
      <c r="RST265" s="95"/>
      <c r="RSU265" s="95"/>
      <c r="RSV265" s="95"/>
      <c r="RSW265" s="95"/>
      <c r="RSX265" s="95"/>
      <c r="RSY265" s="95"/>
      <c r="RSZ265" s="95"/>
      <c r="RTA265" s="95"/>
      <c r="RTB265" s="95"/>
      <c r="RTC265" s="95"/>
      <c r="RTD265" s="95"/>
      <c r="RTE265" s="95"/>
      <c r="RTF265" s="95"/>
      <c r="RTG265" s="95"/>
      <c r="RTH265" s="95"/>
      <c r="RTI265" s="95"/>
      <c r="RTJ265" s="95"/>
      <c r="RTK265" s="95"/>
      <c r="RTL265" s="95"/>
      <c r="RTM265" s="95"/>
      <c r="RTN265" s="95"/>
      <c r="RTO265" s="95"/>
      <c r="RTP265" s="95"/>
      <c r="RTQ265" s="95"/>
      <c r="RTR265" s="95"/>
      <c r="RTS265" s="95"/>
      <c r="RTT265" s="95"/>
      <c r="RTU265" s="95"/>
      <c r="RTV265" s="95"/>
      <c r="RTW265" s="95"/>
      <c r="RTX265" s="95"/>
      <c r="RTY265" s="95"/>
      <c r="RTZ265" s="95"/>
      <c r="RUA265" s="95"/>
      <c r="RUB265" s="95"/>
      <c r="RUC265" s="95"/>
      <c r="RUD265" s="95"/>
      <c r="RUE265" s="95"/>
      <c r="RUF265" s="95"/>
      <c r="RUG265" s="95"/>
      <c r="RUH265" s="95"/>
      <c r="RUI265" s="95"/>
      <c r="RUJ265" s="95"/>
      <c r="RUK265" s="95"/>
      <c r="RUL265" s="95"/>
      <c r="RUM265" s="95"/>
      <c r="RUN265" s="95"/>
      <c r="RUO265" s="95"/>
      <c r="RUP265" s="95"/>
      <c r="RUQ265" s="95"/>
      <c r="RUR265" s="95"/>
      <c r="RUS265" s="95"/>
      <c r="RUT265" s="95"/>
      <c r="RUU265" s="95"/>
      <c r="RUV265" s="95"/>
      <c r="RUW265" s="95"/>
      <c r="RUX265" s="95"/>
      <c r="RUY265" s="95"/>
      <c r="RUZ265" s="95"/>
      <c r="RVA265" s="95"/>
      <c r="RVB265" s="95"/>
      <c r="RVC265" s="95"/>
      <c r="RVD265" s="95"/>
      <c r="RVE265" s="95"/>
      <c r="RVF265" s="95"/>
      <c r="RVG265" s="95"/>
      <c r="RVH265" s="95"/>
      <c r="RVI265" s="95"/>
      <c r="RVJ265" s="95"/>
      <c r="RVK265" s="95"/>
      <c r="RVL265" s="95"/>
      <c r="RVM265" s="95"/>
      <c r="RVN265" s="95"/>
      <c r="RVO265" s="95"/>
      <c r="RVP265" s="95"/>
      <c r="RVQ265" s="95"/>
      <c r="RVR265" s="95"/>
      <c r="RVS265" s="95"/>
      <c r="RVT265" s="95"/>
      <c r="RVU265" s="95"/>
      <c r="RVV265" s="95"/>
      <c r="RVW265" s="95"/>
      <c r="RVX265" s="95"/>
      <c r="RVY265" s="95"/>
      <c r="RVZ265" s="95"/>
      <c r="RWA265" s="95"/>
      <c r="RWB265" s="95"/>
      <c r="RWC265" s="95"/>
      <c r="RWD265" s="95"/>
      <c r="RWE265" s="95"/>
      <c r="RWF265" s="95"/>
      <c r="RWG265" s="95"/>
      <c r="RWH265" s="95"/>
      <c r="RWI265" s="95"/>
      <c r="RWJ265" s="95"/>
      <c r="RWK265" s="95"/>
      <c r="RWL265" s="95"/>
      <c r="RWM265" s="95"/>
      <c r="RWN265" s="95"/>
      <c r="RWO265" s="95"/>
      <c r="RWP265" s="95"/>
      <c r="RWQ265" s="95"/>
      <c r="RWR265" s="95"/>
      <c r="RWS265" s="95"/>
      <c r="RWT265" s="95"/>
      <c r="RWU265" s="95"/>
      <c r="RWV265" s="95"/>
      <c r="RWW265" s="95"/>
      <c r="RWX265" s="95"/>
      <c r="RWY265" s="95"/>
      <c r="RWZ265" s="95"/>
      <c r="RXA265" s="95"/>
      <c r="RXB265" s="95"/>
      <c r="RXC265" s="95"/>
      <c r="RXD265" s="95"/>
      <c r="RXE265" s="95"/>
      <c r="RXF265" s="95"/>
      <c r="RXG265" s="95"/>
      <c r="RXH265" s="95"/>
      <c r="RXI265" s="95"/>
      <c r="RXJ265" s="95"/>
      <c r="RXK265" s="95"/>
      <c r="RXL265" s="95"/>
      <c r="RXM265" s="95"/>
      <c r="RXN265" s="95"/>
      <c r="RXO265" s="95"/>
      <c r="RXP265" s="95"/>
      <c r="RXQ265" s="95"/>
      <c r="RXR265" s="95"/>
      <c r="RXS265" s="95"/>
      <c r="RXT265" s="95"/>
      <c r="RXU265" s="95"/>
      <c r="RXV265" s="95"/>
      <c r="RXW265" s="95"/>
      <c r="RXX265" s="95"/>
      <c r="RXY265" s="95"/>
      <c r="RXZ265" s="95"/>
      <c r="RYA265" s="95"/>
      <c r="RYB265" s="95"/>
      <c r="RYC265" s="95"/>
      <c r="RYD265" s="95"/>
      <c r="RYE265" s="95"/>
      <c r="RYF265" s="95"/>
      <c r="RYG265" s="95"/>
      <c r="RYH265" s="95"/>
      <c r="RYI265" s="95"/>
      <c r="RYJ265" s="95"/>
      <c r="RYK265" s="95"/>
      <c r="RYL265" s="95"/>
      <c r="RYM265" s="95"/>
      <c r="RYN265" s="95"/>
      <c r="RYO265" s="95"/>
      <c r="RYP265" s="95"/>
      <c r="RYQ265" s="95"/>
      <c r="RYR265" s="95"/>
      <c r="RYS265" s="95"/>
      <c r="RYT265" s="95"/>
      <c r="RYU265" s="95"/>
      <c r="RYV265" s="95"/>
      <c r="RYW265" s="95"/>
      <c r="RYX265" s="95"/>
      <c r="RYY265" s="95"/>
      <c r="RYZ265" s="95"/>
      <c r="RZA265" s="95"/>
      <c r="RZB265" s="95"/>
      <c r="RZC265" s="95"/>
      <c r="RZD265" s="95"/>
      <c r="RZE265" s="95"/>
      <c r="RZF265" s="95"/>
      <c r="RZG265" s="95"/>
      <c r="RZH265" s="95"/>
      <c r="RZI265" s="95"/>
      <c r="RZJ265" s="95"/>
      <c r="RZK265" s="95"/>
      <c r="RZL265" s="95"/>
      <c r="RZM265" s="95"/>
      <c r="RZN265" s="95"/>
      <c r="RZO265" s="95"/>
      <c r="RZP265" s="95"/>
      <c r="RZQ265" s="95"/>
      <c r="RZR265" s="95"/>
      <c r="RZS265" s="95"/>
      <c r="RZT265" s="95"/>
      <c r="RZU265" s="95"/>
      <c r="RZV265" s="95"/>
      <c r="RZW265" s="95"/>
      <c r="RZX265" s="95"/>
      <c r="RZY265" s="95"/>
      <c r="RZZ265" s="95"/>
      <c r="SAA265" s="95"/>
      <c r="SAB265" s="95"/>
      <c r="SAC265" s="95"/>
      <c r="SAD265" s="95"/>
      <c r="SAE265" s="95"/>
      <c r="SAF265" s="95"/>
      <c r="SAG265" s="95"/>
      <c r="SAH265" s="95"/>
      <c r="SAI265" s="95"/>
      <c r="SAJ265" s="95"/>
      <c r="SAK265" s="95"/>
      <c r="SAL265" s="95"/>
      <c r="SAM265" s="95"/>
      <c r="SAN265" s="95"/>
      <c r="SAO265" s="95"/>
      <c r="SAP265" s="95"/>
      <c r="SAQ265" s="95"/>
      <c r="SAR265" s="95"/>
      <c r="SAS265" s="95"/>
      <c r="SAT265" s="95"/>
      <c r="SAU265" s="95"/>
      <c r="SAV265" s="95"/>
      <c r="SAW265" s="95"/>
      <c r="SAX265" s="95"/>
      <c r="SAY265" s="95"/>
      <c r="SAZ265" s="95"/>
      <c r="SBA265" s="95"/>
      <c r="SBB265" s="95"/>
      <c r="SBC265" s="95"/>
      <c r="SBD265" s="95"/>
      <c r="SBE265" s="95"/>
      <c r="SBF265" s="95"/>
      <c r="SBG265" s="95"/>
      <c r="SBH265" s="95"/>
      <c r="SBI265" s="95"/>
      <c r="SBJ265" s="95"/>
      <c r="SBK265" s="95"/>
      <c r="SBL265" s="95"/>
      <c r="SBM265" s="95"/>
      <c r="SBN265" s="95"/>
      <c r="SBO265" s="95"/>
      <c r="SBP265" s="95"/>
      <c r="SBQ265" s="95"/>
      <c r="SBR265" s="95"/>
      <c r="SBS265" s="95"/>
      <c r="SBT265" s="95"/>
      <c r="SBU265" s="95"/>
      <c r="SBV265" s="95"/>
      <c r="SBW265" s="95"/>
      <c r="SBX265" s="95"/>
      <c r="SBY265" s="95"/>
      <c r="SBZ265" s="95"/>
      <c r="SCA265" s="95"/>
      <c r="SCB265" s="95"/>
      <c r="SCC265" s="95"/>
      <c r="SCD265" s="95"/>
      <c r="SCE265" s="95"/>
      <c r="SCF265" s="95"/>
      <c r="SCG265" s="95"/>
      <c r="SCH265" s="95"/>
      <c r="SCI265" s="95"/>
      <c r="SCJ265" s="95"/>
      <c r="SCK265" s="95"/>
      <c r="SCL265" s="95"/>
      <c r="SCM265" s="95"/>
      <c r="SCN265" s="95"/>
      <c r="SCO265" s="95"/>
      <c r="SCP265" s="95"/>
      <c r="SCQ265" s="95"/>
      <c r="SCR265" s="95"/>
      <c r="SCS265" s="95"/>
      <c r="SCT265" s="95"/>
      <c r="SCU265" s="95"/>
      <c r="SCV265" s="95"/>
      <c r="SCW265" s="95"/>
      <c r="SCX265" s="95"/>
      <c r="SCY265" s="95"/>
      <c r="SCZ265" s="95"/>
      <c r="SDA265" s="95"/>
      <c r="SDB265" s="95"/>
      <c r="SDC265" s="95"/>
      <c r="SDD265" s="95"/>
      <c r="SDE265" s="95"/>
      <c r="SDF265" s="95"/>
      <c r="SDG265" s="95"/>
      <c r="SDH265" s="95"/>
      <c r="SDI265" s="95"/>
      <c r="SDJ265" s="95"/>
      <c r="SDK265" s="95"/>
      <c r="SDL265" s="95"/>
      <c r="SDM265" s="95"/>
      <c r="SDN265" s="95"/>
      <c r="SDO265" s="95"/>
      <c r="SDP265" s="95"/>
      <c r="SDQ265" s="95"/>
      <c r="SDR265" s="95"/>
      <c r="SDS265" s="95"/>
      <c r="SDT265" s="95"/>
      <c r="SDU265" s="95"/>
      <c r="SDV265" s="95"/>
      <c r="SDW265" s="95"/>
      <c r="SDX265" s="95"/>
      <c r="SDY265" s="95"/>
      <c r="SDZ265" s="95"/>
      <c r="SEA265" s="95"/>
      <c r="SEB265" s="95"/>
      <c r="SEC265" s="95"/>
      <c r="SED265" s="95"/>
      <c r="SEE265" s="95"/>
      <c r="SEF265" s="95"/>
      <c r="SEG265" s="95"/>
      <c r="SEH265" s="95"/>
      <c r="SEI265" s="95"/>
      <c r="SEJ265" s="95"/>
      <c r="SEK265" s="95"/>
      <c r="SEL265" s="95"/>
      <c r="SEM265" s="95"/>
      <c r="SEN265" s="95"/>
      <c r="SEO265" s="95"/>
      <c r="SEP265" s="95"/>
      <c r="SEQ265" s="95"/>
      <c r="SER265" s="95"/>
      <c r="SES265" s="95"/>
      <c r="SET265" s="95"/>
      <c r="SEU265" s="95"/>
      <c r="SEV265" s="95"/>
      <c r="SEW265" s="95"/>
      <c r="SEX265" s="95"/>
      <c r="SEY265" s="95"/>
      <c r="SEZ265" s="95"/>
      <c r="SFA265" s="95"/>
      <c r="SFB265" s="95"/>
      <c r="SFC265" s="95"/>
      <c r="SFD265" s="95"/>
      <c r="SFE265" s="95"/>
      <c r="SFF265" s="95"/>
      <c r="SFG265" s="95"/>
      <c r="SFH265" s="95"/>
      <c r="SFI265" s="95"/>
      <c r="SFJ265" s="95"/>
      <c r="SFK265" s="95"/>
      <c r="SFL265" s="95"/>
      <c r="SFM265" s="95"/>
      <c r="SFN265" s="95"/>
      <c r="SFO265" s="95"/>
      <c r="SFP265" s="95"/>
      <c r="SFQ265" s="95"/>
      <c r="SFR265" s="95"/>
      <c r="SFS265" s="95"/>
      <c r="SFT265" s="95"/>
      <c r="SFU265" s="95"/>
      <c r="SFV265" s="95"/>
      <c r="SFW265" s="95"/>
      <c r="SFX265" s="95"/>
      <c r="SFY265" s="95"/>
      <c r="SFZ265" s="95"/>
      <c r="SGA265" s="95"/>
      <c r="SGB265" s="95"/>
      <c r="SGC265" s="95"/>
      <c r="SGD265" s="95"/>
      <c r="SGE265" s="95"/>
      <c r="SGF265" s="95"/>
      <c r="SGG265" s="95"/>
      <c r="SGH265" s="95"/>
      <c r="SGI265" s="95"/>
      <c r="SGJ265" s="95"/>
      <c r="SGK265" s="95"/>
      <c r="SGL265" s="95"/>
      <c r="SGM265" s="95"/>
      <c r="SGN265" s="95"/>
      <c r="SGO265" s="95"/>
      <c r="SGP265" s="95"/>
      <c r="SGQ265" s="95"/>
      <c r="SGR265" s="95"/>
      <c r="SGS265" s="95"/>
      <c r="SGT265" s="95"/>
      <c r="SGU265" s="95"/>
      <c r="SGV265" s="95"/>
      <c r="SGW265" s="95"/>
      <c r="SGX265" s="95"/>
      <c r="SGY265" s="95"/>
      <c r="SGZ265" s="95"/>
      <c r="SHA265" s="95"/>
      <c r="SHB265" s="95"/>
      <c r="SHC265" s="95"/>
      <c r="SHD265" s="95"/>
      <c r="SHE265" s="95"/>
      <c r="SHF265" s="95"/>
      <c r="SHG265" s="95"/>
      <c r="SHH265" s="95"/>
      <c r="SHI265" s="95"/>
      <c r="SHJ265" s="95"/>
      <c r="SHK265" s="95"/>
      <c r="SHL265" s="95"/>
      <c r="SHM265" s="95"/>
      <c r="SHN265" s="95"/>
      <c r="SHO265" s="95"/>
      <c r="SHP265" s="95"/>
      <c r="SHQ265" s="95"/>
      <c r="SHR265" s="95"/>
      <c r="SHS265" s="95"/>
      <c r="SHT265" s="95"/>
      <c r="SHU265" s="95"/>
      <c r="SHV265" s="95"/>
      <c r="SHW265" s="95"/>
      <c r="SHX265" s="95"/>
      <c r="SHY265" s="95"/>
      <c r="SHZ265" s="95"/>
      <c r="SIA265" s="95"/>
      <c r="SIB265" s="95"/>
      <c r="SIC265" s="95"/>
      <c r="SID265" s="95"/>
      <c r="SIE265" s="95"/>
      <c r="SIF265" s="95"/>
      <c r="SIG265" s="95"/>
      <c r="SIH265" s="95"/>
      <c r="SII265" s="95"/>
      <c r="SIJ265" s="95"/>
      <c r="SIK265" s="95"/>
      <c r="SIL265" s="95"/>
      <c r="SIM265" s="95"/>
      <c r="SIN265" s="95"/>
      <c r="SIO265" s="95"/>
      <c r="SIP265" s="95"/>
      <c r="SIQ265" s="95"/>
      <c r="SIR265" s="95"/>
      <c r="SIS265" s="95"/>
      <c r="SIT265" s="95"/>
      <c r="SIU265" s="95"/>
      <c r="SIV265" s="95"/>
      <c r="SIW265" s="95"/>
      <c r="SIX265" s="95"/>
      <c r="SIY265" s="95"/>
      <c r="SIZ265" s="95"/>
      <c r="SJA265" s="95"/>
      <c r="SJB265" s="95"/>
      <c r="SJC265" s="95"/>
      <c r="SJD265" s="95"/>
      <c r="SJE265" s="95"/>
      <c r="SJF265" s="95"/>
      <c r="SJG265" s="95"/>
      <c r="SJH265" s="95"/>
      <c r="SJI265" s="95"/>
      <c r="SJJ265" s="95"/>
      <c r="SJK265" s="95"/>
      <c r="SJL265" s="95"/>
      <c r="SJM265" s="95"/>
      <c r="SJN265" s="95"/>
      <c r="SJO265" s="95"/>
      <c r="SJP265" s="95"/>
      <c r="SJQ265" s="95"/>
      <c r="SJR265" s="95"/>
      <c r="SJS265" s="95"/>
      <c r="SJT265" s="95"/>
      <c r="SJU265" s="95"/>
      <c r="SJV265" s="95"/>
      <c r="SJW265" s="95"/>
      <c r="SJX265" s="95"/>
      <c r="SJY265" s="95"/>
      <c r="SJZ265" s="95"/>
      <c r="SKA265" s="95"/>
      <c r="SKB265" s="95"/>
      <c r="SKC265" s="95"/>
      <c r="SKD265" s="95"/>
      <c r="SKE265" s="95"/>
      <c r="SKF265" s="95"/>
      <c r="SKG265" s="95"/>
      <c r="SKH265" s="95"/>
      <c r="SKI265" s="95"/>
      <c r="SKJ265" s="95"/>
      <c r="SKK265" s="95"/>
      <c r="SKL265" s="95"/>
      <c r="SKM265" s="95"/>
      <c r="SKN265" s="95"/>
      <c r="SKO265" s="95"/>
      <c r="SKP265" s="95"/>
      <c r="SKQ265" s="95"/>
      <c r="SKR265" s="95"/>
      <c r="SKS265" s="95"/>
      <c r="SKT265" s="95"/>
      <c r="SKU265" s="95"/>
      <c r="SKV265" s="95"/>
      <c r="SKW265" s="95"/>
      <c r="SKX265" s="95"/>
      <c r="SKY265" s="95"/>
      <c r="SKZ265" s="95"/>
      <c r="SLA265" s="95"/>
      <c r="SLB265" s="95"/>
      <c r="SLC265" s="95"/>
      <c r="SLD265" s="95"/>
      <c r="SLE265" s="95"/>
      <c r="SLF265" s="95"/>
      <c r="SLG265" s="95"/>
      <c r="SLH265" s="95"/>
      <c r="SLI265" s="95"/>
      <c r="SLJ265" s="95"/>
      <c r="SLK265" s="95"/>
      <c r="SLL265" s="95"/>
      <c r="SLM265" s="95"/>
      <c r="SLN265" s="95"/>
      <c r="SLO265" s="95"/>
      <c r="SLP265" s="95"/>
      <c r="SLQ265" s="95"/>
      <c r="SLR265" s="95"/>
      <c r="SLS265" s="95"/>
      <c r="SLT265" s="95"/>
      <c r="SLU265" s="95"/>
      <c r="SLV265" s="95"/>
      <c r="SLW265" s="95"/>
      <c r="SLX265" s="95"/>
      <c r="SLY265" s="95"/>
      <c r="SLZ265" s="95"/>
      <c r="SMA265" s="95"/>
      <c r="SMB265" s="95"/>
      <c r="SMC265" s="95"/>
      <c r="SMD265" s="95"/>
      <c r="SME265" s="95"/>
      <c r="SMF265" s="95"/>
      <c r="SMG265" s="95"/>
      <c r="SMH265" s="95"/>
      <c r="SMI265" s="95"/>
      <c r="SMJ265" s="95"/>
      <c r="SMK265" s="95"/>
      <c r="SML265" s="95"/>
      <c r="SMM265" s="95"/>
      <c r="SMN265" s="95"/>
      <c r="SMO265" s="95"/>
      <c r="SMP265" s="95"/>
      <c r="SMQ265" s="95"/>
      <c r="SMR265" s="95"/>
      <c r="SMS265" s="95"/>
      <c r="SMT265" s="95"/>
      <c r="SMU265" s="95"/>
      <c r="SMV265" s="95"/>
      <c r="SMW265" s="95"/>
      <c r="SMX265" s="95"/>
      <c r="SMY265" s="95"/>
      <c r="SMZ265" s="95"/>
      <c r="SNA265" s="95"/>
      <c r="SNB265" s="95"/>
      <c r="SNC265" s="95"/>
      <c r="SND265" s="95"/>
      <c r="SNE265" s="95"/>
      <c r="SNF265" s="95"/>
      <c r="SNG265" s="95"/>
      <c r="SNH265" s="95"/>
      <c r="SNI265" s="95"/>
      <c r="SNJ265" s="95"/>
      <c r="SNK265" s="95"/>
      <c r="SNL265" s="95"/>
      <c r="SNM265" s="95"/>
      <c r="SNN265" s="95"/>
      <c r="SNO265" s="95"/>
      <c r="SNP265" s="95"/>
      <c r="SNQ265" s="95"/>
      <c r="SNR265" s="95"/>
      <c r="SNS265" s="95"/>
      <c r="SNT265" s="95"/>
      <c r="SNU265" s="95"/>
      <c r="SNV265" s="95"/>
      <c r="SNW265" s="95"/>
      <c r="SNX265" s="95"/>
      <c r="SNY265" s="95"/>
      <c r="SNZ265" s="95"/>
      <c r="SOA265" s="95"/>
      <c r="SOB265" s="95"/>
      <c r="SOC265" s="95"/>
      <c r="SOD265" s="95"/>
      <c r="SOE265" s="95"/>
      <c r="SOF265" s="95"/>
      <c r="SOG265" s="95"/>
      <c r="SOH265" s="95"/>
      <c r="SOI265" s="95"/>
      <c r="SOJ265" s="95"/>
      <c r="SOK265" s="95"/>
      <c r="SOL265" s="95"/>
      <c r="SOM265" s="95"/>
      <c r="SON265" s="95"/>
      <c r="SOO265" s="95"/>
      <c r="SOP265" s="95"/>
      <c r="SOQ265" s="95"/>
      <c r="SOR265" s="95"/>
      <c r="SOS265" s="95"/>
      <c r="SOT265" s="95"/>
      <c r="SOU265" s="95"/>
      <c r="SOV265" s="95"/>
      <c r="SOW265" s="95"/>
      <c r="SOX265" s="95"/>
      <c r="SOY265" s="95"/>
      <c r="SOZ265" s="95"/>
      <c r="SPA265" s="95"/>
      <c r="SPB265" s="95"/>
      <c r="SPC265" s="95"/>
      <c r="SPD265" s="95"/>
      <c r="SPE265" s="95"/>
      <c r="SPF265" s="95"/>
      <c r="SPG265" s="95"/>
      <c r="SPH265" s="95"/>
      <c r="SPI265" s="95"/>
      <c r="SPJ265" s="95"/>
      <c r="SPK265" s="95"/>
      <c r="SPL265" s="95"/>
      <c r="SPM265" s="95"/>
      <c r="SPN265" s="95"/>
      <c r="SPO265" s="95"/>
      <c r="SPP265" s="95"/>
      <c r="SPQ265" s="95"/>
      <c r="SPR265" s="95"/>
      <c r="SPS265" s="95"/>
      <c r="SPT265" s="95"/>
      <c r="SPU265" s="95"/>
      <c r="SPV265" s="95"/>
      <c r="SPW265" s="95"/>
      <c r="SPX265" s="95"/>
      <c r="SPY265" s="95"/>
      <c r="SPZ265" s="95"/>
      <c r="SQA265" s="95"/>
      <c r="SQB265" s="95"/>
      <c r="SQC265" s="95"/>
      <c r="SQD265" s="95"/>
      <c r="SQE265" s="95"/>
      <c r="SQF265" s="95"/>
      <c r="SQG265" s="95"/>
      <c r="SQH265" s="95"/>
      <c r="SQI265" s="95"/>
      <c r="SQJ265" s="95"/>
      <c r="SQK265" s="95"/>
      <c r="SQL265" s="95"/>
      <c r="SQM265" s="95"/>
      <c r="SQN265" s="95"/>
      <c r="SQO265" s="95"/>
      <c r="SQP265" s="95"/>
      <c r="SQQ265" s="95"/>
      <c r="SQR265" s="95"/>
      <c r="SQS265" s="95"/>
      <c r="SQT265" s="95"/>
      <c r="SQU265" s="95"/>
      <c r="SQV265" s="95"/>
      <c r="SQW265" s="95"/>
      <c r="SQX265" s="95"/>
      <c r="SQY265" s="95"/>
      <c r="SQZ265" s="95"/>
      <c r="SRA265" s="95"/>
      <c r="SRB265" s="95"/>
      <c r="SRC265" s="95"/>
      <c r="SRD265" s="95"/>
      <c r="SRE265" s="95"/>
      <c r="SRF265" s="95"/>
      <c r="SRG265" s="95"/>
      <c r="SRH265" s="95"/>
      <c r="SRI265" s="95"/>
      <c r="SRJ265" s="95"/>
      <c r="SRK265" s="95"/>
      <c r="SRL265" s="95"/>
      <c r="SRM265" s="95"/>
      <c r="SRN265" s="95"/>
      <c r="SRO265" s="95"/>
      <c r="SRP265" s="95"/>
      <c r="SRQ265" s="95"/>
      <c r="SRR265" s="95"/>
      <c r="SRS265" s="95"/>
      <c r="SRT265" s="95"/>
      <c r="SRU265" s="95"/>
      <c r="SRV265" s="95"/>
      <c r="SRW265" s="95"/>
      <c r="SRX265" s="95"/>
      <c r="SRY265" s="95"/>
      <c r="SRZ265" s="95"/>
      <c r="SSA265" s="95"/>
      <c r="SSB265" s="95"/>
      <c r="SSC265" s="95"/>
      <c r="SSD265" s="95"/>
      <c r="SSE265" s="95"/>
      <c r="SSF265" s="95"/>
      <c r="SSG265" s="95"/>
      <c r="SSH265" s="95"/>
      <c r="SSI265" s="95"/>
      <c r="SSJ265" s="95"/>
      <c r="SSK265" s="95"/>
      <c r="SSL265" s="95"/>
      <c r="SSM265" s="95"/>
      <c r="SSN265" s="95"/>
      <c r="SSO265" s="95"/>
      <c r="SSP265" s="95"/>
      <c r="SSQ265" s="95"/>
      <c r="SSR265" s="95"/>
      <c r="SSS265" s="95"/>
      <c r="SST265" s="95"/>
      <c r="SSU265" s="95"/>
      <c r="SSV265" s="95"/>
      <c r="SSW265" s="95"/>
      <c r="SSX265" s="95"/>
      <c r="SSY265" s="95"/>
      <c r="SSZ265" s="95"/>
      <c r="STA265" s="95"/>
      <c r="STB265" s="95"/>
      <c r="STC265" s="95"/>
      <c r="STD265" s="95"/>
      <c r="STE265" s="95"/>
      <c r="STF265" s="95"/>
      <c r="STG265" s="95"/>
      <c r="STH265" s="95"/>
      <c r="STI265" s="95"/>
      <c r="STJ265" s="95"/>
      <c r="STK265" s="95"/>
      <c r="STL265" s="95"/>
      <c r="STM265" s="95"/>
      <c r="STN265" s="95"/>
      <c r="STO265" s="95"/>
      <c r="STP265" s="95"/>
      <c r="STQ265" s="95"/>
      <c r="STR265" s="95"/>
      <c r="STS265" s="95"/>
      <c r="STT265" s="95"/>
      <c r="STU265" s="95"/>
      <c r="STV265" s="95"/>
      <c r="STW265" s="95"/>
      <c r="STX265" s="95"/>
      <c r="STY265" s="95"/>
      <c r="STZ265" s="95"/>
      <c r="SUA265" s="95"/>
      <c r="SUB265" s="95"/>
      <c r="SUC265" s="95"/>
      <c r="SUD265" s="95"/>
      <c r="SUE265" s="95"/>
      <c r="SUF265" s="95"/>
      <c r="SUG265" s="95"/>
      <c r="SUH265" s="95"/>
      <c r="SUI265" s="95"/>
      <c r="SUJ265" s="95"/>
      <c r="SUK265" s="95"/>
      <c r="SUL265" s="95"/>
      <c r="SUM265" s="95"/>
      <c r="SUN265" s="95"/>
      <c r="SUO265" s="95"/>
      <c r="SUP265" s="95"/>
      <c r="SUQ265" s="95"/>
      <c r="SUR265" s="95"/>
      <c r="SUS265" s="95"/>
      <c r="SUT265" s="95"/>
      <c r="SUU265" s="95"/>
      <c r="SUV265" s="95"/>
      <c r="SUW265" s="95"/>
      <c r="SUX265" s="95"/>
      <c r="SUY265" s="95"/>
      <c r="SUZ265" s="95"/>
      <c r="SVA265" s="95"/>
      <c r="SVB265" s="95"/>
      <c r="SVC265" s="95"/>
      <c r="SVD265" s="95"/>
      <c r="SVE265" s="95"/>
      <c r="SVF265" s="95"/>
      <c r="SVG265" s="95"/>
      <c r="SVH265" s="95"/>
      <c r="SVI265" s="95"/>
      <c r="SVJ265" s="95"/>
      <c r="SVK265" s="95"/>
      <c r="SVL265" s="95"/>
      <c r="SVM265" s="95"/>
      <c r="SVN265" s="95"/>
      <c r="SVO265" s="95"/>
      <c r="SVP265" s="95"/>
      <c r="SVQ265" s="95"/>
      <c r="SVR265" s="95"/>
      <c r="SVS265" s="95"/>
      <c r="SVT265" s="95"/>
      <c r="SVU265" s="95"/>
      <c r="SVV265" s="95"/>
      <c r="SVW265" s="95"/>
      <c r="SVX265" s="95"/>
      <c r="SVY265" s="95"/>
      <c r="SVZ265" s="95"/>
      <c r="SWA265" s="95"/>
      <c r="SWB265" s="95"/>
      <c r="SWC265" s="95"/>
      <c r="SWD265" s="95"/>
      <c r="SWE265" s="95"/>
      <c r="SWF265" s="95"/>
      <c r="SWG265" s="95"/>
      <c r="SWH265" s="95"/>
      <c r="SWI265" s="95"/>
      <c r="SWJ265" s="95"/>
      <c r="SWK265" s="95"/>
      <c r="SWL265" s="95"/>
      <c r="SWM265" s="95"/>
      <c r="SWN265" s="95"/>
      <c r="SWO265" s="95"/>
      <c r="SWP265" s="95"/>
      <c r="SWQ265" s="95"/>
      <c r="SWR265" s="95"/>
      <c r="SWS265" s="95"/>
      <c r="SWT265" s="95"/>
      <c r="SWU265" s="95"/>
      <c r="SWV265" s="95"/>
      <c r="SWW265" s="95"/>
      <c r="SWX265" s="95"/>
      <c r="SWY265" s="95"/>
      <c r="SWZ265" s="95"/>
      <c r="SXA265" s="95"/>
      <c r="SXB265" s="95"/>
      <c r="SXC265" s="95"/>
      <c r="SXD265" s="95"/>
      <c r="SXE265" s="95"/>
      <c r="SXF265" s="95"/>
      <c r="SXG265" s="95"/>
      <c r="SXH265" s="95"/>
      <c r="SXI265" s="95"/>
      <c r="SXJ265" s="95"/>
      <c r="SXK265" s="95"/>
      <c r="SXL265" s="95"/>
      <c r="SXM265" s="95"/>
      <c r="SXN265" s="95"/>
      <c r="SXO265" s="95"/>
      <c r="SXP265" s="95"/>
      <c r="SXQ265" s="95"/>
      <c r="SXR265" s="95"/>
      <c r="SXS265" s="95"/>
      <c r="SXT265" s="95"/>
      <c r="SXU265" s="95"/>
      <c r="SXV265" s="95"/>
      <c r="SXW265" s="95"/>
      <c r="SXX265" s="95"/>
      <c r="SXY265" s="95"/>
      <c r="SXZ265" s="95"/>
      <c r="SYA265" s="95"/>
      <c r="SYB265" s="95"/>
      <c r="SYC265" s="95"/>
      <c r="SYD265" s="95"/>
      <c r="SYE265" s="95"/>
      <c r="SYF265" s="95"/>
      <c r="SYG265" s="95"/>
      <c r="SYH265" s="95"/>
      <c r="SYI265" s="95"/>
      <c r="SYJ265" s="95"/>
      <c r="SYK265" s="95"/>
      <c r="SYL265" s="95"/>
      <c r="SYM265" s="95"/>
      <c r="SYN265" s="95"/>
      <c r="SYO265" s="95"/>
      <c r="SYP265" s="95"/>
      <c r="SYQ265" s="95"/>
      <c r="SYR265" s="95"/>
      <c r="SYS265" s="95"/>
      <c r="SYT265" s="95"/>
      <c r="SYU265" s="95"/>
      <c r="SYV265" s="95"/>
      <c r="SYW265" s="95"/>
      <c r="SYX265" s="95"/>
      <c r="SYY265" s="95"/>
      <c r="SYZ265" s="95"/>
      <c r="SZA265" s="95"/>
      <c r="SZB265" s="95"/>
      <c r="SZC265" s="95"/>
      <c r="SZD265" s="95"/>
      <c r="SZE265" s="95"/>
      <c r="SZF265" s="95"/>
      <c r="SZG265" s="95"/>
      <c r="SZH265" s="95"/>
      <c r="SZI265" s="95"/>
      <c r="SZJ265" s="95"/>
      <c r="SZK265" s="95"/>
      <c r="SZL265" s="95"/>
      <c r="SZM265" s="95"/>
      <c r="SZN265" s="95"/>
      <c r="SZO265" s="95"/>
      <c r="SZP265" s="95"/>
      <c r="SZQ265" s="95"/>
      <c r="SZR265" s="95"/>
      <c r="SZS265" s="95"/>
      <c r="SZT265" s="95"/>
      <c r="SZU265" s="95"/>
      <c r="SZV265" s="95"/>
      <c r="SZW265" s="95"/>
      <c r="SZX265" s="95"/>
      <c r="SZY265" s="95"/>
      <c r="SZZ265" s="95"/>
      <c r="TAA265" s="95"/>
      <c r="TAB265" s="95"/>
      <c r="TAC265" s="95"/>
      <c r="TAD265" s="95"/>
      <c r="TAE265" s="95"/>
      <c r="TAF265" s="95"/>
      <c r="TAG265" s="95"/>
      <c r="TAH265" s="95"/>
      <c r="TAI265" s="95"/>
      <c r="TAJ265" s="95"/>
      <c r="TAK265" s="95"/>
      <c r="TAL265" s="95"/>
      <c r="TAM265" s="95"/>
      <c r="TAN265" s="95"/>
      <c r="TAO265" s="95"/>
      <c r="TAP265" s="95"/>
      <c r="TAQ265" s="95"/>
      <c r="TAR265" s="95"/>
      <c r="TAS265" s="95"/>
      <c r="TAT265" s="95"/>
      <c r="TAU265" s="95"/>
      <c r="TAV265" s="95"/>
      <c r="TAW265" s="95"/>
      <c r="TAX265" s="95"/>
      <c r="TAY265" s="95"/>
      <c r="TAZ265" s="95"/>
      <c r="TBA265" s="95"/>
      <c r="TBB265" s="95"/>
      <c r="TBC265" s="95"/>
      <c r="TBD265" s="95"/>
      <c r="TBE265" s="95"/>
      <c r="TBF265" s="95"/>
      <c r="TBG265" s="95"/>
      <c r="TBH265" s="95"/>
      <c r="TBI265" s="95"/>
      <c r="TBJ265" s="95"/>
      <c r="TBK265" s="95"/>
      <c r="TBL265" s="95"/>
      <c r="TBM265" s="95"/>
      <c r="TBN265" s="95"/>
      <c r="TBO265" s="95"/>
      <c r="TBP265" s="95"/>
      <c r="TBQ265" s="95"/>
      <c r="TBR265" s="95"/>
      <c r="TBS265" s="95"/>
      <c r="TBT265" s="95"/>
      <c r="TBU265" s="95"/>
      <c r="TBV265" s="95"/>
      <c r="TBW265" s="95"/>
      <c r="TBX265" s="95"/>
      <c r="TBY265" s="95"/>
      <c r="TBZ265" s="95"/>
      <c r="TCA265" s="95"/>
      <c r="TCB265" s="95"/>
      <c r="TCC265" s="95"/>
      <c r="TCD265" s="95"/>
      <c r="TCE265" s="95"/>
      <c r="TCF265" s="95"/>
      <c r="TCG265" s="95"/>
      <c r="TCH265" s="95"/>
      <c r="TCI265" s="95"/>
      <c r="TCJ265" s="95"/>
      <c r="TCK265" s="95"/>
      <c r="TCL265" s="95"/>
      <c r="TCM265" s="95"/>
      <c r="TCN265" s="95"/>
      <c r="TCO265" s="95"/>
      <c r="TCP265" s="95"/>
      <c r="TCQ265" s="95"/>
      <c r="TCR265" s="95"/>
      <c r="TCS265" s="95"/>
      <c r="TCT265" s="95"/>
      <c r="TCU265" s="95"/>
      <c r="TCV265" s="95"/>
      <c r="TCW265" s="95"/>
      <c r="TCX265" s="95"/>
      <c r="TCY265" s="95"/>
      <c r="TCZ265" s="95"/>
      <c r="TDA265" s="95"/>
      <c r="TDB265" s="95"/>
      <c r="TDC265" s="95"/>
      <c r="TDD265" s="95"/>
      <c r="TDE265" s="95"/>
      <c r="TDF265" s="95"/>
      <c r="TDG265" s="95"/>
      <c r="TDH265" s="95"/>
      <c r="TDI265" s="95"/>
      <c r="TDJ265" s="95"/>
      <c r="TDK265" s="95"/>
      <c r="TDL265" s="95"/>
      <c r="TDM265" s="95"/>
      <c r="TDN265" s="95"/>
      <c r="TDO265" s="95"/>
      <c r="TDP265" s="95"/>
      <c r="TDQ265" s="95"/>
      <c r="TDR265" s="95"/>
      <c r="TDS265" s="95"/>
      <c r="TDT265" s="95"/>
      <c r="TDU265" s="95"/>
      <c r="TDV265" s="95"/>
      <c r="TDW265" s="95"/>
      <c r="TDX265" s="95"/>
      <c r="TDY265" s="95"/>
      <c r="TDZ265" s="95"/>
      <c r="TEA265" s="95"/>
      <c r="TEB265" s="95"/>
      <c r="TEC265" s="95"/>
      <c r="TED265" s="95"/>
      <c r="TEE265" s="95"/>
      <c r="TEF265" s="95"/>
      <c r="TEG265" s="95"/>
      <c r="TEH265" s="95"/>
      <c r="TEI265" s="95"/>
      <c r="TEJ265" s="95"/>
      <c r="TEK265" s="95"/>
      <c r="TEL265" s="95"/>
      <c r="TEM265" s="95"/>
      <c r="TEN265" s="95"/>
      <c r="TEO265" s="95"/>
      <c r="TEP265" s="95"/>
      <c r="TEQ265" s="95"/>
      <c r="TER265" s="95"/>
      <c r="TES265" s="95"/>
      <c r="TET265" s="95"/>
      <c r="TEU265" s="95"/>
      <c r="TEV265" s="95"/>
      <c r="TEW265" s="95"/>
      <c r="TEX265" s="95"/>
      <c r="TEY265" s="95"/>
      <c r="TEZ265" s="95"/>
      <c r="TFA265" s="95"/>
      <c r="TFB265" s="95"/>
      <c r="TFC265" s="95"/>
      <c r="TFD265" s="95"/>
      <c r="TFE265" s="95"/>
      <c r="TFF265" s="95"/>
      <c r="TFG265" s="95"/>
      <c r="TFH265" s="95"/>
      <c r="TFI265" s="95"/>
      <c r="TFJ265" s="95"/>
      <c r="TFK265" s="95"/>
      <c r="TFL265" s="95"/>
      <c r="TFM265" s="95"/>
      <c r="TFN265" s="95"/>
      <c r="TFO265" s="95"/>
      <c r="TFP265" s="95"/>
      <c r="TFQ265" s="95"/>
      <c r="TFR265" s="95"/>
      <c r="TFS265" s="95"/>
      <c r="TFT265" s="95"/>
      <c r="TFU265" s="95"/>
      <c r="TFV265" s="95"/>
      <c r="TFW265" s="95"/>
      <c r="TFX265" s="95"/>
      <c r="TFY265" s="95"/>
      <c r="TFZ265" s="95"/>
      <c r="TGA265" s="95"/>
      <c r="TGB265" s="95"/>
      <c r="TGC265" s="95"/>
      <c r="TGD265" s="95"/>
      <c r="TGE265" s="95"/>
      <c r="TGF265" s="95"/>
      <c r="TGG265" s="95"/>
      <c r="TGH265" s="95"/>
      <c r="TGI265" s="95"/>
      <c r="TGJ265" s="95"/>
      <c r="TGK265" s="95"/>
      <c r="TGL265" s="95"/>
      <c r="TGM265" s="95"/>
      <c r="TGN265" s="95"/>
      <c r="TGO265" s="95"/>
      <c r="TGP265" s="95"/>
      <c r="TGQ265" s="95"/>
      <c r="TGR265" s="95"/>
      <c r="TGS265" s="95"/>
      <c r="TGT265" s="95"/>
      <c r="TGU265" s="95"/>
      <c r="TGV265" s="95"/>
      <c r="TGW265" s="95"/>
      <c r="TGX265" s="95"/>
      <c r="TGY265" s="95"/>
      <c r="TGZ265" s="95"/>
      <c r="THA265" s="95"/>
      <c r="THB265" s="95"/>
      <c r="THC265" s="95"/>
      <c r="THD265" s="95"/>
      <c r="THE265" s="95"/>
      <c r="THF265" s="95"/>
      <c r="THG265" s="95"/>
      <c r="THH265" s="95"/>
      <c r="THI265" s="95"/>
      <c r="THJ265" s="95"/>
      <c r="THK265" s="95"/>
      <c r="THL265" s="95"/>
      <c r="THM265" s="95"/>
      <c r="THN265" s="95"/>
      <c r="THO265" s="95"/>
      <c r="THP265" s="95"/>
      <c r="THQ265" s="95"/>
      <c r="THR265" s="95"/>
      <c r="THS265" s="95"/>
      <c r="THT265" s="95"/>
      <c r="THU265" s="95"/>
      <c r="THV265" s="95"/>
      <c r="THW265" s="95"/>
      <c r="THX265" s="95"/>
      <c r="THY265" s="95"/>
      <c r="THZ265" s="95"/>
      <c r="TIA265" s="95"/>
      <c r="TIB265" s="95"/>
      <c r="TIC265" s="95"/>
      <c r="TID265" s="95"/>
      <c r="TIE265" s="95"/>
      <c r="TIF265" s="95"/>
      <c r="TIG265" s="95"/>
      <c r="TIH265" s="95"/>
      <c r="TII265" s="95"/>
      <c r="TIJ265" s="95"/>
      <c r="TIK265" s="95"/>
      <c r="TIL265" s="95"/>
      <c r="TIM265" s="95"/>
      <c r="TIN265" s="95"/>
      <c r="TIO265" s="95"/>
      <c r="TIP265" s="95"/>
      <c r="TIQ265" s="95"/>
      <c r="TIR265" s="95"/>
      <c r="TIS265" s="95"/>
      <c r="TIT265" s="95"/>
      <c r="TIU265" s="95"/>
      <c r="TIV265" s="95"/>
      <c r="TIW265" s="95"/>
      <c r="TIX265" s="95"/>
      <c r="TIY265" s="95"/>
      <c r="TIZ265" s="95"/>
      <c r="TJA265" s="95"/>
      <c r="TJB265" s="95"/>
      <c r="TJC265" s="95"/>
      <c r="TJD265" s="95"/>
      <c r="TJE265" s="95"/>
      <c r="TJF265" s="95"/>
      <c r="TJG265" s="95"/>
      <c r="TJH265" s="95"/>
      <c r="TJI265" s="95"/>
      <c r="TJJ265" s="95"/>
      <c r="TJK265" s="95"/>
      <c r="TJL265" s="95"/>
      <c r="TJM265" s="95"/>
      <c r="TJN265" s="95"/>
      <c r="TJO265" s="95"/>
      <c r="TJP265" s="95"/>
      <c r="TJQ265" s="95"/>
      <c r="TJR265" s="95"/>
      <c r="TJS265" s="95"/>
      <c r="TJT265" s="95"/>
      <c r="TJU265" s="95"/>
      <c r="TJV265" s="95"/>
      <c r="TJW265" s="95"/>
      <c r="TJX265" s="95"/>
      <c r="TJY265" s="95"/>
      <c r="TJZ265" s="95"/>
      <c r="TKA265" s="95"/>
      <c r="TKB265" s="95"/>
      <c r="TKC265" s="95"/>
      <c r="TKD265" s="95"/>
      <c r="TKE265" s="95"/>
      <c r="TKF265" s="95"/>
      <c r="TKG265" s="95"/>
      <c r="TKH265" s="95"/>
      <c r="TKI265" s="95"/>
      <c r="TKJ265" s="95"/>
      <c r="TKK265" s="95"/>
      <c r="TKL265" s="95"/>
      <c r="TKM265" s="95"/>
      <c r="TKN265" s="95"/>
      <c r="TKO265" s="95"/>
      <c r="TKP265" s="95"/>
      <c r="TKQ265" s="95"/>
      <c r="TKR265" s="95"/>
      <c r="TKS265" s="95"/>
      <c r="TKT265" s="95"/>
      <c r="TKU265" s="95"/>
      <c r="TKV265" s="95"/>
      <c r="TKW265" s="95"/>
      <c r="TKX265" s="95"/>
      <c r="TKY265" s="95"/>
      <c r="TKZ265" s="95"/>
      <c r="TLA265" s="95"/>
      <c r="TLB265" s="95"/>
      <c r="TLC265" s="95"/>
      <c r="TLD265" s="95"/>
      <c r="TLE265" s="95"/>
      <c r="TLF265" s="95"/>
      <c r="TLG265" s="95"/>
      <c r="TLH265" s="95"/>
      <c r="TLI265" s="95"/>
      <c r="TLJ265" s="95"/>
      <c r="TLK265" s="95"/>
      <c r="TLL265" s="95"/>
      <c r="TLM265" s="95"/>
      <c r="TLN265" s="95"/>
      <c r="TLO265" s="95"/>
      <c r="TLP265" s="95"/>
      <c r="TLQ265" s="95"/>
      <c r="TLR265" s="95"/>
      <c r="TLS265" s="95"/>
      <c r="TLT265" s="95"/>
      <c r="TLU265" s="95"/>
      <c r="TLV265" s="95"/>
      <c r="TLW265" s="95"/>
      <c r="TLX265" s="95"/>
      <c r="TLY265" s="95"/>
      <c r="TLZ265" s="95"/>
      <c r="TMA265" s="95"/>
      <c r="TMB265" s="95"/>
      <c r="TMC265" s="95"/>
      <c r="TMD265" s="95"/>
      <c r="TME265" s="95"/>
      <c r="TMF265" s="95"/>
      <c r="TMG265" s="95"/>
      <c r="TMH265" s="95"/>
      <c r="TMI265" s="95"/>
      <c r="TMJ265" s="95"/>
      <c r="TMK265" s="95"/>
      <c r="TML265" s="95"/>
      <c r="TMM265" s="95"/>
      <c r="TMN265" s="95"/>
      <c r="TMO265" s="95"/>
      <c r="TMP265" s="95"/>
      <c r="TMQ265" s="95"/>
      <c r="TMR265" s="95"/>
      <c r="TMS265" s="95"/>
      <c r="TMT265" s="95"/>
      <c r="TMU265" s="95"/>
      <c r="TMV265" s="95"/>
      <c r="TMW265" s="95"/>
      <c r="TMX265" s="95"/>
      <c r="TMY265" s="95"/>
      <c r="TMZ265" s="95"/>
      <c r="TNA265" s="95"/>
      <c r="TNB265" s="95"/>
      <c r="TNC265" s="95"/>
      <c r="TND265" s="95"/>
      <c r="TNE265" s="95"/>
      <c r="TNF265" s="95"/>
      <c r="TNG265" s="95"/>
      <c r="TNH265" s="95"/>
      <c r="TNI265" s="95"/>
      <c r="TNJ265" s="95"/>
      <c r="TNK265" s="95"/>
      <c r="TNL265" s="95"/>
      <c r="TNM265" s="95"/>
      <c r="TNN265" s="95"/>
      <c r="TNO265" s="95"/>
      <c r="TNP265" s="95"/>
      <c r="TNQ265" s="95"/>
      <c r="TNR265" s="95"/>
      <c r="TNS265" s="95"/>
      <c r="TNT265" s="95"/>
      <c r="TNU265" s="95"/>
      <c r="TNV265" s="95"/>
      <c r="TNW265" s="95"/>
      <c r="TNX265" s="95"/>
      <c r="TNY265" s="95"/>
      <c r="TNZ265" s="95"/>
      <c r="TOA265" s="95"/>
      <c r="TOB265" s="95"/>
      <c r="TOC265" s="95"/>
      <c r="TOD265" s="95"/>
      <c r="TOE265" s="95"/>
      <c r="TOF265" s="95"/>
      <c r="TOG265" s="95"/>
      <c r="TOH265" s="95"/>
      <c r="TOI265" s="95"/>
      <c r="TOJ265" s="95"/>
      <c r="TOK265" s="95"/>
      <c r="TOL265" s="95"/>
      <c r="TOM265" s="95"/>
      <c r="TON265" s="95"/>
      <c r="TOO265" s="95"/>
      <c r="TOP265" s="95"/>
      <c r="TOQ265" s="95"/>
      <c r="TOR265" s="95"/>
      <c r="TOS265" s="95"/>
      <c r="TOT265" s="95"/>
      <c r="TOU265" s="95"/>
      <c r="TOV265" s="95"/>
      <c r="TOW265" s="95"/>
      <c r="TOX265" s="95"/>
      <c r="TOY265" s="95"/>
      <c r="TOZ265" s="95"/>
      <c r="TPA265" s="95"/>
      <c r="TPB265" s="95"/>
      <c r="TPC265" s="95"/>
      <c r="TPD265" s="95"/>
      <c r="TPE265" s="95"/>
      <c r="TPF265" s="95"/>
      <c r="TPG265" s="95"/>
      <c r="TPH265" s="95"/>
      <c r="TPI265" s="95"/>
      <c r="TPJ265" s="95"/>
      <c r="TPK265" s="95"/>
      <c r="TPL265" s="95"/>
      <c r="TPM265" s="95"/>
      <c r="TPN265" s="95"/>
      <c r="TPO265" s="95"/>
      <c r="TPP265" s="95"/>
      <c r="TPQ265" s="95"/>
      <c r="TPR265" s="95"/>
      <c r="TPS265" s="95"/>
      <c r="TPT265" s="95"/>
      <c r="TPU265" s="95"/>
      <c r="TPV265" s="95"/>
      <c r="TPW265" s="95"/>
      <c r="TPX265" s="95"/>
      <c r="TPY265" s="95"/>
      <c r="TPZ265" s="95"/>
      <c r="TQA265" s="95"/>
      <c r="TQB265" s="95"/>
      <c r="TQC265" s="95"/>
      <c r="TQD265" s="95"/>
      <c r="TQE265" s="95"/>
      <c r="TQF265" s="95"/>
      <c r="TQG265" s="95"/>
      <c r="TQH265" s="95"/>
      <c r="TQI265" s="95"/>
      <c r="TQJ265" s="95"/>
      <c r="TQK265" s="95"/>
      <c r="TQL265" s="95"/>
      <c r="TQM265" s="95"/>
      <c r="TQN265" s="95"/>
      <c r="TQO265" s="95"/>
      <c r="TQP265" s="95"/>
      <c r="TQQ265" s="95"/>
      <c r="TQR265" s="95"/>
      <c r="TQS265" s="95"/>
      <c r="TQT265" s="95"/>
      <c r="TQU265" s="95"/>
      <c r="TQV265" s="95"/>
      <c r="TQW265" s="95"/>
      <c r="TQX265" s="95"/>
      <c r="TQY265" s="95"/>
      <c r="TQZ265" s="95"/>
      <c r="TRA265" s="95"/>
      <c r="TRB265" s="95"/>
      <c r="TRC265" s="95"/>
      <c r="TRD265" s="95"/>
      <c r="TRE265" s="95"/>
      <c r="TRF265" s="95"/>
      <c r="TRG265" s="95"/>
      <c r="TRH265" s="95"/>
      <c r="TRI265" s="95"/>
      <c r="TRJ265" s="95"/>
      <c r="TRK265" s="95"/>
      <c r="TRL265" s="95"/>
      <c r="TRM265" s="95"/>
      <c r="TRN265" s="95"/>
      <c r="TRO265" s="95"/>
      <c r="TRP265" s="95"/>
      <c r="TRQ265" s="95"/>
      <c r="TRR265" s="95"/>
      <c r="TRS265" s="95"/>
      <c r="TRT265" s="95"/>
      <c r="TRU265" s="95"/>
      <c r="TRV265" s="95"/>
      <c r="TRW265" s="95"/>
      <c r="TRX265" s="95"/>
      <c r="TRY265" s="95"/>
      <c r="TRZ265" s="95"/>
      <c r="TSA265" s="95"/>
      <c r="TSB265" s="95"/>
      <c r="TSC265" s="95"/>
      <c r="TSD265" s="95"/>
      <c r="TSE265" s="95"/>
      <c r="TSF265" s="95"/>
      <c r="TSG265" s="95"/>
      <c r="TSH265" s="95"/>
      <c r="TSI265" s="95"/>
      <c r="TSJ265" s="95"/>
      <c r="TSK265" s="95"/>
      <c r="TSL265" s="95"/>
      <c r="TSM265" s="95"/>
      <c r="TSN265" s="95"/>
      <c r="TSO265" s="95"/>
      <c r="TSP265" s="95"/>
      <c r="TSQ265" s="95"/>
      <c r="TSR265" s="95"/>
      <c r="TSS265" s="95"/>
      <c r="TST265" s="95"/>
      <c r="TSU265" s="95"/>
      <c r="TSV265" s="95"/>
      <c r="TSW265" s="95"/>
      <c r="TSX265" s="95"/>
      <c r="TSY265" s="95"/>
      <c r="TSZ265" s="95"/>
      <c r="TTA265" s="95"/>
      <c r="TTB265" s="95"/>
      <c r="TTC265" s="95"/>
      <c r="TTD265" s="95"/>
      <c r="TTE265" s="95"/>
      <c r="TTF265" s="95"/>
      <c r="TTG265" s="95"/>
      <c r="TTH265" s="95"/>
      <c r="TTI265" s="95"/>
      <c r="TTJ265" s="95"/>
      <c r="TTK265" s="95"/>
      <c r="TTL265" s="95"/>
      <c r="TTM265" s="95"/>
      <c r="TTN265" s="95"/>
      <c r="TTO265" s="95"/>
      <c r="TTP265" s="95"/>
      <c r="TTQ265" s="95"/>
      <c r="TTR265" s="95"/>
      <c r="TTS265" s="95"/>
      <c r="TTT265" s="95"/>
      <c r="TTU265" s="95"/>
      <c r="TTV265" s="95"/>
      <c r="TTW265" s="95"/>
      <c r="TTX265" s="95"/>
      <c r="TTY265" s="95"/>
      <c r="TTZ265" s="95"/>
      <c r="TUA265" s="95"/>
      <c r="TUB265" s="95"/>
      <c r="TUC265" s="95"/>
      <c r="TUD265" s="95"/>
      <c r="TUE265" s="95"/>
      <c r="TUF265" s="95"/>
      <c r="TUG265" s="95"/>
      <c r="TUH265" s="95"/>
      <c r="TUI265" s="95"/>
      <c r="TUJ265" s="95"/>
      <c r="TUK265" s="95"/>
      <c r="TUL265" s="95"/>
      <c r="TUM265" s="95"/>
      <c r="TUN265" s="95"/>
      <c r="TUO265" s="95"/>
      <c r="TUP265" s="95"/>
      <c r="TUQ265" s="95"/>
      <c r="TUR265" s="95"/>
      <c r="TUS265" s="95"/>
      <c r="TUT265" s="95"/>
      <c r="TUU265" s="95"/>
      <c r="TUV265" s="95"/>
      <c r="TUW265" s="95"/>
      <c r="TUX265" s="95"/>
      <c r="TUY265" s="95"/>
      <c r="TUZ265" s="95"/>
      <c r="TVA265" s="95"/>
      <c r="TVB265" s="95"/>
      <c r="TVC265" s="95"/>
      <c r="TVD265" s="95"/>
      <c r="TVE265" s="95"/>
      <c r="TVF265" s="95"/>
      <c r="TVG265" s="95"/>
      <c r="TVH265" s="95"/>
      <c r="TVI265" s="95"/>
      <c r="TVJ265" s="95"/>
      <c r="TVK265" s="95"/>
      <c r="TVL265" s="95"/>
      <c r="TVM265" s="95"/>
      <c r="TVN265" s="95"/>
      <c r="TVO265" s="95"/>
      <c r="TVP265" s="95"/>
      <c r="TVQ265" s="95"/>
      <c r="TVR265" s="95"/>
      <c r="TVS265" s="95"/>
      <c r="TVT265" s="95"/>
      <c r="TVU265" s="95"/>
      <c r="TVV265" s="95"/>
      <c r="TVW265" s="95"/>
      <c r="TVX265" s="95"/>
      <c r="TVY265" s="95"/>
      <c r="TVZ265" s="95"/>
      <c r="TWA265" s="95"/>
      <c r="TWB265" s="95"/>
      <c r="TWC265" s="95"/>
      <c r="TWD265" s="95"/>
      <c r="TWE265" s="95"/>
      <c r="TWF265" s="95"/>
      <c r="TWG265" s="95"/>
      <c r="TWH265" s="95"/>
      <c r="TWI265" s="95"/>
      <c r="TWJ265" s="95"/>
      <c r="TWK265" s="95"/>
      <c r="TWL265" s="95"/>
      <c r="TWM265" s="95"/>
      <c r="TWN265" s="95"/>
      <c r="TWO265" s="95"/>
      <c r="TWP265" s="95"/>
      <c r="TWQ265" s="95"/>
      <c r="TWR265" s="95"/>
      <c r="TWS265" s="95"/>
      <c r="TWT265" s="95"/>
      <c r="TWU265" s="95"/>
      <c r="TWV265" s="95"/>
      <c r="TWW265" s="95"/>
      <c r="TWX265" s="95"/>
      <c r="TWY265" s="95"/>
      <c r="TWZ265" s="95"/>
      <c r="TXA265" s="95"/>
      <c r="TXB265" s="95"/>
      <c r="TXC265" s="95"/>
      <c r="TXD265" s="95"/>
      <c r="TXE265" s="95"/>
      <c r="TXF265" s="95"/>
      <c r="TXG265" s="95"/>
      <c r="TXH265" s="95"/>
      <c r="TXI265" s="95"/>
      <c r="TXJ265" s="95"/>
      <c r="TXK265" s="95"/>
      <c r="TXL265" s="95"/>
      <c r="TXM265" s="95"/>
      <c r="TXN265" s="95"/>
      <c r="TXO265" s="95"/>
      <c r="TXP265" s="95"/>
      <c r="TXQ265" s="95"/>
      <c r="TXR265" s="95"/>
      <c r="TXS265" s="95"/>
      <c r="TXT265" s="95"/>
      <c r="TXU265" s="95"/>
      <c r="TXV265" s="95"/>
      <c r="TXW265" s="95"/>
      <c r="TXX265" s="95"/>
      <c r="TXY265" s="95"/>
      <c r="TXZ265" s="95"/>
      <c r="TYA265" s="95"/>
      <c r="TYB265" s="95"/>
      <c r="TYC265" s="95"/>
      <c r="TYD265" s="95"/>
      <c r="TYE265" s="95"/>
      <c r="TYF265" s="95"/>
      <c r="TYG265" s="95"/>
      <c r="TYH265" s="95"/>
      <c r="TYI265" s="95"/>
      <c r="TYJ265" s="95"/>
      <c r="TYK265" s="95"/>
      <c r="TYL265" s="95"/>
      <c r="TYM265" s="95"/>
      <c r="TYN265" s="95"/>
      <c r="TYO265" s="95"/>
      <c r="TYP265" s="95"/>
      <c r="TYQ265" s="95"/>
      <c r="TYR265" s="95"/>
      <c r="TYS265" s="95"/>
      <c r="TYT265" s="95"/>
      <c r="TYU265" s="95"/>
      <c r="TYV265" s="95"/>
      <c r="TYW265" s="95"/>
      <c r="TYX265" s="95"/>
      <c r="TYY265" s="95"/>
      <c r="TYZ265" s="95"/>
      <c r="TZA265" s="95"/>
      <c r="TZB265" s="95"/>
      <c r="TZC265" s="95"/>
      <c r="TZD265" s="95"/>
      <c r="TZE265" s="95"/>
      <c r="TZF265" s="95"/>
      <c r="TZG265" s="95"/>
      <c r="TZH265" s="95"/>
      <c r="TZI265" s="95"/>
      <c r="TZJ265" s="95"/>
      <c r="TZK265" s="95"/>
      <c r="TZL265" s="95"/>
      <c r="TZM265" s="95"/>
      <c r="TZN265" s="95"/>
      <c r="TZO265" s="95"/>
      <c r="TZP265" s="95"/>
      <c r="TZQ265" s="95"/>
      <c r="TZR265" s="95"/>
      <c r="TZS265" s="95"/>
      <c r="TZT265" s="95"/>
      <c r="TZU265" s="95"/>
      <c r="TZV265" s="95"/>
      <c r="TZW265" s="95"/>
      <c r="TZX265" s="95"/>
      <c r="TZY265" s="95"/>
      <c r="TZZ265" s="95"/>
      <c r="UAA265" s="95"/>
      <c r="UAB265" s="95"/>
      <c r="UAC265" s="95"/>
      <c r="UAD265" s="95"/>
      <c r="UAE265" s="95"/>
      <c r="UAF265" s="95"/>
      <c r="UAG265" s="95"/>
      <c r="UAH265" s="95"/>
      <c r="UAI265" s="95"/>
      <c r="UAJ265" s="95"/>
      <c r="UAK265" s="95"/>
      <c r="UAL265" s="95"/>
      <c r="UAM265" s="95"/>
      <c r="UAN265" s="95"/>
      <c r="UAO265" s="95"/>
      <c r="UAP265" s="95"/>
      <c r="UAQ265" s="95"/>
      <c r="UAR265" s="95"/>
      <c r="UAS265" s="95"/>
      <c r="UAT265" s="95"/>
      <c r="UAU265" s="95"/>
      <c r="UAV265" s="95"/>
      <c r="UAW265" s="95"/>
      <c r="UAX265" s="95"/>
      <c r="UAY265" s="95"/>
      <c r="UAZ265" s="95"/>
      <c r="UBA265" s="95"/>
      <c r="UBB265" s="95"/>
      <c r="UBC265" s="95"/>
      <c r="UBD265" s="95"/>
      <c r="UBE265" s="95"/>
      <c r="UBF265" s="95"/>
      <c r="UBG265" s="95"/>
      <c r="UBH265" s="95"/>
      <c r="UBI265" s="95"/>
      <c r="UBJ265" s="95"/>
      <c r="UBK265" s="95"/>
      <c r="UBL265" s="95"/>
      <c r="UBM265" s="95"/>
      <c r="UBN265" s="95"/>
      <c r="UBO265" s="95"/>
      <c r="UBP265" s="95"/>
      <c r="UBQ265" s="95"/>
      <c r="UBR265" s="95"/>
      <c r="UBS265" s="95"/>
      <c r="UBT265" s="95"/>
      <c r="UBU265" s="95"/>
      <c r="UBV265" s="95"/>
      <c r="UBW265" s="95"/>
      <c r="UBX265" s="95"/>
      <c r="UBY265" s="95"/>
      <c r="UBZ265" s="95"/>
      <c r="UCA265" s="95"/>
      <c r="UCB265" s="95"/>
      <c r="UCC265" s="95"/>
      <c r="UCD265" s="95"/>
      <c r="UCE265" s="95"/>
      <c r="UCF265" s="95"/>
      <c r="UCG265" s="95"/>
      <c r="UCH265" s="95"/>
      <c r="UCI265" s="95"/>
      <c r="UCJ265" s="95"/>
      <c r="UCK265" s="95"/>
      <c r="UCL265" s="95"/>
      <c r="UCM265" s="95"/>
      <c r="UCN265" s="95"/>
      <c r="UCO265" s="95"/>
      <c r="UCP265" s="95"/>
      <c r="UCQ265" s="95"/>
      <c r="UCR265" s="95"/>
      <c r="UCS265" s="95"/>
      <c r="UCT265" s="95"/>
      <c r="UCU265" s="95"/>
      <c r="UCV265" s="95"/>
      <c r="UCW265" s="95"/>
      <c r="UCX265" s="95"/>
      <c r="UCY265" s="95"/>
      <c r="UCZ265" s="95"/>
      <c r="UDA265" s="95"/>
      <c r="UDB265" s="95"/>
      <c r="UDC265" s="95"/>
      <c r="UDD265" s="95"/>
      <c r="UDE265" s="95"/>
      <c r="UDF265" s="95"/>
      <c r="UDG265" s="95"/>
      <c r="UDH265" s="95"/>
      <c r="UDI265" s="95"/>
      <c r="UDJ265" s="95"/>
      <c r="UDK265" s="95"/>
      <c r="UDL265" s="95"/>
      <c r="UDM265" s="95"/>
      <c r="UDN265" s="95"/>
      <c r="UDO265" s="95"/>
      <c r="UDP265" s="95"/>
      <c r="UDQ265" s="95"/>
      <c r="UDR265" s="95"/>
      <c r="UDS265" s="95"/>
      <c r="UDT265" s="95"/>
      <c r="UDU265" s="95"/>
      <c r="UDV265" s="95"/>
      <c r="UDW265" s="95"/>
      <c r="UDX265" s="95"/>
      <c r="UDY265" s="95"/>
      <c r="UDZ265" s="95"/>
      <c r="UEA265" s="95"/>
      <c r="UEB265" s="95"/>
      <c r="UEC265" s="95"/>
      <c r="UED265" s="95"/>
      <c r="UEE265" s="95"/>
      <c r="UEF265" s="95"/>
      <c r="UEG265" s="95"/>
      <c r="UEH265" s="95"/>
      <c r="UEI265" s="95"/>
      <c r="UEJ265" s="95"/>
      <c r="UEK265" s="95"/>
      <c r="UEL265" s="95"/>
      <c r="UEM265" s="95"/>
      <c r="UEN265" s="95"/>
      <c r="UEO265" s="95"/>
      <c r="UEP265" s="95"/>
      <c r="UEQ265" s="95"/>
      <c r="UER265" s="95"/>
      <c r="UES265" s="95"/>
      <c r="UET265" s="95"/>
      <c r="UEU265" s="95"/>
      <c r="UEV265" s="95"/>
      <c r="UEW265" s="95"/>
      <c r="UEX265" s="95"/>
      <c r="UEY265" s="95"/>
      <c r="UEZ265" s="95"/>
      <c r="UFA265" s="95"/>
      <c r="UFB265" s="95"/>
      <c r="UFC265" s="95"/>
      <c r="UFD265" s="95"/>
      <c r="UFE265" s="95"/>
      <c r="UFF265" s="95"/>
      <c r="UFG265" s="95"/>
      <c r="UFH265" s="95"/>
      <c r="UFI265" s="95"/>
      <c r="UFJ265" s="95"/>
      <c r="UFK265" s="95"/>
      <c r="UFL265" s="95"/>
      <c r="UFM265" s="95"/>
      <c r="UFN265" s="95"/>
      <c r="UFO265" s="95"/>
      <c r="UFP265" s="95"/>
      <c r="UFQ265" s="95"/>
      <c r="UFR265" s="95"/>
      <c r="UFS265" s="95"/>
      <c r="UFT265" s="95"/>
      <c r="UFU265" s="95"/>
      <c r="UFV265" s="95"/>
      <c r="UFW265" s="95"/>
      <c r="UFX265" s="95"/>
      <c r="UFY265" s="95"/>
      <c r="UFZ265" s="95"/>
      <c r="UGA265" s="95"/>
      <c r="UGB265" s="95"/>
      <c r="UGC265" s="95"/>
      <c r="UGD265" s="95"/>
      <c r="UGE265" s="95"/>
      <c r="UGF265" s="95"/>
      <c r="UGG265" s="95"/>
      <c r="UGH265" s="95"/>
      <c r="UGI265" s="95"/>
      <c r="UGJ265" s="95"/>
      <c r="UGK265" s="95"/>
      <c r="UGL265" s="95"/>
      <c r="UGM265" s="95"/>
      <c r="UGN265" s="95"/>
      <c r="UGO265" s="95"/>
      <c r="UGP265" s="95"/>
      <c r="UGQ265" s="95"/>
      <c r="UGR265" s="95"/>
      <c r="UGS265" s="95"/>
      <c r="UGT265" s="95"/>
      <c r="UGU265" s="95"/>
      <c r="UGV265" s="95"/>
      <c r="UGW265" s="95"/>
      <c r="UGX265" s="95"/>
      <c r="UGY265" s="95"/>
      <c r="UGZ265" s="95"/>
      <c r="UHA265" s="95"/>
      <c r="UHB265" s="95"/>
      <c r="UHC265" s="95"/>
      <c r="UHD265" s="95"/>
      <c r="UHE265" s="95"/>
      <c r="UHF265" s="95"/>
      <c r="UHG265" s="95"/>
      <c r="UHH265" s="95"/>
      <c r="UHI265" s="95"/>
      <c r="UHJ265" s="95"/>
      <c r="UHK265" s="95"/>
      <c r="UHL265" s="95"/>
      <c r="UHM265" s="95"/>
      <c r="UHN265" s="95"/>
      <c r="UHO265" s="95"/>
      <c r="UHP265" s="95"/>
      <c r="UHQ265" s="95"/>
      <c r="UHR265" s="95"/>
      <c r="UHS265" s="95"/>
      <c r="UHT265" s="95"/>
      <c r="UHU265" s="95"/>
      <c r="UHV265" s="95"/>
      <c r="UHW265" s="95"/>
      <c r="UHX265" s="95"/>
      <c r="UHY265" s="95"/>
      <c r="UHZ265" s="95"/>
      <c r="UIA265" s="95"/>
      <c r="UIB265" s="95"/>
      <c r="UIC265" s="95"/>
      <c r="UID265" s="95"/>
      <c r="UIE265" s="95"/>
      <c r="UIF265" s="95"/>
      <c r="UIG265" s="95"/>
      <c r="UIH265" s="95"/>
      <c r="UII265" s="95"/>
      <c r="UIJ265" s="95"/>
      <c r="UIK265" s="95"/>
      <c r="UIL265" s="95"/>
      <c r="UIM265" s="95"/>
      <c r="UIN265" s="95"/>
      <c r="UIO265" s="95"/>
      <c r="UIP265" s="95"/>
      <c r="UIQ265" s="95"/>
      <c r="UIR265" s="95"/>
      <c r="UIS265" s="95"/>
      <c r="UIT265" s="95"/>
      <c r="UIU265" s="95"/>
      <c r="UIV265" s="95"/>
      <c r="UIW265" s="95"/>
      <c r="UIX265" s="95"/>
      <c r="UIY265" s="95"/>
      <c r="UIZ265" s="95"/>
      <c r="UJA265" s="95"/>
      <c r="UJB265" s="95"/>
      <c r="UJC265" s="95"/>
      <c r="UJD265" s="95"/>
      <c r="UJE265" s="95"/>
      <c r="UJF265" s="95"/>
      <c r="UJG265" s="95"/>
      <c r="UJH265" s="95"/>
      <c r="UJI265" s="95"/>
      <c r="UJJ265" s="95"/>
      <c r="UJK265" s="95"/>
      <c r="UJL265" s="95"/>
      <c r="UJM265" s="95"/>
      <c r="UJN265" s="95"/>
      <c r="UJO265" s="95"/>
      <c r="UJP265" s="95"/>
      <c r="UJQ265" s="95"/>
      <c r="UJR265" s="95"/>
      <c r="UJS265" s="95"/>
      <c r="UJT265" s="95"/>
      <c r="UJU265" s="95"/>
      <c r="UJV265" s="95"/>
      <c r="UJW265" s="95"/>
      <c r="UJX265" s="95"/>
      <c r="UJY265" s="95"/>
      <c r="UJZ265" s="95"/>
      <c r="UKA265" s="95"/>
      <c r="UKB265" s="95"/>
      <c r="UKC265" s="95"/>
      <c r="UKD265" s="95"/>
      <c r="UKE265" s="95"/>
      <c r="UKF265" s="95"/>
      <c r="UKG265" s="95"/>
      <c r="UKH265" s="95"/>
      <c r="UKI265" s="95"/>
      <c r="UKJ265" s="95"/>
      <c r="UKK265" s="95"/>
      <c r="UKL265" s="95"/>
      <c r="UKM265" s="95"/>
      <c r="UKN265" s="95"/>
      <c r="UKO265" s="95"/>
      <c r="UKP265" s="95"/>
      <c r="UKQ265" s="95"/>
      <c r="UKR265" s="95"/>
      <c r="UKS265" s="95"/>
      <c r="UKT265" s="95"/>
      <c r="UKU265" s="95"/>
      <c r="UKV265" s="95"/>
      <c r="UKW265" s="95"/>
      <c r="UKX265" s="95"/>
      <c r="UKY265" s="95"/>
      <c r="UKZ265" s="95"/>
      <c r="ULA265" s="95"/>
      <c r="ULB265" s="95"/>
      <c r="ULC265" s="95"/>
      <c r="ULD265" s="95"/>
      <c r="ULE265" s="95"/>
      <c r="ULF265" s="95"/>
      <c r="ULG265" s="95"/>
      <c r="ULH265" s="95"/>
      <c r="ULI265" s="95"/>
      <c r="ULJ265" s="95"/>
      <c r="ULK265" s="95"/>
      <c r="ULL265" s="95"/>
      <c r="ULM265" s="95"/>
      <c r="ULN265" s="95"/>
      <c r="ULO265" s="95"/>
      <c r="ULP265" s="95"/>
      <c r="ULQ265" s="95"/>
      <c r="ULR265" s="95"/>
      <c r="ULS265" s="95"/>
      <c r="ULT265" s="95"/>
      <c r="ULU265" s="95"/>
      <c r="ULV265" s="95"/>
      <c r="ULW265" s="95"/>
      <c r="ULX265" s="95"/>
      <c r="ULY265" s="95"/>
      <c r="ULZ265" s="95"/>
      <c r="UMA265" s="95"/>
      <c r="UMB265" s="95"/>
      <c r="UMC265" s="95"/>
      <c r="UMD265" s="95"/>
      <c r="UME265" s="95"/>
      <c r="UMF265" s="95"/>
      <c r="UMG265" s="95"/>
      <c r="UMH265" s="95"/>
      <c r="UMI265" s="95"/>
      <c r="UMJ265" s="95"/>
      <c r="UMK265" s="95"/>
      <c r="UML265" s="95"/>
      <c r="UMM265" s="95"/>
      <c r="UMN265" s="95"/>
      <c r="UMO265" s="95"/>
      <c r="UMP265" s="95"/>
      <c r="UMQ265" s="95"/>
      <c r="UMR265" s="95"/>
      <c r="UMS265" s="95"/>
      <c r="UMT265" s="95"/>
      <c r="UMU265" s="95"/>
      <c r="UMV265" s="95"/>
      <c r="UMW265" s="95"/>
      <c r="UMX265" s="95"/>
      <c r="UMY265" s="95"/>
      <c r="UMZ265" s="95"/>
      <c r="UNA265" s="95"/>
      <c r="UNB265" s="95"/>
      <c r="UNC265" s="95"/>
      <c r="UND265" s="95"/>
      <c r="UNE265" s="95"/>
      <c r="UNF265" s="95"/>
      <c r="UNG265" s="95"/>
      <c r="UNH265" s="95"/>
      <c r="UNI265" s="95"/>
      <c r="UNJ265" s="95"/>
      <c r="UNK265" s="95"/>
      <c r="UNL265" s="95"/>
      <c r="UNM265" s="95"/>
      <c r="UNN265" s="95"/>
      <c r="UNO265" s="95"/>
      <c r="UNP265" s="95"/>
      <c r="UNQ265" s="95"/>
      <c r="UNR265" s="95"/>
      <c r="UNS265" s="95"/>
      <c r="UNT265" s="95"/>
      <c r="UNU265" s="95"/>
      <c r="UNV265" s="95"/>
      <c r="UNW265" s="95"/>
      <c r="UNX265" s="95"/>
      <c r="UNY265" s="95"/>
      <c r="UNZ265" s="95"/>
      <c r="UOA265" s="95"/>
      <c r="UOB265" s="95"/>
      <c r="UOC265" s="95"/>
      <c r="UOD265" s="95"/>
      <c r="UOE265" s="95"/>
      <c r="UOF265" s="95"/>
      <c r="UOG265" s="95"/>
      <c r="UOH265" s="95"/>
      <c r="UOI265" s="95"/>
      <c r="UOJ265" s="95"/>
      <c r="UOK265" s="95"/>
      <c r="UOL265" s="95"/>
      <c r="UOM265" s="95"/>
      <c r="UON265" s="95"/>
      <c r="UOO265" s="95"/>
      <c r="UOP265" s="95"/>
      <c r="UOQ265" s="95"/>
      <c r="UOR265" s="95"/>
      <c r="UOS265" s="95"/>
      <c r="UOT265" s="95"/>
      <c r="UOU265" s="95"/>
      <c r="UOV265" s="95"/>
      <c r="UOW265" s="95"/>
      <c r="UOX265" s="95"/>
      <c r="UOY265" s="95"/>
      <c r="UOZ265" s="95"/>
      <c r="UPA265" s="95"/>
      <c r="UPB265" s="95"/>
      <c r="UPC265" s="95"/>
      <c r="UPD265" s="95"/>
      <c r="UPE265" s="95"/>
      <c r="UPF265" s="95"/>
      <c r="UPG265" s="95"/>
      <c r="UPH265" s="95"/>
      <c r="UPI265" s="95"/>
      <c r="UPJ265" s="95"/>
      <c r="UPK265" s="95"/>
      <c r="UPL265" s="95"/>
      <c r="UPM265" s="95"/>
      <c r="UPN265" s="95"/>
      <c r="UPO265" s="95"/>
      <c r="UPP265" s="95"/>
      <c r="UPQ265" s="95"/>
      <c r="UPR265" s="95"/>
      <c r="UPS265" s="95"/>
      <c r="UPT265" s="95"/>
      <c r="UPU265" s="95"/>
      <c r="UPV265" s="95"/>
      <c r="UPW265" s="95"/>
      <c r="UPX265" s="95"/>
      <c r="UPY265" s="95"/>
      <c r="UPZ265" s="95"/>
      <c r="UQA265" s="95"/>
      <c r="UQB265" s="95"/>
      <c r="UQC265" s="95"/>
      <c r="UQD265" s="95"/>
      <c r="UQE265" s="95"/>
      <c r="UQF265" s="95"/>
      <c r="UQG265" s="95"/>
      <c r="UQH265" s="95"/>
      <c r="UQI265" s="95"/>
      <c r="UQJ265" s="95"/>
      <c r="UQK265" s="95"/>
      <c r="UQL265" s="95"/>
      <c r="UQM265" s="95"/>
      <c r="UQN265" s="95"/>
      <c r="UQO265" s="95"/>
      <c r="UQP265" s="95"/>
      <c r="UQQ265" s="95"/>
      <c r="UQR265" s="95"/>
      <c r="UQS265" s="95"/>
      <c r="UQT265" s="95"/>
      <c r="UQU265" s="95"/>
      <c r="UQV265" s="95"/>
      <c r="UQW265" s="95"/>
      <c r="UQX265" s="95"/>
      <c r="UQY265" s="95"/>
      <c r="UQZ265" s="95"/>
      <c r="URA265" s="95"/>
      <c r="URB265" s="95"/>
      <c r="URC265" s="95"/>
      <c r="URD265" s="95"/>
      <c r="URE265" s="95"/>
      <c r="URF265" s="95"/>
      <c r="URG265" s="95"/>
      <c r="URH265" s="95"/>
      <c r="URI265" s="95"/>
      <c r="URJ265" s="95"/>
      <c r="URK265" s="95"/>
      <c r="URL265" s="95"/>
      <c r="URM265" s="95"/>
      <c r="URN265" s="95"/>
      <c r="URO265" s="95"/>
      <c r="URP265" s="95"/>
      <c r="URQ265" s="95"/>
      <c r="URR265" s="95"/>
      <c r="URS265" s="95"/>
      <c r="URT265" s="95"/>
      <c r="URU265" s="95"/>
      <c r="URV265" s="95"/>
      <c r="URW265" s="95"/>
      <c r="URX265" s="95"/>
      <c r="URY265" s="95"/>
      <c r="URZ265" s="95"/>
      <c r="USA265" s="95"/>
      <c r="USB265" s="95"/>
      <c r="USC265" s="95"/>
      <c r="USD265" s="95"/>
      <c r="USE265" s="95"/>
      <c r="USF265" s="95"/>
      <c r="USG265" s="95"/>
      <c r="USH265" s="95"/>
      <c r="USI265" s="95"/>
      <c r="USJ265" s="95"/>
      <c r="USK265" s="95"/>
      <c r="USL265" s="95"/>
      <c r="USM265" s="95"/>
      <c r="USN265" s="95"/>
      <c r="USO265" s="95"/>
      <c r="USP265" s="95"/>
      <c r="USQ265" s="95"/>
      <c r="USR265" s="95"/>
      <c r="USS265" s="95"/>
      <c r="UST265" s="95"/>
      <c r="USU265" s="95"/>
      <c r="USV265" s="95"/>
      <c r="USW265" s="95"/>
      <c r="USX265" s="95"/>
      <c r="USY265" s="95"/>
      <c r="USZ265" s="95"/>
      <c r="UTA265" s="95"/>
      <c r="UTB265" s="95"/>
      <c r="UTC265" s="95"/>
      <c r="UTD265" s="95"/>
      <c r="UTE265" s="95"/>
      <c r="UTF265" s="95"/>
      <c r="UTG265" s="95"/>
      <c r="UTH265" s="95"/>
      <c r="UTI265" s="95"/>
      <c r="UTJ265" s="95"/>
      <c r="UTK265" s="95"/>
      <c r="UTL265" s="95"/>
      <c r="UTM265" s="95"/>
      <c r="UTN265" s="95"/>
      <c r="UTO265" s="95"/>
      <c r="UTP265" s="95"/>
      <c r="UTQ265" s="95"/>
      <c r="UTR265" s="95"/>
      <c r="UTS265" s="95"/>
      <c r="UTT265" s="95"/>
      <c r="UTU265" s="95"/>
      <c r="UTV265" s="95"/>
      <c r="UTW265" s="95"/>
      <c r="UTX265" s="95"/>
      <c r="UTY265" s="95"/>
      <c r="UTZ265" s="95"/>
      <c r="UUA265" s="95"/>
      <c r="UUB265" s="95"/>
      <c r="UUC265" s="95"/>
      <c r="UUD265" s="95"/>
      <c r="UUE265" s="95"/>
      <c r="UUF265" s="95"/>
      <c r="UUG265" s="95"/>
      <c r="UUH265" s="95"/>
      <c r="UUI265" s="95"/>
      <c r="UUJ265" s="95"/>
      <c r="UUK265" s="95"/>
      <c r="UUL265" s="95"/>
      <c r="UUM265" s="95"/>
      <c r="UUN265" s="95"/>
      <c r="UUO265" s="95"/>
      <c r="UUP265" s="95"/>
      <c r="UUQ265" s="95"/>
      <c r="UUR265" s="95"/>
      <c r="UUS265" s="95"/>
      <c r="UUT265" s="95"/>
      <c r="UUU265" s="95"/>
      <c r="UUV265" s="95"/>
      <c r="UUW265" s="95"/>
      <c r="UUX265" s="95"/>
      <c r="UUY265" s="95"/>
      <c r="UUZ265" s="95"/>
      <c r="UVA265" s="95"/>
      <c r="UVB265" s="95"/>
      <c r="UVC265" s="95"/>
      <c r="UVD265" s="95"/>
      <c r="UVE265" s="95"/>
      <c r="UVF265" s="95"/>
      <c r="UVG265" s="95"/>
      <c r="UVH265" s="95"/>
      <c r="UVI265" s="95"/>
      <c r="UVJ265" s="95"/>
      <c r="UVK265" s="95"/>
      <c r="UVL265" s="95"/>
      <c r="UVM265" s="95"/>
      <c r="UVN265" s="95"/>
      <c r="UVO265" s="95"/>
      <c r="UVP265" s="95"/>
      <c r="UVQ265" s="95"/>
      <c r="UVR265" s="95"/>
      <c r="UVS265" s="95"/>
      <c r="UVT265" s="95"/>
      <c r="UVU265" s="95"/>
      <c r="UVV265" s="95"/>
      <c r="UVW265" s="95"/>
      <c r="UVX265" s="95"/>
      <c r="UVY265" s="95"/>
      <c r="UVZ265" s="95"/>
      <c r="UWA265" s="95"/>
      <c r="UWB265" s="95"/>
      <c r="UWC265" s="95"/>
      <c r="UWD265" s="95"/>
      <c r="UWE265" s="95"/>
      <c r="UWF265" s="95"/>
      <c r="UWG265" s="95"/>
      <c r="UWH265" s="95"/>
      <c r="UWI265" s="95"/>
      <c r="UWJ265" s="95"/>
      <c r="UWK265" s="95"/>
      <c r="UWL265" s="95"/>
      <c r="UWM265" s="95"/>
      <c r="UWN265" s="95"/>
      <c r="UWO265" s="95"/>
      <c r="UWP265" s="95"/>
      <c r="UWQ265" s="95"/>
      <c r="UWR265" s="95"/>
      <c r="UWS265" s="95"/>
      <c r="UWT265" s="95"/>
      <c r="UWU265" s="95"/>
      <c r="UWV265" s="95"/>
      <c r="UWW265" s="95"/>
      <c r="UWX265" s="95"/>
      <c r="UWY265" s="95"/>
      <c r="UWZ265" s="95"/>
      <c r="UXA265" s="95"/>
      <c r="UXB265" s="95"/>
      <c r="UXC265" s="95"/>
      <c r="UXD265" s="95"/>
      <c r="UXE265" s="95"/>
      <c r="UXF265" s="95"/>
      <c r="UXG265" s="95"/>
      <c r="UXH265" s="95"/>
      <c r="UXI265" s="95"/>
      <c r="UXJ265" s="95"/>
      <c r="UXK265" s="95"/>
      <c r="UXL265" s="95"/>
      <c r="UXM265" s="95"/>
      <c r="UXN265" s="95"/>
      <c r="UXO265" s="95"/>
      <c r="UXP265" s="95"/>
      <c r="UXQ265" s="95"/>
      <c r="UXR265" s="95"/>
      <c r="UXS265" s="95"/>
      <c r="UXT265" s="95"/>
      <c r="UXU265" s="95"/>
      <c r="UXV265" s="95"/>
      <c r="UXW265" s="95"/>
      <c r="UXX265" s="95"/>
      <c r="UXY265" s="95"/>
      <c r="UXZ265" s="95"/>
      <c r="UYA265" s="95"/>
      <c r="UYB265" s="95"/>
      <c r="UYC265" s="95"/>
      <c r="UYD265" s="95"/>
      <c r="UYE265" s="95"/>
      <c r="UYF265" s="95"/>
      <c r="UYG265" s="95"/>
      <c r="UYH265" s="95"/>
      <c r="UYI265" s="95"/>
      <c r="UYJ265" s="95"/>
      <c r="UYK265" s="95"/>
      <c r="UYL265" s="95"/>
      <c r="UYM265" s="95"/>
      <c r="UYN265" s="95"/>
      <c r="UYO265" s="95"/>
      <c r="UYP265" s="95"/>
      <c r="UYQ265" s="95"/>
      <c r="UYR265" s="95"/>
      <c r="UYS265" s="95"/>
      <c r="UYT265" s="95"/>
      <c r="UYU265" s="95"/>
      <c r="UYV265" s="95"/>
      <c r="UYW265" s="95"/>
      <c r="UYX265" s="95"/>
      <c r="UYY265" s="95"/>
      <c r="UYZ265" s="95"/>
      <c r="UZA265" s="95"/>
      <c r="UZB265" s="95"/>
      <c r="UZC265" s="95"/>
      <c r="UZD265" s="95"/>
      <c r="UZE265" s="95"/>
      <c r="UZF265" s="95"/>
      <c r="UZG265" s="95"/>
      <c r="UZH265" s="95"/>
      <c r="UZI265" s="95"/>
      <c r="UZJ265" s="95"/>
      <c r="UZK265" s="95"/>
      <c r="UZL265" s="95"/>
      <c r="UZM265" s="95"/>
      <c r="UZN265" s="95"/>
      <c r="UZO265" s="95"/>
      <c r="UZP265" s="95"/>
      <c r="UZQ265" s="95"/>
      <c r="UZR265" s="95"/>
      <c r="UZS265" s="95"/>
      <c r="UZT265" s="95"/>
      <c r="UZU265" s="95"/>
      <c r="UZV265" s="95"/>
      <c r="UZW265" s="95"/>
      <c r="UZX265" s="95"/>
      <c r="UZY265" s="95"/>
      <c r="UZZ265" s="95"/>
      <c r="VAA265" s="95"/>
      <c r="VAB265" s="95"/>
      <c r="VAC265" s="95"/>
      <c r="VAD265" s="95"/>
      <c r="VAE265" s="95"/>
      <c r="VAF265" s="95"/>
      <c r="VAG265" s="95"/>
      <c r="VAH265" s="95"/>
      <c r="VAI265" s="95"/>
      <c r="VAJ265" s="95"/>
      <c r="VAK265" s="95"/>
      <c r="VAL265" s="95"/>
      <c r="VAM265" s="95"/>
      <c r="VAN265" s="95"/>
      <c r="VAO265" s="95"/>
      <c r="VAP265" s="95"/>
      <c r="VAQ265" s="95"/>
      <c r="VAR265" s="95"/>
      <c r="VAS265" s="95"/>
      <c r="VAT265" s="95"/>
      <c r="VAU265" s="95"/>
      <c r="VAV265" s="95"/>
      <c r="VAW265" s="95"/>
      <c r="VAX265" s="95"/>
      <c r="VAY265" s="95"/>
      <c r="VAZ265" s="95"/>
      <c r="VBA265" s="95"/>
      <c r="VBB265" s="95"/>
      <c r="VBC265" s="95"/>
      <c r="VBD265" s="95"/>
      <c r="VBE265" s="95"/>
      <c r="VBF265" s="95"/>
      <c r="VBG265" s="95"/>
      <c r="VBH265" s="95"/>
      <c r="VBI265" s="95"/>
      <c r="VBJ265" s="95"/>
      <c r="VBK265" s="95"/>
      <c r="VBL265" s="95"/>
      <c r="VBM265" s="95"/>
      <c r="VBN265" s="95"/>
      <c r="VBO265" s="95"/>
      <c r="VBP265" s="95"/>
      <c r="VBQ265" s="95"/>
      <c r="VBR265" s="95"/>
      <c r="VBS265" s="95"/>
      <c r="VBT265" s="95"/>
      <c r="VBU265" s="95"/>
      <c r="VBV265" s="95"/>
      <c r="VBW265" s="95"/>
      <c r="VBX265" s="95"/>
      <c r="VBY265" s="95"/>
      <c r="VBZ265" s="95"/>
      <c r="VCA265" s="95"/>
      <c r="VCB265" s="95"/>
      <c r="VCC265" s="95"/>
      <c r="VCD265" s="95"/>
      <c r="VCE265" s="95"/>
      <c r="VCF265" s="95"/>
      <c r="VCG265" s="95"/>
      <c r="VCH265" s="95"/>
      <c r="VCI265" s="95"/>
      <c r="VCJ265" s="95"/>
      <c r="VCK265" s="95"/>
      <c r="VCL265" s="95"/>
      <c r="VCM265" s="95"/>
      <c r="VCN265" s="95"/>
      <c r="VCO265" s="95"/>
      <c r="VCP265" s="95"/>
      <c r="VCQ265" s="95"/>
      <c r="VCR265" s="95"/>
      <c r="VCS265" s="95"/>
      <c r="VCT265" s="95"/>
      <c r="VCU265" s="95"/>
      <c r="VCV265" s="95"/>
      <c r="VCW265" s="95"/>
      <c r="VCX265" s="95"/>
      <c r="VCY265" s="95"/>
      <c r="VCZ265" s="95"/>
      <c r="VDA265" s="95"/>
      <c r="VDB265" s="95"/>
      <c r="VDC265" s="95"/>
      <c r="VDD265" s="95"/>
      <c r="VDE265" s="95"/>
      <c r="VDF265" s="95"/>
      <c r="VDG265" s="95"/>
      <c r="VDH265" s="95"/>
      <c r="VDI265" s="95"/>
      <c r="VDJ265" s="95"/>
      <c r="VDK265" s="95"/>
      <c r="VDL265" s="95"/>
      <c r="VDM265" s="95"/>
      <c r="VDN265" s="95"/>
      <c r="VDO265" s="95"/>
      <c r="VDP265" s="95"/>
      <c r="VDQ265" s="95"/>
      <c r="VDR265" s="95"/>
      <c r="VDS265" s="95"/>
      <c r="VDT265" s="95"/>
      <c r="VDU265" s="95"/>
      <c r="VDV265" s="95"/>
      <c r="VDW265" s="95"/>
      <c r="VDX265" s="95"/>
      <c r="VDY265" s="95"/>
      <c r="VDZ265" s="95"/>
      <c r="VEA265" s="95"/>
      <c r="VEB265" s="95"/>
      <c r="VEC265" s="95"/>
      <c r="VED265" s="95"/>
      <c r="VEE265" s="95"/>
      <c r="VEF265" s="95"/>
      <c r="VEG265" s="95"/>
      <c r="VEH265" s="95"/>
      <c r="VEI265" s="95"/>
      <c r="VEJ265" s="95"/>
      <c r="VEK265" s="95"/>
      <c r="VEL265" s="95"/>
      <c r="VEM265" s="95"/>
      <c r="VEN265" s="95"/>
      <c r="VEO265" s="95"/>
      <c r="VEP265" s="95"/>
      <c r="VEQ265" s="95"/>
      <c r="VER265" s="95"/>
      <c r="VES265" s="95"/>
      <c r="VET265" s="95"/>
      <c r="VEU265" s="95"/>
      <c r="VEV265" s="95"/>
      <c r="VEW265" s="95"/>
      <c r="VEX265" s="95"/>
      <c r="VEY265" s="95"/>
      <c r="VEZ265" s="95"/>
      <c r="VFA265" s="95"/>
      <c r="VFB265" s="95"/>
      <c r="VFC265" s="95"/>
      <c r="VFD265" s="95"/>
      <c r="VFE265" s="95"/>
      <c r="VFF265" s="95"/>
      <c r="VFG265" s="95"/>
      <c r="VFH265" s="95"/>
      <c r="VFI265" s="95"/>
      <c r="VFJ265" s="95"/>
      <c r="VFK265" s="95"/>
      <c r="VFL265" s="95"/>
      <c r="VFM265" s="95"/>
      <c r="VFN265" s="95"/>
      <c r="VFO265" s="95"/>
      <c r="VFP265" s="95"/>
      <c r="VFQ265" s="95"/>
      <c r="VFR265" s="95"/>
      <c r="VFS265" s="95"/>
      <c r="VFT265" s="95"/>
      <c r="VFU265" s="95"/>
      <c r="VFV265" s="95"/>
      <c r="VFW265" s="95"/>
      <c r="VFX265" s="95"/>
      <c r="VFY265" s="95"/>
      <c r="VFZ265" s="95"/>
      <c r="VGA265" s="95"/>
      <c r="VGB265" s="95"/>
      <c r="VGC265" s="95"/>
      <c r="VGD265" s="95"/>
      <c r="VGE265" s="95"/>
      <c r="VGF265" s="95"/>
      <c r="VGG265" s="95"/>
      <c r="VGH265" s="95"/>
      <c r="VGI265" s="95"/>
      <c r="VGJ265" s="95"/>
      <c r="VGK265" s="95"/>
      <c r="VGL265" s="95"/>
      <c r="VGM265" s="95"/>
      <c r="VGN265" s="95"/>
      <c r="VGO265" s="95"/>
      <c r="VGP265" s="95"/>
      <c r="VGQ265" s="95"/>
      <c r="VGR265" s="95"/>
      <c r="VGS265" s="95"/>
      <c r="VGT265" s="95"/>
      <c r="VGU265" s="95"/>
      <c r="VGV265" s="95"/>
      <c r="VGW265" s="95"/>
      <c r="VGX265" s="95"/>
      <c r="VGY265" s="95"/>
      <c r="VGZ265" s="95"/>
      <c r="VHA265" s="95"/>
      <c r="VHB265" s="95"/>
      <c r="VHC265" s="95"/>
      <c r="VHD265" s="95"/>
      <c r="VHE265" s="95"/>
      <c r="VHF265" s="95"/>
      <c r="VHG265" s="95"/>
      <c r="VHH265" s="95"/>
      <c r="VHI265" s="95"/>
      <c r="VHJ265" s="95"/>
      <c r="VHK265" s="95"/>
      <c r="VHL265" s="95"/>
      <c r="VHM265" s="95"/>
      <c r="VHN265" s="95"/>
      <c r="VHO265" s="95"/>
      <c r="VHP265" s="95"/>
      <c r="VHQ265" s="95"/>
      <c r="VHR265" s="95"/>
      <c r="VHS265" s="95"/>
      <c r="VHT265" s="95"/>
      <c r="VHU265" s="95"/>
      <c r="VHV265" s="95"/>
      <c r="VHW265" s="95"/>
      <c r="VHX265" s="95"/>
      <c r="VHY265" s="95"/>
      <c r="VHZ265" s="95"/>
      <c r="VIA265" s="95"/>
      <c r="VIB265" s="95"/>
      <c r="VIC265" s="95"/>
      <c r="VID265" s="95"/>
      <c r="VIE265" s="95"/>
      <c r="VIF265" s="95"/>
      <c r="VIG265" s="95"/>
      <c r="VIH265" s="95"/>
      <c r="VII265" s="95"/>
      <c r="VIJ265" s="95"/>
      <c r="VIK265" s="95"/>
      <c r="VIL265" s="95"/>
      <c r="VIM265" s="95"/>
      <c r="VIN265" s="95"/>
      <c r="VIO265" s="95"/>
      <c r="VIP265" s="95"/>
      <c r="VIQ265" s="95"/>
      <c r="VIR265" s="95"/>
      <c r="VIS265" s="95"/>
      <c r="VIT265" s="95"/>
      <c r="VIU265" s="95"/>
      <c r="VIV265" s="95"/>
      <c r="VIW265" s="95"/>
      <c r="VIX265" s="95"/>
      <c r="VIY265" s="95"/>
      <c r="VIZ265" s="95"/>
      <c r="VJA265" s="95"/>
      <c r="VJB265" s="95"/>
      <c r="VJC265" s="95"/>
      <c r="VJD265" s="95"/>
      <c r="VJE265" s="95"/>
      <c r="VJF265" s="95"/>
      <c r="VJG265" s="95"/>
      <c r="VJH265" s="95"/>
      <c r="VJI265" s="95"/>
      <c r="VJJ265" s="95"/>
      <c r="VJK265" s="95"/>
      <c r="VJL265" s="95"/>
      <c r="VJM265" s="95"/>
      <c r="VJN265" s="95"/>
      <c r="VJO265" s="95"/>
      <c r="VJP265" s="95"/>
      <c r="VJQ265" s="95"/>
      <c r="VJR265" s="95"/>
      <c r="VJS265" s="95"/>
      <c r="VJT265" s="95"/>
      <c r="VJU265" s="95"/>
      <c r="VJV265" s="95"/>
      <c r="VJW265" s="95"/>
      <c r="VJX265" s="95"/>
      <c r="VJY265" s="95"/>
      <c r="VJZ265" s="95"/>
      <c r="VKA265" s="95"/>
      <c r="VKB265" s="95"/>
      <c r="VKC265" s="95"/>
      <c r="VKD265" s="95"/>
      <c r="VKE265" s="95"/>
      <c r="VKF265" s="95"/>
      <c r="VKG265" s="95"/>
      <c r="VKH265" s="95"/>
      <c r="VKI265" s="95"/>
      <c r="VKJ265" s="95"/>
      <c r="VKK265" s="95"/>
      <c r="VKL265" s="95"/>
      <c r="VKM265" s="95"/>
      <c r="VKN265" s="95"/>
      <c r="VKO265" s="95"/>
      <c r="VKP265" s="95"/>
      <c r="VKQ265" s="95"/>
      <c r="VKR265" s="95"/>
      <c r="VKS265" s="95"/>
      <c r="VKT265" s="95"/>
      <c r="VKU265" s="95"/>
      <c r="VKV265" s="95"/>
      <c r="VKW265" s="95"/>
      <c r="VKX265" s="95"/>
      <c r="VKY265" s="95"/>
      <c r="VKZ265" s="95"/>
      <c r="VLA265" s="95"/>
      <c r="VLB265" s="95"/>
      <c r="VLC265" s="95"/>
      <c r="VLD265" s="95"/>
      <c r="VLE265" s="95"/>
      <c r="VLF265" s="95"/>
      <c r="VLG265" s="95"/>
      <c r="VLH265" s="95"/>
      <c r="VLI265" s="95"/>
      <c r="VLJ265" s="95"/>
      <c r="VLK265" s="95"/>
      <c r="VLL265" s="95"/>
      <c r="VLM265" s="95"/>
      <c r="VLN265" s="95"/>
      <c r="VLO265" s="95"/>
      <c r="VLP265" s="95"/>
      <c r="VLQ265" s="95"/>
      <c r="VLR265" s="95"/>
      <c r="VLS265" s="95"/>
      <c r="VLT265" s="95"/>
      <c r="VLU265" s="95"/>
      <c r="VLV265" s="95"/>
      <c r="VLW265" s="95"/>
      <c r="VLX265" s="95"/>
      <c r="VLY265" s="95"/>
      <c r="VLZ265" s="95"/>
      <c r="VMA265" s="95"/>
      <c r="VMB265" s="95"/>
      <c r="VMC265" s="95"/>
      <c r="VMD265" s="95"/>
      <c r="VME265" s="95"/>
      <c r="VMF265" s="95"/>
      <c r="VMG265" s="95"/>
      <c r="VMH265" s="95"/>
      <c r="VMI265" s="95"/>
      <c r="VMJ265" s="95"/>
      <c r="VMK265" s="95"/>
      <c r="VML265" s="95"/>
      <c r="VMM265" s="95"/>
      <c r="VMN265" s="95"/>
      <c r="VMO265" s="95"/>
      <c r="VMP265" s="95"/>
      <c r="VMQ265" s="95"/>
      <c r="VMR265" s="95"/>
      <c r="VMS265" s="95"/>
      <c r="VMT265" s="95"/>
      <c r="VMU265" s="95"/>
      <c r="VMV265" s="95"/>
      <c r="VMW265" s="95"/>
      <c r="VMX265" s="95"/>
      <c r="VMY265" s="95"/>
      <c r="VMZ265" s="95"/>
      <c r="VNA265" s="95"/>
      <c r="VNB265" s="95"/>
      <c r="VNC265" s="95"/>
      <c r="VND265" s="95"/>
      <c r="VNE265" s="95"/>
      <c r="VNF265" s="95"/>
      <c r="VNG265" s="95"/>
      <c r="VNH265" s="95"/>
      <c r="VNI265" s="95"/>
      <c r="VNJ265" s="95"/>
      <c r="VNK265" s="95"/>
      <c r="VNL265" s="95"/>
      <c r="VNM265" s="95"/>
      <c r="VNN265" s="95"/>
      <c r="VNO265" s="95"/>
      <c r="VNP265" s="95"/>
      <c r="VNQ265" s="95"/>
      <c r="VNR265" s="95"/>
      <c r="VNS265" s="95"/>
      <c r="VNT265" s="95"/>
      <c r="VNU265" s="95"/>
      <c r="VNV265" s="95"/>
      <c r="VNW265" s="95"/>
      <c r="VNX265" s="95"/>
      <c r="VNY265" s="95"/>
      <c r="VNZ265" s="95"/>
      <c r="VOA265" s="95"/>
      <c r="VOB265" s="95"/>
      <c r="VOC265" s="95"/>
      <c r="VOD265" s="95"/>
      <c r="VOE265" s="95"/>
      <c r="VOF265" s="95"/>
      <c r="VOG265" s="95"/>
      <c r="VOH265" s="95"/>
      <c r="VOI265" s="95"/>
      <c r="VOJ265" s="95"/>
      <c r="VOK265" s="95"/>
      <c r="VOL265" s="95"/>
      <c r="VOM265" s="95"/>
      <c r="VON265" s="95"/>
      <c r="VOO265" s="95"/>
      <c r="VOP265" s="95"/>
      <c r="VOQ265" s="95"/>
      <c r="VOR265" s="95"/>
      <c r="VOS265" s="95"/>
      <c r="VOT265" s="95"/>
      <c r="VOU265" s="95"/>
      <c r="VOV265" s="95"/>
      <c r="VOW265" s="95"/>
      <c r="VOX265" s="95"/>
      <c r="VOY265" s="95"/>
      <c r="VOZ265" s="95"/>
      <c r="VPA265" s="95"/>
      <c r="VPB265" s="95"/>
      <c r="VPC265" s="95"/>
      <c r="VPD265" s="95"/>
      <c r="VPE265" s="95"/>
      <c r="VPF265" s="95"/>
      <c r="VPG265" s="95"/>
      <c r="VPH265" s="95"/>
      <c r="VPI265" s="95"/>
      <c r="VPJ265" s="95"/>
      <c r="VPK265" s="95"/>
      <c r="VPL265" s="95"/>
      <c r="VPM265" s="95"/>
      <c r="VPN265" s="95"/>
      <c r="VPO265" s="95"/>
      <c r="VPP265" s="95"/>
      <c r="VPQ265" s="95"/>
      <c r="VPR265" s="95"/>
      <c r="VPS265" s="95"/>
      <c r="VPT265" s="95"/>
      <c r="VPU265" s="95"/>
      <c r="VPV265" s="95"/>
      <c r="VPW265" s="95"/>
      <c r="VPX265" s="95"/>
      <c r="VPY265" s="95"/>
      <c r="VPZ265" s="95"/>
      <c r="VQA265" s="95"/>
      <c r="VQB265" s="95"/>
      <c r="VQC265" s="95"/>
      <c r="VQD265" s="95"/>
      <c r="VQE265" s="95"/>
      <c r="VQF265" s="95"/>
      <c r="VQG265" s="95"/>
      <c r="VQH265" s="95"/>
      <c r="VQI265" s="95"/>
      <c r="VQJ265" s="95"/>
      <c r="VQK265" s="95"/>
      <c r="VQL265" s="95"/>
      <c r="VQM265" s="95"/>
      <c r="VQN265" s="95"/>
      <c r="VQO265" s="95"/>
      <c r="VQP265" s="95"/>
      <c r="VQQ265" s="95"/>
      <c r="VQR265" s="95"/>
      <c r="VQS265" s="95"/>
      <c r="VQT265" s="95"/>
      <c r="VQU265" s="95"/>
      <c r="VQV265" s="95"/>
      <c r="VQW265" s="95"/>
      <c r="VQX265" s="95"/>
      <c r="VQY265" s="95"/>
      <c r="VQZ265" s="95"/>
      <c r="VRA265" s="95"/>
      <c r="VRB265" s="95"/>
      <c r="VRC265" s="95"/>
      <c r="VRD265" s="95"/>
      <c r="VRE265" s="95"/>
      <c r="VRF265" s="95"/>
      <c r="VRG265" s="95"/>
      <c r="VRH265" s="95"/>
      <c r="VRI265" s="95"/>
      <c r="VRJ265" s="95"/>
      <c r="VRK265" s="95"/>
      <c r="VRL265" s="95"/>
      <c r="VRM265" s="95"/>
      <c r="VRN265" s="95"/>
      <c r="VRO265" s="95"/>
      <c r="VRP265" s="95"/>
      <c r="VRQ265" s="95"/>
      <c r="VRR265" s="95"/>
      <c r="VRS265" s="95"/>
      <c r="VRT265" s="95"/>
      <c r="VRU265" s="95"/>
      <c r="VRV265" s="95"/>
      <c r="VRW265" s="95"/>
      <c r="VRX265" s="95"/>
      <c r="VRY265" s="95"/>
      <c r="VRZ265" s="95"/>
      <c r="VSA265" s="95"/>
      <c r="VSB265" s="95"/>
      <c r="VSC265" s="95"/>
      <c r="VSD265" s="95"/>
      <c r="VSE265" s="95"/>
      <c r="VSF265" s="95"/>
      <c r="VSG265" s="95"/>
      <c r="VSH265" s="95"/>
      <c r="VSI265" s="95"/>
      <c r="VSJ265" s="95"/>
      <c r="VSK265" s="95"/>
      <c r="VSL265" s="95"/>
      <c r="VSM265" s="95"/>
      <c r="VSN265" s="95"/>
      <c r="VSO265" s="95"/>
      <c r="VSP265" s="95"/>
      <c r="VSQ265" s="95"/>
      <c r="VSR265" s="95"/>
      <c r="VSS265" s="95"/>
      <c r="VST265" s="95"/>
      <c r="VSU265" s="95"/>
      <c r="VSV265" s="95"/>
      <c r="VSW265" s="95"/>
      <c r="VSX265" s="95"/>
      <c r="VSY265" s="95"/>
      <c r="VSZ265" s="95"/>
      <c r="VTA265" s="95"/>
      <c r="VTB265" s="95"/>
      <c r="VTC265" s="95"/>
      <c r="VTD265" s="95"/>
      <c r="VTE265" s="95"/>
      <c r="VTF265" s="95"/>
      <c r="VTG265" s="95"/>
      <c r="VTH265" s="95"/>
      <c r="VTI265" s="95"/>
      <c r="VTJ265" s="95"/>
      <c r="VTK265" s="95"/>
      <c r="VTL265" s="95"/>
      <c r="VTM265" s="95"/>
      <c r="VTN265" s="95"/>
      <c r="VTO265" s="95"/>
      <c r="VTP265" s="95"/>
      <c r="VTQ265" s="95"/>
      <c r="VTR265" s="95"/>
      <c r="VTS265" s="95"/>
      <c r="VTT265" s="95"/>
      <c r="VTU265" s="95"/>
      <c r="VTV265" s="95"/>
      <c r="VTW265" s="95"/>
      <c r="VTX265" s="95"/>
      <c r="VTY265" s="95"/>
      <c r="VTZ265" s="95"/>
      <c r="VUA265" s="95"/>
      <c r="VUB265" s="95"/>
      <c r="VUC265" s="95"/>
      <c r="VUD265" s="95"/>
      <c r="VUE265" s="95"/>
      <c r="VUF265" s="95"/>
      <c r="VUG265" s="95"/>
      <c r="VUH265" s="95"/>
      <c r="VUI265" s="95"/>
      <c r="VUJ265" s="95"/>
      <c r="VUK265" s="95"/>
      <c r="VUL265" s="95"/>
      <c r="VUM265" s="95"/>
      <c r="VUN265" s="95"/>
      <c r="VUO265" s="95"/>
      <c r="VUP265" s="95"/>
      <c r="VUQ265" s="95"/>
      <c r="VUR265" s="95"/>
      <c r="VUS265" s="95"/>
      <c r="VUT265" s="95"/>
      <c r="VUU265" s="95"/>
      <c r="VUV265" s="95"/>
      <c r="VUW265" s="95"/>
      <c r="VUX265" s="95"/>
      <c r="VUY265" s="95"/>
      <c r="VUZ265" s="95"/>
      <c r="VVA265" s="95"/>
      <c r="VVB265" s="95"/>
      <c r="VVC265" s="95"/>
      <c r="VVD265" s="95"/>
      <c r="VVE265" s="95"/>
      <c r="VVF265" s="95"/>
      <c r="VVG265" s="95"/>
      <c r="VVH265" s="95"/>
      <c r="VVI265" s="95"/>
      <c r="VVJ265" s="95"/>
      <c r="VVK265" s="95"/>
      <c r="VVL265" s="95"/>
      <c r="VVM265" s="95"/>
      <c r="VVN265" s="95"/>
      <c r="VVO265" s="95"/>
      <c r="VVP265" s="95"/>
      <c r="VVQ265" s="95"/>
      <c r="VVR265" s="95"/>
      <c r="VVS265" s="95"/>
      <c r="VVT265" s="95"/>
      <c r="VVU265" s="95"/>
      <c r="VVV265" s="95"/>
      <c r="VVW265" s="95"/>
      <c r="VVX265" s="95"/>
      <c r="VVY265" s="95"/>
      <c r="VVZ265" s="95"/>
      <c r="VWA265" s="95"/>
      <c r="VWB265" s="95"/>
      <c r="VWC265" s="95"/>
      <c r="VWD265" s="95"/>
      <c r="VWE265" s="95"/>
      <c r="VWF265" s="95"/>
      <c r="VWG265" s="95"/>
      <c r="VWH265" s="95"/>
      <c r="VWI265" s="95"/>
      <c r="VWJ265" s="95"/>
      <c r="VWK265" s="95"/>
      <c r="VWL265" s="95"/>
      <c r="VWM265" s="95"/>
      <c r="VWN265" s="95"/>
      <c r="VWO265" s="95"/>
      <c r="VWP265" s="95"/>
      <c r="VWQ265" s="95"/>
      <c r="VWR265" s="95"/>
      <c r="VWS265" s="95"/>
      <c r="VWT265" s="95"/>
      <c r="VWU265" s="95"/>
      <c r="VWV265" s="95"/>
      <c r="VWW265" s="95"/>
      <c r="VWX265" s="95"/>
      <c r="VWY265" s="95"/>
      <c r="VWZ265" s="95"/>
      <c r="VXA265" s="95"/>
      <c r="VXB265" s="95"/>
      <c r="VXC265" s="95"/>
      <c r="VXD265" s="95"/>
      <c r="VXE265" s="95"/>
      <c r="VXF265" s="95"/>
      <c r="VXG265" s="95"/>
      <c r="VXH265" s="95"/>
      <c r="VXI265" s="95"/>
      <c r="VXJ265" s="95"/>
      <c r="VXK265" s="95"/>
      <c r="VXL265" s="95"/>
      <c r="VXM265" s="95"/>
      <c r="VXN265" s="95"/>
      <c r="VXO265" s="95"/>
      <c r="VXP265" s="95"/>
      <c r="VXQ265" s="95"/>
      <c r="VXR265" s="95"/>
      <c r="VXS265" s="95"/>
      <c r="VXT265" s="95"/>
      <c r="VXU265" s="95"/>
      <c r="VXV265" s="95"/>
      <c r="VXW265" s="95"/>
      <c r="VXX265" s="95"/>
      <c r="VXY265" s="95"/>
      <c r="VXZ265" s="95"/>
      <c r="VYA265" s="95"/>
      <c r="VYB265" s="95"/>
      <c r="VYC265" s="95"/>
      <c r="VYD265" s="95"/>
      <c r="VYE265" s="95"/>
      <c r="VYF265" s="95"/>
      <c r="VYG265" s="95"/>
      <c r="VYH265" s="95"/>
      <c r="VYI265" s="95"/>
      <c r="VYJ265" s="95"/>
      <c r="VYK265" s="95"/>
      <c r="VYL265" s="95"/>
      <c r="VYM265" s="95"/>
      <c r="VYN265" s="95"/>
      <c r="VYO265" s="95"/>
      <c r="VYP265" s="95"/>
      <c r="VYQ265" s="95"/>
      <c r="VYR265" s="95"/>
      <c r="VYS265" s="95"/>
      <c r="VYT265" s="95"/>
      <c r="VYU265" s="95"/>
      <c r="VYV265" s="95"/>
      <c r="VYW265" s="95"/>
      <c r="VYX265" s="95"/>
      <c r="VYY265" s="95"/>
      <c r="VYZ265" s="95"/>
      <c r="VZA265" s="95"/>
      <c r="VZB265" s="95"/>
      <c r="VZC265" s="95"/>
      <c r="VZD265" s="95"/>
      <c r="VZE265" s="95"/>
      <c r="VZF265" s="95"/>
      <c r="VZG265" s="95"/>
      <c r="VZH265" s="95"/>
      <c r="VZI265" s="95"/>
      <c r="VZJ265" s="95"/>
      <c r="VZK265" s="95"/>
      <c r="VZL265" s="95"/>
      <c r="VZM265" s="95"/>
      <c r="VZN265" s="95"/>
      <c r="VZO265" s="95"/>
      <c r="VZP265" s="95"/>
      <c r="VZQ265" s="95"/>
      <c r="VZR265" s="95"/>
      <c r="VZS265" s="95"/>
      <c r="VZT265" s="95"/>
      <c r="VZU265" s="95"/>
      <c r="VZV265" s="95"/>
      <c r="VZW265" s="95"/>
      <c r="VZX265" s="95"/>
      <c r="VZY265" s="95"/>
      <c r="VZZ265" s="95"/>
      <c r="WAA265" s="95"/>
      <c r="WAB265" s="95"/>
      <c r="WAC265" s="95"/>
      <c r="WAD265" s="95"/>
      <c r="WAE265" s="95"/>
      <c r="WAF265" s="95"/>
      <c r="WAG265" s="95"/>
      <c r="WAH265" s="95"/>
      <c r="WAI265" s="95"/>
      <c r="WAJ265" s="95"/>
      <c r="WAK265" s="95"/>
      <c r="WAL265" s="95"/>
      <c r="WAM265" s="95"/>
      <c r="WAN265" s="95"/>
      <c r="WAO265" s="95"/>
      <c r="WAP265" s="95"/>
      <c r="WAQ265" s="95"/>
      <c r="WAR265" s="95"/>
      <c r="WAS265" s="95"/>
      <c r="WAT265" s="95"/>
      <c r="WAU265" s="95"/>
      <c r="WAV265" s="95"/>
      <c r="WAW265" s="95"/>
      <c r="WAX265" s="95"/>
      <c r="WAY265" s="95"/>
      <c r="WAZ265" s="95"/>
      <c r="WBA265" s="95"/>
      <c r="WBB265" s="95"/>
      <c r="WBC265" s="95"/>
      <c r="WBD265" s="95"/>
      <c r="WBE265" s="95"/>
      <c r="WBF265" s="95"/>
      <c r="WBG265" s="95"/>
      <c r="WBH265" s="95"/>
      <c r="WBI265" s="95"/>
      <c r="WBJ265" s="95"/>
      <c r="WBK265" s="95"/>
      <c r="WBL265" s="95"/>
      <c r="WBM265" s="95"/>
      <c r="WBN265" s="95"/>
      <c r="WBO265" s="95"/>
      <c r="WBP265" s="95"/>
      <c r="WBQ265" s="95"/>
      <c r="WBR265" s="95"/>
      <c r="WBS265" s="95"/>
      <c r="WBT265" s="95"/>
      <c r="WBU265" s="95"/>
      <c r="WBV265" s="95"/>
      <c r="WBW265" s="95"/>
      <c r="WBX265" s="95"/>
      <c r="WBY265" s="95"/>
      <c r="WBZ265" s="95"/>
      <c r="WCA265" s="95"/>
      <c r="WCB265" s="95"/>
      <c r="WCC265" s="95"/>
      <c r="WCD265" s="95"/>
      <c r="WCE265" s="95"/>
      <c r="WCF265" s="95"/>
      <c r="WCG265" s="95"/>
      <c r="WCH265" s="95"/>
      <c r="WCI265" s="95"/>
      <c r="WCJ265" s="95"/>
      <c r="WCK265" s="95"/>
      <c r="WCL265" s="95"/>
      <c r="WCM265" s="95"/>
      <c r="WCN265" s="95"/>
      <c r="WCO265" s="95"/>
      <c r="WCP265" s="95"/>
      <c r="WCQ265" s="95"/>
      <c r="WCR265" s="95"/>
      <c r="WCS265" s="95"/>
      <c r="WCT265" s="95"/>
      <c r="WCU265" s="95"/>
      <c r="WCV265" s="95"/>
      <c r="WCW265" s="95"/>
      <c r="WCX265" s="95"/>
      <c r="WCY265" s="95"/>
      <c r="WCZ265" s="95"/>
      <c r="WDA265" s="95"/>
      <c r="WDB265" s="95"/>
      <c r="WDC265" s="95"/>
      <c r="WDD265" s="95"/>
      <c r="WDE265" s="95"/>
      <c r="WDF265" s="95"/>
      <c r="WDG265" s="95"/>
      <c r="WDH265" s="95"/>
      <c r="WDI265" s="95"/>
      <c r="WDJ265" s="95"/>
      <c r="WDK265" s="95"/>
      <c r="WDL265" s="95"/>
      <c r="WDM265" s="95"/>
      <c r="WDN265" s="95"/>
      <c r="WDO265" s="95"/>
      <c r="WDP265" s="95"/>
      <c r="WDQ265" s="95"/>
      <c r="WDR265" s="95"/>
      <c r="WDS265" s="95"/>
      <c r="WDT265" s="95"/>
      <c r="WDU265" s="95"/>
      <c r="WDV265" s="95"/>
      <c r="WDW265" s="95"/>
      <c r="WDX265" s="95"/>
      <c r="WDY265" s="95"/>
      <c r="WDZ265" s="95"/>
      <c r="WEA265" s="95"/>
      <c r="WEB265" s="95"/>
      <c r="WEC265" s="95"/>
      <c r="WED265" s="95"/>
      <c r="WEE265" s="95"/>
      <c r="WEF265" s="95"/>
      <c r="WEG265" s="95"/>
      <c r="WEH265" s="95"/>
      <c r="WEI265" s="95"/>
      <c r="WEJ265" s="95"/>
      <c r="WEK265" s="95"/>
      <c r="WEL265" s="95"/>
      <c r="WEM265" s="95"/>
      <c r="WEN265" s="95"/>
      <c r="WEO265" s="95"/>
      <c r="WEP265" s="95"/>
      <c r="WEQ265" s="95"/>
      <c r="WER265" s="95"/>
      <c r="WES265" s="95"/>
      <c r="WET265" s="95"/>
      <c r="WEU265" s="95"/>
      <c r="WEV265" s="95"/>
      <c r="WEW265" s="95"/>
      <c r="WEX265" s="95"/>
      <c r="WEY265" s="95"/>
      <c r="WEZ265" s="95"/>
      <c r="WFA265" s="95"/>
      <c r="WFB265" s="95"/>
      <c r="WFC265" s="95"/>
      <c r="WFD265" s="95"/>
      <c r="WFE265" s="95"/>
      <c r="WFF265" s="95"/>
      <c r="WFG265" s="95"/>
      <c r="WFH265" s="95"/>
      <c r="WFI265" s="95"/>
      <c r="WFJ265" s="95"/>
      <c r="WFK265" s="95"/>
      <c r="WFL265" s="95"/>
      <c r="WFM265" s="95"/>
      <c r="WFN265" s="95"/>
      <c r="WFO265" s="95"/>
      <c r="WFP265" s="95"/>
      <c r="WFQ265" s="95"/>
      <c r="WFR265" s="95"/>
      <c r="WFS265" s="95"/>
      <c r="WFT265" s="95"/>
      <c r="WFU265" s="95"/>
      <c r="WFV265" s="95"/>
      <c r="WFW265" s="95"/>
      <c r="WFX265" s="95"/>
      <c r="WFY265" s="95"/>
      <c r="WFZ265" s="95"/>
      <c r="WGA265" s="95"/>
      <c r="WGB265" s="95"/>
      <c r="WGC265" s="95"/>
      <c r="WGD265" s="95"/>
      <c r="WGE265" s="95"/>
      <c r="WGF265" s="95"/>
      <c r="WGG265" s="95"/>
      <c r="WGH265" s="95"/>
      <c r="WGI265" s="95"/>
      <c r="WGJ265" s="95"/>
      <c r="WGK265" s="95"/>
      <c r="WGL265" s="95"/>
      <c r="WGM265" s="95"/>
      <c r="WGN265" s="95"/>
      <c r="WGO265" s="95"/>
      <c r="WGP265" s="95"/>
      <c r="WGQ265" s="95"/>
      <c r="WGR265" s="95"/>
      <c r="WGS265" s="95"/>
      <c r="WGT265" s="95"/>
      <c r="WGU265" s="95"/>
      <c r="WGV265" s="95"/>
      <c r="WGW265" s="95"/>
      <c r="WGX265" s="95"/>
      <c r="WGY265" s="95"/>
      <c r="WGZ265" s="95"/>
      <c r="WHA265" s="95"/>
      <c r="WHB265" s="95"/>
      <c r="WHC265" s="95"/>
      <c r="WHD265" s="95"/>
      <c r="WHE265" s="95"/>
      <c r="WHF265" s="95"/>
      <c r="WHG265" s="95"/>
      <c r="WHH265" s="95"/>
      <c r="WHI265" s="95"/>
      <c r="WHJ265" s="95"/>
      <c r="WHK265" s="95"/>
      <c r="WHL265" s="95"/>
      <c r="WHM265" s="95"/>
      <c r="WHN265" s="95"/>
      <c r="WHO265" s="95"/>
      <c r="WHP265" s="95"/>
      <c r="WHQ265" s="95"/>
      <c r="WHR265" s="95"/>
      <c r="WHS265" s="95"/>
      <c r="WHT265" s="95"/>
      <c r="WHU265" s="95"/>
      <c r="WHV265" s="95"/>
      <c r="WHW265" s="95"/>
      <c r="WHX265" s="95"/>
      <c r="WHY265" s="95"/>
      <c r="WHZ265" s="95"/>
      <c r="WIA265" s="95"/>
      <c r="WIB265" s="95"/>
      <c r="WIC265" s="95"/>
      <c r="WID265" s="95"/>
      <c r="WIE265" s="95"/>
      <c r="WIF265" s="95"/>
      <c r="WIG265" s="95"/>
      <c r="WIH265" s="95"/>
      <c r="WII265" s="95"/>
      <c r="WIJ265" s="95"/>
      <c r="WIK265" s="95"/>
      <c r="WIL265" s="95"/>
      <c r="WIM265" s="95"/>
      <c r="WIN265" s="95"/>
      <c r="WIO265" s="95"/>
      <c r="WIP265" s="95"/>
      <c r="WIQ265" s="95"/>
      <c r="WIR265" s="95"/>
      <c r="WIS265" s="95"/>
      <c r="WIT265" s="95"/>
      <c r="WIU265" s="95"/>
      <c r="WIV265" s="95"/>
      <c r="WIW265" s="95"/>
      <c r="WIX265" s="95"/>
      <c r="WIY265" s="95"/>
      <c r="WIZ265" s="95"/>
      <c r="WJA265" s="95"/>
      <c r="WJB265" s="95"/>
      <c r="WJC265" s="95"/>
      <c r="WJD265" s="95"/>
      <c r="WJE265" s="95"/>
      <c r="WJF265" s="95"/>
      <c r="WJG265" s="95"/>
      <c r="WJH265" s="95"/>
      <c r="WJI265" s="95"/>
      <c r="WJJ265" s="95"/>
      <c r="WJK265" s="95"/>
      <c r="WJL265" s="95"/>
      <c r="WJM265" s="95"/>
      <c r="WJN265" s="95"/>
      <c r="WJO265" s="95"/>
      <c r="WJP265" s="95"/>
      <c r="WJQ265" s="95"/>
      <c r="WJR265" s="95"/>
      <c r="WJS265" s="95"/>
      <c r="WJT265" s="95"/>
      <c r="WJU265" s="95"/>
      <c r="WJV265" s="95"/>
      <c r="WJW265" s="95"/>
      <c r="WJX265" s="95"/>
      <c r="WJY265" s="95"/>
      <c r="WJZ265" s="95"/>
      <c r="WKA265" s="95"/>
      <c r="WKB265" s="95"/>
      <c r="WKC265" s="95"/>
      <c r="WKD265" s="95"/>
      <c r="WKE265" s="95"/>
      <c r="WKF265" s="95"/>
      <c r="WKG265" s="95"/>
      <c r="WKH265" s="95"/>
      <c r="WKI265" s="95"/>
      <c r="WKJ265" s="95"/>
      <c r="WKK265" s="95"/>
      <c r="WKL265" s="95"/>
      <c r="WKM265" s="95"/>
      <c r="WKN265" s="95"/>
      <c r="WKO265" s="95"/>
      <c r="WKP265" s="95"/>
      <c r="WKQ265" s="95"/>
      <c r="WKR265" s="95"/>
      <c r="WKS265" s="95"/>
      <c r="WKT265" s="95"/>
      <c r="WKU265" s="95"/>
      <c r="WKV265" s="95"/>
      <c r="WKW265" s="95"/>
      <c r="WKX265" s="95"/>
      <c r="WKY265" s="95"/>
      <c r="WKZ265" s="95"/>
      <c r="WLA265" s="95"/>
      <c r="WLB265" s="95"/>
      <c r="WLC265" s="95"/>
      <c r="WLD265" s="95"/>
      <c r="WLE265" s="95"/>
      <c r="WLF265" s="95"/>
      <c r="WLG265" s="95"/>
      <c r="WLH265" s="95"/>
      <c r="WLI265" s="95"/>
      <c r="WLJ265" s="95"/>
      <c r="WLK265" s="95"/>
      <c r="WLL265" s="95"/>
      <c r="WLM265" s="95"/>
      <c r="WLN265" s="95"/>
      <c r="WLO265" s="95"/>
      <c r="WLP265" s="95"/>
      <c r="WLQ265" s="95"/>
      <c r="WLR265" s="95"/>
      <c r="WLS265" s="95"/>
      <c r="WLT265" s="95"/>
      <c r="WLU265" s="95"/>
      <c r="WLV265" s="95"/>
      <c r="WLW265" s="95"/>
      <c r="WLX265" s="95"/>
      <c r="WLY265" s="95"/>
      <c r="WLZ265" s="95"/>
      <c r="WMA265" s="95"/>
      <c r="WMB265" s="95"/>
      <c r="WMC265" s="95"/>
      <c r="WMD265" s="95"/>
      <c r="WME265" s="95"/>
      <c r="WMF265" s="95"/>
      <c r="WMG265" s="95"/>
      <c r="WMH265" s="95"/>
      <c r="WMI265" s="95"/>
      <c r="WMJ265" s="95"/>
      <c r="WMK265" s="95"/>
      <c r="WML265" s="95"/>
      <c r="WMM265" s="95"/>
      <c r="WMN265" s="95"/>
      <c r="WMO265" s="95"/>
      <c r="WMP265" s="95"/>
      <c r="WMQ265" s="95"/>
      <c r="WMR265" s="95"/>
      <c r="WMS265" s="95"/>
      <c r="WMT265" s="95"/>
      <c r="WMU265" s="95"/>
      <c r="WMV265" s="95"/>
      <c r="WMW265" s="95"/>
      <c r="WMX265" s="95"/>
      <c r="WMY265" s="95"/>
      <c r="WMZ265" s="95"/>
      <c r="WNA265" s="95"/>
      <c r="WNB265" s="95"/>
      <c r="WNC265" s="95"/>
      <c r="WND265" s="95"/>
      <c r="WNE265" s="95"/>
      <c r="WNF265" s="95"/>
      <c r="WNG265" s="95"/>
      <c r="WNH265" s="95"/>
      <c r="WNI265" s="95"/>
      <c r="WNJ265" s="95"/>
      <c r="WNK265" s="95"/>
      <c r="WNL265" s="95"/>
      <c r="WNM265" s="95"/>
      <c r="WNN265" s="95"/>
      <c r="WNO265" s="95"/>
      <c r="WNP265" s="95"/>
      <c r="WNQ265" s="95"/>
      <c r="WNR265" s="95"/>
      <c r="WNS265" s="95"/>
      <c r="WNT265" s="95"/>
      <c r="WNU265" s="95"/>
      <c r="WNV265" s="95"/>
      <c r="WNW265" s="95"/>
      <c r="WNX265" s="95"/>
      <c r="WNY265" s="95"/>
      <c r="WNZ265" s="95"/>
      <c r="WOA265" s="95"/>
      <c r="WOB265" s="95"/>
      <c r="WOC265" s="95"/>
      <c r="WOD265" s="95"/>
      <c r="WOE265" s="95"/>
      <c r="WOF265" s="95"/>
      <c r="WOG265" s="95"/>
      <c r="WOH265" s="95"/>
      <c r="WOI265" s="95"/>
      <c r="WOJ265" s="95"/>
      <c r="WOK265" s="95"/>
      <c r="WOL265" s="95"/>
      <c r="WOM265" s="95"/>
      <c r="WON265" s="95"/>
      <c r="WOO265" s="95"/>
      <c r="WOP265" s="95"/>
      <c r="WOQ265" s="95"/>
      <c r="WOR265" s="95"/>
      <c r="WOS265" s="95"/>
      <c r="WOT265" s="95"/>
      <c r="WOU265" s="95"/>
      <c r="WOV265" s="95"/>
      <c r="WOW265" s="95"/>
      <c r="WOX265" s="95"/>
      <c r="WOY265" s="95"/>
      <c r="WOZ265" s="95"/>
      <c r="WPA265" s="95"/>
      <c r="WPB265" s="95"/>
      <c r="WPC265" s="95"/>
      <c r="WPD265" s="95"/>
      <c r="WPE265" s="95"/>
      <c r="WPF265" s="95"/>
      <c r="WPG265" s="95"/>
      <c r="WPH265" s="95"/>
      <c r="WPI265" s="95"/>
      <c r="WPJ265" s="95"/>
      <c r="WPK265" s="95"/>
      <c r="WPL265" s="95"/>
      <c r="WPM265" s="95"/>
      <c r="WPN265" s="95"/>
      <c r="WPO265" s="95"/>
      <c r="WPP265" s="95"/>
      <c r="WPQ265" s="95"/>
      <c r="WPR265" s="95"/>
      <c r="WPS265" s="95"/>
      <c r="WPT265" s="95"/>
      <c r="WPU265" s="95"/>
      <c r="WPV265" s="95"/>
      <c r="WPW265" s="95"/>
      <c r="WPX265" s="95"/>
      <c r="WPY265" s="95"/>
      <c r="WPZ265" s="95"/>
      <c r="WQA265" s="95"/>
      <c r="WQB265" s="95"/>
      <c r="WQC265" s="95"/>
      <c r="WQD265" s="95"/>
      <c r="WQE265" s="95"/>
      <c r="WQF265" s="95"/>
      <c r="WQG265" s="95"/>
      <c r="WQH265" s="95"/>
      <c r="WQI265" s="95"/>
      <c r="WQJ265" s="95"/>
      <c r="WQK265" s="95"/>
      <c r="WQL265" s="95"/>
      <c r="WQM265" s="95"/>
      <c r="WQN265" s="95"/>
      <c r="WQO265" s="95"/>
      <c r="WQP265" s="95"/>
      <c r="WQQ265" s="95"/>
      <c r="WQR265" s="95"/>
      <c r="WQS265" s="95"/>
      <c r="WQT265" s="95"/>
      <c r="WQU265" s="95"/>
      <c r="WQV265" s="95"/>
      <c r="WQW265" s="95"/>
      <c r="WQX265" s="95"/>
      <c r="WQY265" s="95"/>
      <c r="WQZ265" s="95"/>
      <c r="WRA265" s="95"/>
      <c r="WRB265" s="95"/>
      <c r="WRC265" s="95"/>
      <c r="WRD265" s="95"/>
      <c r="WRE265" s="95"/>
      <c r="WRF265" s="95"/>
      <c r="WRG265" s="95"/>
      <c r="WRH265" s="95"/>
      <c r="WRI265" s="95"/>
      <c r="WRJ265" s="95"/>
      <c r="WRK265" s="95"/>
      <c r="WRL265" s="95"/>
      <c r="WRM265" s="95"/>
      <c r="WRN265" s="95"/>
      <c r="WRO265" s="95"/>
      <c r="WRP265" s="95"/>
      <c r="WRQ265" s="95"/>
      <c r="WRR265" s="95"/>
      <c r="WRS265" s="95"/>
      <c r="WRT265" s="95"/>
      <c r="WRU265" s="95"/>
      <c r="WRV265" s="95"/>
      <c r="WRW265" s="95"/>
      <c r="WRX265" s="95"/>
      <c r="WRY265" s="95"/>
      <c r="WRZ265" s="95"/>
      <c r="WSA265" s="95"/>
      <c r="WSB265" s="95"/>
      <c r="WSC265" s="95"/>
      <c r="WSD265" s="95"/>
      <c r="WSE265" s="95"/>
      <c r="WSF265" s="95"/>
      <c r="WSG265" s="95"/>
      <c r="WSH265" s="95"/>
      <c r="WSI265" s="95"/>
      <c r="WSJ265" s="95"/>
      <c r="WSK265" s="95"/>
      <c r="WSL265" s="95"/>
      <c r="WSM265" s="95"/>
      <c r="WSN265" s="95"/>
      <c r="WSO265" s="95"/>
      <c r="WSP265" s="95"/>
      <c r="WSQ265" s="95"/>
      <c r="WSR265" s="95"/>
      <c r="WSS265" s="95"/>
      <c r="WST265" s="95"/>
      <c r="WSU265" s="95"/>
      <c r="WSV265" s="95"/>
      <c r="WSW265" s="95"/>
      <c r="WSX265" s="95"/>
      <c r="WSY265" s="95"/>
      <c r="WSZ265" s="95"/>
      <c r="WTA265" s="95"/>
      <c r="WTB265" s="95"/>
      <c r="WTC265" s="95"/>
      <c r="WTD265" s="95"/>
      <c r="WTE265" s="95"/>
      <c r="WTF265" s="95"/>
      <c r="WTG265" s="95"/>
      <c r="WTH265" s="95"/>
      <c r="WTI265" s="95"/>
      <c r="WTJ265" s="95"/>
      <c r="WTK265" s="95"/>
      <c r="WTL265" s="95"/>
      <c r="WTM265" s="95"/>
      <c r="WTN265" s="95"/>
      <c r="WTO265" s="95"/>
      <c r="WTP265" s="95"/>
      <c r="WTQ265" s="95"/>
      <c r="WTR265" s="95"/>
      <c r="WTS265" s="95"/>
      <c r="WTT265" s="95"/>
      <c r="WTU265" s="95"/>
      <c r="WTV265" s="95"/>
      <c r="WTW265" s="95"/>
      <c r="WTX265" s="95"/>
      <c r="WTY265" s="95"/>
      <c r="WTZ265" s="95"/>
      <c r="WUA265" s="95"/>
      <c r="WUB265" s="95"/>
      <c r="WUC265" s="95"/>
      <c r="WUD265" s="95"/>
      <c r="WUE265" s="95"/>
      <c r="WUF265" s="95"/>
      <c r="WUG265" s="95"/>
      <c r="WUH265" s="95"/>
      <c r="WUI265" s="95"/>
      <c r="WUJ265" s="95"/>
      <c r="WUK265" s="95"/>
      <c r="WUL265" s="95"/>
      <c r="WUM265" s="95"/>
      <c r="WUN265" s="95"/>
      <c r="WUO265" s="95"/>
      <c r="WUP265" s="95"/>
      <c r="WUQ265" s="95"/>
      <c r="WUR265" s="95"/>
      <c r="WUS265" s="95"/>
      <c r="WUT265" s="95"/>
      <c r="WUU265" s="95"/>
      <c r="WUV265" s="95"/>
      <c r="WUW265" s="95"/>
      <c r="WUX265" s="95"/>
      <c r="WUY265" s="95"/>
      <c r="WUZ265" s="95"/>
      <c r="WVA265" s="95"/>
      <c r="WVB265" s="95"/>
      <c r="WVC265" s="95"/>
      <c r="WVD265" s="95"/>
      <c r="WVE265" s="95"/>
      <c r="WVF265" s="95"/>
      <c r="WVG265" s="95"/>
      <c r="WVH265" s="95"/>
      <c r="WVI265" s="95"/>
      <c r="WVJ265" s="95"/>
      <c r="WVK265" s="95"/>
      <c r="WVL265" s="95"/>
      <c r="WVM265" s="95"/>
      <c r="WVN265" s="95"/>
      <c r="WVO265" s="95"/>
      <c r="WVP265" s="95"/>
      <c r="WVQ265" s="95"/>
      <c r="WVR265" s="95"/>
      <c r="WVS265" s="95"/>
      <c r="WVT265" s="95"/>
      <c r="WVU265" s="95"/>
      <c r="WVV265" s="95"/>
      <c r="WVW265" s="95"/>
      <c r="WVX265" s="95"/>
      <c r="WVY265" s="95"/>
      <c r="WVZ265" s="95"/>
      <c r="WWA265" s="95"/>
      <c r="WWB265" s="95"/>
      <c r="WWC265" s="95"/>
      <c r="WWD265" s="95"/>
      <c r="WWE265" s="95"/>
      <c r="WWF265" s="95"/>
      <c r="WWG265" s="95"/>
      <c r="WWH265" s="95"/>
      <c r="WWI265" s="95"/>
      <c r="WWJ265" s="95"/>
      <c r="WWK265" s="95"/>
      <c r="WWL265" s="95"/>
      <c r="WWM265" s="95"/>
      <c r="WWN265" s="95"/>
      <c r="WWO265" s="95"/>
      <c r="WWP265" s="95"/>
      <c r="WWQ265" s="95"/>
      <c r="WWR265" s="95"/>
      <c r="WWS265" s="95"/>
      <c r="WWT265" s="95"/>
      <c r="WWU265" s="95"/>
      <c r="WWV265" s="95"/>
      <c r="WWW265" s="95"/>
      <c r="WWX265" s="95"/>
      <c r="WWY265" s="95"/>
      <c r="WWZ265" s="95"/>
      <c r="WXA265" s="95"/>
      <c r="WXB265" s="95"/>
      <c r="WXC265" s="95"/>
      <c r="WXD265" s="95"/>
      <c r="WXE265" s="95"/>
      <c r="WXF265" s="95"/>
      <c r="WXG265" s="95"/>
      <c r="WXH265" s="95"/>
      <c r="WXI265" s="95"/>
      <c r="WXJ265" s="95"/>
      <c r="WXK265" s="95"/>
      <c r="WXL265" s="95"/>
      <c r="WXM265" s="95"/>
      <c r="WXN265" s="95"/>
      <c r="WXO265" s="95"/>
      <c r="WXP265" s="95"/>
      <c r="WXQ265" s="95"/>
      <c r="WXR265" s="95"/>
      <c r="WXS265" s="95"/>
      <c r="WXT265" s="95"/>
      <c r="WXU265" s="95"/>
      <c r="WXV265" s="95"/>
      <c r="WXW265" s="95"/>
      <c r="WXX265" s="95"/>
      <c r="WXY265" s="95"/>
      <c r="WXZ265" s="95"/>
      <c r="WYA265" s="95"/>
      <c r="WYB265" s="95"/>
      <c r="WYC265" s="95"/>
      <c r="WYD265" s="95"/>
      <c r="WYE265" s="95"/>
      <c r="WYF265" s="95"/>
      <c r="WYG265" s="95"/>
      <c r="WYH265" s="95"/>
      <c r="WYI265" s="95"/>
      <c r="WYJ265" s="95"/>
      <c r="WYK265" s="95"/>
      <c r="WYL265" s="95"/>
      <c r="WYM265" s="95"/>
      <c r="WYN265" s="95"/>
      <c r="WYO265" s="95"/>
    </row>
    <row r="266" spans="1:16213" s="95" customFormat="1" ht="25.15" customHeight="1" outlineLevel="1" x14ac:dyDescent="0.25">
      <c r="A266" s="80" t="s">
        <v>202</v>
      </c>
      <c r="B266" s="80"/>
      <c r="C266" s="80" t="s">
        <v>2241</v>
      </c>
      <c r="D266" s="80"/>
      <c r="E266" s="80" t="s">
        <v>33</v>
      </c>
      <c r="F266" s="80" t="s">
        <v>34</v>
      </c>
      <c r="G266" s="80" t="s">
        <v>85</v>
      </c>
      <c r="H266" s="80" t="s">
        <v>998</v>
      </c>
      <c r="I266" s="80" t="s">
        <v>7</v>
      </c>
      <c r="J266" s="80"/>
      <c r="K266" s="80" t="s">
        <v>1664</v>
      </c>
      <c r="L266" s="80"/>
      <c r="M266" s="80" t="s">
        <v>2257</v>
      </c>
      <c r="N266" s="83" t="s">
        <v>31</v>
      </c>
      <c r="O266" s="91">
        <v>4300</v>
      </c>
      <c r="P266" s="157">
        <v>2146</v>
      </c>
      <c r="Q266" s="91">
        <v>2100</v>
      </c>
      <c r="R266" s="91"/>
      <c r="S266" s="91">
        <v>3147</v>
      </c>
      <c r="T266" s="91">
        <v>2200</v>
      </c>
      <c r="U266" s="91">
        <v>7153</v>
      </c>
      <c r="V266" s="91">
        <v>966</v>
      </c>
      <c r="W266" s="91">
        <v>4100</v>
      </c>
      <c r="X266" s="91">
        <v>2005</v>
      </c>
      <c r="Y266" s="91"/>
      <c r="Z266" s="91"/>
      <c r="AA266" s="80" t="s">
        <v>2251</v>
      </c>
      <c r="AB266" s="80">
        <v>3500</v>
      </c>
      <c r="AC266" s="80">
        <v>524</v>
      </c>
      <c r="AD266" s="83"/>
      <c r="AE266" s="83"/>
      <c r="AF266" s="83"/>
      <c r="AG266" s="83"/>
      <c r="AH266" s="80" t="s">
        <v>2252</v>
      </c>
      <c r="AI266" s="90" t="s">
        <v>2253</v>
      </c>
      <c r="AJ266" s="90"/>
      <c r="AK266" s="90" t="s">
        <v>1275</v>
      </c>
      <c r="AL266" s="90"/>
      <c r="AM266" s="80" t="s">
        <v>2258</v>
      </c>
      <c r="AN266" s="80"/>
      <c r="AO266" s="80" t="s">
        <v>2255</v>
      </c>
      <c r="AP266" s="80"/>
      <c r="AQ266" s="90"/>
      <c r="AR266" s="90"/>
      <c r="AS266" s="90" t="s">
        <v>1681</v>
      </c>
      <c r="AT266" s="90"/>
      <c r="AU266" s="158" t="s">
        <v>2259</v>
      </c>
      <c r="AV266" s="80"/>
      <c r="AW266" s="80"/>
      <c r="AX266" s="80"/>
      <c r="AY266" s="91"/>
      <c r="AZ266" s="91"/>
      <c r="BA266" s="91"/>
      <c r="BB266" s="91"/>
      <c r="BC266" s="91"/>
      <c r="BD266" s="91"/>
      <c r="BE266" s="91"/>
      <c r="BF266" s="91"/>
      <c r="BG266" s="91"/>
      <c r="BH266" s="91"/>
      <c r="BI266" s="91"/>
      <c r="BJ266" s="91"/>
      <c r="BK266" s="91"/>
      <c r="BL266" s="91"/>
      <c r="BM266" s="91"/>
      <c r="BN266" s="91"/>
      <c r="BO266" s="91"/>
      <c r="BP266" s="91"/>
      <c r="BQ266" s="91"/>
      <c r="BR266" s="91"/>
      <c r="BS266" s="91">
        <v>1</v>
      </c>
    </row>
    <row r="267" spans="1:16213" s="95" customFormat="1" ht="25.15" customHeight="1" outlineLevel="1" x14ac:dyDescent="0.25">
      <c r="A267" s="80" t="s">
        <v>202</v>
      </c>
      <c r="B267" s="80"/>
      <c r="C267" s="80" t="s">
        <v>2241</v>
      </c>
      <c r="D267" s="80"/>
      <c r="E267" s="80" t="s">
        <v>33</v>
      </c>
      <c r="F267" s="80" t="s">
        <v>1341</v>
      </c>
      <c r="G267" s="80" t="s">
        <v>85</v>
      </c>
      <c r="H267" s="80" t="s">
        <v>998</v>
      </c>
      <c r="I267" s="80" t="s">
        <v>7</v>
      </c>
      <c r="J267" s="80"/>
      <c r="K267" s="80" t="s">
        <v>1664</v>
      </c>
      <c r="L267" s="80"/>
      <c r="M267" s="80" t="s">
        <v>2260</v>
      </c>
      <c r="N267" s="83" t="s">
        <v>31</v>
      </c>
      <c r="O267" s="91">
        <v>4300</v>
      </c>
      <c r="P267" s="157">
        <v>2146</v>
      </c>
      <c r="Q267" s="91">
        <v>2100</v>
      </c>
      <c r="R267" s="91"/>
      <c r="S267" s="91">
        <v>3099</v>
      </c>
      <c r="T267" s="91">
        <v>2200</v>
      </c>
      <c r="U267" s="91">
        <v>7153</v>
      </c>
      <c r="V267" s="91">
        <v>963</v>
      </c>
      <c r="W267" s="91">
        <v>4100</v>
      </c>
      <c r="X267" s="91">
        <v>2005</v>
      </c>
      <c r="Y267" s="91"/>
      <c r="Z267" s="91"/>
      <c r="AA267" s="80" t="s">
        <v>2261</v>
      </c>
      <c r="AB267" s="80">
        <v>3500</v>
      </c>
      <c r="AC267" s="80">
        <v>832</v>
      </c>
      <c r="AD267" s="83"/>
      <c r="AE267" s="83"/>
      <c r="AF267" s="83"/>
      <c r="AG267" s="83"/>
      <c r="AH267" s="80" t="s">
        <v>2252</v>
      </c>
      <c r="AI267" s="90" t="s">
        <v>2262</v>
      </c>
      <c r="AJ267" s="90"/>
      <c r="AK267" s="80" t="s">
        <v>1354</v>
      </c>
      <c r="AL267" s="80"/>
      <c r="AM267" s="80" t="s">
        <v>1696</v>
      </c>
      <c r="AN267" s="80"/>
      <c r="AO267" s="80" t="s">
        <v>2255</v>
      </c>
      <c r="AP267" s="80"/>
      <c r="AQ267" s="90"/>
      <c r="AR267" s="90"/>
      <c r="AS267" s="90" t="s">
        <v>1681</v>
      </c>
      <c r="AT267" s="90"/>
      <c r="AU267" s="156" t="s">
        <v>2259</v>
      </c>
      <c r="AV267" s="80"/>
      <c r="AW267" s="80"/>
      <c r="AX267" s="80"/>
      <c r="AY267" s="91"/>
      <c r="AZ267" s="91"/>
      <c r="BA267" s="91"/>
      <c r="BB267" s="91"/>
      <c r="BC267" s="91"/>
      <c r="BD267" s="91"/>
      <c r="BE267" s="91"/>
      <c r="BF267" s="91"/>
      <c r="BG267" s="91"/>
      <c r="BH267" s="91"/>
      <c r="BI267" s="91"/>
      <c r="BJ267" s="91"/>
      <c r="BK267" s="91"/>
      <c r="BL267" s="91"/>
      <c r="BM267" s="91"/>
      <c r="BN267" s="91"/>
      <c r="BO267" s="91"/>
      <c r="BP267" s="91"/>
      <c r="BQ267" s="91"/>
      <c r="BR267" s="91"/>
      <c r="BS267" s="91">
        <v>1</v>
      </c>
    </row>
    <row r="268" spans="1:16213" s="95" customFormat="1" ht="25.15" customHeight="1" outlineLevel="1" x14ac:dyDescent="0.25">
      <c r="A268" s="80" t="s">
        <v>202</v>
      </c>
      <c r="B268" s="80"/>
      <c r="C268" s="80" t="s">
        <v>2241</v>
      </c>
      <c r="D268" s="80"/>
      <c r="E268" s="80" t="s">
        <v>33</v>
      </c>
      <c r="F268" s="80" t="s">
        <v>34</v>
      </c>
      <c r="G268" s="80" t="s">
        <v>455</v>
      </c>
      <c r="H268" s="80" t="s">
        <v>998</v>
      </c>
      <c r="I268" s="80" t="s">
        <v>7</v>
      </c>
      <c r="J268" s="80"/>
      <c r="K268" s="80" t="s">
        <v>999</v>
      </c>
      <c r="L268" s="80"/>
      <c r="M268" s="80" t="s">
        <v>2263</v>
      </c>
      <c r="N268" s="83" t="s">
        <v>31</v>
      </c>
      <c r="O268" s="91">
        <v>5038</v>
      </c>
      <c r="P268" s="157">
        <v>2218</v>
      </c>
      <c r="Q268" s="91">
        <v>2100</v>
      </c>
      <c r="R268" s="91"/>
      <c r="S268" s="91">
        <v>3300</v>
      </c>
      <c r="T268" s="91">
        <v>2300</v>
      </c>
      <c r="U268" s="91">
        <v>7800</v>
      </c>
      <c r="V268" s="91">
        <v>1120</v>
      </c>
      <c r="W268" s="91">
        <v>4750</v>
      </c>
      <c r="X268" s="91">
        <v>1993</v>
      </c>
      <c r="Y268" s="91"/>
      <c r="Z268" s="91"/>
      <c r="AA268" s="80" t="s">
        <v>2251</v>
      </c>
      <c r="AB268" s="80">
        <v>7200</v>
      </c>
      <c r="AC268" s="80">
        <v>3045</v>
      </c>
      <c r="AD268" s="83"/>
      <c r="AE268" s="83"/>
      <c r="AF268" s="83"/>
      <c r="AG268" s="83"/>
      <c r="AH268" s="80">
        <v>23.4</v>
      </c>
      <c r="AI268" s="90" t="s">
        <v>1711</v>
      </c>
      <c r="AJ268" s="90"/>
      <c r="AK268" s="90" t="s">
        <v>1375</v>
      </c>
      <c r="AL268" s="90"/>
      <c r="AM268" s="80" t="s">
        <v>1712</v>
      </c>
      <c r="AN268" s="80"/>
      <c r="AO268" s="80" t="s">
        <v>2264</v>
      </c>
      <c r="AP268" s="80"/>
      <c r="AQ268" s="90"/>
      <c r="AR268" s="90"/>
      <c r="AS268" s="90" t="s">
        <v>1704</v>
      </c>
      <c r="AT268" s="90"/>
      <c r="AU268" s="158" t="s">
        <v>2265</v>
      </c>
      <c r="AV268" s="80"/>
      <c r="AW268" s="80"/>
      <c r="AX268" s="80"/>
      <c r="AY268" s="91"/>
      <c r="AZ268" s="91"/>
      <c r="BA268" s="91"/>
      <c r="BB268" s="91"/>
      <c r="BC268" s="91"/>
      <c r="BD268" s="91"/>
      <c r="BE268" s="91"/>
      <c r="BF268" s="91"/>
      <c r="BG268" s="91"/>
      <c r="BH268" s="91"/>
      <c r="BI268" s="91"/>
      <c r="BJ268" s="91"/>
      <c r="BK268" s="91"/>
      <c r="BL268" s="91"/>
      <c r="BM268" s="91"/>
      <c r="BN268" s="91"/>
      <c r="BO268" s="91"/>
      <c r="BP268" s="91"/>
      <c r="BQ268" s="91"/>
      <c r="BR268" s="91"/>
      <c r="BS268" s="91">
        <v>1</v>
      </c>
    </row>
    <row r="269" spans="1:16213" s="95" customFormat="1" ht="25.15" customHeight="1" outlineLevel="1" x14ac:dyDescent="0.25">
      <c r="A269" s="80" t="s">
        <v>202</v>
      </c>
      <c r="B269" s="80"/>
      <c r="C269" s="80" t="s">
        <v>2241</v>
      </c>
      <c r="D269" s="80"/>
      <c r="E269" s="80" t="s">
        <v>33</v>
      </c>
      <c r="F269" s="80" t="s">
        <v>37</v>
      </c>
      <c r="G269" s="80" t="s">
        <v>38</v>
      </c>
      <c r="H269" s="80" t="s">
        <v>998</v>
      </c>
      <c r="I269" s="80" t="s">
        <v>7</v>
      </c>
      <c r="J269" s="80"/>
      <c r="K269" s="80" t="s">
        <v>999</v>
      </c>
      <c r="L269" s="80"/>
      <c r="M269" s="80" t="s">
        <v>2266</v>
      </c>
      <c r="N269" s="83" t="s">
        <v>31</v>
      </c>
      <c r="O269" s="91">
        <v>6238</v>
      </c>
      <c r="P269" s="91">
        <v>2468</v>
      </c>
      <c r="Q269" s="91">
        <v>2200</v>
      </c>
      <c r="R269" s="91"/>
      <c r="S269" s="91">
        <v>3250</v>
      </c>
      <c r="T269" s="91">
        <v>2550</v>
      </c>
      <c r="U269" s="91">
        <v>8400</v>
      </c>
      <c r="V269" s="91">
        <v>1023</v>
      </c>
      <c r="W269" s="91">
        <v>4185</v>
      </c>
      <c r="X269" s="91">
        <v>2673</v>
      </c>
      <c r="Y269" s="91"/>
      <c r="Z269" s="91"/>
      <c r="AA269" s="80" t="s">
        <v>2267</v>
      </c>
      <c r="AB269" s="80">
        <v>7490</v>
      </c>
      <c r="AC269" s="80">
        <v>1860</v>
      </c>
      <c r="AD269" s="83"/>
      <c r="AE269" s="83"/>
      <c r="AF269" s="83"/>
      <c r="AG269" s="83"/>
      <c r="AH269" s="80">
        <v>33.799999999999997</v>
      </c>
      <c r="AI269" s="90" t="s">
        <v>1714</v>
      </c>
      <c r="AJ269" s="90"/>
      <c r="AK269" s="80" t="s">
        <v>1402</v>
      </c>
      <c r="AL269" s="80"/>
      <c r="AM269" s="80" t="s">
        <v>1715</v>
      </c>
      <c r="AN269" s="80"/>
      <c r="AO269" s="80" t="s">
        <v>2268</v>
      </c>
      <c r="AP269" s="80"/>
      <c r="AQ269" s="90"/>
      <c r="AR269" s="90"/>
      <c r="AS269" s="80" t="s">
        <v>1717</v>
      </c>
      <c r="AT269" s="80"/>
      <c r="AU269" s="158" t="s">
        <v>2269</v>
      </c>
      <c r="AV269" s="80"/>
      <c r="AW269" s="80"/>
      <c r="AX269" s="80"/>
      <c r="AY269" s="91"/>
      <c r="AZ269" s="91"/>
      <c r="BA269" s="91"/>
      <c r="BB269" s="91"/>
      <c r="BC269" s="91"/>
      <c r="BD269" s="91"/>
      <c r="BE269" s="91"/>
      <c r="BF269" s="91"/>
      <c r="BG269" s="91"/>
      <c r="BH269" s="91"/>
      <c r="BI269" s="91"/>
      <c r="BJ269" s="91"/>
      <c r="BK269" s="91"/>
      <c r="BL269" s="91"/>
      <c r="BM269" s="91"/>
      <c r="BN269" s="91"/>
      <c r="BO269" s="91"/>
      <c r="BP269" s="91"/>
      <c r="BQ269" s="91"/>
      <c r="BR269" s="91"/>
      <c r="BS269" s="91">
        <v>1</v>
      </c>
    </row>
    <row r="270" spans="1:16213" s="95" customFormat="1" ht="25.15" customHeight="1" outlineLevel="1" x14ac:dyDescent="0.25">
      <c r="A270" s="80" t="s">
        <v>202</v>
      </c>
      <c r="B270" s="80"/>
      <c r="C270" s="80" t="s">
        <v>2241</v>
      </c>
      <c r="D270" s="80"/>
      <c r="E270" s="80" t="s">
        <v>33</v>
      </c>
      <c r="F270" s="80" t="s">
        <v>37</v>
      </c>
      <c r="G270" s="80" t="s">
        <v>41</v>
      </c>
      <c r="H270" s="80" t="s">
        <v>998</v>
      </c>
      <c r="I270" s="80" t="s">
        <v>7</v>
      </c>
      <c r="J270" s="80"/>
      <c r="K270" s="80" t="s">
        <v>999</v>
      </c>
      <c r="L270" s="80"/>
      <c r="M270" s="80" t="s">
        <v>2270</v>
      </c>
      <c r="N270" s="83" t="s">
        <v>31</v>
      </c>
      <c r="O270" s="91">
        <v>6238</v>
      </c>
      <c r="P270" s="91">
        <v>2468</v>
      </c>
      <c r="Q270" s="91">
        <v>2200</v>
      </c>
      <c r="R270" s="91"/>
      <c r="S270" s="91">
        <v>3300</v>
      </c>
      <c r="T270" s="91">
        <v>2550</v>
      </c>
      <c r="U270" s="91">
        <v>8400</v>
      </c>
      <c r="V270" s="91">
        <v>1066</v>
      </c>
      <c r="W270" s="91">
        <v>4455</v>
      </c>
      <c r="X270" s="91">
        <v>2673</v>
      </c>
      <c r="Y270" s="91"/>
      <c r="Z270" s="91"/>
      <c r="AA270" s="80" t="s">
        <v>2267</v>
      </c>
      <c r="AB270" s="80">
        <v>10000</v>
      </c>
      <c r="AC270" s="80">
        <v>4200</v>
      </c>
      <c r="AD270" s="83"/>
      <c r="AE270" s="83"/>
      <c r="AF270" s="83"/>
      <c r="AG270" s="83"/>
      <c r="AH270" s="80">
        <v>33.799999999999997</v>
      </c>
      <c r="AI270" s="90" t="s">
        <v>1714</v>
      </c>
      <c r="AJ270" s="90"/>
      <c r="AK270" s="80" t="s">
        <v>1402</v>
      </c>
      <c r="AL270" s="80"/>
      <c r="AM270" s="80" t="s">
        <v>1403</v>
      </c>
      <c r="AN270" s="80"/>
      <c r="AO270" s="80" t="s">
        <v>2271</v>
      </c>
      <c r="AP270" s="80"/>
      <c r="AQ270" s="90"/>
      <c r="AR270" s="90"/>
      <c r="AS270" s="90" t="s">
        <v>1717</v>
      </c>
      <c r="AT270" s="90"/>
      <c r="AU270" s="158" t="s">
        <v>2272</v>
      </c>
      <c r="AV270" s="80"/>
      <c r="AW270" s="80"/>
      <c r="AX270" s="80"/>
      <c r="AY270" s="91"/>
      <c r="AZ270" s="91"/>
      <c r="BA270" s="91"/>
      <c r="BB270" s="91"/>
      <c r="BC270" s="91"/>
      <c r="BD270" s="91"/>
      <c r="BE270" s="91"/>
      <c r="BF270" s="91"/>
      <c r="BG270" s="91"/>
      <c r="BH270" s="91"/>
      <c r="BI270" s="91"/>
      <c r="BJ270" s="91"/>
      <c r="BK270" s="91"/>
      <c r="BL270" s="91"/>
      <c r="BM270" s="91"/>
      <c r="BN270" s="91"/>
      <c r="BO270" s="91"/>
      <c r="BP270" s="91"/>
      <c r="BQ270" s="91"/>
      <c r="BR270" s="91"/>
      <c r="BS270" s="91">
        <v>1</v>
      </c>
    </row>
    <row r="271" spans="1:16213" s="95" customFormat="1" ht="25.15" customHeight="1" outlineLevel="1" x14ac:dyDescent="0.25">
      <c r="A271" s="80" t="s">
        <v>202</v>
      </c>
      <c r="B271" s="80"/>
      <c r="C271" s="80" t="s">
        <v>2241</v>
      </c>
      <c r="D271" s="80"/>
      <c r="E271" s="80" t="s">
        <v>49</v>
      </c>
      <c r="F271" s="80" t="s">
        <v>50</v>
      </c>
      <c r="G271" s="80" t="s">
        <v>42</v>
      </c>
      <c r="H271" s="80" t="s">
        <v>998</v>
      </c>
      <c r="I271" s="80" t="s">
        <v>7</v>
      </c>
      <c r="J271" s="80"/>
      <c r="K271" s="80" t="s">
        <v>999</v>
      </c>
      <c r="L271" s="80"/>
      <c r="M271" s="80" t="s">
        <v>2273</v>
      </c>
      <c r="N271" s="83" t="s">
        <v>31</v>
      </c>
      <c r="O271" s="91">
        <v>7038</v>
      </c>
      <c r="P271" s="91">
        <v>2468</v>
      </c>
      <c r="Q271" s="91">
        <v>2200</v>
      </c>
      <c r="R271" s="91"/>
      <c r="S271" s="91">
        <v>3400</v>
      </c>
      <c r="T271" s="91">
        <v>2550</v>
      </c>
      <c r="U271" s="91">
        <v>9200</v>
      </c>
      <c r="V271" s="91">
        <v>1136</v>
      </c>
      <c r="W271" s="91">
        <v>5000</v>
      </c>
      <c r="X271" s="91">
        <v>2875</v>
      </c>
      <c r="Y271" s="91"/>
      <c r="Z271" s="91"/>
      <c r="AA271" s="80" t="s">
        <v>2274</v>
      </c>
      <c r="AB271" s="80">
        <v>11990</v>
      </c>
      <c r="AC271" s="80">
        <v>5075</v>
      </c>
      <c r="AD271" s="83"/>
      <c r="AE271" s="83"/>
      <c r="AF271" s="83"/>
      <c r="AG271" s="83"/>
      <c r="AH271" s="80" t="s">
        <v>2275</v>
      </c>
      <c r="AI271" s="90" t="s">
        <v>1731</v>
      </c>
      <c r="AJ271" s="90"/>
      <c r="AK271" s="90" t="s">
        <v>1547</v>
      </c>
      <c r="AL271" s="90"/>
      <c r="AM271" s="80" t="s">
        <v>1554</v>
      </c>
      <c r="AN271" s="80"/>
      <c r="AO271" s="80" t="s">
        <v>2271</v>
      </c>
      <c r="AP271" s="80"/>
      <c r="AQ271" s="90"/>
      <c r="AR271" s="90"/>
      <c r="AS271" s="90" t="s">
        <v>2276</v>
      </c>
      <c r="AT271" s="90"/>
      <c r="AU271" s="158" t="s">
        <v>2277</v>
      </c>
      <c r="AV271" s="80"/>
      <c r="AW271" s="80"/>
      <c r="AX271" s="80"/>
      <c r="AY271" s="91"/>
      <c r="AZ271" s="91"/>
      <c r="BA271" s="91"/>
      <c r="BB271" s="91"/>
      <c r="BC271" s="91"/>
      <c r="BD271" s="91"/>
      <c r="BE271" s="91"/>
      <c r="BF271" s="91"/>
      <c r="BG271" s="91"/>
      <c r="BH271" s="91"/>
      <c r="BI271" s="91"/>
      <c r="BJ271" s="91"/>
      <c r="BK271" s="91"/>
      <c r="BL271" s="91"/>
      <c r="BM271" s="91"/>
      <c r="BN271" s="91"/>
      <c r="BO271" s="91"/>
      <c r="BP271" s="91"/>
      <c r="BQ271" s="91"/>
      <c r="BR271" s="91"/>
      <c r="BS271" s="91">
        <v>1</v>
      </c>
    </row>
    <row r="272" spans="1:16213" s="95" customFormat="1" ht="25.15" customHeight="1" outlineLevel="1" x14ac:dyDescent="0.25">
      <c r="A272" s="80" t="s">
        <v>202</v>
      </c>
      <c r="B272" s="80"/>
      <c r="C272" s="80" t="s">
        <v>2241</v>
      </c>
      <c r="D272" s="80"/>
      <c r="E272" s="80" t="s">
        <v>49</v>
      </c>
      <c r="F272" s="80" t="s">
        <v>50</v>
      </c>
      <c r="G272" s="80" t="s">
        <v>42</v>
      </c>
      <c r="H272" s="80" t="s">
        <v>998</v>
      </c>
      <c r="I272" s="80" t="s">
        <v>7</v>
      </c>
      <c r="J272" s="80"/>
      <c r="K272" s="80" t="s">
        <v>999</v>
      </c>
      <c r="L272" s="80"/>
      <c r="M272" s="80" t="s">
        <v>2278</v>
      </c>
      <c r="N272" s="83" t="s">
        <v>31</v>
      </c>
      <c r="O272" s="91">
        <v>7938</v>
      </c>
      <c r="P272" s="91">
        <v>2468</v>
      </c>
      <c r="Q272" s="91">
        <v>2200</v>
      </c>
      <c r="R272" s="91"/>
      <c r="S272" s="91">
        <v>3450</v>
      </c>
      <c r="T272" s="91">
        <v>2550</v>
      </c>
      <c r="U272" s="91">
        <v>10100</v>
      </c>
      <c r="V272" s="91">
        <v>1198</v>
      </c>
      <c r="W272" s="91">
        <v>5900</v>
      </c>
      <c r="X272" s="91">
        <v>2875</v>
      </c>
      <c r="Y272" s="91"/>
      <c r="Z272" s="91"/>
      <c r="AA272" s="80" t="s">
        <v>2274</v>
      </c>
      <c r="AB272" s="80">
        <v>16000</v>
      </c>
      <c r="AC272" s="80">
        <v>8095</v>
      </c>
      <c r="AD272" s="83"/>
      <c r="AE272" s="83"/>
      <c r="AF272" s="83"/>
      <c r="AG272" s="83"/>
      <c r="AH272" s="80" t="s">
        <v>2279</v>
      </c>
      <c r="AI272" s="90" t="s">
        <v>1745</v>
      </c>
      <c r="AJ272" s="90"/>
      <c r="AK272" s="80" t="s">
        <v>1552</v>
      </c>
      <c r="AL272" s="80"/>
      <c r="AM272" s="80" t="s">
        <v>1562</v>
      </c>
      <c r="AN272" s="80"/>
      <c r="AO272" s="80" t="s">
        <v>2280</v>
      </c>
      <c r="AP272" s="80"/>
      <c r="AQ272" s="90"/>
      <c r="AR272" s="90"/>
      <c r="AS272" s="80" t="s">
        <v>2281</v>
      </c>
      <c r="AT272" s="80"/>
      <c r="AU272" s="158" t="s">
        <v>2282</v>
      </c>
      <c r="AV272" s="80"/>
      <c r="AW272" s="80"/>
      <c r="AX272" s="80"/>
      <c r="AY272" s="91"/>
      <c r="AZ272" s="91"/>
      <c r="BA272" s="91"/>
      <c r="BB272" s="91"/>
      <c r="BC272" s="91"/>
      <c r="BD272" s="91"/>
      <c r="BE272" s="91"/>
      <c r="BF272" s="91"/>
      <c r="BG272" s="91"/>
      <c r="BH272" s="91"/>
      <c r="BI272" s="91"/>
      <c r="BJ272" s="91"/>
      <c r="BK272" s="91"/>
      <c r="BL272" s="91"/>
      <c r="BM272" s="91"/>
      <c r="BN272" s="91"/>
      <c r="BO272" s="91"/>
      <c r="BP272" s="91"/>
      <c r="BQ272" s="91"/>
      <c r="BR272" s="91"/>
      <c r="BS272" s="91">
        <v>1</v>
      </c>
    </row>
    <row r="273" spans="1:90" s="95" customFormat="1" ht="25.15" customHeight="1" x14ac:dyDescent="0.25">
      <c r="A273" s="80" t="s">
        <v>202</v>
      </c>
      <c r="B273" s="80"/>
      <c r="C273" s="80" t="s">
        <v>2283</v>
      </c>
      <c r="D273" s="91"/>
      <c r="E273" s="80" t="s">
        <v>33</v>
      </c>
      <c r="F273" s="80" t="s">
        <v>34</v>
      </c>
      <c r="G273" s="80" t="s">
        <v>85</v>
      </c>
      <c r="H273" s="80" t="s">
        <v>998</v>
      </c>
      <c r="I273" s="80"/>
      <c r="J273" s="80"/>
      <c r="K273" s="80" t="s">
        <v>2284</v>
      </c>
      <c r="L273" s="80"/>
      <c r="M273" s="80" t="s">
        <v>2285</v>
      </c>
      <c r="N273" s="83" t="s">
        <v>31</v>
      </c>
      <c r="O273" s="80">
        <v>3660</v>
      </c>
      <c r="P273" s="80">
        <v>2000</v>
      </c>
      <c r="Q273" s="80">
        <v>1750</v>
      </c>
      <c r="R273" s="80"/>
      <c r="S273" s="80">
        <v>2730</v>
      </c>
      <c r="T273" s="80">
        <v>2100</v>
      </c>
      <c r="U273" s="80">
        <v>6208</v>
      </c>
      <c r="V273" s="80">
        <v>915</v>
      </c>
      <c r="W273" s="80">
        <v>3750</v>
      </c>
      <c r="X273" s="80">
        <v>1410</v>
      </c>
      <c r="Y273" s="80"/>
      <c r="Z273" s="80"/>
      <c r="AA273" s="80" t="s">
        <v>2286</v>
      </c>
      <c r="AB273" s="80">
        <v>3500</v>
      </c>
      <c r="AC273" s="80">
        <v>780</v>
      </c>
      <c r="AD273" s="80"/>
      <c r="AE273" s="80"/>
      <c r="AF273" s="80"/>
      <c r="AG273" s="80"/>
      <c r="AH273" s="80">
        <v>12.8</v>
      </c>
      <c r="AI273" s="80" t="s">
        <v>2287</v>
      </c>
      <c r="AJ273" s="80"/>
      <c r="AK273" s="90" t="s">
        <v>1275</v>
      </c>
      <c r="AL273" s="90"/>
      <c r="AM273" s="90" t="s">
        <v>2258</v>
      </c>
      <c r="AN273" s="90"/>
      <c r="AO273" s="80" t="s">
        <v>2288</v>
      </c>
      <c r="AP273" s="80"/>
      <c r="AQ273" s="80"/>
      <c r="AR273" s="80"/>
      <c r="AS273" s="80"/>
      <c r="AT273" s="80"/>
      <c r="AU273" s="84" t="s">
        <v>2289</v>
      </c>
      <c r="AV273" s="80"/>
      <c r="AW273" s="80"/>
      <c r="AX273" s="80"/>
      <c r="AY273" s="91"/>
      <c r="AZ273" s="91"/>
      <c r="BA273" s="91"/>
      <c r="BB273" s="91"/>
      <c r="BC273" s="91"/>
      <c r="BD273" s="91"/>
      <c r="BE273" s="91"/>
      <c r="BF273" s="91"/>
      <c r="BG273" s="91"/>
      <c r="BH273" s="91"/>
      <c r="BI273" s="91"/>
      <c r="BJ273" s="91"/>
      <c r="BK273" s="91"/>
      <c r="BL273" s="91"/>
      <c r="BM273" s="91"/>
      <c r="BN273" s="91"/>
      <c r="BO273" s="91"/>
      <c r="BP273" s="91"/>
      <c r="BQ273" s="91"/>
      <c r="BR273" s="91"/>
      <c r="BS273" s="91">
        <v>1</v>
      </c>
      <c r="BU273" s="91">
        <v>1</v>
      </c>
      <c r="BV273" s="93"/>
      <c r="BW273" s="90" t="s">
        <v>2290</v>
      </c>
      <c r="BX273" s="83" t="s">
        <v>63</v>
      </c>
      <c r="BY273" s="144"/>
      <c r="BZ273" s="80" t="str">
        <f t="shared" ref="BZ273:BZ282" si="0">CONCATENATE(A273,B273,C273,M273,N273)</f>
        <v>FR_FRBR_ST35C14 CB - GRO01</v>
      </c>
      <c r="CA273" s="159"/>
      <c r="CB273" s="80" t="str">
        <f t="shared" ref="CB273:CB282" si="1">CONCATENATE(A273,B273,C273,M273,N273)</f>
        <v>FR_FRBR_ST35C14 CB - GRO01</v>
      </c>
      <c r="CC273" s="80">
        <f t="shared" ref="CC273:CC282" si="2">IF(CB273=CD273,0,1)</f>
        <v>1</v>
      </c>
      <c r="CD273" s="80" t="s">
        <v>2291</v>
      </c>
      <c r="CE273" s="159"/>
      <c r="CF273" s="80"/>
      <c r="CG273" s="144"/>
      <c r="CH273" s="144"/>
      <c r="CI273" s="144"/>
      <c r="CJ273" s="144"/>
      <c r="CK273" s="144"/>
      <c r="CL273" s="144"/>
    </row>
    <row r="274" spans="1:90" s="95" customFormat="1" ht="25.15" customHeight="1" outlineLevel="1" x14ac:dyDescent="0.25">
      <c r="A274" s="80" t="s">
        <v>202</v>
      </c>
      <c r="B274" s="80"/>
      <c r="C274" s="80" t="s">
        <v>2283</v>
      </c>
      <c r="D274" s="91"/>
      <c r="E274" s="80" t="s">
        <v>33</v>
      </c>
      <c r="F274" s="80" t="s">
        <v>34</v>
      </c>
      <c r="G274" s="80" t="s">
        <v>85</v>
      </c>
      <c r="H274" s="80" t="s">
        <v>998</v>
      </c>
      <c r="I274" s="80"/>
      <c r="J274" s="80"/>
      <c r="K274" s="80" t="s">
        <v>2284</v>
      </c>
      <c r="L274" s="80"/>
      <c r="M274" s="80" t="s">
        <v>2292</v>
      </c>
      <c r="N274" s="83" t="s">
        <v>31</v>
      </c>
      <c r="O274" s="80">
        <v>3660</v>
      </c>
      <c r="P274" s="80">
        <v>2000</v>
      </c>
      <c r="Q274" s="80">
        <v>1750</v>
      </c>
      <c r="R274" s="80"/>
      <c r="S274" s="80">
        <v>2730</v>
      </c>
      <c r="T274" s="80">
        <v>2100</v>
      </c>
      <c r="U274" s="80">
        <v>6208</v>
      </c>
      <c r="V274" s="80">
        <v>915</v>
      </c>
      <c r="W274" s="80">
        <v>3750</v>
      </c>
      <c r="X274" s="80">
        <v>1410</v>
      </c>
      <c r="Y274" s="80"/>
      <c r="Z274" s="80"/>
      <c r="AA274" s="80" t="s">
        <v>2286</v>
      </c>
      <c r="AB274" s="80">
        <v>3500</v>
      </c>
      <c r="AC274" s="80">
        <v>770</v>
      </c>
      <c r="AD274" s="80"/>
      <c r="AE274" s="80"/>
      <c r="AF274" s="80"/>
      <c r="AG274" s="80"/>
      <c r="AH274" s="80">
        <v>12.8</v>
      </c>
      <c r="AI274" s="80" t="s">
        <v>2287</v>
      </c>
      <c r="AJ274" s="80"/>
      <c r="AK274" s="90" t="s">
        <v>1315</v>
      </c>
      <c r="AL274" s="90"/>
      <c r="AM274" s="90" t="s">
        <v>2258</v>
      </c>
      <c r="AN274" s="90"/>
      <c r="AO274" s="80" t="s">
        <v>2288</v>
      </c>
      <c r="AP274" s="80"/>
      <c r="AQ274" s="80"/>
      <c r="AR274" s="80"/>
      <c r="AS274" s="80"/>
      <c r="AT274" s="80"/>
      <c r="AU274" s="84" t="s">
        <v>2289</v>
      </c>
      <c r="AV274" s="80"/>
      <c r="AW274" s="80"/>
      <c r="AX274" s="80"/>
      <c r="AY274" s="91"/>
      <c r="AZ274" s="91"/>
      <c r="BA274" s="91"/>
      <c r="BB274" s="91"/>
      <c r="BC274" s="91"/>
      <c r="BD274" s="91"/>
      <c r="BE274" s="91"/>
      <c r="BF274" s="91"/>
      <c r="BG274" s="91"/>
      <c r="BH274" s="91"/>
      <c r="BI274" s="91"/>
      <c r="BJ274" s="91"/>
      <c r="BK274" s="91"/>
      <c r="BL274" s="91"/>
      <c r="BM274" s="91"/>
      <c r="BN274" s="91"/>
      <c r="BO274" s="91"/>
      <c r="BP274" s="91"/>
      <c r="BQ274" s="91"/>
      <c r="BR274" s="91"/>
      <c r="BS274" s="91">
        <v>1</v>
      </c>
      <c r="BU274" s="91">
        <v>1</v>
      </c>
      <c r="BV274" s="93"/>
      <c r="BW274" s="90" t="s">
        <v>2290</v>
      </c>
      <c r="BX274" s="83" t="s">
        <v>63</v>
      </c>
      <c r="BY274" s="144"/>
      <c r="BZ274" s="80" t="str">
        <f t="shared" si="0"/>
        <v>FR_FRBR_ST35C16 CB - GRO01</v>
      </c>
      <c r="CA274" s="159"/>
      <c r="CB274" s="80" t="str">
        <f t="shared" si="1"/>
        <v>FR_FRBR_ST35C16 CB - GRO01</v>
      </c>
      <c r="CC274" s="80">
        <f t="shared" si="2"/>
        <v>1</v>
      </c>
      <c r="CD274" s="80" t="s">
        <v>2293</v>
      </c>
      <c r="CE274" s="159"/>
      <c r="CF274" s="80"/>
      <c r="CG274" s="144"/>
      <c r="CH274" s="144"/>
      <c r="CI274" s="144"/>
      <c r="CJ274" s="144"/>
      <c r="CK274" s="144"/>
      <c r="CL274" s="144"/>
    </row>
    <row r="275" spans="1:90" s="95" customFormat="1" ht="25.15" customHeight="1" outlineLevel="1" x14ac:dyDescent="0.25">
      <c r="A275" s="80" t="s">
        <v>202</v>
      </c>
      <c r="B275" s="80"/>
      <c r="C275" s="80" t="s">
        <v>2283</v>
      </c>
      <c r="D275" s="91"/>
      <c r="E275" s="80" t="s">
        <v>33</v>
      </c>
      <c r="F275" s="80" t="s">
        <v>34</v>
      </c>
      <c r="G275" s="80" t="s">
        <v>85</v>
      </c>
      <c r="H275" s="80" t="s">
        <v>998</v>
      </c>
      <c r="I275" s="80"/>
      <c r="J275" s="80"/>
      <c r="K275" s="80" t="s">
        <v>2284</v>
      </c>
      <c r="L275" s="80"/>
      <c r="M275" s="80" t="s">
        <v>2294</v>
      </c>
      <c r="N275" s="83" t="s">
        <v>31</v>
      </c>
      <c r="O275" s="80">
        <v>3660</v>
      </c>
      <c r="P275" s="80">
        <v>2000</v>
      </c>
      <c r="Q275" s="80">
        <v>1750</v>
      </c>
      <c r="R275" s="80"/>
      <c r="S275" s="80">
        <v>2730</v>
      </c>
      <c r="T275" s="80">
        <v>2100</v>
      </c>
      <c r="U275" s="80">
        <v>6208</v>
      </c>
      <c r="V275" s="80">
        <v>915</v>
      </c>
      <c r="W275" s="80">
        <v>3750</v>
      </c>
      <c r="X275" s="80">
        <v>1410</v>
      </c>
      <c r="Y275" s="80"/>
      <c r="Z275" s="80"/>
      <c r="AA275" s="80" t="s">
        <v>2286</v>
      </c>
      <c r="AB275" s="80">
        <v>3500</v>
      </c>
      <c r="AC275" s="80">
        <v>730</v>
      </c>
      <c r="AD275" s="80"/>
      <c r="AE275" s="80"/>
      <c r="AF275" s="80"/>
      <c r="AG275" s="80"/>
      <c r="AH275" s="80">
        <v>12.8</v>
      </c>
      <c r="AI275" s="80" t="s">
        <v>2287</v>
      </c>
      <c r="AJ275" s="80"/>
      <c r="AK275" s="90" t="s">
        <v>1319</v>
      </c>
      <c r="AL275" s="90"/>
      <c r="AM275" s="90" t="s">
        <v>2258</v>
      </c>
      <c r="AN275" s="90"/>
      <c r="AO275" s="80" t="s">
        <v>2288</v>
      </c>
      <c r="AP275" s="80"/>
      <c r="AQ275" s="80"/>
      <c r="AR275" s="80"/>
      <c r="AS275" s="80"/>
      <c r="AT275" s="80"/>
      <c r="AU275" s="84" t="s">
        <v>2289</v>
      </c>
      <c r="AV275" s="80"/>
      <c r="AW275" s="80"/>
      <c r="AX275" s="80"/>
      <c r="AY275" s="91"/>
      <c r="AZ275" s="91"/>
      <c r="BA275" s="91"/>
      <c r="BB275" s="91"/>
      <c r="BC275" s="91"/>
      <c r="BD275" s="91"/>
      <c r="BE275" s="91"/>
      <c r="BF275" s="91"/>
      <c r="BG275" s="91"/>
      <c r="BH275" s="91"/>
      <c r="BI275" s="91"/>
      <c r="BJ275" s="91"/>
      <c r="BK275" s="91"/>
      <c r="BL275" s="91"/>
      <c r="BM275" s="91"/>
      <c r="BN275" s="91"/>
      <c r="BO275" s="91"/>
      <c r="BP275" s="91"/>
      <c r="BQ275" s="91"/>
      <c r="BR275" s="91"/>
      <c r="BS275" s="91">
        <v>1</v>
      </c>
      <c r="BU275" s="91">
        <v>1</v>
      </c>
      <c r="BV275" s="93"/>
      <c r="BW275" s="90" t="s">
        <v>2290</v>
      </c>
      <c r="BX275" s="83" t="s">
        <v>63</v>
      </c>
      <c r="BY275" s="144"/>
      <c r="BZ275" s="80" t="str">
        <f t="shared" si="0"/>
        <v>FR_FRBR_ST35C16-3L CB - GRO01</v>
      </c>
      <c r="CA275" s="144"/>
      <c r="CB275" s="80" t="str">
        <f t="shared" si="1"/>
        <v>FR_FRBR_ST35C16-3L CB - GRO01</v>
      </c>
      <c r="CC275" s="80">
        <f t="shared" si="2"/>
        <v>1</v>
      </c>
      <c r="CD275" s="80" t="s">
        <v>2295</v>
      </c>
      <c r="CE275" s="144"/>
      <c r="CF275" s="80"/>
      <c r="CG275" s="144"/>
      <c r="CH275" s="144"/>
      <c r="CI275" s="144"/>
      <c r="CJ275" s="144"/>
      <c r="CK275" s="144"/>
      <c r="CL275" s="144"/>
    </row>
    <row r="276" spans="1:90" s="95" customFormat="1" ht="25.15" customHeight="1" outlineLevel="1" x14ac:dyDescent="0.25">
      <c r="A276" s="80" t="s">
        <v>202</v>
      </c>
      <c r="B276" s="80"/>
      <c r="C276" s="80" t="s">
        <v>2283</v>
      </c>
      <c r="D276" s="91"/>
      <c r="E276" s="80" t="s">
        <v>33</v>
      </c>
      <c r="F276" s="80" t="s">
        <v>1341</v>
      </c>
      <c r="G276" s="80" t="s">
        <v>85</v>
      </c>
      <c r="H276" s="80" t="s">
        <v>998</v>
      </c>
      <c r="I276" s="80"/>
      <c r="J276" s="80"/>
      <c r="K276" s="80" t="s">
        <v>2284</v>
      </c>
      <c r="L276" s="80"/>
      <c r="M276" s="80" t="s">
        <v>2296</v>
      </c>
      <c r="N276" s="83" t="s">
        <v>31</v>
      </c>
      <c r="O276" s="80">
        <v>3660</v>
      </c>
      <c r="P276" s="80">
        <v>2000</v>
      </c>
      <c r="Q276" s="80">
        <v>1750</v>
      </c>
      <c r="R276" s="80"/>
      <c r="S276" s="80">
        <v>2730</v>
      </c>
      <c r="T276" s="80">
        <v>2100</v>
      </c>
      <c r="U276" s="80">
        <v>6208</v>
      </c>
      <c r="V276" s="80">
        <v>915</v>
      </c>
      <c r="W276" s="80">
        <v>3750</v>
      </c>
      <c r="X276" s="80">
        <v>1410</v>
      </c>
      <c r="Y276" s="80"/>
      <c r="Z276" s="80"/>
      <c r="AA276" s="80" t="s">
        <v>2297</v>
      </c>
      <c r="AB276" s="80">
        <v>3500</v>
      </c>
      <c r="AC276" s="80">
        <v>1015</v>
      </c>
      <c r="AD276" s="80"/>
      <c r="AE276" s="80"/>
      <c r="AF276" s="80"/>
      <c r="AG276" s="80"/>
      <c r="AH276" s="80">
        <v>12.8</v>
      </c>
      <c r="AI276" s="80" t="s">
        <v>2298</v>
      </c>
      <c r="AJ276" s="80"/>
      <c r="AK276" s="80" t="s">
        <v>1354</v>
      </c>
      <c r="AL276" s="80"/>
      <c r="AM276" s="80" t="s">
        <v>1696</v>
      </c>
      <c r="AN276" s="80"/>
      <c r="AO276" s="80" t="s">
        <v>2288</v>
      </c>
      <c r="AP276" s="80"/>
      <c r="AQ276" s="80"/>
      <c r="AR276" s="80"/>
      <c r="AS276" s="80"/>
      <c r="AT276" s="80"/>
      <c r="AU276" s="84" t="s">
        <v>2289</v>
      </c>
      <c r="AV276" s="80"/>
      <c r="AW276" s="80"/>
      <c r="AX276" s="80"/>
      <c r="AY276" s="91"/>
      <c r="AZ276" s="91"/>
      <c r="BA276" s="91"/>
      <c r="BB276" s="91"/>
      <c r="BC276" s="91"/>
      <c r="BD276" s="91"/>
      <c r="BE276" s="91"/>
      <c r="BF276" s="91"/>
      <c r="BG276" s="91"/>
      <c r="BH276" s="91"/>
      <c r="BI276" s="91"/>
      <c r="BJ276" s="91"/>
      <c r="BK276" s="91"/>
      <c r="BL276" s="91"/>
      <c r="BM276" s="91"/>
      <c r="BN276" s="91"/>
      <c r="BO276" s="91"/>
      <c r="BP276" s="91"/>
      <c r="BQ276" s="91"/>
      <c r="BR276" s="91"/>
      <c r="BS276" s="91">
        <v>1</v>
      </c>
      <c r="BU276" s="91">
        <v>1</v>
      </c>
      <c r="BV276" s="93"/>
      <c r="BW276" s="90" t="s">
        <v>2290</v>
      </c>
      <c r="BX276" s="83" t="s">
        <v>63</v>
      </c>
      <c r="BY276" s="144"/>
      <c r="BZ276" s="80" t="str">
        <f t="shared" si="0"/>
        <v>FR_FRBR_ST42C14 E CB - GRO01</v>
      </c>
      <c r="CA276" s="144"/>
      <c r="CB276" s="80" t="str">
        <f t="shared" si="1"/>
        <v>FR_FRBR_ST42C14 E CB - GRO01</v>
      </c>
      <c r="CC276" s="80">
        <f t="shared" si="2"/>
        <v>1</v>
      </c>
      <c r="CD276" s="80" t="s">
        <v>2299</v>
      </c>
      <c r="CE276" s="144"/>
      <c r="CF276" s="80"/>
      <c r="CG276" s="144"/>
      <c r="CH276" s="144"/>
      <c r="CI276" s="144"/>
      <c r="CJ276" s="144"/>
      <c r="CK276" s="144"/>
      <c r="CL276" s="144"/>
    </row>
    <row r="277" spans="1:90" s="95" customFormat="1" ht="25.15" customHeight="1" outlineLevel="1" x14ac:dyDescent="0.25">
      <c r="A277" s="80" t="s">
        <v>202</v>
      </c>
      <c r="B277" s="80"/>
      <c r="C277" s="80" t="s">
        <v>2283</v>
      </c>
      <c r="D277" s="91"/>
      <c r="E277" s="80" t="s">
        <v>2300</v>
      </c>
      <c r="F277" s="80" t="s">
        <v>2301</v>
      </c>
      <c r="G277" s="80" t="s">
        <v>41</v>
      </c>
      <c r="H277" s="80" t="s">
        <v>998</v>
      </c>
      <c r="I277" s="80" t="s">
        <v>7</v>
      </c>
      <c r="J277" s="80"/>
      <c r="K277" s="80" t="s">
        <v>2284</v>
      </c>
      <c r="L277" s="80"/>
      <c r="M277" s="80" t="s">
        <v>2302</v>
      </c>
      <c r="N277" s="83" t="s">
        <v>31</v>
      </c>
      <c r="O277" s="80">
        <v>5255</v>
      </c>
      <c r="P277" s="80">
        <v>2430</v>
      </c>
      <c r="Q277" s="80">
        <v>1950</v>
      </c>
      <c r="R277" s="80"/>
      <c r="S277" s="80">
        <v>3235</v>
      </c>
      <c r="T277" s="80">
        <v>2550</v>
      </c>
      <c r="U277" s="80">
        <v>7525</v>
      </c>
      <c r="V277" s="80">
        <v>1035</v>
      </c>
      <c r="W277" s="80">
        <v>3900</v>
      </c>
      <c r="X277" s="80">
        <v>2335</v>
      </c>
      <c r="Y277" s="80"/>
      <c r="Z277" s="80"/>
      <c r="AA277" s="80" t="s">
        <v>2303</v>
      </c>
      <c r="AB277" s="80">
        <v>11990</v>
      </c>
      <c r="AC277" s="80">
        <v>5715</v>
      </c>
      <c r="AD277" s="80"/>
      <c r="AE277" s="80"/>
      <c r="AF277" s="80"/>
      <c r="AG277" s="80"/>
      <c r="AH277" s="80">
        <v>24.9</v>
      </c>
      <c r="AI277" s="80" t="s">
        <v>2304</v>
      </c>
      <c r="AJ277" s="80"/>
      <c r="AK277" s="90" t="s">
        <v>2305</v>
      </c>
      <c r="AL277" s="90"/>
      <c r="AM277" s="90" t="s">
        <v>2306</v>
      </c>
      <c r="AN277" s="90"/>
      <c r="AO277" s="80" t="s">
        <v>2307</v>
      </c>
      <c r="AP277" s="80"/>
      <c r="AQ277" s="80"/>
      <c r="AR277" s="80"/>
      <c r="AS277" s="80" t="s">
        <v>2308</v>
      </c>
      <c r="AT277" s="80"/>
      <c r="AU277" s="160" t="s">
        <v>2309</v>
      </c>
      <c r="AV277" s="80"/>
      <c r="AW277" s="80"/>
      <c r="AX277" s="80"/>
      <c r="AY277" s="91"/>
      <c r="AZ277" s="91"/>
      <c r="BA277" s="91"/>
      <c r="BB277" s="91"/>
      <c r="BC277" s="91"/>
      <c r="BD277" s="91"/>
      <c r="BE277" s="91"/>
      <c r="BF277" s="91"/>
      <c r="BG277" s="91"/>
      <c r="BH277" s="91"/>
      <c r="BI277" s="91"/>
      <c r="BJ277" s="91"/>
      <c r="BK277" s="91"/>
      <c r="BL277" s="91"/>
      <c r="BM277" s="91"/>
      <c r="BN277" s="91"/>
      <c r="BO277" s="91"/>
      <c r="BP277" s="91"/>
      <c r="BQ277" s="91"/>
      <c r="BR277" s="91"/>
      <c r="BS277" s="91">
        <v>1</v>
      </c>
      <c r="BU277" s="91">
        <v>1</v>
      </c>
      <c r="BV277" s="93"/>
      <c r="BW277" s="90" t="s">
        <v>2290</v>
      </c>
      <c r="BX277" s="83" t="s">
        <v>63</v>
      </c>
      <c r="BY277" s="144"/>
      <c r="BZ277" s="80" t="str">
        <f t="shared" si="0"/>
        <v>FR_FRBR_STXB 210.12 CB - GRO01</v>
      </c>
      <c r="CA277" s="144"/>
      <c r="CB277" s="80" t="str">
        <f t="shared" si="1"/>
        <v>FR_FRBR_STXB 210.12 CB - GRO01</v>
      </c>
      <c r="CC277" s="80">
        <f t="shared" si="2"/>
        <v>1</v>
      </c>
      <c r="CD277" s="80" t="s">
        <v>2310</v>
      </c>
      <c r="CE277" s="144"/>
      <c r="CF277" s="80"/>
      <c r="CG277" s="144"/>
      <c r="CH277" s="144"/>
      <c r="CI277" s="144"/>
      <c r="CJ277" s="144"/>
      <c r="CK277" s="144"/>
      <c r="CL277" s="144"/>
    </row>
    <row r="278" spans="1:90" s="95" customFormat="1" ht="25.15" customHeight="1" outlineLevel="1" x14ac:dyDescent="0.25">
      <c r="A278" s="80" t="s">
        <v>202</v>
      </c>
      <c r="B278" s="80"/>
      <c r="C278" s="80" t="s">
        <v>2283</v>
      </c>
      <c r="D278" s="91"/>
      <c r="E278" s="80" t="s">
        <v>2300</v>
      </c>
      <c r="F278" s="80" t="s">
        <v>2301</v>
      </c>
      <c r="G278" s="80" t="s">
        <v>41</v>
      </c>
      <c r="H278" s="80" t="s">
        <v>998</v>
      </c>
      <c r="I278" s="80" t="s">
        <v>7</v>
      </c>
      <c r="J278" s="80"/>
      <c r="K278" s="80" t="s">
        <v>2284</v>
      </c>
      <c r="L278" s="80"/>
      <c r="M278" s="80" t="s">
        <v>2302</v>
      </c>
      <c r="N278" s="83" t="s">
        <v>456</v>
      </c>
      <c r="O278" s="80">
        <v>6060</v>
      </c>
      <c r="P278" s="80">
        <v>2430</v>
      </c>
      <c r="Q278" s="80">
        <v>1950</v>
      </c>
      <c r="R278" s="80"/>
      <c r="S278" s="80">
        <v>3235</v>
      </c>
      <c r="T278" s="80">
        <v>2550</v>
      </c>
      <c r="U278" s="80">
        <v>8330</v>
      </c>
      <c r="V278" s="80">
        <v>1035</v>
      </c>
      <c r="W278" s="80">
        <v>4650</v>
      </c>
      <c r="X278" s="80">
        <v>2390</v>
      </c>
      <c r="Y278" s="80"/>
      <c r="Z278" s="80"/>
      <c r="AA278" s="80" t="s">
        <v>2303</v>
      </c>
      <c r="AB278" s="80">
        <v>11990</v>
      </c>
      <c r="AC278" s="80">
        <v>5470</v>
      </c>
      <c r="AD278" s="80"/>
      <c r="AE278" s="80"/>
      <c r="AF278" s="80"/>
      <c r="AG278" s="80"/>
      <c r="AH278" s="80">
        <v>28.7</v>
      </c>
      <c r="AI278" s="80" t="s">
        <v>2304</v>
      </c>
      <c r="AJ278" s="80"/>
      <c r="AK278" s="90" t="s">
        <v>2305</v>
      </c>
      <c r="AL278" s="90"/>
      <c r="AM278" s="90" t="s">
        <v>2306</v>
      </c>
      <c r="AN278" s="90"/>
      <c r="AO278" s="80" t="s">
        <v>2307</v>
      </c>
      <c r="AP278" s="80"/>
      <c r="AQ278" s="80"/>
      <c r="AR278" s="80"/>
      <c r="AS278" s="80" t="s">
        <v>2308</v>
      </c>
      <c r="AT278" s="80"/>
      <c r="AU278" s="161" t="s">
        <v>2309</v>
      </c>
      <c r="AV278" s="80"/>
      <c r="AW278" s="80"/>
      <c r="AX278" s="80"/>
      <c r="AY278" s="91"/>
      <c r="AZ278" s="91"/>
      <c r="BA278" s="91"/>
      <c r="BB278" s="91"/>
      <c r="BC278" s="91"/>
      <c r="BD278" s="91"/>
      <c r="BE278" s="91"/>
      <c r="BF278" s="91"/>
      <c r="BG278" s="91"/>
      <c r="BH278" s="91"/>
      <c r="BI278" s="91"/>
      <c r="BJ278" s="91"/>
      <c r="BK278" s="91"/>
      <c r="BL278" s="91"/>
      <c r="BM278" s="91"/>
      <c r="BN278" s="91"/>
      <c r="BO278" s="91"/>
      <c r="BP278" s="91"/>
      <c r="BQ278" s="91"/>
      <c r="BR278" s="91"/>
      <c r="BS278" s="91">
        <v>1</v>
      </c>
      <c r="BU278" s="91">
        <v>1</v>
      </c>
      <c r="BV278" s="93"/>
      <c r="BW278" s="90" t="s">
        <v>2290</v>
      </c>
      <c r="BX278" s="83" t="s">
        <v>64</v>
      </c>
      <c r="BY278" s="144"/>
      <c r="BZ278" s="80" t="str">
        <f t="shared" si="0"/>
        <v>FR_FRBR_STXB 210.12 CB - GRO02</v>
      </c>
      <c r="CA278" s="144"/>
      <c r="CB278" s="80" t="str">
        <f t="shared" si="1"/>
        <v>FR_FRBR_STXB 210.12 CB - GRO02</v>
      </c>
      <c r="CC278" s="80">
        <f t="shared" si="2"/>
        <v>1</v>
      </c>
      <c r="CD278" s="80" t="s">
        <v>2311</v>
      </c>
      <c r="CE278" s="144"/>
      <c r="CF278" s="80"/>
      <c r="CG278" s="144"/>
      <c r="CH278" s="144"/>
      <c r="CI278" s="144"/>
      <c r="CJ278" s="144"/>
      <c r="CK278" s="144"/>
      <c r="CL278" s="144"/>
    </row>
    <row r="279" spans="1:90" s="95" customFormat="1" ht="25.15" customHeight="1" outlineLevel="1" x14ac:dyDescent="0.25">
      <c r="A279" s="80" t="s">
        <v>202</v>
      </c>
      <c r="B279" s="80"/>
      <c r="C279" s="80" t="s">
        <v>2283</v>
      </c>
      <c r="D279" s="91"/>
      <c r="E279" s="80" t="s">
        <v>2300</v>
      </c>
      <c r="F279" s="80" t="s">
        <v>2301</v>
      </c>
      <c r="G279" s="80" t="s">
        <v>41</v>
      </c>
      <c r="H279" s="80" t="s">
        <v>998</v>
      </c>
      <c r="I279" s="80" t="s">
        <v>7</v>
      </c>
      <c r="J279" s="80"/>
      <c r="K279" s="80" t="s">
        <v>2284</v>
      </c>
      <c r="L279" s="80"/>
      <c r="M279" s="80" t="s">
        <v>2312</v>
      </c>
      <c r="N279" s="83" t="s">
        <v>456</v>
      </c>
      <c r="O279" s="80">
        <v>6060</v>
      </c>
      <c r="P279" s="80">
        <v>2430</v>
      </c>
      <c r="Q279" s="80">
        <v>1950</v>
      </c>
      <c r="R279" s="80"/>
      <c r="S279" s="80">
        <v>3385</v>
      </c>
      <c r="T279" s="80">
        <v>2550</v>
      </c>
      <c r="U279" s="80">
        <v>8380</v>
      </c>
      <c r="V279" s="80">
        <v>1185</v>
      </c>
      <c r="W279" s="80">
        <v>4800</v>
      </c>
      <c r="X279" s="80">
        <v>2240</v>
      </c>
      <c r="Y279" s="80"/>
      <c r="Z279" s="80"/>
      <c r="AA279" s="80" t="s">
        <v>2303</v>
      </c>
      <c r="AB279" s="80">
        <v>14000</v>
      </c>
      <c r="AC279" s="80">
        <v>6850</v>
      </c>
      <c r="AD279" s="80"/>
      <c r="AE279" s="80"/>
      <c r="AF279" s="80"/>
      <c r="AG279" s="80"/>
      <c r="AH279" s="80">
        <v>28.7</v>
      </c>
      <c r="AI279" s="80" t="s">
        <v>2304</v>
      </c>
      <c r="AJ279" s="80"/>
      <c r="AK279" s="90" t="s">
        <v>2305</v>
      </c>
      <c r="AL279" s="90"/>
      <c r="AM279" s="90" t="s">
        <v>2313</v>
      </c>
      <c r="AN279" s="90"/>
      <c r="AO279" s="80" t="s">
        <v>2307</v>
      </c>
      <c r="AP279" s="80"/>
      <c r="AQ279" s="80"/>
      <c r="AR279" s="80"/>
      <c r="AS279" s="80" t="s">
        <v>2308</v>
      </c>
      <c r="AT279" s="80"/>
      <c r="AU279" s="161" t="s">
        <v>2309</v>
      </c>
      <c r="AV279" s="80"/>
      <c r="AW279" s="80"/>
      <c r="AX279" s="80"/>
      <c r="AY279" s="91"/>
      <c r="AZ279" s="91"/>
      <c r="BA279" s="91"/>
      <c r="BB279" s="91"/>
      <c r="BC279" s="91"/>
      <c r="BD279" s="91"/>
      <c r="BE279" s="91"/>
      <c r="BF279" s="91"/>
      <c r="BG279" s="91"/>
      <c r="BH279" s="91"/>
      <c r="BI279" s="91"/>
      <c r="BJ279" s="91"/>
      <c r="BK279" s="91"/>
      <c r="BL279" s="91"/>
      <c r="BM279" s="91"/>
      <c r="BN279" s="91"/>
      <c r="BO279" s="91"/>
      <c r="BP279" s="91"/>
      <c r="BQ279" s="91"/>
      <c r="BR279" s="91"/>
      <c r="BS279" s="91">
        <v>1</v>
      </c>
      <c r="BU279" s="91">
        <v>2</v>
      </c>
      <c r="BV279" s="93"/>
      <c r="BW279" s="90" t="s">
        <v>2290</v>
      </c>
      <c r="BX279" s="83" t="s">
        <v>64</v>
      </c>
      <c r="BY279" s="144"/>
      <c r="BZ279" s="80" t="str">
        <f t="shared" si="0"/>
        <v>FR_FRBR_STXB 210.14 CB - GRO02</v>
      </c>
      <c r="CA279" s="144"/>
      <c r="CB279" s="80" t="str">
        <f t="shared" si="1"/>
        <v>FR_FRBR_STXB 210.14 CB - GRO02</v>
      </c>
      <c r="CC279" s="80">
        <f t="shared" si="2"/>
        <v>1</v>
      </c>
      <c r="CD279" s="80" t="s">
        <v>2314</v>
      </c>
      <c r="CE279" s="144"/>
      <c r="CF279" s="80"/>
      <c r="CG279" s="144"/>
      <c r="CH279" s="144"/>
      <c r="CI279" s="144"/>
      <c r="CJ279" s="144"/>
      <c r="CK279" s="144"/>
      <c r="CL279" s="144"/>
    </row>
    <row r="280" spans="1:90" s="123" customFormat="1" ht="25.15" customHeight="1" outlineLevel="1" x14ac:dyDescent="0.25">
      <c r="A280" s="1" t="s">
        <v>202</v>
      </c>
      <c r="B280" s="80"/>
      <c r="C280" s="80" t="s">
        <v>2283</v>
      </c>
      <c r="D280" s="162"/>
      <c r="E280" s="80" t="s">
        <v>2300</v>
      </c>
      <c r="F280" s="80" t="s">
        <v>2301</v>
      </c>
      <c r="G280" s="80" t="s">
        <v>41</v>
      </c>
      <c r="H280" s="80" t="s">
        <v>998</v>
      </c>
      <c r="I280" s="80" t="s">
        <v>7</v>
      </c>
      <c r="J280" s="80"/>
      <c r="K280" s="80" t="s">
        <v>2315</v>
      </c>
      <c r="L280" s="80"/>
      <c r="M280" s="80" t="s">
        <v>2316</v>
      </c>
      <c r="N280" s="83" t="s">
        <v>31</v>
      </c>
      <c r="O280" s="80">
        <v>5565</v>
      </c>
      <c r="P280" s="80">
        <v>2420</v>
      </c>
      <c r="Q280" s="80">
        <v>1950</v>
      </c>
      <c r="R280" s="80"/>
      <c r="S280" s="80">
        <v>3440</v>
      </c>
      <c r="T280" s="80">
        <v>2550</v>
      </c>
      <c r="U280" s="80">
        <v>7440</v>
      </c>
      <c r="V280" s="80">
        <v>1100</v>
      </c>
      <c r="W280" s="80">
        <v>4300</v>
      </c>
      <c r="X280" s="80">
        <v>1850</v>
      </c>
      <c r="Y280" s="80"/>
      <c r="Z280" s="80"/>
      <c r="AA280" s="80" t="s">
        <v>2303</v>
      </c>
      <c r="AB280" s="80">
        <v>11990</v>
      </c>
      <c r="AC280" s="80">
        <v>5780</v>
      </c>
      <c r="AD280" s="80"/>
      <c r="AE280" s="80"/>
      <c r="AF280" s="80"/>
      <c r="AG280" s="80"/>
      <c r="AH280" s="80">
        <v>26.2</v>
      </c>
      <c r="AI280" s="80" t="s">
        <v>2304</v>
      </c>
      <c r="AJ280" s="80"/>
      <c r="AK280" s="90" t="s">
        <v>2305</v>
      </c>
      <c r="AL280" s="90"/>
      <c r="AM280" s="90" t="s">
        <v>2306</v>
      </c>
      <c r="AN280" s="90"/>
      <c r="AO280" s="80" t="s">
        <v>2317</v>
      </c>
      <c r="AP280" s="80"/>
      <c r="AQ280" s="80"/>
      <c r="AR280" s="80"/>
      <c r="AS280" s="80" t="s">
        <v>2308</v>
      </c>
      <c r="AT280" s="80"/>
      <c r="AU280" s="161" t="s">
        <v>2309</v>
      </c>
      <c r="AV280" s="80"/>
      <c r="AW280" s="80"/>
      <c r="AX280" s="80"/>
      <c r="AY280" s="91"/>
      <c r="AZ280" s="91"/>
      <c r="BA280" s="91"/>
      <c r="BB280" s="91"/>
      <c r="BC280" s="91"/>
      <c r="BD280" s="91"/>
      <c r="BE280" s="91"/>
      <c r="BF280" s="91"/>
      <c r="BG280" s="91"/>
      <c r="BH280" s="91"/>
      <c r="BI280" s="91"/>
      <c r="BJ280" s="91"/>
      <c r="BK280" s="91"/>
      <c r="BL280" s="91"/>
      <c r="BM280" s="91"/>
      <c r="BN280" s="91"/>
      <c r="BO280" s="91"/>
      <c r="BP280" s="91"/>
      <c r="BQ280" s="91"/>
      <c r="BR280" s="91"/>
      <c r="BS280" s="91">
        <v>1</v>
      </c>
      <c r="BU280" s="116">
        <v>2</v>
      </c>
      <c r="BV280" s="93"/>
      <c r="BW280" s="90" t="s">
        <v>2290</v>
      </c>
      <c r="BX280" s="83" t="s">
        <v>63</v>
      </c>
      <c r="BY280" s="147"/>
      <c r="BZ280" s="80" t="str">
        <f t="shared" si="0"/>
        <v>FR_FRBR_STXB 210.12 CB - LIB01</v>
      </c>
      <c r="CA280" s="144"/>
      <c r="CB280" s="80" t="str">
        <f t="shared" si="1"/>
        <v>FR_FRBR_STXB 210.12 CB - LIB01</v>
      </c>
      <c r="CC280" s="80">
        <f t="shared" si="2"/>
        <v>1</v>
      </c>
      <c r="CD280" s="80" t="s">
        <v>2318</v>
      </c>
      <c r="CE280" s="144"/>
      <c r="CF280" s="80"/>
      <c r="CG280" s="147"/>
      <c r="CH280" s="147"/>
      <c r="CI280" s="147"/>
      <c r="CJ280" s="147"/>
      <c r="CK280" s="147"/>
      <c r="CL280" s="147"/>
    </row>
    <row r="281" spans="1:90" s="123" customFormat="1" ht="25.15" customHeight="1" outlineLevel="1" x14ac:dyDescent="0.25">
      <c r="A281" s="1" t="s">
        <v>202</v>
      </c>
      <c r="B281" s="80"/>
      <c r="C281" s="80" t="s">
        <v>2283</v>
      </c>
      <c r="D281" s="162"/>
      <c r="E281" s="80" t="s">
        <v>2300</v>
      </c>
      <c r="F281" s="80" t="s">
        <v>2301</v>
      </c>
      <c r="G281" s="80" t="s">
        <v>41</v>
      </c>
      <c r="H281" s="80" t="s">
        <v>998</v>
      </c>
      <c r="I281" s="80" t="s">
        <v>7</v>
      </c>
      <c r="J281" s="80"/>
      <c r="K281" s="80" t="s">
        <v>2315</v>
      </c>
      <c r="L281" s="80"/>
      <c r="M281" s="80" t="s">
        <v>2316</v>
      </c>
      <c r="N281" s="83" t="s">
        <v>456</v>
      </c>
      <c r="O281" s="80">
        <v>6115</v>
      </c>
      <c r="P281" s="80">
        <v>2420</v>
      </c>
      <c r="Q281" s="80">
        <v>1950</v>
      </c>
      <c r="R281" s="80"/>
      <c r="S281" s="80">
        <v>3450</v>
      </c>
      <c r="T281" s="80">
        <v>2550</v>
      </c>
      <c r="U281" s="80">
        <v>8280</v>
      </c>
      <c r="V281" s="80">
        <v>1100</v>
      </c>
      <c r="W281" s="80">
        <v>4650</v>
      </c>
      <c r="X281" s="80">
        <v>2340</v>
      </c>
      <c r="Y281" s="80"/>
      <c r="Z281" s="80"/>
      <c r="AA281" s="80" t="s">
        <v>2303</v>
      </c>
      <c r="AB281" s="80">
        <v>11990</v>
      </c>
      <c r="AC281" s="80">
        <v>5595</v>
      </c>
      <c r="AD281" s="80"/>
      <c r="AE281" s="80"/>
      <c r="AF281" s="80"/>
      <c r="AG281" s="80"/>
      <c r="AH281" s="80">
        <v>28.8</v>
      </c>
      <c r="AI281" s="80" t="s">
        <v>2304</v>
      </c>
      <c r="AJ281" s="80"/>
      <c r="AK281" s="90" t="s">
        <v>2305</v>
      </c>
      <c r="AL281" s="90"/>
      <c r="AM281" s="90" t="s">
        <v>2306</v>
      </c>
      <c r="AN281" s="90"/>
      <c r="AO281" s="80" t="s">
        <v>2317</v>
      </c>
      <c r="AP281" s="80"/>
      <c r="AQ281" s="80"/>
      <c r="AR281" s="80"/>
      <c r="AS281" s="80" t="s">
        <v>2308</v>
      </c>
      <c r="AT281" s="80"/>
      <c r="AU281" s="161" t="s">
        <v>2309</v>
      </c>
      <c r="AV281" s="80"/>
      <c r="AW281" s="80"/>
      <c r="AX281" s="80"/>
      <c r="AY281" s="91"/>
      <c r="AZ281" s="91"/>
      <c r="BA281" s="91"/>
      <c r="BB281" s="91"/>
      <c r="BC281" s="91"/>
      <c r="BD281" s="91"/>
      <c r="BE281" s="91"/>
      <c r="BF281" s="91"/>
      <c r="BG281" s="91"/>
      <c r="BH281" s="91"/>
      <c r="BI281" s="91"/>
      <c r="BJ281" s="91"/>
      <c r="BK281" s="91"/>
      <c r="BL281" s="91"/>
      <c r="BM281" s="91"/>
      <c r="BN281" s="91"/>
      <c r="BO281" s="91"/>
      <c r="BP281" s="91"/>
      <c r="BQ281" s="91"/>
      <c r="BR281" s="91"/>
      <c r="BS281" s="91">
        <v>1</v>
      </c>
      <c r="BU281" s="116">
        <v>2</v>
      </c>
      <c r="BV281" s="93"/>
      <c r="BW281" s="90" t="s">
        <v>2290</v>
      </c>
      <c r="BX281" s="83" t="s">
        <v>64</v>
      </c>
      <c r="BY281" s="147"/>
      <c r="BZ281" s="80" t="str">
        <f t="shared" si="0"/>
        <v>FR_FRBR_STXB 210.12 CB - LIB02</v>
      </c>
      <c r="CA281" s="144"/>
      <c r="CB281" s="80" t="str">
        <f t="shared" si="1"/>
        <v>FR_FRBR_STXB 210.12 CB - LIB02</v>
      </c>
      <c r="CC281" s="80">
        <f t="shared" si="2"/>
        <v>1</v>
      </c>
      <c r="CD281" s="80" t="s">
        <v>2319</v>
      </c>
      <c r="CE281" s="144"/>
      <c r="CF281" s="80"/>
      <c r="CG281" s="147"/>
      <c r="CH281" s="147"/>
      <c r="CI281" s="147"/>
      <c r="CJ281" s="147"/>
      <c r="CK281" s="147"/>
      <c r="CL281" s="147"/>
    </row>
    <row r="282" spans="1:90" s="123" customFormat="1" ht="25.15" customHeight="1" outlineLevel="1" x14ac:dyDescent="0.25">
      <c r="A282" s="1" t="s">
        <v>202</v>
      </c>
      <c r="B282" s="80"/>
      <c r="C282" s="80" t="s">
        <v>2283</v>
      </c>
      <c r="D282" s="162"/>
      <c r="E282" s="80" t="s">
        <v>2300</v>
      </c>
      <c r="F282" s="80" t="s">
        <v>2301</v>
      </c>
      <c r="G282" s="80" t="s">
        <v>41</v>
      </c>
      <c r="H282" s="80" t="s">
        <v>998</v>
      </c>
      <c r="I282" s="80" t="s">
        <v>7</v>
      </c>
      <c r="J282" s="80"/>
      <c r="K282" s="80" t="s">
        <v>2315</v>
      </c>
      <c r="L282" s="80"/>
      <c r="M282" s="80" t="s">
        <v>2320</v>
      </c>
      <c r="N282" s="83" t="s">
        <v>456</v>
      </c>
      <c r="O282" s="80">
        <v>6115</v>
      </c>
      <c r="P282" s="80">
        <v>2420</v>
      </c>
      <c r="Q282" s="80">
        <v>1950</v>
      </c>
      <c r="R282" s="80"/>
      <c r="S282" s="80">
        <v>3550</v>
      </c>
      <c r="T282" s="80">
        <v>2550</v>
      </c>
      <c r="U282" s="80">
        <v>8280</v>
      </c>
      <c r="V282" s="80">
        <v>1190</v>
      </c>
      <c r="W282" s="80">
        <v>4800</v>
      </c>
      <c r="X282" s="80">
        <v>2140</v>
      </c>
      <c r="Y282" s="80"/>
      <c r="Z282" s="80"/>
      <c r="AA282" s="80" t="s">
        <v>2303</v>
      </c>
      <c r="AB282" s="80">
        <v>14000</v>
      </c>
      <c r="AC282" s="80">
        <v>6900</v>
      </c>
      <c r="AD282" s="80"/>
      <c r="AE282" s="80"/>
      <c r="AF282" s="80"/>
      <c r="AG282" s="80"/>
      <c r="AH282" s="80">
        <v>28.8</v>
      </c>
      <c r="AI282" s="80" t="s">
        <v>2304</v>
      </c>
      <c r="AJ282" s="80"/>
      <c r="AK282" s="90" t="s">
        <v>2305</v>
      </c>
      <c r="AL282" s="90"/>
      <c r="AM282" s="90" t="s">
        <v>2313</v>
      </c>
      <c r="AN282" s="90"/>
      <c r="AO282" s="80" t="s">
        <v>2317</v>
      </c>
      <c r="AP282" s="80"/>
      <c r="AQ282" s="80"/>
      <c r="AR282" s="80"/>
      <c r="AS282" s="80" t="s">
        <v>2308</v>
      </c>
      <c r="AT282" s="80"/>
      <c r="AU282" s="161" t="s">
        <v>2309</v>
      </c>
      <c r="AV282" s="80"/>
      <c r="AW282" s="80"/>
      <c r="AX282" s="80"/>
      <c r="AY282" s="91"/>
      <c r="AZ282" s="91"/>
      <c r="BA282" s="91"/>
      <c r="BB282" s="91"/>
      <c r="BC282" s="91"/>
      <c r="BD282" s="91"/>
      <c r="BE282" s="91"/>
      <c r="BF282" s="91"/>
      <c r="BG282" s="91"/>
      <c r="BH282" s="91"/>
      <c r="BI282" s="91"/>
      <c r="BJ282" s="91"/>
      <c r="BK282" s="91"/>
      <c r="BL282" s="91"/>
      <c r="BM282" s="91"/>
      <c r="BN282" s="91"/>
      <c r="BO282" s="91"/>
      <c r="BP282" s="91"/>
      <c r="BQ282" s="91"/>
      <c r="BR282" s="91"/>
      <c r="BS282" s="91">
        <v>1</v>
      </c>
      <c r="BU282" s="116">
        <v>2</v>
      </c>
      <c r="BV282" s="111"/>
      <c r="BW282" s="1" t="s">
        <v>2290</v>
      </c>
      <c r="BX282" s="83" t="s">
        <v>64</v>
      </c>
      <c r="BY282" s="147"/>
      <c r="BZ282" s="80" t="str">
        <f t="shared" si="0"/>
        <v>FR_FRBR_STXB 210.14 CB - LIB02</v>
      </c>
      <c r="CA282" s="163"/>
      <c r="CB282" s="80" t="str">
        <f t="shared" si="1"/>
        <v>FR_FRBR_STXB 210.14 CB - LIB02</v>
      </c>
      <c r="CC282" s="80">
        <f t="shared" si="2"/>
        <v>1</v>
      </c>
      <c r="CD282" s="80" t="s">
        <v>2321</v>
      </c>
      <c r="CE282" s="163"/>
      <c r="CF282" s="80"/>
      <c r="CG282" s="147"/>
      <c r="CH282" s="147"/>
      <c r="CI282" s="147"/>
      <c r="CJ282" s="147"/>
      <c r="CK282" s="147"/>
      <c r="CL282" s="147"/>
    </row>
    <row r="283" spans="1:90" s="143" customFormat="1" ht="25.15" customHeight="1" x14ac:dyDescent="0.25">
      <c r="A283" s="9" t="s">
        <v>202</v>
      </c>
      <c r="B283" s="80" t="s">
        <v>4366</v>
      </c>
      <c r="C283" s="80"/>
      <c r="D283" s="80"/>
      <c r="E283" s="80" t="s">
        <v>448</v>
      </c>
      <c r="F283" s="80" t="s">
        <v>1151</v>
      </c>
      <c r="G283" s="80" t="s">
        <v>1152</v>
      </c>
      <c r="H283" s="80" t="s">
        <v>29</v>
      </c>
      <c r="I283" s="80"/>
      <c r="J283" s="80"/>
      <c r="K283" s="80" t="s">
        <v>1153</v>
      </c>
      <c r="L283" s="1"/>
      <c r="M283" s="80" t="s">
        <v>1154</v>
      </c>
      <c r="N283" s="80" t="s">
        <v>4386</v>
      </c>
      <c r="O283" s="80">
        <v>1495</v>
      </c>
      <c r="P283" s="80">
        <v>1245</v>
      </c>
      <c r="Q283" s="80">
        <v>1040</v>
      </c>
      <c r="R283" s="80"/>
      <c r="S283" s="80">
        <v>1860</v>
      </c>
      <c r="T283" s="80">
        <v>1848</v>
      </c>
      <c r="U283" s="80">
        <v>4403</v>
      </c>
      <c r="V283" s="80">
        <v>640</v>
      </c>
      <c r="W283" s="80">
        <v>2785</v>
      </c>
      <c r="X283" s="80">
        <v>726</v>
      </c>
      <c r="Y283" s="80"/>
      <c r="Z283" s="80"/>
      <c r="AA283" s="80" t="s">
        <v>1155</v>
      </c>
      <c r="AB283" s="80">
        <v>2020</v>
      </c>
      <c r="AC283" s="80">
        <v>420</v>
      </c>
      <c r="AD283" s="80"/>
      <c r="AE283" s="80"/>
      <c r="AF283" s="80"/>
      <c r="AG283" s="80"/>
      <c r="AH283" s="80">
        <v>1.7</v>
      </c>
      <c r="AI283" s="80" t="s">
        <v>1156</v>
      </c>
      <c r="AJ283" s="80"/>
      <c r="AK283" s="80" t="s">
        <v>1157</v>
      </c>
      <c r="AL283" s="80"/>
      <c r="AM283" s="80" t="s">
        <v>1158</v>
      </c>
      <c r="AN283" s="80"/>
      <c r="AO283" s="80" t="s">
        <v>1159</v>
      </c>
      <c r="AP283" s="80"/>
      <c r="AQ283" s="80" t="s">
        <v>1160</v>
      </c>
      <c r="AR283" s="80"/>
      <c r="AS283" s="80"/>
      <c r="AT283" s="80"/>
      <c r="AU283" s="80" t="s">
        <v>1161</v>
      </c>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row>
    <row r="284" spans="1:90" s="144" customFormat="1" ht="25.15" customHeight="1" outlineLevel="1" x14ac:dyDescent="0.25">
      <c r="A284" s="9" t="s">
        <v>202</v>
      </c>
      <c r="B284" s="80" t="s">
        <v>4366</v>
      </c>
      <c r="C284" s="80"/>
      <c r="D284" s="80"/>
      <c r="E284" s="80" t="s">
        <v>448</v>
      </c>
      <c r="F284" s="80" t="s">
        <v>1151</v>
      </c>
      <c r="G284" s="80" t="s">
        <v>1152</v>
      </c>
      <c r="H284" s="80" t="s">
        <v>29</v>
      </c>
      <c r="I284" s="80"/>
      <c r="J284" s="1"/>
      <c r="K284" s="80" t="s">
        <v>1153</v>
      </c>
      <c r="L284" s="1"/>
      <c r="M284" s="80" t="s">
        <v>1154</v>
      </c>
      <c r="N284" s="80" t="s">
        <v>4387</v>
      </c>
      <c r="O284" s="80">
        <v>1845</v>
      </c>
      <c r="P284" s="80">
        <v>1245</v>
      </c>
      <c r="Q284" s="80">
        <v>1040</v>
      </c>
      <c r="R284" s="80"/>
      <c r="S284" s="80">
        <v>1970</v>
      </c>
      <c r="T284" s="80">
        <v>1848</v>
      </c>
      <c r="U284" s="80">
        <v>4753</v>
      </c>
      <c r="V284" s="80">
        <v>640</v>
      </c>
      <c r="W284" s="80">
        <v>2975</v>
      </c>
      <c r="X284" s="80">
        <v>886</v>
      </c>
      <c r="Y284" s="80"/>
      <c r="Z284" s="80"/>
      <c r="AA284" s="80" t="s">
        <v>1166</v>
      </c>
      <c r="AB284" s="80">
        <v>2370</v>
      </c>
      <c r="AC284" s="80">
        <v>660</v>
      </c>
      <c r="AD284" s="80"/>
      <c r="AE284" s="80"/>
      <c r="AF284" s="80"/>
      <c r="AG284" s="80"/>
      <c r="AH284" s="80" t="s">
        <v>1167</v>
      </c>
      <c r="AI284" s="80" t="s">
        <v>1156</v>
      </c>
      <c r="AJ284" s="80"/>
      <c r="AK284" s="80" t="s">
        <v>1157</v>
      </c>
      <c r="AL284" s="80"/>
      <c r="AM284" s="80" t="s">
        <v>1168</v>
      </c>
      <c r="AN284" s="80"/>
      <c r="AO284" s="80" t="s">
        <v>1169</v>
      </c>
      <c r="AP284" s="80"/>
      <c r="AQ284" s="80" t="s">
        <v>1170</v>
      </c>
      <c r="AR284" s="80"/>
      <c r="AS284" s="80"/>
      <c r="AT284" s="80"/>
      <c r="AU284" s="80" t="s">
        <v>1171</v>
      </c>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row>
    <row r="285" spans="1:90" s="144" customFormat="1" ht="25.15" customHeight="1" outlineLevel="1" x14ac:dyDescent="0.25">
      <c r="A285" s="9" t="s">
        <v>202</v>
      </c>
      <c r="B285" s="80" t="s">
        <v>4366</v>
      </c>
      <c r="C285" s="80"/>
      <c r="D285" s="80"/>
      <c r="E285" s="80" t="s">
        <v>448</v>
      </c>
      <c r="F285" s="80" t="s">
        <v>449</v>
      </c>
      <c r="G285" s="80" t="s">
        <v>450</v>
      </c>
      <c r="H285" s="80" t="s">
        <v>29</v>
      </c>
      <c r="I285" s="80"/>
      <c r="J285" s="1"/>
      <c r="K285" s="80" t="s">
        <v>1153</v>
      </c>
      <c r="L285" s="1"/>
      <c r="M285" s="80" t="s">
        <v>1226</v>
      </c>
      <c r="N285" s="80" t="s">
        <v>4386</v>
      </c>
      <c r="O285" s="80">
        <v>2706</v>
      </c>
      <c r="P285" s="80">
        <v>1630</v>
      </c>
      <c r="Q285" s="80">
        <v>1725</v>
      </c>
      <c r="R285" s="80"/>
      <c r="S285" s="80">
        <v>2522</v>
      </c>
      <c r="T285" s="80">
        <v>2050</v>
      </c>
      <c r="U285" s="80">
        <v>5413</v>
      </c>
      <c r="V285" s="80">
        <v>600</v>
      </c>
      <c r="W285" s="80">
        <v>3450</v>
      </c>
      <c r="X285" s="80">
        <v>1015</v>
      </c>
      <c r="Y285" s="80"/>
      <c r="Z285" s="80"/>
      <c r="AA285" s="80" t="s">
        <v>1227</v>
      </c>
      <c r="AB285" s="80">
        <v>3500</v>
      </c>
      <c r="AC285" s="80">
        <v>930</v>
      </c>
      <c r="AD285" s="80"/>
      <c r="AE285" s="80"/>
      <c r="AF285" s="80"/>
      <c r="AG285" s="80"/>
      <c r="AH285" s="80" t="s">
        <v>1228</v>
      </c>
      <c r="AI285" s="80" t="s">
        <v>1229</v>
      </c>
      <c r="AJ285" s="80"/>
      <c r="AK285" s="80" t="s">
        <v>1230</v>
      </c>
      <c r="AL285" s="80"/>
      <c r="AM285" s="80" t="s">
        <v>1231</v>
      </c>
      <c r="AN285" s="80"/>
      <c r="AO285" s="80" t="s">
        <v>1232</v>
      </c>
      <c r="AP285" s="80"/>
      <c r="AQ285" s="80" t="s">
        <v>1233</v>
      </c>
      <c r="AR285" s="80"/>
      <c r="AS285" s="80"/>
      <c r="AT285" s="80"/>
      <c r="AU285" s="80" t="s">
        <v>1234</v>
      </c>
      <c r="AV285" s="80"/>
      <c r="AW285" s="80"/>
      <c r="AX285" s="80"/>
      <c r="AY285" s="80"/>
      <c r="AZ285" s="80"/>
      <c r="BA285" s="80"/>
      <c r="BB285" s="80"/>
      <c r="BC285" s="80"/>
      <c r="BD285" s="80"/>
      <c r="BE285" s="80"/>
      <c r="BF285" s="80"/>
      <c r="BG285" s="80"/>
      <c r="BH285" s="80"/>
      <c r="BI285" s="80"/>
      <c r="BJ285" s="80"/>
      <c r="BK285" s="80"/>
      <c r="BL285" s="80"/>
      <c r="BM285" s="80"/>
      <c r="BN285" s="80"/>
      <c r="BO285" s="80"/>
      <c r="BP285" s="80"/>
      <c r="BQ285" s="80"/>
      <c r="BR285" s="80"/>
      <c r="BS285" s="80"/>
      <c r="BT285" s="80"/>
    </row>
    <row r="286" spans="1:90" s="144" customFormat="1" ht="25.15" customHeight="1" outlineLevel="1" x14ac:dyDescent="0.25">
      <c r="A286" s="9" t="s">
        <v>202</v>
      </c>
      <c r="B286" s="80" t="s">
        <v>4366</v>
      </c>
      <c r="C286" s="80"/>
      <c r="D286" s="80"/>
      <c r="E286" s="80" t="s">
        <v>448</v>
      </c>
      <c r="F286" s="80" t="s">
        <v>449</v>
      </c>
      <c r="G286" s="80" t="s">
        <v>450</v>
      </c>
      <c r="H286" s="80" t="s">
        <v>29</v>
      </c>
      <c r="I286" s="80"/>
      <c r="J286" s="1"/>
      <c r="K286" s="80" t="s">
        <v>1153</v>
      </c>
      <c r="L286" s="1"/>
      <c r="M286" s="80" t="s">
        <v>1226</v>
      </c>
      <c r="N286" s="80" t="s">
        <v>4387</v>
      </c>
      <c r="O286" s="80">
        <v>3291</v>
      </c>
      <c r="P286" s="80">
        <v>1630</v>
      </c>
      <c r="Q286" s="80">
        <v>1725</v>
      </c>
      <c r="R286" s="80"/>
      <c r="S286" s="80">
        <v>2522</v>
      </c>
      <c r="T286" s="80">
        <v>2050</v>
      </c>
      <c r="U286" s="80">
        <v>5998</v>
      </c>
      <c r="V286" s="80">
        <v>600</v>
      </c>
      <c r="W286" s="80">
        <v>4035</v>
      </c>
      <c r="X286" s="80">
        <v>1015</v>
      </c>
      <c r="Y286" s="80"/>
      <c r="Z286" s="80"/>
      <c r="AA286" s="80" t="s">
        <v>1235</v>
      </c>
      <c r="AB286" s="80">
        <v>3500</v>
      </c>
      <c r="AC286" s="80">
        <v>845</v>
      </c>
      <c r="AD286" s="80"/>
      <c r="AE286" s="80"/>
      <c r="AF286" s="80"/>
      <c r="AG286" s="80"/>
      <c r="AH286" s="80" t="s">
        <v>1236</v>
      </c>
      <c r="AI286" s="80" t="s">
        <v>1229</v>
      </c>
      <c r="AJ286" s="80"/>
      <c r="AK286" s="80" t="s">
        <v>1230</v>
      </c>
      <c r="AL286" s="80"/>
      <c r="AM286" s="80" t="s">
        <v>1231</v>
      </c>
      <c r="AN286" s="80"/>
      <c r="AO286" s="80" t="s">
        <v>1232</v>
      </c>
      <c r="AP286" s="80"/>
      <c r="AQ286" s="80" t="s">
        <v>1233</v>
      </c>
      <c r="AR286" s="80"/>
      <c r="AS286" s="80"/>
      <c r="AT286" s="80"/>
      <c r="AU286" s="80" t="s">
        <v>1237</v>
      </c>
      <c r="AV286" s="80"/>
      <c r="AW286" s="80"/>
      <c r="AX286" s="80"/>
      <c r="AY286" s="80"/>
      <c r="AZ286" s="80"/>
      <c r="BA286" s="80"/>
      <c r="BB286" s="80"/>
      <c r="BC286" s="80"/>
      <c r="BD286" s="80"/>
      <c r="BE286" s="80"/>
      <c r="BF286" s="80"/>
      <c r="BG286" s="80"/>
      <c r="BH286" s="80"/>
      <c r="BI286" s="80"/>
      <c r="BJ286" s="80"/>
      <c r="BK286" s="80"/>
      <c r="BL286" s="80"/>
      <c r="BM286" s="80"/>
      <c r="BN286" s="80"/>
      <c r="BO286" s="80"/>
      <c r="BP286" s="80"/>
      <c r="BQ286" s="80"/>
      <c r="BR286" s="80"/>
      <c r="BS286" s="80"/>
      <c r="BT286" s="80"/>
    </row>
    <row r="287" spans="1:90" s="144" customFormat="1" ht="25.15" customHeight="1" outlineLevel="1" x14ac:dyDescent="0.25">
      <c r="A287" s="9" t="s">
        <v>202</v>
      </c>
      <c r="B287" s="80" t="s">
        <v>4366</v>
      </c>
      <c r="C287" s="80"/>
      <c r="D287" s="80"/>
      <c r="E287" s="80" t="s">
        <v>448</v>
      </c>
      <c r="F287" s="80" t="s">
        <v>449</v>
      </c>
      <c r="G287" s="80" t="s">
        <v>450</v>
      </c>
      <c r="H287" s="80" t="s">
        <v>29</v>
      </c>
      <c r="I287" s="80"/>
      <c r="J287" s="1"/>
      <c r="K287" s="80" t="s">
        <v>30</v>
      </c>
      <c r="L287" s="1"/>
      <c r="M287" s="80" t="s">
        <v>1244</v>
      </c>
      <c r="N287" s="80" t="s">
        <v>4386</v>
      </c>
      <c r="O287" s="80">
        <v>2922</v>
      </c>
      <c r="P287" s="80">
        <v>1904</v>
      </c>
      <c r="Q287" s="80">
        <v>1950</v>
      </c>
      <c r="R287" s="80"/>
      <c r="S287" s="80">
        <v>2782</v>
      </c>
      <c r="T287" s="80">
        <v>2050</v>
      </c>
      <c r="U287" s="80">
        <v>5743</v>
      </c>
      <c r="V287" s="80">
        <v>740</v>
      </c>
      <c r="W287" s="80">
        <v>3450</v>
      </c>
      <c r="X287" s="80">
        <v>1345</v>
      </c>
      <c r="Y287" s="80"/>
      <c r="Z287" s="80"/>
      <c r="AA287" s="80" t="s">
        <v>500</v>
      </c>
      <c r="AB287" s="80">
        <v>3500</v>
      </c>
      <c r="AC287" s="80">
        <v>1125</v>
      </c>
      <c r="AD287" s="80"/>
      <c r="AE287" s="80"/>
      <c r="AF287" s="80"/>
      <c r="AG287" s="80"/>
      <c r="AH287" s="80" t="s">
        <v>501</v>
      </c>
      <c r="AI287" s="80" t="s">
        <v>1245</v>
      </c>
      <c r="AJ287" s="80"/>
      <c r="AK287" s="80" t="s">
        <v>1230</v>
      </c>
      <c r="AL287" s="80"/>
      <c r="AM287" s="80" t="s">
        <v>1246</v>
      </c>
      <c r="AN287" s="80"/>
      <c r="AO287" s="80" t="s">
        <v>1247</v>
      </c>
      <c r="AP287" s="80"/>
      <c r="AQ287" s="80" t="s">
        <v>1248</v>
      </c>
      <c r="AR287" s="80"/>
      <c r="AS287" s="80"/>
      <c r="AT287" s="80"/>
      <c r="AU287" s="80" t="s">
        <v>502</v>
      </c>
      <c r="AV287" s="80"/>
      <c r="AW287" s="80"/>
      <c r="AX287" s="80"/>
      <c r="AY287" s="80"/>
      <c r="AZ287" s="80"/>
      <c r="BA287" s="80"/>
      <c r="BB287" s="80"/>
      <c r="BC287" s="80"/>
      <c r="BD287" s="80"/>
      <c r="BE287" s="80"/>
      <c r="BF287" s="80"/>
      <c r="BG287" s="80"/>
      <c r="BH287" s="80"/>
      <c r="BI287" s="80"/>
      <c r="BJ287" s="80"/>
      <c r="BK287" s="80"/>
      <c r="BL287" s="80"/>
      <c r="BM287" s="80"/>
      <c r="BN287" s="80"/>
      <c r="BO287" s="80"/>
      <c r="BP287" s="80"/>
      <c r="BQ287" s="80"/>
      <c r="BR287" s="80"/>
      <c r="BS287" s="80"/>
      <c r="BT287" s="80"/>
    </row>
    <row r="288" spans="1:90" s="143" customFormat="1" ht="25.15" customHeight="1" outlineLevel="1" x14ac:dyDescent="0.25">
      <c r="A288" s="9" t="s">
        <v>202</v>
      </c>
      <c r="B288" s="80" t="s">
        <v>4366</v>
      </c>
      <c r="C288" s="80"/>
      <c r="D288" s="80"/>
      <c r="E288" s="80" t="s">
        <v>448</v>
      </c>
      <c r="F288" s="80" t="s">
        <v>449</v>
      </c>
      <c r="G288" s="80" t="s">
        <v>450</v>
      </c>
      <c r="H288" s="80" t="s">
        <v>12</v>
      </c>
      <c r="I288" s="80"/>
      <c r="J288" s="1"/>
      <c r="K288" s="80" t="s">
        <v>30</v>
      </c>
      <c r="L288" s="1"/>
      <c r="M288" s="80" t="s">
        <v>1244</v>
      </c>
      <c r="N288" s="80" t="s">
        <v>4388</v>
      </c>
      <c r="O288" s="80">
        <v>2922</v>
      </c>
      <c r="P288" s="80">
        <v>1904</v>
      </c>
      <c r="Q288" s="80">
        <v>2050</v>
      </c>
      <c r="R288" s="80"/>
      <c r="S288" s="80">
        <v>2799</v>
      </c>
      <c r="T288" s="80">
        <v>2050</v>
      </c>
      <c r="U288" s="80">
        <v>5743</v>
      </c>
      <c r="V288" s="80">
        <v>740</v>
      </c>
      <c r="W288" s="80">
        <v>3450</v>
      </c>
      <c r="X288" s="80">
        <v>1345</v>
      </c>
      <c r="Y288" s="80"/>
      <c r="Z288" s="80"/>
      <c r="AA288" s="80" t="s">
        <v>1258</v>
      </c>
      <c r="AB288" s="80">
        <v>3500</v>
      </c>
      <c r="AC288" s="80">
        <v>905</v>
      </c>
      <c r="AD288" s="80"/>
      <c r="AE288" s="80"/>
      <c r="AF288" s="80"/>
      <c r="AG288" s="80"/>
      <c r="AH288" s="80" t="s">
        <v>1259</v>
      </c>
      <c r="AI288" s="80" t="s">
        <v>1253</v>
      </c>
      <c r="AJ288" s="80"/>
      <c r="AK288" s="80" t="s">
        <v>1230</v>
      </c>
      <c r="AL288" s="80"/>
      <c r="AM288" s="80" t="s">
        <v>1246</v>
      </c>
      <c r="AN288" s="80"/>
      <c r="AO288" s="80" t="s">
        <v>1260</v>
      </c>
      <c r="AP288" s="80"/>
      <c r="AQ288" s="80" t="s">
        <v>1261</v>
      </c>
      <c r="AR288" s="80"/>
      <c r="AS288" s="80"/>
      <c r="AT288" s="80"/>
      <c r="AU288" s="80" t="s">
        <v>452</v>
      </c>
      <c r="AV288" s="80"/>
      <c r="AW288" s="80"/>
      <c r="AX288" s="80"/>
      <c r="AY288" s="80"/>
      <c r="AZ288" s="80"/>
      <c r="BA288" s="80"/>
      <c r="BB288" s="80"/>
      <c r="BC288" s="80"/>
      <c r="BD288" s="80"/>
      <c r="BE288" s="80"/>
      <c r="BF288" s="80"/>
      <c r="BG288" s="80"/>
      <c r="BH288" s="80"/>
      <c r="BI288" s="80"/>
      <c r="BJ288" s="80"/>
      <c r="BK288" s="80"/>
      <c r="BL288" s="80"/>
      <c r="BM288" s="80"/>
      <c r="BN288" s="80"/>
      <c r="BO288" s="80"/>
      <c r="BP288" s="80"/>
      <c r="BQ288" s="80"/>
      <c r="BR288" s="80"/>
      <c r="BS288" s="80"/>
      <c r="BT288" s="80"/>
    </row>
    <row r="289" spans="1:78" s="143" customFormat="1" ht="25.15" customHeight="1" outlineLevel="1" x14ac:dyDescent="0.25">
      <c r="A289" s="9" t="s">
        <v>202</v>
      </c>
      <c r="B289" s="80" t="s">
        <v>4366</v>
      </c>
      <c r="C289" s="80"/>
      <c r="D289" s="80"/>
      <c r="E289" s="80" t="s">
        <v>1468</v>
      </c>
      <c r="F289" s="80" t="s">
        <v>1469</v>
      </c>
      <c r="G289" s="80" t="s">
        <v>1152</v>
      </c>
      <c r="H289" s="80" t="s">
        <v>29</v>
      </c>
      <c r="I289" s="80"/>
      <c r="J289" s="9"/>
      <c r="K289" s="80" t="s">
        <v>30</v>
      </c>
      <c r="L289" s="1"/>
      <c r="M289" s="80" t="s">
        <v>1470</v>
      </c>
      <c r="N289" s="80" t="s">
        <v>4386</v>
      </c>
      <c r="O289" s="80">
        <v>1510</v>
      </c>
      <c r="P289" s="80">
        <v>1320</v>
      </c>
      <c r="Q289" s="80">
        <v>1080</v>
      </c>
      <c r="R289" s="80"/>
      <c r="S289" s="80">
        <v>2055</v>
      </c>
      <c r="T289" s="80">
        <v>1860</v>
      </c>
      <c r="U289" s="80">
        <v>4489</v>
      </c>
      <c r="V289" s="80">
        <v>660</v>
      </c>
      <c r="W289" s="80">
        <v>2716</v>
      </c>
      <c r="X289" s="80">
        <v>813</v>
      </c>
      <c r="Y289" s="80"/>
      <c r="Z289" s="80"/>
      <c r="AA289" s="80" t="s">
        <v>1471</v>
      </c>
      <c r="AB289" s="80">
        <v>2230</v>
      </c>
      <c r="AC289" s="80">
        <v>535</v>
      </c>
      <c r="AD289" s="80"/>
      <c r="AE289" s="80"/>
      <c r="AF289" s="80"/>
      <c r="AG289" s="80"/>
      <c r="AH289" s="80">
        <v>1.7</v>
      </c>
      <c r="AI289" s="80" t="s">
        <v>1472</v>
      </c>
      <c r="AJ289" s="80"/>
      <c r="AK289" s="80" t="s">
        <v>1473</v>
      </c>
      <c r="AL289" s="80"/>
      <c r="AM289" s="80" t="s">
        <v>1474</v>
      </c>
      <c r="AN289" s="80"/>
      <c r="AO289" s="80" t="s">
        <v>1475</v>
      </c>
      <c r="AP289" s="80"/>
      <c r="AQ289" s="80" t="s">
        <v>1476</v>
      </c>
      <c r="AR289" s="80"/>
      <c r="AS289" s="80"/>
      <c r="AT289" s="80"/>
      <c r="AU289" s="84" t="s">
        <v>1477</v>
      </c>
      <c r="AV289" s="80"/>
      <c r="AW289" s="80"/>
      <c r="AX289" s="80"/>
      <c r="AY289" s="80"/>
      <c r="AZ289" s="80"/>
      <c r="BA289" s="80"/>
      <c r="BB289" s="80"/>
      <c r="BC289" s="80"/>
      <c r="BD289" s="80"/>
      <c r="BE289" s="80"/>
      <c r="BF289" s="80"/>
      <c r="BG289" s="80"/>
      <c r="BH289" s="80"/>
      <c r="BI289" s="80"/>
      <c r="BJ289" s="80"/>
      <c r="BK289" s="80"/>
      <c r="BL289" s="80"/>
      <c r="BM289" s="80"/>
      <c r="BN289" s="80"/>
      <c r="BO289" s="80"/>
      <c r="BP289" s="80"/>
      <c r="BQ289" s="80"/>
      <c r="BR289" s="80"/>
      <c r="BS289" s="80"/>
      <c r="BT289" s="80"/>
    </row>
    <row r="290" spans="1:78" s="143" customFormat="1" ht="25.15" customHeight="1" outlineLevel="1" x14ac:dyDescent="0.25">
      <c r="A290" s="9" t="s">
        <v>202</v>
      </c>
      <c r="B290" s="80" t="s">
        <v>4366</v>
      </c>
      <c r="C290" s="80"/>
      <c r="D290" s="80"/>
      <c r="E290" s="80" t="s">
        <v>1468</v>
      </c>
      <c r="F290" s="80" t="s">
        <v>1469</v>
      </c>
      <c r="G290" s="80" t="s">
        <v>1199</v>
      </c>
      <c r="H290" s="80" t="s">
        <v>29</v>
      </c>
      <c r="I290" s="80"/>
      <c r="J290" s="80"/>
      <c r="K290" s="80" t="s">
        <v>30</v>
      </c>
      <c r="L290" s="1"/>
      <c r="M290" s="80" t="s">
        <v>1488</v>
      </c>
      <c r="N290" s="80" t="s">
        <v>4386</v>
      </c>
      <c r="O290" s="80">
        <v>1719</v>
      </c>
      <c r="P290" s="80">
        <v>1716</v>
      </c>
      <c r="Q290" s="80">
        <v>1425</v>
      </c>
      <c r="R290" s="80"/>
      <c r="S290" s="80">
        <v>2137</v>
      </c>
      <c r="T290" s="80">
        <v>1850</v>
      </c>
      <c r="U290" s="80">
        <v>4936</v>
      </c>
      <c r="V290" s="80">
        <v>640</v>
      </c>
      <c r="W290" s="80">
        <v>2716</v>
      </c>
      <c r="X290" s="80">
        <v>1260</v>
      </c>
      <c r="Y290" s="80"/>
      <c r="Z290" s="80"/>
      <c r="AA290" s="80" t="s">
        <v>1489</v>
      </c>
      <c r="AB290" s="80">
        <v>2230</v>
      </c>
      <c r="AC290" s="80">
        <v>510</v>
      </c>
      <c r="AD290" s="80"/>
      <c r="AE290" s="80"/>
      <c r="AF290" s="80"/>
      <c r="AG290" s="80"/>
      <c r="AH290" s="80">
        <v>4</v>
      </c>
      <c r="AI290" s="80" t="s">
        <v>1480</v>
      </c>
      <c r="AJ290" s="80"/>
      <c r="AK290" s="80" t="s">
        <v>1481</v>
      </c>
      <c r="AL290" s="80"/>
      <c r="AM290" s="80" t="s">
        <v>1482</v>
      </c>
      <c r="AN290" s="80"/>
      <c r="AO290" s="80" t="s">
        <v>1483</v>
      </c>
      <c r="AP290" s="80"/>
      <c r="AQ290" s="80" t="s">
        <v>1490</v>
      </c>
      <c r="AR290" s="80"/>
      <c r="AS290" s="80"/>
      <c r="AT290" s="80"/>
      <c r="AU290" s="84" t="s">
        <v>1485</v>
      </c>
      <c r="AV290" s="80"/>
      <c r="AW290" s="80"/>
      <c r="AX290" s="80"/>
      <c r="AY290" s="80"/>
      <c r="AZ290" s="80"/>
      <c r="BA290" s="80"/>
      <c r="BB290" s="80"/>
      <c r="BC290" s="80"/>
      <c r="BD290" s="80"/>
      <c r="BE290" s="80"/>
      <c r="BF290" s="80"/>
      <c r="BG290" s="80"/>
      <c r="BH290" s="80"/>
      <c r="BI290" s="80"/>
      <c r="BJ290" s="80"/>
      <c r="BK290" s="80"/>
      <c r="BL290" s="80"/>
      <c r="BM290" s="80"/>
      <c r="BN290" s="80"/>
      <c r="BO290" s="80"/>
      <c r="BP290" s="80"/>
      <c r="BQ290" s="80"/>
      <c r="BR290" s="80"/>
      <c r="BS290" s="80"/>
      <c r="BT290" s="80"/>
    </row>
    <row r="291" spans="1:78" s="144" customFormat="1" ht="25.15" customHeight="1" outlineLevel="1" x14ac:dyDescent="0.25">
      <c r="A291" s="9" t="s">
        <v>202</v>
      </c>
      <c r="B291" s="80" t="s">
        <v>4366</v>
      </c>
      <c r="C291" s="80"/>
      <c r="D291" s="80"/>
      <c r="E291" s="80" t="s">
        <v>1468</v>
      </c>
      <c r="F291" s="80" t="s">
        <v>1469</v>
      </c>
      <c r="G291" s="80" t="s">
        <v>1199</v>
      </c>
      <c r="H291" s="80" t="s">
        <v>29</v>
      </c>
      <c r="I291" s="80"/>
      <c r="J291" s="80"/>
      <c r="K291" s="80" t="s">
        <v>30</v>
      </c>
      <c r="L291" s="1"/>
      <c r="M291" s="80" t="s">
        <v>1488</v>
      </c>
      <c r="N291" s="80" t="s">
        <v>4387</v>
      </c>
      <c r="O291" s="80">
        <v>2107</v>
      </c>
      <c r="P291" s="80">
        <v>1716</v>
      </c>
      <c r="Q291" s="80">
        <v>1425</v>
      </c>
      <c r="R291" s="80"/>
      <c r="S291" s="80">
        <v>2137</v>
      </c>
      <c r="T291" s="80">
        <v>1850</v>
      </c>
      <c r="U291" s="80">
        <v>5316</v>
      </c>
      <c r="V291" s="80">
        <v>640</v>
      </c>
      <c r="W291" s="80">
        <v>3100</v>
      </c>
      <c r="X291" s="80">
        <v>1256</v>
      </c>
      <c r="Y291" s="80"/>
      <c r="Z291" s="80"/>
      <c r="AA291" s="80" t="s">
        <v>1489</v>
      </c>
      <c r="AB291" s="80">
        <v>2270</v>
      </c>
      <c r="AC291" s="80">
        <v>480</v>
      </c>
      <c r="AD291" s="80"/>
      <c r="AE291" s="80"/>
      <c r="AF291" s="80"/>
      <c r="AG291" s="80"/>
      <c r="AH291" s="80">
        <v>5</v>
      </c>
      <c r="AI291" s="80" t="s">
        <v>1480</v>
      </c>
      <c r="AJ291" s="80"/>
      <c r="AK291" s="80" t="s">
        <v>1481</v>
      </c>
      <c r="AL291" s="80"/>
      <c r="AM291" s="80" t="s">
        <v>1482</v>
      </c>
      <c r="AN291" s="80"/>
      <c r="AO291" s="80" t="s">
        <v>1483</v>
      </c>
      <c r="AP291" s="80"/>
      <c r="AQ291" s="80" t="s">
        <v>1490</v>
      </c>
      <c r="AR291" s="80"/>
      <c r="AS291" s="80"/>
      <c r="AT291" s="80"/>
      <c r="AU291" s="84" t="s">
        <v>1487</v>
      </c>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row>
    <row r="292" spans="1:78" s="144" customFormat="1" ht="25.15" customHeight="1" outlineLevel="1" x14ac:dyDescent="0.25">
      <c r="A292" s="9" t="s">
        <v>202</v>
      </c>
      <c r="B292" s="80" t="s">
        <v>4366</v>
      </c>
      <c r="C292" s="80"/>
      <c r="D292" s="80"/>
      <c r="E292" s="80" t="s">
        <v>1468</v>
      </c>
      <c r="F292" s="80" t="s">
        <v>1506</v>
      </c>
      <c r="G292" s="80" t="s">
        <v>1152</v>
      </c>
      <c r="H292" s="80" t="s">
        <v>29</v>
      </c>
      <c r="I292" s="80"/>
      <c r="J292" s="1"/>
      <c r="K292" s="80" t="s">
        <v>1153</v>
      </c>
      <c r="L292" s="1"/>
      <c r="M292" s="80" t="s">
        <v>1507</v>
      </c>
      <c r="N292" s="80" t="s">
        <v>4386</v>
      </c>
      <c r="O292" s="80">
        <v>2170</v>
      </c>
      <c r="P292" s="80">
        <v>1480</v>
      </c>
      <c r="Q292" s="80">
        <v>1225</v>
      </c>
      <c r="R292" s="80"/>
      <c r="S292" s="80">
        <v>2102</v>
      </c>
      <c r="T292" s="80">
        <v>1956</v>
      </c>
      <c r="U292" s="80">
        <v>5080</v>
      </c>
      <c r="V292" s="80">
        <v>640</v>
      </c>
      <c r="W292" s="80">
        <v>3098</v>
      </c>
      <c r="X292" s="80">
        <v>968</v>
      </c>
      <c r="Y292" s="80"/>
      <c r="Z292" s="80"/>
      <c r="AA292" s="80" t="s">
        <v>1508</v>
      </c>
      <c r="AB292" s="80">
        <v>2990</v>
      </c>
      <c r="AC292" s="80">
        <v>815</v>
      </c>
      <c r="AD292" s="80"/>
      <c r="AE292" s="80"/>
      <c r="AF292" s="80"/>
      <c r="AG292" s="80"/>
      <c r="AH292" s="80">
        <v>3.5999999999999996</v>
      </c>
      <c r="AI292" s="80" t="s">
        <v>1509</v>
      </c>
      <c r="AJ292" s="80"/>
      <c r="AK292" s="80" t="s">
        <v>1510</v>
      </c>
      <c r="AL292" s="80"/>
      <c r="AM292" s="80" t="s">
        <v>1511</v>
      </c>
      <c r="AN292" s="80"/>
      <c r="AO292" s="80" t="s">
        <v>1512</v>
      </c>
      <c r="AP292" s="80"/>
      <c r="AQ292" s="80" t="s">
        <v>1513</v>
      </c>
      <c r="AR292" s="80"/>
      <c r="AS292" s="80"/>
      <c r="AT292" s="80"/>
      <c r="AU292" s="84" t="s">
        <v>1514</v>
      </c>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row>
    <row r="293" spans="1:78" s="144" customFormat="1" ht="25.15" customHeight="1" outlineLevel="1" x14ac:dyDescent="0.25">
      <c r="A293" s="9" t="s">
        <v>202</v>
      </c>
      <c r="B293" s="80" t="s">
        <v>4366</v>
      </c>
      <c r="C293" s="80"/>
      <c r="D293" s="80"/>
      <c r="E293" s="80" t="s">
        <v>1468</v>
      </c>
      <c r="F293" s="80" t="s">
        <v>1506</v>
      </c>
      <c r="G293" s="80" t="s">
        <v>1152</v>
      </c>
      <c r="H293" s="80" t="s">
        <v>29</v>
      </c>
      <c r="I293" s="80"/>
      <c r="J293" s="1"/>
      <c r="K293" s="80" t="s">
        <v>1153</v>
      </c>
      <c r="L293" s="1"/>
      <c r="M293" s="80" t="s">
        <v>1507</v>
      </c>
      <c r="N293" s="80" t="s">
        <v>4387</v>
      </c>
      <c r="O293" s="80">
        <v>2570</v>
      </c>
      <c r="P293" s="80">
        <v>1480</v>
      </c>
      <c r="Q293" s="80">
        <v>1225</v>
      </c>
      <c r="R293" s="80"/>
      <c r="S293" s="80">
        <v>2102</v>
      </c>
      <c r="T293" s="80">
        <v>1956</v>
      </c>
      <c r="U293" s="80">
        <v>5480</v>
      </c>
      <c r="V293" s="80">
        <v>640</v>
      </c>
      <c r="W293" s="80">
        <v>3498</v>
      </c>
      <c r="X293" s="80">
        <v>968</v>
      </c>
      <c r="Y293" s="80"/>
      <c r="Z293" s="80"/>
      <c r="AA293" s="80" t="s">
        <v>1515</v>
      </c>
      <c r="AB293" s="80">
        <v>3070</v>
      </c>
      <c r="AC293" s="80">
        <v>855</v>
      </c>
      <c r="AD293" s="80"/>
      <c r="AE293" s="80"/>
      <c r="AF293" s="80"/>
      <c r="AG293" s="80"/>
      <c r="AH293" s="80">
        <v>4.3</v>
      </c>
      <c r="AI293" s="80" t="s">
        <v>1509</v>
      </c>
      <c r="AJ293" s="80"/>
      <c r="AK293" s="80" t="s">
        <v>1510</v>
      </c>
      <c r="AL293" s="80"/>
      <c r="AM293" s="80" t="s">
        <v>1511</v>
      </c>
      <c r="AN293" s="80"/>
      <c r="AO293" s="80" t="s">
        <v>1512</v>
      </c>
      <c r="AP293" s="80"/>
      <c r="AQ293" s="80" t="s">
        <v>1513</v>
      </c>
      <c r="AR293" s="80"/>
      <c r="AS293" s="80"/>
      <c r="AT293" s="80"/>
      <c r="AU293" s="84" t="s">
        <v>1516</v>
      </c>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row>
    <row r="294" spans="1:78" s="144" customFormat="1" ht="25.15" customHeight="1" outlineLevel="1" x14ac:dyDescent="0.25">
      <c r="A294" s="9" t="s">
        <v>202</v>
      </c>
      <c r="B294" s="80" t="s">
        <v>4366</v>
      </c>
      <c r="C294" s="80"/>
      <c r="D294" s="80"/>
      <c r="E294" s="80" t="s">
        <v>1468</v>
      </c>
      <c r="F294" s="80" t="s">
        <v>1506</v>
      </c>
      <c r="G294" s="80" t="s">
        <v>1199</v>
      </c>
      <c r="H294" s="80" t="s">
        <v>29</v>
      </c>
      <c r="I294" s="80"/>
      <c r="J294" s="1"/>
      <c r="K294" s="80" t="s">
        <v>30</v>
      </c>
      <c r="L294" s="1"/>
      <c r="M294" s="80" t="s">
        <v>1517</v>
      </c>
      <c r="N294" s="80" t="s">
        <v>4386</v>
      </c>
      <c r="O294" s="80">
        <v>2622</v>
      </c>
      <c r="P294" s="80">
        <v>1906</v>
      </c>
      <c r="Q294" s="80">
        <v>1600</v>
      </c>
      <c r="R294" s="80"/>
      <c r="S294" s="80">
        <v>2379</v>
      </c>
      <c r="T294" s="80">
        <v>2050</v>
      </c>
      <c r="U294" s="80">
        <v>5729</v>
      </c>
      <c r="V294" s="80">
        <v>670</v>
      </c>
      <c r="W294" s="80">
        <v>3498</v>
      </c>
      <c r="X294" s="80">
        <v>1217</v>
      </c>
      <c r="Y294" s="80"/>
      <c r="Z294" s="80"/>
      <c r="AA294" s="80" t="s">
        <v>1518</v>
      </c>
      <c r="AB294" s="80">
        <v>3070</v>
      </c>
      <c r="AC294" s="80">
        <v>925</v>
      </c>
      <c r="AD294" s="80"/>
      <c r="AE294" s="80"/>
      <c r="AF294" s="80"/>
      <c r="AG294" s="80"/>
      <c r="AH294" s="80" t="s">
        <v>1519</v>
      </c>
      <c r="AI294" s="80" t="s">
        <v>1520</v>
      </c>
      <c r="AJ294" s="80"/>
      <c r="AK294" s="80" t="s">
        <v>1521</v>
      </c>
      <c r="AL294" s="80"/>
      <c r="AM294" s="80" t="s">
        <v>1522</v>
      </c>
      <c r="AN294" s="80"/>
      <c r="AO294" s="80" t="s">
        <v>1523</v>
      </c>
      <c r="AP294" s="80"/>
      <c r="AQ294" s="80" t="s">
        <v>1524</v>
      </c>
      <c r="AR294" s="80"/>
      <c r="AS294" s="80"/>
      <c r="AT294" s="80"/>
      <c r="AU294" s="84" t="s">
        <v>1525</v>
      </c>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row>
    <row r="295" spans="1:78" s="143" customFormat="1" ht="25.15" customHeight="1" outlineLevel="1" x14ac:dyDescent="0.25">
      <c r="A295" s="9" t="s">
        <v>202</v>
      </c>
      <c r="B295" s="80" t="s">
        <v>4366</v>
      </c>
      <c r="C295" s="80"/>
      <c r="D295" s="80"/>
      <c r="E295" s="80" t="s">
        <v>1468</v>
      </c>
      <c r="F295" s="80" t="s">
        <v>1506</v>
      </c>
      <c r="G295" s="80" t="s">
        <v>1199</v>
      </c>
      <c r="H295" s="80" t="s">
        <v>29</v>
      </c>
      <c r="I295" s="80"/>
      <c r="J295" s="1"/>
      <c r="K295" s="80" t="s">
        <v>30</v>
      </c>
      <c r="L295" s="1"/>
      <c r="M295" s="80" t="s">
        <v>1517</v>
      </c>
      <c r="N295" s="80" t="s">
        <v>4387</v>
      </c>
      <c r="O295" s="80">
        <v>2722</v>
      </c>
      <c r="P295" s="80">
        <v>1906</v>
      </c>
      <c r="Q295" s="80">
        <v>1700</v>
      </c>
      <c r="R295" s="80"/>
      <c r="S295" s="80">
        <v>2479</v>
      </c>
      <c r="T295" s="80">
        <v>2050</v>
      </c>
      <c r="U295" s="80">
        <v>5829</v>
      </c>
      <c r="V295" s="80">
        <v>670</v>
      </c>
      <c r="W295" s="80">
        <v>3498</v>
      </c>
      <c r="X295" s="80">
        <v>1317</v>
      </c>
      <c r="Y295" s="80"/>
      <c r="Z295" s="80"/>
      <c r="AA295" s="80" t="s">
        <v>1526</v>
      </c>
      <c r="AB295" s="80">
        <v>3070</v>
      </c>
      <c r="AC295" s="80">
        <v>835</v>
      </c>
      <c r="AD295" s="80"/>
      <c r="AE295" s="80"/>
      <c r="AF295" s="80"/>
      <c r="AG295" s="80"/>
      <c r="AH295" s="80">
        <v>8.5</v>
      </c>
      <c r="AI295" s="80" t="s">
        <v>1527</v>
      </c>
      <c r="AJ295" s="80"/>
      <c r="AK295" s="80" t="s">
        <v>1528</v>
      </c>
      <c r="AL295" s="80"/>
      <c r="AM295" s="80" t="s">
        <v>1522</v>
      </c>
      <c r="AN295" s="80"/>
      <c r="AO295" s="80" t="s">
        <v>1529</v>
      </c>
      <c r="AP295" s="80"/>
      <c r="AQ295" s="80" t="s">
        <v>1530</v>
      </c>
      <c r="AR295" s="80"/>
      <c r="AS295" s="80"/>
      <c r="AT295" s="80"/>
      <c r="AU295" s="84" t="s">
        <v>1531</v>
      </c>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row>
    <row r="296" spans="1:78" s="143" customFormat="1" ht="25.15" customHeight="1" outlineLevel="1" x14ac:dyDescent="0.25">
      <c r="A296" s="9" t="s">
        <v>202</v>
      </c>
      <c r="B296" s="80" t="s">
        <v>4366</v>
      </c>
      <c r="C296" s="80"/>
      <c r="D296" s="80"/>
      <c r="E296" s="80" t="s">
        <v>1468</v>
      </c>
      <c r="F296" s="80" t="s">
        <v>1655</v>
      </c>
      <c r="G296" s="80" t="s">
        <v>450</v>
      </c>
      <c r="H296" s="80" t="s">
        <v>29</v>
      </c>
      <c r="I296" s="80"/>
      <c r="J296" s="1"/>
      <c r="K296" s="80" t="s">
        <v>4373</v>
      </c>
      <c r="L296" s="1"/>
      <c r="M296" s="80" t="s">
        <v>4374</v>
      </c>
      <c r="N296" s="80" t="s">
        <v>4386</v>
      </c>
      <c r="O296" s="80">
        <v>2750</v>
      </c>
      <c r="P296" s="80">
        <v>1610</v>
      </c>
      <c r="Q296" s="80">
        <v>1740</v>
      </c>
      <c r="R296" s="80"/>
      <c r="S296" s="80">
        <v>2565</v>
      </c>
      <c r="T296" s="80">
        <v>2070</v>
      </c>
      <c r="U296" s="80">
        <v>5575</v>
      </c>
      <c r="V296" s="80">
        <v>600</v>
      </c>
      <c r="W296" s="80">
        <v>3682</v>
      </c>
      <c r="X296" s="80">
        <v>1024</v>
      </c>
      <c r="Y296" s="80"/>
      <c r="Z296" s="80"/>
      <c r="AA296" s="80" t="s">
        <v>4375</v>
      </c>
      <c r="AB296" s="80">
        <v>3500</v>
      </c>
      <c r="AC296" s="80">
        <v>880</v>
      </c>
      <c r="AD296" s="80"/>
      <c r="AE296" s="80"/>
      <c r="AF296" s="80"/>
      <c r="AG296" s="80"/>
      <c r="AH296" s="80">
        <v>7.3999999999999995</v>
      </c>
      <c r="AI296" s="80" t="s">
        <v>4391</v>
      </c>
      <c r="AJ296" s="80"/>
      <c r="AK296" s="80" t="s">
        <v>4376</v>
      </c>
      <c r="AL296" s="80"/>
      <c r="AM296" s="80" t="s">
        <v>4377</v>
      </c>
      <c r="AN296" s="80"/>
      <c r="AO296" s="80" t="s">
        <v>4378</v>
      </c>
      <c r="AP296" s="80"/>
      <c r="AQ296" s="80" t="s">
        <v>1233</v>
      </c>
      <c r="AR296" s="80"/>
      <c r="AS296" s="80"/>
      <c r="AT296" s="80"/>
      <c r="AU296" s="80" t="s">
        <v>4379</v>
      </c>
      <c r="AV296" s="80"/>
      <c r="AW296" s="80"/>
      <c r="AX296" s="80"/>
      <c r="AY296" s="80"/>
      <c r="AZ296" s="80"/>
      <c r="BA296" s="84"/>
      <c r="BB296" s="80"/>
      <c r="BC296" s="80"/>
      <c r="BD296" s="80"/>
      <c r="BE296" s="80"/>
      <c r="BF296" s="80"/>
      <c r="BG296" s="80"/>
      <c r="BH296" s="80"/>
      <c r="BI296" s="80"/>
      <c r="BJ296" s="80"/>
      <c r="BK296" s="80"/>
      <c r="BL296" s="80"/>
      <c r="BM296" s="80"/>
      <c r="BN296" s="80"/>
      <c r="BO296" s="80"/>
      <c r="BP296" s="80"/>
      <c r="BQ296" s="80"/>
      <c r="BR296" s="80">
        <f t="shared" ref="BR296:BR297" si="3">+BT296-BS296</f>
        <v>880</v>
      </c>
      <c r="BS296" s="80">
        <v>20</v>
      </c>
      <c r="BT296" s="80">
        <v>900</v>
      </c>
      <c r="BU296" s="80"/>
      <c r="BV296" s="80"/>
      <c r="BW296" s="80"/>
      <c r="BX296" s="80"/>
      <c r="BY296" s="80"/>
      <c r="BZ296" s="80"/>
    </row>
    <row r="297" spans="1:78" s="143" customFormat="1" ht="25.15" customHeight="1" outlineLevel="1" x14ac:dyDescent="0.25">
      <c r="A297" s="9" t="s">
        <v>202</v>
      </c>
      <c r="B297" s="80" t="s">
        <v>4366</v>
      </c>
      <c r="C297" s="80"/>
      <c r="D297" s="80"/>
      <c r="E297" s="80" t="s">
        <v>1468</v>
      </c>
      <c r="F297" s="80" t="s">
        <v>1655</v>
      </c>
      <c r="G297" s="80" t="s">
        <v>450</v>
      </c>
      <c r="H297" s="80" t="s">
        <v>29</v>
      </c>
      <c r="I297" s="80"/>
      <c r="J297" s="1"/>
      <c r="K297" s="80" t="s">
        <v>4373</v>
      </c>
      <c r="L297" s="1"/>
      <c r="M297" s="80" t="s">
        <v>4374</v>
      </c>
      <c r="N297" s="80" t="s">
        <v>4387</v>
      </c>
      <c r="O297" s="80">
        <v>3390</v>
      </c>
      <c r="P297" s="80">
        <v>1610</v>
      </c>
      <c r="Q297" s="80">
        <v>1740</v>
      </c>
      <c r="R297" s="80"/>
      <c r="S297" s="80">
        <v>2565</v>
      </c>
      <c r="T297" s="80">
        <v>2070</v>
      </c>
      <c r="U297" s="80">
        <v>6225</v>
      </c>
      <c r="V297" s="80">
        <v>600</v>
      </c>
      <c r="W297" s="80">
        <v>4332</v>
      </c>
      <c r="X297" s="80">
        <v>1024</v>
      </c>
      <c r="Y297" s="80"/>
      <c r="Z297" s="80"/>
      <c r="AA297" s="80" t="s">
        <v>4380</v>
      </c>
      <c r="AB297" s="80">
        <v>3500</v>
      </c>
      <c r="AC297" s="80">
        <v>745</v>
      </c>
      <c r="AD297" s="80"/>
      <c r="AE297" s="80"/>
      <c r="AF297" s="80"/>
      <c r="AG297" s="80"/>
      <c r="AH297" s="80">
        <v>9.1000000000000014</v>
      </c>
      <c r="AI297" s="80" t="s">
        <v>4391</v>
      </c>
      <c r="AJ297" s="80"/>
      <c r="AK297" s="80" t="s">
        <v>4376</v>
      </c>
      <c r="AL297" s="80"/>
      <c r="AM297" s="80" t="s">
        <v>4377</v>
      </c>
      <c r="AN297" s="80"/>
      <c r="AO297" s="80" t="s">
        <v>4378</v>
      </c>
      <c r="AP297" s="80"/>
      <c r="AQ297" s="80" t="s">
        <v>1233</v>
      </c>
      <c r="AR297" s="80"/>
      <c r="AS297" s="80"/>
      <c r="AT297" s="80"/>
      <c r="AU297" s="80" t="s">
        <v>4381</v>
      </c>
      <c r="AV297" s="80"/>
      <c r="AW297" s="80"/>
      <c r="AX297" s="80"/>
      <c r="AY297" s="80"/>
      <c r="AZ297" s="80"/>
      <c r="BA297" s="84"/>
      <c r="BB297" s="80"/>
      <c r="BC297" s="80"/>
      <c r="BD297" s="80"/>
      <c r="BE297" s="80"/>
      <c r="BF297" s="80"/>
      <c r="BG297" s="80"/>
      <c r="BH297" s="80"/>
      <c r="BI297" s="80"/>
      <c r="BJ297" s="80"/>
      <c r="BK297" s="80"/>
      <c r="BL297" s="80"/>
      <c r="BM297" s="80"/>
      <c r="BN297" s="80"/>
      <c r="BO297" s="80"/>
      <c r="BP297" s="80"/>
      <c r="BQ297" s="80"/>
      <c r="BR297" s="80">
        <f t="shared" si="3"/>
        <v>745</v>
      </c>
      <c r="BS297" s="80">
        <v>20</v>
      </c>
      <c r="BT297" s="80">
        <v>765</v>
      </c>
      <c r="BU297" s="80"/>
      <c r="BV297" s="80"/>
      <c r="BW297" s="80"/>
      <c r="BX297" s="80"/>
      <c r="BY297" s="80"/>
      <c r="BZ297" s="80"/>
    </row>
    <row r="298" spans="1:78" s="143" customFormat="1" ht="25.15" customHeight="1" outlineLevel="1" x14ac:dyDescent="0.25">
      <c r="A298" s="9" t="s">
        <v>202</v>
      </c>
      <c r="B298" s="80" t="s">
        <v>4366</v>
      </c>
      <c r="C298" s="80"/>
      <c r="D298" s="80"/>
      <c r="E298" s="80" t="s">
        <v>1468</v>
      </c>
      <c r="F298" s="80" t="s">
        <v>1655</v>
      </c>
      <c r="G298" s="80" t="s">
        <v>450</v>
      </c>
      <c r="H298" s="80" t="s">
        <v>29</v>
      </c>
      <c r="I298" s="80"/>
      <c r="J298" s="1"/>
      <c r="K298" s="80" t="s">
        <v>30</v>
      </c>
      <c r="L298" s="1"/>
      <c r="M298" s="80" t="s">
        <v>4367</v>
      </c>
      <c r="N298" s="80" t="s">
        <v>4386</v>
      </c>
      <c r="O298" s="80">
        <v>2924</v>
      </c>
      <c r="P298" s="80">
        <v>1956</v>
      </c>
      <c r="Q298" s="80">
        <v>1950</v>
      </c>
      <c r="R298" s="80"/>
      <c r="S298" s="80">
        <v>2730</v>
      </c>
      <c r="T298" s="80">
        <v>2100</v>
      </c>
      <c r="U298" s="80">
        <v>5863</v>
      </c>
      <c r="V298" s="80">
        <v>690</v>
      </c>
      <c r="W298" s="80">
        <v>3682</v>
      </c>
      <c r="X298" s="80">
        <v>1312</v>
      </c>
      <c r="Y298" s="80"/>
      <c r="Z298" s="80"/>
      <c r="AA298" s="80" t="s">
        <v>4368</v>
      </c>
      <c r="AB298" s="80">
        <v>3500</v>
      </c>
      <c r="AC298" s="80">
        <v>1150</v>
      </c>
      <c r="AD298" s="80"/>
      <c r="AE298" s="80"/>
      <c r="AF298" s="80"/>
      <c r="AG298" s="80"/>
      <c r="AH298" s="80">
        <v>10.9</v>
      </c>
      <c r="AI298" s="80" t="s">
        <v>4369</v>
      </c>
      <c r="AJ298" s="80"/>
      <c r="AK298" s="80" t="s">
        <v>4370</v>
      </c>
      <c r="AL298" s="80"/>
      <c r="AM298" s="80" t="s">
        <v>4396</v>
      </c>
      <c r="AN298" s="80"/>
      <c r="AO298" s="80" t="s">
        <v>4371</v>
      </c>
      <c r="AP298" s="80"/>
      <c r="AQ298" s="80" t="s">
        <v>1248</v>
      </c>
      <c r="AR298" s="80"/>
      <c r="AS298" s="80"/>
      <c r="AT298" s="80"/>
      <c r="AU298" s="80" t="s">
        <v>4372</v>
      </c>
      <c r="AV298" s="80"/>
      <c r="AW298" s="80"/>
      <c r="AX298" s="80"/>
      <c r="AY298" s="80"/>
      <c r="AZ298" s="80"/>
      <c r="BA298" s="84"/>
      <c r="BB298" s="80"/>
      <c r="BC298" s="80"/>
      <c r="BD298" s="80"/>
      <c r="BE298" s="80"/>
      <c r="BF298" s="80"/>
      <c r="BG298" s="80"/>
      <c r="BH298" s="80"/>
      <c r="BI298" s="80"/>
      <c r="BJ298" s="80"/>
      <c r="BK298" s="80"/>
      <c r="BL298" s="80"/>
      <c r="BM298" s="80"/>
      <c r="BN298" s="80"/>
      <c r="BO298" s="80"/>
      <c r="BP298" s="80"/>
      <c r="BQ298" s="80"/>
      <c r="BR298" s="80">
        <f>+BT298-BS298</f>
        <v>1150</v>
      </c>
      <c r="BS298" s="80">
        <v>20</v>
      </c>
      <c r="BT298" s="80">
        <v>1170</v>
      </c>
      <c r="BU298" s="80"/>
      <c r="BV298" s="80"/>
      <c r="BW298" s="80"/>
      <c r="BX298" s="80"/>
      <c r="BY298" s="80"/>
      <c r="BZ298" s="80"/>
    </row>
    <row r="299" spans="1:78" s="144" customFormat="1" ht="25.15" customHeight="1" outlineLevel="1" x14ac:dyDescent="0.25">
      <c r="A299" s="9" t="s">
        <v>202</v>
      </c>
      <c r="B299" s="80" t="s">
        <v>4366</v>
      </c>
      <c r="C299" s="80"/>
      <c r="D299" s="80"/>
      <c r="E299" s="80" t="s">
        <v>33</v>
      </c>
      <c r="F299" s="80" t="s">
        <v>34</v>
      </c>
      <c r="G299" s="80" t="s">
        <v>85</v>
      </c>
      <c r="H299" s="80" t="s">
        <v>29</v>
      </c>
      <c r="I299" s="80"/>
      <c r="J299" s="1"/>
      <c r="K299" s="80" t="s">
        <v>30</v>
      </c>
      <c r="L299" s="1"/>
      <c r="M299" s="80" t="s">
        <v>1273</v>
      </c>
      <c r="N299" s="80" t="s">
        <v>4386</v>
      </c>
      <c r="O299" s="80">
        <v>3224</v>
      </c>
      <c r="P299" s="80">
        <v>1904</v>
      </c>
      <c r="Q299" s="80">
        <v>1950</v>
      </c>
      <c r="R299" s="80"/>
      <c r="S299" s="80">
        <v>2942</v>
      </c>
      <c r="T299" s="80">
        <v>2050</v>
      </c>
      <c r="U299" s="80">
        <v>5932</v>
      </c>
      <c r="V299" s="80">
        <v>900</v>
      </c>
      <c r="W299" s="80">
        <v>3450</v>
      </c>
      <c r="X299" s="80">
        <v>1425</v>
      </c>
      <c r="Y299" s="80"/>
      <c r="Z299" s="80">
        <v>5</v>
      </c>
      <c r="AA299" s="80" t="s">
        <v>503</v>
      </c>
      <c r="AB299" s="80">
        <v>3500</v>
      </c>
      <c r="AC299" s="80">
        <v>685</v>
      </c>
      <c r="AD299" s="80"/>
      <c r="AE299" s="80"/>
      <c r="AF299" s="80"/>
      <c r="AG299" s="80"/>
      <c r="AH299" s="80">
        <v>12</v>
      </c>
      <c r="AI299" s="80" t="s">
        <v>1274</v>
      </c>
      <c r="AJ299" s="80"/>
      <c r="AK299" s="80" t="s">
        <v>1275</v>
      </c>
      <c r="AL299" s="80"/>
      <c r="AM299" s="80" t="s">
        <v>1276</v>
      </c>
      <c r="AN299" s="80"/>
      <c r="AO299" s="80" t="s">
        <v>1277</v>
      </c>
      <c r="AP299" s="80"/>
      <c r="AQ299" s="80" t="s">
        <v>1248</v>
      </c>
      <c r="AR299" s="80"/>
      <c r="AS299" s="80"/>
      <c r="AT299" s="80"/>
      <c r="AU299" s="80" t="s">
        <v>1278</v>
      </c>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row>
    <row r="300" spans="1:78" s="144" customFormat="1" ht="25.15" customHeight="1" outlineLevel="1" x14ac:dyDescent="0.25">
      <c r="A300" s="9" t="s">
        <v>202</v>
      </c>
      <c r="B300" s="80" t="s">
        <v>4366</v>
      </c>
      <c r="C300" s="80"/>
      <c r="D300" s="80"/>
      <c r="E300" s="80" t="s">
        <v>33</v>
      </c>
      <c r="F300" s="80" t="s">
        <v>34</v>
      </c>
      <c r="G300" s="80" t="s">
        <v>85</v>
      </c>
      <c r="H300" s="80" t="s">
        <v>29</v>
      </c>
      <c r="I300" s="80" t="s">
        <v>7</v>
      </c>
      <c r="J300" s="1"/>
      <c r="K300" s="80" t="s">
        <v>30</v>
      </c>
      <c r="L300" s="1"/>
      <c r="M300" s="80" t="s">
        <v>1273</v>
      </c>
      <c r="N300" s="80" t="s">
        <v>4389</v>
      </c>
      <c r="O300" s="80">
        <v>3224</v>
      </c>
      <c r="P300" s="80">
        <v>1904</v>
      </c>
      <c r="Q300" s="80">
        <v>1950</v>
      </c>
      <c r="R300" s="80"/>
      <c r="S300" s="80">
        <v>2942</v>
      </c>
      <c r="T300" s="80">
        <v>2050</v>
      </c>
      <c r="U300" s="80">
        <v>6124</v>
      </c>
      <c r="V300" s="80">
        <v>900</v>
      </c>
      <c r="W300" s="80">
        <v>3450</v>
      </c>
      <c r="X300" s="80">
        <v>1617</v>
      </c>
      <c r="Y300" s="80"/>
      <c r="Z300" s="80">
        <v>5</v>
      </c>
      <c r="AA300" s="80" t="s">
        <v>36</v>
      </c>
      <c r="AB300" s="80">
        <v>3500</v>
      </c>
      <c r="AC300" s="80">
        <v>500</v>
      </c>
      <c r="AD300" s="80"/>
      <c r="AE300" s="80"/>
      <c r="AF300" s="80"/>
      <c r="AG300" s="80"/>
      <c r="AH300" s="80">
        <v>12</v>
      </c>
      <c r="AI300" s="80" t="s">
        <v>1274</v>
      </c>
      <c r="AJ300" s="80"/>
      <c r="AK300" s="80" t="s">
        <v>1275</v>
      </c>
      <c r="AL300" s="80"/>
      <c r="AM300" s="80" t="s">
        <v>1276</v>
      </c>
      <c r="AN300" s="80"/>
      <c r="AO300" s="80" t="s">
        <v>1287</v>
      </c>
      <c r="AP300" s="80"/>
      <c r="AQ300" s="80" t="s">
        <v>1248</v>
      </c>
      <c r="AR300" s="80"/>
      <c r="AS300" s="80" t="s">
        <v>1288</v>
      </c>
      <c r="AT300" s="80"/>
      <c r="AU300" s="80" t="s">
        <v>1289</v>
      </c>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row>
    <row r="301" spans="1:78" s="144" customFormat="1" ht="25.15" customHeight="1" outlineLevel="1" x14ac:dyDescent="0.25">
      <c r="A301" s="9" t="s">
        <v>202</v>
      </c>
      <c r="B301" s="80" t="s">
        <v>4366</v>
      </c>
      <c r="C301" s="80"/>
      <c r="D301" s="80"/>
      <c r="E301" s="80" t="s">
        <v>33</v>
      </c>
      <c r="F301" s="80" t="s">
        <v>34</v>
      </c>
      <c r="G301" s="80" t="s">
        <v>85</v>
      </c>
      <c r="H301" s="80" t="s">
        <v>12</v>
      </c>
      <c r="I301" s="80"/>
      <c r="J301" s="1"/>
      <c r="K301" s="80" t="s">
        <v>30</v>
      </c>
      <c r="L301" s="1"/>
      <c r="M301" s="80" t="s">
        <v>1273</v>
      </c>
      <c r="N301" s="80" t="s">
        <v>4388</v>
      </c>
      <c r="O301" s="80">
        <v>3524</v>
      </c>
      <c r="P301" s="80">
        <v>1904</v>
      </c>
      <c r="Q301" s="80">
        <v>2050</v>
      </c>
      <c r="R301" s="80"/>
      <c r="S301" s="80">
        <v>3040</v>
      </c>
      <c r="T301" s="80">
        <v>2050</v>
      </c>
      <c r="U301" s="80">
        <v>6223</v>
      </c>
      <c r="V301" s="80">
        <v>900</v>
      </c>
      <c r="W301" s="80">
        <v>3450</v>
      </c>
      <c r="X301" s="80">
        <v>1725</v>
      </c>
      <c r="Y301" s="80"/>
      <c r="Z301" s="80">
        <v>5</v>
      </c>
      <c r="AA301" s="80" t="s">
        <v>1290</v>
      </c>
      <c r="AB301" s="80">
        <v>3500</v>
      </c>
      <c r="AC301" s="80">
        <v>395</v>
      </c>
      <c r="AD301" s="80"/>
      <c r="AE301" s="80"/>
      <c r="AF301" s="80"/>
      <c r="AG301" s="80"/>
      <c r="AH301" s="80" t="s">
        <v>1291</v>
      </c>
      <c r="AI301" s="80" t="s">
        <v>1274</v>
      </c>
      <c r="AJ301" s="80"/>
      <c r="AK301" s="80" t="s">
        <v>1275</v>
      </c>
      <c r="AL301" s="80"/>
      <c r="AM301" s="80" t="s">
        <v>1276</v>
      </c>
      <c r="AN301" s="80"/>
      <c r="AO301" s="80" t="s">
        <v>1292</v>
      </c>
      <c r="AP301" s="80"/>
      <c r="AQ301" s="80" t="s">
        <v>1293</v>
      </c>
      <c r="AR301" s="80"/>
      <c r="AS301" s="80"/>
      <c r="AT301" s="80"/>
      <c r="AU301" s="80" t="s">
        <v>458</v>
      </c>
      <c r="AV301" s="80"/>
      <c r="AW301" s="80"/>
      <c r="AX301" s="80"/>
      <c r="AY301" s="80"/>
      <c r="AZ301" s="80"/>
      <c r="BA301" s="80"/>
      <c r="BB301" s="80"/>
      <c r="BC301" s="80"/>
      <c r="BD301" s="80"/>
      <c r="BE301" s="80"/>
      <c r="BF301" s="80"/>
      <c r="BG301" s="80"/>
      <c r="BH301" s="80"/>
      <c r="BI301" s="80"/>
      <c r="BJ301" s="80"/>
      <c r="BK301" s="80"/>
      <c r="BL301" s="80"/>
      <c r="BM301" s="80"/>
      <c r="BN301" s="80"/>
      <c r="BO301" s="80"/>
      <c r="BP301" s="80"/>
      <c r="BQ301" s="80"/>
      <c r="BR301" s="80"/>
      <c r="BS301" s="80"/>
      <c r="BT301" s="80"/>
    </row>
    <row r="302" spans="1:78" s="144" customFormat="1" ht="25.15" customHeight="1" outlineLevel="1" x14ac:dyDescent="0.25">
      <c r="A302" s="9" t="s">
        <v>202</v>
      </c>
      <c r="B302" s="80" t="s">
        <v>4366</v>
      </c>
      <c r="C302" s="80"/>
      <c r="D302" s="80"/>
      <c r="E302" s="80" t="s">
        <v>33</v>
      </c>
      <c r="F302" s="80" t="s">
        <v>34</v>
      </c>
      <c r="G302" s="80" t="s">
        <v>85</v>
      </c>
      <c r="H302" s="80" t="s">
        <v>29</v>
      </c>
      <c r="I302" s="80"/>
      <c r="J302" s="1"/>
      <c r="K302" s="80" t="s">
        <v>30</v>
      </c>
      <c r="L302" s="1"/>
      <c r="M302" s="80" t="s">
        <v>1298</v>
      </c>
      <c r="N302" s="80" t="s">
        <v>4386</v>
      </c>
      <c r="O302" s="80">
        <v>3228</v>
      </c>
      <c r="P302" s="80">
        <v>1908</v>
      </c>
      <c r="Q302" s="80">
        <v>1950</v>
      </c>
      <c r="R302" s="80"/>
      <c r="S302" s="80">
        <v>2936</v>
      </c>
      <c r="T302" s="80">
        <v>2050</v>
      </c>
      <c r="U302" s="80">
        <v>5932</v>
      </c>
      <c r="V302" s="80">
        <v>895</v>
      </c>
      <c r="W302" s="80">
        <v>3450</v>
      </c>
      <c r="X302" s="80">
        <v>1425</v>
      </c>
      <c r="Y302" s="80"/>
      <c r="Z302" s="80">
        <v>5</v>
      </c>
      <c r="AA302" s="80" t="s">
        <v>1299</v>
      </c>
      <c r="AB302" s="80">
        <v>3500</v>
      </c>
      <c r="AC302" s="80">
        <v>820</v>
      </c>
      <c r="AD302" s="80"/>
      <c r="AE302" s="80"/>
      <c r="AF302" s="80"/>
      <c r="AG302" s="80"/>
      <c r="AH302" s="80">
        <v>12</v>
      </c>
      <c r="AI302" s="80" t="s">
        <v>1300</v>
      </c>
      <c r="AJ302" s="80"/>
      <c r="AK302" s="80" t="s">
        <v>1275</v>
      </c>
      <c r="AL302" s="80"/>
      <c r="AM302" s="80" t="s">
        <v>1301</v>
      </c>
      <c r="AN302" s="80"/>
      <c r="AO302" s="80" t="s">
        <v>1302</v>
      </c>
      <c r="AP302" s="80"/>
      <c r="AQ302" s="80" t="s">
        <v>1303</v>
      </c>
      <c r="AR302" s="80"/>
      <c r="AS302" s="80"/>
      <c r="AT302" s="80"/>
      <c r="AU302" s="80" t="s">
        <v>1304</v>
      </c>
      <c r="AV302" s="80"/>
      <c r="AW302" s="80"/>
      <c r="AX302" s="80"/>
      <c r="AY302" s="80"/>
      <c r="AZ302" s="80"/>
      <c r="BA302" s="80"/>
      <c r="BB302" s="80"/>
      <c r="BC302" s="80"/>
      <c r="BD302" s="80"/>
      <c r="BE302" s="80"/>
      <c r="BF302" s="80"/>
      <c r="BG302" s="80"/>
      <c r="BH302" s="80"/>
      <c r="BI302" s="80"/>
      <c r="BJ302" s="80"/>
      <c r="BK302" s="80"/>
      <c r="BL302" s="80"/>
      <c r="BM302" s="80"/>
      <c r="BN302" s="80"/>
      <c r="BO302" s="80"/>
      <c r="BP302" s="80"/>
      <c r="BQ302" s="80"/>
      <c r="BR302" s="80"/>
      <c r="BS302" s="80"/>
      <c r="BT302" s="80"/>
    </row>
    <row r="303" spans="1:78" s="144" customFormat="1" ht="25.15" customHeight="1" outlineLevel="1" x14ac:dyDescent="0.25">
      <c r="A303" s="9" t="s">
        <v>202</v>
      </c>
      <c r="B303" s="80" t="s">
        <v>4366</v>
      </c>
      <c r="C303" s="80"/>
      <c r="D303" s="80"/>
      <c r="E303" s="80" t="s">
        <v>33</v>
      </c>
      <c r="F303" s="80" t="s">
        <v>34</v>
      </c>
      <c r="G303" s="80" t="s">
        <v>85</v>
      </c>
      <c r="H303" s="80" t="s">
        <v>29</v>
      </c>
      <c r="I303" s="80" t="s">
        <v>7</v>
      </c>
      <c r="J303" s="1"/>
      <c r="K303" s="80" t="s">
        <v>30</v>
      </c>
      <c r="L303" s="1"/>
      <c r="M303" s="80" t="s">
        <v>1298</v>
      </c>
      <c r="N303" s="80" t="s">
        <v>4389</v>
      </c>
      <c r="O303" s="80">
        <v>3228</v>
      </c>
      <c r="P303" s="80">
        <v>1908</v>
      </c>
      <c r="Q303" s="80">
        <v>1950</v>
      </c>
      <c r="R303" s="80"/>
      <c r="S303" s="80">
        <v>2936</v>
      </c>
      <c r="T303" s="80">
        <v>2050</v>
      </c>
      <c r="U303" s="80">
        <v>6124</v>
      </c>
      <c r="V303" s="80">
        <v>895</v>
      </c>
      <c r="W303" s="80">
        <v>3450</v>
      </c>
      <c r="X303" s="80">
        <v>1617</v>
      </c>
      <c r="Y303" s="80"/>
      <c r="Z303" s="80">
        <v>5</v>
      </c>
      <c r="AA303" s="80" t="s">
        <v>490</v>
      </c>
      <c r="AB303" s="80">
        <v>3500</v>
      </c>
      <c r="AC303" s="80">
        <v>625</v>
      </c>
      <c r="AD303" s="80"/>
      <c r="AE303" s="80"/>
      <c r="AF303" s="80"/>
      <c r="AG303" s="80"/>
      <c r="AH303" s="80">
        <v>12</v>
      </c>
      <c r="AI303" s="80" t="s">
        <v>1300</v>
      </c>
      <c r="AJ303" s="80"/>
      <c r="AK303" s="80" t="s">
        <v>1275</v>
      </c>
      <c r="AL303" s="80"/>
      <c r="AM303" s="80" t="s">
        <v>1301</v>
      </c>
      <c r="AN303" s="80"/>
      <c r="AO303" s="80" t="s">
        <v>1308</v>
      </c>
      <c r="AP303" s="80"/>
      <c r="AQ303" s="80" t="s">
        <v>1303</v>
      </c>
      <c r="AR303" s="80"/>
      <c r="AS303" s="80" t="s">
        <v>1288</v>
      </c>
      <c r="AT303" s="80"/>
      <c r="AU303" s="80" t="s">
        <v>1309</v>
      </c>
      <c r="AV303" s="80"/>
      <c r="AW303" s="80"/>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row>
    <row r="304" spans="1:78" s="144" customFormat="1" ht="25.15" customHeight="1" outlineLevel="1" x14ac:dyDescent="0.25">
      <c r="A304" s="9" t="s">
        <v>202</v>
      </c>
      <c r="B304" s="80" t="s">
        <v>4366</v>
      </c>
      <c r="C304" s="80"/>
      <c r="D304" s="80"/>
      <c r="E304" s="80" t="s">
        <v>33</v>
      </c>
      <c r="F304" s="80" t="s">
        <v>34</v>
      </c>
      <c r="G304" s="80" t="s">
        <v>85</v>
      </c>
      <c r="H304" s="80" t="s">
        <v>12</v>
      </c>
      <c r="I304" s="80"/>
      <c r="J304" s="1"/>
      <c r="K304" s="80" t="s">
        <v>30</v>
      </c>
      <c r="L304" s="1"/>
      <c r="M304" s="80" t="s">
        <v>1298</v>
      </c>
      <c r="N304" s="80" t="s">
        <v>4388</v>
      </c>
      <c r="O304" s="80">
        <v>3528</v>
      </c>
      <c r="P304" s="80">
        <v>1908</v>
      </c>
      <c r="Q304" s="80">
        <v>2050</v>
      </c>
      <c r="R304" s="80"/>
      <c r="S304" s="80">
        <v>3036</v>
      </c>
      <c r="T304" s="80">
        <v>2050</v>
      </c>
      <c r="U304" s="80">
        <v>6223</v>
      </c>
      <c r="V304" s="80">
        <v>895</v>
      </c>
      <c r="W304" s="80">
        <v>3450</v>
      </c>
      <c r="X304" s="80">
        <v>1725</v>
      </c>
      <c r="Y304" s="80"/>
      <c r="Z304" s="80">
        <v>5</v>
      </c>
      <c r="AA304" s="80" t="s">
        <v>1310</v>
      </c>
      <c r="AB304" s="80">
        <v>3500</v>
      </c>
      <c r="AC304" s="80">
        <v>510</v>
      </c>
      <c r="AD304" s="80"/>
      <c r="AE304" s="80"/>
      <c r="AF304" s="80"/>
      <c r="AG304" s="80"/>
      <c r="AH304" s="80" t="s">
        <v>1291</v>
      </c>
      <c r="AI304" s="80" t="s">
        <v>1300</v>
      </c>
      <c r="AJ304" s="80"/>
      <c r="AK304" s="80" t="s">
        <v>1275</v>
      </c>
      <c r="AL304" s="80"/>
      <c r="AM304" s="80" t="s">
        <v>1301</v>
      </c>
      <c r="AN304" s="80"/>
      <c r="AO304" s="80" t="s">
        <v>1311</v>
      </c>
      <c r="AP304" s="80"/>
      <c r="AQ304" s="80" t="s">
        <v>1312</v>
      </c>
      <c r="AR304" s="80"/>
      <c r="AS304" s="80"/>
      <c r="AT304" s="80"/>
      <c r="AU304" s="80" t="s">
        <v>1313</v>
      </c>
      <c r="AV304" s="80"/>
      <c r="AW304" s="80"/>
      <c r="AX304" s="80"/>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row>
    <row r="305" spans="1:72" s="144" customFormat="1" ht="25.15" customHeight="1" outlineLevel="1" x14ac:dyDescent="0.25">
      <c r="A305" s="9" t="s">
        <v>202</v>
      </c>
      <c r="B305" s="80" t="s">
        <v>4366</v>
      </c>
      <c r="C305" s="80"/>
      <c r="D305" s="80"/>
      <c r="E305" s="80" t="s">
        <v>33</v>
      </c>
      <c r="F305" s="80" t="s">
        <v>34</v>
      </c>
      <c r="G305" s="80" t="s">
        <v>85</v>
      </c>
      <c r="H305" s="80" t="s">
        <v>29</v>
      </c>
      <c r="I305" s="80"/>
      <c r="J305" s="1"/>
      <c r="K305" s="80" t="s">
        <v>30</v>
      </c>
      <c r="L305" s="1"/>
      <c r="M305" s="80" t="s">
        <v>1321</v>
      </c>
      <c r="N305" s="80" t="s">
        <v>4386</v>
      </c>
      <c r="O305" s="80">
        <v>3224</v>
      </c>
      <c r="P305" s="80">
        <v>1904</v>
      </c>
      <c r="Q305" s="80">
        <v>1950</v>
      </c>
      <c r="R305" s="80"/>
      <c r="S305" s="80">
        <v>2912</v>
      </c>
      <c r="T305" s="80">
        <v>2050</v>
      </c>
      <c r="U305" s="80">
        <v>5932</v>
      </c>
      <c r="V305" s="80">
        <v>870</v>
      </c>
      <c r="W305" s="80">
        <v>3450</v>
      </c>
      <c r="X305" s="80">
        <v>1425</v>
      </c>
      <c r="Y305" s="80"/>
      <c r="Z305" s="80">
        <v>5</v>
      </c>
      <c r="AA305" s="80" t="s">
        <v>503</v>
      </c>
      <c r="AB305" s="80">
        <v>3500</v>
      </c>
      <c r="AC305" s="80">
        <v>875</v>
      </c>
      <c r="AD305" s="80"/>
      <c r="AE305" s="80"/>
      <c r="AF305" s="80"/>
      <c r="AG305" s="80"/>
      <c r="AH305" s="80">
        <v>12</v>
      </c>
      <c r="AI305" s="80" t="s">
        <v>1274</v>
      </c>
      <c r="AJ305" s="80"/>
      <c r="AK305" s="80" t="s">
        <v>1322</v>
      </c>
      <c r="AL305" s="80"/>
      <c r="AM305" s="80" t="s">
        <v>1323</v>
      </c>
      <c r="AN305" s="80"/>
      <c r="AO305" s="80" t="s">
        <v>1324</v>
      </c>
      <c r="AP305" s="80"/>
      <c r="AQ305" s="80" t="s">
        <v>1248</v>
      </c>
      <c r="AR305" s="80"/>
      <c r="AS305" s="80"/>
      <c r="AT305" s="80"/>
      <c r="AU305" s="84" t="s">
        <v>504</v>
      </c>
      <c r="AV305" s="80"/>
      <c r="AW305" s="80"/>
      <c r="AX305" s="80"/>
      <c r="AY305" s="80"/>
      <c r="AZ305" s="80"/>
      <c r="BA305" s="80"/>
      <c r="BB305" s="80"/>
      <c r="BC305" s="80"/>
      <c r="BD305" s="80"/>
      <c r="BE305" s="80"/>
      <c r="BF305" s="80"/>
      <c r="BG305" s="80"/>
      <c r="BH305" s="80"/>
      <c r="BI305" s="80"/>
      <c r="BJ305" s="80"/>
      <c r="BK305" s="80"/>
      <c r="BL305" s="80"/>
      <c r="BM305" s="80"/>
      <c r="BN305" s="80"/>
      <c r="BO305" s="80"/>
      <c r="BP305" s="80"/>
      <c r="BQ305" s="80"/>
      <c r="BR305" s="80"/>
      <c r="BS305" s="80"/>
      <c r="BT305" s="80"/>
    </row>
    <row r="306" spans="1:72" s="144" customFormat="1" ht="25.15" customHeight="1" outlineLevel="1" x14ac:dyDescent="0.25">
      <c r="A306" s="9" t="s">
        <v>202</v>
      </c>
      <c r="B306" s="80" t="s">
        <v>4366</v>
      </c>
      <c r="C306" s="80"/>
      <c r="D306" s="80"/>
      <c r="E306" s="80" t="s">
        <v>33</v>
      </c>
      <c r="F306" s="80" t="s">
        <v>34</v>
      </c>
      <c r="G306" s="80" t="s">
        <v>85</v>
      </c>
      <c r="H306" s="80" t="s">
        <v>29</v>
      </c>
      <c r="I306" s="80"/>
      <c r="J306" s="1"/>
      <c r="K306" s="80" t="s">
        <v>30</v>
      </c>
      <c r="L306" s="1"/>
      <c r="M306" s="80" t="s">
        <v>1321</v>
      </c>
      <c r="N306" s="80" t="s">
        <v>4387</v>
      </c>
      <c r="O306" s="80">
        <v>3224</v>
      </c>
      <c r="P306" s="80">
        <v>1904</v>
      </c>
      <c r="Q306" s="80">
        <v>1950</v>
      </c>
      <c r="R306" s="80"/>
      <c r="S306" s="80">
        <v>2912</v>
      </c>
      <c r="T306" s="80">
        <v>2050</v>
      </c>
      <c r="U306" s="80">
        <v>5932</v>
      </c>
      <c r="V306" s="80">
        <v>870</v>
      </c>
      <c r="W306" s="80">
        <v>3450</v>
      </c>
      <c r="X306" s="80">
        <v>1425</v>
      </c>
      <c r="Y306" s="80"/>
      <c r="Z306" s="80">
        <v>5</v>
      </c>
      <c r="AA306" s="80" t="s">
        <v>1279</v>
      </c>
      <c r="AB306" s="80">
        <v>3500</v>
      </c>
      <c r="AC306" s="80">
        <v>880</v>
      </c>
      <c r="AD306" s="80"/>
      <c r="AE306" s="80"/>
      <c r="AF306" s="80"/>
      <c r="AG306" s="80"/>
      <c r="AH306" s="80">
        <v>12</v>
      </c>
      <c r="AI306" s="80" t="s">
        <v>1274</v>
      </c>
      <c r="AJ306" s="80"/>
      <c r="AK306" s="80" t="s">
        <v>1322</v>
      </c>
      <c r="AL306" s="80"/>
      <c r="AM306" s="80" t="s">
        <v>1323</v>
      </c>
      <c r="AN306" s="80"/>
      <c r="AO306" s="80" t="s">
        <v>1325</v>
      </c>
      <c r="AP306" s="80"/>
      <c r="AQ306" s="80" t="s">
        <v>1248</v>
      </c>
      <c r="AR306" s="80"/>
      <c r="AS306" s="80"/>
      <c r="AT306" s="80"/>
      <c r="AU306" s="80" t="s">
        <v>1326</v>
      </c>
      <c r="AV306" s="80"/>
      <c r="AW306" s="80"/>
      <c r="AX306" s="80"/>
      <c r="AY306" s="80"/>
      <c r="AZ306" s="80"/>
      <c r="BA306" s="80"/>
      <c r="BB306" s="80"/>
      <c r="BC306" s="80"/>
      <c r="BD306" s="80"/>
      <c r="BE306" s="80"/>
      <c r="BF306" s="80"/>
      <c r="BG306" s="80"/>
      <c r="BH306" s="80"/>
      <c r="BI306" s="80"/>
      <c r="BJ306" s="80"/>
      <c r="BK306" s="80"/>
      <c r="BL306" s="80"/>
      <c r="BM306" s="80"/>
      <c r="BN306" s="80"/>
      <c r="BO306" s="80"/>
      <c r="BP306" s="80"/>
      <c r="BQ306" s="80"/>
      <c r="BR306" s="80"/>
      <c r="BS306" s="80"/>
      <c r="BT306" s="80"/>
    </row>
    <row r="307" spans="1:72" s="144" customFormat="1" ht="25.15" customHeight="1" outlineLevel="1" x14ac:dyDescent="0.25">
      <c r="A307" s="9" t="s">
        <v>202</v>
      </c>
      <c r="B307" s="80" t="s">
        <v>4366</v>
      </c>
      <c r="C307" s="80"/>
      <c r="D307" s="80"/>
      <c r="E307" s="80" t="s">
        <v>33</v>
      </c>
      <c r="F307" s="80" t="s">
        <v>34</v>
      </c>
      <c r="G307" s="80" t="s">
        <v>85</v>
      </c>
      <c r="H307" s="80" t="s">
        <v>29</v>
      </c>
      <c r="I307" s="80" t="s">
        <v>7</v>
      </c>
      <c r="J307" s="1"/>
      <c r="K307" s="80" t="s">
        <v>30</v>
      </c>
      <c r="L307" s="1"/>
      <c r="M307" s="80" t="s">
        <v>1321</v>
      </c>
      <c r="N307" s="80" t="s">
        <v>4389</v>
      </c>
      <c r="O307" s="80">
        <v>3224</v>
      </c>
      <c r="P307" s="80">
        <v>1904</v>
      </c>
      <c r="Q307" s="80">
        <v>1950</v>
      </c>
      <c r="R307" s="80"/>
      <c r="S307" s="80">
        <v>2912</v>
      </c>
      <c r="T307" s="80">
        <v>2050</v>
      </c>
      <c r="U307" s="80">
        <v>6124</v>
      </c>
      <c r="V307" s="80">
        <v>870</v>
      </c>
      <c r="W307" s="80">
        <v>3450</v>
      </c>
      <c r="X307" s="80">
        <v>1617</v>
      </c>
      <c r="Y307" s="80"/>
      <c r="Z307" s="80">
        <v>5</v>
      </c>
      <c r="AA307" s="80" t="s">
        <v>36</v>
      </c>
      <c r="AB307" s="80">
        <v>3500</v>
      </c>
      <c r="AC307" s="80">
        <v>725</v>
      </c>
      <c r="AD307" s="80"/>
      <c r="AE307" s="80"/>
      <c r="AF307" s="80"/>
      <c r="AG307" s="80"/>
      <c r="AH307" s="80">
        <v>12</v>
      </c>
      <c r="AI307" s="80" t="s">
        <v>1274</v>
      </c>
      <c r="AJ307" s="80"/>
      <c r="AK307" s="80" t="s">
        <v>1322</v>
      </c>
      <c r="AL307" s="80"/>
      <c r="AM307" s="80" t="s">
        <v>1327</v>
      </c>
      <c r="AN307" s="80"/>
      <c r="AO307" s="80" t="s">
        <v>1328</v>
      </c>
      <c r="AP307" s="80"/>
      <c r="AQ307" s="80" t="s">
        <v>1248</v>
      </c>
      <c r="AR307" s="80"/>
      <c r="AS307" s="80" t="s">
        <v>1288</v>
      </c>
      <c r="AT307" s="80"/>
      <c r="AU307" s="84" t="s">
        <v>1329</v>
      </c>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row>
    <row r="308" spans="1:72" s="144" customFormat="1" ht="25.15" customHeight="1" outlineLevel="1" x14ac:dyDescent="0.25">
      <c r="A308" s="9" t="s">
        <v>202</v>
      </c>
      <c r="B308" s="80" t="s">
        <v>4366</v>
      </c>
      <c r="C308" s="80"/>
      <c r="D308" s="80"/>
      <c r="E308" s="80" t="s">
        <v>33</v>
      </c>
      <c r="F308" s="80" t="s">
        <v>34</v>
      </c>
      <c r="G308" s="80" t="s">
        <v>85</v>
      </c>
      <c r="H308" s="80" t="s">
        <v>12</v>
      </c>
      <c r="I308" s="80"/>
      <c r="J308" s="1"/>
      <c r="K308" s="80" t="s">
        <v>30</v>
      </c>
      <c r="L308" s="1"/>
      <c r="M308" s="80" t="s">
        <v>1321</v>
      </c>
      <c r="N308" s="80" t="s">
        <v>4388</v>
      </c>
      <c r="O308" s="80">
        <v>3524</v>
      </c>
      <c r="P308" s="80">
        <v>1904</v>
      </c>
      <c r="Q308" s="80">
        <v>2050</v>
      </c>
      <c r="R308" s="80"/>
      <c r="S308" s="80">
        <v>3012</v>
      </c>
      <c r="T308" s="80">
        <v>2050</v>
      </c>
      <c r="U308" s="80">
        <v>6223</v>
      </c>
      <c r="V308" s="80">
        <v>870</v>
      </c>
      <c r="W308" s="80">
        <v>3450</v>
      </c>
      <c r="X308" s="80">
        <v>1725</v>
      </c>
      <c r="Y308" s="80"/>
      <c r="Z308" s="80">
        <v>5</v>
      </c>
      <c r="AA308" s="80" t="s">
        <v>1290</v>
      </c>
      <c r="AB308" s="80">
        <v>3500</v>
      </c>
      <c r="AC308" s="80">
        <v>585</v>
      </c>
      <c r="AD308" s="80"/>
      <c r="AE308" s="80"/>
      <c r="AF308" s="80"/>
      <c r="AG308" s="80"/>
      <c r="AH308" s="80" t="s">
        <v>1291</v>
      </c>
      <c r="AI308" s="80" t="s">
        <v>1274</v>
      </c>
      <c r="AJ308" s="80"/>
      <c r="AK308" s="80" t="s">
        <v>1322</v>
      </c>
      <c r="AL308" s="80"/>
      <c r="AM308" s="80" t="s">
        <v>1323</v>
      </c>
      <c r="AN308" s="80"/>
      <c r="AO308" s="80" t="s">
        <v>1330</v>
      </c>
      <c r="AP308" s="80"/>
      <c r="AQ308" s="80" t="s">
        <v>1293</v>
      </c>
      <c r="AR308" s="80"/>
      <c r="AS308" s="80"/>
      <c r="AT308" s="80"/>
      <c r="AU308" s="80" t="s">
        <v>454</v>
      </c>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row>
    <row r="309" spans="1:72" s="144" customFormat="1" ht="25.15" customHeight="1" outlineLevel="1" x14ac:dyDescent="0.25">
      <c r="A309" s="9" t="s">
        <v>202</v>
      </c>
      <c r="B309" s="80" t="s">
        <v>4366</v>
      </c>
      <c r="C309" s="80"/>
      <c r="D309" s="80"/>
      <c r="E309" s="80" t="s">
        <v>33</v>
      </c>
      <c r="F309" s="80" t="s">
        <v>34</v>
      </c>
      <c r="G309" s="80" t="s">
        <v>85</v>
      </c>
      <c r="H309" s="80" t="s">
        <v>29</v>
      </c>
      <c r="I309" s="80"/>
      <c r="J309" s="1"/>
      <c r="K309" s="80" t="s">
        <v>30</v>
      </c>
      <c r="L309" s="1"/>
      <c r="M309" s="80" t="s">
        <v>1331</v>
      </c>
      <c r="N309" s="80" t="s">
        <v>4386</v>
      </c>
      <c r="O309" s="80">
        <v>3228</v>
      </c>
      <c r="P309" s="80">
        <v>1908</v>
      </c>
      <c r="Q309" s="80">
        <v>1950</v>
      </c>
      <c r="R309" s="80"/>
      <c r="S309" s="80">
        <v>2926</v>
      </c>
      <c r="T309" s="80">
        <v>2050</v>
      </c>
      <c r="U309" s="80">
        <v>5932</v>
      </c>
      <c r="V309" s="80">
        <v>865</v>
      </c>
      <c r="W309" s="80">
        <v>3450</v>
      </c>
      <c r="X309" s="80">
        <v>1425</v>
      </c>
      <c r="Y309" s="80"/>
      <c r="Z309" s="80">
        <v>5</v>
      </c>
      <c r="AA309" s="80" t="s">
        <v>1299</v>
      </c>
      <c r="AB309" s="80">
        <v>3500</v>
      </c>
      <c r="AC309" s="80">
        <v>1010</v>
      </c>
      <c r="AD309" s="80"/>
      <c r="AE309" s="80"/>
      <c r="AF309" s="80"/>
      <c r="AG309" s="80"/>
      <c r="AH309" s="80">
        <v>12</v>
      </c>
      <c r="AI309" s="80" t="s">
        <v>1300</v>
      </c>
      <c r="AJ309" s="80"/>
      <c r="AK309" s="80" t="s">
        <v>1322</v>
      </c>
      <c r="AL309" s="80"/>
      <c r="AM309" s="80" t="s">
        <v>1332</v>
      </c>
      <c r="AN309" s="80"/>
      <c r="AO309" s="80" t="s">
        <v>1302</v>
      </c>
      <c r="AP309" s="80"/>
      <c r="AQ309" s="80" t="s">
        <v>1303</v>
      </c>
      <c r="AR309" s="80"/>
      <c r="AS309" s="80"/>
      <c r="AT309" s="80"/>
      <c r="AU309" s="80" t="s">
        <v>1333</v>
      </c>
      <c r="AV309" s="80"/>
      <c r="AW309" s="80"/>
      <c r="AX309" s="80"/>
      <c r="AY309" s="80"/>
      <c r="AZ309" s="80"/>
      <c r="BA309" s="80"/>
      <c r="BB309" s="80"/>
      <c r="BC309" s="80"/>
      <c r="BD309" s="80"/>
      <c r="BE309" s="80"/>
      <c r="BF309" s="80"/>
      <c r="BG309" s="80"/>
      <c r="BH309" s="80"/>
      <c r="BI309" s="80"/>
      <c r="BJ309" s="80"/>
      <c r="BK309" s="80"/>
      <c r="BL309" s="80"/>
      <c r="BM309" s="80"/>
      <c r="BN309" s="80"/>
      <c r="BO309" s="80"/>
      <c r="BP309" s="80"/>
      <c r="BQ309" s="80"/>
      <c r="BR309" s="80"/>
      <c r="BS309" s="80"/>
      <c r="BT309" s="80"/>
    </row>
    <row r="310" spans="1:72" s="144" customFormat="1" ht="25.15" customHeight="1" outlineLevel="1" x14ac:dyDescent="0.25">
      <c r="A310" s="9" t="s">
        <v>202</v>
      </c>
      <c r="B310" s="80" t="s">
        <v>4366</v>
      </c>
      <c r="C310" s="80"/>
      <c r="D310" s="80"/>
      <c r="E310" s="80" t="s">
        <v>33</v>
      </c>
      <c r="F310" s="80" t="s">
        <v>34</v>
      </c>
      <c r="G310" s="80" t="s">
        <v>85</v>
      </c>
      <c r="H310" s="80" t="s">
        <v>29</v>
      </c>
      <c r="I310" s="80" t="s">
        <v>7</v>
      </c>
      <c r="J310" s="1"/>
      <c r="K310" s="80" t="s">
        <v>30</v>
      </c>
      <c r="L310" s="1"/>
      <c r="M310" s="80" t="s">
        <v>1331</v>
      </c>
      <c r="N310" s="80" t="s">
        <v>4389</v>
      </c>
      <c r="O310" s="80">
        <v>3228</v>
      </c>
      <c r="P310" s="80">
        <v>1908</v>
      </c>
      <c r="Q310" s="80">
        <v>1950</v>
      </c>
      <c r="R310" s="80"/>
      <c r="S310" s="80">
        <v>2926</v>
      </c>
      <c r="T310" s="80">
        <v>2050</v>
      </c>
      <c r="U310" s="80">
        <v>6124</v>
      </c>
      <c r="V310" s="80">
        <v>865</v>
      </c>
      <c r="W310" s="80">
        <v>3450</v>
      </c>
      <c r="X310" s="80">
        <v>1617</v>
      </c>
      <c r="Y310" s="80"/>
      <c r="Z310" s="80">
        <v>5</v>
      </c>
      <c r="AA310" s="80" t="s">
        <v>490</v>
      </c>
      <c r="AB310" s="80">
        <v>3500</v>
      </c>
      <c r="AC310" s="80">
        <v>805</v>
      </c>
      <c r="AD310" s="80"/>
      <c r="AE310" s="80"/>
      <c r="AF310" s="80"/>
      <c r="AG310" s="80"/>
      <c r="AH310" s="80">
        <v>12</v>
      </c>
      <c r="AI310" s="80" t="s">
        <v>1300</v>
      </c>
      <c r="AJ310" s="80"/>
      <c r="AK310" s="80" t="s">
        <v>1322</v>
      </c>
      <c r="AL310" s="80"/>
      <c r="AM310" s="80" t="s">
        <v>1332</v>
      </c>
      <c r="AN310" s="80"/>
      <c r="AO310" s="80" t="s">
        <v>1308</v>
      </c>
      <c r="AP310" s="80"/>
      <c r="AQ310" s="80" t="s">
        <v>1303</v>
      </c>
      <c r="AR310" s="80"/>
      <c r="AS310" s="80" t="s">
        <v>1288</v>
      </c>
      <c r="AT310" s="80"/>
      <c r="AU310" s="80" t="s">
        <v>491</v>
      </c>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row>
    <row r="311" spans="1:72" s="144" customFormat="1" ht="25.15" customHeight="1" outlineLevel="1" x14ac:dyDescent="0.25">
      <c r="A311" s="9" t="s">
        <v>202</v>
      </c>
      <c r="B311" s="80" t="s">
        <v>4366</v>
      </c>
      <c r="C311" s="80"/>
      <c r="D311" s="80"/>
      <c r="E311" s="80" t="s">
        <v>33</v>
      </c>
      <c r="F311" s="80" t="s">
        <v>34</v>
      </c>
      <c r="G311" s="80" t="s">
        <v>85</v>
      </c>
      <c r="H311" s="80" t="s">
        <v>12</v>
      </c>
      <c r="I311" s="80"/>
      <c r="J311" s="1"/>
      <c r="K311" s="80" t="s">
        <v>30</v>
      </c>
      <c r="L311" s="1"/>
      <c r="M311" s="80" t="s">
        <v>1331</v>
      </c>
      <c r="N311" s="80" t="s">
        <v>4388</v>
      </c>
      <c r="O311" s="80">
        <v>3528</v>
      </c>
      <c r="P311" s="80">
        <v>1908</v>
      </c>
      <c r="Q311" s="80">
        <v>2050</v>
      </c>
      <c r="R311" s="80"/>
      <c r="S311" s="80">
        <v>3006</v>
      </c>
      <c r="T311" s="80">
        <v>2050</v>
      </c>
      <c r="U311" s="80">
        <v>6223</v>
      </c>
      <c r="V311" s="80">
        <v>865</v>
      </c>
      <c r="W311" s="80">
        <v>3450</v>
      </c>
      <c r="X311" s="80">
        <v>1725</v>
      </c>
      <c r="Y311" s="80"/>
      <c r="Z311" s="80">
        <v>5</v>
      </c>
      <c r="AA311" s="80" t="s">
        <v>1310</v>
      </c>
      <c r="AB311" s="80">
        <v>3500</v>
      </c>
      <c r="AC311" s="80">
        <v>705</v>
      </c>
      <c r="AD311" s="80"/>
      <c r="AE311" s="80"/>
      <c r="AF311" s="80"/>
      <c r="AG311" s="80"/>
      <c r="AH311" s="80" t="s">
        <v>1291</v>
      </c>
      <c r="AI311" s="80" t="s">
        <v>1300</v>
      </c>
      <c r="AJ311" s="80"/>
      <c r="AK311" s="80" t="s">
        <v>1322</v>
      </c>
      <c r="AL311" s="80"/>
      <c r="AM311" s="80" t="s">
        <v>1332</v>
      </c>
      <c r="AN311" s="80"/>
      <c r="AO311" s="80" t="s">
        <v>1311</v>
      </c>
      <c r="AP311" s="80"/>
      <c r="AQ311" s="80" t="s">
        <v>1312</v>
      </c>
      <c r="AR311" s="80"/>
      <c r="AS311" s="80"/>
      <c r="AT311" s="80"/>
      <c r="AU311" s="84" t="s">
        <v>1335</v>
      </c>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row>
    <row r="312" spans="1:72" s="144" customFormat="1" ht="25.15" customHeight="1" outlineLevel="1" x14ac:dyDescent="0.25">
      <c r="A312" s="9" t="s">
        <v>202</v>
      </c>
      <c r="B312" s="80" t="s">
        <v>4366</v>
      </c>
      <c r="C312" s="80"/>
      <c r="D312" s="80"/>
      <c r="E312" s="80" t="s">
        <v>33</v>
      </c>
      <c r="F312" s="80" t="s">
        <v>34</v>
      </c>
      <c r="G312" s="80" t="s">
        <v>455</v>
      </c>
      <c r="H312" s="80" t="s">
        <v>29</v>
      </c>
      <c r="I312" s="80"/>
      <c r="J312" s="1"/>
      <c r="K312" s="80" t="s">
        <v>30</v>
      </c>
      <c r="L312" s="1"/>
      <c r="M312" s="80" t="s">
        <v>1373</v>
      </c>
      <c r="N312" s="80" t="s">
        <v>4386</v>
      </c>
      <c r="O312" s="80">
        <v>4118</v>
      </c>
      <c r="P312" s="80">
        <v>2054</v>
      </c>
      <c r="Q312" s="80">
        <v>2200</v>
      </c>
      <c r="R312" s="80"/>
      <c r="S312" s="80">
        <v>3352</v>
      </c>
      <c r="T312" s="80">
        <v>2200</v>
      </c>
      <c r="U312" s="80">
        <v>6873</v>
      </c>
      <c r="V312" s="80">
        <v>1060</v>
      </c>
      <c r="W312" s="80">
        <v>4100</v>
      </c>
      <c r="X312" s="80">
        <v>1725</v>
      </c>
      <c r="Y312" s="80"/>
      <c r="Z312" s="80">
        <v>8</v>
      </c>
      <c r="AA312" s="80" t="s">
        <v>503</v>
      </c>
      <c r="AB312" s="80">
        <v>7200</v>
      </c>
      <c r="AC312" s="80">
        <v>3610</v>
      </c>
      <c r="AD312" s="80"/>
      <c r="AE312" s="80"/>
      <c r="AF312" s="80"/>
      <c r="AG312" s="80"/>
      <c r="AH312" s="80" t="s">
        <v>457</v>
      </c>
      <c r="AI312" s="80" t="s">
        <v>1374</v>
      </c>
      <c r="AJ312" s="80"/>
      <c r="AK312" s="80" t="s">
        <v>1375</v>
      </c>
      <c r="AL312" s="80"/>
      <c r="AM312" s="99" t="s">
        <v>1376</v>
      </c>
      <c r="AN312" s="99"/>
      <c r="AO312" s="80" t="s">
        <v>1377</v>
      </c>
      <c r="AP312" s="80"/>
      <c r="AQ312" s="80" t="s">
        <v>1378</v>
      </c>
      <c r="AR312" s="80"/>
      <c r="AS312" s="80"/>
      <c r="AT312" s="80"/>
      <c r="AU312" s="80" t="s">
        <v>1379</v>
      </c>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row>
    <row r="313" spans="1:72" s="144" customFormat="1" ht="25.15" customHeight="1" outlineLevel="1" x14ac:dyDescent="0.25">
      <c r="A313" s="9" t="s">
        <v>202</v>
      </c>
      <c r="B313" s="80" t="s">
        <v>4366</v>
      </c>
      <c r="C313" s="80"/>
      <c r="D313" s="80"/>
      <c r="E313" s="80" t="s">
        <v>33</v>
      </c>
      <c r="F313" s="80" t="s">
        <v>34</v>
      </c>
      <c r="G313" s="80" t="s">
        <v>455</v>
      </c>
      <c r="H313" s="80" t="s">
        <v>29</v>
      </c>
      <c r="I313" s="80" t="s">
        <v>7</v>
      </c>
      <c r="J313" s="1"/>
      <c r="K313" s="80" t="s">
        <v>30</v>
      </c>
      <c r="L313" s="1"/>
      <c r="M313" s="80" t="s">
        <v>1373</v>
      </c>
      <c r="N313" s="80" t="s">
        <v>4387</v>
      </c>
      <c r="O313" s="80">
        <v>4118</v>
      </c>
      <c r="P313" s="80">
        <v>2054</v>
      </c>
      <c r="Q313" s="80">
        <v>2200</v>
      </c>
      <c r="R313" s="80"/>
      <c r="S313" s="80">
        <v>3352</v>
      </c>
      <c r="T313" s="80">
        <v>2200</v>
      </c>
      <c r="U313" s="80">
        <v>7073</v>
      </c>
      <c r="V313" s="80">
        <v>1060</v>
      </c>
      <c r="W313" s="80">
        <v>4100</v>
      </c>
      <c r="X313" s="80">
        <v>1925</v>
      </c>
      <c r="Y313" s="80"/>
      <c r="Z313" s="80">
        <v>8</v>
      </c>
      <c r="AA313" s="80" t="s">
        <v>36</v>
      </c>
      <c r="AB313" s="80">
        <v>7200</v>
      </c>
      <c r="AC313" s="80">
        <v>3365</v>
      </c>
      <c r="AD313" s="80"/>
      <c r="AE313" s="80"/>
      <c r="AF313" s="80"/>
      <c r="AG313" s="80"/>
      <c r="AH313" s="80" t="s">
        <v>457</v>
      </c>
      <c r="AI313" s="80" t="s">
        <v>1374</v>
      </c>
      <c r="AJ313" s="80"/>
      <c r="AK313" s="80" t="s">
        <v>1375</v>
      </c>
      <c r="AL313" s="80"/>
      <c r="AM313" s="99" t="s">
        <v>1376</v>
      </c>
      <c r="AN313" s="99"/>
      <c r="AO313" s="80" t="s">
        <v>1380</v>
      </c>
      <c r="AP313" s="80"/>
      <c r="AQ313" s="80" t="s">
        <v>1378</v>
      </c>
      <c r="AR313" s="80"/>
      <c r="AS313" s="80" t="s">
        <v>1381</v>
      </c>
      <c r="AT313" s="80"/>
      <c r="AU313" s="80" t="s">
        <v>506</v>
      </c>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row>
    <row r="314" spans="1:72" s="144" customFormat="1" ht="25.15" customHeight="1" outlineLevel="1" x14ac:dyDescent="0.25">
      <c r="A314" s="9" t="s">
        <v>202</v>
      </c>
      <c r="B314" s="80" t="s">
        <v>4366</v>
      </c>
      <c r="C314" s="80"/>
      <c r="D314" s="80"/>
      <c r="E314" s="80" t="s">
        <v>33</v>
      </c>
      <c r="F314" s="80" t="s">
        <v>34</v>
      </c>
      <c r="G314" s="80" t="s">
        <v>455</v>
      </c>
      <c r="H314" s="80" t="s">
        <v>12</v>
      </c>
      <c r="I314" s="80"/>
      <c r="J314" s="1"/>
      <c r="K314" s="80" t="s">
        <v>30</v>
      </c>
      <c r="L314" s="1"/>
      <c r="M314" s="80" t="s">
        <v>1373</v>
      </c>
      <c r="N314" s="80" t="s">
        <v>4388</v>
      </c>
      <c r="O314" s="80">
        <v>4118</v>
      </c>
      <c r="P314" s="80">
        <v>2054</v>
      </c>
      <c r="Q314" s="80">
        <v>2200</v>
      </c>
      <c r="R314" s="80"/>
      <c r="S314" s="80">
        <v>3352</v>
      </c>
      <c r="T314" s="80">
        <v>2200</v>
      </c>
      <c r="U314" s="80">
        <v>6873</v>
      </c>
      <c r="V314" s="80">
        <v>1060</v>
      </c>
      <c r="W314" s="80">
        <v>4100</v>
      </c>
      <c r="X314" s="80">
        <v>1725</v>
      </c>
      <c r="Y314" s="80"/>
      <c r="Z314" s="80">
        <v>7</v>
      </c>
      <c r="AA314" s="80" t="s">
        <v>1290</v>
      </c>
      <c r="AB314" s="80">
        <v>7200</v>
      </c>
      <c r="AC314" s="80">
        <v>3435</v>
      </c>
      <c r="AD314" s="80"/>
      <c r="AE314" s="80"/>
      <c r="AF314" s="80"/>
      <c r="AG314" s="80"/>
      <c r="AH314" s="80" t="s">
        <v>457</v>
      </c>
      <c r="AI314" s="80" t="s">
        <v>1374</v>
      </c>
      <c r="AJ314" s="80"/>
      <c r="AK314" s="80" t="s">
        <v>1375</v>
      </c>
      <c r="AL314" s="80"/>
      <c r="AM314" s="99" t="s">
        <v>1376</v>
      </c>
      <c r="AN314" s="99"/>
      <c r="AO314" s="80" t="s">
        <v>1384</v>
      </c>
      <c r="AP314" s="80"/>
      <c r="AQ314" s="80" t="s">
        <v>1385</v>
      </c>
      <c r="AR314" s="80"/>
      <c r="AS314" s="80"/>
      <c r="AT314" s="80"/>
      <c r="AU314" s="80" t="s">
        <v>458</v>
      </c>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row>
    <row r="315" spans="1:72" s="144" customFormat="1" ht="25.15" customHeight="1" outlineLevel="1" x14ac:dyDescent="0.25">
      <c r="A315" s="9" t="s">
        <v>202</v>
      </c>
      <c r="B315" s="80" t="s">
        <v>4366</v>
      </c>
      <c r="C315" s="80"/>
      <c r="D315" s="80"/>
      <c r="E315" s="80" t="s">
        <v>33</v>
      </c>
      <c r="F315" s="80" t="s">
        <v>37</v>
      </c>
      <c r="G315" s="80" t="s">
        <v>38</v>
      </c>
      <c r="H315" s="80" t="s">
        <v>29</v>
      </c>
      <c r="I315" s="80" t="s">
        <v>7</v>
      </c>
      <c r="J315" s="1"/>
      <c r="K315" s="80" t="s">
        <v>30</v>
      </c>
      <c r="L315" s="1"/>
      <c r="M315" s="80" t="s">
        <v>1400</v>
      </c>
      <c r="N315" s="80" t="s">
        <v>4386</v>
      </c>
      <c r="O315" s="80">
        <v>5990</v>
      </c>
      <c r="P315" s="80">
        <v>2254</v>
      </c>
      <c r="Q315" s="80">
        <v>2300</v>
      </c>
      <c r="R315" s="80"/>
      <c r="S315" s="80">
        <v>3500</v>
      </c>
      <c r="T315" s="80">
        <v>2400</v>
      </c>
      <c r="U315" s="80">
        <v>8062</v>
      </c>
      <c r="V315" s="80">
        <v>1085</v>
      </c>
      <c r="W315" s="80">
        <v>4185</v>
      </c>
      <c r="X315" s="80">
        <v>2615</v>
      </c>
      <c r="Y315" s="80"/>
      <c r="Z315" s="80">
        <v>11</v>
      </c>
      <c r="AA315" s="80" t="s">
        <v>312</v>
      </c>
      <c r="AB315" s="80">
        <v>10000</v>
      </c>
      <c r="AC315" s="80">
        <v>3295</v>
      </c>
      <c r="AD315" s="80"/>
      <c r="AE315" s="80"/>
      <c r="AF315" s="80"/>
      <c r="AG315" s="80"/>
      <c r="AH315" s="80" t="s">
        <v>160</v>
      </c>
      <c r="AI315" s="80" t="s">
        <v>1401</v>
      </c>
      <c r="AJ315" s="80"/>
      <c r="AK315" s="80" t="s">
        <v>1402</v>
      </c>
      <c r="AL315" s="80"/>
      <c r="AM315" s="80" t="s">
        <v>1403</v>
      </c>
      <c r="AN315" s="80"/>
      <c r="AO315" s="80" t="s">
        <v>1404</v>
      </c>
      <c r="AP315" s="80"/>
      <c r="AQ315" s="80" t="s">
        <v>1405</v>
      </c>
      <c r="AR315" s="80"/>
      <c r="AS315" s="80" t="s">
        <v>1406</v>
      </c>
      <c r="AT315" s="80"/>
      <c r="AU315" s="80" t="s">
        <v>65</v>
      </c>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row>
    <row r="316" spans="1:72" s="144" customFormat="1" ht="25.15" customHeight="1" outlineLevel="1" x14ac:dyDescent="0.25">
      <c r="A316" s="9" t="s">
        <v>202</v>
      </c>
      <c r="B316" s="80" t="s">
        <v>4366</v>
      </c>
      <c r="C316" s="80"/>
      <c r="D316" s="80"/>
      <c r="E316" s="80" t="s">
        <v>33</v>
      </c>
      <c r="F316" s="80" t="s">
        <v>37</v>
      </c>
      <c r="G316" s="80" t="s">
        <v>38</v>
      </c>
      <c r="H316" s="80" t="s">
        <v>12</v>
      </c>
      <c r="I316" s="80" t="s">
        <v>7</v>
      </c>
      <c r="J316" s="1"/>
      <c r="K316" s="80" t="s">
        <v>30</v>
      </c>
      <c r="L316" s="1"/>
      <c r="M316" s="80" t="s">
        <v>1400</v>
      </c>
      <c r="N316" s="80" t="s">
        <v>4387</v>
      </c>
      <c r="O316" s="80">
        <v>5990</v>
      </c>
      <c r="P316" s="80">
        <v>2254</v>
      </c>
      <c r="Q316" s="80">
        <v>2300</v>
      </c>
      <c r="R316" s="80"/>
      <c r="S316" s="80">
        <v>3500</v>
      </c>
      <c r="T316" s="80">
        <v>2400</v>
      </c>
      <c r="U316" s="80">
        <v>8062</v>
      </c>
      <c r="V316" s="80">
        <v>1085</v>
      </c>
      <c r="W316" s="80">
        <v>4185</v>
      </c>
      <c r="X316" s="80">
        <v>2615</v>
      </c>
      <c r="Y316" s="80"/>
      <c r="Z316" s="80">
        <v>11</v>
      </c>
      <c r="AA316" s="80" t="s">
        <v>296</v>
      </c>
      <c r="AB316" s="80">
        <v>10000</v>
      </c>
      <c r="AC316" s="80">
        <v>2855</v>
      </c>
      <c r="AD316" s="80"/>
      <c r="AE316" s="80"/>
      <c r="AF316" s="80"/>
      <c r="AG316" s="80"/>
      <c r="AH316" s="80" t="s">
        <v>160</v>
      </c>
      <c r="AI316" s="80" t="s">
        <v>1401</v>
      </c>
      <c r="AJ316" s="80"/>
      <c r="AK316" s="80" t="s">
        <v>1402</v>
      </c>
      <c r="AL316" s="80"/>
      <c r="AM316" s="80" t="s">
        <v>1403</v>
      </c>
      <c r="AN316" s="80"/>
      <c r="AO316" s="80" t="s">
        <v>1407</v>
      </c>
      <c r="AP316" s="80"/>
      <c r="AQ316" s="80" t="s">
        <v>1408</v>
      </c>
      <c r="AR316" s="80"/>
      <c r="AS316" s="80" t="s">
        <v>1406</v>
      </c>
      <c r="AT316" s="80"/>
      <c r="AU316" s="80" t="s">
        <v>66</v>
      </c>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row>
    <row r="317" spans="1:72" s="144" customFormat="1" ht="25.15" customHeight="1" outlineLevel="1" x14ac:dyDescent="0.25">
      <c r="A317" s="9" t="s">
        <v>202</v>
      </c>
      <c r="B317" s="80" t="s">
        <v>4366</v>
      </c>
      <c r="C317" s="80"/>
      <c r="D317" s="80"/>
      <c r="E317" s="80" t="s">
        <v>33</v>
      </c>
      <c r="F317" s="80" t="s">
        <v>37</v>
      </c>
      <c r="G317" s="80" t="s">
        <v>41</v>
      </c>
      <c r="H317" s="80" t="s">
        <v>29</v>
      </c>
      <c r="I317" s="80" t="s">
        <v>7</v>
      </c>
      <c r="J317" s="1"/>
      <c r="K317" s="80" t="s">
        <v>30</v>
      </c>
      <c r="L317" s="1"/>
      <c r="M317" s="80" t="s">
        <v>1418</v>
      </c>
      <c r="N317" s="80" t="s">
        <v>4386</v>
      </c>
      <c r="O317" s="80">
        <v>6590</v>
      </c>
      <c r="P317" s="80">
        <v>2454</v>
      </c>
      <c r="Q317" s="80">
        <v>2400</v>
      </c>
      <c r="R317" s="80"/>
      <c r="S317" s="80">
        <v>3675</v>
      </c>
      <c r="T317" s="80">
        <v>2600</v>
      </c>
      <c r="U317" s="80">
        <v>8772</v>
      </c>
      <c r="V317" s="80">
        <v>1160</v>
      </c>
      <c r="W317" s="80">
        <v>4815</v>
      </c>
      <c r="X317" s="80">
        <v>2595</v>
      </c>
      <c r="Y317" s="80"/>
      <c r="Z317" s="80">
        <v>15</v>
      </c>
      <c r="AA317" s="80" t="s">
        <v>312</v>
      </c>
      <c r="AB317" s="80">
        <v>11990</v>
      </c>
      <c r="AC317" s="80">
        <v>4030</v>
      </c>
      <c r="AD317" s="80"/>
      <c r="AE317" s="80"/>
      <c r="AF317" s="80"/>
      <c r="AG317" s="80"/>
      <c r="AH317" s="80" t="s">
        <v>161</v>
      </c>
      <c r="AI317" s="80" t="s">
        <v>1401</v>
      </c>
      <c r="AJ317" s="80"/>
      <c r="AK317" s="80" t="s">
        <v>1419</v>
      </c>
      <c r="AL317" s="80"/>
      <c r="AM317" s="80" t="s">
        <v>1420</v>
      </c>
      <c r="AN317" s="80"/>
      <c r="AO317" s="80" t="s">
        <v>1421</v>
      </c>
      <c r="AP317" s="80"/>
      <c r="AQ317" s="80" t="s">
        <v>1422</v>
      </c>
      <c r="AR317" s="80"/>
      <c r="AS317" s="80" t="s">
        <v>1423</v>
      </c>
      <c r="AT317" s="80"/>
      <c r="AU317" s="80" t="s">
        <v>67</v>
      </c>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row>
    <row r="318" spans="1:72" s="144" customFormat="1" ht="25.15" customHeight="1" outlineLevel="1" x14ac:dyDescent="0.25">
      <c r="A318" s="9" t="s">
        <v>202</v>
      </c>
      <c r="B318" s="80" t="s">
        <v>4366</v>
      </c>
      <c r="C318" s="80"/>
      <c r="D318" s="80"/>
      <c r="E318" s="80" t="s">
        <v>33</v>
      </c>
      <c r="F318" s="80" t="s">
        <v>37</v>
      </c>
      <c r="G318" s="80" t="s">
        <v>41</v>
      </c>
      <c r="H318" s="80" t="s">
        <v>12</v>
      </c>
      <c r="I318" s="80" t="s">
        <v>7</v>
      </c>
      <c r="J318" s="1"/>
      <c r="K318" s="80" t="s">
        <v>30</v>
      </c>
      <c r="L318" s="1"/>
      <c r="M318" s="80" t="s">
        <v>1418</v>
      </c>
      <c r="N318" s="80" t="s">
        <v>4387</v>
      </c>
      <c r="O318" s="80">
        <v>6590</v>
      </c>
      <c r="P318" s="80">
        <v>2454</v>
      </c>
      <c r="Q318" s="80">
        <v>2400</v>
      </c>
      <c r="R318" s="80"/>
      <c r="S318" s="80">
        <v>3675</v>
      </c>
      <c r="T318" s="80">
        <v>2600</v>
      </c>
      <c r="U318" s="80">
        <v>8772</v>
      </c>
      <c r="V318" s="80">
        <v>1160</v>
      </c>
      <c r="W318" s="80">
        <v>4815</v>
      </c>
      <c r="X318" s="80">
        <v>2595</v>
      </c>
      <c r="Y318" s="80"/>
      <c r="Z318" s="80">
        <v>15</v>
      </c>
      <c r="AA318" s="80" t="s">
        <v>296</v>
      </c>
      <c r="AB318" s="80">
        <v>11990</v>
      </c>
      <c r="AC318" s="80">
        <v>3585</v>
      </c>
      <c r="AD318" s="80"/>
      <c r="AE318" s="80"/>
      <c r="AF318" s="80"/>
      <c r="AG318" s="80"/>
      <c r="AH318" s="80" t="s">
        <v>161</v>
      </c>
      <c r="AI318" s="80" t="s">
        <v>1401</v>
      </c>
      <c r="AJ318" s="80"/>
      <c r="AK318" s="80" t="s">
        <v>1419</v>
      </c>
      <c r="AL318" s="80"/>
      <c r="AM318" s="80" t="s">
        <v>1420</v>
      </c>
      <c r="AN318" s="80"/>
      <c r="AO318" s="80" t="s">
        <v>1424</v>
      </c>
      <c r="AP318" s="80"/>
      <c r="AQ318" s="80" t="s">
        <v>1425</v>
      </c>
      <c r="AR318" s="80"/>
      <c r="AS318" s="80" t="s">
        <v>1423</v>
      </c>
      <c r="AT318" s="80"/>
      <c r="AU318" s="80" t="s">
        <v>68</v>
      </c>
      <c r="AV318" s="80"/>
      <c r="AW318" s="80"/>
      <c r="AX318" s="80"/>
      <c r="AY318" s="80"/>
      <c r="AZ318" s="80"/>
      <c r="BA318" s="80"/>
      <c r="BB318" s="80"/>
      <c r="BC318" s="80"/>
      <c r="BD318" s="80"/>
      <c r="BE318" s="80"/>
      <c r="BF318" s="80"/>
      <c r="BG318" s="80"/>
      <c r="BH318" s="80"/>
      <c r="BI318" s="80"/>
      <c r="BJ318" s="80"/>
      <c r="BK318" s="80"/>
      <c r="BL318" s="80"/>
      <c r="BM318" s="80"/>
      <c r="BN318" s="80"/>
      <c r="BO318" s="80"/>
      <c r="BP318" s="80"/>
      <c r="BQ318" s="80"/>
      <c r="BR318" s="80"/>
      <c r="BS318" s="80"/>
      <c r="BT318" s="80"/>
    </row>
    <row r="319" spans="1:72" s="144" customFormat="1" ht="25.15" customHeight="1" outlineLevel="1" x14ac:dyDescent="0.25">
      <c r="A319" s="9" t="s">
        <v>202</v>
      </c>
      <c r="B319" s="80" t="s">
        <v>4366</v>
      </c>
      <c r="C319" s="80"/>
      <c r="D319" s="80"/>
      <c r="E319" s="80" t="s">
        <v>33</v>
      </c>
      <c r="F319" s="80" t="s">
        <v>37</v>
      </c>
      <c r="G319" s="80" t="s">
        <v>41</v>
      </c>
      <c r="H319" s="80" t="s">
        <v>29</v>
      </c>
      <c r="I319" s="80" t="s">
        <v>7</v>
      </c>
      <c r="J319" s="1"/>
      <c r="K319" s="80" t="s">
        <v>30</v>
      </c>
      <c r="L319" s="1"/>
      <c r="M319" s="80" t="s">
        <v>1432</v>
      </c>
      <c r="N319" s="80" t="s">
        <v>4386</v>
      </c>
      <c r="O319" s="80">
        <v>6590</v>
      </c>
      <c r="P319" s="80">
        <v>2454</v>
      </c>
      <c r="Q319" s="80">
        <v>2400</v>
      </c>
      <c r="R319" s="80"/>
      <c r="S319" s="80">
        <v>3675</v>
      </c>
      <c r="T319" s="80">
        <v>2600</v>
      </c>
      <c r="U319" s="80">
        <v>8772</v>
      </c>
      <c r="V319" s="80">
        <v>1160</v>
      </c>
      <c r="W319" s="80">
        <v>4815</v>
      </c>
      <c r="X319" s="80">
        <v>2655</v>
      </c>
      <c r="Y319" s="80"/>
      <c r="Z319" s="80">
        <v>15</v>
      </c>
      <c r="AA319" s="80" t="s">
        <v>312</v>
      </c>
      <c r="AB319" s="80">
        <v>14000</v>
      </c>
      <c r="AC319" s="80">
        <v>5810</v>
      </c>
      <c r="AD319" s="80"/>
      <c r="AE319" s="80"/>
      <c r="AF319" s="80"/>
      <c r="AG319" s="80"/>
      <c r="AH319" s="80" t="s">
        <v>161</v>
      </c>
      <c r="AI319" s="80" t="s">
        <v>1401</v>
      </c>
      <c r="AJ319" s="80"/>
      <c r="AK319" s="80" t="s">
        <v>1427</v>
      </c>
      <c r="AL319" s="80"/>
      <c r="AM319" s="80" t="s">
        <v>1433</v>
      </c>
      <c r="AN319" s="80"/>
      <c r="AO319" s="80" t="s">
        <v>1421</v>
      </c>
      <c r="AP319" s="80"/>
      <c r="AQ319" s="80" t="s">
        <v>1422</v>
      </c>
      <c r="AR319" s="80"/>
      <c r="AS319" s="80" t="s">
        <v>1434</v>
      </c>
      <c r="AT319" s="80"/>
      <c r="AU319" s="80" t="s">
        <v>1435</v>
      </c>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0"/>
    </row>
    <row r="320" spans="1:72" s="144" customFormat="1" ht="25.15" customHeight="1" outlineLevel="1" x14ac:dyDescent="0.25">
      <c r="A320" s="9" t="s">
        <v>202</v>
      </c>
      <c r="B320" s="80" t="s">
        <v>4366</v>
      </c>
      <c r="C320" s="80"/>
      <c r="D320" s="80"/>
      <c r="E320" s="80" t="s">
        <v>33</v>
      </c>
      <c r="F320" s="80" t="s">
        <v>37</v>
      </c>
      <c r="G320" s="80" t="s">
        <v>41</v>
      </c>
      <c r="H320" s="80" t="s">
        <v>12</v>
      </c>
      <c r="I320" s="80" t="s">
        <v>7</v>
      </c>
      <c r="J320" s="1"/>
      <c r="K320" s="80" t="s">
        <v>30</v>
      </c>
      <c r="L320" s="1"/>
      <c r="M320" s="80" t="s">
        <v>1432</v>
      </c>
      <c r="N320" s="80" t="s">
        <v>4387</v>
      </c>
      <c r="O320" s="80">
        <v>6590</v>
      </c>
      <c r="P320" s="80">
        <v>2454</v>
      </c>
      <c r="Q320" s="80">
        <v>2400</v>
      </c>
      <c r="R320" s="80"/>
      <c r="S320" s="80">
        <v>3675</v>
      </c>
      <c r="T320" s="80">
        <v>2600</v>
      </c>
      <c r="U320" s="80">
        <v>8772</v>
      </c>
      <c r="V320" s="80">
        <v>1160</v>
      </c>
      <c r="W320" s="80">
        <v>4815</v>
      </c>
      <c r="X320" s="80">
        <v>2655</v>
      </c>
      <c r="Y320" s="80"/>
      <c r="Z320" s="80">
        <v>15</v>
      </c>
      <c r="AA320" s="80" t="s">
        <v>296</v>
      </c>
      <c r="AB320" s="80">
        <v>14000</v>
      </c>
      <c r="AC320" s="80">
        <v>5365</v>
      </c>
      <c r="AD320" s="80"/>
      <c r="AE320" s="80"/>
      <c r="AF320" s="80"/>
      <c r="AG320" s="80"/>
      <c r="AH320" s="80" t="s">
        <v>161</v>
      </c>
      <c r="AI320" s="80" t="s">
        <v>1401</v>
      </c>
      <c r="AJ320" s="80"/>
      <c r="AK320" s="80" t="s">
        <v>1427</v>
      </c>
      <c r="AL320" s="80"/>
      <c r="AM320" s="80" t="s">
        <v>1433</v>
      </c>
      <c r="AN320" s="80"/>
      <c r="AO320" s="80" t="s">
        <v>1424</v>
      </c>
      <c r="AP320" s="80"/>
      <c r="AQ320" s="80" t="s">
        <v>1425</v>
      </c>
      <c r="AR320" s="80"/>
      <c r="AS320" s="80" t="s">
        <v>1434</v>
      </c>
      <c r="AT320" s="80"/>
      <c r="AU320" s="80" t="s">
        <v>1436</v>
      </c>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row>
    <row r="321" spans="1:72" s="144" customFormat="1" ht="25.15" customHeight="1" outlineLevel="1" x14ac:dyDescent="0.25">
      <c r="A321" s="9" t="s">
        <v>202</v>
      </c>
      <c r="B321" s="80" t="s">
        <v>4366</v>
      </c>
      <c r="C321" s="80"/>
      <c r="D321" s="80"/>
      <c r="E321" s="80" t="s">
        <v>33</v>
      </c>
      <c r="F321" s="80" t="s">
        <v>37</v>
      </c>
      <c r="G321" s="80" t="s">
        <v>42</v>
      </c>
      <c r="H321" s="80" t="s">
        <v>29</v>
      </c>
      <c r="I321" s="80" t="s">
        <v>7</v>
      </c>
      <c r="J321" s="1"/>
      <c r="K321" s="80" t="s">
        <v>30</v>
      </c>
      <c r="L321" s="1"/>
      <c r="M321" s="80" t="s">
        <v>1441</v>
      </c>
      <c r="N321" s="80" t="s">
        <v>4386</v>
      </c>
      <c r="O321" s="80">
        <v>7690</v>
      </c>
      <c r="P321" s="80">
        <v>2454</v>
      </c>
      <c r="Q321" s="80">
        <v>2400</v>
      </c>
      <c r="R321" s="80"/>
      <c r="S321" s="80">
        <v>3675</v>
      </c>
      <c r="T321" s="80">
        <v>2600</v>
      </c>
      <c r="U321" s="80">
        <v>9872</v>
      </c>
      <c r="V321" s="80">
        <v>1160</v>
      </c>
      <c r="W321" s="80">
        <v>5670</v>
      </c>
      <c r="X321" s="80">
        <v>2840</v>
      </c>
      <c r="Y321" s="80"/>
      <c r="Z321" s="80">
        <v>18</v>
      </c>
      <c r="AA321" s="80" t="s">
        <v>312</v>
      </c>
      <c r="AB321" s="80">
        <v>16000</v>
      </c>
      <c r="AC321" s="80">
        <v>7180</v>
      </c>
      <c r="AD321" s="80"/>
      <c r="AE321" s="80"/>
      <c r="AF321" s="80"/>
      <c r="AG321" s="80"/>
      <c r="AH321" s="80" t="s">
        <v>162</v>
      </c>
      <c r="AI321" s="80" t="s">
        <v>1401</v>
      </c>
      <c r="AJ321" s="80"/>
      <c r="AK321" s="80" t="s">
        <v>1427</v>
      </c>
      <c r="AL321" s="80"/>
      <c r="AM321" s="80" t="s">
        <v>1433</v>
      </c>
      <c r="AN321" s="80"/>
      <c r="AO321" s="80" t="s">
        <v>1442</v>
      </c>
      <c r="AP321" s="80"/>
      <c r="AQ321" s="80" t="s">
        <v>1443</v>
      </c>
      <c r="AR321" s="80"/>
      <c r="AS321" s="80" t="s">
        <v>1444</v>
      </c>
      <c r="AT321" s="80"/>
      <c r="AU321" s="80" t="s">
        <v>69</v>
      </c>
      <c r="AV321" s="80"/>
      <c r="AW321" s="80"/>
      <c r="AX321" s="80"/>
      <c r="AY321" s="80"/>
      <c r="AZ321" s="80"/>
      <c r="BA321" s="80"/>
      <c r="BB321" s="80"/>
      <c r="BC321" s="80"/>
      <c r="BD321" s="80"/>
      <c r="BE321" s="80"/>
      <c r="BF321" s="80"/>
      <c r="BG321" s="80"/>
      <c r="BH321" s="80"/>
      <c r="BI321" s="80"/>
      <c r="BJ321" s="80"/>
      <c r="BK321" s="80"/>
      <c r="BL321" s="80"/>
      <c r="BM321" s="80"/>
      <c r="BN321" s="80"/>
      <c r="BO321" s="80"/>
      <c r="BP321" s="80"/>
      <c r="BQ321" s="80"/>
      <c r="BR321" s="80"/>
      <c r="BS321" s="80"/>
      <c r="BT321" s="80"/>
    </row>
    <row r="322" spans="1:72" s="144" customFormat="1" ht="25.15" customHeight="1" outlineLevel="1" x14ac:dyDescent="0.25">
      <c r="A322" s="9" t="s">
        <v>202</v>
      </c>
      <c r="B322" s="80" t="s">
        <v>4366</v>
      </c>
      <c r="C322" s="80"/>
      <c r="D322" s="80"/>
      <c r="E322" s="80" t="s">
        <v>33</v>
      </c>
      <c r="F322" s="80" t="s">
        <v>37</v>
      </c>
      <c r="G322" s="80" t="s">
        <v>42</v>
      </c>
      <c r="H322" s="80" t="s">
        <v>12</v>
      </c>
      <c r="I322" s="80" t="s">
        <v>7</v>
      </c>
      <c r="J322" s="1"/>
      <c r="K322" s="80" t="s">
        <v>30</v>
      </c>
      <c r="L322" s="1"/>
      <c r="M322" s="80" t="s">
        <v>1441</v>
      </c>
      <c r="N322" s="80" t="s">
        <v>4387</v>
      </c>
      <c r="O322" s="80">
        <v>7690</v>
      </c>
      <c r="P322" s="80">
        <v>2454</v>
      </c>
      <c r="Q322" s="80">
        <v>2400</v>
      </c>
      <c r="R322" s="80"/>
      <c r="S322" s="80">
        <v>3675</v>
      </c>
      <c r="T322" s="80">
        <v>2600</v>
      </c>
      <c r="U322" s="80">
        <v>9872</v>
      </c>
      <c r="V322" s="80">
        <v>1160</v>
      </c>
      <c r="W322" s="80">
        <v>5670</v>
      </c>
      <c r="X322" s="80">
        <v>2840</v>
      </c>
      <c r="Y322" s="80"/>
      <c r="Z322" s="80">
        <v>18</v>
      </c>
      <c r="AA322" s="80" t="s">
        <v>296</v>
      </c>
      <c r="AB322" s="80">
        <v>16000</v>
      </c>
      <c r="AC322" s="80">
        <v>6790</v>
      </c>
      <c r="AD322" s="80"/>
      <c r="AE322" s="80"/>
      <c r="AF322" s="80"/>
      <c r="AG322" s="80"/>
      <c r="AH322" s="80" t="s">
        <v>162</v>
      </c>
      <c r="AI322" s="80" t="s">
        <v>1401</v>
      </c>
      <c r="AJ322" s="80"/>
      <c r="AK322" s="80" t="s">
        <v>1427</v>
      </c>
      <c r="AL322" s="80"/>
      <c r="AM322" s="80" t="s">
        <v>1433</v>
      </c>
      <c r="AN322" s="80"/>
      <c r="AO322" s="80" t="s">
        <v>1445</v>
      </c>
      <c r="AP322" s="80"/>
      <c r="AQ322" s="80" t="s">
        <v>1446</v>
      </c>
      <c r="AR322" s="80"/>
      <c r="AS322" s="80" t="s">
        <v>1444</v>
      </c>
      <c r="AT322" s="80"/>
      <c r="AU322" s="84" t="s">
        <v>462</v>
      </c>
      <c r="AV322" s="80"/>
      <c r="AW322" s="80"/>
      <c r="AX322" s="80"/>
      <c r="AY322" s="80"/>
      <c r="AZ322" s="80"/>
      <c r="BA322" s="80"/>
      <c r="BB322" s="80"/>
      <c r="BC322" s="80"/>
      <c r="BD322" s="80"/>
      <c r="BE322" s="80"/>
      <c r="BF322" s="80"/>
      <c r="BG322" s="80"/>
      <c r="BH322" s="80"/>
      <c r="BI322" s="80"/>
      <c r="BJ322" s="80"/>
      <c r="BK322" s="80"/>
      <c r="BL322" s="80"/>
      <c r="BM322" s="80"/>
      <c r="BN322" s="80"/>
      <c r="BO322" s="80"/>
      <c r="BP322" s="80"/>
      <c r="BQ322" s="80"/>
      <c r="BR322" s="80"/>
      <c r="BS322" s="80"/>
      <c r="BT322" s="80"/>
    </row>
    <row r="323" spans="1:72" s="144" customFormat="1" ht="25.15" customHeight="1" outlineLevel="1" x14ac:dyDescent="0.25">
      <c r="A323" s="9" t="s">
        <v>202</v>
      </c>
      <c r="B323" s="80" t="s">
        <v>4366</v>
      </c>
      <c r="C323" s="80"/>
      <c r="D323" s="80"/>
      <c r="E323" s="80" t="s">
        <v>33</v>
      </c>
      <c r="F323" s="80" t="s">
        <v>37</v>
      </c>
      <c r="G323" s="80" t="s">
        <v>42</v>
      </c>
      <c r="H323" s="80" t="s">
        <v>29</v>
      </c>
      <c r="I323" s="80" t="s">
        <v>7</v>
      </c>
      <c r="J323" s="1"/>
      <c r="K323" s="80" t="s">
        <v>30</v>
      </c>
      <c r="L323" s="1"/>
      <c r="M323" s="80" t="s">
        <v>1453</v>
      </c>
      <c r="N323" s="80" t="s">
        <v>4386</v>
      </c>
      <c r="O323" s="80">
        <v>7690</v>
      </c>
      <c r="P323" s="80">
        <v>2454</v>
      </c>
      <c r="Q323" s="80">
        <v>2400</v>
      </c>
      <c r="R323" s="80"/>
      <c r="S323" s="80">
        <v>3785</v>
      </c>
      <c r="T323" s="80">
        <v>2600</v>
      </c>
      <c r="U323" s="80">
        <v>9832</v>
      </c>
      <c r="V323" s="80">
        <v>1270</v>
      </c>
      <c r="W323" s="80">
        <v>5670</v>
      </c>
      <c r="X323" s="80">
        <v>2800</v>
      </c>
      <c r="Y323" s="80"/>
      <c r="Z323" s="80">
        <v>18</v>
      </c>
      <c r="AA323" s="80" t="s">
        <v>312</v>
      </c>
      <c r="AB323" s="80">
        <v>19000</v>
      </c>
      <c r="AC323" s="80">
        <v>9450</v>
      </c>
      <c r="AD323" s="80"/>
      <c r="AE323" s="80"/>
      <c r="AF323" s="80"/>
      <c r="AG323" s="80"/>
      <c r="AH323" s="80" t="s">
        <v>162</v>
      </c>
      <c r="AI323" s="80" t="s">
        <v>1454</v>
      </c>
      <c r="AJ323" s="80"/>
      <c r="AK323" s="80" t="s">
        <v>1455</v>
      </c>
      <c r="AL323" s="80"/>
      <c r="AM323" s="80" t="s">
        <v>1456</v>
      </c>
      <c r="AN323" s="80"/>
      <c r="AO323" s="80" t="s">
        <v>1457</v>
      </c>
      <c r="AP323" s="80"/>
      <c r="AQ323" s="80" t="s">
        <v>1443</v>
      </c>
      <c r="AR323" s="80"/>
      <c r="AS323" s="80" t="s">
        <v>1444</v>
      </c>
      <c r="AT323" s="80"/>
      <c r="AU323" s="80" t="s">
        <v>1458</v>
      </c>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row>
    <row r="324" spans="1:72" s="144" customFormat="1" ht="25.15" customHeight="1" outlineLevel="1" x14ac:dyDescent="0.25">
      <c r="A324" s="9" t="s">
        <v>202</v>
      </c>
      <c r="B324" s="80" t="s">
        <v>4366</v>
      </c>
      <c r="C324" s="80"/>
      <c r="D324" s="80"/>
      <c r="E324" s="80" t="s">
        <v>33</v>
      </c>
      <c r="F324" s="80" t="s">
        <v>37</v>
      </c>
      <c r="G324" s="80" t="s">
        <v>42</v>
      </c>
      <c r="H324" s="80" t="s">
        <v>12</v>
      </c>
      <c r="I324" s="80" t="s">
        <v>7</v>
      </c>
      <c r="J324" s="1"/>
      <c r="K324" s="80" t="s">
        <v>30</v>
      </c>
      <c r="L324" s="1"/>
      <c r="M324" s="80" t="s">
        <v>1453</v>
      </c>
      <c r="N324" s="80" t="s">
        <v>4387</v>
      </c>
      <c r="O324" s="80">
        <v>7690</v>
      </c>
      <c r="P324" s="80">
        <v>2454</v>
      </c>
      <c r="Q324" s="80">
        <v>2400</v>
      </c>
      <c r="R324" s="80"/>
      <c r="S324" s="80">
        <v>3785</v>
      </c>
      <c r="T324" s="80">
        <v>2600</v>
      </c>
      <c r="U324" s="80">
        <v>9832</v>
      </c>
      <c r="V324" s="80">
        <v>1270</v>
      </c>
      <c r="W324" s="80">
        <v>5670</v>
      </c>
      <c r="X324" s="80">
        <v>2800</v>
      </c>
      <c r="Y324" s="80"/>
      <c r="Z324" s="80">
        <v>18</v>
      </c>
      <c r="AA324" s="80" t="s">
        <v>296</v>
      </c>
      <c r="AB324" s="80">
        <v>19000</v>
      </c>
      <c r="AC324" s="80">
        <v>9020</v>
      </c>
      <c r="AD324" s="80"/>
      <c r="AE324" s="80"/>
      <c r="AF324" s="80"/>
      <c r="AG324" s="80"/>
      <c r="AH324" s="80" t="s">
        <v>162</v>
      </c>
      <c r="AI324" s="80" t="s">
        <v>1454</v>
      </c>
      <c r="AJ324" s="80"/>
      <c r="AK324" s="80" t="s">
        <v>1455</v>
      </c>
      <c r="AL324" s="80"/>
      <c r="AM324" s="80" t="s">
        <v>1456</v>
      </c>
      <c r="AN324" s="80"/>
      <c r="AO324" s="80" t="s">
        <v>1459</v>
      </c>
      <c r="AP324" s="80"/>
      <c r="AQ324" s="80" t="s">
        <v>1425</v>
      </c>
      <c r="AR324" s="80"/>
      <c r="AS324" s="80" t="s">
        <v>1444</v>
      </c>
      <c r="AT324" s="80"/>
      <c r="AU324" s="80" t="s">
        <v>1460</v>
      </c>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row>
    <row r="325" spans="1:72" s="144" customFormat="1" ht="25.15" customHeight="1" outlineLevel="1" x14ac:dyDescent="0.25">
      <c r="A325" s="9" t="s">
        <v>202</v>
      </c>
      <c r="B325" s="80" t="s">
        <v>4366</v>
      </c>
      <c r="C325" s="80"/>
      <c r="D325" s="80"/>
      <c r="E325" s="80" t="s">
        <v>33</v>
      </c>
      <c r="F325" s="80" t="s">
        <v>37</v>
      </c>
      <c r="G325" s="80" t="s">
        <v>43</v>
      </c>
      <c r="H325" s="80" t="s">
        <v>29</v>
      </c>
      <c r="I325" s="80" t="s">
        <v>7</v>
      </c>
      <c r="J325" s="1"/>
      <c r="K325" s="80" t="s">
        <v>30</v>
      </c>
      <c r="L325" s="1"/>
      <c r="M325" s="80" t="s">
        <v>1464</v>
      </c>
      <c r="N325" s="80" t="s">
        <v>4386</v>
      </c>
      <c r="O325" s="80">
        <v>8890</v>
      </c>
      <c r="P325" s="80">
        <v>2454</v>
      </c>
      <c r="Q325" s="80">
        <v>2400</v>
      </c>
      <c r="R325" s="80"/>
      <c r="S325" s="80">
        <v>3785</v>
      </c>
      <c r="T325" s="80">
        <v>2600</v>
      </c>
      <c r="U325" s="80">
        <v>11032</v>
      </c>
      <c r="V325" s="80">
        <v>1270</v>
      </c>
      <c r="W325" s="80">
        <v>6570</v>
      </c>
      <c r="X325" s="80">
        <v>3100</v>
      </c>
      <c r="Y325" s="80"/>
      <c r="Z325" s="80">
        <v>21</v>
      </c>
      <c r="AA325" s="80" t="s">
        <v>312</v>
      </c>
      <c r="AB325" s="80">
        <v>19000</v>
      </c>
      <c r="AC325" s="80">
        <v>8915</v>
      </c>
      <c r="AD325" s="80"/>
      <c r="AE325" s="80"/>
      <c r="AF325" s="80"/>
      <c r="AG325" s="80"/>
      <c r="AH325" s="80" t="s">
        <v>163</v>
      </c>
      <c r="AI325" s="80" t="s">
        <v>1454</v>
      </c>
      <c r="AJ325" s="80"/>
      <c r="AK325" s="80" t="s">
        <v>1455</v>
      </c>
      <c r="AL325" s="80"/>
      <c r="AM325" s="80" t="s">
        <v>1456</v>
      </c>
      <c r="AN325" s="80"/>
      <c r="AO325" s="80" t="s">
        <v>1457</v>
      </c>
      <c r="AP325" s="80"/>
      <c r="AQ325" s="80" t="s">
        <v>1465</v>
      </c>
      <c r="AR325" s="80"/>
      <c r="AS325" s="80" t="s">
        <v>1444</v>
      </c>
      <c r="AT325" s="80"/>
      <c r="AU325" s="80" t="s">
        <v>1466</v>
      </c>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row>
    <row r="326" spans="1:72" s="144" customFormat="1" ht="25.15" customHeight="1" outlineLevel="1" x14ac:dyDescent="0.25">
      <c r="A326" s="9" t="s">
        <v>202</v>
      </c>
      <c r="B326" s="80" t="s">
        <v>4366</v>
      </c>
      <c r="C326" s="80"/>
      <c r="D326" s="80"/>
      <c r="E326" s="80" t="s">
        <v>33</v>
      </c>
      <c r="F326" s="80" t="s">
        <v>37</v>
      </c>
      <c r="G326" s="80" t="s">
        <v>43</v>
      </c>
      <c r="H326" s="80" t="s">
        <v>12</v>
      </c>
      <c r="I326" s="80" t="s">
        <v>7</v>
      </c>
      <c r="J326" s="1"/>
      <c r="K326" s="80" t="s">
        <v>30</v>
      </c>
      <c r="L326" s="1"/>
      <c r="M326" s="80" t="s">
        <v>1464</v>
      </c>
      <c r="N326" s="80" t="s">
        <v>4387</v>
      </c>
      <c r="O326" s="80">
        <v>8890</v>
      </c>
      <c r="P326" s="80">
        <v>2454</v>
      </c>
      <c r="Q326" s="80">
        <v>2400</v>
      </c>
      <c r="R326" s="80"/>
      <c r="S326" s="80">
        <v>3785</v>
      </c>
      <c r="T326" s="80">
        <v>2600</v>
      </c>
      <c r="U326" s="80">
        <v>11032</v>
      </c>
      <c r="V326" s="80">
        <v>1270</v>
      </c>
      <c r="W326" s="80">
        <v>6570</v>
      </c>
      <c r="X326" s="80">
        <v>3100</v>
      </c>
      <c r="Y326" s="80"/>
      <c r="Z326" s="80">
        <v>21</v>
      </c>
      <c r="AA326" s="80" t="s">
        <v>296</v>
      </c>
      <c r="AB326" s="80">
        <v>19000</v>
      </c>
      <c r="AC326" s="80">
        <v>8520</v>
      </c>
      <c r="AD326" s="80"/>
      <c r="AE326" s="80"/>
      <c r="AF326" s="80"/>
      <c r="AG326" s="80"/>
      <c r="AH326" s="80" t="s">
        <v>163</v>
      </c>
      <c r="AI326" s="80" t="s">
        <v>1454</v>
      </c>
      <c r="AJ326" s="80"/>
      <c r="AK326" s="80" t="s">
        <v>1455</v>
      </c>
      <c r="AL326" s="80"/>
      <c r="AM326" s="80" t="s">
        <v>1456</v>
      </c>
      <c r="AN326" s="80"/>
      <c r="AO326" s="80" t="s">
        <v>1459</v>
      </c>
      <c r="AP326" s="80"/>
      <c r="AQ326" s="80" t="s">
        <v>1425</v>
      </c>
      <c r="AR326" s="80"/>
      <c r="AS326" s="80" t="s">
        <v>1444</v>
      </c>
      <c r="AT326" s="80"/>
      <c r="AU326" s="80" t="s">
        <v>466</v>
      </c>
      <c r="AV326" s="80"/>
      <c r="AW326" s="80"/>
      <c r="AX326" s="80"/>
      <c r="AY326" s="80"/>
      <c r="AZ326" s="80"/>
      <c r="BA326" s="80"/>
      <c r="BB326" s="80"/>
      <c r="BC326" s="80"/>
      <c r="BD326" s="80"/>
      <c r="BE326" s="80"/>
      <c r="BF326" s="80"/>
      <c r="BG326" s="80"/>
      <c r="BH326" s="80"/>
      <c r="BI326" s="80"/>
      <c r="BJ326" s="80"/>
      <c r="BK326" s="80"/>
      <c r="BL326" s="80"/>
      <c r="BM326" s="80"/>
      <c r="BN326" s="80"/>
      <c r="BO326" s="80"/>
      <c r="BP326" s="80"/>
      <c r="BQ326" s="80"/>
      <c r="BR326" s="80"/>
      <c r="BS326" s="80"/>
      <c r="BT326" s="80"/>
    </row>
    <row r="327" spans="1:72" s="144" customFormat="1" ht="25.15" customHeight="1" outlineLevel="1" x14ac:dyDescent="0.25">
      <c r="A327" s="9" t="s">
        <v>202</v>
      </c>
      <c r="B327" s="80" t="s">
        <v>4366</v>
      </c>
      <c r="C327" s="80"/>
      <c r="D327" s="80"/>
      <c r="E327" s="80" t="s">
        <v>469</v>
      </c>
      <c r="F327" s="80" t="s">
        <v>50</v>
      </c>
      <c r="G327" s="80" t="s">
        <v>38</v>
      </c>
      <c r="H327" s="80" t="s">
        <v>29</v>
      </c>
      <c r="I327" s="80" t="s">
        <v>7</v>
      </c>
      <c r="J327" s="1"/>
      <c r="K327" s="80" t="s">
        <v>30</v>
      </c>
      <c r="L327" s="1"/>
      <c r="M327" s="80" t="s">
        <v>1545</v>
      </c>
      <c r="N327" s="80" t="s">
        <v>4386</v>
      </c>
      <c r="O327" s="80">
        <v>5990</v>
      </c>
      <c r="P327" s="80">
        <v>2254</v>
      </c>
      <c r="Q327" s="80">
        <v>2300</v>
      </c>
      <c r="R327" s="80"/>
      <c r="S327" s="80">
        <v>3525</v>
      </c>
      <c r="T327" s="80">
        <v>2400</v>
      </c>
      <c r="U327" s="80">
        <v>8125</v>
      </c>
      <c r="V327" s="80">
        <v>1110</v>
      </c>
      <c r="W327" s="80">
        <v>4100</v>
      </c>
      <c r="X327" s="80">
        <v>2700</v>
      </c>
      <c r="Y327" s="80"/>
      <c r="Z327" s="80">
        <v>11</v>
      </c>
      <c r="AA327" s="80" t="s">
        <v>507</v>
      </c>
      <c r="AB327" s="80">
        <v>10000</v>
      </c>
      <c r="AC327" s="80">
        <v>2925</v>
      </c>
      <c r="AD327" s="80"/>
      <c r="AE327" s="80"/>
      <c r="AF327" s="80"/>
      <c r="AG327" s="80"/>
      <c r="AH327" s="80" t="s">
        <v>160</v>
      </c>
      <c r="AI327" s="80" t="s">
        <v>1546</v>
      </c>
      <c r="AJ327" s="80"/>
      <c r="AK327" s="80" t="s">
        <v>1547</v>
      </c>
      <c r="AL327" s="80"/>
      <c r="AM327" s="80" t="s">
        <v>1548</v>
      </c>
      <c r="AN327" s="80"/>
      <c r="AO327" s="80" t="s">
        <v>1404</v>
      </c>
      <c r="AP327" s="80"/>
      <c r="AQ327" s="80" t="s">
        <v>1405</v>
      </c>
      <c r="AR327" s="80"/>
      <c r="AS327" s="80" t="s">
        <v>1423</v>
      </c>
      <c r="AT327" s="80"/>
      <c r="AU327" s="80" t="s">
        <v>508</v>
      </c>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row>
    <row r="328" spans="1:72" s="144" customFormat="1" ht="25.15" customHeight="1" outlineLevel="1" x14ac:dyDescent="0.25">
      <c r="A328" s="9" t="s">
        <v>202</v>
      </c>
      <c r="B328" s="80" t="s">
        <v>4366</v>
      </c>
      <c r="C328" s="80"/>
      <c r="D328" s="80"/>
      <c r="E328" s="80" t="s">
        <v>469</v>
      </c>
      <c r="F328" s="80" t="s">
        <v>50</v>
      </c>
      <c r="G328" s="80" t="s">
        <v>38</v>
      </c>
      <c r="H328" s="80" t="s">
        <v>12</v>
      </c>
      <c r="I328" s="80" t="s">
        <v>7</v>
      </c>
      <c r="J328" s="1"/>
      <c r="K328" s="80" t="s">
        <v>30</v>
      </c>
      <c r="L328" s="1"/>
      <c r="M328" s="80" t="s">
        <v>1545</v>
      </c>
      <c r="N328" s="80" t="s">
        <v>4387</v>
      </c>
      <c r="O328" s="80">
        <v>5990</v>
      </c>
      <c r="P328" s="80">
        <v>2254</v>
      </c>
      <c r="Q328" s="80">
        <v>2300</v>
      </c>
      <c r="R328" s="80"/>
      <c r="S328" s="80">
        <v>3525</v>
      </c>
      <c r="T328" s="80">
        <v>2400</v>
      </c>
      <c r="U328" s="80">
        <v>8125</v>
      </c>
      <c r="V328" s="80">
        <v>1110</v>
      </c>
      <c r="W328" s="80">
        <v>4100</v>
      </c>
      <c r="X328" s="80">
        <v>2700</v>
      </c>
      <c r="Y328" s="80"/>
      <c r="Z328" s="80">
        <v>11</v>
      </c>
      <c r="AA328" s="80" t="s">
        <v>470</v>
      </c>
      <c r="AB328" s="80">
        <v>10000</v>
      </c>
      <c r="AC328" s="80">
        <v>2485</v>
      </c>
      <c r="AD328" s="80"/>
      <c r="AE328" s="80"/>
      <c r="AF328" s="80"/>
      <c r="AG328" s="80"/>
      <c r="AH328" s="80" t="s">
        <v>160</v>
      </c>
      <c r="AI328" s="80" t="s">
        <v>1546</v>
      </c>
      <c r="AJ328" s="80"/>
      <c r="AK328" s="80" t="s">
        <v>1547</v>
      </c>
      <c r="AL328" s="80"/>
      <c r="AM328" s="80" t="s">
        <v>1548</v>
      </c>
      <c r="AN328" s="80"/>
      <c r="AO328" s="80" t="s">
        <v>1407</v>
      </c>
      <c r="AP328" s="80"/>
      <c r="AQ328" s="80" t="s">
        <v>1408</v>
      </c>
      <c r="AR328" s="80"/>
      <c r="AS328" s="80" t="s">
        <v>1423</v>
      </c>
      <c r="AT328" s="80"/>
      <c r="AU328" s="80" t="s">
        <v>499</v>
      </c>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row>
    <row r="329" spans="1:72" s="144" customFormat="1" ht="25.15" customHeight="1" outlineLevel="1" x14ac:dyDescent="0.25">
      <c r="A329" s="9" t="s">
        <v>202</v>
      </c>
      <c r="B329" s="80" t="s">
        <v>4366</v>
      </c>
      <c r="C329" s="80"/>
      <c r="D329" s="80"/>
      <c r="E329" s="80" t="s">
        <v>469</v>
      </c>
      <c r="F329" s="80" t="s">
        <v>50</v>
      </c>
      <c r="G329" s="80" t="s">
        <v>41</v>
      </c>
      <c r="H329" s="80" t="s">
        <v>29</v>
      </c>
      <c r="I329" s="80" t="s">
        <v>7</v>
      </c>
      <c r="J329" s="1"/>
      <c r="K329" s="80" t="s">
        <v>30</v>
      </c>
      <c r="L329" s="1"/>
      <c r="M329" s="80" t="s">
        <v>1553</v>
      </c>
      <c r="N329" s="80" t="s">
        <v>4386</v>
      </c>
      <c r="O329" s="80">
        <v>6590</v>
      </c>
      <c r="P329" s="80">
        <v>2454</v>
      </c>
      <c r="Q329" s="80">
        <v>2400</v>
      </c>
      <c r="R329" s="80"/>
      <c r="S329" s="80">
        <v>3675</v>
      </c>
      <c r="T329" s="80">
        <v>2600</v>
      </c>
      <c r="U329" s="80">
        <v>8735</v>
      </c>
      <c r="V329" s="80">
        <v>1160</v>
      </c>
      <c r="W329" s="80">
        <v>4700</v>
      </c>
      <c r="X329" s="80">
        <v>2710</v>
      </c>
      <c r="Y329" s="80"/>
      <c r="Z329" s="80">
        <v>15</v>
      </c>
      <c r="AA329" s="80" t="s">
        <v>507</v>
      </c>
      <c r="AB329" s="80">
        <v>11990</v>
      </c>
      <c r="AC329" s="80">
        <v>4065</v>
      </c>
      <c r="AD329" s="80"/>
      <c r="AE329" s="80"/>
      <c r="AF329" s="80"/>
      <c r="AG329" s="80"/>
      <c r="AH329" s="80" t="s">
        <v>161</v>
      </c>
      <c r="AI329" s="80" t="s">
        <v>1546</v>
      </c>
      <c r="AJ329" s="80"/>
      <c r="AK329" s="80" t="s">
        <v>1547</v>
      </c>
      <c r="AL329" s="80"/>
      <c r="AM329" s="80" t="s">
        <v>1554</v>
      </c>
      <c r="AN329" s="80"/>
      <c r="AO329" s="80" t="s">
        <v>1421</v>
      </c>
      <c r="AP329" s="80"/>
      <c r="AQ329" s="80" t="s">
        <v>1422</v>
      </c>
      <c r="AR329" s="80"/>
      <c r="AS329" s="80" t="s">
        <v>1555</v>
      </c>
      <c r="AT329" s="80"/>
      <c r="AU329" s="80" t="s">
        <v>1556</v>
      </c>
      <c r="AV329" s="80"/>
      <c r="AW329" s="80"/>
      <c r="AX329" s="80"/>
      <c r="AY329" s="80"/>
      <c r="AZ329" s="80"/>
      <c r="BA329" s="80"/>
      <c r="BB329" s="80"/>
      <c r="BC329" s="80"/>
      <c r="BD329" s="80"/>
      <c r="BE329" s="80"/>
      <c r="BF329" s="80"/>
      <c r="BG329" s="80"/>
      <c r="BH329" s="80"/>
      <c r="BI329" s="80"/>
      <c r="BJ329" s="80"/>
      <c r="BK329" s="80"/>
      <c r="BL329" s="80"/>
      <c r="BM329" s="80"/>
      <c r="BN329" s="80"/>
      <c r="BO329" s="80"/>
      <c r="BP329" s="80"/>
      <c r="BQ329" s="80"/>
      <c r="BR329" s="80"/>
      <c r="BS329" s="80"/>
      <c r="BT329" s="80"/>
    </row>
    <row r="330" spans="1:72" s="147" customFormat="1" ht="25.15" customHeight="1" outlineLevel="1" x14ac:dyDescent="0.25">
      <c r="A330" s="9" t="s">
        <v>202</v>
      </c>
      <c r="B330" s="80" t="s">
        <v>4366</v>
      </c>
      <c r="C330" s="80"/>
      <c r="D330" s="80"/>
      <c r="E330" s="80" t="s">
        <v>469</v>
      </c>
      <c r="F330" s="80" t="s">
        <v>50</v>
      </c>
      <c r="G330" s="80" t="s">
        <v>41</v>
      </c>
      <c r="H330" s="80" t="s">
        <v>12</v>
      </c>
      <c r="I330" s="80" t="s">
        <v>7</v>
      </c>
      <c r="J330" s="1"/>
      <c r="K330" s="80" t="s">
        <v>30</v>
      </c>
      <c r="L330" s="1"/>
      <c r="M330" s="80" t="s">
        <v>1553</v>
      </c>
      <c r="N330" s="80" t="s">
        <v>4387</v>
      </c>
      <c r="O330" s="80">
        <v>6590</v>
      </c>
      <c r="P330" s="80">
        <v>2454</v>
      </c>
      <c r="Q330" s="80">
        <v>2400</v>
      </c>
      <c r="R330" s="80"/>
      <c r="S330" s="80">
        <v>3675</v>
      </c>
      <c r="T330" s="80">
        <v>2600</v>
      </c>
      <c r="U330" s="80">
        <v>8735</v>
      </c>
      <c r="V330" s="80">
        <v>1160</v>
      </c>
      <c r="W330" s="80">
        <v>4700</v>
      </c>
      <c r="X330" s="80">
        <v>2710</v>
      </c>
      <c r="Y330" s="80"/>
      <c r="Z330" s="80">
        <v>15</v>
      </c>
      <c r="AA330" s="80" t="s">
        <v>470</v>
      </c>
      <c r="AB330" s="80">
        <v>11990</v>
      </c>
      <c r="AC330" s="80">
        <v>3655</v>
      </c>
      <c r="AD330" s="80"/>
      <c r="AE330" s="80"/>
      <c r="AF330" s="80"/>
      <c r="AG330" s="80"/>
      <c r="AH330" s="80" t="s">
        <v>161</v>
      </c>
      <c r="AI330" s="80" t="s">
        <v>1546</v>
      </c>
      <c r="AJ330" s="80"/>
      <c r="AK330" s="80" t="s">
        <v>1547</v>
      </c>
      <c r="AL330" s="80"/>
      <c r="AM330" s="80" t="s">
        <v>1554</v>
      </c>
      <c r="AN330" s="80"/>
      <c r="AO330" s="80" t="s">
        <v>1424</v>
      </c>
      <c r="AP330" s="80"/>
      <c r="AQ330" s="80" t="s">
        <v>1446</v>
      </c>
      <c r="AR330" s="80"/>
      <c r="AS330" s="80" t="s">
        <v>1555</v>
      </c>
      <c r="AT330" s="80"/>
      <c r="AU330" s="84" t="s">
        <v>471</v>
      </c>
      <c r="AV330" s="80"/>
      <c r="AW330" s="80"/>
      <c r="AX330" s="80"/>
      <c r="AY330" s="80"/>
      <c r="AZ330" s="80"/>
      <c r="BA330" s="80"/>
      <c r="BB330" s="80"/>
      <c r="BC330" s="80"/>
      <c r="BD330" s="80"/>
      <c r="BE330" s="80"/>
      <c r="BF330" s="80"/>
      <c r="BG330" s="80"/>
      <c r="BH330" s="80"/>
      <c r="BI330" s="80"/>
      <c r="BJ330" s="80"/>
      <c r="BK330" s="80"/>
      <c r="BL330" s="80"/>
      <c r="BM330" s="80"/>
      <c r="BN330" s="80"/>
      <c r="BO330" s="80"/>
      <c r="BP330" s="80"/>
      <c r="BQ330" s="80"/>
      <c r="BR330" s="80"/>
      <c r="BS330" s="80"/>
      <c r="BT330" s="80"/>
    </row>
    <row r="331" spans="1:72" s="149" customFormat="1" ht="25.15" customHeight="1" outlineLevel="1" x14ac:dyDescent="0.25">
      <c r="A331" s="9" t="s">
        <v>202</v>
      </c>
      <c r="B331" s="80" t="s">
        <v>4366</v>
      </c>
      <c r="C331" s="80"/>
      <c r="D331" s="80"/>
      <c r="E331" s="80" t="s">
        <v>469</v>
      </c>
      <c r="F331" s="80" t="s">
        <v>50</v>
      </c>
      <c r="G331" s="80" t="s">
        <v>41</v>
      </c>
      <c r="H331" s="80" t="s">
        <v>29</v>
      </c>
      <c r="I331" s="80" t="s">
        <v>7</v>
      </c>
      <c r="J331" s="1"/>
      <c r="K331" s="80" t="s">
        <v>30</v>
      </c>
      <c r="L331" s="1"/>
      <c r="M331" s="80" t="s">
        <v>1561</v>
      </c>
      <c r="N331" s="80" t="s">
        <v>4386</v>
      </c>
      <c r="O331" s="80">
        <v>6590</v>
      </c>
      <c r="P331" s="80">
        <v>2454</v>
      </c>
      <c r="Q331" s="80">
        <v>2400</v>
      </c>
      <c r="R331" s="80"/>
      <c r="S331" s="80">
        <v>3715</v>
      </c>
      <c r="T331" s="80">
        <v>2600</v>
      </c>
      <c r="U331" s="80">
        <v>8725</v>
      </c>
      <c r="V331" s="80">
        <v>1200</v>
      </c>
      <c r="W331" s="80">
        <v>4700</v>
      </c>
      <c r="X331" s="80">
        <v>2700</v>
      </c>
      <c r="Y331" s="80"/>
      <c r="Z331" s="80">
        <v>15</v>
      </c>
      <c r="AA331" s="80" t="s">
        <v>507</v>
      </c>
      <c r="AB331" s="80">
        <v>14000</v>
      </c>
      <c r="AC331" s="80">
        <v>5640</v>
      </c>
      <c r="AD331" s="80"/>
      <c r="AE331" s="80"/>
      <c r="AF331" s="80"/>
      <c r="AG331" s="80"/>
      <c r="AH331" s="80" t="s">
        <v>161</v>
      </c>
      <c r="AI331" s="80" t="s">
        <v>1546</v>
      </c>
      <c r="AJ331" s="80"/>
      <c r="AK331" s="80" t="s">
        <v>1547</v>
      </c>
      <c r="AL331" s="80"/>
      <c r="AM331" s="80" t="s">
        <v>1562</v>
      </c>
      <c r="AN331" s="80"/>
      <c r="AO331" s="80" t="s">
        <v>1421</v>
      </c>
      <c r="AP331" s="80"/>
      <c r="AQ331" s="80" t="s">
        <v>1422</v>
      </c>
      <c r="AR331" s="80"/>
      <c r="AS331" s="80" t="s">
        <v>1563</v>
      </c>
      <c r="AT331" s="80"/>
      <c r="AU331" s="80" t="s">
        <v>1564</v>
      </c>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row>
    <row r="332" spans="1:72" s="144" customFormat="1" ht="25.15" customHeight="1" outlineLevel="1" x14ac:dyDescent="0.25">
      <c r="A332" s="9" t="s">
        <v>202</v>
      </c>
      <c r="B332" s="80" t="s">
        <v>4366</v>
      </c>
      <c r="C332" s="80"/>
      <c r="D332" s="80"/>
      <c r="E332" s="80" t="s">
        <v>469</v>
      </c>
      <c r="F332" s="80" t="s">
        <v>50</v>
      </c>
      <c r="G332" s="80" t="s">
        <v>41</v>
      </c>
      <c r="H332" s="80" t="s">
        <v>12</v>
      </c>
      <c r="I332" s="80" t="s">
        <v>7</v>
      </c>
      <c r="J332" s="1"/>
      <c r="K332" s="80" t="s">
        <v>30</v>
      </c>
      <c r="L332" s="1"/>
      <c r="M332" s="80" t="s">
        <v>1561</v>
      </c>
      <c r="N332" s="80" t="s">
        <v>4387</v>
      </c>
      <c r="O332" s="80">
        <v>6590</v>
      </c>
      <c r="P332" s="80">
        <v>2454</v>
      </c>
      <c r="Q332" s="80">
        <v>2400</v>
      </c>
      <c r="R332" s="80"/>
      <c r="S332" s="80">
        <v>3715</v>
      </c>
      <c r="T332" s="80">
        <v>2600</v>
      </c>
      <c r="U332" s="80">
        <v>8725</v>
      </c>
      <c r="V332" s="80">
        <v>1200</v>
      </c>
      <c r="W332" s="80">
        <v>4700</v>
      </c>
      <c r="X332" s="80">
        <v>2700</v>
      </c>
      <c r="Y332" s="80"/>
      <c r="Z332" s="80">
        <v>15</v>
      </c>
      <c r="AA332" s="80" t="s">
        <v>470</v>
      </c>
      <c r="AB332" s="80">
        <v>14000</v>
      </c>
      <c r="AC332" s="80">
        <v>5235</v>
      </c>
      <c r="AD332" s="80"/>
      <c r="AE332" s="80"/>
      <c r="AF332" s="80"/>
      <c r="AG332" s="80"/>
      <c r="AH332" s="80" t="s">
        <v>161</v>
      </c>
      <c r="AI332" s="80" t="s">
        <v>1546</v>
      </c>
      <c r="AJ332" s="80"/>
      <c r="AK332" s="80" t="s">
        <v>1547</v>
      </c>
      <c r="AL332" s="80"/>
      <c r="AM332" s="80" t="s">
        <v>1562</v>
      </c>
      <c r="AN332" s="80"/>
      <c r="AO332" s="80" t="s">
        <v>1424</v>
      </c>
      <c r="AP332" s="80"/>
      <c r="AQ332" s="80" t="s">
        <v>1446</v>
      </c>
      <c r="AR332" s="80"/>
      <c r="AS332" s="80" t="s">
        <v>1563</v>
      </c>
      <c r="AT332" s="80"/>
      <c r="AU332" s="84" t="s">
        <v>1565</v>
      </c>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row>
    <row r="333" spans="1:72" s="144" customFormat="1" ht="25.15" customHeight="1" outlineLevel="1" x14ac:dyDescent="0.25">
      <c r="A333" s="9" t="s">
        <v>202</v>
      </c>
      <c r="B333" s="80" t="s">
        <v>4366</v>
      </c>
      <c r="C333" s="80"/>
      <c r="D333" s="80"/>
      <c r="E333" s="80" t="s">
        <v>469</v>
      </c>
      <c r="F333" s="80" t="s">
        <v>50</v>
      </c>
      <c r="G333" s="80" t="s">
        <v>42</v>
      </c>
      <c r="H333" s="80" t="s">
        <v>29</v>
      </c>
      <c r="I333" s="80" t="s">
        <v>7</v>
      </c>
      <c r="J333" s="1"/>
      <c r="K333" s="80" t="s">
        <v>30</v>
      </c>
      <c r="L333" s="1"/>
      <c r="M333" s="80" t="s">
        <v>1569</v>
      </c>
      <c r="N333" s="80" t="s">
        <v>4386</v>
      </c>
      <c r="O333" s="80">
        <v>7690</v>
      </c>
      <c r="P333" s="80">
        <v>2454</v>
      </c>
      <c r="Q333" s="80">
        <v>2400</v>
      </c>
      <c r="R333" s="80"/>
      <c r="S333" s="80">
        <v>3715</v>
      </c>
      <c r="T333" s="80">
        <v>2600</v>
      </c>
      <c r="U333" s="80">
        <v>9825</v>
      </c>
      <c r="V333" s="80">
        <v>1200</v>
      </c>
      <c r="W333" s="80">
        <v>5600</v>
      </c>
      <c r="X333" s="80">
        <v>2910</v>
      </c>
      <c r="Y333" s="80"/>
      <c r="Z333" s="80">
        <v>18</v>
      </c>
      <c r="AA333" s="80" t="s">
        <v>507</v>
      </c>
      <c r="AB333" s="80">
        <v>16000</v>
      </c>
      <c r="AC333" s="80">
        <v>7260</v>
      </c>
      <c r="AD333" s="80"/>
      <c r="AE333" s="80"/>
      <c r="AF333" s="80"/>
      <c r="AG333" s="80"/>
      <c r="AH333" s="80" t="s">
        <v>162</v>
      </c>
      <c r="AI333" s="80" t="s">
        <v>1546</v>
      </c>
      <c r="AJ333" s="80"/>
      <c r="AK333" s="80" t="s">
        <v>1547</v>
      </c>
      <c r="AL333" s="80"/>
      <c r="AM333" s="80" t="s">
        <v>1562</v>
      </c>
      <c r="AN333" s="80"/>
      <c r="AO333" s="80" t="s">
        <v>1442</v>
      </c>
      <c r="AP333" s="80"/>
      <c r="AQ333" s="80" t="s">
        <v>1443</v>
      </c>
      <c r="AR333" s="80"/>
      <c r="AS333" s="80" t="s">
        <v>1444</v>
      </c>
      <c r="AT333" s="80"/>
      <c r="AU333" s="80" t="s">
        <v>1570</v>
      </c>
      <c r="AV333" s="80"/>
      <c r="AW333" s="80"/>
      <c r="AX333" s="80"/>
      <c r="AY333" s="80"/>
      <c r="AZ333" s="80"/>
      <c r="BA333" s="80"/>
      <c r="BB333" s="80"/>
      <c r="BC333" s="80"/>
      <c r="BD333" s="80"/>
      <c r="BE333" s="80"/>
      <c r="BF333" s="80"/>
      <c r="BG333" s="80"/>
      <c r="BH333" s="80"/>
      <c r="BI333" s="80"/>
      <c r="BJ333" s="80"/>
      <c r="BK333" s="80"/>
      <c r="BL333" s="80"/>
      <c r="BM333" s="80"/>
      <c r="BN333" s="80"/>
      <c r="BO333" s="80"/>
      <c r="BP333" s="80"/>
      <c r="BQ333" s="80"/>
      <c r="BR333" s="80"/>
      <c r="BS333" s="80"/>
      <c r="BT333" s="80"/>
    </row>
    <row r="334" spans="1:72" s="144" customFormat="1" ht="25.15" customHeight="1" outlineLevel="1" x14ac:dyDescent="0.25">
      <c r="A334" s="9" t="s">
        <v>202</v>
      </c>
      <c r="B334" s="80" t="s">
        <v>4366</v>
      </c>
      <c r="C334" s="80"/>
      <c r="D334" s="80"/>
      <c r="E334" s="80" t="s">
        <v>469</v>
      </c>
      <c r="F334" s="80" t="s">
        <v>50</v>
      </c>
      <c r="G334" s="80" t="s">
        <v>42</v>
      </c>
      <c r="H334" s="80" t="s">
        <v>12</v>
      </c>
      <c r="I334" s="80" t="s">
        <v>7</v>
      </c>
      <c r="J334" s="1"/>
      <c r="K334" s="80" t="s">
        <v>30</v>
      </c>
      <c r="L334" s="1"/>
      <c r="M334" s="80" t="s">
        <v>1569</v>
      </c>
      <c r="N334" s="80" t="s">
        <v>4387</v>
      </c>
      <c r="O334" s="80">
        <v>7690</v>
      </c>
      <c r="P334" s="80">
        <v>2454</v>
      </c>
      <c r="Q334" s="80">
        <v>2400</v>
      </c>
      <c r="R334" s="80"/>
      <c r="S334" s="80">
        <v>3715</v>
      </c>
      <c r="T334" s="80">
        <v>2600</v>
      </c>
      <c r="U334" s="80">
        <v>9825</v>
      </c>
      <c r="V334" s="80">
        <v>1200</v>
      </c>
      <c r="W334" s="80">
        <v>5600</v>
      </c>
      <c r="X334" s="80">
        <v>2910</v>
      </c>
      <c r="Y334" s="80"/>
      <c r="Z334" s="80">
        <v>18</v>
      </c>
      <c r="AA334" s="80" t="s">
        <v>470</v>
      </c>
      <c r="AB334" s="80">
        <v>16000</v>
      </c>
      <c r="AC334" s="80">
        <v>6770</v>
      </c>
      <c r="AD334" s="80"/>
      <c r="AE334" s="80"/>
      <c r="AF334" s="80"/>
      <c r="AG334" s="80"/>
      <c r="AH334" s="80" t="s">
        <v>162</v>
      </c>
      <c r="AI334" s="80" t="s">
        <v>1546</v>
      </c>
      <c r="AJ334" s="80"/>
      <c r="AK334" s="80" t="s">
        <v>1547</v>
      </c>
      <c r="AL334" s="80"/>
      <c r="AM334" s="80" t="s">
        <v>1562</v>
      </c>
      <c r="AN334" s="80"/>
      <c r="AO334" s="80" t="s">
        <v>1445</v>
      </c>
      <c r="AP334" s="80"/>
      <c r="AQ334" s="80" t="s">
        <v>1446</v>
      </c>
      <c r="AR334" s="80"/>
      <c r="AS334" s="80" t="s">
        <v>1444</v>
      </c>
      <c r="AT334" s="80"/>
      <c r="AU334" s="84" t="s">
        <v>472</v>
      </c>
      <c r="AV334" s="80"/>
      <c r="AW334" s="80"/>
      <c r="AX334" s="80"/>
      <c r="AY334" s="80"/>
      <c r="AZ334" s="80"/>
      <c r="BA334" s="80"/>
      <c r="BB334" s="80"/>
      <c r="BC334" s="80"/>
      <c r="BD334" s="80"/>
      <c r="BE334" s="80"/>
      <c r="BF334" s="80"/>
      <c r="BG334" s="80"/>
      <c r="BH334" s="80"/>
      <c r="BI334" s="80"/>
      <c r="BJ334" s="80"/>
      <c r="BK334" s="80"/>
      <c r="BL334" s="80"/>
      <c r="BM334" s="80"/>
      <c r="BN334" s="80"/>
      <c r="BO334" s="80"/>
      <c r="BP334" s="80"/>
      <c r="BQ334" s="80"/>
      <c r="BR334" s="80"/>
      <c r="BS334" s="80"/>
      <c r="BT334" s="80"/>
    </row>
    <row r="335" spans="1:72" s="144" customFormat="1" ht="25.15" customHeight="1" outlineLevel="1" x14ac:dyDescent="0.25">
      <c r="A335" s="9" t="s">
        <v>202</v>
      </c>
      <c r="B335" s="80" t="s">
        <v>4366</v>
      </c>
      <c r="C335" s="80"/>
      <c r="D335" s="80"/>
      <c r="E335" s="80" t="s">
        <v>469</v>
      </c>
      <c r="F335" s="80" t="s">
        <v>50</v>
      </c>
      <c r="G335" s="80" t="s">
        <v>42</v>
      </c>
      <c r="H335" s="80" t="s">
        <v>29</v>
      </c>
      <c r="I335" s="80" t="s">
        <v>7</v>
      </c>
      <c r="J335" s="1"/>
      <c r="K335" s="80" t="s">
        <v>30</v>
      </c>
      <c r="L335" s="1"/>
      <c r="M335" s="80" t="s">
        <v>1589</v>
      </c>
      <c r="N335" s="80" t="s">
        <v>4386</v>
      </c>
      <c r="O335" s="80">
        <v>7690</v>
      </c>
      <c r="P335" s="80">
        <v>2454</v>
      </c>
      <c r="Q335" s="80">
        <v>2400</v>
      </c>
      <c r="R335" s="80"/>
      <c r="S335" s="80">
        <v>3802</v>
      </c>
      <c r="T335" s="80">
        <v>2600</v>
      </c>
      <c r="U335" s="80">
        <v>10000</v>
      </c>
      <c r="V335" s="80">
        <v>1287</v>
      </c>
      <c r="W335" s="80">
        <v>5800</v>
      </c>
      <c r="X335" s="80">
        <v>2780</v>
      </c>
      <c r="Y335" s="80"/>
      <c r="Z335" s="80">
        <v>18</v>
      </c>
      <c r="AA335" s="80" t="s">
        <v>1590</v>
      </c>
      <c r="AB335" s="80">
        <v>19000</v>
      </c>
      <c r="AC335" s="80">
        <v>8805</v>
      </c>
      <c r="AD335" s="80"/>
      <c r="AE335" s="80"/>
      <c r="AF335" s="80"/>
      <c r="AG335" s="80"/>
      <c r="AH335" s="80" t="s">
        <v>162</v>
      </c>
      <c r="AI335" s="80" t="s">
        <v>1591</v>
      </c>
      <c r="AJ335" s="80"/>
      <c r="AK335" s="80" t="s">
        <v>1592</v>
      </c>
      <c r="AL335" s="80"/>
      <c r="AM335" s="80" t="s">
        <v>1593</v>
      </c>
      <c r="AN335" s="80"/>
      <c r="AO335" s="80" t="s">
        <v>1457</v>
      </c>
      <c r="AP335" s="80"/>
      <c r="AQ335" s="80" t="s">
        <v>1443</v>
      </c>
      <c r="AR335" s="80"/>
      <c r="AS335" s="80" t="s">
        <v>1444</v>
      </c>
      <c r="AT335" s="80"/>
      <c r="AU335" s="80" t="s">
        <v>1594</v>
      </c>
      <c r="AV335" s="80"/>
      <c r="AW335" s="80"/>
      <c r="AX335" s="80"/>
      <c r="AY335" s="80"/>
      <c r="AZ335" s="80"/>
      <c r="BA335" s="80"/>
      <c r="BB335" s="80"/>
      <c r="BC335" s="80"/>
      <c r="BD335" s="80"/>
      <c r="BE335" s="80"/>
      <c r="BF335" s="80"/>
      <c r="BG335" s="80"/>
      <c r="BH335" s="80"/>
      <c r="BI335" s="80"/>
      <c r="BJ335" s="80"/>
      <c r="BK335" s="80"/>
      <c r="BL335" s="80"/>
      <c r="BM335" s="80"/>
      <c r="BN335" s="80"/>
      <c r="BO335" s="80"/>
      <c r="BP335" s="80"/>
      <c r="BQ335" s="80"/>
      <c r="BR335" s="80"/>
      <c r="BS335" s="80"/>
      <c r="BT335" s="80"/>
    </row>
    <row r="336" spans="1:72" s="144" customFormat="1" ht="25.15" customHeight="1" outlineLevel="1" x14ac:dyDescent="0.25">
      <c r="A336" s="9" t="s">
        <v>202</v>
      </c>
      <c r="B336" s="80" t="s">
        <v>4366</v>
      </c>
      <c r="C336" s="80"/>
      <c r="D336" s="80"/>
      <c r="E336" s="80" t="s">
        <v>469</v>
      </c>
      <c r="F336" s="80" t="s">
        <v>50</v>
      </c>
      <c r="G336" s="80" t="s">
        <v>42</v>
      </c>
      <c r="H336" s="80" t="s">
        <v>12</v>
      </c>
      <c r="I336" s="80" t="s">
        <v>7</v>
      </c>
      <c r="J336" s="1"/>
      <c r="K336" s="80" t="s">
        <v>30</v>
      </c>
      <c r="L336" s="1"/>
      <c r="M336" s="80" t="s">
        <v>1589</v>
      </c>
      <c r="N336" s="80" t="s">
        <v>4387</v>
      </c>
      <c r="O336" s="80">
        <v>7690</v>
      </c>
      <c r="P336" s="80">
        <v>2454</v>
      </c>
      <c r="Q336" s="80">
        <v>2400</v>
      </c>
      <c r="R336" s="80"/>
      <c r="S336" s="80">
        <v>3802</v>
      </c>
      <c r="T336" s="80">
        <v>2600</v>
      </c>
      <c r="U336" s="80">
        <v>10000</v>
      </c>
      <c r="V336" s="80">
        <v>1287</v>
      </c>
      <c r="W336" s="80">
        <v>5800</v>
      </c>
      <c r="X336" s="80">
        <v>2780</v>
      </c>
      <c r="Y336" s="80"/>
      <c r="Z336" s="80">
        <v>18</v>
      </c>
      <c r="AA336" s="80" t="s">
        <v>473</v>
      </c>
      <c r="AB336" s="80">
        <v>19000</v>
      </c>
      <c r="AC336" s="80">
        <v>8375</v>
      </c>
      <c r="AD336" s="80"/>
      <c r="AE336" s="80"/>
      <c r="AF336" s="80"/>
      <c r="AG336" s="80"/>
      <c r="AH336" s="80" t="s">
        <v>162</v>
      </c>
      <c r="AI336" s="80" t="s">
        <v>1591</v>
      </c>
      <c r="AJ336" s="80"/>
      <c r="AK336" s="80" t="s">
        <v>1592</v>
      </c>
      <c r="AL336" s="80"/>
      <c r="AM336" s="80" t="s">
        <v>1593</v>
      </c>
      <c r="AN336" s="80"/>
      <c r="AO336" s="80" t="s">
        <v>1459</v>
      </c>
      <c r="AP336" s="80"/>
      <c r="AQ336" s="80" t="s">
        <v>1425</v>
      </c>
      <c r="AR336" s="80"/>
      <c r="AS336" s="80" t="s">
        <v>1444</v>
      </c>
      <c r="AT336" s="80"/>
      <c r="AU336" s="80" t="s">
        <v>1595</v>
      </c>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row>
    <row r="337" spans="1:72" s="144" customFormat="1" ht="25.15" customHeight="1" outlineLevel="1" x14ac:dyDescent="0.25">
      <c r="A337" s="9" t="s">
        <v>202</v>
      </c>
      <c r="B337" s="80" t="s">
        <v>4366</v>
      </c>
      <c r="C337" s="80"/>
      <c r="D337" s="80"/>
      <c r="E337" s="80" t="s">
        <v>469</v>
      </c>
      <c r="F337" s="80" t="s">
        <v>50</v>
      </c>
      <c r="G337" s="80" t="s">
        <v>43</v>
      </c>
      <c r="H337" s="80" t="s">
        <v>29</v>
      </c>
      <c r="I337" s="80" t="s">
        <v>7</v>
      </c>
      <c r="J337" s="1"/>
      <c r="K337" s="80" t="s">
        <v>30</v>
      </c>
      <c r="L337" s="1"/>
      <c r="M337" s="80" t="s">
        <v>1598</v>
      </c>
      <c r="N337" s="80" t="s">
        <v>4386</v>
      </c>
      <c r="O337" s="80">
        <v>8890</v>
      </c>
      <c r="P337" s="80">
        <v>2454</v>
      </c>
      <c r="Q337" s="80">
        <v>2400</v>
      </c>
      <c r="R337" s="80"/>
      <c r="S337" s="80">
        <v>3802</v>
      </c>
      <c r="T337" s="80">
        <v>2600</v>
      </c>
      <c r="U337" s="80">
        <v>11200</v>
      </c>
      <c r="V337" s="80">
        <v>1287</v>
      </c>
      <c r="W337" s="80">
        <v>6450</v>
      </c>
      <c r="X337" s="80">
        <v>3330</v>
      </c>
      <c r="Y337" s="80"/>
      <c r="Z337" s="80">
        <v>21</v>
      </c>
      <c r="AA337" s="80" t="s">
        <v>1590</v>
      </c>
      <c r="AB337" s="80">
        <v>19000</v>
      </c>
      <c r="AC337" s="80">
        <v>8405</v>
      </c>
      <c r="AD337" s="80"/>
      <c r="AE337" s="80"/>
      <c r="AF337" s="80"/>
      <c r="AG337" s="80"/>
      <c r="AH337" s="80" t="s">
        <v>163</v>
      </c>
      <c r="AI337" s="80" t="s">
        <v>1591</v>
      </c>
      <c r="AJ337" s="80"/>
      <c r="AK337" s="80" t="s">
        <v>1592</v>
      </c>
      <c r="AL337" s="80"/>
      <c r="AM337" s="80" t="s">
        <v>1593</v>
      </c>
      <c r="AN337" s="80"/>
      <c r="AO337" s="80" t="s">
        <v>1457</v>
      </c>
      <c r="AP337" s="80"/>
      <c r="AQ337" s="80" t="s">
        <v>1465</v>
      </c>
      <c r="AR337" s="80"/>
      <c r="AS337" s="80" t="s">
        <v>1444</v>
      </c>
      <c r="AT337" s="80"/>
      <c r="AU337" s="80" t="s">
        <v>71</v>
      </c>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row>
    <row r="338" spans="1:72" s="144" customFormat="1" ht="25.15" customHeight="1" outlineLevel="1" x14ac:dyDescent="0.25">
      <c r="A338" s="9" t="s">
        <v>202</v>
      </c>
      <c r="B338" s="80" t="s">
        <v>4366</v>
      </c>
      <c r="C338" s="80"/>
      <c r="D338" s="80"/>
      <c r="E338" s="80" t="s">
        <v>469</v>
      </c>
      <c r="F338" s="80" t="s">
        <v>50</v>
      </c>
      <c r="G338" s="80" t="s">
        <v>43</v>
      </c>
      <c r="H338" s="80" t="s">
        <v>12</v>
      </c>
      <c r="I338" s="80" t="s">
        <v>7</v>
      </c>
      <c r="J338" s="1"/>
      <c r="K338" s="80" t="s">
        <v>30</v>
      </c>
      <c r="L338" s="1"/>
      <c r="M338" s="80" t="s">
        <v>1598</v>
      </c>
      <c r="N338" s="80" t="s">
        <v>4387</v>
      </c>
      <c r="O338" s="80">
        <v>8890</v>
      </c>
      <c r="P338" s="80">
        <v>2454</v>
      </c>
      <c r="Q338" s="80">
        <v>2400</v>
      </c>
      <c r="R338" s="80"/>
      <c r="S338" s="80">
        <v>3802</v>
      </c>
      <c r="T338" s="80">
        <v>2600</v>
      </c>
      <c r="U338" s="80">
        <v>11200</v>
      </c>
      <c r="V338" s="80">
        <v>1287</v>
      </c>
      <c r="W338" s="80">
        <v>6450</v>
      </c>
      <c r="X338" s="80">
        <v>3330</v>
      </c>
      <c r="Y338" s="80"/>
      <c r="Z338" s="80">
        <v>21</v>
      </c>
      <c r="AA338" s="80" t="s">
        <v>473</v>
      </c>
      <c r="AB338" s="80">
        <v>19000</v>
      </c>
      <c r="AC338" s="80">
        <v>8030</v>
      </c>
      <c r="AD338" s="80"/>
      <c r="AE338" s="80"/>
      <c r="AF338" s="80"/>
      <c r="AG338" s="80"/>
      <c r="AH338" s="80" t="s">
        <v>163</v>
      </c>
      <c r="AI338" s="80" t="s">
        <v>1591</v>
      </c>
      <c r="AJ338" s="80"/>
      <c r="AK338" s="80" t="s">
        <v>1592</v>
      </c>
      <c r="AL338" s="80"/>
      <c r="AM338" s="80" t="s">
        <v>1593</v>
      </c>
      <c r="AN338" s="80"/>
      <c r="AO338" s="80" t="s">
        <v>1459</v>
      </c>
      <c r="AP338" s="80"/>
      <c r="AQ338" s="80" t="s">
        <v>1425</v>
      </c>
      <c r="AR338" s="80"/>
      <c r="AS338" s="80" t="s">
        <v>1444</v>
      </c>
      <c r="AT338" s="80"/>
      <c r="AU338" s="80" t="s">
        <v>72</v>
      </c>
      <c r="AV338" s="80"/>
      <c r="AW338" s="80"/>
      <c r="AX338" s="80"/>
      <c r="AY338" s="80"/>
      <c r="AZ338" s="80"/>
      <c r="BA338" s="80"/>
      <c r="BB338" s="80"/>
      <c r="BC338" s="80"/>
      <c r="BD338" s="80"/>
      <c r="BE338" s="80"/>
      <c r="BF338" s="80"/>
      <c r="BG338" s="80"/>
      <c r="BH338" s="80"/>
      <c r="BI338" s="80"/>
      <c r="BJ338" s="80"/>
      <c r="BK338" s="80"/>
      <c r="BL338" s="80"/>
      <c r="BM338" s="80"/>
      <c r="BN338" s="80"/>
      <c r="BO338" s="80"/>
      <c r="BP338" s="80"/>
      <c r="BQ338" s="80"/>
      <c r="BR338" s="80"/>
      <c r="BS338" s="80"/>
      <c r="BT338" s="80"/>
    </row>
    <row r="339" spans="1:72" s="144" customFormat="1" ht="25.15" customHeight="1" x14ac:dyDescent="0.25">
      <c r="A339" s="9" t="s">
        <v>202</v>
      </c>
      <c r="B339" s="80" t="s">
        <v>4365</v>
      </c>
      <c r="C339" s="80"/>
      <c r="D339" s="80"/>
      <c r="E339" s="80" t="s">
        <v>448</v>
      </c>
      <c r="F339" s="80" t="s">
        <v>1172</v>
      </c>
      <c r="G339" s="80" t="s">
        <v>1152</v>
      </c>
      <c r="H339" s="80" t="s">
        <v>29</v>
      </c>
      <c r="I339" s="80"/>
      <c r="J339" s="1"/>
      <c r="K339" s="80" t="s">
        <v>1153</v>
      </c>
      <c r="L339" s="1"/>
      <c r="M339" s="80" t="s">
        <v>1173</v>
      </c>
      <c r="N339" s="80" t="s">
        <v>4382</v>
      </c>
      <c r="O339" s="80">
        <v>1495</v>
      </c>
      <c r="P339" s="80">
        <v>1245</v>
      </c>
      <c r="Q339" s="80">
        <v>1040</v>
      </c>
      <c r="R339" s="80"/>
      <c r="S339" s="80">
        <v>1970</v>
      </c>
      <c r="T339" s="80">
        <v>1848</v>
      </c>
      <c r="U339" s="80">
        <v>4403</v>
      </c>
      <c r="V339" s="80">
        <v>640</v>
      </c>
      <c r="W339" s="80">
        <v>2785</v>
      </c>
      <c r="X339" s="80">
        <v>726</v>
      </c>
      <c r="Y339" s="80"/>
      <c r="Z339" s="80"/>
      <c r="AA339" s="80" t="s">
        <v>1174</v>
      </c>
      <c r="AB339" s="80">
        <v>2390</v>
      </c>
      <c r="AC339" s="80">
        <v>415</v>
      </c>
      <c r="AD339" s="80"/>
      <c r="AE339" s="80"/>
      <c r="AF339" s="80"/>
      <c r="AG339" s="80"/>
      <c r="AH339" s="80">
        <v>1.7</v>
      </c>
      <c r="AI339" s="80" t="s">
        <v>1175</v>
      </c>
      <c r="AJ339" s="80"/>
      <c r="AK339" s="80" t="s">
        <v>1176</v>
      </c>
      <c r="AL339" s="80"/>
      <c r="AM339" s="80" t="s">
        <v>1177</v>
      </c>
      <c r="AN339" s="80"/>
      <c r="AO339" s="80" t="s">
        <v>1178</v>
      </c>
      <c r="AP339" s="80"/>
      <c r="AQ339" s="80" t="s">
        <v>1179</v>
      </c>
      <c r="AR339" s="80"/>
      <c r="AS339" s="80"/>
      <c r="AT339" s="80"/>
      <c r="AU339" s="80" t="s">
        <v>1180</v>
      </c>
      <c r="AV339" s="80"/>
      <c r="AW339" s="84" t="s">
        <v>4390</v>
      </c>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row>
    <row r="340" spans="1:72" s="144" customFormat="1" ht="25.15" customHeight="1" outlineLevel="1" x14ac:dyDescent="0.25">
      <c r="A340" s="9" t="s">
        <v>202</v>
      </c>
      <c r="B340" s="80" t="s">
        <v>4365</v>
      </c>
      <c r="C340" s="80"/>
      <c r="D340" s="80"/>
      <c r="E340" s="80" t="s">
        <v>448</v>
      </c>
      <c r="F340" s="80" t="s">
        <v>1172</v>
      </c>
      <c r="G340" s="80" t="s">
        <v>1152</v>
      </c>
      <c r="H340" s="80" t="s">
        <v>29</v>
      </c>
      <c r="I340" s="80"/>
      <c r="J340" s="1"/>
      <c r="K340" s="80" t="s">
        <v>1153</v>
      </c>
      <c r="L340" s="1"/>
      <c r="M340" s="80" t="s">
        <v>1173</v>
      </c>
      <c r="N340" s="80" t="s">
        <v>4385</v>
      </c>
      <c r="O340" s="80">
        <v>1845</v>
      </c>
      <c r="P340" s="80">
        <v>1245</v>
      </c>
      <c r="Q340" s="80">
        <v>1040</v>
      </c>
      <c r="R340" s="80"/>
      <c r="S340" s="80">
        <v>1970</v>
      </c>
      <c r="T340" s="80">
        <v>1848</v>
      </c>
      <c r="U340" s="80">
        <v>4753</v>
      </c>
      <c r="V340" s="80">
        <v>640</v>
      </c>
      <c r="W340" s="80">
        <v>2975</v>
      </c>
      <c r="X340" s="80">
        <v>886</v>
      </c>
      <c r="Y340" s="80"/>
      <c r="Z340" s="80"/>
      <c r="AA340" s="80" t="s">
        <v>1181</v>
      </c>
      <c r="AB340" s="80">
        <v>2385</v>
      </c>
      <c r="AC340" s="80">
        <v>330</v>
      </c>
      <c r="AD340" s="80"/>
      <c r="AE340" s="80"/>
      <c r="AF340" s="80"/>
      <c r="AG340" s="80"/>
      <c r="AH340" s="80" t="s">
        <v>1167</v>
      </c>
      <c r="AI340" s="80" t="s">
        <v>1175</v>
      </c>
      <c r="AJ340" s="80"/>
      <c r="AK340" s="80" t="s">
        <v>1176</v>
      </c>
      <c r="AL340" s="80"/>
      <c r="AM340" s="80" t="s">
        <v>1182</v>
      </c>
      <c r="AN340" s="80"/>
      <c r="AO340" s="80" t="s">
        <v>1178</v>
      </c>
      <c r="AP340" s="80"/>
      <c r="AQ340" s="80" t="s">
        <v>1179</v>
      </c>
      <c r="AR340" s="80"/>
      <c r="AS340" s="80"/>
      <c r="AT340" s="80"/>
      <c r="AU340" s="80" t="s">
        <v>1183</v>
      </c>
      <c r="AV340" s="80"/>
      <c r="AW340" s="84" t="s">
        <v>4390</v>
      </c>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row>
    <row r="341" spans="1:72" s="144" customFormat="1" ht="25.15" customHeight="1" outlineLevel="1" x14ac:dyDescent="0.25">
      <c r="A341" s="9" t="s">
        <v>202</v>
      </c>
      <c r="B341" s="80" t="s">
        <v>4365</v>
      </c>
      <c r="C341" s="80"/>
      <c r="D341" s="80"/>
      <c r="E341" s="80" t="s">
        <v>448</v>
      </c>
      <c r="F341" s="80" t="s">
        <v>1207</v>
      </c>
      <c r="G341" s="80" t="s">
        <v>1152</v>
      </c>
      <c r="H341" s="80" t="s">
        <v>29</v>
      </c>
      <c r="I341" s="80"/>
      <c r="J341" s="1"/>
      <c r="K341" s="80" t="s">
        <v>1153</v>
      </c>
      <c r="L341" s="1"/>
      <c r="M341" s="80" t="s">
        <v>1208</v>
      </c>
      <c r="N341" s="80" t="s">
        <v>4382</v>
      </c>
      <c r="O341" s="80">
        <v>2100</v>
      </c>
      <c r="P341" s="80">
        <v>1325</v>
      </c>
      <c r="Q341" s="80">
        <v>1120</v>
      </c>
      <c r="R341" s="80"/>
      <c r="S341" s="80">
        <v>2050</v>
      </c>
      <c r="T341" s="80">
        <v>1920</v>
      </c>
      <c r="U341" s="80">
        <v>4956</v>
      </c>
      <c r="V341" s="80">
        <v>660</v>
      </c>
      <c r="W341" s="80">
        <v>3275</v>
      </c>
      <c r="X341" s="80">
        <v>803</v>
      </c>
      <c r="Y341" s="80"/>
      <c r="Z341" s="80"/>
      <c r="AA341" s="80" t="s">
        <v>1209</v>
      </c>
      <c r="AB341" s="80">
        <v>3025</v>
      </c>
      <c r="AC341" s="80">
        <v>575</v>
      </c>
      <c r="AD341" s="80"/>
      <c r="AE341" s="80"/>
      <c r="AF341" s="80"/>
      <c r="AG341" s="80"/>
      <c r="AH341" s="80" t="s">
        <v>1187</v>
      </c>
      <c r="AI341" s="80" t="s">
        <v>1210</v>
      </c>
      <c r="AJ341" s="80"/>
      <c r="AK341" s="80" t="s">
        <v>1211</v>
      </c>
      <c r="AL341" s="80"/>
      <c r="AM341" s="80" t="s">
        <v>1212</v>
      </c>
      <c r="AN341" s="80"/>
      <c r="AO341" s="80" t="s">
        <v>1213</v>
      </c>
      <c r="AP341" s="80"/>
      <c r="AQ341" s="80" t="s">
        <v>1214</v>
      </c>
      <c r="AR341" s="80"/>
      <c r="AS341" s="80"/>
      <c r="AT341" s="80"/>
      <c r="AU341" s="80" t="s">
        <v>1215</v>
      </c>
      <c r="AV341" s="80"/>
      <c r="AW341" s="84" t="s">
        <v>4390</v>
      </c>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row>
    <row r="342" spans="1:72" s="144" customFormat="1" ht="25.15" customHeight="1" outlineLevel="1" x14ac:dyDescent="0.25">
      <c r="A342" s="9" t="s">
        <v>202</v>
      </c>
      <c r="B342" s="80" t="s">
        <v>4365</v>
      </c>
      <c r="C342" s="80"/>
      <c r="D342" s="80"/>
      <c r="E342" s="80" t="s">
        <v>448</v>
      </c>
      <c r="F342" s="80" t="s">
        <v>1207</v>
      </c>
      <c r="G342" s="80" t="s">
        <v>1152</v>
      </c>
      <c r="H342" s="80" t="s">
        <v>29</v>
      </c>
      <c r="I342" s="80"/>
      <c r="J342" s="1"/>
      <c r="K342" s="80" t="s">
        <v>1153</v>
      </c>
      <c r="L342" s="1"/>
      <c r="M342" s="80" t="s">
        <v>1208</v>
      </c>
      <c r="N342" s="80" t="s">
        <v>4385</v>
      </c>
      <c r="O342" s="80">
        <v>2450</v>
      </c>
      <c r="P342" s="80">
        <v>1325</v>
      </c>
      <c r="Q342" s="80">
        <v>1120</v>
      </c>
      <c r="R342" s="80"/>
      <c r="S342" s="80">
        <v>2090</v>
      </c>
      <c r="T342" s="80">
        <v>1920</v>
      </c>
      <c r="U342" s="80">
        <v>5306</v>
      </c>
      <c r="V342" s="80">
        <v>657</v>
      </c>
      <c r="W342" s="80">
        <v>3275</v>
      </c>
      <c r="X342" s="80">
        <v>1153</v>
      </c>
      <c r="Y342" s="80"/>
      <c r="Z342" s="80"/>
      <c r="AA342" s="80" t="s">
        <v>1216</v>
      </c>
      <c r="AB342" s="80">
        <v>3055</v>
      </c>
      <c r="AC342" s="80">
        <v>570</v>
      </c>
      <c r="AD342" s="80"/>
      <c r="AE342" s="80"/>
      <c r="AF342" s="80"/>
      <c r="AG342" s="80"/>
      <c r="AH342" s="80">
        <v>3.7</v>
      </c>
      <c r="AI342" s="80" t="s">
        <v>1210</v>
      </c>
      <c r="AJ342" s="80"/>
      <c r="AK342" s="80" t="s">
        <v>1211</v>
      </c>
      <c r="AL342" s="80"/>
      <c r="AM342" s="80" t="s">
        <v>1212</v>
      </c>
      <c r="AN342" s="80"/>
      <c r="AO342" s="80" t="s">
        <v>1213</v>
      </c>
      <c r="AP342" s="80"/>
      <c r="AQ342" s="80" t="s">
        <v>1214</v>
      </c>
      <c r="AR342" s="80"/>
      <c r="AS342" s="80"/>
      <c r="AT342" s="80"/>
      <c r="AU342" s="80" t="s">
        <v>1217</v>
      </c>
      <c r="AV342" s="80"/>
      <c r="AW342" s="84" t="s">
        <v>4390</v>
      </c>
      <c r="AX342" s="80"/>
      <c r="AY342" s="80"/>
      <c r="AZ342" s="80"/>
      <c r="BA342" s="80"/>
      <c r="BB342" s="80"/>
      <c r="BC342" s="80"/>
      <c r="BD342" s="80"/>
      <c r="BE342" s="80"/>
      <c r="BF342" s="80"/>
      <c r="BG342" s="80"/>
      <c r="BH342" s="80"/>
      <c r="BI342" s="80"/>
      <c r="BJ342" s="80"/>
      <c r="BK342" s="80"/>
      <c r="BL342" s="80"/>
      <c r="BM342" s="80"/>
      <c r="BN342" s="80"/>
      <c r="BO342" s="80"/>
      <c r="BP342" s="80"/>
      <c r="BQ342" s="80"/>
      <c r="BR342" s="80"/>
      <c r="BS342" s="80"/>
      <c r="BT342" s="80"/>
    </row>
    <row r="343" spans="1:72" s="147" customFormat="1" ht="25.15" customHeight="1" outlineLevel="1" x14ac:dyDescent="0.25">
      <c r="A343" s="9" t="s">
        <v>202</v>
      </c>
      <c r="B343" s="80" t="s">
        <v>4365</v>
      </c>
      <c r="C343" s="80"/>
      <c r="D343" s="80"/>
      <c r="E343" s="80" t="s">
        <v>448</v>
      </c>
      <c r="F343" s="80" t="s">
        <v>1207</v>
      </c>
      <c r="G343" s="80" t="s">
        <v>1199</v>
      </c>
      <c r="H343" s="80" t="s">
        <v>29</v>
      </c>
      <c r="I343" s="80"/>
      <c r="J343" s="1"/>
      <c r="K343" s="80" t="s">
        <v>30</v>
      </c>
      <c r="L343" s="80"/>
      <c r="M343" s="80" t="s">
        <v>1218</v>
      </c>
      <c r="N343" s="80" t="s">
        <v>4382</v>
      </c>
      <c r="O343" s="80">
        <v>2364</v>
      </c>
      <c r="P343" s="80">
        <v>1824</v>
      </c>
      <c r="Q343" s="80">
        <v>1585</v>
      </c>
      <c r="R343" s="80"/>
      <c r="S343" s="80">
        <v>2407</v>
      </c>
      <c r="T343" s="80">
        <v>1970</v>
      </c>
      <c r="U343" s="80">
        <v>5462</v>
      </c>
      <c r="V343" s="80">
        <v>740</v>
      </c>
      <c r="W343" s="80">
        <v>3275</v>
      </c>
      <c r="X343" s="80">
        <v>1307</v>
      </c>
      <c r="Y343" s="80"/>
      <c r="Z343" s="80"/>
      <c r="AA343" s="80" t="s">
        <v>1219</v>
      </c>
      <c r="AB343" s="80">
        <v>3100</v>
      </c>
      <c r="AC343" s="80">
        <v>615</v>
      </c>
      <c r="AD343" s="80"/>
      <c r="AE343" s="80"/>
      <c r="AF343" s="80"/>
      <c r="AG343" s="80"/>
      <c r="AH343" s="80">
        <v>6.5</v>
      </c>
      <c r="AI343" s="80" t="s">
        <v>1220</v>
      </c>
      <c r="AJ343" s="80"/>
      <c r="AK343" s="80" t="s">
        <v>1211</v>
      </c>
      <c r="AL343" s="80"/>
      <c r="AM343" s="80" t="s">
        <v>1221</v>
      </c>
      <c r="AN343" s="80"/>
      <c r="AO343" s="80" t="s">
        <v>1222</v>
      </c>
      <c r="AP343" s="80"/>
      <c r="AQ343" s="80" t="s">
        <v>1223</v>
      </c>
      <c r="AR343" s="80"/>
      <c r="AS343" s="80" t="s">
        <v>1224</v>
      </c>
      <c r="AT343" s="80"/>
      <c r="AU343" s="80" t="s">
        <v>1225</v>
      </c>
      <c r="AV343" s="80"/>
      <c r="AW343" s="84" t="s">
        <v>4390</v>
      </c>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row>
    <row r="344" spans="1:72" s="143" customFormat="1" ht="25.15" customHeight="1" outlineLevel="1" x14ac:dyDescent="0.25">
      <c r="A344" s="9" t="s">
        <v>202</v>
      </c>
      <c r="B344" s="80" t="s">
        <v>4365</v>
      </c>
      <c r="C344" s="80"/>
      <c r="D344" s="80"/>
      <c r="E344" s="80" t="s">
        <v>1468</v>
      </c>
      <c r="F344" s="80" t="s">
        <v>1491</v>
      </c>
      <c r="G344" s="80" t="s">
        <v>1152</v>
      </c>
      <c r="H344" s="80" t="s">
        <v>29</v>
      </c>
      <c r="I344" s="80"/>
      <c r="J344" s="1"/>
      <c r="K344" s="80" t="s">
        <v>30</v>
      </c>
      <c r="L344" s="1"/>
      <c r="M344" s="80" t="s">
        <v>1492</v>
      </c>
      <c r="N344" s="80" t="s">
        <v>4382</v>
      </c>
      <c r="O344" s="80">
        <v>1510</v>
      </c>
      <c r="P344" s="80">
        <v>1320</v>
      </c>
      <c r="Q344" s="80">
        <v>1080</v>
      </c>
      <c r="R344" s="80"/>
      <c r="S344" s="80">
        <v>2055</v>
      </c>
      <c r="T344" s="80">
        <v>1860</v>
      </c>
      <c r="U344" s="80">
        <v>4489</v>
      </c>
      <c r="V344" s="80">
        <v>660</v>
      </c>
      <c r="W344" s="80">
        <v>2716</v>
      </c>
      <c r="X344" s="80">
        <v>813</v>
      </c>
      <c r="Y344" s="80"/>
      <c r="Z344" s="80"/>
      <c r="AA344" s="80" t="s">
        <v>1493</v>
      </c>
      <c r="AB344" s="80">
        <v>2220</v>
      </c>
      <c r="AC344" s="80">
        <v>325</v>
      </c>
      <c r="AD344" s="80"/>
      <c r="AE344" s="80"/>
      <c r="AF344" s="80"/>
      <c r="AG344" s="80"/>
      <c r="AH344" s="80">
        <v>1.7</v>
      </c>
      <c r="AI344" s="80" t="s">
        <v>1494</v>
      </c>
      <c r="AJ344" s="80"/>
      <c r="AK344" s="80" t="s">
        <v>1495</v>
      </c>
      <c r="AL344" s="80"/>
      <c r="AM344" s="80" t="s">
        <v>1496</v>
      </c>
      <c r="AN344" s="80"/>
      <c r="AO344" s="80" t="s">
        <v>1497</v>
      </c>
      <c r="AP344" s="80"/>
      <c r="AQ344" s="80" t="s">
        <v>1498</v>
      </c>
      <c r="AR344" s="80"/>
      <c r="AS344" s="80"/>
      <c r="AT344" s="80"/>
      <c r="AU344" s="84" t="s">
        <v>1477</v>
      </c>
      <c r="AV344" s="80"/>
      <c r="AW344" s="84" t="s">
        <v>4390</v>
      </c>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row>
    <row r="345" spans="1:72" s="144" customFormat="1" ht="25.15" customHeight="1" outlineLevel="1" x14ac:dyDescent="0.25">
      <c r="A345" s="9" t="s">
        <v>202</v>
      </c>
      <c r="B345" s="80" t="s">
        <v>4365</v>
      </c>
      <c r="C345" s="80"/>
      <c r="D345" s="80"/>
      <c r="E345" s="80" t="s">
        <v>1468</v>
      </c>
      <c r="F345" s="80" t="s">
        <v>1491</v>
      </c>
      <c r="G345" s="80" t="s">
        <v>1199</v>
      </c>
      <c r="H345" s="80" t="s">
        <v>29</v>
      </c>
      <c r="I345" s="80"/>
      <c r="J345" s="80"/>
      <c r="K345" s="80" t="s">
        <v>30</v>
      </c>
      <c r="L345" s="1"/>
      <c r="M345" s="80" t="s">
        <v>1499</v>
      </c>
      <c r="N345" s="80" t="s">
        <v>4382</v>
      </c>
      <c r="O345" s="80">
        <v>1719</v>
      </c>
      <c r="P345" s="80">
        <v>1716</v>
      </c>
      <c r="Q345" s="80">
        <v>1425</v>
      </c>
      <c r="R345" s="80"/>
      <c r="S345" s="80">
        <v>2137</v>
      </c>
      <c r="T345" s="80">
        <v>1850</v>
      </c>
      <c r="U345" s="80">
        <v>4936</v>
      </c>
      <c r="V345" s="80">
        <v>640</v>
      </c>
      <c r="W345" s="80">
        <v>2716</v>
      </c>
      <c r="X345" s="80">
        <v>1260</v>
      </c>
      <c r="Y345" s="80"/>
      <c r="Z345" s="80"/>
      <c r="AA345" s="80" t="s">
        <v>1500</v>
      </c>
      <c r="AB345" s="80">
        <v>2220</v>
      </c>
      <c r="AC345" s="80">
        <v>335</v>
      </c>
      <c r="AD345" s="80"/>
      <c r="AE345" s="80"/>
      <c r="AF345" s="80"/>
      <c r="AG345" s="80"/>
      <c r="AH345" s="80">
        <v>4</v>
      </c>
      <c r="AI345" s="80" t="s">
        <v>1501</v>
      </c>
      <c r="AJ345" s="80"/>
      <c r="AK345" s="80" t="s">
        <v>1495</v>
      </c>
      <c r="AL345" s="80"/>
      <c r="AM345" s="80" t="s">
        <v>1502</v>
      </c>
      <c r="AN345" s="80"/>
      <c r="AO345" s="80" t="s">
        <v>1503</v>
      </c>
      <c r="AP345" s="80"/>
      <c r="AQ345" s="80" t="s">
        <v>1504</v>
      </c>
      <c r="AR345" s="80"/>
      <c r="AS345" s="80"/>
      <c r="AT345" s="80"/>
      <c r="AU345" s="84" t="s">
        <v>1505</v>
      </c>
      <c r="AV345" s="80"/>
      <c r="AW345" s="84" t="s">
        <v>4390</v>
      </c>
      <c r="AX345" s="80"/>
      <c r="AY345" s="80"/>
      <c r="AZ345" s="80"/>
      <c r="BA345" s="80"/>
      <c r="BB345" s="80"/>
      <c r="BC345" s="80"/>
      <c r="BD345" s="80"/>
      <c r="BE345" s="80"/>
      <c r="BF345" s="80"/>
      <c r="BG345" s="80"/>
      <c r="BH345" s="80"/>
      <c r="BI345" s="80"/>
      <c r="BJ345" s="80"/>
      <c r="BK345" s="80"/>
      <c r="BL345" s="80"/>
      <c r="BM345" s="80"/>
      <c r="BN345" s="80"/>
      <c r="BO345" s="80"/>
      <c r="BP345" s="80"/>
      <c r="BQ345" s="80"/>
      <c r="BR345" s="80"/>
      <c r="BS345" s="80"/>
      <c r="BT345" s="80"/>
    </row>
    <row r="346" spans="1:72" s="144" customFormat="1" ht="25.15" customHeight="1" outlineLevel="1" x14ac:dyDescent="0.25">
      <c r="A346" s="9" t="s">
        <v>202</v>
      </c>
      <c r="B346" s="80" t="s">
        <v>4365</v>
      </c>
      <c r="C346" s="80"/>
      <c r="D346" s="80"/>
      <c r="E346" s="80" t="s">
        <v>1468</v>
      </c>
      <c r="F346" s="80" t="s">
        <v>1491</v>
      </c>
      <c r="G346" s="80" t="s">
        <v>1199</v>
      </c>
      <c r="H346" s="80" t="s">
        <v>29</v>
      </c>
      <c r="I346" s="80"/>
      <c r="J346" s="80"/>
      <c r="K346" s="80" t="s">
        <v>30</v>
      </c>
      <c r="L346" s="1"/>
      <c r="M346" s="80" t="s">
        <v>1499</v>
      </c>
      <c r="N346" s="80" t="s">
        <v>4385</v>
      </c>
      <c r="O346" s="80">
        <v>2107</v>
      </c>
      <c r="P346" s="80">
        <v>1716</v>
      </c>
      <c r="Q346" s="80">
        <v>1425</v>
      </c>
      <c r="R346" s="80"/>
      <c r="S346" s="80">
        <v>2137</v>
      </c>
      <c r="T346" s="80">
        <v>1850</v>
      </c>
      <c r="U346" s="80">
        <v>5316</v>
      </c>
      <c r="V346" s="80">
        <v>640</v>
      </c>
      <c r="W346" s="80">
        <v>3100</v>
      </c>
      <c r="X346" s="80">
        <v>1256</v>
      </c>
      <c r="Y346" s="80"/>
      <c r="Z346" s="80"/>
      <c r="AA346" s="80" t="s">
        <v>1500</v>
      </c>
      <c r="AB346" s="80">
        <v>2270</v>
      </c>
      <c r="AC346" s="80">
        <v>310</v>
      </c>
      <c r="AD346" s="80"/>
      <c r="AE346" s="80"/>
      <c r="AF346" s="80"/>
      <c r="AG346" s="80"/>
      <c r="AH346" s="80">
        <v>5</v>
      </c>
      <c r="AI346" s="80" t="s">
        <v>1501</v>
      </c>
      <c r="AJ346" s="80"/>
      <c r="AK346" s="80" t="s">
        <v>1495</v>
      </c>
      <c r="AL346" s="80"/>
      <c r="AM346" s="80" t="s">
        <v>1502</v>
      </c>
      <c r="AN346" s="80"/>
      <c r="AO346" s="80" t="s">
        <v>1503</v>
      </c>
      <c r="AP346" s="80"/>
      <c r="AQ346" s="80" t="s">
        <v>1504</v>
      </c>
      <c r="AR346" s="80"/>
      <c r="AS346" s="80"/>
      <c r="AT346" s="80"/>
      <c r="AU346" s="84" t="s">
        <v>1505</v>
      </c>
      <c r="AV346" s="80"/>
      <c r="AW346" s="84" t="s">
        <v>4390</v>
      </c>
      <c r="AX346" s="80"/>
      <c r="AY346" s="80"/>
      <c r="AZ346" s="80"/>
      <c r="BA346" s="80"/>
      <c r="BB346" s="80"/>
      <c r="BC346" s="80"/>
      <c r="BD346" s="80"/>
      <c r="BE346" s="80"/>
      <c r="BF346" s="80"/>
      <c r="BG346" s="80"/>
      <c r="BH346" s="80"/>
      <c r="BI346" s="80"/>
      <c r="BJ346" s="80"/>
      <c r="BK346" s="80"/>
      <c r="BL346" s="80"/>
      <c r="BM346" s="80"/>
      <c r="BN346" s="80"/>
      <c r="BO346" s="80"/>
      <c r="BP346" s="80"/>
      <c r="BQ346" s="80"/>
      <c r="BR346" s="80"/>
      <c r="BS346" s="80"/>
      <c r="BT346" s="80"/>
    </row>
    <row r="347" spans="1:72" s="144" customFormat="1" ht="25.15" customHeight="1" outlineLevel="1" x14ac:dyDescent="0.25">
      <c r="A347" s="80" t="s">
        <v>202</v>
      </c>
      <c r="B347" s="80" t="s">
        <v>4365</v>
      </c>
      <c r="C347" s="80"/>
      <c r="D347" s="80"/>
      <c r="E347" s="80" t="s">
        <v>469</v>
      </c>
      <c r="F347" s="80" t="s">
        <v>1532</v>
      </c>
      <c r="G347" s="80" t="s">
        <v>450</v>
      </c>
      <c r="H347" s="80" t="s">
        <v>29</v>
      </c>
      <c r="I347" s="80"/>
      <c r="J347" s="9"/>
      <c r="K347" s="80" t="s">
        <v>30</v>
      </c>
      <c r="L347" s="1"/>
      <c r="M347" s="80" t="s">
        <v>1533</v>
      </c>
      <c r="N347" s="80" t="s">
        <v>4382</v>
      </c>
      <c r="O347" s="80">
        <v>3022</v>
      </c>
      <c r="P347" s="80">
        <v>1954</v>
      </c>
      <c r="Q347" s="80">
        <v>1950</v>
      </c>
      <c r="R347" s="80"/>
      <c r="S347" s="80">
        <v>2730</v>
      </c>
      <c r="T347" s="80">
        <v>2100</v>
      </c>
      <c r="U347" s="80">
        <v>6009</v>
      </c>
      <c r="V347" s="80">
        <v>690</v>
      </c>
      <c r="W347" s="80">
        <v>3583</v>
      </c>
      <c r="X347" s="80">
        <v>1458</v>
      </c>
      <c r="Y347" s="80"/>
      <c r="Z347" s="80"/>
      <c r="AA347" s="80" t="s">
        <v>1534</v>
      </c>
      <c r="AB347" s="80">
        <v>3500</v>
      </c>
      <c r="AC347" s="80">
        <v>705</v>
      </c>
      <c r="AD347" s="80"/>
      <c r="AE347" s="80"/>
      <c r="AF347" s="80"/>
      <c r="AG347" s="80"/>
      <c r="AH347" s="80">
        <v>11.2</v>
      </c>
      <c r="AI347" s="80" t="s">
        <v>1535</v>
      </c>
      <c r="AJ347" s="80"/>
      <c r="AK347" s="80" t="s">
        <v>1536</v>
      </c>
      <c r="AL347" s="80"/>
      <c r="AM347" s="80" t="s">
        <v>1537</v>
      </c>
      <c r="AN347" s="80"/>
      <c r="AO347" s="80" t="s">
        <v>1538</v>
      </c>
      <c r="AP347" s="80"/>
      <c r="AQ347" s="80" t="s">
        <v>1539</v>
      </c>
      <c r="AR347" s="80"/>
      <c r="AS347" s="80"/>
      <c r="AT347" s="80"/>
      <c r="AU347" s="84" t="s">
        <v>1540</v>
      </c>
      <c r="AV347" s="80"/>
      <c r="AW347" s="84" t="s">
        <v>4390</v>
      </c>
      <c r="AX347" s="80"/>
      <c r="AY347" s="80"/>
      <c r="AZ347" s="80"/>
      <c r="BA347" s="80"/>
      <c r="BB347" s="80"/>
      <c r="BC347" s="80"/>
      <c r="BD347" s="80"/>
      <c r="BE347" s="80"/>
      <c r="BF347" s="80"/>
      <c r="BG347" s="80"/>
      <c r="BH347" s="80"/>
      <c r="BI347" s="80"/>
      <c r="BJ347" s="80"/>
      <c r="BK347" s="80"/>
      <c r="BL347" s="80"/>
      <c r="BM347" s="80"/>
      <c r="BN347" s="80"/>
      <c r="BO347" s="80"/>
      <c r="BP347" s="80"/>
      <c r="BQ347" s="80"/>
      <c r="BR347" s="80"/>
      <c r="BS347" s="80"/>
      <c r="BT347" s="80"/>
    </row>
    <row r="348" spans="1:72" s="144" customFormat="1" ht="25.15" customHeight="1" outlineLevel="1" x14ac:dyDescent="0.25">
      <c r="A348" s="80" t="s">
        <v>202</v>
      </c>
      <c r="B348" s="80" t="s">
        <v>4365</v>
      </c>
      <c r="C348" s="80"/>
      <c r="D348" s="80"/>
      <c r="E348" s="80" t="s">
        <v>469</v>
      </c>
      <c r="F348" s="80" t="s">
        <v>1532</v>
      </c>
      <c r="G348" s="80" t="s">
        <v>450</v>
      </c>
      <c r="H348" s="80" t="s">
        <v>12</v>
      </c>
      <c r="I348" s="80"/>
      <c r="J348" s="9"/>
      <c r="K348" s="80" t="s">
        <v>30</v>
      </c>
      <c r="L348" s="1"/>
      <c r="M348" s="80" t="s">
        <v>1533</v>
      </c>
      <c r="N348" s="83" t="s">
        <v>4383</v>
      </c>
      <c r="O348" s="80">
        <v>3022</v>
      </c>
      <c r="P348" s="80">
        <v>1954</v>
      </c>
      <c r="Q348" s="80">
        <v>1950</v>
      </c>
      <c r="R348" s="80"/>
      <c r="S348" s="80">
        <v>2730</v>
      </c>
      <c r="T348" s="80">
        <v>2100</v>
      </c>
      <c r="U348" s="80">
        <v>6009</v>
      </c>
      <c r="V348" s="80">
        <v>690</v>
      </c>
      <c r="W348" s="80">
        <v>3583</v>
      </c>
      <c r="X348" s="80">
        <v>1458</v>
      </c>
      <c r="Y348" s="80"/>
      <c r="Z348" s="80"/>
      <c r="AA348" s="80" t="s">
        <v>1541</v>
      </c>
      <c r="AB348" s="80">
        <v>3500</v>
      </c>
      <c r="AC348" s="80">
        <v>595</v>
      </c>
      <c r="AD348" s="80"/>
      <c r="AE348" s="80"/>
      <c r="AF348" s="80"/>
      <c r="AG348" s="80"/>
      <c r="AH348" s="80">
        <v>11</v>
      </c>
      <c r="AI348" s="80" t="s">
        <v>1535</v>
      </c>
      <c r="AJ348" s="80"/>
      <c r="AK348" s="80" t="s">
        <v>1536</v>
      </c>
      <c r="AL348" s="80"/>
      <c r="AM348" s="80" t="s">
        <v>1537</v>
      </c>
      <c r="AN348" s="80"/>
      <c r="AO348" s="80" t="s">
        <v>1542</v>
      </c>
      <c r="AP348" s="80"/>
      <c r="AQ348" s="80" t="s">
        <v>1543</v>
      </c>
      <c r="AR348" s="80"/>
      <c r="AS348" s="80"/>
      <c r="AT348" s="80"/>
      <c r="AU348" s="84" t="s">
        <v>1544</v>
      </c>
      <c r="AV348" s="80"/>
      <c r="AW348" s="84" t="s">
        <v>4390</v>
      </c>
      <c r="AX348" s="80"/>
      <c r="AY348" s="80"/>
      <c r="AZ348" s="80"/>
      <c r="BA348" s="80"/>
      <c r="BB348" s="80"/>
      <c r="BC348" s="80"/>
      <c r="BD348" s="80"/>
      <c r="BE348" s="80"/>
      <c r="BF348" s="80"/>
      <c r="BG348" s="80"/>
      <c r="BH348" s="80"/>
      <c r="BI348" s="80"/>
      <c r="BJ348" s="80"/>
      <c r="BK348" s="80"/>
      <c r="BL348" s="80"/>
      <c r="BM348" s="80"/>
      <c r="BN348" s="80"/>
      <c r="BO348" s="80"/>
      <c r="BP348" s="80"/>
      <c r="BQ348" s="80"/>
      <c r="BR348" s="80"/>
      <c r="BS348" s="80"/>
      <c r="BT348" s="80"/>
    </row>
    <row r="349" spans="1:72" s="144" customFormat="1" ht="25.15" customHeight="1" outlineLevel="1" x14ac:dyDescent="0.25">
      <c r="A349" s="9" t="s">
        <v>202</v>
      </c>
      <c r="B349" s="80" t="s">
        <v>4365</v>
      </c>
      <c r="C349" s="80"/>
      <c r="D349" s="80"/>
      <c r="E349" s="80" t="s">
        <v>33</v>
      </c>
      <c r="F349" s="80" t="s">
        <v>1341</v>
      </c>
      <c r="G349" s="80" t="s">
        <v>85</v>
      </c>
      <c r="H349" s="80" t="s">
        <v>29</v>
      </c>
      <c r="I349" s="80"/>
      <c r="J349" s="1"/>
      <c r="K349" s="80" t="s">
        <v>30</v>
      </c>
      <c r="L349" s="1"/>
      <c r="M349" s="80" t="s">
        <v>1351</v>
      </c>
      <c r="N349" s="80" t="s">
        <v>4382</v>
      </c>
      <c r="O349" s="80">
        <v>3228</v>
      </c>
      <c r="P349" s="80">
        <v>1908</v>
      </c>
      <c r="Q349" s="80">
        <v>1950</v>
      </c>
      <c r="R349" s="80"/>
      <c r="S349" s="80">
        <v>2936</v>
      </c>
      <c r="T349" s="80">
        <v>2050</v>
      </c>
      <c r="U349" s="80">
        <v>5923</v>
      </c>
      <c r="V349" s="80">
        <v>895</v>
      </c>
      <c r="W349" s="80">
        <v>3450</v>
      </c>
      <c r="X349" s="80">
        <v>1425</v>
      </c>
      <c r="Y349" s="80"/>
      <c r="Z349" s="80">
        <v>5</v>
      </c>
      <c r="AA349" s="80" t="s">
        <v>1352</v>
      </c>
      <c r="AB349" s="80">
        <v>3500</v>
      </c>
      <c r="AC349" s="80">
        <v>1035</v>
      </c>
      <c r="AD349" s="80"/>
      <c r="AE349" s="80"/>
      <c r="AF349" s="80"/>
      <c r="AG349" s="80"/>
      <c r="AH349" s="80">
        <v>12</v>
      </c>
      <c r="AI349" s="80" t="s">
        <v>1353</v>
      </c>
      <c r="AJ349" s="80"/>
      <c r="AK349" s="80" t="s">
        <v>1354</v>
      </c>
      <c r="AL349" s="80"/>
      <c r="AM349" s="80" t="s">
        <v>1355</v>
      </c>
      <c r="AN349" s="80"/>
      <c r="AO349" s="80" t="s">
        <v>1356</v>
      </c>
      <c r="AP349" s="80"/>
      <c r="AQ349" s="80" t="s">
        <v>1357</v>
      </c>
      <c r="AR349" s="80"/>
      <c r="AS349" s="80"/>
      <c r="AT349" s="80"/>
      <c r="AU349" s="80" t="s">
        <v>1358</v>
      </c>
      <c r="AV349" s="80"/>
      <c r="AW349" s="84" t="s">
        <v>4390</v>
      </c>
      <c r="AX349" s="80"/>
      <c r="AY349" s="80"/>
      <c r="AZ349" s="80"/>
      <c r="BA349" s="80"/>
      <c r="BB349" s="80"/>
      <c r="BC349" s="80"/>
      <c r="BD349" s="80"/>
      <c r="BE349" s="80"/>
      <c r="BF349" s="80"/>
      <c r="BG349" s="80"/>
      <c r="BH349" s="80"/>
      <c r="BI349" s="80"/>
      <c r="BJ349" s="80"/>
      <c r="BK349" s="80"/>
      <c r="BL349" s="80"/>
      <c r="BM349" s="80"/>
      <c r="BN349" s="80"/>
      <c r="BO349" s="80"/>
      <c r="BP349" s="80"/>
      <c r="BQ349" s="80"/>
      <c r="BR349" s="80"/>
      <c r="BS349" s="80"/>
      <c r="BT349" s="80"/>
    </row>
    <row r="350" spans="1:72" s="144" customFormat="1" ht="25.15" customHeight="1" outlineLevel="1" x14ac:dyDescent="0.25">
      <c r="A350" s="9" t="s">
        <v>202</v>
      </c>
      <c r="B350" s="80" t="s">
        <v>4365</v>
      </c>
      <c r="C350" s="80"/>
      <c r="D350" s="80"/>
      <c r="E350" s="80" t="s">
        <v>33</v>
      </c>
      <c r="F350" s="80" t="s">
        <v>1341</v>
      </c>
      <c r="G350" s="80" t="s">
        <v>85</v>
      </c>
      <c r="H350" s="80" t="s">
        <v>29</v>
      </c>
      <c r="I350" s="80" t="s">
        <v>7</v>
      </c>
      <c r="J350" s="1"/>
      <c r="K350" s="80" t="s">
        <v>30</v>
      </c>
      <c r="L350" s="1"/>
      <c r="M350" s="80" t="s">
        <v>1351</v>
      </c>
      <c r="N350" s="83" t="s">
        <v>4384</v>
      </c>
      <c r="O350" s="80">
        <v>3228</v>
      </c>
      <c r="P350" s="80">
        <v>1908</v>
      </c>
      <c r="Q350" s="80">
        <v>1950</v>
      </c>
      <c r="R350" s="80"/>
      <c r="S350" s="80">
        <v>2936</v>
      </c>
      <c r="T350" s="80">
        <v>2050</v>
      </c>
      <c r="U350" s="80">
        <v>6124</v>
      </c>
      <c r="V350" s="80">
        <v>895</v>
      </c>
      <c r="W350" s="80">
        <v>3450</v>
      </c>
      <c r="X350" s="80">
        <v>1617</v>
      </c>
      <c r="Y350" s="80"/>
      <c r="Z350" s="80">
        <v>5</v>
      </c>
      <c r="AA350" s="80" t="s">
        <v>1359</v>
      </c>
      <c r="AB350" s="80">
        <v>3500</v>
      </c>
      <c r="AC350" s="80">
        <v>830</v>
      </c>
      <c r="AD350" s="80"/>
      <c r="AE350" s="80"/>
      <c r="AF350" s="80"/>
      <c r="AG350" s="80"/>
      <c r="AH350" s="80">
        <v>12</v>
      </c>
      <c r="AI350" s="80" t="s">
        <v>1353</v>
      </c>
      <c r="AJ350" s="80"/>
      <c r="AK350" s="80" t="s">
        <v>1354</v>
      </c>
      <c r="AL350" s="80"/>
      <c r="AM350" s="80" t="s">
        <v>1355</v>
      </c>
      <c r="AN350" s="80"/>
      <c r="AO350" s="80" t="s">
        <v>1360</v>
      </c>
      <c r="AP350" s="80"/>
      <c r="AQ350" s="80" t="s">
        <v>1361</v>
      </c>
      <c r="AR350" s="80"/>
      <c r="AS350" s="80" t="s">
        <v>1288</v>
      </c>
      <c r="AT350" s="80"/>
      <c r="AU350" s="80" t="s">
        <v>1362</v>
      </c>
      <c r="AV350" s="80"/>
      <c r="AW350" s="84" t="s">
        <v>4390</v>
      </c>
      <c r="AX350" s="80"/>
      <c r="AY350" s="80"/>
      <c r="AZ350" s="80"/>
      <c r="BA350" s="80"/>
      <c r="BB350" s="80"/>
      <c r="BC350" s="80"/>
      <c r="BD350" s="80"/>
      <c r="BE350" s="80"/>
      <c r="BF350" s="80"/>
      <c r="BG350" s="80"/>
      <c r="BH350" s="80"/>
      <c r="BI350" s="80"/>
      <c r="BJ350" s="80"/>
      <c r="BK350" s="80"/>
      <c r="BL350" s="80"/>
      <c r="BM350" s="80"/>
      <c r="BN350" s="80"/>
      <c r="BO350" s="80"/>
      <c r="BP350" s="80"/>
      <c r="BQ350" s="80"/>
      <c r="BR350" s="80"/>
      <c r="BS350" s="80"/>
      <c r="BT350" s="80"/>
    </row>
    <row r="351" spans="1:72" s="144" customFormat="1" ht="25.15" customHeight="1" outlineLevel="1" x14ac:dyDescent="0.25">
      <c r="A351" s="9" t="s">
        <v>202</v>
      </c>
      <c r="B351" s="80" t="s">
        <v>4365</v>
      </c>
      <c r="C351" s="80"/>
      <c r="D351" s="80"/>
      <c r="E351" s="80" t="s">
        <v>33</v>
      </c>
      <c r="F351" s="80" t="s">
        <v>1341</v>
      </c>
      <c r="G351" s="80" t="s">
        <v>85</v>
      </c>
      <c r="H351" s="80" t="s">
        <v>12</v>
      </c>
      <c r="I351" s="80"/>
      <c r="J351" s="1"/>
      <c r="K351" s="80" t="s">
        <v>30</v>
      </c>
      <c r="L351" s="1"/>
      <c r="M351" s="80" t="s">
        <v>1351</v>
      </c>
      <c r="N351" s="83" t="s">
        <v>4383</v>
      </c>
      <c r="O351" s="80">
        <v>3528</v>
      </c>
      <c r="P351" s="80">
        <v>1908</v>
      </c>
      <c r="Q351" s="80">
        <v>2050</v>
      </c>
      <c r="R351" s="80"/>
      <c r="S351" s="80">
        <v>3036</v>
      </c>
      <c r="T351" s="80">
        <v>2050</v>
      </c>
      <c r="U351" s="80">
        <v>6423</v>
      </c>
      <c r="V351" s="80">
        <v>895</v>
      </c>
      <c r="W351" s="80">
        <v>3750</v>
      </c>
      <c r="X351" s="80">
        <v>1625</v>
      </c>
      <c r="Y351" s="80"/>
      <c r="Z351" s="80">
        <v>5</v>
      </c>
      <c r="AA351" s="80" t="s">
        <v>1363</v>
      </c>
      <c r="AB351" s="80">
        <v>3500</v>
      </c>
      <c r="AC351" s="80">
        <v>840</v>
      </c>
      <c r="AD351" s="80"/>
      <c r="AE351" s="80"/>
      <c r="AF351" s="80"/>
      <c r="AG351" s="80"/>
      <c r="AH351" s="80" t="s">
        <v>1291</v>
      </c>
      <c r="AI351" s="80" t="s">
        <v>1353</v>
      </c>
      <c r="AJ351" s="80"/>
      <c r="AK351" s="80" t="s">
        <v>1354</v>
      </c>
      <c r="AL351" s="80"/>
      <c r="AM351" s="80" t="s">
        <v>1355</v>
      </c>
      <c r="AN351" s="80"/>
      <c r="AO351" s="80" t="s">
        <v>1364</v>
      </c>
      <c r="AP351" s="80"/>
      <c r="AQ351" s="80" t="s">
        <v>1365</v>
      </c>
      <c r="AR351" s="80"/>
      <c r="AS351" s="80"/>
      <c r="AT351" s="80"/>
      <c r="AU351" s="80" t="s">
        <v>1366</v>
      </c>
      <c r="AV351" s="80"/>
      <c r="AW351" s="84" t="s">
        <v>4390</v>
      </c>
      <c r="AX351" s="80"/>
      <c r="AY351" s="80"/>
      <c r="AZ351" s="80"/>
      <c r="BA351" s="80"/>
      <c r="BB351" s="80"/>
      <c r="BC351" s="80"/>
      <c r="BD351" s="80"/>
      <c r="BE351" s="80"/>
      <c r="BF351" s="80"/>
      <c r="BG351" s="80"/>
      <c r="BH351" s="80"/>
      <c r="BI351" s="80"/>
      <c r="BJ351" s="80"/>
      <c r="BK351" s="80"/>
      <c r="BL351" s="80"/>
      <c r="BM351" s="80"/>
      <c r="BN351" s="80"/>
      <c r="BO351" s="80"/>
      <c r="BP351" s="80"/>
      <c r="BQ351" s="80"/>
      <c r="BR351" s="80"/>
      <c r="BS351" s="80"/>
      <c r="BT351" s="80"/>
    </row>
    <row r="352" spans="1:72" s="144" customFormat="1" ht="25.15" customHeight="1" outlineLevel="1" x14ac:dyDescent="0.25">
      <c r="A352" s="9" t="s">
        <v>202</v>
      </c>
      <c r="B352" s="80" t="s">
        <v>4365</v>
      </c>
      <c r="C352" s="80"/>
      <c r="D352" s="80"/>
      <c r="E352" s="80" t="s">
        <v>33</v>
      </c>
      <c r="F352" s="80" t="s">
        <v>1341</v>
      </c>
      <c r="G352" s="80" t="s">
        <v>85</v>
      </c>
      <c r="H352" s="80" t="s">
        <v>29</v>
      </c>
      <c r="I352" s="80"/>
      <c r="J352" s="1"/>
      <c r="K352" s="80" t="s">
        <v>30</v>
      </c>
      <c r="L352" s="1"/>
      <c r="M352" s="80" t="s">
        <v>1367</v>
      </c>
      <c r="N352" s="80" t="s">
        <v>4382</v>
      </c>
      <c r="O352" s="80">
        <v>3228</v>
      </c>
      <c r="P352" s="80">
        <v>1908</v>
      </c>
      <c r="Q352" s="80">
        <v>1950</v>
      </c>
      <c r="R352" s="80"/>
      <c r="S352" s="80">
        <v>2916</v>
      </c>
      <c r="T352" s="80">
        <v>2050</v>
      </c>
      <c r="U352" s="80">
        <v>5923</v>
      </c>
      <c r="V352" s="80">
        <v>875</v>
      </c>
      <c r="W352" s="80">
        <v>3450</v>
      </c>
      <c r="X352" s="80">
        <v>1425</v>
      </c>
      <c r="Y352" s="80"/>
      <c r="Z352" s="80">
        <v>5</v>
      </c>
      <c r="AA352" s="80" t="s">
        <v>1352</v>
      </c>
      <c r="AB352" s="80">
        <v>3500</v>
      </c>
      <c r="AC352" s="80">
        <v>1150</v>
      </c>
      <c r="AD352" s="80"/>
      <c r="AE352" s="80"/>
      <c r="AF352" s="80"/>
      <c r="AG352" s="80"/>
      <c r="AH352" s="80">
        <v>12</v>
      </c>
      <c r="AI352" s="80" t="s">
        <v>1353</v>
      </c>
      <c r="AJ352" s="80"/>
      <c r="AK352" s="80" t="s">
        <v>1354</v>
      </c>
      <c r="AL352" s="80"/>
      <c r="AM352" s="80" t="s">
        <v>1368</v>
      </c>
      <c r="AN352" s="80"/>
      <c r="AO352" s="80" t="s">
        <v>1356</v>
      </c>
      <c r="AP352" s="80"/>
      <c r="AQ352" s="80" t="s">
        <v>1357</v>
      </c>
      <c r="AR352" s="80"/>
      <c r="AS352" s="80"/>
      <c r="AT352" s="80"/>
      <c r="AU352" s="80" t="s">
        <v>1369</v>
      </c>
      <c r="AV352" s="80"/>
      <c r="AW352" s="84" t="s">
        <v>4390</v>
      </c>
      <c r="AX352" s="80"/>
      <c r="AY352" s="80"/>
      <c r="AZ352" s="80"/>
      <c r="BA352" s="80"/>
      <c r="BB352" s="80"/>
      <c r="BC352" s="80"/>
      <c r="BD352" s="80"/>
      <c r="BE352" s="80"/>
      <c r="BF352" s="80"/>
      <c r="BG352" s="80"/>
      <c r="BH352" s="80"/>
      <c r="BI352" s="80"/>
      <c r="BJ352" s="80"/>
      <c r="BK352" s="80"/>
      <c r="BL352" s="80"/>
      <c r="BM352" s="80"/>
      <c r="BN352" s="80"/>
      <c r="BO352" s="80"/>
      <c r="BP352" s="80"/>
      <c r="BQ352" s="80"/>
      <c r="BR352" s="80"/>
      <c r="BS352" s="80"/>
      <c r="BT352" s="80"/>
    </row>
    <row r="353" spans="1:96" s="144" customFormat="1" ht="25.15" customHeight="1" outlineLevel="1" x14ac:dyDescent="0.25">
      <c r="A353" s="9" t="s">
        <v>202</v>
      </c>
      <c r="B353" s="80" t="s">
        <v>4365</v>
      </c>
      <c r="C353" s="80"/>
      <c r="D353" s="80"/>
      <c r="E353" s="80" t="s">
        <v>33</v>
      </c>
      <c r="F353" s="80" t="s">
        <v>1341</v>
      </c>
      <c r="G353" s="80" t="s">
        <v>85</v>
      </c>
      <c r="H353" s="80" t="s">
        <v>29</v>
      </c>
      <c r="I353" s="80" t="s">
        <v>7</v>
      </c>
      <c r="J353" s="1"/>
      <c r="K353" s="80" t="s">
        <v>30</v>
      </c>
      <c r="L353" s="1"/>
      <c r="M353" s="80" t="s">
        <v>1367</v>
      </c>
      <c r="N353" s="83" t="s">
        <v>4384</v>
      </c>
      <c r="O353" s="80">
        <v>3228</v>
      </c>
      <c r="P353" s="80">
        <v>1908</v>
      </c>
      <c r="Q353" s="80">
        <v>1950</v>
      </c>
      <c r="R353" s="80"/>
      <c r="S353" s="80">
        <v>2916</v>
      </c>
      <c r="T353" s="80">
        <v>2050</v>
      </c>
      <c r="U353" s="80">
        <v>6124</v>
      </c>
      <c r="V353" s="80">
        <v>875</v>
      </c>
      <c r="W353" s="80">
        <v>3450</v>
      </c>
      <c r="X353" s="80">
        <v>1617</v>
      </c>
      <c r="Y353" s="80"/>
      <c r="Z353" s="80">
        <v>5</v>
      </c>
      <c r="AA353" s="80" t="s">
        <v>1359</v>
      </c>
      <c r="AB353" s="80">
        <v>3500</v>
      </c>
      <c r="AC353" s="80">
        <v>945</v>
      </c>
      <c r="AD353" s="80"/>
      <c r="AE353" s="80"/>
      <c r="AF353" s="80"/>
      <c r="AG353" s="80"/>
      <c r="AH353" s="80">
        <v>12</v>
      </c>
      <c r="AI353" s="80" t="s">
        <v>1353</v>
      </c>
      <c r="AJ353" s="80"/>
      <c r="AK353" s="80" t="s">
        <v>1354</v>
      </c>
      <c r="AL353" s="80"/>
      <c r="AM353" s="80" t="s">
        <v>1368</v>
      </c>
      <c r="AN353" s="80"/>
      <c r="AO353" s="80" t="s">
        <v>1360</v>
      </c>
      <c r="AP353" s="80"/>
      <c r="AQ353" s="80" t="s">
        <v>1361</v>
      </c>
      <c r="AR353" s="80"/>
      <c r="AS353" s="80" t="s">
        <v>1288</v>
      </c>
      <c r="AT353" s="80"/>
      <c r="AU353" s="80" t="s">
        <v>1370</v>
      </c>
      <c r="AV353" s="80"/>
      <c r="AW353" s="84" t="s">
        <v>4390</v>
      </c>
      <c r="AX353" s="80"/>
      <c r="AY353" s="80"/>
      <c r="AZ353" s="80"/>
      <c r="BA353" s="80"/>
      <c r="BB353" s="80"/>
      <c r="BC353" s="80"/>
      <c r="BD353" s="80"/>
      <c r="BE353" s="80"/>
      <c r="BF353" s="80"/>
      <c r="BG353" s="80"/>
      <c r="BH353" s="80"/>
      <c r="BI353" s="80"/>
      <c r="BJ353" s="80"/>
      <c r="BK353" s="80"/>
      <c r="BL353" s="80"/>
      <c r="BM353" s="80"/>
      <c r="BN353" s="80"/>
      <c r="BO353" s="80"/>
      <c r="BP353" s="80"/>
      <c r="BQ353" s="80"/>
      <c r="BR353" s="80"/>
      <c r="BS353" s="80"/>
      <c r="BT353" s="80"/>
    </row>
    <row r="354" spans="1:96" s="144" customFormat="1" ht="25.15" customHeight="1" outlineLevel="1" x14ac:dyDescent="0.25">
      <c r="A354" s="9" t="s">
        <v>202</v>
      </c>
      <c r="B354" s="80" t="s">
        <v>4365</v>
      </c>
      <c r="C354" s="80"/>
      <c r="D354" s="80"/>
      <c r="E354" s="80" t="s">
        <v>33</v>
      </c>
      <c r="F354" s="80" t="s">
        <v>1341</v>
      </c>
      <c r="G354" s="80" t="s">
        <v>85</v>
      </c>
      <c r="H354" s="80" t="s">
        <v>12</v>
      </c>
      <c r="I354" s="80"/>
      <c r="J354" s="1"/>
      <c r="K354" s="80" t="s">
        <v>30</v>
      </c>
      <c r="L354" s="1"/>
      <c r="M354" s="80" t="s">
        <v>1367</v>
      </c>
      <c r="N354" s="83" t="s">
        <v>4383</v>
      </c>
      <c r="O354" s="80">
        <v>3528</v>
      </c>
      <c r="P354" s="80">
        <v>1908</v>
      </c>
      <c r="Q354" s="80">
        <v>2050</v>
      </c>
      <c r="R354" s="80"/>
      <c r="S354" s="80">
        <v>3016</v>
      </c>
      <c r="T354" s="80">
        <v>2050</v>
      </c>
      <c r="U354" s="80">
        <v>6323</v>
      </c>
      <c r="V354" s="80">
        <v>875</v>
      </c>
      <c r="W354" s="80">
        <v>3450</v>
      </c>
      <c r="X354" s="80">
        <v>1724</v>
      </c>
      <c r="Y354" s="80"/>
      <c r="Z354" s="80">
        <v>5</v>
      </c>
      <c r="AA354" s="80" t="s">
        <v>1371</v>
      </c>
      <c r="AB354" s="80">
        <v>3500</v>
      </c>
      <c r="AC354" s="80">
        <v>955</v>
      </c>
      <c r="AD354" s="80"/>
      <c r="AE354" s="80"/>
      <c r="AF354" s="80"/>
      <c r="AG354" s="80"/>
      <c r="AH354" s="80" t="s">
        <v>1291</v>
      </c>
      <c r="AI354" s="80" t="s">
        <v>1353</v>
      </c>
      <c r="AJ354" s="80"/>
      <c r="AK354" s="80" t="s">
        <v>1354</v>
      </c>
      <c r="AL354" s="80"/>
      <c r="AM354" s="80" t="s">
        <v>1368</v>
      </c>
      <c r="AN354" s="80"/>
      <c r="AO354" s="80" t="s">
        <v>1364</v>
      </c>
      <c r="AP354" s="80"/>
      <c r="AQ354" s="80" t="s">
        <v>1365</v>
      </c>
      <c r="AR354" s="80"/>
      <c r="AS354" s="80"/>
      <c r="AT354" s="80"/>
      <c r="AU354" s="80" t="s">
        <v>1372</v>
      </c>
      <c r="AV354" s="80"/>
      <c r="AW354" s="84" t="s">
        <v>4390</v>
      </c>
      <c r="AX354" s="80"/>
      <c r="AY354" s="80"/>
      <c r="AZ354" s="80"/>
      <c r="BA354" s="80"/>
      <c r="BB354" s="80"/>
      <c r="BC354" s="80"/>
      <c r="BD354" s="80"/>
      <c r="BE354" s="80"/>
      <c r="BF354" s="80"/>
      <c r="BG354" s="80"/>
      <c r="BH354" s="80"/>
      <c r="BI354" s="80"/>
      <c r="BJ354" s="80"/>
      <c r="BK354" s="80"/>
      <c r="BL354" s="80"/>
      <c r="BM354" s="80"/>
      <c r="BN354" s="80"/>
      <c r="BO354" s="80"/>
      <c r="BP354" s="80"/>
      <c r="BQ354" s="80"/>
      <c r="BR354" s="80"/>
      <c r="BS354" s="80"/>
      <c r="BT354" s="80"/>
    </row>
    <row r="355" spans="1:96" s="144" customFormat="1" ht="25.15" customHeight="1" outlineLevel="1" x14ac:dyDescent="0.25">
      <c r="A355" s="9" t="s">
        <v>202</v>
      </c>
      <c r="B355" s="80" t="s">
        <v>4365</v>
      </c>
      <c r="C355" s="80"/>
      <c r="D355" s="80"/>
      <c r="E355" s="80" t="s">
        <v>33</v>
      </c>
      <c r="F355" s="80" t="s">
        <v>1341</v>
      </c>
      <c r="G355" s="80" t="s">
        <v>455</v>
      </c>
      <c r="H355" s="80" t="s">
        <v>29</v>
      </c>
      <c r="I355" s="80"/>
      <c r="J355" s="1"/>
      <c r="K355" s="80" t="s">
        <v>30</v>
      </c>
      <c r="L355" s="1"/>
      <c r="M355" s="80" t="s">
        <v>1388</v>
      </c>
      <c r="N355" s="80" t="s">
        <v>4382</v>
      </c>
      <c r="O355" s="80">
        <v>4118</v>
      </c>
      <c r="P355" s="80">
        <v>2054</v>
      </c>
      <c r="Q355" s="80">
        <v>2200</v>
      </c>
      <c r="R355" s="80"/>
      <c r="S355" s="80">
        <v>3372</v>
      </c>
      <c r="T355" s="80">
        <v>2200</v>
      </c>
      <c r="U355" s="80">
        <v>6873</v>
      </c>
      <c r="V355" s="80">
        <v>1080</v>
      </c>
      <c r="W355" s="80">
        <v>4100</v>
      </c>
      <c r="X355" s="80">
        <v>1725</v>
      </c>
      <c r="Y355" s="80"/>
      <c r="Z355" s="80">
        <v>8</v>
      </c>
      <c r="AA355" s="80" t="s">
        <v>1389</v>
      </c>
      <c r="AB355" s="80">
        <v>7200</v>
      </c>
      <c r="AC355" s="80">
        <v>3075</v>
      </c>
      <c r="AD355" s="80"/>
      <c r="AE355" s="80"/>
      <c r="AF355" s="80"/>
      <c r="AG355" s="80"/>
      <c r="AH355" s="80">
        <v>18.5</v>
      </c>
      <c r="AI355" s="80" t="s">
        <v>1390</v>
      </c>
      <c r="AJ355" s="80"/>
      <c r="AK355" s="80" t="s">
        <v>1391</v>
      </c>
      <c r="AL355" s="80"/>
      <c r="AM355" s="80" t="s">
        <v>1392</v>
      </c>
      <c r="AN355" s="80"/>
      <c r="AO355" s="80" t="s">
        <v>1393</v>
      </c>
      <c r="AP355" s="80"/>
      <c r="AQ355" s="80" t="s">
        <v>1394</v>
      </c>
      <c r="AR355" s="80"/>
      <c r="AS355" s="80"/>
      <c r="AT355" s="80"/>
      <c r="AU355" s="80" t="s">
        <v>1395</v>
      </c>
      <c r="AV355" s="80"/>
      <c r="AW355" s="84" t="s">
        <v>4390</v>
      </c>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row>
    <row r="356" spans="1:96" s="144" customFormat="1" ht="25.15" customHeight="1" outlineLevel="1" x14ac:dyDescent="0.25">
      <c r="A356" s="9" t="s">
        <v>202</v>
      </c>
      <c r="B356" s="80" t="s">
        <v>4365</v>
      </c>
      <c r="C356" s="80"/>
      <c r="D356" s="80"/>
      <c r="E356" s="80" t="s">
        <v>33</v>
      </c>
      <c r="F356" s="80" t="s">
        <v>1341</v>
      </c>
      <c r="G356" s="80" t="s">
        <v>455</v>
      </c>
      <c r="H356" s="80" t="s">
        <v>29</v>
      </c>
      <c r="I356" s="80" t="s">
        <v>7</v>
      </c>
      <c r="J356" s="1"/>
      <c r="K356" s="80" t="s">
        <v>30</v>
      </c>
      <c r="L356" s="1"/>
      <c r="M356" s="80" t="s">
        <v>1388</v>
      </c>
      <c r="N356" s="80" t="s">
        <v>4385</v>
      </c>
      <c r="O356" s="80">
        <v>4118</v>
      </c>
      <c r="P356" s="80">
        <v>2054</v>
      </c>
      <c r="Q356" s="80">
        <v>2200</v>
      </c>
      <c r="R356" s="80"/>
      <c r="S356" s="80">
        <v>3372</v>
      </c>
      <c r="T356" s="80">
        <v>2200</v>
      </c>
      <c r="U356" s="80">
        <v>7073</v>
      </c>
      <c r="V356" s="80">
        <v>1080</v>
      </c>
      <c r="W356" s="80">
        <v>4100</v>
      </c>
      <c r="X356" s="80">
        <v>1925</v>
      </c>
      <c r="Y356" s="80"/>
      <c r="Z356" s="80">
        <v>8</v>
      </c>
      <c r="AA356" s="80" t="s">
        <v>1396</v>
      </c>
      <c r="AB356" s="80">
        <v>7200</v>
      </c>
      <c r="AC356" s="80">
        <v>2830</v>
      </c>
      <c r="AD356" s="80"/>
      <c r="AE356" s="80"/>
      <c r="AF356" s="80"/>
      <c r="AG356" s="80"/>
      <c r="AH356" s="80">
        <v>18.5</v>
      </c>
      <c r="AI356" s="80" t="s">
        <v>1390</v>
      </c>
      <c r="AJ356" s="80"/>
      <c r="AK356" s="80" t="s">
        <v>1391</v>
      </c>
      <c r="AL356" s="80"/>
      <c r="AM356" s="80" t="s">
        <v>1392</v>
      </c>
      <c r="AN356" s="80"/>
      <c r="AO356" s="80" t="s">
        <v>1397</v>
      </c>
      <c r="AP356" s="80"/>
      <c r="AQ356" s="80" t="s">
        <v>1398</v>
      </c>
      <c r="AR356" s="80"/>
      <c r="AS356" s="80" t="s">
        <v>1381</v>
      </c>
      <c r="AT356" s="80"/>
      <c r="AU356" s="80" t="s">
        <v>1399</v>
      </c>
      <c r="AV356" s="80"/>
      <c r="AW356" s="84" t="s">
        <v>4390</v>
      </c>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row>
    <row r="357" spans="1:96" s="144" customFormat="1" ht="25.15" customHeight="1" outlineLevel="1" x14ac:dyDescent="0.25">
      <c r="A357" s="9" t="s">
        <v>202</v>
      </c>
      <c r="B357" s="80" t="s">
        <v>4365</v>
      </c>
      <c r="C357" s="80"/>
      <c r="D357" s="80"/>
      <c r="E357" s="80" t="s">
        <v>469</v>
      </c>
      <c r="F357" s="80" t="s">
        <v>1578</v>
      </c>
      <c r="G357" s="80" t="s">
        <v>41</v>
      </c>
      <c r="H357" s="80" t="s">
        <v>29</v>
      </c>
      <c r="I357" s="80" t="s">
        <v>7</v>
      </c>
      <c r="J357" s="1"/>
      <c r="K357" s="80" t="s">
        <v>30</v>
      </c>
      <c r="L357" s="1"/>
      <c r="M357" s="80" t="s">
        <v>1579</v>
      </c>
      <c r="N357" s="80" t="s">
        <v>4382</v>
      </c>
      <c r="O357" s="80">
        <v>6590</v>
      </c>
      <c r="P357" s="80">
        <v>2454</v>
      </c>
      <c r="Q357" s="80">
        <v>2400</v>
      </c>
      <c r="R357" s="80"/>
      <c r="S357" s="80">
        <v>3675</v>
      </c>
      <c r="T357" s="80">
        <v>2600</v>
      </c>
      <c r="U357" s="80">
        <v>8725</v>
      </c>
      <c r="V357" s="80">
        <v>1160</v>
      </c>
      <c r="W357" s="80">
        <v>4700</v>
      </c>
      <c r="X357" s="80">
        <v>2700</v>
      </c>
      <c r="Y357" s="80"/>
      <c r="Z357" s="80">
        <v>15</v>
      </c>
      <c r="AA357" s="80" t="s">
        <v>1580</v>
      </c>
      <c r="AB357" s="80">
        <v>16000</v>
      </c>
      <c r="AC357" s="80">
        <v>5535</v>
      </c>
      <c r="AD357" s="80"/>
      <c r="AE357" s="80"/>
      <c r="AF357" s="80"/>
      <c r="AG357" s="80"/>
      <c r="AH357" s="80" t="s">
        <v>161</v>
      </c>
      <c r="AI357" s="80" t="s">
        <v>1581</v>
      </c>
      <c r="AJ357" s="80"/>
      <c r="AK357" s="80" t="s">
        <v>1582</v>
      </c>
      <c r="AL357" s="80"/>
      <c r="AM357" s="80" t="s">
        <v>1583</v>
      </c>
      <c r="AN357" s="80"/>
      <c r="AO357" s="80" t="s">
        <v>1584</v>
      </c>
      <c r="AP357" s="80"/>
      <c r="AQ357" s="80" t="s">
        <v>1585</v>
      </c>
      <c r="AR357" s="80"/>
      <c r="AS357" s="80" t="s">
        <v>1444</v>
      </c>
      <c r="AT357" s="80"/>
      <c r="AU357" s="80" t="s">
        <v>1570</v>
      </c>
      <c r="AV357" s="80"/>
      <c r="AW357" s="84" t="s">
        <v>4390</v>
      </c>
      <c r="AX357" s="80"/>
      <c r="AY357" s="80"/>
      <c r="AZ357" s="80"/>
      <c r="BA357" s="80"/>
      <c r="BB357" s="80"/>
      <c r="BC357" s="80"/>
      <c r="BD357" s="80"/>
      <c r="BE357" s="80"/>
      <c r="BF357" s="80"/>
      <c r="BG357" s="80"/>
      <c r="BH357" s="80"/>
      <c r="BI357" s="80"/>
      <c r="BJ357" s="80"/>
      <c r="BK357" s="80"/>
      <c r="BL357" s="80"/>
      <c r="BM357" s="80"/>
      <c r="BN357" s="80"/>
      <c r="BO357" s="80"/>
      <c r="BP357" s="80"/>
      <c r="BQ357" s="80"/>
      <c r="BR357" s="80"/>
      <c r="BS357" s="80"/>
      <c r="BT357" s="80"/>
    </row>
    <row r="358" spans="1:96" s="150" customFormat="1" ht="25.15" customHeight="1" outlineLevel="1" x14ac:dyDescent="0.25">
      <c r="A358" s="9" t="s">
        <v>202</v>
      </c>
      <c r="B358" s="80" t="s">
        <v>4365</v>
      </c>
      <c r="C358" s="80"/>
      <c r="D358" s="80"/>
      <c r="E358" s="80" t="s">
        <v>469</v>
      </c>
      <c r="F358" s="80" t="s">
        <v>1578</v>
      </c>
      <c r="G358" s="80" t="s">
        <v>41</v>
      </c>
      <c r="H358" s="80" t="s">
        <v>12</v>
      </c>
      <c r="I358" s="80" t="s">
        <v>7</v>
      </c>
      <c r="J358" s="1"/>
      <c r="K358" s="80" t="s">
        <v>30</v>
      </c>
      <c r="L358" s="1"/>
      <c r="M358" s="80" t="s">
        <v>1579</v>
      </c>
      <c r="N358" s="80" t="s">
        <v>4385</v>
      </c>
      <c r="O358" s="80">
        <v>6590</v>
      </c>
      <c r="P358" s="80">
        <v>2454</v>
      </c>
      <c r="Q358" s="80">
        <v>2400</v>
      </c>
      <c r="R358" s="80"/>
      <c r="S358" s="80">
        <v>3675</v>
      </c>
      <c r="T358" s="80">
        <v>2600</v>
      </c>
      <c r="U358" s="80">
        <v>8725</v>
      </c>
      <c r="V358" s="80">
        <v>1160</v>
      </c>
      <c r="W358" s="80">
        <v>4700</v>
      </c>
      <c r="X358" s="80">
        <v>2700</v>
      </c>
      <c r="Y358" s="80"/>
      <c r="Z358" s="80">
        <v>15</v>
      </c>
      <c r="AA358" s="80" t="s">
        <v>1586</v>
      </c>
      <c r="AB358" s="80">
        <v>16000</v>
      </c>
      <c r="AC358" s="80">
        <v>5205</v>
      </c>
      <c r="AD358" s="80"/>
      <c r="AE358" s="80"/>
      <c r="AF358" s="80"/>
      <c r="AG358" s="80"/>
      <c r="AH358" s="80" t="s">
        <v>161</v>
      </c>
      <c r="AI358" s="80" t="s">
        <v>1581</v>
      </c>
      <c r="AJ358" s="80"/>
      <c r="AK358" s="80" t="s">
        <v>1582</v>
      </c>
      <c r="AL358" s="80"/>
      <c r="AM358" s="80" t="s">
        <v>1583</v>
      </c>
      <c r="AN358" s="80"/>
      <c r="AO358" s="80" t="s">
        <v>1445</v>
      </c>
      <c r="AP358" s="80"/>
      <c r="AQ358" s="80" t="s">
        <v>1587</v>
      </c>
      <c r="AR358" s="80"/>
      <c r="AS358" s="80" t="s">
        <v>1444</v>
      </c>
      <c r="AT358" s="80"/>
      <c r="AU358" s="80" t="s">
        <v>1588</v>
      </c>
      <c r="AV358" s="80"/>
      <c r="AW358" s="84" t="s">
        <v>4390</v>
      </c>
      <c r="AX358" s="80"/>
      <c r="AY358" s="80"/>
      <c r="AZ358" s="80"/>
      <c r="BA358" s="80"/>
      <c r="BB358" s="80"/>
      <c r="BC358" s="80"/>
      <c r="BD358" s="80"/>
      <c r="BE358" s="80"/>
      <c r="BF358" s="80"/>
      <c r="BG358" s="80"/>
      <c r="BH358" s="80"/>
      <c r="BI358" s="80"/>
      <c r="BJ358" s="80"/>
      <c r="BK358" s="80"/>
      <c r="BL358" s="80"/>
      <c r="BM358" s="80"/>
      <c r="BN358" s="80"/>
      <c r="BO358" s="80"/>
      <c r="BP358" s="80"/>
      <c r="BQ358" s="80"/>
      <c r="BR358" s="80"/>
      <c r="BS358" s="80"/>
      <c r="BT358" s="80"/>
    </row>
    <row r="359" spans="1:96" s="144" customFormat="1" ht="25.15" customHeight="1" outlineLevel="1" x14ac:dyDescent="0.25">
      <c r="A359" s="9" t="s">
        <v>202</v>
      </c>
      <c r="B359" s="80" t="s">
        <v>4365</v>
      </c>
      <c r="C359" s="80"/>
      <c r="D359" s="80"/>
      <c r="E359" s="80" t="s">
        <v>469</v>
      </c>
      <c r="F359" s="80" t="s">
        <v>1578</v>
      </c>
      <c r="G359" s="80" t="s">
        <v>42</v>
      </c>
      <c r="H359" s="80" t="s">
        <v>29</v>
      </c>
      <c r="I359" s="80" t="s">
        <v>7</v>
      </c>
      <c r="J359" s="1"/>
      <c r="K359" s="80" t="s">
        <v>30</v>
      </c>
      <c r="L359" s="1"/>
      <c r="M359" s="80" t="s">
        <v>4363</v>
      </c>
      <c r="N359" s="80" t="s">
        <v>4382</v>
      </c>
      <c r="O359" s="80">
        <v>6590</v>
      </c>
      <c r="P359" s="80">
        <v>2454</v>
      </c>
      <c r="Q359" s="80">
        <v>2400</v>
      </c>
      <c r="R359" s="80"/>
      <c r="S359" s="80">
        <v>3675</v>
      </c>
      <c r="T359" s="80">
        <v>2600</v>
      </c>
      <c r="U359" s="80">
        <v>8725</v>
      </c>
      <c r="V359" s="80">
        <v>1160</v>
      </c>
      <c r="W359" s="80">
        <v>4700</v>
      </c>
      <c r="X359" s="80">
        <v>2700</v>
      </c>
      <c r="Y359" s="80"/>
      <c r="Z359" s="80">
        <v>15</v>
      </c>
      <c r="AA359" s="80" t="s">
        <v>1580</v>
      </c>
      <c r="AB359" s="80">
        <v>16000</v>
      </c>
      <c r="AC359" s="80">
        <v>5535</v>
      </c>
      <c r="AD359" s="80"/>
      <c r="AE359" s="80"/>
      <c r="AF359" s="80"/>
      <c r="AG359" s="80"/>
      <c r="AH359" s="80" t="s">
        <v>161</v>
      </c>
      <c r="AI359" s="80" t="s">
        <v>1581</v>
      </c>
      <c r="AJ359" s="80"/>
      <c r="AK359" s="80" t="s">
        <v>1582</v>
      </c>
      <c r="AL359" s="80"/>
      <c r="AM359" s="80" t="s">
        <v>1583</v>
      </c>
      <c r="AN359" s="80"/>
      <c r="AO359" s="80" t="s">
        <v>1584</v>
      </c>
      <c r="AP359" s="80"/>
      <c r="AQ359" s="80" t="s">
        <v>1585</v>
      </c>
      <c r="AR359" s="80"/>
      <c r="AS359" s="80" t="s">
        <v>1444</v>
      </c>
      <c r="AT359" s="80"/>
      <c r="AU359" s="80" t="s">
        <v>1570</v>
      </c>
      <c r="AV359" s="80"/>
      <c r="AW359" s="84" t="s">
        <v>4390</v>
      </c>
      <c r="AX359" s="80"/>
      <c r="AY359" s="80"/>
      <c r="AZ359" s="80"/>
      <c r="BA359" s="80"/>
      <c r="BB359" s="80"/>
      <c r="BC359" s="80"/>
      <c r="BD359" s="80"/>
      <c r="BE359" s="80"/>
      <c r="BF359" s="80"/>
      <c r="BG359" s="80"/>
      <c r="BH359" s="80"/>
      <c r="BI359" s="80"/>
      <c r="BJ359" s="80"/>
      <c r="BK359" s="80"/>
      <c r="BL359" s="80"/>
      <c r="BM359" s="80"/>
      <c r="BN359" s="80"/>
      <c r="BO359" s="80"/>
      <c r="BP359" s="80"/>
      <c r="BQ359" s="80"/>
      <c r="BR359" s="80"/>
      <c r="BS359" s="80"/>
      <c r="BT359" s="80"/>
    </row>
    <row r="360" spans="1:96" s="150" customFormat="1" ht="25.15" customHeight="1" outlineLevel="1" x14ac:dyDescent="0.25">
      <c r="A360" s="9" t="s">
        <v>202</v>
      </c>
      <c r="B360" s="80" t="s">
        <v>4365</v>
      </c>
      <c r="C360" s="80"/>
      <c r="D360" s="80"/>
      <c r="E360" s="80" t="s">
        <v>469</v>
      </c>
      <c r="F360" s="80" t="s">
        <v>1578</v>
      </c>
      <c r="G360" s="80" t="s">
        <v>42</v>
      </c>
      <c r="H360" s="80" t="s">
        <v>12</v>
      </c>
      <c r="I360" s="80" t="s">
        <v>7</v>
      </c>
      <c r="J360" s="1"/>
      <c r="K360" s="80" t="s">
        <v>30</v>
      </c>
      <c r="L360" s="1"/>
      <c r="M360" s="80" t="s">
        <v>4363</v>
      </c>
      <c r="N360" s="80" t="s">
        <v>4385</v>
      </c>
      <c r="O360" s="80">
        <v>6590</v>
      </c>
      <c r="P360" s="80">
        <v>2454</v>
      </c>
      <c r="Q360" s="80">
        <v>2400</v>
      </c>
      <c r="R360" s="80"/>
      <c r="S360" s="80">
        <v>3675</v>
      </c>
      <c r="T360" s="80">
        <v>2600</v>
      </c>
      <c r="U360" s="80">
        <v>8725</v>
      </c>
      <c r="V360" s="80">
        <v>1160</v>
      </c>
      <c r="W360" s="80">
        <v>4700</v>
      </c>
      <c r="X360" s="80">
        <v>2700</v>
      </c>
      <c r="Y360" s="80"/>
      <c r="Z360" s="80">
        <v>15</v>
      </c>
      <c r="AA360" s="80" t="s">
        <v>1586</v>
      </c>
      <c r="AB360" s="80">
        <v>16000</v>
      </c>
      <c r="AC360" s="80">
        <v>5205</v>
      </c>
      <c r="AD360" s="80"/>
      <c r="AE360" s="80"/>
      <c r="AF360" s="80"/>
      <c r="AG360" s="80"/>
      <c r="AH360" s="80" t="s">
        <v>161</v>
      </c>
      <c r="AI360" s="80" t="s">
        <v>1581</v>
      </c>
      <c r="AJ360" s="80"/>
      <c r="AK360" s="80" t="s">
        <v>1582</v>
      </c>
      <c r="AL360" s="80"/>
      <c r="AM360" s="80" t="s">
        <v>1583</v>
      </c>
      <c r="AN360" s="80"/>
      <c r="AO360" s="80" t="s">
        <v>1445</v>
      </c>
      <c r="AP360" s="80"/>
      <c r="AQ360" s="80" t="s">
        <v>1587</v>
      </c>
      <c r="AR360" s="80"/>
      <c r="AS360" s="80" t="s">
        <v>1444</v>
      </c>
      <c r="AT360" s="80"/>
      <c r="AU360" s="80" t="s">
        <v>1588</v>
      </c>
      <c r="AV360" s="80"/>
      <c r="AW360" s="84" t="s">
        <v>4390</v>
      </c>
      <c r="AX360" s="80"/>
      <c r="AY360" s="80"/>
      <c r="AZ360" s="80"/>
      <c r="BA360" s="80"/>
      <c r="BB360" s="80"/>
      <c r="BC360" s="80"/>
      <c r="BD360" s="80"/>
      <c r="BE360" s="80"/>
      <c r="BF360" s="80"/>
      <c r="BG360" s="80"/>
      <c r="BH360" s="80"/>
      <c r="BI360" s="80"/>
      <c r="BJ360" s="80"/>
      <c r="BK360" s="80"/>
      <c r="BL360" s="80"/>
      <c r="BM360" s="80"/>
      <c r="BN360" s="80"/>
      <c r="BO360" s="80"/>
      <c r="BP360" s="80"/>
      <c r="BQ360" s="80"/>
      <c r="BR360" s="80"/>
      <c r="BS360" s="80"/>
      <c r="BT360" s="80"/>
    </row>
    <row r="361" spans="1:96" s="144" customFormat="1" ht="25.15" customHeight="1" outlineLevel="1" x14ac:dyDescent="0.25">
      <c r="A361" s="9" t="s">
        <v>202</v>
      </c>
      <c r="B361" s="80" t="s">
        <v>4365</v>
      </c>
      <c r="C361" s="80"/>
      <c r="D361" s="80"/>
      <c r="E361" s="80" t="s">
        <v>469</v>
      </c>
      <c r="F361" s="80" t="s">
        <v>1578</v>
      </c>
      <c r="G361" s="80" t="s">
        <v>43</v>
      </c>
      <c r="H361" s="80" t="s">
        <v>29</v>
      </c>
      <c r="I361" s="80" t="s">
        <v>7</v>
      </c>
      <c r="J361" s="1"/>
      <c r="K361" s="80" t="s">
        <v>30</v>
      </c>
      <c r="L361" s="1"/>
      <c r="M361" s="80" t="s">
        <v>4364</v>
      </c>
      <c r="N361" s="80" t="s">
        <v>4382</v>
      </c>
      <c r="O361" s="80">
        <v>6590</v>
      </c>
      <c r="P361" s="80">
        <v>2454</v>
      </c>
      <c r="Q361" s="80">
        <v>2400</v>
      </c>
      <c r="R361" s="80"/>
      <c r="S361" s="80">
        <v>3675</v>
      </c>
      <c r="T361" s="80">
        <v>2600</v>
      </c>
      <c r="U361" s="80">
        <v>8725</v>
      </c>
      <c r="V361" s="80">
        <v>1160</v>
      </c>
      <c r="W361" s="80">
        <v>4700</v>
      </c>
      <c r="X361" s="80">
        <v>2700</v>
      </c>
      <c r="Y361" s="80"/>
      <c r="Z361" s="80">
        <v>15</v>
      </c>
      <c r="AA361" s="80" t="s">
        <v>1580</v>
      </c>
      <c r="AB361" s="80">
        <v>16000</v>
      </c>
      <c r="AC361" s="80">
        <v>5535</v>
      </c>
      <c r="AD361" s="80"/>
      <c r="AE361" s="80"/>
      <c r="AF361" s="80"/>
      <c r="AG361" s="80"/>
      <c r="AH361" s="80" t="s">
        <v>161</v>
      </c>
      <c r="AI361" s="80" t="s">
        <v>1581</v>
      </c>
      <c r="AJ361" s="80"/>
      <c r="AK361" s="80" t="s">
        <v>1582</v>
      </c>
      <c r="AL361" s="80"/>
      <c r="AM361" s="80" t="s">
        <v>1583</v>
      </c>
      <c r="AN361" s="80"/>
      <c r="AO361" s="80" t="s">
        <v>1584</v>
      </c>
      <c r="AP361" s="80"/>
      <c r="AQ361" s="80" t="s">
        <v>1585</v>
      </c>
      <c r="AR361" s="80"/>
      <c r="AS361" s="80" t="s">
        <v>1444</v>
      </c>
      <c r="AT361" s="80"/>
      <c r="AU361" s="80" t="s">
        <v>1570</v>
      </c>
      <c r="AV361" s="80"/>
      <c r="AW361" s="84" t="s">
        <v>4390</v>
      </c>
      <c r="AX361" s="80"/>
      <c r="AY361" s="80"/>
      <c r="AZ361" s="80"/>
      <c r="BA361" s="80"/>
      <c r="BB361" s="80"/>
      <c r="BC361" s="80"/>
      <c r="BD361" s="80"/>
      <c r="BE361" s="80"/>
      <c r="BF361" s="80"/>
      <c r="BG361" s="80"/>
      <c r="BH361" s="80"/>
      <c r="BI361" s="80"/>
      <c r="BJ361" s="80"/>
      <c r="BK361" s="80"/>
      <c r="BL361" s="80"/>
      <c r="BM361" s="80"/>
      <c r="BN361" s="80"/>
      <c r="BO361" s="80"/>
      <c r="BP361" s="80"/>
      <c r="BQ361" s="80"/>
      <c r="BR361" s="80"/>
      <c r="BS361" s="80"/>
      <c r="BT361" s="80"/>
    </row>
    <row r="362" spans="1:96" s="150" customFormat="1" ht="25.15" customHeight="1" outlineLevel="1" x14ac:dyDescent="0.25">
      <c r="A362" s="9" t="s">
        <v>202</v>
      </c>
      <c r="B362" s="80" t="s">
        <v>4365</v>
      </c>
      <c r="C362" s="80"/>
      <c r="D362" s="80"/>
      <c r="E362" s="80" t="s">
        <v>469</v>
      </c>
      <c r="F362" s="80" t="s">
        <v>1578</v>
      </c>
      <c r="G362" s="80" t="s">
        <v>43</v>
      </c>
      <c r="H362" s="80" t="s">
        <v>12</v>
      </c>
      <c r="I362" s="80" t="s">
        <v>7</v>
      </c>
      <c r="J362" s="1"/>
      <c r="K362" s="80" t="s">
        <v>30</v>
      </c>
      <c r="L362" s="1"/>
      <c r="M362" s="80" t="s">
        <v>4364</v>
      </c>
      <c r="N362" s="80" t="s">
        <v>4385</v>
      </c>
      <c r="O362" s="80">
        <v>6590</v>
      </c>
      <c r="P362" s="80">
        <v>2454</v>
      </c>
      <c r="Q362" s="80">
        <v>2400</v>
      </c>
      <c r="R362" s="80"/>
      <c r="S362" s="80">
        <v>3675</v>
      </c>
      <c r="T362" s="80">
        <v>2600</v>
      </c>
      <c r="U362" s="80">
        <v>8725</v>
      </c>
      <c r="V362" s="80">
        <v>1160</v>
      </c>
      <c r="W362" s="80">
        <v>4700</v>
      </c>
      <c r="X362" s="80">
        <v>2700</v>
      </c>
      <c r="Y362" s="80"/>
      <c r="Z362" s="80">
        <v>15</v>
      </c>
      <c r="AA362" s="80" t="s">
        <v>1586</v>
      </c>
      <c r="AB362" s="80">
        <v>16000</v>
      </c>
      <c r="AC362" s="80">
        <v>5205</v>
      </c>
      <c r="AD362" s="80"/>
      <c r="AE362" s="80"/>
      <c r="AF362" s="80"/>
      <c r="AG362" s="80"/>
      <c r="AH362" s="80" t="s">
        <v>161</v>
      </c>
      <c r="AI362" s="80" t="s">
        <v>1581</v>
      </c>
      <c r="AJ362" s="80"/>
      <c r="AK362" s="80" t="s">
        <v>1582</v>
      </c>
      <c r="AL362" s="80"/>
      <c r="AM362" s="80" t="s">
        <v>1583</v>
      </c>
      <c r="AN362" s="80"/>
      <c r="AO362" s="80" t="s">
        <v>1445</v>
      </c>
      <c r="AP362" s="80"/>
      <c r="AQ362" s="80" t="s">
        <v>1587</v>
      </c>
      <c r="AR362" s="80"/>
      <c r="AS362" s="80" t="s">
        <v>1444</v>
      </c>
      <c r="AT362" s="80"/>
      <c r="AU362" s="80" t="s">
        <v>1588</v>
      </c>
      <c r="AV362" s="80"/>
      <c r="AW362" s="84" t="s">
        <v>4390</v>
      </c>
      <c r="AX362" s="80"/>
      <c r="AY362" s="80"/>
      <c r="AZ362" s="80"/>
      <c r="BA362" s="80"/>
      <c r="BB362" s="80"/>
      <c r="BC362" s="80"/>
      <c r="BD362" s="80"/>
      <c r="BE362" s="80"/>
      <c r="BF362" s="80"/>
      <c r="BG362" s="80"/>
      <c r="BH362" s="80"/>
      <c r="BI362" s="80"/>
      <c r="BJ362" s="80"/>
      <c r="BK362" s="80"/>
      <c r="BL362" s="80"/>
      <c r="BM362" s="80"/>
      <c r="BN362" s="80"/>
      <c r="BO362" s="80"/>
      <c r="BP362" s="80"/>
      <c r="BQ362" s="80"/>
      <c r="BR362" s="80"/>
      <c r="BS362" s="80"/>
      <c r="BT362" s="80"/>
    </row>
    <row r="363" spans="1:96" s="123" customFormat="1" ht="25.15" customHeight="1" x14ac:dyDescent="0.25">
      <c r="A363" s="1" t="s">
        <v>202</v>
      </c>
      <c r="B363" s="80" t="s">
        <v>3290</v>
      </c>
      <c r="C363" s="80"/>
      <c r="D363" s="162"/>
      <c r="E363" s="80" t="s">
        <v>448</v>
      </c>
      <c r="F363" s="80" t="s">
        <v>1151</v>
      </c>
      <c r="G363" s="80" t="s">
        <v>1152</v>
      </c>
      <c r="H363" s="80" t="s">
        <v>29</v>
      </c>
      <c r="I363" s="80"/>
      <c r="J363" s="80"/>
      <c r="K363" s="80" t="s">
        <v>1153</v>
      </c>
      <c r="L363" s="80"/>
      <c r="M363" s="80" t="s">
        <v>3291</v>
      </c>
      <c r="N363" s="83" t="s">
        <v>63</v>
      </c>
      <c r="O363" s="80">
        <v>1495</v>
      </c>
      <c r="P363" s="80">
        <v>1245</v>
      </c>
      <c r="Q363" s="80">
        <v>1040</v>
      </c>
      <c r="R363" s="80">
        <v>980</v>
      </c>
      <c r="S363" s="80">
        <v>1860</v>
      </c>
      <c r="T363" s="80">
        <v>1848</v>
      </c>
      <c r="U363" s="80">
        <v>4403</v>
      </c>
      <c r="V363" s="80">
        <v>640</v>
      </c>
      <c r="W363" s="80">
        <v>2785</v>
      </c>
      <c r="X363" s="80">
        <v>726</v>
      </c>
      <c r="Y363" s="80"/>
      <c r="Z363" s="80"/>
      <c r="AA363" s="80" t="s">
        <v>1155</v>
      </c>
      <c r="AB363" s="80">
        <v>2020</v>
      </c>
      <c r="AC363" s="80"/>
      <c r="AD363" s="80"/>
      <c r="AE363" s="80"/>
      <c r="AF363" s="80"/>
      <c r="AG363" s="80"/>
      <c r="AH363" s="80">
        <v>1.7</v>
      </c>
      <c r="AI363" s="80" t="s">
        <v>3292</v>
      </c>
      <c r="AJ363" s="37" t="s">
        <v>2868</v>
      </c>
      <c r="AK363" s="80" t="s">
        <v>3293</v>
      </c>
      <c r="AL363" s="37" t="s">
        <v>2658</v>
      </c>
      <c r="AM363" s="90" t="s">
        <v>1158</v>
      </c>
      <c r="AN363" s="37" t="s">
        <v>2902</v>
      </c>
      <c r="AO363" s="90" t="s">
        <v>3294</v>
      </c>
      <c r="AP363" s="37" t="s">
        <v>2960</v>
      </c>
      <c r="AQ363" s="90" t="s">
        <v>1160</v>
      </c>
      <c r="AR363" s="37" t="s">
        <v>2761</v>
      </c>
      <c r="AS363" s="80"/>
      <c r="AT363" s="80"/>
      <c r="AU363" s="80" t="s">
        <v>1161</v>
      </c>
      <c r="AV363" s="80"/>
      <c r="AW363" s="80"/>
      <c r="AX363" s="80"/>
      <c r="AY363" s="80"/>
      <c r="AZ363" s="80"/>
      <c r="BA363" s="161"/>
      <c r="BB363" s="80"/>
      <c r="BC363" s="80"/>
      <c r="BD363" s="80"/>
      <c r="BE363" s="91"/>
      <c r="BF363" s="91"/>
      <c r="BG363" s="91"/>
      <c r="BH363" s="91"/>
      <c r="BI363" s="91"/>
      <c r="BJ363" s="91"/>
      <c r="BK363" s="91"/>
      <c r="BL363" s="91"/>
      <c r="BM363" s="91"/>
      <c r="BN363" s="91"/>
      <c r="BO363" s="91"/>
      <c r="BP363" s="91"/>
      <c r="BQ363" s="91"/>
      <c r="BR363" s="91"/>
      <c r="BS363" s="91"/>
      <c r="BT363" s="91"/>
      <c r="BU363" s="91"/>
      <c r="BV363" s="91"/>
      <c r="BW363" s="91"/>
      <c r="BX363" s="91"/>
      <c r="BY363" s="91"/>
      <c r="CA363" s="122"/>
      <c r="CB363" s="111"/>
      <c r="CC363" s="201"/>
      <c r="CD363" s="202"/>
      <c r="CE363" s="147"/>
      <c r="CF363" s="143"/>
      <c r="CG363" s="163"/>
      <c r="CH363" s="143"/>
      <c r="CI363" s="143"/>
      <c r="CJ363" s="143"/>
      <c r="CK363" s="163"/>
      <c r="CL363" s="143"/>
      <c r="CM363" s="147"/>
      <c r="CN363" s="147"/>
      <c r="CO363" s="147"/>
      <c r="CP363" s="147"/>
      <c r="CQ363" s="147"/>
      <c r="CR363" s="147"/>
    </row>
    <row r="364" spans="1:96" s="123" customFormat="1" ht="25.15" customHeight="1" outlineLevel="1" x14ac:dyDescent="0.25">
      <c r="A364" s="1" t="s">
        <v>202</v>
      </c>
      <c r="B364" s="80" t="s">
        <v>3290</v>
      </c>
      <c r="C364" s="80"/>
      <c r="D364" s="162"/>
      <c r="E364" s="80" t="s">
        <v>448</v>
      </c>
      <c r="F364" s="80" t="s">
        <v>1151</v>
      </c>
      <c r="G364" s="80" t="s">
        <v>1152</v>
      </c>
      <c r="H364" s="80" t="s">
        <v>3312</v>
      </c>
      <c r="I364" s="80"/>
      <c r="J364" s="80"/>
      <c r="K364" s="80" t="s">
        <v>1153</v>
      </c>
      <c r="L364" s="80"/>
      <c r="M364" s="80" t="s">
        <v>3313</v>
      </c>
      <c r="N364" s="83" t="s">
        <v>63</v>
      </c>
      <c r="O364" s="80">
        <v>1495</v>
      </c>
      <c r="P364" s="80">
        <v>1245</v>
      </c>
      <c r="Q364" s="80">
        <v>1040</v>
      </c>
      <c r="R364" s="80">
        <v>980</v>
      </c>
      <c r="S364" s="80">
        <v>1796</v>
      </c>
      <c r="T364" s="80">
        <v>1848</v>
      </c>
      <c r="U364" s="80">
        <v>4403</v>
      </c>
      <c r="V364" s="80">
        <v>640</v>
      </c>
      <c r="W364" s="80">
        <v>2785</v>
      </c>
      <c r="X364" s="80">
        <v>726</v>
      </c>
      <c r="Y364" s="80"/>
      <c r="Z364" s="80"/>
      <c r="AA364" s="80" t="s">
        <v>3314</v>
      </c>
      <c r="AB364" s="80">
        <v>2020</v>
      </c>
      <c r="AC364" s="80"/>
      <c r="AD364" s="80"/>
      <c r="AE364" s="80"/>
      <c r="AF364" s="80"/>
      <c r="AG364" s="80"/>
      <c r="AH364" s="80">
        <v>1.7</v>
      </c>
      <c r="AI364" s="80" t="s">
        <v>3292</v>
      </c>
      <c r="AJ364" s="37" t="s">
        <v>2868</v>
      </c>
      <c r="AK364" s="80" t="s">
        <v>3293</v>
      </c>
      <c r="AL364" s="37" t="s">
        <v>2658</v>
      </c>
      <c r="AM364" s="90" t="s">
        <v>1158</v>
      </c>
      <c r="AN364" s="37" t="s">
        <v>2902</v>
      </c>
      <c r="AO364" s="90" t="s">
        <v>3315</v>
      </c>
      <c r="AP364" s="37" t="s">
        <v>2960</v>
      </c>
      <c r="AQ364" s="80"/>
      <c r="AR364" s="80"/>
      <c r="AS364" s="80"/>
      <c r="AT364" s="80"/>
      <c r="AU364" s="80" t="s">
        <v>3316</v>
      </c>
      <c r="AV364" s="80"/>
      <c r="AW364" s="80"/>
      <c r="AX364" s="80"/>
      <c r="AY364" s="80"/>
      <c r="AZ364" s="80"/>
      <c r="BA364" s="161"/>
      <c r="BB364" s="80"/>
      <c r="BC364" s="80"/>
      <c r="BD364" s="80"/>
      <c r="BE364" s="91"/>
      <c r="BF364" s="91"/>
      <c r="BG364" s="91"/>
      <c r="BH364" s="91"/>
      <c r="BI364" s="91"/>
      <c r="BJ364" s="91"/>
      <c r="BK364" s="91"/>
      <c r="BL364" s="91"/>
      <c r="BM364" s="91"/>
      <c r="BN364" s="91"/>
      <c r="BO364" s="91"/>
      <c r="BP364" s="91"/>
      <c r="BQ364" s="91"/>
      <c r="BR364" s="91"/>
      <c r="BS364" s="91"/>
      <c r="BT364" s="91"/>
      <c r="BU364" s="91"/>
      <c r="BV364" s="91"/>
      <c r="BW364" s="91"/>
      <c r="BX364" s="91"/>
      <c r="BY364" s="91"/>
      <c r="CA364" s="122"/>
      <c r="CB364" s="111"/>
      <c r="CC364" s="201"/>
      <c r="CD364" s="202"/>
      <c r="CE364" s="147"/>
      <c r="CF364" s="143"/>
      <c r="CG364" s="163"/>
      <c r="CH364" s="143"/>
      <c r="CI364" s="143"/>
      <c r="CJ364" s="143"/>
      <c r="CK364" s="163"/>
      <c r="CL364" s="143"/>
      <c r="CM364" s="147"/>
      <c r="CN364" s="147"/>
      <c r="CO364" s="147"/>
      <c r="CP364" s="147"/>
      <c r="CQ364" s="147"/>
      <c r="CR364" s="147"/>
    </row>
    <row r="365" spans="1:96" s="123" customFormat="1" ht="25.15" customHeight="1" outlineLevel="1" x14ac:dyDescent="0.25">
      <c r="A365" s="1" t="s">
        <v>202</v>
      </c>
      <c r="B365" s="80" t="s">
        <v>3290</v>
      </c>
      <c r="C365" s="80"/>
      <c r="D365" s="162"/>
      <c r="E365" s="80" t="s">
        <v>448</v>
      </c>
      <c r="F365" s="80" t="s">
        <v>449</v>
      </c>
      <c r="G365" s="80" t="s">
        <v>450</v>
      </c>
      <c r="H365" s="80" t="s">
        <v>29</v>
      </c>
      <c r="I365" s="80"/>
      <c r="J365" s="80"/>
      <c r="K365" s="80" t="s">
        <v>30</v>
      </c>
      <c r="L365" s="80"/>
      <c r="M365" s="80" t="s">
        <v>3327</v>
      </c>
      <c r="N365" s="83" t="s">
        <v>63</v>
      </c>
      <c r="O365" s="80">
        <v>2924</v>
      </c>
      <c r="P365" s="80">
        <v>1904</v>
      </c>
      <c r="Q365" s="80">
        <v>1950</v>
      </c>
      <c r="R365" s="80"/>
      <c r="S365" s="80">
        <v>2730</v>
      </c>
      <c r="T365" s="80">
        <v>2050</v>
      </c>
      <c r="U365" s="80">
        <v>5743</v>
      </c>
      <c r="V365" s="80">
        <v>690</v>
      </c>
      <c r="W365" s="80">
        <v>3450</v>
      </c>
      <c r="X365" s="80">
        <v>1345</v>
      </c>
      <c r="Y365" s="80"/>
      <c r="Z365" s="80"/>
      <c r="AA365" s="80" t="s">
        <v>500</v>
      </c>
      <c r="AB365" s="80">
        <v>3500</v>
      </c>
      <c r="AC365" s="80">
        <v>1170</v>
      </c>
      <c r="AD365" s="80"/>
      <c r="AE365" s="80"/>
      <c r="AF365" s="80"/>
      <c r="AG365" s="80"/>
      <c r="AH365" s="80" t="s">
        <v>501</v>
      </c>
      <c r="AI365" s="80" t="s">
        <v>3328</v>
      </c>
      <c r="AJ365" s="37" t="s">
        <v>2868</v>
      </c>
      <c r="AK365" s="80" t="s">
        <v>3329</v>
      </c>
      <c r="AL365" s="37" t="s">
        <v>2658</v>
      </c>
      <c r="AM365" s="90" t="s">
        <v>3330</v>
      </c>
      <c r="AN365" s="37" t="s">
        <v>2902</v>
      </c>
      <c r="AO365" s="90" t="s">
        <v>3331</v>
      </c>
      <c r="AP365" s="37" t="s">
        <v>2960</v>
      </c>
      <c r="AQ365" s="90" t="s">
        <v>1248</v>
      </c>
      <c r="AR365" s="37" t="s">
        <v>2761</v>
      </c>
      <c r="AS365" s="80"/>
      <c r="AT365" s="80"/>
      <c r="AU365" s="80" t="s">
        <v>502</v>
      </c>
      <c r="AV365" s="80"/>
      <c r="AW365" s="80"/>
      <c r="AX365" s="80"/>
      <c r="AY365" s="80"/>
      <c r="AZ365" s="80"/>
      <c r="BA365" s="161"/>
      <c r="BB365" s="80"/>
      <c r="BC365" s="80"/>
      <c r="BD365" s="80"/>
      <c r="BE365" s="91"/>
      <c r="BF365" s="91"/>
      <c r="BG365" s="91"/>
      <c r="BH365" s="91"/>
      <c r="BI365" s="91"/>
      <c r="BJ365" s="91"/>
      <c r="BK365" s="91"/>
      <c r="BL365" s="91"/>
      <c r="BM365" s="91"/>
      <c r="BN365" s="91"/>
      <c r="BO365" s="91"/>
      <c r="BP365" s="91"/>
      <c r="BQ365" s="91"/>
      <c r="BR365" s="91"/>
      <c r="BS365" s="91"/>
      <c r="BT365" s="91"/>
      <c r="BU365" s="91"/>
      <c r="BV365" s="91"/>
      <c r="BW365" s="91"/>
      <c r="BX365" s="91"/>
      <c r="BY365" s="91"/>
      <c r="CA365" s="122"/>
      <c r="CB365" s="111"/>
      <c r="CC365" s="201"/>
      <c r="CD365" s="202"/>
      <c r="CE365" s="147"/>
      <c r="CF365" s="143"/>
      <c r="CG365" s="163"/>
      <c r="CH365" s="143"/>
      <c r="CI365" s="143"/>
      <c r="CJ365" s="143"/>
      <c r="CK365" s="163"/>
      <c r="CL365" s="143"/>
      <c r="CM365" s="147"/>
      <c r="CN365" s="147"/>
      <c r="CO365" s="147"/>
      <c r="CP365" s="147"/>
      <c r="CQ365" s="147"/>
      <c r="CR365" s="147"/>
    </row>
    <row r="366" spans="1:96" s="123" customFormat="1" ht="25.15" customHeight="1" outlineLevel="1" x14ac:dyDescent="0.25">
      <c r="A366" s="1" t="s">
        <v>202</v>
      </c>
      <c r="B366" s="80" t="s">
        <v>3290</v>
      </c>
      <c r="C366" s="80"/>
      <c r="D366" s="162"/>
      <c r="E366" s="80" t="s">
        <v>448</v>
      </c>
      <c r="F366" s="80" t="s">
        <v>449</v>
      </c>
      <c r="G366" s="80" t="s">
        <v>450</v>
      </c>
      <c r="H366" s="80" t="s">
        <v>29</v>
      </c>
      <c r="I366" s="80"/>
      <c r="J366" s="80"/>
      <c r="K366" s="80" t="s">
        <v>30</v>
      </c>
      <c r="L366" s="80"/>
      <c r="M366" s="80" t="s">
        <v>3346</v>
      </c>
      <c r="N366" s="83" t="s">
        <v>3347</v>
      </c>
      <c r="O366" s="80">
        <v>2840</v>
      </c>
      <c r="P366" s="80">
        <v>1640</v>
      </c>
      <c r="Q366" s="80">
        <v>1730</v>
      </c>
      <c r="R366" s="80">
        <v>1650</v>
      </c>
      <c r="S366" s="80">
        <v>2524</v>
      </c>
      <c r="T366" s="80">
        <v>2050</v>
      </c>
      <c r="U366" s="80">
        <v>5413</v>
      </c>
      <c r="V366" s="80">
        <v>640</v>
      </c>
      <c r="W366" s="80">
        <v>3450</v>
      </c>
      <c r="X366" s="80">
        <v>1015</v>
      </c>
      <c r="Y366" s="80"/>
      <c r="Z366" s="80"/>
      <c r="AA366" s="80" t="s">
        <v>3348</v>
      </c>
      <c r="AB366" s="80">
        <v>3300</v>
      </c>
      <c r="AC366" s="80">
        <v>820</v>
      </c>
      <c r="AD366" s="80"/>
      <c r="AE366" s="80"/>
      <c r="AF366" s="80"/>
      <c r="AG366" s="80"/>
      <c r="AH366" s="80" t="s">
        <v>3349</v>
      </c>
      <c r="AI366" s="80" t="s">
        <v>3350</v>
      </c>
      <c r="AJ366" s="37" t="s">
        <v>2868</v>
      </c>
      <c r="AK366" s="80" t="s">
        <v>3351</v>
      </c>
      <c r="AL366" s="37" t="s">
        <v>2658</v>
      </c>
      <c r="AM366" s="90" t="s">
        <v>3352</v>
      </c>
      <c r="AN366" s="37" t="s">
        <v>2902</v>
      </c>
      <c r="AO366" s="90" t="s">
        <v>3353</v>
      </c>
      <c r="AP366" s="37" t="s">
        <v>2960</v>
      </c>
      <c r="AQ366" s="90" t="s">
        <v>3354</v>
      </c>
      <c r="AR366" s="37" t="s">
        <v>2761</v>
      </c>
      <c r="AS366" s="80"/>
      <c r="AT366" s="80"/>
      <c r="AU366" s="80" t="s">
        <v>3355</v>
      </c>
      <c r="AV366" s="80"/>
      <c r="AW366" s="80"/>
      <c r="AX366" s="80"/>
      <c r="AY366" s="80"/>
      <c r="AZ366" s="80"/>
      <c r="BA366" s="161"/>
      <c r="BB366" s="80"/>
      <c r="BC366" s="80"/>
      <c r="BD366" s="80"/>
      <c r="BE366" s="91"/>
      <c r="BF366" s="91"/>
      <c r="BG366" s="91"/>
      <c r="BH366" s="91"/>
      <c r="BI366" s="91"/>
      <c r="BJ366" s="91"/>
      <c r="BK366" s="91"/>
      <c r="BL366" s="91"/>
      <c r="BM366" s="91"/>
      <c r="BN366" s="91"/>
      <c r="BO366" s="91"/>
      <c r="BP366" s="91"/>
      <c r="BQ366" s="91"/>
      <c r="BR366" s="91"/>
      <c r="BS366" s="91"/>
      <c r="BT366" s="91"/>
      <c r="BU366" s="91"/>
      <c r="BV366" s="91"/>
      <c r="BW366" s="91"/>
      <c r="BX366" s="91"/>
      <c r="BY366" s="91"/>
      <c r="CA366" s="122"/>
      <c r="CB366" s="111"/>
      <c r="CC366" s="201"/>
      <c r="CD366" s="202"/>
      <c r="CE366" s="147"/>
      <c r="CF366" s="143"/>
      <c r="CG366" s="163"/>
      <c r="CH366" s="143"/>
      <c r="CI366" s="143"/>
      <c r="CJ366" s="143"/>
      <c r="CK366" s="163"/>
      <c r="CL366" s="143"/>
      <c r="CM366" s="147"/>
      <c r="CN366" s="147"/>
      <c r="CO366" s="147"/>
      <c r="CP366" s="147"/>
      <c r="CQ366" s="147"/>
      <c r="CR366" s="147"/>
    </row>
    <row r="367" spans="1:96" s="123" customFormat="1" ht="25.15" customHeight="1" outlineLevel="1" x14ac:dyDescent="0.25">
      <c r="A367" s="1" t="s">
        <v>202</v>
      </c>
      <c r="B367" s="80" t="s">
        <v>3290</v>
      </c>
      <c r="C367" s="80"/>
      <c r="D367" s="162"/>
      <c r="E367" s="80" t="s">
        <v>3422</v>
      </c>
      <c r="F367" s="80" t="s">
        <v>3423</v>
      </c>
      <c r="G367" s="80" t="s">
        <v>1152</v>
      </c>
      <c r="H367" s="80" t="s">
        <v>29</v>
      </c>
      <c r="I367" s="80"/>
      <c r="J367" s="80"/>
      <c r="K367" s="80" t="s">
        <v>30</v>
      </c>
      <c r="L367" s="80"/>
      <c r="M367" s="80" t="s">
        <v>3424</v>
      </c>
      <c r="N367" s="83" t="s">
        <v>63</v>
      </c>
      <c r="O367" s="80">
        <v>1930</v>
      </c>
      <c r="P367" s="80">
        <v>1060</v>
      </c>
      <c r="Q367" s="80">
        <v>1425</v>
      </c>
      <c r="R367" s="80"/>
      <c r="S367" s="80">
        <v>2283</v>
      </c>
      <c r="T367" s="80">
        <v>1200</v>
      </c>
      <c r="U367" s="80">
        <v>3885</v>
      </c>
      <c r="V367" s="80">
        <v>800</v>
      </c>
      <c r="W367" s="80">
        <v>2022</v>
      </c>
      <c r="X367" s="80">
        <v>774</v>
      </c>
      <c r="Y367" s="80"/>
      <c r="Z367" s="80"/>
      <c r="AA367" s="80" t="s">
        <v>3425</v>
      </c>
      <c r="AB367" s="80">
        <v>2100</v>
      </c>
      <c r="AC367" s="80">
        <v>935</v>
      </c>
      <c r="AD367" s="80"/>
      <c r="AE367" s="80"/>
      <c r="AF367" s="80"/>
      <c r="AG367" s="80"/>
      <c r="AH367" s="80" t="s">
        <v>3426</v>
      </c>
      <c r="AI367" s="80" t="s">
        <v>3427</v>
      </c>
      <c r="AJ367" s="37" t="s">
        <v>2868</v>
      </c>
      <c r="AK367" s="80" t="s">
        <v>3428</v>
      </c>
      <c r="AL367" s="37" t="s">
        <v>2658</v>
      </c>
      <c r="AM367" s="90" t="s">
        <v>3429</v>
      </c>
      <c r="AN367" s="37" t="s">
        <v>2902</v>
      </c>
      <c r="AO367" s="90" t="s">
        <v>3430</v>
      </c>
      <c r="AP367" s="37" t="s">
        <v>2960</v>
      </c>
      <c r="AQ367" s="90" t="s">
        <v>3431</v>
      </c>
      <c r="AR367" s="37" t="s">
        <v>2761</v>
      </c>
      <c r="AS367" s="80"/>
      <c r="AT367" s="80"/>
      <c r="AU367" s="80" t="s">
        <v>3432</v>
      </c>
      <c r="AV367" s="80"/>
      <c r="AW367" s="80"/>
      <c r="AX367" s="80"/>
      <c r="AY367" s="80"/>
      <c r="AZ367" s="80"/>
      <c r="BA367" s="161"/>
      <c r="BB367" s="80"/>
      <c r="BC367" s="80"/>
      <c r="BD367" s="80"/>
      <c r="BE367" s="91"/>
      <c r="BF367" s="91"/>
      <c r="BG367" s="91"/>
      <c r="BH367" s="91"/>
      <c r="BI367" s="91"/>
      <c r="BJ367" s="91"/>
      <c r="BK367" s="91"/>
      <c r="BL367" s="91"/>
      <c r="BM367" s="91"/>
      <c r="BN367" s="91"/>
      <c r="BO367" s="91"/>
      <c r="BP367" s="91"/>
      <c r="BQ367" s="91"/>
      <c r="BR367" s="91"/>
      <c r="BS367" s="91"/>
      <c r="BT367" s="91"/>
      <c r="BU367" s="91"/>
      <c r="BV367" s="91"/>
      <c r="BW367" s="91"/>
      <c r="BX367" s="91"/>
      <c r="BY367" s="91"/>
      <c r="CA367" s="122"/>
      <c r="CB367" s="111"/>
      <c r="CC367" s="201"/>
      <c r="CD367" s="202"/>
      <c r="CE367" s="147"/>
      <c r="CF367" s="143"/>
      <c r="CG367" s="163"/>
      <c r="CH367" s="143"/>
      <c r="CI367" s="143"/>
      <c r="CJ367" s="143"/>
      <c r="CK367" s="163"/>
      <c r="CL367" s="143"/>
      <c r="CM367" s="147"/>
      <c r="CN367" s="147"/>
      <c r="CO367" s="147"/>
      <c r="CP367" s="147"/>
      <c r="CQ367" s="147"/>
      <c r="CR367" s="147"/>
    </row>
    <row r="368" spans="1:96" s="123" customFormat="1" ht="25.15" customHeight="1" outlineLevel="1" x14ac:dyDescent="0.25">
      <c r="A368" s="1" t="s">
        <v>202</v>
      </c>
      <c r="B368" s="80" t="s">
        <v>3290</v>
      </c>
      <c r="C368" s="80"/>
      <c r="D368" s="162"/>
      <c r="E368" s="80" t="s">
        <v>33</v>
      </c>
      <c r="F368" s="80" t="s">
        <v>34</v>
      </c>
      <c r="G368" s="80" t="s">
        <v>85</v>
      </c>
      <c r="H368" s="80" t="s">
        <v>29</v>
      </c>
      <c r="I368" s="80"/>
      <c r="J368" s="80"/>
      <c r="K368" s="80" t="s">
        <v>30</v>
      </c>
      <c r="L368" s="80"/>
      <c r="M368" s="80" t="s">
        <v>3436</v>
      </c>
      <c r="N368" s="83" t="s">
        <v>63</v>
      </c>
      <c r="O368" s="80">
        <v>3224</v>
      </c>
      <c r="P368" s="80">
        <v>1904</v>
      </c>
      <c r="Q368" s="80">
        <v>1950</v>
      </c>
      <c r="R368" s="80"/>
      <c r="S368" s="80">
        <v>2942</v>
      </c>
      <c r="T368" s="80">
        <v>2050</v>
      </c>
      <c r="U368" s="80">
        <v>5932</v>
      </c>
      <c r="V368" s="80">
        <v>960</v>
      </c>
      <c r="W368" s="80">
        <v>3450</v>
      </c>
      <c r="X368" s="80">
        <v>1425</v>
      </c>
      <c r="Y368" s="80"/>
      <c r="Z368" s="80">
        <v>5</v>
      </c>
      <c r="AA368" s="80" t="s">
        <v>503</v>
      </c>
      <c r="AB368" s="80">
        <v>3500</v>
      </c>
      <c r="AC368" s="80">
        <v>570</v>
      </c>
      <c r="AD368" s="80"/>
      <c r="AE368" s="80"/>
      <c r="AF368" s="80"/>
      <c r="AG368" s="80"/>
      <c r="AH368" s="80">
        <v>12</v>
      </c>
      <c r="AI368" s="80" t="s">
        <v>3437</v>
      </c>
      <c r="AJ368" s="37" t="s">
        <v>2868</v>
      </c>
      <c r="AK368" s="80" t="s">
        <v>3444</v>
      </c>
      <c r="AL368" s="37" t="s">
        <v>2658</v>
      </c>
      <c r="AM368" s="90" t="s">
        <v>1276</v>
      </c>
      <c r="AN368" s="37" t="s">
        <v>2902</v>
      </c>
      <c r="AO368" s="90" t="s">
        <v>3438</v>
      </c>
      <c r="AP368" s="37" t="s">
        <v>2960</v>
      </c>
      <c r="AQ368" s="90" t="s">
        <v>1248</v>
      </c>
      <c r="AR368" s="37" t="s">
        <v>2761</v>
      </c>
      <c r="AS368" s="80"/>
      <c r="AT368" s="80"/>
      <c r="AU368" s="80" t="s">
        <v>1278</v>
      </c>
      <c r="AV368" s="80"/>
      <c r="AW368" s="80"/>
      <c r="AX368" s="80"/>
      <c r="AY368" s="80"/>
      <c r="AZ368" s="80"/>
      <c r="BA368" s="161"/>
      <c r="BB368" s="80"/>
      <c r="BC368" s="80"/>
      <c r="BD368" s="80"/>
      <c r="BE368" s="91"/>
      <c r="BF368" s="91"/>
      <c r="BG368" s="91"/>
      <c r="BH368" s="91"/>
      <c r="BI368" s="91"/>
      <c r="BJ368" s="91"/>
      <c r="BK368" s="91"/>
      <c r="BL368" s="91"/>
      <c r="BM368" s="91"/>
      <c r="BN368" s="91"/>
      <c r="BO368" s="91"/>
      <c r="BP368" s="91"/>
      <c r="BQ368" s="91"/>
      <c r="BR368" s="91"/>
      <c r="BS368" s="91"/>
      <c r="BT368" s="91"/>
      <c r="BU368" s="91"/>
      <c r="BV368" s="91"/>
      <c r="BW368" s="91"/>
      <c r="BX368" s="91"/>
      <c r="BY368" s="91"/>
      <c r="CA368" s="122"/>
      <c r="CB368" s="111"/>
      <c r="CC368" s="201"/>
      <c r="CD368" s="202"/>
      <c r="CE368" s="147"/>
      <c r="CF368" s="143"/>
      <c r="CG368" s="163"/>
      <c r="CH368" s="143"/>
      <c r="CI368" s="143"/>
      <c r="CJ368" s="143"/>
      <c r="CK368" s="163"/>
      <c r="CL368" s="143"/>
      <c r="CM368" s="147"/>
      <c r="CN368" s="147"/>
      <c r="CO368" s="147"/>
      <c r="CP368" s="147"/>
      <c r="CQ368" s="147"/>
      <c r="CR368" s="147"/>
    </row>
    <row r="369" spans="1:96" s="123" customFormat="1" ht="25.15" customHeight="1" outlineLevel="1" x14ac:dyDescent="0.25">
      <c r="A369" s="1" t="s">
        <v>202</v>
      </c>
      <c r="B369" s="80" t="s">
        <v>3290</v>
      </c>
      <c r="C369" s="80"/>
      <c r="D369" s="162"/>
      <c r="E369" s="80" t="s">
        <v>33</v>
      </c>
      <c r="F369" s="80" t="s">
        <v>34</v>
      </c>
      <c r="G369" s="80" t="s">
        <v>85</v>
      </c>
      <c r="H369" s="80" t="s">
        <v>29</v>
      </c>
      <c r="I369" s="80"/>
      <c r="J369" s="80"/>
      <c r="K369" s="80" t="s">
        <v>30</v>
      </c>
      <c r="L369" s="80"/>
      <c r="M369" s="80" t="s">
        <v>3436</v>
      </c>
      <c r="N369" s="83" t="s">
        <v>64</v>
      </c>
      <c r="O369" s="80">
        <v>3224</v>
      </c>
      <c r="P369" s="80">
        <v>1904</v>
      </c>
      <c r="Q369" s="80">
        <v>1950</v>
      </c>
      <c r="R369" s="80"/>
      <c r="S369" s="80">
        <v>2942</v>
      </c>
      <c r="T369" s="80">
        <v>2050</v>
      </c>
      <c r="U369" s="80">
        <v>5932</v>
      </c>
      <c r="V369" s="80">
        <v>960</v>
      </c>
      <c r="W369" s="80">
        <v>3450</v>
      </c>
      <c r="X369" s="80">
        <v>1425</v>
      </c>
      <c r="Y369" s="80"/>
      <c r="Z369" s="80">
        <v>5</v>
      </c>
      <c r="AA369" s="80" t="s">
        <v>1279</v>
      </c>
      <c r="AB369" s="80">
        <v>3500</v>
      </c>
      <c r="AC369" s="80">
        <v>595</v>
      </c>
      <c r="AD369" s="80"/>
      <c r="AE369" s="80"/>
      <c r="AF369" s="80"/>
      <c r="AG369" s="80"/>
      <c r="AH369" s="80">
        <v>12</v>
      </c>
      <c r="AI369" s="80" t="s">
        <v>3437</v>
      </c>
      <c r="AJ369" s="37" t="s">
        <v>2868</v>
      </c>
      <c r="AK369" s="80" t="s">
        <v>3444</v>
      </c>
      <c r="AL369" s="37" t="s">
        <v>2658</v>
      </c>
      <c r="AM369" s="90" t="s">
        <v>1276</v>
      </c>
      <c r="AN369" s="37" t="s">
        <v>2902</v>
      </c>
      <c r="AO369" s="90" t="s">
        <v>3439</v>
      </c>
      <c r="AP369" s="37" t="s">
        <v>2960</v>
      </c>
      <c r="AQ369" s="90" t="s">
        <v>1248</v>
      </c>
      <c r="AR369" s="37" t="s">
        <v>2761</v>
      </c>
      <c r="AS369" s="80"/>
      <c r="AT369" s="80"/>
      <c r="AU369" s="80" t="s">
        <v>1281</v>
      </c>
      <c r="AV369" s="80"/>
      <c r="AW369" s="80"/>
      <c r="AX369" s="80"/>
      <c r="AY369" s="80"/>
      <c r="AZ369" s="80"/>
      <c r="BA369" s="161"/>
      <c r="BB369" s="80"/>
      <c r="BC369" s="80"/>
      <c r="BD369" s="80"/>
      <c r="BE369" s="91"/>
      <c r="BF369" s="91"/>
      <c r="BG369" s="91"/>
      <c r="BH369" s="91"/>
      <c r="BI369" s="91"/>
      <c r="BJ369" s="91"/>
      <c r="BK369" s="91"/>
      <c r="BL369" s="91"/>
      <c r="BM369" s="91"/>
      <c r="BN369" s="91"/>
      <c r="BO369" s="91"/>
      <c r="BP369" s="91"/>
      <c r="BQ369" s="91"/>
      <c r="BR369" s="91"/>
      <c r="BS369" s="91"/>
      <c r="BT369" s="91"/>
      <c r="BU369" s="91"/>
      <c r="BV369" s="91"/>
      <c r="BW369" s="91"/>
      <c r="BX369" s="91"/>
      <c r="BY369" s="91"/>
      <c r="CA369" s="122"/>
      <c r="CB369" s="111"/>
      <c r="CC369" s="201"/>
      <c r="CD369" s="202"/>
      <c r="CE369" s="147"/>
      <c r="CF369" s="143"/>
      <c r="CG369" s="163"/>
      <c r="CH369" s="143"/>
      <c r="CI369" s="143"/>
      <c r="CJ369" s="143"/>
      <c r="CK369" s="163"/>
      <c r="CL369" s="143"/>
      <c r="CM369" s="147"/>
      <c r="CN369" s="147"/>
      <c r="CO369" s="147"/>
      <c r="CP369" s="147"/>
      <c r="CQ369" s="147"/>
      <c r="CR369" s="147"/>
    </row>
    <row r="370" spans="1:96" s="123" customFormat="1" ht="25.15" customHeight="1" outlineLevel="1" x14ac:dyDescent="0.25">
      <c r="A370" s="1" t="s">
        <v>202</v>
      </c>
      <c r="B370" s="80" t="s">
        <v>3290</v>
      </c>
      <c r="C370" s="80"/>
      <c r="D370" s="162"/>
      <c r="E370" s="80" t="s">
        <v>33</v>
      </c>
      <c r="F370" s="80" t="s">
        <v>34</v>
      </c>
      <c r="G370" s="80" t="s">
        <v>85</v>
      </c>
      <c r="H370" s="80" t="s">
        <v>29</v>
      </c>
      <c r="I370" s="80" t="s">
        <v>7</v>
      </c>
      <c r="J370" s="80"/>
      <c r="K370" s="80" t="s">
        <v>30</v>
      </c>
      <c r="L370" s="80"/>
      <c r="M370" s="80" t="s">
        <v>3436</v>
      </c>
      <c r="N370" s="83" t="s">
        <v>1709</v>
      </c>
      <c r="O370" s="80">
        <v>3224</v>
      </c>
      <c r="P370" s="80">
        <v>1904</v>
      </c>
      <c r="Q370" s="80">
        <v>1950</v>
      </c>
      <c r="R370" s="80"/>
      <c r="S370" s="80">
        <v>2942</v>
      </c>
      <c r="T370" s="80">
        <v>2050</v>
      </c>
      <c r="U370" s="80">
        <v>6124</v>
      </c>
      <c r="V370" s="80">
        <v>900</v>
      </c>
      <c r="W370" s="80">
        <v>3450</v>
      </c>
      <c r="X370" s="80">
        <v>1617</v>
      </c>
      <c r="Y370" s="80"/>
      <c r="Z370" s="80">
        <v>5</v>
      </c>
      <c r="AA370" s="80" t="s">
        <v>36</v>
      </c>
      <c r="AB370" s="80">
        <v>3500</v>
      </c>
      <c r="AC370" s="80">
        <v>375</v>
      </c>
      <c r="AD370" s="80"/>
      <c r="AE370" s="80"/>
      <c r="AF370" s="80"/>
      <c r="AG370" s="80"/>
      <c r="AH370" s="80">
        <v>12</v>
      </c>
      <c r="AI370" s="80" t="s">
        <v>3437</v>
      </c>
      <c r="AJ370" s="37" t="s">
        <v>2868</v>
      </c>
      <c r="AK370" s="80" t="s">
        <v>3444</v>
      </c>
      <c r="AL370" s="37" t="s">
        <v>2658</v>
      </c>
      <c r="AM370" s="90" t="s">
        <v>1276</v>
      </c>
      <c r="AN370" s="37" t="s">
        <v>2902</v>
      </c>
      <c r="AO370" s="90" t="s">
        <v>3440</v>
      </c>
      <c r="AP370" s="37" t="s">
        <v>2960</v>
      </c>
      <c r="AQ370" s="90" t="s">
        <v>1248</v>
      </c>
      <c r="AR370" s="37" t="s">
        <v>2761</v>
      </c>
      <c r="AS370" s="90" t="s">
        <v>3441</v>
      </c>
      <c r="AT370" s="37" t="s">
        <v>2577</v>
      </c>
      <c r="AU370" s="80" t="s">
        <v>1289</v>
      </c>
      <c r="AV370" s="80"/>
      <c r="AW370" s="80"/>
      <c r="AX370" s="80"/>
      <c r="AY370" s="80"/>
      <c r="AZ370" s="80"/>
      <c r="BA370" s="161"/>
      <c r="BB370" s="80"/>
      <c r="BC370" s="80"/>
      <c r="BD370" s="80"/>
      <c r="BE370" s="91"/>
      <c r="BF370" s="91"/>
      <c r="BG370" s="91"/>
      <c r="BH370" s="91"/>
      <c r="BI370" s="91"/>
      <c r="BJ370" s="91"/>
      <c r="BK370" s="91"/>
      <c r="BL370" s="91"/>
      <c r="BM370" s="91"/>
      <c r="BN370" s="91"/>
      <c r="BO370" s="91"/>
      <c r="BP370" s="91"/>
      <c r="BQ370" s="91"/>
      <c r="BR370" s="91"/>
      <c r="BS370" s="91"/>
      <c r="BT370" s="91"/>
      <c r="BU370" s="91"/>
      <c r="BV370" s="91"/>
      <c r="BW370" s="91"/>
      <c r="BX370" s="91"/>
      <c r="BY370" s="91"/>
      <c r="CA370" s="122"/>
      <c r="CB370" s="111"/>
      <c r="CC370" s="201"/>
      <c r="CD370" s="202"/>
      <c r="CE370" s="147"/>
      <c r="CF370" s="143"/>
      <c r="CG370" s="163"/>
      <c r="CH370" s="143"/>
      <c r="CI370" s="143"/>
      <c r="CJ370" s="143"/>
      <c r="CK370" s="163"/>
      <c r="CL370" s="143"/>
      <c r="CM370" s="147"/>
      <c r="CN370" s="147"/>
      <c r="CO370" s="147"/>
      <c r="CP370" s="147"/>
      <c r="CQ370" s="147"/>
      <c r="CR370" s="147"/>
    </row>
    <row r="371" spans="1:96" s="123" customFormat="1" ht="25.15" customHeight="1" outlineLevel="1" x14ac:dyDescent="0.25">
      <c r="A371" s="1" t="s">
        <v>202</v>
      </c>
      <c r="B371" s="80" t="s">
        <v>3290</v>
      </c>
      <c r="C371" s="80"/>
      <c r="D371" s="162"/>
      <c r="E371" s="80" t="s">
        <v>33</v>
      </c>
      <c r="F371" s="80" t="s">
        <v>34</v>
      </c>
      <c r="G371" s="80" t="s">
        <v>85</v>
      </c>
      <c r="H371" s="80" t="s">
        <v>12</v>
      </c>
      <c r="I371" s="80"/>
      <c r="J371" s="80"/>
      <c r="K371" s="80" t="s">
        <v>30</v>
      </c>
      <c r="L371" s="80"/>
      <c r="M371" s="80" t="s">
        <v>3436</v>
      </c>
      <c r="N371" s="83" t="s">
        <v>3442</v>
      </c>
      <c r="O371" s="80">
        <v>3524</v>
      </c>
      <c r="P371" s="80">
        <v>1904</v>
      </c>
      <c r="Q371" s="80">
        <v>2050</v>
      </c>
      <c r="R371" s="80"/>
      <c r="S371" s="80">
        <v>3100</v>
      </c>
      <c r="T371" s="80">
        <v>2050</v>
      </c>
      <c r="U371" s="80">
        <v>6223</v>
      </c>
      <c r="V371" s="80">
        <v>960</v>
      </c>
      <c r="W371" s="80">
        <v>3450</v>
      </c>
      <c r="X371" s="80">
        <v>1725</v>
      </c>
      <c r="Y371" s="80"/>
      <c r="Z371" s="80">
        <v>5</v>
      </c>
      <c r="AA371" s="80" t="s">
        <v>1290</v>
      </c>
      <c r="AB371" s="80">
        <v>3500</v>
      </c>
      <c r="AC371" s="80">
        <v>325</v>
      </c>
      <c r="AD371" s="80"/>
      <c r="AE371" s="80"/>
      <c r="AF371" s="80"/>
      <c r="AG371" s="80"/>
      <c r="AH371" s="80" t="s">
        <v>1291</v>
      </c>
      <c r="AI371" s="80" t="s">
        <v>3437</v>
      </c>
      <c r="AJ371" s="37" t="s">
        <v>2868</v>
      </c>
      <c r="AK371" s="80" t="s">
        <v>3444</v>
      </c>
      <c r="AL371" s="37" t="s">
        <v>2658</v>
      </c>
      <c r="AM371" s="90" t="s">
        <v>1276</v>
      </c>
      <c r="AN371" s="37" t="s">
        <v>2902</v>
      </c>
      <c r="AO371" s="90" t="s">
        <v>3443</v>
      </c>
      <c r="AP371" s="37" t="s">
        <v>2960</v>
      </c>
      <c r="AQ371" s="90" t="s">
        <v>1293</v>
      </c>
      <c r="AR371" s="37" t="s">
        <v>2761</v>
      </c>
      <c r="AS371" s="80"/>
      <c r="AT371" s="80"/>
      <c r="AU371" s="80" t="s">
        <v>458</v>
      </c>
      <c r="AV371" s="80"/>
      <c r="AW371" s="80"/>
      <c r="AX371" s="80"/>
      <c r="AY371" s="80"/>
      <c r="AZ371" s="80"/>
      <c r="BA371" s="161"/>
      <c r="BB371" s="80"/>
      <c r="BC371" s="80"/>
      <c r="BD371" s="80"/>
      <c r="BE371" s="91"/>
      <c r="BF371" s="91"/>
      <c r="BG371" s="91"/>
      <c r="BH371" s="91"/>
      <c r="BI371" s="91"/>
      <c r="BJ371" s="91"/>
      <c r="BK371" s="91"/>
      <c r="BL371" s="91"/>
      <c r="BM371" s="91"/>
      <c r="BN371" s="91"/>
      <c r="BO371" s="91"/>
      <c r="BP371" s="91"/>
      <c r="BQ371" s="91"/>
      <c r="BR371" s="91"/>
      <c r="BS371" s="91"/>
      <c r="BT371" s="91"/>
      <c r="BU371" s="91"/>
      <c r="BV371" s="91"/>
      <c r="BW371" s="91"/>
      <c r="BX371" s="91"/>
      <c r="BY371" s="91"/>
      <c r="CA371" s="122"/>
      <c r="CB371" s="111"/>
      <c r="CC371" s="201"/>
      <c r="CD371" s="202"/>
      <c r="CE371" s="147"/>
      <c r="CF371" s="143"/>
      <c r="CG371" s="163"/>
      <c r="CH371" s="143"/>
      <c r="CI371" s="143"/>
      <c r="CJ371" s="143"/>
      <c r="CK371" s="163"/>
      <c r="CL371" s="143"/>
      <c r="CM371" s="147"/>
      <c r="CN371" s="147"/>
      <c r="CO371" s="147"/>
      <c r="CP371" s="147"/>
      <c r="CQ371" s="147"/>
      <c r="CR371" s="147"/>
    </row>
    <row r="372" spans="1:96" s="123" customFormat="1" ht="25.15" customHeight="1" outlineLevel="1" x14ac:dyDescent="0.25">
      <c r="A372" s="1" t="s">
        <v>202</v>
      </c>
      <c r="B372" s="80" t="s">
        <v>3290</v>
      </c>
      <c r="C372" s="80"/>
      <c r="D372" s="162"/>
      <c r="E372" s="80" t="s">
        <v>33</v>
      </c>
      <c r="F372" s="80" t="s">
        <v>34</v>
      </c>
      <c r="G372" s="80" t="s">
        <v>85</v>
      </c>
      <c r="H372" s="80" t="s">
        <v>29</v>
      </c>
      <c r="I372" s="80"/>
      <c r="J372" s="80"/>
      <c r="K372" s="80" t="s">
        <v>30</v>
      </c>
      <c r="L372" s="80"/>
      <c r="M372" s="80" t="s">
        <v>3479</v>
      </c>
      <c r="N372" s="83" t="s">
        <v>63</v>
      </c>
      <c r="O372" s="80">
        <v>3224</v>
      </c>
      <c r="P372" s="80">
        <v>1904</v>
      </c>
      <c r="Q372" s="80">
        <v>1950</v>
      </c>
      <c r="R372" s="80"/>
      <c r="S372" s="80">
        <v>2942</v>
      </c>
      <c r="T372" s="80">
        <v>2050</v>
      </c>
      <c r="U372" s="80">
        <v>5932</v>
      </c>
      <c r="V372" s="80">
        <v>960</v>
      </c>
      <c r="W372" s="80">
        <v>3450</v>
      </c>
      <c r="X372" s="80">
        <v>1425</v>
      </c>
      <c r="Y372" s="80"/>
      <c r="Z372" s="80">
        <v>5</v>
      </c>
      <c r="AA372" s="80" t="s">
        <v>503</v>
      </c>
      <c r="AB372" s="80">
        <v>3500</v>
      </c>
      <c r="AC372" s="80">
        <v>595</v>
      </c>
      <c r="AD372" s="80"/>
      <c r="AE372" s="80"/>
      <c r="AF372" s="80"/>
      <c r="AG372" s="80"/>
      <c r="AH372" s="80">
        <v>12</v>
      </c>
      <c r="AI372" s="80" t="s">
        <v>3437</v>
      </c>
      <c r="AJ372" s="37" t="s">
        <v>2868</v>
      </c>
      <c r="AK372" s="80" t="s">
        <v>3480</v>
      </c>
      <c r="AL372" s="37" t="s">
        <v>2658</v>
      </c>
      <c r="AM372" s="90" t="s">
        <v>1276</v>
      </c>
      <c r="AN372" s="37" t="s">
        <v>2902</v>
      </c>
      <c r="AO372" s="90" t="s">
        <v>3438</v>
      </c>
      <c r="AP372" s="37" t="s">
        <v>2960</v>
      </c>
      <c r="AQ372" s="90" t="s">
        <v>1248</v>
      </c>
      <c r="AR372" s="37" t="s">
        <v>2761</v>
      </c>
      <c r="AS372" s="80"/>
      <c r="AT372" s="80"/>
      <c r="AU372" s="80" t="s">
        <v>1278</v>
      </c>
      <c r="AV372" s="80"/>
      <c r="AW372" s="80"/>
      <c r="AX372" s="80"/>
      <c r="AY372" s="80"/>
      <c r="AZ372" s="80"/>
      <c r="BA372" s="161"/>
      <c r="BB372" s="80"/>
      <c r="BC372" s="80"/>
      <c r="BD372" s="80"/>
      <c r="BE372" s="91"/>
      <c r="BF372" s="91"/>
      <c r="BG372" s="91"/>
      <c r="BH372" s="91"/>
      <c r="BI372" s="91"/>
      <c r="BJ372" s="91"/>
      <c r="BK372" s="91"/>
      <c r="BL372" s="91"/>
      <c r="BM372" s="91"/>
      <c r="BN372" s="91"/>
      <c r="BO372" s="91"/>
      <c r="BP372" s="91"/>
      <c r="BQ372" s="91"/>
      <c r="BR372" s="91"/>
      <c r="BS372" s="91"/>
      <c r="BT372" s="91"/>
      <c r="BU372" s="91"/>
      <c r="BV372" s="91"/>
      <c r="BW372" s="91"/>
      <c r="BX372" s="91"/>
      <c r="BY372" s="91"/>
      <c r="CA372" s="122"/>
      <c r="CB372" s="111"/>
      <c r="CC372" s="201"/>
      <c r="CD372" s="202"/>
      <c r="CE372" s="147"/>
      <c r="CF372" s="143"/>
      <c r="CG372" s="163"/>
      <c r="CH372" s="143"/>
      <c r="CI372" s="143"/>
      <c r="CJ372" s="143"/>
      <c r="CK372" s="163"/>
      <c r="CL372" s="143"/>
      <c r="CM372" s="147"/>
      <c r="CN372" s="147"/>
      <c r="CO372" s="147"/>
      <c r="CP372" s="147"/>
      <c r="CQ372" s="147"/>
      <c r="CR372" s="147"/>
    </row>
    <row r="373" spans="1:96" s="123" customFormat="1" ht="25.15" customHeight="1" outlineLevel="1" x14ac:dyDescent="0.25">
      <c r="A373" s="1" t="s">
        <v>202</v>
      </c>
      <c r="B373" s="80" t="s">
        <v>3290</v>
      </c>
      <c r="C373" s="80"/>
      <c r="D373" s="162"/>
      <c r="E373" s="80" t="s">
        <v>33</v>
      </c>
      <c r="F373" s="80" t="s">
        <v>34</v>
      </c>
      <c r="G373" s="80" t="s">
        <v>85</v>
      </c>
      <c r="H373" s="80" t="s">
        <v>29</v>
      </c>
      <c r="I373" s="80"/>
      <c r="J373" s="80"/>
      <c r="K373" s="80" t="s">
        <v>30</v>
      </c>
      <c r="L373" s="80"/>
      <c r="M373" s="80" t="s">
        <v>3479</v>
      </c>
      <c r="N373" s="83" t="s">
        <v>64</v>
      </c>
      <c r="O373" s="80">
        <v>3224</v>
      </c>
      <c r="P373" s="80">
        <v>1904</v>
      </c>
      <c r="Q373" s="80">
        <v>1950</v>
      </c>
      <c r="R373" s="80"/>
      <c r="S373" s="80">
        <v>2942</v>
      </c>
      <c r="T373" s="80">
        <v>2050</v>
      </c>
      <c r="U373" s="80">
        <v>5932</v>
      </c>
      <c r="V373" s="80">
        <v>960</v>
      </c>
      <c r="W373" s="80">
        <v>3450</v>
      </c>
      <c r="X373" s="80">
        <v>1425</v>
      </c>
      <c r="Y373" s="80"/>
      <c r="Z373" s="80">
        <v>5</v>
      </c>
      <c r="AA373" s="80" t="s">
        <v>1279</v>
      </c>
      <c r="AB373" s="80">
        <v>3500</v>
      </c>
      <c r="AC373" s="80">
        <v>620</v>
      </c>
      <c r="AD373" s="80"/>
      <c r="AE373" s="80"/>
      <c r="AF373" s="80"/>
      <c r="AG373" s="80"/>
      <c r="AH373" s="80">
        <v>12</v>
      </c>
      <c r="AI373" s="80" t="s">
        <v>3437</v>
      </c>
      <c r="AJ373" s="37" t="s">
        <v>2868</v>
      </c>
      <c r="AK373" s="80" t="s">
        <v>3480</v>
      </c>
      <c r="AL373" s="37" t="s">
        <v>2658</v>
      </c>
      <c r="AM373" s="90" t="s">
        <v>1276</v>
      </c>
      <c r="AN373" s="37" t="s">
        <v>2902</v>
      </c>
      <c r="AO373" s="90" t="s">
        <v>3439</v>
      </c>
      <c r="AP373" s="37" t="s">
        <v>2960</v>
      </c>
      <c r="AQ373" s="90" t="s">
        <v>1248</v>
      </c>
      <c r="AR373" s="37" t="s">
        <v>2761</v>
      </c>
      <c r="AS373" s="80"/>
      <c r="AT373" s="80"/>
      <c r="AU373" s="80" t="s">
        <v>1281</v>
      </c>
      <c r="AV373" s="80"/>
      <c r="AW373" s="80"/>
      <c r="AX373" s="80"/>
      <c r="AY373" s="80"/>
      <c r="AZ373" s="80"/>
      <c r="BA373" s="161"/>
      <c r="BB373" s="80"/>
      <c r="BC373" s="80"/>
      <c r="BD373" s="80"/>
      <c r="BE373" s="91"/>
      <c r="BF373" s="91"/>
      <c r="BG373" s="91"/>
      <c r="BH373" s="91"/>
      <c r="BI373" s="91"/>
      <c r="BJ373" s="91"/>
      <c r="BK373" s="91"/>
      <c r="BL373" s="91"/>
      <c r="BM373" s="91"/>
      <c r="BN373" s="91"/>
      <c r="BO373" s="91"/>
      <c r="BP373" s="91"/>
      <c r="BQ373" s="91"/>
      <c r="BR373" s="91"/>
      <c r="BS373" s="91"/>
      <c r="BT373" s="91"/>
      <c r="BU373" s="91"/>
      <c r="BV373" s="91"/>
      <c r="BW373" s="91"/>
      <c r="BX373" s="91"/>
      <c r="BY373" s="91"/>
      <c r="CA373" s="122"/>
      <c r="CB373" s="111"/>
      <c r="CC373" s="201"/>
      <c r="CD373" s="202"/>
      <c r="CE373" s="147"/>
      <c r="CF373" s="143"/>
      <c r="CG373" s="163"/>
      <c r="CH373" s="143"/>
      <c r="CI373" s="143"/>
      <c r="CJ373" s="143"/>
      <c r="CK373" s="163"/>
      <c r="CL373" s="143"/>
      <c r="CM373" s="147"/>
      <c r="CN373" s="147"/>
      <c r="CO373" s="147"/>
      <c r="CP373" s="147"/>
      <c r="CQ373" s="147"/>
      <c r="CR373" s="147"/>
    </row>
    <row r="374" spans="1:96" s="123" customFormat="1" ht="25.15" customHeight="1" outlineLevel="1" x14ac:dyDescent="0.25">
      <c r="A374" s="1" t="s">
        <v>202</v>
      </c>
      <c r="B374" s="80" t="s">
        <v>3290</v>
      </c>
      <c r="C374" s="80"/>
      <c r="D374" s="162"/>
      <c r="E374" s="80" t="s">
        <v>33</v>
      </c>
      <c r="F374" s="80" t="s">
        <v>34</v>
      </c>
      <c r="G374" s="80" t="s">
        <v>85</v>
      </c>
      <c r="H374" s="80" t="s">
        <v>29</v>
      </c>
      <c r="I374" s="80" t="s">
        <v>7</v>
      </c>
      <c r="J374" s="80"/>
      <c r="K374" s="80" t="s">
        <v>30</v>
      </c>
      <c r="L374" s="80"/>
      <c r="M374" s="80" t="s">
        <v>3479</v>
      </c>
      <c r="N374" s="83" t="s">
        <v>1709</v>
      </c>
      <c r="O374" s="80">
        <v>3224</v>
      </c>
      <c r="P374" s="80">
        <v>1904</v>
      </c>
      <c r="Q374" s="80">
        <v>1950</v>
      </c>
      <c r="R374" s="80"/>
      <c r="S374" s="80">
        <v>2942</v>
      </c>
      <c r="T374" s="80">
        <v>2050</v>
      </c>
      <c r="U374" s="80">
        <v>6124</v>
      </c>
      <c r="V374" s="80">
        <v>900</v>
      </c>
      <c r="W374" s="80">
        <v>3450</v>
      </c>
      <c r="X374" s="80">
        <v>1617</v>
      </c>
      <c r="Y374" s="80"/>
      <c r="Z374" s="80">
        <v>5</v>
      </c>
      <c r="AA374" s="80" t="s">
        <v>36</v>
      </c>
      <c r="AB374" s="80">
        <v>3500</v>
      </c>
      <c r="AC374" s="80">
        <v>400</v>
      </c>
      <c r="AD374" s="80"/>
      <c r="AE374" s="80"/>
      <c r="AF374" s="80"/>
      <c r="AG374" s="80"/>
      <c r="AH374" s="80">
        <v>12</v>
      </c>
      <c r="AI374" s="80" t="s">
        <v>3437</v>
      </c>
      <c r="AJ374" s="37" t="s">
        <v>2868</v>
      </c>
      <c r="AK374" s="80" t="s">
        <v>3480</v>
      </c>
      <c r="AL374" s="37" t="s">
        <v>2658</v>
      </c>
      <c r="AM374" s="90" t="s">
        <v>1276</v>
      </c>
      <c r="AN374" s="37" t="s">
        <v>2902</v>
      </c>
      <c r="AO374" s="90" t="s">
        <v>3440</v>
      </c>
      <c r="AP374" s="37" t="s">
        <v>2960</v>
      </c>
      <c r="AQ374" s="90" t="s">
        <v>1248</v>
      </c>
      <c r="AR374" s="37" t="s">
        <v>2761</v>
      </c>
      <c r="AS374" s="90" t="s">
        <v>3441</v>
      </c>
      <c r="AT374" s="37" t="s">
        <v>2577</v>
      </c>
      <c r="AU374" s="80" t="s">
        <v>1289</v>
      </c>
      <c r="AV374" s="80"/>
      <c r="AW374" s="80"/>
      <c r="AX374" s="80"/>
      <c r="AY374" s="80"/>
      <c r="AZ374" s="80"/>
      <c r="BA374" s="161"/>
      <c r="BB374" s="80"/>
      <c r="BC374" s="80"/>
      <c r="BD374" s="80"/>
      <c r="BE374" s="91"/>
      <c r="BF374" s="91"/>
      <c r="BG374" s="91"/>
      <c r="BH374" s="91"/>
      <c r="BI374" s="91"/>
      <c r="BJ374" s="91"/>
      <c r="BK374" s="91"/>
      <c r="BL374" s="91"/>
      <c r="BM374" s="91"/>
      <c r="BN374" s="91"/>
      <c r="BO374" s="91"/>
      <c r="BP374" s="91"/>
      <c r="BQ374" s="91"/>
      <c r="BR374" s="91"/>
      <c r="BS374" s="91"/>
      <c r="BT374" s="91"/>
      <c r="BU374" s="91"/>
      <c r="BV374" s="91"/>
      <c r="BW374" s="91"/>
      <c r="BX374" s="91"/>
      <c r="BY374" s="91"/>
      <c r="CA374" s="122"/>
      <c r="CB374" s="111"/>
      <c r="CC374" s="201"/>
      <c r="CD374" s="202"/>
      <c r="CE374" s="147"/>
      <c r="CF374" s="143"/>
      <c r="CG374" s="163"/>
      <c r="CH374" s="143"/>
      <c r="CI374" s="143"/>
      <c r="CJ374" s="143"/>
      <c r="CK374" s="163"/>
      <c r="CL374" s="143"/>
      <c r="CM374" s="147"/>
      <c r="CN374" s="147"/>
      <c r="CO374" s="147"/>
      <c r="CP374" s="147"/>
      <c r="CQ374" s="147"/>
      <c r="CR374" s="147"/>
    </row>
    <row r="375" spans="1:96" s="123" customFormat="1" ht="25.15" customHeight="1" outlineLevel="1" x14ac:dyDescent="0.25">
      <c r="A375" s="1" t="s">
        <v>202</v>
      </c>
      <c r="B375" s="80" t="s">
        <v>3290</v>
      </c>
      <c r="C375" s="80"/>
      <c r="D375" s="162"/>
      <c r="E375" s="80" t="s">
        <v>33</v>
      </c>
      <c r="F375" s="80" t="s">
        <v>34</v>
      </c>
      <c r="G375" s="80" t="s">
        <v>85</v>
      </c>
      <c r="H375" s="80" t="s">
        <v>12</v>
      </c>
      <c r="I375" s="80"/>
      <c r="J375" s="80"/>
      <c r="K375" s="80" t="s">
        <v>30</v>
      </c>
      <c r="L375" s="80"/>
      <c r="M375" s="80" t="s">
        <v>3479</v>
      </c>
      <c r="N375" s="83" t="s">
        <v>3442</v>
      </c>
      <c r="O375" s="80">
        <v>3524</v>
      </c>
      <c r="P375" s="80">
        <v>1904</v>
      </c>
      <c r="Q375" s="80">
        <v>2050</v>
      </c>
      <c r="R375" s="80"/>
      <c r="S375" s="80">
        <v>3100</v>
      </c>
      <c r="T375" s="80">
        <v>2050</v>
      </c>
      <c r="U375" s="80">
        <v>6223</v>
      </c>
      <c r="V375" s="80">
        <v>960</v>
      </c>
      <c r="W375" s="80">
        <v>3450</v>
      </c>
      <c r="X375" s="80">
        <v>1725</v>
      </c>
      <c r="Y375" s="80"/>
      <c r="Z375" s="80">
        <v>5</v>
      </c>
      <c r="AA375" s="80" t="s">
        <v>1290</v>
      </c>
      <c r="AB375" s="80">
        <v>3500</v>
      </c>
      <c r="AC375" s="80">
        <v>350</v>
      </c>
      <c r="AD375" s="80"/>
      <c r="AE375" s="80"/>
      <c r="AF375" s="80"/>
      <c r="AG375" s="80"/>
      <c r="AH375" s="80" t="s">
        <v>1291</v>
      </c>
      <c r="AI375" s="80" t="s">
        <v>3437</v>
      </c>
      <c r="AJ375" s="37" t="s">
        <v>2868</v>
      </c>
      <c r="AK375" s="80" t="s">
        <v>3480</v>
      </c>
      <c r="AL375" s="37" t="s">
        <v>2658</v>
      </c>
      <c r="AM375" s="90" t="s">
        <v>1276</v>
      </c>
      <c r="AN375" s="37" t="s">
        <v>2902</v>
      </c>
      <c r="AO375" s="90" t="s">
        <v>3443</v>
      </c>
      <c r="AP375" s="37" t="s">
        <v>2960</v>
      </c>
      <c r="AQ375" s="90" t="s">
        <v>1293</v>
      </c>
      <c r="AR375" s="37" t="s">
        <v>2761</v>
      </c>
      <c r="AS375" s="80"/>
      <c r="AT375" s="80"/>
      <c r="AU375" s="80" t="s">
        <v>458</v>
      </c>
      <c r="AV375" s="80"/>
      <c r="AW375" s="80"/>
      <c r="AX375" s="80"/>
      <c r="AY375" s="80"/>
      <c r="AZ375" s="80"/>
      <c r="BA375" s="161"/>
      <c r="BB375" s="80"/>
      <c r="BC375" s="80"/>
      <c r="BD375" s="80"/>
      <c r="BE375" s="91"/>
      <c r="BF375" s="91"/>
      <c r="BG375" s="91"/>
      <c r="BH375" s="91"/>
      <c r="BI375" s="91"/>
      <c r="BJ375" s="91"/>
      <c r="BK375" s="91"/>
      <c r="BL375" s="91"/>
      <c r="BM375" s="91"/>
      <c r="BN375" s="91"/>
      <c r="BO375" s="91"/>
      <c r="BP375" s="91"/>
      <c r="BQ375" s="91"/>
      <c r="BR375" s="91"/>
      <c r="BS375" s="91"/>
      <c r="BT375" s="91"/>
      <c r="BU375" s="91"/>
      <c r="BV375" s="91"/>
      <c r="BW375" s="91"/>
      <c r="BX375" s="91"/>
      <c r="BY375" s="91"/>
      <c r="CA375" s="122"/>
      <c r="CB375" s="111"/>
      <c r="CC375" s="201"/>
      <c r="CD375" s="202"/>
      <c r="CE375" s="147"/>
      <c r="CF375" s="143"/>
      <c r="CG375" s="163"/>
      <c r="CH375" s="143"/>
      <c r="CI375" s="143"/>
      <c r="CJ375" s="143"/>
      <c r="CK375" s="163"/>
      <c r="CL375" s="143"/>
      <c r="CM375" s="147"/>
      <c r="CN375" s="147"/>
      <c r="CO375" s="147"/>
      <c r="CP375" s="147"/>
      <c r="CQ375" s="147"/>
      <c r="CR375" s="147"/>
    </row>
    <row r="376" spans="1:96" s="123" customFormat="1" ht="25.15" customHeight="1" outlineLevel="1" x14ac:dyDescent="0.25">
      <c r="A376" s="1" t="s">
        <v>202</v>
      </c>
      <c r="B376" s="80" t="s">
        <v>3290</v>
      </c>
      <c r="C376" s="80"/>
      <c r="D376" s="162"/>
      <c r="E376" s="80" t="s">
        <v>33</v>
      </c>
      <c r="F376" s="80" t="s">
        <v>34</v>
      </c>
      <c r="G376" s="80" t="s">
        <v>85</v>
      </c>
      <c r="H376" s="80" t="s">
        <v>29</v>
      </c>
      <c r="I376" s="80"/>
      <c r="J376" s="80"/>
      <c r="K376" s="80" t="s">
        <v>30</v>
      </c>
      <c r="L376" s="80"/>
      <c r="M376" s="80" t="s">
        <v>3496</v>
      </c>
      <c r="N376" s="83" t="s">
        <v>63</v>
      </c>
      <c r="O376" s="80">
        <v>3324</v>
      </c>
      <c r="P376" s="80">
        <v>1904</v>
      </c>
      <c r="Q376" s="80">
        <v>1950</v>
      </c>
      <c r="R376" s="80"/>
      <c r="S376" s="80">
        <v>3040</v>
      </c>
      <c r="T376" s="80">
        <v>2050</v>
      </c>
      <c r="U376" s="80">
        <v>6023</v>
      </c>
      <c r="V376" s="80">
        <v>1000</v>
      </c>
      <c r="W376" s="80">
        <v>3450</v>
      </c>
      <c r="X376" s="80">
        <v>1525</v>
      </c>
      <c r="Y376" s="80"/>
      <c r="Z376" s="80">
        <v>5</v>
      </c>
      <c r="AA376" s="80" t="s">
        <v>3497</v>
      </c>
      <c r="AB376" s="80">
        <v>3500</v>
      </c>
      <c r="AC376" s="80">
        <v>604</v>
      </c>
      <c r="AD376" s="80"/>
      <c r="AE376" s="80"/>
      <c r="AF376" s="80"/>
      <c r="AG376" s="80"/>
      <c r="AH376" s="80">
        <v>12.2</v>
      </c>
      <c r="AI376" s="80" t="s">
        <v>3498</v>
      </c>
      <c r="AJ376" s="37" t="s">
        <v>2868</v>
      </c>
      <c r="AK376" s="80" t="s">
        <v>3501</v>
      </c>
      <c r="AL376" s="37" t="s">
        <v>2658</v>
      </c>
      <c r="AM376" s="90" t="s">
        <v>3499</v>
      </c>
      <c r="AN376" s="37" t="s">
        <v>2902</v>
      </c>
      <c r="AO376" s="90" t="s">
        <v>3500</v>
      </c>
      <c r="AP376" s="37" t="s">
        <v>2960</v>
      </c>
      <c r="AQ376" s="90" t="s">
        <v>1248</v>
      </c>
      <c r="AR376" s="37" t="s">
        <v>2761</v>
      </c>
      <c r="AS376" s="80"/>
      <c r="AT376" s="80"/>
      <c r="AU376" s="80" t="s">
        <v>1278</v>
      </c>
      <c r="AV376" s="80"/>
      <c r="AW376" s="80"/>
      <c r="AX376" s="80"/>
      <c r="AY376" s="80"/>
      <c r="AZ376" s="80"/>
      <c r="BA376" s="161"/>
      <c r="BB376" s="80"/>
      <c r="BC376" s="80"/>
      <c r="BD376" s="80"/>
      <c r="BE376" s="91"/>
      <c r="BF376" s="91"/>
      <c r="BG376" s="91"/>
      <c r="BH376" s="91"/>
      <c r="BI376" s="91"/>
      <c r="BJ376" s="91"/>
      <c r="BK376" s="91"/>
      <c r="BL376" s="91"/>
      <c r="BM376" s="91"/>
      <c r="BN376" s="91"/>
      <c r="BO376" s="91"/>
      <c r="BP376" s="91"/>
      <c r="BQ376" s="91"/>
      <c r="BR376" s="91"/>
      <c r="BS376" s="91"/>
      <c r="BT376" s="91"/>
      <c r="BU376" s="91"/>
      <c r="BV376" s="91"/>
      <c r="BW376" s="91"/>
      <c r="BX376" s="91"/>
      <c r="BY376" s="91"/>
      <c r="CA376" s="122"/>
      <c r="CB376" s="111"/>
      <c r="CC376" s="201"/>
      <c r="CD376" s="202"/>
      <c r="CE376" s="147"/>
      <c r="CF376" s="143"/>
      <c r="CG376" s="163"/>
      <c r="CH376" s="143"/>
      <c r="CI376" s="143"/>
      <c r="CJ376" s="143"/>
      <c r="CK376" s="163"/>
      <c r="CL376" s="143"/>
      <c r="CM376" s="147"/>
      <c r="CN376" s="147"/>
      <c r="CO376" s="147"/>
      <c r="CP376" s="147"/>
      <c r="CQ376" s="147"/>
      <c r="CR376" s="147"/>
    </row>
    <row r="377" spans="1:96" s="123" customFormat="1" ht="25.15" customHeight="1" outlineLevel="1" x14ac:dyDescent="0.25">
      <c r="A377" s="1" t="s">
        <v>202</v>
      </c>
      <c r="B377" s="80" t="s">
        <v>3290</v>
      </c>
      <c r="C377" s="80"/>
      <c r="D377" s="162"/>
      <c r="E377" s="80" t="s">
        <v>33</v>
      </c>
      <c r="F377" s="80" t="s">
        <v>34</v>
      </c>
      <c r="G377" s="80" t="s">
        <v>85</v>
      </c>
      <c r="H377" s="80" t="s">
        <v>29</v>
      </c>
      <c r="I377" s="80"/>
      <c r="J377" s="80"/>
      <c r="K377" s="80" t="s">
        <v>30</v>
      </c>
      <c r="L377" s="80"/>
      <c r="M377" s="80" t="s">
        <v>3515</v>
      </c>
      <c r="N377" s="83" t="s">
        <v>63</v>
      </c>
      <c r="O377" s="80">
        <v>3324</v>
      </c>
      <c r="P377" s="80">
        <v>1904</v>
      </c>
      <c r="Q377" s="80">
        <v>1950</v>
      </c>
      <c r="R377" s="80"/>
      <c r="S377" s="80">
        <v>3040</v>
      </c>
      <c r="T377" s="80">
        <v>2050</v>
      </c>
      <c r="U377" s="80">
        <v>6023</v>
      </c>
      <c r="V377" s="80">
        <v>1000</v>
      </c>
      <c r="W377" s="80">
        <v>3450</v>
      </c>
      <c r="X377" s="80">
        <v>1525</v>
      </c>
      <c r="Y377" s="80"/>
      <c r="Z377" s="80">
        <v>5</v>
      </c>
      <c r="AA377" s="80" t="s">
        <v>3497</v>
      </c>
      <c r="AB377" s="80">
        <v>3500</v>
      </c>
      <c r="AC377" s="80">
        <v>629</v>
      </c>
      <c r="AD377" s="80"/>
      <c r="AE377" s="80"/>
      <c r="AF377" s="80"/>
      <c r="AG377" s="80"/>
      <c r="AH377" s="80">
        <v>12.2</v>
      </c>
      <c r="AI377" s="80" t="s">
        <v>3498</v>
      </c>
      <c r="AJ377" s="37" t="s">
        <v>2868</v>
      </c>
      <c r="AK377" s="80" t="s">
        <v>3516</v>
      </c>
      <c r="AL377" s="37" t="s">
        <v>2658</v>
      </c>
      <c r="AM377" s="90" t="s">
        <v>3499</v>
      </c>
      <c r="AN377" s="37" t="s">
        <v>2902</v>
      </c>
      <c r="AO377" s="90" t="s">
        <v>3500</v>
      </c>
      <c r="AP377" s="37" t="s">
        <v>2960</v>
      </c>
      <c r="AQ377" s="90" t="s">
        <v>1248</v>
      </c>
      <c r="AR377" s="37" t="s">
        <v>2761</v>
      </c>
      <c r="AS377" s="80"/>
      <c r="AT377" s="80"/>
      <c r="AU377" s="80" t="s">
        <v>1278</v>
      </c>
      <c r="AV377" s="80"/>
      <c r="AW377" s="80"/>
      <c r="AX377" s="80"/>
      <c r="AY377" s="80"/>
      <c r="AZ377" s="80"/>
      <c r="BA377" s="161"/>
      <c r="BB377" s="80"/>
      <c r="BC377" s="80"/>
      <c r="BD377" s="80"/>
      <c r="BE377" s="91"/>
      <c r="BF377" s="91"/>
      <c r="BG377" s="91"/>
      <c r="BH377" s="91"/>
      <c r="BI377" s="91"/>
      <c r="BJ377" s="91"/>
      <c r="BK377" s="91"/>
      <c r="BL377" s="91"/>
      <c r="BM377" s="91"/>
      <c r="BN377" s="91"/>
      <c r="BO377" s="91"/>
      <c r="BP377" s="91"/>
      <c r="BQ377" s="91"/>
      <c r="BR377" s="91"/>
      <c r="BS377" s="91"/>
      <c r="BT377" s="91"/>
      <c r="BU377" s="91"/>
      <c r="BV377" s="91"/>
      <c r="BW377" s="91"/>
      <c r="BX377" s="91"/>
      <c r="BY377" s="91"/>
      <c r="CA377" s="122"/>
      <c r="CB377" s="111"/>
      <c r="CC377" s="201"/>
      <c r="CD377" s="202"/>
      <c r="CE377" s="147"/>
      <c r="CF377" s="143"/>
      <c r="CG377" s="163"/>
      <c r="CH377" s="143"/>
      <c r="CI377" s="143"/>
      <c r="CJ377" s="143"/>
      <c r="CK377" s="163"/>
      <c r="CL377" s="143"/>
      <c r="CM377" s="147"/>
      <c r="CN377" s="147"/>
      <c r="CO377" s="147"/>
      <c r="CP377" s="147"/>
      <c r="CQ377" s="147"/>
      <c r="CR377" s="147"/>
    </row>
    <row r="378" spans="1:96" s="123" customFormat="1" ht="25.15" customHeight="1" outlineLevel="1" x14ac:dyDescent="0.25">
      <c r="A378" s="1" t="s">
        <v>202</v>
      </c>
      <c r="B378" s="80" t="s">
        <v>3290</v>
      </c>
      <c r="C378" s="80"/>
      <c r="D378" s="162"/>
      <c r="E378" s="80" t="s">
        <v>1468</v>
      </c>
      <c r="F378" s="80" t="s">
        <v>1532</v>
      </c>
      <c r="G378" s="80" t="s">
        <v>450</v>
      </c>
      <c r="H378" s="80" t="s">
        <v>29</v>
      </c>
      <c r="I378" s="80"/>
      <c r="J378" s="80"/>
      <c r="K378" s="80" t="s">
        <v>30</v>
      </c>
      <c r="L378" s="80"/>
      <c r="M378" s="80" t="s">
        <v>3611</v>
      </c>
      <c r="N378" s="83" t="s">
        <v>63</v>
      </c>
      <c r="O378" s="80">
        <v>2924</v>
      </c>
      <c r="P378" s="80">
        <v>1956</v>
      </c>
      <c r="Q378" s="80">
        <v>1950</v>
      </c>
      <c r="R378" s="80"/>
      <c r="S378" s="80">
        <v>2730</v>
      </c>
      <c r="T378" s="80">
        <v>2100</v>
      </c>
      <c r="U378" s="80">
        <v>5863</v>
      </c>
      <c r="V378" s="80">
        <v>690</v>
      </c>
      <c r="W378" s="80">
        <v>3682</v>
      </c>
      <c r="X378" s="80">
        <v>1312</v>
      </c>
      <c r="Y378" s="80"/>
      <c r="Z378" s="80"/>
      <c r="AA378" s="80" t="s">
        <v>1534</v>
      </c>
      <c r="AB378" s="80">
        <v>3500</v>
      </c>
      <c r="AC378" s="80">
        <v>990</v>
      </c>
      <c r="AD378" s="80"/>
      <c r="AE378" s="80"/>
      <c r="AF378" s="80"/>
      <c r="AG378" s="80"/>
      <c r="AH378" s="80" t="s">
        <v>3612</v>
      </c>
      <c r="AI378" s="80" t="s">
        <v>3613</v>
      </c>
      <c r="AJ378" s="37" t="s">
        <v>2868</v>
      </c>
      <c r="AK378" s="80" t="s">
        <v>3614</v>
      </c>
      <c r="AL378" s="37" t="s">
        <v>2658</v>
      </c>
      <c r="AM378" s="90" t="s">
        <v>3615</v>
      </c>
      <c r="AN378" s="37" t="s">
        <v>2902</v>
      </c>
      <c r="AO378" s="90" t="s">
        <v>3616</v>
      </c>
      <c r="AP378" s="37" t="s">
        <v>2960</v>
      </c>
      <c r="AQ378" s="90" t="s">
        <v>3617</v>
      </c>
      <c r="AR378" s="37" t="s">
        <v>2761</v>
      </c>
      <c r="AS378" s="80"/>
      <c r="AT378" s="80"/>
      <c r="AU378" s="80" t="s">
        <v>3618</v>
      </c>
      <c r="AV378" s="80"/>
      <c r="AW378" s="80"/>
      <c r="AX378" s="80"/>
      <c r="AY378" s="80"/>
      <c r="AZ378" s="80"/>
      <c r="BA378" s="161"/>
      <c r="BB378" s="80"/>
      <c r="BC378" s="80"/>
      <c r="BD378" s="80"/>
      <c r="BE378" s="91"/>
      <c r="BF378" s="91"/>
      <c r="BG378" s="91"/>
      <c r="BH378" s="91"/>
      <c r="BI378" s="91"/>
      <c r="BJ378" s="91"/>
      <c r="BK378" s="91"/>
      <c r="BL378" s="91"/>
      <c r="BM378" s="91"/>
      <c r="BN378" s="91"/>
      <c r="BO378" s="91"/>
      <c r="BP378" s="91"/>
      <c r="BQ378" s="91"/>
      <c r="BR378" s="91"/>
      <c r="BS378" s="91"/>
      <c r="BT378" s="91"/>
      <c r="BU378" s="91"/>
      <c r="BV378" s="91"/>
      <c r="BW378" s="91"/>
      <c r="BX378" s="91"/>
      <c r="BY378" s="91"/>
      <c r="CA378" s="122"/>
      <c r="CB378" s="111"/>
      <c r="CC378" s="201"/>
      <c r="CD378" s="202"/>
      <c r="CE378" s="147"/>
      <c r="CF378" s="143"/>
      <c r="CG378" s="163"/>
      <c r="CH378" s="143"/>
      <c r="CI378" s="143"/>
      <c r="CJ378" s="143"/>
      <c r="CK378" s="163"/>
      <c r="CL378" s="143"/>
      <c r="CM378" s="147"/>
      <c r="CN378" s="147"/>
      <c r="CO378" s="147"/>
      <c r="CP378" s="147"/>
      <c r="CQ378" s="147"/>
      <c r="CR378" s="147"/>
    </row>
    <row r="379" spans="1:96" s="123" customFormat="1" ht="25.15" customHeight="1" x14ac:dyDescent="0.25">
      <c r="A379" s="1" t="s">
        <v>202</v>
      </c>
      <c r="B379" s="80" t="s">
        <v>3295</v>
      </c>
      <c r="C379" s="80"/>
      <c r="D379" s="162"/>
      <c r="E379" s="80" t="s">
        <v>448</v>
      </c>
      <c r="F379" s="80" t="s">
        <v>1151</v>
      </c>
      <c r="G379" s="80" t="s">
        <v>1152</v>
      </c>
      <c r="H379" s="80" t="s">
        <v>29</v>
      </c>
      <c r="I379" s="80"/>
      <c r="J379" s="80"/>
      <c r="K379" s="80" t="s">
        <v>1153</v>
      </c>
      <c r="L379" s="80"/>
      <c r="M379" s="80" t="s">
        <v>3296</v>
      </c>
      <c r="N379" s="83" t="s">
        <v>63</v>
      </c>
      <c r="O379" s="80">
        <v>1495</v>
      </c>
      <c r="P379" s="80">
        <v>1245</v>
      </c>
      <c r="Q379" s="80">
        <v>1040</v>
      </c>
      <c r="R379" s="80">
        <v>980</v>
      </c>
      <c r="S379" s="80">
        <v>1860</v>
      </c>
      <c r="T379" s="80">
        <v>1848</v>
      </c>
      <c r="U379" s="80">
        <v>4403</v>
      </c>
      <c r="V379" s="80">
        <v>640</v>
      </c>
      <c r="W379" s="80">
        <v>2785</v>
      </c>
      <c r="X379" s="80">
        <v>726</v>
      </c>
      <c r="Y379" s="80"/>
      <c r="Z379" s="80"/>
      <c r="AA379" s="80" t="s">
        <v>1155</v>
      </c>
      <c r="AB379" s="80">
        <v>2020</v>
      </c>
      <c r="AC379" s="80">
        <v>465</v>
      </c>
      <c r="AD379" s="80"/>
      <c r="AE379" s="80"/>
      <c r="AF379" s="80"/>
      <c r="AG379" s="80"/>
      <c r="AH379" s="80">
        <v>1.7</v>
      </c>
      <c r="AI379" s="80" t="s">
        <v>3292</v>
      </c>
      <c r="AJ379" s="37" t="s">
        <v>2868</v>
      </c>
      <c r="AK379" s="80" t="s">
        <v>3293</v>
      </c>
      <c r="AL379" s="80" t="s">
        <v>4308</v>
      </c>
      <c r="AM379" s="90" t="s">
        <v>1158</v>
      </c>
      <c r="AN379" s="80" t="s">
        <v>3298</v>
      </c>
      <c r="AO379" s="90" t="s">
        <v>3294</v>
      </c>
      <c r="AP379" s="80" t="s">
        <v>4225</v>
      </c>
      <c r="AQ379" s="90" t="s">
        <v>1160</v>
      </c>
      <c r="AR379" s="80" t="s">
        <v>4186</v>
      </c>
      <c r="AS379" s="80"/>
      <c r="AT379" s="80"/>
      <c r="AU379" s="80" t="s">
        <v>1161</v>
      </c>
      <c r="AV379" s="80"/>
      <c r="AW379" s="80"/>
      <c r="AX379" s="80"/>
      <c r="AY379" s="80"/>
      <c r="AZ379" s="80"/>
      <c r="BA379" s="161"/>
      <c r="BB379" s="80"/>
      <c r="BC379" s="80"/>
      <c r="BD379" s="80"/>
      <c r="BE379" s="91"/>
      <c r="BF379" s="91"/>
      <c r="BG379" s="91"/>
      <c r="BH379" s="91"/>
      <c r="BI379" s="91"/>
      <c r="BJ379" s="91"/>
      <c r="BK379" s="91"/>
      <c r="BL379" s="91"/>
      <c r="BM379" s="91"/>
      <c r="BN379" s="91"/>
      <c r="BO379" s="91"/>
      <c r="BP379" s="91"/>
      <c r="BQ379" s="91"/>
      <c r="BR379" s="91"/>
      <c r="BS379" s="91"/>
      <c r="BT379" s="91"/>
      <c r="BU379" s="91"/>
      <c r="BV379" s="91"/>
      <c r="BW379" s="91"/>
      <c r="BX379" s="91"/>
      <c r="BY379" s="91"/>
      <c r="CA379" s="122"/>
      <c r="CB379" s="111"/>
      <c r="CC379" s="201"/>
      <c r="CD379" s="202"/>
      <c r="CE379" s="147"/>
      <c r="CF379" s="143"/>
      <c r="CG379" s="163"/>
      <c r="CH379" s="143"/>
      <c r="CI379" s="143"/>
      <c r="CJ379" s="143"/>
      <c r="CK379" s="163"/>
      <c r="CL379" s="143"/>
      <c r="CM379" s="147"/>
      <c r="CN379" s="147"/>
      <c r="CO379" s="147"/>
      <c r="CP379" s="147"/>
      <c r="CQ379" s="147"/>
      <c r="CR379" s="147"/>
    </row>
    <row r="380" spans="1:96" s="123" customFormat="1" ht="25.15" customHeight="1" outlineLevel="1" x14ac:dyDescent="0.25">
      <c r="A380" s="1" t="s">
        <v>202</v>
      </c>
      <c r="B380" s="80" t="s">
        <v>3295</v>
      </c>
      <c r="C380" s="80"/>
      <c r="D380" s="162"/>
      <c r="E380" s="80" t="s">
        <v>448</v>
      </c>
      <c r="F380" s="80" t="s">
        <v>1151</v>
      </c>
      <c r="G380" s="80" t="s">
        <v>1152</v>
      </c>
      <c r="H380" s="80" t="s">
        <v>29</v>
      </c>
      <c r="I380" s="80"/>
      <c r="J380" s="80"/>
      <c r="K380" s="80" t="s">
        <v>1153</v>
      </c>
      <c r="L380" s="80"/>
      <c r="M380" s="80" t="s">
        <v>3296</v>
      </c>
      <c r="N380" s="83" t="s">
        <v>456</v>
      </c>
      <c r="O380" s="80">
        <v>1845</v>
      </c>
      <c r="P380" s="80">
        <v>1245</v>
      </c>
      <c r="Q380" s="80">
        <v>1040</v>
      </c>
      <c r="R380" s="80">
        <v>980</v>
      </c>
      <c r="S380" s="80">
        <v>1970</v>
      </c>
      <c r="T380" s="80">
        <v>1848</v>
      </c>
      <c r="U380" s="80">
        <v>4753</v>
      </c>
      <c r="V380" s="80">
        <v>640</v>
      </c>
      <c r="W380" s="80">
        <v>2975</v>
      </c>
      <c r="X380" s="80">
        <v>886</v>
      </c>
      <c r="Y380" s="80"/>
      <c r="Z380" s="80"/>
      <c r="AA380" s="80" t="s">
        <v>1166</v>
      </c>
      <c r="AB380" s="80">
        <v>2370</v>
      </c>
      <c r="AC380" s="80">
        <v>695</v>
      </c>
      <c r="AD380" s="80"/>
      <c r="AE380" s="80"/>
      <c r="AF380" s="80"/>
      <c r="AG380" s="80"/>
      <c r="AH380" s="80" t="s">
        <v>1167</v>
      </c>
      <c r="AI380" s="80" t="s">
        <v>3292</v>
      </c>
      <c r="AJ380" s="37" t="s">
        <v>2868</v>
      </c>
      <c r="AK380" s="80" t="s">
        <v>3293</v>
      </c>
      <c r="AL380" s="80" t="s">
        <v>4308</v>
      </c>
      <c r="AM380" s="90" t="s">
        <v>1168</v>
      </c>
      <c r="AN380" s="80" t="s">
        <v>3298</v>
      </c>
      <c r="AO380" s="90" t="s">
        <v>3297</v>
      </c>
      <c r="AP380" s="80" t="s">
        <v>4224</v>
      </c>
      <c r="AQ380" s="90" t="s">
        <v>1170</v>
      </c>
      <c r="AR380" s="80" t="s">
        <v>4177</v>
      </c>
      <c r="AS380" s="80"/>
      <c r="AT380" s="80"/>
      <c r="AU380" s="80" t="s">
        <v>1171</v>
      </c>
      <c r="AV380" s="80"/>
      <c r="AW380" s="80"/>
      <c r="AX380" s="80"/>
      <c r="AY380" s="80"/>
      <c r="AZ380" s="80"/>
      <c r="BA380" s="161"/>
      <c r="BB380" s="80"/>
      <c r="BC380" s="80"/>
      <c r="BD380" s="80"/>
      <c r="BE380" s="91"/>
      <c r="BF380" s="91"/>
      <c r="BG380" s="91"/>
      <c r="BH380" s="91"/>
      <c r="BI380" s="91"/>
      <c r="BJ380" s="91"/>
      <c r="BK380" s="91"/>
      <c r="BL380" s="91"/>
      <c r="BM380" s="91"/>
      <c r="BN380" s="91"/>
      <c r="BO380" s="91"/>
      <c r="BP380" s="91"/>
      <c r="BQ380" s="91"/>
      <c r="BR380" s="91"/>
      <c r="BS380" s="91"/>
      <c r="BT380" s="91"/>
      <c r="BU380" s="91"/>
      <c r="BV380" s="91"/>
      <c r="BW380" s="91"/>
      <c r="BX380" s="91"/>
      <c r="BY380" s="91"/>
      <c r="CA380" s="122"/>
      <c r="CB380" s="111"/>
      <c r="CC380" s="201"/>
      <c r="CD380" s="202"/>
      <c r="CE380" s="147"/>
      <c r="CF380" s="143"/>
      <c r="CG380" s="163"/>
      <c r="CH380" s="143"/>
      <c r="CI380" s="143"/>
      <c r="CJ380" s="143"/>
      <c r="CK380" s="163"/>
      <c r="CL380" s="143"/>
      <c r="CM380" s="147"/>
      <c r="CN380" s="147"/>
      <c r="CO380" s="147"/>
      <c r="CP380" s="147"/>
      <c r="CQ380" s="147"/>
      <c r="CR380" s="147"/>
    </row>
    <row r="381" spans="1:96" s="123" customFormat="1" ht="25.15" customHeight="1" outlineLevel="1" x14ac:dyDescent="0.25">
      <c r="A381" s="1" t="s">
        <v>202</v>
      </c>
      <c r="B381" s="80" t="s">
        <v>3295</v>
      </c>
      <c r="C381" s="80"/>
      <c r="D381" s="162"/>
      <c r="E381" s="80" t="s">
        <v>448</v>
      </c>
      <c r="F381" s="80" t="s">
        <v>1151</v>
      </c>
      <c r="G381" s="80" t="s">
        <v>1152</v>
      </c>
      <c r="H381" s="80" t="s">
        <v>3312</v>
      </c>
      <c r="I381" s="80"/>
      <c r="J381" s="80"/>
      <c r="K381" s="80" t="s">
        <v>1153</v>
      </c>
      <c r="L381" s="80"/>
      <c r="M381" s="80" t="s">
        <v>3317</v>
      </c>
      <c r="N381" s="83" t="s">
        <v>63</v>
      </c>
      <c r="O381" s="80">
        <v>1495</v>
      </c>
      <c r="P381" s="80">
        <v>1245</v>
      </c>
      <c r="Q381" s="80">
        <v>1040</v>
      </c>
      <c r="R381" s="80">
        <v>980</v>
      </c>
      <c r="S381" s="80">
        <v>1796</v>
      </c>
      <c r="T381" s="80">
        <v>1848</v>
      </c>
      <c r="U381" s="80">
        <v>4403</v>
      </c>
      <c r="V381" s="80">
        <v>640</v>
      </c>
      <c r="W381" s="80">
        <v>2785</v>
      </c>
      <c r="X381" s="80">
        <v>726</v>
      </c>
      <c r="Y381" s="80"/>
      <c r="Z381" s="80"/>
      <c r="AA381" s="80" t="s">
        <v>3314</v>
      </c>
      <c r="AB381" s="80">
        <v>2020</v>
      </c>
      <c r="AC381" s="80">
        <v>535</v>
      </c>
      <c r="AD381" s="80"/>
      <c r="AE381" s="80"/>
      <c r="AF381" s="80"/>
      <c r="AG381" s="80"/>
      <c r="AH381" s="80">
        <v>1.7</v>
      </c>
      <c r="AI381" s="80" t="s">
        <v>3292</v>
      </c>
      <c r="AJ381" s="37" t="s">
        <v>2868</v>
      </c>
      <c r="AK381" s="80" t="s">
        <v>3293</v>
      </c>
      <c r="AL381" s="37" t="s">
        <v>2658</v>
      </c>
      <c r="AM381" s="90" t="s">
        <v>1158</v>
      </c>
      <c r="AN381" s="80" t="s">
        <v>3298</v>
      </c>
      <c r="AO381" s="90" t="s">
        <v>3318</v>
      </c>
      <c r="AP381" s="80" t="s">
        <v>4220</v>
      </c>
      <c r="AQ381" s="80"/>
      <c r="AR381" s="80"/>
      <c r="AS381" s="80"/>
      <c r="AT381" s="80"/>
      <c r="AU381" s="80" t="s">
        <v>3316</v>
      </c>
      <c r="AV381" s="80"/>
      <c r="AW381" s="80"/>
      <c r="AX381" s="80"/>
      <c r="AY381" s="80"/>
      <c r="AZ381" s="80"/>
      <c r="BA381" s="161"/>
      <c r="BB381" s="80"/>
      <c r="BC381" s="80"/>
      <c r="BD381" s="80"/>
      <c r="BE381" s="91"/>
      <c r="BF381" s="91"/>
      <c r="BG381" s="91"/>
      <c r="BH381" s="91"/>
      <c r="BI381" s="91"/>
      <c r="BJ381" s="91"/>
      <c r="BK381" s="91"/>
      <c r="BL381" s="91"/>
      <c r="BM381" s="91"/>
      <c r="BN381" s="91"/>
      <c r="BO381" s="91"/>
      <c r="BP381" s="91"/>
      <c r="BQ381" s="91"/>
      <c r="BR381" s="91"/>
      <c r="BS381" s="91"/>
      <c r="BT381" s="91"/>
      <c r="BU381" s="91"/>
      <c r="BV381" s="91"/>
      <c r="BW381" s="91"/>
      <c r="BX381" s="91"/>
      <c r="BY381" s="91"/>
      <c r="CA381" s="122"/>
      <c r="CB381" s="111"/>
      <c r="CC381" s="201"/>
      <c r="CD381" s="202"/>
      <c r="CE381" s="147"/>
      <c r="CF381" s="143"/>
      <c r="CG381" s="163"/>
      <c r="CH381" s="143"/>
      <c r="CI381" s="143"/>
      <c r="CJ381" s="143"/>
      <c r="CK381" s="163"/>
      <c r="CL381" s="143"/>
      <c r="CM381" s="147"/>
      <c r="CN381" s="147"/>
      <c r="CO381" s="147"/>
      <c r="CP381" s="147"/>
      <c r="CQ381" s="147"/>
      <c r="CR381" s="147"/>
    </row>
    <row r="382" spans="1:96" s="123" customFormat="1" ht="25.15" customHeight="1" outlineLevel="1" x14ac:dyDescent="0.25">
      <c r="A382" s="1" t="s">
        <v>202</v>
      </c>
      <c r="B382" s="80" t="s">
        <v>3295</v>
      </c>
      <c r="C382" s="80"/>
      <c r="D382" s="162"/>
      <c r="E382" s="80" t="s">
        <v>448</v>
      </c>
      <c r="F382" s="80" t="s">
        <v>1151</v>
      </c>
      <c r="G382" s="80" t="s">
        <v>1152</v>
      </c>
      <c r="H382" s="80" t="s">
        <v>3312</v>
      </c>
      <c r="I382" s="80"/>
      <c r="J382" s="80"/>
      <c r="K382" s="80" t="s">
        <v>1153</v>
      </c>
      <c r="L382" s="80"/>
      <c r="M382" s="80" t="s">
        <v>3317</v>
      </c>
      <c r="N382" s="83" t="s">
        <v>456</v>
      </c>
      <c r="O382" s="80">
        <v>1845</v>
      </c>
      <c r="P382" s="80">
        <v>1245</v>
      </c>
      <c r="Q382" s="80">
        <v>1040</v>
      </c>
      <c r="R382" s="80">
        <v>980</v>
      </c>
      <c r="S382" s="80">
        <v>1830</v>
      </c>
      <c r="T382" s="80">
        <v>1848</v>
      </c>
      <c r="U382" s="80">
        <v>4753</v>
      </c>
      <c r="V382" s="80">
        <v>640</v>
      </c>
      <c r="W382" s="80">
        <v>2975</v>
      </c>
      <c r="X382" s="80">
        <v>886</v>
      </c>
      <c r="Y382" s="80"/>
      <c r="Z382" s="80"/>
      <c r="AA382" s="80" t="s">
        <v>3319</v>
      </c>
      <c r="AB382" s="80">
        <v>2370</v>
      </c>
      <c r="AC382" s="80">
        <v>765</v>
      </c>
      <c r="AD382" s="80"/>
      <c r="AE382" s="80"/>
      <c r="AF382" s="80"/>
      <c r="AG382" s="80"/>
      <c r="AH382" s="80" t="s">
        <v>1167</v>
      </c>
      <c r="AI382" s="80" t="s">
        <v>3292</v>
      </c>
      <c r="AJ382" s="37" t="s">
        <v>2868</v>
      </c>
      <c r="AK382" s="80" t="s">
        <v>3293</v>
      </c>
      <c r="AL382" s="37" t="s">
        <v>2658</v>
      </c>
      <c r="AM382" s="90" t="s">
        <v>1168</v>
      </c>
      <c r="AN382" s="80" t="s">
        <v>3298</v>
      </c>
      <c r="AO382" s="90" t="s">
        <v>3320</v>
      </c>
      <c r="AP382" s="80" t="s">
        <v>4219</v>
      </c>
      <c r="AQ382" s="80"/>
      <c r="AR382" s="80"/>
      <c r="AS382" s="80"/>
      <c r="AT382" s="80"/>
      <c r="AU382" s="80" t="s">
        <v>3321</v>
      </c>
      <c r="AV382" s="80"/>
      <c r="AW382" s="80"/>
      <c r="AX382" s="80"/>
      <c r="AY382" s="80"/>
      <c r="AZ382" s="80"/>
      <c r="BA382" s="161"/>
      <c r="BB382" s="80"/>
      <c r="BC382" s="80"/>
      <c r="BD382" s="80"/>
      <c r="BE382" s="91"/>
      <c r="BF382" s="91"/>
      <c r="BG382" s="91"/>
      <c r="BH382" s="91"/>
      <c r="BI382" s="91"/>
      <c r="BJ382" s="91"/>
      <c r="BK382" s="91"/>
      <c r="BL382" s="91"/>
      <c r="BM382" s="91"/>
      <c r="BN382" s="91"/>
      <c r="BO382" s="91"/>
      <c r="BP382" s="91"/>
      <c r="BQ382" s="91"/>
      <c r="BR382" s="91"/>
      <c r="BS382" s="91"/>
      <c r="BT382" s="91"/>
      <c r="BU382" s="91"/>
      <c r="BV382" s="91"/>
      <c r="BW382" s="91"/>
      <c r="BX382" s="91"/>
      <c r="BY382" s="91"/>
      <c r="CA382" s="122"/>
      <c r="CB382" s="111"/>
      <c r="CC382" s="201"/>
      <c r="CD382" s="202"/>
      <c r="CE382" s="147"/>
      <c r="CF382" s="143"/>
      <c r="CG382" s="163"/>
      <c r="CH382" s="143"/>
      <c r="CI382" s="143"/>
      <c r="CJ382" s="143"/>
      <c r="CK382" s="163"/>
      <c r="CL382" s="143"/>
      <c r="CM382" s="147"/>
      <c r="CN382" s="147"/>
      <c r="CO382" s="147"/>
      <c r="CP382" s="147"/>
      <c r="CQ382" s="147"/>
      <c r="CR382" s="147"/>
    </row>
    <row r="383" spans="1:96" s="123" customFormat="1" ht="25.15" customHeight="1" outlineLevel="1" x14ac:dyDescent="0.25">
      <c r="A383" s="1" t="s">
        <v>202</v>
      </c>
      <c r="B383" s="80" t="s">
        <v>3295</v>
      </c>
      <c r="C383" s="80"/>
      <c r="D383" s="162"/>
      <c r="E383" s="80" t="s">
        <v>448</v>
      </c>
      <c r="F383" s="80" t="s">
        <v>449</v>
      </c>
      <c r="G383" s="80" t="s">
        <v>450</v>
      </c>
      <c r="H383" s="80" t="s">
        <v>29</v>
      </c>
      <c r="I383" s="80"/>
      <c r="J383" s="80"/>
      <c r="K383" s="80" t="s">
        <v>30</v>
      </c>
      <c r="L383" s="80"/>
      <c r="M383" s="80" t="s">
        <v>3332</v>
      </c>
      <c r="N383" s="83" t="s">
        <v>63</v>
      </c>
      <c r="O383" s="80">
        <v>2924</v>
      </c>
      <c r="P383" s="80">
        <v>1904</v>
      </c>
      <c r="Q383" s="80">
        <v>1950</v>
      </c>
      <c r="R383" s="80"/>
      <c r="S383" s="80">
        <v>2727</v>
      </c>
      <c r="T383" s="80">
        <v>2050</v>
      </c>
      <c r="U383" s="80">
        <v>5742</v>
      </c>
      <c r="V383" s="80">
        <v>690</v>
      </c>
      <c r="W383" s="80">
        <v>3450</v>
      </c>
      <c r="X383" s="80">
        <v>1344</v>
      </c>
      <c r="Y383" s="80"/>
      <c r="Z383" s="80"/>
      <c r="AA383" s="80" t="s">
        <v>500</v>
      </c>
      <c r="AB383" s="80">
        <v>3500</v>
      </c>
      <c r="AC383" s="80">
        <v>1140</v>
      </c>
      <c r="AD383" s="80"/>
      <c r="AE383" s="80"/>
      <c r="AF383" s="80"/>
      <c r="AG383" s="80"/>
      <c r="AH383" s="80" t="s">
        <v>501</v>
      </c>
      <c r="AI383" s="80" t="s">
        <v>3328</v>
      </c>
      <c r="AJ383" s="80" t="s">
        <v>4335</v>
      </c>
      <c r="AK383" s="80" t="s">
        <v>3329</v>
      </c>
      <c r="AL383" s="80" t="s">
        <v>4307</v>
      </c>
      <c r="AM383" s="90" t="s">
        <v>3330</v>
      </c>
      <c r="AN383" s="80" t="s">
        <v>4294</v>
      </c>
      <c r="AO383" s="90" t="s">
        <v>1247</v>
      </c>
      <c r="AP383" s="80" t="s">
        <v>4230</v>
      </c>
      <c r="AQ383" s="90" t="s">
        <v>1248</v>
      </c>
      <c r="AR383" s="80" t="s">
        <v>4190</v>
      </c>
      <c r="AS383" s="80"/>
      <c r="AT383" s="80"/>
      <c r="AU383" s="80" t="s">
        <v>502</v>
      </c>
      <c r="AV383" s="80"/>
      <c r="AW383" s="80"/>
      <c r="AX383" s="80"/>
      <c r="AY383" s="80"/>
      <c r="AZ383" s="80"/>
      <c r="BA383" s="161"/>
      <c r="BB383" s="80"/>
      <c r="BC383" s="80"/>
      <c r="BD383" s="80"/>
      <c r="BE383" s="91"/>
      <c r="BF383" s="91"/>
      <c r="BG383" s="91"/>
      <c r="BH383" s="91"/>
      <c r="BI383" s="91"/>
      <c r="BJ383" s="91"/>
      <c r="BK383" s="91"/>
      <c r="BL383" s="91"/>
      <c r="BM383" s="91"/>
      <c r="BN383" s="91"/>
      <c r="BO383" s="91"/>
      <c r="BP383" s="91"/>
      <c r="BQ383" s="91"/>
      <c r="BR383" s="91"/>
      <c r="BS383" s="91"/>
      <c r="BT383" s="91"/>
      <c r="BU383" s="91"/>
      <c r="BV383" s="91"/>
      <c r="BW383" s="91"/>
      <c r="BX383" s="91"/>
      <c r="BY383" s="91"/>
      <c r="CA383" s="122"/>
      <c r="CB383" s="111"/>
      <c r="CC383" s="201"/>
      <c r="CD383" s="202"/>
      <c r="CE383" s="147"/>
      <c r="CF383" s="143"/>
      <c r="CG383" s="163"/>
      <c r="CH383" s="143"/>
      <c r="CI383" s="143"/>
      <c r="CJ383" s="143"/>
      <c r="CK383" s="163"/>
      <c r="CL383" s="143"/>
      <c r="CM383" s="147"/>
      <c r="CN383" s="147"/>
      <c r="CO383" s="147"/>
      <c r="CP383" s="147"/>
      <c r="CQ383" s="147"/>
      <c r="CR383" s="147"/>
    </row>
    <row r="384" spans="1:96" s="123" customFormat="1" ht="25.15" customHeight="1" outlineLevel="1" x14ac:dyDescent="0.25">
      <c r="A384" s="1" t="s">
        <v>202</v>
      </c>
      <c r="B384" s="80" t="s">
        <v>3295</v>
      </c>
      <c r="C384" s="80"/>
      <c r="D384" s="162"/>
      <c r="E384" s="80" t="s">
        <v>448</v>
      </c>
      <c r="F384" s="80" t="s">
        <v>449</v>
      </c>
      <c r="G384" s="80" t="s">
        <v>450</v>
      </c>
      <c r="H384" s="80" t="s">
        <v>29</v>
      </c>
      <c r="I384" s="80"/>
      <c r="J384" s="80"/>
      <c r="K384" s="80" t="s">
        <v>30</v>
      </c>
      <c r="L384" s="80"/>
      <c r="M384" s="80" t="s">
        <v>3356</v>
      </c>
      <c r="N384" s="83" t="s">
        <v>460</v>
      </c>
      <c r="O384" s="80">
        <v>2840</v>
      </c>
      <c r="P384" s="80">
        <v>1640</v>
      </c>
      <c r="Q384" s="80">
        <v>1730</v>
      </c>
      <c r="R384" s="80">
        <v>1650</v>
      </c>
      <c r="S384" s="80">
        <v>2524</v>
      </c>
      <c r="T384" s="80">
        <v>2050</v>
      </c>
      <c r="U384" s="80">
        <v>5413</v>
      </c>
      <c r="V384" s="80">
        <v>640</v>
      </c>
      <c r="W384" s="80">
        <v>3450</v>
      </c>
      <c r="X384" s="80">
        <v>1015</v>
      </c>
      <c r="Y384" s="80"/>
      <c r="Z384" s="80"/>
      <c r="AA384" s="80" t="s">
        <v>3348</v>
      </c>
      <c r="AB384" s="80">
        <v>3300</v>
      </c>
      <c r="AC384" s="80">
        <v>810</v>
      </c>
      <c r="AD384" s="80"/>
      <c r="AE384" s="80"/>
      <c r="AF384" s="80"/>
      <c r="AG384" s="80"/>
      <c r="AH384" s="80" t="s">
        <v>3349</v>
      </c>
      <c r="AI384" s="80" t="s">
        <v>3350</v>
      </c>
      <c r="AJ384" s="37" t="s">
        <v>2868</v>
      </c>
      <c r="AK384" s="80" t="s">
        <v>3351</v>
      </c>
      <c r="AL384" s="80" t="s">
        <v>4306</v>
      </c>
      <c r="AM384" s="90" t="s">
        <v>3352</v>
      </c>
      <c r="AN384" s="80" t="s">
        <v>4293</v>
      </c>
      <c r="AO384" s="90" t="s">
        <v>3353</v>
      </c>
      <c r="AP384" s="80" t="s">
        <v>4212</v>
      </c>
      <c r="AQ384" s="90" t="s">
        <v>3354</v>
      </c>
      <c r="AR384" s="80" t="s">
        <v>4191</v>
      </c>
      <c r="AS384" s="80"/>
      <c r="AT384" s="80"/>
      <c r="AU384" s="80" t="s">
        <v>3355</v>
      </c>
      <c r="AV384" s="80"/>
      <c r="AW384" s="80"/>
      <c r="AX384" s="80"/>
      <c r="AY384" s="80"/>
      <c r="AZ384" s="80"/>
      <c r="BA384" s="161"/>
      <c r="BB384" s="80"/>
      <c r="BC384" s="80"/>
      <c r="BD384" s="80"/>
      <c r="BE384" s="91"/>
      <c r="BF384" s="91"/>
      <c r="BG384" s="91"/>
      <c r="BH384" s="91"/>
      <c r="BI384" s="91"/>
      <c r="BJ384" s="91"/>
      <c r="BK384" s="91"/>
      <c r="BL384" s="91"/>
      <c r="BM384" s="91"/>
      <c r="BN384" s="91"/>
      <c r="BO384" s="91"/>
      <c r="BP384" s="91"/>
      <c r="BQ384" s="91"/>
      <c r="BR384" s="91"/>
      <c r="BS384" s="91"/>
      <c r="BT384" s="91"/>
      <c r="BU384" s="91"/>
      <c r="BV384" s="91"/>
      <c r="BW384" s="91"/>
      <c r="BX384" s="91"/>
      <c r="BY384" s="91"/>
      <c r="CA384" s="122"/>
      <c r="CB384" s="111"/>
      <c r="CC384" s="201"/>
      <c r="CD384" s="202"/>
      <c r="CE384" s="147"/>
      <c r="CF384" s="143"/>
      <c r="CG384" s="163"/>
      <c r="CH384" s="143"/>
      <c r="CI384" s="143"/>
      <c r="CJ384" s="143"/>
      <c r="CK384" s="163"/>
      <c r="CL384" s="143"/>
      <c r="CM384" s="147"/>
      <c r="CN384" s="147"/>
      <c r="CO384" s="147"/>
      <c r="CP384" s="147"/>
      <c r="CQ384" s="147"/>
      <c r="CR384" s="147"/>
    </row>
    <row r="385" spans="1:96" s="123" customFormat="1" ht="25.15" customHeight="1" outlineLevel="1" x14ac:dyDescent="0.25">
      <c r="A385" s="1" t="s">
        <v>202</v>
      </c>
      <c r="B385" s="80" t="s">
        <v>3295</v>
      </c>
      <c r="C385" s="80"/>
      <c r="D385" s="162"/>
      <c r="E385" s="80" t="s">
        <v>448</v>
      </c>
      <c r="F385" s="80" t="s">
        <v>449</v>
      </c>
      <c r="G385" s="80" t="s">
        <v>450</v>
      </c>
      <c r="H385" s="80" t="s">
        <v>3312</v>
      </c>
      <c r="I385" s="80"/>
      <c r="J385" s="80"/>
      <c r="K385" s="80" t="s">
        <v>30</v>
      </c>
      <c r="L385" s="80"/>
      <c r="M385" s="80" t="s">
        <v>3360</v>
      </c>
      <c r="N385" s="83" t="s">
        <v>460</v>
      </c>
      <c r="O385" s="80">
        <v>2840</v>
      </c>
      <c r="P385" s="80">
        <v>1640</v>
      </c>
      <c r="Q385" s="80">
        <v>1730</v>
      </c>
      <c r="R385" s="80">
        <v>1650</v>
      </c>
      <c r="S385" s="80">
        <v>2524</v>
      </c>
      <c r="T385" s="80">
        <v>2050</v>
      </c>
      <c r="U385" s="80">
        <v>5413</v>
      </c>
      <c r="V385" s="80">
        <v>640</v>
      </c>
      <c r="W385" s="80">
        <v>3450</v>
      </c>
      <c r="X385" s="80">
        <v>1015</v>
      </c>
      <c r="Y385" s="80"/>
      <c r="Z385" s="80"/>
      <c r="AA385" s="80" t="s">
        <v>3348</v>
      </c>
      <c r="AB385" s="80">
        <v>3300</v>
      </c>
      <c r="AC385" s="80">
        <v>910</v>
      </c>
      <c r="AD385" s="80"/>
      <c r="AE385" s="80"/>
      <c r="AF385" s="80"/>
      <c r="AG385" s="80"/>
      <c r="AH385" s="80" t="s">
        <v>3349</v>
      </c>
      <c r="AI385" s="80" t="s">
        <v>3350</v>
      </c>
      <c r="AJ385" s="37" t="s">
        <v>2868</v>
      </c>
      <c r="AK385" s="80" t="s">
        <v>3351</v>
      </c>
      <c r="AL385" s="80" t="s">
        <v>4305</v>
      </c>
      <c r="AM385" s="90" t="s">
        <v>3352</v>
      </c>
      <c r="AN385" s="80" t="s">
        <v>4293</v>
      </c>
      <c r="AO385" s="90" t="s">
        <v>3353</v>
      </c>
      <c r="AP385" s="80" t="s">
        <v>4213</v>
      </c>
      <c r="AQ385" s="80"/>
      <c r="AR385" s="80"/>
      <c r="AS385" s="80"/>
      <c r="AT385" s="80"/>
      <c r="AU385" s="80" t="s">
        <v>3361</v>
      </c>
      <c r="AV385" s="80"/>
      <c r="AW385" s="80"/>
      <c r="AX385" s="80"/>
      <c r="AY385" s="80"/>
      <c r="AZ385" s="80"/>
      <c r="BA385" s="161"/>
      <c r="BB385" s="80"/>
      <c r="BC385" s="80"/>
      <c r="BD385" s="80"/>
      <c r="BE385" s="91"/>
      <c r="BF385" s="91"/>
      <c r="BG385" s="91"/>
      <c r="BH385" s="91"/>
      <c r="BI385" s="91"/>
      <c r="BJ385" s="91"/>
      <c r="BK385" s="91"/>
      <c r="BL385" s="91"/>
      <c r="BM385" s="91"/>
      <c r="BN385" s="91"/>
      <c r="BO385" s="91"/>
      <c r="BP385" s="91"/>
      <c r="BQ385" s="91"/>
      <c r="BR385" s="91"/>
      <c r="BS385" s="91"/>
      <c r="BT385" s="91"/>
      <c r="BU385" s="91"/>
      <c r="BV385" s="91"/>
      <c r="BW385" s="91"/>
      <c r="BX385" s="91"/>
      <c r="BY385" s="91"/>
      <c r="CA385" s="122"/>
      <c r="CB385" s="111"/>
      <c r="CC385" s="201"/>
      <c r="CD385" s="202"/>
      <c r="CE385" s="147"/>
      <c r="CF385" s="143"/>
      <c r="CG385" s="163"/>
      <c r="CH385" s="143"/>
      <c r="CI385" s="143"/>
      <c r="CJ385" s="143"/>
      <c r="CK385" s="163"/>
      <c r="CL385" s="143"/>
      <c r="CM385" s="147"/>
      <c r="CN385" s="147"/>
      <c r="CO385" s="147"/>
      <c r="CP385" s="147"/>
      <c r="CQ385" s="147"/>
      <c r="CR385" s="147"/>
    </row>
    <row r="386" spans="1:96" s="123" customFormat="1" ht="25.15" customHeight="1" outlineLevel="1" x14ac:dyDescent="0.25">
      <c r="A386" s="1" t="s">
        <v>202</v>
      </c>
      <c r="B386" s="80" t="s">
        <v>3295</v>
      </c>
      <c r="C386" s="80"/>
      <c r="D386" s="162"/>
      <c r="E386" s="80" t="s">
        <v>448</v>
      </c>
      <c r="F386" s="80" t="s">
        <v>1172</v>
      </c>
      <c r="G386" s="80" t="s">
        <v>1152</v>
      </c>
      <c r="H386" s="80" t="s">
        <v>29</v>
      </c>
      <c r="I386" s="80"/>
      <c r="J386" s="80"/>
      <c r="K386" s="80" t="s">
        <v>1153</v>
      </c>
      <c r="L386" s="80"/>
      <c r="M386" s="80" t="s">
        <v>3368</v>
      </c>
      <c r="N386" s="83" t="s">
        <v>63</v>
      </c>
      <c r="O386" s="80">
        <v>1495</v>
      </c>
      <c r="P386" s="80">
        <v>1245</v>
      </c>
      <c r="Q386" s="80">
        <v>1040</v>
      </c>
      <c r="R386" s="80">
        <v>980</v>
      </c>
      <c r="S386" s="80">
        <v>1970</v>
      </c>
      <c r="T386" s="80">
        <v>1848</v>
      </c>
      <c r="U386" s="80">
        <v>4403</v>
      </c>
      <c r="V386" s="80">
        <v>640</v>
      </c>
      <c r="W386" s="80">
        <v>2785</v>
      </c>
      <c r="X386" s="80">
        <v>726</v>
      </c>
      <c r="Y386" s="80"/>
      <c r="Z386" s="80"/>
      <c r="AA386" s="80" t="s">
        <v>1174</v>
      </c>
      <c r="AB386" s="80">
        <v>2390</v>
      </c>
      <c r="AC386" s="80">
        <v>470</v>
      </c>
      <c r="AD386" s="80"/>
      <c r="AE386" s="80"/>
      <c r="AF386" s="80"/>
      <c r="AG386" s="80"/>
      <c r="AH386" s="80">
        <v>1.7</v>
      </c>
      <c r="AI386" s="80" t="s">
        <v>3369</v>
      </c>
      <c r="AJ386" s="37" t="s">
        <v>2868</v>
      </c>
      <c r="AK386" s="80" t="s">
        <v>3370</v>
      </c>
      <c r="AL386" s="37" t="s">
        <v>2658</v>
      </c>
      <c r="AM386" s="90" t="s">
        <v>1177</v>
      </c>
      <c r="AN386" s="37" t="s">
        <v>2902</v>
      </c>
      <c r="AO386" s="90" t="s">
        <v>1178</v>
      </c>
      <c r="AP386" s="80" t="s">
        <v>4223</v>
      </c>
      <c r="AQ386" s="90" t="s">
        <v>1179</v>
      </c>
      <c r="AR386" s="80" t="s">
        <v>4177</v>
      </c>
      <c r="AS386" s="80"/>
      <c r="AT386" s="80"/>
      <c r="AU386" s="80" t="s">
        <v>1180</v>
      </c>
      <c r="AV386" s="80"/>
      <c r="AW386" s="80"/>
      <c r="AX386" s="80"/>
      <c r="AY386" s="80"/>
      <c r="AZ386" s="80"/>
      <c r="BA386" s="161"/>
      <c r="BB386" s="80"/>
      <c r="BC386" s="80"/>
      <c r="BD386" s="80"/>
      <c r="BE386" s="91"/>
      <c r="BF386" s="91"/>
      <c r="BG386" s="91"/>
      <c r="BH386" s="91"/>
      <c r="BI386" s="91"/>
      <c r="BJ386" s="91"/>
      <c r="BK386" s="91"/>
      <c r="BL386" s="91"/>
      <c r="BM386" s="91"/>
      <c r="BN386" s="91"/>
      <c r="BO386" s="91"/>
      <c r="BP386" s="91"/>
      <c r="BQ386" s="91"/>
      <c r="BR386" s="91"/>
      <c r="BS386" s="91"/>
      <c r="BT386" s="91"/>
      <c r="BU386" s="91"/>
      <c r="BV386" s="91"/>
      <c r="BW386" s="91"/>
      <c r="BX386" s="91"/>
      <c r="BY386" s="91"/>
      <c r="CA386" s="122"/>
      <c r="CB386" s="111"/>
      <c r="CC386" s="201"/>
      <c r="CD386" s="202"/>
      <c r="CE386" s="147"/>
      <c r="CF386" s="143"/>
      <c r="CG386" s="163"/>
      <c r="CH386" s="143"/>
      <c r="CI386" s="143"/>
      <c r="CJ386" s="143"/>
      <c r="CK386" s="163"/>
      <c r="CL386" s="143"/>
      <c r="CM386" s="147"/>
      <c r="CN386" s="147"/>
      <c r="CO386" s="147"/>
      <c r="CP386" s="147"/>
      <c r="CQ386" s="147"/>
      <c r="CR386" s="147"/>
    </row>
    <row r="387" spans="1:96" s="123" customFormat="1" ht="25.15" customHeight="1" outlineLevel="1" x14ac:dyDescent="0.25">
      <c r="A387" s="1" t="s">
        <v>202</v>
      </c>
      <c r="B387" s="80" t="s">
        <v>3295</v>
      </c>
      <c r="C387" s="80"/>
      <c r="D387" s="162"/>
      <c r="E387" s="80" t="s">
        <v>448</v>
      </c>
      <c r="F387" s="80" t="s">
        <v>1172</v>
      </c>
      <c r="G387" s="80" t="s">
        <v>1152</v>
      </c>
      <c r="H387" s="80" t="s">
        <v>3312</v>
      </c>
      <c r="I387" s="80"/>
      <c r="J387" s="80"/>
      <c r="K387" s="80" t="s">
        <v>1153</v>
      </c>
      <c r="L387" s="80"/>
      <c r="M387" s="80" t="s">
        <v>3373</v>
      </c>
      <c r="N387" s="83" t="s">
        <v>63</v>
      </c>
      <c r="O387" s="80">
        <v>1495</v>
      </c>
      <c r="P387" s="80">
        <v>1245</v>
      </c>
      <c r="Q387" s="80">
        <v>1040</v>
      </c>
      <c r="R387" s="80">
        <v>980</v>
      </c>
      <c r="S387" s="80">
        <v>1796</v>
      </c>
      <c r="T387" s="80">
        <v>1848</v>
      </c>
      <c r="U387" s="80">
        <v>4403</v>
      </c>
      <c r="V387" s="80">
        <v>640</v>
      </c>
      <c r="W387" s="80">
        <v>2785</v>
      </c>
      <c r="X387" s="80">
        <v>726</v>
      </c>
      <c r="Y387" s="80"/>
      <c r="Z387" s="80"/>
      <c r="AA387" s="80" t="s">
        <v>3374</v>
      </c>
      <c r="AB387" s="80">
        <v>2390</v>
      </c>
      <c r="AC387" s="80">
        <v>660</v>
      </c>
      <c r="AD387" s="80"/>
      <c r="AE387" s="80"/>
      <c r="AF387" s="80"/>
      <c r="AG387" s="80"/>
      <c r="AH387" s="80">
        <v>1.7</v>
      </c>
      <c r="AI387" s="80" t="s">
        <v>3369</v>
      </c>
      <c r="AJ387" s="37" t="s">
        <v>2868</v>
      </c>
      <c r="AK387" s="80" t="s">
        <v>3370</v>
      </c>
      <c r="AL387" s="37" t="s">
        <v>2658</v>
      </c>
      <c r="AM387" s="90" t="s">
        <v>1182</v>
      </c>
      <c r="AN387" s="37" t="s">
        <v>2902</v>
      </c>
      <c r="AO387" s="90" t="s">
        <v>3375</v>
      </c>
      <c r="AP387" s="80" t="s">
        <v>4223</v>
      </c>
      <c r="AQ387" s="80"/>
      <c r="AR387" s="80"/>
      <c r="AS387" s="80"/>
      <c r="AT387" s="80"/>
      <c r="AU387" s="80" t="s">
        <v>3376</v>
      </c>
      <c r="AV387" s="80"/>
      <c r="AW387" s="80"/>
      <c r="AX387" s="80"/>
      <c r="AY387" s="80"/>
      <c r="AZ387" s="80"/>
      <c r="BA387" s="161"/>
      <c r="BB387" s="80"/>
      <c r="BC387" s="80"/>
      <c r="BD387" s="80"/>
      <c r="BE387" s="91"/>
      <c r="BF387" s="91"/>
      <c r="BG387" s="91"/>
      <c r="BH387" s="91"/>
      <c r="BI387" s="91"/>
      <c r="BJ387" s="91"/>
      <c r="BK387" s="91"/>
      <c r="BL387" s="91"/>
      <c r="BM387" s="91"/>
      <c r="BN387" s="91"/>
      <c r="BO387" s="91"/>
      <c r="BP387" s="91"/>
      <c r="BQ387" s="91"/>
      <c r="BR387" s="91"/>
      <c r="BS387" s="91"/>
      <c r="BT387" s="91"/>
      <c r="BU387" s="91"/>
      <c r="BV387" s="91"/>
      <c r="BW387" s="91"/>
      <c r="BX387" s="91"/>
      <c r="BY387" s="91"/>
      <c r="CA387" s="122"/>
      <c r="CB387" s="111"/>
      <c r="CC387" s="201"/>
      <c r="CD387" s="202"/>
      <c r="CE387" s="147"/>
      <c r="CF387" s="143"/>
      <c r="CG387" s="163"/>
      <c r="CH387" s="143"/>
      <c r="CI387" s="143"/>
      <c r="CJ387" s="143"/>
      <c r="CK387" s="163"/>
      <c r="CL387" s="143"/>
      <c r="CM387" s="147"/>
      <c r="CN387" s="147"/>
      <c r="CO387" s="147"/>
      <c r="CP387" s="147"/>
      <c r="CQ387" s="147"/>
      <c r="CR387" s="147"/>
    </row>
    <row r="388" spans="1:96" s="123" customFormat="1" ht="25.15" customHeight="1" outlineLevel="1" x14ac:dyDescent="0.25">
      <c r="A388" s="1" t="s">
        <v>202</v>
      </c>
      <c r="B388" s="80" t="s">
        <v>3295</v>
      </c>
      <c r="C388" s="80"/>
      <c r="D388" s="162"/>
      <c r="E388" s="80" t="s">
        <v>448</v>
      </c>
      <c r="F388" s="80" t="s">
        <v>1172</v>
      </c>
      <c r="G388" s="80" t="s">
        <v>1152</v>
      </c>
      <c r="H388" s="80" t="s">
        <v>3312</v>
      </c>
      <c r="I388" s="80"/>
      <c r="J388" s="80"/>
      <c r="K388" s="80" t="s">
        <v>1153</v>
      </c>
      <c r="L388" s="80"/>
      <c r="M388" s="80" t="s">
        <v>3373</v>
      </c>
      <c r="N388" s="83" t="s">
        <v>456</v>
      </c>
      <c r="O388" s="80">
        <v>1845</v>
      </c>
      <c r="P388" s="80">
        <v>1245</v>
      </c>
      <c r="Q388" s="80">
        <v>1040</v>
      </c>
      <c r="R388" s="80">
        <v>980</v>
      </c>
      <c r="S388" s="80">
        <v>1830</v>
      </c>
      <c r="T388" s="80">
        <v>1848</v>
      </c>
      <c r="U388" s="80">
        <v>4753</v>
      </c>
      <c r="V388" s="80">
        <v>640</v>
      </c>
      <c r="W388" s="80">
        <v>2975</v>
      </c>
      <c r="X388" s="80">
        <v>886</v>
      </c>
      <c r="Y388" s="80"/>
      <c r="Z388" s="80"/>
      <c r="AA388" s="80" t="s">
        <v>3377</v>
      </c>
      <c r="AB388" s="80">
        <v>2390</v>
      </c>
      <c r="AC388" s="80">
        <v>580</v>
      </c>
      <c r="AD388" s="80"/>
      <c r="AE388" s="80"/>
      <c r="AF388" s="80"/>
      <c r="AG388" s="80"/>
      <c r="AH388" s="80" t="s">
        <v>1167</v>
      </c>
      <c r="AI388" s="80" t="s">
        <v>3369</v>
      </c>
      <c r="AJ388" s="37" t="s">
        <v>2868</v>
      </c>
      <c r="AK388" s="80" t="s">
        <v>3370</v>
      </c>
      <c r="AL388" s="37" t="s">
        <v>2658</v>
      </c>
      <c r="AM388" s="90" t="s">
        <v>1182</v>
      </c>
      <c r="AN388" s="37" t="s">
        <v>2902</v>
      </c>
      <c r="AO388" s="90" t="s">
        <v>3378</v>
      </c>
      <c r="AP388" s="80" t="s">
        <v>4218</v>
      </c>
      <c r="AQ388" s="80"/>
      <c r="AR388" s="80"/>
      <c r="AS388" s="80"/>
      <c r="AT388" s="80"/>
      <c r="AU388" s="80" t="s">
        <v>3379</v>
      </c>
      <c r="AV388" s="80"/>
      <c r="AW388" s="80"/>
      <c r="AX388" s="80"/>
      <c r="AY388" s="80"/>
      <c r="AZ388" s="80"/>
      <c r="BA388" s="161"/>
      <c r="BB388" s="80"/>
      <c r="BC388" s="80"/>
      <c r="BD388" s="80"/>
      <c r="BE388" s="91"/>
      <c r="BF388" s="91"/>
      <c r="BG388" s="91"/>
      <c r="BH388" s="91"/>
      <c r="BI388" s="91"/>
      <c r="BJ388" s="91"/>
      <c r="BK388" s="91"/>
      <c r="BL388" s="91"/>
      <c r="BM388" s="91"/>
      <c r="BN388" s="91"/>
      <c r="BO388" s="91"/>
      <c r="BP388" s="91"/>
      <c r="BQ388" s="91"/>
      <c r="BR388" s="91"/>
      <c r="BS388" s="91"/>
      <c r="BT388" s="91"/>
      <c r="BU388" s="91"/>
      <c r="BV388" s="91"/>
      <c r="BW388" s="91"/>
      <c r="BX388" s="91"/>
      <c r="BY388" s="91"/>
      <c r="CA388" s="122"/>
      <c r="CB388" s="111"/>
      <c r="CC388" s="201"/>
      <c r="CD388" s="202"/>
      <c r="CE388" s="147"/>
      <c r="CF388" s="143"/>
      <c r="CG388" s="163"/>
      <c r="CH388" s="143"/>
      <c r="CI388" s="143"/>
      <c r="CJ388" s="143"/>
      <c r="CK388" s="163"/>
      <c r="CL388" s="143"/>
      <c r="CM388" s="147"/>
      <c r="CN388" s="147"/>
      <c r="CO388" s="147"/>
      <c r="CP388" s="147"/>
      <c r="CQ388" s="147"/>
      <c r="CR388" s="147"/>
    </row>
    <row r="389" spans="1:96" s="123" customFormat="1" ht="25.15" customHeight="1" outlineLevel="1" x14ac:dyDescent="0.25">
      <c r="A389" s="1" t="s">
        <v>202</v>
      </c>
      <c r="B389" s="80" t="s">
        <v>3295</v>
      </c>
      <c r="C389" s="80"/>
      <c r="D389" s="162"/>
      <c r="E389" s="80" t="s">
        <v>448</v>
      </c>
      <c r="F389" s="80" t="s">
        <v>1207</v>
      </c>
      <c r="G389" s="80" t="s">
        <v>1199</v>
      </c>
      <c r="H389" s="80" t="s">
        <v>29</v>
      </c>
      <c r="I389" s="80"/>
      <c r="J389" s="80"/>
      <c r="K389" s="80" t="s">
        <v>30</v>
      </c>
      <c r="L389" s="80"/>
      <c r="M389" s="80" t="s">
        <v>3386</v>
      </c>
      <c r="N389" s="83" t="s">
        <v>63</v>
      </c>
      <c r="O389" s="80">
        <v>2370</v>
      </c>
      <c r="P389" s="80">
        <v>1833</v>
      </c>
      <c r="Q389" s="80">
        <v>1585</v>
      </c>
      <c r="R389" s="80"/>
      <c r="S389" s="80">
        <v>2403</v>
      </c>
      <c r="T389" s="80">
        <v>1970</v>
      </c>
      <c r="U389" s="80">
        <v>5427</v>
      </c>
      <c r="V389" s="80">
        <v>740</v>
      </c>
      <c r="W389" s="80">
        <v>3275</v>
      </c>
      <c r="X389" s="80">
        <v>1272</v>
      </c>
      <c r="Y389" s="80"/>
      <c r="Z389" s="80"/>
      <c r="AA389" s="80" t="s">
        <v>1219</v>
      </c>
      <c r="AB389" s="80">
        <v>3100</v>
      </c>
      <c r="AC389" s="80">
        <v>525</v>
      </c>
      <c r="AD389" s="80"/>
      <c r="AE389" s="80"/>
      <c r="AF389" s="80"/>
      <c r="AG389" s="80"/>
      <c r="AH389" s="80">
        <v>6.5</v>
      </c>
      <c r="AI389" s="80" t="s">
        <v>3387</v>
      </c>
      <c r="AJ389" s="37" t="s">
        <v>2868</v>
      </c>
      <c r="AK389" s="80" t="s">
        <v>3383</v>
      </c>
      <c r="AL389" s="37" t="s">
        <v>2658</v>
      </c>
      <c r="AM389" s="90" t="s">
        <v>1221</v>
      </c>
      <c r="AN389" s="37" t="s">
        <v>2902</v>
      </c>
      <c r="AO389" s="90" t="s">
        <v>1222</v>
      </c>
      <c r="AP389" s="80" t="s">
        <v>4229</v>
      </c>
      <c r="AQ389" s="90" t="s">
        <v>3388</v>
      </c>
      <c r="AR389" s="80" t="s">
        <v>4190</v>
      </c>
      <c r="AS389" s="80"/>
      <c r="AT389" s="80"/>
      <c r="AU389" s="80" t="s">
        <v>3389</v>
      </c>
      <c r="AV389" s="80"/>
      <c r="AW389" s="80"/>
      <c r="AX389" s="80"/>
      <c r="AY389" s="80"/>
      <c r="AZ389" s="80"/>
      <c r="BA389" s="161"/>
      <c r="BB389" s="80"/>
      <c r="BC389" s="80"/>
      <c r="BD389" s="80"/>
      <c r="BE389" s="91"/>
      <c r="BF389" s="91"/>
      <c r="BG389" s="91"/>
      <c r="BH389" s="91"/>
      <c r="BI389" s="91"/>
      <c r="BJ389" s="91"/>
      <c r="BK389" s="91"/>
      <c r="BL389" s="91"/>
      <c r="BM389" s="91"/>
      <c r="BN389" s="91"/>
      <c r="BO389" s="91"/>
      <c r="BP389" s="91"/>
      <c r="BQ389" s="91"/>
      <c r="BR389" s="91"/>
      <c r="BS389" s="91"/>
      <c r="BT389" s="91"/>
      <c r="BU389" s="91"/>
      <c r="BV389" s="91"/>
      <c r="BW389" s="91"/>
      <c r="BX389" s="91"/>
      <c r="BY389" s="91"/>
      <c r="CA389" s="122"/>
      <c r="CB389" s="111"/>
      <c r="CC389" s="201"/>
      <c r="CD389" s="202"/>
      <c r="CE389" s="147"/>
      <c r="CF389" s="143"/>
      <c r="CG389" s="163"/>
      <c r="CH389" s="143"/>
      <c r="CI389" s="143"/>
      <c r="CJ389" s="143"/>
      <c r="CK389" s="163"/>
      <c r="CL389" s="143"/>
      <c r="CM389" s="147"/>
      <c r="CN389" s="147"/>
      <c r="CO389" s="147"/>
      <c r="CP389" s="147"/>
      <c r="CQ389" s="147"/>
      <c r="CR389" s="147"/>
    </row>
    <row r="390" spans="1:96" s="123" customFormat="1" ht="25.15" customHeight="1" outlineLevel="1" x14ac:dyDescent="0.25">
      <c r="A390" s="1" t="s">
        <v>202</v>
      </c>
      <c r="B390" s="80" t="s">
        <v>3295</v>
      </c>
      <c r="C390" s="80"/>
      <c r="D390" s="162"/>
      <c r="E390" s="80" t="s">
        <v>448</v>
      </c>
      <c r="F390" s="80" t="s">
        <v>1207</v>
      </c>
      <c r="G390" s="80" t="s">
        <v>1199</v>
      </c>
      <c r="H390" s="80" t="s">
        <v>3312</v>
      </c>
      <c r="I390" s="80"/>
      <c r="J390" s="80"/>
      <c r="K390" s="80" t="s">
        <v>30</v>
      </c>
      <c r="L390" s="80"/>
      <c r="M390" s="80" t="s">
        <v>3390</v>
      </c>
      <c r="N390" s="83" t="s">
        <v>63</v>
      </c>
      <c r="O390" s="80">
        <v>2370</v>
      </c>
      <c r="P390" s="80">
        <v>1833</v>
      </c>
      <c r="Q390" s="80">
        <v>1585</v>
      </c>
      <c r="R390" s="80"/>
      <c r="S390" s="80">
        <v>2403</v>
      </c>
      <c r="T390" s="80">
        <v>1970</v>
      </c>
      <c r="U390" s="80">
        <v>5427</v>
      </c>
      <c r="V390" s="80">
        <v>740</v>
      </c>
      <c r="W390" s="80">
        <v>3275</v>
      </c>
      <c r="X390" s="80">
        <v>1272</v>
      </c>
      <c r="Y390" s="80"/>
      <c r="Z390" s="80"/>
      <c r="AA390" s="80" t="s">
        <v>1219</v>
      </c>
      <c r="AB390" s="80">
        <v>3100</v>
      </c>
      <c r="AC390" s="80">
        <v>820</v>
      </c>
      <c r="AD390" s="80"/>
      <c r="AE390" s="80"/>
      <c r="AF390" s="80"/>
      <c r="AG390" s="80"/>
      <c r="AH390" s="80">
        <v>6.5</v>
      </c>
      <c r="AI390" s="80" t="s">
        <v>3387</v>
      </c>
      <c r="AJ390" s="37" t="s">
        <v>2868</v>
      </c>
      <c r="AK390" s="80" t="s">
        <v>3383</v>
      </c>
      <c r="AL390" s="37" t="s">
        <v>2658</v>
      </c>
      <c r="AM390" s="90" t="s">
        <v>1221</v>
      </c>
      <c r="AN390" s="37" t="s">
        <v>2902</v>
      </c>
      <c r="AO390" s="90" t="s">
        <v>1222</v>
      </c>
      <c r="AP390" s="80" t="s">
        <v>4210</v>
      </c>
      <c r="AQ390" s="80"/>
      <c r="AR390" s="80"/>
      <c r="AS390" s="80"/>
      <c r="AT390" s="80"/>
      <c r="AU390" s="80" t="s">
        <v>3391</v>
      </c>
      <c r="AV390" s="80"/>
      <c r="AW390" s="80"/>
      <c r="AX390" s="80"/>
      <c r="AY390" s="80"/>
      <c r="AZ390" s="80"/>
      <c r="BA390" s="161"/>
      <c r="BB390" s="80"/>
      <c r="BC390" s="80"/>
      <c r="BD390" s="80"/>
      <c r="BE390" s="91"/>
      <c r="BF390" s="91"/>
      <c r="BG390" s="91"/>
      <c r="BH390" s="91"/>
      <c r="BI390" s="91"/>
      <c r="BJ390" s="91"/>
      <c r="BK390" s="91"/>
      <c r="BL390" s="91"/>
      <c r="BM390" s="91"/>
      <c r="BN390" s="91"/>
      <c r="BO390" s="91"/>
      <c r="BP390" s="91"/>
      <c r="BQ390" s="91"/>
      <c r="BR390" s="91"/>
      <c r="BS390" s="91"/>
      <c r="BT390" s="91"/>
      <c r="BU390" s="91"/>
      <c r="BV390" s="91"/>
      <c r="BW390" s="91"/>
      <c r="BX390" s="91"/>
      <c r="BY390" s="91"/>
      <c r="CA390" s="122"/>
      <c r="CB390" s="111"/>
      <c r="CC390" s="201"/>
      <c r="CD390" s="202"/>
      <c r="CE390" s="147"/>
      <c r="CF390" s="143"/>
      <c r="CG390" s="163"/>
      <c r="CH390" s="143"/>
      <c r="CI390" s="143"/>
      <c r="CJ390" s="143"/>
      <c r="CK390" s="163"/>
      <c r="CL390" s="143"/>
      <c r="CM390" s="147"/>
      <c r="CN390" s="147"/>
      <c r="CO390" s="147"/>
      <c r="CP390" s="147"/>
      <c r="CQ390" s="147"/>
      <c r="CR390" s="147"/>
    </row>
    <row r="391" spans="1:96" s="123" customFormat="1" ht="25.15" customHeight="1" outlineLevel="1" x14ac:dyDescent="0.25">
      <c r="A391" s="1" t="s">
        <v>202</v>
      </c>
      <c r="B391" s="80" t="s">
        <v>3295</v>
      </c>
      <c r="C391" s="80"/>
      <c r="D391" s="162"/>
      <c r="E391" s="80" t="s">
        <v>448</v>
      </c>
      <c r="F391" s="80" t="s">
        <v>1207</v>
      </c>
      <c r="G391" s="80" t="s">
        <v>1152</v>
      </c>
      <c r="H391" s="80" t="s">
        <v>29</v>
      </c>
      <c r="I391" s="80"/>
      <c r="J391" s="80"/>
      <c r="K391" s="80" t="s">
        <v>1153</v>
      </c>
      <c r="L391" s="80"/>
      <c r="M391" s="80" t="s">
        <v>3392</v>
      </c>
      <c r="N391" s="83" t="s">
        <v>63</v>
      </c>
      <c r="O391" s="80">
        <v>2100</v>
      </c>
      <c r="P391" s="80">
        <v>1325</v>
      </c>
      <c r="Q391" s="80">
        <v>1120</v>
      </c>
      <c r="R391" s="80"/>
      <c r="S391" s="80">
        <v>2070</v>
      </c>
      <c r="T391" s="80">
        <v>1920</v>
      </c>
      <c r="U391" s="80">
        <v>4982</v>
      </c>
      <c r="V391" s="80">
        <v>660</v>
      </c>
      <c r="W391" s="80">
        <v>3275</v>
      </c>
      <c r="X391" s="80">
        <v>803</v>
      </c>
      <c r="Y391" s="80"/>
      <c r="Z391" s="80"/>
      <c r="AA391" s="80" t="s">
        <v>1209</v>
      </c>
      <c r="AB391" s="80">
        <v>3025</v>
      </c>
      <c r="AC391" s="80">
        <v>605</v>
      </c>
      <c r="AD391" s="80"/>
      <c r="AE391" s="80"/>
      <c r="AF391" s="80"/>
      <c r="AG391" s="80"/>
      <c r="AH391" s="80" t="s">
        <v>1187</v>
      </c>
      <c r="AI391" s="80" t="s">
        <v>3393</v>
      </c>
      <c r="AJ391" s="37" t="s">
        <v>2868</v>
      </c>
      <c r="AK391" s="80" t="s">
        <v>3383</v>
      </c>
      <c r="AL391" s="37" t="s">
        <v>2658</v>
      </c>
      <c r="AM391" s="90" t="s">
        <v>1212</v>
      </c>
      <c r="AN391" s="37" t="s">
        <v>2902</v>
      </c>
      <c r="AO391" s="90" t="s">
        <v>1213</v>
      </c>
      <c r="AP391" s="80" t="s">
        <v>4222</v>
      </c>
      <c r="AQ391" s="90" t="s">
        <v>1214</v>
      </c>
      <c r="AR391" s="80" t="s">
        <v>4178</v>
      </c>
      <c r="AS391" s="80"/>
      <c r="AT391" s="80"/>
      <c r="AU391" s="80" t="s">
        <v>1215</v>
      </c>
      <c r="AV391" s="80"/>
      <c r="AW391" s="80"/>
      <c r="AX391" s="80"/>
      <c r="AY391" s="80"/>
      <c r="AZ391" s="80"/>
      <c r="BA391" s="161"/>
      <c r="BB391" s="80"/>
      <c r="BC391" s="80"/>
      <c r="BD391" s="80"/>
      <c r="BE391" s="91"/>
      <c r="BF391" s="91"/>
      <c r="BG391" s="91"/>
      <c r="BH391" s="91"/>
      <c r="BI391" s="91"/>
      <c r="BJ391" s="91"/>
      <c r="BK391" s="91"/>
      <c r="BL391" s="91"/>
      <c r="BM391" s="91"/>
      <c r="BN391" s="91"/>
      <c r="BO391" s="91"/>
      <c r="BP391" s="91"/>
      <c r="BQ391" s="91"/>
      <c r="BR391" s="91"/>
      <c r="BS391" s="91"/>
      <c r="BT391" s="91"/>
      <c r="BU391" s="91"/>
      <c r="BV391" s="91"/>
      <c r="BW391" s="91"/>
      <c r="BX391" s="91"/>
      <c r="BY391" s="91"/>
      <c r="CA391" s="122"/>
      <c r="CB391" s="111"/>
      <c r="CC391" s="201"/>
      <c r="CD391" s="202"/>
      <c r="CE391" s="147"/>
      <c r="CF391" s="143"/>
      <c r="CG391" s="163"/>
      <c r="CH391" s="143"/>
      <c r="CI391" s="143"/>
      <c r="CJ391" s="143"/>
      <c r="CK391" s="163"/>
      <c r="CL391" s="143"/>
      <c r="CM391" s="147"/>
      <c r="CN391" s="147"/>
      <c r="CO391" s="147"/>
      <c r="CP391" s="147"/>
      <c r="CQ391" s="147"/>
      <c r="CR391" s="147"/>
    </row>
    <row r="392" spans="1:96" s="123" customFormat="1" ht="25.15" customHeight="1" outlineLevel="1" x14ac:dyDescent="0.25">
      <c r="A392" s="1" t="s">
        <v>202</v>
      </c>
      <c r="B392" s="80" t="s">
        <v>3295</v>
      </c>
      <c r="C392" s="80"/>
      <c r="D392" s="162"/>
      <c r="E392" s="80" t="s">
        <v>448</v>
      </c>
      <c r="F392" s="80" t="s">
        <v>1184</v>
      </c>
      <c r="G392" s="80" t="s">
        <v>1199</v>
      </c>
      <c r="H392" s="80" t="s">
        <v>29</v>
      </c>
      <c r="I392" s="80"/>
      <c r="J392" s="80"/>
      <c r="K392" s="80" t="s">
        <v>30</v>
      </c>
      <c r="L392" s="80"/>
      <c r="M392" s="80" t="s">
        <v>3402</v>
      </c>
      <c r="N392" s="83" t="s">
        <v>63</v>
      </c>
      <c r="O392" s="80">
        <v>2330</v>
      </c>
      <c r="P392" s="80">
        <v>1833</v>
      </c>
      <c r="Q392" s="80">
        <v>1585</v>
      </c>
      <c r="R392" s="80"/>
      <c r="S392" s="80">
        <v>2403</v>
      </c>
      <c r="T392" s="80">
        <v>1970</v>
      </c>
      <c r="U392" s="80">
        <v>5427</v>
      </c>
      <c r="V392" s="80">
        <v>740</v>
      </c>
      <c r="W392" s="80">
        <v>3275</v>
      </c>
      <c r="X392" s="80">
        <v>1172</v>
      </c>
      <c r="Y392" s="80"/>
      <c r="Z392" s="80"/>
      <c r="AA392" s="80" t="s">
        <v>1201</v>
      </c>
      <c r="AB392" s="80">
        <v>3100</v>
      </c>
      <c r="AC392" s="80">
        <v>1075</v>
      </c>
      <c r="AD392" s="80"/>
      <c r="AE392" s="80"/>
      <c r="AF392" s="80"/>
      <c r="AG392" s="80"/>
      <c r="AH392" s="80">
        <v>6.5</v>
      </c>
      <c r="AI392" s="80" t="s">
        <v>3403</v>
      </c>
      <c r="AJ392" s="37" t="s">
        <v>2868</v>
      </c>
      <c r="AK392" s="80" t="s">
        <v>3400</v>
      </c>
      <c r="AL392" s="80" t="s">
        <v>4304</v>
      </c>
      <c r="AM392" s="90" t="s">
        <v>1203</v>
      </c>
      <c r="AN392" s="80" t="s">
        <v>4288</v>
      </c>
      <c r="AO392" s="90" t="s">
        <v>1204</v>
      </c>
      <c r="AP392" s="80" t="s">
        <v>4228</v>
      </c>
      <c r="AQ392" s="90" t="s">
        <v>3401</v>
      </c>
      <c r="AR392" s="80" t="s">
        <v>4180</v>
      </c>
      <c r="AS392" s="80"/>
      <c r="AT392" s="80"/>
      <c r="AU392" s="80" t="s">
        <v>3404</v>
      </c>
      <c r="AV392" s="80"/>
      <c r="AW392" s="80"/>
      <c r="AX392" s="80"/>
      <c r="AY392" s="80"/>
      <c r="AZ392" s="80"/>
      <c r="BA392" s="161"/>
      <c r="BB392" s="80"/>
      <c r="BC392" s="80"/>
      <c r="BD392" s="80"/>
      <c r="BE392" s="91"/>
      <c r="BF392" s="91"/>
      <c r="BG392" s="91"/>
      <c r="BH392" s="91"/>
      <c r="BI392" s="91"/>
      <c r="BJ392" s="91"/>
      <c r="BK392" s="91"/>
      <c r="BL392" s="91"/>
      <c r="BM392" s="91"/>
      <c r="BN392" s="91"/>
      <c r="BO392" s="91"/>
      <c r="BP392" s="91"/>
      <c r="BQ392" s="91"/>
      <c r="BR392" s="91"/>
      <c r="BS392" s="91"/>
      <c r="BT392" s="91"/>
      <c r="BU392" s="91"/>
      <c r="BV392" s="91"/>
      <c r="BW392" s="91"/>
      <c r="BX392" s="91"/>
      <c r="BY392" s="91"/>
      <c r="CA392" s="122"/>
      <c r="CB392" s="111"/>
      <c r="CC392" s="201"/>
      <c r="CD392" s="202"/>
      <c r="CE392" s="147"/>
      <c r="CF392" s="143"/>
      <c r="CG392" s="163"/>
      <c r="CH392" s="143"/>
      <c r="CI392" s="143"/>
      <c r="CJ392" s="143"/>
      <c r="CK392" s="163"/>
      <c r="CL392" s="143"/>
      <c r="CM392" s="147"/>
      <c r="CN392" s="147"/>
      <c r="CO392" s="147"/>
      <c r="CP392" s="147"/>
      <c r="CQ392" s="147"/>
      <c r="CR392" s="147"/>
    </row>
    <row r="393" spans="1:96" s="123" customFormat="1" ht="25.15" customHeight="1" outlineLevel="1" x14ac:dyDescent="0.25">
      <c r="A393" s="1" t="s">
        <v>202</v>
      </c>
      <c r="B393" s="80" t="s">
        <v>3295</v>
      </c>
      <c r="C393" s="80"/>
      <c r="D393" s="162"/>
      <c r="E393" s="80" t="s">
        <v>448</v>
      </c>
      <c r="F393" s="80" t="s">
        <v>1184</v>
      </c>
      <c r="G393" s="80" t="s">
        <v>1199</v>
      </c>
      <c r="H393" s="80" t="s">
        <v>3312</v>
      </c>
      <c r="I393" s="80"/>
      <c r="J393" s="80"/>
      <c r="K393" s="80" t="s">
        <v>30</v>
      </c>
      <c r="L393" s="80"/>
      <c r="M393" s="80" t="s">
        <v>3405</v>
      </c>
      <c r="N393" s="83" t="s">
        <v>63</v>
      </c>
      <c r="O393" s="80">
        <v>2330</v>
      </c>
      <c r="P393" s="80">
        <v>1833</v>
      </c>
      <c r="Q393" s="80">
        <v>1585</v>
      </c>
      <c r="R393" s="80"/>
      <c r="S393" s="80">
        <v>2403</v>
      </c>
      <c r="T393" s="80">
        <v>1970</v>
      </c>
      <c r="U393" s="80">
        <v>5427</v>
      </c>
      <c r="V393" s="80">
        <v>740</v>
      </c>
      <c r="W393" s="80">
        <v>3275</v>
      </c>
      <c r="X393" s="80">
        <v>1172</v>
      </c>
      <c r="Y393" s="80"/>
      <c r="Z393" s="80"/>
      <c r="AA393" s="80" t="s">
        <v>1201</v>
      </c>
      <c r="AB393" s="80">
        <v>3100</v>
      </c>
      <c r="AC393" s="80">
        <v>1175</v>
      </c>
      <c r="AD393" s="80"/>
      <c r="AE393" s="80"/>
      <c r="AF393" s="80"/>
      <c r="AG393" s="80"/>
      <c r="AH393" s="80">
        <v>6.5</v>
      </c>
      <c r="AI393" s="80" t="s">
        <v>3403</v>
      </c>
      <c r="AJ393" s="37" t="s">
        <v>2868</v>
      </c>
      <c r="AK393" s="80" t="s">
        <v>3400</v>
      </c>
      <c r="AL393" s="37" t="s">
        <v>2658</v>
      </c>
      <c r="AM393" s="90" t="s">
        <v>1203</v>
      </c>
      <c r="AN393" s="80" t="s">
        <v>4288</v>
      </c>
      <c r="AO393" s="90" t="s">
        <v>1204</v>
      </c>
      <c r="AP393" s="80" t="s">
        <v>4211</v>
      </c>
      <c r="AQ393" s="80"/>
      <c r="AR393" s="80"/>
      <c r="AS393" s="80"/>
      <c r="AT393" s="80"/>
      <c r="AU393" s="80" t="s">
        <v>3391</v>
      </c>
      <c r="AV393" s="80"/>
      <c r="AW393" s="80"/>
      <c r="AX393" s="80"/>
      <c r="AY393" s="80"/>
      <c r="AZ393" s="80"/>
      <c r="BA393" s="161"/>
      <c r="BB393" s="80"/>
      <c r="BC393" s="80"/>
      <c r="BD393" s="80"/>
      <c r="BE393" s="91"/>
      <c r="BF393" s="91"/>
      <c r="BG393" s="91"/>
      <c r="BH393" s="91"/>
      <c r="BI393" s="91"/>
      <c r="BJ393" s="91"/>
      <c r="BK393" s="91"/>
      <c r="BL393" s="91"/>
      <c r="BM393" s="91"/>
      <c r="BN393" s="91"/>
      <c r="BO393" s="91"/>
      <c r="BP393" s="91"/>
      <c r="BQ393" s="91"/>
      <c r="BR393" s="91"/>
      <c r="BS393" s="91"/>
      <c r="BT393" s="91"/>
      <c r="BU393" s="91"/>
      <c r="BV393" s="91"/>
      <c r="BW393" s="91"/>
      <c r="BX393" s="91"/>
      <c r="BY393" s="91"/>
      <c r="CA393" s="122"/>
      <c r="CB393" s="111"/>
      <c r="CC393" s="201"/>
      <c r="CD393" s="202"/>
      <c r="CE393" s="147"/>
      <c r="CF393" s="143"/>
      <c r="CG393" s="163"/>
      <c r="CH393" s="143"/>
      <c r="CI393" s="143"/>
      <c r="CJ393" s="143"/>
      <c r="CK393" s="163"/>
      <c r="CL393" s="143"/>
      <c r="CM393" s="147"/>
      <c r="CN393" s="147"/>
      <c r="CO393" s="147"/>
      <c r="CP393" s="147"/>
      <c r="CQ393" s="147"/>
      <c r="CR393" s="147"/>
    </row>
    <row r="394" spans="1:96" s="123" customFormat="1" ht="25.15" customHeight="1" outlineLevel="1" x14ac:dyDescent="0.25">
      <c r="A394" s="1" t="s">
        <v>202</v>
      </c>
      <c r="B394" s="80" t="s">
        <v>3295</v>
      </c>
      <c r="C394" s="80"/>
      <c r="D394" s="162"/>
      <c r="E394" s="80" t="s">
        <v>448</v>
      </c>
      <c r="F394" s="80" t="s">
        <v>1184</v>
      </c>
      <c r="G394" s="80" t="s">
        <v>1152</v>
      </c>
      <c r="H394" s="80" t="s">
        <v>29</v>
      </c>
      <c r="I394" s="80"/>
      <c r="J394" s="80"/>
      <c r="K394" s="80" t="s">
        <v>1153</v>
      </c>
      <c r="L394" s="80"/>
      <c r="M394" s="80" t="s">
        <v>3408</v>
      </c>
      <c r="N394" s="83" t="s">
        <v>63</v>
      </c>
      <c r="O394" s="80">
        <v>2100</v>
      </c>
      <c r="P394" s="80">
        <v>1325</v>
      </c>
      <c r="Q394" s="80">
        <v>1120</v>
      </c>
      <c r="R394" s="80"/>
      <c r="S394" s="80">
        <v>2070</v>
      </c>
      <c r="T394" s="80">
        <v>1920</v>
      </c>
      <c r="U394" s="80">
        <v>4982</v>
      </c>
      <c r="V394" s="80">
        <v>660</v>
      </c>
      <c r="W394" s="80">
        <v>3275</v>
      </c>
      <c r="X394" s="80">
        <v>803</v>
      </c>
      <c r="Y394" s="80"/>
      <c r="Z394" s="80"/>
      <c r="AA394" s="80" t="s">
        <v>1186</v>
      </c>
      <c r="AB394" s="80">
        <v>2830</v>
      </c>
      <c r="AC394" s="80">
        <v>775</v>
      </c>
      <c r="AD394" s="80"/>
      <c r="AE394" s="80"/>
      <c r="AF394" s="80"/>
      <c r="AG394" s="80"/>
      <c r="AH394" s="80" t="s">
        <v>1187</v>
      </c>
      <c r="AI394" s="80" t="s">
        <v>3409</v>
      </c>
      <c r="AJ394" s="37" t="s">
        <v>2868</v>
      </c>
      <c r="AK394" s="80" t="s">
        <v>3400</v>
      </c>
      <c r="AL394" s="80" t="s">
        <v>4303</v>
      </c>
      <c r="AM394" s="90" t="s">
        <v>1190</v>
      </c>
      <c r="AN394" s="80" t="s">
        <v>4295</v>
      </c>
      <c r="AO394" s="90" t="s">
        <v>1191</v>
      </c>
      <c r="AP394" s="80" t="s">
        <v>4215</v>
      </c>
      <c r="AQ394" s="90" t="s">
        <v>1192</v>
      </c>
      <c r="AR394" s="80" t="s">
        <v>4189</v>
      </c>
      <c r="AS394" s="80"/>
      <c r="AT394" s="80"/>
      <c r="AU394" s="80" t="s">
        <v>1193</v>
      </c>
      <c r="AV394" s="80"/>
      <c r="AW394" s="80"/>
      <c r="AX394" s="80"/>
      <c r="AY394" s="80"/>
      <c r="AZ394" s="80"/>
      <c r="BA394" s="161"/>
      <c r="BB394" s="80"/>
      <c r="BC394" s="80"/>
      <c r="BD394" s="80"/>
      <c r="BE394" s="91"/>
      <c r="BF394" s="91"/>
      <c r="BG394" s="91"/>
      <c r="BH394" s="91"/>
      <c r="BI394" s="91"/>
      <c r="BJ394" s="91"/>
      <c r="BK394" s="91"/>
      <c r="BL394" s="91"/>
      <c r="BM394" s="91"/>
      <c r="BN394" s="91"/>
      <c r="BO394" s="91"/>
      <c r="BP394" s="91"/>
      <c r="BQ394" s="91"/>
      <c r="BR394" s="91"/>
      <c r="BS394" s="91"/>
      <c r="BT394" s="91"/>
      <c r="BU394" s="91"/>
      <c r="BV394" s="91"/>
      <c r="BW394" s="91"/>
      <c r="BX394" s="91"/>
      <c r="BY394" s="91"/>
      <c r="CA394" s="122"/>
      <c r="CB394" s="111"/>
      <c r="CC394" s="201"/>
      <c r="CD394" s="202"/>
      <c r="CE394" s="147"/>
      <c r="CF394" s="143"/>
      <c r="CG394" s="163"/>
      <c r="CH394" s="143"/>
      <c r="CI394" s="143"/>
      <c r="CJ394" s="143"/>
      <c r="CK394" s="163"/>
      <c r="CL394" s="143"/>
      <c r="CM394" s="147"/>
      <c r="CN394" s="147"/>
      <c r="CO394" s="147"/>
      <c r="CP394" s="147"/>
      <c r="CQ394" s="147"/>
      <c r="CR394" s="147"/>
    </row>
    <row r="395" spans="1:96" s="123" customFormat="1" ht="25.15" customHeight="1" outlineLevel="1" x14ac:dyDescent="0.25">
      <c r="A395" s="1" t="s">
        <v>202</v>
      </c>
      <c r="B395" s="80" t="s">
        <v>3295</v>
      </c>
      <c r="C395" s="80"/>
      <c r="D395" s="162"/>
      <c r="E395" s="80" t="s">
        <v>448</v>
      </c>
      <c r="F395" s="80" t="s">
        <v>1184</v>
      </c>
      <c r="G395" s="80" t="s">
        <v>1152</v>
      </c>
      <c r="H395" s="80" t="s">
        <v>29</v>
      </c>
      <c r="I395" s="80"/>
      <c r="J395" s="80"/>
      <c r="K395" s="80" t="s">
        <v>3410</v>
      </c>
      <c r="L395" s="80"/>
      <c r="M395" s="80" t="s">
        <v>3408</v>
      </c>
      <c r="N395" s="83" t="s">
        <v>456</v>
      </c>
      <c r="O395" s="80">
        <v>2434</v>
      </c>
      <c r="P395" s="80">
        <v>1282</v>
      </c>
      <c r="Q395" s="80">
        <v>1178</v>
      </c>
      <c r="R395" s="80"/>
      <c r="S395" s="80">
        <v>2070</v>
      </c>
      <c r="T395" s="80">
        <v>1920</v>
      </c>
      <c r="U395" s="80">
        <v>5309</v>
      </c>
      <c r="V395" s="80">
        <v>657</v>
      </c>
      <c r="W395" s="80">
        <v>3275</v>
      </c>
      <c r="X395" s="80">
        <v>1153</v>
      </c>
      <c r="Y395" s="80"/>
      <c r="Z395" s="80"/>
      <c r="AA395" s="80" t="s">
        <v>1194</v>
      </c>
      <c r="AB395" s="80">
        <v>3100</v>
      </c>
      <c r="AC395" s="80">
        <v>985</v>
      </c>
      <c r="AD395" s="80"/>
      <c r="AE395" s="80"/>
      <c r="AF395" s="80"/>
      <c r="AG395" s="80"/>
      <c r="AH395" s="80">
        <v>3.7</v>
      </c>
      <c r="AI395" s="80" t="s">
        <v>3409</v>
      </c>
      <c r="AJ395" s="37" t="s">
        <v>2868</v>
      </c>
      <c r="AK395" s="80" t="s">
        <v>3400</v>
      </c>
      <c r="AL395" s="80" t="s">
        <v>4303</v>
      </c>
      <c r="AM395" s="90" t="s">
        <v>1190</v>
      </c>
      <c r="AN395" s="80" t="s">
        <v>4295</v>
      </c>
      <c r="AO395" s="90" t="s">
        <v>3411</v>
      </c>
      <c r="AP395" s="80" t="s">
        <v>4216</v>
      </c>
      <c r="AQ395" s="90" t="s">
        <v>3412</v>
      </c>
      <c r="AR395" s="80" t="s">
        <v>4188</v>
      </c>
      <c r="AS395" s="80"/>
      <c r="AT395" s="80"/>
      <c r="AU395" s="80" t="s">
        <v>1196</v>
      </c>
      <c r="AV395" s="80"/>
      <c r="AW395" s="80"/>
      <c r="AX395" s="80"/>
      <c r="AY395" s="80"/>
      <c r="AZ395" s="80"/>
      <c r="BA395" s="161"/>
      <c r="BB395" s="80"/>
      <c r="BC395" s="80"/>
      <c r="BD395" s="80"/>
      <c r="BE395" s="91"/>
      <c r="BF395" s="91"/>
      <c r="BG395" s="91"/>
      <c r="BH395" s="91"/>
      <c r="BI395" s="91"/>
      <c r="BJ395" s="91"/>
      <c r="BK395" s="91"/>
      <c r="BL395" s="91"/>
      <c r="BM395" s="91"/>
      <c r="BN395" s="91"/>
      <c r="BO395" s="91"/>
      <c r="BP395" s="91"/>
      <c r="BQ395" s="91"/>
      <c r="BR395" s="91"/>
      <c r="BS395" s="91"/>
      <c r="BT395" s="91"/>
      <c r="BU395" s="91"/>
      <c r="BV395" s="91"/>
      <c r="BW395" s="91"/>
      <c r="BX395" s="91"/>
      <c r="BY395" s="91"/>
      <c r="CA395" s="122"/>
      <c r="CB395" s="111"/>
      <c r="CC395" s="201"/>
      <c r="CD395" s="202"/>
      <c r="CE395" s="147"/>
      <c r="CF395" s="143"/>
      <c r="CG395" s="163"/>
      <c r="CH395" s="143"/>
      <c r="CI395" s="143"/>
      <c r="CJ395" s="143"/>
      <c r="CK395" s="163"/>
      <c r="CL395" s="143"/>
      <c r="CM395" s="147"/>
      <c r="CN395" s="147"/>
      <c r="CO395" s="147"/>
      <c r="CP395" s="147"/>
      <c r="CQ395" s="147"/>
      <c r="CR395" s="147"/>
    </row>
    <row r="396" spans="1:96" s="123" customFormat="1" ht="25.15" customHeight="1" outlineLevel="1" x14ac:dyDescent="0.25">
      <c r="A396" s="1" t="s">
        <v>202</v>
      </c>
      <c r="B396" s="80" t="s">
        <v>3295</v>
      </c>
      <c r="C396" s="80"/>
      <c r="D396" s="162"/>
      <c r="E396" s="80" t="s">
        <v>448</v>
      </c>
      <c r="F396" s="80" t="s">
        <v>1184</v>
      </c>
      <c r="G396" s="80" t="s">
        <v>1152</v>
      </c>
      <c r="H396" s="80" t="s">
        <v>3312</v>
      </c>
      <c r="I396" s="80"/>
      <c r="J396" s="80"/>
      <c r="K396" s="80" t="s">
        <v>3410</v>
      </c>
      <c r="L396" s="80"/>
      <c r="M396" s="80" t="s">
        <v>3415</v>
      </c>
      <c r="N396" s="83" t="s">
        <v>63</v>
      </c>
      <c r="O396" s="80">
        <v>2074</v>
      </c>
      <c r="P396" s="80">
        <v>1282</v>
      </c>
      <c r="Q396" s="80">
        <v>1178</v>
      </c>
      <c r="R396" s="80"/>
      <c r="S396" s="80">
        <v>1895</v>
      </c>
      <c r="T396" s="80">
        <v>1920</v>
      </c>
      <c r="U396" s="80">
        <v>4956</v>
      </c>
      <c r="V396" s="80">
        <v>657</v>
      </c>
      <c r="W396" s="80">
        <v>3275</v>
      </c>
      <c r="X396" s="80">
        <v>803</v>
      </c>
      <c r="Y396" s="80"/>
      <c r="Z396" s="80"/>
      <c r="AA396" s="80" t="s">
        <v>3416</v>
      </c>
      <c r="AB396" s="80">
        <v>2660</v>
      </c>
      <c r="AC396" s="80">
        <v>875</v>
      </c>
      <c r="AD396" s="80"/>
      <c r="AE396" s="80"/>
      <c r="AF396" s="80"/>
      <c r="AG396" s="80"/>
      <c r="AH396" s="80" t="s">
        <v>1187</v>
      </c>
      <c r="AI396" s="80" t="s">
        <v>3409</v>
      </c>
      <c r="AJ396" s="37" t="s">
        <v>2868</v>
      </c>
      <c r="AK396" s="80" t="s">
        <v>3400</v>
      </c>
      <c r="AL396" s="80" t="s">
        <v>4300</v>
      </c>
      <c r="AM396" s="90" t="s">
        <v>1190</v>
      </c>
      <c r="AN396" s="80" t="s">
        <v>4295</v>
      </c>
      <c r="AO396" s="90" t="s">
        <v>3417</v>
      </c>
      <c r="AP396" s="80" t="s">
        <v>4217</v>
      </c>
      <c r="AQ396" s="80"/>
      <c r="AR396" s="80"/>
      <c r="AS396" s="80"/>
      <c r="AT396" s="80"/>
      <c r="AU396" s="80" t="s">
        <v>3418</v>
      </c>
      <c r="AV396" s="80"/>
      <c r="AW396" s="80"/>
      <c r="AX396" s="80"/>
      <c r="AY396" s="80"/>
      <c r="AZ396" s="80"/>
      <c r="BA396" s="161"/>
      <c r="BB396" s="80"/>
      <c r="BC396" s="80"/>
      <c r="BD396" s="80"/>
      <c r="BE396" s="91"/>
      <c r="BF396" s="91"/>
      <c r="BG396" s="91"/>
      <c r="BH396" s="91"/>
      <c r="BI396" s="91"/>
      <c r="BJ396" s="91"/>
      <c r="BK396" s="91"/>
      <c r="BL396" s="91"/>
      <c r="BM396" s="91"/>
      <c r="BN396" s="91"/>
      <c r="BO396" s="91"/>
      <c r="BP396" s="91"/>
      <c r="BQ396" s="91"/>
      <c r="BR396" s="91"/>
      <c r="BS396" s="91"/>
      <c r="BT396" s="91"/>
      <c r="BU396" s="91"/>
      <c r="BV396" s="91"/>
      <c r="BW396" s="91"/>
      <c r="BX396" s="91"/>
      <c r="BY396" s="91"/>
      <c r="CA396" s="122"/>
      <c r="CB396" s="111"/>
      <c r="CC396" s="201"/>
      <c r="CD396" s="202"/>
      <c r="CE396" s="147"/>
      <c r="CF396" s="143"/>
      <c r="CG396" s="163"/>
      <c r="CH396" s="143"/>
      <c r="CI396" s="143"/>
      <c r="CJ396" s="143"/>
      <c r="CK396" s="163"/>
      <c r="CL396" s="143"/>
      <c r="CM396" s="147"/>
      <c r="CN396" s="147"/>
      <c r="CO396" s="147"/>
      <c r="CP396" s="147"/>
      <c r="CQ396" s="147"/>
      <c r="CR396" s="147"/>
    </row>
    <row r="397" spans="1:96" s="123" customFormat="1" ht="25.15" customHeight="1" outlineLevel="1" x14ac:dyDescent="0.25">
      <c r="A397" s="1" t="s">
        <v>202</v>
      </c>
      <c r="B397" s="80" t="s">
        <v>3295</v>
      </c>
      <c r="C397" s="80"/>
      <c r="D397" s="162"/>
      <c r="E397" s="80" t="s">
        <v>448</v>
      </c>
      <c r="F397" s="80" t="s">
        <v>1184</v>
      </c>
      <c r="G397" s="80" t="s">
        <v>1152</v>
      </c>
      <c r="H397" s="80" t="s">
        <v>3312</v>
      </c>
      <c r="I397" s="80"/>
      <c r="J397" s="80"/>
      <c r="K397" s="80" t="s">
        <v>3410</v>
      </c>
      <c r="L397" s="80"/>
      <c r="M397" s="80" t="s">
        <v>3415</v>
      </c>
      <c r="N397" s="83" t="s">
        <v>456</v>
      </c>
      <c r="O397" s="80">
        <v>2434</v>
      </c>
      <c r="P397" s="80">
        <v>1282</v>
      </c>
      <c r="Q397" s="80">
        <v>1178</v>
      </c>
      <c r="R397" s="80"/>
      <c r="S397" s="80">
        <v>2070</v>
      </c>
      <c r="T397" s="80">
        <v>1920</v>
      </c>
      <c r="U397" s="80">
        <v>5309</v>
      </c>
      <c r="V397" s="80">
        <v>657</v>
      </c>
      <c r="W397" s="80">
        <v>3275</v>
      </c>
      <c r="X397" s="80">
        <v>1153</v>
      </c>
      <c r="Y397" s="80"/>
      <c r="Z397" s="80"/>
      <c r="AA397" s="80" t="s">
        <v>1194</v>
      </c>
      <c r="AB397" s="80">
        <v>3100</v>
      </c>
      <c r="AC397" s="80">
        <v>1085</v>
      </c>
      <c r="AD397" s="80"/>
      <c r="AE397" s="80"/>
      <c r="AF397" s="80"/>
      <c r="AG397" s="80"/>
      <c r="AH397" s="80">
        <v>3.7</v>
      </c>
      <c r="AI397" s="80" t="s">
        <v>3409</v>
      </c>
      <c r="AJ397" s="37" t="s">
        <v>2868</v>
      </c>
      <c r="AK397" s="80" t="s">
        <v>3400</v>
      </c>
      <c r="AL397" s="80" t="s">
        <v>4300</v>
      </c>
      <c r="AM397" s="90" t="s">
        <v>1190</v>
      </c>
      <c r="AN397" s="80" t="s">
        <v>4295</v>
      </c>
      <c r="AO397" s="90" t="s">
        <v>3419</v>
      </c>
      <c r="AP397" s="80" t="s">
        <v>4214</v>
      </c>
      <c r="AQ397" s="80"/>
      <c r="AR397" s="80"/>
      <c r="AS397" s="80"/>
      <c r="AT397" s="80"/>
      <c r="AU397" s="80" t="s">
        <v>3420</v>
      </c>
      <c r="AV397" s="80"/>
      <c r="AW397" s="80"/>
      <c r="AX397" s="80"/>
      <c r="AY397" s="80"/>
      <c r="AZ397" s="80"/>
      <c r="BA397" s="161"/>
      <c r="BB397" s="80"/>
      <c r="BC397" s="80"/>
      <c r="BD397" s="80"/>
      <c r="BE397" s="91"/>
      <c r="BF397" s="91"/>
      <c r="BG397" s="91"/>
      <c r="BH397" s="91"/>
      <c r="BI397" s="91"/>
      <c r="BJ397" s="91"/>
      <c r="BK397" s="91"/>
      <c r="BL397" s="91"/>
      <c r="BM397" s="91"/>
      <c r="BN397" s="91"/>
      <c r="BO397" s="91"/>
      <c r="BP397" s="91"/>
      <c r="BQ397" s="91"/>
      <c r="BR397" s="91"/>
      <c r="BS397" s="91"/>
      <c r="BT397" s="91"/>
      <c r="BU397" s="91"/>
      <c r="BV397" s="91"/>
      <c r="BW397" s="91"/>
      <c r="BX397" s="91"/>
      <c r="BY397" s="91"/>
      <c r="CA397" s="122"/>
      <c r="CB397" s="111"/>
      <c r="CC397" s="201"/>
      <c r="CD397" s="202"/>
      <c r="CE397" s="147"/>
      <c r="CF397" s="143"/>
      <c r="CG397" s="163"/>
      <c r="CH397" s="143"/>
      <c r="CI397" s="143"/>
      <c r="CJ397" s="143"/>
      <c r="CK397" s="163"/>
      <c r="CL397" s="143"/>
      <c r="CM397" s="147"/>
      <c r="CN397" s="147"/>
      <c r="CO397" s="147"/>
      <c r="CP397" s="147"/>
      <c r="CQ397" s="147"/>
      <c r="CR397" s="147"/>
    </row>
    <row r="398" spans="1:96" s="123" customFormat="1" ht="25.15" customHeight="1" outlineLevel="1" x14ac:dyDescent="0.25">
      <c r="A398" s="1" t="s">
        <v>202</v>
      </c>
      <c r="B398" s="80" t="s">
        <v>3295</v>
      </c>
      <c r="C398" s="80"/>
      <c r="D398" s="162"/>
      <c r="E398" s="80" t="s">
        <v>33</v>
      </c>
      <c r="F398" s="80" t="s">
        <v>34</v>
      </c>
      <c r="G398" s="80" t="s">
        <v>85</v>
      </c>
      <c r="H398" s="80" t="s">
        <v>29</v>
      </c>
      <c r="I398" s="80"/>
      <c r="J398" s="80"/>
      <c r="K398" s="80" t="s">
        <v>30</v>
      </c>
      <c r="L398" s="80"/>
      <c r="M398" s="80" t="s">
        <v>3471</v>
      </c>
      <c r="N398" s="83" t="s">
        <v>63</v>
      </c>
      <c r="O398" s="80">
        <v>3228</v>
      </c>
      <c r="P398" s="80">
        <v>1908</v>
      </c>
      <c r="Q398" s="80">
        <v>1950</v>
      </c>
      <c r="R398" s="80"/>
      <c r="S398" s="80">
        <v>2936</v>
      </c>
      <c r="T398" s="80">
        <v>2050</v>
      </c>
      <c r="U398" s="80">
        <v>5932</v>
      </c>
      <c r="V398" s="80">
        <v>895</v>
      </c>
      <c r="W398" s="80">
        <v>3450</v>
      </c>
      <c r="X398" s="80">
        <v>1425</v>
      </c>
      <c r="Y398" s="80"/>
      <c r="Z398" s="80">
        <v>5</v>
      </c>
      <c r="AA398" s="80" t="s">
        <v>1299</v>
      </c>
      <c r="AB398" s="80">
        <v>3500</v>
      </c>
      <c r="AC398" s="80">
        <v>820</v>
      </c>
      <c r="AD398" s="80"/>
      <c r="AE398" s="80"/>
      <c r="AF398" s="80"/>
      <c r="AG398" s="80"/>
      <c r="AH398" s="80">
        <v>12</v>
      </c>
      <c r="AI398" s="80" t="s">
        <v>3472</v>
      </c>
      <c r="AJ398" s="37" t="s">
        <v>2868</v>
      </c>
      <c r="AK398" s="80" t="s">
        <v>1275</v>
      </c>
      <c r="AL398" s="80" t="s">
        <v>4310</v>
      </c>
      <c r="AM398" s="90" t="s">
        <v>1301</v>
      </c>
      <c r="AN398" s="80" t="s">
        <v>4289</v>
      </c>
      <c r="AO398" s="90" t="s">
        <v>1302</v>
      </c>
      <c r="AP398" s="80" t="s">
        <v>4231</v>
      </c>
      <c r="AQ398" s="90" t="s">
        <v>3473</v>
      </c>
      <c r="AR398" s="80" t="s">
        <v>4184</v>
      </c>
      <c r="AS398" s="80"/>
      <c r="AT398" s="80"/>
      <c r="AU398" s="80" t="s">
        <v>1304</v>
      </c>
      <c r="AV398" s="80"/>
      <c r="AW398" s="80"/>
      <c r="AX398" s="80"/>
      <c r="AY398" s="80"/>
      <c r="AZ398" s="80"/>
      <c r="BA398" s="161"/>
      <c r="BB398" s="80"/>
      <c r="BC398" s="80"/>
      <c r="BD398" s="80"/>
      <c r="BE398" s="91"/>
      <c r="BF398" s="91"/>
      <c r="BG398" s="91"/>
      <c r="BH398" s="91"/>
      <c r="BI398" s="91"/>
      <c r="BJ398" s="91"/>
      <c r="BK398" s="91"/>
      <c r="BL398" s="91"/>
      <c r="BM398" s="91"/>
      <c r="BN398" s="91"/>
      <c r="BO398" s="91"/>
      <c r="BP398" s="91"/>
      <c r="BQ398" s="91"/>
      <c r="BR398" s="91"/>
      <c r="BS398" s="91"/>
      <c r="BT398" s="91"/>
      <c r="BU398" s="91"/>
      <c r="BV398" s="91"/>
      <c r="BW398" s="91"/>
      <c r="BX398" s="91"/>
      <c r="BY398" s="91"/>
      <c r="CA398" s="122"/>
      <c r="CB398" s="111"/>
      <c r="CC398" s="201"/>
      <c r="CD398" s="202"/>
      <c r="CE398" s="147"/>
      <c r="CF398" s="143"/>
      <c r="CG398" s="163"/>
      <c r="CH398" s="143"/>
      <c r="CI398" s="143"/>
      <c r="CJ398" s="143"/>
      <c r="CK398" s="163"/>
      <c r="CL398" s="143"/>
      <c r="CM398" s="147"/>
      <c r="CN398" s="147"/>
      <c r="CO398" s="147"/>
      <c r="CP398" s="147"/>
      <c r="CQ398" s="147"/>
      <c r="CR398" s="147"/>
    </row>
    <row r="399" spans="1:96" s="123" customFormat="1" ht="25.15" customHeight="1" outlineLevel="1" x14ac:dyDescent="0.25">
      <c r="A399" s="1" t="s">
        <v>202</v>
      </c>
      <c r="B399" s="80" t="s">
        <v>3295</v>
      </c>
      <c r="C399" s="80"/>
      <c r="D399" s="162"/>
      <c r="E399" s="80" t="s">
        <v>33</v>
      </c>
      <c r="F399" s="80" t="s">
        <v>34</v>
      </c>
      <c r="G399" s="80" t="s">
        <v>85</v>
      </c>
      <c r="H399" s="80" t="s">
        <v>29</v>
      </c>
      <c r="I399" s="80" t="s">
        <v>7</v>
      </c>
      <c r="J399" s="80"/>
      <c r="K399" s="80" t="s">
        <v>30</v>
      </c>
      <c r="L399" s="80"/>
      <c r="M399" s="80" t="s">
        <v>3471</v>
      </c>
      <c r="N399" s="83" t="s">
        <v>35</v>
      </c>
      <c r="O399" s="80">
        <v>3228</v>
      </c>
      <c r="P399" s="80">
        <v>1908</v>
      </c>
      <c r="Q399" s="80">
        <v>1950</v>
      </c>
      <c r="R399" s="80"/>
      <c r="S399" s="80">
        <v>2936</v>
      </c>
      <c r="T399" s="80">
        <v>2050</v>
      </c>
      <c r="U399" s="80">
        <v>6124</v>
      </c>
      <c r="V399" s="80">
        <v>895</v>
      </c>
      <c r="W399" s="80">
        <v>3450</v>
      </c>
      <c r="X399" s="80">
        <v>1617</v>
      </c>
      <c r="Y399" s="80"/>
      <c r="Z399" s="80">
        <v>5</v>
      </c>
      <c r="AA399" s="80" t="s">
        <v>490</v>
      </c>
      <c r="AB399" s="80">
        <v>3500</v>
      </c>
      <c r="AC399" s="80">
        <v>600</v>
      </c>
      <c r="AD399" s="80"/>
      <c r="AE399" s="80"/>
      <c r="AF399" s="80"/>
      <c r="AG399" s="80"/>
      <c r="AH399" s="80">
        <v>12</v>
      </c>
      <c r="AI399" s="80" t="s">
        <v>3472</v>
      </c>
      <c r="AJ399" s="37" t="s">
        <v>2868</v>
      </c>
      <c r="AK399" s="80" t="s">
        <v>1275</v>
      </c>
      <c r="AL399" s="80" t="s">
        <v>4310</v>
      </c>
      <c r="AM399" s="90" t="s">
        <v>1301</v>
      </c>
      <c r="AN399" s="80" t="s">
        <v>4289</v>
      </c>
      <c r="AO399" s="90" t="s">
        <v>3474</v>
      </c>
      <c r="AP399" s="80" t="s">
        <v>4234</v>
      </c>
      <c r="AQ399" s="90" t="s">
        <v>3473</v>
      </c>
      <c r="AR399" s="80" t="s">
        <v>4184</v>
      </c>
      <c r="AS399" s="90" t="s">
        <v>3441</v>
      </c>
      <c r="AT399" s="37" t="s">
        <v>2577</v>
      </c>
      <c r="AU399" s="80" t="s">
        <v>1309</v>
      </c>
      <c r="AV399" s="80"/>
      <c r="AW399" s="80"/>
      <c r="AX399" s="80"/>
      <c r="AY399" s="80"/>
      <c r="AZ399" s="80"/>
      <c r="BA399" s="161"/>
      <c r="BB399" s="80"/>
      <c r="BC399" s="80"/>
      <c r="BD399" s="80"/>
      <c r="BE399" s="91"/>
      <c r="BF399" s="91"/>
      <c r="BG399" s="91"/>
      <c r="BH399" s="91"/>
      <c r="BI399" s="91"/>
      <c r="BJ399" s="91"/>
      <c r="BK399" s="91"/>
      <c r="BL399" s="91"/>
      <c r="BM399" s="91"/>
      <c r="BN399" s="91"/>
      <c r="BO399" s="91"/>
      <c r="BP399" s="91"/>
      <c r="BQ399" s="91"/>
      <c r="BR399" s="91"/>
      <c r="BS399" s="91"/>
      <c r="BT399" s="91"/>
      <c r="BU399" s="91"/>
      <c r="BV399" s="91"/>
      <c r="BW399" s="91"/>
      <c r="BX399" s="91"/>
      <c r="BY399" s="91"/>
      <c r="CA399" s="122"/>
      <c r="CB399" s="111"/>
      <c r="CC399" s="201"/>
      <c r="CD399" s="202"/>
      <c r="CE399" s="147"/>
      <c r="CF399" s="143"/>
      <c r="CG399" s="163"/>
      <c r="CH399" s="143"/>
      <c r="CI399" s="143"/>
      <c r="CJ399" s="143"/>
      <c r="CK399" s="163"/>
      <c r="CL399" s="143"/>
      <c r="CM399" s="147"/>
      <c r="CN399" s="147"/>
      <c r="CO399" s="147"/>
      <c r="CP399" s="147"/>
      <c r="CQ399" s="147"/>
      <c r="CR399" s="147"/>
    </row>
    <row r="400" spans="1:96" s="123" customFormat="1" ht="25.15" customHeight="1" outlineLevel="1" x14ac:dyDescent="0.25">
      <c r="A400" s="1" t="s">
        <v>202</v>
      </c>
      <c r="B400" s="80" t="s">
        <v>3295</v>
      </c>
      <c r="C400" s="80"/>
      <c r="D400" s="162"/>
      <c r="E400" s="80" t="s">
        <v>33</v>
      </c>
      <c r="F400" s="80" t="s">
        <v>34</v>
      </c>
      <c r="G400" s="80" t="s">
        <v>85</v>
      </c>
      <c r="H400" s="80" t="s">
        <v>12</v>
      </c>
      <c r="I400" s="80"/>
      <c r="J400" s="80"/>
      <c r="K400" s="80" t="s">
        <v>30</v>
      </c>
      <c r="L400" s="80"/>
      <c r="M400" s="80" t="s">
        <v>3471</v>
      </c>
      <c r="N400" s="83" t="s">
        <v>451</v>
      </c>
      <c r="O400" s="80">
        <v>3528</v>
      </c>
      <c r="P400" s="80">
        <v>1908</v>
      </c>
      <c r="Q400" s="80">
        <v>2050</v>
      </c>
      <c r="R400" s="80"/>
      <c r="S400" s="80">
        <v>3036</v>
      </c>
      <c r="T400" s="80">
        <v>2050</v>
      </c>
      <c r="U400" s="80">
        <v>6223</v>
      </c>
      <c r="V400" s="80">
        <v>895</v>
      </c>
      <c r="W400" s="80">
        <v>3450</v>
      </c>
      <c r="X400" s="80">
        <v>1725</v>
      </c>
      <c r="Y400" s="80"/>
      <c r="Z400" s="80">
        <v>5</v>
      </c>
      <c r="AA400" s="80" t="s">
        <v>1310</v>
      </c>
      <c r="AB400" s="80">
        <v>3500</v>
      </c>
      <c r="AC400" s="80">
        <v>515</v>
      </c>
      <c r="AD400" s="80"/>
      <c r="AE400" s="80"/>
      <c r="AF400" s="80"/>
      <c r="AG400" s="80"/>
      <c r="AH400" s="80" t="s">
        <v>1291</v>
      </c>
      <c r="AI400" s="80" t="s">
        <v>3472</v>
      </c>
      <c r="AJ400" s="37" t="s">
        <v>2868</v>
      </c>
      <c r="AK400" s="80" t="s">
        <v>1275</v>
      </c>
      <c r="AL400" s="80" t="s">
        <v>4310</v>
      </c>
      <c r="AM400" s="90" t="s">
        <v>1301</v>
      </c>
      <c r="AN400" s="80" t="s">
        <v>4289</v>
      </c>
      <c r="AO400" s="90" t="s">
        <v>1311</v>
      </c>
      <c r="AP400" s="80" t="s">
        <v>4208</v>
      </c>
      <c r="AQ400" s="90" t="s">
        <v>1312</v>
      </c>
      <c r="AR400" s="80" t="s">
        <v>4183</v>
      </c>
      <c r="AS400" s="80"/>
      <c r="AT400" s="80"/>
      <c r="AU400" s="80" t="s">
        <v>1313</v>
      </c>
      <c r="AV400" s="80"/>
      <c r="AW400" s="80"/>
      <c r="AX400" s="80"/>
      <c r="AY400" s="80"/>
      <c r="AZ400" s="80"/>
      <c r="BA400" s="161"/>
      <c r="BB400" s="80"/>
      <c r="BC400" s="80"/>
      <c r="BD400" s="80"/>
      <c r="BE400" s="91"/>
      <c r="BF400" s="91"/>
      <c r="BG400" s="91"/>
      <c r="BH400" s="91"/>
      <c r="BI400" s="91"/>
      <c r="BJ400" s="91"/>
      <c r="BK400" s="91"/>
      <c r="BL400" s="91"/>
      <c r="BM400" s="91"/>
      <c r="BN400" s="91"/>
      <c r="BO400" s="91"/>
      <c r="BP400" s="91"/>
      <c r="BQ400" s="91"/>
      <c r="BR400" s="91"/>
      <c r="BS400" s="91"/>
      <c r="BT400" s="91"/>
      <c r="BU400" s="91"/>
      <c r="BV400" s="91"/>
      <c r="BW400" s="91"/>
      <c r="BX400" s="91"/>
      <c r="BY400" s="91"/>
      <c r="CA400" s="122"/>
      <c r="CB400" s="111"/>
      <c r="CC400" s="201"/>
      <c r="CD400" s="202"/>
      <c r="CE400" s="147"/>
      <c r="CF400" s="143"/>
      <c r="CG400" s="163"/>
      <c r="CH400" s="143"/>
      <c r="CI400" s="143"/>
      <c r="CJ400" s="143"/>
      <c r="CK400" s="163"/>
      <c r="CL400" s="143"/>
      <c r="CM400" s="147"/>
      <c r="CN400" s="147"/>
      <c r="CO400" s="147"/>
      <c r="CP400" s="147"/>
      <c r="CQ400" s="147"/>
      <c r="CR400" s="147"/>
    </row>
    <row r="401" spans="1:96" s="123" customFormat="1" ht="25.15" customHeight="1" outlineLevel="1" x14ac:dyDescent="0.25">
      <c r="A401" s="1" t="s">
        <v>202</v>
      </c>
      <c r="B401" s="80" t="s">
        <v>3295</v>
      </c>
      <c r="C401" s="80"/>
      <c r="D401" s="162"/>
      <c r="E401" s="80" t="s">
        <v>33</v>
      </c>
      <c r="F401" s="80" t="s">
        <v>34</v>
      </c>
      <c r="G401" s="80" t="s">
        <v>85</v>
      </c>
      <c r="H401" s="80" t="s">
        <v>29</v>
      </c>
      <c r="I401" s="80"/>
      <c r="J401" s="80"/>
      <c r="K401" s="80" t="s">
        <v>30</v>
      </c>
      <c r="L401" s="80"/>
      <c r="M401" s="80" t="s">
        <v>3445</v>
      </c>
      <c r="N401" s="83" t="s">
        <v>63</v>
      </c>
      <c r="O401" s="80">
        <v>3224</v>
      </c>
      <c r="P401" s="80">
        <v>1904</v>
      </c>
      <c r="Q401" s="80">
        <v>1950</v>
      </c>
      <c r="R401" s="80"/>
      <c r="S401" s="80">
        <v>2942</v>
      </c>
      <c r="T401" s="80">
        <v>2050</v>
      </c>
      <c r="U401" s="80">
        <v>5932</v>
      </c>
      <c r="V401" s="80">
        <v>900</v>
      </c>
      <c r="W401" s="80">
        <v>3450</v>
      </c>
      <c r="X401" s="80">
        <v>1425</v>
      </c>
      <c r="Y401" s="80"/>
      <c r="Z401" s="80">
        <v>5</v>
      </c>
      <c r="AA401" s="80" t="s">
        <v>503</v>
      </c>
      <c r="AB401" s="80">
        <v>3500</v>
      </c>
      <c r="AC401" s="80">
        <v>685</v>
      </c>
      <c r="AD401" s="80"/>
      <c r="AE401" s="80"/>
      <c r="AF401" s="80"/>
      <c r="AG401" s="80"/>
      <c r="AH401" s="80">
        <v>12</v>
      </c>
      <c r="AI401" s="80" t="s">
        <v>3446</v>
      </c>
      <c r="AJ401" s="80" t="s">
        <v>4333</v>
      </c>
      <c r="AK401" s="80" t="s">
        <v>1275</v>
      </c>
      <c r="AL401" s="80" t="s">
        <v>4310</v>
      </c>
      <c r="AM401" s="90" t="s">
        <v>1276</v>
      </c>
      <c r="AN401" s="80" t="s">
        <v>4289</v>
      </c>
      <c r="AO401" s="90" t="s">
        <v>1277</v>
      </c>
      <c r="AP401" s="80" t="s">
        <v>4235</v>
      </c>
      <c r="AQ401" s="90" t="s">
        <v>1248</v>
      </c>
      <c r="AR401" s="80" t="s">
        <v>4185</v>
      </c>
      <c r="AS401" s="80"/>
      <c r="AT401" s="80"/>
      <c r="AU401" s="80" t="s">
        <v>1278</v>
      </c>
      <c r="AV401" s="80"/>
      <c r="AW401" s="80"/>
      <c r="AX401" s="80"/>
      <c r="AY401" s="80"/>
      <c r="AZ401" s="80"/>
      <c r="BA401" s="161"/>
      <c r="BB401" s="80"/>
      <c r="BC401" s="80"/>
      <c r="BD401" s="80"/>
      <c r="BE401" s="91"/>
      <c r="BF401" s="91"/>
      <c r="BG401" s="91"/>
      <c r="BH401" s="91"/>
      <c r="BI401" s="91"/>
      <c r="BJ401" s="91"/>
      <c r="BK401" s="91"/>
      <c r="BL401" s="91"/>
      <c r="BM401" s="91"/>
      <c r="BN401" s="91"/>
      <c r="BO401" s="91"/>
      <c r="BP401" s="91"/>
      <c r="BQ401" s="91"/>
      <c r="BR401" s="91"/>
      <c r="BS401" s="91"/>
      <c r="BT401" s="91"/>
      <c r="BU401" s="91"/>
      <c r="BV401" s="91"/>
      <c r="BW401" s="91"/>
      <c r="BX401" s="91"/>
      <c r="BY401" s="91"/>
      <c r="CA401" s="122"/>
      <c r="CB401" s="111"/>
      <c r="CC401" s="201"/>
      <c r="CD401" s="202"/>
      <c r="CE401" s="147"/>
      <c r="CF401" s="143"/>
      <c r="CG401" s="163"/>
      <c r="CH401" s="143"/>
      <c r="CI401" s="143"/>
      <c r="CJ401" s="143"/>
      <c r="CK401" s="163"/>
      <c r="CL401" s="143"/>
      <c r="CM401" s="147"/>
      <c r="CN401" s="147"/>
      <c r="CO401" s="147"/>
      <c r="CP401" s="147"/>
      <c r="CQ401" s="147"/>
      <c r="CR401" s="147"/>
    </row>
    <row r="402" spans="1:96" s="123" customFormat="1" ht="25.15" customHeight="1" outlineLevel="1" x14ac:dyDescent="0.25">
      <c r="A402" s="1" t="s">
        <v>202</v>
      </c>
      <c r="B402" s="80" t="s">
        <v>3295</v>
      </c>
      <c r="C402" s="80"/>
      <c r="D402" s="162"/>
      <c r="E402" s="80" t="s">
        <v>33</v>
      </c>
      <c r="F402" s="80" t="s">
        <v>34</v>
      </c>
      <c r="G402" s="80" t="s">
        <v>85</v>
      </c>
      <c r="H402" s="80" t="s">
        <v>29</v>
      </c>
      <c r="I402" s="80" t="s">
        <v>7</v>
      </c>
      <c r="J402" s="80"/>
      <c r="K402" s="80" t="s">
        <v>30</v>
      </c>
      <c r="L402" s="80"/>
      <c r="M402" s="80" t="s">
        <v>3445</v>
      </c>
      <c r="N402" s="83" t="s">
        <v>35</v>
      </c>
      <c r="O402" s="80">
        <v>3224</v>
      </c>
      <c r="P402" s="80">
        <v>1904</v>
      </c>
      <c r="Q402" s="80">
        <v>1950</v>
      </c>
      <c r="R402" s="80"/>
      <c r="S402" s="80">
        <v>2942</v>
      </c>
      <c r="T402" s="80">
        <v>2050</v>
      </c>
      <c r="U402" s="80">
        <v>6124</v>
      </c>
      <c r="V402" s="80">
        <v>900</v>
      </c>
      <c r="W402" s="80">
        <v>3450</v>
      </c>
      <c r="X402" s="80">
        <v>1617</v>
      </c>
      <c r="Y402" s="80"/>
      <c r="Z402" s="80">
        <v>5</v>
      </c>
      <c r="AA402" s="80" t="s">
        <v>36</v>
      </c>
      <c r="AB402" s="80">
        <v>3500</v>
      </c>
      <c r="AC402" s="80">
        <v>500</v>
      </c>
      <c r="AD402" s="80"/>
      <c r="AE402" s="80"/>
      <c r="AF402" s="80"/>
      <c r="AG402" s="80"/>
      <c r="AH402" s="80">
        <v>12</v>
      </c>
      <c r="AI402" s="80" t="s">
        <v>3446</v>
      </c>
      <c r="AJ402" s="80" t="s">
        <v>4333</v>
      </c>
      <c r="AK402" s="80" t="s">
        <v>1275</v>
      </c>
      <c r="AL402" s="80" t="s">
        <v>4310</v>
      </c>
      <c r="AM402" s="90" t="s">
        <v>1276</v>
      </c>
      <c r="AN402" s="80" t="s">
        <v>4289</v>
      </c>
      <c r="AO402" s="90" t="s">
        <v>3447</v>
      </c>
      <c r="AP402" s="80" t="s">
        <v>4234</v>
      </c>
      <c r="AQ402" s="90" t="s">
        <v>1248</v>
      </c>
      <c r="AR402" s="80" t="s">
        <v>4185</v>
      </c>
      <c r="AS402" s="90" t="s">
        <v>3441</v>
      </c>
      <c r="AT402" s="37" t="s">
        <v>2577</v>
      </c>
      <c r="AU402" s="80" t="s">
        <v>1289</v>
      </c>
      <c r="AV402" s="80"/>
      <c r="AW402" s="80"/>
      <c r="AX402" s="80"/>
      <c r="AY402" s="80"/>
      <c r="AZ402" s="80"/>
      <c r="BA402" s="161"/>
      <c r="BB402" s="80"/>
      <c r="BC402" s="80"/>
      <c r="BD402" s="80"/>
      <c r="BE402" s="91"/>
      <c r="BF402" s="91"/>
      <c r="BG402" s="91"/>
      <c r="BH402" s="91"/>
      <c r="BI402" s="91"/>
      <c r="BJ402" s="91"/>
      <c r="BK402" s="91"/>
      <c r="BL402" s="91"/>
      <c r="BM402" s="91"/>
      <c r="BN402" s="91"/>
      <c r="BO402" s="91"/>
      <c r="BP402" s="91"/>
      <c r="BQ402" s="91"/>
      <c r="BR402" s="91"/>
      <c r="BS402" s="91"/>
      <c r="BT402" s="91"/>
      <c r="BU402" s="91"/>
      <c r="BV402" s="91"/>
      <c r="BW402" s="91"/>
      <c r="BX402" s="91"/>
      <c r="BY402" s="91"/>
      <c r="CA402" s="122"/>
      <c r="CB402" s="111"/>
      <c r="CC402" s="201"/>
      <c r="CD402" s="202"/>
      <c r="CE402" s="147"/>
      <c r="CF402" s="143"/>
      <c r="CG402" s="163"/>
      <c r="CH402" s="143"/>
      <c r="CI402" s="143"/>
      <c r="CJ402" s="143"/>
      <c r="CK402" s="163"/>
      <c r="CL402" s="143"/>
      <c r="CM402" s="147"/>
      <c r="CN402" s="147"/>
      <c r="CO402" s="147"/>
      <c r="CP402" s="147"/>
      <c r="CQ402" s="147"/>
      <c r="CR402" s="147"/>
    </row>
    <row r="403" spans="1:96" s="123" customFormat="1" ht="25.15" customHeight="1" outlineLevel="1" x14ac:dyDescent="0.25">
      <c r="A403" s="1" t="s">
        <v>202</v>
      </c>
      <c r="B403" s="80" t="s">
        <v>3295</v>
      </c>
      <c r="C403" s="80"/>
      <c r="D403" s="162"/>
      <c r="E403" s="80" t="s">
        <v>33</v>
      </c>
      <c r="F403" s="80" t="s">
        <v>34</v>
      </c>
      <c r="G403" s="80" t="s">
        <v>85</v>
      </c>
      <c r="H403" s="80" t="s">
        <v>12</v>
      </c>
      <c r="I403" s="80"/>
      <c r="J403" s="80"/>
      <c r="K403" s="80" t="s">
        <v>30</v>
      </c>
      <c r="L403" s="80"/>
      <c r="M403" s="80" t="s">
        <v>3445</v>
      </c>
      <c r="N403" s="83" t="s">
        <v>451</v>
      </c>
      <c r="O403" s="80">
        <v>3524</v>
      </c>
      <c r="P403" s="80">
        <v>1904</v>
      </c>
      <c r="Q403" s="80">
        <v>2050</v>
      </c>
      <c r="R403" s="80"/>
      <c r="S403" s="80">
        <v>3040</v>
      </c>
      <c r="T403" s="80">
        <v>2050</v>
      </c>
      <c r="U403" s="80">
        <v>6223</v>
      </c>
      <c r="V403" s="80">
        <v>900</v>
      </c>
      <c r="W403" s="80">
        <v>3450</v>
      </c>
      <c r="X403" s="80">
        <v>1725</v>
      </c>
      <c r="Y403" s="80"/>
      <c r="Z403" s="80">
        <v>5</v>
      </c>
      <c r="AA403" s="80" t="s">
        <v>1290</v>
      </c>
      <c r="AB403" s="80">
        <v>3500</v>
      </c>
      <c r="AC403" s="80">
        <v>400</v>
      </c>
      <c r="AD403" s="80"/>
      <c r="AE403" s="80"/>
      <c r="AF403" s="80"/>
      <c r="AG403" s="80"/>
      <c r="AH403" s="80" t="s">
        <v>1291</v>
      </c>
      <c r="AI403" s="80" t="s">
        <v>3446</v>
      </c>
      <c r="AJ403" s="80" t="s">
        <v>4334</v>
      </c>
      <c r="AK403" s="80" t="s">
        <v>1275</v>
      </c>
      <c r="AL403" s="80" t="s">
        <v>4310</v>
      </c>
      <c r="AM403" s="90" t="s">
        <v>1276</v>
      </c>
      <c r="AN403" s="80" t="s">
        <v>4289</v>
      </c>
      <c r="AO403" s="90" t="s">
        <v>1292</v>
      </c>
      <c r="AP403" s="80" t="s">
        <v>4208</v>
      </c>
      <c r="AQ403" s="90" t="s">
        <v>1293</v>
      </c>
      <c r="AR403" s="80" t="s">
        <v>4183</v>
      </c>
      <c r="AS403" s="80"/>
      <c r="AT403" s="80"/>
      <c r="AU403" s="80" t="s">
        <v>458</v>
      </c>
      <c r="AV403" s="80"/>
      <c r="AW403" s="80"/>
      <c r="AX403" s="80"/>
      <c r="AY403" s="80"/>
      <c r="AZ403" s="80"/>
      <c r="BA403" s="161"/>
      <c r="BB403" s="80"/>
      <c r="BC403" s="80"/>
      <c r="BD403" s="80"/>
      <c r="BE403" s="91"/>
      <c r="BF403" s="91"/>
      <c r="BG403" s="91"/>
      <c r="BH403" s="91"/>
      <c r="BI403" s="91"/>
      <c r="BJ403" s="91"/>
      <c r="BK403" s="91"/>
      <c r="BL403" s="91"/>
      <c r="BM403" s="91"/>
      <c r="BN403" s="91"/>
      <c r="BO403" s="91"/>
      <c r="BP403" s="91"/>
      <c r="BQ403" s="91"/>
      <c r="BR403" s="91"/>
      <c r="BS403" s="91"/>
      <c r="BT403" s="91"/>
      <c r="BU403" s="91"/>
      <c r="BV403" s="91"/>
      <c r="BW403" s="91"/>
      <c r="BX403" s="91"/>
      <c r="BY403" s="91"/>
      <c r="CA403" s="122"/>
      <c r="CB403" s="111"/>
      <c r="CC403" s="201"/>
      <c r="CD403" s="202"/>
      <c r="CE403" s="147"/>
      <c r="CF403" s="143"/>
      <c r="CG403" s="163"/>
      <c r="CH403" s="143"/>
      <c r="CI403" s="143"/>
      <c r="CJ403" s="143"/>
      <c r="CK403" s="163"/>
      <c r="CL403" s="143"/>
      <c r="CM403" s="147"/>
      <c r="CN403" s="147"/>
      <c r="CO403" s="147"/>
      <c r="CP403" s="147"/>
      <c r="CQ403" s="147"/>
      <c r="CR403" s="147"/>
    </row>
    <row r="404" spans="1:96" s="123" customFormat="1" ht="25.15" customHeight="1" outlineLevel="1" x14ac:dyDescent="0.25">
      <c r="A404" s="1" t="s">
        <v>202</v>
      </c>
      <c r="B404" s="80" t="s">
        <v>3295</v>
      </c>
      <c r="C404" s="80"/>
      <c r="D404" s="162"/>
      <c r="E404" s="80" t="s">
        <v>33</v>
      </c>
      <c r="F404" s="80" t="s">
        <v>1341</v>
      </c>
      <c r="G404" s="80" t="s">
        <v>85</v>
      </c>
      <c r="H404" s="80" t="s">
        <v>29</v>
      </c>
      <c r="I404" s="80"/>
      <c r="J404" s="80"/>
      <c r="K404" s="80" t="s">
        <v>30</v>
      </c>
      <c r="L404" s="80"/>
      <c r="M404" s="80" t="s">
        <v>3544</v>
      </c>
      <c r="N404" s="83" t="s">
        <v>63</v>
      </c>
      <c r="O404" s="80">
        <v>3228</v>
      </c>
      <c r="P404" s="80">
        <v>1908</v>
      </c>
      <c r="Q404" s="80">
        <v>1950</v>
      </c>
      <c r="R404" s="80"/>
      <c r="S404" s="80">
        <v>2936</v>
      </c>
      <c r="T404" s="80">
        <v>2050</v>
      </c>
      <c r="U404" s="80">
        <v>5923</v>
      </c>
      <c r="V404" s="80">
        <v>895</v>
      </c>
      <c r="W404" s="80">
        <v>3450</v>
      </c>
      <c r="X404" s="80">
        <v>1425</v>
      </c>
      <c r="Y404" s="80"/>
      <c r="Z404" s="80">
        <v>5</v>
      </c>
      <c r="AA404" s="80" t="s">
        <v>1352</v>
      </c>
      <c r="AB404" s="80">
        <v>3500</v>
      </c>
      <c r="AC404" s="80">
        <v>1096</v>
      </c>
      <c r="AD404" s="80"/>
      <c r="AE404" s="80"/>
      <c r="AF404" s="80"/>
      <c r="AG404" s="80"/>
      <c r="AH404" s="80">
        <v>12</v>
      </c>
      <c r="AI404" s="80" t="s">
        <v>3545</v>
      </c>
      <c r="AJ404" s="37" t="s">
        <v>2868</v>
      </c>
      <c r="AK404" s="80" t="s">
        <v>3546</v>
      </c>
      <c r="AL404" s="80" t="s">
        <v>4309</v>
      </c>
      <c r="AM404" s="90" t="s">
        <v>1355</v>
      </c>
      <c r="AN404" s="80" t="s">
        <v>4290</v>
      </c>
      <c r="AO404" s="90" t="s">
        <v>3547</v>
      </c>
      <c r="AP404" s="80" t="s">
        <v>4232</v>
      </c>
      <c r="AQ404" s="90" t="s">
        <v>1357</v>
      </c>
      <c r="AR404" s="80" t="s">
        <v>4182</v>
      </c>
      <c r="AS404" s="80"/>
      <c r="AT404" s="80"/>
      <c r="AU404" s="80" t="s">
        <v>1358</v>
      </c>
      <c r="AV404" s="80"/>
      <c r="AW404" s="80"/>
      <c r="AX404" s="80"/>
      <c r="AY404" s="80"/>
      <c r="AZ404" s="80"/>
      <c r="BA404" s="161"/>
      <c r="BB404" s="80"/>
      <c r="BC404" s="80"/>
      <c r="BD404" s="80"/>
      <c r="BE404" s="91"/>
      <c r="BF404" s="91"/>
      <c r="BG404" s="91"/>
      <c r="BH404" s="91"/>
      <c r="BI404" s="91"/>
      <c r="BJ404" s="91"/>
      <c r="BK404" s="91"/>
      <c r="BL404" s="91"/>
      <c r="BM404" s="91"/>
      <c r="BN404" s="91"/>
      <c r="BO404" s="91"/>
      <c r="BP404" s="91"/>
      <c r="BQ404" s="91"/>
      <c r="BR404" s="91"/>
      <c r="BS404" s="91"/>
      <c r="BT404" s="91"/>
      <c r="BU404" s="91"/>
      <c r="BV404" s="91"/>
      <c r="BW404" s="91"/>
      <c r="BX404" s="91"/>
      <c r="BY404" s="91"/>
      <c r="CA404" s="122"/>
      <c r="CB404" s="111"/>
      <c r="CC404" s="201"/>
      <c r="CD404" s="202"/>
      <c r="CE404" s="147"/>
      <c r="CF404" s="143"/>
      <c r="CG404" s="163"/>
      <c r="CH404" s="143"/>
      <c r="CI404" s="143"/>
      <c r="CJ404" s="143"/>
      <c r="CK404" s="163"/>
      <c r="CL404" s="143"/>
      <c r="CM404" s="147"/>
      <c r="CN404" s="147"/>
      <c r="CO404" s="147"/>
      <c r="CP404" s="147"/>
      <c r="CQ404" s="147"/>
      <c r="CR404" s="147"/>
    </row>
    <row r="405" spans="1:96" s="123" customFormat="1" ht="25.15" customHeight="1" outlineLevel="1" x14ac:dyDescent="0.25">
      <c r="A405" s="1" t="s">
        <v>202</v>
      </c>
      <c r="B405" s="80" t="s">
        <v>3295</v>
      </c>
      <c r="C405" s="80"/>
      <c r="D405" s="162"/>
      <c r="E405" s="80" t="s">
        <v>33</v>
      </c>
      <c r="F405" s="80" t="s">
        <v>1341</v>
      </c>
      <c r="G405" s="80" t="s">
        <v>85</v>
      </c>
      <c r="H405" s="80" t="s">
        <v>29</v>
      </c>
      <c r="I405" s="80" t="s">
        <v>7</v>
      </c>
      <c r="J405" s="80"/>
      <c r="K405" s="80" t="s">
        <v>30</v>
      </c>
      <c r="L405" s="80"/>
      <c r="M405" s="80" t="s">
        <v>3544</v>
      </c>
      <c r="N405" s="83" t="s">
        <v>35</v>
      </c>
      <c r="O405" s="80">
        <v>3228</v>
      </c>
      <c r="P405" s="80">
        <v>1908</v>
      </c>
      <c r="Q405" s="80">
        <v>1950</v>
      </c>
      <c r="R405" s="80"/>
      <c r="S405" s="80">
        <v>2936</v>
      </c>
      <c r="T405" s="80">
        <v>2050</v>
      </c>
      <c r="U405" s="80">
        <v>6124</v>
      </c>
      <c r="V405" s="80">
        <v>895</v>
      </c>
      <c r="W405" s="80">
        <v>3450</v>
      </c>
      <c r="X405" s="80">
        <v>1617</v>
      </c>
      <c r="Y405" s="80"/>
      <c r="Z405" s="80">
        <v>5</v>
      </c>
      <c r="AA405" s="80" t="s">
        <v>1359</v>
      </c>
      <c r="AB405" s="80">
        <v>3500</v>
      </c>
      <c r="AC405" s="80">
        <v>876</v>
      </c>
      <c r="AD405" s="80"/>
      <c r="AE405" s="80"/>
      <c r="AF405" s="80"/>
      <c r="AG405" s="80"/>
      <c r="AH405" s="80">
        <v>12</v>
      </c>
      <c r="AI405" s="80" t="s">
        <v>3545</v>
      </c>
      <c r="AJ405" s="37" t="s">
        <v>2868</v>
      </c>
      <c r="AK405" s="80" t="s">
        <v>3546</v>
      </c>
      <c r="AL405" s="80" t="s">
        <v>4309</v>
      </c>
      <c r="AM405" s="90" t="s">
        <v>1355</v>
      </c>
      <c r="AN405" s="80" t="s">
        <v>4290</v>
      </c>
      <c r="AO405" s="90" t="s">
        <v>3548</v>
      </c>
      <c r="AP405" s="80" t="s">
        <v>4233</v>
      </c>
      <c r="AQ405" s="90" t="s">
        <v>1361</v>
      </c>
      <c r="AR405" s="80" t="s">
        <v>4182</v>
      </c>
      <c r="AS405" s="90" t="s">
        <v>3441</v>
      </c>
      <c r="AT405" s="37" t="s">
        <v>2577</v>
      </c>
      <c r="AU405" s="80" t="s">
        <v>1362</v>
      </c>
      <c r="AV405" s="80"/>
      <c r="AW405" s="80"/>
      <c r="AX405" s="80"/>
      <c r="AY405" s="80"/>
      <c r="AZ405" s="80"/>
      <c r="BA405" s="161"/>
      <c r="BB405" s="80"/>
      <c r="BC405" s="80"/>
      <c r="BD405" s="80"/>
      <c r="BE405" s="91"/>
      <c r="BF405" s="91"/>
      <c r="BG405" s="91"/>
      <c r="BH405" s="91"/>
      <c r="BI405" s="91"/>
      <c r="BJ405" s="91"/>
      <c r="BK405" s="91"/>
      <c r="BL405" s="91"/>
      <c r="BM405" s="91"/>
      <c r="BN405" s="91"/>
      <c r="BO405" s="91"/>
      <c r="BP405" s="91"/>
      <c r="BQ405" s="91"/>
      <c r="BR405" s="91"/>
      <c r="BS405" s="91"/>
      <c r="BT405" s="91"/>
      <c r="BU405" s="91"/>
      <c r="BV405" s="91"/>
      <c r="BW405" s="91"/>
      <c r="BX405" s="91"/>
      <c r="BY405" s="91"/>
      <c r="CA405" s="122"/>
      <c r="CB405" s="111"/>
      <c r="CC405" s="201"/>
      <c r="CD405" s="202"/>
      <c r="CE405" s="147"/>
      <c r="CF405" s="143"/>
      <c r="CG405" s="163"/>
      <c r="CH405" s="143"/>
      <c r="CI405" s="143"/>
      <c r="CJ405" s="143"/>
      <c r="CK405" s="163"/>
      <c r="CL405" s="143"/>
      <c r="CM405" s="147"/>
      <c r="CN405" s="147"/>
      <c r="CO405" s="147"/>
      <c r="CP405" s="147"/>
      <c r="CQ405" s="147"/>
      <c r="CR405" s="147"/>
    </row>
    <row r="406" spans="1:96" s="123" customFormat="1" ht="25.15" customHeight="1" outlineLevel="1" x14ac:dyDescent="0.25">
      <c r="A406" s="1" t="s">
        <v>202</v>
      </c>
      <c r="B406" s="80" t="s">
        <v>3295</v>
      </c>
      <c r="C406" s="80"/>
      <c r="D406" s="162"/>
      <c r="E406" s="80" t="s">
        <v>33</v>
      </c>
      <c r="F406" s="80" t="s">
        <v>1341</v>
      </c>
      <c r="G406" s="80" t="s">
        <v>85</v>
      </c>
      <c r="H406" s="80" t="s">
        <v>29</v>
      </c>
      <c r="I406" s="80"/>
      <c r="J406" s="80"/>
      <c r="K406" s="80" t="s">
        <v>30</v>
      </c>
      <c r="L406" s="80"/>
      <c r="M406" s="80" t="s">
        <v>3549</v>
      </c>
      <c r="N406" s="83" t="s">
        <v>63</v>
      </c>
      <c r="O406" s="80">
        <v>3228</v>
      </c>
      <c r="P406" s="80">
        <v>1908</v>
      </c>
      <c r="Q406" s="80">
        <v>1950</v>
      </c>
      <c r="R406" s="80"/>
      <c r="S406" s="80">
        <v>2916</v>
      </c>
      <c r="T406" s="80">
        <v>2050</v>
      </c>
      <c r="U406" s="80">
        <v>5923</v>
      </c>
      <c r="V406" s="80">
        <v>875</v>
      </c>
      <c r="W406" s="80">
        <v>3450</v>
      </c>
      <c r="X406" s="80">
        <v>1425</v>
      </c>
      <c r="Y406" s="80"/>
      <c r="Z406" s="80">
        <v>5</v>
      </c>
      <c r="AA406" s="80" t="s">
        <v>1352</v>
      </c>
      <c r="AB406" s="80">
        <v>3500</v>
      </c>
      <c r="AC406" s="80">
        <v>1196</v>
      </c>
      <c r="AD406" s="80"/>
      <c r="AE406" s="80"/>
      <c r="AF406" s="80"/>
      <c r="AG406" s="80"/>
      <c r="AH406" s="80">
        <v>12</v>
      </c>
      <c r="AI406" s="80" t="s">
        <v>3545</v>
      </c>
      <c r="AJ406" s="37" t="s">
        <v>2868</v>
      </c>
      <c r="AK406" s="80" t="s">
        <v>3546</v>
      </c>
      <c r="AL406" s="80" t="s">
        <v>4309</v>
      </c>
      <c r="AM406" s="90" t="s">
        <v>1368</v>
      </c>
      <c r="AN406" s="80" t="s">
        <v>4290</v>
      </c>
      <c r="AO406" s="90" t="s">
        <v>3547</v>
      </c>
      <c r="AP406" s="80" t="s">
        <v>4232</v>
      </c>
      <c r="AQ406" s="90" t="s">
        <v>1357</v>
      </c>
      <c r="AR406" s="80" t="s">
        <v>4182</v>
      </c>
      <c r="AS406" s="80"/>
      <c r="AT406" s="80"/>
      <c r="AU406" s="80" t="s">
        <v>1369</v>
      </c>
      <c r="AV406" s="80"/>
      <c r="AW406" s="80"/>
      <c r="AX406" s="80"/>
      <c r="AY406" s="80"/>
      <c r="AZ406" s="80"/>
      <c r="BA406" s="161"/>
      <c r="BB406" s="80"/>
      <c r="BC406" s="80"/>
      <c r="BD406" s="80"/>
      <c r="BE406" s="91"/>
      <c r="BF406" s="91"/>
      <c r="BG406" s="91"/>
      <c r="BH406" s="91"/>
      <c r="BI406" s="91"/>
      <c r="BJ406" s="91"/>
      <c r="BK406" s="91"/>
      <c r="BL406" s="91"/>
      <c r="BM406" s="91"/>
      <c r="BN406" s="91"/>
      <c r="BO406" s="91"/>
      <c r="BP406" s="91"/>
      <c r="BQ406" s="91"/>
      <c r="BR406" s="91"/>
      <c r="BS406" s="91"/>
      <c r="BT406" s="91"/>
      <c r="BU406" s="91"/>
      <c r="BV406" s="91"/>
      <c r="BW406" s="91"/>
      <c r="BX406" s="91"/>
      <c r="BY406" s="91"/>
      <c r="CA406" s="122"/>
      <c r="CB406" s="111"/>
      <c r="CC406" s="201"/>
      <c r="CD406" s="202"/>
      <c r="CE406" s="147"/>
      <c r="CF406" s="143"/>
      <c r="CG406" s="163"/>
      <c r="CH406" s="143"/>
      <c r="CI406" s="143"/>
      <c r="CJ406" s="143"/>
      <c r="CK406" s="163"/>
      <c r="CL406" s="143"/>
      <c r="CM406" s="147"/>
      <c r="CN406" s="147"/>
      <c r="CO406" s="147"/>
      <c r="CP406" s="147"/>
      <c r="CQ406" s="147"/>
      <c r="CR406" s="147"/>
    </row>
    <row r="407" spans="1:96" s="123" customFormat="1" ht="25.15" customHeight="1" outlineLevel="1" x14ac:dyDescent="0.25">
      <c r="A407" s="1" t="s">
        <v>202</v>
      </c>
      <c r="B407" s="80" t="s">
        <v>3295</v>
      </c>
      <c r="C407" s="80"/>
      <c r="D407" s="162"/>
      <c r="E407" s="80" t="s">
        <v>33</v>
      </c>
      <c r="F407" s="80" t="s">
        <v>1341</v>
      </c>
      <c r="G407" s="80" t="s">
        <v>85</v>
      </c>
      <c r="H407" s="80" t="s">
        <v>29</v>
      </c>
      <c r="I407" s="80" t="s">
        <v>7</v>
      </c>
      <c r="J407" s="80"/>
      <c r="K407" s="80" t="s">
        <v>30</v>
      </c>
      <c r="L407" s="80"/>
      <c r="M407" s="80" t="s">
        <v>3549</v>
      </c>
      <c r="N407" s="83" t="s">
        <v>35</v>
      </c>
      <c r="O407" s="80">
        <v>3228</v>
      </c>
      <c r="P407" s="80">
        <v>1908</v>
      </c>
      <c r="Q407" s="80">
        <v>1950</v>
      </c>
      <c r="R407" s="80"/>
      <c r="S407" s="80">
        <v>2916</v>
      </c>
      <c r="T407" s="80">
        <v>2050</v>
      </c>
      <c r="U407" s="80">
        <v>6124</v>
      </c>
      <c r="V407" s="80">
        <v>875</v>
      </c>
      <c r="W407" s="80">
        <v>3450</v>
      </c>
      <c r="X407" s="80">
        <v>1617</v>
      </c>
      <c r="Y407" s="80"/>
      <c r="Z407" s="80">
        <v>5</v>
      </c>
      <c r="AA407" s="80" t="s">
        <v>1359</v>
      </c>
      <c r="AB407" s="80">
        <v>3500</v>
      </c>
      <c r="AC407" s="80">
        <v>976</v>
      </c>
      <c r="AD407" s="80"/>
      <c r="AE407" s="80"/>
      <c r="AF407" s="80"/>
      <c r="AG407" s="80"/>
      <c r="AH407" s="80">
        <v>12</v>
      </c>
      <c r="AI407" s="80" t="s">
        <v>3545</v>
      </c>
      <c r="AJ407" s="37" t="s">
        <v>2868</v>
      </c>
      <c r="AK407" s="80" t="s">
        <v>3546</v>
      </c>
      <c r="AL407" s="80" t="s">
        <v>4309</v>
      </c>
      <c r="AM407" s="90" t="s">
        <v>1368</v>
      </c>
      <c r="AN407" s="80" t="s">
        <v>4290</v>
      </c>
      <c r="AO407" s="90" t="s">
        <v>3548</v>
      </c>
      <c r="AP407" s="80" t="s">
        <v>4233</v>
      </c>
      <c r="AQ407" s="90" t="s">
        <v>1361</v>
      </c>
      <c r="AR407" s="80" t="s">
        <v>4182</v>
      </c>
      <c r="AS407" s="90" t="s">
        <v>3441</v>
      </c>
      <c r="AT407" s="37" t="s">
        <v>2577</v>
      </c>
      <c r="AU407" s="80" t="s">
        <v>1370</v>
      </c>
      <c r="AV407" s="80"/>
      <c r="AW407" s="80"/>
      <c r="AX407" s="80"/>
      <c r="AY407" s="80"/>
      <c r="AZ407" s="80"/>
      <c r="BA407" s="161"/>
      <c r="BB407" s="80"/>
      <c r="BC407" s="80"/>
      <c r="BD407" s="80"/>
      <c r="BE407" s="91"/>
      <c r="BF407" s="91"/>
      <c r="BG407" s="91"/>
      <c r="BH407" s="91"/>
      <c r="BI407" s="91"/>
      <c r="BJ407" s="91"/>
      <c r="BK407" s="91"/>
      <c r="BL407" s="91"/>
      <c r="BM407" s="91"/>
      <c r="BN407" s="91"/>
      <c r="BO407" s="91"/>
      <c r="BP407" s="91"/>
      <c r="BQ407" s="91"/>
      <c r="BR407" s="91"/>
      <c r="BS407" s="91"/>
      <c r="BT407" s="91"/>
      <c r="BU407" s="91"/>
      <c r="BV407" s="91"/>
      <c r="BW407" s="91"/>
      <c r="BX407" s="91"/>
      <c r="BY407" s="91"/>
      <c r="CA407" s="122"/>
      <c r="CB407" s="111"/>
      <c r="CC407" s="201"/>
      <c r="CD407" s="202"/>
      <c r="CE407" s="147"/>
      <c r="CF407" s="143"/>
      <c r="CG407" s="163"/>
      <c r="CH407" s="143"/>
      <c r="CI407" s="143"/>
      <c r="CJ407" s="143"/>
      <c r="CK407" s="163"/>
      <c r="CL407" s="143"/>
      <c r="CM407" s="147"/>
      <c r="CN407" s="147"/>
      <c r="CO407" s="147"/>
      <c r="CP407" s="147"/>
      <c r="CQ407" s="147"/>
      <c r="CR407" s="147"/>
    </row>
    <row r="408" spans="1:96" s="123" customFormat="1" ht="25.15" customHeight="1" outlineLevel="1" x14ac:dyDescent="0.25">
      <c r="A408" s="1" t="s">
        <v>202</v>
      </c>
      <c r="B408" s="80" t="s">
        <v>3295</v>
      </c>
      <c r="C408" s="80"/>
      <c r="D408" s="162"/>
      <c r="E408" s="80" t="s">
        <v>1140</v>
      </c>
      <c r="F408" s="80" t="s">
        <v>1140</v>
      </c>
      <c r="G408" s="80" t="s">
        <v>1141</v>
      </c>
      <c r="H408" s="80" t="s">
        <v>29</v>
      </c>
      <c r="I408" s="80"/>
      <c r="J408" s="80"/>
      <c r="K408" s="80" t="s">
        <v>30</v>
      </c>
      <c r="L408" s="80"/>
      <c r="M408" s="80" t="s">
        <v>3572</v>
      </c>
      <c r="N408" s="83" t="s">
        <v>31</v>
      </c>
      <c r="O408" s="80">
        <v>1224</v>
      </c>
      <c r="P408" s="80">
        <v>824</v>
      </c>
      <c r="Q408" s="80">
        <v>890</v>
      </c>
      <c r="R408" s="80"/>
      <c r="S408" s="80">
        <v>1604</v>
      </c>
      <c r="T408" s="80">
        <v>998</v>
      </c>
      <c r="U408" s="80">
        <v>2617</v>
      </c>
      <c r="V408" s="80">
        <v>630</v>
      </c>
      <c r="W408" s="80"/>
      <c r="X408" s="80"/>
      <c r="Y408" s="80"/>
      <c r="Z408" s="80"/>
      <c r="AA408" s="80" t="s">
        <v>1143</v>
      </c>
      <c r="AB408" s="80">
        <v>425</v>
      </c>
      <c r="AC408" s="80">
        <v>120</v>
      </c>
      <c r="AD408" s="80"/>
      <c r="AE408" s="80"/>
      <c r="AF408" s="80"/>
      <c r="AG408" s="80"/>
      <c r="AH408" s="80">
        <v>0.9</v>
      </c>
      <c r="AI408" s="80"/>
      <c r="AJ408" s="80"/>
      <c r="AK408" s="80" t="s">
        <v>1145</v>
      </c>
      <c r="AL408" s="37" t="s">
        <v>2658</v>
      </c>
      <c r="AM408" s="90" t="s">
        <v>1146</v>
      </c>
      <c r="AN408" s="37" t="s">
        <v>2902</v>
      </c>
      <c r="AO408" s="90" t="s">
        <v>1147</v>
      </c>
      <c r="AP408" s="37" t="s">
        <v>2960</v>
      </c>
      <c r="AQ408" s="90" t="s">
        <v>1148</v>
      </c>
      <c r="AR408" s="37" t="s">
        <v>2761</v>
      </c>
      <c r="AS408" s="80"/>
      <c r="AT408" s="80"/>
      <c r="AU408" s="80" t="s">
        <v>1149</v>
      </c>
      <c r="AV408" s="80"/>
      <c r="AW408" s="80"/>
      <c r="AX408" s="80"/>
      <c r="AY408" s="80"/>
      <c r="AZ408" s="80"/>
      <c r="BA408" s="161"/>
      <c r="BB408" s="80"/>
      <c r="BC408" s="80"/>
      <c r="BD408" s="80"/>
      <c r="BE408" s="91"/>
      <c r="BF408" s="91"/>
      <c r="BG408" s="91"/>
      <c r="BH408" s="91"/>
      <c r="BI408" s="91"/>
      <c r="BJ408" s="91"/>
      <c r="BK408" s="91"/>
      <c r="BL408" s="91"/>
      <c r="BM408" s="91"/>
      <c r="BN408" s="91"/>
      <c r="BO408" s="91"/>
      <c r="BP408" s="91"/>
      <c r="BQ408" s="91"/>
      <c r="BR408" s="91"/>
      <c r="BS408" s="91"/>
      <c r="BT408" s="91"/>
      <c r="BU408" s="91"/>
      <c r="BV408" s="91"/>
      <c r="BW408" s="91"/>
      <c r="BX408" s="91"/>
      <c r="BY408" s="91"/>
      <c r="CA408" s="122"/>
      <c r="CB408" s="111"/>
      <c r="CC408" s="201"/>
      <c r="CD408" s="202"/>
      <c r="CE408" s="147"/>
      <c r="CF408" s="143"/>
      <c r="CG408" s="163"/>
      <c r="CH408" s="143"/>
      <c r="CI408" s="143"/>
      <c r="CJ408" s="143"/>
      <c r="CK408" s="163"/>
      <c r="CL408" s="143"/>
      <c r="CM408" s="147"/>
      <c r="CN408" s="147"/>
      <c r="CO408" s="147"/>
      <c r="CP408" s="147"/>
      <c r="CQ408" s="147"/>
      <c r="CR408" s="147"/>
    </row>
    <row r="409" spans="1:96" s="123" customFormat="1" ht="25.15" customHeight="1" outlineLevel="1" x14ac:dyDescent="0.25">
      <c r="A409" s="1" t="s">
        <v>202</v>
      </c>
      <c r="B409" s="80" t="s">
        <v>3295</v>
      </c>
      <c r="C409" s="80"/>
      <c r="D409" s="162"/>
      <c r="E409" s="80" t="s">
        <v>3574</v>
      </c>
      <c r="F409" s="80" t="s">
        <v>3575</v>
      </c>
      <c r="G409" s="80" t="s">
        <v>1152</v>
      </c>
      <c r="H409" s="80" t="s">
        <v>29</v>
      </c>
      <c r="I409" s="80"/>
      <c r="J409" s="80"/>
      <c r="K409" s="80" t="s">
        <v>30</v>
      </c>
      <c r="L409" s="80"/>
      <c r="M409" s="80" t="s">
        <v>3576</v>
      </c>
      <c r="N409" s="83" t="s">
        <v>31</v>
      </c>
      <c r="O409" s="80">
        <v>1225</v>
      </c>
      <c r="P409" s="80">
        <v>1224</v>
      </c>
      <c r="Q409" s="80">
        <v>790</v>
      </c>
      <c r="R409" s="80"/>
      <c r="S409" s="80">
        <v>1986</v>
      </c>
      <c r="T409" s="80">
        <v>1398</v>
      </c>
      <c r="U409" s="80">
        <v>3359</v>
      </c>
      <c r="V409" s="80">
        <v>900</v>
      </c>
      <c r="W409" s="80">
        <v>2400</v>
      </c>
      <c r="X409" s="80">
        <v>519</v>
      </c>
      <c r="Y409" s="80"/>
      <c r="Z409" s="80"/>
      <c r="AA409" s="80" t="s">
        <v>3577</v>
      </c>
      <c r="AB409" s="80">
        <v>1160</v>
      </c>
      <c r="AC409" s="80">
        <v>305</v>
      </c>
      <c r="AD409" s="80"/>
      <c r="AE409" s="80"/>
      <c r="AF409" s="80"/>
      <c r="AG409" s="80"/>
      <c r="AH409" s="80">
        <v>1.2</v>
      </c>
      <c r="AI409" s="80" t="s">
        <v>3578</v>
      </c>
      <c r="AJ409" s="37" t="s">
        <v>2868</v>
      </c>
      <c r="AK409" s="80" t="s">
        <v>3579</v>
      </c>
      <c r="AL409" s="37" t="s">
        <v>2658</v>
      </c>
      <c r="AM409" s="90" t="s">
        <v>3580</v>
      </c>
      <c r="AN409" s="37" t="s">
        <v>2902</v>
      </c>
      <c r="AO409" s="90" t="s">
        <v>3581</v>
      </c>
      <c r="AP409" s="37" t="s">
        <v>2960</v>
      </c>
      <c r="AQ409" s="90" t="s">
        <v>3582</v>
      </c>
      <c r="AR409" s="37" t="s">
        <v>2761</v>
      </c>
      <c r="AS409" s="80"/>
      <c r="AT409" s="80"/>
      <c r="AU409" s="80" t="s">
        <v>3583</v>
      </c>
      <c r="AV409" s="80"/>
      <c r="AW409" s="80"/>
      <c r="AX409" s="80"/>
      <c r="AY409" s="80"/>
      <c r="AZ409" s="80"/>
      <c r="BA409" s="161"/>
      <c r="BB409" s="80"/>
      <c r="BC409" s="80"/>
      <c r="BD409" s="80"/>
      <c r="BE409" s="91"/>
      <c r="BF409" s="91"/>
      <c r="BG409" s="91"/>
      <c r="BH409" s="91"/>
      <c r="BI409" s="91"/>
      <c r="BJ409" s="91"/>
      <c r="BK409" s="91"/>
      <c r="BL409" s="91"/>
      <c r="BM409" s="91"/>
      <c r="BN409" s="91"/>
      <c r="BO409" s="91"/>
      <c r="BP409" s="91"/>
      <c r="BQ409" s="91"/>
      <c r="BR409" s="91"/>
      <c r="BS409" s="91"/>
      <c r="BT409" s="91"/>
      <c r="BU409" s="91"/>
      <c r="BV409" s="91"/>
      <c r="BW409" s="91"/>
      <c r="BX409" s="91"/>
      <c r="BY409" s="91"/>
      <c r="CA409" s="122"/>
      <c r="CB409" s="111"/>
      <c r="CC409" s="201"/>
      <c r="CD409" s="202"/>
      <c r="CE409" s="147"/>
      <c r="CF409" s="143"/>
      <c r="CG409" s="163"/>
      <c r="CH409" s="143"/>
      <c r="CI409" s="143"/>
      <c r="CJ409" s="143"/>
      <c r="CK409" s="163"/>
      <c r="CL409" s="143"/>
      <c r="CM409" s="147"/>
      <c r="CN409" s="147"/>
      <c r="CO409" s="147"/>
      <c r="CP409" s="147"/>
      <c r="CQ409" s="147"/>
      <c r="CR409" s="147"/>
    </row>
    <row r="410" spans="1:96" s="123" customFormat="1" ht="25.15" customHeight="1" outlineLevel="1" x14ac:dyDescent="0.25">
      <c r="A410" s="1" t="s">
        <v>202</v>
      </c>
      <c r="B410" s="80" t="s">
        <v>3295</v>
      </c>
      <c r="C410" s="80"/>
      <c r="D410" s="162"/>
      <c r="E410" s="80" t="s">
        <v>1468</v>
      </c>
      <c r="F410" s="80" t="s">
        <v>1469</v>
      </c>
      <c r="G410" s="80" t="s">
        <v>1152</v>
      </c>
      <c r="H410" s="80" t="s">
        <v>29</v>
      </c>
      <c r="I410" s="80"/>
      <c r="J410" s="80"/>
      <c r="K410" s="80" t="s">
        <v>30</v>
      </c>
      <c r="L410" s="80"/>
      <c r="M410" s="80" t="s">
        <v>3606</v>
      </c>
      <c r="N410" s="83" t="s">
        <v>31</v>
      </c>
      <c r="O410" s="80">
        <v>1719</v>
      </c>
      <c r="P410" s="80">
        <v>1716</v>
      </c>
      <c r="Q410" s="80">
        <v>1425</v>
      </c>
      <c r="R410" s="80"/>
      <c r="S410" s="80">
        <v>2137</v>
      </c>
      <c r="T410" s="80">
        <v>1850</v>
      </c>
      <c r="U410" s="80">
        <v>4936</v>
      </c>
      <c r="V410" s="80">
        <v>640</v>
      </c>
      <c r="W410" s="80">
        <v>2716</v>
      </c>
      <c r="X410" s="80">
        <v>1260</v>
      </c>
      <c r="Y410" s="80"/>
      <c r="Z410" s="80"/>
      <c r="AA410" s="80" t="s">
        <v>3607</v>
      </c>
      <c r="AB410" s="80">
        <v>2230</v>
      </c>
      <c r="AC410" s="80">
        <v>513</v>
      </c>
      <c r="AD410" s="80"/>
      <c r="AE410" s="80"/>
      <c r="AF410" s="80"/>
      <c r="AG410" s="80"/>
      <c r="AH410" s="80">
        <v>4</v>
      </c>
      <c r="AI410" s="80" t="s">
        <v>3608</v>
      </c>
      <c r="AJ410" s="37" t="s">
        <v>2868</v>
      </c>
      <c r="AK410" s="80" t="s">
        <v>3609</v>
      </c>
      <c r="AL410" s="37" t="s">
        <v>2658</v>
      </c>
      <c r="AM410" s="90" t="s">
        <v>1482</v>
      </c>
      <c r="AN410" s="80" t="s">
        <v>4291</v>
      </c>
      <c r="AO410" s="90" t="s">
        <v>1483</v>
      </c>
      <c r="AP410" s="80" t="s">
        <v>4226</v>
      </c>
      <c r="AQ410" s="90" t="s">
        <v>3610</v>
      </c>
      <c r="AR410" s="80" t="s">
        <v>4181</v>
      </c>
      <c r="AS410" s="80"/>
      <c r="AT410" s="80"/>
      <c r="AU410" s="80" t="s">
        <v>1505</v>
      </c>
      <c r="AV410" s="80"/>
      <c r="AW410" s="80"/>
      <c r="AX410" s="80"/>
      <c r="AY410" s="80"/>
      <c r="AZ410" s="80"/>
      <c r="BA410" s="161"/>
      <c r="BB410" s="80"/>
      <c r="BC410" s="80"/>
      <c r="BD410" s="80"/>
      <c r="BE410" s="91"/>
      <c r="BF410" s="91"/>
      <c r="BG410" s="91"/>
      <c r="BH410" s="91"/>
      <c r="BI410" s="91"/>
      <c r="BJ410" s="91"/>
      <c r="BK410" s="91"/>
      <c r="BL410" s="91"/>
      <c r="BM410" s="91"/>
      <c r="BN410" s="91"/>
      <c r="BO410" s="91"/>
      <c r="BP410" s="91"/>
      <c r="BQ410" s="91"/>
      <c r="BR410" s="91"/>
      <c r="BS410" s="91"/>
      <c r="BT410" s="91"/>
      <c r="BU410" s="91"/>
      <c r="BV410" s="91"/>
      <c r="BW410" s="91"/>
      <c r="BX410" s="91"/>
      <c r="BY410" s="91"/>
      <c r="CA410" s="122"/>
      <c r="CB410" s="111"/>
      <c r="CC410" s="201"/>
      <c r="CD410" s="202"/>
      <c r="CE410" s="147"/>
      <c r="CF410" s="143"/>
      <c r="CG410" s="163"/>
      <c r="CH410" s="143"/>
      <c r="CI410" s="143"/>
      <c r="CJ410" s="143"/>
      <c r="CK410" s="163"/>
      <c r="CL410" s="143"/>
      <c r="CM410" s="147"/>
      <c r="CN410" s="147"/>
      <c r="CO410" s="147"/>
      <c r="CP410" s="147"/>
      <c r="CQ410" s="147"/>
      <c r="CR410" s="147"/>
    </row>
    <row r="411" spans="1:96" s="123" customFormat="1" ht="25.15" customHeight="1" outlineLevel="1" x14ac:dyDescent="0.25">
      <c r="A411" s="1" t="s">
        <v>202</v>
      </c>
      <c r="B411" s="80" t="s">
        <v>3295</v>
      </c>
      <c r="C411" s="80"/>
      <c r="D411" s="162"/>
      <c r="E411" s="80" t="s">
        <v>1468</v>
      </c>
      <c r="F411" s="80" t="s">
        <v>1532</v>
      </c>
      <c r="G411" s="80" t="s">
        <v>450</v>
      </c>
      <c r="H411" s="80" t="s">
        <v>29</v>
      </c>
      <c r="I411" s="80"/>
      <c r="J411" s="80"/>
      <c r="K411" s="80" t="s">
        <v>30</v>
      </c>
      <c r="L411" s="80"/>
      <c r="M411" s="80" t="s">
        <v>3619</v>
      </c>
      <c r="N411" s="83" t="s">
        <v>63</v>
      </c>
      <c r="O411" s="80">
        <v>2924</v>
      </c>
      <c r="P411" s="80">
        <v>1956</v>
      </c>
      <c r="Q411" s="80">
        <v>1950</v>
      </c>
      <c r="R411" s="80"/>
      <c r="S411" s="80">
        <v>2730</v>
      </c>
      <c r="T411" s="80">
        <v>2100</v>
      </c>
      <c r="U411" s="80">
        <v>5863</v>
      </c>
      <c r="V411" s="80">
        <v>690</v>
      </c>
      <c r="W411" s="80">
        <v>3682</v>
      </c>
      <c r="X411" s="80">
        <v>1312</v>
      </c>
      <c r="Y411" s="80"/>
      <c r="Z411" s="80"/>
      <c r="AA411" s="80" t="s">
        <v>1534</v>
      </c>
      <c r="AB411" s="80">
        <v>3500</v>
      </c>
      <c r="AC411" s="80">
        <v>780</v>
      </c>
      <c r="AD411" s="80"/>
      <c r="AE411" s="80"/>
      <c r="AF411" s="80"/>
      <c r="AG411" s="80"/>
      <c r="AH411" s="80">
        <v>10.9</v>
      </c>
      <c r="AI411" s="80" t="s">
        <v>3620</v>
      </c>
      <c r="AJ411" s="80" t="s">
        <v>3623</v>
      </c>
      <c r="AK411" s="80" t="s">
        <v>3621</v>
      </c>
      <c r="AL411" s="37" t="s">
        <v>2658</v>
      </c>
      <c r="AM411" s="90" t="s">
        <v>3622</v>
      </c>
      <c r="AN411" s="80" t="s">
        <v>3624</v>
      </c>
      <c r="AO411" s="90" t="s">
        <v>3616</v>
      </c>
      <c r="AP411" s="80" t="s">
        <v>4209</v>
      </c>
      <c r="AQ411" s="90" t="s">
        <v>3617</v>
      </c>
      <c r="AR411" s="80" t="s">
        <v>4192</v>
      </c>
      <c r="AS411" s="80"/>
      <c r="AT411" s="80"/>
      <c r="AU411" s="80" t="s">
        <v>3618</v>
      </c>
      <c r="AV411" s="80"/>
      <c r="AW411" s="80"/>
      <c r="AX411" s="80"/>
      <c r="AY411" s="80"/>
      <c r="AZ411" s="80"/>
      <c r="BA411" s="161"/>
      <c r="BB411" s="80"/>
      <c r="BC411" s="80"/>
      <c r="BD411" s="80"/>
      <c r="BE411" s="91"/>
      <c r="BF411" s="91"/>
      <c r="BG411" s="91"/>
      <c r="BH411" s="91"/>
      <c r="BI411" s="91"/>
      <c r="BJ411" s="91"/>
      <c r="BK411" s="91"/>
      <c r="BL411" s="91"/>
      <c r="BM411" s="91"/>
      <c r="BN411" s="91"/>
      <c r="BO411" s="91"/>
      <c r="BP411" s="91"/>
      <c r="BQ411" s="91"/>
      <c r="BR411" s="91"/>
      <c r="BS411" s="91"/>
      <c r="BT411" s="91"/>
      <c r="BU411" s="91"/>
      <c r="BV411" s="91"/>
      <c r="BW411" s="91"/>
      <c r="BX411" s="91"/>
      <c r="BY411" s="91"/>
      <c r="CA411" s="122"/>
      <c r="CB411" s="111"/>
      <c r="CC411" s="201"/>
      <c r="CD411" s="202"/>
      <c r="CE411" s="147"/>
      <c r="CF411" s="143"/>
      <c r="CG411" s="163"/>
      <c r="CH411" s="143"/>
      <c r="CI411" s="143"/>
      <c r="CJ411" s="143"/>
      <c r="CK411" s="163"/>
      <c r="CL411" s="143"/>
      <c r="CM411" s="147"/>
      <c r="CN411" s="147"/>
      <c r="CO411" s="147"/>
      <c r="CP411" s="147"/>
      <c r="CQ411" s="147"/>
      <c r="CR411" s="147"/>
    </row>
    <row r="412" spans="1:96" s="123" customFormat="1" ht="25.15" customHeight="1" outlineLevel="1" x14ac:dyDescent="0.25">
      <c r="A412" s="1" t="s">
        <v>202</v>
      </c>
      <c r="B412" s="80" t="s">
        <v>3295</v>
      </c>
      <c r="C412" s="80"/>
      <c r="D412" s="162"/>
      <c r="E412" s="80" t="s">
        <v>1468</v>
      </c>
      <c r="F412" s="80" t="s">
        <v>1506</v>
      </c>
      <c r="G412" s="80" t="s">
        <v>1199</v>
      </c>
      <c r="H412" s="80" t="s">
        <v>29</v>
      </c>
      <c r="I412" s="80"/>
      <c r="J412" s="80"/>
      <c r="K412" s="80" t="s">
        <v>30</v>
      </c>
      <c r="L412" s="80"/>
      <c r="M412" s="80" t="s">
        <v>3634</v>
      </c>
      <c r="N412" s="83" t="s">
        <v>31</v>
      </c>
      <c r="O412" s="80">
        <v>2630</v>
      </c>
      <c r="P412" s="80">
        <v>1904</v>
      </c>
      <c r="Q412" s="80">
        <v>1600</v>
      </c>
      <c r="R412" s="80"/>
      <c r="S412" s="80">
        <v>2359</v>
      </c>
      <c r="T412" s="80">
        <v>2050</v>
      </c>
      <c r="U412" s="80">
        <v>5629</v>
      </c>
      <c r="V412" s="80">
        <v>670</v>
      </c>
      <c r="W412" s="80">
        <v>3498</v>
      </c>
      <c r="X412" s="80">
        <v>1198</v>
      </c>
      <c r="Y412" s="80"/>
      <c r="Z412" s="80"/>
      <c r="AA412" s="80" t="s">
        <v>1518</v>
      </c>
      <c r="AB412" s="80">
        <v>2960</v>
      </c>
      <c r="AC412" s="80">
        <v>815</v>
      </c>
      <c r="AD412" s="80"/>
      <c r="AE412" s="80"/>
      <c r="AF412" s="80"/>
      <c r="AG412" s="80"/>
      <c r="AH412" s="80" t="s">
        <v>1519</v>
      </c>
      <c r="AI412" s="80" t="s">
        <v>3635</v>
      </c>
      <c r="AJ412" s="37" t="s">
        <v>2868</v>
      </c>
      <c r="AK412" s="80" t="s">
        <v>1521</v>
      </c>
      <c r="AL412" s="80" t="s">
        <v>4301</v>
      </c>
      <c r="AM412" s="90" t="s">
        <v>3636</v>
      </c>
      <c r="AN412" s="80" t="s">
        <v>4292</v>
      </c>
      <c r="AO412" s="90" t="s">
        <v>1523</v>
      </c>
      <c r="AP412" s="80" t="s">
        <v>4227</v>
      </c>
      <c r="AQ412" s="90" t="s">
        <v>3401</v>
      </c>
      <c r="AR412" s="80" t="s">
        <v>4180</v>
      </c>
      <c r="AS412" s="80"/>
      <c r="AT412" s="80"/>
      <c r="AU412" s="80" t="s">
        <v>1525</v>
      </c>
      <c r="AV412" s="80"/>
      <c r="AW412" s="80"/>
      <c r="AX412" s="80"/>
      <c r="AY412" s="80"/>
      <c r="AZ412" s="80"/>
      <c r="BA412" s="161"/>
      <c r="BB412" s="80"/>
      <c r="BC412" s="80"/>
      <c r="BD412" s="80"/>
      <c r="BE412" s="91"/>
      <c r="BF412" s="91"/>
      <c r="BG412" s="91"/>
      <c r="BH412" s="91"/>
      <c r="BI412" s="91"/>
      <c r="BJ412" s="91"/>
      <c r="BK412" s="91"/>
      <c r="BL412" s="91"/>
      <c r="BM412" s="91"/>
      <c r="BN412" s="91"/>
      <c r="BO412" s="91"/>
      <c r="BP412" s="91"/>
      <c r="BQ412" s="91"/>
      <c r="BR412" s="91"/>
      <c r="BS412" s="91"/>
      <c r="BT412" s="91"/>
      <c r="BU412" s="91"/>
      <c r="BV412" s="91"/>
      <c r="BW412" s="91"/>
      <c r="BX412" s="91"/>
      <c r="BY412" s="91"/>
      <c r="CA412" s="122"/>
      <c r="CB412" s="111"/>
      <c r="CC412" s="201"/>
      <c r="CD412" s="202"/>
      <c r="CE412" s="147"/>
      <c r="CF412" s="143"/>
      <c r="CG412" s="163"/>
      <c r="CH412" s="143"/>
      <c r="CI412" s="143"/>
      <c r="CJ412" s="143"/>
      <c r="CK412" s="163"/>
      <c r="CL412" s="143"/>
      <c r="CM412" s="147"/>
      <c r="CN412" s="147"/>
      <c r="CO412" s="147"/>
      <c r="CP412" s="147"/>
      <c r="CQ412" s="147"/>
      <c r="CR412" s="147"/>
    </row>
    <row r="413" spans="1:96" s="123" customFormat="1" ht="25.15" customHeight="1" outlineLevel="1" x14ac:dyDescent="0.25">
      <c r="A413" s="1" t="s">
        <v>202</v>
      </c>
      <c r="B413" s="80" t="s">
        <v>3295</v>
      </c>
      <c r="C413" s="80"/>
      <c r="D413" s="162"/>
      <c r="E413" s="80" t="s">
        <v>1468</v>
      </c>
      <c r="F413" s="80" t="s">
        <v>1506</v>
      </c>
      <c r="G413" s="80" t="s">
        <v>1199</v>
      </c>
      <c r="H413" s="80" t="s">
        <v>29</v>
      </c>
      <c r="I413" s="80"/>
      <c r="J413" s="80"/>
      <c r="K413" s="80" t="s">
        <v>3410</v>
      </c>
      <c r="L413" s="80"/>
      <c r="M413" s="80" t="s">
        <v>3652</v>
      </c>
      <c r="N413" s="83" t="s">
        <v>456</v>
      </c>
      <c r="O413" s="80">
        <v>2600</v>
      </c>
      <c r="P413" s="80">
        <v>1429</v>
      </c>
      <c r="Q413" s="80">
        <v>1225</v>
      </c>
      <c r="R413" s="80">
        <v>1164</v>
      </c>
      <c r="S413" s="80">
        <v>2020</v>
      </c>
      <c r="T413" s="80">
        <v>1956</v>
      </c>
      <c r="U413" s="80">
        <v>5399</v>
      </c>
      <c r="V413" s="80">
        <v>621</v>
      </c>
      <c r="W413" s="80">
        <v>3498</v>
      </c>
      <c r="X413" s="80">
        <v>968</v>
      </c>
      <c r="Y413" s="80"/>
      <c r="Z413" s="80"/>
      <c r="AA413" s="80" t="s">
        <v>1515</v>
      </c>
      <c r="AB413" s="80">
        <v>3050</v>
      </c>
      <c r="AC413" s="80">
        <v>865</v>
      </c>
      <c r="AD413" s="80"/>
      <c r="AE413" s="80"/>
      <c r="AF413" s="80"/>
      <c r="AG413" s="80"/>
      <c r="AH413" s="80">
        <v>4.3</v>
      </c>
      <c r="AI413" s="80" t="s">
        <v>3635</v>
      </c>
      <c r="AJ413" s="37" t="s">
        <v>2868</v>
      </c>
      <c r="AK413" s="80" t="s">
        <v>1510</v>
      </c>
      <c r="AL413" s="80" t="s">
        <v>4302</v>
      </c>
      <c r="AM413" s="90" t="s">
        <v>3653</v>
      </c>
      <c r="AN413" s="80" t="s">
        <v>3657</v>
      </c>
      <c r="AO413" s="90" t="s">
        <v>3654</v>
      </c>
      <c r="AP413" s="80" t="s">
        <v>4221</v>
      </c>
      <c r="AQ413" s="90" t="s">
        <v>3655</v>
      </c>
      <c r="AR413" s="80" t="s">
        <v>4187</v>
      </c>
      <c r="AS413" s="80"/>
      <c r="AT413" s="80"/>
      <c r="AU413" s="80" t="s">
        <v>3656</v>
      </c>
      <c r="AV413" s="80"/>
      <c r="AW413" s="80"/>
      <c r="AX413" s="80"/>
      <c r="AY413" s="80"/>
      <c r="AZ413" s="80"/>
      <c r="BA413" s="161"/>
      <c r="BB413" s="80"/>
      <c r="BC413" s="80"/>
      <c r="BD413" s="80"/>
      <c r="BE413" s="91"/>
      <c r="BF413" s="91"/>
      <c r="BG413" s="91"/>
      <c r="BH413" s="91"/>
      <c r="BI413" s="91"/>
      <c r="BJ413" s="91"/>
      <c r="BK413" s="91"/>
      <c r="BL413" s="91"/>
      <c r="BM413" s="91"/>
      <c r="BN413" s="91"/>
      <c r="BO413" s="91"/>
      <c r="BP413" s="91"/>
      <c r="BQ413" s="91"/>
      <c r="BR413" s="91"/>
      <c r="BS413" s="91"/>
      <c r="BT413" s="91"/>
      <c r="BU413" s="91"/>
      <c r="BV413" s="91"/>
      <c r="BW413" s="91"/>
      <c r="BX413" s="91"/>
      <c r="BY413" s="91"/>
      <c r="CA413" s="122"/>
      <c r="CB413" s="111"/>
      <c r="CC413" s="201"/>
      <c r="CD413" s="202"/>
      <c r="CE413" s="147"/>
      <c r="CF413" s="143"/>
      <c r="CG413" s="163"/>
      <c r="CH413" s="143"/>
      <c r="CI413" s="143"/>
      <c r="CJ413" s="143"/>
      <c r="CK413" s="163"/>
      <c r="CL413" s="143"/>
      <c r="CM413" s="147"/>
      <c r="CN413" s="147"/>
      <c r="CO413" s="147"/>
      <c r="CP413" s="147"/>
      <c r="CQ413" s="147"/>
      <c r="CR413" s="147"/>
    </row>
    <row r="414" spans="1:96" s="123" customFormat="1" ht="25.15" customHeight="1" x14ac:dyDescent="0.25">
      <c r="A414" s="1" t="s">
        <v>202</v>
      </c>
      <c r="B414" s="80" t="s">
        <v>3299</v>
      </c>
      <c r="C414" s="80"/>
      <c r="D414" s="162"/>
      <c r="E414" s="80" t="s">
        <v>448</v>
      </c>
      <c r="F414" s="80" t="s">
        <v>1151</v>
      </c>
      <c r="G414" s="80" t="s">
        <v>1152</v>
      </c>
      <c r="H414" s="80" t="s">
        <v>29</v>
      </c>
      <c r="I414" s="80"/>
      <c r="J414" s="80"/>
      <c r="K414" s="80" t="s">
        <v>1153</v>
      </c>
      <c r="L414" s="80"/>
      <c r="M414" s="80" t="s">
        <v>3300</v>
      </c>
      <c r="N414" s="83" t="s">
        <v>63</v>
      </c>
      <c r="O414" s="80">
        <v>1495</v>
      </c>
      <c r="P414" s="80">
        <v>1245</v>
      </c>
      <c r="Q414" s="80">
        <v>1040</v>
      </c>
      <c r="R414" s="80">
        <v>980</v>
      </c>
      <c r="S414" s="80">
        <v>1860</v>
      </c>
      <c r="T414" s="80">
        <v>1848</v>
      </c>
      <c r="U414" s="80">
        <v>4403</v>
      </c>
      <c r="V414" s="80">
        <v>640</v>
      </c>
      <c r="W414" s="80">
        <v>2785</v>
      </c>
      <c r="X414" s="80">
        <v>726</v>
      </c>
      <c r="Y414" s="80"/>
      <c r="Z414" s="80"/>
      <c r="AA414" s="80" t="s">
        <v>3301</v>
      </c>
      <c r="AB414" s="80">
        <v>2020</v>
      </c>
      <c r="AC414" s="80"/>
      <c r="AD414" s="80"/>
      <c r="AE414" s="80"/>
      <c r="AF414" s="80"/>
      <c r="AG414" s="80"/>
      <c r="AH414" s="80">
        <v>1.7</v>
      </c>
      <c r="AI414" s="80" t="s">
        <v>3292</v>
      </c>
      <c r="AJ414" s="37" t="s">
        <v>2868</v>
      </c>
      <c r="AK414" s="80" t="s">
        <v>3293</v>
      </c>
      <c r="AL414" s="37" t="s">
        <v>2658</v>
      </c>
      <c r="AM414" s="90" t="s">
        <v>3302</v>
      </c>
      <c r="AN414" s="37" t="s">
        <v>2902</v>
      </c>
      <c r="AO414" s="90" t="s">
        <v>3303</v>
      </c>
      <c r="AP414" s="37" t="s">
        <v>2960</v>
      </c>
      <c r="AQ414" s="90" t="s">
        <v>1160</v>
      </c>
      <c r="AR414" s="37" t="s">
        <v>2761</v>
      </c>
      <c r="AS414" s="80"/>
      <c r="AT414" s="80"/>
      <c r="AU414" s="80" t="s">
        <v>1161</v>
      </c>
      <c r="AV414" s="80"/>
      <c r="AW414" s="80"/>
      <c r="AX414" s="80"/>
      <c r="AY414" s="80"/>
      <c r="AZ414" s="80"/>
      <c r="BA414" s="161"/>
      <c r="BB414" s="80"/>
      <c r="BC414" s="80"/>
      <c r="BD414" s="80"/>
      <c r="BE414" s="91"/>
      <c r="BF414" s="91"/>
      <c r="BG414" s="91"/>
      <c r="BH414" s="91"/>
      <c r="BI414" s="91"/>
      <c r="BJ414" s="91"/>
      <c r="BK414" s="91"/>
      <c r="BL414" s="91"/>
      <c r="BM414" s="91"/>
      <c r="BN414" s="91"/>
      <c r="BO414" s="91"/>
      <c r="BP414" s="91"/>
      <c r="BQ414" s="91"/>
      <c r="BR414" s="91"/>
      <c r="BS414" s="91"/>
      <c r="BT414" s="91"/>
      <c r="BU414" s="91"/>
      <c r="BV414" s="91"/>
      <c r="BW414" s="91"/>
      <c r="BX414" s="91"/>
      <c r="BY414" s="91"/>
      <c r="CA414" s="122"/>
      <c r="CB414" s="111"/>
      <c r="CC414" s="201"/>
      <c r="CD414" s="202"/>
      <c r="CE414" s="147"/>
      <c r="CF414" s="143"/>
      <c r="CG414" s="163"/>
      <c r="CH414" s="143"/>
      <c r="CI414" s="143"/>
      <c r="CJ414" s="143"/>
      <c r="CK414" s="163"/>
      <c r="CL414" s="143"/>
      <c r="CM414" s="147"/>
      <c r="CN414" s="147"/>
      <c r="CO414" s="147"/>
      <c r="CP414" s="147"/>
      <c r="CQ414" s="147"/>
      <c r="CR414" s="147"/>
    </row>
    <row r="415" spans="1:96" s="123" customFormat="1" ht="25.15" customHeight="1" outlineLevel="1" x14ac:dyDescent="0.25">
      <c r="A415" s="1" t="s">
        <v>202</v>
      </c>
      <c r="B415" s="80" t="s">
        <v>3299</v>
      </c>
      <c r="C415" s="80"/>
      <c r="D415" s="162"/>
      <c r="E415" s="80" t="s">
        <v>448</v>
      </c>
      <c r="F415" s="80" t="s">
        <v>1151</v>
      </c>
      <c r="G415" s="80" t="s">
        <v>1152</v>
      </c>
      <c r="H415" s="80" t="s">
        <v>3312</v>
      </c>
      <c r="I415" s="80"/>
      <c r="J415" s="80"/>
      <c r="K415" s="80" t="s">
        <v>1153</v>
      </c>
      <c r="L415" s="80"/>
      <c r="M415" s="80" t="s">
        <v>3322</v>
      </c>
      <c r="N415" s="83" t="s">
        <v>63</v>
      </c>
      <c r="O415" s="80">
        <v>1495</v>
      </c>
      <c r="P415" s="80">
        <v>1245</v>
      </c>
      <c r="Q415" s="80">
        <v>1040</v>
      </c>
      <c r="R415" s="80">
        <v>980</v>
      </c>
      <c r="S415" s="80">
        <v>1796</v>
      </c>
      <c r="T415" s="80">
        <v>1848</v>
      </c>
      <c r="U415" s="80">
        <v>4403</v>
      </c>
      <c r="V415" s="80">
        <v>640</v>
      </c>
      <c r="W415" s="80">
        <v>2785</v>
      </c>
      <c r="X415" s="80">
        <v>726</v>
      </c>
      <c r="Y415" s="80"/>
      <c r="Z415" s="80"/>
      <c r="AA415" s="80" t="s">
        <v>3323</v>
      </c>
      <c r="AB415" s="80">
        <v>2020</v>
      </c>
      <c r="AC415" s="80"/>
      <c r="AD415" s="80"/>
      <c r="AE415" s="80"/>
      <c r="AF415" s="80"/>
      <c r="AG415" s="80"/>
      <c r="AH415" s="80">
        <v>1.7</v>
      </c>
      <c r="AI415" s="80" t="s">
        <v>3292</v>
      </c>
      <c r="AJ415" s="37" t="s">
        <v>2868</v>
      </c>
      <c r="AK415" s="80" t="s">
        <v>3293</v>
      </c>
      <c r="AL415" s="37" t="s">
        <v>2658</v>
      </c>
      <c r="AM415" s="90" t="s">
        <v>3302</v>
      </c>
      <c r="AN415" s="37" t="s">
        <v>2902</v>
      </c>
      <c r="AO415" s="90" t="s">
        <v>3318</v>
      </c>
      <c r="AP415" s="37" t="s">
        <v>2960</v>
      </c>
      <c r="AQ415" s="80"/>
      <c r="AR415" s="80"/>
      <c r="AS415" s="80"/>
      <c r="AT415" s="80"/>
      <c r="AU415" s="80" t="s">
        <v>3316</v>
      </c>
      <c r="AV415" s="80"/>
      <c r="AW415" s="80"/>
      <c r="AX415" s="80"/>
      <c r="AY415" s="80"/>
      <c r="AZ415" s="80"/>
      <c r="BA415" s="161"/>
      <c r="BB415" s="80"/>
      <c r="BC415" s="80"/>
      <c r="BD415" s="80"/>
      <c r="BE415" s="91"/>
      <c r="BF415" s="91"/>
      <c r="BG415" s="91"/>
      <c r="BH415" s="91"/>
      <c r="BI415" s="91"/>
      <c r="BJ415" s="91"/>
      <c r="BK415" s="91"/>
      <c r="BL415" s="91"/>
      <c r="BM415" s="91"/>
      <c r="BN415" s="91"/>
      <c r="BO415" s="91"/>
      <c r="BP415" s="91"/>
      <c r="BQ415" s="91"/>
      <c r="BR415" s="91"/>
      <c r="BS415" s="91"/>
      <c r="BT415" s="91"/>
      <c r="BU415" s="91"/>
      <c r="BV415" s="91"/>
      <c r="BW415" s="91"/>
      <c r="BX415" s="91"/>
      <c r="BY415" s="91"/>
      <c r="CA415" s="122"/>
      <c r="CB415" s="111"/>
      <c r="CC415" s="201"/>
      <c r="CD415" s="202"/>
      <c r="CE415" s="147"/>
      <c r="CF415" s="143"/>
      <c r="CG415" s="163"/>
      <c r="CH415" s="143"/>
      <c r="CI415" s="143"/>
      <c r="CJ415" s="143"/>
      <c r="CK415" s="163"/>
      <c r="CL415" s="143"/>
      <c r="CM415" s="147"/>
      <c r="CN415" s="147"/>
      <c r="CO415" s="147"/>
      <c r="CP415" s="147"/>
      <c r="CQ415" s="147"/>
      <c r="CR415" s="147"/>
    </row>
    <row r="416" spans="1:96" s="123" customFormat="1" ht="25.15" customHeight="1" outlineLevel="1" x14ac:dyDescent="0.25">
      <c r="A416" s="1" t="s">
        <v>202</v>
      </c>
      <c r="B416" s="80" t="s">
        <v>3299</v>
      </c>
      <c r="C416" s="80"/>
      <c r="D416" s="162"/>
      <c r="E416" s="80" t="s">
        <v>448</v>
      </c>
      <c r="F416" s="80" t="s">
        <v>449</v>
      </c>
      <c r="G416" s="80" t="s">
        <v>450</v>
      </c>
      <c r="H416" s="80" t="s">
        <v>29</v>
      </c>
      <c r="I416" s="80"/>
      <c r="J416" s="80"/>
      <c r="K416" s="80" t="s">
        <v>30</v>
      </c>
      <c r="L416" s="80"/>
      <c r="M416" s="80" t="s">
        <v>3333</v>
      </c>
      <c r="N416" s="83" t="s">
        <v>63</v>
      </c>
      <c r="O416" s="80">
        <v>2924</v>
      </c>
      <c r="P416" s="80">
        <v>1904</v>
      </c>
      <c r="Q416" s="80">
        <v>1950</v>
      </c>
      <c r="R416" s="80"/>
      <c r="S416" s="80">
        <v>2730</v>
      </c>
      <c r="T416" s="80">
        <v>2050</v>
      </c>
      <c r="U416" s="80">
        <v>5743</v>
      </c>
      <c r="V416" s="80">
        <v>690</v>
      </c>
      <c r="W416" s="80">
        <v>3450</v>
      </c>
      <c r="X416" s="80">
        <v>1345</v>
      </c>
      <c r="Y416" s="80"/>
      <c r="Z416" s="80"/>
      <c r="AA416" s="80" t="s">
        <v>3334</v>
      </c>
      <c r="AB416" s="80">
        <v>3500</v>
      </c>
      <c r="AC416" s="80">
        <v>1115</v>
      </c>
      <c r="AD416" s="80"/>
      <c r="AE416" s="80"/>
      <c r="AF416" s="80"/>
      <c r="AG416" s="80"/>
      <c r="AH416" s="80" t="s">
        <v>501</v>
      </c>
      <c r="AI416" s="80" t="s">
        <v>3335</v>
      </c>
      <c r="AJ416" s="37" t="s">
        <v>2868</v>
      </c>
      <c r="AK416" s="80" t="s">
        <v>3329</v>
      </c>
      <c r="AL416" s="37" t="s">
        <v>2658</v>
      </c>
      <c r="AM416" s="90" t="s">
        <v>3336</v>
      </c>
      <c r="AN416" s="37" t="s">
        <v>2902</v>
      </c>
      <c r="AO416" s="90" t="s">
        <v>3337</v>
      </c>
      <c r="AP416" s="37" t="s">
        <v>2960</v>
      </c>
      <c r="AQ416" s="90" t="s">
        <v>1248</v>
      </c>
      <c r="AR416" s="37" t="s">
        <v>2761</v>
      </c>
      <c r="AS416" s="80"/>
      <c r="AT416" s="80"/>
      <c r="AU416" s="80" t="s">
        <v>502</v>
      </c>
      <c r="AV416" s="80"/>
      <c r="AW416" s="80"/>
      <c r="AX416" s="80"/>
      <c r="AY416" s="80"/>
      <c r="AZ416" s="80"/>
      <c r="BA416" s="161"/>
      <c r="BB416" s="80"/>
      <c r="BC416" s="80"/>
      <c r="BD416" s="80"/>
      <c r="BE416" s="91"/>
      <c r="BF416" s="91"/>
      <c r="BG416" s="91"/>
      <c r="BH416" s="91"/>
      <c r="BI416" s="91"/>
      <c r="BJ416" s="91"/>
      <c r="BK416" s="91"/>
      <c r="BL416" s="91"/>
      <c r="BM416" s="91"/>
      <c r="BN416" s="91"/>
      <c r="BO416" s="91"/>
      <c r="BP416" s="91"/>
      <c r="BQ416" s="91"/>
      <c r="BR416" s="91"/>
      <c r="BS416" s="91"/>
      <c r="BT416" s="91"/>
      <c r="BU416" s="91"/>
      <c r="BV416" s="91"/>
      <c r="BW416" s="91"/>
      <c r="BX416" s="91"/>
      <c r="BY416" s="91"/>
      <c r="CA416" s="122"/>
      <c r="CB416" s="111"/>
      <c r="CC416" s="201"/>
      <c r="CD416" s="202"/>
      <c r="CE416" s="147"/>
      <c r="CF416" s="143"/>
      <c r="CG416" s="163"/>
      <c r="CH416" s="143"/>
      <c r="CI416" s="143"/>
      <c r="CJ416" s="143"/>
      <c r="CK416" s="163"/>
      <c r="CL416" s="143"/>
      <c r="CM416" s="147"/>
      <c r="CN416" s="147"/>
      <c r="CO416" s="147"/>
      <c r="CP416" s="147"/>
      <c r="CQ416" s="147"/>
      <c r="CR416" s="147"/>
    </row>
    <row r="417" spans="1:96" s="123" customFormat="1" ht="25.15" customHeight="1" outlineLevel="1" x14ac:dyDescent="0.25">
      <c r="A417" s="1" t="s">
        <v>202</v>
      </c>
      <c r="B417" s="80" t="s">
        <v>3299</v>
      </c>
      <c r="C417" s="80"/>
      <c r="D417" s="162"/>
      <c r="E417" s="80" t="s">
        <v>33</v>
      </c>
      <c r="F417" s="80" t="s">
        <v>34</v>
      </c>
      <c r="G417" s="80" t="s">
        <v>85</v>
      </c>
      <c r="H417" s="80" t="s">
        <v>29</v>
      </c>
      <c r="I417" s="80"/>
      <c r="J417" s="80"/>
      <c r="K417" s="80" t="s">
        <v>30</v>
      </c>
      <c r="L417" s="80"/>
      <c r="M417" s="80" t="s">
        <v>3667</v>
      </c>
      <c r="N417" s="83" t="s">
        <v>63</v>
      </c>
      <c r="O417" s="80">
        <v>3224</v>
      </c>
      <c r="P417" s="80">
        <v>1904</v>
      </c>
      <c r="Q417" s="80">
        <v>1950</v>
      </c>
      <c r="R417" s="80"/>
      <c r="S417" s="80">
        <v>2942</v>
      </c>
      <c r="T417" s="80">
        <v>2050</v>
      </c>
      <c r="U417" s="80">
        <v>5932</v>
      </c>
      <c r="V417" s="80">
        <v>960</v>
      </c>
      <c r="W417" s="80">
        <v>3450</v>
      </c>
      <c r="X417" s="80">
        <v>1425</v>
      </c>
      <c r="Y417" s="80"/>
      <c r="Z417" s="80">
        <v>5</v>
      </c>
      <c r="AA417" s="80" t="s">
        <v>3448</v>
      </c>
      <c r="AB417" s="80">
        <v>3500</v>
      </c>
      <c r="AC417" s="80">
        <v>620</v>
      </c>
      <c r="AD417" s="80"/>
      <c r="AE417" s="80"/>
      <c r="AF417" s="80"/>
      <c r="AG417" s="80"/>
      <c r="AH417" s="80">
        <v>12</v>
      </c>
      <c r="AI417" s="80" t="s">
        <v>3452</v>
      </c>
      <c r="AJ417" s="37" t="s">
        <v>2868</v>
      </c>
      <c r="AK417" s="80" t="s">
        <v>3478</v>
      </c>
      <c r="AL417" s="37" t="s">
        <v>2658</v>
      </c>
      <c r="AM417" s="90" t="s">
        <v>1276</v>
      </c>
      <c r="AN417" s="37" t="s">
        <v>2902</v>
      </c>
      <c r="AO417" s="90" t="s">
        <v>3449</v>
      </c>
      <c r="AP417" s="37" t="s">
        <v>2960</v>
      </c>
      <c r="AQ417" s="90" t="s">
        <v>1248</v>
      </c>
      <c r="AR417" s="37" t="s">
        <v>2761</v>
      </c>
      <c r="AS417" s="80"/>
      <c r="AT417" s="80"/>
      <c r="AU417" s="80" t="s">
        <v>1278</v>
      </c>
      <c r="AV417" s="80"/>
      <c r="AW417" s="80"/>
      <c r="AX417" s="80"/>
      <c r="AY417" s="80"/>
      <c r="AZ417" s="80"/>
      <c r="BA417" s="161"/>
      <c r="BB417" s="80"/>
      <c r="BC417" s="80"/>
      <c r="BD417" s="80"/>
      <c r="BE417" s="91"/>
      <c r="BF417" s="91"/>
      <c r="BG417" s="91"/>
      <c r="BH417" s="91"/>
      <c r="BI417" s="91"/>
      <c r="BJ417" s="91"/>
      <c r="BK417" s="91"/>
      <c r="BL417" s="91"/>
      <c r="BM417" s="91"/>
      <c r="BN417" s="91"/>
      <c r="BO417" s="91"/>
      <c r="BP417" s="91"/>
      <c r="BQ417" s="91"/>
      <c r="BR417" s="91"/>
      <c r="BS417" s="91"/>
      <c r="BT417" s="91"/>
      <c r="BU417" s="91"/>
      <c r="BV417" s="91"/>
      <c r="BW417" s="91"/>
      <c r="BX417" s="91"/>
      <c r="BY417" s="91"/>
      <c r="CA417" s="122"/>
      <c r="CB417" s="111"/>
      <c r="CC417" s="201"/>
      <c r="CD417" s="202"/>
      <c r="CE417" s="147"/>
      <c r="CF417" s="143"/>
      <c r="CG417" s="163"/>
      <c r="CH417" s="143"/>
      <c r="CI417" s="143"/>
      <c r="CJ417" s="143"/>
      <c r="CK417" s="163"/>
      <c r="CL417" s="143"/>
      <c r="CM417" s="147"/>
      <c r="CN417" s="147"/>
      <c r="CO417" s="147"/>
      <c r="CP417" s="147"/>
      <c r="CQ417" s="147"/>
      <c r="CR417" s="147"/>
    </row>
    <row r="418" spans="1:96" s="123" customFormat="1" ht="25.15" customHeight="1" outlineLevel="1" x14ac:dyDescent="0.25">
      <c r="A418" s="1" t="s">
        <v>202</v>
      </c>
      <c r="B418" s="80" t="s">
        <v>3299</v>
      </c>
      <c r="C418" s="80"/>
      <c r="D418" s="162"/>
      <c r="E418" s="80" t="s">
        <v>33</v>
      </c>
      <c r="F418" s="80" t="s">
        <v>34</v>
      </c>
      <c r="G418" s="80" t="s">
        <v>85</v>
      </c>
      <c r="H418" s="80" t="s">
        <v>29</v>
      </c>
      <c r="I418" s="80" t="s">
        <v>7</v>
      </c>
      <c r="J418" s="80"/>
      <c r="K418" s="80" t="s">
        <v>30</v>
      </c>
      <c r="L418" s="80"/>
      <c r="M418" s="80" t="s">
        <v>3667</v>
      </c>
      <c r="N418" s="83" t="s">
        <v>1709</v>
      </c>
      <c r="O418" s="80">
        <v>3224</v>
      </c>
      <c r="P418" s="80">
        <v>1904</v>
      </c>
      <c r="Q418" s="80">
        <v>1950</v>
      </c>
      <c r="R418" s="80"/>
      <c r="S418" s="80">
        <v>2942</v>
      </c>
      <c r="T418" s="80">
        <v>2050</v>
      </c>
      <c r="U418" s="80">
        <v>6124</v>
      </c>
      <c r="V418" s="80">
        <v>900</v>
      </c>
      <c r="W418" s="80">
        <v>3450</v>
      </c>
      <c r="X418" s="80">
        <v>1617</v>
      </c>
      <c r="Y418" s="80"/>
      <c r="Z418" s="80">
        <v>5</v>
      </c>
      <c r="AA418" s="80" t="s">
        <v>3450</v>
      </c>
      <c r="AB418" s="80">
        <v>3500</v>
      </c>
      <c r="AC418" s="80">
        <v>440</v>
      </c>
      <c r="AD418" s="80"/>
      <c r="AE418" s="80"/>
      <c r="AF418" s="80"/>
      <c r="AG418" s="80"/>
      <c r="AH418" s="80">
        <v>12</v>
      </c>
      <c r="AI418" s="80" t="s">
        <v>3452</v>
      </c>
      <c r="AJ418" s="37" t="s">
        <v>2868</v>
      </c>
      <c r="AK418" s="80" t="s">
        <v>3478</v>
      </c>
      <c r="AL418" s="37" t="s">
        <v>2658</v>
      </c>
      <c r="AM418" s="90" t="s">
        <v>1276</v>
      </c>
      <c r="AN418" s="37" t="s">
        <v>2902</v>
      </c>
      <c r="AO418" s="90" t="s">
        <v>3451</v>
      </c>
      <c r="AP418" s="37" t="s">
        <v>2960</v>
      </c>
      <c r="AQ418" s="90" t="s">
        <v>1248</v>
      </c>
      <c r="AR418" s="37" t="s">
        <v>2761</v>
      </c>
      <c r="AS418" s="90" t="s">
        <v>3441</v>
      </c>
      <c r="AT418" s="37" t="s">
        <v>2577</v>
      </c>
      <c r="AU418" s="80" t="s">
        <v>1289</v>
      </c>
      <c r="AV418" s="80"/>
      <c r="AW418" s="80"/>
      <c r="AX418" s="80"/>
      <c r="AY418" s="80"/>
      <c r="AZ418" s="80"/>
      <c r="BA418" s="161"/>
      <c r="BB418" s="80"/>
      <c r="BC418" s="80"/>
      <c r="BD418" s="80"/>
      <c r="BE418" s="91"/>
      <c r="BF418" s="91"/>
      <c r="BG418" s="91"/>
      <c r="BH418" s="91"/>
      <c r="BI418" s="91"/>
      <c r="BJ418" s="91"/>
      <c r="BK418" s="91"/>
      <c r="BL418" s="91"/>
      <c r="BM418" s="91"/>
      <c r="BN418" s="91"/>
      <c r="BO418" s="91"/>
      <c r="BP418" s="91"/>
      <c r="BQ418" s="91"/>
      <c r="BR418" s="91"/>
      <c r="BS418" s="91"/>
      <c r="BT418" s="91"/>
      <c r="BU418" s="91"/>
      <c r="BV418" s="91"/>
      <c r="BW418" s="91"/>
      <c r="BX418" s="91"/>
      <c r="BY418" s="91"/>
      <c r="CA418" s="122"/>
      <c r="CB418" s="111"/>
      <c r="CC418" s="201"/>
      <c r="CD418" s="202"/>
      <c r="CE418" s="147"/>
      <c r="CF418" s="143"/>
      <c r="CG418" s="163"/>
      <c r="CH418" s="143"/>
      <c r="CI418" s="143"/>
      <c r="CJ418" s="143"/>
      <c r="CK418" s="163"/>
      <c r="CL418" s="143"/>
      <c r="CM418" s="147"/>
      <c r="CN418" s="147"/>
      <c r="CO418" s="147"/>
      <c r="CP418" s="147"/>
      <c r="CQ418" s="147"/>
      <c r="CR418" s="147"/>
    </row>
    <row r="419" spans="1:96" s="123" customFormat="1" ht="25.15" customHeight="1" outlineLevel="1" x14ac:dyDescent="0.25">
      <c r="A419" s="1" t="s">
        <v>202</v>
      </c>
      <c r="B419" s="80" t="s">
        <v>3299</v>
      </c>
      <c r="C419" s="80"/>
      <c r="D419" s="162"/>
      <c r="E419" s="80" t="s">
        <v>33</v>
      </c>
      <c r="F419" s="80" t="s">
        <v>34</v>
      </c>
      <c r="G419" s="80" t="s">
        <v>85</v>
      </c>
      <c r="H419" s="80" t="s">
        <v>29</v>
      </c>
      <c r="I419" s="80"/>
      <c r="J419" s="80"/>
      <c r="K419" s="80" t="s">
        <v>30</v>
      </c>
      <c r="L419" s="80"/>
      <c r="M419" s="80" t="s">
        <v>3668</v>
      </c>
      <c r="N419" s="83" t="s">
        <v>63</v>
      </c>
      <c r="O419" s="80">
        <v>4024</v>
      </c>
      <c r="P419" s="80">
        <v>1904</v>
      </c>
      <c r="Q419" s="80">
        <v>1950</v>
      </c>
      <c r="R419" s="80"/>
      <c r="S419" s="80"/>
      <c r="T419" s="80"/>
      <c r="U419" s="80"/>
      <c r="V419" s="80"/>
      <c r="W419" s="80"/>
      <c r="X419" s="80"/>
      <c r="Y419" s="80"/>
      <c r="Z419" s="80">
        <v>6</v>
      </c>
      <c r="AA419" s="80" t="s">
        <v>3485</v>
      </c>
      <c r="AB419" s="80">
        <v>3500</v>
      </c>
      <c r="AC419" s="80">
        <v>470</v>
      </c>
      <c r="AD419" s="80"/>
      <c r="AE419" s="80"/>
      <c r="AF419" s="80"/>
      <c r="AG419" s="80"/>
      <c r="AH419" s="80" t="s">
        <v>3486</v>
      </c>
      <c r="AI419" s="80" t="s">
        <v>3488</v>
      </c>
      <c r="AJ419" s="37" t="s">
        <v>2868</v>
      </c>
      <c r="AK419" s="80" t="s">
        <v>3478</v>
      </c>
      <c r="AL419" s="37" t="s">
        <v>2658</v>
      </c>
      <c r="AM419" s="90" t="s">
        <v>1276</v>
      </c>
      <c r="AN419" s="37" t="s">
        <v>2902</v>
      </c>
      <c r="AO419" s="90" t="s">
        <v>3487</v>
      </c>
      <c r="AP419" s="37" t="s">
        <v>2960</v>
      </c>
      <c r="AQ419" s="90" t="s">
        <v>1248</v>
      </c>
      <c r="AR419" s="37" t="s">
        <v>2761</v>
      </c>
      <c r="AS419" s="80"/>
      <c r="AT419" s="80"/>
      <c r="AU419" s="80" t="s">
        <v>1281</v>
      </c>
      <c r="AV419" s="80"/>
      <c r="AW419" s="80"/>
      <c r="AX419" s="80"/>
      <c r="AY419" s="80"/>
      <c r="AZ419" s="80"/>
      <c r="BA419" s="161"/>
      <c r="BB419" s="80"/>
      <c r="BC419" s="80"/>
      <c r="BD419" s="80"/>
      <c r="BE419" s="91"/>
      <c r="BF419" s="91"/>
      <c r="BG419" s="91"/>
      <c r="BH419" s="91"/>
      <c r="BI419" s="91"/>
      <c r="BJ419" s="91"/>
      <c r="BK419" s="91"/>
      <c r="BL419" s="91"/>
      <c r="BM419" s="91"/>
      <c r="BN419" s="91"/>
      <c r="BO419" s="91"/>
      <c r="BP419" s="91"/>
      <c r="BQ419" s="91"/>
      <c r="BR419" s="91"/>
      <c r="BS419" s="91"/>
      <c r="BT419" s="91"/>
      <c r="BU419" s="91"/>
      <c r="BV419" s="91"/>
      <c r="BW419" s="91"/>
      <c r="BX419" s="91"/>
      <c r="BY419" s="91"/>
      <c r="CA419" s="122"/>
      <c r="CB419" s="111"/>
      <c r="CC419" s="201"/>
      <c r="CD419" s="202"/>
      <c r="CE419" s="147"/>
      <c r="CF419" s="143"/>
      <c r="CG419" s="163"/>
      <c r="CH419" s="143"/>
      <c r="CI419" s="143"/>
      <c r="CJ419" s="143"/>
      <c r="CK419" s="163"/>
      <c r="CL419" s="143"/>
      <c r="CM419" s="147"/>
      <c r="CN419" s="147"/>
      <c r="CO419" s="147"/>
      <c r="CP419" s="147"/>
      <c r="CQ419" s="147"/>
      <c r="CR419" s="147"/>
    </row>
    <row r="420" spans="1:96" s="123" customFormat="1" ht="25.15" customHeight="1" outlineLevel="1" x14ac:dyDescent="0.25">
      <c r="A420" s="1" t="s">
        <v>202</v>
      </c>
      <c r="B420" s="80" t="s">
        <v>3299</v>
      </c>
      <c r="C420" s="80"/>
      <c r="D420" s="162"/>
      <c r="E420" s="80" t="s">
        <v>33</v>
      </c>
      <c r="F420" s="80" t="s">
        <v>34</v>
      </c>
      <c r="G420" s="80" t="s">
        <v>85</v>
      </c>
      <c r="H420" s="80" t="s">
        <v>29</v>
      </c>
      <c r="I420" s="80"/>
      <c r="J420" s="80"/>
      <c r="K420" s="80" t="s">
        <v>30</v>
      </c>
      <c r="L420" s="80"/>
      <c r="M420" s="80" t="s">
        <v>3669</v>
      </c>
      <c r="N420" s="83" t="s">
        <v>63</v>
      </c>
      <c r="O420" s="80">
        <v>3324</v>
      </c>
      <c r="P420" s="80">
        <v>1904</v>
      </c>
      <c r="Q420" s="80">
        <v>1950</v>
      </c>
      <c r="R420" s="80"/>
      <c r="S420" s="80">
        <v>3040</v>
      </c>
      <c r="T420" s="80">
        <v>2050</v>
      </c>
      <c r="U420" s="80">
        <v>6023</v>
      </c>
      <c r="V420" s="80">
        <v>1000</v>
      </c>
      <c r="W420" s="80">
        <v>3450</v>
      </c>
      <c r="X420" s="80">
        <v>1525</v>
      </c>
      <c r="Y420" s="80"/>
      <c r="Z420" s="80">
        <v>5</v>
      </c>
      <c r="AA420" s="80" t="s">
        <v>3502</v>
      </c>
      <c r="AB420" s="80">
        <v>3500</v>
      </c>
      <c r="AC420" s="80">
        <v>604</v>
      </c>
      <c r="AD420" s="80"/>
      <c r="AE420" s="80"/>
      <c r="AF420" s="80"/>
      <c r="AG420" s="80"/>
      <c r="AH420" s="80">
        <v>12.2</v>
      </c>
      <c r="AI420" s="80" t="s">
        <v>3503</v>
      </c>
      <c r="AJ420" s="37" t="s">
        <v>2868</v>
      </c>
      <c r="AK420" s="80" t="s">
        <v>3514</v>
      </c>
      <c r="AL420" s="37" t="s">
        <v>2658</v>
      </c>
      <c r="AM420" s="90" t="s">
        <v>3504</v>
      </c>
      <c r="AN420" s="37" t="s">
        <v>2902</v>
      </c>
      <c r="AO420" s="90" t="s">
        <v>3449</v>
      </c>
      <c r="AP420" s="37" t="s">
        <v>2960</v>
      </c>
      <c r="AQ420" s="90" t="s">
        <v>1248</v>
      </c>
      <c r="AR420" s="37" t="s">
        <v>2761</v>
      </c>
      <c r="AS420" s="80"/>
      <c r="AT420" s="80"/>
      <c r="AU420" s="80" t="s">
        <v>1278</v>
      </c>
      <c r="AV420" s="80"/>
      <c r="AW420" s="80"/>
      <c r="AX420" s="80"/>
      <c r="AY420" s="80"/>
      <c r="AZ420" s="80"/>
      <c r="BA420" s="161"/>
      <c r="BB420" s="80"/>
      <c r="BC420" s="80"/>
      <c r="BD420" s="80"/>
      <c r="BE420" s="91"/>
      <c r="BF420" s="91"/>
      <c r="BG420" s="91"/>
      <c r="BH420" s="91"/>
      <c r="BI420" s="91"/>
      <c r="BJ420" s="91"/>
      <c r="BK420" s="91"/>
      <c r="BL420" s="91"/>
      <c r="BM420" s="91"/>
      <c r="BN420" s="91"/>
      <c r="BO420" s="91"/>
      <c r="BP420" s="91"/>
      <c r="BQ420" s="91"/>
      <c r="BR420" s="91"/>
      <c r="BS420" s="91"/>
      <c r="BT420" s="91"/>
      <c r="BU420" s="91"/>
      <c r="BV420" s="91"/>
      <c r="BW420" s="91"/>
      <c r="BX420" s="91"/>
      <c r="BY420" s="91"/>
      <c r="CA420" s="122"/>
      <c r="CB420" s="111"/>
      <c r="CC420" s="201"/>
      <c r="CD420" s="202"/>
      <c r="CE420" s="147"/>
      <c r="CF420" s="143"/>
      <c r="CG420" s="163"/>
      <c r="CH420" s="143"/>
      <c r="CI420" s="143"/>
      <c r="CJ420" s="143"/>
      <c r="CK420" s="163"/>
      <c r="CL420" s="143"/>
      <c r="CM420" s="147"/>
      <c r="CN420" s="147"/>
      <c r="CO420" s="147"/>
      <c r="CP420" s="147"/>
      <c r="CQ420" s="147"/>
      <c r="CR420" s="147"/>
    </row>
    <row r="421" spans="1:96" s="123" customFormat="1" ht="25.15" customHeight="1" outlineLevel="1" x14ac:dyDescent="0.25">
      <c r="A421" s="1" t="s">
        <v>202</v>
      </c>
      <c r="B421" s="80" t="s">
        <v>3299</v>
      </c>
      <c r="C421" s="80"/>
      <c r="D421" s="162"/>
      <c r="E421" s="80" t="s">
        <v>33</v>
      </c>
      <c r="F421" s="80" t="s">
        <v>34</v>
      </c>
      <c r="G421" s="80" t="s">
        <v>85</v>
      </c>
      <c r="H421" s="80" t="s">
        <v>29</v>
      </c>
      <c r="I421" s="80" t="s">
        <v>7</v>
      </c>
      <c r="J421" s="80"/>
      <c r="K421" s="80" t="s">
        <v>30</v>
      </c>
      <c r="L421" s="80"/>
      <c r="M421" s="80" t="s">
        <v>3669</v>
      </c>
      <c r="N421" s="83" t="s">
        <v>1709</v>
      </c>
      <c r="O421" s="80">
        <v>3324</v>
      </c>
      <c r="P421" s="80">
        <v>1904</v>
      </c>
      <c r="Q421" s="80">
        <v>1950</v>
      </c>
      <c r="R421" s="80"/>
      <c r="S421" s="80">
        <v>3030</v>
      </c>
      <c r="T421" s="80">
        <v>2050</v>
      </c>
      <c r="U421" s="80">
        <v>6323</v>
      </c>
      <c r="V421" s="80">
        <v>990</v>
      </c>
      <c r="W421" s="80">
        <v>3450</v>
      </c>
      <c r="X421" s="80">
        <v>1725</v>
      </c>
      <c r="Y421" s="80"/>
      <c r="Z421" s="80">
        <v>5</v>
      </c>
      <c r="AA421" s="80" t="s">
        <v>3505</v>
      </c>
      <c r="AB421" s="80">
        <v>3500</v>
      </c>
      <c r="AC421" s="80">
        <v>384</v>
      </c>
      <c r="AD421" s="80"/>
      <c r="AE421" s="80"/>
      <c r="AF421" s="80"/>
      <c r="AG421" s="80"/>
      <c r="AH421" s="80">
        <v>12.2</v>
      </c>
      <c r="AI421" s="80" t="s">
        <v>3503</v>
      </c>
      <c r="AJ421" s="37" t="s">
        <v>2868</v>
      </c>
      <c r="AK421" s="80" t="s">
        <v>3514</v>
      </c>
      <c r="AL421" s="37" t="s">
        <v>2658</v>
      </c>
      <c r="AM421" s="90" t="s">
        <v>3504</v>
      </c>
      <c r="AN421" s="37" t="s">
        <v>2902</v>
      </c>
      <c r="AO421" s="90" t="s">
        <v>3451</v>
      </c>
      <c r="AP421" s="37" t="s">
        <v>2960</v>
      </c>
      <c r="AQ421" s="90" t="s">
        <v>1248</v>
      </c>
      <c r="AR421" s="37" t="s">
        <v>2761</v>
      </c>
      <c r="AS421" s="90" t="s">
        <v>3506</v>
      </c>
      <c r="AT421" s="37" t="s">
        <v>2577</v>
      </c>
      <c r="AU421" s="80" t="s">
        <v>1289</v>
      </c>
      <c r="AV421" s="80"/>
      <c r="AW421" s="80"/>
      <c r="AX421" s="80"/>
      <c r="AY421" s="80"/>
      <c r="AZ421" s="80"/>
      <c r="BA421" s="161"/>
      <c r="BB421" s="80"/>
      <c r="BC421" s="80"/>
      <c r="BD421" s="80"/>
      <c r="BE421" s="91"/>
      <c r="BF421" s="91"/>
      <c r="BG421" s="91"/>
      <c r="BH421" s="91"/>
      <c r="BI421" s="91"/>
      <c r="BJ421" s="91"/>
      <c r="BK421" s="91"/>
      <c r="BL421" s="91"/>
      <c r="BM421" s="91"/>
      <c r="BN421" s="91"/>
      <c r="BO421" s="91"/>
      <c r="BP421" s="91"/>
      <c r="BQ421" s="91"/>
      <c r="BR421" s="91"/>
      <c r="BS421" s="91"/>
      <c r="BT421" s="91"/>
      <c r="BU421" s="91"/>
      <c r="BV421" s="91"/>
      <c r="BW421" s="91"/>
      <c r="BX421" s="91"/>
      <c r="BY421" s="91"/>
      <c r="CA421" s="122"/>
      <c r="CB421" s="111"/>
      <c r="CC421" s="201"/>
      <c r="CD421" s="202"/>
      <c r="CE421" s="147"/>
      <c r="CF421" s="143"/>
      <c r="CG421" s="163"/>
      <c r="CH421" s="143"/>
      <c r="CI421" s="143"/>
      <c r="CJ421" s="143"/>
      <c r="CK421" s="163"/>
      <c r="CL421" s="143"/>
      <c r="CM421" s="147"/>
      <c r="CN421" s="147"/>
      <c r="CO421" s="147"/>
      <c r="CP421" s="147"/>
      <c r="CQ421" s="147"/>
      <c r="CR421" s="147"/>
    </row>
    <row r="422" spans="1:96" s="123" customFormat="1" ht="25.15" customHeight="1" outlineLevel="1" x14ac:dyDescent="0.25">
      <c r="A422" s="1" t="s">
        <v>202</v>
      </c>
      <c r="B422" s="80" t="s">
        <v>3299</v>
      </c>
      <c r="C422" s="80"/>
      <c r="D422" s="162"/>
      <c r="E422" s="80" t="s">
        <v>33</v>
      </c>
      <c r="F422" s="80" t="s">
        <v>34</v>
      </c>
      <c r="G422" s="80" t="s">
        <v>85</v>
      </c>
      <c r="H422" s="80" t="s">
        <v>29</v>
      </c>
      <c r="I422" s="80"/>
      <c r="J422" s="80"/>
      <c r="K422" s="80" t="s">
        <v>30</v>
      </c>
      <c r="L422" s="80"/>
      <c r="M422" s="80" t="s">
        <v>3670</v>
      </c>
      <c r="N422" s="83" t="s">
        <v>63</v>
      </c>
      <c r="O422" s="80">
        <v>3324</v>
      </c>
      <c r="P422" s="80">
        <v>1904</v>
      </c>
      <c r="Q422" s="80">
        <v>1950</v>
      </c>
      <c r="R422" s="80"/>
      <c r="S422" s="80">
        <v>2950</v>
      </c>
      <c r="T422" s="80">
        <v>2050</v>
      </c>
      <c r="U422" s="80">
        <v>6023</v>
      </c>
      <c r="V422" s="80">
        <v>910</v>
      </c>
      <c r="W422" s="80">
        <v>3450</v>
      </c>
      <c r="X422" s="80">
        <v>1525</v>
      </c>
      <c r="Y422" s="80"/>
      <c r="Z422" s="80">
        <v>5</v>
      </c>
      <c r="AA422" s="80" t="s">
        <v>3517</v>
      </c>
      <c r="AB422" s="80">
        <v>5200</v>
      </c>
      <c r="AC422" s="80">
        <v>2025</v>
      </c>
      <c r="AD422" s="80"/>
      <c r="AE422" s="80"/>
      <c r="AF422" s="80"/>
      <c r="AG422" s="80"/>
      <c r="AH422" s="80" t="s">
        <v>3518</v>
      </c>
      <c r="AI422" s="80" t="s">
        <v>3519</v>
      </c>
      <c r="AJ422" s="37" t="s">
        <v>2868</v>
      </c>
      <c r="AK422" s="80" t="s">
        <v>3520</v>
      </c>
      <c r="AL422" s="37" t="s">
        <v>2658</v>
      </c>
      <c r="AM422" s="90" t="s">
        <v>3521</v>
      </c>
      <c r="AN422" s="37" t="s">
        <v>2902</v>
      </c>
      <c r="AO422" s="90" t="s">
        <v>3522</v>
      </c>
      <c r="AP422" s="37" t="s">
        <v>2960</v>
      </c>
      <c r="AQ422" s="90" t="s">
        <v>1248</v>
      </c>
      <c r="AR422" s="37" t="s">
        <v>2761</v>
      </c>
      <c r="AS422" s="80"/>
      <c r="AT422" s="80"/>
      <c r="AU422" s="80" t="s">
        <v>1281</v>
      </c>
      <c r="AV422" s="80"/>
      <c r="AW422" s="80"/>
      <c r="AX422" s="80"/>
      <c r="AY422" s="80"/>
      <c r="AZ422" s="80"/>
      <c r="BA422" s="161"/>
      <c r="BB422" s="80"/>
      <c r="BC422" s="80"/>
      <c r="BD422" s="80"/>
      <c r="BE422" s="91"/>
      <c r="BF422" s="91"/>
      <c r="BG422" s="91"/>
      <c r="BH422" s="91"/>
      <c r="BI422" s="91"/>
      <c r="BJ422" s="91"/>
      <c r="BK422" s="91"/>
      <c r="BL422" s="91"/>
      <c r="BM422" s="91"/>
      <c r="BN422" s="91"/>
      <c r="BO422" s="91"/>
      <c r="BP422" s="91"/>
      <c r="BQ422" s="91"/>
      <c r="BR422" s="91"/>
      <c r="BS422" s="91"/>
      <c r="BT422" s="91"/>
      <c r="BU422" s="91"/>
      <c r="BV422" s="91"/>
      <c r="BW422" s="91"/>
      <c r="BX422" s="91"/>
      <c r="BY422" s="91"/>
      <c r="CA422" s="122"/>
      <c r="CB422" s="111"/>
      <c r="CC422" s="201"/>
      <c r="CD422" s="202"/>
      <c r="CE422" s="147"/>
      <c r="CF422" s="143"/>
      <c r="CG422" s="163"/>
      <c r="CH422" s="143"/>
      <c r="CI422" s="143"/>
      <c r="CJ422" s="143"/>
      <c r="CK422" s="163"/>
      <c r="CL422" s="143"/>
      <c r="CM422" s="147"/>
      <c r="CN422" s="147"/>
      <c r="CO422" s="147"/>
      <c r="CP422" s="147"/>
      <c r="CQ422" s="147"/>
      <c r="CR422" s="147"/>
    </row>
    <row r="423" spans="1:96" s="123" customFormat="1" ht="25.15" customHeight="1" outlineLevel="1" x14ac:dyDescent="0.25">
      <c r="A423" s="1" t="s">
        <v>202</v>
      </c>
      <c r="B423" s="80" t="s">
        <v>3299</v>
      </c>
      <c r="C423" s="80"/>
      <c r="D423" s="162"/>
      <c r="E423" s="80" t="s">
        <v>33</v>
      </c>
      <c r="F423" s="80" t="s">
        <v>34</v>
      </c>
      <c r="G423" s="80" t="s">
        <v>85</v>
      </c>
      <c r="H423" s="80" t="s">
        <v>29</v>
      </c>
      <c r="I423" s="80"/>
      <c r="J423" s="80"/>
      <c r="K423" s="80" t="s">
        <v>30</v>
      </c>
      <c r="L423" s="80"/>
      <c r="M423" s="80" t="s">
        <v>3671</v>
      </c>
      <c r="N423" s="83" t="s">
        <v>63</v>
      </c>
      <c r="O423" s="80">
        <v>4024</v>
      </c>
      <c r="P423" s="80">
        <v>1904</v>
      </c>
      <c r="Q423" s="80">
        <v>1950</v>
      </c>
      <c r="R423" s="80"/>
      <c r="S423" s="80"/>
      <c r="T423" s="80"/>
      <c r="U423" s="80"/>
      <c r="V423" s="80"/>
      <c r="W423" s="80"/>
      <c r="X423" s="80"/>
      <c r="Y423" s="80"/>
      <c r="Z423" s="80">
        <v>6</v>
      </c>
      <c r="AA423" s="80" t="s">
        <v>3531</v>
      </c>
      <c r="AB423" s="80">
        <v>5200</v>
      </c>
      <c r="AC423" s="80">
        <v>1885</v>
      </c>
      <c r="AD423" s="80"/>
      <c r="AE423" s="80"/>
      <c r="AF423" s="80"/>
      <c r="AG423" s="80"/>
      <c r="AH423" s="80" t="s">
        <v>3486</v>
      </c>
      <c r="AI423" s="80" t="s">
        <v>3519</v>
      </c>
      <c r="AJ423" s="37" t="s">
        <v>2868</v>
      </c>
      <c r="AK423" s="80" t="s">
        <v>3532</v>
      </c>
      <c r="AL423" s="37" t="s">
        <v>2658</v>
      </c>
      <c r="AM423" s="90" t="s">
        <v>3521</v>
      </c>
      <c r="AN423" s="37" t="s">
        <v>2902</v>
      </c>
      <c r="AO423" s="90" t="s">
        <v>3522</v>
      </c>
      <c r="AP423" s="37" t="s">
        <v>2960</v>
      </c>
      <c r="AQ423" s="90" t="s">
        <v>1248</v>
      </c>
      <c r="AR423" s="37" t="s">
        <v>2761</v>
      </c>
      <c r="AS423" s="80"/>
      <c r="AT423" s="80"/>
      <c r="AU423" s="80" t="s">
        <v>1281</v>
      </c>
      <c r="AV423" s="80"/>
      <c r="AW423" s="80"/>
      <c r="AX423" s="80"/>
      <c r="AY423" s="80"/>
      <c r="AZ423" s="80"/>
      <c r="BA423" s="161"/>
      <c r="BB423" s="80"/>
      <c r="BC423" s="80"/>
      <c r="BD423" s="80"/>
      <c r="BE423" s="91"/>
      <c r="BF423" s="91"/>
      <c r="BG423" s="91"/>
      <c r="BH423" s="91"/>
      <c r="BI423" s="91"/>
      <c r="BJ423" s="91"/>
      <c r="BK423" s="91"/>
      <c r="BL423" s="91"/>
      <c r="BM423" s="91"/>
      <c r="BN423" s="91"/>
      <c r="BO423" s="91"/>
      <c r="BP423" s="91"/>
      <c r="BQ423" s="91"/>
      <c r="BR423" s="91"/>
      <c r="BS423" s="91"/>
      <c r="BT423" s="91"/>
      <c r="BU423" s="91"/>
      <c r="BV423" s="91"/>
      <c r="BW423" s="91"/>
      <c r="BX423" s="91"/>
      <c r="BY423" s="91"/>
      <c r="CA423" s="122"/>
      <c r="CB423" s="111"/>
      <c r="CC423" s="201"/>
      <c r="CD423" s="202"/>
      <c r="CE423" s="147"/>
      <c r="CF423" s="143"/>
      <c r="CG423" s="163"/>
      <c r="CH423" s="143"/>
      <c r="CI423" s="143"/>
      <c r="CJ423" s="143"/>
      <c r="CK423" s="163"/>
      <c r="CL423" s="143"/>
      <c r="CM423" s="147"/>
      <c r="CN423" s="147"/>
      <c r="CO423" s="147"/>
      <c r="CP423" s="147"/>
      <c r="CQ423" s="147"/>
      <c r="CR423" s="147"/>
    </row>
    <row r="424" spans="1:96" s="123" customFormat="1" ht="25.15" customHeight="1" outlineLevel="1" x14ac:dyDescent="0.25">
      <c r="A424" s="1" t="s">
        <v>202</v>
      </c>
      <c r="B424" s="80" t="s">
        <v>3299</v>
      </c>
      <c r="C424" s="80"/>
      <c r="D424" s="162"/>
      <c r="E424" s="80" t="s">
        <v>49</v>
      </c>
      <c r="F424" s="80" t="s">
        <v>50</v>
      </c>
      <c r="G424" s="80" t="s">
        <v>4360</v>
      </c>
      <c r="H424" s="80" t="s">
        <v>12</v>
      </c>
      <c r="I424" s="80" t="s">
        <v>7</v>
      </c>
      <c r="J424" s="80"/>
      <c r="K424" s="80" t="s">
        <v>30</v>
      </c>
      <c r="L424" s="80"/>
      <c r="M424" s="80" t="s">
        <v>3586</v>
      </c>
      <c r="N424" s="83" t="s">
        <v>64</v>
      </c>
      <c r="O424" s="80">
        <v>6592</v>
      </c>
      <c r="P424" s="80">
        <v>2454</v>
      </c>
      <c r="Q424" s="80">
        <v>2400</v>
      </c>
      <c r="R424" s="80"/>
      <c r="S424" s="80">
        <v>3672</v>
      </c>
      <c r="T424" s="80">
        <v>2600</v>
      </c>
      <c r="U424" s="80">
        <v>8805</v>
      </c>
      <c r="V424" s="80">
        <v>1161</v>
      </c>
      <c r="W424" s="80">
        <v>5000</v>
      </c>
      <c r="X424" s="80">
        <v>2480</v>
      </c>
      <c r="Y424" s="80"/>
      <c r="Z424" s="80">
        <v>15</v>
      </c>
      <c r="AA424" s="80" t="s">
        <v>3587</v>
      </c>
      <c r="AB424" s="80">
        <v>14000</v>
      </c>
      <c r="AC424" s="80">
        <v>5194</v>
      </c>
      <c r="AD424" s="80"/>
      <c r="AE424" s="80"/>
      <c r="AF424" s="80"/>
      <c r="AG424" s="80"/>
      <c r="AH424" s="80" t="s">
        <v>161</v>
      </c>
      <c r="AI424" s="80" t="s">
        <v>3588</v>
      </c>
      <c r="AJ424" s="37" t="s">
        <v>2868</v>
      </c>
      <c r="AK424" s="80" t="s">
        <v>3589</v>
      </c>
      <c r="AL424" s="37" t="s">
        <v>2658</v>
      </c>
      <c r="AM424" s="90" t="s">
        <v>1562</v>
      </c>
      <c r="AN424" s="37" t="s">
        <v>2902</v>
      </c>
      <c r="AO424" s="90" t="s">
        <v>151</v>
      </c>
      <c r="AP424" s="37" t="s">
        <v>2960</v>
      </c>
      <c r="AQ424" s="90" t="s">
        <v>1425</v>
      </c>
      <c r="AR424" s="37" t="s">
        <v>2761</v>
      </c>
      <c r="AS424" s="90" t="s">
        <v>3590</v>
      </c>
      <c r="AT424" s="37" t="s">
        <v>2577</v>
      </c>
      <c r="AU424" s="80" t="s">
        <v>3591</v>
      </c>
      <c r="AV424" s="80"/>
      <c r="AW424" s="80"/>
      <c r="AX424" s="80"/>
      <c r="AY424" s="80"/>
      <c r="AZ424" s="80"/>
      <c r="BA424" s="161"/>
      <c r="BB424" s="80"/>
      <c r="BC424" s="80"/>
      <c r="BD424" s="80"/>
      <c r="BE424" s="91"/>
      <c r="BF424" s="91"/>
      <c r="BG424" s="91"/>
      <c r="BH424" s="91"/>
      <c r="BI424" s="91"/>
      <c r="BJ424" s="91"/>
      <c r="BK424" s="91"/>
      <c r="BL424" s="91"/>
      <c r="BM424" s="91"/>
      <c r="BN424" s="91"/>
      <c r="BO424" s="91"/>
      <c r="BP424" s="91"/>
      <c r="BQ424" s="91"/>
      <c r="BR424" s="91"/>
      <c r="BS424" s="91"/>
      <c r="BT424" s="91"/>
      <c r="BU424" s="91"/>
      <c r="BV424" s="91"/>
      <c r="BW424" s="91"/>
      <c r="BX424" s="91"/>
      <c r="BY424" s="91"/>
      <c r="CA424" s="122"/>
      <c r="CB424" s="111"/>
      <c r="CC424" s="201"/>
      <c r="CD424" s="202"/>
      <c r="CE424" s="147"/>
      <c r="CF424" s="143"/>
      <c r="CG424" s="163"/>
      <c r="CH424" s="143"/>
      <c r="CI424" s="143"/>
      <c r="CJ424" s="143"/>
      <c r="CK424" s="163"/>
      <c r="CL424" s="143"/>
      <c r="CM424" s="147"/>
      <c r="CN424" s="147"/>
      <c r="CO424" s="147"/>
      <c r="CP424" s="147"/>
      <c r="CQ424" s="147"/>
      <c r="CR424" s="147"/>
    </row>
    <row r="425" spans="1:96" s="123" customFormat="1" ht="25.15" customHeight="1" outlineLevel="1" x14ac:dyDescent="0.25">
      <c r="A425" s="1" t="s">
        <v>202</v>
      </c>
      <c r="B425" s="80" t="s">
        <v>3299</v>
      </c>
      <c r="C425" s="80"/>
      <c r="D425" s="162"/>
      <c r="E425" s="80" t="s">
        <v>49</v>
      </c>
      <c r="F425" s="80" t="s">
        <v>50</v>
      </c>
      <c r="G425" s="80" t="s">
        <v>4360</v>
      </c>
      <c r="H425" s="80" t="s">
        <v>12</v>
      </c>
      <c r="I425" s="80" t="s">
        <v>7</v>
      </c>
      <c r="J425" s="80"/>
      <c r="K425" s="80" t="s">
        <v>30</v>
      </c>
      <c r="L425" s="80"/>
      <c r="M425" s="80" t="s">
        <v>3592</v>
      </c>
      <c r="N425" s="83" t="s">
        <v>64</v>
      </c>
      <c r="O425" s="80">
        <v>6592</v>
      </c>
      <c r="P425" s="80">
        <v>2454</v>
      </c>
      <c r="Q425" s="80">
        <v>2400</v>
      </c>
      <c r="R425" s="80"/>
      <c r="S425" s="80">
        <v>3672</v>
      </c>
      <c r="T425" s="80">
        <v>2600</v>
      </c>
      <c r="U425" s="80">
        <v>8805</v>
      </c>
      <c r="V425" s="80">
        <v>1161</v>
      </c>
      <c r="W425" s="80">
        <v>5000</v>
      </c>
      <c r="X425" s="80">
        <v>2480</v>
      </c>
      <c r="Y425" s="80"/>
      <c r="Z425" s="80">
        <v>15</v>
      </c>
      <c r="AA425" s="80" t="s">
        <v>3593</v>
      </c>
      <c r="AB425" s="80">
        <v>14000</v>
      </c>
      <c r="AC425" s="80">
        <v>5174</v>
      </c>
      <c r="AD425" s="80"/>
      <c r="AE425" s="80"/>
      <c r="AF425" s="80"/>
      <c r="AG425" s="80"/>
      <c r="AH425" s="80" t="s">
        <v>161</v>
      </c>
      <c r="AI425" s="80" t="s">
        <v>3594</v>
      </c>
      <c r="AJ425" s="37" t="s">
        <v>2868</v>
      </c>
      <c r="AK425" s="80" t="s">
        <v>3589</v>
      </c>
      <c r="AL425" s="37" t="s">
        <v>2658</v>
      </c>
      <c r="AM425" s="90" t="s">
        <v>1562</v>
      </c>
      <c r="AN425" s="37" t="s">
        <v>2902</v>
      </c>
      <c r="AO425" s="90" t="s">
        <v>151</v>
      </c>
      <c r="AP425" s="37" t="s">
        <v>2960</v>
      </c>
      <c r="AQ425" s="90" t="s">
        <v>1425</v>
      </c>
      <c r="AR425" s="37" t="s">
        <v>2761</v>
      </c>
      <c r="AS425" s="90" t="s">
        <v>3590</v>
      </c>
      <c r="AT425" s="37" t="s">
        <v>2577</v>
      </c>
      <c r="AU425" s="80" t="s">
        <v>3591</v>
      </c>
      <c r="AV425" s="80"/>
      <c r="AW425" s="80"/>
      <c r="AX425" s="80"/>
      <c r="AY425" s="80"/>
      <c r="AZ425" s="80"/>
      <c r="BA425" s="161"/>
      <c r="BB425" s="80"/>
      <c r="BC425" s="80"/>
      <c r="BD425" s="80"/>
      <c r="BE425" s="91"/>
      <c r="BF425" s="91"/>
      <c r="BG425" s="91"/>
      <c r="BH425" s="91"/>
      <c r="BI425" s="91"/>
      <c r="BJ425" s="91"/>
      <c r="BK425" s="91"/>
      <c r="BL425" s="91"/>
      <c r="BM425" s="91"/>
      <c r="BN425" s="91"/>
      <c r="BO425" s="91"/>
      <c r="BP425" s="91"/>
      <c r="BQ425" s="91"/>
      <c r="BR425" s="91"/>
      <c r="BS425" s="91"/>
      <c r="BT425" s="91"/>
      <c r="BU425" s="91"/>
      <c r="BV425" s="91"/>
      <c r="BW425" s="91"/>
      <c r="BX425" s="91"/>
      <c r="BY425" s="91"/>
      <c r="CA425" s="122"/>
      <c r="CB425" s="111"/>
      <c r="CC425" s="201"/>
      <c r="CD425" s="202"/>
      <c r="CE425" s="147"/>
      <c r="CF425" s="143"/>
      <c r="CG425" s="163"/>
      <c r="CH425" s="143"/>
      <c r="CI425" s="143"/>
      <c r="CJ425" s="143"/>
      <c r="CK425" s="163"/>
      <c r="CL425" s="143"/>
      <c r="CM425" s="147"/>
      <c r="CN425" s="147"/>
      <c r="CO425" s="147"/>
      <c r="CP425" s="147"/>
      <c r="CQ425" s="147"/>
      <c r="CR425" s="147"/>
    </row>
    <row r="426" spans="1:96" s="123" customFormat="1" ht="25.15" customHeight="1" outlineLevel="1" x14ac:dyDescent="0.25">
      <c r="A426" s="1" t="s">
        <v>202</v>
      </c>
      <c r="B426" s="80" t="s">
        <v>3299</v>
      </c>
      <c r="C426" s="80"/>
      <c r="D426" s="162"/>
      <c r="E426" s="80" t="s">
        <v>49</v>
      </c>
      <c r="F426" s="80" t="s">
        <v>50</v>
      </c>
      <c r="G426" s="80" t="s">
        <v>42</v>
      </c>
      <c r="H426" s="80" t="s">
        <v>12</v>
      </c>
      <c r="I426" s="80" t="s">
        <v>7</v>
      </c>
      <c r="J426" s="80"/>
      <c r="K426" s="80" t="s">
        <v>30</v>
      </c>
      <c r="L426" s="80"/>
      <c r="M426" s="80" t="s">
        <v>3595</v>
      </c>
      <c r="N426" s="83" t="s">
        <v>64</v>
      </c>
      <c r="O426" s="80">
        <v>7692</v>
      </c>
      <c r="P426" s="80">
        <v>2454</v>
      </c>
      <c r="Q426" s="80">
        <v>2400</v>
      </c>
      <c r="R426" s="80"/>
      <c r="S426" s="80">
        <v>3672</v>
      </c>
      <c r="T426" s="80">
        <v>2600</v>
      </c>
      <c r="U426" s="80">
        <v>9905</v>
      </c>
      <c r="V426" s="80">
        <v>1157</v>
      </c>
      <c r="W426" s="80">
        <v>5600</v>
      </c>
      <c r="X426" s="80">
        <v>2980</v>
      </c>
      <c r="Y426" s="80"/>
      <c r="Z426" s="80">
        <v>18</v>
      </c>
      <c r="AA426" s="80" t="s">
        <v>3596</v>
      </c>
      <c r="AB426" s="80">
        <v>16000</v>
      </c>
      <c r="AC426" s="80">
        <v>6224</v>
      </c>
      <c r="AD426" s="80"/>
      <c r="AE426" s="80"/>
      <c r="AF426" s="80"/>
      <c r="AG426" s="80"/>
      <c r="AH426" s="80" t="s">
        <v>162</v>
      </c>
      <c r="AI426" s="80" t="s">
        <v>3588</v>
      </c>
      <c r="AJ426" s="37" t="s">
        <v>2868</v>
      </c>
      <c r="AK426" s="80" t="s">
        <v>1547</v>
      </c>
      <c r="AL426" s="37" t="s">
        <v>2658</v>
      </c>
      <c r="AM426" s="90" t="s">
        <v>1562</v>
      </c>
      <c r="AN426" s="37" t="s">
        <v>2902</v>
      </c>
      <c r="AO426" s="90" t="s">
        <v>153</v>
      </c>
      <c r="AP426" s="37" t="s">
        <v>2960</v>
      </c>
      <c r="AQ426" s="90" t="s">
        <v>1425</v>
      </c>
      <c r="AR426" s="37" t="s">
        <v>2761</v>
      </c>
      <c r="AS426" s="90" t="s">
        <v>204</v>
      </c>
      <c r="AT426" s="37" t="s">
        <v>2577</v>
      </c>
      <c r="AU426" s="80" t="s">
        <v>1588</v>
      </c>
      <c r="AV426" s="80"/>
      <c r="AW426" s="80"/>
      <c r="AX426" s="80"/>
      <c r="AY426" s="80"/>
      <c r="AZ426" s="80"/>
      <c r="BA426" s="161"/>
      <c r="BB426" s="80"/>
      <c r="BC426" s="80"/>
      <c r="BD426" s="80"/>
      <c r="BE426" s="91"/>
      <c r="BF426" s="91"/>
      <c r="BG426" s="91"/>
      <c r="BH426" s="91"/>
      <c r="BI426" s="91"/>
      <c r="BJ426" s="91"/>
      <c r="BK426" s="91"/>
      <c r="BL426" s="91"/>
      <c r="BM426" s="91"/>
      <c r="BN426" s="91"/>
      <c r="BO426" s="91"/>
      <c r="BP426" s="91"/>
      <c r="BQ426" s="91"/>
      <c r="BR426" s="91"/>
      <c r="BS426" s="91"/>
      <c r="BT426" s="91"/>
      <c r="BU426" s="91"/>
      <c r="BV426" s="91"/>
      <c r="BW426" s="91"/>
      <c r="BX426" s="91"/>
      <c r="BY426" s="91"/>
      <c r="CA426" s="122"/>
      <c r="CB426" s="111"/>
      <c r="CC426" s="201"/>
      <c r="CD426" s="202"/>
      <c r="CE426" s="147"/>
      <c r="CF426" s="143"/>
      <c r="CG426" s="163"/>
      <c r="CH426" s="143"/>
      <c r="CI426" s="143"/>
      <c r="CJ426" s="143"/>
      <c r="CK426" s="163"/>
      <c r="CL426" s="143"/>
      <c r="CM426" s="147"/>
      <c r="CN426" s="147"/>
      <c r="CO426" s="147"/>
      <c r="CP426" s="147"/>
      <c r="CQ426" s="147"/>
      <c r="CR426" s="147"/>
    </row>
    <row r="427" spans="1:96" s="123" customFormat="1" ht="25.15" customHeight="1" outlineLevel="1" x14ac:dyDescent="0.25">
      <c r="A427" s="1" t="s">
        <v>202</v>
      </c>
      <c r="B427" s="80" t="s">
        <v>3299</v>
      </c>
      <c r="C427" s="80"/>
      <c r="D427" s="162"/>
      <c r="E427" s="80" t="s">
        <v>49</v>
      </c>
      <c r="F427" s="80" t="s">
        <v>50</v>
      </c>
      <c r="G427" s="80" t="s">
        <v>42</v>
      </c>
      <c r="H427" s="80" t="s">
        <v>12</v>
      </c>
      <c r="I427" s="80" t="s">
        <v>7</v>
      </c>
      <c r="J427" s="80"/>
      <c r="K427" s="80" t="s">
        <v>30</v>
      </c>
      <c r="L427" s="80"/>
      <c r="M427" s="80" t="s">
        <v>3597</v>
      </c>
      <c r="N427" s="83" t="s">
        <v>64</v>
      </c>
      <c r="O427" s="80">
        <v>7692</v>
      </c>
      <c r="P427" s="80">
        <v>2454</v>
      </c>
      <c r="Q427" s="80">
        <v>2400</v>
      </c>
      <c r="R427" s="80"/>
      <c r="S427" s="80">
        <v>3672</v>
      </c>
      <c r="T427" s="80">
        <v>2600</v>
      </c>
      <c r="U427" s="80">
        <v>9905</v>
      </c>
      <c r="V427" s="80">
        <v>1157</v>
      </c>
      <c r="W427" s="80">
        <v>5600</v>
      </c>
      <c r="X427" s="80">
        <v>2980</v>
      </c>
      <c r="Y427" s="80"/>
      <c r="Z427" s="80">
        <v>18</v>
      </c>
      <c r="AA427" s="80" t="s">
        <v>3598</v>
      </c>
      <c r="AB427" s="80">
        <v>16000</v>
      </c>
      <c r="AC427" s="80">
        <v>6204</v>
      </c>
      <c r="AD427" s="80"/>
      <c r="AE427" s="80"/>
      <c r="AF427" s="80"/>
      <c r="AG427" s="80"/>
      <c r="AH427" s="80" t="s">
        <v>162</v>
      </c>
      <c r="AI427" s="80" t="s">
        <v>3594</v>
      </c>
      <c r="AJ427" s="37" t="s">
        <v>2868</v>
      </c>
      <c r="AK427" s="80" t="s">
        <v>1547</v>
      </c>
      <c r="AL427" s="37" t="s">
        <v>2658</v>
      </c>
      <c r="AM427" s="90" t="s">
        <v>1562</v>
      </c>
      <c r="AN427" s="37" t="s">
        <v>2902</v>
      </c>
      <c r="AO427" s="90" t="s">
        <v>153</v>
      </c>
      <c r="AP427" s="37" t="s">
        <v>2960</v>
      </c>
      <c r="AQ427" s="90" t="s">
        <v>1425</v>
      </c>
      <c r="AR427" s="37" t="s">
        <v>2761</v>
      </c>
      <c r="AS427" s="90" t="s">
        <v>204</v>
      </c>
      <c r="AT427" s="37" t="s">
        <v>2577</v>
      </c>
      <c r="AU427" s="80" t="s">
        <v>1588</v>
      </c>
      <c r="AV427" s="80"/>
      <c r="AW427" s="80"/>
      <c r="AX427" s="80"/>
      <c r="AY427" s="80"/>
      <c r="AZ427" s="80"/>
      <c r="BA427" s="161"/>
      <c r="BB427" s="80"/>
      <c r="BC427" s="80"/>
      <c r="BD427" s="80"/>
      <c r="BE427" s="91"/>
      <c r="BF427" s="91"/>
      <c r="BG427" s="91"/>
      <c r="BH427" s="91"/>
      <c r="BI427" s="91"/>
      <c r="BJ427" s="91"/>
      <c r="BK427" s="91"/>
      <c r="BL427" s="91"/>
      <c r="BM427" s="91"/>
      <c r="BN427" s="91"/>
      <c r="BO427" s="91"/>
      <c r="BP427" s="91"/>
      <c r="BQ427" s="91"/>
      <c r="BR427" s="91"/>
      <c r="BS427" s="91"/>
      <c r="BT427" s="91"/>
      <c r="BU427" s="91"/>
      <c r="BV427" s="91"/>
      <c r="BW427" s="91"/>
      <c r="BX427" s="91"/>
      <c r="BY427" s="91"/>
      <c r="CA427" s="122"/>
      <c r="CB427" s="111"/>
      <c r="CC427" s="201"/>
      <c r="CD427" s="202"/>
      <c r="CE427" s="147"/>
      <c r="CF427" s="143"/>
      <c r="CG427" s="163"/>
      <c r="CH427" s="143"/>
      <c r="CI427" s="143"/>
      <c r="CJ427" s="143"/>
      <c r="CK427" s="163"/>
      <c r="CL427" s="143"/>
      <c r="CM427" s="147"/>
      <c r="CN427" s="147"/>
      <c r="CO427" s="147"/>
      <c r="CP427" s="147"/>
      <c r="CQ427" s="147"/>
      <c r="CR427" s="147"/>
    </row>
    <row r="428" spans="1:96" s="123" customFormat="1" ht="25.15" customHeight="1" outlineLevel="1" x14ac:dyDescent="0.25">
      <c r="A428" s="1" t="s">
        <v>202</v>
      </c>
      <c r="B428" s="80" t="s">
        <v>3299</v>
      </c>
      <c r="C428" s="80"/>
      <c r="D428" s="162"/>
      <c r="E428" s="80" t="s">
        <v>49</v>
      </c>
      <c r="F428" s="80" t="s">
        <v>50</v>
      </c>
      <c r="G428" s="80" t="s">
        <v>43</v>
      </c>
      <c r="H428" s="80" t="s">
        <v>12</v>
      </c>
      <c r="I428" s="80" t="s">
        <v>7</v>
      </c>
      <c r="J428" s="80"/>
      <c r="K428" s="80" t="s">
        <v>30</v>
      </c>
      <c r="L428" s="80"/>
      <c r="M428" s="80" t="s">
        <v>3599</v>
      </c>
      <c r="N428" s="83" t="s">
        <v>64</v>
      </c>
      <c r="O428" s="80">
        <v>8892</v>
      </c>
      <c r="P428" s="80">
        <v>2454</v>
      </c>
      <c r="Q428" s="80">
        <v>2400</v>
      </c>
      <c r="R428" s="80"/>
      <c r="S428" s="80">
        <v>3802</v>
      </c>
      <c r="T428" s="80">
        <v>2600</v>
      </c>
      <c r="U428" s="80">
        <v>11200</v>
      </c>
      <c r="V428" s="80">
        <v>1287</v>
      </c>
      <c r="W428" s="80">
        <v>6450</v>
      </c>
      <c r="X428" s="80">
        <v>3330</v>
      </c>
      <c r="Y428" s="80"/>
      <c r="Z428" s="80">
        <v>21</v>
      </c>
      <c r="AA428" s="80" t="s">
        <v>3600</v>
      </c>
      <c r="AB428" s="80">
        <v>19000</v>
      </c>
      <c r="AC428" s="80">
        <v>7729</v>
      </c>
      <c r="AD428" s="80"/>
      <c r="AE428" s="80"/>
      <c r="AF428" s="80"/>
      <c r="AG428" s="80"/>
      <c r="AH428" s="80" t="s">
        <v>163</v>
      </c>
      <c r="AI428" s="80" t="s">
        <v>3601</v>
      </c>
      <c r="AJ428" s="37" t="s">
        <v>2868</v>
      </c>
      <c r="AK428" s="80" t="s">
        <v>3602</v>
      </c>
      <c r="AL428" s="37" t="s">
        <v>2658</v>
      </c>
      <c r="AM428" s="90" t="s">
        <v>1593</v>
      </c>
      <c r="AN428" s="37" t="s">
        <v>2902</v>
      </c>
      <c r="AO428" s="90" t="s">
        <v>155</v>
      </c>
      <c r="AP428" s="37" t="s">
        <v>2960</v>
      </c>
      <c r="AQ428" s="90" t="s">
        <v>1425</v>
      </c>
      <c r="AR428" s="37" t="s">
        <v>2761</v>
      </c>
      <c r="AS428" s="90" t="s">
        <v>204</v>
      </c>
      <c r="AT428" s="37" t="s">
        <v>2577</v>
      </c>
      <c r="AU428" s="80" t="s">
        <v>1595</v>
      </c>
      <c r="AV428" s="80"/>
      <c r="AW428" s="80"/>
      <c r="AX428" s="80"/>
      <c r="AY428" s="80"/>
      <c r="AZ428" s="80"/>
      <c r="BA428" s="161"/>
      <c r="BB428" s="80"/>
      <c r="BC428" s="80"/>
      <c r="BD428" s="80"/>
      <c r="BE428" s="91"/>
      <c r="BF428" s="91"/>
      <c r="BG428" s="91"/>
      <c r="BH428" s="91"/>
      <c r="BI428" s="91"/>
      <c r="BJ428" s="91"/>
      <c r="BK428" s="91"/>
      <c r="BL428" s="91"/>
      <c r="BM428" s="91"/>
      <c r="BN428" s="91"/>
      <c r="BO428" s="91"/>
      <c r="BP428" s="91"/>
      <c r="BQ428" s="91"/>
      <c r="BR428" s="91"/>
      <c r="BS428" s="91"/>
      <c r="BT428" s="91"/>
      <c r="BU428" s="91"/>
      <c r="BV428" s="91"/>
      <c r="BW428" s="91"/>
      <c r="BX428" s="91"/>
      <c r="BY428" s="91"/>
      <c r="CA428" s="122"/>
      <c r="CB428" s="111"/>
      <c r="CC428" s="201"/>
      <c r="CD428" s="202"/>
      <c r="CE428" s="147"/>
      <c r="CF428" s="143"/>
      <c r="CG428" s="163"/>
      <c r="CH428" s="143"/>
      <c r="CI428" s="143"/>
      <c r="CJ428" s="143"/>
      <c r="CK428" s="163"/>
      <c r="CL428" s="143"/>
      <c r="CM428" s="147"/>
      <c r="CN428" s="147"/>
      <c r="CO428" s="147"/>
      <c r="CP428" s="147"/>
      <c r="CQ428" s="147"/>
      <c r="CR428" s="147"/>
    </row>
    <row r="429" spans="1:96" s="123" customFormat="1" ht="25.15" customHeight="1" outlineLevel="1" x14ac:dyDescent="0.25">
      <c r="A429" s="1" t="s">
        <v>202</v>
      </c>
      <c r="B429" s="80" t="s">
        <v>3299</v>
      </c>
      <c r="C429" s="80"/>
      <c r="D429" s="162"/>
      <c r="E429" s="80" t="s">
        <v>49</v>
      </c>
      <c r="F429" s="80" t="s">
        <v>50</v>
      </c>
      <c r="G429" s="80" t="s">
        <v>43</v>
      </c>
      <c r="H429" s="80" t="s">
        <v>12</v>
      </c>
      <c r="I429" s="80" t="s">
        <v>7</v>
      </c>
      <c r="J429" s="80"/>
      <c r="K429" s="80" t="s">
        <v>30</v>
      </c>
      <c r="L429" s="80"/>
      <c r="M429" s="80" t="s">
        <v>3603</v>
      </c>
      <c r="N429" s="83" t="s">
        <v>64</v>
      </c>
      <c r="O429" s="80">
        <v>8892</v>
      </c>
      <c r="P429" s="80">
        <v>2454</v>
      </c>
      <c r="Q429" s="80">
        <v>2400</v>
      </c>
      <c r="R429" s="80"/>
      <c r="S429" s="80">
        <v>3802</v>
      </c>
      <c r="T429" s="80">
        <v>2600</v>
      </c>
      <c r="U429" s="80">
        <v>11200</v>
      </c>
      <c r="V429" s="80">
        <v>1287</v>
      </c>
      <c r="W429" s="80">
        <v>6450</v>
      </c>
      <c r="X429" s="80">
        <v>3330</v>
      </c>
      <c r="Y429" s="80"/>
      <c r="Z429" s="80">
        <v>21</v>
      </c>
      <c r="AA429" s="80" t="s">
        <v>3604</v>
      </c>
      <c r="AB429" s="80">
        <v>19000</v>
      </c>
      <c r="AC429" s="80">
        <v>7359</v>
      </c>
      <c r="AD429" s="80"/>
      <c r="AE429" s="80"/>
      <c r="AF429" s="80"/>
      <c r="AG429" s="80"/>
      <c r="AH429" s="80" t="s">
        <v>163</v>
      </c>
      <c r="AI429" s="80" t="s">
        <v>3605</v>
      </c>
      <c r="AJ429" s="37" t="s">
        <v>2868</v>
      </c>
      <c r="AK429" s="80" t="s">
        <v>3602</v>
      </c>
      <c r="AL429" s="37" t="s">
        <v>2658</v>
      </c>
      <c r="AM429" s="90" t="s">
        <v>1593</v>
      </c>
      <c r="AN429" s="37" t="s">
        <v>2902</v>
      </c>
      <c r="AO429" s="90" t="s">
        <v>155</v>
      </c>
      <c r="AP429" s="37" t="s">
        <v>2960</v>
      </c>
      <c r="AQ429" s="90" t="s">
        <v>1425</v>
      </c>
      <c r="AR429" s="37" t="s">
        <v>2761</v>
      </c>
      <c r="AS429" s="90" t="s">
        <v>204</v>
      </c>
      <c r="AT429" s="37" t="s">
        <v>2577</v>
      </c>
      <c r="AU429" s="80" t="s">
        <v>1595</v>
      </c>
      <c r="AV429" s="80"/>
      <c r="AW429" s="80"/>
      <c r="AX429" s="80"/>
      <c r="AY429" s="80"/>
      <c r="AZ429" s="80"/>
      <c r="BA429" s="161"/>
      <c r="BB429" s="80"/>
      <c r="BC429" s="80"/>
      <c r="BD429" s="80"/>
      <c r="BE429" s="91"/>
      <c r="BF429" s="91"/>
      <c r="BG429" s="91"/>
      <c r="BH429" s="91"/>
      <c r="BI429" s="91"/>
      <c r="BJ429" s="91"/>
      <c r="BK429" s="91"/>
      <c r="BL429" s="91"/>
      <c r="BM429" s="91"/>
      <c r="BN429" s="91"/>
      <c r="BO429" s="91"/>
      <c r="BP429" s="91"/>
      <c r="BQ429" s="91"/>
      <c r="BR429" s="91"/>
      <c r="BS429" s="91"/>
      <c r="BT429" s="91"/>
      <c r="BU429" s="91"/>
      <c r="BV429" s="91"/>
      <c r="BW429" s="91"/>
      <c r="BX429" s="91"/>
      <c r="BY429" s="91"/>
      <c r="CA429" s="122"/>
      <c r="CB429" s="111"/>
      <c r="CC429" s="201"/>
      <c r="CD429" s="202"/>
      <c r="CE429" s="147"/>
      <c r="CF429" s="143"/>
      <c r="CG429" s="163"/>
      <c r="CH429" s="143"/>
      <c r="CI429" s="143"/>
      <c r="CJ429" s="143"/>
      <c r="CK429" s="163"/>
      <c r="CL429" s="143"/>
      <c r="CM429" s="147"/>
      <c r="CN429" s="147"/>
      <c r="CO429" s="147"/>
      <c r="CP429" s="147"/>
      <c r="CQ429" s="147"/>
      <c r="CR429" s="147"/>
    </row>
    <row r="430" spans="1:96" s="123" customFormat="1" ht="25.15" customHeight="1" outlineLevel="1" x14ac:dyDescent="0.25">
      <c r="A430" s="1" t="s">
        <v>202</v>
      </c>
      <c r="B430" s="80" t="s">
        <v>3299</v>
      </c>
      <c r="C430" s="80"/>
      <c r="D430" s="162"/>
      <c r="E430" s="80" t="s">
        <v>1468</v>
      </c>
      <c r="F430" s="80" t="s">
        <v>1506</v>
      </c>
      <c r="G430" s="80" t="s">
        <v>1199</v>
      </c>
      <c r="H430" s="80" t="s">
        <v>29</v>
      </c>
      <c r="I430" s="80"/>
      <c r="J430" s="80"/>
      <c r="K430" s="80" t="s">
        <v>30</v>
      </c>
      <c r="L430" s="80"/>
      <c r="M430" s="80" t="s">
        <v>3637</v>
      </c>
      <c r="N430" s="83" t="s">
        <v>63</v>
      </c>
      <c r="O430" s="80">
        <v>2630</v>
      </c>
      <c r="P430" s="80">
        <v>1904</v>
      </c>
      <c r="Q430" s="80">
        <v>1605</v>
      </c>
      <c r="R430" s="80"/>
      <c r="S430" s="80">
        <v>2410</v>
      </c>
      <c r="T430" s="80">
        <v>2050</v>
      </c>
      <c r="U430" s="80">
        <v>5619</v>
      </c>
      <c r="V430" s="80">
        <v>700</v>
      </c>
      <c r="W430" s="80">
        <v>3498</v>
      </c>
      <c r="X430" s="80">
        <v>1188</v>
      </c>
      <c r="Y430" s="80"/>
      <c r="Z430" s="80"/>
      <c r="AA430" s="80" t="s">
        <v>3638</v>
      </c>
      <c r="AB430" s="80">
        <v>2960</v>
      </c>
      <c r="AC430" s="80">
        <v>815</v>
      </c>
      <c r="AD430" s="80"/>
      <c r="AE430" s="80"/>
      <c r="AF430" s="80"/>
      <c r="AG430" s="80"/>
      <c r="AH430" s="80" t="s">
        <v>1519</v>
      </c>
      <c r="AI430" s="80" t="s">
        <v>3639</v>
      </c>
      <c r="AJ430" s="37" t="s">
        <v>2868</v>
      </c>
      <c r="AK430" s="80" t="s">
        <v>3640</v>
      </c>
      <c r="AL430" s="37" t="s">
        <v>2658</v>
      </c>
      <c r="AM430" s="90" t="s">
        <v>3641</v>
      </c>
      <c r="AN430" s="37" t="s">
        <v>2902</v>
      </c>
      <c r="AO430" s="90" t="s">
        <v>3642</v>
      </c>
      <c r="AP430" s="37" t="s">
        <v>2960</v>
      </c>
      <c r="AQ430" s="90" t="s">
        <v>3643</v>
      </c>
      <c r="AR430" s="37" t="s">
        <v>2761</v>
      </c>
      <c r="AS430" s="80"/>
      <c r="AT430" s="80"/>
      <c r="AU430" s="80" t="s">
        <v>3644</v>
      </c>
      <c r="AV430" s="80"/>
      <c r="AW430" s="80"/>
      <c r="AX430" s="80"/>
      <c r="AY430" s="80"/>
      <c r="AZ430" s="80"/>
      <c r="BA430" s="161"/>
      <c r="BB430" s="80"/>
      <c r="BC430" s="80"/>
      <c r="BD430" s="80"/>
      <c r="BE430" s="91"/>
      <c r="BF430" s="91"/>
      <c r="BG430" s="91"/>
      <c r="BH430" s="91"/>
      <c r="BI430" s="91"/>
      <c r="BJ430" s="91"/>
      <c r="BK430" s="91"/>
      <c r="BL430" s="91"/>
      <c r="BM430" s="91"/>
      <c r="BN430" s="91"/>
      <c r="BO430" s="91"/>
      <c r="BP430" s="91"/>
      <c r="BQ430" s="91"/>
      <c r="BR430" s="91"/>
      <c r="BS430" s="91"/>
      <c r="BT430" s="91"/>
      <c r="BU430" s="91"/>
      <c r="BV430" s="91"/>
      <c r="BW430" s="91"/>
      <c r="BX430" s="91"/>
      <c r="BY430" s="91"/>
      <c r="CA430" s="122"/>
      <c r="CB430" s="111"/>
      <c r="CC430" s="201"/>
      <c r="CD430" s="202"/>
      <c r="CE430" s="147"/>
      <c r="CF430" s="143"/>
      <c r="CG430" s="163"/>
      <c r="CH430" s="143"/>
      <c r="CI430" s="143"/>
      <c r="CJ430" s="143"/>
      <c r="CK430" s="163"/>
      <c r="CL430" s="143"/>
      <c r="CM430" s="147"/>
      <c r="CN430" s="147"/>
      <c r="CO430" s="147"/>
      <c r="CP430" s="147"/>
      <c r="CQ430" s="147"/>
      <c r="CR430" s="147"/>
    </row>
    <row r="431" spans="1:96" s="123" customFormat="1" ht="25.15" customHeight="1" outlineLevel="1" x14ac:dyDescent="0.25">
      <c r="A431" s="1" t="s">
        <v>202</v>
      </c>
      <c r="B431" s="80" t="s">
        <v>3299</v>
      </c>
      <c r="C431" s="80"/>
      <c r="D431" s="162"/>
      <c r="E431" s="80" t="s">
        <v>1468</v>
      </c>
      <c r="F431" s="80" t="s">
        <v>1506</v>
      </c>
      <c r="G431" s="80" t="s">
        <v>1199</v>
      </c>
      <c r="H431" s="80" t="s">
        <v>29</v>
      </c>
      <c r="I431" s="80"/>
      <c r="J431" s="80"/>
      <c r="K431" s="80" t="s">
        <v>30</v>
      </c>
      <c r="L431" s="80"/>
      <c r="M431" s="80" t="s">
        <v>3637</v>
      </c>
      <c r="N431" s="83" t="s">
        <v>64</v>
      </c>
      <c r="O431" s="80">
        <v>2730</v>
      </c>
      <c r="P431" s="80">
        <v>1904</v>
      </c>
      <c r="Q431" s="80">
        <v>1705</v>
      </c>
      <c r="R431" s="80"/>
      <c r="S431" s="80">
        <v>2510</v>
      </c>
      <c r="T431" s="80">
        <v>2050</v>
      </c>
      <c r="U431" s="80">
        <v>5719</v>
      </c>
      <c r="V431" s="80">
        <v>700</v>
      </c>
      <c r="W431" s="80">
        <v>3498</v>
      </c>
      <c r="X431" s="80">
        <v>1288</v>
      </c>
      <c r="Y431" s="80"/>
      <c r="Z431" s="80"/>
      <c r="AA431" s="80" t="s">
        <v>3645</v>
      </c>
      <c r="AB431" s="80">
        <v>2960</v>
      </c>
      <c r="AC431" s="80">
        <v>765</v>
      </c>
      <c r="AD431" s="80"/>
      <c r="AE431" s="80"/>
      <c r="AF431" s="80"/>
      <c r="AG431" s="80"/>
      <c r="AH431" s="80" t="s">
        <v>3646</v>
      </c>
      <c r="AI431" s="80" t="s">
        <v>3639</v>
      </c>
      <c r="AJ431" s="37" t="s">
        <v>2868</v>
      </c>
      <c r="AK431" s="80" t="s">
        <v>3640</v>
      </c>
      <c r="AL431" s="37" t="s">
        <v>2658</v>
      </c>
      <c r="AM431" s="90" t="s">
        <v>3641</v>
      </c>
      <c r="AN431" s="37" t="s">
        <v>2902</v>
      </c>
      <c r="AO431" s="90" t="s">
        <v>3647</v>
      </c>
      <c r="AP431" s="37" t="s">
        <v>2960</v>
      </c>
      <c r="AQ431" s="90" t="s">
        <v>3648</v>
      </c>
      <c r="AR431" s="37" t="s">
        <v>2761</v>
      </c>
      <c r="AS431" s="80"/>
      <c r="AT431" s="80"/>
      <c r="AU431" s="80" t="s">
        <v>3649</v>
      </c>
      <c r="AV431" s="80"/>
      <c r="AW431" s="80"/>
      <c r="AX431" s="80"/>
      <c r="AY431" s="80"/>
      <c r="AZ431" s="80"/>
      <c r="BA431" s="161"/>
      <c r="BB431" s="80"/>
      <c r="BC431" s="80"/>
      <c r="BD431" s="80"/>
      <c r="BE431" s="91"/>
      <c r="BF431" s="91"/>
      <c r="BG431" s="91"/>
      <c r="BH431" s="91"/>
      <c r="BI431" s="91"/>
      <c r="BJ431" s="91"/>
      <c r="BK431" s="91"/>
      <c r="BL431" s="91"/>
      <c r="BM431" s="91"/>
      <c r="BN431" s="91"/>
      <c r="BO431" s="91"/>
      <c r="BP431" s="91"/>
      <c r="BQ431" s="91"/>
      <c r="BR431" s="91"/>
      <c r="BS431" s="91"/>
      <c r="BT431" s="91"/>
      <c r="BU431" s="91"/>
      <c r="BV431" s="91"/>
      <c r="BW431" s="91"/>
      <c r="BX431" s="91"/>
      <c r="BY431" s="91"/>
      <c r="CA431" s="122"/>
      <c r="CB431" s="111"/>
      <c r="CC431" s="201"/>
      <c r="CD431" s="202"/>
      <c r="CE431" s="147"/>
      <c r="CF431" s="143"/>
      <c r="CG431" s="163"/>
      <c r="CH431" s="143"/>
      <c r="CI431" s="143"/>
      <c r="CJ431" s="143"/>
      <c r="CK431" s="163"/>
      <c r="CL431" s="143"/>
      <c r="CM431" s="147"/>
      <c r="CN431" s="147"/>
      <c r="CO431" s="147"/>
      <c r="CP431" s="147"/>
      <c r="CQ431" s="147"/>
      <c r="CR431" s="147"/>
    </row>
    <row r="432" spans="1:96" s="123" customFormat="1" ht="25.15" customHeight="1" x14ac:dyDescent="0.25">
      <c r="A432" s="1" t="s">
        <v>202</v>
      </c>
      <c r="B432" s="80" t="s">
        <v>3304</v>
      </c>
      <c r="C432" s="80"/>
      <c r="D432" s="162"/>
      <c r="E432" s="80" t="s">
        <v>448</v>
      </c>
      <c r="F432" s="80" t="s">
        <v>1207</v>
      </c>
      <c r="G432" s="80" t="s">
        <v>1152</v>
      </c>
      <c r="H432" s="80" t="s">
        <v>29</v>
      </c>
      <c r="I432" s="80"/>
      <c r="J432" s="80"/>
      <c r="K432" s="80" t="s">
        <v>1153</v>
      </c>
      <c r="L432" s="80"/>
      <c r="M432" s="80" t="s">
        <v>3394</v>
      </c>
      <c r="N432" s="83" t="s">
        <v>63</v>
      </c>
      <c r="O432" s="80">
        <v>2100</v>
      </c>
      <c r="P432" s="80">
        <v>1325</v>
      </c>
      <c r="Q432" s="80">
        <v>1120</v>
      </c>
      <c r="R432" s="80"/>
      <c r="S432" s="80">
        <v>2070</v>
      </c>
      <c r="T432" s="80">
        <v>1920</v>
      </c>
      <c r="U432" s="80">
        <v>4982</v>
      </c>
      <c r="V432" s="80">
        <v>660</v>
      </c>
      <c r="W432" s="80">
        <v>3275</v>
      </c>
      <c r="X432" s="80">
        <v>803</v>
      </c>
      <c r="Y432" s="80"/>
      <c r="Z432" s="80"/>
      <c r="AA432" s="80" t="s">
        <v>1216</v>
      </c>
      <c r="AB432" s="80">
        <v>3025</v>
      </c>
      <c r="AC432" s="80">
        <v>605</v>
      </c>
      <c r="AD432" s="80"/>
      <c r="AE432" s="80"/>
      <c r="AF432" s="80"/>
      <c r="AG432" s="80"/>
      <c r="AH432" s="80">
        <v>3.2</v>
      </c>
      <c r="AI432" s="80" t="s">
        <v>3395</v>
      </c>
      <c r="AJ432" s="80" t="s">
        <v>4345</v>
      </c>
      <c r="AK432" s="80" t="s">
        <v>3383</v>
      </c>
      <c r="AL432" s="80" t="s">
        <v>4314</v>
      </c>
      <c r="AM432" s="90" t="s">
        <v>1212</v>
      </c>
      <c r="AN432" s="80" t="s">
        <v>4276</v>
      </c>
      <c r="AO432" s="90" t="s">
        <v>3396</v>
      </c>
      <c r="AP432" s="80" t="s">
        <v>4247</v>
      </c>
      <c r="AQ432" s="90" t="s">
        <v>1214</v>
      </c>
      <c r="AR432" s="80" t="s">
        <v>3307</v>
      </c>
      <c r="AS432" s="80"/>
      <c r="AT432" s="80"/>
      <c r="AU432" s="80" t="s">
        <v>1215</v>
      </c>
      <c r="AV432" s="80"/>
      <c r="AW432" s="80"/>
      <c r="AX432" s="80"/>
      <c r="AY432" s="80"/>
      <c r="AZ432" s="80"/>
      <c r="BA432" s="161"/>
      <c r="BB432" s="80"/>
      <c r="BC432" s="80"/>
      <c r="BD432" s="80"/>
      <c r="BE432" s="91"/>
      <c r="BF432" s="91"/>
      <c r="BG432" s="91"/>
      <c r="BH432" s="91"/>
      <c r="BI432" s="91"/>
      <c r="BJ432" s="91"/>
      <c r="BK432" s="91"/>
      <c r="BL432" s="91"/>
      <c r="BM432" s="91"/>
      <c r="BN432" s="91"/>
      <c r="BO432" s="91"/>
      <c r="BP432" s="91"/>
      <c r="BQ432" s="91"/>
      <c r="BR432" s="91"/>
      <c r="BS432" s="91"/>
      <c r="BT432" s="91"/>
      <c r="BU432" s="91"/>
      <c r="BV432" s="91"/>
      <c r="BW432" s="91"/>
      <c r="BX432" s="91"/>
      <c r="BY432" s="91"/>
      <c r="CA432" s="122"/>
      <c r="CB432" s="111"/>
      <c r="CC432" s="201"/>
      <c r="CD432" s="202"/>
      <c r="CE432" s="147"/>
      <c r="CF432" s="143"/>
      <c r="CG432" s="163"/>
      <c r="CH432" s="143"/>
      <c r="CI432" s="143"/>
      <c r="CJ432" s="143"/>
      <c r="CK432" s="163"/>
      <c r="CL432" s="143"/>
      <c r="CM432" s="147"/>
      <c r="CN432" s="147"/>
      <c r="CO432" s="147"/>
      <c r="CP432" s="147"/>
      <c r="CQ432" s="147"/>
      <c r="CR432" s="147"/>
    </row>
    <row r="433" spans="1:96" s="123" customFormat="1" ht="25.15" customHeight="1" outlineLevel="1" x14ac:dyDescent="0.25">
      <c r="A433" s="1" t="s">
        <v>202</v>
      </c>
      <c r="B433" s="80" t="s">
        <v>3304</v>
      </c>
      <c r="C433" s="80"/>
      <c r="D433" s="162"/>
      <c r="E433" s="80" t="s">
        <v>448</v>
      </c>
      <c r="F433" s="80" t="s">
        <v>1184</v>
      </c>
      <c r="G433" s="80" t="s">
        <v>1199</v>
      </c>
      <c r="H433" s="80" t="s">
        <v>29</v>
      </c>
      <c r="I433" s="80"/>
      <c r="J433" s="80"/>
      <c r="K433" s="80" t="s">
        <v>30</v>
      </c>
      <c r="L433" s="80"/>
      <c r="M433" s="80" t="s">
        <v>3397</v>
      </c>
      <c r="N433" s="83" t="s">
        <v>63</v>
      </c>
      <c r="O433" s="80">
        <v>2330</v>
      </c>
      <c r="P433" s="80">
        <v>1833</v>
      </c>
      <c r="Q433" s="80">
        <v>1585</v>
      </c>
      <c r="R433" s="80"/>
      <c r="S433" s="80">
        <v>2403</v>
      </c>
      <c r="T433" s="80">
        <v>1970</v>
      </c>
      <c r="U433" s="80">
        <v>5427</v>
      </c>
      <c r="V433" s="80">
        <v>740</v>
      </c>
      <c r="W433" s="80">
        <v>3275</v>
      </c>
      <c r="X433" s="80">
        <v>1172</v>
      </c>
      <c r="Y433" s="80"/>
      <c r="Z433" s="80"/>
      <c r="AA433" s="80" t="s">
        <v>3398</v>
      </c>
      <c r="AB433" s="80">
        <v>3100</v>
      </c>
      <c r="AC433" s="80">
        <v>1075</v>
      </c>
      <c r="AD433" s="80"/>
      <c r="AE433" s="80"/>
      <c r="AF433" s="80"/>
      <c r="AG433" s="80"/>
      <c r="AH433" s="80">
        <v>6.5</v>
      </c>
      <c r="AI433" s="80" t="s">
        <v>3399</v>
      </c>
      <c r="AJ433" s="80" t="s">
        <v>4342</v>
      </c>
      <c r="AK433" s="80" t="s">
        <v>3400</v>
      </c>
      <c r="AL433" s="80" t="s">
        <v>4319</v>
      </c>
      <c r="AM433" s="90" t="s">
        <v>1203</v>
      </c>
      <c r="AN433" s="80" t="s">
        <v>4272</v>
      </c>
      <c r="AO433" s="90" t="s">
        <v>1204</v>
      </c>
      <c r="AP433" s="80" t="s">
        <v>4246</v>
      </c>
      <c r="AQ433" s="90" t="s">
        <v>3401</v>
      </c>
      <c r="AR433" s="80" t="s">
        <v>3307</v>
      </c>
      <c r="AS433" s="80"/>
      <c r="AT433" s="80"/>
      <c r="AU433" s="80" t="s">
        <v>1206</v>
      </c>
      <c r="AV433" s="80"/>
      <c r="AW433" s="80"/>
      <c r="AX433" s="80"/>
      <c r="AY433" s="80"/>
      <c r="AZ433" s="80"/>
      <c r="BA433" s="161"/>
      <c r="BB433" s="80"/>
      <c r="BC433" s="80"/>
      <c r="BD433" s="80"/>
      <c r="BE433" s="91"/>
      <c r="BF433" s="91"/>
      <c r="BG433" s="91"/>
      <c r="BH433" s="91"/>
      <c r="BI433" s="91"/>
      <c r="BJ433" s="91"/>
      <c r="BK433" s="91"/>
      <c r="BL433" s="91"/>
      <c r="BM433" s="91"/>
      <c r="BN433" s="91"/>
      <c r="BO433" s="91"/>
      <c r="BP433" s="91"/>
      <c r="BQ433" s="91"/>
      <c r="BR433" s="91"/>
      <c r="BS433" s="91"/>
      <c r="BT433" s="91"/>
      <c r="BU433" s="91"/>
      <c r="BV433" s="91"/>
      <c r="BW433" s="91"/>
      <c r="BX433" s="91"/>
      <c r="BY433" s="91"/>
      <c r="CA433" s="122"/>
      <c r="CB433" s="111"/>
      <c r="CC433" s="201"/>
      <c r="CD433" s="202"/>
      <c r="CE433" s="147"/>
      <c r="CF433" s="143"/>
      <c r="CG433" s="163"/>
      <c r="CH433" s="143"/>
      <c r="CI433" s="143"/>
      <c r="CJ433" s="143"/>
      <c r="CK433" s="163"/>
      <c r="CL433" s="143"/>
      <c r="CM433" s="147"/>
      <c r="CN433" s="147"/>
      <c r="CO433" s="147"/>
      <c r="CP433" s="147"/>
      <c r="CQ433" s="147"/>
      <c r="CR433" s="147"/>
    </row>
    <row r="434" spans="1:96" s="123" customFormat="1" ht="25.15" customHeight="1" outlineLevel="1" x14ac:dyDescent="0.25">
      <c r="A434" s="1" t="s">
        <v>202</v>
      </c>
      <c r="B434" s="80" t="s">
        <v>3304</v>
      </c>
      <c r="C434" s="80"/>
      <c r="D434" s="162"/>
      <c r="E434" s="80" t="s">
        <v>448</v>
      </c>
      <c r="F434" s="80" t="s">
        <v>449</v>
      </c>
      <c r="G434" s="80" t="s">
        <v>450</v>
      </c>
      <c r="H434" s="80" t="s">
        <v>29</v>
      </c>
      <c r="I434" s="80"/>
      <c r="J434" s="80"/>
      <c r="K434" s="80" t="s">
        <v>30</v>
      </c>
      <c r="L434" s="80"/>
      <c r="M434" s="80" t="s">
        <v>3338</v>
      </c>
      <c r="N434" s="83" t="s">
        <v>63</v>
      </c>
      <c r="O434" s="80">
        <v>2924</v>
      </c>
      <c r="P434" s="80">
        <v>1904</v>
      </c>
      <c r="Q434" s="80">
        <v>1950</v>
      </c>
      <c r="R434" s="80"/>
      <c r="S434" s="80">
        <v>2730</v>
      </c>
      <c r="T434" s="80">
        <v>2050</v>
      </c>
      <c r="U434" s="80">
        <v>5743</v>
      </c>
      <c r="V434" s="80">
        <v>690</v>
      </c>
      <c r="W434" s="80">
        <v>3450</v>
      </c>
      <c r="X434" s="80">
        <v>1345</v>
      </c>
      <c r="Y434" s="80"/>
      <c r="Z434" s="80"/>
      <c r="AA434" s="80" t="s">
        <v>500</v>
      </c>
      <c r="AB434" s="80">
        <v>3500</v>
      </c>
      <c r="AC434" s="80">
        <v>1140</v>
      </c>
      <c r="AD434" s="80"/>
      <c r="AE434" s="80"/>
      <c r="AF434" s="80"/>
      <c r="AG434" s="80"/>
      <c r="AH434" s="80" t="s">
        <v>501</v>
      </c>
      <c r="AI434" s="80" t="s">
        <v>3339</v>
      </c>
      <c r="AJ434" s="80" t="s">
        <v>4340</v>
      </c>
      <c r="AK434" s="80" t="s">
        <v>3329</v>
      </c>
      <c r="AL434" s="80" t="s">
        <v>4318</v>
      </c>
      <c r="AM434" s="90" t="s">
        <v>3330</v>
      </c>
      <c r="AN434" s="80" t="s">
        <v>4279</v>
      </c>
      <c r="AO434" s="90" t="s">
        <v>3340</v>
      </c>
      <c r="AP434" s="80" t="s">
        <v>4249</v>
      </c>
      <c r="AQ434" s="90" t="s">
        <v>1248</v>
      </c>
      <c r="AR434" s="80" t="s">
        <v>3307</v>
      </c>
      <c r="AS434" s="80"/>
      <c r="AT434" s="80"/>
      <c r="AU434" s="80" t="s">
        <v>502</v>
      </c>
      <c r="AV434" s="80"/>
      <c r="AW434" s="80"/>
      <c r="AX434" s="80"/>
      <c r="AY434" s="80"/>
      <c r="AZ434" s="80"/>
      <c r="BA434" s="161"/>
      <c r="BB434" s="80"/>
      <c r="BC434" s="80"/>
      <c r="BD434" s="80"/>
      <c r="BE434" s="91"/>
      <c r="BF434" s="91"/>
      <c r="BG434" s="91"/>
      <c r="BH434" s="91"/>
      <c r="BI434" s="91"/>
      <c r="BJ434" s="91"/>
      <c r="BK434" s="91"/>
      <c r="BL434" s="91"/>
      <c r="BM434" s="91"/>
      <c r="BN434" s="91"/>
      <c r="BO434" s="91"/>
      <c r="BP434" s="91"/>
      <c r="BQ434" s="91"/>
      <c r="BR434" s="91"/>
      <c r="BS434" s="91"/>
      <c r="BT434" s="91"/>
      <c r="BU434" s="91"/>
      <c r="BV434" s="91"/>
      <c r="BW434" s="91"/>
      <c r="BX434" s="91"/>
      <c r="BY434" s="91"/>
      <c r="CA434" s="122"/>
      <c r="CB434" s="111"/>
      <c r="CC434" s="201"/>
      <c r="CD434" s="202"/>
      <c r="CE434" s="147"/>
      <c r="CF434" s="143"/>
      <c r="CG434" s="163"/>
      <c r="CH434" s="143"/>
      <c r="CI434" s="143"/>
      <c r="CJ434" s="143"/>
      <c r="CK434" s="163"/>
      <c r="CL434" s="143"/>
      <c r="CM434" s="147"/>
      <c r="CN434" s="147"/>
      <c r="CO434" s="147"/>
      <c r="CP434" s="147"/>
      <c r="CQ434" s="147"/>
      <c r="CR434" s="147"/>
    </row>
    <row r="435" spans="1:96" s="123" customFormat="1" ht="25.15" customHeight="1" outlineLevel="1" x14ac:dyDescent="0.25">
      <c r="A435" s="1" t="s">
        <v>202</v>
      </c>
      <c r="B435" s="80" t="s">
        <v>3304</v>
      </c>
      <c r="C435" s="80"/>
      <c r="D435" s="162"/>
      <c r="E435" s="80" t="s">
        <v>448</v>
      </c>
      <c r="F435" s="80" t="s">
        <v>1151</v>
      </c>
      <c r="G435" s="80" t="s">
        <v>1152</v>
      </c>
      <c r="H435" s="80" t="s">
        <v>3312</v>
      </c>
      <c r="I435" s="80"/>
      <c r="J435" s="80"/>
      <c r="K435" s="80" t="s">
        <v>1153</v>
      </c>
      <c r="L435" s="80"/>
      <c r="M435" s="80" t="s">
        <v>3324</v>
      </c>
      <c r="N435" s="83" t="s">
        <v>63</v>
      </c>
      <c r="O435" s="80">
        <v>1495</v>
      </c>
      <c r="P435" s="80">
        <v>1245</v>
      </c>
      <c r="Q435" s="80">
        <v>1040</v>
      </c>
      <c r="R435" s="80">
        <v>980</v>
      </c>
      <c r="S435" s="80">
        <v>1796</v>
      </c>
      <c r="T435" s="80">
        <v>1848</v>
      </c>
      <c r="U435" s="80">
        <v>4403</v>
      </c>
      <c r="V435" s="80">
        <v>640</v>
      </c>
      <c r="W435" s="80">
        <v>2785</v>
      </c>
      <c r="X435" s="80">
        <v>726</v>
      </c>
      <c r="Y435" s="80"/>
      <c r="Z435" s="80"/>
      <c r="AA435" s="80" t="s">
        <v>3314</v>
      </c>
      <c r="AB435" s="80">
        <v>2020</v>
      </c>
      <c r="AC435" s="80">
        <v>535</v>
      </c>
      <c r="AD435" s="80"/>
      <c r="AE435" s="80"/>
      <c r="AF435" s="80"/>
      <c r="AG435" s="80"/>
      <c r="AH435" s="80">
        <v>1.7</v>
      </c>
      <c r="AI435" s="80" t="s">
        <v>3306</v>
      </c>
      <c r="AJ435" s="80" t="s">
        <v>4336</v>
      </c>
      <c r="AK435" s="80" t="s">
        <v>3293</v>
      </c>
      <c r="AL435" s="80" t="s">
        <v>4313</v>
      </c>
      <c r="AM435" s="90" t="s">
        <v>1158</v>
      </c>
      <c r="AN435" s="80" t="s">
        <v>4273</v>
      </c>
      <c r="AO435" s="90" t="s">
        <v>3318</v>
      </c>
      <c r="AP435" s="80" t="s">
        <v>4244</v>
      </c>
      <c r="AQ435" s="80"/>
      <c r="AR435" s="80"/>
      <c r="AS435" s="80"/>
      <c r="AT435" s="80"/>
      <c r="AU435" s="80" t="s">
        <v>3316</v>
      </c>
      <c r="AV435" s="80"/>
      <c r="AW435" s="80"/>
      <c r="AX435" s="80"/>
      <c r="AY435" s="80"/>
      <c r="AZ435" s="80"/>
      <c r="BA435" s="161"/>
      <c r="BB435" s="80"/>
      <c r="BC435" s="80"/>
      <c r="BD435" s="80"/>
      <c r="BE435" s="91"/>
      <c r="BF435" s="91"/>
      <c r="BG435" s="91"/>
      <c r="BH435" s="91"/>
      <c r="BI435" s="91"/>
      <c r="BJ435" s="91"/>
      <c r="BK435" s="91"/>
      <c r="BL435" s="91"/>
      <c r="BM435" s="91"/>
      <c r="BN435" s="91"/>
      <c r="BO435" s="91"/>
      <c r="BP435" s="91"/>
      <c r="BQ435" s="91"/>
      <c r="BR435" s="91"/>
      <c r="BS435" s="91"/>
      <c r="BT435" s="91"/>
      <c r="BU435" s="91"/>
      <c r="BV435" s="91"/>
      <c r="BW435" s="91"/>
      <c r="BX435" s="91"/>
      <c r="BY435" s="91"/>
      <c r="CA435" s="122"/>
      <c r="CB435" s="111"/>
      <c r="CC435" s="201"/>
      <c r="CD435" s="202"/>
      <c r="CE435" s="147"/>
      <c r="CF435" s="143"/>
      <c r="CG435" s="163"/>
      <c r="CH435" s="143"/>
      <c r="CI435" s="143"/>
      <c r="CJ435" s="143"/>
      <c r="CK435" s="163"/>
      <c r="CL435" s="143"/>
      <c r="CM435" s="147"/>
      <c r="CN435" s="147"/>
      <c r="CO435" s="147"/>
      <c r="CP435" s="147"/>
      <c r="CQ435" s="147"/>
      <c r="CR435" s="147"/>
    </row>
    <row r="436" spans="1:96" s="123" customFormat="1" ht="25.15" customHeight="1" outlineLevel="1" x14ac:dyDescent="0.25">
      <c r="A436" s="1" t="s">
        <v>202</v>
      </c>
      <c r="B436" s="80" t="s">
        <v>3304</v>
      </c>
      <c r="C436" s="80"/>
      <c r="D436" s="162"/>
      <c r="E436" s="80" t="s">
        <v>448</v>
      </c>
      <c r="F436" s="80" t="s">
        <v>1151</v>
      </c>
      <c r="G436" s="80" t="s">
        <v>1152</v>
      </c>
      <c r="H436" s="80" t="s">
        <v>29</v>
      </c>
      <c r="I436" s="80"/>
      <c r="J436" s="80"/>
      <c r="K436" s="80" t="s">
        <v>1153</v>
      </c>
      <c r="L436" s="80"/>
      <c r="M436" s="80" t="s">
        <v>3305</v>
      </c>
      <c r="N436" s="83" t="s">
        <v>63</v>
      </c>
      <c r="O436" s="80">
        <v>1495</v>
      </c>
      <c r="P436" s="80">
        <v>1245</v>
      </c>
      <c r="Q436" s="80">
        <v>1040</v>
      </c>
      <c r="R436" s="80">
        <v>980</v>
      </c>
      <c r="S436" s="80">
        <v>1860</v>
      </c>
      <c r="T436" s="80">
        <v>1848</v>
      </c>
      <c r="U436" s="80">
        <v>4403</v>
      </c>
      <c r="V436" s="80">
        <v>640</v>
      </c>
      <c r="W436" s="80">
        <v>2785</v>
      </c>
      <c r="X436" s="80">
        <v>726</v>
      </c>
      <c r="Y436" s="80"/>
      <c r="Z436" s="80"/>
      <c r="AA436" s="80" t="s">
        <v>1155</v>
      </c>
      <c r="AB436" s="80">
        <v>2020</v>
      </c>
      <c r="AC436" s="80">
        <v>465</v>
      </c>
      <c r="AD436" s="80"/>
      <c r="AE436" s="80"/>
      <c r="AF436" s="80"/>
      <c r="AG436" s="80"/>
      <c r="AH436" s="80">
        <v>1.7</v>
      </c>
      <c r="AI436" s="80" t="s">
        <v>3306</v>
      </c>
      <c r="AJ436" s="80" t="s">
        <v>4337</v>
      </c>
      <c r="AK436" s="80" t="s">
        <v>3293</v>
      </c>
      <c r="AL436" s="80" t="s">
        <v>4311</v>
      </c>
      <c r="AM436" s="90" t="s">
        <v>1158</v>
      </c>
      <c r="AN436" s="80" t="s">
        <v>4273</v>
      </c>
      <c r="AO436" s="90" t="s">
        <v>3294</v>
      </c>
      <c r="AP436" s="80" t="s">
        <v>4251</v>
      </c>
      <c r="AQ436" s="90" t="s">
        <v>1160</v>
      </c>
      <c r="AR436" s="80" t="s">
        <v>3307</v>
      </c>
      <c r="AS436" s="80"/>
      <c r="AT436" s="80"/>
      <c r="AU436" s="80" t="s">
        <v>1161</v>
      </c>
      <c r="AV436" s="80"/>
      <c r="AW436" s="80"/>
      <c r="AX436" s="80"/>
      <c r="AY436" s="80"/>
      <c r="AZ436" s="80"/>
      <c r="BA436" s="161"/>
      <c r="BB436" s="80"/>
      <c r="BC436" s="80"/>
      <c r="BD436" s="80"/>
      <c r="BE436" s="91"/>
      <c r="BF436" s="91"/>
      <c r="BG436" s="91"/>
      <c r="BH436" s="91"/>
      <c r="BI436" s="91"/>
      <c r="BJ436" s="91"/>
      <c r="BK436" s="91"/>
      <c r="BL436" s="91"/>
      <c r="BM436" s="91"/>
      <c r="BN436" s="91"/>
      <c r="BO436" s="91"/>
      <c r="BP436" s="91"/>
      <c r="BQ436" s="91"/>
      <c r="BR436" s="91"/>
      <c r="BS436" s="91"/>
      <c r="BT436" s="91"/>
      <c r="BU436" s="91"/>
      <c r="BV436" s="91"/>
      <c r="BW436" s="91"/>
      <c r="BX436" s="91"/>
      <c r="BY436" s="91"/>
      <c r="CA436" s="122"/>
      <c r="CB436" s="111"/>
      <c r="CC436" s="201"/>
      <c r="CD436" s="202"/>
      <c r="CE436" s="147"/>
      <c r="CF436" s="143"/>
      <c r="CG436" s="163"/>
      <c r="CH436" s="143"/>
      <c r="CI436" s="143"/>
      <c r="CJ436" s="143"/>
      <c r="CK436" s="163"/>
      <c r="CL436" s="143"/>
      <c r="CM436" s="147"/>
      <c r="CN436" s="147"/>
      <c r="CO436" s="147"/>
      <c r="CP436" s="147"/>
      <c r="CQ436" s="147"/>
      <c r="CR436" s="147"/>
    </row>
    <row r="437" spans="1:96" s="123" customFormat="1" ht="25.15" customHeight="1" outlineLevel="1" x14ac:dyDescent="0.25">
      <c r="A437" s="1" t="s">
        <v>202</v>
      </c>
      <c r="B437" s="80" t="s">
        <v>3304</v>
      </c>
      <c r="C437" s="80"/>
      <c r="D437" s="162"/>
      <c r="E437" s="80" t="s">
        <v>448</v>
      </c>
      <c r="F437" s="80" t="s">
        <v>449</v>
      </c>
      <c r="G437" s="80" t="s">
        <v>450</v>
      </c>
      <c r="H437" s="80" t="s">
        <v>3312</v>
      </c>
      <c r="I437" s="80"/>
      <c r="J437" s="80"/>
      <c r="K437" s="80" t="s">
        <v>30</v>
      </c>
      <c r="L437" s="80"/>
      <c r="M437" s="80" t="s">
        <v>3362</v>
      </c>
      <c r="N437" s="83" t="s">
        <v>3347</v>
      </c>
      <c r="O437" s="80">
        <v>2840</v>
      </c>
      <c r="P437" s="80">
        <v>1640</v>
      </c>
      <c r="Q437" s="80">
        <v>1730</v>
      </c>
      <c r="R437" s="80">
        <v>1650</v>
      </c>
      <c r="S437" s="80">
        <v>2524</v>
      </c>
      <c r="T437" s="80">
        <v>2050</v>
      </c>
      <c r="U437" s="80">
        <v>5413</v>
      </c>
      <c r="V437" s="80">
        <v>640</v>
      </c>
      <c r="W437" s="80">
        <v>3450</v>
      </c>
      <c r="X437" s="80">
        <v>1015</v>
      </c>
      <c r="Y437" s="80"/>
      <c r="Z437" s="80"/>
      <c r="AA437" s="80" t="s">
        <v>3363</v>
      </c>
      <c r="AB437" s="80">
        <v>3300</v>
      </c>
      <c r="AC437" s="80">
        <v>910</v>
      </c>
      <c r="AD437" s="80"/>
      <c r="AE437" s="80"/>
      <c r="AF437" s="80"/>
      <c r="AG437" s="80"/>
      <c r="AH437" s="80" t="s">
        <v>3349</v>
      </c>
      <c r="AI437" s="80" t="s">
        <v>3364</v>
      </c>
      <c r="AJ437" s="80" t="s">
        <v>4339</v>
      </c>
      <c r="AK437" s="80" t="s">
        <v>3351</v>
      </c>
      <c r="AL437" s="80" t="s">
        <v>4320</v>
      </c>
      <c r="AM437" s="90" t="s">
        <v>3352</v>
      </c>
      <c r="AN437" s="80" t="s">
        <v>4278</v>
      </c>
      <c r="AO437" s="90" t="s">
        <v>3353</v>
      </c>
      <c r="AP437" s="80" t="s">
        <v>4256</v>
      </c>
      <c r="AQ437" s="80"/>
      <c r="AR437" s="80"/>
      <c r="AS437" s="80"/>
      <c r="AT437" s="80"/>
      <c r="AU437" s="80" t="s">
        <v>3361</v>
      </c>
      <c r="AV437" s="80"/>
      <c r="AW437" s="80"/>
      <c r="AX437" s="80"/>
      <c r="AY437" s="80"/>
      <c r="AZ437" s="80"/>
      <c r="BA437" s="161"/>
      <c r="BB437" s="80"/>
      <c r="BC437" s="80"/>
      <c r="BD437" s="80"/>
      <c r="BE437" s="91"/>
      <c r="BF437" s="91"/>
      <c r="BG437" s="91"/>
      <c r="BH437" s="91"/>
      <c r="BI437" s="91"/>
      <c r="BJ437" s="91"/>
      <c r="BK437" s="91"/>
      <c r="BL437" s="91"/>
      <c r="BM437" s="91"/>
      <c r="BN437" s="91"/>
      <c r="BO437" s="91"/>
      <c r="BP437" s="91"/>
      <c r="BQ437" s="91"/>
      <c r="BR437" s="91"/>
      <c r="BS437" s="91"/>
      <c r="BT437" s="91"/>
      <c r="BU437" s="91"/>
      <c r="BV437" s="91"/>
      <c r="BW437" s="91"/>
      <c r="BX437" s="91"/>
      <c r="BY437" s="91"/>
      <c r="CA437" s="122"/>
      <c r="CB437" s="111"/>
      <c r="CC437" s="201"/>
      <c r="CD437" s="202"/>
      <c r="CE437" s="147"/>
      <c r="CF437" s="143"/>
      <c r="CG437" s="163"/>
      <c r="CH437" s="143"/>
      <c r="CI437" s="143"/>
      <c r="CJ437" s="143"/>
      <c r="CK437" s="163"/>
      <c r="CL437" s="143"/>
      <c r="CM437" s="147"/>
      <c r="CN437" s="147"/>
      <c r="CO437" s="147"/>
      <c r="CP437" s="147"/>
      <c r="CQ437" s="147"/>
      <c r="CR437" s="147"/>
    </row>
    <row r="438" spans="1:96" s="123" customFormat="1" ht="25.15" customHeight="1" outlineLevel="1" x14ac:dyDescent="0.25">
      <c r="A438" s="1" t="s">
        <v>202</v>
      </c>
      <c r="B438" s="80" t="s">
        <v>3304</v>
      </c>
      <c r="C438" s="80"/>
      <c r="D438" s="162"/>
      <c r="E438" s="80" t="s">
        <v>448</v>
      </c>
      <c r="F438" s="80" t="s">
        <v>1172</v>
      </c>
      <c r="G438" s="80" t="s">
        <v>1152</v>
      </c>
      <c r="H438" s="80" t="s">
        <v>29</v>
      </c>
      <c r="I438" s="80"/>
      <c r="J438" s="80"/>
      <c r="K438" s="80" t="s">
        <v>1153</v>
      </c>
      <c r="L438" s="80"/>
      <c r="M438" s="80" t="s">
        <v>3371</v>
      </c>
      <c r="N438" s="83" t="s">
        <v>63</v>
      </c>
      <c r="O438" s="80">
        <v>1495</v>
      </c>
      <c r="P438" s="80">
        <v>1245</v>
      </c>
      <c r="Q438" s="80">
        <v>1040</v>
      </c>
      <c r="R438" s="80">
        <v>980</v>
      </c>
      <c r="S438" s="80">
        <v>1970</v>
      </c>
      <c r="T438" s="80">
        <v>1848</v>
      </c>
      <c r="U438" s="80">
        <v>4403</v>
      </c>
      <c r="V438" s="80">
        <v>640</v>
      </c>
      <c r="W438" s="80">
        <v>2785</v>
      </c>
      <c r="X438" s="80">
        <v>726</v>
      </c>
      <c r="Y438" s="80"/>
      <c r="Z438" s="80"/>
      <c r="AA438" s="80" t="s">
        <v>1174</v>
      </c>
      <c r="AB438" s="80">
        <v>2390</v>
      </c>
      <c r="AC438" s="80">
        <v>470</v>
      </c>
      <c r="AD438" s="80"/>
      <c r="AE438" s="80"/>
      <c r="AF438" s="80"/>
      <c r="AG438" s="80"/>
      <c r="AH438" s="80">
        <v>1.7</v>
      </c>
      <c r="AI438" s="80" t="s">
        <v>3372</v>
      </c>
      <c r="AJ438" s="80" t="s">
        <v>4338</v>
      </c>
      <c r="AK438" s="80" t="s">
        <v>3370</v>
      </c>
      <c r="AL438" s="80" t="s">
        <v>4312</v>
      </c>
      <c r="AM438" s="90" t="s">
        <v>1177</v>
      </c>
      <c r="AN438" s="80" t="s">
        <v>4275</v>
      </c>
      <c r="AO438" s="90" t="s">
        <v>1178</v>
      </c>
      <c r="AP438" s="80" t="s">
        <v>4250</v>
      </c>
      <c r="AQ438" s="90" t="s">
        <v>1179</v>
      </c>
      <c r="AR438" s="80" t="s">
        <v>3307</v>
      </c>
      <c r="AS438" s="80"/>
      <c r="AT438" s="80"/>
      <c r="AU438" s="80" t="s">
        <v>1180</v>
      </c>
      <c r="AV438" s="80"/>
      <c r="AW438" s="80"/>
      <c r="AX438" s="80"/>
      <c r="AY438" s="80"/>
      <c r="AZ438" s="80"/>
      <c r="BA438" s="161"/>
      <c r="BB438" s="80"/>
      <c r="BC438" s="80"/>
      <c r="BD438" s="80"/>
      <c r="BE438" s="91"/>
      <c r="BF438" s="91"/>
      <c r="BG438" s="91"/>
      <c r="BH438" s="91"/>
      <c r="BI438" s="91"/>
      <c r="BJ438" s="91"/>
      <c r="BK438" s="91"/>
      <c r="BL438" s="91"/>
      <c r="BM438" s="91"/>
      <c r="BN438" s="91"/>
      <c r="BO438" s="91"/>
      <c r="BP438" s="91"/>
      <c r="BQ438" s="91"/>
      <c r="BR438" s="91"/>
      <c r="BS438" s="91"/>
      <c r="BT438" s="91"/>
      <c r="BU438" s="91"/>
      <c r="BV438" s="91"/>
      <c r="BW438" s="91"/>
      <c r="BX438" s="91"/>
      <c r="BY438" s="91"/>
      <c r="CA438" s="122"/>
      <c r="CB438" s="111"/>
      <c r="CC438" s="201"/>
      <c r="CD438" s="202"/>
      <c r="CE438" s="147"/>
      <c r="CF438" s="143"/>
      <c r="CG438" s="163"/>
      <c r="CH438" s="143"/>
      <c r="CI438" s="143"/>
      <c r="CJ438" s="143"/>
      <c r="CK438" s="163"/>
      <c r="CL438" s="143"/>
      <c r="CM438" s="147"/>
      <c r="CN438" s="147"/>
      <c r="CO438" s="147"/>
      <c r="CP438" s="147"/>
      <c r="CQ438" s="147"/>
      <c r="CR438" s="147"/>
    </row>
    <row r="439" spans="1:96" s="123" customFormat="1" ht="25.15" customHeight="1" outlineLevel="1" x14ac:dyDescent="0.25">
      <c r="A439" s="1" t="s">
        <v>202</v>
      </c>
      <c r="B439" s="80" t="s">
        <v>3304</v>
      </c>
      <c r="C439" s="80"/>
      <c r="D439" s="162"/>
      <c r="E439" s="80" t="s">
        <v>448</v>
      </c>
      <c r="F439" s="80" t="s">
        <v>1172</v>
      </c>
      <c r="G439" s="80" t="s">
        <v>1152</v>
      </c>
      <c r="H439" s="80" t="s">
        <v>3312</v>
      </c>
      <c r="I439" s="80"/>
      <c r="J439" s="80"/>
      <c r="K439" s="80" t="s">
        <v>1153</v>
      </c>
      <c r="L439" s="80"/>
      <c r="M439" s="80" t="s">
        <v>3380</v>
      </c>
      <c r="N439" s="83" t="s">
        <v>63</v>
      </c>
      <c r="O439" s="80">
        <v>1495</v>
      </c>
      <c r="P439" s="80">
        <v>1245</v>
      </c>
      <c r="Q439" s="80">
        <v>1040</v>
      </c>
      <c r="R439" s="80">
        <v>980</v>
      </c>
      <c r="S439" s="80">
        <v>1796</v>
      </c>
      <c r="T439" s="80">
        <v>1848</v>
      </c>
      <c r="U439" s="80">
        <v>4403</v>
      </c>
      <c r="V439" s="80">
        <v>640</v>
      </c>
      <c r="W439" s="80">
        <v>2785</v>
      </c>
      <c r="X439" s="80">
        <v>726</v>
      </c>
      <c r="Y439" s="80"/>
      <c r="Z439" s="80"/>
      <c r="AA439" s="80" t="s">
        <v>3374</v>
      </c>
      <c r="AB439" s="80">
        <v>2390</v>
      </c>
      <c r="AC439" s="80">
        <v>635</v>
      </c>
      <c r="AD439" s="80"/>
      <c r="AE439" s="80"/>
      <c r="AF439" s="80"/>
      <c r="AG439" s="80"/>
      <c r="AH439" s="80">
        <v>1.7</v>
      </c>
      <c r="AI439" s="80" t="s">
        <v>3372</v>
      </c>
      <c r="AJ439" s="80" t="s">
        <v>4338</v>
      </c>
      <c r="AK439" s="80" t="s">
        <v>3370</v>
      </c>
      <c r="AL439" s="80" t="s">
        <v>4312</v>
      </c>
      <c r="AM439" s="90" t="s">
        <v>1182</v>
      </c>
      <c r="AN439" s="80" t="s">
        <v>4274</v>
      </c>
      <c r="AO439" s="90" t="s">
        <v>3375</v>
      </c>
      <c r="AP439" s="80" t="s">
        <v>4243</v>
      </c>
      <c r="AQ439" s="80"/>
      <c r="AR439" s="80"/>
      <c r="AS439" s="80"/>
      <c r="AT439" s="80"/>
      <c r="AU439" s="80" t="s">
        <v>3316</v>
      </c>
      <c r="AV439" s="80"/>
      <c r="AW439" s="80"/>
      <c r="AX439" s="80"/>
      <c r="AY439" s="80"/>
      <c r="AZ439" s="80"/>
      <c r="BA439" s="161"/>
      <c r="BB439" s="80"/>
      <c r="BC439" s="80"/>
      <c r="BD439" s="80"/>
      <c r="BE439" s="91"/>
      <c r="BF439" s="91"/>
      <c r="BG439" s="91"/>
      <c r="BH439" s="91"/>
      <c r="BI439" s="91"/>
      <c r="BJ439" s="91"/>
      <c r="BK439" s="91"/>
      <c r="BL439" s="91"/>
      <c r="BM439" s="91"/>
      <c r="BN439" s="91"/>
      <c r="BO439" s="91"/>
      <c r="BP439" s="91"/>
      <c r="BQ439" s="91"/>
      <c r="BR439" s="91"/>
      <c r="BS439" s="91"/>
      <c r="BT439" s="91"/>
      <c r="BU439" s="91"/>
      <c r="BV439" s="91"/>
      <c r="BW439" s="91"/>
      <c r="BX439" s="91"/>
      <c r="BY439" s="91"/>
      <c r="CA439" s="122"/>
      <c r="CB439" s="111"/>
      <c r="CC439" s="201"/>
      <c r="CD439" s="202"/>
      <c r="CE439" s="147"/>
      <c r="CF439" s="143"/>
      <c r="CG439" s="163"/>
      <c r="CH439" s="143"/>
      <c r="CI439" s="143"/>
      <c r="CJ439" s="143"/>
      <c r="CK439" s="163"/>
      <c r="CL439" s="143"/>
      <c r="CM439" s="147"/>
      <c r="CN439" s="147"/>
      <c r="CO439" s="147"/>
      <c r="CP439" s="147"/>
      <c r="CQ439" s="147"/>
      <c r="CR439" s="147"/>
    </row>
    <row r="440" spans="1:96" s="123" customFormat="1" ht="25.15" customHeight="1" outlineLevel="1" x14ac:dyDescent="0.25">
      <c r="A440" s="1" t="s">
        <v>202</v>
      </c>
      <c r="B440" s="80" t="s">
        <v>3304</v>
      </c>
      <c r="C440" s="80"/>
      <c r="D440" s="162"/>
      <c r="E440" s="80" t="s">
        <v>448</v>
      </c>
      <c r="F440" s="80" t="s">
        <v>1207</v>
      </c>
      <c r="G440" s="80" t="s">
        <v>1199</v>
      </c>
      <c r="H440" s="80" t="s">
        <v>29</v>
      </c>
      <c r="I440" s="80"/>
      <c r="J440" s="80"/>
      <c r="K440" s="80" t="s">
        <v>30</v>
      </c>
      <c r="L440" s="80"/>
      <c r="M440" s="80" t="s">
        <v>3381</v>
      </c>
      <c r="N440" s="83" t="s">
        <v>63</v>
      </c>
      <c r="O440" s="80">
        <v>2370</v>
      </c>
      <c r="P440" s="80">
        <v>1833</v>
      </c>
      <c r="Q440" s="80">
        <v>1585</v>
      </c>
      <c r="R440" s="80"/>
      <c r="S440" s="80">
        <v>2403</v>
      </c>
      <c r="T440" s="80">
        <v>1970</v>
      </c>
      <c r="U440" s="80">
        <v>5427</v>
      </c>
      <c r="V440" s="80">
        <v>740</v>
      </c>
      <c r="W440" s="80">
        <v>3275</v>
      </c>
      <c r="X440" s="80">
        <v>1272</v>
      </c>
      <c r="Y440" s="80"/>
      <c r="Z440" s="80"/>
      <c r="AA440" s="80" t="s">
        <v>1219</v>
      </c>
      <c r="AB440" s="80">
        <v>3100</v>
      </c>
      <c r="AC440" s="80">
        <v>525</v>
      </c>
      <c r="AD440" s="80"/>
      <c r="AE440" s="80"/>
      <c r="AF440" s="80"/>
      <c r="AG440" s="80"/>
      <c r="AH440" s="80">
        <v>6.5</v>
      </c>
      <c r="AI440" s="80" t="s">
        <v>3382</v>
      </c>
      <c r="AJ440" s="80" t="s">
        <v>4347</v>
      </c>
      <c r="AK440" s="80" t="s">
        <v>3383</v>
      </c>
      <c r="AL440" s="80" t="s">
        <v>4314</v>
      </c>
      <c r="AM440" s="90" t="s">
        <v>1221</v>
      </c>
      <c r="AN440" s="80" t="s">
        <v>4277</v>
      </c>
      <c r="AO440" s="90" t="s">
        <v>1222</v>
      </c>
      <c r="AP440" s="80" t="s">
        <v>4255</v>
      </c>
      <c r="AQ440" s="90" t="s">
        <v>3384</v>
      </c>
      <c r="AR440" s="80" t="s">
        <v>3307</v>
      </c>
      <c r="AS440" s="80"/>
      <c r="AT440" s="80"/>
      <c r="AU440" s="80" t="s">
        <v>3385</v>
      </c>
      <c r="AV440" s="80"/>
      <c r="AW440" s="80"/>
      <c r="AX440" s="80"/>
      <c r="AY440" s="80"/>
      <c r="AZ440" s="80"/>
      <c r="BA440" s="161"/>
      <c r="BB440" s="80"/>
      <c r="BC440" s="80"/>
      <c r="BD440" s="80"/>
      <c r="BE440" s="91"/>
      <c r="BF440" s="91"/>
      <c r="BG440" s="91"/>
      <c r="BH440" s="91"/>
      <c r="BI440" s="91"/>
      <c r="BJ440" s="91"/>
      <c r="BK440" s="91"/>
      <c r="BL440" s="91"/>
      <c r="BM440" s="91"/>
      <c r="BN440" s="91"/>
      <c r="BO440" s="91"/>
      <c r="BP440" s="91"/>
      <c r="BQ440" s="91"/>
      <c r="BR440" s="91"/>
      <c r="BS440" s="91"/>
      <c r="BT440" s="91"/>
      <c r="BU440" s="91"/>
      <c r="BV440" s="91"/>
      <c r="BW440" s="91"/>
      <c r="BX440" s="91"/>
      <c r="BY440" s="91"/>
      <c r="CA440" s="122"/>
      <c r="CB440" s="111"/>
      <c r="CC440" s="201"/>
      <c r="CD440" s="202"/>
      <c r="CE440" s="147"/>
      <c r="CF440" s="143"/>
      <c r="CG440" s="163"/>
      <c r="CH440" s="143"/>
      <c r="CI440" s="143"/>
      <c r="CJ440" s="143"/>
      <c r="CK440" s="163"/>
      <c r="CL440" s="143"/>
      <c r="CM440" s="147"/>
      <c r="CN440" s="147"/>
      <c r="CO440" s="147"/>
      <c r="CP440" s="147"/>
      <c r="CQ440" s="147"/>
      <c r="CR440" s="147"/>
    </row>
    <row r="441" spans="1:96" s="123" customFormat="1" ht="25.15" customHeight="1" outlineLevel="1" x14ac:dyDescent="0.25">
      <c r="A441" s="1" t="s">
        <v>202</v>
      </c>
      <c r="B441" s="80" t="s">
        <v>3304</v>
      </c>
      <c r="C441" s="80"/>
      <c r="D441" s="162"/>
      <c r="E441" s="80" t="s">
        <v>448</v>
      </c>
      <c r="F441" s="80" t="s">
        <v>1184</v>
      </c>
      <c r="G441" s="80" t="s">
        <v>1152</v>
      </c>
      <c r="H441" s="80" t="s">
        <v>3312</v>
      </c>
      <c r="I441" s="80"/>
      <c r="J441" s="80"/>
      <c r="K441" s="80" t="s">
        <v>3410</v>
      </c>
      <c r="L441" s="80"/>
      <c r="M441" s="80" t="s">
        <v>3421</v>
      </c>
      <c r="N441" s="83" t="s">
        <v>63</v>
      </c>
      <c r="O441" s="80">
        <v>2074</v>
      </c>
      <c r="P441" s="80">
        <v>1282</v>
      </c>
      <c r="Q441" s="80">
        <v>1178</v>
      </c>
      <c r="R441" s="80"/>
      <c r="S441" s="80">
        <v>1895</v>
      </c>
      <c r="T441" s="80">
        <v>1920</v>
      </c>
      <c r="U441" s="80">
        <v>4956</v>
      </c>
      <c r="V441" s="80">
        <v>657</v>
      </c>
      <c r="W441" s="80">
        <v>3275</v>
      </c>
      <c r="X441" s="80">
        <v>803</v>
      </c>
      <c r="Y441" s="80"/>
      <c r="Z441" s="80"/>
      <c r="AA441" s="80" t="s">
        <v>3416</v>
      </c>
      <c r="AB441" s="80">
        <v>2830</v>
      </c>
      <c r="AC441" s="80">
        <v>875</v>
      </c>
      <c r="AD441" s="80"/>
      <c r="AE441" s="80"/>
      <c r="AF441" s="80"/>
      <c r="AG441" s="80"/>
      <c r="AH441" s="80" t="s">
        <v>1187</v>
      </c>
      <c r="AI441" s="80" t="s">
        <v>3414</v>
      </c>
      <c r="AJ441" s="80" t="s">
        <v>4343</v>
      </c>
      <c r="AK441" s="80" t="s">
        <v>3400</v>
      </c>
      <c r="AL441" s="80" t="s">
        <v>4317</v>
      </c>
      <c r="AM441" s="90" t="s">
        <v>1190</v>
      </c>
      <c r="AN441" s="80" t="s">
        <v>4271</v>
      </c>
      <c r="AO441" s="90" t="s">
        <v>3411</v>
      </c>
      <c r="AP441" s="80" t="s">
        <v>4252</v>
      </c>
      <c r="AQ441" s="80"/>
      <c r="AR441" s="80"/>
      <c r="AS441" s="80"/>
      <c r="AT441" s="80"/>
      <c r="AU441" s="80" t="s">
        <v>3418</v>
      </c>
      <c r="AV441" s="80"/>
      <c r="AW441" s="80"/>
      <c r="AX441" s="80"/>
      <c r="AY441" s="80"/>
      <c r="AZ441" s="80"/>
      <c r="BA441" s="161"/>
      <c r="BB441" s="80"/>
      <c r="BC441" s="80"/>
      <c r="BD441" s="80"/>
      <c r="BE441" s="91"/>
      <c r="BF441" s="91"/>
      <c r="BG441" s="91"/>
      <c r="BH441" s="91"/>
      <c r="BI441" s="91"/>
      <c r="BJ441" s="91"/>
      <c r="BK441" s="91"/>
      <c r="BL441" s="91"/>
      <c r="BM441" s="91"/>
      <c r="BN441" s="91"/>
      <c r="BO441" s="91"/>
      <c r="BP441" s="91"/>
      <c r="BQ441" s="91"/>
      <c r="BR441" s="91"/>
      <c r="BS441" s="91"/>
      <c r="BT441" s="91"/>
      <c r="BU441" s="91"/>
      <c r="BV441" s="91"/>
      <c r="BW441" s="91"/>
      <c r="BX441" s="91"/>
      <c r="BY441" s="91"/>
      <c r="CA441" s="122"/>
      <c r="CB441" s="111"/>
      <c r="CC441" s="201"/>
      <c r="CD441" s="202"/>
      <c r="CE441" s="147"/>
      <c r="CF441" s="143"/>
      <c r="CG441" s="163"/>
      <c r="CH441" s="143"/>
      <c r="CI441" s="143"/>
      <c r="CJ441" s="143"/>
      <c r="CK441" s="163"/>
      <c r="CL441" s="143"/>
      <c r="CM441" s="147"/>
      <c r="CN441" s="147"/>
      <c r="CO441" s="147"/>
      <c r="CP441" s="147"/>
      <c r="CQ441" s="147"/>
      <c r="CR441" s="147"/>
    </row>
    <row r="442" spans="1:96" s="123" customFormat="1" ht="25.15" customHeight="1" outlineLevel="1" x14ac:dyDescent="0.25">
      <c r="A442" s="1" t="s">
        <v>202</v>
      </c>
      <c r="B442" s="80" t="s">
        <v>3304</v>
      </c>
      <c r="C442" s="80"/>
      <c r="D442" s="162"/>
      <c r="E442" s="80" t="s">
        <v>33</v>
      </c>
      <c r="F442" s="80" t="s">
        <v>34</v>
      </c>
      <c r="G442" s="80" t="s">
        <v>85</v>
      </c>
      <c r="H442" s="80" t="s">
        <v>29</v>
      </c>
      <c r="I442" s="80"/>
      <c r="J442" s="80"/>
      <c r="K442" s="80" t="s">
        <v>30</v>
      </c>
      <c r="L442" s="80"/>
      <c r="M442" s="80" t="s">
        <v>3453</v>
      </c>
      <c r="N442" s="83" t="s">
        <v>63</v>
      </c>
      <c r="O442" s="80">
        <v>3224</v>
      </c>
      <c r="P442" s="80">
        <v>1904</v>
      </c>
      <c r="Q442" s="80">
        <v>1950</v>
      </c>
      <c r="R442" s="80"/>
      <c r="S442" s="80">
        <v>2942</v>
      </c>
      <c r="T442" s="80">
        <v>2050</v>
      </c>
      <c r="U442" s="80">
        <v>5932</v>
      </c>
      <c r="V442" s="80">
        <v>900</v>
      </c>
      <c r="W442" s="80">
        <v>3450</v>
      </c>
      <c r="X442" s="80">
        <v>1425</v>
      </c>
      <c r="Y442" s="80"/>
      <c r="Z442" s="80">
        <v>5</v>
      </c>
      <c r="AA442" s="80" t="s">
        <v>503</v>
      </c>
      <c r="AB442" s="80">
        <v>3500</v>
      </c>
      <c r="AC442" s="80">
        <v>685</v>
      </c>
      <c r="AD442" s="80"/>
      <c r="AE442" s="80"/>
      <c r="AF442" s="80"/>
      <c r="AG442" s="80"/>
      <c r="AH442" s="80">
        <v>12</v>
      </c>
      <c r="AI442" s="80" t="s">
        <v>3454</v>
      </c>
      <c r="AJ442" s="80" t="s">
        <v>4352</v>
      </c>
      <c r="AK442" s="80" t="s">
        <v>1275</v>
      </c>
      <c r="AL442" s="80" t="s">
        <v>4321</v>
      </c>
      <c r="AM442" s="90" t="s">
        <v>1276</v>
      </c>
      <c r="AN442" s="80" t="s">
        <v>4285</v>
      </c>
      <c r="AO442" s="90" t="s">
        <v>3455</v>
      </c>
      <c r="AP442" s="80" t="s">
        <v>4263</v>
      </c>
      <c r="AQ442" s="90" t="s">
        <v>1248</v>
      </c>
      <c r="AR442" s="80" t="s">
        <v>3307</v>
      </c>
      <c r="AS442" s="80"/>
      <c r="AT442" s="80"/>
      <c r="AU442" s="80" t="s">
        <v>1278</v>
      </c>
      <c r="AV442" s="80"/>
      <c r="AW442" s="80"/>
      <c r="AX442" s="80"/>
      <c r="AY442" s="80"/>
      <c r="AZ442" s="80"/>
      <c r="BA442" s="161"/>
      <c r="BB442" s="80"/>
      <c r="BC442" s="80"/>
      <c r="BD442" s="80"/>
      <c r="BE442" s="91"/>
      <c r="BF442" s="91"/>
      <c r="BG442" s="91"/>
      <c r="BH442" s="91"/>
      <c r="BI442" s="91"/>
      <c r="BJ442" s="91"/>
      <c r="BK442" s="91"/>
      <c r="BL442" s="91"/>
      <c r="BM442" s="91"/>
      <c r="BN442" s="91"/>
      <c r="BO442" s="91"/>
      <c r="BP442" s="91"/>
      <c r="BQ442" s="91"/>
      <c r="BR442" s="91"/>
      <c r="BS442" s="91"/>
      <c r="BT442" s="91"/>
      <c r="BU442" s="91"/>
      <c r="BV442" s="91"/>
      <c r="BW442" s="91"/>
      <c r="BX442" s="91"/>
      <c r="BY442" s="91"/>
      <c r="CA442" s="122"/>
      <c r="CB442" s="111"/>
      <c r="CC442" s="201"/>
      <c r="CD442" s="202"/>
      <c r="CE442" s="147"/>
      <c r="CF442" s="143"/>
      <c r="CG442" s="163"/>
      <c r="CH442" s="143"/>
      <c r="CI442" s="143"/>
      <c r="CJ442" s="143"/>
      <c r="CK442" s="163"/>
      <c r="CL442" s="143"/>
      <c r="CM442" s="147"/>
      <c r="CN442" s="147"/>
      <c r="CO442" s="147"/>
      <c r="CP442" s="147"/>
      <c r="CQ442" s="147"/>
      <c r="CR442" s="147"/>
    </row>
    <row r="443" spans="1:96" s="123" customFormat="1" ht="25.15" customHeight="1" outlineLevel="1" x14ac:dyDescent="0.25">
      <c r="A443" s="1" t="s">
        <v>202</v>
      </c>
      <c r="B443" s="80" t="s">
        <v>3304</v>
      </c>
      <c r="C443" s="80"/>
      <c r="D443" s="162"/>
      <c r="E443" s="80" t="s">
        <v>33</v>
      </c>
      <c r="F443" s="80" t="s">
        <v>34</v>
      </c>
      <c r="G443" s="80" t="s">
        <v>85</v>
      </c>
      <c r="H443" s="80" t="s">
        <v>29</v>
      </c>
      <c r="I443" s="80"/>
      <c r="J443" s="80"/>
      <c r="K443" s="80" t="s">
        <v>30</v>
      </c>
      <c r="L443" s="80"/>
      <c r="M443" s="80" t="s">
        <v>3453</v>
      </c>
      <c r="N443" s="83" t="s">
        <v>3442</v>
      </c>
      <c r="O443" s="80">
        <v>3524</v>
      </c>
      <c r="P443" s="80">
        <v>1904</v>
      </c>
      <c r="Q443" s="80">
        <v>2050</v>
      </c>
      <c r="R443" s="80"/>
      <c r="S443" s="80">
        <v>3040</v>
      </c>
      <c r="T443" s="80">
        <v>2050</v>
      </c>
      <c r="U443" s="80">
        <v>6223</v>
      </c>
      <c r="V443" s="80">
        <v>900</v>
      </c>
      <c r="W443" s="80">
        <v>3450</v>
      </c>
      <c r="X443" s="80">
        <v>1725</v>
      </c>
      <c r="Y443" s="80"/>
      <c r="Z443" s="80">
        <v>5</v>
      </c>
      <c r="AA443" s="80" t="s">
        <v>1290</v>
      </c>
      <c r="AB443" s="80">
        <v>3500</v>
      </c>
      <c r="AC443" s="80">
        <v>400</v>
      </c>
      <c r="AD443" s="80"/>
      <c r="AE443" s="80"/>
      <c r="AF443" s="80"/>
      <c r="AG443" s="80"/>
      <c r="AH443" s="80" t="s">
        <v>1291</v>
      </c>
      <c r="AI443" s="80" t="s">
        <v>3454</v>
      </c>
      <c r="AJ443" s="80" t="s">
        <v>4352</v>
      </c>
      <c r="AK443" s="80" t="s">
        <v>1275</v>
      </c>
      <c r="AL443" s="80" t="s">
        <v>4321</v>
      </c>
      <c r="AM443" s="90" t="s">
        <v>1276</v>
      </c>
      <c r="AN443" s="80" t="s">
        <v>4285</v>
      </c>
      <c r="AO443" s="90" t="s">
        <v>3456</v>
      </c>
      <c r="AP443" s="80" t="s">
        <v>4236</v>
      </c>
      <c r="AQ443" s="90" t="s">
        <v>1293</v>
      </c>
      <c r="AR443" s="80" t="s">
        <v>3457</v>
      </c>
      <c r="AS443" s="80"/>
      <c r="AT443" s="80"/>
      <c r="AU443" s="80" t="s">
        <v>458</v>
      </c>
      <c r="AV443" s="80"/>
      <c r="AW443" s="80"/>
      <c r="AX443" s="80"/>
      <c r="AY443" s="80"/>
      <c r="AZ443" s="80"/>
      <c r="BA443" s="161"/>
      <c r="BB443" s="80"/>
      <c r="BC443" s="80"/>
      <c r="BD443" s="80"/>
      <c r="BE443" s="91"/>
      <c r="BF443" s="91"/>
      <c r="BG443" s="91"/>
      <c r="BH443" s="91"/>
      <c r="BI443" s="91"/>
      <c r="BJ443" s="91"/>
      <c r="BK443" s="91"/>
      <c r="BL443" s="91"/>
      <c r="BM443" s="91"/>
      <c r="BN443" s="91"/>
      <c r="BO443" s="91"/>
      <c r="BP443" s="91"/>
      <c r="BQ443" s="91"/>
      <c r="BR443" s="91"/>
      <c r="BS443" s="91"/>
      <c r="BT443" s="91"/>
      <c r="BU443" s="91"/>
      <c r="BV443" s="91"/>
      <c r="BW443" s="91"/>
      <c r="BX443" s="91"/>
      <c r="BY443" s="91"/>
      <c r="CA443" s="122"/>
      <c r="CB443" s="111"/>
      <c r="CC443" s="201"/>
      <c r="CD443" s="202"/>
      <c r="CE443" s="147"/>
      <c r="CF443" s="143"/>
      <c r="CG443" s="163"/>
      <c r="CH443" s="143"/>
      <c r="CI443" s="143"/>
      <c r="CJ443" s="143"/>
      <c r="CK443" s="163"/>
      <c r="CL443" s="143"/>
      <c r="CM443" s="147"/>
      <c r="CN443" s="147"/>
      <c r="CO443" s="147"/>
      <c r="CP443" s="147"/>
      <c r="CQ443" s="147"/>
      <c r="CR443" s="147"/>
    </row>
    <row r="444" spans="1:96" s="123" customFormat="1" ht="25.15" customHeight="1" outlineLevel="1" x14ac:dyDescent="0.25">
      <c r="A444" s="1" t="s">
        <v>202</v>
      </c>
      <c r="B444" s="80" t="s">
        <v>3304</v>
      </c>
      <c r="C444" s="80"/>
      <c r="D444" s="162"/>
      <c r="E444" s="80" t="s">
        <v>448</v>
      </c>
      <c r="F444" s="80" t="s">
        <v>1184</v>
      </c>
      <c r="G444" s="80" t="s">
        <v>1199</v>
      </c>
      <c r="H444" s="80" t="s">
        <v>3312</v>
      </c>
      <c r="I444" s="80"/>
      <c r="J444" s="80"/>
      <c r="K444" s="80" t="s">
        <v>30</v>
      </c>
      <c r="L444" s="80"/>
      <c r="M444" s="80" t="s">
        <v>3406</v>
      </c>
      <c r="N444" s="83" t="s">
        <v>63</v>
      </c>
      <c r="O444" s="80">
        <v>2330</v>
      </c>
      <c r="P444" s="80">
        <v>1833</v>
      </c>
      <c r="Q444" s="80">
        <v>1585</v>
      </c>
      <c r="R444" s="80"/>
      <c r="S444" s="80">
        <v>2403</v>
      </c>
      <c r="T444" s="80">
        <v>1970</v>
      </c>
      <c r="U444" s="80">
        <v>5427</v>
      </c>
      <c r="V444" s="80">
        <v>740</v>
      </c>
      <c r="W444" s="80">
        <v>3275</v>
      </c>
      <c r="X444" s="80">
        <v>1172</v>
      </c>
      <c r="Y444" s="80"/>
      <c r="Z444" s="80"/>
      <c r="AA444" s="80" t="s">
        <v>3407</v>
      </c>
      <c r="AB444" s="80">
        <v>3100</v>
      </c>
      <c r="AC444" s="80">
        <v>1175</v>
      </c>
      <c r="AD444" s="80"/>
      <c r="AE444" s="80"/>
      <c r="AF444" s="80"/>
      <c r="AG444" s="80"/>
      <c r="AH444" s="80">
        <v>6.5</v>
      </c>
      <c r="AI444" s="80" t="s">
        <v>3399</v>
      </c>
      <c r="AJ444" s="80" t="s">
        <v>4341</v>
      </c>
      <c r="AK444" s="80" t="s">
        <v>3400</v>
      </c>
      <c r="AL444" s="80" t="s">
        <v>4317</v>
      </c>
      <c r="AM444" s="90" t="s">
        <v>1203</v>
      </c>
      <c r="AN444" s="80" t="s">
        <v>4272</v>
      </c>
      <c r="AO444" s="90" t="s">
        <v>1204</v>
      </c>
      <c r="AP444" s="80" t="s">
        <v>4245</v>
      </c>
      <c r="AQ444" s="80"/>
      <c r="AR444" s="80"/>
      <c r="AS444" s="80"/>
      <c r="AT444" s="80"/>
      <c r="AU444" s="80" t="s">
        <v>1206</v>
      </c>
      <c r="AV444" s="80"/>
      <c r="AW444" s="80"/>
      <c r="AX444" s="80"/>
      <c r="AY444" s="80"/>
      <c r="AZ444" s="80"/>
      <c r="BA444" s="161"/>
      <c r="BB444" s="80"/>
      <c r="BC444" s="80"/>
      <c r="BD444" s="80"/>
      <c r="BE444" s="91"/>
      <c r="BF444" s="91"/>
      <c r="BG444" s="91"/>
      <c r="BH444" s="91"/>
      <c r="BI444" s="91"/>
      <c r="BJ444" s="91"/>
      <c r="BK444" s="91"/>
      <c r="BL444" s="91"/>
      <c r="BM444" s="91"/>
      <c r="BN444" s="91"/>
      <c r="BO444" s="91"/>
      <c r="BP444" s="91"/>
      <c r="BQ444" s="91"/>
      <c r="BR444" s="91"/>
      <c r="BS444" s="91"/>
      <c r="BT444" s="91"/>
      <c r="BU444" s="91"/>
      <c r="BV444" s="91"/>
      <c r="BW444" s="91"/>
      <c r="BX444" s="91"/>
      <c r="BY444" s="91"/>
      <c r="CA444" s="122"/>
      <c r="CB444" s="111"/>
      <c r="CC444" s="201"/>
      <c r="CD444" s="202"/>
      <c r="CE444" s="147"/>
      <c r="CF444" s="143"/>
      <c r="CG444" s="163"/>
      <c r="CH444" s="143"/>
      <c r="CI444" s="143"/>
      <c r="CJ444" s="143"/>
      <c r="CK444" s="163"/>
      <c r="CL444" s="143"/>
      <c r="CM444" s="147"/>
      <c r="CN444" s="147"/>
      <c r="CO444" s="147"/>
      <c r="CP444" s="147"/>
      <c r="CQ444" s="147"/>
      <c r="CR444" s="147"/>
    </row>
    <row r="445" spans="1:96" s="123" customFormat="1" ht="25.15" customHeight="1" outlineLevel="1" x14ac:dyDescent="0.25">
      <c r="A445" s="1" t="s">
        <v>202</v>
      </c>
      <c r="B445" s="80" t="s">
        <v>3304</v>
      </c>
      <c r="C445" s="80"/>
      <c r="D445" s="162"/>
      <c r="E445" s="80" t="s">
        <v>448</v>
      </c>
      <c r="F445" s="80" t="s">
        <v>1184</v>
      </c>
      <c r="G445" s="80" t="s">
        <v>1152</v>
      </c>
      <c r="H445" s="80" t="s">
        <v>29</v>
      </c>
      <c r="I445" s="80"/>
      <c r="J445" s="80"/>
      <c r="K445" s="80" t="s">
        <v>1153</v>
      </c>
      <c r="L445" s="80"/>
      <c r="M445" s="80" t="s">
        <v>3413</v>
      </c>
      <c r="N445" s="83" t="s">
        <v>63</v>
      </c>
      <c r="O445" s="80">
        <v>2100</v>
      </c>
      <c r="P445" s="80">
        <v>1325</v>
      </c>
      <c r="Q445" s="80">
        <v>1120</v>
      </c>
      <c r="R445" s="80"/>
      <c r="S445" s="80">
        <v>2070</v>
      </c>
      <c r="T445" s="80">
        <v>1920</v>
      </c>
      <c r="U445" s="80">
        <v>4982</v>
      </c>
      <c r="V445" s="80">
        <v>660</v>
      </c>
      <c r="W445" s="80">
        <v>3275</v>
      </c>
      <c r="X445" s="80">
        <v>803</v>
      </c>
      <c r="Y445" s="80"/>
      <c r="Z445" s="80"/>
      <c r="AA445" s="80" t="s">
        <v>1186</v>
      </c>
      <c r="AB445" s="80">
        <v>2830</v>
      </c>
      <c r="AC445" s="80">
        <v>775</v>
      </c>
      <c r="AD445" s="80"/>
      <c r="AE445" s="80"/>
      <c r="AF445" s="80"/>
      <c r="AG445" s="80"/>
      <c r="AH445" s="80" t="s">
        <v>1187</v>
      </c>
      <c r="AI445" s="80" t="s">
        <v>3414</v>
      </c>
      <c r="AJ445" s="80" t="s">
        <v>4344</v>
      </c>
      <c r="AK445" s="80" t="s">
        <v>3400</v>
      </c>
      <c r="AL445" s="80" t="s">
        <v>4319</v>
      </c>
      <c r="AM445" s="90" t="s">
        <v>1190</v>
      </c>
      <c r="AN445" s="80" t="s">
        <v>4271</v>
      </c>
      <c r="AO445" s="90" t="s">
        <v>3411</v>
      </c>
      <c r="AP445" s="80" t="s">
        <v>4253</v>
      </c>
      <c r="AQ445" s="90" t="s">
        <v>1192</v>
      </c>
      <c r="AR445" s="80" t="s">
        <v>3307</v>
      </c>
      <c r="AS445" s="80"/>
      <c r="AT445" s="80"/>
      <c r="AU445" s="80" t="s">
        <v>1193</v>
      </c>
      <c r="AV445" s="80"/>
      <c r="AW445" s="80"/>
      <c r="AX445" s="80"/>
      <c r="AY445" s="80"/>
      <c r="AZ445" s="80"/>
      <c r="BA445" s="161"/>
      <c r="BB445" s="80"/>
      <c r="BC445" s="80"/>
      <c r="BD445" s="80"/>
      <c r="BE445" s="91"/>
      <c r="BF445" s="91"/>
      <c r="BG445" s="91"/>
      <c r="BH445" s="91"/>
      <c r="BI445" s="91"/>
      <c r="BJ445" s="91"/>
      <c r="BK445" s="91"/>
      <c r="BL445" s="91"/>
      <c r="BM445" s="91"/>
      <c r="BN445" s="91"/>
      <c r="BO445" s="91"/>
      <c r="BP445" s="91"/>
      <c r="BQ445" s="91"/>
      <c r="BR445" s="91"/>
      <c r="BS445" s="91"/>
      <c r="BT445" s="91"/>
      <c r="BU445" s="91"/>
      <c r="BV445" s="91"/>
      <c r="BW445" s="91"/>
      <c r="BX445" s="91"/>
      <c r="BY445" s="91"/>
      <c r="CA445" s="122"/>
      <c r="CB445" s="111"/>
      <c r="CC445" s="201"/>
      <c r="CD445" s="202"/>
      <c r="CE445" s="147"/>
      <c r="CF445" s="143"/>
      <c r="CG445" s="163"/>
      <c r="CH445" s="143"/>
      <c r="CI445" s="143"/>
      <c r="CJ445" s="143"/>
      <c r="CK445" s="163"/>
      <c r="CL445" s="143"/>
      <c r="CM445" s="147"/>
      <c r="CN445" s="147"/>
      <c r="CO445" s="147"/>
      <c r="CP445" s="147"/>
      <c r="CQ445" s="147"/>
      <c r="CR445" s="147"/>
    </row>
    <row r="446" spans="1:96" s="123" customFormat="1" ht="25.15" customHeight="1" outlineLevel="1" x14ac:dyDescent="0.25">
      <c r="A446" s="1" t="s">
        <v>202</v>
      </c>
      <c r="B446" s="80" t="s">
        <v>3304</v>
      </c>
      <c r="C446" s="80"/>
      <c r="D446" s="162"/>
      <c r="E446" s="80" t="s">
        <v>448</v>
      </c>
      <c r="F446" s="80" t="s">
        <v>1184</v>
      </c>
      <c r="G446" s="80" t="s">
        <v>1152</v>
      </c>
      <c r="H446" s="80" t="s">
        <v>29</v>
      </c>
      <c r="I446" s="80"/>
      <c r="J446" s="80"/>
      <c r="K446" s="80" t="s">
        <v>3410</v>
      </c>
      <c r="L446" s="80"/>
      <c r="M446" s="80" t="s">
        <v>3413</v>
      </c>
      <c r="N446" s="83" t="s">
        <v>64</v>
      </c>
      <c r="O446" s="80">
        <v>2434</v>
      </c>
      <c r="P446" s="80">
        <v>1282</v>
      </c>
      <c r="Q446" s="80">
        <v>1178</v>
      </c>
      <c r="R446" s="80"/>
      <c r="S446" s="80">
        <v>2070</v>
      </c>
      <c r="T446" s="80">
        <v>1920</v>
      </c>
      <c r="U446" s="80">
        <v>5309</v>
      </c>
      <c r="V446" s="80">
        <v>657</v>
      </c>
      <c r="W446" s="80">
        <v>3275</v>
      </c>
      <c r="X446" s="80">
        <v>1153</v>
      </c>
      <c r="Y446" s="80"/>
      <c r="Z446" s="80"/>
      <c r="AA446" s="80" t="s">
        <v>1194</v>
      </c>
      <c r="AB446" s="80">
        <v>3100</v>
      </c>
      <c r="AC446" s="80">
        <v>985</v>
      </c>
      <c r="AD446" s="80"/>
      <c r="AE446" s="80"/>
      <c r="AF446" s="80"/>
      <c r="AG446" s="80"/>
      <c r="AH446" s="80">
        <v>3.7</v>
      </c>
      <c r="AI446" s="80" t="s">
        <v>3414</v>
      </c>
      <c r="AJ446" s="80" t="s">
        <v>4344</v>
      </c>
      <c r="AK446" s="80" t="s">
        <v>3400</v>
      </c>
      <c r="AL446" s="80" t="s">
        <v>4319</v>
      </c>
      <c r="AM446" s="90" t="s">
        <v>1190</v>
      </c>
      <c r="AN446" s="80" t="s">
        <v>4271</v>
      </c>
      <c r="AO446" s="90" t="s">
        <v>3411</v>
      </c>
      <c r="AP446" s="80" t="s">
        <v>4254</v>
      </c>
      <c r="AQ446" s="90" t="s">
        <v>3412</v>
      </c>
      <c r="AR446" s="80" t="s">
        <v>3307</v>
      </c>
      <c r="AS446" s="80"/>
      <c r="AT446" s="80"/>
      <c r="AU446" s="80" t="s">
        <v>1196</v>
      </c>
      <c r="AV446" s="80"/>
      <c r="AW446" s="80"/>
      <c r="AX446" s="80"/>
      <c r="AY446" s="80"/>
      <c r="AZ446" s="80"/>
      <c r="BA446" s="161"/>
      <c r="BB446" s="80"/>
      <c r="BC446" s="80"/>
      <c r="BD446" s="80"/>
      <c r="BE446" s="91"/>
      <c r="BF446" s="91"/>
      <c r="BG446" s="91"/>
      <c r="BH446" s="91"/>
      <c r="BI446" s="91"/>
      <c r="BJ446" s="91"/>
      <c r="BK446" s="91"/>
      <c r="BL446" s="91"/>
      <c r="BM446" s="91"/>
      <c r="BN446" s="91"/>
      <c r="BO446" s="91"/>
      <c r="BP446" s="91"/>
      <c r="BQ446" s="91"/>
      <c r="BR446" s="91"/>
      <c r="BS446" s="91"/>
      <c r="BT446" s="91"/>
      <c r="BU446" s="91"/>
      <c r="BV446" s="91"/>
      <c r="BW446" s="91"/>
      <c r="BX446" s="91"/>
      <c r="BY446" s="91"/>
      <c r="CA446" s="122"/>
      <c r="CB446" s="111"/>
      <c r="CC446" s="201"/>
      <c r="CD446" s="202"/>
      <c r="CE446" s="147"/>
      <c r="CF446" s="143"/>
      <c r="CG446" s="163"/>
      <c r="CH446" s="143"/>
      <c r="CI446" s="143"/>
      <c r="CJ446" s="143"/>
      <c r="CK446" s="163"/>
      <c r="CL446" s="143"/>
      <c r="CM446" s="147"/>
      <c r="CN446" s="147"/>
      <c r="CO446" s="147"/>
      <c r="CP446" s="147"/>
      <c r="CQ446" s="147"/>
      <c r="CR446" s="147"/>
    </row>
    <row r="447" spans="1:96" s="123" customFormat="1" ht="25.15" customHeight="1" outlineLevel="1" x14ac:dyDescent="0.25">
      <c r="A447" s="1" t="s">
        <v>202</v>
      </c>
      <c r="B447" s="80" t="s">
        <v>3304</v>
      </c>
      <c r="C447" s="80"/>
      <c r="D447" s="162"/>
      <c r="E447" s="80" t="s">
        <v>33</v>
      </c>
      <c r="F447" s="80" t="s">
        <v>34</v>
      </c>
      <c r="G447" s="80" t="s">
        <v>85</v>
      </c>
      <c r="H447" s="80" t="s">
        <v>29</v>
      </c>
      <c r="I447" s="80"/>
      <c r="J447" s="80"/>
      <c r="K447" s="80" t="s">
        <v>30</v>
      </c>
      <c r="L447" s="80"/>
      <c r="M447" s="80" t="s">
        <v>3475</v>
      </c>
      <c r="N447" s="83" t="s">
        <v>63</v>
      </c>
      <c r="O447" s="80">
        <v>3228</v>
      </c>
      <c r="P447" s="80">
        <v>1908</v>
      </c>
      <c r="Q447" s="80">
        <v>1950</v>
      </c>
      <c r="R447" s="80"/>
      <c r="S447" s="80">
        <v>2936</v>
      </c>
      <c r="T447" s="80">
        <v>2050</v>
      </c>
      <c r="U447" s="80">
        <v>5932</v>
      </c>
      <c r="V447" s="80">
        <v>895</v>
      </c>
      <c r="W447" s="80">
        <v>3450</v>
      </c>
      <c r="X447" s="80">
        <v>1425</v>
      </c>
      <c r="Y447" s="80"/>
      <c r="Z447" s="80">
        <v>5</v>
      </c>
      <c r="AA447" s="80" t="s">
        <v>1299</v>
      </c>
      <c r="AB447" s="80">
        <v>3500</v>
      </c>
      <c r="AC447" s="80">
        <v>790</v>
      </c>
      <c r="AD447" s="80"/>
      <c r="AE447" s="80"/>
      <c r="AF447" s="80"/>
      <c r="AG447" s="80"/>
      <c r="AH447" s="80">
        <v>12</v>
      </c>
      <c r="AI447" s="80" t="s">
        <v>3476</v>
      </c>
      <c r="AJ447" s="80" t="s">
        <v>4353</v>
      </c>
      <c r="AK447" s="80" t="s">
        <v>1275</v>
      </c>
      <c r="AL447" s="80" t="s">
        <v>4321</v>
      </c>
      <c r="AM447" s="90" t="s">
        <v>1301</v>
      </c>
      <c r="AN447" s="80" t="s">
        <v>4286</v>
      </c>
      <c r="AO447" s="90" t="s">
        <v>1302</v>
      </c>
      <c r="AP447" s="80" t="s">
        <v>4241</v>
      </c>
      <c r="AQ447" s="90" t="s">
        <v>3477</v>
      </c>
      <c r="AR447" s="80" t="s">
        <v>3457</v>
      </c>
      <c r="AS447" s="80"/>
      <c r="AT447" s="80"/>
      <c r="AU447" s="80" t="s">
        <v>1304</v>
      </c>
      <c r="AV447" s="80"/>
      <c r="AW447" s="80"/>
      <c r="AX447" s="80"/>
      <c r="AY447" s="80"/>
      <c r="AZ447" s="80"/>
      <c r="BA447" s="161"/>
      <c r="BB447" s="80"/>
      <c r="BC447" s="80"/>
      <c r="BD447" s="80"/>
      <c r="BE447" s="91"/>
      <c r="BF447" s="91"/>
      <c r="BG447" s="91"/>
      <c r="BH447" s="91"/>
      <c r="BI447" s="91"/>
      <c r="BJ447" s="91"/>
      <c r="BK447" s="91"/>
      <c r="BL447" s="91"/>
      <c r="BM447" s="91"/>
      <c r="BN447" s="91"/>
      <c r="BO447" s="91"/>
      <c r="BP447" s="91"/>
      <c r="BQ447" s="91"/>
      <c r="BR447" s="91"/>
      <c r="BS447" s="91"/>
      <c r="BT447" s="91"/>
      <c r="BU447" s="91"/>
      <c r="BV447" s="91"/>
      <c r="BW447" s="91"/>
      <c r="BX447" s="91"/>
      <c r="BY447" s="91"/>
      <c r="CA447" s="122"/>
      <c r="CB447" s="111"/>
      <c r="CC447" s="201"/>
      <c r="CD447" s="202"/>
      <c r="CE447" s="147"/>
      <c r="CF447" s="143"/>
      <c r="CG447" s="163"/>
      <c r="CH447" s="143"/>
      <c r="CI447" s="143"/>
      <c r="CJ447" s="143"/>
      <c r="CK447" s="163"/>
      <c r="CL447" s="143"/>
      <c r="CM447" s="147"/>
      <c r="CN447" s="147"/>
      <c r="CO447" s="147"/>
      <c r="CP447" s="147"/>
      <c r="CQ447" s="147"/>
      <c r="CR447" s="147"/>
    </row>
    <row r="448" spans="1:96" s="123" customFormat="1" ht="25.15" customHeight="1" outlineLevel="1" x14ac:dyDescent="0.25">
      <c r="A448" s="1" t="s">
        <v>202</v>
      </c>
      <c r="B448" s="80" t="s">
        <v>3304</v>
      </c>
      <c r="C448" s="80"/>
      <c r="D448" s="162"/>
      <c r="E448" s="80" t="s">
        <v>33</v>
      </c>
      <c r="F448" s="80" t="s">
        <v>34</v>
      </c>
      <c r="G448" s="80" t="s">
        <v>85</v>
      </c>
      <c r="H448" s="80" t="s">
        <v>12</v>
      </c>
      <c r="I448" s="80"/>
      <c r="J448" s="80"/>
      <c r="K448" s="80" t="s">
        <v>30</v>
      </c>
      <c r="L448" s="80"/>
      <c r="M448" s="80" t="s">
        <v>3475</v>
      </c>
      <c r="N448" s="83" t="s">
        <v>3442</v>
      </c>
      <c r="O448" s="80">
        <v>3528</v>
      </c>
      <c r="P448" s="80">
        <v>1908</v>
      </c>
      <c r="Q448" s="80">
        <v>2050</v>
      </c>
      <c r="R448" s="80"/>
      <c r="S448" s="80">
        <v>3036</v>
      </c>
      <c r="T448" s="80">
        <v>2050</v>
      </c>
      <c r="U448" s="80">
        <v>6223</v>
      </c>
      <c r="V448" s="80">
        <v>895</v>
      </c>
      <c r="W448" s="80">
        <v>3450</v>
      </c>
      <c r="X448" s="80">
        <v>1725</v>
      </c>
      <c r="Y448" s="80"/>
      <c r="Z448" s="80">
        <v>5</v>
      </c>
      <c r="AA448" s="80" t="s">
        <v>1310</v>
      </c>
      <c r="AB448" s="80">
        <v>3500</v>
      </c>
      <c r="AC448" s="80">
        <v>515</v>
      </c>
      <c r="AD448" s="80"/>
      <c r="AE448" s="80"/>
      <c r="AF448" s="80"/>
      <c r="AG448" s="80"/>
      <c r="AH448" s="80" t="s">
        <v>1291</v>
      </c>
      <c r="AI448" s="80" t="s">
        <v>3476</v>
      </c>
      <c r="AJ448" s="80" t="s">
        <v>4353</v>
      </c>
      <c r="AK448" s="80" t="s">
        <v>1275</v>
      </c>
      <c r="AL448" s="80" t="s">
        <v>4321</v>
      </c>
      <c r="AM448" s="90" t="s">
        <v>1301</v>
      </c>
      <c r="AN448" s="80" t="s">
        <v>4286</v>
      </c>
      <c r="AO448" s="90" t="s">
        <v>1311</v>
      </c>
      <c r="AP448" s="80" t="s">
        <v>4240</v>
      </c>
      <c r="AQ448" s="90" t="s">
        <v>1312</v>
      </c>
      <c r="AR448" s="80" t="s">
        <v>3307</v>
      </c>
      <c r="AS448" s="80"/>
      <c r="AT448" s="80"/>
      <c r="AU448" s="80" t="s">
        <v>1313</v>
      </c>
      <c r="AV448" s="80"/>
      <c r="AW448" s="80"/>
      <c r="AX448" s="80"/>
      <c r="AY448" s="80"/>
      <c r="AZ448" s="80"/>
      <c r="BA448" s="161"/>
      <c r="BB448" s="80"/>
      <c r="BC448" s="80"/>
      <c r="BD448" s="80"/>
      <c r="BE448" s="91"/>
      <c r="BF448" s="91"/>
      <c r="BG448" s="91"/>
      <c r="BH448" s="91"/>
      <c r="BI448" s="91"/>
      <c r="BJ448" s="91"/>
      <c r="BK448" s="91"/>
      <c r="BL448" s="91"/>
      <c r="BM448" s="91"/>
      <c r="BN448" s="91"/>
      <c r="BO448" s="91"/>
      <c r="BP448" s="91"/>
      <c r="BQ448" s="91"/>
      <c r="BR448" s="91"/>
      <c r="BS448" s="91"/>
      <c r="BT448" s="91"/>
      <c r="BU448" s="91"/>
      <c r="BV448" s="91"/>
      <c r="BW448" s="91"/>
      <c r="BX448" s="91"/>
      <c r="BY448" s="91"/>
      <c r="CA448" s="122"/>
      <c r="CB448" s="111"/>
      <c r="CC448" s="201"/>
      <c r="CD448" s="202"/>
      <c r="CE448" s="147"/>
      <c r="CF448" s="143"/>
      <c r="CG448" s="163"/>
      <c r="CH448" s="143"/>
      <c r="CI448" s="143"/>
      <c r="CJ448" s="143"/>
      <c r="CK448" s="163"/>
      <c r="CL448" s="143"/>
      <c r="CM448" s="147"/>
      <c r="CN448" s="147"/>
      <c r="CO448" s="147"/>
      <c r="CP448" s="147"/>
      <c r="CQ448" s="147"/>
      <c r="CR448" s="147"/>
    </row>
    <row r="449" spans="1:96" s="123" customFormat="1" ht="25.15" customHeight="1" outlineLevel="1" x14ac:dyDescent="0.25">
      <c r="A449" s="1" t="s">
        <v>202</v>
      </c>
      <c r="B449" s="80" t="s">
        <v>3304</v>
      </c>
      <c r="C449" s="80"/>
      <c r="D449" s="162"/>
      <c r="E449" s="80" t="s">
        <v>33</v>
      </c>
      <c r="F449" s="80" t="s">
        <v>34</v>
      </c>
      <c r="G449" s="80" t="s">
        <v>85</v>
      </c>
      <c r="H449" s="80" t="s">
        <v>29</v>
      </c>
      <c r="I449" s="80"/>
      <c r="J449" s="80"/>
      <c r="K449" s="80" t="s">
        <v>30</v>
      </c>
      <c r="L449" s="80"/>
      <c r="M449" s="80" t="s">
        <v>3481</v>
      </c>
      <c r="N449" s="83" t="s">
        <v>3442</v>
      </c>
      <c r="O449" s="80">
        <v>2824</v>
      </c>
      <c r="P449" s="80">
        <v>1904</v>
      </c>
      <c r="Q449" s="80">
        <v>1850</v>
      </c>
      <c r="R449" s="80"/>
      <c r="S449" s="80">
        <v>2940</v>
      </c>
      <c r="T449" s="80">
        <v>2050</v>
      </c>
      <c r="U449" s="80">
        <v>5443</v>
      </c>
      <c r="V449" s="80">
        <v>900</v>
      </c>
      <c r="W449" s="80">
        <v>3450</v>
      </c>
      <c r="X449" s="80">
        <v>1725</v>
      </c>
      <c r="Y449" s="80"/>
      <c r="Z449" s="80">
        <v>4</v>
      </c>
      <c r="AA449" s="80" t="s">
        <v>1290</v>
      </c>
      <c r="AB449" s="80">
        <v>3500</v>
      </c>
      <c r="AC449" s="80">
        <v>500</v>
      </c>
      <c r="AD449" s="80"/>
      <c r="AE449" s="80"/>
      <c r="AF449" s="80"/>
      <c r="AG449" s="80"/>
      <c r="AH449" s="80">
        <v>9.9</v>
      </c>
      <c r="AI449" s="80" t="s">
        <v>3454</v>
      </c>
      <c r="AJ449" s="80" t="s">
        <v>4352</v>
      </c>
      <c r="AK449" s="80" t="s">
        <v>1275</v>
      </c>
      <c r="AL449" s="80" t="s">
        <v>4321</v>
      </c>
      <c r="AM449" s="90" t="s">
        <v>1276</v>
      </c>
      <c r="AN449" s="80" t="s">
        <v>4285</v>
      </c>
      <c r="AO449" s="90" t="s">
        <v>3482</v>
      </c>
      <c r="AP449" s="80" t="s">
        <v>4242</v>
      </c>
      <c r="AQ449" s="90" t="s">
        <v>3483</v>
      </c>
      <c r="AR449" s="80" t="s">
        <v>3457</v>
      </c>
      <c r="AS449" s="80"/>
      <c r="AT449" s="80"/>
      <c r="AU449" s="80" t="s">
        <v>3484</v>
      </c>
      <c r="AV449" s="80"/>
      <c r="AW449" s="80"/>
      <c r="AX449" s="80"/>
      <c r="AY449" s="80"/>
      <c r="AZ449" s="80"/>
      <c r="BA449" s="161"/>
      <c r="BB449" s="80"/>
      <c r="BC449" s="80"/>
      <c r="BD449" s="80"/>
      <c r="BE449" s="91"/>
      <c r="BF449" s="91"/>
      <c r="BG449" s="91"/>
      <c r="BH449" s="91"/>
      <c r="BI449" s="91"/>
      <c r="BJ449" s="91"/>
      <c r="BK449" s="91"/>
      <c r="BL449" s="91"/>
      <c r="BM449" s="91"/>
      <c r="BN449" s="91"/>
      <c r="BO449" s="91"/>
      <c r="BP449" s="91"/>
      <c r="BQ449" s="91"/>
      <c r="BR449" s="91"/>
      <c r="BS449" s="91"/>
      <c r="BT449" s="91"/>
      <c r="BU449" s="91"/>
      <c r="BV449" s="91"/>
      <c r="BW449" s="91"/>
      <c r="BX449" s="91"/>
      <c r="BY449" s="91"/>
      <c r="CA449" s="122"/>
      <c r="CB449" s="111"/>
      <c r="CC449" s="201"/>
      <c r="CD449" s="202"/>
      <c r="CE449" s="147"/>
      <c r="CF449" s="143"/>
      <c r="CG449" s="163"/>
      <c r="CH449" s="143"/>
      <c r="CI449" s="143"/>
      <c r="CJ449" s="143"/>
      <c r="CK449" s="163"/>
      <c r="CL449" s="143"/>
      <c r="CM449" s="147"/>
      <c r="CN449" s="147"/>
      <c r="CO449" s="147"/>
      <c r="CP449" s="147"/>
      <c r="CQ449" s="147"/>
      <c r="CR449" s="147"/>
    </row>
    <row r="450" spans="1:96" s="123" customFormat="1" ht="25.15" customHeight="1" outlineLevel="1" x14ac:dyDescent="0.25">
      <c r="A450" s="1" t="s">
        <v>202</v>
      </c>
      <c r="B450" s="80" t="s">
        <v>3304</v>
      </c>
      <c r="C450" s="80"/>
      <c r="D450" s="162"/>
      <c r="E450" s="80" t="s">
        <v>33</v>
      </c>
      <c r="F450" s="80" t="s">
        <v>34</v>
      </c>
      <c r="G450" s="80" t="s">
        <v>85</v>
      </c>
      <c r="H450" s="80" t="s">
        <v>29</v>
      </c>
      <c r="I450" s="80"/>
      <c r="J450" s="80"/>
      <c r="K450" s="80" t="s">
        <v>30</v>
      </c>
      <c r="L450" s="80"/>
      <c r="M450" s="80" t="s">
        <v>3489</v>
      </c>
      <c r="N450" s="83" t="s">
        <v>63</v>
      </c>
      <c r="O450" s="80">
        <v>3224</v>
      </c>
      <c r="P450" s="80">
        <v>1904</v>
      </c>
      <c r="Q450" s="80">
        <v>1950</v>
      </c>
      <c r="R450" s="80"/>
      <c r="S450" s="80">
        <v>2950</v>
      </c>
      <c r="T450" s="80">
        <v>2050</v>
      </c>
      <c r="U450" s="80">
        <v>5932</v>
      </c>
      <c r="V450" s="80">
        <v>870</v>
      </c>
      <c r="W450" s="80">
        <v>3450</v>
      </c>
      <c r="X450" s="80">
        <v>1425</v>
      </c>
      <c r="Y450" s="80"/>
      <c r="Z450" s="80">
        <v>5</v>
      </c>
      <c r="AA450" s="80" t="s">
        <v>503</v>
      </c>
      <c r="AB450" s="80">
        <v>3500</v>
      </c>
      <c r="AC450" s="80">
        <v>875</v>
      </c>
      <c r="AD450" s="80"/>
      <c r="AE450" s="80"/>
      <c r="AF450" s="80"/>
      <c r="AG450" s="80"/>
      <c r="AH450" s="80">
        <v>12</v>
      </c>
      <c r="AI450" s="80" t="s">
        <v>3454</v>
      </c>
      <c r="AJ450" s="80" t="s">
        <v>4352</v>
      </c>
      <c r="AK450" s="80" t="s">
        <v>1322</v>
      </c>
      <c r="AL450" s="80" t="s">
        <v>4321</v>
      </c>
      <c r="AM450" s="90" t="s">
        <v>1323</v>
      </c>
      <c r="AN450" s="80" t="s">
        <v>4283</v>
      </c>
      <c r="AO450" s="90" t="s">
        <v>3490</v>
      </c>
      <c r="AP450" s="80" t="s">
        <v>4262</v>
      </c>
      <c r="AQ450" s="90" t="s">
        <v>1248</v>
      </c>
      <c r="AR450" s="80" t="s">
        <v>3307</v>
      </c>
      <c r="AS450" s="80"/>
      <c r="AT450" s="80"/>
      <c r="AU450" s="80" t="s">
        <v>3491</v>
      </c>
      <c r="AV450" s="80"/>
      <c r="AW450" s="80"/>
      <c r="AX450" s="80"/>
      <c r="AY450" s="80"/>
      <c r="AZ450" s="80"/>
      <c r="BA450" s="161"/>
      <c r="BB450" s="80"/>
      <c r="BC450" s="80"/>
      <c r="BD450" s="80"/>
      <c r="BE450" s="91"/>
      <c r="BF450" s="91"/>
      <c r="BG450" s="91"/>
      <c r="BH450" s="91"/>
      <c r="BI450" s="91"/>
      <c r="BJ450" s="91"/>
      <c r="BK450" s="91"/>
      <c r="BL450" s="91"/>
      <c r="BM450" s="91"/>
      <c r="BN450" s="91"/>
      <c r="BO450" s="91"/>
      <c r="BP450" s="91"/>
      <c r="BQ450" s="91"/>
      <c r="BR450" s="91"/>
      <c r="BS450" s="91"/>
      <c r="BT450" s="91"/>
      <c r="BU450" s="91"/>
      <c r="BV450" s="91"/>
      <c r="BW450" s="91"/>
      <c r="BX450" s="91"/>
      <c r="BY450" s="91"/>
      <c r="CA450" s="122"/>
      <c r="CB450" s="111"/>
      <c r="CC450" s="201"/>
      <c r="CD450" s="202"/>
      <c r="CE450" s="147"/>
      <c r="CF450" s="143"/>
      <c r="CG450" s="163"/>
      <c r="CH450" s="143"/>
      <c r="CI450" s="143"/>
      <c r="CJ450" s="143"/>
      <c r="CK450" s="163"/>
      <c r="CL450" s="143"/>
      <c r="CM450" s="147"/>
      <c r="CN450" s="147"/>
      <c r="CO450" s="147"/>
      <c r="CP450" s="147"/>
      <c r="CQ450" s="147"/>
      <c r="CR450" s="147"/>
    </row>
    <row r="451" spans="1:96" s="123" customFormat="1" ht="25.15" customHeight="1" outlineLevel="1" x14ac:dyDescent="0.25">
      <c r="A451" s="1" t="s">
        <v>202</v>
      </c>
      <c r="B451" s="80" t="s">
        <v>3304</v>
      </c>
      <c r="C451" s="80"/>
      <c r="D451" s="162"/>
      <c r="E451" s="80" t="s">
        <v>33</v>
      </c>
      <c r="F451" s="80" t="s">
        <v>34</v>
      </c>
      <c r="G451" s="80" t="s">
        <v>85</v>
      </c>
      <c r="H451" s="80" t="s">
        <v>29</v>
      </c>
      <c r="I451" s="80"/>
      <c r="J451" s="80"/>
      <c r="K451" s="80" t="s">
        <v>30</v>
      </c>
      <c r="L451" s="80"/>
      <c r="M451" s="80" t="s">
        <v>3495</v>
      </c>
      <c r="N451" s="83" t="s">
        <v>63</v>
      </c>
      <c r="O451" s="80">
        <v>3228</v>
      </c>
      <c r="P451" s="80">
        <v>1908</v>
      </c>
      <c r="Q451" s="80">
        <v>1950</v>
      </c>
      <c r="R451" s="80"/>
      <c r="S451" s="80">
        <v>2906</v>
      </c>
      <c r="T451" s="80">
        <v>2050</v>
      </c>
      <c r="U451" s="80">
        <v>5932</v>
      </c>
      <c r="V451" s="80">
        <v>865</v>
      </c>
      <c r="W451" s="80">
        <v>3450</v>
      </c>
      <c r="X451" s="80">
        <v>1425</v>
      </c>
      <c r="Y451" s="80"/>
      <c r="Z451" s="80">
        <v>5</v>
      </c>
      <c r="AA451" s="80" t="s">
        <v>1299</v>
      </c>
      <c r="AB451" s="80">
        <v>3500</v>
      </c>
      <c r="AC451" s="80">
        <v>980</v>
      </c>
      <c r="AD451" s="80"/>
      <c r="AE451" s="80"/>
      <c r="AF451" s="80"/>
      <c r="AG451" s="80"/>
      <c r="AH451" s="80">
        <v>12</v>
      </c>
      <c r="AI451" s="80" t="s">
        <v>3476</v>
      </c>
      <c r="AJ451" s="80" t="s">
        <v>4353</v>
      </c>
      <c r="AK451" s="80" t="s">
        <v>1322</v>
      </c>
      <c r="AL451" s="80" t="s">
        <v>4321</v>
      </c>
      <c r="AM451" s="90" t="s">
        <v>1332</v>
      </c>
      <c r="AN451" s="80" t="s">
        <v>4284</v>
      </c>
      <c r="AO451" s="90" t="s">
        <v>1302</v>
      </c>
      <c r="AP451" s="80" t="s">
        <v>4240</v>
      </c>
      <c r="AQ451" s="90" t="s">
        <v>3477</v>
      </c>
      <c r="AR451" s="80" t="s">
        <v>3307</v>
      </c>
      <c r="AS451" s="80"/>
      <c r="AT451" s="80"/>
      <c r="AU451" s="80" t="s">
        <v>1333</v>
      </c>
      <c r="AV451" s="80"/>
      <c r="AW451" s="80"/>
      <c r="AX451" s="80"/>
      <c r="AY451" s="80"/>
      <c r="AZ451" s="80"/>
      <c r="BA451" s="161"/>
      <c r="BB451" s="80"/>
      <c r="BC451" s="80"/>
      <c r="BD451" s="80"/>
      <c r="BE451" s="91"/>
      <c r="BF451" s="91"/>
      <c r="BG451" s="91"/>
      <c r="BH451" s="91"/>
      <c r="BI451" s="91"/>
      <c r="BJ451" s="91"/>
      <c r="BK451" s="91"/>
      <c r="BL451" s="91"/>
      <c r="BM451" s="91"/>
      <c r="BN451" s="91"/>
      <c r="BO451" s="91"/>
      <c r="BP451" s="91"/>
      <c r="BQ451" s="91"/>
      <c r="BR451" s="91"/>
      <c r="BS451" s="91"/>
      <c r="BT451" s="91"/>
      <c r="BU451" s="91"/>
      <c r="BV451" s="91"/>
      <c r="BW451" s="91"/>
      <c r="BX451" s="91"/>
      <c r="BY451" s="91"/>
      <c r="CA451" s="122"/>
      <c r="CB451" s="111"/>
      <c r="CC451" s="201"/>
      <c r="CD451" s="202"/>
      <c r="CE451" s="147"/>
      <c r="CF451" s="143"/>
      <c r="CG451" s="163"/>
      <c r="CH451" s="143"/>
      <c r="CI451" s="143"/>
      <c r="CJ451" s="143"/>
      <c r="CK451" s="163"/>
      <c r="CL451" s="143"/>
      <c r="CM451" s="147"/>
      <c r="CN451" s="147"/>
      <c r="CO451" s="147"/>
      <c r="CP451" s="147"/>
      <c r="CQ451" s="147"/>
      <c r="CR451" s="147"/>
    </row>
    <row r="452" spans="1:96" s="123" customFormat="1" ht="25.15" customHeight="1" outlineLevel="1" x14ac:dyDescent="0.25">
      <c r="A452" s="1" t="s">
        <v>202</v>
      </c>
      <c r="B452" s="80" t="s">
        <v>3304</v>
      </c>
      <c r="C452" s="80"/>
      <c r="D452" s="162"/>
      <c r="E452" s="80" t="s">
        <v>33</v>
      </c>
      <c r="F452" s="80" t="s">
        <v>1341</v>
      </c>
      <c r="G452" s="80" t="s">
        <v>85</v>
      </c>
      <c r="H452" s="80" t="s">
        <v>29</v>
      </c>
      <c r="I452" s="80"/>
      <c r="J452" s="80"/>
      <c r="K452" s="80" t="s">
        <v>30</v>
      </c>
      <c r="L452" s="80"/>
      <c r="M452" s="80" t="s">
        <v>3550</v>
      </c>
      <c r="N452" s="83" t="s">
        <v>63</v>
      </c>
      <c r="O452" s="80">
        <v>3228</v>
      </c>
      <c r="P452" s="80">
        <v>1908</v>
      </c>
      <c r="Q452" s="80">
        <v>1950</v>
      </c>
      <c r="R452" s="80"/>
      <c r="S452" s="80">
        <v>2916</v>
      </c>
      <c r="T452" s="80">
        <v>2050</v>
      </c>
      <c r="U452" s="80">
        <v>5923</v>
      </c>
      <c r="V452" s="80">
        <v>875</v>
      </c>
      <c r="W452" s="80">
        <v>3450</v>
      </c>
      <c r="X452" s="80">
        <v>1425</v>
      </c>
      <c r="Y452" s="80"/>
      <c r="Z452" s="80">
        <v>5</v>
      </c>
      <c r="AA452" s="80" t="s">
        <v>1352</v>
      </c>
      <c r="AB452" s="80">
        <v>3500</v>
      </c>
      <c r="AC452" s="80">
        <v>1196</v>
      </c>
      <c r="AD452" s="80"/>
      <c r="AE452" s="80"/>
      <c r="AF452" s="80"/>
      <c r="AG452" s="80"/>
      <c r="AH452" s="80">
        <v>12</v>
      </c>
      <c r="AI452" s="80" t="s">
        <v>3551</v>
      </c>
      <c r="AJ452" s="80" t="s">
        <v>4327</v>
      </c>
      <c r="AK452" s="80" t="s">
        <v>3546</v>
      </c>
      <c r="AL452" s="37" t="s">
        <v>2658</v>
      </c>
      <c r="AM452" s="90" t="s">
        <v>1368</v>
      </c>
      <c r="AN452" s="80" t="s">
        <v>4287</v>
      </c>
      <c r="AO452" s="90" t="s">
        <v>3547</v>
      </c>
      <c r="AP452" s="80" t="s">
        <v>4237</v>
      </c>
      <c r="AQ452" s="90" t="s">
        <v>1357</v>
      </c>
      <c r="AR452" s="80" t="s">
        <v>3307</v>
      </c>
      <c r="AS452" s="80"/>
      <c r="AT452" s="80"/>
      <c r="AU452" s="80" t="s">
        <v>1369</v>
      </c>
      <c r="AV452" s="80"/>
      <c r="AW452" s="80"/>
      <c r="AX452" s="80"/>
      <c r="AY452" s="80"/>
      <c r="AZ452" s="80"/>
      <c r="BA452" s="161"/>
      <c r="BB452" s="80"/>
      <c r="BC452" s="80"/>
      <c r="BD452" s="80"/>
      <c r="BE452" s="91"/>
      <c r="BF452" s="91"/>
      <c r="BG452" s="91"/>
      <c r="BH452" s="91"/>
      <c r="BI452" s="91"/>
      <c r="BJ452" s="91"/>
      <c r="BK452" s="91"/>
      <c r="BL452" s="91"/>
      <c r="BM452" s="91"/>
      <c r="BN452" s="91"/>
      <c r="BO452" s="91"/>
      <c r="BP452" s="91"/>
      <c r="BQ452" s="91"/>
      <c r="BR452" s="91"/>
      <c r="BS452" s="91"/>
      <c r="BT452" s="91"/>
      <c r="BU452" s="91"/>
      <c r="BV452" s="91"/>
      <c r="BW452" s="91"/>
      <c r="BX452" s="91"/>
      <c r="BY452" s="91"/>
      <c r="CA452" s="122"/>
      <c r="CB452" s="111"/>
      <c r="CC452" s="201"/>
      <c r="CD452" s="202"/>
      <c r="CE452" s="147"/>
      <c r="CF452" s="143"/>
      <c r="CG452" s="163"/>
      <c r="CH452" s="143"/>
      <c r="CI452" s="143"/>
      <c r="CJ452" s="143"/>
      <c r="CK452" s="163"/>
      <c r="CL452" s="143"/>
      <c r="CM452" s="147"/>
      <c r="CN452" s="147"/>
      <c r="CO452" s="147"/>
      <c r="CP452" s="147"/>
      <c r="CQ452" s="147"/>
      <c r="CR452" s="147"/>
    </row>
    <row r="453" spans="1:96" s="123" customFormat="1" ht="25.15" customHeight="1" outlineLevel="1" x14ac:dyDescent="0.25">
      <c r="A453" s="1" t="s">
        <v>202</v>
      </c>
      <c r="B453" s="80" t="s">
        <v>3304</v>
      </c>
      <c r="C453" s="80"/>
      <c r="D453" s="162"/>
      <c r="E453" s="80" t="s">
        <v>33</v>
      </c>
      <c r="F453" s="80" t="s">
        <v>1341</v>
      </c>
      <c r="G453" s="80" t="s">
        <v>85</v>
      </c>
      <c r="H453" s="80" t="s">
        <v>29</v>
      </c>
      <c r="I453" s="80" t="s">
        <v>7</v>
      </c>
      <c r="J453" s="80"/>
      <c r="K453" s="80" t="s">
        <v>30</v>
      </c>
      <c r="L453" s="80"/>
      <c r="M453" s="80" t="s">
        <v>3550</v>
      </c>
      <c r="N453" s="83" t="s">
        <v>1709</v>
      </c>
      <c r="O453" s="80">
        <v>3228</v>
      </c>
      <c r="P453" s="80">
        <v>1908</v>
      </c>
      <c r="Q453" s="80">
        <v>1950</v>
      </c>
      <c r="R453" s="80"/>
      <c r="S453" s="80">
        <v>2916</v>
      </c>
      <c r="T453" s="80">
        <v>2050</v>
      </c>
      <c r="U453" s="80">
        <v>6124</v>
      </c>
      <c r="V453" s="80">
        <v>875</v>
      </c>
      <c r="W453" s="80">
        <v>3450</v>
      </c>
      <c r="X453" s="80">
        <v>1617</v>
      </c>
      <c r="Y453" s="80"/>
      <c r="Z453" s="80">
        <v>5</v>
      </c>
      <c r="AA453" s="80" t="s">
        <v>1359</v>
      </c>
      <c r="AB453" s="80">
        <v>3500</v>
      </c>
      <c r="AC453" s="80">
        <v>976</v>
      </c>
      <c r="AD453" s="80"/>
      <c r="AE453" s="80"/>
      <c r="AF453" s="80"/>
      <c r="AG453" s="80"/>
      <c r="AH453" s="80">
        <v>12</v>
      </c>
      <c r="AI453" s="80" t="s">
        <v>3551</v>
      </c>
      <c r="AJ453" s="80" t="s">
        <v>4327</v>
      </c>
      <c r="AK453" s="80" t="s">
        <v>3546</v>
      </c>
      <c r="AL453" s="37" t="s">
        <v>2658</v>
      </c>
      <c r="AM453" s="90" t="s">
        <v>1368</v>
      </c>
      <c r="AN453" s="80" t="s">
        <v>4287</v>
      </c>
      <c r="AO453" s="90" t="s">
        <v>3548</v>
      </c>
      <c r="AP453" s="80" t="s">
        <v>4238</v>
      </c>
      <c r="AQ453" s="90" t="s">
        <v>1361</v>
      </c>
      <c r="AR453" s="80" t="s">
        <v>3307</v>
      </c>
      <c r="AS453" s="90" t="s">
        <v>3441</v>
      </c>
      <c r="AT453" s="37" t="s">
        <v>2577</v>
      </c>
      <c r="AU453" s="80" t="s">
        <v>1370</v>
      </c>
      <c r="AV453" s="80"/>
      <c r="AW453" s="80"/>
      <c r="AX453" s="80"/>
      <c r="AY453" s="80"/>
      <c r="AZ453" s="80"/>
      <c r="BA453" s="161"/>
      <c r="BB453" s="80"/>
      <c r="BC453" s="80"/>
      <c r="BD453" s="80"/>
      <c r="BE453" s="91"/>
      <c r="BF453" s="91"/>
      <c r="BG453" s="91"/>
      <c r="BH453" s="91"/>
      <c r="BI453" s="91"/>
      <c r="BJ453" s="91"/>
      <c r="BK453" s="91"/>
      <c r="BL453" s="91"/>
      <c r="BM453" s="91"/>
      <c r="BN453" s="91"/>
      <c r="BO453" s="91"/>
      <c r="BP453" s="91"/>
      <c r="BQ453" s="91"/>
      <c r="BR453" s="91"/>
      <c r="BS453" s="91"/>
      <c r="BT453" s="91"/>
      <c r="BU453" s="91"/>
      <c r="BV453" s="91"/>
      <c r="BW453" s="91"/>
      <c r="BX453" s="91"/>
      <c r="BY453" s="91"/>
      <c r="CA453" s="122"/>
      <c r="CB453" s="111"/>
      <c r="CC453" s="201"/>
      <c r="CD453" s="202"/>
      <c r="CE453" s="147"/>
      <c r="CF453" s="143"/>
      <c r="CG453" s="163"/>
      <c r="CH453" s="143"/>
      <c r="CI453" s="143"/>
      <c r="CJ453" s="143"/>
      <c r="CK453" s="163"/>
      <c r="CL453" s="143"/>
      <c r="CM453" s="147"/>
      <c r="CN453" s="147"/>
      <c r="CO453" s="147"/>
      <c r="CP453" s="147"/>
      <c r="CQ453" s="147"/>
      <c r="CR453" s="147"/>
    </row>
    <row r="454" spans="1:96" s="123" customFormat="1" ht="25.15" customHeight="1" outlineLevel="1" x14ac:dyDescent="0.25">
      <c r="A454" s="1" t="s">
        <v>202</v>
      </c>
      <c r="B454" s="80" t="s">
        <v>3304</v>
      </c>
      <c r="C454" s="80"/>
      <c r="D454" s="162"/>
      <c r="E454" s="80" t="s">
        <v>33</v>
      </c>
      <c r="F454" s="80" t="s">
        <v>1341</v>
      </c>
      <c r="G454" s="80" t="s">
        <v>85</v>
      </c>
      <c r="H454" s="80" t="s">
        <v>12</v>
      </c>
      <c r="I454" s="80"/>
      <c r="J454" s="80"/>
      <c r="K454" s="80" t="s">
        <v>30</v>
      </c>
      <c r="L454" s="80"/>
      <c r="M454" s="80" t="s">
        <v>3550</v>
      </c>
      <c r="N454" s="83" t="s">
        <v>3442</v>
      </c>
      <c r="O454" s="80">
        <v>3528</v>
      </c>
      <c r="P454" s="80">
        <v>1908</v>
      </c>
      <c r="Q454" s="80">
        <v>2050</v>
      </c>
      <c r="R454" s="80"/>
      <c r="S454" s="80">
        <v>3016</v>
      </c>
      <c r="T454" s="80">
        <v>2050</v>
      </c>
      <c r="U454" s="80">
        <v>6323</v>
      </c>
      <c r="V454" s="80">
        <v>875</v>
      </c>
      <c r="W454" s="80">
        <v>3450</v>
      </c>
      <c r="X454" s="80">
        <v>1724</v>
      </c>
      <c r="Y454" s="80"/>
      <c r="Z454" s="80">
        <v>5</v>
      </c>
      <c r="AA454" s="80" t="s">
        <v>1371</v>
      </c>
      <c r="AB454" s="80">
        <v>3500</v>
      </c>
      <c r="AC454" s="80">
        <v>1005</v>
      </c>
      <c r="AD454" s="80"/>
      <c r="AE454" s="80"/>
      <c r="AF454" s="80"/>
      <c r="AG454" s="80"/>
      <c r="AH454" s="80" t="s">
        <v>1291</v>
      </c>
      <c r="AI454" s="80" t="s">
        <v>3551</v>
      </c>
      <c r="AJ454" s="80" t="s">
        <v>4327</v>
      </c>
      <c r="AK454" s="80" t="s">
        <v>3552</v>
      </c>
      <c r="AL454" s="37" t="s">
        <v>2658</v>
      </c>
      <c r="AM454" s="90" t="s">
        <v>1368</v>
      </c>
      <c r="AN454" s="80" t="s">
        <v>4287</v>
      </c>
      <c r="AO454" s="90" t="s">
        <v>1311</v>
      </c>
      <c r="AP454" s="80" t="s">
        <v>4239</v>
      </c>
      <c r="AQ454" s="90" t="s">
        <v>3553</v>
      </c>
      <c r="AR454" s="80" t="s">
        <v>3457</v>
      </c>
      <c r="AS454" s="80"/>
      <c r="AT454" s="80"/>
      <c r="AU454" s="80" t="s">
        <v>1372</v>
      </c>
      <c r="AV454" s="80"/>
      <c r="AW454" s="80"/>
      <c r="AX454" s="80"/>
      <c r="AY454" s="80"/>
      <c r="AZ454" s="80"/>
      <c r="BA454" s="161"/>
      <c r="BB454" s="80"/>
      <c r="BC454" s="80"/>
      <c r="BD454" s="80"/>
      <c r="BE454" s="91"/>
      <c r="BF454" s="91"/>
      <c r="BG454" s="91"/>
      <c r="BH454" s="91"/>
      <c r="BI454" s="91"/>
      <c r="BJ454" s="91"/>
      <c r="BK454" s="91"/>
      <c r="BL454" s="91"/>
      <c r="BM454" s="91"/>
      <c r="BN454" s="91"/>
      <c r="BO454" s="91"/>
      <c r="BP454" s="91"/>
      <c r="BQ454" s="91"/>
      <c r="BR454" s="91"/>
      <c r="BS454" s="91"/>
      <c r="BT454" s="91"/>
      <c r="BU454" s="91"/>
      <c r="BV454" s="91"/>
      <c r="BW454" s="91"/>
      <c r="BX454" s="91"/>
      <c r="BY454" s="91"/>
      <c r="CA454" s="122"/>
      <c r="CB454" s="111"/>
      <c r="CC454" s="201"/>
      <c r="CD454" s="202"/>
      <c r="CE454" s="147"/>
      <c r="CF454" s="143"/>
      <c r="CG454" s="163"/>
      <c r="CH454" s="143"/>
      <c r="CI454" s="143"/>
      <c r="CJ454" s="143"/>
      <c r="CK454" s="163"/>
      <c r="CL454" s="143"/>
      <c r="CM454" s="147"/>
      <c r="CN454" s="147"/>
      <c r="CO454" s="147"/>
      <c r="CP454" s="147"/>
      <c r="CQ454" s="147"/>
      <c r="CR454" s="147"/>
    </row>
    <row r="455" spans="1:96" s="123" customFormat="1" ht="25.15" customHeight="1" outlineLevel="1" x14ac:dyDescent="0.25">
      <c r="A455" s="1" t="s">
        <v>202</v>
      </c>
      <c r="B455" s="80" t="s">
        <v>3304</v>
      </c>
      <c r="C455" s="80"/>
      <c r="D455" s="162"/>
      <c r="E455" s="80" t="s">
        <v>33</v>
      </c>
      <c r="F455" s="80" t="s">
        <v>37</v>
      </c>
      <c r="G455" s="80" t="s">
        <v>38</v>
      </c>
      <c r="H455" s="80" t="s">
        <v>29</v>
      </c>
      <c r="I455" s="80" t="s">
        <v>7</v>
      </c>
      <c r="J455" s="80"/>
      <c r="K455" s="80" t="s">
        <v>30</v>
      </c>
      <c r="L455" s="80"/>
      <c r="M455" s="80" t="s">
        <v>3554</v>
      </c>
      <c r="N455" s="83" t="s">
        <v>63</v>
      </c>
      <c r="O455" s="80">
        <v>5992</v>
      </c>
      <c r="P455" s="80">
        <v>2250</v>
      </c>
      <c r="Q455" s="80">
        <v>2300</v>
      </c>
      <c r="R455" s="80"/>
      <c r="S455" s="80">
        <v>3547</v>
      </c>
      <c r="T455" s="80">
        <v>2400</v>
      </c>
      <c r="U455" s="80">
        <v>8122</v>
      </c>
      <c r="V455" s="80">
        <v>1130</v>
      </c>
      <c r="W455" s="80">
        <v>4185</v>
      </c>
      <c r="X455" s="80">
        <v>2662</v>
      </c>
      <c r="Y455" s="80"/>
      <c r="Z455" s="80">
        <v>11</v>
      </c>
      <c r="AA455" s="80" t="s">
        <v>312</v>
      </c>
      <c r="AB455" s="80">
        <v>10000</v>
      </c>
      <c r="AC455" s="80">
        <v>3300</v>
      </c>
      <c r="AD455" s="80"/>
      <c r="AE455" s="80"/>
      <c r="AF455" s="80"/>
      <c r="AG455" s="80"/>
      <c r="AH455" s="80" t="s">
        <v>160</v>
      </c>
      <c r="AI455" s="80" t="s">
        <v>3555</v>
      </c>
      <c r="AJ455" s="80" t="s">
        <v>4346</v>
      </c>
      <c r="AK455" s="80" t="s">
        <v>3556</v>
      </c>
      <c r="AL455" s="80" t="s">
        <v>4322</v>
      </c>
      <c r="AM455" s="90" t="s">
        <v>3557</v>
      </c>
      <c r="AN455" s="37" t="s">
        <v>2902</v>
      </c>
      <c r="AO455" s="90" t="s">
        <v>39</v>
      </c>
      <c r="AP455" s="80" t="s">
        <v>4265</v>
      </c>
      <c r="AQ455" s="90" t="s">
        <v>1405</v>
      </c>
      <c r="AR455" s="80" t="s">
        <v>4195</v>
      </c>
      <c r="AS455" s="90" t="s">
        <v>3558</v>
      </c>
      <c r="AT455" s="37" t="s">
        <v>2577</v>
      </c>
      <c r="AU455" s="80" t="s">
        <v>65</v>
      </c>
      <c r="AV455" s="80"/>
      <c r="AW455" s="80"/>
      <c r="AX455" s="80"/>
      <c r="AY455" s="80"/>
      <c r="AZ455" s="80"/>
      <c r="BA455" s="161"/>
      <c r="BB455" s="80"/>
      <c r="BC455" s="80"/>
      <c r="BD455" s="80"/>
      <c r="BE455" s="91"/>
      <c r="BF455" s="91"/>
      <c r="BG455" s="91"/>
      <c r="BH455" s="91"/>
      <c r="BI455" s="91"/>
      <c r="BJ455" s="91"/>
      <c r="BK455" s="91"/>
      <c r="BL455" s="91"/>
      <c r="BM455" s="91"/>
      <c r="BN455" s="91"/>
      <c r="BO455" s="91"/>
      <c r="BP455" s="91"/>
      <c r="BQ455" s="91"/>
      <c r="BR455" s="91"/>
      <c r="BS455" s="91"/>
      <c r="BT455" s="91"/>
      <c r="BU455" s="91"/>
      <c r="BV455" s="91"/>
      <c r="BW455" s="91"/>
      <c r="BX455" s="91"/>
      <c r="BY455" s="91"/>
      <c r="CA455" s="122"/>
      <c r="CB455" s="111"/>
      <c r="CC455" s="201"/>
      <c r="CD455" s="202"/>
      <c r="CE455" s="147"/>
      <c r="CF455" s="143"/>
      <c r="CG455" s="163"/>
      <c r="CH455" s="143"/>
      <c r="CI455" s="143"/>
      <c r="CJ455" s="143"/>
      <c r="CK455" s="163"/>
      <c r="CL455" s="143"/>
      <c r="CM455" s="147"/>
      <c r="CN455" s="147"/>
      <c r="CO455" s="147"/>
      <c r="CP455" s="147"/>
      <c r="CQ455" s="147"/>
      <c r="CR455" s="147"/>
    </row>
    <row r="456" spans="1:96" s="123" customFormat="1" ht="25.15" customHeight="1" outlineLevel="1" x14ac:dyDescent="0.25">
      <c r="A456" s="1" t="s">
        <v>202</v>
      </c>
      <c r="B456" s="80" t="s">
        <v>3304</v>
      </c>
      <c r="C456" s="80"/>
      <c r="D456" s="162"/>
      <c r="E456" s="80" t="s">
        <v>33</v>
      </c>
      <c r="F456" s="80" t="s">
        <v>37</v>
      </c>
      <c r="G456" s="80" t="s">
        <v>38</v>
      </c>
      <c r="H456" s="80" t="s">
        <v>29</v>
      </c>
      <c r="I456" s="80"/>
      <c r="J456" s="80"/>
      <c r="K456" s="80" t="s">
        <v>30</v>
      </c>
      <c r="L456" s="80"/>
      <c r="M456" s="80" t="s">
        <v>3559</v>
      </c>
      <c r="N456" s="83" t="s">
        <v>63</v>
      </c>
      <c r="O456" s="80">
        <v>5992</v>
      </c>
      <c r="P456" s="80">
        <v>2250</v>
      </c>
      <c r="Q456" s="80">
        <v>2300</v>
      </c>
      <c r="R456" s="80"/>
      <c r="S456" s="80">
        <v>3547</v>
      </c>
      <c r="T456" s="80">
        <v>2400</v>
      </c>
      <c r="U456" s="80">
        <v>8122</v>
      </c>
      <c r="V456" s="80">
        <v>1130</v>
      </c>
      <c r="W456" s="80">
        <v>4185</v>
      </c>
      <c r="X456" s="80">
        <v>2662</v>
      </c>
      <c r="Y456" s="80"/>
      <c r="Z456" s="80">
        <v>11</v>
      </c>
      <c r="AA456" s="80" t="s">
        <v>3560</v>
      </c>
      <c r="AB456" s="80">
        <v>10000</v>
      </c>
      <c r="AC456" s="80">
        <v>3730</v>
      </c>
      <c r="AD456" s="80"/>
      <c r="AE456" s="80"/>
      <c r="AF456" s="80"/>
      <c r="AG456" s="80"/>
      <c r="AH456" s="80" t="s">
        <v>160</v>
      </c>
      <c r="AI456" s="80" t="s">
        <v>3555</v>
      </c>
      <c r="AJ456" s="80" t="s">
        <v>4346</v>
      </c>
      <c r="AK456" s="80" t="s">
        <v>3556</v>
      </c>
      <c r="AL456" s="80" t="s">
        <v>4322</v>
      </c>
      <c r="AM456" s="90" t="s">
        <v>3557</v>
      </c>
      <c r="AN456" s="37" t="s">
        <v>2902</v>
      </c>
      <c r="AO456" s="90" t="s">
        <v>39</v>
      </c>
      <c r="AP456" s="80" t="s">
        <v>4265</v>
      </c>
      <c r="AQ456" s="90" t="s">
        <v>1405</v>
      </c>
      <c r="AR456" s="80" t="s">
        <v>4195</v>
      </c>
      <c r="AS456" s="80"/>
      <c r="AT456" s="80"/>
      <c r="AU456" s="80" t="s">
        <v>3561</v>
      </c>
      <c r="AV456" s="80"/>
      <c r="AW456" s="80"/>
      <c r="AX456" s="80"/>
      <c r="AY456" s="80"/>
      <c r="AZ456" s="80"/>
      <c r="BA456" s="161"/>
      <c r="BB456" s="80"/>
      <c r="BC456" s="80"/>
      <c r="BD456" s="80"/>
      <c r="BE456" s="91"/>
      <c r="BF456" s="91"/>
      <c r="BG456" s="91"/>
      <c r="BH456" s="91"/>
      <c r="BI456" s="91"/>
      <c r="BJ456" s="91"/>
      <c r="BK456" s="91"/>
      <c r="BL456" s="91"/>
      <c r="BM456" s="91"/>
      <c r="BN456" s="91"/>
      <c r="BO456" s="91"/>
      <c r="BP456" s="91"/>
      <c r="BQ456" s="91"/>
      <c r="BR456" s="91"/>
      <c r="BS456" s="91"/>
      <c r="BT456" s="91"/>
      <c r="BU456" s="91"/>
      <c r="BV456" s="91"/>
      <c r="BW456" s="91"/>
      <c r="BX456" s="91"/>
      <c r="BY456" s="91"/>
      <c r="CA456" s="122"/>
      <c r="CB456" s="111"/>
      <c r="CC456" s="201"/>
      <c r="CD456" s="202"/>
      <c r="CE456" s="147"/>
      <c r="CF456" s="143"/>
      <c r="CG456" s="163"/>
      <c r="CH456" s="143"/>
      <c r="CI456" s="143"/>
      <c r="CJ456" s="143"/>
      <c r="CK456" s="163"/>
      <c r="CL456" s="143"/>
      <c r="CM456" s="147"/>
      <c r="CN456" s="147"/>
      <c r="CO456" s="147"/>
      <c r="CP456" s="147"/>
      <c r="CQ456" s="147"/>
      <c r="CR456" s="147"/>
    </row>
    <row r="457" spans="1:96" s="123" customFormat="1" ht="25.15" customHeight="1" outlineLevel="1" x14ac:dyDescent="0.25">
      <c r="A457" s="1" t="s">
        <v>202</v>
      </c>
      <c r="B457" s="80" t="s">
        <v>3304</v>
      </c>
      <c r="C457" s="80"/>
      <c r="D457" s="162"/>
      <c r="E457" s="80" t="s">
        <v>33</v>
      </c>
      <c r="F457" s="80" t="s">
        <v>37</v>
      </c>
      <c r="G457" s="80" t="s">
        <v>4360</v>
      </c>
      <c r="H457" s="80" t="s">
        <v>29</v>
      </c>
      <c r="I457" s="80" t="s">
        <v>7</v>
      </c>
      <c r="J457" s="80"/>
      <c r="K457" s="80" t="s">
        <v>30</v>
      </c>
      <c r="L457" s="80"/>
      <c r="M457" s="80" t="s">
        <v>3666</v>
      </c>
      <c r="N457" s="83" t="s">
        <v>63</v>
      </c>
      <c r="O457" s="80">
        <v>6592</v>
      </c>
      <c r="P457" s="80">
        <v>2454</v>
      </c>
      <c r="Q457" s="80">
        <v>2400</v>
      </c>
      <c r="R457" s="80"/>
      <c r="S457" s="80">
        <v>3670</v>
      </c>
      <c r="T457" s="80">
        <v>2600</v>
      </c>
      <c r="U457" s="80">
        <v>8832</v>
      </c>
      <c r="V457" s="80">
        <v>1160</v>
      </c>
      <c r="W457" s="80">
        <v>4815</v>
      </c>
      <c r="X457" s="80">
        <v>2655</v>
      </c>
      <c r="Y457" s="80"/>
      <c r="Z457" s="80">
        <v>15</v>
      </c>
      <c r="AA457" s="80" t="s">
        <v>312</v>
      </c>
      <c r="AB457" s="80">
        <v>11990</v>
      </c>
      <c r="AC457" s="80">
        <v>4044</v>
      </c>
      <c r="AD457" s="80"/>
      <c r="AE457" s="80"/>
      <c r="AF457" s="80"/>
      <c r="AG457" s="80"/>
      <c r="AH457" s="80" t="s">
        <v>161</v>
      </c>
      <c r="AI457" s="80" t="s">
        <v>3555</v>
      </c>
      <c r="AJ457" s="80" t="s">
        <v>4346</v>
      </c>
      <c r="AK457" s="80" t="s">
        <v>3562</v>
      </c>
      <c r="AL457" s="80" t="s">
        <v>4322</v>
      </c>
      <c r="AM457" s="90" t="s">
        <v>1420</v>
      </c>
      <c r="AN457" s="37" t="s">
        <v>2902</v>
      </c>
      <c r="AO457" s="90" t="s">
        <v>150</v>
      </c>
      <c r="AP457" s="80" t="s">
        <v>4266</v>
      </c>
      <c r="AQ457" s="90" t="s">
        <v>1422</v>
      </c>
      <c r="AR457" s="80" t="s">
        <v>4195</v>
      </c>
      <c r="AS457" s="90" t="s">
        <v>3563</v>
      </c>
      <c r="AT457" s="37" t="s">
        <v>2577</v>
      </c>
      <c r="AU457" s="80" t="s">
        <v>67</v>
      </c>
      <c r="AV457" s="80"/>
      <c r="AW457" s="80"/>
      <c r="AX457" s="80"/>
      <c r="AY457" s="80"/>
      <c r="AZ457" s="80"/>
      <c r="BA457" s="161"/>
      <c r="BB457" s="80"/>
      <c r="BC457" s="80"/>
      <c r="BD457" s="80"/>
      <c r="BE457" s="91"/>
      <c r="BF457" s="91"/>
      <c r="BG457" s="91"/>
      <c r="BH457" s="91"/>
      <c r="BI457" s="91"/>
      <c r="BJ457" s="91"/>
      <c r="BK457" s="91"/>
      <c r="BL457" s="91"/>
      <c r="BM457" s="91"/>
      <c r="BN457" s="91"/>
      <c r="BO457" s="91"/>
      <c r="BP457" s="91"/>
      <c r="BQ457" s="91"/>
      <c r="BR457" s="91"/>
      <c r="BS457" s="91"/>
      <c r="BT457" s="91"/>
      <c r="BU457" s="91"/>
      <c r="BV457" s="91"/>
      <c r="BW457" s="91"/>
      <c r="BX457" s="91"/>
      <c r="BY457" s="91"/>
      <c r="CA457" s="122"/>
      <c r="CB457" s="111"/>
      <c r="CC457" s="201"/>
      <c r="CD457" s="202"/>
      <c r="CE457" s="147"/>
      <c r="CF457" s="143"/>
      <c r="CG457" s="163"/>
      <c r="CH457" s="143"/>
      <c r="CI457" s="143"/>
      <c r="CJ457" s="143"/>
      <c r="CK457" s="163"/>
      <c r="CL457" s="143"/>
      <c r="CM457" s="147"/>
      <c r="CN457" s="147"/>
      <c r="CO457" s="147"/>
      <c r="CP457" s="147"/>
      <c r="CQ457" s="147"/>
      <c r="CR457" s="147"/>
    </row>
    <row r="458" spans="1:96" s="123" customFormat="1" ht="25.15" customHeight="1" outlineLevel="1" x14ac:dyDescent="0.25">
      <c r="A458" s="1" t="s">
        <v>202</v>
      </c>
      <c r="B458" s="80" t="s">
        <v>3304</v>
      </c>
      <c r="C458" s="80"/>
      <c r="D458" s="162"/>
      <c r="E458" s="80" t="s">
        <v>33</v>
      </c>
      <c r="F458" s="80" t="s">
        <v>37</v>
      </c>
      <c r="G458" s="80" t="s">
        <v>455</v>
      </c>
      <c r="H458" s="80" t="s">
        <v>29</v>
      </c>
      <c r="I458" s="80" t="s">
        <v>7</v>
      </c>
      <c r="J458" s="80"/>
      <c r="K458" s="80" t="s">
        <v>30</v>
      </c>
      <c r="L458" s="80"/>
      <c r="M458" s="80" t="s">
        <v>3565</v>
      </c>
      <c r="N458" s="83" t="s">
        <v>64</v>
      </c>
      <c r="O458" s="80">
        <v>4490</v>
      </c>
      <c r="P458" s="80">
        <v>2250</v>
      </c>
      <c r="Q458" s="80">
        <v>2200</v>
      </c>
      <c r="R458" s="80"/>
      <c r="S458" s="80">
        <v>3373</v>
      </c>
      <c r="T458" s="80">
        <v>2400</v>
      </c>
      <c r="U458" s="80">
        <v>6737</v>
      </c>
      <c r="V458" s="80">
        <v>1062</v>
      </c>
      <c r="W458" s="80">
        <v>3330</v>
      </c>
      <c r="X458" s="80">
        <v>2135</v>
      </c>
      <c r="Y458" s="80"/>
      <c r="Z458" s="80">
        <v>8</v>
      </c>
      <c r="AA458" s="80" t="s">
        <v>312</v>
      </c>
      <c r="AB458" s="80">
        <v>7490</v>
      </c>
      <c r="AC458" s="80">
        <v>1730</v>
      </c>
      <c r="AD458" s="80"/>
      <c r="AE458" s="80"/>
      <c r="AF458" s="80"/>
      <c r="AG458" s="80"/>
      <c r="AH458" s="80" t="s">
        <v>3564</v>
      </c>
      <c r="AI458" s="80" t="s">
        <v>3555</v>
      </c>
      <c r="AJ458" s="80" t="s">
        <v>4346</v>
      </c>
      <c r="AK458" s="80" t="s">
        <v>3566</v>
      </c>
      <c r="AL458" s="80" t="s">
        <v>4322</v>
      </c>
      <c r="AM458" s="90" t="s">
        <v>3567</v>
      </c>
      <c r="AN458" s="37" t="s">
        <v>2902</v>
      </c>
      <c r="AO458" s="90" t="s">
        <v>3568</v>
      </c>
      <c r="AP458" s="80" t="s">
        <v>4264</v>
      </c>
      <c r="AQ458" s="90" t="s">
        <v>3569</v>
      </c>
      <c r="AR458" s="80" t="s">
        <v>4195</v>
      </c>
      <c r="AS458" s="90" t="s">
        <v>3570</v>
      </c>
      <c r="AT458" s="37" t="s">
        <v>2577</v>
      </c>
      <c r="AU458" s="80" t="s">
        <v>3571</v>
      </c>
      <c r="AV458" s="80"/>
      <c r="AW458" s="80"/>
      <c r="AX458" s="80"/>
      <c r="AY458" s="80"/>
      <c r="AZ458" s="80"/>
      <c r="BA458" s="161"/>
      <c r="BB458" s="80"/>
      <c r="BC458" s="80"/>
      <c r="BD458" s="80"/>
      <c r="BE458" s="91"/>
      <c r="BF458" s="91"/>
      <c r="BG458" s="91"/>
      <c r="BH458" s="91"/>
      <c r="BI458" s="91"/>
      <c r="BJ458" s="91"/>
      <c r="BK458" s="91"/>
      <c r="BL458" s="91"/>
      <c r="BM458" s="91"/>
      <c r="BN458" s="91"/>
      <c r="BO458" s="91"/>
      <c r="BP458" s="91"/>
      <c r="BQ458" s="91"/>
      <c r="BR458" s="91"/>
      <c r="BS458" s="91"/>
      <c r="BT458" s="91"/>
      <c r="BU458" s="91"/>
      <c r="BV458" s="91"/>
      <c r="BW458" s="91"/>
      <c r="BX458" s="91"/>
      <c r="BY458" s="91"/>
      <c r="CA458" s="122"/>
      <c r="CB458" s="111"/>
      <c r="CC458" s="201"/>
      <c r="CD458" s="202"/>
      <c r="CE458" s="147"/>
      <c r="CF458" s="143"/>
      <c r="CG458" s="163"/>
      <c r="CH458" s="143"/>
      <c r="CI458" s="143"/>
      <c r="CJ458" s="143"/>
      <c r="CK458" s="163"/>
      <c r="CL458" s="143"/>
      <c r="CM458" s="147"/>
      <c r="CN458" s="147"/>
      <c r="CO458" s="147"/>
      <c r="CP458" s="147"/>
      <c r="CQ458" s="147"/>
      <c r="CR458" s="147"/>
    </row>
    <row r="459" spans="1:96" s="123" customFormat="1" ht="25.15" customHeight="1" outlineLevel="1" x14ac:dyDescent="0.25">
      <c r="A459" s="1" t="s">
        <v>202</v>
      </c>
      <c r="B459" s="80" t="s">
        <v>3304</v>
      </c>
      <c r="C459" s="80"/>
      <c r="D459" s="162"/>
      <c r="E459" s="80" t="s">
        <v>1140</v>
      </c>
      <c r="F459" s="80" t="s">
        <v>1140</v>
      </c>
      <c r="G459" s="80" t="s">
        <v>1141</v>
      </c>
      <c r="H459" s="80" t="s">
        <v>29</v>
      </c>
      <c r="I459" s="80"/>
      <c r="J459" s="80"/>
      <c r="K459" s="80" t="s">
        <v>30</v>
      </c>
      <c r="L459" s="80"/>
      <c r="M459" s="80" t="s">
        <v>3573</v>
      </c>
      <c r="N459" s="83" t="s">
        <v>63</v>
      </c>
      <c r="O459" s="80">
        <v>1224</v>
      </c>
      <c r="P459" s="80">
        <v>824</v>
      </c>
      <c r="Q459" s="80">
        <v>890</v>
      </c>
      <c r="R459" s="80"/>
      <c r="S459" s="80">
        <v>1604</v>
      </c>
      <c r="T459" s="80">
        <v>998</v>
      </c>
      <c r="U459" s="80">
        <v>2617</v>
      </c>
      <c r="V459" s="80">
        <v>630</v>
      </c>
      <c r="W459" s="80"/>
      <c r="X459" s="80"/>
      <c r="Y459" s="80"/>
      <c r="Z459" s="80"/>
      <c r="AA459" s="80" t="s">
        <v>1143</v>
      </c>
      <c r="AB459" s="80">
        <v>425</v>
      </c>
      <c r="AC459" s="80">
        <v>120</v>
      </c>
      <c r="AD459" s="80"/>
      <c r="AE459" s="80"/>
      <c r="AF459" s="80"/>
      <c r="AG459" s="80"/>
      <c r="AH459" s="80">
        <v>0.9</v>
      </c>
      <c r="AI459" s="80"/>
      <c r="AJ459" s="80"/>
      <c r="AK459" s="80" t="s">
        <v>1145</v>
      </c>
      <c r="AL459" s="37" t="s">
        <v>2658</v>
      </c>
      <c r="AM459" s="90" t="s">
        <v>1146</v>
      </c>
      <c r="AN459" s="37" t="s">
        <v>2902</v>
      </c>
      <c r="AO459" s="90" t="s">
        <v>1147</v>
      </c>
      <c r="AP459" s="37" t="s">
        <v>2960</v>
      </c>
      <c r="AQ459" s="90" t="s">
        <v>1148</v>
      </c>
      <c r="AR459" s="37" t="s">
        <v>2761</v>
      </c>
      <c r="AS459" s="80"/>
      <c r="AT459" s="80"/>
      <c r="AU459" s="80" t="s">
        <v>1149</v>
      </c>
      <c r="AV459" s="80"/>
      <c r="AW459" s="80"/>
      <c r="AX459" s="80"/>
      <c r="AY459" s="80"/>
      <c r="AZ459" s="80"/>
      <c r="BA459" s="161"/>
      <c r="BB459" s="80"/>
      <c r="BC459" s="80"/>
      <c r="BD459" s="80"/>
      <c r="BE459" s="91"/>
      <c r="BF459" s="91"/>
      <c r="BG459" s="91"/>
      <c r="BH459" s="91"/>
      <c r="BI459" s="91"/>
      <c r="BJ459" s="91"/>
      <c r="BK459" s="91"/>
      <c r="BL459" s="91"/>
      <c r="BM459" s="91"/>
      <c r="BN459" s="91"/>
      <c r="BO459" s="91"/>
      <c r="BP459" s="91"/>
      <c r="BQ459" s="91"/>
      <c r="BR459" s="91"/>
      <c r="BS459" s="91"/>
      <c r="BT459" s="91"/>
      <c r="BU459" s="91"/>
      <c r="BV459" s="91"/>
      <c r="BW459" s="91"/>
      <c r="BX459" s="91"/>
      <c r="BY459" s="91"/>
      <c r="CA459" s="122"/>
      <c r="CB459" s="111"/>
      <c r="CC459" s="201"/>
      <c r="CD459" s="202"/>
      <c r="CE459" s="147"/>
      <c r="CF459" s="143"/>
      <c r="CG459" s="163"/>
      <c r="CH459" s="143"/>
      <c r="CI459" s="143"/>
      <c r="CJ459" s="143"/>
      <c r="CK459" s="163"/>
      <c r="CL459" s="143"/>
      <c r="CM459" s="147"/>
      <c r="CN459" s="147"/>
      <c r="CO459" s="147"/>
      <c r="CP459" s="147"/>
      <c r="CQ459" s="147"/>
      <c r="CR459" s="147"/>
    </row>
    <row r="460" spans="1:96" s="123" customFormat="1" ht="25.15" customHeight="1" outlineLevel="1" x14ac:dyDescent="0.25">
      <c r="A460" s="1" t="s">
        <v>202</v>
      </c>
      <c r="B460" s="80" t="s">
        <v>3304</v>
      </c>
      <c r="C460" s="80"/>
      <c r="D460" s="162"/>
      <c r="E460" s="80" t="s">
        <v>3574</v>
      </c>
      <c r="F460" s="80" t="s">
        <v>3575</v>
      </c>
      <c r="G460" s="80" t="s">
        <v>1152</v>
      </c>
      <c r="H460" s="80" t="s">
        <v>29</v>
      </c>
      <c r="I460" s="80"/>
      <c r="J460" s="80"/>
      <c r="K460" s="80" t="s">
        <v>30</v>
      </c>
      <c r="L460" s="80"/>
      <c r="M460" s="80" t="s">
        <v>3584</v>
      </c>
      <c r="N460" s="83" t="s">
        <v>63</v>
      </c>
      <c r="O460" s="80">
        <v>1225</v>
      </c>
      <c r="P460" s="80">
        <v>1224</v>
      </c>
      <c r="Q460" s="80">
        <v>790</v>
      </c>
      <c r="R460" s="80"/>
      <c r="S460" s="80">
        <v>1986</v>
      </c>
      <c r="T460" s="80">
        <v>1398</v>
      </c>
      <c r="U460" s="80">
        <v>3359</v>
      </c>
      <c r="V460" s="80">
        <v>900</v>
      </c>
      <c r="W460" s="80">
        <v>2400</v>
      </c>
      <c r="X460" s="80">
        <v>519</v>
      </c>
      <c r="Y460" s="80"/>
      <c r="Z460" s="80"/>
      <c r="AA460" s="80" t="s">
        <v>3577</v>
      </c>
      <c r="AB460" s="80">
        <v>1160</v>
      </c>
      <c r="AC460" s="80">
        <v>295</v>
      </c>
      <c r="AD460" s="80"/>
      <c r="AE460" s="80"/>
      <c r="AF460" s="80"/>
      <c r="AG460" s="80"/>
      <c r="AH460" s="80">
        <v>1.2</v>
      </c>
      <c r="AI460" s="80" t="s">
        <v>3585</v>
      </c>
      <c r="AJ460" s="80" t="s">
        <v>4324</v>
      </c>
      <c r="AK460" s="80" t="s">
        <v>3579</v>
      </c>
      <c r="AL460" s="37" t="s">
        <v>2658</v>
      </c>
      <c r="AM460" s="90" t="s">
        <v>3580</v>
      </c>
      <c r="AN460" s="80" t="s">
        <v>4270</v>
      </c>
      <c r="AO460" s="90" t="s">
        <v>3581</v>
      </c>
      <c r="AP460" s="80" t="s">
        <v>4205</v>
      </c>
      <c r="AQ460" s="90" t="s">
        <v>3582</v>
      </c>
      <c r="AR460" s="80" t="s">
        <v>4194</v>
      </c>
      <c r="AS460" s="80"/>
      <c r="AT460" s="80"/>
      <c r="AU460" s="80" t="s">
        <v>3583</v>
      </c>
      <c r="AV460" s="80"/>
      <c r="AW460" s="80"/>
      <c r="AX460" s="80"/>
      <c r="AY460" s="80"/>
      <c r="AZ460" s="80"/>
      <c r="BA460" s="161"/>
      <c r="BB460" s="80"/>
      <c r="BC460" s="80"/>
      <c r="BD460" s="80"/>
      <c r="BE460" s="91"/>
      <c r="BF460" s="91"/>
      <c r="BG460" s="91"/>
      <c r="BH460" s="91"/>
      <c r="BI460" s="91"/>
      <c r="BJ460" s="91"/>
      <c r="BK460" s="91"/>
      <c r="BL460" s="91"/>
      <c r="BM460" s="91"/>
      <c r="BN460" s="91"/>
      <c r="BO460" s="91"/>
      <c r="BP460" s="91"/>
      <c r="BQ460" s="91"/>
      <c r="BR460" s="91"/>
      <c r="BS460" s="91"/>
      <c r="BT460" s="91"/>
      <c r="BU460" s="91"/>
      <c r="BV460" s="91"/>
      <c r="BW460" s="91"/>
      <c r="BX460" s="91"/>
      <c r="BY460" s="91"/>
      <c r="CA460" s="122"/>
      <c r="CB460" s="111"/>
      <c r="CC460" s="201"/>
      <c r="CD460" s="202"/>
      <c r="CE460" s="147"/>
      <c r="CF460" s="143"/>
      <c r="CG460" s="163"/>
      <c r="CH460" s="143"/>
      <c r="CI460" s="143"/>
      <c r="CJ460" s="143"/>
      <c r="CK460" s="163"/>
      <c r="CL460" s="143"/>
      <c r="CM460" s="147"/>
      <c r="CN460" s="147"/>
      <c r="CO460" s="147"/>
      <c r="CP460" s="147"/>
      <c r="CQ460" s="147"/>
      <c r="CR460" s="147"/>
    </row>
    <row r="461" spans="1:96" s="123" customFormat="1" ht="25.15" customHeight="1" outlineLevel="1" x14ac:dyDescent="0.25">
      <c r="A461" s="1" t="s">
        <v>202</v>
      </c>
      <c r="B461" s="80" t="s">
        <v>3304</v>
      </c>
      <c r="C461" s="80"/>
      <c r="D461" s="162"/>
      <c r="E461" s="80" t="s">
        <v>1468</v>
      </c>
      <c r="F461" s="80" t="s">
        <v>1532</v>
      </c>
      <c r="G461" s="80" t="s">
        <v>450</v>
      </c>
      <c r="H461" s="80" t="s">
        <v>29</v>
      </c>
      <c r="I461" s="80"/>
      <c r="J461" s="80"/>
      <c r="K461" s="80" t="s">
        <v>30</v>
      </c>
      <c r="L461" s="80"/>
      <c r="M461" s="80" t="s">
        <v>3625</v>
      </c>
      <c r="N461" s="83" t="s">
        <v>63</v>
      </c>
      <c r="O461" s="80">
        <v>2924</v>
      </c>
      <c r="P461" s="80">
        <v>1956</v>
      </c>
      <c r="Q461" s="80">
        <v>1950</v>
      </c>
      <c r="R461" s="80"/>
      <c r="S461" s="80">
        <v>2730</v>
      </c>
      <c r="T461" s="80">
        <v>2100</v>
      </c>
      <c r="U461" s="80">
        <v>5863</v>
      </c>
      <c r="V461" s="80">
        <v>690</v>
      </c>
      <c r="W461" s="80">
        <v>3682</v>
      </c>
      <c r="X461" s="80">
        <v>1312</v>
      </c>
      <c r="Y461" s="80"/>
      <c r="Z461" s="80"/>
      <c r="AA461" s="80" t="s">
        <v>1534</v>
      </c>
      <c r="AB461" s="80">
        <v>3500</v>
      </c>
      <c r="AC461" s="80">
        <v>780</v>
      </c>
      <c r="AD461" s="80"/>
      <c r="AE461" s="80"/>
      <c r="AF461" s="80"/>
      <c r="AG461" s="80"/>
      <c r="AH461" s="80">
        <v>10.9</v>
      </c>
      <c r="AI461" s="80" t="s">
        <v>3626</v>
      </c>
      <c r="AJ461" s="80" t="s">
        <v>4351</v>
      </c>
      <c r="AK461" s="80" t="s">
        <v>3621</v>
      </c>
      <c r="AL461" s="37" t="s">
        <v>2658</v>
      </c>
      <c r="AM461" s="90" t="s">
        <v>3622</v>
      </c>
      <c r="AN461" s="80" t="s">
        <v>4282</v>
      </c>
      <c r="AO461" s="90" t="s">
        <v>3627</v>
      </c>
      <c r="AP461" s="80" t="s">
        <v>4260</v>
      </c>
      <c r="AQ461" s="90" t="s">
        <v>3617</v>
      </c>
      <c r="AR461" s="80" t="s">
        <v>3307</v>
      </c>
      <c r="AS461" s="80"/>
      <c r="AT461" s="80"/>
      <c r="AU461" s="80" t="s">
        <v>3618</v>
      </c>
      <c r="AV461" s="80"/>
      <c r="AW461" s="80"/>
      <c r="AX461" s="80"/>
      <c r="AY461" s="80"/>
      <c r="AZ461" s="80"/>
      <c r="BA461" s="161"/>
      <c r="BB461" s="80"/>
      <c r="BC461" s="80"/>
      <c r="BD461" s="80"/>
      <c r="BE461" s="91"/>
      <c r="BF461" s="91"/>
      <c r="BG461" s="91"/>
      <c r="BH461" s="91"/>
      <c r="BI461" s="91"/>
      <c r="BJ461" s="91"/>
      <c r="BK461" s="91"/>
      <c r="BL461" s="91"/>
      <c r="BM461" s="91"/>
      <c r="BN461" s="91"/>
      <c r="BO461" s="91"/>
      <c r="BP461" s="91"/>
      <c r="BQ461" s="91"/>
      <c r="BR461" s="91"/>
      <c r="BS461" s="91"/>
      <c r="BT461" s="91"/>
      <c r="BU461" s="91"/>
      <c r="BV461" s="91"/>
      <c r="BW461" s="91"/>
      <c r="BX461" s="91"/>
      <c r="BY461" s="91"/>
      <c r="CA461" s="122"/>
      <c r="CB461" s="111"/>
      <c r="CC461" s="201"/>
      <c r="CD461" s="202"/>
      <c r="CE461" s="147"/>
      <c r="CF461" s="143"/>
      <c r="CG461" s="163"/>
      <c r="CH461" s="143"/>
      <c r="CI461" s="143"/>
      <c r="CJ461" s="143"/>
      <c r="CK461" s="163"/>
      <c r="CL461" s="143"/>
      <c r="CM461" s="147"/>
      <c r="CN461" s="147"/>
      <c r="CO461" s="147"/>
      <c r="CP461" s="147"/>
      <c r="CQ461" s="147"/>
      <c r="CR461" s="147"/>
    </row>
    <row r="462" spans="1:96" s="123" customFormat="1" ht="25.15" customHeight="1" outlineLevel="1" x14ac:dyDescent="0.25">
      <c r="A462" s="1" t="s">
        <v>202</v>
      </c>
      <c r="B462" s="80" t="s">
        <v>3304</v>
      </c>
      <c r="C462" s="80"/>
      <c r="D462" s="162"/>
      <c r="E462" s="80" t="s">
        <v>1468</v>
      </c>
      <c r="F462" s="80" t="s">
        <v>1532</v>
      </c>
      <c r="G462" s="80" t="s">
        <v>450</v>
      </c>
      <c r="H462" s="80" t="s">
        <v>29</v>
      </c>
      <c r="I462" s="80"/>
      <c r="J462" s="80"/>
      <c r="K462" s="80" t="s">
        <v>30</v>
      </c>
      <c r="L462" s="80"/>
      <c r="M462" s="80" t="s">
        <v>3625</v>
      </c>
      <c r="N462" s="83" t="s">
        <v>3442</v>
      </c>
      <c r="O462" s="80">
        <v>2924</v>
      </c>
      <c r="P462" s="80">
        <v>1956</v>
      </c>
      <c r="Q462" s="80">
        <v>1950</v>
      </c>
      <c r="R462" s="80"/>
      <c r="S462" s="80">
        <v>2730</v>
      </c>
      <c r="T462" s="80">
        <v>2100</v>
      </c>
      <c r="U462" s="80">
        <v>5863</v>
      </c>
      <c r="V462" s="80">
        <v>690</v>
      </c>
      <c r="W462" s="80">
        <v>3682</v>
      </c>
      <c r="X462" s="80">
        <v>1312</v>
      </c>
      <c r="Y462" s="80"/>
      <c r="Z462" s="80"/>
      <c r="AA462" s="80" t="s">
        <v>1541</v>
      </c>
      <c r="AB462" s="80">
        <v>3500</v>
      </c>
      <c r="AC462" s="80">
        <v>690</v>
      </c>
      <c r="AD462" s="80"/>
      <c r="AE462" s="80"/>
      <c r="AF462" s="80"/>
      <c r="AG462" s="80"/>
      <c r="AH462" s="80">
        <v>10.9</v>
      </c>
      <c r="AI462" s="80" t="s">
        <v>3626</v>
      </c>
      <c r="AJ462" s="80" t="s">
        <v>4351</v>
      </c>
      <c r="AK462" s="80" t="s">
        <v>3621</v>
      </c>
      <c r="AL462" s="37" t="s">
        <v>2658</v>
      </c>
      <c r="AM462" s="90" t="s">
        <v>3622</v>
      </c>
      <c r="AN462" s="80" t="s">
        <v>4282</v>
      </c>
      <c r="AO462" s="90" t="s">
        <v>3628</v>
      </c>
      <c r="AP462" s="80" t="s">
        <v>4261</v>
      </c>
      <c r="AQ462" s="90" t="s">
        <v>3629</v>
      </c>
      <c r="AR462" s="80" t="s">
        <v>3457</v>
      </c>
      <c r="AS462" s="80"/>
      <c r="AT462" s="80"/>
      <c r="AU462" s="80" t="s">
        <v>3630</v>
      </c>
      <c r="AV462" s="80"/>
      <c r="AW462" s="80"/>
      <c r="AX462" s="80"/>
      <c r="AY462" s="80"/>
      <c r="AZ462" s="80"/>
      <c r="BA462" s="161"/>
      <c r="BB462" s="80"/>
      <c r="BC462" s="80"/>
      <c r="BD462" s="80"/>
      <c r="BE462" s="91"/>
      <c r="BF462" s="91"/>
      <c r="BG462" s="91"/>
      <c r="BH462" s="91"/>
      <c r="BI462" s="91"/>
      <c r="BJ462" s="91"/>
      <c r="BK462" s="91"/>
      <c r="BL462" s="91"/>
      <c r="BM462" s="91"/>
      <c r="BN462" s="91"/>
      <c r="BO462" s="91"/>
      <c r="BP462" s="91"/>
      <c r="BQ462" s="91"/>
      <c r="BR462" s="91"/>
      <c r="BS462" s="91"/>
      <c r="BT462" s="91"/>
      <c r="BU462" s="91"/>
      <c r="BV462" s="91"/>
      <c r="BW462" s="91"/>
      <c r="BX462" s="91"/>
      <c r="BY462" s="91"/>
      <c r="CA462" s="122"/>
      <c r="CB462" s="111"/>
      <c r="CC462" s="201"/>
      <c r="CD462" s="202"/>
      <c r="CE462" s="147"/>
      <c r="CF462" s="143"/>
      <c r="CG462" s="163"/>
      <c r="CH462" s="143"/>
      <c r="CI462" s="143"/>
      <c r="CJ462" s="143"/>
      <c r="CK462" s="163"/>
      <c r="CL462" s="143"/>
      <c r="CM462" s="147"/>
      <c r="CN462" s="147"/>
      <c r="CO462" s="147"/>
      <c r="CP462" s="147"/>
      <c r="CQ462" s="147"/>
      <c r="CR462" s="147"/>
    </row>
    <row r="463" spans="1:96" s="123" customFormat="1" ht="25.15" customHeight="1" outlineLevel="1" x14ac:dyDescent="0.25">
      <c r="A463" s="1" t="s">
        <v>202</v>
      </c>
      <c r="B463" s="80" t="s">
        <v>3304</v>
      </c>
      <c r="C463" s="80"/>
      <c r="D463" s="162"/>
      <c r="E463" s="80" t="s">
        <v>1468</v>
      </c>
      <c r="F463" s="80" t="s">
        <v>1506</v>
      </c>
      <c r="G463" s="80" t="s">
        <v>1199</v>
      </c>
      <c r="H463" s="80" t="s">
        <v>29</v>
      </c>
      <c r="I463" s="80"/>
      <c r="J463" s="80"/>
      <c r="K463" s="80" t="s">
        <v>30</v>
      </c>
      <c r="L463" s="80"/>
      <c r="M463" s="80" t="s">
        <v>3650</v>
      </c>
      <c r="N463" s="83" t="s">
        <v>63</v>
      </c>
      <c r="O463" s="80">
        <v>2630</v>
      </c>
      <c r="P463" s="80">
        <v>1904</v>
      </c>
      <c r="Q463" s="80">
        <v>1600</v>
      </c>
      <c r="R463" s="80"/>
      <c r="S463" s="80">
        <v>2359</v>
      </c>
      <c r="T463" s="80">
        <v>2050</v>
      </c>
      <c r="U463" s="80">
        <v>5629</v>
      </c>
      <c r="V463" s="80">
        <v>670</v>
      </c>
      <c r="W463" s="80">
        <v>3498</v>
      </c>
      <c r="X463" s="80">
        <v>1198</v>
      </c>
      <c r="Y463" s="80"/>
      <c r="Z463" s="80"/>
      <c r="AA463" s="80" t="s">
        <v>1518</v>
      </c>
      <c r="AB463" s="80">
        <v>2960</v>
      </c>
      <c r="AC463" s="80">
        <v>815</v>
      </c>
      <c r="AD463" s="80"/>
      <c r="AE463" s="80"/>
      <c r="AF463" s="80"/>
      <c r="AG463" s="80"/>
      <c r="AH463" s="80" t="s">
        <v>1519</v>
      </c>
      <c r="AI463" s="80" t="s">
        <v>3651</v>
      </c>
      <c r="AJ463" s="80" t="s">
        <v>4350</v>
      </c>
      <c r="AK463" s="80" t="s">
        <v>1521</v>
      </c>
      <c r="AL463" s="80" t="s">
        <v>4317</v>
      </c>
      <c r="AM463" s="90" t="s">
        <v>3636</v>
      </c>
      <c r="AN463" s="80" t="s">
        <v>4281</v>
      </c>
      <c r="AO463" s="90" t="s">
        <v>1523</v>
      </c>
      <c r="AP463" s="80" t="s">
        <v>4257</v>
      </c>
      <c r="AQ463" s="90" t="s">
        <v>3401</v>
      </c>
      <c r="AR463" s="80" t="s">
        <v>3307</v>
      </c>
      <c r="AS463" s="80"/>
      <c r="AT463" s="80"/>
      <c r="AU463" s="80" t="s">
        <v>3644</v>
      </c>
      <c r="AV463" s="80"/>
      <c r="AW463" s="80"/>
      <c r="AX463" s="80"/>
      <c r="AY463" s="80"/>
      <c r="AZ463" s="80"/>
      <c r="BA463" s="161"/>
      <c r="BB463" s="80"/>
      <c r="BC463" s="80"/>
      <c r="BD463" s="80"/>
      <c r="BE463" s="91"/>
      <c r="BF463" s="91"/>
      <c r="BG463" s="91"/>
      <c r="BH463" s="91"/>
      <c r="BI463" s="91"/>
      <c r="BJ463" s="91"/>
      <c r="BK463" s="91"/>
      <c r="BL463" s="91"/>
      <c r="BM463" s="91"/>
      <c r="BN463" s="91"/>
      <c r="BO463" s="91"/>
      <c r="BP463" s="91"/>
      <c r="BQ463" s="91"/>
      <c r="BR463" s="91"/>
      <c r="BS463" s="91"/>
      <c r="BT463" s="91"/>
      <c r="BU463" s="91"/>
      <c r="BV463" s="91"/>
      <c r="BW463" s="91"/>
      <c r="BX463" s="91"/>
      <c r="BY463" s="91"/>
      <c r="CA463" s="122"/>
      <c r="CB463" s="111"/>
      <c r="CC463" s="201"/>
      <c r="CD463" s="202"/>
      <c r="CE463" s="147"/>
      <c r="CF463" s="143"/>
      <c r="CG463" s="163"/>
      <c r="CH463" s="143"/>
      <c r="CI463" s="143"/>
      <c r="CJ463" s="143"/>
      <c r="CK463" s="163"/>
      <c r="CL463" s="143"/>
      <c r="CM463" s="147"/>
      <c r="CN463" s="147"/>
      <c r="CO463" s="147"/>
      <c r="CP463" s="147"/>
      <c r="CQ463" s="147"/>
      <c r="CR463" s="147"/>
    </row>
    <row r="464" spans="1:96" s="123" customFormat="1" ht="25.15" customHeight="1" outlineLevel="1" x14ac:dyDescent="0.25">
      <c r="A464" s="1" t="s">
        <v>202</v>
      </c>
      <c r="B464" s="80" t="s">
        <v>3304</v>
      </c>
      <c r="C464" s="80"/>
      <c r="D464" s="162"/>
      <c r="E464" s="80" t="s">
        <v>1468</v>
      </c>
      <c r="F464" s="80" t="s">
        <v>1506</v>
      </c>
      <c r="G464" s="80" t="s">
        <v>1199</v>
      </c>
      <c r="H464" s="80" t="s">
        <v>29</v>
      </c>
      <c r="I464" s="80"/>
      <c r="J464" s="80"/>
      <c r="K464" s="80" t="s">
        <v>3410</v>
      </c>
      <c r="L464" s="80"/>
      <c r="M464" s="80" t="s">
        <v>3658</v>
      </c>
      <c r="N464" s="83" t="s">
        <v>63</v>
      </c>
      <c r="O464" s="80">
        <v>2200</v>
      </c>
      <c r="P464" s="80">
        <v>1429</v>
      </c>
      <c r="Q464" s="80">
        <v>1225</v>
      </c>
      <c r="R464" s="80">
        <v>1164</v>
      </c>
      <c r="S464" s="80">
        <v>2020</v>
      </c>
      <c r="T464" s="80">
        <v>1956</v>
      </c>
      <c r="U464" s="80">
        <v>4999</v>
      </c>
      <c r="V464" s="80">
        <v>621</v>
      </c>
      <c r="W464" s="80">
        <v>3098</v>
      </c>
      <c r="X464" s="80">
        <v>968</v>
      </c>
      <c r="Y464" s="80"/>
      <c r="Z464" s="80"/>
      <c r="AA464" s="80" t="s">
        <v>1508</v>
      </c>
      <c r="AB464" s="80">
        <v>2940</v>
      </c>
      <c r="AC464" s="80">
        <v>820</v>
      </c>
      <c r="AD464" s="80"/>
      <c r="AE464" s="80"/>
      <c r="AF464" s="80"/>
      <c r="AG464" s="80"/>
      <c r="AH464" s="80">
        <v>3.5999999999999996</v>
      </c>
      <c r="AI464" s="80" t="s">
        <v>3659</v>
      </c>
      <c r="AJ464" s="80" t="s">
        <v>4349</v>
      </c>
      <c r="AK464" s="80" t="s">
        <v>1510</v>
      </c>
      <c r="AL464" s="80" t="s">
        <v>4316</v>
      </c>
      <c r="AM464" s="90" t="s">
        <v>3653</v>
      </c>
      <c r="AN464" s="80" t="s">
        <v>4280</v>
      </c>
      <c r="AO464" s="90" t="s">
        <v>3654</v>
      </c>
      <c r="AP464" s="80" t="s">
        <v>4258</v>
      </c>
      <c r="AQ464" s="90" t="s">
        <v>3655</v>
      </c>
      <c r="AR464" s="80" t="s">
        <v>3307</v>
      </c>
      <c r="AS464" s="80"/>
      <c r="AT464" s="80"/>
      <c r="AU464" s="80" t="s">
        <v>3660</v>
      </c>
      <c r="AV464" s="80"/>
      <c r="AW464" s="80"/>
      <c r="AX464" s="80"/>
      <c r="AY464" s="80"/>
      <c r="AZ464" s="80"/>
      <c r="BA464" s="161"/>
      <c r="BB464" s="80"/>
      <c r="BC464" s="80"/>
      <c r="BD464" s="80"/>
      <c r="BE464" s="91"/>
      <c r="BF464" s="91"/>
      <c r="BG464" s="91"/>
      <c r="BH464" s="91"/>
      <c r="BI464" s="91"/>
      <c r="BJ464" s="91"/>
      <c r="BK464" s="91"/>
      <c r="BL464" s="91"/>
      <c r="BM464" s="91"/>
      <c r="BN464" s="91"/>
      <c r="BO464" s="91"/>
      <c r="BP464" s="91"/>
      <c r="BQ464" s="91"/>
      <c r="BR464" s="91"/>
      <c r="BS464" s="91"/>
      <c r="BT464" s="91"/>
      <c r="BU464" s="91"/>
      <c r="BV464" s="91"/>
      <c r="BW464" s="91"/>
      <c r="BX464" s="91"/>
      <c r="BY464" s="91"/>
      <c r="CA464" s="122"/>
      <c r="CB464" s="111"/>
      <c r="CC464" s="201"/>
      <c r="CD464" s="202"/>
      <c r="CE464" s="147"/>
      <c r="CF464" s="143"/>
      <c r="CG464" s="163"/>
      <c r="CH464" s="143"/>
      <c r="CI464" s="143"/>
      <c r="CJ464" s="143"/>
      <c r="CK464" s="163"/>
      <c r="CL464" s="143"/>
      <c r="CM464" s="147"/>
      <c r="CN464" s="147"/>
      <c r="CO464" s="147"/>
      <c r="CP464" s="147"/>
      <c r="CQ464" s="147"/>
      <c r="CR464" s="147"/>
    </row>
    <row r="465" spans="1:96" s="123" customFormat="1" ht="25.15" customHeight="1" outlineLevel="1" x14ac:dyDescent="0.25">
      <c r="A465" s="1" t="s">
        <v>202</v>
      </c>
      <c r="B465" s="80" t="s">
        <v>3661</v>
      </c>
      <c r="C465" s="80"/>
      <c r="D465" s="162"/>
      <c r="E465" s="80" t="s">
        <v>1468</v>
      </c>
      <c r="F465" s="80" t="s">
        <v>1506</v>
      </c>
      <c r="G465" s="80" t="s">
        <v>1199</v>
      </c>
      <c r="H465" s="80" t="s">
        <v>29</v>
      </c>
      <c r="I465" s="80"/>
      <c r="J465" s="80"/>
      <c r="K465" s="80" t="s">
        <v>3410</v>
      </c>
      <c r="L465" s="80"/>
      <c r="M465" s="80" t="s">
        <v>3658</v>
      </c>
      <c r="N465" s="83" t="s">
        <v>64</v>
      </c>
      <c r="O465" s="80">
        <v>2600</v>
      </c>
      <c r="P465" s="80">
        <v>1429</v>
      </c>
      <c r="Q465" s="80">
        <v>1225</v>
      </c>
      <c r="R465" s="80">
        <v>1164</v>
      </c>
      <c r="S465" s="80">
        <v>2020</v>
      </c>
      <c r="T465" s="80">
        <v>1956</v>
      </c>
      <c r="U465" s="80">
        <v>5399</v>
      </c>
      <c r="V465" s="80">
        <v>621</v>
      </c>
      <c r="W465" s="80">
        <v>3498</v>
      </c>
      <c r="X465" s="80">
        <v>968</v>
      </c>
      <c r="Y465" s="80"/>
      <c r="Z465" s="80"/>
      <c r="AA465" s="80" t="s">
        <v>1515</v>
      </c>
      <c r="AB465" s="80">
        <v>3050</v>
      </c>
      <c r="AC465" s="80">
        <v>865</v>
      </c>
      <c r="AD465" s="80"/>
      <c r="AE465" s="80"/>
      <c r="AF465" s="80"/>
      <c r="AG465" s="80"/>
      <c r="AH465" s="80">
        <v>4.3</v>
      </c>
      <c r="AI465" s="80" t="s">
        <v>3659</v>
      </c>
      <c r="AJ465" s="80" t="s">
        <v>4349</v>
      </c>
      <c r="AK465" s="80" t="s">
        <v>1510</v>
      </c>
      <c r="AL465" s="80" t="s">
        <v>4316</v>
      </c>
      <c r="AM465" s="90" t="s">
        <v>3653</v>
      </c>
      <c r="AN465" s="80" t="s">
        <v>4280</v>
      </c>
      <c r="AO465" s="90" t="s">
        <v>3654</v>
      </c>
      <c r="AP465" s="80" t="s">
        <v>4259</v>
      </c>
      <c r="AQ465" s="90" t="s">
        <v>3655</v>
      </c>
      <c r="AR465" s="80" t="s">
        <v>3307</v>
      </c>
      <c r="AS465" s="80"/>
      <c r="AT465" s="80"/>
      <c r="AU465" s="80" t="s">
        <v>3656</v>
      </c>
      <c r="AV465" s="80"/>
      <c r="AW465" s="80"/>
      <c r="AX465" s="80"/>
      <c r="AY465" s="80"/>
      <c r="AZ465" s="80"/>
      <c r="BA465" s="161"/>
      <c r="BB465" s="80"/>
      <c r="BC465" s="80"/>
      <c r="BD465" s="80"/>
      <c r="BE465" s="91"/>
      <c r="BF465" s="91"/>
      <c r="BG465" s="91"/>
      <c r="BH465" s="91"/>
      <c r="BI465" s="91"/>
      <c r="BJ465" s="91"/>
      <c r="BK465" s="91"/>
      <c r="BL465" s="91"/>
      <c r="BM465" s="91"/>
      <c r="BN465" s="91"/>
      <c r="BO465" s="91"/>
      <c r="BP465" s="91"/>
      <c r="BQ465" s="91"/>
      <c r="BR465" s="91"/>
      <c r="BS465" s="91"/>
      <c r="BT465" s="91"/>
      <c r="BU465" s="91"/>
      <c r="BV465" s="91"/>
      <c r="BW465" s="91"/>
      <c r="BX465" s="91"/>
      <c r="BY465" s="91"/>
      <c r="CA465" s="122"/>
      <c r="CB465" s="111"/>
      <c r="CC465" s="201"/>
      <c r="CD465" s="202"/>
      <c r="CE465" s="147"/>
      <c r="CF465" s="143"/>
      <c r="CG465" s="163"/>
      <c r="CH465" s="143"/>
      <c r="CI465" s="143"/>
      <c r="CJ465" s="143"/>
      <c r="CK465" s="163"/>
      <c r="CL465" s="143"/>
      <c r="CM465" s="147"/>
      <c r="CN465" s="147"/>
      <c r="CO465" s="147"/>
      <c r="CP465" s="147"/>
      <c r="CQ465" s="147"/>
      <c r="CR465" s="147"/>
    </row>
    <row r="466" spans="1:96" s="123" customFormat="1" ht="25.15" customHeight="1" outlineLevel="1" x14ac:dyDescent="0.25">
      <c r="A466" s="1" t="s">
        <v>202</v>
      </c>
      <c r="B466" s="80" t="s">
        <v>3304</v>
      </c>
      <c r="C466" s="80"/>
      <c r="D466" s="162"/>
      <c r="E466" s="80" t="s">
        <v>1468</v>
      </c>
      <c r="F466" s="80" t="s">
        <v>1506</v>
      </c>
      <c r="G466" s="80" t="s">
        <v>1199</v>
      </c>
      <c r="H466" s="80" t="s">
        <v>3312</v>
      </c>
      <c r="I466" s="80"/>
      <c r="J466" s="80"/>
      <c r="K466" s="80" t="s">
        <v>3410</v>
      </c>
      <c r="L466" s="80"/>
      <c r="M466" s="80" t="s">
        <v>3662</v>
      </c>
      <c r="N466" s="83" t="s">
        <v>63</v>
      </c>
      <c r="O466" s="80">
        <v>2200</v>
      </c>
      <c r="P466" s="80">
        <v>1429</v>
      </c>
      <c r="Q466" s="80">
        <v>1225</v>
      </c>
      <c r="R466" s="80">
        <v>1164</v>
      </c>
      <c r="S466" s="80">
        <v>1971</v>
      </c>
      <c r="T466" s="80">
        <v>1956</v>
      </c>
      <c r="U466" s="80">
        <v>4999</v>
      </c>
      <c r="V466" s="80">
        <v>621</v>
      </c>
      <c r="W466" s="80">
        <v>3098</v>
      </c>
      <c r="X466" s="80">
        <v>968</v>
      </c>
      <c r="Y466" s="80"/>
      <c r="Z466" s="80"/>
      <c r="AA466" s="80" t="s">
        <v>3663</v>
      </c>
      <c r="AB466" s="80">
        <v>2940</v>
      </c>
      <c r="AC466" s="80">
        <v>920</v>
      </c>
      <c r="AD466" s="80"/>
      <c r="AE466" s="80"/>
      <c r="AF466" s="80"/>
      <c r="AG466" s="80"/>
      <c r="AH466" s="80">
        <v>3.5999999999999996</v>
      </c>
      <c r="AI466" s="80" t="s">
        <v>3659</v>
      </c>
      <c r="AJ466" s="80" t="s">
        <v>4348</v>
      </c>
      <c r="AK466" s="80" t="s">
        <v>1510</v>
      </c>
      <c r="AL466" s="80" t="s">
        <v>4315</v>
      </c>
      <c r="AM466" s="90" t="s">
        <v>3653</v>
      </c>
      <c r="AN466" s="80" t="s">
        <v>4280</v>
      </c>
      <c r="AO466" s="90" t="s">
        <v>3664</v>
      </c>
      <c r="AP466" s="80" t="s">
        <v>4248</v>
      </c>
      <c r="AQ466" s="80"/>
      <c r="AR466" s="80"/>
      <c r="AS466" s="80"/>
      <c r="AT466" s="80"/>
      <c r="AU466" s="80" t="s">
        <v>3665</v>
      </c>
      <c r="AV466" s="80"/>
      <c r="AW466" s="80"/>
      <c r="AX466" s="80"/>
      <c r="AY466" s="80"/>
      <c r="AZ466" s="80"/>
      <c r="BA466" s="161"/>
      <c r="BB466" s="80"/>
      <c r="BC466" s="80"/>
      <c r="BD466" s="80"/>
      <c r="BE466" s="91"/>
      <c r="BF466" s="91"/>
      <c r="BG466" s="91"/>
      <c r="BH466" s="91"/>
      <c r="BI466" s="91"/>
      <c r="BJ466" s="91"/>
      <c r="BK466" s="91"/>
      <c r="BL466" s="91"/>
      <c r="BM466" s="91"/>
      <c r="BN466" s="91"/>
      <c r="BO466" s="91"/>
      <c r="BP466" s="91"/>
      <c r="BQ466" s="91"/>
      <c r="BR466" s="91"/>
      <c r="BS466" s="91"/>
      <c r="BT466" s="91"/>
      <c r="BU466" s="91"/>
      <c r="BV466" s="91"/>
      <c r="BW466" s="91"/>
      <c r="BX466" s="91"/>
      <c r="BY466" s="91"/>
      <c r="CA466" s="122"/>
      <c r="CB466" s="111"/>
      <c r="CC466" s="201"/>
      <c r="CD466" s="202"/>
      <c r="CE466" s="147"/>
      <c r="CF466" s="143"/>
      <c r="CG466" s="163"/>
      <c r="CH466" s="143"/>
      <c r="CI466" s="143"/>
      <c r="CJ466" s="143"/>
      <c r="CK466" s="163"/>
      <c r="CL466" s="143"/>
      <c r="CM466" s="147"/>
      <c r="CN466" s="147"/>
      <c r="CO466" s="147"/>
      <c r="CP466" s="147"/>
      <c r="CQ466" s="147"/>
      <c r="CR466" s="147"/>
    </row>
    <row r="467" spans="1:96" s="123" customFormat="1" ht="25.15" customHeight="1" x14ac:dyDescent="0.25">
      <c r="A467" s="1" t="s">
        <v>202</v>
      </c>
      <c r="B467" s="80" t="s">
        <v>3308</v>
      </c>
      <c r="C467" s="80"/>
      <c r="D467" s="162"/>
      <c r="E467" s="80" t="s">
        <v>448</v>
      </c>
      <c r="F467" s="80" t="s">
        <v>1151</v>
      </c>
      <c r="G467" s="80" t="s">
        <v>1152</v>
      </c>
      <c r="H467" s="80" t="s">
        <v>29</v>
      </c>
      <c r="I467" s="80"/>
      <c r="J467" s="80"/>
      <c r="K467" s="80" t="s">
        <v>1153</v>
      </c>
      <c r="L467" s="80"/>
      <c r="M467" s="80" t="s">
        <v>3309</v>
      </c>
      <c r="N467" s="83" t="s">
        <v>63</v>
      </c>
      <c r="O467" s="80">
        <v>1495</v>
      </c>
      <c r="P467" s="80">
        <v>1245</v>
      </c>
      <c r="Q467" s="80">
        <v>1040</v>
      </c>
      <c r="R467" s="80">
        <v>980</v>
      </c>
      <c r="S467" s="80">
        <v>1860</v>
      </c>
      <c r="T467" s="80">
        <v>1848</v>
      </c>
      <c r="U467" s="80">
        <v>4403</v>
      </c>
      <c r="V467" s="80">
        <v>640</v>
      </c>
      <c r="W467" s="80">
        <v>2785</v>
      </c>
      <c r="X467" s="80">
        <v>726</v>
      </c>
      <c r="Y467" s="80"/>
      <c r="Z467" s="80"/>
      <c r="AA467" s="80" t="s">
        <v>3310</v>
      </c>
      <c r="AB467" s="80">
        <v>2020</v>
      </c>
      <c r="AC467" s="80"/>
      <c r="AD467" s="80"/>
      <c r="AE467" s="80"/>
      <c r="AF467" s="80"/>
      <c r="AG467" s="80"/>
      <c r="AH467" s="80">
        <v>1.7</v>
      </c>
      <c r="AI467" s="80" t="s">
        <v>3292</v>
      </c>
      <c r="AJ467" s="80" t="s">
        <v>4326</v>
      </c>
      <c r="AK467" s="80" t="s">
        <v>3293</v>
      </c>
      <c r="AL467" s="80" t="s">
        <v>4297</v>
      </c>
      <c r="AM467" s="90" t="s">
        <v>3868</v>
      </c>
      <c r="AN467" s="80" t="s">
        <v>4269</v>
      </c>
      <c r="AO467" s="90" t="s">
        <v>3294</v>
      </c>
      <c r="AP467" s="80" t="s">
        <v>4206</v>
      </c>
      <c r="AQ467" s="90" t="s">
        <v>1160</v>
      </c>
      <c r="AR467" s="80" t="s">
        <v>4193</v>
      </c>
      <c r="AS467" s="80"/>
      <c r="AT467" s="80"/>
      <c r="AU467" s="80" t="s">
        <v>1161</v>
      </c>
      <c r="AV467" s="80"/>
      <c r="AW467" s="80"/>
      <c r="AX467" s="80"/>
      <c r="AY467" s="80"/>
      <c r="AZ467" s="80"/>
      <c r="BA467" s="161"/>
      <c r="BB467" s="80"/>
      <c r="BC467" s="80"/>
      <c r="BD467" s="80"/>
      <c r="BE467" s="91"/>
      <c r="BF467" s="91"/>
      <c r="BG467" s="91"/>
      <c r="BH467" s="91"/>
      <c r="BI467" s="91"/>
      <c r="BJ467" s="91"/>
      <c r="BK467" s="91"/>
      <c r="BL467" s="91"/>
      <c r="BM467" s="91"/>
      <c r="BN467" s="91"/>
      <c r="BO467" s="91"/>
      <c r="BP467" s="91"/>
      <c r="BQ467" s="91"/>
      <c r="BR467" s="91"/>
      <c r="BS467" s="91"/>
      <c r="BT467" s="91"/>
      <c r="BU467" s="91"/>
      <c r="BV467" s="91"/>
      <c r="BW467" s="91"/>
      <c r="BX467" s="91"/>
      <c r="BY467" s="91"/>
      <c r="CA467" s="122"/>
      <c r="CB467" s="111"/>
      <c r="CC467" s="201"/>
      <c r="CD467" s="202"/>
      <c r="CE467" s="147"/>
      <c r="CF467" s="143"/>
      <c r="CG467" s="163"/>
      <c r="CH467" s="143"/>
      <c r="CI467" s="143"/>
      <c r="CJ467" s="143"/>
      <c r="CK467" s="163"/>
      <c r="CL467" s="143"/>
      <c r="CM467" s="147"/>
      <c r="CN467" s="147"/>
      <c r="CO467" s="147"/>
      <c r="CP467" s="147"/>
      <c r="CQ467" s="147"/>
      <c r="CR467" s="147"/>
    </row>
    <row r="468" spans="1:96" s="123" customFormat="1" ht="25.15" customHeight="1" outlineLevel="1" x14ac:dyDescent="0.25">
      <c r="A468" s="1" t="s">
        <v>202</v>
      </c>
      <c r="B468" s="80" t="s">
        <v>3308</v>
      </c>
      <c r="C468" s="80"/>
      <c r="D468" s="162"/>
      <c r="E468" s="80" t="s">
        <v>448</v>
      </c>
      <c r="F468" s="80" t="s">
        <v>1151</v>
      </c>
      <c r="G468" s="80" t="s">
        <v>1152</v>
      </c>
      <c r="H468" s="80" t="s">
        <v>3312</v>
      </c>
      <c r="I468" s="80"/>
      <c r="J468" s="80"/>
      <c r="K468" s="80" t="s">
        <v>1153</v>
      </c>
      <c r="L468" s="80"/>
      <c r="M468" s="80" t="s">
        <v>3326</v>
      </c>
      <c r="N468" s="83" t="s">
        <v>63</v>
      </c>
      <c r="O468" s="80">
        <v>1495</v>
      </c>
      <c r="P468" s="80">
        <v>1245</v>
      </c>
      <c r="Q468" s="80">
        <v>1040</v>
      </c>
      <c r="R468" s="80">
        <v>980</v>
      </c>
      <c r="S468" s="80">
        <v>1796</v>
      </c>
      <c r="T468" s="80">
        <v>1848</v>
      </c>
      <c r="U468" s="80">
        <v>4403</v>
      </c>
      <c r="V468" s="80">
        <v>640</v>
      </c>
      <c r="W468" s="80">
        <v>2785</v>
      </c>
      <c r="X468" s="80">
        <v>726</v>
      </c>
      <c r="Y468" s="80"/>
      <c r="Z468" s="80"/>
      <c r="AA468" s="80" t="s">
        <v>3323</v>
      </c>
      <c r="AB468" s="80">
        <v>2020</v>
      </c>
      <c r="AC468" s="80"/>
      <c r="AD468" s="80"/>
      <c r="AE468" s="80"/>
      <c r="AF468" s="80"/>
      <c r="AG468" s="80"/>
      <c r="AH468" s="80">
        <v>1.7</v>
      </c>
      <c r="AI468" s="80" t="s">
        <v>3292</v>
      </c>
      <c r="AJ468" s="80" t="s">
        <v>4326</v>
      </c>
      <c r="AK468" s="80" t="s">
        <v>3293</v>
      </c>
      <c r="AL468" s="80" t="s">
        <v>4297</v>
      </c>
      <c r="AM468" s="90" t="s">
        <v>3868</v>
      </c>
      <c r="AN468" s="80" t="s">
        <v>4269</v>
      </c>
      <c r="AO468" s="90" t="s">
        <v>3318</v>
      </c>
      <c r="AP468" s="80" t="s">
        <v>4206</v>
      </c>
      <c r="AQ468" s="80"/>
      <c r="AR468" s="80"/>
      <c r="AS468" s="80"/>
      <c r="AT468" s="80"/>
      <c r="AU468" s="80" t="s">
        <v>3316</v>
      </c>
      <c r="AV468" s="80"/>
      <c r="AW468" s="80"/>
      <c r="AX468" s="80" t="s">
        <v>3325</v>
      </c>
      <c r="AY468" s="80"/>
      <c r="AZ468" s="80"/>
      <c r="BA468" s="161"/>
      <c r="BB468" s="80"/>
      <c r="BC468" s="80"/>
      <c r="BD468" s="80"/>
      <c r="BE468" s="91"/>
      <c r="BF468" s="91"/>
      <c r="BG468" s="91"/>
      <c r="BH468" s="91"/>
      <c r="BI468" s="91"/>
      <c r="BJ468" s="91"/>
      <c r="BK468" s="91"/>
      <c r="BL468" s="91"/>
      <c r="BM468" s="91"/>
      <c r="BN468" s="91"/>
      <c r="BO468" s="91"/>
      <c r="BP468" s="91"/>
      <c r="BQ468" s="91"/>
      <c r="BR468" s="91"/>
      <c r="BS468" s="91"/>
      <c r="BT468" s="91"/>
      <c r="BU468" s="91"/>
      <c r="BV468" s="91"/>
      <c r="BW468" s="91"/>
      <c r="BX468" s="91"/>
      <c r="BY468" s="91"/>
      <c r="CA468" s="122"/>
      <c r="CB468" s="111"/>
      <c r="CC468" s="201"/>
      <c r="CD468" s="202"/>
      <c r="CE468" s="147"/>
      <c r="CF468" s="143"/>
      <c r="CG468" s="163"/>
      <c r="CH468" s="143"/>
      <c r="CI468" s="143"/>
      <c r="CJ468" s="143"/>
      <c r="CK468" s="163"/>
      <c r="CL468" s="143"/>
      <c r="CM468" s="147"/>
      <c r="CN468" s="147"/>
      <c r="CO468" s="147"/>
      <c r="CP468" s="147"/>
      <c r="CQ468" s="147"/>
      <c r="CR468" s="147"/>
    </row>
    <row r="469" spans="1:96" s="123" customFormat="1" ht="25.15" customHeight="1" outlineLevel="1" x14ac:dyDescent="0.25">
      <c r="A469" s="1" t="s">
        <v>202</v>
      </c>
      <c r="B469" s="80" t="s">
        <v>3308</v>
      </c>
      <c r="C469" s="80"/>
      <c r="D469" s="162"/>
      <c r="E469" s="80" t="s">
        <v>448</v>
      </c>
      <c r="F469" s="80" t="s">
        <v>449</v>
      </c>
      <c r="G469" s="80" t="s">
        <v>450</v>
      </c>
      <c r="H469" s="80" t="s">
        <v>29</v>
      </c>
      <c r="I469" s="80"/>
      <c r="J469" s="80"/>
      <c r="K469" s="80" t="s">
        <v>30</v>
      </c>
      <c r="L469" s="80"/>
      <c r="M469" s="80" t="s">
        <v>3341</v>
      </c>
      <c r="N469" s="83" t="s">
        <v>63</v>
      </c>
      <c r="O469" s="80">
        <v>2924</v>
      </c>
      <c r="P469" s="80">
        <v>1904</v>
      </c>
      <c r="Q469" s="80">
        <v>1950</v>
      </c>
      <c r="R469" s="80"/>
      <c r="S469" s="80">
        <v>2730</v>
      </c>
      <c r="T469" s="80">
        <v>2050</v>
      </c>
      <c r="U469" s="80">
        <v>5743</v>
      </c>
      <c r="V469" s="80">
        <v>690</v>
      </c>
      <c r="W469" s="80">
        <v>3450</v>
      </c>
      <c r="X469" s="80">
        <v>1345</v>
      </c>
      <c r="Y469" s="80"/>
      <c r="Z469" s="80"/>
      <c r="AA469" s="80" t="s">
        <v>3342</v>
      </c>
      <c r="AB469" s="80">
        <v>3500</v>
      </c>
      <c r="AC469" s="80">
        <v>1120</v>
      </c>
      <c r="AD469" s="80"/>
      <c r="AE469" s="80"/>
      <c r="AF469" s="80"/>
      <c r="AG469" s="80"/>
      <c r="AH469" s="80" t="s">
        <v>501</v>
      </c>
      <c r="AI469" s="80" t="s">
        <v>3328</v>
      </c>
      <c r="AJ469" s="80" t="s">
        <v>4329</v>
      </c>
      <c r="AK469" s="80" t="s">
        <v>3329</v>
      </c>
      <c r="AL469" s="80" t="s">
        <v>4299</v>
      </c>
      <c r="AM469" s="90" t="s">
        <v>3869</v>
      </c>
      <c r="AN469" s="80" t="s">
        <v>4269</v>
      </c>
      <c r="AO469" s="90" t="s">
        <v>3344</v>
      </c>
      <c r="AP469" s="80" t="s">
        <v>4204</v>
      </c>
      <c r="AQ469" s="90" t="s">
        <v>3870</v>
      </c>
      <c r="AR469" s="80" t="s">
        <v>4193</v>
      </c>
      <c r="AS469" s="80"/>
      <c r="AT469" s="80"/>
      <c r="AU469" s="80" t="s">
        <v>502</v>
      </c>
      <c r="AV469" s="80"/>
      <c r="AW469" s="80"/>
      <c r="AX469" s="80"/>
      <c r="AY469" s="80"/>
      <c r="AZ469" s="80"/>
      <c r="BA469" s="161"/>
      <c r="BB469" s="80"/>
      <c r="BC469" s="80"/>
      <c r="BD469" s="80"/>
      <c r="BE469" s="91"/>
      <c r="BF469" s="91"/>
      <c r="BG469" s="91"/>
      <c r="BH469" s="91"/>
      <c r="BI469" s="91"/>
      <c r="BJ469" s="91"/>
      <c r="BK469" s="91"/>
      <c r="BL469" s="91"/>
      <c r="BM469" s="91"/>
      <c r="BN469" s="91"/>
      <c r="BO469" s="91"/>
      <c r="BP469" s="91"/>
      <c r="BQ469" s="91"/>
      <c r="BR469" s="91"/>
      <c r="BS469" s="91"/>
      <c r="BT469" s="91"/>
      <c r="BU469" s="91"/>
      <c r="BV469" s="91"/>
      <c r="BW469" s="91"/>
      <c r="BX469" s="91"/>
      <c r="BY469" s="91"/>
      <c r="CA469" s="122"/>
      <c r="CB469" s="111"/>
      <c r="CC469" s="201"/>
      <c r="CD469" s="202"/>
      <c r="CE469" s="147"/>
      <c r="CF469" s="143"/>
      <c r="CG469" s="163"/>
      <c r="CH469" s="143"/>
      <c r="CI469" s="143"/>
      <c r="CJ469" s="143"/>
      <c r="CK469" s="163"/>
      <c r="CL469" s="143"/>
      <c r="CM469" s="147"/>
      <c r="CN469" s="147"/>
      <c r="CO469" s="147"/>
      <c r="CP469" s="147"/>
      <c r="CQ469" s="147"/>
      <c r="CR469" s="147"/>
    </row>
    <row r="470" spans="1:96" s="123" customFormat="1" ht="24.6" customHeight="1" outlineLevel="1" x14ac:dyDescent="0.25">
      <c r="A470" s="1" t="s">
        <v>202</v>
      </c>
      <c r="B470" s="80" t="s">
        <v>3308</v>
      </c>
      <c r="C470" s="80"/>
      <c r="D470" s="162"/>
      <c r="E470" s="80" t="s">
        <v>448</v>
      </c>
      <c r="F470" s="80" t="s">
        <v>449</v>
      </c>
      <c r="G470" s="80" t="s">
        <v>450</v>
      </c>
      <c r="H470" s="80" t="s">
        <v>29</v>
      </c>
      <c r="I470" s="80"/>
      <c r="J470" s="80"/>
      <c r="K470" s="80" t="s">
        <v>30</v>
      </c>
      <c r="L470" s="80"/>
      <c r="M470" s="80" t="s">
        <v>3357</v>
      </c>
      <c r="N470" s="83" t="s">
        <v>3347</v>
      </c>
      <c r="O470" s="80">
        <v>2840</v>
      </c>
      <c r="P470" s="80">
        <v>1640</v>
      </c>
      <c r="Q470" s="80">
        <v>1730</v>
      </c>
      <c r="R470" s="80">
        <v>1650</v>
      </c>
      <c r="S470" s="80">
        <v>2524</v>
      </c>
      <c r="T470" s="80">
        <v>2050</v>
      </c>
      <c r="U470" s="80">
        <v>5413</v>
      </c>
      <c r="V470" s="80">
        <v>640</v>
      </c>
      <c r="W470" s="80">
        <v>3450</v>
      </c>
      <c r="X470" s="80">
        <v>1015</v>
      </c>
      <c r="Y470" s="80"/>
      <c r="Z470" s="80"/>
      <c r="AA470" s="80" t="s">
        <v>3358</v>
      </c>
      <c r="AB470" s="80">
        <v>3300</v>
      </c>
      <c r="AC470" s="80">
        <v>855</v>
      </c>
      <c r="AD470" s="80"/>
      <c r="AE470" s="80"/>
      <c r="AF470" s="80"/>
      <c r="AG470" s="80"/>
      <c r="AH470" s="80" t="s">
        <v>3349</v>
      </c>
      <c r="AI470" s="80" t="s">
        <v>3350</v>
      </c>
      <c r="AJ470" s="80" t="s">
        <v>4328</v>
      </c>
      <c r="AK470" s="80" t="s">
        <v>3351</v>
      </c>
      <c r="AL470" s="80" t="s">
        <v>4298</v>
      </c>
      <c r="AM470" s="90" t="s">
        <v>3871</v>
      </c>
      <c r="AN470" s="80" t="s">
        <v>4268</v>
      </c>
      <c r="AO470" s="90" t="s">
        <v>3353</v>
      </c>
      <c r="AP470" s="80" t="s">
        <v>4207</v>
      </c>
      <c r="AQ470" s="90" t="s">
        <v>3354</v>
      </c>
      <c r="AR470" s="80" t="s">
        <v>4193</v>
      </c>
      <c r="AS470" s="80"/>
      <c r="AT470" s="80"/>
      <c r="AU470" s="80" t="s">
        <v>3355</v>
      </c>
      <c r="AV470" s="80"/>
      <c r="AW470" s="80"/>
      <c r="AX470" s="80"/>
      <c r="AY470" s="80"/>
      <c r="AZ470" s="80"/>
      <c r="BA470" s="161"/>
      <c r="BB470" s="80"/>
      <c r="BC470" s="80"/>
      <c r="BD470" s="80"/>
      <c r="BE470" s="91"/>
      <c r="BF470" s="91"/>
      <c r="BG470" s="91"/>
      <c r="BH470" s="91"/>
      <c r="BI470" s="91"/>
      <c r="BJ470" s="91"/>
      <c r="BK470" s="91"/>
      <c r="BL470" s="91"/>
      <c r="BM470" s="91"/>
      <c r="BN470" s="91"/>
      <c r="BO470" s="91"/>
      <c r="BP470" s="91"/>
      <c r="BQ470" s="91"/>
      <c r="BR470" s="91"/>
      <c r="BS470" s="91"/>
      <c r="BT470" s="91"/>
      <c r="BU470" s="91"/>
      <c r="BV470" s="91"/>
      <c r="BW470" s="91"/>
      <c r="BX470" s="91"/>
      <c r="BY470" s="91"/>
      <c r="CA470" s="122"/>
      <c r="CB470" s="111"/>
      <c r="CC470" s="201"/>
      <c r="CD470" s="202"/>
      <c r="CE470" s="147"/>
      <c r="CF470" s="143"/>
      <c r="CG470" s="163"/>
      <c r="CH470" s="143"/>
      <c r="CI470" s="143"/>
      <c r="CJ470" s="143"/>
      <c r="CK470" s="163"/>
      <c r="CL470" s="143"/>
      <c r="CM470" s="147"/>
      <c r="CN470" s="147"/>
      <c r="CO470" s="147"/>
      <c r="CP470" s="147"/>
      <c r="CQ470" s="147"/>
      <c r="CR470" s="147"/>
    </row>
    <row r="471" spans="1:96" s="123" customFormat="1" ht="25.15" customHeight="1" outlineLevel="1" x14ac:dyDescent="0.25">
      <c r="A471" s="1" t="s">
        <v>202</v>
      </c>
      <c r="B471" s="80" t="s">
        <v>3308</v>
      </c>
      <c r="C471" s="80"/>
      <c r="D471" s="162"/>
      <c r="E471" s="80" t="s">
        <v>448</v>
      </c>
      <c r="F471" s="80" t="s">
        <v>449</v>
      </c>
      <c r="G471" s="80" t="s">
        <v>450</v>
      </c>
      <c r="H471" s="80" t="s">
        <v>3312</v>
      </c>
      <c r="I471" s="80"/>
      <c r="J471" s="80"/>
      <c r="K471" s="80" t="s">
        <v>30</v>
      </c>
      <c r="L471" s="80"/>
      <c r="M471" s="80" t="s">
        <v>3365</v>
      </c>
      <c r="N471" s="83" t="s">
        <v>3347</v>
      </c>
      <c r="O471" s="80">
        <v>2840</v>
      </c>
      <c r="P471" s="80">
        <v>1640</v>
      </c>
      <c r="Q471" s="80">
        <v>1730</v>
      </c>
      <c r="R471" s="80">
        <v>1650</v>
      </c>
      <c r="S471" s="80">
        <v>2524</v>
      </c>
      <c r="T471" s="80">
        <v>2050</v>
      </c>
      <c r="U471" s="80">
        <v>5413</v>
      </c>
      <c r="V471" s="80">
        <v>640</v>
      </c>
      <c r="W471" s="80">
        <v>3450</v>
      </c>
      <c r="X471" s="80">
        <v>1015</v>
      </c>
      <c r="Y471" s="80"/>
      <c r="Z471" s="80"/>
      <c r="AA471" s="80" t="s">
        <v>3366</v>
      </c>
      <c r="AB471" s="80">
        <v>3300</v>
      </c>
      <c r="AC471" s="80">
        <v>955</v>
      </c>
      <c r="AD471" s="80"/>
      <c r="AE471" s="80"/>
      <c r="AF471" s="80"/>
      <c r="AG471" s="80"/>
      <c r="AH471" s="80" t="s">
        <v>3349</v>
      </c>
      <c r="AI471" s="80" t="s">
        <v>3350</v>
      </c>
      <c r="AJ471" s="80" t="s">
        <v>4328</v>
      </c>
      <c r="AK471" s="80" t="s">
        <v>3351</v>
      </c>
      <c r="AL471" s="80" t="s">
        <v>4298</v>
      </c>
      <c r="AM471" s="90" t="s">
        <v>3871</v>
      </c>
      <c r="AN471" s="80" t="s">
        <v>4268</v>
      </c>
      <c r="AO471" s="90" t="s">
        <v>3367</v>
      </c>
      <c r="AP471" s="80" t="s">
        <v>4207</v>
      </c>
      <c r="AQ471" s="80"/>
      <c r="AR471" s="80"/>
      <c r="AS471" s="80"/>
      <c r="AT471" s="80"/>
      <c r="AU471" s="80" t="s">
        <v>3361</v>
      </c>
      <c r="AV471" s="80"/>
      <c r="AW471" s="80"/>
      <c r="AX471" s="80"/>
      <c r="AY471" s="80"/>
      <c r="AZ471" s="80"/>
      <c r="BA471" s="161"/>
      <c r="BB471" s="80"/>
      <c r="BC471" s="80"/>
      <c r="BD471" s="80"/>
      <c r="BE471" s="91"/>
      <c r="BF471" s="91"/>
      <c r="BG471" s="91"/>
      <c r="BH471" s="91"/>
      <c r="BI471" s="91"/>
      <c r="BJ471" s="91"/>
      <c r="BK471" s="91"/>
      <c r="BL471" s="91"/>
      <c r="BM471" s="91"/>
      <c r="BN471" s="91"/>
      <c r="BO471" s="91"/>
      <c r="BP471" s="91"/>
      <c r="BQ471" s="91"/>
      <c r="BR471" s="91"/>
      <c r="BS471" s="91"/>
      <c r="BT471" s="91"/>
      <c r="BU471" s="91"/>
      <c r="BV471" s="91"/>
      <c r="BW471" s="91"/>
      <c r="BX471" s="91"/>
      <c r="BY471" s="91"/>
      <c r="CA471" s="122"/>
      <c r="CB471" s="111"/>
      <c r="CC471" s="201"/>
      <c r="CD471" s="202"/>
      <c r="CE471" s="147"/>
      <c r="CF471" s="143"/>
      <c r="CG471" s="163"/>
      <c r="CH471" s="143"/>
      <c r="CI471" s="143"/>
      <c r="CJ471" s="143"/>
      <c r="CK471" s="163"/>
      <c r="CL471" s="143"/>
      <c r="CM471" s="147"/>
      <c r="CN471" s="147"/>
      <c r="CO471" s="147"/>
      <c r="CP471" s="147"/>
      <c r="CQ471" s="147"/>
      <c r="CR471" s="147"/>
    </row>
    <row r="472" spans="1:96" s="123" customFormat="1" ht="25.15" customHeight="1" outlineLevel="1" x14ac:dyDescent="0.25">
      <c r="A472" s="1" t="s">
        <v>202</v>
      </c>
      <c r="B472" s="80" t="s">
        <v>3308</v>
      </c>
      <c r="C472" s="80"/>
      <c r="D472" s="162"/>
      <c r="E472" s="80" t="s">
        <v>3422</v>
      </c>
      <c r="F472" s="80" t="s">
        <v>3423</v>
      </c>
      <c r="G472" s="80" t="s">
        <v>1152</v>
      </c>
      <c r="H472" s="80" t="s">
        <v>29</v>
      </c>
      <c r="I472" s="80"/>
      <c r="J472" s="80"/>
      <c r="K472" s="80" t="s">
        <v>30</v>
      </c>
      <c r="L472" s="80"/>
      <c r="M472" s="80" t="s">
        <v>3433</v>
      </c>
      <c r="N472" s="83" t="s">
        <v>63</v>
      </c>
      <c r="O472" s="80">
        <v>1930</v>
      </c>
      <c r="P472" s="80">
        <v>1060</v>
      </c>
      <c r="Q472" s="80">
        <v>1425</v>
      </c>
      <c r="R472" s="80"/>
      <c r="S472" s="80">
        <v>2283</v>
      </c>
      <c r="T472" s="80">
        <v>1200</v>
      </c>
      <c r="U472" s="80">
        <v>3885</v>
      </c>
      <c r="V472" s="80">
        <v>800</v>
      </c>
      <c r="W472" s="80">
        <v>2022</v>
      </c>
      <c r="X472" s="80">
        <v>774</v>
      </c>
      <c r="Y472" s="80"/>
      <c r="Z472" s="80"/>
      <c r="AA472" s="80" t="s">
        <v>3434</v>
      </c>
      <c r="AB472" s="80">
        <v>2100</v>
      </c>
      <c r="AC472" s="80">
        <v>935</v>
      </c>
      <c r="AD472" s="80"/>
      <c r="AE472" s="80"/>
      <c r="AF472" s="80"/>
      <c r="AG472" s="80"/>
      <c r="AH472" s="80" t="s">
        <v>3426</v>
      </c>
      <c r="AI472" s="80" t="s">
        <v>3427</v>
      </c>
      <c r="AJ472" s="80" t="s">
        <v>4325</v>
      </c>
      <c r="AK472" s="80" t="s">
        <v>3428</v>
      </c>
      <c r="AL472" s="37" t="s">
        <v>2658</v>
      </c>
      <c r="AM472" s="90" t="s">
        <v>3435</v>
      </c>
      <c r="AN472" s="37" t="s">
        <v>2902</v>
      </c>
      <c r="AO472" s="90" t="s">
        <v>3430</v>
      </c>
      <c r="AP472" s="37" t="s">
        <v>2960</v>
      </c>
      <c r="AQ472" s="90" t="s">
        <v>3431</v>
      </c>
      <c r="AR472" s="80" t="s">
        <v>4193</v>
      </c>
      <c r="AS472" s="80"/>
      <c r="AT472" s="80"/>
      <c r="AU472" s="80" t="s">
        <v>3432</v>
      </c>
      <c r="AV472" s="80"/>
      <c r="AW472" s="80"/>
      <c r="AX472" s="80"/>
      <c r="AY472" s="80"/>
      <c r="AZ472" s="80"/>
      <c r="BA472" s="161"/>
      <c r="BB472" s="80"/>
      <c r="BC472" s="80"/>
      <c r="BD472" s="80"/>
      <c r="BE472" s="91"/>
      <c r="BF472" s="91"/>
      <c r="BG472" s="91"/>
      <c r="BH472" s="91"/>
      <c r="BI472" s="91"/>
      <c r="BJ472" s="91"/>
      <c r="BK472" s="91"/>
      <c r="BL472" s="91"/>
      <c r="BM472" s="91"/>
      <c r="BN472" s="91"/>
      <c r="BO472" s="91"/>
      <c r="BP472" s="91"/>
      <c r="BQ472" s="91"/>
      <c r="BR472" s="91"/>
      <c r="BS472" s="91"/>
      <c r="BT472" s="91"/>
      <c r="BU472" s="91"/>
      <c r="BV472" s="91"/>
      <c r="BW472" s="91"/>
      <c r="BX472" s="91"/>
      <c r="BY472" s="91"/>
      <c r="CA472" s="122"/>
      <c r="CB472" s="111"/>
      <c r="CC472" s="201"/>
      <c r="CD472" s="202"/>
      <c r="CE472" s="147"/>
      <c r="CF472" s="143"/>
      <c r="CG472" s="163"/>
      <c r="CH472" s="143"/>
      <c r="CI472" s="143"/>
      <c r="CJ472" s="143"/>
      <c r="CK472" s="163"/>
      <c r="CL472" s="143"/>
      <c r="CM472" s="147"/>
      <c r="CN472" s="147"/>
      <c r="CO472" s="147"/>
      <c r="CP472" s="147"/>
      <c r="CQ472" s="147"/>
      <c r="CR472" s="147"/>
    </row>
    <row r="473" spans="1:96" s="123" customFormat="1" ht="25.15" customHeight="1" outlineLevel="1" x14ac:dyDescent="0.25">
      <c r="A473" s="1" t="s">
        <v>202</v>
      </c>
      <c r="B473" s="80" t="s">
        <v>3308</v>
      </c>
      <c r="C473" s="80"/>
      <c r="D473" s="162"/>
      <c r="E473" s="80" t="s">
        <v>33</v>
      </c>
      <c r="F473" s="80" t="s">
        <v>34</v>
      </c>
      <c r="G473" s="80" t="s">
        <v>85</v>
      </c>
      <c r="H473" s="80" t="s">
        <v>29</v>
      </c>
      <c r="I473" s="80"/>
      <c r="J473" s="80"/>
      <c r="K473" s="80" t="s">
        <v>30</v>
      </c>
      <c r="L473" s="80"/>
      <c r="M473" s="80" t="s">
        <v>3458</v>
      </c>
      <c r="N473" s="83" t="s">
        <v>63</v>
      </c>
      <c r="O473" s="80">
        <v>3224</v>
      </c>
      <c r="P473" s="80">
        <v>1904</v>
      </c>
      <c r="Q473" s="80">
        <v>1950</v>
      </c>
      <c r="R473" s="80"/>
      <c r="S473" s="80">
        <v>2942</v>
      </c>
      <c r="T473" s="80">
        <v>2050</v>
      </c>
      <c r="U473" s="80">
        <v>5932</v>
      </c>
      <c r="V473" s="80">
        <v>900</v>
      </c>
      <c r="W473" s="80">
        <v>3450</v>
      </c>
      <c r="X473" s="80">
        <v>1425</v>
      </c>
      <c r="Y473" s="80"/>
      <c r="Z473" s="80">
        <v>5</v>
      </c>
      <c r="AA473" s="80" t="s">
        <v>3459</v>
      </c>
      <c r="AB473" s="80">
        <v>3500</v>
      </c>
      <c r="AC473" s="80">
        <v>745</v>
      </c>
      <c r="AD473" s="80"/>
      <c r="AE473" s="80"/>
      <c r="AF473" s="80"/>
      <c r="AG473" s="80"/>
      <c r="AH473" s="80">
        <v>12</v>
      </c>
      <c r="AI473" s="80" t="s">
        <v>3460</v>
      </c>
      <c r="AJ473" s="80" t="s">
        <v>4330</v>
      </c>
      <c r="AK473" s="80" t="s">
        <v>3470</v>
      </c>
      <c r="AL473" s="37" t="s">
        <v>2658</v>
      </c>
      <c r="AM473" s="90" t="s">
        <v>3461</v>
      </c>
      <c r="AN473" s="80" t="s">
        <v>4269</v>
      </c>
      <c r="AO473" s="90" t="s">
        <v>3872</v>
      </c>
      <c r="AP473" s="80" t="s">
        <v>4197</v>
      </c>
      <c r="AQ473" s="90" t="s">
        <v>3870</v>
      </c>
      <c r="AR473" s="80" t="s">
        <v>4179</v>
      </c>
      <c r="AS473" s="80"/>
      <c r="AT473" s="80"/>
      <c r="AU473" s="80" t="s">
        <v>3463</v>
      </c>
      <c r="AV473" s="80"/>
      <c r="AW473" s="80"/>
      <c r="AX473" s="80"/>
      <c r="AY473" s="80"/>
      <c r="AZ473" s="80"/>
      <c r="BA473" s="161"/>
      <c r="BB473" s="80"/>
      <c r="BC473" s="80"/>
      <c r="BD473" s="80"/>
      <c r="BE473" s="91"/>
      <c r="BF473" s="91"/>
      <c r="BG473" s="91"/>
      <c r="BH473" s="91"/>
      <c r="BI473" s="91"/>
      <c r="BJ473" s="91"/>
      <c r="BK473" s="91"/>
      <c r="BL473" s="91"/>
      <c r="BM473" s="91"/>
      <c r="BN473" s="91"/>
      <c r="BO473" s="91"/>
      <c r="BP473" s="91"/>
      <c r="BQ473" s="91"/>
      <c r="BR473" s="91"/>
      <c r="BS473" s="91"/>
      <c r="BT473" s="91"/>
      <c r="BU473" s="91"/>
      <c r="BV473" s="91"/>
      <c r="BW473" s="91"/>
      <c r="BX473" s="91"/>
      <c r="BY473" s="91"/>
      <c r="CA473" s="122"/>
      <c r="CB473" s="111"/>
      <c r="CC473" s="201"/>
      <c r="CD473" s="202"/>
      <c r="CE473" s="147"/>
      <c r="CF473" s="143"/>
      <c r="CG473" s="163"/>
      <c r="CH473" s="143"/>
      <c r="CI473" s="143"/>
      <c r="CJ473" s="143"/>
      <c r="CK473" s="163"/>
      <c r="CL473" s="143"/>
      <c r="CM473" s="147"/>
      <c r="CN473" s="147"/>
      <c r="CO473" s="147"/>
      <c r="CP473" s="147"/>
      <c r="CQ473" s="147"/>
      <c r="CR473" s="147"/>
    </row>
    <row r="474" spans="1:96" s="123" customFormat="1" ht="25.15" customHeight="1" outlineLevel="1" x14ac:dyDescent="0.25">
      <c r="A474" s="1" t="s">
        <v>202</v>
      </c>
      <c r="B474" s="80" t="s">
        <v>3308</v>
      </c>
      <c r="C474" s="80"/>
      <c r="D474" s="162"/>
      <c r="E474" s="80" t="s">
        <v>33</v>
      </c>
      <c r="F474" s="80" t="s">
        <v>34</v>
      </c>
      <c r="G474" s="80" t="s">
        <v>85</v>
      </c>
      <c r="H474" s="80" t="s">
        <v>29</v>
      </c>
      <c r="I474" s="80" t="s">
        <v>7</v>
      </c>
      <c r="J474" s="80"/>
      <c r="K474" s="80" t="s">
        <v>30</v>
      </c>
      <c r="L474" s="80"/>
      <c r="M474" s="80" t="s">
        <v>3458</v>
      </c>
      <c r="N474" s="83" t="s">
        <v>1709</v>
      </c>
      <c r="O474" s="80">
        <v>3224</v>
      </c>
      <c r="P474" s="80">
        <v>1904</v>
      </c>
      <c r="Q474" s="80">
        <v>1950</v>
      </c>
      <c r="R474" s="80"/>
      <c r="S474" s="80">
        <v>2942</v>
      </c>
      <c r="T474" s="80">
        <v>2050</v>
      </c>
      <c r="U474" s="80">
        <v>6124</v>
      </c>
      <c r="V474" s="80">
        <v>900</v>
      </c>
      <c r="W474" s="80">
        <v>3450</v>
      </c>
      <c r="X474" s="80">
        <v>1617</v>
      </c>
      <c r="Y474" s="80"/>
      <c r="Z474" s="80">
        <v>5</v>
      </c>
      <c r="AA474" s="80" t="s">
        <v>3464</v>
      </c>
      <c r="AB474" s="80">
        <v>3500</v>
      </c>
      <c r="AC474" s="80">
        <v>555</v>
      </c>
      <c r="AD474" s="80"/>
      <c r="AE474" s="80"/>
      <c r="AF474" s="80"/>
      <c r="AG474" s="80"/>
      <c r="AH474" s="80">
        <v>12</v>
      </c>
      <c r="AI474" s="80" t="s">
        <v>3460</v>
      </c>
      <c r="AJ474" s="80" t="s">
        <v>4330</v>
      </c>
      <c r="AK474" s="80" t="s">
        <v>3470</v>
      </c>
      <c r="AL474" s="37" t="s">
        <v>2658</v>
      </c>
      <c r="AM474" s="90" t="s">
        <v>3461</v>
      </c>
      <c r="AN474" s="80" t="s">
        <v>4269</v>
      </c>
      <c r="AO474" s="90" t="s">
        <v>3873</v>
      </c>
      <c r="AP474" s="80" t="s">
        <v>4198</v>
      </c>
      <c r="AQ474" s="90" t="s">
        <v>3870</v>
      </c>
      <c r="AR474" s="80" t="s">
        <v>4179</v>
      </c>
      <c r="AS474" s="90" t="s">
        <v>3441</v>
      </c>
      <c r="AT474" s="80" t="s">
        <v>4175</v>
      </c>
      <c r="AU474" s="80" t="s">
        <v>1289</v>
      </c>
      <c r="AV474" s="80"/>
      <c r="AW474" s="80"/>
      <c r="AX474" s="80"/>
      <c r="AY474" s="80"/>
      <c r="AZ474" s="80"/>
      <c r="BA474" s="161"/>
      <c r="BB474" s="80"/>
      <c r="BC474" s="80"/>
      <c r="BD474" s="80"/>
      <c r="BE474" s="91"/>
      <c r="BF474" s="91"/>
      <c r="BG474" s="91"/>
      <c r="BH474" s="91"/>
      <c r="BI474" s="91"/>
      <c r="BJ474" s="91"/>
      <c r="BK474" s="91"/>
      <c r="BL474" s="91"/>
      <c r="BM474" s="91"/>
      <c r="BN474" s="91"/>
      <c r="BO474" s="91"/>
      <c r="BP474" s="91"/>
      <c r="BQ474" s="91"/>
      <c r="BR474" s="91"/>
      <c r="BS474" s="91"/>
      <c r="BT474" s="91"/>
      <c r="BU474" s="91"/>
      <c r="BV474" s="91"/>
      <c r="BW474" s="91"/>
      <c r="BX474" s="91"/>
      <c r="BY474" s="91"/>
      <c r="CA474" s="122"/>
      <c r="CB474" s="111"/>
      <c r="CC474" s="201"/>
      <c r="CD474" s="202"/>
      <c r="CE474" s="147"/>
      <c r="CF474" s="143"/>
      <c r="CG474" s="163"/>
      <c r="CH474" s="143"/>
      <c r="CI474" s="143"/>
      <c r="CJ474" s="143"/>
      <c r="CK474" s="163"/>
      <c r="CL474" s="143"/>
      <c r="CM474" s="147"/>
      <c r="CN474" s="147"/>
      <c r="CO474" s="147"/>
      <c r="CP474" s="147"/>
      <c r="CQ474" s="147"/>
      <c r="CR474" s="147"/>
    </row>
    <row r="475" spans="1:96" s="123" customFormat="1" ht="25.15" customHeight="1" outlineLevel="1" x14ac:dyDescent="0.25">
      <c r="A475" s="1" t="s">
        <v>202</v>
      </c>
      <c r="B475" s="80" t="s">
        <v>3308</v>
      </c>
      <c r="C475" s="80"/>
      <c r="D475" s="162"/>
      <c r="E475" s="80" t="s">
        <v>33</v>
      </c>
      <c r="F475" s="80" t="s">
        <v>34</v>
      </c>
      <c r="G475" s="80" t="s">
        <v>85</v>
      </c>
      <c r="H475" s="80" t="s">
        <v>12</v>
      </c>
      <c r="I475" s="80"/>
      <c r="J475" s="80"/>
      <c r="K475" s="80" t="s">
        <v>30</v>
      </c>
      <c r="L475" s="80"/>
      <c r="M475" s="80" t="s">
        <v>3458</v>
      </c>
      <c r="N475" s="83" t="s">
        <v>3442</v>
      </c>
      <c r="O475" s="80">
        <v>3524</v>
      </c>
      <c r="P475" s="80">
        <v>1904</v>
      </c>
      <c r="Q475" s="80">
        <v>2050</v>
      </c>
      <c r="R475" s="80"/>
      <c r="S475" s="80">
        <v>3040</v>
      </c>
      <c r="T475" s="80">
        <v>2050</v>
      </c>
      <c r="U475" s="80">
        <v>6223</v>
      </c>
      <c r="V475" s="80">
        <v>900</v>
      </c>
      <c r="W475" s="80">
        <v>3450</v>
      </c>
      <c r="X475" s="80">
        <v>1725</v>
      </c>
      <c r="Y475" s="80"/>
      <c r="Z475" s="80">
        <v>5</v>
      </c>
      <c r="AA475" s="80" t="s">
        <v>3466</v>
      </c>
      <c r="AB475" s="80">
        <v>3500</v>
      </c>
      <c r="AC475" s="80">
        <v>485</v>
      </c>
      <c r="AD475" s="80"/>
      <c r="AE475" s="80"/>
      <c r="AF475" s="80"/>
      <c r="AG475" s="80"/>
      <c r="AH475" s="80" t="s">
        <v>1291</v>
      </c>
      <c r="AI475" s="80" t="s">
        <v>3460</v>
      </c>
      <c r="AJ475" s="80" t="s">
        <v>4330</v>
      </c>
      <c r="AK475" s="80" t="s">
        <v>3470</v>
      </c>
      <c r="AL475" s="37" t="s">
        <v>2658</v>
      </c>
      <c r="AM475" s="90" t="s">
        <v>3461</v>
      </c>
      <c r="AN475" s="80" t="s">
        <v>4269</v>
      </c>
      <c r="AO475" s="90" t="s">
        <v>3874</v>
      </c>
      <c r="AP475" s="37" t="s">
        <v>2960</v>
      </c>
      <c r="AQ475" s="90" t="s">
        <v>3875</v>
      </c>
      <c r="AR475" s="80" t="s">
        <v>4193</v>
      </c>
      <c r="AS475" s="80"/>
      <c r="AT475" s="80"/>
      <c r="AU475" s="80" t="s">
        <v>3469</v>
      </c>
      <c r="AV475" s="80"/>
      <c r="AW475" s="80"/>
      <c r="AX475" s="80"/>
      <c r="AY475" s="80"/>
      <c r="AZ475" s="80"/>
      <c r="BA475" s="161"/>
      <c r="BB475" s="80"/>
      <c r="BC475" s="80"/>
      <c r="BD475" s="80"/>
      <c r="BE475" s="91"/>
      <c r="BF475" s="91"/>
      <c r="BG475" s="91"/>
      <c r="BH475" s="91"/>
      <c r="BI475" s="91"/>
      <c r="BJ475" s="91"/>
      <c r="BK475" s="91"/>
      <c r="BL475" s="91"/>
      <c r="BM475" s="91"/>
      <c r="BN475" s="91"/>
      <c r="BO475" s="91"/>
      <c r="BP475" s="91"/>
      <c r="BQ475" s="91"/>
      <c r="BR475" s="91"/>
      <c r="BS475" s="91"/>
      <c r="BT475" s="91"/>
      <c r="BU475" s="91"/>
      <c r="BV475" s="91"/>
      <c r="BW475" s="91"/>
      <c r="BX475" s="91"/>
      <c r="BY475" s="91"/>
      <c r="CA475" s="122"/>
      <c r="CB475" s="111"/>
      <c r="CC475" s="201"/>
      <c r="CD475" s="202"/>
      <c r="CE475" s="147"/>
      <c r="CF475" s="143"/>
      <c r="CG475" s="163"/>
      <c r="CH475" s="143"/>
      <c r="CI475" s="143"/>
      <c r="CJ475" s="143"/>
      <c r="CK475" s="163"/>
      <c r="CL475" s="143"/>
      <c r="CM475" s="147"/>
      <c r="CN475" s="147"/>
      <c r="CO475" s="147"/>
      <c r="CP475" s="147"/>
      <c r="CQ475" s="147"/>
      <c r="CR475" s="147"/>
    </row>
    <row r="476" spans="1:96" s="123" customFormat="1" ht="25.15" customHeight="1" outlineLevel="1" x14ac:dyDescent="0.25">
      <c r="A476" s="1" t="s">
        <v>202</v>
      </c>
      <c r="B476" s="80" t="s">
        <v>3308</v>
      </c>
      <c r="C476" s="80"/>
      <c r="D476" s="162"/>
      <c r="E476" s="80" t="s">
        <v>33</v>
      </c>
      <c r="F476" s="80" t="s">
        <v>34</v>
      </c>
      <c r="G476" s="80" t="s">
        <v>85</v>
      </c>
      <c r="H476" s="80" t="s">
        <v>29</v>
      </c>
      <c r="I476" s="80"/>
      <c r="J476" s="80"/>
      <c r="K476" s="80" t="s">
        <v>30</v>
      </c>
      <c r="L476" s="80"/>
      <c r="M476" s="80" t="s">
        <v>3492</v>
      </c>
      <c r="N476" s="83" t="s">
        <v>63</v>
      </c>
      <c r="O476" s="80">
        <v>3224</v>
      </c>
      <c r="P476" s="80">
        <v>1904</v>
      </c>
      <c r="Q476" s="80">
        <v>1950</v>
      </c>
      <c r="R476" s="80"/>
      <c r="S476" s="80">
        <v>2910</v>
      </c>
      <c r="T476" s="80">
        <v>2050</v>
      </c>
      <c r="U476" s="80">
        <v>5932</v>
      </c>
      <c r="V476" s="80">
        <v>870</v>
      </c>
      <c r="W476" s="80">
        <v>3450</v>
      </c>
      <c r="X476" s="80">
        <v>1425</v>
      </c>
      <c r="Y476" s="80"/>
      <c r="Z476" s="80">
        <v>5</v>
      </c>
      <c r="AA476" s="80" t="s">
        <v>3493</v>
      </c>
      <c r="AB476" s="80">
        <v>3500</v>
      </c>
      <c r="AC476" s="80">
        <v>905</v>
      </c>
      <c r="AD476" s="80"/>
      <c r="AE476" s="80"/>
      <c r="AF476" s="80"/>
      <c r="AG476" s="80"/>
      <c r="AH476" s="80">
        <v>12</v>
      </c>
      <c r="AI476" s="80" t="s">
        <v>3460</v>
      </c>
      <c r="AJ476" s="80" t="s">
        <v>4330</v>
      </c>
      <c r="AK476" s="80" t="s">
        <v>3470</v>
      </c>
      <c r="AL476" s="37" t="s">
        <v>2658</v>
      </c>
      <c r="AM476" s="90" t="s">
        <v>3494</v>
      </c>
      <c r="AN476" s="80" t="s">
        <v>4269</v>
      </c>
      <c r="AO476" s="90" t="s">
        <v>3872</v>
      </c>
      <c r="AP476" s="80" t="s">
        <v>4197</v>
      </c>
      <c r="AQ476" s="90" t="s">
        <v>3870</v>
      </c>
      <c r="AR476" s="80" t="s">
        <v>4179</v>
      </c>
      <c r="AS476" s="80"/>
      <c r="AT476" s="80"/>
      <c r="AU476" s="80" t="s">
        <v>3491</v>
      </c>
      <c r="AV476" s="80"/>
      <c r="AW476" s="80"/>
      <c r="AX476" s="80"/>
      <c r="AY476" s="80"/>
      <c r="AZ476" s="80"/>
      <c r="BA476" s="161"/>
      <c r="BB476" s="80"/>
      <c r="BC476" s="80"/>
      <c r="BD476" s="80"/>
      <c r="BE476" s="91"/>
      <c r="BF476" s="91"/>
      <c r="BG476" s="91"/>
      <c r="BH476" s="91"/>
      <c r="BI476" s="91"/>
      <c r="BJ476" s="91"/>
      <c r="BK476" s="91"/>
      <c r="BL476" s="91"/>
      <c r="BM476" s="91"/>
      <c r="BN476" s="91"/>
      <c r="BO476" s="91"/>
      <c r="BP476" s="91"/>
      <c r="BQ476" s="91"/>
      <c r="BR476" s="91"/>
      <c r="BS476" s="91"/>
      <c r="BT476" s="91"/>
      <c r="BU476" s="91"/>
      <c r="BV476" s="91"/>
      <c r="BW476" s="91"/>
      <c r="BX476" s="91"/>
      <c r="BY476" s="91"/>
      <c r="CA476" s="122"/>
      <c r="CB476" s="111"/>
      <c r="CC476" s="201"/>
      <c r="CD476" s="202"/>
      <c r="CE476" s="147"/>
      <c r="CF476" s="143"/>
      <c r="CG476" s="163"/>
      <c r="CH476" s="143"/>
      <c r="CI476" s="143"/>
      <c r="CJ476" s="143"/>
      <c r="CK476" s="163"/>
      <c r="CL476" s="143"/>
      <c r="CM476" s="147"/>
      <c r="CN476" s="147"/>
      <c r="CO476" s="147"/>
      <c r="CP476" s="147"/>
      <c r="CQ476" s="147"/>
      <c r="CR476" s="147"/>
    </row>
    <row r="477" spans="1:96" s="123" customFormat="1" ht="25.15" customHeight="1" outlineLevel="1" x14ac:dyDescent="0.25">
      <c r="A477" s="1" t="s">
        <v>202</v>
      </c>
      <c r="B477" s="80" t="s">
        <v>3308</v>
      </c>
      <c r="C477" s="80"/>
      <c r="D477" s="162"/>
      <c r="E477" s="80" t="s">
        <v>33</v>
      </c>
      <c r="F477" s="80" t="s">
        <v>34</v>
      </c>
      <c r="G477" s="80" t="s">
        <v>85</v>
      </c>
      <c r="H477" s="80" t="s">
        <v>29</v>
      </c>
      <c r="I477" s="80"/>
      <c r="J477" s="80"/>
      <c r="K477" s="80" t="s">
        <v>30</v>
      </c>
      <c r="L477" s="80"/>
      <c r="M477" s="80" t="s">
        <v>3507</v>
      </c>
      <c r="N477" s="83" t="s">
        <v>63</v>
      </c>
      <c r="O477" s="80">
        <v>3324</v>
      </c>
      <c r="P477" s="80">
        <v>1904</v>
      </c>
      <c r="Q477" s="80">
        <v>1950</v>
      </c>
      <c r="R477" s="80"/>
      <c r="S477" s="80">
        <v>3040</v>
      </c>
      <c r="T477" s="80">
        <v>2050</v>
      </c>
      <c r="U477" s="80">
        <v>6023</v>
      </c>
      <c r="V477" s="80">
        <v>1000</v>
      </c>
      <c r="W477" s="80">
        <v>3450</v>
      </c>
      <c r="X477" s="80">
        <v>1525</v>
      </c>
      <c r="Y477" s="80"/>
      <c r="Z477" s="80">
        <v>5</v>
      </c>
      <c r="AA477" s="80" t="s">
        <v>3508</v>
      </c>
      <c r="AB477" s="80">
        <v>3500</v>
      </c>
      <c r="AC477" s="80">
        <v>584</v>
      </c>
      <c r="AD477" s="80"/>
      <c r="AE477" s="80"/>
      <c r="AF477" s="80"/>
      <c r="AG477" s="80"/>
      <c r="AH477" s="80">
        <v>12.2</v>
      </c>
      <c r="AI477" s="80" t="s">
        <v>3509</v>
      </c>
      <c r="AJ477" s="80" t="s">
        <v>4330</v>
      </c>
      <c r="AK477" s="80" t="s">
        <v>3876</v>
      </c>
      <c r="AL477" s="37" t="s">
        <v>2658</v>
      </c>
      <c r="AM477" s="90" t="s">
        <v>3510</v>
      </c>
      <c r="AN477" s="80" t="s">
        <v>4269</v>
      </c>
      <c r="AO477" s="90" t="s">
        <v>3511</v>
      </c>
      <c r="AP477" s="80" t="s">
        <v>4199</v>
      </c>
      <c r="AQ477" s="90" t="s">
        <v>3870</v>
      </c>
      <c r="AR477" s="80" t="s">
        <v>4179</v>
      </c>
      <c r="AS477" s="80"/>
      <c r="AT477" s="80"/>
      <c r="AU477" s="80" t="s">
        <v>1278</v>
      </c>
      <c r="AV477" s="80"/>
      <c r="AW477" s="80"/>
      <c r="AX477" s="80"/>
      <c r="AY477" s="80"/>
      <c r="AZ477" s="80"/>
      <c r="BA477" s="161"/>
      <c r="BB477" s="80"/>
      <c r="BC477" s="80"/>
      <c r="BD477" s="80"/>
      <c r="BE477" s="91"/>
      <c r="BF477" s="91"/>
      <c r="BG477" s="91"/>
      <c r="BH477" s="91"/>
      <c r="BI477" s="91"/>
      <c r="BJ477" s="91"/>
      <c r="BK477" s="91"/>
      <c r="BL477" s="91"/>
      <c r="BM477" s="91"/>
      <c r="BN477" s="91"/>
      <c r="BO477" s="91"/>
      <c r="BP477" s="91"/>
      <c r="BQ477" s="91"/>
      <c r="BR477" s="91"/>
      <c r="BS477" s="91"/>
      <c r="BT477" s="91"/>
      <c r="BU477" s="91"/>
      <c r="BV477" s="91"/>
      <c r="BW477" s="91"/>
      <c r="BX477" s="91"/>
      <c r="BY477" s="91"/>
      <c r="CA477" s="122"/>
      <c r="CB477" s="111"/>
      <c r="CC477" s="201"/>
      <c r="CD477" s="202"/>
      <c r="CE477" s="147"/>
      <c r="CF477" s="143"/>
      <c r="CG477" s="163"/>
      <c r="CH477" s="143"/>
      <c r="CI477" s="143"/>
      <c r="CJ477" s="143"/>
      <c r="CK477" s="163"/>
      <c r="CL477" s="143"/>
      <c r="CM477" s="147"/>
      <c r="CN477" s="147"/>
      <c r="CO477" s="147"/>
      <c r="CP477" s="147"/>
      <c r="CQ477" s="147"/>
      <c r="CR477" s="147"/>
    </row>
    <row r="478" spans="1:96" s="123" customFormat="1" ht="25.15" customHeight="1" outlineLevel="1" x14ac:dyDescent="0.25">
      <c r="A478" s="1" t="s">
        <v>202</v>
      </c>
      <c r="B478" s="80" t="s">
        <v>3308</v>
      </c>
      <c r="C478" s="80"/>
      <c r="D478" s="162"/>
      <c r="E478" s="80" t="s">
        <v>33</v>
      </c>
      <c r="F478" s="80" t="s">
        <v>34</v>
      </c>
      <c r="G478" s="80" t="s">
        <v>85</v>
      </c>
      <c r="H478" s="80" t="s">
        <v>29</v>
      </c>
      <c r="I478" s="80"/>
      <c r="J478" s="80"/>
      <c r="K478" s="80" t="s">
        <v>30</v>
      </c>
      <c r="L478" s="80"/>
      <c r="M478" s="80" t="s">
        <v>3507</v>
      </c>
      <c r="N478" s="83" t="s">
        <v>3442</v>
      </c>
      <c r="O478" s="80">
        <v>3524</v>
      </c>
      <c r="P478" s="80">
        <v>1904</v>
      </c>
      <c r="Q478" s="80">
        <v>2050</v>
      </c>
      <c r="R478" s="80"/>
      <c r="S478" s="80">
        <v>3080</v>
      </c>
      <c r="T478" s="80">
        <v>2050</v>
      </c>
      <c r="U478" s="80">
        <v>6223</v>
      </c>
      <c r="V478" s="80">
        <v>940</v>
      </c>
      <c r="W478" s="80">
        <v>3450</v>
      </c>
      <c r="X478" s="80">
        <v>1725</v>
      </c>
      <c r="Y478" s="80"/>
      <c r="Z478" s="80">
        <v>5</v>
      </c>
      <c r="AA478" s="80" t="s">
        <v>3512</v>
      </c>
      <c r="AB478" s="80">
        <v>3500</v>
      </c>
      <c r="AC478" s="80">
        <v>405</v>
      </c>
      <c r="AD478" s="80"/>
      <c r="AE478" s="80"/>
      <c r="AF478" s="80"/>
      <c r="AG478" s="80"/>
      <c r="AH478" s="80" t="s">
        <v>1291</v>
      </c>
      <c r="AI478" s="80" t="s">
        <v>3509</v>
      </c>
      <c r="AJ478" s="80" t="s">
        <v>4330</v>
      </c>
      <c r="AK478" s="80" t="s">
        <v>3876</v>
      </c>
      <c r="AL478" s="37" t="s">
        <v>2658</v>
      </c>
      <c r="AM478" s="90" t="s">
        <v>3510</v>
      </c>
      <c r="AN478" s="80" t="s">
        <v>4269</v>
      </c>
      <c r="AO478" s="90" t="s">
        <v>3874</v>
      </c>
      <c r="AP478" s="37" t="s">
        <v>2960</v>
      </c>
      <c r="AQ478" s="90" t="s">
        <v>3875</v>
      </c>
      <c r="AR478" s="80" t="s">
        <v>4193</v>
      </c>
      <c r="AS478" s="80"/>
      <c r="AT478" s="80"/>
      <c r="AU478" s="80" t="s">
        <v>3469</v>
      </c>
      <c r="AV478" s="80"/>
      <c r="AW478" s="80"/>
      <c r="AX478" s="80"/>
      <c r="AY478" s="80"/>
      <c r="AZ478" s="80"/>
      <c r="BA478" s="161"/>
      <c r="BB478" s="80"/>
      <c r="BC478" s="80"/>
      <c r="BD478" s="80"/>
      <c r="BE478" s="91"/>
      <c r="BF478" s="91"/>
      <c r="BG478" s="91"/>
      <c r="BH478" s="91"/>
      <c r="BI478" s="91"/>
      <c r="BJ478" s="91"/>
      <c r="BK478" s="91"/>
      <c r="BL478" s="91"/>
      <c r="BM478" s="91"/>
      <c r="BN478" s="91"/>
      <c r="BO478" s="91"/>
      <c r="BP478" s="91"/>
      <c r="BQ478" s="91"/>
      <c r="BR478" s="91"/>
      <c r="BS478" s="91"/>
      <c r="BT478" s="91"/>
      <c r="BU478" s="91"/>
      <c r="BV478" s="91"/>
      <c r="BW478" s="91"/>
      <c r="BX478" s="91"/>
      <c r="BY478" s="91"/>
      <c r="CA478" s="122"/>
      <c r="CB478" s="111"/>
      <c r="CC478" s="201"/>
      <c r="CD478" s="202"/>
      <c r="CE478" s="147"/>
      <c r="CF478" s="143"/>
      <c r="CG478" s="163"/>
      <c r="CH478" s="143"/>
      <c r="CI478" s="143"/>
      <c r="CJ478" s="143"/>
      <c r="CK478" s="163"/>
      <c r="CL478" s="143"/>
      <c r="CM478" s="147"/>
      <c r="CN478" s="147"/>
      <c r="CO478" s="147"/>
      <c r="CP478" s="147"/>
      <c r="CQ478" s="147"/>
      <c r="CR478" s="147"/>
    </row>
    <row r="479" spans="1:96" s="123" customFormat="1" ht="25.15" customHeight="1" outlineLevel="1" x14ac:dyDescent="0.25">
      <c r="A479" s="1" t="s">
        <v>202</v>
      </c>
      <c r="B479" s="80" t="s">
        <v>3308</v>
      </c>
      <c r="C479" s="80"/>
      <c r="D479" s="162"/>
      <c r="E479" s="80" t="s">
        <v>33</v>
      </c>
      <c r="F479" s="80" t="s">
        <v>34</v>
      </c>
      <c r="G479" s="80" t="s">
        <v>85</v>
      </c>
      <c r="H479" s="80" t="s">
        <v>29</v>
      </c>
      <c r="I479" s="80"/>
      <c r="J479" s="80"/>
      <c r="K479" s="80" t="s">
        <v>30</v>
      </c>
      <c r="L479" s="80"/>
      <c r="M479" s="80" t="s">
        <v>3672</v>
      </c>
      <c r="N479" s="83" t="s">
        <v>63</v>
      </c>
      <c r="O479" s="80">
        <v>3324</v>
      </c>
      <c r="P479" s="80">
        <v>1904</v>
      </c>
      <c r="Q479" s="80">
        <v>1950</v>
      </c>
      <c r="R479" s="80"/>
      <c r="S479" s="80">
        <v>2950</v>
      </c>
      <c r="T479" s="80">
        <v>2050</v>
      </c>
      <c r="U479" s="80">
        <v>6023</v>
      </c>
      <c r="V479" s="80">
        <v>910</v>
      </c>
      <c r="W479" s="80">
        <v>3450</v>
      </c>
      <c r="X479" s="80">
        <v>1525</v>
      </c>
      <c r="Y479" s="80"/>
      <c r="Z479" s="80">
        <v>5</v>
      </c>
      <c r="AA479" s="80" t="s">
        <v>3523</v>
      </c>
      <c r="AB479" s="80">
        <v>5200</v>
      </c>
      <c r="AC479" s="80">
        <v>2090</v>
      </c>
      <c r="AD479" s="80"/>
      <c r="AE479" s="80"/>
      <c r="AF479" s="80"/>
      <c r="AG479" s="80"/>
      <c r="AH479" s="80" t="s">
        <v>3518</v>
      </c>
      <c r="AI479" s="80" t="s">
        <v>3524</v>
      </c>
      <c r="AJ479" s="80" t="s">
        <v>4331</v>
      </c>
      <c r="AK479" s="80" t="s">
        <v>3530</v>
      </c>
      <c r="AL479" s="37" t="s">
        <v>2658</v>
      </c>
      <c r="AM479" s="90" t="s">
        <v>3525</v>
      </c>
      <c r="AN479" s="37" t="s">
        <v>2902</v>
      </c>
      <c r="AO479" s="90" t="s">
        <v>3526</v>
      </c>
      <c r="AP479" s="80" t="s">
        <v>4200</v>
      </c>
      <c r="AQ479" s="90" t="s">
        <v>3870</v>
      </c>
      <c r="AR479" s="80" t="s">
        <v>4193</v>
      </c>
      <c r="AS479" s="80"/>
      <c r="AT479" s="80"/>
      <c r="AU479" s="80" t="s">
        <v>1278</v>
      </c>
      <c r="AV479" s="80"/>
      <c r="AW479" s="80"/>
      <c r="AX479" s="80"/>
      <c r="AY479" s="80"/>
      <c r="AZ479" s="80"/>
      <c r="BA479" s="161"/>
      <c r="BB479" s="80"/>
      <c r="BC479" s="80"/>
      <c r="BD479" s="80"/>
      <c r="BE479" s="91"/>
      <c r="BF479" s="91"/>
      <c r="BG479" s="91"/>
      <c r="BH479" s="91"/>
      <c r="BI479" s="91"/>
      <c r="BJ479" s="91"/>
      <c r="BK479" s="91"/>
      <c r="BL479" s="91"/>
      <c r="BM479" s="91"/>
      <c r="BN479" s="91"/>
      <c r="BO479" s="91"/>
      <c r="BP479" s="91"/>
      <c r="BQ479" s="91"/>
      <c r="BR479" s="91"/>
      <c r="BS479" s="91"/>
      <c r="BT479" s="91"/>
      <c r="BU479" s="91"/>
      <c r="BV479" s="91"/>
      <c r="BW479" s="91"/>
      <c r="BX479" s="91"/>
      <c r="BY479" s="91"/>
      <c r="CA479" s="122"/>
      <c r="CB479" s="111"/>
      <c r="CC479" s="201"/>
      <c r="CD479" s="202"/>
      <c r="CE479" s="147"/>
      <c r="CF479" s="143"/>
      <c r="CG479" s="163"/>
      <c r="CH479" s="143"/>
      <c r="CI479" s="143"/>
      <c r="CJ479" s="143"/>
      <c r="CK479" s="163"/>
      <c r="CL479" s="143"/>
      <c r="CM479" s="147"/>
      <c r="CN479" s="147"/>
      <c r="CO479" s="147"/>
      <c r="CP479" s="147"/>
      <c r="CQ479" s="147"/>
      <c r="CR479" s="147"/>
    </row>
    <row r="480" spans="1:96" s="123" customFormat="1" ht="25.15" customHeight="1" outlineLevel="1" x14ac:dyDescent="0.25">
      <c r="A480" s="1" t="s">
        <v>202</v>
      </c>
      <c r="B480" s="80" t="s">
        <v>3308</v>
      </c>
      <c r="C480" s="80"/>
      <c r="D480" s="162"/>
      <c r="E480" s="80" t="s">
        <v>33</v>
      </c>
      <c r="F480" s="80" t="s">
        <v>34</v>
      </c>
      <c r="G480" s="80" t="s">
        <v>85</v>
      </c>
      <c r="H480" s="80" t="s">
        <v>29</v>
      </c>
      <c r="I480" s="80" t="s">
        <v>7</v>
      </c>
      <c r="J480" s="80"/>
      <c r="K480" s="80" t="s">
        <v>30</v>
      </c>
      <c r="L480" s="80"/>
      <c r="M480" s="80" t="s">
        <v>3672</v>
      </c>
      <c r="N480" s="83" t="s">
        <v>64</v>
      </c>
      <c r="O480" s="80">
        <v>3324</v>
      </c>
      <c r="P480" s="80">
        <v>1904</v>
      </c>
      <c r="Q480" s="80">
        <v>1950</v>
      </c>
      <c r="R480" s="80"/>
      <c r="S480" s="80">
        <v>2940</v>
      </c>
      <c r="T480" s="80">
        <v>2050</v>
      </c>
      <c r="U480" s="80">
        <v>6223</v>
      </c>
      <c r="V480" s="80">
        <v>900</v>
      </c>
      <c r="W480" s="80">
        <v>3450</v>
      </c>
      <c r="X480" s="80">
        <v>1725</v>
      </c>
      <c r="Y480" s="80"/>
      <c r="Z480" s="80">
        <v>5</v>
      </c>
      <c r="AA480" s="80" t="s">
        <v>3527</v>
      </c>
      <c r="AB480" s="80">
        <v>5200</v>
      </c>
      <c r="AC480" s="80">
        <v>1880</v>
      </c>
      <c r="AD480" s="80"/>
      <c r="AE480" s="80"/>
      <c r="AF480" s="80"/>
      <c r="AG480" s="80"/>
      <c r="AH480" s="80" t="s">
        <v>3518</v>
      </c>
      <c r="AI480" s="80" t="s">
        <v>3524</v>
      </c>
      <c r="AJ480" s="80" t="s">
        <v>4331</v>
      </c>
      <c r="AK480" s="80" t="s">
        <v>3530</v>
      </c>
      <c r="AL480" s="37" t="s">
        <v>2658</v>
      </c>
      <c r="AM480" s="90" t="s">
        <v>3525</v>
      </c>
      <c r="AN480" s="37" t="s">
        <v>2902</v>
      </c>
      <c r="AO480" s="90" t="s">
        <v>3877</v>
      </c>
      <c r="AP480" s="80" t="s">
        <v>4201</v>
      </c>
      <c r="AQ480" s="90" t="s">
        <v>3870</v>
      </c>
      <c r="AR480" s="80" t="s">
        <v>4193</v>
      </c>
      <c r="AS480" s="90" t="s">
        <v>3506</v>
      </c>
      <c r="AT480" s="37" t="s">
        <v>2577</v>
      </c>
      <c r="AU480" s="80" t="s">
        <v>3529</v>
      </c>
      <c r="AV480" s="80"/>
      <c r="AW480" s="80"/>
      <c r="AX480" s="80"/>
      <c r="AY480" s="80"/>
      <c r="AZ480" s="80"/>
      <c r="BA480" s="161"/>
      <c r="BB480" s="80"/>
      <c r="BC480" s="80"/>
      <c r="BD480" s="80"/>
      <c r="BE480" s="91"/>
      <c r="BF480" s="91"/>
      <c r="BG480" s="91"/>
      <c r="BH480" s="91"/>
      <c r="BI480" s="91"/>
      <c r="BJ480" s="91"/>
      <c r="BK480" s="91"/>
      <c r="BL480" s="91"/>
      <c r="BM480" s="91"/>
      <c r="BN480" s="91"/>
      <c r="BO480" s="91"/>
      <c r="BP480" s="91"/>
      <c r="BQ480" s="91"/>
      <c r="BR480" s="91"/>
      <c r="BS480" s="91"/>
      <c r="BT480" s="91"/>
      <c r="BU480" s="91"/>
      <c r="BV480" s="91"/>
      <c r="BW480" s="91"/>
      <c r="BX480" s="91"/>
      <c r="BY480" s="91"/>
      <c r="CA480" s="122"/>
      <c r="CB480" s="111"/>
      <c r="CC480" s="201"/>
      <c r="CD480" s="202"/>
      <c r="CE480" s="147"/>
      <c r="CF480" s="143"/>
      <c r="CG480" s="163"/>
      <c r="CH480" s="143"/>
      <c r="CI480" s="143"/>
      <c r="CJ480" s="143"/>
      <c r="CK480" s="163"/>
      <c r="CL480" s="143"/>
      <c r="CM480" s="147"/>
      <c r="CN480" s="147"/>
      <c r="CO480" s="147"/>
      <c r="CP480" s="147"/>
      <c r="CQ480" s="147"/>
      <c r="CR480" s="147"/>
    </row>
    <row r="481" spans="1:96" s="123" customFormat="1" ht="25.15" customHeight="1" outlineLevel="1" x14ac:dyDescent="0.25">
      <c r="A481" s="1" t="s">
        <v>202</v>
      </c>
      <c r="B481" s="80" t="s">
        <v>3308</v>
      </c>
      <c r="C481" s="80"/>
      <c r="D481" s="162"/>
      <c r="E481" s="80" t="s">
        <v>33</v>
      </c>
      <c r="F481" s="80" t="s">
        <v>34</v>
      </c>
      <c r="G481" s="80" t="s">
        <v>4362</v>
      </c>
      <c r="H481" s="80" t="s">
        <v>29</v>
      </c>
      <c r="I481" s="80"/>
      <c r="J481" s="80"/>
      <c r="K481" s="80" t="s">
        <v>30</v>
      </c>
      <c r="L481" s="80"/>
      <c r="M481" s="80" t="s">
        <v>3533</v>
      </c>
      <c r="N481" s="83" t="s">
        <v>63</v>
      </c>
      <c r="O481" s="80">
        <v>4124</v>
      </c>
      <c r="P481" s="80">
        <v>2054</v>
      </c>
      <c r="Q481" s="80">
        <v>2200</v>
      </c>
      <c r="R481" s="80"/>
      <c r="S481" s="80">
        <v>3350</v>
      </c>
      <c r="T481" s="80">
        <v>2200</v>
      </c>
      <c r="U481" s="80">
        <v>6873</v>
      </c>
      <c r="V481" s="80">
        <v>1060</v>
      </c>
      <c r="W481" s="80">
        <v>4100</v>
      </c>
      <c r="X481" s="80">
        <v>1725</v>
      </c>
      <c r="Y481" s="80"/>
      <c r="Z481" s="80">
        <v>8</v>
      </c>
      <c r="AA481" s="80" t="s">
        <v>3534</v>
      </c>
      <c r="AB481" s="80">
        <v>7000</v>
      </c>
      <c r="AC481" s="80">
        <v>3205</v>
      </c>
      <c r="AD481" s="80"/>
      <c r="AE481" s="80"/>
      <c r="AF481" s="80"/>
      <c r="AG481" s="80"/>
      <c r="AH481" s="80" t="s">
        <v>457</v>
      </c>
      <c r="AI481" s="80" t="s">
        <v>3524</v>
      </c>
      <c r="AJ481" s="80" t="s">
        <v>4331</v>
      </c>
      <c r="AK481" s="80" t="s">
        <v>3535</v>
      </c>
      <c r="AL481" s="37" t="s">
        <v>2658</v>
      </c>
      <c r="AM481" s="90" t="s">
        <v>3536</v>
      </c>
      <c r="AN481" s="37" t="s">
        <v>2902</v>
      </c>
      <c r="AO481" s="90" t="s">
        <v>3537</v>
      </c>
      <c r="AP481" s="80" t="s">
        <v>4202</v>
      </c>
      <c r="AQ481" s="90" t="s">
        <v>3878</v>
      </c>
      <c r="AR481" s="80" t="s">
        <v>4193</v>
      </c>
      <c r="AS481" s="80"/>
      <c r="AT481" s="80"/>
      <c r="AU481" s="80" t="s">
        <v>1379</v>
      </c>
      <c r="AV481" s="80"/>
      <c r="AW481" s="80"/>
      <c r="AX481" s="80"/>
      <c r="AY481" s="80"/>
      <c r="AZ481" s="80"/>
      <c r="BA481" s="161"/>
      <c r="BB481" s="80"/>
      <c r="BC481" s="80"/>
      <c r="BD481" s="80"/>
      <c r="BE481" s="91"/>
      <c r="BF481" s="91"/>
      <c r="BG481" s="91"/>
      <c r="BH481" s="91"/>
      <c r="BI481" s="91"/>
      <c r="BJ481" s="91"/>
      <c r="BK481" s="91"/>
      <c r="BL481" s="91"/>
      <c r="BM481" s="91"/>
      <c r="BN481" s="91"/>
      <c r="BO481" s="91"/>
      <c r="BP481" s="91"/>
      <c r="BQ481" s="91"/>
      <c r="BR481" s="91"/>
      <c r="BS481" s="91"/>
      <c r="BT481" s="91"/>
      <c r="BU481" s="91"/>
      <c r="BV481" s="91"/>
      <c r="BW481" s="91"/>
      <c r="BX481" s="91"/>
      <c r="BY481" s="91"/>
      <c r="CA481" s="122"/>
      <c r="CB481" s="111"/>
      <c r="CC481" s="201"/>
      <c r="CD481" s="202"/>
      <c r="CE481" s="147"/>
      <c r="CF481" s="143"/>
      <c r="CG481" s="163"/>
      <c r="CH481" s="143"/>
      <c r="CI481" s="143"/>
      <c r="CJ481" s="143"/>
      <c r="CK481" s="163"/>
      <c r="CL481" s="143"/>
      <c r="CM481" s="147"/>
      <c r="CN481" s="147"/>
      <c r="CO481" s="147"/>
      <c r="CP481" s="147"/>
      <c r="CQ481" s="147"/>
      <c r="CR481" s="147"/>
    </row>
    <row r="482" spans="1:96" s="123" customFormat="1" ht="25.15" customHeight="1" outlineLevel="1" x14ac:dyDescent="0.25">
      <c r="A482" s="1" t="s">
        <v>202</v>
      </c>
      <c r="B482" s="80" t="s">
        <v>3308</v>
      </c>
      <c r="C482" s="80"/>
      <c r="D482" s="162"/>
      <c r="E482" s="80" t="s">
        <v>33</v>
      </c>
      <c r="F482" s="80" t="s">
        <v>34</v>
      </c>
      <c r="G482" s="80" t="s">
        <v>4362</v>
      </c>
      <c r="H482" s="80" t="s">
        <v>29</v>
      </c>
      <c r="I482" s="80" t="s">
        <v>7</v>
      </c>
      <c r="J482" s="80"/>
      <c r="K482" s="80" t="s">
        <v>30</v>
      </c>
      <c r="L482" s="80"/>
      <c r="M482" s="80" t="s">
        <v>3533</v>
      </c>
      <c r="N482" s="83" t="s">
        <v>64</v>
      </c>
      <c r="O482" s="80">
        <v>4124</v>
      </c>
      <c r="P482" s="80">
        <v>2054</v>
      </c>
      <c r="Q482" s="80">
        <v>2200</v>
      </c>
      <c r="R482" s="80"/>
      <c r="S482" s="80">
        <v>3380</v>
      </c>
      <c r="T482" s="80">
        <v>2200</v>
      </c>
      <c r="U482" s="80">
        <v>7073</v>
      </c>
      <c r="V482" s="80">
        <v>1090</v>
      </c>
      <c r="W482" s="80">
        <v>4100</v>
      </c>
      <c r="X482" s="80">
        <v>1925</v>
      </c>
      <c r="Y482" s="80"/>
      <c r="Z482" s="80">
        <v>8</v>
      </c>
      <c r="AA482" s="80" t="s">
        <v>3539</v>
      </c>
      <c r="AB482" s="80">
        <v>7000</v>
      </c>
      <c r="AC482" s="80">
        <v>2935</v>
      </c>
      <c r="AD482" s="80"/>
      <c r="AE482" s="80"/>
      <c r="AF482" s="80"/>
      <c r="AG482" s="80"/>
      <c r="AH482" s="80" t="s">
        <v>457</v>
      </c>
      <c r="AI482" s="80" t="s">
        <v>3524</v>
      </c>
      <c r="AJ482" s="80" t="s">
        <v>4331</v>
      </c>
      <c r="AK482" s="80" t="s">
        <v>3535</v>
      </c>
      <c r="AL482" s="37" t="s">
        <v>2658</v>
      </c>
      <c r="AM482" s="90" t="s">
        <v>3536</v>
      </c>
      <c r="AN482" s="37" t="s">
        <v>2902</v>
      </c>
      <c r="AO482" s="90" t="s">
        <v>3540</v>
      </c>
      <c r="AP482" s="80" t="s">
        <v>4203</v>
      </c>
      <c r="AQ482" s="90" t="s">
        <v>3878</v>
      </c>
      <c r="AR482" s="80" t="s">
        <v>4193</v>
      </c>
      <c r="AS482" s="90" t="s">
        <v>3506</v>
      </c>
      <c r="AT482" s="37" t="s">
        <v>2577</v>
      </c>
      <c r="AU482" s="80" t="s">
        <v>506</v>
      </c>
      <c r="AV482" s="80"/>
      <c r="AW482" s="80"/>
      <c r="AX482" s="80"/>
      <c r="AY482" s="80"/>
      <c r="AZ482" s="80"/>
      <c r="BA482" s="161"/>
      <c r="BB482" s="80"/>
      <c r="BC482" s="80"/>
      <c r="BD482" s="80"/>
      <c r="BE482" s="91"/>
      <c r="BF482" s="91"/>
      <c r="BG482" s="91"/>
      <c r="BH482" s="91"/>
      <c r="BI482" s="91"/>
      <c r="BJ482" s="91"/>
      <c r="BK482" s="91"/>
      <c r="BL482" s="91"/>
      <c r="BM482" s="91"/>
      <c r="BN482" s="91"/>
      <c r="BO482" s="91"/>
      <c r="BP482" s="91"/>
      <c r="BQ482" s="91"/>
      <c r="BR482" s="91"/>
      <c r="BS482" s="91"/>
      <c r="BT482" s="91"/>
      <c r="BU482" s="91"/>
      <c r="BV482" s="91"/>
      <c r="BW482" s="91"/>
      <c r="BX482" s="91"/>
      <c r="BY482" s="91"/>
      <c r="CA482" s="122"/>
      <c r="CB482" s="111"/>
      <c r="CC482" s="201"/>
      <c r="CD482" s="202"/>
      <c r="CE482" s="147"/>
      <c r="CF482" s="143"/>
      <c r="CG482" s="163"/>
      <c r="CH482" s="143"/>
      <c r="CI482" s="143"/>
      <c r="CJ482" s="143"/>
      <c r="CK482" s="163"/>
      <c r="CL482" s="143"/>
      <c r="CM482" s="147"/>
      <c r="CN482" s="147"/>
      <c r="CO482" s="147"/>
      <c r="CP482" s="147"/>
      <c r="CQ482" s="147"/>
      <c r="CR482" s="147"/>
    </row>
    <row r="483" spans="1:96" s="123" customFormat="1" ht="25.15" customHeight="1" outlineLevel="1" x14ac:dyDescent="0.25">
      <c r="A483" s="1" t="s">
        <v>202</v>
      </c>
      <c r="B483" s="80" t="s">
        <v>3308</v>
      </c>
      <c r="C483" s="80"/>
      <c r="D483" s="162"/>
      <c r="E483" s="80" t="s">
        <v>33</v>
      </c>
      <c r="F483" s="80" t="s">
        <v>34</v>
      </c>
      <c r="G483" s="80" t="s">
        <v>4362</v>
      </c>
      <c r="H483" s="80" t="s">
        <v>29</v>
      </c>
      <c r="I483" s="80"/>
      <c r="J483" s="80"/>
      <c r="K483" s="80" t="s">
        <v>30</v>
      </c>
      <c r="L483" s="80"/>
      <c r="M483" s="80" t="s">
        <v>3541</v>
      </c>
      <c r="N483" s="83" t="s">
        <v>63</v>
      </c>
      <c r="O483" s="80">
        <v>4124</v>
      </c>
      <c r="P483" s="80">
        <v>2054</v>
      </c>
      <c r="Q483" s="80">
        <v>2200</v>
      </c>
      <c r="R483" s="80"/>
      <c r="S483" s="80">
        <v>3360</v>
      </c>
      <c r="T483" s="80">
        <v>2200</v>
      </c>
      <c r="U483" s="80">
        <v>6873</v>
      </c>
      <c r="V483" s="80">
        <v>1070</v>
      </c>
      <c r="W483" s="80">
        <v>4100</v>
      </c>
      <c r="X483" s="80">
        <v>1725</v>
      </c>
      <c r="Y483" s="80"/>
      <c r="Z483" s="80">
        <v>8</v>
      </c>
      <c r="AA483" s="80" t="s">
        <v>3542</v>
      </c>
      <c r="AB483" s="80">
        <v>7200</v>
      </c>
      <c r="AC483" s="80">
        <v>3245</v>
      </c>
      <c r="AD483" s="80"/>
      <c r="AE483" s="80"/>
      <c r="AF483" s="80"/>
      <c r="AG483" s="80"/>
      <c r="AH483" s="80" t="s">
        <v>457</v>
      </c>
      <c r="AI483" s="80" t="s">
        <v>3524</v>
      </c>
      <c r="AJ483" s="80" t="s">
        <v>4331</v>
      </c>
      <c r="AK483" s="80" t="s">
        <v>3876</v>
      </c>
      <c r="AL483" s="37" t="s">
        <v>2658</v>
      </c>
      <c r="AM483" s="90" t="s">
        <v>3543</v>
      </c>
      <c r="AN483" s="37" t="s">
        <v>2902</v>
      </c>
      <c r="AO483" s="90" t="s">
        <v>3537</v>
      </c>
      <c r="AP483" s="80" t="s">
        <v>4202</v>
      </c>
      <c r="AQ483" s="90" t="s">
        <v>3878</v>
      </c>
      <c r="AR483" s="80" t="s">
        <v>4193</v>
      </c>
      <c r="AS483" s="80"/>
      <c r="AT483" s="80"/>
      <c r="AU483" s="80" t="s">
        <v>1379</v>
      </c>
      <c r="AV483" s="80"/>
      <c r="AW483" s="80"/>
      <c r="AX483" s="80"/>
      <c r="AY483" s="80"/>
      <c r="AZ483" s="80"/>
      <c r="BA483" s="161"/>
      <c r="BB483" s="80"/>
      <c r="BC483" s="80"/>
      <c r="BD483" s="80"/>
      <c r="BE483" s="91"/>
      <c r="BF483" s="91"/>
      <c r="BG483" s="91"/>
      <c r="BH483" s="91"/>
      <c r="BI483" s="91"/>
      <c r="BJ483" s="91"/>
      <c r="BK483" s="91"/>
      <c r="BL483" s="91"/>
      <c r="BM483" s="91"/>
      <c r="BN483" s="91"/>
      <c r="BO483" s="91"/>
      <c r="BP483" s="91"/>
      <c r="BQ483" s="91"/>
      <c r="BR483" s="91"/>
      <c r="BS483" s="91"/>
      <c r="BT483" s="91"/>
      <c r="BU483" s="91"/>
      <c r="BV483" s="91"/>
      <c r="BW483" s="91"/>
      <c r="BX483" s="91"/>
      <c r="BY483" s="91"/>
      <c r="CA483" s="122"/>
      <c r="CB483" s="111"/>
      <c r="CC483" s="201"/>
      <c r="CD483" s="202"/>
      <c r="CE483" s="147"/>
      <c r="CF483" s="143"/>
      <c r="CG483" s="163"/>
      <c r="CH483" s="143"/>
      <c r="CI483" s="143"/>
      <c r="CJ483" s="143"/>
      <c r="CK483" s="163"/>
      <c r="CL483" s="143"/>
      <c r="CM483" s="147"/>
      <c r="CN483" s="147"/>
      <c r="CO483" s="147"/>
      <c r="CP483" s="147"/>
      <c r="CQ483" s="147"/>
      <c r="CR483" s="147"/>
    </row>
    <row r="484" spans="1:96" s="123" customFormat="1" ht="25.15" customHeight="1" outlineLevel="1" x14ac:dyDescent="0.25">
      <c r="A484" s="1" t="s">
        <v>202</v>
      </c>
      <c r="B484" s="80" t="s">
        <v>3308</v>
      </c>
      <c r="C484" s="80"/>
      <c r="D484" s="162"/>
      <c r="E484" s="80" t="s">
        <v>1468</v>
      </c>
      <c r="F484" s="80" t="s">
        <v>1532</v>
      </c>
      <c r="G484" s="80" t="s">
        <v>450</v>
      </c>
      <c r="H484" s="80" t="s">
        <v>29</v>
      </c>
      <c r="I484" s="80"/>
      <c r="J484" s="80"/>
      <c r="K484" s="80" t="s">
        <v>30</v>
      </c>
      <c r="L484" s="80"/>
      <c r="M484" s="80" t="s">
        <v>3631</v>
      </c>
      <c r="N484" s="83" t="s">
        <v>63</v>
      </c>
      <c r="O484" s="80">
        <v>2924</v>
      </c>
      <c r="P484" s="80">
        <v>1956</v>
      </c>
      <c r="Q484" s="80">
        <v>1950</v>
      </c>
      <c r="R484" s="80"/>
      <c r="S484" s="80">
        <v>2730</v>
      </c>
      <c r="T484" s="80">
        <v>2100</v>
      </c>
      <c r="U484" s="80">
        <v>5863</v>
      </c>
      <c r="V484" s="80">
        <v>690</v>
      </c>
      <c r="W484" s="80">
        <v>3682</v>
      </c>
      <c r="X484" s="80">
        <v>1312</v>
      </c>
      <c r="Y484" s="80"/>
      <c r="Z484" s="80"/>
      <c r="AA484" s="80" t="s">
        <v>3632</v>
      </c>
      <c r="AB484" s="80">
        <v>3500</v>
      </c>
      <c r="AC484" s="80">
        <v>990</v>
      </c>
      <c r="AD484" s="80"/>
      <c r="AE484" s="80"/>
      <c r="AF484" s="80"/>
      <c r="AG484" s="80"/>
      <c r="AH484" s="80" t="s">
        <v>3612</v>
      </c>
      <c r="AI484" s="80" t="s">
        <v>3613</v>
      </c>
      <c r="AJ484" s="80" t="s">
        <v>4332</v>
      </c>
      <c r="AK484" s="80" t="s">
        <v>3614</v>
      </c>
      <c r="AL484" s="37" t="s">
        <v>2658</v>
      </c>
      <c r="AM484" s="90" t="s">
        <v>3633</v>
      </c>
      <c r="AN484" s="37" t="s">
        <v>2902</v>
      </c>
      <c r="AO484" s="90" t="s">
        <v>3616</v>
      </c>
      <c r="AP484" s="37" t="s">
        <v>2960</v>
      </c>
      <c r="AQ484" s="90" t="s">
        <v>3617</v>
      </c>
      <c r="AR484" s="80" t="s">
        <v>4193</v>
      </c>
      <c r="AS484" s="80"/>
      <c r="AT484" s="80"/>
      <c r="AU484" s="80" t="s">
        <v>3618</v>
      </c>
      <c r="AV484" s="80"/>
      <c r="AW484" s="80"/>
      <c r="AX484" s="80"/>
      <c r="AY484" s="80"/>
      <c r="AZ484" s="80"/>
      <c r="BA484" s="161"/>
      <c r="BB484" s="80"/>
      <c r="BC484" s="80"/>
      <c r="BD484" s="80"/>
      <c r="BE484" s="91"/>
      <c r="BF484" s="91"/>
      <c r="BG484" s="91"/>
      <c r="BH484" s="91"/>
      <c r="BI484" s="91"/>
      <c r="BJ484" s="91"/>
      <c r="BK484" s="91"/>
      <c r="BL484" s="91"/>
      <c r="BM484" s="91"/>
      <c r="BN484" s="91"/>
      <c r="BO484" s="91"/>
      <c r="BP484" s="91"/>
      <c r="BQ484" s="91"/>
      <c r="BR484" s="91"/>
      <c r="BS484" s="91"/>
      <c r="BT484" s="91"/>
      <c r="BU484" s="91"/>
      <c r="BV484" s="91"/>
      <c r="BW484" s="91"/>
      <c r="BX484" s="91"/>
      <c r="BY484" s="91"/>
      <c r="CA484" s="122"/>
      <c r="CB484" s="111"/>
      <c r="CC484" s="201"/>
      <c r="CD484" s="202"/>
      <c r="CE484" s="147"/>
      <c r="CF484" s="143"/>
      <c r="CG484" s="163"/>
      <c r="CH484" s="143"/>
      <c r="CI484" s="143"/>
      <c r="CJ484" s="143"/>
      <c r="CK484" s="163"/>
      <c r="CL484" s="143"/>
      <c r="CM484" s="147"/>
      <c r="CN484" s="147"/>
      <c r="CO484" s="147"/>
      <c r="CP484" s="147"/>
      <c r="CQ484" s="147"/>
      <c r="CR484" s="147"/>
    </row>
    <row r="485" spans="1:96" s="81" customFormat="1" ht="25.15" customHeight="1" x14ac:dyDescent="0.25">
      <c r="A485" s="9" t="s">
        <v>202</v>
      </c>
      <c r="B485" s="85" t="s">
        <v>488</v>
      </c>
      <c r="C485" s="80"/>
      <c r="D485" s="80"/>
      <c r="E485" s="80" t="s">
        <v>33</v>
      </c>
      <c r="F485" s="80" t="s">
        <v>34</v>
      </c>
      <c r="G485" s="80" t="s">
        <v>85</v>
      </c>
      <c r="H485" s="80" t="s">
        <v>12</v>
      </c>
      <c r="I485" s="80"/>
      <c r="J485" s="80"/>
      <c r="K485" s="80" t="s">
        <v>30</v>
      </c>
      <c r="L485" s="80"/>
      <c r="M485" s="80" t="s">
        <v>1114</v>
      </c>
      <c r="N485" s="80" t="s">
        <v>451</v>
      </c>
      <c r="O485" s="37">
        <v>3527</v>
      </c>
      <c r="P485" s="37">
        <v>1906</v>
      </c>
      <c r="Q485" s="37">
        <v>2050</v>
      </c>
      <c r="R485" s="37"/>
      <c r="S485" s="37">
        <v>3006</v>
      </c>
      <c r="T485" s="37">
        <v>2050</v>
      </c>
      <c r="U485" s="37">
        <v>6212</v>
      </c>
      <c r="V485" s="37">
        <v>865</v>
      </c>
      <c r="W485" s="37">
        <v>3450</v>
      </c>
      <c r="X485" s="37">
        <v>1725</v>
      </c>
      <c r="Y485" s="37"/>
      <c r="Z485" s="37">
        <v>5</v>
      </c>
      <c r="AA485" s="37" t="s">
        <v>1070</v>
      </c>
      <c r="AB485" s="37">
        <v>3500</v>
      </c>
      <c r="AC485" s="37">
        <v>715</v>
      </c>
      <c r="AD485" s="37"/>
      <c r="AE485" s="37"/>
      <c r="AF485" s="37"/>
      <c r="AG485" s="37"/>
      <c r="AH485" s="37">
        <v>13.7</v>
      </c>
      <c r="AI485" s="37" t="s">
        <v>2855</v>
      </c>
      <c r="AJ485" s="37" t="s">
        <v>2862</v>
      </c>
      <c r="AK485" s="37" t="s">
        <v>2712</v>
      </c>
      <c r="AL485" s="37" t="s">
        <v>2658</v>
      </c>
      <c r="AM485" s="37" t="s">
        <v>2950</v>
      </c>
      <c r="AN485" s="37" t="s">
        <v>2910</v>
      </c>
      <c r="AO485" s="37" t="s">
        <v>3135</v>
      </c>
      <c r="AP485" s="37" t="s">
        <v>3122</v>
      </c>
      <c r="AQ485" s="37" t="s">
        <v>2769</v>
      </c>
      <c r="AR485" s="37" t="s">
        <v>2799</v>
      </c>
      <c r="AS485" s="80"/>
      <c r="AT485" s="80"/>
      <c r="AU485" s="84" t="s">
        <v>3192</v>
      </c>
      <c r="AV485" s="84" t="s">
        <v>3179</v>
      </c>
      <c r="AW485" s="84" t="s">
        <v>3180</v>
      </c>
      <c r="AX485" s="80"/>
      <c r="AY485" s="80"/>
      <c r="AZ485" s="80"/>
      <c r="BA485" s="80"/>
      <c r="BB485" s="80"/>
      <c r="BC485" s="80"/>
      <c r="BD485" s="80"/>
      <c r="BE485" s="80"/>
      <c r="BF485" s="80"/>
      <c r="BG485" s="80"/>
      <c r="BH485" s="80"/>
      <c r="BI485" s="80"/>
      <c r="BJ485" s="80"/>
      <c r="BK485" s="80"/>
      <c r="BL485" s="80"/>
      <c r="BM485" s="80"/>
      <c r="BN485" s="80"/>
      <c r="BO485" s="80"/>
      <c r="BP485" s="80"/>
      <c r="BQ485" s="80"/>
      <c r="BR485" s="80"/>
      <c r="BS485" s="80"/>
      <c r="BT485" s="80"/>
    </row>
    <row r="486" spans="1:96" s="81" customFormat="1" ht="25.15" customHeight="1" outlineLevel="1" x14ac:dyDescent="0.25">
      <c r="A486" s="9" t="s">
        <v>202</v>
      </c>
      <c r="B486" s="85" t="s">
        <v>488</v>
      </c>
      <c r="C486" s="80"/>
      <c r="D486" s="80"/>
      <c r="E486" s="80" t="s">
        <v>33</v>
      </c>
      <c r="F486" s="80" t="s">
        <v>34</v>
      </c>
      <c r="G486" s="80" t="s">
        <v>4362</v>
      </c>
      <c r="H486" s="80" t="s">
        <v>12</v>
      </c>
      <c r="I486" s="80" t="s">
        <v>7</v>
      </c>
      <c r="J486" s="80"/>
      <c r="K486" s="80" t="s">
        <v>30</v>
      </c>
      <c r="L486" s="80"/>
      <c r="M486" s="80" t="s">
        <v>489</v>
      </c>
      <c r="N486" s="83" t="s">
        <v>461</v>
      </c>
      <c r="O486" s="37">
        <v>3722</v>
      </c>
      <c r="P486" s="37">
        <v>2146</v>
      </c>
      <c r="Q486" s="37">
        <v>2050</v>
      </c>
      <c r="R486" s="37"/>
      <c r="S486" s="37">
        <v>3232</v>
      </c>
      <c r="T486" s="37">
        <v>2300</v>
      </c>
      <c r="U486" s="37">
        <v>6482</v>
      </c>
      <c r="V486" s="37">
        <v>1090</v>
      </c>
      <c r="W486" s="37">
        <v>3750</v>
      </c>
      <c r="X486" s="37">
        <v>1675</v>
      </c>
      <c r="Y486" s="37"/>
      <c r="Z486" s="37">
        <v>7</v>
      </c>
      <c r="AA486" s="37" t="s">
        <v>1071</v>
      </c>
      <c r="AB486" s="37">
        <v>7200</v>
      </c>
      <c r="AC486" s="37">
        <v>2855</v>
      </c>
      <c r="AD486" s="37"/>
      <c r="AE486" s="37"/>
      <c r="AF486" s="37"/>
      <c r="AG486" s="37"/>
      <c r="AH486" s="37">
        <v>16.3</v>
      </c>
      <c r="AI486" s="37" t="s">
        <v>2861</v>
      </c>
      <c r="AJ486" s="37" t="s">
        <v>2881</v>
      </c>
      <c r="AK486" s="37" t="s">
        <v>2713</v>
      </c>
      <c r="AL486" s="37" t="s">
        <v>2661</v>
      </c>
      <c r="AM486" s="37" t="s">
        <v>2951</v>
      </c>
      <c r="AN486" s="37" t="s">
        <v>2911</v>
      </c>
      <c r="AO486" s="37" t="s">
        <v>3083</v>
      </c>
      <c r="AP486" s="37" t="s">
        <v>3085</v>
      </c>
      <c r="AQ486" s="37" t="s">
        <v>2795</v>
      </c>
      <c r="AR486" s="37" t="s">
        <v>2811</v>
      </c>
      <c r="AS486" s="37" t="s">
        <v>2586</v>
      </c>
      <c r="AT486" s="37" t="s">
        <v>2581</v>
      </c>
      <c r="AU486" s="84" t="s">
        <v>3193</v>
      </c>
      <c r="AV486" s="84" t="s">
        <v>3179</v>
      </c>
      <c r="AW486" s="84" t="s">
        <v>3180</v>
      </c>
      <c r="AX486" s="80"/>
      <c r="AY486" s="80"/>
      <c r="AZ486" s="80"/>
      <c r="BA486" s="80"/>
      <c r="BB486" s="80"/>
      <c r="BC486" s="80"/>
      <c r="BD486" s="80"/>
      <c r="BE486" s="80"/>
      <c r="BF486" s="80"/>
      <c r="BG486" s="80"/>
      <c r="BH486" s="80"/>
      <c r="BI486" s="80"/>
      <c r="BJ486" s="80"/>
      <c r="BK486" s="80"/>
      <c r="BL486" s="80"/>
      <c r="BM486" s="80"/>
      <c r="BN486" s="80"/>
      <c r="BO486" s="80"/>
      <c r="BP486" s="80"/>
      <c r="BQ486" s="80"/>
      <c r="BR486" s="80"/>
      <c r="BS486" s="80"/>
      <c r="BT486" s="80"/>
    </row>
    <row r="487" spans="1:96" s="81" customFormat="1" ht="25.15" customHeight="1" outlineLevel="1" x14ac:dyDescent="0.25">
      <c r="A487" s="9" t="s">
        <v>202</v>
      </c>
      <c r="B487" s="85" t="s">
        <v>488</v>
      </c>
      <c r="C487" s="80"/>
      <c r="D487" s="80"/>
      <c r="E487" s="80" t="s">
        <v>33</v>
      </c>
      <c r="F487" s="80" t="s">
        <v>37</v>
      </c>
      <c r="G487" s="80" t="s">
        <v>38</v>
      </c>
      <c r="H487" s="80" t="s">
        <v>12</v>
      </c>
      <c r="I487" s="80" t="s">
        <v>7</v>
      </c>
      <c r="J487" s="80"/>
      <c r="K487" s="80" t="s">
        <v>30</v>
      </c>
      <c r="L487" s="80"/>
      <c r="M487" s="80" t="s">
        <v>750</v>
      </c>
      <c r="N487" s="80" t="s">
        <v>456</v>
      </c>
      <c r="O487" s="37">
        <v>5770</v>
      </c>
      <c r="P487" s="37">
        <v>2478</v>
      </c>
      <c r="Q487" s="37">
        <v>2400</v>
      </c>
      <c r="R487" s="37"/>
      <c r="S487" s="37">
        <v>3685</v>
      </c>
      <c r="T487" s="37">
        <v>2600</v>
      </c>
      <c r="U487" s="37">
        <v>8012</v>
      </c>
      <c r="V487" s="37">
        <v>1150</v>
      </c>
      <c r="W487" s="37">
        <v>4185</v>
      </c>
      <c r="X487" s="37">
        <v>2465</v>
      </c>
      <c r="Y487" s="37"/>
      <c r="Z487" s="37">
        <v>12</v>
      </c>
      <c r="AA487" s="37" t="s">
        <v>1072</v>
      </c>
      <c r="AB487" s="37">
        <v>11990</v>
      </c>
      <c r="AC487" s="37">
        <v>3435</v>
      </c>
      <c r="AD487" s="37"/>
      <c r="AE487" s="37"/>
      <c r="AF487" s="37"/>
      <c r="AG487" s="37"/>
      <c r="AH487" s="37">
        <v>34</v>
      </c>
      <c r="AI487" s="37" t="s">
        <v>2875</v>
      </c>
      <c r="AJ487" s="37" t="s">
        <v>2873</v>
      </c>
      <c r="AK487" s="37" t="s">
        <v>2717</v>
      </c>
      <c r="AL487" s="37" t="s">
        <v>2719</v>
      </c>
      <c r="AM487" s="37" t="s">
        <v>2946</v>
      </c>
      <c r="AN487" s="37" t="s">
        <v>2915</v>
      </c>
      <c r="AO487" s="37" t="s">
        <v>3146</v>
      </c>
      <c r="AP487" s="37" t="s">
        <v>3094</v>
      </c>
      <c r="AQ487" s="37" t="s">
        <v>2772</v>
      </c>
      <c r="AR487" s="37" t="s">
        <v>2808</v>
      </c>
      <c r="AS487" s="37" t="s">
        <v>2592</v>
      </c>
      <c r="AT487" s="37" t="s">
        <v>2581</v>
      </c>
      <c r="AU487" s="84" t="s">
        <v>3194</v>
      </c>
      <c r="AV487" s="84" t="s">
        <v>3179</v>
      </c>
      <c r="AW487" s="84" t="s">
        <v>3180</v>
      </c>
      <c r="AX487" s="80"/>
      <c r="AY487" s="80"/>
      <c r="AZ487" s="80"/>
      <c r="BA487" s="80"/>
      <c r="BB487" s="80"/>
      <c r="BC487" s="80"/>
      <c r="BD487" s="80"/>
      <c r="BE487" s="80"/>
      <c r="BF487" s="80"/>
      <c r="BG487" s="80"/>
      <c r="BH487" s="80"/>
      <c r="BI487" s="80"/>
      <c r="BJ487" s="80"/>
      <c r="BK487" s="80"/>
      <c r="BL487" s="80"/>
      <c r="BM487" s="80"/>
      <c r="BN487" s="80"/>
      <c r="BO487" s="80"/>
      <c r="BP487" s="80"/>
      <c r="BQ487" s="80"/>
      <c r="BR487" s="80"/>
      <c r="BS487" s="80"/>
      <c r="BT487" s="80"/>
    </row>
    <row r="488" spans="1:96" s="81" customFormat="1" ht="25.15" customHeight="1" outlineLevel="1" x14ac:dyDescent="0.25">
      <c r="A488" s="9" t="s">
        <v>202</v>
      </c>
      <c r="B488" s="85" t="s">
        <v>488</v>
      </c>
      <c r="C488" s="80"/>
      <c r="D488" s="80"/>
      <c r="E488" s="80" t="s">
        <v>33</v>
      </c>
      <c r="F488" s="80" t="s">
        <v>37</v>
      </c>
      <c r="G488" s="80" t="s">
        <v>4360</v>
      </c>
      <c r="H488" s="80" t="s">
        <v>12</v>
      </c>
      <c r="I488" s="80" t="s">
        <v>7</v>
      </c>
      <c r="J488" s="80"/>
      <c r="K488" s="80" t="s">
        <v>30</v>
      </c>
      <c r="L488" s="80"/>
      <c r="M488" s="80" t="s">
        <v>509</v>
      </c>
      <c r="N488" s="80" t="s">
        <v>456</v>
      </c>
      <c r="O488" s="37">
        <v>6770</v>
      </c>
      <c r="P488" s="37">
        <v>2478</v>
      </c>
      <c r="Q488" s="37">
        <v>2400</v>
      </c>
      <c r="R488" s="37"/>
      <c r="S488" s="37">
        <v>3695</v>
      </c>
      <c r="T488" s="37">
        <v>2600</v>
      </c>
      <c r="U488" s="37">
        <v>9012</v>
      </c>
      <c r="V488" s="37">
        <v>1160</v>
      </c>
      <c r="W488" s="37">
        <v>4815</v>
      </c>
      <c r="X488" s="37">
        <v>2835</v>
      </c>
      <c r="Y488" s="37"/>
      <c r="Z488" s="37">
        <v>15</v>
      </c>
      <c r="AA488" s="37" t="s">
        <v>1081</v>
      </c>
      <c r="AB488" s="37">
        <v>16000</v>
      </c>
      <c r="AC488" s="37">
        <v>6460</v>
      </c>
      <c r="AD488" s="37"/>
      <c r="AE488" s="37"/>
      <c r="AF488" s="37"/>
      <c r="AG488" s="37"/>
      <c r="AH488" s="37">
        <v>40</v>
      </c>
      <c r="AI488" s="37" t="s">
        <v>2875</v>
      </c>
      <c r="AJ488" s="37" t="s">
        <v>2873</v>
      </c>
      <c r="AK488" s="37" t="s">
        <v>2720</v>
      </c>
      <c r="AL488" s="37" t="s">
        <v>2730</v>
      </c>
      <c r="AM488" s="37" t="s">
        <v>2947</v>
      </c>
      <c r="AN488" s="37" t="s">
        <v>2915</v>
      </c>
      <c r="AO488" s="37" t="s">
        <v>3177</v>
      </c>
      <c r="AP488" s="37" t="s">
        <v>3147</v>
      </c>
      <c r="AQ488" s="37" t="s">
        <v>2794</v>
      </c>
      <c r="AR488" s="37" t="s">
        <v>2810</v>
      </c>
      <c r="AS488" s="37" t="s">
        <v>2596</v>
      </c>
      <c r="AT488" s="37" t="s">
        <v>2581</v>
      </c>
      <c r="AU488" s="84" t="s">
        <v>3195</v>
      </c>
      <c r="AV488" s="84" t="s">
        <v>3179</v>
      </c>
      <c r="AW488" s="84" t="s">
        <v>3180</v>
      </c>
      <c r="AX488" s="80"/>
      <c r="AY488" s="80"/>
      <c r="AZ488" s="80"/>
      <c r="BA488" s="80"/>
      <c r="BB488" s="80"/>
      <c r="BC488" s="80"/>
      <c r="BD488" s="80"/>
      <c r="BE488" s="80"/>
      <c r="BF488" s="80"/>
      <c r="BG488" s="80"/>
      <c r="BH488" s="80"/>
      <c r="BI488" s="80"/>
      <c r="BJ488" s="80"/>
      <c r="BK488" s="80"/>
      <c r="BL488" s="80"/>
      <c r="BM488" s="80"/>
      <c r="BN488" s="80"/>
      <c r="BO488" s="80"/>
      <c r="BP488" s="80"/>
      <c r="BQ488" s="80"/>
      <c r="BR488" s="80"/>
      <c r="BS488" s="80"/>
      <c r="BT488" s="80"/>
    </row>
    <row r="489" spans="1:96" s="81" customFormat="1" ht="25.15" customHeight="1" outlineLevel="1" x14ac:dyDescent="0.25">
      <c r="A489" s="9" t="s">
        <v>202</v>
      </c>
      <c r="B489" s="85" t="s">
        <v>488</v>
      </c>
      <c r="C489" s="80"/>
      <c r="D489" s="80"/>
      <c r="E489" s="80" t="s">
        <v>33</v>
      </c>
      <c r="F489" s="80" t="s">
        <v>37</v>
      </c>
      <c r="G489" s="80" t="s">
        <v>4360</v>
      </c>
      <c r="H489" s="80" t="s">
        <v>12</v>
      </c>
      <c r="I489" s="80" t="s">
        <v>7</v>
      </c>
      <c r="J489" s="80"/>
      <c r="K489" s="80" t="s">
        <v>30</v>
      </c>
      <c r="L489" s="80"/>
      <c r="M489" s="80" t="s">
        <v>510</v>
      </c>
      <c r="N489" s="80" t="s">
        <v>456</v>
      </c>
      <c r="O489" s="37">
        <v>7070</v>
      </c>
      <c r="P489" s="37">
        <v>2478</v>
      </c>
      <c r="Q489" s="37">
        <v>2400</v>
      </c>
      <c r="R489" s="37"/>
      <c r="S489" s="37">
        <v>3769</v>
      </c>
      <c r="T489" s="37">
        <v>2600</v>
      </c>
      <c r="U489" s="37">
        <v>9311</v>
      </c>
      <c r="V489" s="37">
        <v>1160</v>
      </c>
      <c r="W489" s="37">
        <v>5175</v>
      </c>
      <c r="X489" s="37">
        <v>2775</v>
      </c>
      <c r="Y489" s="37"/>
      <c r="Z489" s="37">
        <v>15</v>
      </c>
      <c r="AA489" s="37" t="s">
        <v>1082</v>
      </c>
      <c r="AB489" s="37">
        <v>16000</v>
      </c>
      <c r="AC489" s="37">
        <v>6225</v>
      </c>
      <c r="AD489" s="37"/>
      <c r="AE489" s="37"/>
      <c r="AF489" s="37"/>
      <c r="AG489" s="37"/>
      <c r="AH489" s="37">
        <v>42</v>
      </c>
      <c r="AI489" s="37" t="s">
        <v>2875</v>
      </c>
      <c r="AJ489" s="37" t="s">
        <v>2873</v>
      </c>
      <c r="AK489" s="37" t="s">
        <v>2720</v>
      </c>
      <c r="AL489" s="37" t="s">
        <v>2730</v>
      </c>
      <c r="AM489" s="37" t="s">
        <v>2947</v>
      </c>
      <c r="AN489" s="37" t="s">
        <v>2915</v>
      </c>
      <c r="AO489" s="37" t="s">
        <v>3175</v>
      </c>
      <c r="AP489" s="37" t="s">
        <v>3103</v>
      </c>
      <c r="AQ489" s="37" t="s">
        <v>2793</v>
      </c>
      <c r="AR489" s="37" t="s">
        <v>2810</v>
      </c>
      <c r="AS489" s="37" t="s">
        <v>2596</v>
      </c>
      <c r="AT489" s="37" t="s">
        <v>2581</v>
      </c>
      <c r="AU489" s="84" t="s">
        <v>3196</v>
      </c>
      <c r="AV489" s="84" t="s">
        <v>3179</v>
      </c>
      <c r="AW489" s="84" t="s">
        <v>3180</v>
      </c>
      <c r="AX489" s="80"/>
      <c r="AY489" s="80"/>
      <c r="AZ489" s="80"/>
      <c r="BA489" s="80"/>
      <c r="BB489" s="80"/>
      <c r="BC489" s="80"/>
      <c r="BD489" s="80"/>
      <c r="BE489" s="80"/>
      <c r="BF489" s="80"/>
      <c r="BG489" s="80"/>
      <c r="BH489" s="80"/>
      <c r="BI489" s="80"/>
      <c r="BJ489" s="80"/>
      <c r="BK489" s="80"/>
      <c r="BL489" s="80"/>
      <c r="BM489" s="80"/>
      <c r="BN489" s="80"/>
      <c r="BO489" s="80"/>
      <c r="BP489" s="80"/>
      <c r="BQ489" s="80"/>
      <c r="BR489" s="80"/>
      <c r="BS489" s="80"/>
      <c r="BT489" s="80"/>
    </row>
    <row r="490" spans="1:96" s="81" customFormat="1" ht="25.15" customHeight="1" outlineLevel="1" x14ac:dyDescent="0.25">
      <c r="A490" s="9" t="s">
        <v>202</v>
      </c>
      <c r="B490" s="85" t="s">
        <v>488</v>
      </c>
      <c r="C490" s="80"/>
      <c r="D490" s="80"/>
      <c r="E490" s="80" t="s">
        <v>33</v>
      </c>
      <c r="F490" s="80" t="s">
        <v>37</v>
      </c>
      <c r="G490" s="80" t="s">
        <v>42</v>
      </c>
      <c r="H490" s="80" t="s">
        <v>12</v>
      </c>
      <c r="I490" s="80" t="s">
        <v>7</v>
      </c>
      <c r="J490" s="80"/>
      <c r="K490" s="80" t="s">
        <v>30</v>
      </c>
      <c r="L490" s="80"/>
      <c r="M490" s="80" t="s">
        <v>511</v>
      </c>
      <c r="N490" s="80" t="s">
        <v>456</v>
      </c>
      <c r="O490" s="37">
        <v>7970</v>
      </c>
      <c r="P490" s="37">
        <v>2478</v>
      </c>
      <c r="Q490" s="37">
        <v>2400</v>
      </c>
      <c r="R490" s="37"/>
      <c r="S490" s="37">
        <v>3695</v>
      </c>
      <c r="T490" s="37">
        <v>2600</v>
      </c>
      <c r="U490" s="37">
        <v>10162</v>
      </c>
      <c r="V490" s="37">
        <v>1160</v>
      </c>
      <c r="W490" s="37">
        <v>5670</v>
      </c>
      <c r="X490" s="37">
        <v>3130</v>
      </c>
      <c r="Y490" s="37"/>
      <c r="Z490" s="37">
        <v>18</v>
      </c>
      <c r="AA490" s="37" t="s">
        <v>1081</v>
      </c>
      <c r="AB490" s="37">
        <v>16000</v>
      </c>
      <c r="AC490" s="37">
        <v>5995</v>
      </c>
      <c r="AD490" s="37"/>
      <c r="AE490" s="37"/>
      <c r="AF490" s="37"/>
      <c r="AG490" s="37"/>
      <c r="AH490" s="37">
        <v>47.2</v>
      </c>
      <c r="AI490" s="37" t="s">
        <v>2875</v>
      </c>
      <c r="AJ490" s="37" t="s">
        <v>2873</v>
      </c>
      <c r="AK490" s="37" t="s">
        <v>2720</v>
      </c>
      <c r="AL490" s="37" t="s">
        <v>2730</v>
      </c>
      <c r="AM490" s="37" t="s">
        <v>2947</v>
      </c>
      <c r="AN490" s="37" t="s">
        <v>2915</v>
      </c>
      <c r="AO490" s="37" t="s">
        <v>3178</v>
      </c>
      <c r="AP490" s="37" t="s">
        <v>3148</v>
      </c>
      <c r="AQ490" s="37" t="s">
        <v>2794</v>
      </c>
      <c r="AR490" s="37" t="s">
        <v>2810</v>
      </c>
      <c r="AS490" s="37" t="s">
        <v>2596</v>
      </c>
      <c r="AT490" s="37" t="s">
        <v>2581</v>
      </c>
      <c r="AU490" s="84" t="s">
        <v>3197</v>
      </c>
      <c r="AV490" s="84" t="s">
        <v>3179</v>
      </c>
      <c r="AW490" s="84" t="s">
        <v>3180</v>
      </c>
      <c r="AX490" s="80"/>
      <c r="AY490" s="80"/>
      <c r="AZ490" s="80"/>
      <c r="BA490" s="80"/>
      <c r="BB490" s="80"/>
      <c r="BC490" s="80"/>
      <c r="BD490" s="80"/>
      <c r="BE490" s="80"/>
      <c r="BF490" s="80"/>
      <c r="BG490" s="80"/>
      <c r="BH490" s="80"/>
      <c r="BI490" s="80"/>
      <c r="BJ490" s="80"/>
      <c r="BK490" s="80"/>
      <c r="BL490" s="80"/>
      <c r="BM490" s="80"/>
      <c r="BN490" s="80"/>
      <c r="BO490" s="80"/>
      <c r="BP490" s="80"/>
      <c r="BQ490" s="80"/>
      <c r="BR490" s="80"/>
      <c r="BS490" s="80"/>
      <c r="BT490" s="80"/>
    </row>
    <row r="491" spans="1:96" s="81" customFormat="1" ht="25.15" customHeight="1" outlineLevel="1" x14ac:dyDescent="0.25">
      <c r="A491" s="9" t="s">
        <v>202</v>
      </c>
      <c r="B491" s="85" t="s">
        <v>488</v>
      </c>
      <c r="C491" s="80"/>
      <c r="D491" s="80"/>
      <c r="E491" s="80" t="s">
        <v>33</v>
      </c>
      <c r="F491" s="80" t="s">
        <v>37</v>
      </c>
      <c r="G491" s="80" t="s">
        <v>42</v>
      </c>
      <c r="H491" s="80" t="s">
        <v>12</v>
      </c>
      <c r="I491" s="80" t="s">
        <v>7</v>
      </c>
      <c r="J491" s="80"/>
      <c r="K491" s="80" t="s">
        <v>30</v>
      </c>
      <c r="L491" s="80"/>
      <c r="M491" s="80" t="s">
        <v>512</v>
      </c>
      <c r="N491" s="80" t="s">
        <v>456</v>
      </c>
      <c r="O491" s="37">
        <v>7970</v>
      </c>
      <c r="P491" s="37">
        <v>2478</v>
      </c>
      <c r="Q491" s="37">
        <v>2400</v>
      </c>
      <c r="R491" s="37"/>
      <c r="S491" s="37">
        <v>3695</v>
      </c>
      <c r="T491" s="37">
        <v>2600</v>
      </c>
      <c r="U491" s="37">
        <v>10162</v>
      </c>
      <c r="V491" s="37">
        <v>1160</v>
      </c>
      <c r="W491" s="37">
        <v>5670</v>
      </c>
      <c r="X491" s="37">
        <v>3130</v>
      </c>
      <c r="Y491" s="37"/>
      <c r="Z491" s="37">
        <v>18</v>
      </c>
      <c r="AA491" s="37" t="s">
        <v>1081</v>
      </c>
      <c r="AB491" s="37">
        <v>16000</v>
      </c>
      <c r="AC491" s="37">
        <v>5995</v>
      </c>
      <c r="AD491" s="37"/>
      <c r="AE491" s="37"/>
      <c r="AF491" s="37"/>
      <c r="AG491" s="37"/>
      <c r="AH491" s="37">
        <v>47.2</v>
      </c>
      <c r="AI491" s="37" t="s">
        <v>2875</v>
      </c>
      <c r="AJ491" s="37" t="s">
        <v>2873</v>
      </c>
      <c r="AK491" s="37" t="s">
        <v>2720</v>
      </c>
      <c r="AL491" s="37" t="s">
        <v>2730</v>
      </c>
      <c r="AM491" s="37" t="s">
        <v>2947</v>
      </c>
      <c r="AN491" s="37" t="s">
        <v>2915</v>
      </c>
      <c r="AO491" s="37" t="s">
        <v>3176</v>
      </c>
      <c r="AP491" s="37" t="s">
        <v>3107</v>
      </c>
      <c r="AQ491" s="37" t="s">
        <v>2793</v>
      </c>
      <c r="AR491" s="37" t="s">
        <v>2810</v>
      </c>
      <c r="AS491" s="37" t="s">
        <v>2596</v>
      </c>
      <c r="AT491" s="37" t="s">
        <v>2581</v>
      </c>
      <c r="AU491" s="84" t="s">
        <v>3198</v>
      </c>
      <c r="AV491" s="84" t="s">
        <v>3179</v>
      </c>
      <c r="AW491" s="84" t="s">
        <v>3180</v>
      </c>
      <c r="AX491" s="80"/>
      <c r="AY491" s="80"/>
      <c r="AZ491" s="80"/>
      <c r="BA491" s="80"/>
      <c r="BB491" s="80"/>
      <c r="BC491" s="80"/>
      <c r="BD491" s="80"/>
      <c r="BE491" s="80"/>
      <c r="BF491" s="80"/>
      <c r="BG491" s="80"/>
      <c r="BH491" s="80"/>
      <c r="BI491" s="80"/>
      <c r="BJ491" s="80"/>
      <c r="BK491" s="80"/>
      <c r="BL491" s="80"/>
      <c r="BM491" s="80"/>
      <c r="BN491" s="80"/>
      <c r="BO491" s="80"/>
      <c r="BP491" s="80"/>
      <c r="BQ491" s="80"/>
      <c r="BR491" s="80"/>
      <c r="BS491" s="80"/>
      <c r="BT491" s="80"/>
    </row>
    <row r="492" spans="1:96" customFormat="1" ht="25.15" customHeight="1" outlineLevel="1" x14ac:dyDescent="0.25">
      <c r="A492" s="9" t="s">
        <v>202</v>
      </c>
      <c r="B492" s="85" t="s">
        <v>488</v>
      </c>
      <c r="C492" s="80"/>
      <c r="D492" s="80"/>
      <c r="E492" s="80" t="s">
        <v>469</v>
      </c>
      <c r="F492" s="80" t="s">
        <v>50</v>
      </c>
      <c r="G492" s="80" t="s">
        <v>38</v>
      </c>
      <c r="H492" s="80" t="s">
        <v>12</v>
      </c>
      <c r="I492" s="80" t="s">
        <v>7</v>
      </c>
      <c r="J492" s="80"/>
      <c r="K492" s="80" t="s">
        <v>30</v>
      </c>
      <c r="L492" s="80"/>
      <c r="M492" s="80" t="s">
        <v>1085</v>
      </c>
      <c r="N492" s="80" t="s">
        <v>456</v>
      </c>
      <c r="O492" s="37">
        <v>5570</v>
      </c>
      <c r="P492" s="37">
        <v>2478</v>
      </c>
      <c r="Q492" s="37">
        <v>2400</v>
      </c>
      <c r="R492" s="37"/>
      <c r="S492" s="37">
        <v>3685</v>
      </c>
      <c r="T492" s="37">
        <v>2600</v>
      </c>
      <c r="U492" s="37">
        <v>7725</v>
      </c>
      <c r="V492" s="37">
        <v>1150</v>
      </c>
      <c r="W492" s="37">
        <v>3800</v>
      </c>
      <c r="X492" s="37">
        <v>2600</v>
      </c>
      <c r="Y492" s="37"/>
      <c r="Z492" s="37">
        <v>12</v>
      </c>
      <c r="AA492" s="37" t="s">
        <v>1076</v>
      </c>
      <c r="AB492" s="37">
        <v>11990</v>
      </c>
      <c r="AC492" s="37">
        <v>3390</v>
      </c>
      <c r="AD492" s="37"/>
      <c r="AE492" s="37"/>
      <c r="AF492" s="37"/>
      <c r="AG492" s="37"/>
      <c r="AH492" s="37">
        <v>33</v>
      </c>
      <c r="AI492" s="37" t="s">
        <v>2877</v>
      </c>
      <c r="AJ492" s="37" t="s">
        <v>2869</v>
      </c>
      <c r="AK492" s="37" t="s">
        <v>2724</v>
      </c>
      <c r="AL492" s="37" t="s">
        <v>2726</v>
      </c>
      <c r="AM492" s="37" t="s">
        <v>2957</v>
      </c>
      <c r="AN492" s="37" t="s">
        <v>2914</v>
      </c>
      <c r="AO492" s="37" t="s">
        <v>3146</v>
      </c>
      <c r="AP492" s="37" t="s">
        <v>3093</v>
      </c>
      <c r="AQ492" s="37" t="s">
        <v>2773</v>
      </c>
      <c r="AR492" s="37" t="s">
        <v>2808</v>
      </c>
      <c r="AS492" s="37" t="s">
        <v>2593</v>
      </c>
      <c r="AT492" s="37" t="s">
        <v>2581</v>
      </c>
      <c r="AU492" s="84" t="s">
        <v>3199</v>
      </c>
      <c r="AV492" s="84" t="s">
        <v>3179</v>
      </c>
      <c r="AW492" s="84" t="s">
        <v>3180</v>
      </c>
      <c r="AX492" s="80"/>
      <c r="AY492" s="80"/>
      <c r="AZ492" s="80"/>
      <c r="BA492" s="80"/>
      <c r="BB492" s="80"/>
      <c r="BC492" s="80"/>
      <c r="BD492" s="80"/>
      <c r="BE492" s="80"/>
      <c r="BF492" s="80"/>
      <c r="BG492" s="80"/>
      <c r="BH492" s="80"/>
      <c r="BI492" s="80"/>
      <c r="BJ492" s="80"/>
      <c r="BK492" s="80"/>
      <c r="BL492" s="80"/>
      <c r="BM492" s="80"/>
      <c r="BN492" s="80"/>
      <c r="BO492" s="80"/>
      <c r="BP492" s="80"/>
      <c r="BQ492" s="80"/>
      <c r="BR492" s="80"/>
      <c r="BS492" s="80"/>
      <c r="BT492" s="80"/>
    </row>
    <row r="493" spans="1:96" s="81" customFormat="1" ht="25.15" customHeight="1" outlineLevel="1" x14ac:dyDescent="0.25">
      <c r="A493" s="9" t="s">
        <v>202</v>
      </c>
      <c r="B493" s="85" t="s">
        <v>488</v>
      </c>
      <c r="C493" s="80"/>
      <c r="D493" s="80"/>
      <c r="E493" s="80" t="s">
        <v>469</v>
      </c>
      <c r="F493" s="80" t="s">
        <v>50</v>
      </c>
      <c r="G493" s="80" t="s">
        <v>4360</v>
      </c>
      <c r="H493" s="80" t="s">
        <v>12</v>
      </c>
      <c r="I493" s="80" t="s">
        <v>7</v>
      </c>
      <c r="J493" s="80"/>
      <c r="K493" s="80" t="s">
        <v>30</v>
      </c>
      <c r="L493" s="80"/>
      <c r="M493" s="80" t="s">
        <v>513</v>
      </c>
      <c r="N493" s="80" t="s">
        <v>456</v>
      </c>
      <c r="O493" s="37">
        <v>6770</v>
      </c>
      <c r="P493" s="37">
        <v>2478</v>
      </c>
      <c r="Q493" s="37">
        <v>2400</v>
      </c>
      <c r="R493" s="37"/>
      <c r="S493" s="37">
        <v>3725</v>
      </c>
      <c r="T493" s="37">
        <v>2600</v>
      </c>
      <c r="U493" s="37">
        <v>8975</v>
      </c>
      <c r="V493" s="37">
        <v>1190</v>
      </c>
      <c r="W493" s="37">
        <v>5000</v>
      </c>
      <c r="X493" s="37">
        <v>2650</v>
      </c>
      <c r="Y493" s="37"/>
      <c r="Z493" s="37">
        <v>15</v>
      </c>
      <c r="AA493" s="37" t="s">
        <v>1083</v>
      </c>
      <c r="AB493" s="37">
        <v>16000</v>
      </c>
      <c r="AC493" s="37">
        <v>6430</v>
      </c>
      <c r="AD493" s="37"/>
      <c r="AE493" s="37"/>
      <c r="AF493" s="37"/>
      <c r="AG493" s="37"/>
      <c r="AH493" s="37">
        <v>40</v>
      </c>
      <c r="AI493" s="37" t="s">
        <v>2877</v>
      </c>
      <c r="AJ493" s="37" t="s">
        <v>2869</v>
      </c>
      <c r="AK493" s="37" t="s">
        <v>2724</v>
      </c>
      <c r="AL493" s="37" t="s">
        <v>2726</v>
      </c>
      <c r="AM493" s="37" t="s">
        <v>2944</v>
      </c>
      <c r="AN493" s="37" t="s">
        <v>2914</v>
      </c>
      <c r="AO493" s="37" t="s">
        <v>3177</v>
      </c>
      <c r="AP493" s="37" t="s">
        <v>3147</v>
      </c>
      <c r="AQ493" s="37" t="s">
        <v>2794</v>
      </c>
      <c r="AR493" s="37" t="s">
        <v>2810</v>
      </c>
      <c r="AS493" s="37" t="s">
        <v>2596</v>
      </c>
      <c r="AT493" s="37" t="s">
        <v>2581</v>
      </c>
      <c r="AU493" s="84" t="s">
        <v>3200</v>
      </c>
      <c r="AV493" s="84" t="s">
        <v>3179</v>
      </c>
      <c r="AW493" s="84" t="s">
        <v>3180</v>
      </c>
      <c r="AX493" s="80"/>
      <c r="AY493" s="80"/>
      <c r="AZ493" s="80"/>
      <c r="BA493" s="80"/>
      <c r="BB493" s="80"/>
      <c r="BC493" s="80"/>
      <c r="BD493" s="80"/>
      <c r="BE493" s="80"/>
      <c r="BF493" s="80"/>
      <c r="BG493" s="80"/>
      <c r="BH493" s="80"/>
      <c r="BI493" s="80"/>
      <c r="BJ493" s="80"/>
      <c r="BK493" s="80"/>
      <c r="BL493" s="80"/>
      <c r="BM493" s="80"/>
      <c r="BN493" s="80"/>
      <c r="BO493" s="80"/>
      <c r="BP493" s="80"/>
      <c r="BQ493" s="80"/>
      <c r="BR493" s="80"/>
      <c r="BS493" s="80"/>
      <c r="BT493" s="80"/>
    </row>
    <row r="494" spans="1:96" s="81" customFormat="1" ht="25.15" customHeight="1" outlineLevel="1" x14ac:dyDescent="0.25">
      <c r="A494" s="9" t="s">
        <v>202</v>
      </c>
      <c r="B494" s="85" t="s">
        <v>488</v>
      </c>
      <c r="C494" s="80"/>
      <c r="D494" s="80"/>
      <c r="E494" s="80" t="s">
        <v>469</v>
      </c>
      <c r="F494" s="80" t="s">
        <v>50</v>
      </c>
      <c r="G494" s="80" t="s">
        <v>4360</v>
      </c>
      <c r="H494" s="80" t="s">
        <v>12</v>
      </c>
      <c r="I494" s="80" t="s">
        <v>7</v>
      </c>
      <c r="J494" s="80"/>
      <c r="K494" s="80" t="s">
        <v>30</v>
      </c>
      <c r="L494" s="80"/>
      <c r="M494" s="80" t="s">
        <v>514</v>
      </c>
      <c r="N494" s="80" t="s">
        <v>456</v>
      </c>
      <c r="O494" s="37">
        <v>6770</v>
      </c>
      <c r="P494" s="37">
        <v>2478</v>
      </c>
      <c r="Q494" s="37">
        <v>2400</v>
      </c>
      <c r="R494" s="37"/>
      <c r="S494" s="37">
        <v>2600</v>
      </c>
      <c r="T494" s="37">
        <v>8975</v>
      </c>
      <c r="U494" s="37">
        <v>1190</v>
      </c>
      <c r="V494" s="37">
        <v>5000</v>
      </c>
      <c r="W494" s="37">
        <v>2650</v>
      </c>
      <c r="X494" s="37">
        <v>2910</v>
      </c>
      <c r="Y494" s="37"/>
      <c r="Z494" s="37">
        <v>15</v>
      </c>
      <c r="AA494" s="37" t="s">
        <v>1084</v>
      </c>
      <c r="AB494" s="37">
        <v>16000</v>
      </c>
      <c r="AC494" s="37">
        <v>6300</v>
      </c>
      <c r="AD494" s="37"/>
      <c r="AE494" s="37"/>
      <c r="AF494" s="37"/>
      <c r="AG494" s="37"/>
      <c r="AH494" s="37">
        <v>40</v>
      </c>
      <c r="AI494" s="37" t="s">
        <v>2877</v>
      </c>
      <c r="AJ494" s="37" t="s">
        <v>2869</v>
      </c>
      <c r="AK494" s="37" t="s">
        <v>2724</v>
      </c>
      <c r="AL494" s="37" t="s">
        <v>2726</v>
      </c>
      <c r="AM494" s="37" t="s">
        <v>2944</v>
      </c>
      <c r="AN494" s="37" t="s">
        <v>2914</v>
      </c>
      <c r="AO494" s="37" t="s">
        <v>3175</v>
      </c>
      <c r="AP494" s="37" t="s">
        <v>3102</v>
      </c>
      <c r="AQ494" s="37" t="s">
        <v>2793</v>
      </c>
      <c r="AR494" s="37" t="s">
        <v>2810</v>
      </c>
      <c r="AS494" s="37" t="s">
        <v>2596</v>
      </c>
      <c r="AT494" s="37" t="s">
        <v>2581</v>
      </c>
      <c r="AU494" s="84" t="s">
        <v>3201</v>
      </c>
      <c r="AV494" s="84" t="s">
        <v>3179</v>
      </c>
      <c r="AW494" s="84" t="s">
        <v>3180</v>
      </c>
      <c r="AX494" s="80"/>
      <c r="AY494" s="80"/>
      <c r="AZ494" s="80"/>
      <c r="BA494" s="80"/>
      <c r="BB494" s="80"/>
      <c r="BC494" s="80"/>
      <c r="BD494" s="80"/>
      <c r="BE494" s="80"/>
      <c r="BF494" s="80"/>
      <c r="BG494" s="80"/>
      <c r="BH494" s="80"/>
      <c r="BI494" s="80"/>
      <c r="BJ494" s="80"/>
      <c r="BK494" s="80"/>
      <c r="BL494" s="80"/>
      <c r="BM494" s="80"/>
      <c r="BN494" s="80"/>
      <c r="BO494" s="80"/>
      <c r="BP494" s="80"/>
      <c r="BQ494" s="80"/>
      <c r="BR494" s="80"/>
      <c r="BS494" s="80"/>
      <c r="BT494" s="80"/>
    </row>
    <row r="495" spans="1:96" s="81" customFormat="1" ht="25.15" customHeight="1" outlineLevel="1" x14ac:dyDescent="0.25">
      <c r="A495" s="9" t="s">
        <v>202</v>
      </c>
      <c r="B495" s="85" t="s">
        <v>488</v>
      </c>
      <c r="C495" s="80"/>
      <c r="D495" s="80"/>
      <c r="E495" s="80" t="s">
        <v>469</v>
      </c>
      <c r="F495" s="80" t="s">
        <v>50</v>
      </c>
      <c r="G495" s="80" t="s">
        <v>42</v>
      </c>
      <c r="H495" s="80" t="s">
        <v>12</v>
      </c>
      <c r="I495" s="80" t="s">
        <v>7</v>
      </c>
      <c r="J495" s="80"/>
      <c r="K495" s="80" t="s">
        <v>30</v>
      </c>
      <c r="L495" s="80"/>
      <c r="M495" s="80" t="s">
        <v>515</v>
      </c>
      <c r="N495" s="80" t="s">
        <v>456</v>
      </c>
      <c r="O495" s="37">
        <v>7970</v>
      </c>
      <c r="P495" s="37">
        <v>2478</v>
      </c>
      <c r="Q495" s="37">
        <v>2400</v>
      </c>
      <c r="R495" s="37"/>
      <c r="S495" s="37">
        <v>3725</v>
      </c>
      <c r="T495" s="37">
        <v>2600</v>
      </c>
      <c r="U495" s="37">
        <v>10125</v>
      </c>
      <c r="V495" s="37">
        <v>1190</v>
      </c>
      <c r="W495" s="37">
        <v>5600</v>
      </c>
      <c r="X495" s="37">
        <v>3200</v>
      </c>
      <c r="Y495" s="37"/>
      <c r="Z495" s="37">
        <v>18</v>
      </c>
      <c r="AA495" s="37" t="s">
        <v>1083</v>
      </c>
      <c r="AB495" s="37">
        <v>16000</v>
      </c>
      <c r="AC495" s="37">
        <v>6050</v>
      </c>
      <c r="AD495" s="37"/>
      <c r="AE495" s="37"/>
      <c r="AF495" s="37"/>
      <c r="AG495" s="37"/>
      <c r="AH495" s="37">
        <v>47</v>
      </c>
      <c r="AI495" s="37" t="s">
        <v>2877</v>
      </c>
      <c r="AJ495" s="37" t="s">
        <v>2869</v>
      </c>
      <c r="AK495" s="37" t="s">
        <v>2724</v>
      </c>
      <c r="AL495" s="37" t="s">
        <v>2726</v>
      </c>
      <c r="AM495" s="37" t="s">
        <v>2944</v>
      </c>
      <c r="AN495" s="37" t="s">
        <v>2914</v>
      </c>
      <c r="AO495" s="37" t="s">
        <v>3178</v>
      </c>
      <c r="AP495" s="37" t="s">
        <v>3148</v>
      </c>
      <c r="AQ495" s="37" t="s">
        <v>2794</v>
      </c>
      <c r="AR495" s="37" t="s">
        <v>2810</v>
      </c>
      <c r="AS495" s="37" t="s">
        <v>2596</v>
      </c>
      <c r="AT495" s="37" t="s">
        <v>2581</v>
      </c>
      <c r="AU495" s="84" t="s">
        <v>3202</v>
      </c>
      <c r="AV495" s="84" t="s">
        <v>3179</v>
      </c>
      <c r="AW495" s="84" t="s">
        <v>3180</v>
      </c>
      <c r="AX495" s="80"/>
      <c r="AY495" s="80"/>
      <c r="AZ495" s="80"/>
      <c r="BA495" s="80"/>
      <c r="BB495" s="80"/>
      <c r="BC495" s="80"/>
      <c r="BD495" s="80"/>
      <c r="BE495" s="80"/>
      <c r="BF495" s="80"/>
      <c r="BG495" s="80"/>
      <c r="BH495" s="80"/>
      <c r="BI495" s="80"/>
      <c r="BJ495" s="80"/>
      <c r="BK495" s="80"/>
      <c r="BL495" s="80"/>
      <c r="BM495" s="80"/>
      <c r="BN495" s="80"/>
      <c r="BO495" s="80"/>
      <c r="BP495" s="80"/>
      <c r="BQ495" s="80"/>
      <c r="BR495" s="80"/>
      <c r="BS495" s="80"/>
      <c r="BT495" s="80"/>
    </row>
    <row r="496" spans="1:96" s="81" customFormat="1" ht="25.15" customHeight="1" outlineLevel="1" x14ac:dyDescent="0.25">
      <c r="A496" s="9" t="s">
        <v>202</v>
      </c>
      <c r="B496" s="85" t="s">
        <v>488</v>
      </c>
      <c r="C496" s="80"/>
      <c r="D496" s="80"/>
      <c r="E496" s="80" t="s">
        <v>469</v>
      </c>
      <c r="F496" s="80" t="s">
        <v>50</v>
      </c>
      <c r="G496" s="80" t="s">
        <v>42</v>
      </c>
      <c r="H496" s="80" t="s">
        <v>12</v>
      </c>
      <c r="I496" s="80" t="s">
        <v>7</v>
      </c>
      <c r="J496" s="80"/>
      <c r="K496" s="80" t="s">
        <v>30</v>
      </c>
      <c r="L496" s="80"/>
      <c r="M496" s="80" t="s">
        <v>516</v>
      </c>
      <c r="N496" s="80" t="s">
        <v>456</v>
      </c>
      <c r="O496" s="37">
        <v>7970</v>
      </c>
      <c r="P496" s="37">
        <v>2478</v>
      </c>
      <c r="Q496" s="37">
        <v>2400</v>
      </c>
      <c r="R496" s="37"/>
      <c r="S496" s="37">
        <v>3799</v>
      </c>
      <c r="T496" s="37">
        <v>2600</v>
      </c>
      <c r="U496" s="37">
        <v>10125</v>
      </c>
      <c r="V496" s="37">
        <v>1190</v>
      </c>
      <c r="W496" s="37">
        <v>5600</v>
      </c>
      <c r="X496" s="37">
        <v>3200</v>
      </c>
      <c r="Y496" s="37"/>
      <c r="Z496" s="37">
        <v>18</v>
      </c>
      <c r="AA496" s="37" t="s">
        <v>1084</v>
      </c>
      <c r="AB496" s="37">
        <v>16000</v>
      </c>
      <c r="AC496" s="37">
        <v>5625</v>
      </c>
      <c r="AD496" s="37"/>
      <c r="AE496" s="37"/>
      <c r="AF496" s="37"/>
      <c r="AG496" s="37"/>
      <c r="AH496" s="37">
        <v>47</v>
      </c>
      <c r="AI496" s="37" t="s">
        <v>2877</v>
      </c>
      <c r="AJ496" s="37" t="s">
        <v>2869</v>
      </c>
      <c r="AK496" s="37" t="s">
        <v>2724</v>
      </c>
      <c r="AL496" s="37" t="s">
        <v>2726</v>
      </c>
      <c r="AM496" s="37" t="s">
        <v>2944</v>
      </c>
      <c r="AN496" s="37" t="s">
        <v>2914</v>
      </c>
      <c r="AO496" s="37" t="s">
        <v>3176</v>
      </c>
      <c r="AP496" s="37" t="s">
        <v>3107</v>
      </c>
      <c r="AQ496" s="37" t="s">
        <v>2793</v>
      </c>
      <c r="AR496" s="37" t="s">
        <v>2810</v>
      </c>
      <c r="AS496" s="37" t="s">
        <v>2596</v>
      </c>
      <c r="AT496" s="37" t="s">
        <v>2581</v>
      </c>
      <c r="AU496" s="84" t="s">
        <v>3203</v>
      </c>
      <c r="AV496" s="84" t="s">
        <v>3179</v>
      </c>
      <c r="AW496" s="84" t="s">
        <v>3180</v>
      </c>
      <c r="AX496" s="80"/>
      <c r="AY496" s="80"/>
      <c r="AZ496" s="80"/>
      <c r="BA496" s="80"/>
      <c r="BB496" s="80"/>
      <c r="BC496" s="80"/>
      <c r="BD496" s="80"/>
      <c r="BE496" s="80"/>
      <c r="BF496" s="80"/>
      <c r="BG496" s="80"/>
      <c r="BH496" s="80"/>
      <c r="BI496" s="80"/>
      <c r="BJ496" s="80"/>
      <c r="BK496" s="80"/>
      <c r="BL496" s="80"/>
      <c r="BM496" s="80"/>
      <c r="BN496" s="80"/>
      <c r="BO496" s="80"/>
      <c r="BP496" s="80"/>
      <c r="BQ496" s="80"/>
      <c r="BR496" s="80"/>
      <c r="BS496" s="80"/>
      <c r="BT496" s="80"/>
    </row>
    <row r="497" spans="1:72" s="81" customFormat="1" ht="25.15" customHeight="1" x14ac:dyDescent="0.25">
      <c r="A497" s="9" t="s">
        <v>202</v>
      </c>
      <c r="B497" s="82" t="s">
        <v>453</v>
      </c>
      <c r="C497" s="80"/>
      <c r="D497" s="80"/>
      <c r="E497" s="80" t="s">
        <v>448</v>
      </c>
      <c r="F497" s="80" t="s">
        <v>449</v>
      </c>
      <c r="G497" s="80" t="s">
        <v>450</v>
      </c>
      <c r="H497" s="80" t="s">
        <v>12</v>
      </c>
      <c r="I497" s="80"/>
      <c r="J497" s="80"/>
      <c r="K497" s="80" t="s">
        <v>30</v>
      </c>
      <c r="L497" s="80"/>
      <c r="M497" s="80" t="s">
        <v>826</v>
      </c>
      <c r="N497" s="80" t="s">
        <v>451</v>
      </c>
      <c r="O497" s="37">
        <v>3522</v>
      </c>
      <c r="P497" s="37">
        <v>1904</v>
      </c>
      <c r="Q497" s="37">
        <v>2050</v>
      </c>
      <c r="R497" s="37"/>
      <c r="S497" s="37">
        <v>2882</v>
      </c>
      <c r="T497" s="37">
        <v>2050</v>
      </c>
      <c r="U497" s="37">
        <v>6343</v>
      </c>
      <c r="V497" s="37">
        <v>740</v>
      </c>
      <c r="W497" s="37">
        <v>4035</v>
      </c>
      <c r="X497" s="37">
        <v>1360</v>
      </c>
      <c r="Y497" s="37"/>
      <c r="Z497" s="37"/>
      <c r="AA497" s="37" t="s">
        <v>1086</v>
      </c>
      <c r="AB497" s="37">
        <v>3500</v>
      </c>
      <c r="AC497" s="37">
        <v>775</v>
      </c>
      <c r="AD497" s="37"/>
      <c r="AE497" s="37"/>
      <c r="AF497" s="37"/>
      <c r="AG497" s="37"/>
      <c r="AH497" s="37">
        <v>13.7</v>
      </c>
      <c r="AI497" s="37" t="s">
        <v>2850</v>
      </c>
      <c r="AJ497" s="37" t="s">
        <v>2852</v>
      </c>
      <c r="AK497" s="37" t="s">
        <v>2716</v>
      </c>
      <c r="AL497" s="37" t="s">
        <v>2658</v>
      </c>
      <c r="AM497" s="37" t="s">
        <v>2952</v>
      </c>
      <c r="AN497" s="37" t="s">
        <v>2910</v>
      </c>
      <c r="AO497" s="37" t="s">
        <v>3082</v>
      </c>
      <c r="AP497" s="37" t="s">
        <v>2960</v>
      </c>
      <c r="AQ497" s="37" t="s">
        <v>2770</v>
      </c>
      <c r="AR497" s="37" t="s">
        <v>2799</v>
      </c>
      <c r="AS497" s="80"/>
      <c r="AT497" s="80"/>
      <c r="AU497" s="84" t="s">
        <v>3204</v>
      </c>
      <c r="AV497" s="84" t="s">
        <v>3182</v>
      </c>
      <c r="AW497" s="84" t="s">
        <v>3180</v>
      </c>
      <c r="AX497" s="84" t="s">
        <v>3181</v>
      </c>
      <c r="AY497" s="80"/>
      <c r="AZ497" s="80"/>
      <c r="BA497" s="80"/>
      <c r="BB497" s="80"/>
      <c r="BC497" s="80"/>
      <c r="BD497" s="80"/>
      <c r="BE497" s="80"/>
      <c r="BF497" s="80"/>
      <c r="BG497" s="80"/>
      <c r="BH497" s="80"/>
      <c r="BI497" s="80"/>
      <c r="BJ497" s="80"/>
      <c r="BK497" s="80"/>
      <c r="BL497" s="80"/>
      <c r="BM497" s="80"/>
      <c r="BN497" s="80"/>
      <c r="BO497" s="80"/>
      <c r="BP497" s="80"/>
      <c r="BQ497" s="80"/>
      <c r="BR497" s="80"/>
      <c r="BS497" s="80"/>
      <c r="BT497" s="80"/>
    </row>
    <row r="498" spans="1:72" s="81" customFormat="1" ht="25.15" customHeight="1" outlineLevel="1" x14ac:dyDescent="0.25">
      <c r="A498" s="9" t="s">
        <v>202</v>
      </c>
      <c r="B498" s="82" t="s">
        <v>453</v>
      </c>
      <c r="C498" s="80"/>
      <c r="D498" s="80"/>
      <c r="E498" s="80" t="s">
        <v>33</v>
      </c>
      <c r="F498" s="80" t="s">
        <v>34</v>
      </c>
      <c r="G498" s="80" t="s">
        <v>85</v>
      </c>
      <c r="H498" s="80" t="s">
        <v>12</v>
      </c>
      <c r="I498" s="80"/>
      <c r="J498" s="80"/>
      <c r="K498" s="80" t="s">
        <v>30</v>
      </c>
      <c r="L498" s="80"/>
      <c r="M498" s="80" t="s">
        <v>1115</v>
      </c>
      <c r="N498" s="80" t="s">
        <v>451</v>
      </c>
      <c r="O498" s="37">
        <v>2927</v>
      </c>
      <c r="P498" s="37">
        <v>1908</v>
      </c>
      <c r="Q498" s="37">
        <v>1900</v>
      </c>
      <c r="R498" s="37"/>
      <c r="S498" s="37">
        <v>2856</v>
      </c>
      <c r="T498" s="37">
        <v>2050</v>
      </c>
      <c r="U498" s="37">
        <v>5603</v>
      </c>
      <c r="V498" s="37">
        <v>865</v>
      </c>
      <c r="W498" s="37">
        <v>3450</v>
      </c>
      <c r="X498" s="37">
        <v>1125</v>
      </c>
      <c r="Y498" s="37"/>
      <c r="Z498" s="37">
        <v>4</v>
      </c>
      <c r="AA498" s="37" t="s">
        <v>1070</v>
      </c>
      <c r="AB498" s="37">
        <v>3500</v>
      </c>
      <c r="AC498" s="37">
        <v>820</v>
      </c>
      <c r="AD498" s="37"/>
      <c r="AE498" s="37"/>
      <c r="AF498" s="37"/>
      <c r="AG498" s="37"/>
      <c r="AH498" s="37">
        <v>10.7</v>
      </c>
      <c r="AI498" s="37" t="s">
        <v>2855</v>
      </c>
      <c r="AJ498" s="37" t="s">
        <v>2862</v>
      </c>
      <c r="AK498" s="37" t="s">
        <v>2712</v>
      </c>
      <c r="AL498" s="37" t="s">
        <v>2658</v>
      </c>
      <c r="AM498" s="37" t="s">
        <v>2950</v>
      </c>
      <c r="AN498" s="37" t="s">
        <v>2910</v>
      </c>
      <c r="AO498" s="37" t="s">
        <v>3136</v>
      </c>
      <c r="AP498" s="37" t="s">
        <v>3138</v>
      </c>
      <c r="AQ498" s="37" t="s">
        <v>2771</v>
      </c>
      <c r="AR498" s="37" t="s">
        <v>2799</v>
      </c>
      <c r="AS498" s="80"/>
      <c r="AT498" s="80"/>
      <c r="AU498" s="84" t="s">
        <v>3205</v>
      </c>
      <c r="AV498" s="84" t="s">
        <v>3182</v>
      </c>
      <c r="AW498" s="84" t="s">
        <v>3180</v>
      </c>
      <c r="AX498" s="84" t="s">
        <v>3181</v>
      </c>
      <c r="AY498" s="80"/>
      <c r="AZ498" s="80"/>
      <c r="BA498" s="80"/>
      <c r="BB498" s="80"/>
      <c r="BC498" s="80"/>
      <c r="BD498" s="80"/>
      <c r="BE498" s="80"/>
      <c r="BF498" s="80"/>
      <c r="BG498" s="80"/>
      <c r="BH498" s="80"/>
      <c r="BI498" s="80"/>
      <c r="BJ498" s="80"/>
      <c r="BK498" s="80"/>
      <c r="BL498" s="80"/>
      <c r="BM498" s="80"/>
      <c r="BN498" s="80"/>
      <c r="BO498" s="80"/>
      <c r="BP498" s="80"/>
      <c r="BQ498" s="80"/>
      <c r="BR498" s="80"/>
      <c r="BS498" s="80"/>
      <c r="BT498" s="80"/>
    </row>
    <row r="499" spans="1:72" s="81" customFormat="1" ht="25.15" customHeight="1" outlineLevel="1" x14ac:dyDescent="0.25">
      <c r="A499" s="9" t="s">
        <v>202</v>
      </c>
      <c r="B499" s="82" t="s">
        <v>453</v>
      </c>
      <c r="C499" s="80"/>
      <c r="D499" s="80"/>
      <c r="E499" s="80" t="s">
        <v>33</v>
      </c>
      <c r="F499" s="80" t="s">
        <v>34</v>
      </c>
      <c r="G499" s="80" t="s">
        <v>85</v>
      </c>
      <c r="H499" s="80" t="s">
        <v>12</v>
      </c>
      <c r="I499" s="80"/>
      <c r="J499" s="80"/>
      <c r="K499" s="80" t="s">
        <v>30</v>
      </c>
      <c r="L499" s="80"/>
      <c r="M499" s="80" t="s">
        <v>1116</v>
      </c>
      <c r="N499" s="80" t="s">
        <v>451</v>
      </c>
      <c r="O499" s="37">
        <v>3527</v>
      </c>
      <c r="P499" s="37">
        <v>1906</v>
      </c>
      <c r="Q499" s="37">
        <v>2050</v>
      </c>
      <c r="R499" s="37"/>
      <c r="S499" s="37">
        <v>3006</v>
      </c>
      <c r="T499" s="37">
        <v>2050</v>
      </c>
      <c r="U499" s="37">
        <v>6212</v>
      </c>
      <c r="V499" s="37">
        <v>865</v>
      </c>
      <c r="W499" s="37">
        <v>3450</v>
      </c>
      <c r="X499" s="37">
        <v>1725</v>
      </c>
      <c r="Y499" s="37"/>
      <c r="Z499" s="37">
        <v>5</v>
      </c>
      <c r="AA499" s="37" t="s">
        <v>1070</v>
      </c>
      <c r="AB499" s="37">
        <v>3500</v>
      </c>
      <c r="AC499" s="37">
        <v>715</v>
      </c>
      <c r="AD499" s="37"/>
      <c r="AE499" s="37"/>
      <c r="AF499" s="37"/>
      <c r="AG499" s="37"/>
      <c r="AH499" s="37">
        <v>13.7</v>
      </c>
      <c r="AI499" s="37" t="s">
        <v>2855</v>
      </c>
      <c r="AJ499" s="37" t="s">
        <v>2862</v>
      </c>
      <c r="AK499" s="37" t="s">
        <v>2712</v>
      </c>
      <c r="AL499" s="37" t="s">
        <v>2658</v>
      </c>
      <c r="AM499" s="37" t="s">
        <v>2950</v>
      </c>
      <c r="AN499" s="37" t="s">
        <v>2910</v>
      </c>
      <c r="AO499" s="37" t="s">
        <v>3135</v>
      </c>
      <c r="AP499" s="37" t="s">
        <v>3122</v>
      </c>
      <c r="AQ499" s="37" t="s">
        <v>2769</v>
      </c>
      <c r="AR499" s="37" t="s">
        <v>2799</v>
      </c>
      <c r="AS499" s="80"/>
      <c r="AT499" s="80"/>
      <c r="AU499" s="84" t="s">
        <v>3206</v>
      </c>
      <c r="AV499" s="84" t="s">
        <v>3182</v>
      </c>
      <c r="AW499" s="84" t="s">
        <v>3180</v>
      </c>
      <c r="AX499" s="84" t="s">
        <v>3181</v>
      </c>
      <c r="AY499" s="80"/>
      <c r="AZ499" s="80"/>
      <c r="BA499" s="80"/>
      <c r="BB499" s="80"/>
      <c r="BC499" s="80"/>
      <c r="BD499" s="80"/>
      <c r="BE499" s="80"/>
      <c r="BF499" s="80"/>
      <c r="BG499" s="80"/>
      <c r="BH499" s="80"/>
      <c r="BI499" s="80"/>
      <c r="BJ499" s="80"/>
      <c r="BK499" s="80"/>
      <c r="BL499" s="80"/>
      <c r="BM499" s="80"/>
      <c r="BN499" s="80"/>
      <c r="BO499" s="80"/>
      <c r="BP499" s="80"/>
      <c r="BQ499" s="80"/>
      <c r="BR499" s="80"/>
      <c r="BS499" s="80"/>
      <c r="BT499" s="80"/>
    </row>
    <row r="500" spans="1:72" s="81" customFormat="1" ht="25.15" customHeight="1" outlineLevel="1" x14ac:dyDescent="0.25">
      <c r="A500" s="9" t="s">
        <v>202</v>
      </c>
      <c r="B500" s="82" t="s">
        <v>453</v>
      </c>
      <c r="C500" s="80"/>
      <c r="D500" s="80"/>
      <c r="E500" s="80" t="s">
        <v>33</v>
      </c>
      <c r="F500" s="80" t="s">
        <v>34</v>
      </c>
      <c r="G500" s="80" t="s">
        <v>4362</v>
      </c>
      <c r="H500" s="80" t="s">
        <v>12</v>
      </c>
      <c r="I500" s="80" t="s">
        <v>7</v>
      </c>
      <c r="J500" s="80"/>
      <c r="K500" s="80" t="s">
        <v>30</v>
      </c>
      <c r="L500" s="80"/>
      <c r="M500" s="80" t="s">
        <v>459</v>
      </c>
      <c r="N500" s="80" t="s">
        <v>461</v>
      </c>
      <c r="O500" s="37">
        <v>3722</v>
      </c>
      <c r="P500" s="37">
        <v>2146</v>
      </c>
      <c r="Q500" s="37">
        <v>2050</v>
      </c>
      <c r="R500" s="37"/>
      <c r="S500" s="37">
        <v>3232</v>
      </c>
      <c r="T500" s="37">
        <v>2300</v>
      </c>
      <c r="U500" s="37">
        <v>6482</v>
      </c>
      <c r="V500" s="37">
        <v>1090</v>
      </c>
      <c r="W500" s="37">
        <v>3750</v>
      </c>
      <c r="X500" s="37">
        <v>1675</v>
      </c>
      <c r="Y500" s="37"/>
      <c r="Z500" s="37">
        <v>7</v>
      </c>
      <c r="AA500" s="37" t="s">
        <v>1087</v>
      </c>
      <c r="AB500" s="37">
        <v>7200</v>
      </c>
      <c r="AC500" s="37">
        <v>2855</v>
      </c>
      <c r="AD500" s="37"/>
      <c r="AE500" s="37"/>
      <c r="AF500" s="37"/>
      <c r="AG500" s="37"/>
      <c r="AH500" s="37">
        <v>16.3</v>
      </c>
      <c r="AI500" s="37" t="s">
        <v>2861</v>
      </c>
      <c r="AJ500" s="37" t="s">
        <v>2881</v>
      </c>
      <c r="AK500" s="37" t="s">
        <v>2713</v>
      </c>
      <c r="AL500" s="37" t="s">
        <v>2658</v>
      </c>
      <c r="AM500" s="37" t="s">
        <v>2951</v>
      </c>
      <c r="AN500" s="37" t="s">
        <v>2911</v>
      </c>
      <c r="AO500" s="37" t="s">
        <v>3083</v>
      </c>
      <c r="AP500" s="37" t="s">
        <v>3085</v>
      </c>
      <c r="AQ500" s="37" t="s">
        <v>2795</v>
      </c>
      <c r="AR500" s="37" t="s">
        <v>2811</v>
      </c>
      <c r="AS500" s="37" t="s">
        <v>2586</v>
      </c>
      <c r="AT500" s="37" t="s">
        <v>2581</v>
      </c>
      <c r="AU500" s="84" t="s">
        <v>3207</v>
      </c>
      <c r="AV500" s="84" t="s">
        <v>3182</v>
      </c>
      <c r="AW500" s="84" t="s">
        <v>3180</v>
      </c>
      <c r="AX500" s="84" t="s">
        <v>3181</v>
      </c>
      <c r="AY500" s="80"/>
      <c r="AZ500" s="80"/>
      <c r="BA500" s="80"/>
      <c r="BB500" s="80"/>
      <c r="BC500" s="80"/>
      <c r="BD500" s="80"/>
      <c r="BE500" s="80"/>
      <c r="BF500" s="80"/>
      <c r="BG500" s="80"/>
      <c r="BH500" s="80"/>
      <c r="BI500" s="80"/>
      <c r="BJ500" s="80"/>
      <c r="BK500" s="80"/>
      <c r="BL500" s="80"/>
      <c r="BM500" s="80"/>
      <c r="BN500" s="80"/>
      <c r="BO500" s="80"/>
      <c r="BP500" s="80"/>
      <c r="BQ500" s="80"/>
      <c r="BR500" s="80"/>
      <c r="BS500" s="80"/>
      <c r="BT500" s="80"/>
    </row>
    <row r="501" spans="1:72" s="81" customFormat="1" ht="25.15" customHeight="1" outlineLevel="1" x14ac:dyDescent="0.25">
      <c r="A501" s="9" t="s">
        <v>202</v>
      </c>
      <c r="B501" s="82" t="s">
        <v>453</v>
      </c>
      <c r="C501" s="80"/>
      <c r="D501" s="80"/>
      <c r="E501" s="80" t="s">
        <v>33</v>
      </c>
      <c r="F501" s="80" t="s">
        <v>37</v>
      </c>
      <c r="G501" s="80" t="s">
        <v>38</v>
      </c>
      <c r="H501" s="80" t="s">
        <v>12</v>
      </c>
      <c r="I501" s="80" t="s">
        <v>7</v>
      </c>
      <c r="J501" s="80"/>
      <c r="K501" s="80" t="s">
        <v>30</v>
      </c>
      <c r="L501" s="80"/>
      <c r="M501" s="80" t="s">
        <v>1130</v>
      </c>
      <c r="N501" s="80" t="s">
        <v>456</v>
      </c>
      <c r="O501" s="37">
        <v>5770</v>
      </c>
      <c r="P501" s="37">
        <v>2478</v>
      </c>
      <c r="Q501" s="37">
        <v>2400</v>
      </c>
      <c r="R501" s="37"/>
      <c r="S501" s="37">
        <v>3685</v>
      </c>
      <c r="T501" s="37">
        <v>2600</v>
      </c>
      <c r="U501" s="37">
        <v>8012</v>
      </c>
      <c r="V501" s="37">
        <v>1150</v>
      </c>
      <c r="W501" s="37">
        <v>4185</v>
      </c>
      <c r="X501" s="37">
        <v>2465</v>
      </c>
      <c r="Y501" s="37"/>
      <c r="Z501" s="37">
        <v>12</v>
      </c>
      <c r="AA501" s="37" t="s">
        <v>1072</v>
      </c>
      <c r="AB501" s="37">
        <v>11990</v>
      </c>
      <c r="AC501" s="37">
        <v>3435</v>
      </c>
      <c r="AD501" s="37"/>
      <c r="AE501" s="37"/>
      <c r="AF501" s="37"/>
      <c r="AG501" s="37"/>
      <c r="AH501" s="37">
        <v>34</v>
      </c>
      <c r="AI501" s="37" t="s">
        <v>2875</v>
      </c>
      <c r="AJ501" s="37" t="s">
        <v>2873</v>
      </c>
      <c r="AK501" s="37" t="s">
        <v>2717</v>
      </c>
      <c r="AL501" s="37" t="s">
        <v>2719</v>
      </c>
      <c r="AM501" s="37" t="s">
        <v>2946</v>
      </c>
      <c r="AN501" s="37" t="s">
        <v>2915</v>
      </c>
      <c r="AO501" s="37" t="s">
        <v>3089</v>
      </c>
      <c r="AP501" s="37" t="s">
        <v>3094</v>
      </c>
      <c r="AQ501" s="37" t="s">
        <v>2772</v>
      </c>
      <c r="AR501" s="37" t="s">
        <v>2808</v>
      </c>
      <c r="AS501" s="37" t="s">
        <v>2592</v>
      </c>
      <c r="AT501" s="37" t="s">
        <v>2581</v>
      </c>
      <c r="AU501" s="84" t="s">
        <v>3208</v>
      </c>
      <c r="AV501" s="84" t="s">
        <v>3182</v>
      </c>
      <c r="AW501" s="84" t="s">
        <v>3180</v>
      </c>
      <c r="AX501" s="84" t="s">
        <v>3181</v>
      </c>
      <c r="AY501" s="80"/>
      <c r="AZ501" s="80"/>
      <c r="BA501" s="80"/>
      <c r="BB501" s="80"/>
      <c r="BC501" s="80"/>
      <c r="BD501" s="80"/>
      <c r="BE501" s="80"/>
      <c r="BF501" s="80"/>
      <c r="BG501" s="80"/>
      <c r="BH501" s="80"/>
      <c r="BI501" s="80"/>
      <c r="BJ501" s="80"/>
      <c r="BK501" s="80"/>
      <c r="BL501" s="80"/>
      <c r="BM501" s="80"/>
      <c r="BN501" s="80"/>
      <c r="BO501" s="80"/>
      <c r="BP501" s="80"/>
      <c r="BQ501" s="80"/>
      <c r="BR501" s="80"/>
      <c r="BS501" s="80"/>
      <c r="BT501" s="80"/>
    </row>
    <row r="502" spans="1:72" s="81" customFormat="1" ht="25.15" customHeight="1" outlineLevel="1" x14ac:dyDescent="0.25">
      <c r="A502" s="9" t="s">
        <v>202</v>
      </c>
      <c r="B502" s="82" t="s">
        <v>453</v>
      </c>
      <c r="C502" s="80"/>
      <c r="D502" s="80"/>
      <c r="E502" s="80" t="s">
        <v>33</v>
      </c>
      <c r="F502" s="80" t="s">
        <v>37</v>
      </c>
      <c r="G502" s="80" t="s">
        <v>4360</v>
      </c>
      <c r="H502" s="80" t="s">
        <v>12</v>
      </c>
      <c r="I502" s="80" t="s">
        <v>7</v>
      </c>
      <c r="J502" s="80"/>
      <c r="K502" s="80" t="s">
        <v>30</v>
      </c>
      <c r="L502" s="80"/>
      <c r="M502" s="80" t="s">
        <v>914</v>
      </c>
      <c r="N502" s="80" t="s">
        <v>456</v>
      </c>
      <c r="O502" s="37">
        <v>6770</v>
      </c>
      <c r="P502" s="37">
        <v>2478</v>
      </c>
      <c r="Q502" s="37">
        <v>2400</v>
      </c>
      <c r="R502" s="37"/>
      <c r="S502" s="37">
        <v>3725</v>
      </c>
      <c r="T502" s="37">
        <v>2600</v>
      </c>
      <c r="U502" s="37">
        <v>8975</v>
      </c>
      <c r="V502" s="37">
        <v>1190</v>
      </c>
      <c r="W502" s="37">
        <v>5000</v>
      </c>
      <c r="X502" s="37">
        <v>2650</v>
      </c>
      <c r="Y502" s="37"/>
      <c r="Z502" s="37">
        <v>15</v>
      </c>
      <c r="AA502" s="37" t="s">
        <v>1072</v>
      </c>
      <c r="AB502" s="37">
        <v>16000</v>
      </c>
      <c r="AC502" s="37">
        <v>6460</v>
      </c>
      <c r="AD502" s="37"/>
      <c r="AE502" s="37"/>
      <c r="AF502" s="37"/>
      <c r="AG502" s="37"/>
      <c r="AH502" s="37">
        <v>40.1</v>
      </c>
      <c r="AI502" s="37" t="s">
        <v>2875</v>
      </c>
      <c r="AJ502" s="37" t="s">
        <v>2873</v>
      </c>
      <c r="AK502" s="37" t="s">
        <v>2720</v>
      </c>
      <c r="AL502" s="37" t="s">
        <v>2730</v>
      </c>
      <c r="AM502" s="37" t="s">
        <v>2947</v>
      </c>
      <c r="AN502" s="37" t="s">
        <v>2915</v>
      </c>
      <c r="AO502" s="37" t="s">
        <v>3177</v>
      </c>
      <c r="AP502" s="37" t="s">
        <v>3147</v>
      </c>
      <c r="AQ502" s="37" t="s">
        <v>2794</v>
      </c>
      <c r="AR502" s="37" t="s">
        <v>2810</v>
      </c>
      <c r="AS502" s="37" t="s">
        <v>2596</v>
      </c>
      <c r="AT502" s="37" t="s">
        <v>2581</v>
      </c>
      <c r="AU502" s="84" t="s">
        <v>3209</v>
      </c>
      <c r="AV502" s="84" t="s">
        <v>3182</v>
      </c>
      <c r="AW502" s="84" t="s">
        <v>3180</v>
      </c>
      <c r="AX502" s="84" t="s">
        <v>3181</v>
      </c>
      <c r="AY502" s="80"/>
      <c r="AZ502" s="80"/>
      <c r="BA502" s="80"/>
      <c r="BB502" s="80"/>
      <c r="BC502" s="80"/>
      <c r="BD502" s="80"/>
      <c r="BE502" s="80"/>
      <c r="BF502" s="80"/>
      <c r="BG502" s="80"/>
      <c r="BH502" s="80"/>
      <c r="BI502" s="80"/>
      <c r="BJ502" s="80"/>
      <c r="BK502" s="80"/>
      <c r="BL502" s="80"/>
      <c r="BM502" s="80"/>
      <c r="BN502" s="80"/>
      <c r="BO502" s="80"/>
      <c r="BP502" s="80"/>
      <c r="BQ502" s="80"/>
      <c r="BR502" s="80"/>
      <c r="BS502" s="80"/>
      <c r="BT502" s="80"/>
    </row>
    <row r="503" spans="1:72" s="81" customFormat="1" ht="25.15" customHeight="1" outlineLevel="1" x14ac:dyDescent="0.25">
      <c r="A503" s="9" t="s">
        <v>202</v>
      </c>
      <c r="B503" s="82" t="s">
        <v>453</v>
      </c>
      <c r="C503" s="80"/>
      <c r="D503" s="80"/>
      <c r="E503" s="80" t="s">
        <v>33</v>
      </c>
      <c r="F503" s="80" t="s">
        <v>37</v>
      </c>
      <c r="G503" s="80" t="s">
        <v>4360</v>
      </c>
      <c r="H503" s="80" t="s">
        <v>12</v>
      </c>
      <c r="I503" s="80" t="s">
        <v>7</v>
      </c>
      <c r="J503" s="80"/>
      <c r="K503" s="80" t="s">
        <v>30</v>
      </c>
      <c r="L503" s="80"/>
      <c r="M503" s="80" t="s">
        <v>463</v>
      </c>
      <c r="N503" s="80" t="s">
        <v>456</v>
      </c>
      <c r="O503" s="37">
        <v>7070</v>
      </c>
      <c r="P503" s="37">
        <v>2478</v>
      </c>
      <c r="Q503" s="37">
        <v>2400</v>
      </c>
      <c r="R503" s="37"/>
      <c r="S503" s="37">
        <v>3769</v>
      </c>
      <c r="T503" s="37">
        <v>2600</v>
      </c>
      <c r="U503" s="37">
        <v>9311</v>
      </c>
      <c r="V503" s="37">
        <v>1160</v>
      </c>
      <c r="W503" s="37">
        <v>5175</v>
      </c>
      <c r="X503" s="37">
        <v>2775</v>
      </c>
      <c r="Y503" s="37"/>
      <c r="Z503" s="37">
        <v>15</v>
      </c>
      <c r="AA503" s="37" t="s">
        <v>1080</v>
      </c>
      <c r="AB503" s="37">
        <v>16000</v>
      </c>
      <c r="AC503" s="37">
        <v>6225</v>
      </c>
      <c r="AD503" s="37"/>
      <c r="AE503" s="37"/>
      <c r="AF503" s="37"/>
      <c r="AG503" s="37"/>
      <c r="AH503" s="37">
        <v>42</v>
      </c>
      <c r="AI503" s="37" t="s">
        <v>2875</v>
      </c>
      <c r="AJ503" s="37" t="s">
        <v>2873</v>
      </c>
      <c r="AK503" s="37" t="s">
        <v>2720</v>
      </c>
      <c r="AL503" s="37" t="s">
        <v>2730</v>
      </c>
      <c r="AM503" s="37" t="s">
        <v>2947</v>
      </c>
      <c r="AN503" s="37" t="s">
        <v>2915</v>
      </c>
      <c r="AO503" s="37" t="s">
        <v>3175</v>
      </c>
      <c r="AP503" s="37" t="s">
        <v>3103</v>
      </c>
      <c r="AQ503" s="37" t="s">
        <v>2793</v>
      </c>
      <c r="AR503" s="37" t="s">
        <v>2810</v>
      </c>
      <c r="AS503" s="37" t="s">
        <v>2596</v>
      </c>
      <c r="AT503" s="37" t="s">
        <v>2581</v>
      </c>
      <c r="AU503" s="84" t="s">
        <v>3210</v>
      </c>
      <c r="AV503" s="84" t="s">
        <v>3182</v>
      </c>
      <c r="AW503" s="84" t="s">
        <v>3180</v>
      </c>
      <c r="AX503" s="84" t="s">
        <v>3181</v>
      </c>
      <c r="AY503" s="80"/>
      <c r="AZ503" s="80"/>
      <c r="BA503" s="80"/>
      <c r="BB503" s="80"/>
      <c r="BC503" s="80"/>
      <c r="BD503" s="80"/>
      <c r="BE503" s="80"/>
      <c r="BF503" s="80"/>
      <c r="BG503" s="80"/>
      <c r="BH503" s="80"/>
      <c r="BI503" s="80"/>
      <c r="BJ503" s="80"/>
      <c r="BK503" s="80"/>
      <c r="BL503" s="80"/>
      <c r="BM503" s="80"/>
      <c r="BN503" s="80"/>
      <c r="BO503" s="80"/>
      <c r="BP503" s="80"/>
      <c r="BQ503" s="80"/>
      <c r="BR503" s="80"/>
      <c r="BS503" s="80"/>
      <c r="BT503" s="80"/>
    </row>
    <row r="504" spans="1:72" s="81" customFormat="1" ht="25.15" customHeight="1" outlineLevel="1" x14ac:dyDescent="0.25">
      <c r="A504" s="9" t="s">
        <v>202</v>
      </c>
      <c r="B504" s="82" t="s">
        <v>453</v>
      </c>
      <c r="C504" s="80"/>
      <c r="D504" s="80"/>
      <c r="E504" s="80" t="s">
        <v>33</v>
      </c>
      <c r="F504" s="80" t="s">
        <v>37</v>
      </c>
      <c r="G504" s="80" t="s">
        <v>42</v>
      </c>
      <c r="H504" s="80" t="s">
        <v>12</v>
      </c>
      <c r="I504" s="80" t="s">
        <v>7</v>
      </c>
      <c r="J504" s="80"/>
      <c r="K504" s="80" t="s">
        <v>30</v>
      </c>
      <c r="L504" s="80"/>
      <c r="M504" s="80" t="s">
        <v>464</v>
      </c>
      <c r="N504" s="80" t="s">
        <v>456</v>
      </c>
      <c r="O504" s="37">
        <v>7970</v>
      </c>
      <c r="P504" s="37">
        <v>2478</v>
      </c>
      <c r="Q504" s="37">
        <v>2400</v>
      </c>
      <c r="R504" s="37"/>
      <c r="S504" s="37">
        <v>3695</v>
      </c>
      <c r="T504" s="37">
        <v>2600</v>
      </c>
      <c r="U504" s="37">
        <v>10162</v>
      </c>
      <c r="V504" s="37">
        <v>1160</v>
      </c>
      <c r="W504" s="37">
        <v>5670</v>
      </c>
      <c r="X504" s="37">
        <v>3130</v>
      </c>
      <c r="Y504" s="37"/>
      <c r="Z504" s="37">
        <v>18</v>
      </c>
      <c r="AA504" s="37" t="s">
        <v>1073</v>
      </c>
      <c r="AB504" s="37">
        <v>16000</v>
      </c>
      <c r="AC504" s="37">
        <v>5995</v>
      </c>
      <c r="AD504" s="37"/>
      <c r="AE504" s="37"/>
      <c r="AF504" s="37"/>
      <c r="AG504" s="37"/>
      <c r="AH504" s="37">
        <v>47.2</v>
      </c>
      <c r="AI504" s="37" t="s">
        <v>2875</v>
      </c>
      <c r="AJ504" s="37" t="s">
        <v>2873</v>
      </c>
      <c r="AK504" s="37" t="s">
        <v>2720</v>
      </c>
      <c r="AL504" s="37" t="s">
        <v>2730</v>
      </c>
      <c r="AM504" s="37" t="s">
        <v>2947</v>
      </c>
      <c r="AN504" s="37" t="s">
        <v>2915</v>
      </c>
      <c r="AO504" s="37" t="s">
        <v>3178</v>
      </c>
      <c r="AP504" s="37" t="s">
        <v>3148</v>
      </c>
      <c r="AQ504" s="37" t="s">
        <v>2794</v>
      </c>
      <c r="AR504" s="37" t="s">
        <v>2810</v>
      </c>
      <c r="AS504" s="37" t="s">
        <v>2596</v>
      </c>
      <c r="AT504" s="37" t="s">
        <v>2581</v>
      </c>
      <c r="AU504" s="84" t="s">
        <v>3211</v>
      </c>
      <c r="AV504" s="84" t="s">
        <v>3182</v>
      </c>
      <c r="AW504" s="84" t="s">
        <v>3180</v>
      </c>
      <c r="AX504" s="84" t="s">
        <v>3181</v>
      </c>
      <c r="AY504" s="80"/>
      <c r="AZ504" s="80"/>
      <c r="BA504" s="80"/>
      <c r="BB504" s="80"/>
      <c r="BC504" s="80"/>
      <c r="BD504" s="80"/>
      <c r="BE504" s="80"/>
      <c r="BF504" s="80"/>
      <c r="BG504" s="80"/>
      <c r="BH504" s="80"/>
      <c r="BI504" s="80"/>
      <c r="BJ504" s="80"/>
      <c r="BK504" s="80"/>
      <c r="BL504" s="80"/>
      <c r="BM504" s="80"/>
      <c r="BN504" s="80"/>
      <c r="BO504" s="80"/>
      <c r="BP504" s="80"/>
      <c r="BQ504" s="80"/>
      <c r="BR504" s="80"/>
      <c r="BS504" s="80"/>
      <c r="BT504" s="80"/>
    </row>
    <row r="505" spans="1:72" s="81" customFormat="1" ht="25.15" customHeight="1" outlineLevel="1" x14ac:dyDescent="0.25">
      <c r="A505" s="9" t="s">
        <v>202</v>
      </c>
      <c r="B505" s="82" t="s">
        <v>453</v>
      </c>
      <c r="C505" s="80"/>
      <c r="D505" s="80"/>
      <c r="E505" s="80" t="s">
        <v>33</v>
      </c>
      <c r="F505" s="80" t="s">
        <v>37</v>
      </c>
      <c r="G505" s="80" t="s">
        <v>42</v>
      </c>
      <c r="H505" s="80" t="s">
        <v>12</v>
      </c>
      <c r="I505" s="80" t="s">
        <v>7</v>
      </c>
      <c r="J505" s="80"/>
      <c r="K505" s="80" t="s">
        <v>30</v>
      </c>
      <c r="L505" s="80"/>
      <c r="M505" s="80" t="s">
        <v>465</v>
      </c>
      <c r="N505" s="80" t="s">
        <v>456</v>
      </c>
      <c r="O505" s="37">
        <v>7970</v>
      </c>
      <c r="P505" s="37">
        <v>2478</v>
      </c>
      <c r="Q505" s="37">
        <v>2400</v>
      </c>
      <c r="R505" s="37"/>
      <c r="S505" s="37">
        <v>3769</v>
      </c>
      <c r="T505" s="37">
        <v>2600</v>
      </c>
      <c r="U505" s="37">
        <v>10162</v>
      </c>
      <c r="V505" s="37">
        <v>1160</v>
      </c>
      <c r="W505" s="37">
        <v>5670</v>
      </c>
      <c r="X505" s="37">
        <v>3130</v>
      </c>
      <c r="Y505" s="37"/>
      <c r="Z505" s="37">
        <v>18</v>
      </c>
      <c r="AA505" s="37" t="s">
        <v>1074</v>
      </c>
      <c r="AB505" s="37">
        <v>16000</v>
      </c>
      <c r="AC505" s="37">
        <v>5870</v>
      </c>
      <c r="AD505" s="37"/>
      <c r="AE505" s="37"/>
      <c r="AF505" s="37"/>
      <c r="AG505" s="37"/>
      <c r="AH505" s="37">
        <v>47.2</v>
      </c>
      <c r="AI505" s="37" t="s">
        <v>2875</v>
      </c>
      <c r="AJ505" s="37" t="s">
        <v>2873</v>
      </c>
      <c r="AK505" s="37" t="s">
        <v>2720</v>
      </c>
      <c r="AL505" s="37" t="s">
        <v>2730</v>
      </c>
      <c r="AM505" s="37" t="s">
        <v>2947</v>
      </c>
      <c r="AN505" s="37" t="s">
        <v>2915</v>
      </c>
      <c r="AO505" s="37" t="s">
        <v>3176</v>
      </c>
      <c r="AP505" s="37" t="s">
        <v>3107</v>
      </c>
      <c r="AQ505" s="37" t="s">
        <v>2793</v>
      </c>
      <c r="AR505" s="37" t="s">
        <v>2810</v>
      </c>
      <c r="AS505" s="37" t="s">
        <v>2596</v>
      </c>
      <c r="AT505" s="37" t="s">
        <v>2581</v>
      </c>
      <c r="AU505" s="84" t="s">
        <v>3212</v>
      </c>
      <c r="AV505" s="84" t="s">
        <v>3182</v>
      </c>
      <c r="AW505" s="84" t="s">
        <v>3180</v>
      </c>
      <c r="AX505" s="84" t="s">
        <v>3181</v>
      </c>
      <c r="AY505" s="80"/>
      <c r="AZ505" s="80"/>
      <c r="BA505" s="80"/>
      <c r="BB505" s="80"/>
      <c r="BC505" s="80"/>
      <c r="BD505" s="80"/>
      <c r="BE505" s="80"/>
      <c r="BF505" s="80"/>
      <c r="BG505" s="80"/>
      <c r="BH505" s="80"/>
      <c r="BI505" s="80"/>
      <c r="BJ505" s="80"/>
      <c r="BK505" s="80"/>
      <c r="BL505" s="80"/>
      <c r="BM505" s="80"/>
      <c r="BN505" s="80"/>
      <c r="BO505" s="80"/>
      <c r="BP505" s="80"/>
      <c r="BQ505" s="80"/>
      <c r="BR505" s="80"/>
      <c r="BS505" s="80"/>
      <c r="BT505" s="80"/>
    </row>
    <row r="506" spans="1:72" s="81" customFormat="1" ht="25.15" customHeight="1" outlineLevel="1" x14ac:dyDescent="0.25">
      <c r="A506" s="9" t="s">
        <v>202</v>
      </c>
      <c r="B506" s="82" t="s">
        <v>453</v>
      </c>
      <c r="C506" s="80"/>
      <c r="D506" s="80"/>
      <c r="E506" s="80" t="s">
        <v>33</v>
      </c>
      <c r="F506" s="80" t="s">
        <v>37</v>
      </c>
      <c r="G506" s="80" t="s">
        <v>43</v>
      </c>
      <c r="H506" s="80" t="s">
        <v>12</v>
      </c>
      <c r="I506" s="80" t="s">
        <v>7</v>
      </c>
      <c r="J506" s="80"/>
      <c r="K506" s="80" t="s">
        <v>30</v>
      </c>
      <c r="L506" s="80"/>
      <c r="M506" s="80" t="s">
        <v>467</v>
      </c>
      <c r="N506" s="80" t="s">
        <v>456</v>
      </c>
      <c r="O506" s="37">
        <v>9170</v>
      </c>
      <c r="P506" s="37">
        <v>2478</v>
      </c>
      <c r="Q506" s="37">
        <v>2400</v>
      </c>
      <c r="R506" s="37"/>
      <c r="S506" s="37">
        <v>3805</v>
      </c>
      <c r="T506" s="37">
        <v>2600</v>
      </c>
      <c r="U506" s="37">
        <v>11362</v>
      </c>
      <c r="V506" s="37">
        <v>1270</v>
      </c>
      <c r="W506" s="37">
        <v>6570</v>
      </c>
      <c r="X506" s="37">
        <v>3430</v>
      </c>
      <c r="Y506" s="37"/>
      <c r="Z506" s="37">
        <v>21</v>
      </c>
      <c r="AA506" s="37" t="s">
        <v>1079</v>
      </c>
      <c r="AB506" s="37">
        <v>19000</v>
      </c>
      <c r="AC506" s="37">
        <v>7730</v>
      </c>
      <c r="AD506" s="37"/>
      <c r="AE506" s="37"/>
      <c r="AF506" s="37"/>
      <c r="AG506" s="37"/>
      <c r="AH506" s="37">
        <v>54.3</v>
      </c>
      <c r="AI506" s="37" t="s">
        <v>2875</v>
      </c>
      <c r="AJ506" s="37" t="s">
        <v>2873</v>
      </c>
      <c r="AK506" s="37" t="s">
        <v>2721</v>
      </c>
      <c r="AL506" s="37" t="s">
        <v>2723</v>
      </c>
      <c r="AM506" s="37" t="s">
        <v>2948</v>
      </c>
      <c r="AN506" s="37" t="s">
        <v>2915</v>
      </c>
      <c r="AO506" s="37" t="s">
        <v>3167</v>
      </c>
      <c r="AP506" s="37" t="s">
        <v>3105</v>
      </c>
      <c r="AQ506" s="37" t="s">
        <v>2794</v>
      </c>
      <c r="AR506" s="37" t="s">
        <v>2810</v>
      </c>
      <c r="AS506" s="37" t="s">
        <v>2596</v>
      </c>
      <c r="AT506" s="37" t="s">
        <v>2581</v>
      </c>
      <c r="AU506" s="84" t="s">
        <v>3213</v>
      </c>
      <c r="AV506" s="84" t="s">
        <v>3182</v>
      </c>
      <c r="AW506" s="84" t="s">
        <v>3180</v>
      </c>
      <c r="AX506" s="84" t="s">
        <v>3181</v>
      </c>
      <c r="AY506" s="80"/>
      <c r="AZ506" s="80"/>
      <c r="BA506" s="80"/>
      <c r="BB506" s="80"/>
      <c r="BC506" s="80"/>
      <c r="BD506" s="80"/>
      <c r="BE506" s="80"/>
      <c r="BF506" s="80"/>
      <c r="BG506" s="80"/>
      <c r="BH506" s="80"/>
      <c r="BI506" s="80"/>
      <c r="BJ506" s="80"/>
      <c r="BK506" s="80"/>
      <c r="BL506" s="80"/>
      <c r="BM506" s="80"/>
      <c r="BN506" s="80"/>
      <c r="BO506" s="80"/>
      <c r="BP506" s="80"/>
      <c r="BQ506" s="80"/>
      <c r="BR506" s="80"/>
      <c r="BS506" s="80"/>
      <c r="BT506" s="80"/>
    </row>
    <row r="507" spans="1:72" s="81" customFormat="1" ht="25.15" customHeight="1" outlineLevel="1" x14ac:dyDescent="0.25">
      <c r="A507" s="9" t="s">
        <v>202</v>
      </c>
      <c r="B507" s="82" t="s">
        <v>453</v>
      </c>
      <c r="C507" s="80"/>
      <c r="D507" s="80"/>
      <c r="E507" s="80" t="s">
        <v>33</v>
      </c>
      <c r="F507" s="80" t="s">
        <v>37</v>
      </c>
      <c r="G507" s="80" t="s">
        <v>43</v>
      </c>
      <c r="H507" s="80" t="s">
        <v>12</v>
      </c>
      <c r="I507" s="80" t="s">
        <v>7</v>
      </c>
      <c r="J507" s="80"/>
      <c r="K507" s="80" t="s">
        <v>30</v>
      </c>
      <c r="L507" s="80"/>
      <c r="M507" s="80" t="s">
        <v>468</v>
      </c>
      <c r="N507" s="80" t="s">
        <v>456</v>
      </c>
      <c r="O507" s="37">
        <v>9158</v>
      </c>
      <c r="P507" s="37">
        <v>2478</v>
      </c>
      <c r="Q507" s="37">
        <v>2400</v>
      </c>
      <c r="R507" s="37"/>
      <c r="S507" s="37">
        <v>3879</v>
      </c>
      <c r="T507" s="37">
        <v>2600</v>
      </c>
      <c r="U507" s="37">
        <v>11362</v>
      </c>
      <c r="V507" s="37">
        <v>1270</v>
      </c>
      <c r="W507" s="37">
        <v>6570</v>
      </c>
      <c r="X507" s="37">
        <v>3430</v>
      </c>
      <c r="Y507" s="37"/>
      <c r="Z507" s="37">
        <v>21</v>
      </c>
      <c r="AA507" s="37" t="s">
        <v>1074</v>
      </c>
      <c r="AB507" s="37">
        <v>19000</v>
      </c>
      <c r="AC507" s="37">
        <v>7605</v>
      </c>
      <c r="AD507" s="37"/>
      <c r="AE507" s="37"/>
      <c r="AF507" s="37"/>
      <c r="AG507" s="37"/>
      <c r="AH507" s="37">
        <v>54.3</v>
      </c>
      <c r="AI507" s="37" t="s">
        <v>2875</v>
      </c>
      <c r="AJ507" s="37" t="s">
        <v>2873</v>
      </c>
      <c r="AK507" s="37" t="s">
        <v>2721</v>
      </c>
      <c r="AL507" s="37" t="s">
        <v>2723</v>
      </c>
      <c r="AM507" s="37" t="s">
        <v>2948</v>
      </c>
      <c r="AN507" s="37" t="s">
        <v>2915</v>
      </c>
      <c r="AO507" s="37" t="s">
        <v>3168</v>
      </c>
      <c r="AP507" s="37" t="s">
        <v>3108</v>
      </c>
      <c r="AQ507" s="37" t="s">
        <v>2793</v>
      </c>
      <c r="AR507" s="37" t="s">
        <v>2810</v>
      </c>
      <c r="AS507" s="37" t="s">
        <v>2596</v>
      </c>
      <c r="AT507" s="37" t="s">
        <v>2581</v>
      </c>
      <c r="AU507" s="84" t="s">
        <v>3214</v>
      </c>
      <c r="AV507" s="84" t="s">
        <v>3182</v>
      </c>
      <c r="AW507" s="84" t="s">
        <v>3180</v>
      </c>
      <c r="AX507" s="84" t="s">
        <v>3181</v>
      </c>
      <c r="AY507" s="80"/>
      <c r="AZ507" s="80"/>
      <c r="BA507" s="80"/>
      <c r="BB507" s="80"/>
      <c r="BC507" s="80"/>
      <c r="BD507" s="80"/>
      <c r="BE507" s="80"/>
      <c r="BF507" s="80"/>
      <c r="BG507" s="80"/>
      <c r="BH507" s="80"/>
      <c r="BI507" s="80"/>
      <c r="BJ507" s="80"/>
      <c r="BK507" s="80"/>
      <c r="BL507" s="80"/>
      <c r="BM507" s="80"/>
      <c r="BN507" s="80"/>
      <c r="BO507" s="80"/>
      <c r="BP507" s="80"/>
      <c r="BQ507" s="80"/>
      <c r="BR507" s="80"/>
      <c r="BS507" s="80"/>
      <c r="BT507" s="80"/>
    </row>
    <row r="508" spans="1:72" customFormat="1" ht="25.15" customHeight="1" outlineLevel="1" x14ac:dyDescent="0.25">
      <c r="A508" s="9" t="s">
        <v>202</v>
      </c>
      <c r="B508" s="82" t="s">
        <v>453</v>
      </c>
      <c r="C508" s="80"/>
      <c r="D508" s="80"/>
      <c r="E508" s="80" t="s">
        <v>469</v>
      </c>
      <c r="F508" s="80" t="s">
        <v>50</v>
      </c>
      <c r="G508" s="80" t="s">
        <v>4360</v>
      </c>
      <c r="H508" s="80" t="s">
        <v>12</v>
      </c>
      <c r="I508" s="80" t="s">
        <v>7</v>
      </c>
      <c r="J508" s="80"/>
      <c r="K508" s="80" t="s">
        <v>30</v>
      </c>
      <c r="L508" s="80"/>
      <c r="M508" s="80" t="s">
        <v>1138</v>
      </c>
      <c r="N508" s="80" t="s">
        <v>456</v>
      </c>
      <c r="O508" s="37">
        <v>5570</v>
      </c>
      <c r="P508" s="37">
        <v>2478</v>
      </c>
      <c r="Q508" s="37">
        <v>2400</v>
      </c>
      <c r="R508" s="37"/>
      <c r="S508" s="37">
        <v>3685</v>
      </c>
      <c r="T508" s="37">
        <v>2600</v>
      </c>
      <c r="U508" s="37">
        <v>7725</v>
      </c>
      <c r="V508" s="37">
        <v>1150</v>
      </c>
      <c r="W508" s="37">
        <v>3800</v>
      </c>
      <c r="X508" s="37">
        <v>2600</v>
      </c>
      <c r="Y508" s="37"/>
      <c r="Z508" s="37">
        <v>15</v>
      </c>
      <c r="AA508" s="37" t="s">
        <v>1075</v>
      </c>
      <c r="AB508" s="37">
        <v>11990</v>
      </c>
      <c r="AC508" s="37">
        <v>3390</v>
      </c>
      <c r="AD508" s="37"/>
      <c r="AE508" s="37"/>
      <c r="AF508" s="37"/>
      <c r="AG508" s="37"/>
      <c r="AH508" s="37">
        <v>33</v>
      </c>
      <c r="AI508" s="37" t="s">
        <v>2877</v>
      </c>
      <c r="AJ508" s="37" t="s">
        <v>2869</v>
      </c>
      <c r="AK508" s="37" t="s">
        <v>2724</v>
      </c>
      <c r="AL508" s="37" t="s">
        <v>2726</v>
      </c>
      <c r="AM508" s="37" t="s">
        <v>2957</v>
      </c>
      <c r="AN508" s="37" t="s">
        <v>2914</v>
      </c>
      <c r="AO508" s="37" t="s">
        <v>3089</v>
      </c>
      <c r="AP508" s="37" t="s">
        <v>3093</v>
      </c>
      <c r="AQ508" s="37" t="s">
        <v>2773</v>
      </c>
      <c r="AR508" s="37" t="s">
        <v>2808</v>
      </c>
      <c r="AS508" s="37" t="s">
        <v>2593</v>
      </c>
      <c r="AT508" s="37" t="s">
        <v>2581</v>
      </c>
      <c r="AU508" s="84" t="s">
        <v>3215</v>
      </c>
      <c r="AV508" s="84" t="s">
        <v>3182</v>
      </c>
      <c r="AW508" s="84" t="s">
        <v>3180</v>
      </c>
      <c r="AX508" s="84" t="s">
        <v>3181</v>
      </c>
      <c r="AY508" s="80"/>
      <c r="AZ508" s="80"/>
      <c r="BA508" s="80"/>
      <c r="BB508" s="80"/>
      <c r="BC508" s="80"/>
      <c r="BD508" s="80"/>
      <c r="BE508" s="80"/>
      <c r="BF508" s="80"/>
      <c r="BG508" s="80"/>
      <c r="BH508" s="80"/>
      <c r="BI508" s="80"/>
      <c r="BJ508" s="80"/>
      <c r="BK508" s="80"/>
      <c r="BL508" s="80"/>
      <c r="BM508" s="80"/>
      <c r="BN508" s="80"/>
      <c r="BO508" s="80"/>
      <c r="BP508" s="80"/>
      <c r="BQ508" s="80"/>
      <c r="BR508" s="80"/>
      <c r="BS508" s="80"/>
      <c r="BT508" s="80"/>
    </row>
    <row r="509" spans="1:72" s="81" customFormat="1" ht="25.15" customHeight="1" outlineLevel="1" x14ac:dyDescent="0.25">
      <c r="A509" s="9" t="s">
        <v>202</v>
      </c>
      <c r="B509" s="82" t="s">
        <v>453</v>
      </c>
      <c r="C509" s="80"/>
      <c r="D509" s="80"/>
      <c r="E509" s="80" t="s">
        <v>469</v>
      </c>
      <c r="F509" s="80" t="s">
        <v>50</v>
      </c>
      <c r="G509" s="80" t="s">
        <v>4360</v>
      </c>
      <c r="H509" s="80" t="s">
        <v>12</v>
      </c>
      <c r="I509" s="80" t="s">
        <v>7</v>
      </c>
      <c r="J509" s="80"/>
      <c r="K509" s="80" t="s">
        <v>30</v>
      </c>
      <c r="L509" s="80"/>
      <c r="M509" s="80" t="s">
        <v>474</v>
      </c>
      <c r="N509" s="80" t="s">
        <v>456</v>
      </c>
      <c r="O509" s="37">
        <v>6770</v>
      </c>
      <c r="P509" s="37">
        <v>2478</v>
      </c>
      <c r="Q509" s="37">
        <v>2400</v>
      </c>
      <c r="R509" s="37"/>
      <c r="S509" s="37">
        <v>3725</v>
      </c>
      <c r="T509" s="37">
        <v>2600</v>
      </c>
      <c r="U509" s="37">
        <v>8975</v>
      </c>
      <c r="V509" s="37">
        <v>1190</v>
      </c>
      <c r="W509" s="37">
        <v>5000</v>
      </c>
      <c r="X509" s="37">
        <v>2650</v>
      </c>
      <c r="Y509" s="37"/>
      <c r="Z509" s="37">
        <v>15</v>
      </c>
      <c r="AA509" s="37" t="s">
        <v>1077</v>
      </c>
      <c r="AB509" s="37">
        <v>16000</v>
      </c>
      <c r="AC509" s="37">
        <v>6430</v>
      </c>
      <c r="AD509" s="37"/>
      <c r="AE509" s="37"/>
      <c r="AF509" s="37"/>
      <c r="AG509" s="37"/>
      <c r="AH509" s="37">
        <v>40</v>
      </c>
      <c r="AI509" s="37" t="s">
        <v>2877</v>
      </c>
      <c r="AJ509" s="37" t="s">
        <v>2869</v>
      </c>
      <c r="AK509" s="37" t="s">
        <v>2724</v>
      </c>
      <c r="AL509" s="37" t="s">
        <v>2726</v>
      </c>
      <c r="AM509" s="37" t="s">
        <v>2944</v>
      </c>
      <c r="AN509" s="37" t="s">
        <v>2914</v>
      </c>
      <c r="AO509" s="37" t="s">
        <v>3177</v>
      </c>
      <c r="AP509" s="37" t="s">
        <v>3147</v>
      </c>
      <c r="AQ509" s="37" t="s">
        <v>2794</v>
      </c>
      <c r="AR509" s="37" t="s">
        <v>2810</v>
      </c>
      <c r="AS509" s="37" t="s">
        <v>2596</v>
      </c>
      <c r="AT509" s="37" t="s">
        <v>2581</v>
      </c>
      <c r="AU509" s="84" t="s">
        <v>3216</v>
      </c>
      <c r="AV509" s="84" t="s">
        <v>3182</v>
      </c>
      <c r="AW509" s="84" t="s">
        <v>3180</v>
      </c>
      <c r="AX509" s="84" t="s">
        <v>3181</v>
      </c>
      <c r="AY509" s="80"/>
      <c r="AZ509" s="80"/>
      <c r="BA509" s="80"/>
      <c r="BB509" s="80"/>
      <c r="BC509" s="80"/>
      <c r="BD509" s="80"/>
      <c r="BE509" s="80"/>
      <c r="BF509" s="80"/>
      <c r="BG509" s="80"/>
      <c r="BH509" s="80"/>
      <c r="BI509" s="80"/>
      <c r="BJ509" s="80"/>
      <c r="BK509" s="80"/>
      <c r="BL509" s="80"/>
      <c r="BM509" s="80"/>
      <c r="BN509" s="80"/>
      <c r="BO509" s="80"/>
      <c r="BP509" s="80"/>
      <c r="BQ509" s="80"/>
      <c r="BR509" s="80"/>
      <c r="BS509" s="80"/>
      <c r="BT509" s="80"/>
    </row>
    <row r="510" spans="1:72" s="81" customFormat="1" ht="25.15" customHeight="1" outlineLevel="1" x14ac:dyDescent="0.25">
      <c r="A510" s="9" t="s">
        <v>202</v>
      </c>
      <c r="B510" s="82" t="s">
        <v>453</v>
      </c>
      <c r="C510" s="80"/>
      <c r="D510" s="80"/>
      <c r="E510" s="80" t="s">
        <v>469</v>
      </c>
      <c r="F510" s="80" t="s">
        <v>50</v>
      </c>
      <c r="G510" s="80" t="s">
        <v>4360</v>
      </c>
      <c r="H510" s="80" t="s">
        <v>12</v>
      </c>
      <c r="I510" s="80" t="s">
        <v>7</v>
      </c>
      <c r="J510" s="80"/>
      <c r="K510" s="80" t="s">
        <v>30</v>
      </c>
      <c r="L510" s="80"/>
      <c r="M510" s="80" t="s">
        <v>475</v>
      </c>
      <c r="N510" s="80" t="s">
        <v>456</v>
      </c>
      <c r="O510" s="37">
        <v>6770</v>
      </c>
      <c r="P510" s="37">
        <v>2478</v>
      </c>
      <c r="Q510" s="37">
        <v>2400</v>
      </c>
      <c r="R510" s="37"/>
      <c r="S510" s="37">
        <v>3799</v>
      </c>
      <c r="T510" s="37">
        <v>2600</v>
      </c>
      <c r="U510" s="37">
        <v>8975</v>
      </c>
      <c r="V510" s="37">
        <v>1190</v>
      </c>
      <c r="W510" s="37">
        <v>5000</v>
      </c>
      <c r="X510" s="37">
        <v>2650</v>
      </c>
      <c r="Y510" s="37"/>
      <c r="Z510" s="37">
        <v>15</v>
      </c>
      <c r="AA510" s="37" t="s">
        <v>1078</v>
      </c>
      <c r="AB510" s="37">
        <v>16000</v>
      </c>
      <c r="AC510" s="37">
        <v>6300</v>
      </c>
      <c r="AD510" s="37"/>
      <c r="AE510" s="37"/>
      <c r="AF510" s="37"/>
      <c r="AG510" s="37"/>
      <c r="AH510" s="37">
        <v>40</v>
      </c>
      <c r="AI510" s="37" t="s">
        <v>2877</v>
      </c>
      <c r="AJ510" s="37" t="s">
        <v>2869</v>
      </c>
      <c r="AK510" s="37" t="s">
        <v>2724</v>
      </c>
      <c r="AL510" s="37" t="s">
        <v>2726</v>
      </c>
      <c r="AM510" s="37" t="s">
        <v>2944</v>
      </c>
      <c r="AN510" s="37" t="s">
        <v>2914</v>
      </c>
      <c r="AO510" s="37" t="s">
        <v>3175</v>
      </c>
      <c r="AP510" s="37" t="s">
        <v>3102</v>
      </c>
      <c r="AQ510" s="37" t="s">
        <v>2793</v>
      </c>
      <c r="AR510" s="37" t="s">
        <v>2810</v>
      </c>
      <c r="AS510" s="37" t="s">
        <v>2596</v>
      </c>
      <c r="AT510" s="37" t="s">
        <v>2581</v>
      </c>
      <c r="AU510" s="84" t="s">
        <v>3217</v>
      </c>
      <c r="AV510" s="84" t="s">
        <v>3182</v>
      </c>
      <c r="AW510" s="84" t="s">
        <v>3180</v>
      </c>
      <c r="AX510" s="84" t="s">
        <v>3181</v>
      </c>
      <c r="AY510" s="80"/>
      <c r="AZ510" s="80"/>
      <c r="BA510" s="80"/>
      <c r="BB510" s="80"/>
      <c r="BC510" s="80"/>
      <c r="BD510" s="80"/>
      <c r="BE510" s="80"/>
      <c r="BF510" s="80"/>
      <c r="BG510" s="80"/>
      <c r="BH510" s="80"/>
      <c r="BI510" s="80"/>
      <c r="BJ510" s="80"/>
      <c r="BK510" s="80"/>
      <c r="BL510" s="80"/>
      <c r="BM510" s="80"/>
      <c r="BN510" s="80"/>
      <c r="BO510" s="80"/>
      <c r="BP510" s="80"/>
      <c r="BQ510" s="80"/>
      <c r="BR510" s="80"/>
      <c r="BS510" s="80"/>
      <c r="BT510" s="80"/>
    </row>
    <row r="511" spans="1:72" s="81" customFormat="1" ht="25.15" customHeight="1" outlineLevel="1" x14ac:dyDescent="0.25">
      <c r="A511" s="9" t="s">
        <v>202</v>
      </c>
      <c r="B511" s="82" t="s">
        <v>453</v>
      </c>
      <c r="C511" s="80"/>
      <c r="D511" s="80"/>
      <c r="E511" s="80" t="s">
        <v>469</v>
      </c>
      <c r="F511" s="80" t="s">
        <v>50</v>
      </c>
      <c r="G511" s="80" t="s">
        <v>42</v>
      </c>
      <c r="H511" s="80" t="s">
        <v>12</v>
      </c>
      <c r="I511" s="80" t="s">
        <v>7</v>
      </c>
      <c r="J511" s="80"/>
      <c r="K511" s="80" t="s">
        <v>30</v>
      </c>
      <c r="L511" s="80"/>
      <c r="M511" s="80" t="s">
        <v>476</v>
      </c>
      <c r="N511" s="80" t="s">
        <v>456</v>
      </c>
      <c r="O511" s="37">
        <v>7970</v>
      </c>
      <c r="P511" s="37">
        <v>2478</v>
      </c>
      <c r="Q511" s="37">
        <v>2400</v>
      </c>
      <c r="R511" s="37"/>
      <c r="S511" s="37">
        <v>3725</v>
      </c>
      <c r="T511" s="37">
        <v>2600</v>
      </c>
      <c r="U511" s="37">
        <v>10125</v>
      </c>
      <c r="V511" s="37">
        <v>1190</v>
      </c>
      <c r="W511" s="37">
        <v>5600</v>
      </c>
      <c r="X511" s="37">
        <v>3200</v>
      </c>
      <c r="Y511" s="37"/>
      <c r="Z511" s="37">
        <v>18</v>
      </c>
      <c r="AA511" s="37" t="s">
        <v>1077</v>
      </c>
      <c r="AB511" s="37">
        <v>16000</v>
      </c>
      <c r="AC511" s="37">
        <v>6050</v>
      </c>
      <c r="AD511" s="37"/>
      <c r="AE511" s="37"/>
      <c r="AF511" s="37"/>
      <c r="AG511" s="37"/>
      <c r="AH511" s="37">
        <v>47</v>
      </c>
      <c r="AI511" s="37" t="s">
        <v>2877</v>
      </c>
      <c r="AJ511" s="37" t="s">
        <v>2869</v>
      </c>
      <c r="AK511" s="37" t="s">
        <v>2724</v>
      </c>
      <c r="AL511" s="37" t="s">
        <v>2726</v>
      </c>
      <c r="AM511" s="37" t="s">
        <v>2944</v>
      </c>
      <c r="AN511" s="37" t="s">
        <v>2914</v>
      </c>
      <c r="AO511" s="37" t="s">
        <v>3178</v>
      </c>
      <c r="AP511" s="37" t="s">
        <v>3148</v>
      </c>
      <c r="AQ511" s="37" t="s">
        <v>2794</v>
      </c>
      <c r="AR511" s="37" t="s">
        <v>2810</v>
      </c>
      <c r="AS511" s="37" t="s">
        <v>2596</v>
      </c>
      <c r="AT511" s="37" t="s">
        <v>2581</v>
      </c>
      <c r="AU511" s="84" t="s">
        <v>3218</v>
      </c>
      <c r="AV511" s="84" t="s">
        <v>3182</v>
      </c>
      <c r="AW511" s="84" t="s">
        <v>3180</v>
      </c>
      <c r="AX511" s="84" t="s">
        <v>3181</v>
      </c>
      <c r="AY511" s="80"/>
      <c r="AZ511" s="80"/>
      <c r="BA511" s="80"/>
      <c r="BB511" s="80"/>
      <c r="BC511" s="80"/>
      <c r="BD511" s="80"/>
      <c r="BE511" s="80"/>
      <c r="BF511" s="80"/>
      <c r="BG511" s="80"/>
      <c r="BH511" s="80"/>
      <c r="BI511" s="80"/>
      <c r="BJ511" s="80"/>
      <c r="BK511" s="80"/>
      <c r="BL511" s="80"/>
      <c r="BM511" s="80"/>
      <c r="BN511" s="80"/>
      <c r="BO511" s="80"/>
      <c r="BP511" s="80"/>
      <c r="BQ511" s="80"/>
      <c r="BR511" s="80"/>
      <c r="BS511" s="80"/>
      <c r="BT511" s="80"/>
    </row>
    <row r="512" spans="1:72" s="81" customFormat="1" ht="25.15" customHeight="1" outlineLevel="1" x14ac:dyDescent="0.25">
      <c r="A512" s="9" t="s">
        <v>202</v>
      </c>
      <c r="B512" s="82" t="s">
        <v>453</v>
      </c>
      <c r="C512" s="80"/>
      <c r="D512" s="80"/>
      <c r="E512" s="80" t="s">
        <v>469</v>
      </c>
      <c r="F512" s="80" t="s">
        <v>50</v>
      </c>
      <c r="G512" s="80" t="s">
        <v>42</v>
      </c>
      <c r="H512" s="80" t="s">
        <v>12</v>
      </c>
      <c r="I512" s="80" t="s">
        <v>7</v>
      </c>
      <c r="J512" s="80"/>
      <c r="K512" s="80" t="s">
        <v>30</v>
      </c>
      <c r="L512" s="80"/>
      <c r="M512" s="80" t="s">
        <v>477</v>
      </c>
      <c r="N512" s="80" t="s">
        <v>456</v>
      </c>
      <c r="O512" s="37">
        <v>7970</v>
      </c>
      <c r="P512" s="37">
        <v>2478</v>
      </c>
      <c r="Q512" s="37">
        <v>2400</v>
      </c>
      <c r="R512" s="37"/>
      <c r="S512" s="37">
        <v>3799</v>
      </c>
      <c r="T512" s="37">
        <v>2600</v>
      </c>
      <c r="U512" s="37">
        <v>10125</v>
      </c>
      <c r="V512" s="37">
        <v>1190</v>
      </c>
      <c r="W512" s="37">
        <v>5600</v>
      </c>
      <c r="X512" s="37">
        <v>3200</v>
      </c>
      <c r="Y512" s="37"/>
      <c r="Z512" s="37">
        <v>18</v>
      </c>
      <c r="AA512" s="37" t="s">
        <v>1078</v>
      </c>
      <c r="AB512" s="37">
        <v>16000</v>
      </c>
      <c r="AC512" s="37">
        <v>5625</v>
      </c>
      <c r="AD512" s="37"/>
      <c r="AE512" s="37"/>
      <c r="AF512" s="37"/>
      <c r="AG512" s="37"/>
      <c r="AH512" s="37">
        <v>47</v>
      </c>
      <c r="AI512" s="37" t="s">
        <v>2877</v>
      </c>
      <c r="AJ512" s="37" t="s">
        <v>2869</v>
      </c>
      <c r="AK512" s="37" t="s">
        <v>2724</v>
      </c>
      <c r="AL512" s="37" t="s">
        <v>2726</v>
      </c>
      <c r="AM512" s="37" t="s">
        <v>2944</v>
      </c>
      <c r="AN512" s="37" t="s">
        <v>2914</v>
      </c>
      <c r="AO512" s="37" t="s">
        <v>3176</v>
      </c>
      <c r="AP512" s="37" t="s">
        <v>3107</v>
      </c>
      <c r="AQ512" s="37" t="s">
        <v>2793</v>
      </c>
      <c r="AR512" s="37" t="s">
        <v>2810</v>
      </c>
      <c r="AS512" s="37" t="s">
        <v>2596</v>
      </c>
      <c r="AT512" s="37" t="s">
        <v>2581</v>
      </c>
      <c r="AU512" s="84" t="s">
        <v>3219</v>
      </c>
      <c r="AV512" s="84" t="s">
        <v>3182</v>
      </c>
      <c r="AW512" s="84" t="s">
        <v>3180</v>
      </c>
      <c r="AX512" s="84" t="s">
        <v>3181</v>
      </c>
      <c r="AY512" s="80"/>
      <c r="AZ512" s="80"/>
      <c r="BA512" s="80"/>
      <c r="BB512" s="80"/>
      <c r="BC512" s="80"/>
      <c r="BD512" s="80"/>
      <c r="BE512" s="80"/>
      <c r="BF512" s="80"/>
      <c r="BG512" s="80"/>
      <c r="BH512" s="80"/>
      <c r="BI512" s="80"/>
      <c r="BJ512" s="80"/>
      <c r="BK512" s="80"/>
      <c r="BL512" s="80"/>
      <c r="BM512" s="80"/>
      <c r="BN512" s="80"/>
      <c r="BO512" s="80"/>
      <c r="BP512" s="80"/>
      <c r="BQ512" s="80"/>
      <c r="BR512" s="80"/>
      <c r="BS512" s="80"/>
      <c r="BT512" s="80"/>
    </row>
    <row r="513" spans="1:72" s="81" customFormat="1" ht="25.15" customHeight="1" outlineLevel="1" x14ac:dyDescent="0.25">
      <c r="A513" s="9" t="s">
        <v>202</v>
      </c>
      <c r="B513" s="82" t="s">
        <v>453</v>
      </c>
      <c r="C513" s="80"/>
      <c r="D513" s="80"/>
      <c r="E513" s="80" t="s">
        <v>469</v>
      </c>
      <c r="F513" s="80" t="s">
        <v>50</v>
      </c>
      <c r="G513" s="80" t="s">
        <v>43</v>
      </c>
      <c r="H513" s="80" t="s">
        <v>12</v>
      </c>
      <c r="I513" s="80" t="s">
        <v>7</v>
      </c>
      <c r="J513" s="80"/>
      <c r="K513" s="80" t="s">
        <v>30</v>
      </c>
      <c r="L513" s="80"/>
      <c r="M513" s="80" t="s">
        <v>2618</v>
      </c>
      <c r="N513" s="80" t="s">
        <v>456</v>
      </c>
      <c r="O513" s="37">
        <v>9170</v>
      </c>
      <c r="P513" s="37">
        <v>2478</v>
      </c>
      <c r="Q513" s="37">
        <v>2400</v>
      </c>
      <c r="R513" s="37"/>
      <c r="S513" s="37">
        <v>3845</v>
      </c>
      <c r="T513" s="37">
        <v>2600</v>
      </c>
      <c r="U513" s="37">
        <v>11420</v>
      </c>
      <c r="V513" s="37">
        <v>1310</v>
      </c>
      <c r="W513" s="37">
        <v>6450</v>
      </c>
      <c r="X513" s="37">
        <v>3550</v>
      </c>
      <c r="Y513" s="37"/>
      <c r="Z513" s="37">
        <v>21</v>
      </c>
      <c r="AA513" s="37" t="s">
        <v>1089</v>
      </c>
      <c r="AB513" s="37">
        <v>19000</v>
      </c>
      <c r="AC513" s="37">
        <v>7245</v>
      </c>
      <c r="AD513" s="37"/>
      <c r="AE513" s="37"/>
      <c r="AF513" s="37"/>
      <c r="AG513" s="37"/>
      <c r="AH513" s="37">
        <v>54.3</v>
      </c>
      <c r="AI513" s="37" t="s">
        <v>2877</v>
      </c>
      <c r="AJ513" s="37" t="s">
        <v>2869</v>
      </c>
      <c r="AK513" s="37" t="s">
        <v>2725</v>
      </c>
      <c r="AL513" s="37" t="s">
        <v>2727</v>
      </c>
      <c r="AM513" s="37" t="s">
        <v>2945</v>
      </c>
      <c r="AN513" s="37" t="s">
        <v>2914</v>
      </c>
      <c r="AO513" s="37" t="s">
        <v>3167</v>
      </c>
      <c r="AP513" s="37" t="s">
        <v>3105</v>
      </c>
      <c r="AQ513" s="37" t="s">
        <v>2794</v>
      </c>
      <c r="AR513" s="37" t="s">
        <v>2810</v>
      </c>
      <c r="AS513" s="37" t="s">
        <v>2596</v>
      </c>
      <c r="AT513" s="37" t="s">
        <v>2581</v>
      </c>
      <c r="AU513" s="84" t="s">
        <v>3220</v>
      </c>
      <c r="AV513" s="84" t="s">
        <v>3182</v>
      </c>
      <c r="AW513" s="84" t="s">
        <v>3180</v>
      </c>
      <c r="AX513" s="84" t="s">
        <v>3181</v>
      </c>
      <c r="AY513" s="80"/>
      <c r="AZ513" s="80"/>
      <c r="BA513" s="80"/>
      <c r="BB513" s="80"/>
      <c r="BC513" s="80"/>
      <c r="BD513" s="80"/>
      <c r="BE513" s="80"/>
      <c r="BF513" s="80"/>
      <c r="BG513" s="80"/>
      <c r="BH513" s="80"/>
      <c r="BI513" s="80"/>
      <c r="BJ513" s="80"/>
      <c r="BK513" s="80"/>
      <c r="BL513" s="80"/>
      <c r="BM513" s="80"/>
      <c r="BN513" s="80"/>
      <c r="BO513" s="80"/>
      <c r="BP513" s="80"/>
      <c r="BQ513" s="80"/>
      <c r="BR513" s="80"/>
      <c r="BS513" s="80"/>
      <c r="BT513" s="80"/>
    </row>
    <row r="514" spans="1:72" s="81" customFormat="1" ht="25.15" customHeight="1" outlineLevel="1" x14ac:dyDescent="0.25">
      <c r="A514" s="9" t="s">
        <v>202</v>
      </c>
      <c r="B514" s="82" t="s">
        <v>453</v>
      </c>
      <c r="C514" s="80"/>
      <c r="D514" s="80"/>
      <c r="E514" s="80" t="s">
        <v>469</v>
      </c>
      <c r="F514" s="80" t="s">
        <v>50</v>
      </c>
      <c r="G514" s="80" t="s">
        <v>43</v>
      </c>
      <c r="H514" s="80" t="s">
        <v>12</v>
      </c>
      <c r="I514" s="80" t="s">
        <v>7</v>
      </c>
      <c r="J514" s="80"/>
      <c r="K514" s="80" t="s">
        <v>30</v>
      </c>
      <c r="L514" s="80"/>
      <c r="M514" s="80" t="s">
        <v>2619</v>
      </c>
      <c r="N514" s="80" t="s">
        <v>456</v>
      </c>
      <c r="O514" s="37">
        <v>9158</v>
      </c>
      <c r="P514" s="37">
        <v>2478</v>
      </c>
      <c r="Q514" s="37">
        <v>2400</v>
      </c>
      <c r="R514" s="37"/>
      <c r="S514" s="37">
        <v>3919</v>
      </c>
      <c r="T514" s="37">
        <v>2600</v>
      </c>
      <c r="U514" s="37">
        <v>11420</v>
      </c>
      <c r="V514" s="37">
        <v>1310</v>
      </c>
      <c r="W514" s="37">
        <v>6450</v>
      </c>
      <c r="X514" s="37">
        <v>3550</v>
      </c>
      <c r="Y514" s="37"/>
      <c r="Z514" s="37">
        <v>21</v>
      </c>
      <c r="AA514" s="37" t="s">
        <v>1088</v>
      </c>
      <c r="AB514" s="37">
        <v>19000</v>
      </c>
      <c r="AC514" s="37">
        <v>7115</v>
      </c>
      <c r="AD514" s="37"/>
      <c r="AE514" s="37"/>
      <c r="AF514" s="37"/>
      <c r="AG514" s="37"/>
      <c r="AH514" s="37">
        <v>54.3</v>
      </c>
      <c r="AI514" s="37" t="s">
        <v>2877</v>
      </c>
      <c r="AJ514" s="37" t="s">
        <v>2869</v>
      </c>
      <c r="AK514" s="37" t="s">
        <v>2725</v>
      </c>
      <c r="AL514" s="37" t="s">
        <v>2727</v>
      </c>
      <c r="AM514" s="37" t="s">
        <v>2945</v>
      </c>
      <c r="AN514" s="37" t="s">
        <v>2914</v>
      </c>
      <c r="AO514" s="37" t="s">
        <v>3168</v>
      </c>
      <c r="AP514" s="37" t="s">
        <v>3108</v>
      </c>
      <c r="AQ514" s="37" t="s">
        <v>2793</v>
      </c>
      <c r="AR514" s="37" t="s">
        <v>2810</v>
      </c>
      <c r="AS514" s="37" t="s">
        <v>2596</v>
      </c>
      <c r="AT514" s="37" t="s">
        <v>2581</v>
      </c>
      <c r="AU514" s="84" t="s">
        <v>3221</v>
      </c>
      <c r="AV514" s="84" t="s">
        <v>3182</v>
      </c>
      <c r="AW514" s="84" t="s">
        <v>3180</v>
      </c>
      <c r="AX514" s="84" t="s">
        <v>3181</v>
      </c>
      <c r="AY514" s="80"/>
      <c r="AZ514" s="80"/>
      <c r="BA514" s="80"/>
      <c r="BB514" s="80"/>
      <c r="BC514" s="80"/>
      <c r="BD514" s="80"/>
      <c r="BE514" s="80"/>
      <c r="BF514" s="80"/>
      <c r="BG514" s="80"/>
      <c r="BH514" s="80"/>
      <c r="BI514" s="80"/>
      <c r="BJ514" s="80"/>
      <c r="BK514" s="80"/>
      <c r="BL514" s="80"/>
      <c r="BM514" s="80"/>
      <c r="BN514" s="80"/>
      <c r="BO514" s="80"/>
      <c r="BP514" s="80"/>
      <c r="BQ514" s="80"/>
      <c r="BR514" s="80"/>
      <c r="BS514" s="80"/>
      <c r="BT514" s="80"/>
    </row>
    <row r="515" spans="1:72" s="81" customFormat="1" ht="25.15" customHeight="1" outlineLevel="1" x14ac:dyDescent="0.25">
      <c r="A515" s="9" t="s">
        <v>202</v>
      </c>
      <c r="B515" s="82" t="s">
        <v>453</v>
      </c>
      <c r="C515" s="80"/>
      <c r="D515" s="80"/>
      <c r="E515" s="80" t="s">
        <v>469</v>
      </c>
      <c r="F515" s="80" t="s">
        <v>478</v>
      </c>
      <c r="G515" s="80" t="s">
        <v>45</v>
      </c>
      <c r="H515" s="80"/>
      <c r="I515" s="80"/>
      <c r="J515" s="80"/>
      <c r="K515" s="80" t="s">
        <v>479</v>
      </c>
      <c r="L515" s="80"/>
      <c r="M515" s="80" t="s">
        <v>2628</v>
      </c>
      <c r="N515" s="80" t="s">
        <v>31</v>
      </c>
      <c r="O515" s="37"/>
      <c r="P515" s="37"/>
      <c r="Q515" s="37"/>
      <c r="R515" s="37"/>
      <c r="S515" s="37">
        <v>3924</v>
      </c>
      <c r="T515" s="37">
        <v>2534</v>
      </c>
      <c r="U515" s="37">
        <v>5990</v>
      </c>
      <c r="V515" s="37"/>
      <c r="W515" s="37">
        <v>3800</v>
      </c>
      <c r="X515" s="37">
        <v>825</v>
      </c>
      <c r="Y515" s="37"/>
      <c r="Z515" s="37"/>
      <c r="AA515" s="37" t="s">
        <v>480</v>
      </c>
      <c r="AB515" s="37">
        <v>19000</v>
      </c>
      <c r="AC515" s="37"/>
      <c r="AD515" s="37"/>
      <c r="AE515" s="37"/>
      <c r="AF515" s="37">
        <v>44000</v>
      </c>
      <c r="AG515" s="37"/>
      <c r="AH515" s="37"/>
      <c r="AI515" s="37" t="s">
        <v>2867</v>
      </c>
      <c r="AJ515" s="37" t="s">
        <v>2868</v>
      </c>
      <c r="AK515" s="37" t="s">
        <v>2714</v>
      </c>
      <c r="AL515" s="37" t="s">
        <v>2660</v>
      </c>
      <c r="AM515" s="37" t="s">
        <v>2922</v>
      </c>
      <c r="AN515" s="37" t="s">
        <v>2909</v>
      </c>
      <c r="AO515" s="80"/>
      <c r="AP515" s="80"/>
      <c r="AQ515" s="80"/>
      <c r="AR515" s="80"/>
      <c r="AS515" s="80"/>
      <c r="AT515" s="80"/>
      <c r="AU515" s="84" t="s">
        <v>3222</v>
      </c>
      <c r="AV515" s="84" t="s">
        <v>3182</v>
      </c>
      <c r="AW515" s="84" t="s">
        <v>3180</v>
      </c>
      <c r="AX515" s="84" t="s">
        <v>3181</v>
      </c>
      <c r="AY515" s="80"/>
      <c r="AZ515" s="80"/>
      <c r="BA515" s="80"/>
      <c r="BB515" s="80"/>
      <c r="BC515" s="80"/>
      <c r="BD515" s="80"/>
      <c r="BE515" s="80"/>
      <c r="BF515" s="80"/>
      <c r="BG515" s="80"/>
      <c r="BH515" s="80"/>
      <c r="BI515" s="80"/>
      <c r="BJ515" s="80"/>
      <c r="BK515" s="80"/>
      <c r="BL515" s="80"/>
      <c r="BM515" s="80"/>
      <c r="BN515" s="80"/>
      <c r="BO515" s="80"/>
      <c r="BP515" s="80"/>
      <c r="BQ515" s="80"/>
      <c r="BR515" s="80"/>
      <c r="BS515" s="80"/>
      <c r="BT515" s="80"/>
    </row>
    <row r="516" spans="1:72" s="81" customFormat="1" ht="25.15" customHeight="1" outlineLevel="1" x14ac:dyDescent="0.25">
      <c r="A516" s="9" t="s">
        <v>202</v>
      </c>
      <c r="B516" s="82" t="s">
        <v>453</v>
      </c>
      <c r="C516" s="80"/>
      <c r="D516" s="80"/>
      <c r="E516" s="80" t="s">
        <v>482</v>
      </c>
      <c r="F516" s="80" t="s">
        <v>483</v>
      </c>
      <c r="G516" s="80" t="s">
        <v>484</v>
      </c>
      <c r="H516" s="80" t="s">
        <v>12</v>
      </c>
      <c r="I516" s="80"/>
      <c r="J516" s="80"/>
      <c r="K516" s="80" t="s">
        <v>482</v>
      </c>
      <c r="L516" s="80"/>
      <c r="M516" s="80" t="s">
        <v>1093</v>
      </c>
      <c r="N516" s="80" t="s">
        <v>460</v>
      </c>
      <c r="O516" s="37">
        <v>13389</v>
      </c>
      <c r="P516" s="37">
        <v>2453</v>
      </c>
      <c r="Q516" s="37">
        <v>2600</v>
      </c>
      <c r="R516" s="37"/>
      <c r="S516" s="37"/>
      <c r="T516" s="37"/>
      <c r="U516" s="37"/>
      <c r="V516" s="37"/>
      <c r="W516" s="37">
        <v>7450</v>
      </c>
      <c r="X516" s="37"/>
      <c r="Y516" s="37"/>
      <c r="Z516" s="37">
        <v>33</v>
      </c>
      <c r="AA516" s="37" t="s">
        <v>1090</v>
      </c>
      <c r="AB516" s="37">
        <v>38000</v>
      </c>
      <c r="AC516" s="37"/>
      <c r="AD516" s="37"/>
      <c r="AE516" s="37"/>
      <c r="AF516" s="37"/>
      <c r="AG516" s="37"/>
      <c r="AH516" s="37">
        <v>85</v>
      </c>
      <c r="AI516" s="80"/>
      <c r="AJ516" s="80"/>
      <c r="AK516" s="80"/>
      <c r="AL516" s="80"/>
      <c r="AM516" s="37" t="s">
        <v>2920</v>
      </c>
      <c r="AN516" s="37" t="s">
        <v>2902</v>
      </c>
      <c r="AO516" s="37" t="s">
        <v>3159</v>
      </c>
      <c r="AP516" s="37" t="s">
        <v>3157</v>
      </c>
      <c r="AQ516" s="37" t="s">
        <v>2796</v>
      </c>
      <c r="AR516" s="37" t="s">
        <v>2807</v>
      </c>
      <c r="AS516" s="80"/>
      <c r="AT516" s="80"/>
      <c r="AU516" s="84" t="s">
        <v>3223</v>
      </c>
      <c r="AV516" s="84" t="s">
        <v>3182</v>
      </c>
      <c r="AW516" s="84" t="s">
        <v>3180</v>
      </c>
      <c r="AX516" s="84" t="s">
        <v>3181</v>
      </c>
      <c r="AY516" s="80"/>
      <c r="AZ516" s="80"/>
      <c r="BA516" s="80"/>
      <c r="BB516" s="80"/>
      <c r="BC516" s="80"/>
      <c r="BD516" s="80"/>
      <c r="BE516" s="80"/>
      <c r="BF516" s="80"/>
      <c r="BG516" s="80"/>
      <c r="BH516" s="80"/>
      <c r="BI516" s="80"/>
      <c r="BJ516" s="80"/>
      <c r="BK516" s="80"/>
      <c r="BL516" s="80"/>
      <c r="BM516" s="80"/>
      <c r="BN516" s="80"/>
      <c r="BO516" s="80"/>
      <c r="BP516" s="80"/>
      <c r="BQ516" s="80"/>
      <c r="BR516" s="80"/>
      <c r="BS516" s="80"/>
      <c r="BT516" s="80"/>
    </row>
    <row r="517" spans="1:72" s="81" customFormat="1" ht="25.15" customHeight="1" outlineLevel="1" x14ac:dyDescent="0.25">
      <c r="A517" s="9" t="s">
        <v>202</v>
      </c>
      <c r="B517" s="82" t="s">
        <v>453</v>
      </c>
      <c r="C517" s="80"/>
      <c r="D517" s="80"/>
      <c r="E517" s="80" t="s">
        <v>482</v>
      </c>
      <c r="F517" s="80" t="s">
        <v>483</v>
      </c>
      <c r="G517" s="80" t="s">
        <v>4361</v>
      </c>
      <c r="H517" s="80" t="s">
        <v>12</v>
      </c>
      <c r="I517" s="80"/>
      <c r="J517" s="80"/>
      <c r="K517" s="80" t="s">
        <v>482</v>
      </c>
      <c r="L517" s="80"/>
      <c r="M517" s="80" t="s">
        <v>1126</v>
      </c>
      <c r="N517" s="80" t="s">
        <v>460</v>
      </c>
      <c r="O517" s="37">
        <v>13389</v>
      </c>
      <c r="P517" s="37">
        <v>2453</v>
      </c>
      <c r="Q517" s="37">
        <v>2600</v>
      </c>
      <c r="R517" s="37"/>
      <c r="S517" s="37"/>
      <c r="T517" s="37"/>
      <c r="U517" s="37"/>
      <c r="V517" s="37"/>
      <c r="W517" s="37">
        <v>7450</v>
      </c>
      <c r="X517" s="37"/>
      <c r="Y517" s="37"/>
      <c r="Z517" s="37">
        <v>66</v>
      </c>
      <c r="AA517" s="37" t="s">
        <v>1091</v>
      </c>
      <c r="AB517" s="37">
        <v>38000</v>
      </c>
      <c r="AC517" s="37"/>
      <c r="AD517" s="37"/>
      <c r="AE517" s="37"/>
      <c r="AF517" s="37"/>
      <c r="AG517" s="37"/>
      <c r="AH517" s="37">
        <v>85</v>
      </c>
      <c r="AI517" s="80"/>
      <c r="AJ517" s="80"/>
      <c r="AK517" s="80"/>
      <c r="AL517" s="80"/>
      <c r="AM517" s="37" t="s">
        <v>2920</v>
      </c>
      <c r="AN517" s="37" t="s">
        <v>2902</v>
      </c>
      <c r="AO517" s="37" t="s">
        <v>3160</v>
      </c>
      <c r="AP517" s="37" t="s">
        <v>3158</v>
      </c>
      <c r="AQ517" s="37" t="s">
        <v>2796</v>
      </c>
      <c r="AR517" s="37" t="s">
        <v>2807</v>
      </c>
      <c r="AS517" s="80"/>
      <c r="AT517" s="80"/>
      <c r="AU517" s="84" t="s">
        <v>3224</v>
      </c>
      <c r="AV517" s="84" t="s">
        <v>3182</v>
      </c>
      <c r="AW517" s="84" t="s">
        <v>3180</v>
      </c>
      <c r="AX517" s="84" t="s">
        <v>3181</v>
      </c>
      <c r="AY517" s="80"/>
      <c r="AZ517" s="80"/>
      <c r="BA517" s="80"/>
      <c r="BB517" s="80"/>
      <c r="BC517" s="80"/>
      <c r="BD517" s="80"/>
      <c r="BE517" s="80"/>
      <c r="BF517" s="80"/>
      <c r="BG517" s="80"/>
      <c r="BH517" s="80"/>
      <c r="BI517" s="80"/>
      <c r="BJ517" s="80"/>
      <c r="BK517" s="80"/>
      <c r="BL517" s="80"/>
      <c r="BM517" s="80"/>
      <c r="BN517" s="80"/>
      <c r="BO517" s="80"/>
      <c r="BP517" s="80"/>
      <c r="BQ517" s="80"/>
      <c r="BR517" s="80"/>
      <c r="BS517" s="80"/>
      <c r="BT517" s="80"/>
    </row>
    <row r="518" spans="1:72" s="81" customFormat="1" ht="25.15" customHeight="1" outlineLevel="1" x14ac:dyDescent="0.25">
      <c r="A518" s="9" t="s">
        <v>202</v>
      </c>
      <c r="B518" s="82" t="s">
        <v>453</v>
      </c>
      <c r="C518" s="80"/>
      <c r="D518" s="80"/>
      <c r="E518" s="80" t="s">
        <v>482</v>
      </c>
      <c r="F518" s="80" t="s">
        <v>483</v>
      </c>
      <c r="G518" s="80" t="s">
        <v>484</v>
      </c>
      <c r="H518" s="80" t="s">
        <v>12</v>
      </c>
      <c r="I518" s="80" t="s">
        <v>7</v>
      </c>
      <c r="J518" s="80"/>
      <c r="K518" s="80" t="s">
        <v>482</v>
      </c>
      <c r="L518" s="80"/>
      <c r="M518" s="80" t="s">
        <v>1092</v>
      </c>
      <c r="N518" s="80" t="s">
        <v>35</v>
      </c>
      <c r="O518" s="37">
        <v>13389</v>
      </c>
      <c r="P518" s="37">
        <v>2453</v>
      </c>
      <c r="Q518" s="37">
        <v>2600</v>
      </c>
      <c r="R518" s="37"/>
      <c r="S518" s="37"/>
      <c r="T518" s="37"/>
      <c r="U518" s="37"/>
      <c r="V518" s="37"/>
      <c r="W518" s="37">
        <v>7450</v>
      </c>
      <c r="X518" s="37"/>
      <c r="Y518" s="37"/>
      <c r="Z518" s="37">
        <v>33</v>
      </c>
      <c r="AA518" s="37" t="s">
        <v>1095</v>
      </c>
      <c r="AB518" s="37">
        <v>38000</v>
      </c>
      <c r="AC518" s="37"/>
      <c r="AD518" s="37"/>
      <c r="AE518" s="37"/>
      <c r="AF518" s="37"/>
      <c r="AG518" s="37"/>
      <c r="AH518" s="37">
        <v>85</v>
      </c>
      <c r="AI518" s="80"/>
      <c r="AJ518" s="80"/>
      <c r="AK518" s="80"/>
      <c r="AL518" s="80"/>
      <c r="AM518" s="37" t="s">
        <v>2920</v>
      </c>
      <c r="AN518" s="37" t="s">
        <v>2902</v>
      </c>
      <c r="AO518" s="37" t="s">
        <v>3159</v>
      </c>
      <c r="AP518" s="37" t="s">
        <v>3157</v>
      </c>
      <c r="AQ518" s="37" t="s">
        <v>2797</v>
      </c>
      <c r="AR518" s="37" t="s">
        <v>2807</v>
      </c>
      <c r="AS518" s="37" t="s">
        <v>2595</v>
      </c>
      <c r="AT518" s="37" t="s">
        <v>2581</v>
      </c>
      <c r="AU518" s="84" t="s">
        <v>3225</v>
      </c>
      <c r="AV518" s="84" t="s">
        <v>3182</v>
      </c>
      <c r="AW518" s="84" t="s">
        <v>3180</v>
      </c>
      <c r="AX518" s="84" t="s">
        <v>3181</v>
      </c>
      <c r="AY518" s="80"/>
      <c r="AZ518" s="80"/>
      <c r="BA518" s="80"/>
      <c r="BB518" s="80"/>
      <c r="BC518" s="80"/>
      <c r="BD518" s="80"/>
      <c r="BE518" s="80"/>
      <c r="BF518" s="80"/>
      <c r="BG518" s="80"/>
      <c r="BH518" s="80"/>
      <c r="BI518" s="80"/>
      <c r="BJ518" s="80"/>
      <c r="BK518" s="80"/>
      <c r="BL518" s="80"/>
      <c r="BM518" s="80"/>
      <c r="BN518" s="80"/>
      <c r="BO518" s="80"/>
      <c r="BP518" s="80"/>
      <c r="BQ518" s="80"/>
      <c r="BR518" s="80"/>
      <c r="BS518" s="80"/>
      <c r="BT518" s="80"/>
    </row>
    <row r="519" spans="1:72" s="81" customFormat="1" ht="25.15" customHeight="1" outlineLevel="1" x14ac:dyDescent="0.25">
      <c r="A519" s="9" t="s">
        <v>202</v>
      </c>
      <c r="B519" s="82" t="s">
        <v>453</v>
      </c>
      <c r="C519" s="80"/>
      <c r="D519" s="80"/>
      <c r="E519" s="80" t="s">
        <v>482</v>
      </c>
      <c r="F519" s="80" t="s">
        <v>483</v>
      </c>
      <c r="G519" s="80" t="s">
        <v>4361</v>
      </c>
      <c r="H519" s="80" t="s">
        <v>12</v>
      </c>
      <c r="I519" s="80" t="s">
        <v>7</v>
      </c>
      <c r="J519" s="80"/>
      <c r="K519" s="80" t="s">
        <v>482</v>
      </c>
      <c r="L519" s="80"/>
      <c r="M519" s="80" t="s">
        <v>1094</v>
      </c>
      <c r="N519" s="80" t="s">
        <v>35</v>
      </c>
      <c r="O519" s="37">
        <v>13389</v>
      </c>
      <c r="P519" s="37">
        <v>2453</v>
      </c>
      <c r="Q519" s="37">
        <v>2600</v>
      </c>
      <c r="R519" s="37"/>
      <c r="S519" s="37"/>
      <c r="T519" s="37"/>
      <c r="U519" s="37"/>
      <c r="V519" s="37"/>
      <c r="W519" s="37">
        <v>7450</v>
      </c>
      <c r="X519" s="37"/>
      <c r="Y519" s="37"/>
      <c r="Z519" s="37">
        <v>66</v>
      </c>
      <c r="AA519" s="37" t="s">
        <v>1096</v>
      </c>
      <c r="AB519" s="37">
        <v>38000</v>
      </c>
      <c r="AC519" s="37"/>
      <c r="AD519" s="37"/>
      <c r="AE519" s="37"/>
      <c r="AF519" s="37"/>
      <c r="AG519" s="37"/>
      <c r="AH519" s="37">
        <v>85</v>
      </c>
      <c r="AI519" s="80"/>
      <c r="AJ519" s="80"/>
      <c r="AK519" s="80"/>
      <c r="AL519" s="80"/>
      <c r="AM519" s="37" t="s">
        <v>2920</v>
      </c>
      <c r="AN519" s="37" t="s">
        <v>2902</v>
      </c>
      <c r="AO519" s="37" t="s">
        <v>3160</v>
      </c>
      <c r="AP519" s="37" t="s">
        <v>3158</v>
      </c>
      <c r="AQ519" s="37" t="s">
        <v>2797</v>
      </c>
      <c r="AR519" s="37" t="s">
        <v>2807</v>
      </c>
      <c r="AS519" s="37" t="s">
        <v>2595</v>
      </c>
      <c r="AT519" s="37" t="s">
        <v>2581</v>
      </c>
      <c r="AU519" s="84" t="s">
        <v>3226</v>
      </c>
      <c r="AV519" s="84" t="s">
        <v>3182</v>
      </c>
      <c r="AW519" s="84" t="s">
        <v>3180</v>
      </c>
      <c r="AX519" s="84" t="s">
        <v>3181</v>
      </c>
      <c r="AY519" s="80"/>
      <c r="AZ519" s="80"/>
      <c r="BA519" s="80"/>
      <c r="BB519" s="80"/>
      <c r="BC519" s="80"/>
      <c r="BD519" s="80"/>
      <c r="BE519" s="80"/>
      <c r="BF519" s="80"/>
      <c r="BG519" s="80"/>
      <c r="BH519" s="80"/>
      <c r="BI519" s="80"/>
      <c r="BJ519" s="80"/>
      <c r="BK519" s="80"/>
      <c r="BL519" s="80"/>
      <c r="BM519" s="80"/>
      <c r="BN519" s="80"/>
      <c r="BO519" s="80"/>
      <c r="BP519" s="80"/>
      <c r="BQ519" s="80"/>
      <c r="BR519" s="80"/>
      <c r="BS519" s="80"/>
      <c r="BT519" s="80"/>
    </row>
    <row r="520" spans="1:72" s="81" customFormat="1" ht="25.15" customHeight="1" x14ac:dyDescent="0.25">
      <c r="A520" s="9" t="s">
        <v>202</v>
      </c>
      <c r="B520" s="87" t="s">
        <v>498</v>
      </c>
      <c r="C520" s="80"/>
      <c r="D520" s="80"/>
      <c r="E520" s="80" t="s">
        <v>33</v>
      </c>
      <c r="F520" s="80" t="s">
        <v>34</v>
      </c>
      <c r="G520" s="80" t="s">
        <v>85</v>
      </c>
      <c r="H520" s="80" t="s">
        <v>12</v>
      </c>
      <c r="I520" s="80"/>
      <c r="J520" s="80"/>
      <c r="K520" s="80" t="s">
        <v>30</v>
      </c>
      <c r="L520" s="80"/>
      <c r="M520" s="80" t="s">
        <v>3191</v>
      </c>
      <c r="N520" s="80" t="s">
        <v>451</v>
      </c>
      <c r="O520" s="37">
        <v>2927</v>
      </c>
      <c r="P520" s="37">
        <v>1908</v>
      </c>
      <c r="Q520" s="37">
        <v>1900</v>
      </c>
      <c r="R520" s="37"/>
      <c r="S520" s="37">
        <v>2856</v>
      </c>
      <c r="T520" s="37">
        <v>2050</v>
      </c>
      <c r="U520" s="37">
        <v>5603</v>
      </c>
      <c r="V520" s="37">
        <v>865</v>
      </c>
      <c r="W520" s="37">
        <v>3450</v>
      </c>
      <c r="X520" s="37">
        <v>1125</v>
      </c>
      <c r="Y520" s="37"/>
      <c r="Z520" s="37">
        <v>4</v>
      </c>
      <c r="AA520" s="37" t="s">
        <v>1070</v>
      </c>
      <c r="AB520" s="37">
        <v>3500</v>
      </c>
      <c r="AC520" s="37">
        <v>810</v>
      </c>
      <c r="AD520" s="37"/>
      <c r="AE520" s="37"/>
      <c r="AF520" s="37"/>
      <c r="AG520" s="37"/>
      <c r="AH520" s="37">
        <v>10.6</v>
      </c>
      <c r="AI520" s="37" t="s">
        <v>2855</v>
      </c>
      <c r="AJ520" s="37" t="s">
        <v>2859</v>
      </c>
      <c r="AK520" s="37" t="s">
        <v>2712</v>
      </c>
      <c r="AL520" s="37" t="s">
        <v>2658</v>
      </c>
      <c r="AM520" s="37" t="s">
        <v>2950</v>
      </c>
      <c r="AN520" s="37" t="s">
        <v>2910</v>
      </c>
      <c r="AO520" s="37" t="s">
        <v>3136</v>
      </c>
      <c r="AP520" s="37" t="s">
        <v>3139</v>
      </c>
      <c r="AQ520" s="37" t="s">
        <v>2771</v>
      </c>
      <c r="AR520" s="37" t="s">
        <v>2799</v>
      </c>
      <c r="AS520" s="80"/>
      <c r="AT520" s="80"/>
      <c r="AU520" s="84" t="s">
        <v>3227</v>
      </c>
      <c r="AV520" s="84" t="s">
        <v>3185</v>
      </c>
      <c r="AW520" s="84" t="s">
        <v>3180</v>
      </c>
      <c r="AX520" s="80"/>
      <c r="AY520" s="80"/>
      <c r="AZ520" s="80"/>
      <c r="BA520" s="80"/>
      <c r="BB520" s="80"/>
      <c r="BC520" s="80"/>
      <c r="BD520" s="80"/>
      <c r="BE520" s="80"/>
      <c r="BF520" s="80"/>
      <c r="BG520" s="80"/>
      <c r="BH520" s="80"/>
      <c r="BI520" s="80"/>
      <c r="BJ520" s="80"/>
      <c r="BK520" s="80"/>
      <c r="BL520" s="80"/>
      <c r="BM520" s="80"/>
      <c r="BN520" s="80"/>
      <c r="BO520" s="80"/>
      <c r="BP520" s="80"/>
      <c r="BQ520" s="80"/>
      <c r="BR520" s="80"/>
      <c r="BS520" s="80"/>
      <c r="BT520" s="80"/>
    </row>
    <row r="521" spans="1:72" s="81" customFormat="1" ht="25.15" customHeight="1" outlineLevel="1" x14ac:dyDescent="0.25">
      <c r="A521" s="9" t="s">
        <v>202</v>
      </c>
      <c r="B521" s="87" t="s">
        <v>498</v>
      </c>
      <c r="C521" s="80"/>
      <c r="D521" s="80"/>
      <c r="E521" s="80" t="s">
        <v>33</v>
      </c>
      <c r="F521" s="80" t="s">
        <v>34</v>
      </c>
      <c r="G521" s="80" t="s">
        <v>85</v>
      </c>
      <c r="H521" s="80" t="s">
        <v>12</v>
      </c>
      <c r="I521" s="80"/>
      <c r="J521" s="80"/>
      <c r="K521" s="80" t="s">
        <v>30</v>
      </c>
      <c r="L521" s="80"/>
      <c r="M521" s="80" t="s">
        <v>1135</v>
      </c>
      <c r="N521" s="80" t="s">
        <v>451</v>
      </c>
      <c r="O521" s="37">
        <v>3528</v>
      </c>
      <c r="P521" s="37">
        <v>1908</v>
      </c>
      <c r="Q521" s="37">
        <v>2100</v>
      </c>
      <c r="R521" s="37"/>
      <c r="S521" s="37">
        <v>3086</v>
      </c>
      <c r="T521" s="37">
        <v>2050</v>
      </c>
      <c r="U521" s="37">
        <v>6213</v>
      </c>
      <c r="V521" s="37">
        <v>895</v>
      </c>
      <c r="W521" s="37">
        <v>3450</v>
      </c>
      <c r="X521" s="37">
        <v>1725</v>
      </c>
      <c r="Y521" s="37"/>
      <c r="Z521" s="37" t="s">
        <v>1099</v>
      </c>
      <c r="AA521" s="37" t="s">
        <v>1097</v>
      </c>
      <c r="AB521" s="37">
        <v>3500</v>
      </c>
      <c r="AC521" s="37">
        <v>720</v>
      </c>
      <c r="AD521" s="37"/>
      <c r="AE521" s="37"/>
      <c r="AF521" s="37"/>
      <c r="AG521" s="37"/>
      <c r="AH521" s="37">
        <v>14</v>
      </c>
      <c r="AI521" s="37" t="s">
        <v>2856</v>
      </c>
      <c r="AJ521" s="37" t="s">
        <v>2860</v>
      </c>
      <c r="AK521" s="37" t="s">
        <v>2712</v>
      </c>
      <c r="AL521" s="37" t="s">
        <v>2658</v>
      </c>
      <c r="AM521" s="37" t="s">
        <v>2949</v>
      </c>
      <c r="AN521" s="37" t="s">
        <v>2910</v>
      </c>
      <c r="AO521" s="37" t="s">
        <v>3134</v>
      </c>
      <c r="AP521" s="37" t="s">
        <v>3123</v>
      </c>
      <c r="AQ521" s="37" t="s">
        <v>2784</v>
      </c>
      <c r="AR521" s="37" t="s">
        <v>2809</v>
      </c>
      <c r="AS521" s="80"/>
      <c r="AT521" s="80"/>
      <c r="AU521" s="84" t="s">
        <v>3228</v>
      </c>
      <c r="AV521" s="84" t="s">
        <v>3185</v>
      </c>
      <c r="AW521" s="84" t="s">
        <v>3180</v>
      </c>
      <c r="AX521" s="80"/>
      <c r="AY521" s="80"/>
      <c r="AZ521" s="80"/>
      <c r="BA521" s="80"/>
      <c r="BB521" s="80"/>
      <c r="BC521" s="80"/>
      <c r="BD521" s="80"/>
      <c r="BE521" s="80"/>
      <c r="BF521" s="80"/>
      <c r="BG521" s="80"/>
      <c r="BH521" s="80"/>
      <c r="BI521" s="80"/>
      <c r="BJ521" s="80"/>
      <c r="BK521" s="80"/>
      <c r="BL521" s="80"/>
      <c r="BM521" s="80"/>
      <c r="BN521" s="80"/>
      <c r="BO521" s="80"/>
      <c r="BP521" s="80"/>
      <c r="BQ521" s="80"/>
      <c r="BR521" s="80"/>
      <c r="BS521" s="80"/>
      <c r="BT521" s="80"/>
    </row>
    <row r="522" spans="1:72" s="81" customFormat="1" ht="25.15" customHeight="1" outlineLevel="1" x14ac:dyDescent="0.25">
      <c r="A522" s="9" t="s">
        <v>202</v>
      </c>
      <c r="B522" s="87" t="s">
        <v>498</v>
      </c>
      <c r="C522" s="80"/>
      <c r="D522" s="80"/>
      <c r="E522" s="80" t="s">
        <v>33</v>
      </c>
      <c r="F522" s="80" t="s">
        <v>34</v>
      </c>
      <c r="G522" s="80" t="s">
        <v>85</v>
      </c>
      <c r="H522" s="80" t="s">
        <v>12</v>
      </c>
      <c r="I522" s="80" t="s">
        <v>7</v>
      </c>
      <c r="J522" s="80"/>
      <c r="K522" s="80" t="s">
        <v>30</v>
      </c>
      <c r="L522" s="80"/>
      <c r="M522" s="80" t="s">
        <v>2656</v>
      </c>
      <c r="N522" s="83" t="s">
        <v>461</v>
      </c>
      <c r="O522" s="37">
        <v>3528</v>
      </c>
      <c r="P522" s="37">
        <v>1908</v>
      </c>
      <c r="Q522" s="37">
        <v>2100</v>
      </c>
      <c r="R522" s="37"/>
      <c r="S522" s="37">
        <v>3086</v>
      </c>
      <c r="T522" s="37">
        <v>2050</v>
      </c>
      <c r="U522" s="37">
        <v>6425</v>
      </c>
      <c r="V522" s="37">
        <v>895</v>
      </c>
      <c r="W522" s="37">
        <v>3450</v>
      </c>
      <c r="X522" s="37">
        <v>1918</v>
      </c>
      <c r="Y522" s="37"/>
      <c r="Z522" s="37" t="s">
        <v>1099</v>
      </c>
      <c r="AA522" s="37" t="s">
        <v>1098</v>
      </c>
      <c r="AB522" s="37">
        <v>3500</v>
      </c>
      <c r="AC522" s="37">
        <v>535</v>
      </c>
      <c r="AD522" s="37"/>
      <c r="AE522" s="37"/>
      <c r="AF522" s="37"/>
      <c r="AG522" s="37"/>
      <c r="AH522" s="37">
        <v>14</v>
      </c>
      <c r="AI522" s="37" t="s">
        <v>2856</v>
      </c>
      <c r="AJ522" s="37" t="s">
        <v>2860</v>
      </c>
      <c r="AK522" s="37" t="s">
        <v>2712</v>
      </c>
      <c r="AL522" s="37" t="s">
        <v>2658</v>
      </c>
      <c r="AM522" s="37" t="s">
        <v>2949</v>
      </c>
      <c r="AN522" s="37" t="s">
        <v>2910</v>
      </c>
      <c r="AO522" s="37" t="s">
        <v>3133</v>
      </c>
      <c r="AP522" s="37" t="s">
        <v>3123</v>
      </c>
      <c r="AQ522" s="37" t="s">
        <v>2784</v>
      </c>
      <c r="AR522" s="37" t="s">
        <v>2809</v>
      </c>
      <c r="AS522" s="37" t="s">
        <v>2582</v>
      </c>
      <c r="AT522" s="37" t="s">
        <v>2581</v>
      </c>
      <c r="AU522" s="84" t="s">
        <v>3229</v>
      </c>
      <c r="AV522" s="84" t="s">
        <v>3185</v>
      </c>
      <c r="AW522" s="84" t="s">
        <v>3180</v>
      </c>
      <c r="AX522" s="80"/>
      <c r="AY522" s="80"/>
      <c r="AZ522" s="80"/>
      <c r="BA522" s="80"/>
      <c r="BB522" s="80"/>
      <c r="BC522" s="80"/>
      <c r="BD522" s="80"/>
      <c r="BE522" s="80"/>
      <c r="BF522" s="80"/>
      <c r="BG522" s="80"/>
      <c r="BH522" s="80"/>
      <c r="BI522" s="80"/>
      <c r="BJ522" s="80"/>
      <c r="BK522" s="80"/>
      <c r="BL522" s="80"/>
      <c r="BM522" s="80"/>
      <c r="BN522" s="80"/>
      <c r="BO522" s="80"/>
      <c r="BP522" s="80"/>
      <c r="BQ522" s="80"/>
      <c r="BR522" s="80"/>
      <c r="BS522" s="80"/>
      <c r="BT522" s="80"/>
    </row>
    <row r="523" spans="1:72" s="81" customFormat="1" ht="25.15" customHeight="1" outlineLevel="1" x14ac:dyDescent="0.25">
      <c r="A523" s="9" t="s">
        <v>202</v>
      </c>
      <c r="B523" s="87" t="s">
        <v>498</v>
      </c>
      <c r="C523" s="80"/>
      <c r="D523" s="80"/>
      <c r="E523" s="80" t="s">
        <v>33</v>
      </c>
      <c r="F523" s="80" t="s">
        <v>34</v>
      </c>
      <c r="G523" s="80" t="s">
        <v>4362</v>
      </c>
      <c r="H523" s="80" t="s">
        <v>12</v>
      </c>
      <c r="I523" s="80" t="s">
        <v>7</v>
      </c>
      <c r="J523" s="80"/>
      <c r="K523" s="80" t="s">
        <v>30</v>
      </c>
      <c r="L523" s="80"/>
      <c r="M523" s="80" t="s">
        <v>1101</v>
      </c>
      <c r="N523" s="83" t="s">
        <v>461</v>
      </c>
      <c r="O523" s="37">
        <v>4922</v>
      </c>
      <c r="P523" s="37">
        <v>2154</v>
      </c>
      <c r="Q523" s="37">
        <v>2200</v>
      </c>
      <c r="R523" s="37"/>
      <c r="S523" s="37">
        <v>3352</v>
      </c>
      <c r="T523" s="37">
        <v>2300</v>
      </c>
      <c r="U523" s="37">
        <v>7682</v>
      </c>
      <c r="V523" s="37">
        <v>1060</v>
      </c>
      <c r="W523" s="37">
        <v>4350</v>
      </c>
      <c r="X523" s="37">
        <v>2275</v>
      </c>
      <c r="Y523" s="37"/>
      <c r="Z523" s="37" t="s">
        <v>1102</v>
      </c>
      <c r="AA523" s="37" t="s">
        <v>1100</v>
      </c>
      <c r="AB523" s="37">
        <v>7200</v>
      </c>
      <c r="AC523" s="37">
        <v>2230</v>
      </c>
      <c r="AD523" s="37"/>
      <c r="AE523" s="37"/>
      <c r="AF523" s="37"/>
      <c r="AG523" s="37"/>
      <c r="AH523" s="37">
        <v>23.2</v>
      </c>
      <c r="AI523" s="37" t="s">
        <v>2863</v>
      </c>
      <c r="AJ523" s="37" t="s">
        <v>2879</v>
      </c>
      <c r="AK523" s="37" t="s">
        <v>2713</v>
      </c>
      <c r="AL523" s="37" t="s">
        <v>2661</v>
      </c>
      <c r="AM523" s="37" t="s">
        <v>2951</v>
      </c>
      <c r="AN523" s="37" t="s">
        <v>2911</v>
      </c>
      <c r="AO523" s="37" t="s">
        <v>3084</v>
      </c>
      <c r="AP523" s="37" t="s">
        <v>3086</v>
      </c>
      <c r="AQ523" s="37" t="s">
        <v>2798</v>
      </c>
      <c r="AR523" s="37" t="s">
        <v>2812</v>
      </c>
      <c r="AS523" s="37" t="s">
        <v>2594</v>
      </c>
      <c r="AT523" s="37" t="s">
        <v>2581</v>
      </c>
      <c r="AU523" s="84" t="s">
        <v>3230</v>
      </c>
      <c r="AV523" s="84" t="s">
        <v>3185</v>
      </c>
      <c r="AW523" s="84" t="s">
        <v>3180</v>
      </c>
      <c r="AX523" s="80"/>
      <c r="AY523" s="80"/>
      <c r="AZ523" s="80"/>
      <c r="BA523" s="80"/>
      <c r="BB523" s="80"/>
      <c r="BC523" s="80"/>
      <c r="BD523" s="80"/>
      <c r="BE523" s="80"/>
      <c r="BF523" s="80"/>
      <c r="BG523" s="80"/>
      <c r="BH523" s="80"/>
      <c r="BI523" s="80"/>
      <c r="BJ523" s="80"/>
      <c r="BK523" s="80"/>
      <c r="BL523" s="80"/>
      <c r="BM523" s="80"/>
      <c r="BN523" s="80"/>
      <c r="BO523" s="80"/>
      <c r="BP523" s="80"/>
      <c r="BQ523" s="80"/>
      <c r="BR523" s="80"/>
      <c r="BS523" s="80"/>
      <c r="BT523" s="80"/>
    </row>
    <row r="524" spans="1:72" s="81" customFormat="1" ht="25.15" customHeight="1" outlineLevel="1" x14ac:dyDescent="0.25">
      <c r="A524" s="9" t="s">
        <v>202</v>
      </c>
      <c r="B524" s="87" t="s">
        <v>498</v>
      </c>
      <c r="C524" s="80"/>
      <c r="D524" s="80"/>
      <c r="E524" s="80" t="s">
        <v>33</v>
      </c>
      <c r="F524" s="80" t="s">
        <v>37</v>
      </c>
      <c r="G524" s="80" t="s">
        <v>38</v>
      </c>
      <c r="H524" s="80" t="s">
        <v>12</v>
      </c>
      <c r="I524" s="80" t="s">
        <v>7</v>
      </c>
      <c r="J524" s="80"/>
      <c r="K524" s="80" t="s">
        <v>30</v>
      </c>
      <c r="L524" s="80"/>
      <c r="M524" s="80" t="s">
        <v>1131</v>
      </c>
      <c r="N524" s="80" t="s">
        <v>456</v>
      </c>
      <c r="O524" s="37">
        <v>6190</v>
      </c>
      <c r="P524" s="37">
        <v>2354</v>
      </c>
      <c r="Q524" s="37">
        <v>2300</v>
      </c>
      <c r="R524" s="37"/>
      <c r="S524" s="37">
        <v>3502</v>
      </c>
      <c r="T524" s="37">
        <v>2500</v>
      </c>
      <c r="U524" s="37">
        <v>8242</v>
      </c>
      <c r="V524" s="37">
        <v>1110</v>
      </c>
      <c r="W524" s="37">
        <v>4185</v>
      </c>
      <c r="X524" s="37">
        <v>2795</v>
      </c>
      <c r="Y524" s="37"/>
      <c r="Z524" s="37" t="s">
        <v>1104</v>
      </c>
      <c r="AA524" s="37" t="s">
        <v>1103</v>
      </c>
      <c r="AB524" s="37">
        <v>10000</v>
      </c>
      <c r="AC524" s="37">
        <v>2255</v>
      </c>
      <c r="AD524" s="37"/>
      <c r="AE524" s="37"/>
      <c r="AF524" s="37"/>
      <c r="AG524" s="37"/>
      <c r="AH524" s="37">
        <v>33.5</v>
      </c>
      <c r="AI524" s="37" t="s">
        <v>2875</v>
      </c>
      <c r="AJ524" s="37" t="s">
        <v>2873</v>
      </c>
      <c r="AK524" s="37" t="s">
        <v>2717</v>
      </c>
      <c r="AL524" s="37" t="s">
        <v>2718</v>
      </c>
      <c r="AM524" s="37" t="s">
        <v>2958</v>
      </c>
      <c r="AN524" s="37" t="s">
        <v>2915</v>
      </c>
      <c r="AO524" s="37" t="s">
        <v>3142</v>
      </c>
      <c r="AP524" s="37" t="s">
        <v>3092</v>
      </c>
      <c r="AQ524" s="37" t="s">
        <v>2774</v>
      </c>
      <c r="AR524" s="37" t="s">
        <v>2808</v>
      </c>
      <c r="AS524" s="37" t="s">
        <v>2591</v>
      </c>
      <c r="AT524" s="37" t="s">
        <v>2581</v>
      </c>
      <c r="AU524" s="84" t="s">
        <v>3231</v>
      </c>
      <c r="AV524" s="84" t="s">
        <v>3185</v>
      </c>
      <c r="AW524" s="84" t="s">
        <v>3180</v>
      </c>
      <c r="AX524" s="80"/>
      <c r="AY524" s="80"/>
      <c r="AZ524" s="80"/>
      <c r="BA524" s="80"/>
      <c r="BB524" s="80"/>
      <c r="BC524" s="80"/>
      <c r="BD524" s="80"/>
      <c r="BE524" s="80"/>
      <c r="BF524" s="80"/>
      <c r="BG524" s="80"/>
      <c r="BH524" s="80"/>
      <c r="BI524" s="80"/>
      <c r="BJ524" s="80"/>
      <c r="BK524" s="80"/>
      <c r="BL524" s="80"/>
      <c r="BM524" s="80"/>
      <c r="BN524" s="80"/>
      <c r="BO524" s="80"/>
      <c r="BP524" s="80"/>
      <c r="BQ524" s="80"/>
      <c r="BR524" s="80"/>
      <c r="BS524" s="80"/>
      <c r="BT524" s="80"/>
    </row>
    <row r="525" spans="1:72" s="81" customFormat="1" ht="25.15" customHeight="1" outlineLevel="1" x14ac:dyDescent="0.25">
      <c r="A525" s="9" t="s">
        <v>202</v>
      </c>
      <c r="B525" s="87" t="s">
        <v>498</v>
      </c>
      <c r="C525" s="80"/>
      <c r="D525" s="80"/>
      <c r="E525" s="80" t="s">
        <v>33</v>
      </c>
      <c r="F525" s="80" t="s">
        <v>37</v>
      </c>
      <c r="G525" s="80" t="s">
        <v>4360</v>
      </c>
      <c r="H525" s="80" t="s">
        <v>12</v>
      </c>
      <c r="I525" s="80" t="s">
        <v>7</v>
      </c>
      <c r="J525" s="80"/>
      <c r="K525" s="80" t="s">
        <v>30</v>
      </c>
      <c r="L525" s="80"/>
      <c r="M525" s="80" t="s">
        <v>1132</v>
      </c>
      <c r="N525" s="80" t="s">
        <v>456</v>
      </c>
      <c r="O525" s="37">
        <v>6590</v>
      </c>
      <c r="P525" s="37">
        <v>2454</v>
      </c>
      <c r="Q525" s="37">
        <v>2400</v>
      </c>
      <c r="R525" s="37"/>
      <c r="S525" s="37">
        <v>3652</v>
      </c>
      <c r="T525" s="37">
        <v>2600</v>
      </c>
      <c r="U525" s="37">
        <v>8762</v>
      </c>
      <c r="V525" s="37">
        <v>1160</v>
      </c>
      <c r="W525" s="37">
        <v>4815</v>
      </c>
      <c r="X525" s="37">
        <v>2585</v>
      </c>
      <c r="Y525" s="37"/>
      <c r="Z525" s="37" t="s">
        <v>1105</v>
      </c>
      <c r="AA525" s="37" t="s">
        <v>296</v>
      </c>
      <c r="AB525" s="37">
        <v>11990</v>
      </c>
      <c r="AC525" s="37">
        <v>3320</v>
      </c>
      <c r="AD525" s="37"/>
      <c r="AE525" s="37"/>
      <c r="AF525" s="37"/>
      <c r="AG525" s="37"/>
      <c r="AH525" s="37">
        <v>38.9</v>
      </c>
      <c r="AI525" s="37" t="s">
        <v>2875</v>
      </c>
      <c r="AJ525" s="37" t="s">
        <v>2873</v>
      </c>
      <c r="AK525" s="37" t="s">
        <v>2717</v>
      </c>
      <c r="AL525" s="37" t="s">
        <v>2719</v>
      </c>
      <c r="AM525" s="37" t="s">
        <v>2946</v>
      </c>
      <c r="AN525" s="37" t="s">
        <v>2915</v>
      </c>
      <c r="AO525" s="37" t="s">
        <v>3174</v>
      </c>
      <c r="AP525" s="37" t="s">
        <v>3096</v>
      </c>
      <c r="AQ525" s="37" t="s">
        <v>2775</v>
      </c>
      <c r="AR525" s="37" t="s">
        <v>2808</v>
      </c>
      <c r="AS525" s="37" t="s">
        <v>2592</v>
      </c>
      <c r="AT525" s="37" t="s">
        <v>2581</v>
      </c>
      <c r="AU525" s="84" t="s">
        <v>3232</v>
      </c>
      <c r="AV525" s="84" t="s">
        <v>3185</v>
      </c>
      <c r="AW525" s="84" t="s">
        <v>3180</v>
      </c>
      <c r="AX525" s="80"/>
      <c r="AY525" s="80"/>
      <c r="AZ525" s="80"/>
      <c r="BA525" s="80"/>
      <c r="BB525" s="80"/>
      <c r="BC525" s="80"/>
      <c r="BD525" s="80"/>
      <c r="BE525" s="80"/>
      <c r="BF525" s="80"/>
      <c r="BG525" s="80"/>
      <c r="BH525" s="80"/>
      <c r="BI525" s="80"/>
      <c r="BJ525" s="80"/>
      <c r="BK525" s="80"/>
      <c r="BL525" s="80"/>
      <c r="BM525" s="80"/>
      <c r="BN525" s="80"/>
      <c r="BO525" s="80"/>
      <c r="BP525" s="80"/>
      <c r="BQ525" s="80"/>
      <c r="BR525" s="80"/>
      <c r="BS525" s="80"/>
      <c r="BT525" s="80"/>
    </row>
    <row r="526" spans="1:72" s="81" customFormat="1" ht="25.15" customHeight="1" outlineLevel="1" x14ac:dyDescent="0.25">
      <c r="A526" s="9" t="s">
        <v>202</v>
      </c>
      <c r="B526" s="87" t="s">
        <v>498</v>
      </c>
      <c r="C526" s="80"/>
      <c r="D526" s="80"/>
      <c r="E526" s="80" t="s">
        <v>33</v>
      </c>
      <c r="F526" s="80" t="s">
        <v>37</v>
      </c>
      <c r="G526" s="80" t="s">
        <v>42</v>
      </c>
      <c r="H526" s="80" t="s">
        <v>12</v>
      </c>
      <c r="I526" s="80" t="s">
        <v>7</v>
      </c>
      <c r="J526" s="80"/>
      <c r="K526" s="80" t="s">
        <v>30</v>
      </c>
      <c r="L526" s="80"/>
      <c r="M526" s="80" t="s">
        <v>1133</v>
      </c>
      <c r="N526" s="80" t="s">
        <v>456</v>
      </c>
      <c r="O526" s="37">
        <v>7990</v>
      </c>
      <c r="P526" s="37">
        <v>2454</v>
      </c>
      <c r="Q526" s="37">
        <v>2400</v>
      </c>
      <c r="R526" s="37"/>
      <c r="S526" s="37">
        <v>3652</v>
      </c>
      <c r="T526" s="37">
        <v>2600</v>
      </c>
      <c r="U526" s="37">
        <v>10172</v>
      </c>
      <c r="V526" s="37">
        <v>1160</v>
      </c>
      <c r="W526" s="37">
        <v>5670</v>
      </c>
      <c r="X526" s="37">
        <v>3140</v>
      </c>
      <c r="Y526" s="37"/>
      <c r="Z526" s="37" t="s">
        <v>1106</v>
      </c>
      <c r="AA526" s="37" t="s">
        <v>1103</v>
      </c>
      <c r="AB526" s="37">
        <v>16000</v>
      </c>
      <c r="AC526" s="37">
        <v>6260</v>
      </c>
      <c r="AD526" s="37"/>
      <c r="AE526" s="37"/>
      <c r="AF526" s="37"/>
      <c r="AG526" s="37"/>
      <c r="AH526" s="37">
        <v>47</v>
      </c>
      <c r="AI526" s="37" t="s">
        <v>2875</v>
      </c>
      <c r="AJ526" s="37" t="s">
        <v>2873</v>
      </c>
      <c r="AK526" s="37" t="s">
        <v>2720</v>
      </c>
      <c r="AL526" s="37" t="s">
        <v>2730</v>
      </c>
      <c r="AM526" s="37" t="s">
        <v>2947</v>
      </c>
      <c r="AN526" s="37" t="s">
        <v>2915</v>
      </c>
      <c r="AO526" s="37" t="s">
        <v>3174</v>
      </c>
      <c r="AP526" s="37" t="s">
        <v>3111</v>
      </c>
      <c r="AQ526" s="37" t="s">
        <v>2792</v>
      </c>
      <c r="AR526" s="37" t="s">
        <v>2810</v>
      </c>
      <c r="AS526" s="37" t="s">
        <v>2596</v>
      </c>
      <c r="AT526" s="37" t="s">
        <v>2581</v>
      </c>
      <c r="AU526" s="84" t="s">
        <v>3233</v>
      </c>
      <c r="AV526" s="84" t="s">
        <v>3185</v>
      </c>
      <c r="AW526" s="84" t="s">
        <v>3180</v>
      </c>
      <c r="AX526" s="80"/>
      <c r="AY526" s="80"/>
      <c r="AZ526" s="80"/>
      <c r="BA526" s="80"/>
      <c r="BB526" s="80"/>
      <c r="BC526" s="80"/>
      <c r="BD526" s="80"/>
      <c r="BE526" s="80"/>
      <c r="BF526" s="80"/>
      <c r="BG526" s="80"/>
      <c r="BH526" s="80"/>
      <c r="BI526" s="80"/>
      <c r="BJ526" s="80"/>
      <c r="BK526" s="80"/>
      <c r="BL526" s="80"/>
      <c r="BM526" s="80"/>
      <c r="BN526" s="80"/>
      <c r="BO526" s="80"/>
      <c r="BP526" s="80"/>
      <c r="BQ526" s="80"/>
      <c r="BR526" s="80"/>
      <c r="BS526" s="80"/>
      <c r="BT526" s="80"/>
    </row>
    <row r="527" spans="1:72" s="81" customFormat="1" ht="25.15" customHeight="1" outlineLevel="1" x14ac:dyDescent="0.25">
      <c r="A527" s="9" t="s">
        <v>202</v>
      </c>
      <c r="B527" s="87" t="s">
        <v>498</v>
      </c>
      <c r="C527" s="80"/>
      <c r="D527" s="80"/>
      <c r="E527" s="80" t="s">
        <v>469</v>
      </c>
      <c r="F527" s="80" t="s">
        <v>50</v>
      </c>
      <c r="G527" s="80" t="s">
        <v>38</v>
      </c>
      <c r="H527" s="80" t="s">
        <v>12</v>
      </c>
      <c r="I527" s="80" t="s">
        <v>7</v>
      </c>
      <c r="J527" s="80"/>
      <c r="K527" s="80" t="s">
        <v>30</v>
      </c>
      <c r="L527" s="80"/>
      <c r="M527" s="80" t="s">
        <v>1108</v>
      </c>
      <c r="N527" s="80" t="s">
        <v>456</v>
      </c>
      <c r="O527" s="37">
        <v>6190</v>
      </c>
      <c r="P527" s="37">
        <v>2354</v>
      </c>
      <c r="Q527" s="37">
        <v>2300</v>
      </c>
      <c r="R527" s="37"/>
      <c r="S527" s="37">
        <v>3502</v>
      </c>
      <c r="T527" s="37">
        <v>2500</v>
      </c>
      <c r="U527" s="37">
        <v>8325</v>
      </c>
      <c r="V527" s="37">
        <v>1110</v>
      </c>
      <c r="W527" s="37">
        <v>4400</v>
      </c>
      <c r="X527" s="37">
        <v>2600</v>
      </c>
      <c r="Y527" s="37"/>
      <c r="Z527" s="37" t="s">
        <v>1104</v>
      </c>
      <c r="AA527" s="37" t="s">
        <v>1110</v>
      </c>
      <c r="AB527" s="37">
        <v>10000</v>
      </c>
      <c r="AC527" s="37">
        <v>1735</v>
      </c>
      <c r="AD527" s="37"/>
      <c r="AE527" s="37"/>
      <c r="AF527" s="37"/>
      <c r="AG527" s="37"/>
      <c r="AH527" s="37">
        <v>33.5</v>
      </c>
      <c r="AI527" s="37" t="s">
        <v>2877</v>
      </c>
      <c r="AJ527" s="37" t="s">
        <v>2869</v>
      </c>
      <c r="AK527" s="37" t="s">
        <v>2724</v>
      </c>
      <c r="AL527" s="37" t="s">
        <v>2726</v>
      </c>
      <c r="AM527" s="37" t="s">
        <v>2954</v>
      </c>
      <c r="AN527" s="37" t="s">
        <v>2914</v>
      </c>
      <c r="AO527" s="37" t="s">
        <v>3142</v>
      </c>
      <c r="AP527" s="37" t="s">
        <v>3092</v>
      </c>
      <c r="AQ527" s="37" t="s">
        <v>2774</v>
      </c>
      <c r="AR527" s="37" t="s">
        <v>2808</v>
      </c>
      <c r="AS527" s="37" t="s">
        <v>2592</v>
      </c>
      <c r="AT527" s="37" t="s">
        <v>2581</v>
      </c>
      <c r="AU527" s="84" t="s">
        <v>3234</v>
      </c>
      <c r="AV527" s="84" t="s">
        <v>3185</v>
      </c>
      <c r="AW527" s="84" t="s">
        <v>3180</v>
      </c>
      <c r="AX527" s="80"/>
      <c r="AY527" s="80"/>
      <c r="AZ527" s="80"/>
      <c r="BA527" s="80"/>
      <c r="BB527" s="80"/>
      <c r="BC527" s="80"/>
      <c r="BD527" s="80"/>
      <c r="BE527" s="80"/>
      <c r="BF527" s="80"/>
      <c r="BG527" s="80"/>
      <c r="BH527" s="80"/>
      <c r="BI527" s="80"/>
      <c r="BJ527" s="80"/>
      <c r="BK527" s="80"/>
      <c r="BL527" s="80"/>
      <c r="BM527" s="80"/>
      <c r="BN527" s="80"/>
      <c r="BO527" s="80"/>
      <c r="BP527" s="80"/>
      <c r="BQ527" s="80"/>
      <c r="BR527" s="80"/>
      <c r="BS527" s="80"/>
      <c r="BT527" s="80"/>
    </row>
    <row r="528" spans="1:72" customFormat="1" ht="25.15" customHeight="1" outlineLevel="1" x14ac:dyDescent="0.25">
      <c r="A528" s="9" t="s">
        <v>202</v>
      </c>
      <c r="B528" s="87" t="s">
        <v>498</v>
      </c>
      <c r="C528" s="80"/>
      <c r="D528" s="80"/>
      <c r="E528" s="80" t="s">
        <v>469</v>
      </c>
      <c r="F528" s="80" t="s">
        <v>50</v>
      </c>
      <c r="G528" s="80" t="s">
        <v>4360</v>
      </c>
      <c r="H528" s="80" t="s">
        <v>12</v>
      </c>
      <c r="I528" s="80" t="s">
        <v>7</v>
      </c>
      <c r="J528" s="80"/>
      <c r="K528" s="80" t="s">
        <v>30</v>
      </c>
      <c r="L528" s="80"/>
      <c r="M528" s="80" t="s">
        <v>1107</v>
      </c>
      <c r="N528" s="80" t="s">
        <v>456</v>
      </c>
      <c r="O528" s="37">
        <v>6590</v>
      </c>
      <c r="P528" s="37">
        <v>2454</v>
      </c>
      <c r="Q528" s="37">
        <v>2400</v>
      </c>
      <c r="R528" s="37"/>
      <c r="S528" s="37">
        <v>3662</v>
      </c>
      <c r="T528" s="37">
        <v>2600</v>
      </c>
      <c r="U528" s="37">
        <v>8725</v>
      </c>
      <c r="V528" s="37">
        <v>1170</v>
      </c>
      <c r="W528" s="37">
        <v>4700</v>
      </c>
      <c r="X528" s="37">
        <v>2700</v>
      </c>
      <c r="Y528" s="37"/>
      <c r="Z528" s="37" t="s">
        <v>1105</v>
      </c>
      <c r="AA528" s="37" t="s">
        <v>1110</v>
      </c>
      <c r="AB528" s="37">
        <v>11990</v>
      </c>
      <c r="AC528" s="37">
        <v>3255</v>
      </c>
      <c r="AD528" s="37"/>
      <c r="AE528" s="37"/>
      <c r="AF528" s="37"/>
      <c r="AG528" s="37"/>
      <c r="AH528" s="37">
        <v>38.9</v>
      </c>
      <c r="AI528" s="37" t="s">
        <v>2877</v>
      </c>
      <c r="AJ528" s="37" t="s">
        <v>2869</v>
      </c>
      <c r="AK528" s="37" t="s">
        <v>2724</v>
      </c>
      <c r="AL528" s="37" t="s">
        <v>2726</v>
      </c>
      <c r="AM528" s="37" t="s">
        <v>2957</v>
      </c>
      <c r="AN528" s="37" t="s">
        <v>2914</v>
      </c>
      <c r="AO528" s="37" t="s">
        <v>3174</v>
      </c>
      <c r="AP528" s="37" t="s">
        <v>3096</v>
      </c>
      <c r="AQ528" s="37" t="s">
        <v>2775</v>
      </c>
      <c r="AR528" s="37" t="s">
        <v>2808</v>
      </c>
      <c r="AS528" s="37" t="s">
        <v>2593</v>
      </c>
      <c r="AT528" s="37" t="s">
        <v>2581</v>
      </c>
      <c r="AU528" s="84" t="s">
        <v>3235</v>
      </c>
      <c r="AV528" s="84" t="s">
        <v>3185</v>
      </c>
      <c r="AW528" s="84" t="s">
        <v>3180</v>
      </c>
      <c r="AX528" s="80"/>
      <c r="AY528" s="80"/>
      <c r="AZ528" s="80"/>
      <c r="BA528" s="80"/>
      <c r="BB528" s="80"/>
      <c r="BC528" s="80"/>
      <c r="BD528" s="80"/>
      <c r="BE528" s="80"/>
      <c r="BF528" s="80"/>
      <c r="BG528" s="80"/>
      <c r="BH528" s="80"/>
      <c r="BI528" s="80"/>
      <c r="BJ528" s="80"/>
      <c r="BK528" s="80"/>
      <c r="BL528" s="80"/>
      <c r="BM528" s="80"/>
      <c r="BN528" s="80"/>
      <c r="BO528" s="80"/>
      <c r="BP528" s="80"/>
      <c r="BQ528" s="80"/>
      <c r="BR528" s="80"/>
      <c r="BS528" s="80"/>
      <c r="BT528" s="80"/>
    </row>
    <row r="529" spans="1:72" s="81" customFormat="1" ht="25.15" customHeight="1" outlineLevel="1" x14ac:dyDescent="0.25">
      <c r="A529" s="9" t="s">
        <v>202</v>
      </c>
      <c r="B529" s="87" t="s">
        <v>498</v>
      </c>
      <c r="C529" s="80"/>
      <c r="D529" s="80"/>
      <c r="E529" s="80" t="s">
        <v>469</v>
      </c>
      <c r="F529" s="80" t="s">
        <v>50</v>
      </c>
      <c r="G529" s="80" t="s">
        <v>42</v>
      </c>
      <c r="H529" s="80" t="s">
        <v>12</v>
      </c>
      <c r="I529" s="80" t="s">
        <v>7</v>
      </c>
      <c r="J529" s="80"/>
      <c r="K529" s="80" t="s">
        <v>30</v>
      </c>
      <c r="L529" s="80"/>
      <c r="M529" s="80" t="s">
        <v>1109</v>
      </c>
      <c r="N529" s="80" t="s">
        <v>456</v>
      </c>
      <c r="O529" s="37">
        <v>7990</v>
      </c>
      <c r="P529" s="37">
        <v>2454</v>
      </c>
      <c r="Q529" s="37">
        <v>2400</v>
      </c>
      <c r="R529" s="37"/>
      <c r="S529" s="37">
        <v>3702</v>
      </c>
      <c r="T529" s="37">
        <v>2600</v>
      </c>
      <c r="U529" s="37">
        <v>10125</v>
      </c>
      <c r="V529" s="37">
        <v>1210</v>
      </c>
      <c r="W529" s="37">
        <v>5600</v>
      </c>
      <c r="X529" s="37">
        <v>3200</v>
      </c>
      <c r="Y529" s="37"/>
      <c r="Z529" s="37" t="s">
        <v>1106</v>
      </c>
      <c r="AA529" s="37" t="s">
        <v>1110</v>
      </c>
      <c r="AB529" s="37">
        <v>16000</v>
      </c>
      <c r="AC529" s="37">
        <v>6340</v>
      </c>
      <c r="AD529" s="37"/>
      <c r="AE529" s="37"/>
      <c r="AF529" s="37"/>
      <c r="AG529" s="37"/>
      <c r="AH529" s="37">
        <v>47</v>
      </c>
      <c r="AI529" s="37" t="s">
        <v>2877</v>
      </c>
      <c r="AJ529" s="37" t="s">
        <v>2869</v>
      </c>
      <c r="AK529" s="37" t="s">
        <v>2724</v>
      </c>
      <c r="AL529" s="37" t="s">
        <v>2726</v>
      </c>
      <c r="AM529" s="37" t="s">
        <v>2944</v>
      </c>
      <c r="AN529" s="37" t="s">
        <v>2914</v>
      </c>
      <c r="AO529" s="37" t="s">
        <v>3174</v>
      </c>
      <c r="AP529" s="37" t="s">
        <v>3111</v>
      </c>
      <c r="AQ529" s="37" t="s">
        <v>2792</v>
      </c>
      <c r="AR529" s="37" t="s">
        <v>2810</v>
      </c>
      <c r="AS529" s="37" t="s">
        <v>2596</v>
      </c>
      <c r="AT529" s="37" t="s">
        <v>2581</v>
      </c>
      <c r="AU529" s="84" t="s">
        <v>3236</v>
      </c>
      <c r="AV529" s="84" t="s">
        <v>3185</v>
      </c>
      <c r="AW529" s="84" t="s">
        <v>3180</v>
      </c>
      <c r="AX529" s="80"/>
      <c r="AY529" s="80"/>
      <c r="AZ529" s="80"/>
      <c r="BA529" s="80"/>
      <c r="BB529" s="80"/>
      <c r="BC529" s="80"/>
      <c r="BD529" s="80"/>
      <c r="BE529" s="80"/>
      <c r="BF529" s="80"/>
      <c r="BG529" s="80"/>
      <c r="BH529" s="80"/>
      <c r="BI529" s="80"/>
      <c r="BJ529" s="80"/>
      <c r="BK529" s="80"/>
      <c r="BL529" s="80"/>
      <c r="BM529" s="80"/>
      <c r="BN529" s="80"/>
      <c r="BO529" s="80"/>
      <c r="BP529" s="80"/>
      <c r="BQ529" s="80"/>
      <c r="BR529" s="80"/>
      <c r="BS529" s="80"/>
      <c r="BT529" s="80"/>
    </row>
    <row r="530" spans="1:72" s="81" customFormat="1" ht="25.15" customHeight="1" outlineLevel="1" x14ac:dyDescent="0.25">
      <c r="A530" s="9" t="s">
        <v>202</v>
      </c>
      <c r="B530" s="87" t="s">
        <v>498</v>
      </c>
      <c r="C530" s="80"/>
      <c r="D530" s="80"/>
      <c r="E530" s="80" t="s">
        <v>469</v>
      </c>
      <c r="F530" s="80" t="s">
        <v>50</v>
      </c>
      <c r="G530" s="80" t="s">
        <v>43</v>
      </c>
      <c r="H530" s="80" t="s">
        <v>12</v>
      </c>
      <c r="I530" s="80" t="s">
        <v>7</v>
      </c>
      <c r="J530" s="80"/>
      <c r="K530" s="80" t="s">
        <v>30</v>
      </c>
      <c r="L530" s="80"/>
      <c r="M530" s="80" t="s">
        <v>2620</v>
      </c>
      <c r="N530" s="80" t="s">
        <v>456</v>
      </c>
      <c r="O530" s="37">
        <v>9090</v>
      </c>
      <c r="P530" s="37">
        <v>2454</v>
      </c>
      <c r="Q530" s="37">
        <v>2400</v>
      </c>
      <c r="R530" s="37"/>
      <c r="S530" s="37">
        <v>3856</v>
      </c>
      <c r="T530" s="37">
        <v>2600</v>
      </c>
      <c r="U530" s="37">
        <v>11320</v>
      </c>
      <c r="V530" s="37">
        <v>1340</v>
      </c>
      <c r="W530" s="37">
        <v>6450</v>
      </c>
      <c r="X530" s="37">
        <v>3450</v>
      </c>
      <c r="Y530" s="37"/>
      <c r="Z530" s="37">
        <v>21</v>
      </c>
      <c r="AA530" s="37" t="s">
        <v>1111</v>
      </c>
      <c r="AB530" s="37">
        <v>19000</v>
      </c>
      <c r="AC530" s="37"/>
      <c r="AD530" s="37"/>
      <c r="AE530" s="37"/>
      <c r="AF530" s="37"/>
      <c r="AG530" s="37"/>
      <c r="AH530" s="37">
        <v>53.2</v>
      </c>
      <c r="AI530" s="37" t="s">
        <v>2877</v>
      </c>
      <c r="AJ530" s="37" t="s">
        <v>2869</v>
      </c>
      <c r="AK530" s="37" t="s">
        <v>2725</v>
      </c>
      <c r="AL530" s="37" t="s">
        <v>2727</v>
      </c>
      <c r="AM530" s="37" t="s">
        <v>2945</v>
      </c>
      <c r="AN530" s="37" t="s">
        <v>2916</v>
      </c>
      <c r="AO530" s="37" t="s">
        <v>3169</v>
      </c>
      <c r="AP530" s="37" t="s">
        <v>3109</v>
      </c>
      <c r="AQ530" s="37" t="s">
        <v>2791</v>
      </c>
      <c r="AR530" s="37" t="s">
        <v>2810</v>
      </c>
      <c r="AS530" s="37" t="s">
        <v>2596</v>
      </c>
      <c r="AT530" s="37" t="s">
        <v>2578</v>
      </c>
      <c r="AU530" s="84" t="s">
        <v>3237</v>
      </c>
      <c r="AV530" s="84" t="s">
        <v>3185</v>
      </c>
      <c r="AW530" s="84" t="s">
        <v>3180</v>
      </c>
      <c r="AX530" s="80"/>
      <c r="AY530" s="80"/>
      <c r="AZ530" s="80"/>
      <c r="BA530" s="80"/>
      <c r="BB530" s="80"/>
      <c r="BC530" s="80"/>
      <c r="BD530" s="80"/>
      <c r="BE530" s="80"/>
      <c r="BF530" s="80"/>
      <c r="BG530" s="80"/>
      <c r="BH530" s="80"/>
      <c r="BI530" s="80"/>
      <c r="BJ530" s="80"/>
      <c r="BK530" s="80"/>
      <c r="BL530" s="80"/>
      <c r="BM530" s="80"/>
      <c r="BN530" s="80"/>
      <c r="BO530" s="80"/>
      <c r="BP530" s="80"/>
      <c r="BQ530" s="80"/>
      <c r="BR530" s="80"/>
      <c r="BS530" s="80"/>
      <c r="BT530" s="80"/>
    </row>
    <row r="531" spans="1:72" s="81" customFormat="1" ht="25.15" customHeight="1" outlineLevel="1" x14ac:dyDescent="0.25">
      <c r="A531" s="9" t="s">
        <v>202</v>
      </c>
      <c r="B531" s="87" t="s">
        <v>498</v>
      </c>
      <c r="C531" s="80"/>
      <c r="D531" s="80"/>
      <c r="E531" s="80" t="s">
        <v>469</v>
      </c>
      <c r="F531" s="80" t="s">
        <v>478</v>
      </c>
      <c r="G531" s="80" t="s">
        <v>45</v>
      </c>
      <c r="H531" s="80"/>
      <c r="I531" s="80"/>
      <c r="J531" s="80"/>
      <c r="K531" s="80" t="s">
        <v>479</v>
      </c>
      <c r="L531" s="80"/>
      <c r="M531" s="80" t="s">
        <v>2629</v>
      </c>
      <c r="N531" s="80" t="s">
        <v>31</v>
      </c>
      <c r="O531" s="37"/>
      <c r="P531" s="37"/>
      <c r="Q531" s="37"/>
      <c r="R531" s="37"/>
      <c r="S531" s="37">
        <v>3924</v>
      </c>
      <c r="T531" s="37">
        <v>2534</v>
      </c>
      <c r="U531" s="37">
        <v>5990</v>
      </c>
      <c r="V531" s="37"/>
      <c r="W531" s="37">
        <v>3800</v>
      </c>
      <c r="X531" s="37">
        <v>825</v>
      </c>
      <c r="Y531" s="37"/>
      <c r="Z531" s="37"/>
      <c r="AA531" s="37" t="s">
        <v>480</v>
      </c>
      <c r="AB531" s="37">
        <v>19000</v>
      </c>
      <c r="AC531" s="37"/>
      <c r="AD531" s="37"/>
      <c r="AE531" s="37"/>
      <c r="AF531" s="37">
        <v>44000</v>
      </c>
      <c r="AG531" s="37"/>
      <c r="AH531" s="37"/>
      <c r="AI531" s="37" t="s">
        <v>2867</v>
      </c>
      <c r="AJ531" s="37" t="s">
        <v>2868</v>
      </c>
      <c r="AK531" s="37" t="s">
        <v>2714</v>
      </c>
      <c r="AL531" s="37" t="s">
        <v>2660</v>
      </c>
      <c r="AM531" s="37" t="s">
        <v>2922</v>
      </c>
      <c r="AN531" s="37" t="s">
        <v>2909</v>
      </c>
      <c r="AO531" s="80"/>
      <c r="AP531" s="80"/>
      <c r="AQ531" s="80"/>
      <c r="AR531" s="80"/>
      <c r="AS531" s="80"/>
      <c r="AT531" s="80"/>
      <c r="AU531" s="84" t="s">
        <v>3222</v>
      </c>
      <c r="AV531" s="84" t="s">
        <v>3185</v>
      </c>
      <c r="AW531" s="84" t="s">
        <v>3180</v>
      </c>
      <c r="AX531" s="80"/>
      <c r="AY531" s="80"/>
      <c r="AZ531" s="80"/>
      <c r="BA531" s="80"/>
      <c r="BB531" s="80"/>
      <c r="BC531" s="80"/>
      <c r="BD531" s="80"/>
      <c r="BE531" s="80"/>
      <c r="BF531" s="80"/>
      <c r="BG531" s="80"/>
      <c r="BH531" s="80"/>
      <c r="BI531" s="80"/>
      <c r="BJ531" s="80"/>
      <c r="BK531" s="80"/>
      <c r="BL531" s="80"/>
      <c r="BM531" s="80"/>
      <c r="BN531" s="80"/>
      <c r="BO531" s="80"/>
      <c r="BP531" s="80"/>
      <c r="BQ531" s="80"/>
      <c r="BR531" s="80"/>
      <c r="BS531" s="80"/>
      <c r="BT531" s="80"/>
    </row>
    <row r="532" spans="1:72" s="81" customFormat="1" ht="25.15" customHeight="1" outlineLevel="1" x14ac:dyDescent="0.25">
      <c r="A532" s="9" t="s">
        <v>202</v>
      </c>
      <c r="B532" s="87" t="s">
        <v>498</v>
      </c>
      <c r="C532" s="80"/>
      <c r="D532" s="80"/>
      <c r="E532" s="80" t="s">
        <v>482</v>
      </c>
      <c r="F532" s="80" t="s">
        <v>483</v>
      </c>
      <c r="G532" s="80" t="s">
        <v>484</v>
      </c>
      <c r="H532" s="80" t="s">
        <v>12</v>
      </c>
      <c r="I532" s="80"/>
      <c r="J532" s="80"/>
      <c r="K532" s="80" t="s">
        <v>482</v>
      </c>
      <c r="L532" s="80"/>
      <c r="M532" s="80" t="s">
        <v>1112</v>
      </c>
      <c r="N532" s="80" t="s">
        <v>460</v>
      </c>
      <c r="O532" s="37">
        <v>13389</v>
      </c>
      <c r="P532" s="37">
        <v>2453</v>
      </c>
      <c r="Q532" s="37">
        <v>2600</v>
      </c>
      <c r="R532" s="37"/>
      <c r="S532" s="37"/>
      <c r="T532" s="37"/>
      <c r="U532" s="37"/>
      <c r="V532" s="37"/>
      <c r="W532" s="37">
        <v>7450</v>
      </c>
      <c r="X532" s="37"/>
      <c r="Y532" s="37"/>
      <c r="Z532" s="37">
        <v>33</v>
      </c>
      <c r="AA532" s="37" t="s">
        <v>1113</v>
      </c>
      <c r="AB532" s="37">
        <v>38000</v>
      </c>
      <c r="AC532" s="37"/>
      <c r="AD532" s="37"/>
      <c r="AE532" s="37"/>
      <c r="AF532" s="37"/>
      <c r="AG532" s="37"/>
      <c r="AH532" s="37">
        <v>85</v>
      </c>
      <c r="AI532" s="80"/>
      <c r="AJ532" s="80"/>
      <c r="AK532" s="80"/>
      <c r="AL532" s="80"/>
      <c r="AM532" s="37" t="s">
        <v>2920</v>
      </c>
      <c r="AN532" s="37" t="s">
        <v>2902</v>
      </c>
      <c r="AO532" s="37" t="s">
        <v>3161</v>
      </c>
      <c r="AP532" s="37" t="s">
        <v>2960</v>
      </c>
      <c r="AQ532" s="37" t="s">
        <v>2796</v>
      </c>
      <c r="AR532" s="37" t="s">
        <v>2807</v>
      </c>
      <c r="AS532" s="80"/>
      <c r="AT532" s="80"/>
      <c r="AU532" s="84" t="s">
        <v>3223</v>
      </c>
      <c r="AV532" s="84" t="s">
        <v>3185</v>
      </c>
      <c r="AW532" s="84" t="s">
        <v>3180</v>
      </c>
      <c r="AX532" s="80"/>
      <c r="AY532" s="80"/>
      <c r="AZ532" s="80"/>
      <c r="BA532" s="80"/>
      <c r="BB532" s="80"/>
      <c r="BC532" s="80"/>
      <c r="BD532" s="80"/>
      <c r="BE532" s="80"/>
      <c r="BF532" s="80"/>
      <c r="BG532" s="80"/>
      <c r="BH532" s="80"/>
      <c r="BI532" s="80"/>
      <c r="BJ532" s="80"/>
      <c r="BK532" s="80"/>
      <c r="BL532" s="80"/>
      <c r="BM532" s="80"/>
      <c r="BN532" s="80"/>
      <c r="BO532" s="80"/>
      <c r="BP532" s="80"/>
      <c r="BQ532" s="80"/>
      <c r="BR532" s="80"/>
      <c r="BS532" s="80"/>
      <c r="BT532" s="80"/>
    </row>
    <row r="533" spans="1:72" s="81" customFormat="1" ht="25.15" customHeight="1" outlineLevel="1" x14ac:dyDescent="0.25">
      <c r="A533" s="9" t="s">
        <v>202</v>
      </c>
      <c r="B533" s="87" t="s">
        <v>498</v>
      </c>
      <c r="C533" s="80"/>
      <c r="D533" s="80"/>
      <c r="E533" s="80" t="s">
        <v>482</v>
      </c>
      <c r="F533" s="80" t="s">
        <v>483</v>
      </c>
      <c r="G533" s="80" t="s">
        <v>484</v>
      </c>
      <c r="H533" s="80" t="s">
        <v>12</v>
      </c>
      <c r="I533" s="80" t="s">
        <v>7</v>
      </c>
      <c r="J533" s="80"/>
      <c r="K533" s="80" t="s">
        <v>482</v>
      </c>
      <c r="L533" s="80"/>
      <c r="M533" s="80" t="s">
        <v>517</v>
      </c>
      <c r="N533" s="80" t="s">
        <v>35</v>
      </c>
      <c r="O533" s="37">
        <v>13389</v>
      </c>
      <c r="P533" s="37">
        <v>2453</v>
      </c>
      <c r="Q533" s="37">
        <v>2600</v>
      </c>
      <c r="R533" s="37"/>
      <c r="S533" s="37"/>
      <c r="T533" s="37"/>
      <c r="U533" s="37"/>
      <c r="V533" s="37"/>
      <c r="W533" s="37">
        <v>7450</v>
      </c>
      <c r="X533" s="37"/>
      <c r="Y533" s="37"/>
      <c r="Z533" s="37">
        <v>33</v>
      </c>
      <c r="AA533" s="37" t="s">
        <v>1095</v>
      </c>
      <c r="AB533" s="37">
        <v>38000</v>
      </c>
      <c r="AC533" s="37"/>
      <c r="AD533" s="37"/>
      <c r="AE533" s="37"/>
      <c r="AF533" s="37"/>
      <c r="AG533" s="37"/>
      <c r="AH533" s="37">
        <v>85</v>
      </c>
      <c r="AI533" s="80"/>
      <c r="AJ533" s="80"/>
      <c r="AK533" s="80"/>
      <c r="AL533" s="80"/>
      <c r="AM533" s="37" t="s">
        <v>2920</v>
      </c>
      <c r="AN533" s="37" t="s">
        <v>2902</v>
      </c>
      <c r="AO533" s="37" t="s">
        <v>3159</v>
      </c>
      <c r="AP533" s="37" t="s">
        <v>3157</v>
      </c>
      <c r="AQ533" s="37" t="s">
        <v>2797</v>
      </c>
      <c r="AR533" s="37" t="s">
        <v>2807</v>
      </c>
      <c r="AS533" s="37" t="s">
        <v>2595</v>
      </c>
      <c r="AT533" s="37" t="s">
        <v>2580</v>
      </c>
      <c r="AU533" s="84" t="s">
        <v>3225</v>
      </c>
      <c r="AV533" s="84" t="s">
        <v>3185</v>
      </c>
      <c r="AW533" s="84" t="s">
        <v>3180</v>
      </c>
      <c r="AX533" s="80"/>
      <c r="AY533" s="80"/>
      <c r="AZ533" s="80"/>
      <c r="BA533" s="80"/>
      <c r="BB533" s="80"/>
      <c r="BC533" s="80"/>
      <c r="BD533" s="80"/>
      <c r="BE533" s="80"/>
      <c r="BF533" s="80"/>
      <c r="BG533" s="80"/>
      <c r="BH533" s="80"/>
      <c r="BI533" s="80"/>
      <c r="BJ533" s="80"/>
      <c r="BK533" s="80"/>
      <c r="BL533" s="80"/>
      <c r="BM533" s="80"/>
      <c r="BN533" s="80"/>
      <c r="BO533" s="80"/>
      <c r="BP533" s="80"/>
      <c r="BQ533" s="80"/>
      <c r="BR533" s="80"/>
      <c r="BS533" s="80"/>
      <c r="BT533" s="80"/>
    </row>
    <row r="534" spans="1:72" s="81" customFormat="1" ht="25.15" customHeight="1" outlineLevel="1" x14ac:dyDescent="0.25">
      <c r="A534" s="9" t="s">
        <v>202</v>
      </c>
      <c r="B534" s="87" t="s">
        <v>498</v>
      </c>
      <c r="C534" s="80"/>
      <c r="D534" s="80"/>
      <c r="E534" s="80" t="s">
        <v>482</v>
      </c>
      <c r="F534" s="80" t="s">
        <v>483</v>
      </c>
      <c r="G534" s="80" t="s">
        <v>4361</v>
      </c>
      <c r="H534" s="80" t="s">
        <v>29</v>
      </c>
      <c r="I534" s="80" t="s">
        <v>7</v>
      </c>
      <c r="J534" s="80"/>
      <c r="K534" s="80" t="s">
        <v>482</v>
      </c>
      <c r="L534" s="80"/>
      <c r="M534" s="80" t="s">
        <v>518</v>
      </c>
      <c r="N534" s="80" t="s">
        <v>35</v>
      </c>
      <c r="O534" s="37">
        <v>13389</v>
      </c>
      <c r="P534" s="37">
        <v>2453</v>
      </c>
      <c r="Q534" s="37">
        <v>2600</v>
      </c>
      <c r="R534" s="37"/>
      <c r="S534" s="37"/>
      <c r="T534" s="37"/>
      <c r="U534" s="37"/>
      <c r="V534" s="37"/>
      <c r="W534" s="37">
        <v>7450</v>
      </c>
      <c r="X534" s="37"/>
      <c r="Y534" s="37"/>
      <c r="Z534" s="37">
        <v>66</v>
      </c>
      <c r="AA534" s="37" t="s">
        <v>1096</v>
      </c>
      <c r="AB534" s="37">
        <v>38000</v>
      </c>
      <c r="AC534" s="37"/>
      <c r="AD534" s="37"/>
      <c r="AE534" s="37"/>
      <c r="AF534" s="37"/>
      <c r="AG534" s="37"/>
      <c r="AH534" s="37">
        <v>85</v>
      </c>
      <c r="AI534" s="80"/>
      <c r="AJ534" s="80"/>
      <c r="AK534" s="80"/>
      <c r="AL534" s="80"/>
      <c r="AM534" s="37" t="s">
        <v>2920</v>
      </c>
      <c r="AN534" s="37" t="s">
        <v>2902</v>
      </c>
      <c r="AO534" s="37" t="s">
        <v>3160</v>
      </c>
      <c r="AP534" s="37" t="s">
        <v>3156</v>
      </c>
      <c r="AQ534" s="37" t="s">
        <v>2797</v>
      </c>
      <c r="AR534" s="37" t="s">
        <v>2807</v>
      </c>
      <c r="AS534" s="37" t="s">
        <v>2595</v>
      </c>
      <c r="AT534" s="37" t="s">
        <v>2580</v>
      </c>
      <c r="AU534" s="84" t="s">
        <v>3226</v>
      </c>
      <c r="AV534" s="84" t="s">
        <v>3185</v>
      </c>
      <c r="AW534" s="84" t="s">
        <v>3180</v>
      </c>
      <c r="AX534" s="80"/>
      <c r="AY534" s="80"/>
      <c r="AZ534" s="80"/>
      <c r="BA534" s="80"/>
      <c r="BB534" s="80"/>
      <c r="BC534" s="80"/>
      <c r="BD534" s="80"/>
      <c r="BE534" s="80"/>
      <c r="BF534" s="80"/>
      <c r="BG534" s="80"/>
      <c r="BH534" s="80"/>
      <c r="BI534" s="80"/>
      <c r="BJ534" s="80"/>
      <c r="BK534" s="80"/>
      <c r="BL534" s="80"/>
      <c r="BM534" s="80"/>
      <c r="BN534" s="80"/>
      <c r="BO534" s="80"/>
      <c r="BP534" s="80"/>
      <c r="BQ534" s="80"/>
      <c r="BR534" s="80"/>
      <c r="BS534" s="80"/>
      <c r="BT534" s="80"/>
    </row>
    <row r="535" spans="1:72" s="81" customFormat="1" ht="25.15" customHeight="1" x14ac:dyDescent="0.25">
      <c r="A535" s="9" t="s">
        <v>202</v>
      </c>
      <c r="B535" s="88" t="s">
        <v>505</v>
      </c>
      <c r="C535" s="80"/>
      <c r="D535" s="80"/>
      <c r="E535" s="80" t="s">
        <v>448</v>
      </c>
      <c r="F535" s="80" t="s">
        <v>449</v>
      </c>
      <c r="G535" s="80" t="s">
        <v>450</v>
      </c>
      <c r="H535" s="80" t="s">
        <v>29</v>
      </c>
      <c r="I535" s="80"/>
      <c r="J535" s="80"/>
      <c r="K535" s="80" t="s">
        <v>30</v>
      </c>
      <c r="L535" s="80"/>
      <c r="M535" s="80" t="s">
        <v>536</v>
      </c>
      <c r="N535" s="80" t="s">
        <v>31</v>
      </c>
      <c r="O535" s="37">
        <v>2922</v>
      </c>
      <c r="P535" s="37">
        <v>1904</v>
      </c>
      <c r="Q535" s="37">
        <v>1950</v>
      </c>
      <c r="R535" s="37"/>
      <c r="S535" s="37">
        <v>2782</v>
      </c>
      <c r="T535" s="37">
        <v>2050</v>
      </c>
      <c r="U535" s="37">
        <v>5742</v>
      </c>
      <c r="V535" s="37">
        <v>740</v>
      </c>
      <c r="W535" s="37">
        <v>3450</v>
      </c>
      <c r="X535" s="37">
        <v>1344</v>
      </c>
      <c r="Y535" s="37"/>
      <c r="Z535" s="37"/>
      <c r="AA535" s="37" t="s">
        <v>2597</v>
      </c>
      <c r="AB535" s="37">
        <v>3500</v>
      </c>
      <c r="AC535" s="37">
        <v>1000</v>
      </c>
      <c r="AD535" s="37"/>
      <c r="AE535" s="37"/>
      <c r="AF535" s="37"/>
      <c r="AG535" s="37"/>
      <c r="AH535" s="37">
        <v>10.5</v>
      </c>
      <c r="AI535" s="37" t="s">
        <v>2851</v>
      </c>
      <c r="AJ535" s="37" t="s">
        <v>2853</v>
      </c>
      <c r="AK535" s="37" t="s">
        <v>2716</v>
      </c>
      <c r="AL535" s="37" t="s">
        <v>2715</v>
      </c>
      <c r="AM535" s="37" t="s">
        <v>2953</v>
      </c>
      <c r="AN535" s="37" t="s">
        <v>2904</v>
      </c>
      <c r="AO535" s="37" t="s">
        <v>3080</v>
      </c>
      <c r="AP535" s="37" t="s">
        <v>3079</v>
      </c>
      <c r="AQ535" s="37" t="s">
        <v>2787</v>
      </c>
      <c r="AR535" s="37" t="s">
        <v>2805</v>
      </c>
      <c r="AS535" s="80"/>
      <c r="AT535" s="80"/>
      <c r="AU535" s="84" t="s">
        <v>3238</v>
      </c>
      <c r="AV535" s="84" t="s">
        <v>3186</v>
      </c>
      <c r="AW535" s="84" t="s">
        <v>3180</v>
      </c>
      <c r="AX535" s="80"/>
      <c r="AY535" s="80"/>
      <c r="AZ535" s="80"/>
      <c r="BA535" s="80"/>
      <c r="BB535" s="80"/>
      <c r="BC535" s="80"/>
      <c r="BD535" s="80"/>
      <c r="BE535" s="80"/>
      <c r="BF535" s="80"/>
      <c r="BG535" s="80"/>
      <c r="BH535" s="80"/>
      <c r="BI535" s="80"/>
      <c r="BJ535" s="80"/>
      <c r="BK535" s="80"/>
      <c r="BL535" s="80"/>
      <c r="BM535" s="80"/>
      <c r="BN535" s="80"/>
      <c r="BO535" s="80"/>
      <c r="BP535" s="80"/>
      <c r="BQ535" s="80"/>
      <c r="BR535" s="80"/>
      <c r="BS535" s="80"/>
      <c r="BT535" s="80"/>
    </row>
    <row r="536" spans="1:72" s="81" customFormat="1" ht="25.15" customHeight="1" outlineLevel="1" x14ac:dyDescent="0.25">
      <c r="A536" s="9" t="s">
        <v>202</v>
      </c>
      <c r="B536" s="88" t="s">
        <v>505</v>
      </c>
      <c r="C536" s="80"/>
      <c r="D536" s="80"/>
      <c r="E536" s="80" t="s">
        <v>33</v>
      </c>
      <c r="F536" s="80" t="s">
        <v>34</v>
      </c>
      <c r="G536" s="80" t="s">
        <v>85</v>
      </c>
      <c r="H536" s="80" t="s">
        <v>29</v>
      </c>
      <c r="I536" s="80"/>
      <c r="J536" s="80"/>
      <c r="K536" s="80" t="s">
        <v>30</v>
      </c>
      <c r="L536" s="80"/>
      <c r="M536" s="80" t="s">
        <v>1117</v>
      </c>
      <c r="N536" s="80" t="s">
        <v>31</v>
      </c>
      <c r="O536" s="37">
        <v>3328</v>
      </c>
      <c r="P536" s="37">
        <v>1908</v>
      </c>
      <c r="Q536" s="37">
        <v>1950</v>
      </c>
      <c r="R536" s="37"/>
      <c r="S536" s="37">
        <v>2906</v>
      </c>
      <c r="T536" s="37">
        <v>2050</v>
      </c>
      <c r="U536" s="37">
        <v>6013</v>
      </c>
      <c r="V536" s="37">
        <v>865</v>
      </c>
      <c r="W536" s="37">
        <v>3450</v>
      </c>
      <c r="X536" s="37">
        <v>1475</v>
      </c>
      <c r="Y536" s="37"/>
      <c r="Z536" s="37">
        <v>5</v>
      </c>
      <c r="AA536" s="37" t="s">
        <v>2598</v>
      </c>
      <c r="AB536" s="37">
        <v>3500</v>
      </c>
      <c r="AC536" s="37">
        <v>875</v>
      </c>
      <c r="AD536" s="37"/>
      <c r="AE536" s="37"/>
      <c r="AF536" s="37"/>
      <c r="AG536" s="37"/>
      <c r="AH536" s="37">
        <v>12.3</v>
      </c>
      <c r="AI536" s="37" t="s">
        <v>2854</v>
      </c>
      <c r="AJ536" s="37" t="s">
        <v>2858</v>
      </c>
      <c r="AK536" s="37" t="s">
        <v>2712</v>
      </c>
      <c r="AL536" s="37" t="s">
        <v>2658</v>
      </c>
      <c r="AM536" s="37" t="s">
        <v>2950</v>
      </c>
      <c r="AN536" s="37" t="s">
        <v>2910</v>
      </c>
      <c r="AO536" s="37" t="s">
        <v>3132</v>
      </c>
      <c r="AP536" s="37" t="s">
        <v>3124</v>
      </c>
      <c r="AQ536" s="37" t="s">
        <v>2785</v>
      </c>
      <c r="AR536" s="37" t="s">
        <v>2805</v>
      </c>
      <c r="AS536" s="80"/>
      <c r="AT536" s="80"/>
      <c r="AU536" s="84" t="s">
        <v>3239</v>
      </c>
      <c r="AV536" s="84" t="s">
        <v>3186</v>
      </c>
      <c r="AW536" s="84" t="s">
        <v>3180</v>
      </c>
      <c r="AX536" s="80"/>
      <c r="AY536" s="80"/>
      <c r="AZ536" s="80"/>
      <c r="BA536" s="80"/>
      <c r="BB536" s="80"/>
      <c r="BC536" s="80"/>
      <c r="BD536" s="80"/>
      <c r="BE536" s="80"/>
      <c r="BF536" s="80"/>
      <c r="BG536" s="80"/>
      <c r="BH536" s="80"/>
      <c r="BI536" s="80"/>
      <c r="BJ536" s="80"/>
      <c r="BK536" s="80"/>
      <c r="BL536" s="80"/>
      <c r="BM536" s="80"/>
      <c r="BN536" s="80"/>
      <c r="BO536" s="80"/>
      <c r="BP536" s="80"/>
      <c r="BQ536" s="80"/>
      <c r="BR536" s="80"/>
      <c r="BS536" s="80"/>
      <c r="BT536" s="80"/>
    </row>
    <row r="537" spans="1:72" s="81" customFormat="1" ht="25.15" customHeight="1" outlineLevel="1" x14ac:dyDescent="0.25">
      <c r="A537" s="9" t="s">
        <v>202</v>
      </c>
      <c r="B537" s="88" t="s">
        <v>505</v>
      </c>
      <c r="C537" s="80"/>
      <c r="D537" s="80"/>
      <c r="E537" s="80" t="s">
        <v>33</v>
      </c>
      <c r="F537" s="80" t="s">
        <v>34</v>
      </c>
      <c r="G537" s="80" t="s">
        <v>85</v>
      </c>
      <c r="H537" s="80" t="s">
        <v>29</v>
      </c>
      <c r="I537" s="80"/>
      <c r="J537" s="80"/>
      <c r="K537" s="80" t="s">
        <v>30</v>
      </c>
      <c r="L537" s="80"/>
      <c r="M537" s="80" t="s">
        <v>1134</v>
      </c>
      <c r="N537" s="80" t="s">
        <v>31</v>
      </c>
      <c r="O537" s="37">
        <v>3328</v>
      </c>
      <c r="P537" s="37">
        <v>1908</v>
      </c>
      <c r="Q537" s="37">
        <v>1950</v>
      </c>
      <c r="R537" s="37"/>
      <c r="S537" s="37">
        <v>2906</v>
      </c>
      <c r="T537" s="37">
        <v>2050</v>
      </c>
      <c r="U537" s="37">
        <v>6003</v>
      </c>
      <c r="V537" s="37">
        <v>865</v>
      </c>
      <c r="W537" s="37">
        <v>3450</v>
      </c>
      <c r="X537" s="37">
        <v>1475</v>
      </c>
      <c r="Y537" s="37"/>
      <c r="Z537" s="37">
        <v>5</v>
      </c>
      <c r="AA537" s="37" t="s">
        <v>2598</v>
      </c>
      <c r="AB537" s="37">
        <v>3500</v>
      </c>
      <c r="AC537" s="37">
        <v>925</v>
      </c>
      <c r="AD537" s="37"/>
      <c r="AE537" s="37"/>
      <c r="AF537" s="37"/>
      <c r="AG537" s="37"/>
      <c r="AH537" s="37">
        <v>12.3</v>
      </c>
      <c r="AI537" s="37" t="s">
        <v>2854</v>
      </c>
      <c r="AJ537" s="37" t="s">
        <v>2858</v>
      </c>
      <c r="AK537" s="37" t="s">
        <v>2712</v>
      </c>
      <c r="AL537" s="37" t="s">
        <v>2658</v>
      </c>
      <c r="AM537" s="37" t="s">
        <v>2950</v>
      </c>
      <c r="AN537" s="37" t="s">
        <v>2910</v>
      </c>
      <c r="AO537" s="37" t="s">
        <v>3131</v>
      </c>
      <c r="AP537" s="37" t="s">
        <v>3125</v>
      </c>
      <c r="AQ537" s="37" t="s">
        <v>2785</v>
      </c>
      <c r="AR537" s="37" t="s">
        <v>2805</v>
      </c>
      <c r="AS537" s="80"/>
      <c r="AT537" s="80"/>
      <c r="AU537" s="84" t="s">
        <v>3240</v>
      </c>
      <c r="AV537" s="84" t="s">
        <v>3186</v>
      </c>
      <c r="AW537" s="84" t="s">
        <v>3180</v>
      </c>
      <c r="AX537" s="80"/>
      <c r="AY537" s="80"/>
      <c r="AZ537" s="80"/>
      <c r="BA537" s="80"/>
      <c r="BB537" s="80"/>
      <c r="BC537" s="80"/>
      <c r="BD537" s="80"/>
      <c r="BE537" s="80"/>
      <c r="BF537" s="80"/>
      <c r="BG537" s="80"/>
      <c r="BH537" s="80"/>
      <c r="BI537" s="80"/>
      <c r="BJ537" s="80"/>
      <c r="BK537" s="80"/>
      <c r="BL537" s="80"/>
      <c r="BM537" s="80"/>
      <c r="BN537" s="80"/>
      <c r="BO537" s="80"/>
      <c r="BP537" s="80"/>
      <c r="BQ537" s="80"/>
      <c r="BR537" s="80"/>
      <c r="BS537" s="80"/>
      <c r="BT537" s="80"/>
    </row>
    <row r="538" spans="1:72" s="81" customFormat="1" ht="25.15" customHeight="1" outlineLevel="1" x14ac:dyDescent="0.25">
      <c r="A538" s="9" t="s">
        <v>202</v>
      </c>
      <c r="B538" s="88" t="s">
        <v>505</v>
      </c>
      <c r="C538" s="80"/>
      <c r="D538" s="80"/>
      <c r="E538" s="80" t="s">
        <v>33</v>
      </c>
      <c r="F538" s="80" t="s">
        <v>34</v>
      </c>
      <c r="G538" s="80" t="s">
        <v>85</v>
      </c>
      <c r="H538" s="80" t="s">
        <v>29</v>
      </c>
      <c r="I538" s="80"/>
      <c r="J538" s="80"/>
      <c r="K538" s="80" t="s">
        <v>30</v>
      </c>
      <c r="L538" s="80"/>
      <c r="M538" s="80" t="s">
        <v>1136</v>
      </c>
      <c r="N538" s="80" t="s">
        <v>31</v>
      </c>
      <c r="O538" s="37">
        <v>3328</v>
      </c>
      <c r="P538" s="37">
        <v>2058</v>
      </c>
      <c r="Q538" s="37">
        <v>1950</v>
      </c>
      <c r="R538" s="37"/>
      <c r="S538" s="37">
        <v>2906</v>
      </c>
      <c r="T538" s="37">
        <v>2200</v>
      </c>
      <c r="U538" s="37">
        <v>6003</v>
      </c>
      <c r="V538" s="37">
        <v>865</v>
      </c>
      <c r="W538" s="37">
        <v>3450</v>
      </c>
      <c r="X538" s="37">
        <v>1475</v>
      </c>
      <c r="Y538" s="37"/>
      <c r="Z538" s="37">
        <v>6</v>
      </c>
      <c r="AA538" s="37" t="s">
        <v>2598</v>
      </c>
      <c r="AB538" s="37">
        <v>3500</v>
      </c>
      <c r="AC538" s="37">
        <v>900</v>
      </c>
      <c r="AD538" s="37"/>
      <c r="AE538" s="37"/>
      <c r="AF538" s="37"/>
      <c r="AG538" s="37"/>
      <c r="AH538" s="37">
        <v>13.2</v>
      </c>
      <c r="AI538" s="37" t="s">
        <v>2854</v>
      </c>
      <c r="AJ538" s="37" t="s">
        <v>2858</v>
      </c>
      <c r="AK538" s="37" t="s">
        <v>2712</v>
      </c>
      <c r="AL538" s="37" t="s">
        <v>2658</v>
      </c>
      <c r="AM538" s="37" t="s">
        <v>2950</v>
      </c>
      <c r="AN538" s="37" t="s">
        <v>2910</v>
      </c>
      <c r="AO538" s="37" t="s">
        <v>3130</v>
      </c>
      <c r="AP538" s="37" t="s">
        <v>3126</v>
      </c>
      <c r="AQ538" s="37" t="s">
        <v>2785</v>
      </c>
      <c r="AR538" s="37" t="s">
        <v>2805</v>
      </c>
      <c r="AS538" s="80"/>
      <c r="AT538" s="80"/>
      <c r="AU538" s="84" t="s">
        <v>3241</v>
      </c>
      <c r="AV538" s="84" t="s">
        <v>3186</v>
      </c>
      <c r="AW538" s="84" t="s">
        <v>3180</v>
      </c>
      <c r="AX538" s="80"/>
      <c r="AY538" s="80"/>
      <c r="AZ538" s="80"/>
      <c r="BA538" s="80"/>
      <c r="BB538" s="80"/>
      <c r="BC538" s="80"/>
      <c r="BD538" s="80"/>
      <c r="BE538" s="80"/>
      <c r="BF538" s="80"/>
      <c r="BG538" s="80"/>
      <c r="BH538" s="80"/>
      <c r="BI538" s="80"/>
      <c r="BJ538" s="80"/>
      <c r="BK538" s="80"/>
      <c r="BL538" s="80"/>
      <c r="BM538" s="80"/>
      <c r="BN538" s="80"/>
      <c r="BO538" s="80"/>
      <c r="BP538" s="80"/>
      <c r="BQ538" s="80"/>
      <c r="BR538" s="80"/>
      <c r="BS538" s="80"/>
      <c r="BT538" s="80"/>
    </row>
    <row r="539" spans="1:72" s="81" customFormat="1" ht="25.15" customHeight="1" outlineLevel="1" x14ac:dyDescent="0.25">
      <c r="A539" s="9" t="s">
        <v>202</v>
      </c>
      <c r="B539" s="88" t="s">
        <v>505</v>
      </c>
      <c r="C539" s="80"/>
      <c r="D539" s="80"/>
      <c r="E539" s="80" t="s">
        <v>33</v>
      </c>
      <c r="F539" s="80" t="s">
        <v>34</v>
      </c>
      <c r="G539" s="80" t="s">
        <v>85</v>
      </c>
      <c r="H539" s="80" t="s">
        <v>29</v>
      </c>
      <c r="I539" s="80"/>
      <c r="J539" s="80"/>
      <c r="K539" s="80" t="s">
        <v>30</v>
      </c>
      <c r="L539" s="80"/>
      <c r="M539" s="80" t="s">
        <v>2601</v>
      </c>
      <c r="N539" s="80" t="s">
        <v>31</v>
      </c>
      <c r="O539" s="37">
        <v>3328</v>
      </c>
      <c r="P539" s="37">
        <v>2058</v>
      </c>
      <c r="Q539" s="37">
        <v>2100</v>
      </c>
      <c r="R539" s="37"/>
      <c r="S539" s="37">
        <v>3056</v>
      </c>
      <c r="T539" s="37">
        <v>2200</v>
      </c>
      <c r="U539" s="37">
        <v>6013</v>
      </c>
      <c r="V539" s="37">
        <v>865</v>
      </c>
      <c r="W539" s="37">
        <v>3450</v>
      </c>
      <c r="X539" s="37">
        <v>1475</v>
      </c>
      <c r="Y539" s="37"/>
      <c r="Z539" s="37"/>
      <c r="AA539" s="37" t="s">
        <v>2598</v>
      </c>
      <c r="AB539" s="37">
        <v>3500</v>
      </c>
      <c r="AC539" s="37">
        <v>880</v>
      </c>
      <c r="AD539" s="37"/>
      <c r="AE539" s="37"/>
      <c r="AF539" s="37"/>
      <c r="AG539" s="37"/>
      <c r="AH539" s="37">
        <v>14.4</v>
      </c>
      <c r="AI539" s="37" t="s">
        <v>2854</v>
      </c>
      <c r="AJ539" s="37" t="s">
        <v>2858</v>
      </c>
      <c r="AK539" s="37" t="s">
        <v>2712</v>
      </c>
      <c r="AL539" s="37" t="s">
        <v>2658</v>
      </c>
      <c r="AM539" s="37" t="s">
        <v>2950</v>
      </c>
      <c r="AN539" s="37" t="s">
        <v>2910</v>
      </c>
      <c r="AO539" s="37" t="s">
        <v>3129</v>
      </c>
      <c r="AP539" s="37" t="s">
        <v>3127</v>
      </c>
      <c r="AQ539" s="37" t="s">
        <v>2788</v>
      </c>
      <c r="AR539" s="37" t="s">
        <v>2805</v>
      </c>
      <c r="AS539" s="80"/>
      <c r="AT539" s="80"/>
      <c r="AU539" s="84" t="s">
        <v>3242</v>
      </c>
      <c r="AV539" s="84" t="s">
        <v>3186</v>
      </c>
      <c r="AW539" s="84" t="s">
        <v>3180</v>
      </c>
      <c r="AX539" s="80"/>
      <c r="AY539" s="80"/>
      <c r="AZ539" s="80"/>
      <c r="BA539" s="80"/>
      <c r="BB539" s="80"/>
      <c r="BC539" s="80"/>
      <c r="BD539" s="80"/>
      <c r="BE539" s="80"/>
      <c r="BF539" s="80"/>
      <c r="BG539" s="80"/>
      <c r="BH539" s="80"/>
      <c r="BI539" s="80"/>
      <c r="BJ539" s="80"/>
      <c r="BK539" s="80"/>
      <c r="BL539" s="80"/>
      <c r="BM539" s="80"/>
      <c r="BN539" s="80"/>
      <c r="BO539" s="80"/>
      <c r="BP539" s="80"/>
      <c r="BQ539" s="80"/>
      <c r="BR539" s="80"/>
      <c r="BS539" s="80"/>
      <c r="BT539" s="80"/>
    </row>
    <row r="540" spans="1:72" s="81" customFormat="1" ht="25.15" customHeight="1" outlineLevel="1" x14ac:dyDescent="0.25">
      <c r="A540" s="9" t="s">
        <v>202</v>
      </c>
      <c r="B540" s="88" t="s">
        <v>505</v>
      </c>
      <c r="C540" s="80"/>
      <c r="D540" s="80"/>
      <c r="E540" s="80" t="s">
        <v>33</v>
      </c>
      <c r="F540" s="80" t="s">
        <v>34</v>
      </c>
      <c r="G540" s="80" t="s">
        <v>4362</v>
      </c>
      <c r="H540" s="80" t="s">
        <v>29</v>
      </c>
      <c r="I540" s="80" t="s">
        <v>7</v>
      </c>
      <c r="J540" s="80"/>
      <c r="K540" s="80" t="s">
        <v>30</v>
      </c>
      <c r="L540" s="80"/>
      <c r="M540" s="80" t="s">
        <v>2602</v>
      </c>
      <c r="N540" s="80" t="s">
        <v>456</v>
      </c>
      <c r="O540" s="37">
        <v>4422</v>
      </c>
      <c r="P540" s="37">
        <v>2054</v>
      </c>
      <c r="Q540" s="37">
        <v>2050</v>
      </c>
      <c r="R540" s="37"/>
      <c r="S540" s="37">
        <v>3182</v>
      </c>
      <c r="T540" s="37">
        <v>2200</v>
      </c>
      <c r="U540" s="37">
        <v>7182</v>
      </c>
      <c r="V540" s="37">
        <v>1040</v>
      </c>
      <c r="W540" s="37">
        <v>4100</v>
      </c>
      <c r="X540" s="37">
        <v>2025</v>
      </c>
      <c r="Y540" s="37"/>
      <c r="Z540" s="37">
        <v>8</v>
      </c>
      <c r="AA540" s="37" t="s">
        <v>2598</v>
      </c>
      <c r="AB540" s="37">
        <v>7200</v>
      </c>
      <c r="AC540" s="37">
        <v>2860</v>
      </c>
      <c r="AD540" s="37"/>
      <c r="AE540" s="37"/>
      <c r="AF540" s="37"/>
      <c r="AG540" s="37"/>
      <c r="AH540" s="37">
        <v>18.5</v>
      </c>
      <c r="AI540" s="37" t="s">
        <v>2864</v>
      </c>
      <c r="AJ540" s="37" t="s">
        <v>2880</v>
      </c>
      <c r="AK540" s="37" t="s">
        <v>2713</v>
      </c>
      <c r="AL540" s="37" t="s">
        <v>2661</v>
      </c>
      <c r="AM540" s="37" t="s">
        <v>2951</v>
      </c>
      <c r="AN540" s="37" t="s">
        <v>2912</v>
      </c>
      <c r="AO540" s="37" t="s">
        <v>3101</v>
      </c>
      <c r="AP540" s="37" t="s">
        <v>3081</v>
      </c>
      <c r="AQ540" s="37" t="s">
        <v>2778</v>
      </c>
      <c r="AR540" s="37" t="s">
        <v>2801</v>
      </c>
      <c r="AS540" s="37" t="s">
        <v>2594</v>
      </c>
      <c r="AT540" s="37" t="s">
        <v>2581</v>
      </c>
      <c r="AU540" s="84" t="s">
        <v>3243</v>
      </c>
      <c r="AV540" s="84" t="s">
        <v>3186</v>
      </c>
      <c r="AW540" s="84" t="s">
        <v>3180</v>
      </c>
      <c r="AX540" s="80"/>
      <c r="AY540" s="80"/>
      <c r="AZ540" s="80"/>
      <c r="BA540" s="80"/>
      <c r="BB540" s="80"/>
      <c r="BC540" s="80"/>
      <c r="BD540" s="80"/>
      <c r="BE540" s="80"/>
      <c r="BF540" s="80"/>
      <c r="BG540" s="80"/>
      <c r="BH540" s="80"/>
      <c r="BI540" s="80"/>
      <c r="BJ540" s="80"/>
      <c r="BK540" s="80"/>
      <c r="BL540" s="80"/>
      <c r="BM540" s="80"/>
      <c r="BN540" s="80"/>
      <c r="BO540" s="80"/>
      <c r="BP540" s="80"/>
      <c r="BQ540" s="80"/>
      <c r="BR540" s="80"/>
      <c r="BS540" s="80"/>
      <c r="BT540" s="80"/>
    </row>
    <row r="541" spans="1:72" s="81" customFormat="1" ht="25.15" customHeight="1" outlineLevel="1" x14ac:dyDescent="0.25">
      <c r="A541" s="9" t="s">
        <v>202</v>
      </c>
      <c r="B541" s="88" t="s">
        <v>505</v>
      </c>
      <c r="C541" s="80"/>
      <c r="D541" s="80"/>
      <c r="E541" s="80" t="s">
        <v>33</v>
      </c>
      <c r="F541" s="80" t="s">
        <v>34</v>
      </c>
      <c r="G541" s="80" t="s">
        <v>4362</v>
      </c>
      <c r="H541" s="80" t="s">
        <v>29</v>
      </c>
      <c r="I541" s="80" t="s">
        <v>7</v>
      </c>
      <c r="J541" s="80"/>
      <c r="K541" s="80" t="s">
        <v>30</v>
      </c>
      <c r="L541" s="80"/>
      <c r="M541" s="80" t="s">
        <v>1137</v>
      </c>
      <c r="N541" s="80" t="s">
        <v>456</v>
      </c>
      <c r="O541" s="37">
        <v>4490</v>
      </c>
      <c r="P541" s="37">
        <v>2254</v>
      </c>
      <c r="Q541" s="37">
        <v>2250</v>
      </c>
      <c r="R541" s="37"/>
      <c r="S541" s="37">
        <v>3405</v>
      </c>
      <c r="T541" s="37">
        <v>2400</v>
      </c>
      <c r="U541" s="37">
        <v>7282</v>
      </c>
      <c r="V541" s="37">
        <v>1040</v>
      </c>
      <c r="W541" s="37">
        <v>4100</v>
      </c>
      <c r="X541" s="37">
        <v>2125</v>
      </c>
      <c r="Y541" s="37"/>
      <c r="Z541" s="37">
        <v>15</v>
      </c>
      <c r="AA541" s="37" t="s">
        <v>2598</v>
      </c>
      <c r="AB541" s="37">
        <v>7200</v>
      </c>
      <c r="AC541" s="37">
        <v>2180</v>
      </c>
      <c r="AD541" s="37"/>
      <c r="AE541" s="37"/>
      <c r="AF541" s="37"/>
      <c r="AG541" s="37"/>
      <c r="AH541" s="37">
        <v>22.7</v>
      </c>
      <c r="AI541" s="37" t="s">
        <v>2864</v>
      </c>
      <c r="AJ541" s="37" t="s">
        <v>2880</v>
      </c>
      <c r="AK541" s="37" t="s">
        <v>2713</v>
      </c>
      <c r="AL541" s="37" t="s">
        <v>2661</v>
      </c>
      <c r="AM541" s="37" t="s">
        <v>2951</v>
      </c>
      <c r="AN541" s="37" t="s">
        <v>2912</v>
      </c>
      <c r="AO541" s="37" t="s">
        <v>3087</v>
      </c>
      <c r="AP541" s="37" t="s">
        <v>3110</v>
      </c>
      <c r="AQ541" s="37" t="s">
        <v>2779</v>
      </c>
      <c r="AR541" s="37" t="s">
        <v>2801</v>
      </c>
      <c r="AS541" s="37" t="s">
        <v>2594</v>
      </c>
      <c r="AT541" s="37" t="s">
        <v>2581</v>
      </c>
      <c r="AU541" s="84" t="s">
        <v>3244</v>
      </c>
      <c r="AV541" s="84" t="s">
        <v>3186</v>
      </c>
      <c r="AW541" s="84" t="s">
        <v>3180</v>
      </c>
      <c r="AX541" s="80"/>
      <c r="AY541" s="80"/>
      <c r="AZ541" s="80"/>
      <c r="BA541" s="80"/>
      <c r="BB541" s="80"/>
      <c r="BC541" s="80"/>
      <c r="BD541" s="80"/>
      <c r="BE541" s="80"/>
      <c r="BF541" s="80"/>
      <c r="BG541" s="80"/>
      <c r="BH541" s="80"/>
      <c r="BI541" s="80"/>
      <c r="BJ541" s="80"/>
      <c r="BK541" s="80"/>
      <c r="BL541" s="80"/>
      <c r="BM541" s="80"/>
      <c r="BN541" s="80"/>
      <c r="BO541" s="80"/>
      <c r="BP541" s="80"/>
      <c r="BQ541" s="80"/>
      <c r="BR541" s="80"/>
      <c r="BS541" s="80"/>
      <c r="BT541" s="80"/>
    </row>
    <row r="542" spans="1:72" s="81" customFormat="1" ht="25.15" customHeight="1" outlineLevel="1" x14ac:dyDescent="0.25">
      <c r="A542" s="9" t="s">
        <v>202</v>
      </c>
      <c r="B542" s="88" t="s">
        <v>505</v>
      </c>
      <c r="C542" s="80"/>
      <c r="D542" s="80"/>
      <c r="E542" s="80" t="s">
        <v>33</v>
      </c>
      <c r="F542" s="80" t="s">
        <v>37</v>
      </c>
      <c r="G542" s="80" t="s">
        <v>38</v>
      </c>
      <c r="H542" s="80" t="s">
        <v>29</v>
      </c>
      <c r="I542" s="80" t="s">
        <v>7</v>
      </c>
      <c r="J542" s="80"/>
      <c r="K542" s="80" t="s">
        <v>30</v>
      </c>
      <c r="L542" s="80"/>
      <c r="M542" s="80" t="s">
        <v>1121</v>
      </c>
      <c r="N542" s="80" t="s">
        <v>31</v>
      </c>
      <c r="O542" s="37">
        <v>5490</v>
      </c>
      <c r="P542" s="37">
        <v>2254</v>
      </c>
      <c r="Q542" s="37">
        <v>2300</v>
      </c>
      <c r="R542" s="37"/>
      <c r="S542" s="37">
        <v>3536</v>
      </c>
      <c r="T542" s="37">
        <v>2400</v>
      </c>
      <c r="U542" s="37">
        <v>7562</v>
      </c>
      <c r="V542" s="37">
        <v>1120</v>
      </c>
      <c r="W542" s="37">
        <v>3690</v>
      </c>
      <c r="X542" s="37">
        <v>2610</v>
      </c>
      <c r="Y542" s="37"/>
      <c r="Z542" s="37">
        <v>10</v>
      </c>
      <c r="AA542" s="37" t="s">
        <v>2599</v>
      </c>
      <c r="AB542" s="37">
        <v>10000</v>
      </c>
      <c r="AC542" s="37">
        <v>3160</v>
      </c>
      <c r="AD542" s="37"/>
      <c r="AE542" s="37"/>
      <c r="AF542" s="37"/>
      <c r="AG542" s="37"/>
      <c r="AH542" s="37">
        <v>28.4</v>
      </c>
      <c r="AI542" s="37" t="s">
        <v>2877</v>
      </c>
      <c r="AJ542" s="37" t="s">
        <v>2870</v>
      </c>
      <c r="AK542" s="37" t="s">
        <v>2724</v>
      </c>
      <c r="AL542" s="37" t="s">
        <v>2726</v>
      </c>
      <c r="AM542" s="37" t="s">
        <v>2955</v>
      </c>
      <c r="AN542" s="37" t="s">
        <v>2914</v>
      </c>
      <c r="AO542" s="37" t="s">
        <v>3141</v>
      </c>
      <c r="AP542" s="37" t="s">
        <v>3091</v>
      </c>
      <c r="AQ542" s="37" t="s">
        <v>2780</v>
      </c>
      <c r="AR542" s="37" t="s">
        <v>2801</v>
      </c>
      <c r="AS542" s="37" t="s">
        <v>2591</v>
      </c>
      <c r="AT542" s="37" t="s">
        <v>2580</v>
      </c>
      <c r="AU542" s="84" t="s">
        <v>3245</v>
      </c>
      <c r="AV542" s="84" t="s">
        <v>3186</v>
      </c>
      <c r="AW542" s="84" t="s">
        <v>3180</v>
      </c>
      <c r="AX542" s="80"/>
      <c r="AY542" s="80"/>
      <c r="AZ542" s="80"/>
      <c r="BA542" s="80"/>
      <c r="BB542" s="80"/>
      <c r="BC542" s="80"/>
      <c r="BD542" s="80"/>
      <c r="BE542" s="80"/>
      <c r="BF542" s="80"/>
      <c r="BG542" s="80"/>
      <c r="BH542" s="80"/>
      <c r="BI542" s="80"/>
      <c r="BJ542" s="80"/>
      <c r="BK542" s="80"/>
      <c r="BL542" s="80"/>
      <c r="BM542" s="80"/>
      <c r="BN542" s="80"/>
      <c r="BO542" s="80"/>
      <c r="BP542" s="80"/>
      <c r="BQ542" s="80"/>
      <c r="BR542" s="80"/>
      <c r="BS542" s="80"/>
      <c r="BT542" s="80"/>
    </row>
    <row r="543" spans="1:72" s="81" customFormat="1" ht="25.15" customHeight="1" outlineLevel="1" x14ac:dyDescent="0.25">
      <c r="A543" s="9" t="s">
        <v>202</v>
      </c>
      <c r="B543" s="88" t="s">
        <v>505</v>
      </c>
      <c r="C543" s="80"/>
      <c r="D543" s="80"/>
      <c r="E543" s="80" t="s">
        <v>469</v>
      </c>
      <c r="F543" s="80" t="s">
        <v>50</v>
      </c>
      <c r="G543" s="80" t="s">
        <v>38</v>
      </c>
      <c r="H543" s="80" t="s">
        <v>29</v>
      </c>
      <c r="I543" s="80" t="s">
        <v>7</v>
      </c>
      <c r="J543" s="80"/>
      <c r="K543" s="80" t="s">
        <v>30</v>
      </c>
      <c r="L543" s="80"/>
      <c r="M543" s="80" t="s">
        <v>1120</v>
      </c>
      <c r="N543" s="80" t="s">
        <v>31</v>
      </c>
      <c r="O543" s="37">
        <v>5490</v>
      </c>
      <c r="P543" s="37">
        <v>2254</v>
      </c>
      <c r="Q543" s="37">
        <v>2300</v>
      </c>
      <c r="R543" s="37"/>
      <c r="S543" s="37">
        <v>3526</v>
      </c>
      <c r="T543" s="37">
        <v>2400</v>
      </c>
      <c r="U543" s="37">
        <v>7635</v>
      </c>
      <c r="V543" s="37">
        <v>1110</v>
      </c>
      <c r="W543" s="37">
        <v>3800</v>
      </c>
      <c r="X543" s="37">
        <v>2510</v>
      </c>
      <c r="Y543" s="37"/>
      <c r="Z543" s="37">
        <v>10</v>
      </c>
      <c r="AA543" s="37" t="s">
        <v>2600</v>
      </c>
      <c r="AB543" s="37">
        <v>10000</v>
      </c>
      <c r="AC543" s="37">
        <v>2800</v>
      </c>
      <c r="AD543" s="37"/>
      <c r="AE543" s="37"/>
      <c r="AF543" s="37"/>
      <c r="AG543" s="37"/>
      <c r="AH543" s="37">
        <v>28.4</v>
      </c>
      <c r="AI543" s="37" t="s">
        <v>2875</v>
      </c>
      <c r="AJ543" s="37" t="s">
        <v>2872</v>
      </c>
      <c r="AK543" s="37" t="s">
        <v>2717</v>
      </c>
      <c r="AL543" s="37" t="s">
        <v>2719</v>
      </c>
      <c r="AM543" s="37" t="s">
        <v>2959</v>
      </c>
      <c r="AN543" s="37" t="s">
        <v>2915</v>
      </c>
      <c r="AO543" s="37" t="s">
        <v>3141</v>
      </c>
      <c r="AP543" s="37" t="s">
        <v>3091</v>
      </c>
      <c r="AQ543" s="37" t="s">
        <v>2780</v>
      </c>
      <c r="AR543" s="37" t="s">
        <v>2801</v>
      </c>
      <c r="AS543" s="37" t="s">
        <v>2592</v>
      </c>
      <c r="AT543" s="37" t="s">
        <v>2581</v>
      </c>
      <c r="AU543" s="84" t="s">
        <v>3246</v>
      </c>
      <c r="AV543" s="84" t="s">
        <v>3186</v>
      </c>
      <c r="AW543" s="84" t="s">
        <v>3180</v>
      </c>
      <c r="AX543" s="80"/>
      <c r="AY543" s="80"/>
      <c r="AZ543" s="80"/>
      <c r="BA543" s="80"/>
      <c r="BB543" s="80"/>
      <c r="BC543" s="80"/>
      <c r="BD543" s="80"/>
      <c r="BE543" s="80"/>
      <c r="BF543" s="80"/>
      <c r="BG543" s="80"/>
      <c r="BH543" s="80"/>
      <c r="BI543" s="80"/>
      <c r="BJ543" s="80"/>
      <c r="BK543" s="80"/>
      <c r="BL543" s="80"/>
      <c r="BM543" s="80"/>
      <c r="BN543" s="80"/>
      <c r="BO543" s="80"/>
      <c r="BP543" s="80"/>
      <c r="BQ543" s="80"/>
      <c r="BR543" s="80"/>
      <c r="BS543" s="80"/>
      <c r="BT543" s="80"/>
    </row>
    <row r="544" spans="1:72" s="81" customFormat="1" ht="25.15" customHeight="1" x14ac:dyDescent="0.25">
      <c r="A544" s="9" t="s">
        <v>202</v>
      </c>
      <c r="B544" s="86" t="s">
        <v>492</v>
      </c>
      <c r="C544" s="80"/>
      <c r="D544" s="80"/>
      <c r="E544" s="80" t="s">
        <v>33</v>
      </c>
      <c r="F544" s="80" t="s">
        <v>34</v>
      </c>
      <c r="G544" s="80" t="s">
        <v>85</v>
      </c>
      <c r="H544" s="80" t="s">
        <v>29</v>
      </c>
      <c r="I544" s="80" t="s">
        <v>7</v>
      </c>
      <c r="J544" s="80"/>
      <c r="K544" s="80" t="s">
        <v>30</v>
      </c>
      <c r="L544" s="80"/>
      <c r="M544" s="80" t="s">
        <v>1119</v>
      </c>
      <c r="N544" s="80" t="s">
        <v>35</v>
      </c>
      <c r="O544" s="37">
        <v>3328</v>
      </c>
      <c r="P544" s="37">
        <v>1908</v>
      </c>
      <c r="Q544" s="37">
        <v>1950</v>
      </c>
      <c r="R544" s="37"/>
      <c r="S544" s="37">
        <v>2906</v>
      </c>
      <c r="T544" s="37">
        <v>2050</v>
      </c>
      <c r="U544" s="37">
        <v>6204</v>
      </c>
      <c r="V544" s="37">
        <v>865</v>
      </c>
      <c r="W544" s="37">
        <v>3450</v>
      </c>
      <c r="X544" s="37">
        <v>1697</v>
      </c>
      <c r="Y544" s="37"/>
      <c r="Z544" s="37">
        <v>5</v>
      </c>
      <c r="AA544" s="37" t="s">
        <v>2608</v>
      </c>
      <c r="AB544" s="37">
        <v>3500</v>
      </c>
      <c r="AC544" s="37">
        <v>685</v>
      </c>
      <c r="AD544" s="37"/>
      <c r="AE544" s="37"/>
      <c r="AF544" s="37"/>
      <c r="AG544" s="37"/>
      <c r="AH544" s="37">
        <v>12</v>
      </c>
      <c r="AI544" s="37" t="s">
        <v>2854</v>
      </c>
      <c r="AJ544" s="37" t="s">
        <v>2857</v>
      </c>
      <c r="AK544" s="37" t="s">
        <v>2712</v>
      </c>
      <c r="AL544" s="37" t="s">
        <v>2658</v>
      </c>
      <c r="AM544" s="37" t="s">
        <v>2950</v>
      </c>
      <c r="AN544" s="37" t="s">
        <v>2902</v>
      </c>
      <c r="AO544" s="37" t="s">
        <v>3137</v>
      </c>
      <c r="AP544" s="37" t="s">
        <v>3149</v>
      </c>
      <c r="AQ544" s="37" t="s">
        <v>2786</v>
      </c>
      <c r="AR544" s="37" t="s">
        <v>2806</v>
      </c>
      <c r="AS544" s="37" t="s">
        <v>2582</v>
      </c>
      <c r="AT544" s="37" t="s">
        <v>2581</v>
      </c>
      <c r="AU544" s="84" t="s">
        <v>3247</v>
      </c>
      <c r="AV544" s="84" t="s">
        <v>3187</v>
      </c>
      <c r="AW544" s="84" t="s">
        <v>3180</v>
      </c>
      <c r="AX544" s="84" t="s">
        <v>3184</v>
      </c>
      <c r="AY544" s="80"/>
      <c r="AZ544" s="80"/>
      <c r="BA544" s="80"/>
      <c r="BB544" s="80"/>
      <c r="BC544" s="80"/>
      <c r="BD544" s="80"/>
      <c r="BE544" s="80"/>
      <c r="BF544" s="80"/>
      <c r="BG544" s="80"/>
      <c r="BH544" s="80"/>
      <c r="BI544" s="80"/>
      <c r="BJ544" s="80"/>
      <c r="BK544" s="80"/>
      <c r="BL544" s="80"/>
      <c r="BM544" s="80"/>
      <c r="BN544" s="80"/>
      <c r="BO544" s="80"/>
      <c r="BP544" s="80"/>
      <c r="BQ544" s="80"/>
      <c r="BR544" s="80"/>
      <c r="BS544" s="80"/>
      <c r="BT544" s="80"/>
    </row>
    <row r="545" spans="1:72" s="81" customFormat="1" ht="25.15" customHeight="1" outlineLevel="1" x14ac:dyDescent="0.25">
      <c r="A545" s="9" t="s">
        <v>202</v>
      </c>
      <c r="B545" s="86" t="s">
        <v>492</v>
      </c>
      <c r="C545" s="80"/>
      <c r="D545" s="80"/>
      <c r="E545" s="80" t="s">
        <v>33</v>
      </c>
      <c r="F545" s="80" t="s">
        <v>34</v>
      </c>
      <c r="G545" s="80" t="s">
        <v>85</v>
      </c>
      <c r="H545" s="80" t="s">
        <v>29</v>
      </c>
      <c r="I545" s="80" t="s">
        <v>7</v>
      </c>
      <c r="J545" s="80"/>
      <c r="K545" s="80" t="s">
        <v>30</v>
      </c>
      <c r="L545" s="80"/>
      <c r="M545" s="80" t="s">
        <v>1118</v>
      </c>
      <c r="N545" s="80" t="s">
        <v>35</v>
      </c>
      <c r="O545" s="37">
        <v>3328</v>
      </c>
      <c r="P545" s="37">
        <v>2058</v>
      </c>
      <c r="Q545" s="37">
        <v>1950</v>
      </c>
      <c r="R545" s="37"/>
      <c r="S545" s="37">
        <v>2906</v>
      </c>
      <c r="T545" s="37">
        <v>2200</v>
      </c>
      <c r="U545" s="37">
        <v>6204</v>
      </c>
      <c r="V545" s="37">
        <v>865</v>
      </c>
      <c r="W545" s="37">
        <v>3450</v>
      </c>
      <c r="X545" s="37">
        <v>1697</v>
      </c>
      <c r="Y545" s="37"/>
      <c r="Z545" s="37">
        <v>6</v>
      </c>
      <c r="AA545" s="37" t="s">
        <v>2609</v>
      </c>
      <c r="AB545" s="37">
        <v>3500</v>
      </c>
      <c r="AC545" s="37">
        <v>670</v>
      </c>
      <c r="AD545" s="37"/>
      <c r="AE545" s="37"/>
      <c r="AF545" s="37"/>
      <c r="AG545" s="37"/>
      <c r="AH545" s="37">
        <v>13.2</v>
      </c>
      <c r="AI545" s="37" t="s">
        <v>2854</v>
      </c>
      <c r="AJ545" s="37" t="s">
        <v>2857</v>
      </c>
      <c r="AK545" s="37" t="s">
        <v>2712</v>
      </c>
      <c r="AL545" s="37" t="s">
        <v>2658</v>
      </c>
      <c r="AM545" s="37" t="s">
        <v>2950</v>
      </c>
      <c r="AN545" s="37" t="s">
        <v>2902</v>
      </c>
      <c r="AO545" s="37" t="s">
        <v>3137</v>
      </c>
      <c r="AP545" s="37" t="s">
        <v>3149</v>
      </c>
      <c r="AQ545" s="37" t="s">
        <v>2786</v>
      </c>
      <c r="AR545" s="37" t="s">
        <v>2806</v>
      </c>
      <c r="AS545" s="37" t="s">
        <v>2582</v>
      </c>
      <c r="AT545" s="37" t="s">
        <v>2581</v>
      </c>
      <c r="AU545" s="84" t="s">
        <v>3248</v>
      </c>
      <c r="AV545" s="84" t="s">
        <v>3187</v>
      </c>
      <c r="AW545" s="84" t="s">
        <v>3180</v>
      </c>
      <c r="AX545" s="84" t="s">
        <v>3184</v>
      </c>
      <c r="AY545" s="80"/>
      <c r="AZ545" s="80"/>
      <c r="BA545" s="80"/>
      <c r="BB545" s="80"/>
      <c r="BC545" s="80"/>
      <c r="BD545" s="80"/>
      <c r="BE545" s="80"/>
      <c r="BF545" s="80"/>
      <c r="BG545" s="80"/>
      <c r="BH545" s="80"/>
      <c r="BI545" s="80"/>
      <c r="BJ545" s="80"/>
      <c r="BK545" s="80"/>
      <c r="BL545" s="80"/>
      <c r="BM545" s="80"/>
      <c r="BN545" s="80"/>
      <c r="BO545" s="80"/>
      <c r="BP545" s="80"/>
      <c r="BQ545" s="80"/>
      <c r="BR545" s="80"/>
      <c r="BS545" s="80"/>
      <c r="BT545" s="80"/>
    </row>
    <row r="546" spans="1:72" s="81" customFormat="1" ht="25.15" customHeight="1" outlineLevel="1" x14ac:dyDescent="0.25">
      <c r="A546" s="9" t="s">
        <v>202</v>
      </c>
      <c r="B546" s="86" t="s">
        <v>492</v>
      </c>
      <c r="C546" s="80"/>
      <c r="D546" s="80"/>
      <c r="E546" s="80" t="s">
        <v>33</v>
      </c>
      <c r="F546" s="80" t="s">
        <v>34</v>
      </c>
      <c r="G546" s="80" t="s">
        <v>85</v>
      </c>
      <c r="H546" s="80" t="s">
        <v>29</v>
      </c>
      <c r="I546" s="80" t="s">
        <v>7</v>
      </c>
      <c r="J546" s="80"/>
      <c r="K546" s="80" t="s">
        <v>30</v>
      </c>
      <c r="L546" s="80"/>
      <c r="M546" s="80" t="s">
        <v>2607</v>
      </c>
      <c r="N546" s="80" t="s">
        <v>35</v>
      </c>
      <c r="O546" s="37">
        <v>3728</v>
      </c>
      <c r="P546" s="37">
        <v>1908</v>
      </c>
      <c r="Q546" s="37">
        <v>1950</v>
      </c>
      <c r="R546" s="37"/>
      <c r="S546" s="37">
        <v>2906</v>
      </c>
      <c r="T546" s="37">
        <v>2050</v>
      </c>
      <c r="U546" s="37">
        <v>6604</v>
      </c>
      <c r="V546" s="37">
        <v>865</v>
      </c>
      <c r="W546" s="37">
        <v>3750</v>
      </c>
      <c r="X546" s="37">
        <v>1797</v>
      </c>
      <c r="Y546" s="37"/>
      <c r="Z546" s="37">
        <v>6</v>
      </c>
      <c r="AA546" s="37" t="s">
        <v>2609</v>
      </c>
      <c r="AB546" s="37">
        <v>3500</v>
      </c>
      <c r="AC546" s="37">
        <v>625</v>
      </c>
      <c r="AD546" s="37"/>
      <c r="AE546" s="37"/>
      <c r="AF546" s="37"/>
      <c r="AG546" s="37"/>
      <c r="AH546" s="37">
        <v>13.7</v>
      </c>
      <c r="AI546" s="37" t="s">
        <v>2854</v>
      </c>
      <c r="AJ546" s="37" t="s">
        <v>2857</v>
      </c>
      <c r="AK546" s="37" t="s">
        <v>2712</v>
      </c>
      <c r="AL546" s="37" t="s">
        <v>2658</v>
      </c>
      <c r="AM546" s="37" t="s">
        <v>2950</v>
      </c>
      <c r="AN546" s="37" t="s">
        <v>2902</v>
      </c>
      <c r="AO546" s="37" t="s">
        <v>3137</v>
      </c>
      <c r="AP546" s="37" t="s">
        <v>3128</v>
      </c>
      <c r="AQ546" s="37" t="s">
        <v>2786</v>
      </c>
      <c r="AR546" s="37" t="s">
        <v>2806</v>
      </c>
      <c r="AS546" s="37" t="s">
        <v>2582</v>
      </c>
      <c r="AT546" s="37" t="s">
        <v>2581</v>
      </c>
      <c r="AU546" s="84" t="s">
        <v>3249</v>
      </c>
      <c r="AV546" s="84" t="s">
        <v>3187</v>
      </c>
      <c r="AW546" s="84" t="s">
        <v>3180</v>
      </c>
      <c r="AX546" s="84" t="s">
        <v>3184</v>
      </c>
      <c r="AY546" s="80"/>
      <c r="AZ546" s="80"/>
      <c r="BA546" s="80"/>
      <c r="BB546" s="80"/>
      <c r="BC546" s="80"/>
      <c r="BD546" s="80"/>
      <c r="BE546" s="80"/>
      <c r="BF546" s="80"/>
      <c r="BG546" s="80"/>
      <c r="BH546" s="80"/>
      <c r="BI546" s="80"/>
      <c r="BJ546" s="80"/>
      <c r="BK546" s="80"/>
      <c r="BL546" s="80"/>
      <c r="BM546" s="80"/>
      <c r="BN546" s="80"/>
      <c r="BO546" s="80"/>
      <c r="BP546" s="80"/>
      <c r="BQ546" s="80"/>
      <c r="BR546" s="80"/>
      <c r="BS546" s="80"/>
      <c r="BT546" s="80"/>
    </row>
    <row r="547" spans="1:72" s="81" customFormat="1" ht="25.15" customHeight="1" outlineLevel="1" x14ac:dyDescent="0.25">
      <c r="A547" s="9" t="s">
        <v>202</v>
      </c>
      <c r="B547" s="86" t="s">
        <v>492</v>
      </c>
      <c r="C547" s="80"/>
      <c r="D547" s="80"/>
      <c r="E547" s="80" t="s">
        <v>33</v>
      </c>
      <c r="F547" s="80" t="s">
        <v>34</v>
      </c>
      <c r="G547" s="80" t="s">
        <v>4362</v>
      </c>
      <c r="H547" s="80" t="s">
        <v>29</v>
      </c>
      <c r="I547" s="80" t="s">
        <v>7</v>
      </c>
      <c r="J547" s="80"/>
      <c r="K547" s="80" t="s">
        <v>30</v>
      </c>
      <c r="L547" s="80"/>
      <c r="M547" s="80" t="s">
        <v>519</v>
      </c>
      <c r="N547" s="83" t="s">
        <v>461</v>
      </c>
      <c r="O547" s="37">
        <v>3722</v>
      </c>
      <c r="P547" s="37">
        <v>2154</v>
      </c>
      <c r="Q547" s="37">
        <v>2050</v>
      </c>
      <c r="R547" s="37"/>
      <c r="S547" s="37">
        <v>3202</v>
      </c>
      <c r="T547" s="37">
        <v>2300</v>
      </c>
      <c r="U547" s="37">
        <v>6664</v>
      </c>
      <c r="V547" s="37">
        <v>1060</v>
      </c>
      <c r="W547" s="37">
        <v>3750</v>
      </c>
      <c r="X547" s="37">
        <v>1867</v>
      </c>
      <c r="Y547" s="37"/>
      <c r="Z547" s="37">
        <v>7</v>
      </c>
      <c r="AA547" s="37" t="s">
        <v>2610</v>
      </c>
      <c r="AB547" s="37">
        <v>7200</v>
      </c>
      <c r="AC547" s="37">
        <v>3000</v>
      </c>
      <c r="AD547" s="37"/>
      <c r="AE547" s="37"/>
      <c r="AF547" s="37"/>
      <c r="AG547" s="37"/>
      <c r="AH547" s="37">
        <v>16.399999999999999</v>
      </c>
      <c r="AI547" s="37" t="s">
        <v>2865</v>
      </c>
      <c r="AJ547" s="37" t="s">
        <v>2881</v>
      </c>
      <c r="AK547" s="37" t="s">
        <v>2713</v>
      </c>
      <c r="AL547" s="37" t="s">
        <v>2661</v>
      </c>
      <c r="AM547" s="37" t="s">
        <v>2943</v>
      </c>
      <c r="AN547" s="37" t="s">
        <v>2905</v>
      </c>
      <c r="AO547" s="37" t="s">
        <v>3112</v>
      </c>
      <c r="AP547" s="37" t="s">
        <v>3113</v>
      </c>
      <c r="AQ547" s="37" t="s">
        <v>2777</v>
      </c>
      <c r="AR547" s="37" t="s">
        <v>2801</v>
      </c>
      <c r="AS547" s="37" t="s">
        <v>2586</v>
      </c>
      <c r="AT547" s="37" t="s">
        <v>2581</v>
      </c>
      <c r="AU547" s="84" t="s">
        <v>3250</v>
      </c>
      <c r="AV547" s="84" t="s">
        <v>3187</v>
      </c>
      <c r="AW547" s="84" t="s">
        <v>3180</v>
      </c>
      <c r="AX547" s="84" t="s">
        <v>3184</v>
      </c>
      <c r="AY547" s="80"/>
      <c r="AZ547" s="80"/>
      <c r="BA547" s="80"/>
      <c r="BB547" s="80"/>
      <c r="BC547" s="80"/>
      <c r="BD547" s="80"/>
      <c r="BE547" s="80"/>
      <c r="BF547" s="80"/>
      <c r="BG547" s="80"/>
      <c r="BH547" s="80"/>
      <c r="BI547" s="80"/>
      <c r="BJ547" s="80"/>
      <c r="BK547" s="80"/>
      <c r="BL547" s="80"/>
      <c r="BM547" s="80"/>
      <c r="BN547" s="80"/>
      <c r="BO547" s="80"/>
      <c r="BP547" s="80"/>
      <c r="BQ547" s="80"/>
      <c r="BR547" s="80"/>
      <c r="BS547" s="80"/>
      <c r="BT547" s="80"/>
    </row>
    <row r="548" spans="1:72" s="81" customFormat="1" ht="25.15" customHeight="1" outlineLevel="1" x14ac:dyDescent="0.25">
      <c r="A548" s="9" t="s">
        <v>202</v>
      </c>
      <c r="B548" s="86" t="s">
        <v>492</v>
      </c>
      <c r="C548" s="80"/>
      <c r="D548" s="80"/>
      <c r="E548" s="80" t="s">
        <v>33</v>
      </c>
      <c r="F548" s="80" t="s">
        <v>34</v>
      </c>
      <c r="G548" s="80" t="s">
        <v>4362</v>
      </c>
      <c r="H548" s="80" t="s">
        <v>29</v>
      </c>
      <c r="I548" s="80" t="s">
        <v>7</v>
      </c>
      <c r="J548" s="80"/>
      <c r="K548" s="80" t="s">
        <v>30</v>
      </c>
      <c r="L548" s="80"/>
      <c r="M548" s="80" t="s">
        <v>520</v>
      </c>
      <c r="N548" s="83" t="s">
        <v>461</v>
      </c>
      <c r="O548" s="37">
        <v>4122</v>
      </c>
      <c r="P548" s="37">
        <v>2154</v>
      </c>
      <c r="Q548" s="37">
        <v>2050</v>
      </c>
      <c r="R548" s="37"/>
      <c r="S548" s="37">
        <v>3202</v>
      </c>
      <c r="T548" s="37">
        <v>2300</v>
      </c>
      <c r="U548" s="37">
        <v>7064</v>
      </c>
      <c r="V548" s="37">
        <v>1060</v>
      </c>
      <c r="W548" s="37">
        <v>3750</v>
      </c>
      <c r="X548" s="37">
        <v>2267</v>
      </c>
      <c r="Y548" s="37"/>
      <c r="Z548" s="37">
        <v>8</v>
      </c>
      <c r="AA548" s="37" t="s">
        <v>2612</v>
      </c>
      <c r="AB548" s="37">
        <v>7200</v>
      </c>
      <c r="AC548" s="37">
        <v>2840</v>
      </c>
      <c r="AD548" s="37"/>
      <c r="AE548" s="37"/>
      <c r="AF548" s="37"/>
      <c r="AG548" s="37"/>
      <c r="AH548" s="37">
        <v>18.100000000000001</v>
      </c>
      <c r="AI548" s="37" t="s">
        <v>2865</v>
      </c>
      <c r="AJ548" s="37" t="s">
        <v>2881</v>
      </c>
      <c r="AK548" s="37" t="s">
        <v>2713</v>
      </c>
      <c r="AL548" s="37" t="s">
        <v>2661</v>
      </c>
      <c r="AM548" s="37" t="s">
        <v>2943</v>
      </c>
      <c r="AN548" s="37" t="s">
        <v>2905</v>
      </c>
      <c r="AO548" s="37" t="s">
        <v>3106</v>
      </c>
      <c r="AP548" s="37" t="s">
        <v>3097</v>
      </c>
      <c r="AQ548" s="37" t="s">
        <v>2777</v>
      </c>
      <c r="AR548" s="37" t="s">
        <v>2801</v>
      </c>
      <c r="AS548" s="37" t="s">
        <v>2594</v>
      </c>
      <c r="AT548" s="37" t="s">
        <v>2581</v>
      </c>
      <c r="AU548" s="84" t="s">
        <v>3251</v>
      </c>
      <c r="AV548" s="84" t="s">
        <v>3187</v>
      </c>
      <c r="AW548" s="84" t="s">
        <v>3180</v>
      </c>
      <c r="AX548" s="84" t="s">
        <v>3184</v>
      </c>
      <c r="AY548" s="80"/>
      <c r="AZ548" s="80"/>
      <c r="BA548" s="80"/>
      <c r="BB548" s="80"/>
      <c r="BC548" s="80"/>
      <c r="BD548" s="80"/>
      <c r="BE548" s="80"/>
      <c r="BF548" s="80"/>
      <c r="BG548" s="80"/>
      <c r="BH548" s="80"/>
      <c r="BI548" s="80"/>
      <c r="BJ548" s="80"/>
      <c r="BK548" s="80"/>
      <c r="BL548" s="80"/>
      <c r="BM548" s="80"/>
      <c r="BN548" s="80"/>
      <c r="BO548" s="80"/>
      <c r="BP548" s="80"/>
      <c r="BQ548" s="80"/>
      <c r="BR548" s="80"/>
      <c r="BS548" s="80"/>
      <c r="BT548" s="80"/>
    </row>
    <row r="549" spans="1:72" s="81" customFormat="1" ht="25.15" customHeight="1" outlineLevel="1" x14ac:dyDescent="0.25">
      <c r="A549" s="9" t="s">
        <v>202</v>
      </c>
      <c r="B549" s="86" t="s">
        <v>492</v>
      </c>
      <c r="C549" s="80"/>
      <c r="D549" s="80"/>
      <c r="E549" s="80" t="s">
        <v>33</v>
      </c>
      <c r="F549" s="80" t="s">
        <v>37</v>
      </c>
      <c r="G549" s="80" t="s">
        <v>38</v>
      </c>
      <c r="H549" s="80" t="s">
        <v>29</v>
      </c>
      <c r="I549" s="80" t="s">
        <v>7</v>
      </c>
      <c r="J549" s="80"/>
      <c r="K549" s="80" t="s">
        <v>30</v>
      </c>
      <c r="L549" s="80"/>
      <c r="M549" s="80" t="s">
        <v>521</v>
      </c>
      <c r="N549" s="80" t="s">
        <v>456</v>
      </c>
      <c r="O549" s="37">
        <v>5490</v>
      </c>
      <c r="P549" s="37">
        <v>2454</v>
      </c>
      <c r="Q549" s="37">
        <v>2400</v>
      </c>
      <c r="R549" s="37"/>
      <c r="S549" s="37">
        <v>3642</v>
      </c>
      <c r="T549" s="37">
        <v>2600</v>
      </c>
      <c r="U549" s="37">
        <v>7662</v>
      </c>
      <c r="V549" s="37">
        <v>1150</v>
      </c>
      <c r="W549" s="37">
        <v>3690</v>
      </c>
      <c r="X549" s="37">
        <v>2610</v>
      </c>
      <c r="Y549" s="37"/>
      <c r="Z549" s="37">
        <v>12</v>
      </c>
      <c r="AA549" s="37" t="s">
        <v>2611</v>
      </c>
      <c r="AB549" s="37">
        <v>11990</v>
      </c>
      <c r="AC549" s="37">
        <v>4350</v>
      </c>
      <c r="AD549" s="37"/>
      <c r="AE549" s="37"/>
      <c r="AF549" s="37"/>
      <c r="AG549" s="37"/>
      <c r="AH549" s="37">
        <v>32.200000000000003</v>
      </c>
      <c r="AI549" s="37" t="s">
        <v>2875</v>
      </c>
      <c r="AJ549" s="37" t="s">
        <v>2873</v>
      </c>
      <c r="AK549" s="37" t="s">
        <v>2717</v>
      </c>
      <c r="AL549" s="37" t="s">
        <v>2719</v>
      </c>
      <c r="AM549" s="37" t="s">
        <v>2946</v>
      </c>
      <c r="AN549" s="37" t="s">
        <v>2906</v>
      </c>
      <c r="AO549" s="37" t="s">
        <v>3173</v>
      </c>
      <c r="AP549" s="37" t="s">
        <v>3095</v>
      </c>
      <c r="AQ549" s="37" t="s">
        <v>2782</v>
      </c>
      <c r="AR549" s="37" t="s">
        <v>2802</v>
      </c>
      <c r="AS549" s="37" t="s">
        <v>2592</v>
      </c>
      <c r="AT549" s="37" t="s">
        <v>2578</v>
      </c>
      <c r="AU549" s="84" t="s">
        <v>3252</v>
      </c>
      <c r="AV549" s="84" t="s">
        <v>3187</v>
      </c>
      <c r="AW549" s="84" t="s">
        <v>3180</v>
      </c>
      <c r="AX549" s="84" t="s">
        <v>3184</v>
      </c>
      <c r="AY549" s="80"/>
      <c r="AZ549" s="80"/>
      <c r="BA549" s="80"/>
      <c r="BB549" s="80"/>
      <c r="BC549" s="80"/>
      <c r="BD549" s="80"/>
      <c r="BE549" s="80"/>
      <c r="BF549" s="80"/>
      <c r="BG549" s="80"/>
      <c r="BH549" s="80"/>
      <c r="BI549" s="80"/>
      <c r="BJ549" s="80"/>
      <c r="BK549" s="80"/>
      <c r="BL549" s="80"/>
      <c r="BM549" s="80"/>
      <c r="BN549" s="80"/>
      <c r="BO549" s="80"/>
      <c r="BP549" s="80"/>
      <c r="BQ549" s="80"/>
      <c r="BR549" s="80"/>
      <c r="BS549" s="80"/>
      <c r="BT549" s="80"/>
    </row>
    <row r="550" spans="1:72" s="81" customFormat="1" ht="25.15" customHeight="1" outlineLevel="1" x14ac:dyDescent="0.25">
      <c r="A550" s="9" t="s">
        <v>202</v>
      </c>
      <c r="B550" s="86" t="s">
        <v>492</v>
      </c>
      <c r="C550" s="80"/>
      <c r="D550" s="80"/>
      <c r="E550" s="80" t="s">
        <v>33</v>
      </c>
      <c r="F550" s="80" t="s">
        <v>37</v>
      </c>
      <c r="G550" s="80" t="s">
        <v>4360</v>
      </c>
      <c r="H550" s="80" t="s">
        <v>29</v>
      </c>
      <c r="I550" s="80" t="s">
        <v>7</v>
      </c>
      <c r="J550" s="80"/>
      <c r="K550" s="80" t="s">
        <v>30</v>
      </c>
      <c r="L550" s="80"/>
      <c r="M550" s="80" t="s">
        <v>522</v>
      </c>
      <c r="N550" s="80" t="s">
        <v>456</v>
      </c>
      <c r="O550" s="37">
        <v>6790</v>
      </c>
      <c r="P550" s="37">
        <v>2454</v>
      </c>
      <c r="Q550" s="37">
        <v>2400</v>
      </c>
      <c r="R550" s="37"/>
      <c r="S550" s="37">
        <v>3656</v>
      </c>
      <c r="T550" s="37">
        <v>2600</v>
      </c>
      <c r="U550" s="37">
        <v>8982</v>
      </c>
      <c r="V550" s="37">
        <v>1140</v>
      </c>
      <c r="W550" s="37">
        <v>4815</v>
      </c>
      <c r="X550" s="37">
        <v>2805</v>
      </c>
      <c r="Y550" s="37"/>
      <c r="Z550" s="37">
        <v>15</v>
      </c>
      <c r="AA550" s="37" t="s">
        <v>2611</v>
      </c>
      <c r="AB550" s="37">
        <v>16000</v>
      </c>
      <c r="AC550" s="37">
        <v>7300</v>
      </c>
      <c r="AD550" s="37"/>
      <c r="AE550" s="37"/>
      <c r="AF550" s="37"/>
      <c r="AG550" s="37"/>
      <c r="AH550" s="37">
        <v>40</v>
      </c>
      <c r="AI550" s="37" t="s">
        <v>2875</v>
      </c>
      <c r="AJ550" s="37" t="s">
        <v>2873</v>
      </c>
      <c r="AK550" s="37" t="s">
        <v>2720</v>
      </c>
      <c r="AL550" s="37" t="s">
        <v>2730</v>
      </c>
      <c r="AM550" s="37" t="s">
        <v>2947</v>
      </c>
      <c r="AN550" s="37" t="s">
        <v>2919</v>
      </c>
      <c r="AO550" s="37" t="s">
        <v>3173</v>
      </c>
      <c r="AP550" s="37" t="s">
        <v>3098</v>
      </c>
      <c r="AQ550" s="37" t="s">
        <v>2782</v>
      </c>
      <c r="AR550" s="37" t="s">
        <v>2802</v>
      </c>
      <c r="AS550" s="37" t="s">
        <v>2596</v>
      </c>
      <c r="AT550" s="37" t="s">
        <v>2578</v>
      </c>
      <c r="AU550" s="84" t="s">
        <v>3253</v>
      </c>
      <c r="AV550" s="84" t="s">
        <v>3187</v>
      </c>
      <c r="AW550" s="84" t="s">
        <v>3180</v>
      </c>
      <c r="AX550" s="84" t="s">
        <v>3184</v>
      </c>
      <c r="AY550" s="80"/>
      <c r="AZ550" s="80"/>
      <c r="BA550" s="80"/>
      <c r="BB550" s="80"/>
      <c r="BC550" s="80"/>
      <c r="BD550" s="80"/>
      <c r="BE550" s="80"/>
      <c r="BF550" s="80"/>
      <c r="BG550" s="80"/>
      <c r="BH550" s="80"/>
      <c r="BI550" s="80"/>
      <c r="BJ550" s="80"/>
      <c r="BK550" s="80"/>
      <c r="BL550" s="80"/>
      <c r="BM550" s="80"/>
      <c r="BN550" s="80"/>
      <c r="BO550" s="80"/>
      <c r="BP550" s="80"/>
      <c r="BQ550" s="80"/>
      <c r="BR550" s="80"/>
      <c r="BS550" s="80"/>
      <c r="BT550" s="80"/>
    </row>
    <row r="551" spans="1:72" s="81" customFormat="1" ht="25.15" customHeight="1" outlineLevel="1" x14ac:dyDescent="0.25">
      <c r="A551" s="9" t="s">
        <v>202</v>
      </c>
      <c r="B551" s="86" t="s">
        <v>492</v>
      </c>
      <c r="C551" s="80"/>
      <c r="D551" s="80"/>
      <c r="E551" s="80" t="s">
        <v>33</v>
      </c>
      <c r="F551" s="80" t="s">
        <v>37</v>
      </c>
      <c r="G551" s="80" t="s">
        <v>42</v>
      </c>
      <c r="H551" s="80" t="s">
        <v>29</v>
      </c>
      <c r="I551" s="80" t="s">
        <v>7</v>
      </c>
      <c r="J551" s="80"/>
      <c r="K551" s="80" t="s">
        <v>30</v>
      </c>
      <c r="L551" s="80"/>
      <c r="M551" s="80" t="s">
        <v>523</v>
      </c>
      <c r="N551" s="80" t="s">
        <v>456</v>
      </c>
      <c r="O551" s="37">
        <v>7890</v>
      </c>
      <c r="P551" s="37">
        <v>2454</v>
      </c>
      <c r="Q551" s="37">
        <v>2400</v>
      </c>
      <c r="R551" s="37"/>
      <c r="S551" s="37">
        <v>3696</v>
      </c>
      <c r="T551" s="37">
        <v>2600</v>
      </c>
      <c r="U551" s="37">
        <v>10062</v>
      </c>
      <c r="V551" s="37">
        <v>1180</v>
      </c>
      <c r="W551" s="37">
        <v>5670</v>
      </c>
      <c r="X551" s="37">
        <v>3030</v>
      </c>
      <c r="Y551" s="37"/>
      <c r="Z551" s="37">
        <v>18</v>
      </c>
      <c r="AA551" s="37" t="s">
        <v>2611</v>
      </c>
      <c r="AB551" s="37">
        <v>16000</v>
      </c>
      <c r="AC551" s="37">
        <v>6865</v>
      </c>
      <c r="AD551" s="37"/>
      <c r="AE551" s="37"/>
      <c r="AF551" s="37"/>
      <c r="AG551" s="37"/>
      <c r="AH551" s="37">
        <v>46.4</v>
      </c>
      <c r="AI551" s="37" t="s">
        <v>2875</v>
      </c>
      <c r="AJ551" s="37" t="s">
        <v>2873</v>
      </c>
      <c r="AK551" s="37" t="s">
        <v>2720</v>
      </c>
      <c r="AL551" s="37" t="s">
        <v>2730</v>
      </c>
      <c r="AM551" s="37" t="s">
        <v>2947</v>
      </c>
      <c r="AN551" s="37" t="s">
        <v>2919</v>
      </c>
      <c r="AO551" s="37" t="s">
        <v>3173</v>
      </c>
      <c r="AP551" s="37" t="s">
        <v>3099</v>
      </c>
      <c r="AQ551" s="37" t="s">
        <v>2783</v>
      </c>
      <c r="AR551" s="37" t="s">
        <v>2803</v>
      </c>
      <c r="AS551" s="37" t="s">
        <v>2596</v>
      </c>
      <c r="AT551" s="37" t="s">
        <v>2578</v>
      </c>
      <c r="AU551" s="84" t="s">
        <v>3254</v>
      </c>
      <c r="AV551" s="84" t="s">
        <v>3187</v>
      </c>
      <c r="AW551" s="84" t="s">
        <v>3180</v>
      </c>
      <c r="AX551" s="84" t="s">
        <v>3184</v>
      </c>
      <c r="AY551" s="80"/>
      <c r="AZ551" s="80"/>
      <c r="BA551" s="80"/>
      <c r="BB551" s="80"/>
      <c r="BC551" s="80"/>
      <c r="BD551" s="80"/>
      <c r="BE551" s="80"/>
      <c r="BF551" s="80"/>
      <c r="BG551" s="80"/>
      <c r="BH551" s="80"/>
      <c r="BI551" s="80"/>
      <c r="BJ551" s="80"/>
      <c r="BK551" s="80"/>
      <c r="BL551" s="80"/>
      <c r="BM551" s="80"/>
      <c r="BN551" s="80"/>
      <c r="BO551" s="80"/>
      <c r="BP551" s="80"/>
      <c r="BQ551" s="80"/>
      <c r="BR551" s="80"/>
      <c r="BS551" s="80"/>
      <c r="BT551" s="80"/>
    </row>
    <row r="552" spans="1:72" s="81" customFormat="1" ht="25.15" customHeight="1" outlineLevel="1" x14ac:dyDescent="0.25">
      <c r="A552" s="9" t="s">
        <v>202</v>
      </c>
      <c r="B552" s="86" t="s">
        <v>492</v>
      </c>
      <c r="C552" s="80"/>
      <c r="D552" s="80"/>
      <c r="E552" s="80" t="s">
        <v>33</v>
      </c>
      <c r="F552" s="80" t="s">
        <v>37</v>
      </c>
      <c r="G552" s="80" t="s">
        <v>43</v>
      </c>
      <c r="H552" s="80" t="s">
        <v>29</v>
      </c>
      <c r="I552" s="80" t="s">
        <v>7</v>
      </c>
      <c r="J552" s="80"/>
      <c r="K552" s="80" t="s">
        <v>30</v>
      </c>
      <c r="L552" s="80"/>
      <c r="M552" s="80" t="s">
        <v>524</v>
      </c>
      <c r="N552" s="80" t="s">
        <v>456</v>
      </c>
      <c r="O552" s="37">
        <v>9090</v>
      </c>
      <c r="P552" s="37">
        <v>2454</v>
      </c>
      <c r="Q552" s="37">
        <v>2400</v>
      </c>
      <c r="R552" s="37"/>
      <c r="S552" s="37">
        <v>3862</v>
      </c>
      <c r="T552" s="37">
        <v>2600</v>
      </c>
      <c r="U552" s="37">
        <v>11216</v>
      </c>
      <c r="V552" s="37">
        <v>1280</v>
      </c>
      <c r="W552" s="37">
        <v>6570</v>
      </c>
      <c r="X552" s="37">
        <v>3284</v>
      </c>
      <c r="Y552" s="37"/>
      <c r="Z552" s="37">
        <v>21</v>
      </c>
      <c r="AA552" s="37" t="s">
        <v>2611</v>
      </c>
      <c r="AB552" s="37">
        <v>19000</v>
      </c>
      <c r="AC552" s="37">
        <v>8380</v>
      </c>
      <c r="AD552" s="37"/>
      <c r="AE552" s="37"/>
      <c r="AF552" s="37"/>
      <c r="AG552" s="37"/>
      <c r="AH552" s="37">
        <v>53.4</v>
      </c>
      <c r="AI552" s="37" t="s">
        <v>2875</v>
      </c>
      <c r="AJ552" s="37" t="s">
        <v>2873</v>
      </c>
      <c r="AK552" s="37" t="s">
        <v>2721</v>
      </c>
      <c r="AL552" s="37" t="s">
        <v>2722</v>
      </c>
      <c r="AM552" s="37" t="s">
        <v>2948</v>
      </c>
      <c r="AN552" s="37" t="s">
        <v>2908</v>
      </c>
      <c r="AO552" s="37" t="s">
        <v>3170</v>
      </c>
      <c r="AP552" s="37" t="s">
        <v>3100</v>
      </c>
      <c r="AQ552" s="37" t="s">
        <v>2776</v>
      </c>
      <c r="AR552" s="37" t="s">
        <v>2800</v>
      </c>
      <c r="AS552" s="37" t="s">
        <v>2596</v>
      </c>
      <c r="AT552" s="37" t="s">
        <v>2578</v>
      </c>
      <c r="AU552" s="84" t="s">
        <v>3255</v>
      </c>
      <c r="AV552" s="84" t="s">
        <v>3187</v>
      </c>
      <c r="AW552" s="84" t="s">
        <v>3180</v>
      </c>
      <c r="AX552" s="84" t="s">
        <v>3184</v>
      </c>
      <c r="AY552" s="80"/>
      <c r="AZ552" s="80"/>
      <c r="BA552" s="80"/>
      <c r="BB552" s="80"/>
      <c r="BC552" s="80"/>
      <c r="BD552" s="80"/>
      <c r="BE552" s="80"/>
      <c r="BF552" s="80"/>
      <c r="BG552" s="80"/>
      <c r="BH552" s="80"/>
      <c r="BI552" s="80"/>
      <c r="BJ552" s="80"/>
      <c r="BK552" s="80"/>
      <c r="BL552" s="80"/>
      <c r="BM552" s="80"/>
      <c r="BN552" s="80"/>
      <c r="BO552" s="80"/>
      <c r="BP552" s="80"/>
      <c r="BQ552" s="80"/>
      <c r="BR552" s="80"/>
      <c r="BS552" s="80"/>
      <c r="BT552" s="80"/>
    </row>
    <row r="553" spans="1:72" s="81" customFormat="1" ht="25.15" customHeight="1" outlineLevel="1" x14ac:dyDescent="0.25">
      <c r="A553" s="9" t="s">
        <v>202</v>
      </c>
      <c r="B553" s="86" t="s">
        <v>492</v>
      </c>
      <c r="C553" s="80"/>
      <c r="D553" s="80"/>
      <c r="E553" s="80" t="s">
        <v>33</v>
      </c>
      <c r="F553" s="80" t="s">
        <v>37</v>
      </c>
      <c r="G553" s="80" t="s">
        <v>43</v>
      </c>
      <c r="H553" s="80" t="s">
        <v>29</v>
      </c>
      <c r="I553" s="80" t="s">
        <v>7</v>
      </c>
      <c r="J553" s="80"/>
      <c r="K553" s="80" t="s">
        <v>30</v>
      </c>
      <c r="L553" s="80"/>
      <c r="M553" s="80" t="s">
        <v>1122</v>
      </c>
      <c r="N553" s="80" t="s">
        <v>456</v>
      </c>
      <c r="O553" s="37">
        <v>9090</v>
      </c>
      <c r="P553" s="37">
        <v>2454</v>
      </c>
      <c r="Q553" s="37">
        <v>2400</v>
      </c>
      <c r="R553" s="37"/>
      <c r="S553" s="37">
        <v>3862</v>
      </c>
      <c r="T553" s="37">
        <v>2600</v>
      </c>
      <c r="U553" s="37">
        <v>11216</v>
      </c>
      <c r="V553" s="37">
        <v>1291</v>
      </c>
      <c r="W553" s="37">
        <v>6570</v>
      </c>
      <c r="X553" s="37">
        <v>3284</v>
      </c>
      <c r="Y553" s="37"/>
      <c r="Z553" s="37">
        <v>21</v>
      </c>
      <c r="AA553" s="37" t="s">
        <v>2611</v>
      </c>
      <c r="AB553" s="37">
        <v>19000</v>
      </c>
      <c r="AC553" s="37">
        <v>8145</v>
      </c>
      <c r="AD553" s="37"/>
      <c r="AE553" s="37"/>
      <c r="AF553" s="37"/>
      <c r="AG553" s="37"/>
      <c r="AH553" s="37">
        <v>53.4</v>
      </c>
      <c r="AI553" s="37" t="s">
        <v>2875</v>
      </c>
      <c r="AJ553" s="37" t="s">
        <v>2873</v>
      </c>
      <c r="AK553" s="37" t="s">
        <v>2721</v>
      </c>
      <c r="AL553" s="37" t="s">
        <v>2722</v>
      </c>
      <c r="AM553" s="37" t="s">
        <v>2948</v>
      </c>
      <c r="AN553" s="37" t="s">
        <v>2908</v>
      </c>
      <c r="AO553" s="37" t="s">
        <v>3104</v>
      </c>
      <c r="AP553" s="37" t="s">
        <v>3104</v>
      </c>
      <c r="AQ553" s="37" t="s">
        <v>2776</v>
      </c>
      <c r="AR553" s="37" t="s">
        <v>2800</v>
      </c>
      <c r="AS553" s="37" t="s">
        <v>2596</v>
      </c>
      <c r="AT553" s="37" t="s">
        <v>2578</v>
      </c>
      <c r="AU553" s="84" t="s">
        <v>3256</v>
      </c>
      <c r="AV553" s="84" t="s">
        <v>3187</v>
      </c>
      <c r="AW553" s="84" t="s">
        <v>3180</v>
      </c>
      <c r="AX553" s="84" t="s">
        <v>3184</v>
      </c>
      <c r="AY553" s="80"/>
      <c r="AZ553" s="80"/>
      <c r="BA553" s="80"/>
      <c r="BB553" s="80"/>
      <c r="BC553" s="80"/>
      <c r="BD553" s="80"/>
      <c r="BE553" s="80"/>
      <c r="BF553" s="80"/>
      <c r="BG553" s="80"/>
      <c r="BH553" s="80"/>
      <c r="BI553" s="80"/>
      <c r="BJ553" s="80"/>
      <c r="BK553" s="80"/>
      <c r="BL553" s="80"/>
      <c r="BM553" s="80"/>
      <c r="BN553" s="80"/>
      <c r="BO553" s="80"/>
      <c r="BP553" s="80"/>
      <c r="BQ553" s="80"/>
      <c r="BR553" s="80"/>
      <c r="BS553" s="80"/>
      <c r="BT553" s="80"/>
    </row>
    <row r="554" spans="1:72" customFormat="1" ht="25.15" customHeight="1" outlineLevel="1" x14ac:dyDescent="0.25">
      <c r="A554" s="9" t="s">
        <v>202</v>
      </c>
      <c r="B554" s="86" t="s">
        <v>492</v>
      </c>
      <c r="C554" s="80"/>
      <c r="D554" s="80"/>
      <c r="E554" s="80" t="s">
        <v>469</v>
      </c>
      <c r="F554" s="80" t="s">
        <v>50</v>
      </c>
      <c r="G554" s="80" t="s">
        <v>38</v>
      </c>
      <c r="H554" s="80" t="s">
        <v>29</v>
      </c>
      <c r="I554" s="80" t="s">
        <v>7</v>
      </c>
      <c r="J554" s="80"/>
      <c r="K554" s="80" t="s">
        <v>30</v>
      </c>
      <c r="L554" s="80"/>
      <c r="M554" s="80" t="s">
        <v>525</v>
      </c>
      <c r="N554" s="80" t="s">
        <v>456</v>
      </c>
      <c r="O554" s="37">
        <v>5490</v>
      </c>
      <c r="P554" s="37">
        <v>2454</v>
      </c>
      <c r="Q554" s="37">
        <v>2400</v>
      </c>
      <c r="R554" s="37"/>
      <c r="S554" s="37">
        <v>3642</v>
      </c>
      <c r="T554" s="37">
        <v>2600</v>
      </c>
      <c r="U554" s="37">
        <v>7625</v>
      </c>
      <c r="V554" s="37">
        <v>1150</v>
      </c>
      <c r="W554" s="37">
        <v>3800</v>
      </c>
      <c r="X554" s="37">
        <v>2500</v>
      </c>
      <c r="Y554" s="37"/>
      <c r="Z554" s="37">
        <v>12</v>
      </c>
      <c r="AA554" s="37" t="s">
        <v>2615</v>
      </c>
      <c r="AB554" s="37">
        <v>11990</v>
      </c>
      <c r="AC554" s="37">
        <v>4220</v>
      </c>
      <c r="AD554" s="37"/>
      <c r="AE554" s="37"/>
      <c r="AF554" s="37"/>
      <c r="AG554" s="37"/>
      <c r="AH554" s="37">
        <v>32.200000000000003</v>
      </c>
      <c r="AI554" s="37" t="s">
        <v>2877</v>
      </c>
      <c r="AJ554" s="37" t="s">
        <v>2869</v>
      </c>
      <c r="AK554" s="37" t="s">
        <v>2724</v>
      </c>
      <c r="AL554" s="37" t="s">
        <v>2726</v>
      </c>
      <c r="AM554" s="37" t="s">
        <v>2956</v>
      </c>
      <c r="AN554" s="37" t="s">
        <v>2918</v>
      </c>
      <c r="AO554" s="37" t="s">
        <v>3173</v>
      </c>
      <c r="AP554" s="37" t="s">
        <v>3095</v>
      </c>
      <c r="AQ554" s="37" t="s">
        <v>2781</v>
      </c>
      <c r="AR554" s="37" t="s">
        <v>2802</v>
      </c>
      <c r="AS554" s="37" t="s">
        <v>2593</v>
      </c>
      <c r="AT554" s="37" t="s">
        <v>2581</v>
      </c>
      <c r="AU554" s="84" t="s">
        <v>3257</v>
      </c>
      <c r="AV554" s="84" t="s">
        <v>3187</v>
      </c>
      <c r="AW554" s="84" t="s">
        <v>3180</v>
      </c>
      <c r="AX554" s="84" t="s">
        <v>3184</v>
      </c>
      <c r="AY554" s="80"/>
      <c r="AZ554" s="80"/>
      <c r="BA554" s="80"/>
      <c r="BB554" s="80"/>
      <c r="BC554" s="80"/>
      <c r="BD554" s="80"/>
      <c r="BE554" s="80"/>
      <c r="BF554" s="80"/>
      <c r="BG554" s="80"/>
      <c r="BH554" s="80"/>
      <c r="BI554" s="80"/>
      <c r="BJ554" s="80"/>
      <c r="BK554" s="80"/>
      <c r="BL554" s="80"/>
      <c r="BM554" s="80"/>
      <c r="BN554" s="80"/>
      <c r="BO554" s="80"/>
      <c r="BP554" s="80"/>
      <c r="BQ554" s="80"/>
      <c r="BR554" s="80"/>
      <c r="BS554" s="80"/>
      <c r="BT554" s="80"/>
    </row>
    <row r="555" spans="1:72" s="81" customFormat="1" ht="25.15" customHeight="1" outlineLevel="1" x14ac:dyDescent="0.25">
      <c r="A555" s="9" t="s">
        <v>202</v>
      </c>
      <c r="B555" s="86" t="s">
        <v>492</v>
      </c>
      <c r="C555" s="80"/>
      <c r="D555" s="80"/>
      <c r="E555" s="80" t="s">
        <v>469</v>
      </c>
      <c r="F555" s="80" t="s">
        <v>50</v>
      </c>
      <c r="G555" s="80" t="s">
        <v>4360</v>
      </c>
      <c r="H555" s="80" t="s">
        <v>29</v>
      </c>
      <c r="I555" s="80" t="s">
        <v>7</v>
      </c>
      <c r="J555" s="80"/>
      <c r="K555" s="80" t="s">
        <v>30</v>
      </c>
      <c r="L555" s="80"/>
      <c r="M555" s="80" t="s">
        <v>526</v>
      </c>
      <c r="N555" s="80" t="s">
        <v>456</v>
      </c>
      <c r="O555" s="37">
        <v>6790</v>
      </c>
      <c r="P555" s="37">
        <v>2454</v>
      </c>
      <c r="Q555" s="37">
        <v>2400</v>
      </c>
      <c r="R555" s="37"/>
      <c r="S555" s="37">
        <v>3696</v>
      </c>
      <c r="T555" s="37">
        <v>2600</v>
      </c>
      <c r="U555" s="37">
        <v>8975</v>
      </c>
      <c r="V555" s="37">
        <v>1180</v>
      </c>
      <c r="W555" s="37">
        <v>5000</v>
      </c>
      <c r="X555" s="37">
        <v>2650</v>
      </c>
      <c r="Y555" s="37"/>
      <c r="Z555" s="37">
        <v>15</v>
      </c>
      <c r="AA555" s="37" t="s">
        <v>2615</v>
      </c>
      <c r="AB555" s="37">
        <v>16000</v>
      </c>
      <c r="AC555" s="37">
        <v>7290</v>
      </c>
      <c r="AD555" s="37"/>
      <c r="AE555" s="37"/>
      <c r="AF555" s="37"/>
      <c r="AG555" s="37"/>
      <c r="AH555" s="37">
        <v>40</v>
      </c>
      <c r="AI555" s="37" t="s">
        <v>2877</v>
      </c>
      <c r="AJ555" s="37" t="s">
        <v>2869</v>
      </c>
      <c r="AK555" s="37" t="s">
        <v>2724</v>
      </c>
      <c r="AL555" s="37" t="s">
        <v>2726</v>
      </c>
      <c r="AM555" s="37" t="s">
        <v>2944</v>
      </c>
      <c r="AN555" s="37" t="s">
        <v>2918</v>
      </c>
      <c r="AO555" s="37" t="s">
        <v>3173</v>
      </c>
      <c r="AP555" s="37" t="s">
        <v>3098</v>
      </c>
      <c r="AQ555" s="37" t="s">
        <v>2782</v>
      </c>
      <c r="AR555" s="37" t="s">
        <v>2802</v>
      </c>
      <c r="AS555" s="37" t="s">
        <v>2596</v>
      </c>
      <c r="AT555" s="37" t="s">
        <v>2581</v>
      </c>
      <c r="AU555" s="84" t="s">
        <v>3258</v>
      </c>
      <c r="AV555" s="84" t="s">
        <v>3187</v>
      </c>
      <c r="AW555" s="84" t="s">
        <v>3180</v>
      </c>
      <c r="AX555" s="84" t="s">
        <v>3184</v>
      </c>
      <c r="AY555" s="80"/>
      <c r="AZ555" s="80"/>
      <c r="BA555" s="80"/>
      <c r="BB555" s="80"/>
      <c r="BC555" s="80"/>
      <c r="BD555" s="80"/>
      <c r="BE555" s="80"/>
      <c r="BF555" s="80"/>
      <c r="BG555" s="80"/>
      <c r="BH555" s="80"/>
      <c r="BI555" s="80"/>
      <c r="BJ555" s="80"/>
      <c r="BK555" s="80"/>
      <c r="BL555" s="80"/>
      <c r="BM555" s="80"/>
      <c r="BN555" s="80"/>
      <c r="BO555" s="80"/>
      <c r="BP555" s="80"/>
      <c r="BQ555" s="80"/>
      <c r="BR555" s="80"/>
      <c r="BS555" s="80"/>
      <c r="BT555" s="80"/>
    </row>
    <row r="556" spans="1:72" s="81" customFormat="1" ht="25.15" customHeight="1" outlineLevel="1" x14ac:dyDescent="0.25">
      <c r="A556" s="9" t="s">
        <v>202</v>
      </c>
      <c r="B556" s="86" t="s">
        <v>492</v>
      </c>
      <c r="C556" s="80"/>
      <c r="D556" s="80"/>
      <c r="E556" s="80" t="s">
        <v>469</v>
      </c>
      <c r="F556" s="80" t="s">
        <v>50</v>
      </c>
      <c r="G556" s="80" t="s">
        <v>42</v>
      </c>
      <c r="H556" s="80" t="s">
        <v>29</v>
      </c>
      <c r="I556" s="80" t="s">
        <v>7</v>
      </c>
      <c r="J556" s="80"/>
      <c r="K556" s="80" t="s">
        <v>30</v>
      </c>
      <c r="L556" s="80"/>
      <c r="M556" s="80" t="s">
        <v>527</v>
      </c>
      <c r="N556" s="80" t="s">
        <v>456</v>
      </c>
      <c r="O556" s="37">
        <v>7890</v>
      </c>
      <c r="P556" s="37">
        <v>2454</v>
      </c>
      <c r="Q556" s="37">
        <v>2400</v>
      </c>
      <c r="R556" s="37"/>
      <c r="S556" s="37">
        <v>3696</v>
      </c>
      <c r="T556" s="37">
        <v>2600</v>
      </c>
      <c r="U556" s="37">
        <v>10025</v>
      </c>
      <c r="V556" s="37">
        <v>1180</v>
      </c>
      <c r="W556" s="37">
        <v>5600</v>
      </c>
      <c r="X556" s="37">
        <v>3100</v>
      </c>
      <c r="Y556" s="37"/>
      <c r="Z556" s="37">
        <v>18</v>
      </c>
      <c r="AA556" s="37" t="s">
        <v>2615</v>
      </c>
      <c r="AB556" s="37">
        <v>16000</v>
      </c>
      <c r="AC556" s="37">
        <v>6940</v>
      </c>
      <c r="AD556" s="37"/>
      <c r="AE556" s="37"/>
      <c r="AF556" s="37"/>
      <c r="AG556" s="37"/>
      <c r="AH556" s="37">
        <v>46.3</v>
      </c>
      <c r="AI556" s="37" t="s">
        <v>2877</v>
      </c>
      <c r="AJ556" s="37" t="s">
        <v>2869</v>
      </c>
      <c r="AK556" s="37" t="s">
        <v>2724</v>
      </c>
      <c r="AL556" s="37" t="s">
        <v>2726</v>
      </c>
      <c r="AM556" s="37" t="s">
        <v>2944</v>
      </c>
      <c r="AN556" s="37" t="s">
        <v>2918</v>
      </c>
      <c r="AO556" s="37" t="s">
        <v>3173</v>
      </c>
      <c r="AP556" s="37" t="s">
        <v>3099</v>
      </c>
      <c r="AQ556" s="37" t="s">
        <v>2783</v>
      </c>
      <c r="AR556" s="37" t="s">
        <v>2803</v>
      </c>
      <c r="AS556" s="37" t="s">
        <v>2596</v>
      </c>
      <c r="AT556" s="37" t="s">
        <v>2581</v>
      </c>
      <c r="AU556" s="84" t="s">
        <v>3259</v>
      </c>
      <c r="AV556" s="84" t="s">
        <v>3187</v>
      </c>
      <c r="AW556" s="84" t="s">
        <v>3180</v>
      </c>
      <c r="AX556" s="84" t="s">
        <v>3184</v>
      </c>
      <c r="AY556" s="80"/>
      <c r="AZ556" s="80"/>
      <c r="BA556" s="80"/>
      <c r="BB556" s="80"/>
      <c r="BC556" s="80"/>
      <c r="BD556" s="80"/>
      <c r="BE556" s="80"/>
      <c r="BF556" s="80"/>
      <c r="BG556" s="80"/>
      <c r="BH556" s="80"/>
      <c r="BI556" s="80"/>
      <c r="BJ556" s="80"/>
      <c r="BK556" s="80"/>
      <c r="BL556" s="80"/>
      <c r="BM556" s="80"/>
      <c r="BN556" s="80"/>
      <c r="BO556" s="80"/>
      <c r="BP556" s="80"/>
      <c r="BQ556" s="80"/>
      <c r="BR556" s="80"/>
      <c r="BS556" s="80"/>
      <c r="BT556" s="80"/>
    </row>
    <row r="557" spans="1:72" s="81" customFormat="1" ht="25.15" customHeight="1" outlineLevel="1" x14ac:dyDescent="0.25">
      <c r="A557" s="9" t="s">
        <v>202</v>
      </c>
      <c r="B557" s="86" t="s">
        <v>492</v>
      </c>
      <c r="C557" s="80"/>
      <c r="D557" s="80"/>
      <c r="E557" s="80" t="s">
        <v>469</v>
      </c>
      <c r="F557" s="80" t="s">
        <v>50</v>
      </c>
      <c r="G557" s="80" t="s">
        <v>43</v>
      </c>
      <c r="H557" s="80" t="s">
        <v>29</v>
      </c>
      <c r="I557" s="80" t="s">
        <v>7</v>
      </c>
      <c r="J557" s="80"/>
      <c r="K557" s="80" t="s">
        <v>30</v>
      </c>
      <c r="L557" s="80"/>
      <c r="M557" s="80" t="s">
        <v>2616</v>
      </c>
      <c r="N557" s="80" t="s">
        <v>456</v>
      </c>
      <c r="O557" s="37">
        <v>9090</v>
      </c>
      <c r="P557" s="37">
        <v>2454</v>
      </c>
      <c r="Q557" s="37">
        <v>2400</v>
      </c>
      <c r="R557" s="37"/>
      <c r="S557" s="37">
        <v>3856</v>
      </c>
      <c r="T557" s="37">
        <v>2600</v>
      </c>
      <c r="U557" s="37">
        <v>11320</v>
      </c>
      <c r="V557" s="37">
        <v>1340</v>
      </c>
      <c r="W557" s="37">
        <v>6450</v>
      </c>
      <c r="X557" s="37">
        <v>3450</v>
      </c>
      <c r="Y557" s="37"/>
      <c r="Z557" s="37">
        <v>21</v>
      </c>
      <c r="AA557" s="37" t="s">
        <v>2614</v>
      </c>
      <c r="AB557" s="37">
        <v>19000</v>
      </c>
      <c r="AC557" s="37">
        <v>8115</v>
      </c>
      <c r="AD557" s="37"/>
      <c r="AE557" s="37"/>
      <c r="AF557" s="37"/>
      <c r="AG557" s="37"/>
      <c r="AH557" s="37">
        <v>53.4</v>
      </c>
      <c r="AI557" s="37" t="s">
        <v>2877</v>
      </c>
      <c r="AJ557" s="37" t="s">
        <v>2869</v>
      </c>
      <c r="AK557" s="37" t="s">
        <v>2725</v>
      </c>
      <c r="AL557" s="37" t="s">
        <v>2727</v>
      </c>
      <c r="AM557" s="37" t="s">
        <v>2945</v>
      </c>
      <c r="AN557" s="37" t="s">
        <v>2907</v>
      </c>
      <c r="AO557" s="37" t="s">
        <v>3170</v>
      </c>
      <c r="AP557" s="37" t="s">
        <v>3100</v>
      </c>
      <c r="AQ557" s="37" t="s">
        <v>2776</v>
      </c>
      <c r="AR557" s="37" t="s">
        <v>2800</v>
      </c>
      <c r="AS557" s="37" t="s">
        <v>2596</v>
      </c>
      <c r="AT557" s="37" t="s">
        <v>2581</v>
      </c>
      <c r="AU557" s="84" t="s">
        <v>3260</v>
      </c>
      <c r="AV557" s="84" t="s">
        <v>3187</v>
      </c>
      <c r="AW557" s="84" t="s">
        <v>3180</v>
      </c>
      <c r="AX557" s="84" t="s">
        <v>3184</v>
      </c>
      <c r="AY557" s="80"/>
      <c r="AZ557" s="80"/>
      <c r="BA557" s="80"/>
      <c r="BB557" s="80"/>
      <c r="BC557" s="80"/>
      <c r="BD557" s="80"/>
      <c r="BE557" s="80"/>
      <c r="BF557" s="80"/>
      <c r="BG557" s="80"/>
      <c r="BH557" s="80"/>
      <c r="BI557" s="80"/>
      <c r="BJ557" s="80"/>
      <c r="BK557" s="80"/>
      <c r="BL557" s="80"/>
      <c r="BM557" s="80"/>
      <c r="BN557" s="80"/>
      <c r="BO557" s="80"/>
      <c r="BP557" s="80"/>
      <c r="BQ557" s="80"/>
      <c r="BR557" s="80"/>
      <c r="BS557" s="80"/>
      <c r="BT557" s="80"/>
    </row>
    <row r="558" spans="1:72" s="81" customFormat="1" ht="25.15" customHeight="1" outlineLevel="1" x14ac:dyDescent="0.25">
      <c r="A558" s="9" t="s">
        <v>202</v>
      </c>
      <c r="B558" s="86" t="s">
        <v>492</v>
      </c>
      <c r="C558" s="80"/>
      <c r="D558" s="80"/>
      <c r="E558" s="80" t="s">
        <v>469</v>
      </c>
      <c r="F558" s="80" t="s">
        <v>50</v>
      </c>
      <c r="G558" s="80" t="s">
        <v>43</v>
      </c>
      <c r="H558" s="80" t="s">
        <v>29</v>
      </c>
      <c r="I558" s="80" t="s">
        <v>7</v>
      </c>
      <c r="J558" s="80"/>
      <c r="K558" s="80" t="s">
        <v>30</v>
      </c>
      <c r="L558" s="80"/>
      <c r="M558" s="80" t="s">
        <v>2617</v>
      </c>
      <c r="N558" s="80" t="s">
        <v>456</v>
      </c>
      <c r="O558" s="37">
        <v>9090</v>
      </c>
      <c r="P558" s="37">
        <v>2454</v>
      </c>
      <c r="Q558" s="37">
        <v>2400</v>
      </c>
      <c r="R558" s="37"/>
      <c r="S558" s="37">
        <v>3867</v>
      </c>
      <c r="T558" s="37">
        <v>2600</v>
      </c>
      <c r="U558" s="37">
        <v>11320</v>
      </c>
      <c r="V558" s="37">
        <v>1351</v>
      </c>
      <c r="W558" s="37">
        <v>6450</v>
      </c>
      <c r="X558" s="37">
        <v>3450</v>
      </c>
      <c r="Y558" s="37"/>
      <c r="Z558" s="37">
        <v>42</v>
      </c>
      <c r="AA558" s="37" t="s">
        <v>2613</v>
      </c>
      <c r="AB558" s="37">
        <v>19000</v>
      </c>
      <c r="AC558" s="37">
        <v>7885</v>
      </c>
      <c r="AD558" s="37"/>
      <c r="AE558" s="37"/>
      <c r="AF558" s="37"/>
      <c r="AG558" s="37"/>
      <c r="AH558" s="37">
        <v>53.4</v>
      </c>
      <c r="AI558" s="37" t="s">
        <v>2877</v>
      </c>
      <c r="AJ558" s="37" t="s">
        <v>2869</v>
      </c>
      <c r="AK558" s="37" t="s">
        <v>2725</v>
      </c>
      <c r="AL558" s="37" t="s">
        <v>2727</v>
      </c>
      <c r="AM558" s="37" t="s">
        <v>2945</v>
      </c>
      <c r="AN558" s="37" t="s">
        <v>2907</v>
      </c>
      <c r="AO558" s="37" t="s">
        <v>3104</v>
      </c>
      <c r="AP558" s="37" t="s">
        <v>3104</v>
      </c>
      <c r="AQ558" s="37" t="s">
        <v>2776</v>
      </c>
      <c r="AR558" s="37" t="s">
        <v>2800</v>
      </c>
      <c r="AS558" s="37" t="s">
        <v>2596</v>
      </c>
      <c r="AT558" s="37" t="s">
        <v>2581</v>
      </c>
      <c r="AU558" s="84" t="s">
        <v>3261</v>
      </c>
      <c r="AV558" s="84" t="s">
        <v>3187</v>
      </c>
      <c r="AW558" s="84" t="s">
        <v>3180</v>
      </c>
      <c r="AX558" s="84" t="s">
        <v>3184</v>
      </c>
      <c r="AY558" s="80"/>
      <c r="AZ558" s="80"/>
      <c r="BA558" s="80"/>
      <c r="BB558" s="80"/>
      <c r="BC558" s="80"/>
      <c r="BD558" s="80"/>
      <c r="BE558" s="80"/>
      <c r="BF558" s="80"/>
      <c r="BG558" s="80"/>
      <c r="BH558" s="80"/>
      <c r="BI558" s="80"/>
      <c r="BJ558" s="80"/>
      <c r="BK558" s="80"/>
      <c r="BL558" s="80"/>
      <c r="BM558" s="80"/>
      <c r="BN558" s="80"/>
      <c r="BO558" s="80"/>
      <c r="BP558" s="80"/>
      <c r="BQ558" s="80"/>
      <c r="BR558" s="80"/>
      <c r="BS558" s="80"/>
      <c r="BT558" s="80"/>
    </row>
    <row r="559" spans="1:72" s="81" customFormat="1" ht="25.15" customHeight="1" outlineLevel="1" x14ac:dyDescent="0.25">
      <c r="A559" s="9" t="s">
        <v>202</v>
      </c>
      <c r="B559" s="86" t="s">
        <v>492</v>
      </c>
      <c r="C559" s="80"/>
      <c r="D559" s="80"/>
      <c r="E559" s="80" t="s">
        <v>469</v>
      </c>
      <c r="F559" s="80" t="s">
        <v>478</v>
      </c>
      <c r="G559" s="80" t="s">
        <v>45</v>
      </c>
      <c r="H559" s="80"/>
      <c r="I559" s="80"/>
      <c r="J559" s="80"/>
      <c r="K559" s="80" t="s">
        <v>479</v>
      </c>
      <c r="L559" s="80"/>
      <c r="M559" s="80" t="s">
        <v>2630</v>
      </c>
      <c r="N559" s="80" t="s">
        <v>31</v>
      </c>
      <c r="O559" s="37"/>
      <c r="P559" s="37"/>
      <c r="Q559" s="37"/>
      <c r="R559" s="37"/>
      <c r="S559" s="37">
        <v>3924</v>
      </c>
      <c r="T559" s="37">
        <v>2534</v>
      </c>
      <c r="U559" s="37">
        <v>5990</v>
      </c>
      <c r="V559" s="37"/>
      <c r="W559" s="37">
        <v>3800</v>
      </c>
      <c r="X559" s="37">
        <v>825</v>
      </c>
      <c r="Y559" s="37"/>
      <c r="Z559" s="37"/>
      <c r="AA559" s="37" t="s">
        <v>480</v>
      </c>
      <c r="AB559" s="37">
        <v>19000</v>
      </c>
      <c r="AC559" s="37"/>
      <c r="AD559" s="37"/>
      <c r="AE559" s="37"/>
      <c r="AF559" s="37">
        <v>44000</v>
      </c>
      <c r="AG559" s="37"/>
      <c r="AH559" s="37"/>
      <c r="AI559" s="37" t="s">
        <v>2867</v>
      </c>
      <c r="AJ559" s="37" t="s">
        <v>2868</v>
      </c>
      <c r="AK559" s="37" t="s">
        <v>2714</v>
      </c>
      <c r="AL559" s="37" t="s">
        <v>2660</v>
      </c>
      <c r="AM559" s="37" t="s">
        <v>2922</v>
      </c>
      <c r="AN559" s="37" t="s">
        <v>2909</v>
      </c>
      <c r="AO559" s="80"/>
      <c r="AP559" s="80"/>
      <c r="AQ559" s="80"/>
      <c r="AR559" s="80"/>
      <c r="AS559" s="80"/>
      <c r="AT559" s="80"/>
      <c r="AU559" s="84" t="s">
        <v>3222</v>
      </c>
      <c r="AV559" s="84" t="s">
        <v>3187</v>
      </c>
      <c r="AW559" s="84" t="s">
        <v>3180</v>
      </c>
      <c r="AX559" s="84" t="s">
        <v>3184</v>
      </c>
      <c r="AY559" s="80"/>
      <c r="AZ559" s="80"/>
      <c r="BA559" s="80"/>
      <c r="BB559" s="80"/>
      <c r="BC559" s="80"/>
      <c r="BD559" s="80"/>
      <c r="BE559" s="80"/>
      <c r="BF559" s="80"/>
      <c r="BG559" s="80"/>
      <c r="BH559" s="80"/>
      <c r="BI559" s="80"/>
      <c r="BJ559" s="80"/>
      <c r="BK559" s="80"/>
      <c r="BL559" s="80"/>
      <c r="BM559" s="80"/>
      <c r="BN559" s="80"/>
      <c r="BO559" s="80"/>
      <c r="BP559" s="80"/>
      <c r="BQ559" s="80"/>
      <c r="BR559" s="80"/>
      <c r="BS559" s="80"/>
      <c r="BT559" s="80"/>
    </row>
    <row r="560" spans="1:72" s="81" customFormat="1" ht="25.15" customHeight="1" outlineLevel="1" x14ac:dyDescent="0.25">
      <c r="A560" s="9" t="s">
        <v>202</v>
      </c>
      <c r="B560" s="86" t="s">
        <v>492</v>
      </c>
      <c r="C560" s="80"/>
      <c r="D560" s="80"/>
      <c r="E560" s="80" t="s">
        <v>482</v>
      </c>
      <c r="F560" s="80" t="s">
        <v>483</v>
      </c>
      <c r="G560" s="80" t="s">
        <v>484</v>
      </c>
      <c r="H560" s="80" t="s">
        <v>29</v>
      </c>
      <c r="I560" s="80"/>
      <c r="J560" s="80"/>
      <c r="K560" s="80" t="s">
        <v>482</v>
      </c>
      <c r="L560" s="80"/>
      <c r="M560" s="80" t="s">
        <v>528</v>
      </c>
      <c r="N560" s="80" t="s">
        <v>31</v>
      </c>
      <c r="O560" s="37">
        <v>13389</v>
      </c>
      <c r="P560" s="37">
        <v>2453</v>
      </c>
      <c r="Q560" s="37">
        <v>2600</v>
      </c>
      <c r="R560" s="37"/>
      <c r="S560" s="37"/>
      <c r="T560" s="37"/>
      <c r="U560" s="37"/>
      <c r="V560" s="37"/>
      <c r="W560" s="37">
        <v>7450</v>
      </c>
      <c r="X560" s="37"/>
      <c r="Y560" s="37"/>
      <c r="Z560" s="37">
        <v>33</v>
      </c>
      <c r="AA560" s="37" t="s">
        <v>2603</v>
      </c>
      <c r="AB560" s="37">
        <v>38000</v>
      </c>
      <c r="AC560" s="37"/>
      <c r="AD560" s="37"/>
      <c r="AE560" s="37"/>
      <c r="AF560" s="37"/>
      <c r="AG560" s="37"/>
      <c r="AH560" s="37">
        <v>85</v>
      </c>
      <c r="AI560" s="80"/>
      <c r="AJ560" s="80"/>
      <c r="AK560" s="80"/>
      <c r="AL560" s="80"/>
      <c r="AM560" s="37" t="s">
        <v>2920</v>
      </c>
      <c r="AN560" s="37" t="s">
        <v>2902</v>
      </c>
      <c r="AO560" s="37" t="s">
        <v>3152</v>
      </c>
      <c r="AP560" s="37" t="s">
        <v>3151</v>
      </c>
      <c r="AQ560" s="37" t="s">
        <v>2789</v>
      </c>
      <c r="AR560" s="37" t="s">
        <v>2804</v>
      </c>
      <c r="AS560" s="80"/>
      <c r="AT560" s="80"/>
      <c r="AU560" s="84" t="s">
        <v>3262</v>
      </c>
      <c r="AV560" s="84" t="s">
        <v>3187</v>
      </c>
      <c r="AW560" s="84" t="s">
        <v>3180</v>
      </c>
      <c r="AX560" s="84" t="s">
        <v>3184</v>
      </c>
      <c r="AY560" s="80"/>
      <c r="AZ560" s="80"/>
      <c r="BA560" s="80"/>
      <c r="BB560" s="80"/>
      <c r="BC560" s="80"/>
      <c r="BD560" s="80"/>
      <c r="BE560" s="80"/>
      <c r="BF560" s="80"/>
      <c r="BG560" s="80"/>
      <c r="BH560" s="80"/>
      <c r="BI560" s="80"/>
      <c r="BJ560" s="80"/>
      <c r="BK560" s="80"/>
      <c r="BL560" s="80"/>
      <c r="BM560" s="80"/>
      <c r="BN560" s="80"/>
      <c r="BO560" s="80"/>
      <c r="BP560" s="80"/>
      <c r="BQ560" s="80"/>
      <c r="BR560" s="80"/>
      <c r="BS560" s="80"/>
      <c r="BT560" s="80"/>
    </row>
    <row r="561" spans="1:4762" s="81" customFormat="1" ht="25.15" customHeight="1" outlineLevel="1" x14ac:dyDescent="0.25">
      <c r="A561" s="9" t="s">
        <v>202</v>
      </c>
      <c r="B561" s="86" t="s">
        <v>492</v>
      </c>
      <c r="C561" s="80"/>
      <c r="D561" s="80"/>
      <c r="E561" s="80" t="s">
        <v>482</v>
      </c>
      <c r="F561" s="80" t="s">
        <v>483</v>
      </c>
      <c r="G561" s="80" t="s">
        <v>4361</v>
      </c>
      <c r="H561" s="80" t="s">
        <v>29</v>
      </c>
      <c r="I561" s="80"/>
      <c r="J561" s="80"/>
      <c r="K561" s="80" t="s">
        <v>482</v>
      </c>
      <c r="L561" s="80"/>
      <c r="M561" s="80" t="s">
        <v>1123</v>
      </c>
      <c r="N561" s="80" t="s">
        <v>31</v>
      </c>
      <c r="O561" s="37">
        <v>13389</v>
      </c>
      <c r="P561" s="37">
        <v>2453</v>
      </c>
      <c r="Q561" s="37">
        <v>2600</v>
      </c>
      <c r="R561" s="37"/>
      <c r="S561" s="37"/>
      <c r="T561" s="37"/>
      <c r="U561" s="37"/>
      <c r="V561" s="37"/>
      <c r="W561" s="37">
        <v>7450</v>
      </c>
      <c r="X561" s="37"/>
      <c r="Y561" s="37"/>
      <c r="Z561" s="37">
        <v>66</v>
      </c>
      <c r="AA561" s="37" t="s">
        <v>2604</v>
      </c>
      <c r="AB561" s="37">
        <v>38000</v>
      </c>
      <c r="AC561" s="37"/>
      <c r="AD561" s="37"/>
      <c r="AE561" s="37"/>
      <c r="AF561" s="37"/>
      <c r="AG561" s="37"/>
      <c r="AH561" s="37">
        <v>85</v>
      </c>
      <c r="AI561" s="80"/>
      <c r="AJ561" s="80"/>
      <c r="AK561" s="80"/>
      <c r="AL561" s="80"/>
      <c r="AM561" s="37" t="s">
        <v>2920</v>
      </c>
      <c r="AN561" s="37" t="s">
        <v>2902</v>
      </c>
      <c r="AO561" s="37" t="s">
        <v>3153</v>
      </c>
      <c r="AP561" s="37" t="s">
        <v>3150</v>
      </c>
      <c r="AQ561" s="37" t="s">
        <v>2789</v>
      </c>
      <c r="AR561" s="37" t="s">
        <v>2804</v>
      </c>
      <c r="AS561" s="80"/>
      <c r="AT561" s="80"/>
      <c r="AU561" s="84" t="s">
        <v>3263</v>
      </c>
      <c r="AV561" s="84" t="s">
        <v>3187</v>
      </c>
      <c r="AW561" s="84" t="s">
        <v>3180</v>
      </c>
      <c r="AX561" s="84" t="s">
        <v>3184</v>
      </c>
      <c r="AY561" s="80"/>
      <c r="AZ561" s="80"/>
      <c r="BA561" s="80"/>
      <c r="BB561" s="80"/>
      <c r="BC561" s="80"/>
      <c r="BD561" s="80"/>
      <c r="BE561" s="80"/>
      <c r="BF561" s="80"/>
      <c r="BG561" s="80"/>
      <c r="BH561" s="80"/>
      <c r="BI561" s="80"/>
      <c r="BJ561" s="80"/>
      <c r="BK561" s="80"/>
      <c r="BL561" s="80"/>
      <c r="BM561" s="80"/>
      <c r="BN561" s="80"/>
      <c r="BO561" s="80"/>
      <c r="BP561" s="80"/>
      <c r="BQ561" s="80"/>
      <c r="BR561" s="80"/>
      <c r="BS561" s="80"/>
      <c r="BT561" s="80"/>
    </row>
    <row r="562" spans="1:4762" s="81" customFormat="1" ht="25.15" customHeight="1" outlineLevel="1" x14ac:dyDescent="0.25">
      <c r="A562" s="9" t="s">
        <v>202</v>
      </c>
      <c r="B562" s="86" t="s">
        <v>492</v>
      </c>
      <c r="C562" s="80"/>
      <c r="D562" s="80"/>
      <c r="E562" s="80" t="s">
        <v>482</v>
      </c>
      <c r="F562" s="80" t="s">
        <v>483</v>
      </c>
      <c r="G562" s="80" t="s">
        <v>484</v>
      </c>
      <c r="H562" s="80" t="s">
        <v>29</v>
      </c>
      <c r="I562" s="80" t="s">
        <v>7</v>
      </c>
      <c r="J562" s="80"/>
      <c r="K562" s="80" t="s">
        <v>482</v>
      </c>
      <c r="L562" s="80"/>
      <c r="M562" s="80" t="s">
        <v>529</v>
      </c>
      <c r="N562" s="80" t="s">
        <v>456</v>
      </c>
      <c r="O562" s="37">
        <v>13389</v>
      </c>
      <c r="P562" s="37">
        <v>2453</v>
      </c>
      <c r="Q562" s="37">
        <v>2600</v>
      </c>
      <c r="R562" s="37"/>
      <c r="S562" s="37"/>
      <c r="T562" s="37"/>
      <c r="U562" s="37"/>
      <c r="V562" s="37"/>
      <c r="W562" s="37">
        <v>7450</v>
      </c>
      <c r="X562" s="37"/>
      <c r="Y562" s="37"/>
      <c r="Z562" s="37">
        <v>33</v>
      </c>
      <c r="AA562" s="37" t="s">
        <v>2605</v>
      </c>
      <c r="AB562" s="37">
        <v>38000</v>
      </c>
      <c r="AC562" s="37"/>
      <c r="AD562" s="37"/>
      <c r="AE562" s="37"/>
      <c r="AF562" s="37"/>
      <c r="AG562" s="37"/>
      <c r="AH562" s="37">
        <v>85</v>
      </c>
      <c r="AI562" s="80"/>
      <c r="AJ562" s="80"/>
      <c r="AK562" s="80"/>
      <c r="AL562" s="80"/>
      <c r="AM562" s="37" t="s">
        <v>2920</v>
      </c>
      <c r="AN562" s="37" t="s">
        <v>2902</v>
      </c>
      <c r="AO562" s="37" t="s">
        <v>3154</v>
      </c>
      <c r="AP562" s="37" t="s">
        <v>3171</v>
      </c>
      <c r="AQ562" s="37" t="s">
        <v>2790</v>
      </c>
      <c r="AR562" s="37" t="s">
        <v>2804</v>
      </c>
      <c r="AS562" s="37" t="s">
        <v>2595</v>
      </c>
      <c r="AT562" s="37" t="s">
        <v>2581</v>
      </c>
      <c r="AU562" s="84" t="s">
        <v>3264</v>
      </c>
      <c r="AV562" s="84" t="s">
        <v>3187</v>
      </c>
      <c r="AW562" s="84" t="s">
        <v>3180</v>
      </c>
      <c r="AX562" s="84" t="s">
        <v>3184</v>
      </c>
      <c r="AY562" s="80"/>
      <c r="AZ562" s="80"/>
      <c r="BA562" s="80"/>
      <c r="BB562" s="80"/>
      <c r="BC562" s="80"/>
      <c r="BD562" s="80"/>
      <c r="BE562" s="80"/>
      <c r="BF562" s="80"/>
      <c r="BG562" s="80"/>
      <c r="BH562" s="80"/>
      <c r="BI562" s="80"/>
      <c r="BJ562" s="80"/>
      <c r="BK562" s="80"/>
      <c r="BL562" s="80"/>
      <c r="BM562" s="80"/>
      <c r="BN562" s="80"/>
      <c r="BO562" s="80"/>
      <c r="BP562" s="80"/>
      <c r="BQ562" s="80"/>
      <c r="BR562" s="80"/>
      <c r="BS562" s="80"/>
      <c r="BT562" s="80"/>
    </row>
    <row r="563" spans="1:4762" s="81" customFormat="1" ht="25.15" customHeight="1" outlineLevel="1" x14ac:dyDescent="0.25">
      <c r="A563" s="9" t="s">
        <v>202</v>
      </c>
      <c r="B563" s="86" t="s">
        <v>492</v>
      </c>
      <c r="C563" s="80"/>
      <c r="D563" s="80"/>
      <c r="E563" s="80" t="s">
        <v>482</v>
      </c>
      <c r="F563" s="80" t="s">
        <v>483</v>
      </c>
      <c r="G563" s="80" t="s">
        <v>4361</v>
      </c>
      <c r="H563" s="80" t="s">
        <v>29</v>
      </c>
      <c r="I563" s="80" t="s">
        <v>7</v>
      </c>
      <c r="J563" s="80"/>
      <c r="K563" s="80" t="s">
        <v>482</v>
      </c>
      <c r="L563" s="80"/>
      <c r="M563" s="80" t="s">
        <v>1124</v>
      </c>
      <c r="N563" s="80" t="s">
        <v>456</v>
      </c>
      <c r="O563" s="37">
        <v>13389</v>
      </c>
      <c r="P563" s="37">
        <v>2453</v>
      </c>
      <c r="Q563" s="37">
        <v>2600</v>
      </c>
      <c r="R563" s="37"/>
      <c r="S563" s="37"/>
      <c r="T563" s="37"/>
      <c r="U563" s="37"/>
      <c r="V563" s="37"/>
      <c r="W563" s="37">
        <v>7450</v>
      </c>
      <c r="X563" s="37"/>
      <c r="Y563" s="37"/>
      <c r="Z563" s="37">
        <v>66</v>
      </c>
      <c r="AA563" s="37" t="s">
        <v>2606</v>
      </c>
      <c r="AB563" s="37">
        <v>38000</v>
      </c>
      <c r="AC563" s="37"/>
      <c r="AD563" s="37"/>
      <c r="AE563" s="37"/>
      <c r="AF563" s="37"/>
      <c r="AG563" s="37"/>
      <c r="AH563" s="37">
        <v>85</v>
      </c>
      <c r="AI563" s="80"/>
      <c r="AJ563" s="80"/>
      <c r="AK563" s="80"/>
      <c r="AL563" s="80"/>
      <c r="AM563" s="37" t="s">
        <v>2920</v>
      </c>
      <c r="AN563" s="37" t="s">
        <v>2902</v>
      </c>
      <c r="AO563" s="37" t="s">
        <v>3155</v>
      </c>
      <c r="AP563" s="37" t="s">
        <v>3172</v>
      </c>
      <c r="AQ563" s="37" t="s">
        <v>2790</v>
      </c>
      <c r="AR563" s="37" t="s">
        <v>2804</v>
      </c>
      <c r="AS563" s="37" t="s">
        <v>2595</v>
      </c>
      <c r="AT563" s="37" t="s">
        <v>2581</v>
      </c>
      <c r="AU563" s="84" t="s">
        <v>3265</v>
      </c>
      <c r="AV563" s="84" t="s">
        <v>3187</v>
      </c>
      <c r="AW563" s="84" t="s">
        <v>3180</v>
      </c>
      <c r="AX563" s="84" t="s">
        <v>3184</v>
      </c>
      <c r="AY563" s="80"/>
      <c r="AZ563" s="80"/>
      <c r="BA563" s="80"/>
      <c r="BB563" s="80"/>
      <c r="BC563" s="80"/>
      <c r="BD563" s="80"/>
      <c r="BE563" s="80"/>
      <c r="BF563" s="80"/>
      <c r="BG563" s="80"/>
      <c r="BH563" s="80"/>
      <c r="BI563" s="80"/>
      <c r="BJ563" s="80"/>
      <c r="BK563" s="80"/>
      <c r="BL563" s="80"/>
      <c r="BM563" s="80"/>
      <c r="BN563" s="80"/>
      <c r="BO563" s="80"/>
      <c r="BP563" s="80"/>
      <c r="BQ563" s="80"/>
      <c r="BR563" s="80"/>
      <c r="BS563" s="80"/>
      <c r="BT563" s="80"/>
    </row>
    <row r="564" spans="1:4762" s="93" customFormat="1" ht="25.15" customHeight="1" x14ac:dyDescent="0.25">
      <c r="A564" s="80" t="s">
        <v>202</v>
      </c>
      <c r="B564" s="80"/>
      <c r="C564" s="80"/>
      <c r="D564" s="89" t="s">
        <v>1758</v>
      </c>
      <c r="E564" s="90" t="s">
        <v>33</v>
      </c>
      <c r="F564" s="80" t="s">
        <v>34</v>
      </c>
      <c r="G564" s="80" t="s">
        <v>455</v>
      </c>
      <c r="H564" s="80" t="s">
        <v>998</v>
      </c>
      <c r="I564" s="80" t="s">
        <v>7</v>
      </c>
      <c r="J564" s="80"/>
      <c r="K564" s="90" t="s">
        <v>999</v>
      </c>
      <c r="L564" s="80"/>
      <c r="M564" s="80" t="s">
        <v>2636</v>
      </c>
      <c r="N564" s="83" t="s">
        <v>460</v>
      </c>
      <c r="O564" s="37">
        <v>4261</v>
      </c>
      <c r="P564" s="37">
        <v>2192</v>
      </c>
      <c r="Q564" s="37">
        <v>2110</v>
      </c>
      <c r="R564" s="37"/>
      <c r="S564" s="37">
        <v>3198</v>
      </c>
      <c r="T564" s="37">
        <v>2250</v>
      </c>
      <c r="U564" s="37">
        <v>7057</v>
      </c>
      <c r="V564" s="37">
        <v>1033</v>
      </c>
      <c r="W564" s="37">
        <v>4100</v>
      </c>
      <c r="X564" s="37">
        <v>1900</v>
      </c>
      <c r="Y564" s="37"/>
      <c r="Z564" s="37">
        <v>8</v>
      </c>
      <c r="AA564" s="37" t="s">
        <v>2639</v>
      </c>
      <c r="AB564" s="37">
        <v>7200</v>
      </c>
      <c r="AC564" s="37">
        <v>3187</v>
      </c>
      <c r="AD564" s="37"/>
      <c r="AE564" s="37"/>
      <c r="AF564" s="37"/>
      <c r="AG564" s="37"/>
      <c r="AH564" s="37">
        <v>19.7</v>
      </c>
      <c r="AI564" s="38" t="s">
        <v>2866</v>
      </c>
      <c r="AJ564" s="38" t="s">
        <v>2881</v>
      </c>
      <c r="AK564" s="38" t="s">
        <v>2713</v>
      </c>
      <c r="AL564" s="38" t="s">
        <v>2661</v>
      </c>
      <c r="AM564" s="38" t="s">
        <v>2943</v>
      </c>
      <c r="AN564" s="38" t="s">
        <v>2913</v>
      </c>
      <c r="AO564" s="197" t="s">
        <v>3118</v>
      </c>
      <c r="AP564" s="100" t="s">
        <v>3088</v>
      </c>
      <c r="AQ564" s="80"/>
      <c r="AR564" s="80"/>
      <c r="AS564" s="100" t="s">
        <v>2583</v>
      </c>
      <c r="AT564" s="100" t="s">
        <v>2580</v>
      </c>
      <c r="AU564" s="199" t="s">
        <v>3266</v>
      </c>
      <c r="AV564" s="199" t="s">
        <v>3188</v>
      </c>
      <c r="AW564" s="84" t="s">
        <v>3180</v>
      </c>
      <c r="AX564" s="91"/>
      <c r="AY564" s="91"/>
      <c r="AZ564" s="91"/>
      <c r="BA564" s="91"/>
      <c r="BB564" s="91"/>
      <c r="BC564" s="91"/>
      <c r="BD564" s="91"/>
      <c r="BE564" s="91"/>
      <c r="BF564" s="91"/>
      <c r="BG564" s="91"/>
      <c r="BH564" s="91"/>
      <c r="BI564" s="91"/>
      <c r="BJ564" s="91"/>
      <c r="BK564" s="91"/>
      <c r="BL564" s="91"/>
      <c r="BM564" s="80"/>
      <c r="BN564" s="80"/>
      <c r="BO564" s="80"/>
      <c r="BP564" s="80"/>
      <c r="BQ564" s="80"/>
      <c r="BR564" s="80"/>
      <c r="BS564" s="80"/>
      <c r="BT564" s="80"/>
    </row>
    <row r="565" spans="1:4762" s="93" customFormat="1" ht="25.15" customHeight="1" outlineLevel="1" x14ac:dyDescent="0.25">
      <c r="A565" s="80" t="s">
        <v>202</v>
      </c>
      <c r="B565" s="80"/>
      <c r="C565" s="80"/>
      <c r="D565" s="89" t="s">
        <v>1758</v>
      </c>
      <c r="E565" s="90" t="s">
        <v>33</v>
      </c>
      <c r="F565" s="80" t="s">
        <v>34</v>
      </c>
      <c r="G565" s="80" t="s">
        <v>455</v>
      </c>
      <c r="H565" s="80" t="s">
        <v>998</v>
      </c>
      <c r="I565" s="80" t="s">
        <v>7</v>
      </c>
      <c r="J565" s="80"/>
      <c r="K565" s="90" t="s">
        <v>999</v>
      </c>
      <c r="L565" s="80"/>
      <c r="M565" s="80" t="s">
        <v>2627</v>
      </c>
      <c r="N565" s="83" t="s">
        <v>460</v>
      </c>
      <c r="O565" s="37">
        <v>4261</v>
      </c>
      <c r="P565" s="37">
        <v>2192</v>
      </c>
      <c r="Q565" s="37">
        <v>2110</v>
      </c>
      <c r="R565" s="37"/>
      <c r="S565" s="37">
        <v>3198</v>
      </c>
      <c r="T565" s="37">
        <v>2250</v>
      </c>
      <c r="U565" s="37">
        <v>7057</v>
      </c>
      <c r="V565" s="37">
        <v>1033</v>
      </c>
      <c r="W565" s="37">
        <v>4100</v>
      </c>
      <c r="X565" s="37">
        <v>1900</v>
      </c>
      <c r="Y565" s="37"/>
      <c r="Z565" s="37">
        <v>8</v>
      </c>
      <c r="AA565" s="37" t="s">
        <v>2637</v>
      </c>
      <c r="AB565" s="37">
        <v>7200</v>
      </c>
      <c r="AC565" s="37">
        <v>3097</v>
      </c>
      <c r="AD565" s="37"/>
      <c r="AE565" s="37"/>
      <c r="AF565" s="37"/>
      <c r="AG565" s="37"/>
      <c r="AH565" s="37">
        <v>19.7</v>
      </c>
      <c r="AI565" s="38" t="s">
        <v>2866</v>
      </c>
      <c r="AJ565" s="38" t="s">
        <v>2881</v>
      </c>
      <c r="AK565" s="38" t="s">
        <v>2713</v>
      </c>
      <c r="AL565" s="38" t="s">
        <v>2661</v>
      </c>
      <c r="AM565" s="38" t="s">
        <v>2943</v>
      </c>
      <c r="AN565" s="38" t="s">
        <v>2913</v>
      </c>
      <c r="AO565" s="197" t="s">
        <v>3116</v>
      </c>
      <c r="AP565" s="100" t="s">
        <v>3088</v>
      </c>
      <c r="AQ565" s="80"/>
      <c r="AR565" s="80"/>
      <c r="AS565" s="100" t="s">
        <v>2587</v>
      </c>
      <c r="AT565" s="100" t="s">
        <v>2580</v>
      </c>
      <c r="AU565" s="199" t="s">
        <v>3267</v>
      </c>
      <c r="AV565" s="199" t="s">
        <v>3188</v>
      </c>
      <c r="AW565" s="84" t="s">
        <v>3180</v>
      </c>
      <c r="AX565" s="91"/>
      <c r="AY565" s="91"/>
      <c r="AZ565" s="91"/>
      <c r="BA565" s="91"/>
      <c r="BB565" s="91"/>
      <c r="BC565" s="91"/>
      <c r="BD565" s="91"/>
      <c r="BE565" s="91"/>
      <c r="BF565" s="91"/>
      <c r="BG565" s="91"/>
      <c r="BH565" s="91"/>
      <c r="BI565" s="91"/>
      <c r="BJ565" s="91"/>
      <c r="BK565" s="91"/>
      <c r="BL565" s="91"/>
      <c r="BM565" s="80"/>
      <c r="BN565" s="80"/>
      <c r="BO565" s="80"/>
      <c r="BP565" s="80"/>
      <c r="BQ565" s="80"/>
      <c r="BR565" s="80"/>
      <c r="BS565" s="80"/>
      <c r="BT565" s="80"/>
    </row>
    <row r="566" spans="1:4762" s="93" customFormat="1" ht="25.15" customHeight="1" outlineLevel="1" x14ac:dyDescent="0.25">
      <c r="A566" s="80" t="s">
        <v>202</v>
      </c>
      <c r="B566" s="80"/>
      <c r="C566" s="80"/>
      <c r="D566" s="89" t="s">
        <v>1758</v>
      </c>
      <c r="E566" s="80" t="s">
        <v>33</v>
      </c>
      <c r="F566" s="80" t="s">
        <v>37</v>
      </c>
      <c r="G566" s="80" t="s">
        <v>4360</v>
      </c>
      <c r="H566" s="80" t="s">
        <v>998</v>
      </c>
      <c r="I566" s="80" t="s">
        <v>7</v>
      </c>
      <c r="J566" s="80"/>
      <c r="K566" s="90" t="s">
        <v>999</v>
      </c>
      <c r="L566" s="80"/>
      <c r="M566" s="90" t="s">
        <v>1002</v>
      </c>
      <c r="N566" s="92" t="s">
        <v>31</v>
      </c>
      <c r="O566" s="37">
        <v>6861</v>
      </c>
      <c r="P566" s="37">
        <v>2482</v>
      </c>
      <c r="Q566" s="37">
        <v>2110</v>
      </c>
      <c r="R566" s="37"/>
      <c r="S566" s="37">
        <v>3306</v>
      </c>
      <c r="T566" s="37">
        <v>2540</v>
      </c>
      <c r="U566" s="37">
        <v>9062</v>
      </c>
      <c r="V566" s="37">
        <v>1141</v>
      </c>
      <c r="W566" s="37">
        <v>5175</v>
      </c>
      <c r="X566" s="37">
        <v>2525</v>
      </c>
      <c r="Y566" s="37"/>
      <c r="Z566" s="37">
        <v>15</v>
      </c>
      <c r="AA566" s="37" t="s">
        <v>2641</v>
      </c>
      <c r="AB566" s="37">
        <v>16000</v>
      </c>
      <c r="AC566" s="37">
        <v>8625</v>
      </c>
      <c r="AD566" s="37"/>
      <c r="AE566" s="37"/>
      <c r="AF566" s="37"/>
      <c r="AG566" s="37"/>
      <c r="AH566" s="37">
        <v>35.799999999999997</v>
      </c>
      <c r="AI566" s="38" t="s">
        <v>2874</v>
      </c>
      <c r="AJ566" s="38" t="s">
        <v>2873</v>
      </c>
      <c r="AK566" s="38" t="s">
        <v>2720</v>
      </c>
      <c r="AL566" s="38" t="s">
        <v>2729</v>
      </c>
      <c r="AM566" s="38" t="s">
        <v>2947</v>
      </c>
      <c r="AN566" s="38" t="s">
        <v>2916</v>
      </c>
      <c r="AO566" s="198" t="s">
        <v>3145</v>
      </c>
      <c r="AP566" s="104" t="s">
        <v>3140</v>
      </c>
      <c r="AQ566" s="80"/>
      <c r="AR566" s="80"/>
      <c r="AS566" s="104" t="s">
        <v>2589</v>
      </c>
      <c r="AT566" s="104" t="s">
        <v>2580</v>
      </c>
      <c r="AU566" s="200" t="s">
        <v>3268</v>
      </c>
      <c r="AV566" s="199" t="s">
        <v>3188</v>
      </c>
      <c r="AW566" s="84" t="s">
        <v>3180</v>
      </c>
      <c r="AX566" s="94"/>
      <c r="AY566" s="94"/>
      <c r="AZ566" s="94"/>
      <c r="BA566" s="94"/>
      <c r="BB566" s="94"/>
      <c r="BC566" s="94"/>
      <c r="BD566" s="94"/>
      <c r="BE566" s="94"/>
      <c r="BF566" s="94"/>
      <c r="BG566" s="94"/>
      <c r="BH566" s="94"/>
      <c r="BI566" s="94"/>
      <c r="BJ566" s="94"/>
      <c r="BK566" s="94"/>
      <c r="BL566" s="94"/>
      <c r="BM566" s="80"/>
      <c r="BN566" s="80"/>
      <c r="BO566" s="80"/>
      <c r="BP566" s="80"/>
      <c r="BQ566" s="80"/>
      <c r="BR566" s="80"/>
      <c r="BS566" s="80"/>
      <c r="BT566" s="80"/>
    </row>
    <row r="567" spans="1:4762" s="93" customFormat="1" ht="25.15" customHeight="1" outlineLevel="1" x14ac:dyDescent="0.25">
      <c r="A567" s="80" t="s">
        <v>202</v>
      </c>
      <c r="B567" s="80"/>
      <c r="C567" s="80"/>
      <c r="D567" s="89" t="s">
        <v>1758</v>
      </c>
      <c r="E567" s="80" t="s">
        <v>33</v>
      </c>
      <c r="F567" s="80" t="s">
        <v>37</v>
      </c>
      <c r="G567" s="80" t="s">
        <v>42</v>
      </c>
      <c r="H567" s="80" t="s">
        <v>998</v>
      </c>
      <c r="I567" s="80" t="s">
        <v>7</v>
      </c>
      <c r="J567" s="80"/>
      <c r="K567" s="90" t="s">
        <v>999</v>
      </c>
      <c r="L567" s="80"/>
      <c r="M567" s="90" t="s">
        <v>1003</v>
      </c>
      <c r="N567" s="92" t="s">
        <v>31</v>
      </c>
      <c r="O567" s="37">
        <v>7861</v>
      </c>
      <c r="P567" s="37">
        <v>2482</v>
      </c>
      <c r="Q567" s="37">
        <v>2110</v>
      </c>
      <c r="R567" s="37"/>
      <c r="S567" s="37">
        <v>3306</v>
      </c>
      <c r="T567" s="37">
        <v>2540</v>
      </c>
      <c r="U567" s="37">
        <v>10062</v>
      </c>
      <c r="V567" s="37">
        <v>1141</v>
      </c>
      <c r="W567" s="37">
        <v>5670</v>
      </c>
      <c r="X567" s="37">
        <v>3030</v>
      </c>
      <c r="Y567" s="37"/>
      <c r="Z567" s="37">
        <v>18</v>
      </c>
      <c r="AA567" s="37" t="s">
        <v>2642</v>
      </c>
      <c r="AB567" s="37">
        <v>16000</v>
      </c>
      <c r="AC567" s="37">
        <v>8242</v>
      </c>
      <c r="AD567" s="37"/>
      <c r="AE567" s="37"/>
      <c r="AF567" s="37"/>
      <c r="AG567" s="37"/>
      <c r="AH567" s="37">
        <v>41.1</v>
      </c>
      <c r="AI567" s="38" t="s">
        <v>2874</v>
      </c>
      <c r="AJ567" s="38" t="s">
        <v>2873</v>
      </c>
      <c r="AK567" s="38" t="s">
        <v>2720</v>
      </c>
      <c r="AL567" s="38" t="s">
        <v>2729</v>
      </c>
      <c r="AM567" s="38" t="s">
        <v>2947</v>
      </c>
      <c r="AN567" s="38" t="s">
        <v>2916</v>
      </c>
      <c r="AO567" s="198" t="s">
        <v>3145</v>
      </c>
      <c r="AP567" s="104" t="s">
        <v>3140</v>
      </c>
      <c r="AQ567" s="80"/>
      <c r="AR567" s="80"/>
      <c r="AS567" s="104" t="s">
        <v>2589</v>
      </c>
      <c r="AT567" s="104" t="s">
        <v>2580</v>
      </c>
      <c r="AU567" s="200" t="s">
        <v>3269</v>
      </c>
      <c r="AV567" s="199" t="s">
        <v>3188</v>
      </c>
      <c r="AW567" s="84" t="s">
        <v>3180</v>
      </c>
      <c r="AX567" s="94"/>
      <c r="AY567" s="94"/>
      <c r="AZ567" s="94"/>
      <c r="BA567" s="94"/>
      <c r="BB567" s="94"/>
      <c r="BC567" s="94"/>
      <c r="BD567" s="94"/>
      <c r="BE567" s="94"/>
      <c r="BF567" s="94"/>
      <c r="BG567" s="94"/>
      <c r="BH567" s="94"/>
      <c r="BI567" s="94"/>
      <c r="BJ567" s="94"/>
      <c r="BK567" s="94"/>
      <c r="BL567" s="94"/>
      <c r="BM567" s="80"/>
      <c r="BN567" s="80"/>
      <c r="BO567" s="80"/>
      <c r="BP567" s="80"/>
      <c r="BQ567" s="80"/>
      <c r="BR567" s="80"/>
      <c r="BS567" s="80"/>
      <c r="BT567" s="80"/>
    </row>
    <row r="568" spans="1:4762" s="95" customFormat="1" ht="25.15" customHeight="1" outlineLevel="1" x14ac:dyDescent="0.25">
      <c r="A568" s="80" t="s">
        <v>202</v>
      </c>
      <c r="B568" s="80"/>
      <c r="C568" s="80"/>
      <c r="D568" s="89" t="s">
        <v>1758</v>
      </c>
      <c r="E568" s="80" t="s">
        <v>33</v>
      </c>
      <c r="F568" s="80" t="s">
        <v>37</v>
      </c>
      <c r="G568" s="80" t="s">
        <v>42</v>
      </c>
      <c r="H568" s="80" t="s">
        <v>998</v>
      </c>
      <c r="I568" s="80" t="s">
        <v>7</v>
      </c>
      <c r="J568" s="80"/>
      <c r="K568" s="90" t="s">
        <v>999</v>
      </c>
      <c r="L568" s="80"/>
      <c r="M568" s="80" t="s">
        <v>1004</v>
      </c>
      <c r="N568" s="92" t="s">
        <v>31</v>
      </c>
      <c r="O568" s="37">
        <v>8061</v>
      </c>
      <c r="P568" s="37">
        <v>2482</v>
      </c>
      <c r="Q568" s="37">
        <v>2110</v>
      </c>
      <c r="R568" s="37"/>
      <c r="S568" s="37">
        <v>3467</v>
      </c>
      <c r="T568" s="37">
        <v>2540</v>
      </c>
      <c r="U568" s="37">
        <v>10262</v>
      </c>
      <c r="V568" s="37">
        <v>1302</v>
      </c>
      <c r="W568" s="37">
        <v>5670</v>
      </c>
      <c r="X568" s="37">
        <v>3230</v>
      </c>
      <c r="Y568" s="37"/>
      <c r="Z568" s="37">
        <v>18</v>
      </c>
      <c r="AA568" s="37" t="s">
        <v>2642</v>
      </c>
      <c r="AB568" s="37">
        <v>19000</v>
      </c>
      <c r="AC568" s="37">
        <v>10463</v>
      </c>
      <c r="AD568" s="37"/>
      <c r="AE568" s="37"/>
      <c r="AF568" s="37"/>
      <c r="AG568" s="37"/>
      <c r="AH568" s="37">
        <v>42.2</v>
      </c>
      <c r="AI568" s="38" t="s">
        <v>2874</v>
      </c>
      <c r="AJ568" s="38" t="s">
        <v>2873</v>
      </c>
      <c r="AK568" s="38" t="s">
        <v>2721</v>
      </c>
      <c r="AL568" s="38" t="s">
        <v>2722</v>
      </c>
      <c r="AM568" s="38" t="s">
        <v>2948</v>
      </c>
      <c r="AN568" s="38" t="s">
        <v>2916</v>
      </c>
      <c r="AO568" s="197" t="s">
        <v>3145</v>
      </c>
      <c r="AP568" s="100" t="s">
        <v>3140</v>
      </c>
      <c r="AQ568" s="80"/>
      <c r="AR568" s="80"/>
      <c r="AS568" s="100" t="s">
        <v>2589</v>
      </c>
      <c r="AT568" s="100" t="s">
        <v>2580</v>
      </c>
      <c r="AU568" s="199" t="s">
        <v>3270</v>
      </c>
      <c r="AV568" s="199" t="s">
        <v>3188</v>
      </c>
      <c r="AW568" s="84" t="s">
        <v>3180</v>
      </c>
      <c r="AX568" s="91"/>
      <c r="AY568" s="91"/>
      <c r="AZ568" s="91"/>
      <c r="BA568" s="91"/>
      <c r="BB568" s="91"/>
      <c r="BC568" s="91"/>
      <c r="BD568" s="91"/>
      <c r="BE568" s="91"/>
      <c r="BF568" s="91"/>
      <c r="BG568" s="91"/>
      <c r="BH568" s="91"/>
      <c r="BI568" s="91"/>
      <c r="BJ568" s="91"/>
      <c r="BK568" s="91"/>
      <c r="BL568" s="91"/>
      <c r="BM568" s="80"/>
      <c r="BN568" s="80"/>
      <c r="BO568" s="80"/>
      <c r="BP568" s="80"/>
      <c r="BQ568" s="80"/>
      <c r="BR568" s="80"/>
      <c r="BS568" s="80"/>
      <c r="BT568" s="80"/>
      <c r="BU568" s="93"/>
      <c r="BV568" s="93"/>
      <c r="BW568" s="93"/>
      <c r="BX568" s="93"/>
      <c r="BY568" s="93"/>
      <c r="BZ568" s="93"/>
      <c r="CA568" s="93"/>
      <c r="CB568" s="93"/>
      <c r="CC568" s="93"/>
      <c r="CD568" s="93"/>
      <c r="CE568" s="93"/>
      <c r="CF568" s="93"/>
      <c r="CG568" s="93"/>
      <c r="CH568" s="93"/>
      <c r="CI568" s="93"/>
      <c r="CJ568" s="93"/>
      <c r="CK568" s="93"/>
      <c r="CL568" s="93"/>
      <c r="CM568" s="93"/>
      <c r="CN568" s="93"/>
      <c r="CO568" s="93"/>
      <c r="CP568" s="93"/>
      <c r="CQ568" s="93"/>
      <c r="CR568" s="93"/>
      <c r="CS568" s="93"/>
      <c r="CT568" s="93"/>
      <c r="CU568" s="93"/>
      <c r="CV568" s="93"/>
      <c r="CW568" s="93"/>
      <c r="CX568" s="93"/>
      <c r="CY568" s="93"/>
      <c r="CZ568" s="93"/>
      <c r="DA568" s="93"/>
      <c r="DB568" s="93"/>
      <c r="DC568" s="93"/>
      <c r="DD568" s="93"/>
      <c r="DE568" s="93"/>
      <c r="DF568" s="93"/>
      <c r="DG568" s="93"/>
      <c r="DH568" s="93"/>
      <c r="DI568" s="93"/>
      <c r="DJ568" s="93"/>
      <c r="DK568" s="93"/>
      <c r="DL568" s="93"/>
      <c r="DM568" s="93"/>
      <c r="DN568" s="93"/>
      <c r="DO568" s="93"/>
      <c r="DP568" s="93"/>
      <c r="DQ568" s="93"/>
      <c r="DR568" s="93"/>
      <c r="DS568" s="93"/>
      <c r="DT568" s="93"/>
      <c r="DU568" s="93"/>
      <c r="DV568" s="93"/>
      <c r="DW568" s="93"/>
      <c r="DX568" s="93"/>
      <c r="DY568" s="93"/>
      <c r="DZ568" s="93"/>
      <c r="EA568" s="93"/>
      <c r="EB568" s="93"/>
      <c r="EC568" s="93"/>
      <c r="ED568" s="93"/>
      <c r="EE568" s="93"/>
      <c r="EF568" s="93"/>
      <c r="EG568" s="93"/>
      <c r="EH568" s="93"/>
      <c r="EI568" s="93"/>
      <c r="EJ568" s="93"/>
      <c r="EK568" s="93"/>
      <c r="EL568" s="93"/>
      <c r="EM568" s="93"/>
      <c r="EN568" s="93"/>
      <c r="EO568" s="93"/>
      <c r="EP568" s="93"/>
      <c r="EQ568" s="93"/>
      <c r="ER568" s="93"/>
      <c r="ES568" s="93"/>
      <c r="ET568" s="93"/>
      <c r="EU568" s="93"/>
      <c r="EV568" s="93"/>
      <c r="EW568" s="93"/>
      <c r="EX568" s="93"/>
      <c r="EY568" s="93"/>
      <c r="EZ568" s="93"/>
      <c r="FA568" s="93"/>
      <c r="FB568" s="93"/>
      <c r="FC568" s="93"/>
      <c r="FD568" s="93"/>
      <c r="FE568" s="93"/>
      <c r="FF568" s="93"/>
      <c r="FG568" s="93"/>
      <c r="FH568" s="93"/>
      <c r="FI568" s="93"/>
      <c r="FJ568" s="93"/>
      <c r="FK568" s="93"/>
      <c r="FL568" s="93"/>
      <c r="FM568" s="93"/>
      <c r="FN568" s="93"/>
      <c r="FO568" s="93"/>
      <c r="FP568" s="93"/>
      <c r="FQ568" s="93"/>
      <c r="FR568" s="93"/>
      <c r="FS568" s="93"/>
      <c r="FT568" s="93"/>
      <c r="FU568" s="93"/>
      <c r="FV568" s="93"/>
      <c r="FW568" s="93"/>
      <c r="FX568" s="93"/>
      <c r="FY568" s="93"/>
      <c r="FZ568" s="93"/>
      <c r="GA568" s="93"/>
      <c r="GB568" s="93"/>
      <c r="GC568" s="93"/>
      <c r="GD568" s="93"/>
      <c r="GE568" s="93"/>
      <c r="GF568" s="93"/>
      <c r="GG568" s="93"/>
      <c r="GH568" s="93"/>
      <c r="GI568" s="93"/>
      <c r="GJ568" s="93"/>
      <c r="GK568" s="93"/>
      <c r="GL568" s="93"/>
      <c r="GM568" s="93"/>
      <c r="GN568" s="93"/>
      <c r="GO568" s="93"/>
      <c r="GP568" s="93"/>
      <c r="GQ568" s="93"/>
      <c r="GR568" s="93"/>
      <c r="GS568" s="93"/>
      <c r="GT568" s="93"/>
      <c r="GU568" s="93"/>
      <c r="GV568" s="93"/>
      <c r="GW568" s="93"/>
      <c r="GX568" s="93"/>
      <c r="GY568" s="93"/>
      <c r="GZ568" s="93"/>
      <c r="HA568" s="93"/>
      <c r="HB568" s="93"/>
      <c r="HC568" s="93"/>
      <c r="HD568" s="93"/>
      <c r="HE568" s="93"/>
      <c r="HF568" s="93"/>
      <c r="HG568" s="93"/>
      <c r="HH568" s="93"/>
      <c r="HI568" s="93"/>
      <c r="HJ568" s="93"/>
      <c r="HK568" s="93"/>
      <c r="HL568" s="93"/>
      <c r="HM568" s="93"/>
      <c r="HN568" s="93"/>
      <c r="HO568" s="93"/>
      <c r="HP568" s="93"/>
      <c r="HQ568" s="93"/>
      <c r="HR568" s="93"/>
      <c r="HS568" s="93"/>
      <c r="HT568" s="93"/>
      <c r="HU568" s="93"/>
      <c r="HV568" s="93"/>
      <c r="HW568" s="93"/>
      <c r="HX568" s="93"/>
      <c r="HY568" s="93"/>
      <c r="HZ568" s="93"/>
      <c r="IA568" s="93"/>
      <c r="IB568" s="93"/>
      <c r="IC568" s="93"/>
      <c r="ID568" s="93"/>
      <c r="IE568" s="93"/>
      <c r="IF568" s="93"/>
      <c r="IG568" s="93"/>
      <c r="IH568" s="93"/>
      <c r="II568" s="93"/>
      <c r="IJ568" s="93"/>
      <c r="IK568" s="93"/>
      <c r="IL568" s="93"/>
      <c r="IM568" s="93"/>
      <c r="IN568" s="93"/>
      <c r="IO568" s="93"/>
      <c r="IP568" s="93"/>
      <c r="IQ568" s="93"/>
      <c r="IR568" s="93"/>
      <c r="IS568" s="93"/>
      <c r="IT568" s="93"/>
      <c r="IU568" s="93"/>
      <c r="IV568" s="93"/>
      <c r="IW568" s="93"/>
      <c r="IX568" s="93"/>
      <c r="IY568" s="93"/>
      <c r="IZ568" s="93"/>
      <c r="JA568" s="93"/>
      <c r="JB568" s="93"/>
      <c r="JC568" s="93"/>
      <c r="JD568" s="93"/>
      <c r="JE568" s="93"/>
      <c r="JF568" s="93"/>
      <c r="JG568" s="93"/>
      <c r="JH568" s="93"/>
      <c r="JI568" s="93"/>
      <c r="JJ568" s="93"/>
      <c r="JK568" s="93"/>
      <c r="JL568" s="93"/>
      <c r="JM568" s="93"/>
      <c r="JN568" s="93"/>
      <c r="JO568" s="93"/>
      <c r="JP568" s="93"/>
      <c r="JQ568" s="93"/>
      <c r="JR568" s="93"/>
      <c r="JS568" s="93"/>
      <c r="JT568" s="93"/>
      <c r="JU568" s="93"/>
      <c r="JV568" s="93"/>
      <c r="JW568" s="93"/>
      <c r="JX568" s="93"/>
      <c r="JY568" s="93"/>
      <c r="JZ568" s="93"/>
      <c r="KA568" s="93"/>
      <c r="KB568" s="93"/>
      <c r="KC568" s="93"/>
      <c r="KD568" s="93"/>
      <c r="KE568" s="93"/>
      <c r="KF568" s="93"/>
      <c r="KG568" s="93"/>
      <c r="KH568" s="93"/>
      <c r="KI568" s="93"/>
      <c r="KJ568" s="93"/>
      <c r="KK568" s="93"/>
      <c r="KL568" s="93"/>
      <c r="KM568" s="93"/>
      <c r="KN568" s="93"/>
      <c r="KO568" s="93"/>
      <c r="KP568" s="93"/>
      <c r="KQ568" s="93"/>
      <c r="KR568" s="93"/>
      <c r="KS568" s="93"/>
      <c r="KT568" s="93"/>
      <c r="KU568" s="93"/>
      <c r="KV568" s="93"/>
      <c r="KW568" s="93"/>
      <c r="KX568" s="93"/>
      <c r="KY568" s="93"/>
      <c r="KZ568" s="93"/>
      <c r="LA568" s="93"/>
      <c r="LB568" s="93"/>
      <c r="LC568" s="93"/>
      <c r="LD568" s="93"/>
      <c r="LE568" s="93"/>
      <c r="LF568" s="93"/>
      <c r="LG568" s="93"/>
      <c r="LH568" s="93"/>
      <c r="LI568" s="93"/>
      <c r="LJ568" s="93"/>
      <c r="LK568" s="93"/>
      <c r="LL568" s="93"/>
      <c r="LM568" s="93"/>
      <c r="LN568" s="93"/>
      <c r="LO568" s="93"/>
      <c r="LP568" s="93"/>
      <c r="LQ568" s="93"/>
      <c r="LR568" s="93"/>
      <c r="LS568" s="93"/>
      <c r="LT568" s="93"/>
      <c r="LU568" s="93"/>
      <c r="LV568" s="93"/>
      <c r="LW568" s="93"/>
      <c r="LX568" s="93"/>
      <c r="LY568" s="93"/>
      <c r="LZ568" s="93"/>
      <c r="MA568" s="93"/>
      <c r="MB568" s="93"/>
      <c r="MC568" s="93"/>
      <c r="MD568" s="93"/>
      <c r="ME568" s="93"/>
      <c r="MF568" s="93"/>
      <c r="MG568" s="93"/>
      <c r="MH568" s="93"/>
      <c r="MI568" s="93"/>
      <c r="MJ568" s="93"/>
      <c r="MK568" s="93"/>
      <c r="ML568" s="93"/>
      <c r="MM568" s="93"/>
      <c r="MN568" s="93"/>
      <c r="MO568" s="93"/>
      <c r="MP568" s="93"/>
      <c r="MQ568" s="93"/>
      <c r="MR568" s="93"/>
      <c r="MS568" s="93"/>
      <c r="MT568" s="93"/>
      <c r="MU568" s="93"/>
      <c r="MV568" s="93"/>
      <c r="MW568" s="93"/>
      <c r="MX568" s="93"/>
      <c r="MY568" s="93"/>
      <c r="MZ568" s="93"/>
      <c r="NA568" s="93"/>
      <c r="NB568" s="93"/>
      <c r="NC568" s="93"/>
      <c r="ND568" s="93"/>
      <c r="NE568" s="93"/>
      <c r="NF568" s="93"/>
      <c r="NG568" s="93"/>
      <c r="NH568" s="93"/>
      <c r="NI568" s="93"/>
      <c r="NJ568" s="93"/>
      <c r="NK568" s="93"/>
      <c r="NL568" s="93"/>
      <c r="NM568" s="93"/>
      <c r="NN568" s="93"/>
      <c r="NO568" s="93"/>
      <c r="NP568" s="93"/>
      <c r="NQ568" s="93"/>
      <c r="NR568" s="93"/>
      <c r="NS568" s="93"/>
      <c r="NT568" s="93"/>
      <c r="NU568" s="93"/>
      <c r="NV568" s="93"/>
      <c r="NW568" s="93"/>
      <c r="NX568" s="93"/>
      <c r="NY568" s="93"/>
      <c r="NZ568" s="93"/>
      <c r="OA568" s="93"/>
      <c r="OB568" s="93"/>
      <c r="OC568" s="93"/>
      <c r="OD568" s="93"/>
      <c r="OE568" s="93"/>
      <c r="OF568" s="93"/>
      <c r="OG568" s="93"/>
      <c r="OH568" s="93"/>
      <c r="OI568" s="93"/>
      <c r="OJ568" s="93"/>
      <c r="OK568" s="93"/>
      <c r="OL568" s="93"/>
      <c r="OM568" s="93"/>
      <c r="ON568" s="93"/>
      <c r="OO568" s="93"/>
      <c r="OP568" s="93"/>
      <c r="OQ568" s="93"/>
      <c r="OR568" s="93"/>
      <c r="OS568" s="93"/>
      <c r="OT568" s="93"/>
      <c r="OU568" s="93"/>
      <c r="OV568" s="93"/>
      <c r="OW568" s="93"/>
      <c r="OX568" s="93"/>
      <c r="OY568" s="93"/>
      <c r="OZ568" s="93"/>
      <c r="PA568" s="93"/>
      <c r="PB568" s="93"/>
      <c r="PC568" s="93"/>
      <c r="PD568" s="93"/>
      <c r="PE568" s="93"/>
      <c r="PF568" s="93"/>
      <c r="PG568" s="93"/>
      <c r="PH568" s="93"/>
      <c r="PI568" s="93"/>
      <c r="PJ568" s="93"/>
      <c r="PK568" s="93"/>
      <c r="PL568" s="93"/>
      <c r="PM568" s="93"/>
      <c r="PN568" s="93"/>
      <c r="PO568" s="93"/>
      <c r="PP568" s="93"/>
      <c r="PQ568" s="93"/>
      <c r="PR568" s="93"/>
      <c r="PS568" s="93"/>
      <c r="PT568" s="93"/>
      <c r="PU568" s="93"/>
      <c r="PV568" s="93"/>
      <c r="PW568" s="93"/>
      <c r="PX568" s="93"/>
      <c r="PY568" s="93"/>
      <c r="PZ568" s="93"/>
      <c r="QA568" s="93"/>
      <c r="QB568" s="93"/>
      <c r="QC568" s="93"/>
      <c r="QD568" s="93"/>
      <c r="QE568" s="93"/>
      <c r="QF568" s="93"/>
      <c r="QG568" s="93"/>
      <c r="QH568" s="93"/>
      <c r="QI568" s="93"/>
      <c r="QJ568" s="93"/>
      <c r="QK568" s="93"/>
      <c r="QL568" s="93"/>
      <c r="QM568" s="93"/>
      <c r="QN568" s="93"/>
      <c r="QO568" s="93"/>
      <c r="QP568" s="93"/>
      <c r="QQ568" s="93"/>
      <c r="QR568" s="93"/>
      <c r="QS568" s="93"/>
      <c r="QT568" s="93"/>
      <c r="QU568" s="93"/>
      <c r="QV568" s="93"/>
      <c r="QW568" s="93"/>
      <c r="QX568" s="93"/>
      <c r="QY568" s="93"/>
      <c r="QZ568" s="93"/>
      <c r="RA568" s="93"/>
      <c r="RB568" s="93"/>
      <c r="RC568" s="93"/>
      <c r="RD568" s="93"/>
      <c r="RE568" s="93"/>
      <c r="RF568" s="93"/>
      <c r="RG568" s="93"/>
      <c r="RH568" s="93"/>
      <c r="RI568" s="93"/>
      <c r="RJ568" s="93"/>
      <c r="RK568" s="93"/>
      <c r="RL568" s="93"/>
      <c r="RM568" s="93"/>
      <c r="RN568" s="93"/>
      <c r="RO568" s="93"/>
      <c r="RP568" s="93"/>
      <c r="RQ568" s="93"/>
      <c r="RR568" s="93"/>
      <c r="RS568" s="93"/>
      <c r="RT568" s="93"/>
      <c r="RU568" s="93"/>
      <c r="RV568" s="93"/>
      <c r="RW568" s="93"/>
      <c r="RX568" s="93"/>
      <c r="RY568" s="93"/>
      <c r="RZ568" s="93"/>
      <c r="SA568" s="93"/>
      <c r="SB568" s="93"/>
      <c r="SC568" s="93"/>
      <c r="SD568" s="93"/>
      <c r="SE568" s="93"/>
      <c r="SF568" s="93"/>
      <c r="SG568" s="93"/>
      <c r="SH568" s="93"/>
      <c r="SI568" s="93"/>
      <c r="SJ568" s="93"/>
      <c r="SK568" s="93"/>
      <c r="SL568" s="93"/>
      <c r="SM568" s="93"/>
      <c r="SN568" s="93"/>
      <c r="SO568" s="93"/>
      <c r="SP568" s="93"/>
      <c r="SQ568" s="93"/>
      <c r="SR568" s="93"/>
      <c r="SS568" s="93"/>
      <c r="ST568" s="93"/>
      <c r="SU568" s="93"/>
      <c r="SV568" s="93"/>
      <c r="SW568" s="93"/>
      <c r="SX568" s="93"/>
      <c r="SY568" s="93"/>
      <c r="SZ568" s="93"/>
      <c r="TA568" s="93"/>
      <c r="TB568" s="93"/>
      <c r="TC568" s="93"/>
      <c r="TD568" s="93"/>
      <c r="TE568" s="93"/>
      <c r="TF568" s="93"/>
      <c r="TG568" s="93"/>
      <c r="TH568" s="93"/>
      <c r="TI568" s="93"/>
      <c r="TJ568" s="93"/>
      <c r="TK568" s="93"/>
      <c r="TL568" s="93"/>
      <c r="TM568" s="93"/>
      <c r="TN568" s="93"/>
      <c r="TO568" s="93"/>
      <c r="TP568" s="93"/>
      <c r="TQ568" s="93"/>
      <c r="TR568" s="93"/>
      <c r="TS568" s="93"/>
      <c r="TT568" s="93"/>
      <c r="TU568" s="93"/>
      <c r="TV568" s="93"/>
      <c r="TW568" s="93"/>
      <c r="TX568" s="93"/>
      <c r="TY568" s="93"/>
      <c r="TZ568" s="93"/>
      <c r="UA568" s="93"/>
      <c r="UB568" s="93"/>
      <c r="UC568" s="93"/>
      <c r="UD568" s="93"/>
      <c r="UE568" s="93"/>
      <c r="UF568" s="93"/>
      <c r="UG568" s="93"/>
      <c r="UH568" s="93"/>
      <c r="UI568" s="93"/>
      <c r="UJ568" s="93"/>
      <c r="UK568" s="93"/>
      <c r="UL568" s="93"/>
      <c r="UM568" s="93"/>
      <c r="UN568" s="93"/>
      <c r="UO568" s="93"/>
      <c r="UP568" s="93"/>
      <c r="UQ568" s="93"/>
      <c r="UR568" s="93"/>
      <c r="US568" s="93"/>
      <c r="UT568" s="93"/>
      <c r="UU568" s="93"/>
      <c r="UV568" s="93"/>
      <c r="UW568" s="93"/>
      <c r="UX568" s="93"/>
      <c r="UY568" s="93"/>
      <c r="UZ568" s="93"/>
      <c r="VA568" s="93"/>
      <c r="VB568" s="93"/>
      <c r="VC568" s="93"/>
      <c r="VD568" s="93"/>
      <c r="VE568" s="93"/>
      <c r="VF568" s="93"/>
      <c r="VG568" s="93"/>
      <c r="VH568" s="93"/>
      <c r="VI568" s="93"/>
      <c r="VJ568" s="93"/>
      <c r="VK568" s="93"/>
      <c r="VL568" s="93"/>
      <c r="VM568" s="93"/>
      <c r="VN568" s="93"/>
      <c r="VO568" s="93"/>
      <c r="VP568" s="93"/>
      <c r="VQ568" s="93"/>
      <c r="VR568" s="93"/>
      <c r="VS568" s="93"/>
      <c r="VT568" s="93"/>
      <c r="VU568" s="93"/>
      <c r="VV568" s="93"/>
      <c r="VW568" s="93"/>
      <c r="VX568" s="93"/>
      <c r="VY568" s="93"/>
      <c r="VZ568" s="93"/>
      <c r="WA568" s="93"/>
      <c r="WB568" s="93"/>
      <c r="WC568" s="93"/>
      <c r="WD568" s="93"/>
      <c r="WE568" s="93"/>
      <c r="WF568" s="93"/>
      <c r="WG568" s="93"/>
      <c r="WH568" s="93"/>
      <c r="WI568" s="93"/>
      <c r="WJ568" s="93"/>
      <c r="WK568" s="93"/>
      <c r="WL568" s="93"/>
      <c r="WM568" s="93"/>
      <c r="WN568" s="93"/>
      <c r="WO568" s="93"/>
      <c r="WP568" s="93"/>
      <c r="WQ568" s="93"/>
      <c r="WR568" s="93"/>
      <c r="WS568" s="93"/>
      <c r="WT568" s="93"/>
      <c r="WU568" s="93"/>
      <c r="WV568" s="93"/>
      <c r="WW568" s="93"/>
      <c r="WX568" s="93"/>
      <c r="WY568" s="93"/>
      <c r="WZ568" s="93"/>
      <c r="XA568" s="93"/>
      <c r="XB568" s="93"/>
      <c r="XC568" s="93"/>
      <c r="XD568" s="93"/>
      <c r="XE568" s="93"/>
      <c r="XF568" s="93"/>
      <c r="XG568" s="93"/>
      <c r="XH568" s="93"/>
      <c r="XI568" s="93"/>
      <c r="XJ568" s="93"/>
      <c r="XK568" s="93"/>
      <c r="XL568" s="93"/>
      <c r="XM568" s="93"/>
      <c r="XN568" s="93"/>
      <c r="XO568" s="93"/>
      <c r="XP568" s="93"/>
      <c r="XQ568" s="93"/>
      <c r="XR568" s="93"/>
      <c r="XS568" s="93"/>
      <c r="XT568" s="93"/>
      <c r="XU568" s="93"/>
      <c r="XV568" s="93"/>
      <c r="XW568" s="93"/>
      <c r="XX568" s="93"/>
      <c r="XY568" s="93"/>
      <c r="XZ568" s="93"/>
      <c r="YA568" s="93"/>
      <c r="YB568" s="93"/>
      <c r="YC568" s="93"/>
      <c r="YD568" s="93"/>
      <c r="YE568" s="93"/>
      <c r="YF568" s="93"/>
      <c r="YG568" s="93"/>
      <c r="YH568" s="93"/>
      <c r="YI568" s="93"/>
      <c r="YJ568" s="93"/>
      <c r="YK568" s="93"/>
      <c r="YL568" s="93"/>
      <c r="YM568" s="93"/>
      <c r="YN568" s="93"/>
      <c r="YO568" s="93"/>
      <c r="YP568" s="93"/>
      <c r="YQ568" s="93"/>
      <c r="YR568" s="93"/>
      <c r="YS568" s="93"/>
      <c r="YT568" s="93"/>
      <c r="YU568" s="93"/>
      <c r="YV568" s="93"/>
      <c r="YW568" s="93"/>
      <c r="YX568" s="93"/>
      <c r="YY568" s="93"/>
      <c r="YZ568" s="93"/>
      <c r="ZA568" s="93"/>
      <c r="ZB568" s="93"/>
      <c r="ZC568" s="93"/>
      <c r="ZD568" s="93"/>
      <c r="ZE568" s="93"/>
      <c r="ZF568" s="93"/>
      <c r="ZG568" s="93"/>
      <c r="ZH568" s="93"/>
      <c r="ZI568" s="93"/>
      <c r="ZJ568" s="93"/>
      <c r="ZK568" s="93"/>
      <c r="ZL568" s="93"/>
      <c r="ZM568" s="93"/>
      <c r="ZN568" s="93"/>
      <c r="ZO568" s="93"/>
      <c r="ZP568" s="93"/>
      <c r="ZQ568" s="93"/>
      <c r="ZR568" s="93"/>
      <c r="ZS568" s="93"/>
      <c r="ZT568" s="93"/>
      <c r="ZU568" s="93"/>
      <c r="ZV568" s="93"/>
      <c r="ZW568" s="93"/>
      <c r="ZX568" s="93"/>
      <c r="ZY568" s="93"/>
      <c r="ZZ568" s="93"/>
      <c r="AAA568" s="93"/>
      <c r="AAB568" s="93"/>
      <c r="AAC568" s="93"/>
      <c r="AAD568" s="93"/>
      <c r="AAE568" s="93"/>
      <c r="AAF568" s="93"/>
      <c r="AAG568" s="93"/>
      <c r="AAH568" s="93"/>
      <c r="AAI568" s="93"/>
      <c r="AAJ568" s="93"/>
      <c r="AAK568" s="93"/>
      <c r="AAL568" s="93"/>
      <c r="AAM568" s="93"/>
      <c r="AAN568" s="93"/>
      <c r="AAO568" s="93"/>
      <c r="AAP568" s="93"/>
      <c r="AAQ568" s="93"/>
      <c r="AAR568" s="93"/>
      <c r="AAS568" s="93"/>
      <c r="AAT568" s="93"/>
      <c r="AAU568" s="93"/>
      <c r="AAV568" s="93"/>
      <c r="AAW568" s="93"/>
      <c r="AAX568" s="93"/>
      <c r="AAY568" s="93"/>
      <c r="AAZ568" s="93"/>
      <c r="ABA568" s="93"/>
      <c r="ABB568" s="93"/>
      <c r="ABC568" s="93"/>
      <c r="ABD568" s="93"/>
      <c r="ABE568" s="93"/>
      <c r="ABF568" s="93"/>
      <c r="ABG568" s="93"/>
      <c r="ABH568" s="93"/>
      <c r="ABI568" s="93"/>
      <c r="ABJ568" s="93"/>
      <c r="ABK568" s="93"/>
      <c r="ABL568" s="93"/>
      <c r="ABM568" s="93"/>
      <c r="ABN568" s="93"/>
      <c r="ABO568" s="93"/>
      <c r="ABP568" s="93"/>
      <c r="ABQ568" s="93"/>
      <c r="ABR568" s="93"/>
      <c r="ABS568" s="93"/>
      <c r="ABT568" s="93"/>
      <c r="ABU568" s="93"/>
      <c r="ABV568" s="93"/>
      <c r="ABW568" s="93"/>
      <c r="ABX568" s="93"/>
      <c r="ABY568" s="93"/>
      <c r="ABZ568" s="93"/>
      <c r="ACA568" s="93"/>
      <c r="ACB568" s="93"/>
      <c r="ACC568" s="93"/>
      <c r="ACD568" s="93"/>
      <c r="ACE568" s="93"/>
      <c r="ACF568" s="93"/>
      <c r="ACG568" s="93"/>
      <c r="ACH568" s="93"/>
      <c r="ACI568" s="93"/>
      <c r="ACJ568" s="93"/>
      <c r="ACK568" s="93"/>
      <c r="ACL568" s="93"/>
      <c r="ACM568" s="93"/>
      <c r="ACN568" s="93"/>
      <c r="ACO568" s="93"/>
      <c r="ACP568" s="93"/>
      <c r="ACQ568" s="93"/>
      <c r="ACR568" s="93"/>
      <c r="ACS568" s="93"/>
      <c r="ACT568" s="93"/>
      <c r="ACU568" s="93"/>
      <c r="ACV568" s="93"/>
      <c r="ACW568" s="93"/>
      <c r="ACX568" s="93"/>
      <c r="ACY568" s="93"/>
      <c r="ACZ568" s="93"/>
      <c r="ADA568" s="93"/>
      <c r="ADB568" s="93"/>
      <c r="ADC568" s="93"/>
      <c r="ADD568" s="93"/>
      <c r="ADE568" s="93"/>
      <c r="ADF568" s="93"/>
      <c r="ADG568" s="93"/>
      <c r="ADH568" s="93"/>
      <c r="ADI568" s="93"/>
      <c r="ADJ568" s="93"/>
      <c r="ADK568" s="93"/>
      <c r="ADL568" s="93"/>
      <c r="ADM568" s="93"/>
      <c r="ADN568" s="93"/>
      <c r="ADO568" s="93"/>
      <c r="ADP568" s="93"/>
      <c r="ADQ568" s="93"/>
      <c r="ADR568" s="93"/>
      <c r="ADS568" s="93"/>
      <c r="ADT568" s="93"/>
      <c r="ADU568" s="93"/>
      <c r="ADV568" s="93"/>
      <c r="ADW568" s="93"/>
      <c r="ADX568" s="93"/>
      <c r="ADY568" s="93"/>
      <c r="ADZ568" s="93"/>
      <c r="AEA568" s="93"/>
      <c r="AEB568" s="93"/>
      <c r="AEC568" s="93"/>
      <c r="AED568" s="93"/>
      <c r="AEE568" s="93"/>
      <c r="AEF568" s="93"/>
      <c r="AEG568" s="93"/>
      <c r="AEH568" s="93"/>
      <c r="AEI568" s="93"/>
      <c r="AEJ568" s="93"/>
      <c r="AEK568" s="93"/>
      <c r="AEL568" s="93"/>
      <c r="AEM568" s="93"/>
      <c r="AEN568" s="93"/>
      <c r="AEO568" s="93"/>
      <c r="AEP568" s="93"/>
      <c r="AEQ568" s="93"/>
      <c r="AER568" s="93"/>
      <c r="AES568" s="93"/>
      <c r="AET568" s="93"/>
      <c r="AEU568" s="93"/>
      <c r="AEV568" s="93"/>
      <c r="AEW568" s="93"/>
      <c r="AEX568" s="93"/>
      <c r="AEY568" s="93"/>
      <c r="AEZ568" s="93"/>
      <c r="AFA568" s="93"/>
      <c r="AFB568" s="93"/>
      <c r="AFC568" s="93"/>
      <c r="AFD568" s="93"/>
      <c r="AFE568" s="93"/>
      <c r="AFF568" s="93"/>
      <c r="AFG568" s="93"/>
      <c r="AFH568" s="93"/>
      <c r="AFI568" s="93"/>
      <c r="AFJ568" s="93"/>
      <c r="AFK568" s="93"/>
      <c r="AFL568" s="93"/>
      <c r="AFM568" s="93"/>
      <c r="AFN568" s="93"/>
      <c r="AFO568" s="93"/>
      <c r="AFP568" s="93"/>
      <c r="AFQ568" s="93"/>
      <c r="AFR568" s="93"/>
      <c r="AFS568" s="93"/>
      <c r="AFT568" s="93"/>
      <c r="AFU568" s="93"/>
      <c r="AFV568" s="93"/>
      <c r="AFW568" s="93"/>
      <c r="AFX568" s="93"/>
      <c r="AFY568" s="93"/>
      <c r="AFZ568" s="93"/>
      <c r="AGA568" s="93"/>
      <c r="AGB568" s="93"/>
      <c r="AGC568" s="93"/>
      <c r="AGD568" s="93"/>
      <c r="AGE568" s="93"/>
      <c r="AGF568" s="93"/>
      <c r="AGG568" s="93"/>
      <c r="AGH568" s="93"/>
      <c r="AGI568" s="93"/>
      <c r="AGJ568" s="93"/>
      <c r="AGK568" s="93"/>
      <c r="AGL568" s="93"/>
      <c r="AGM568" s="93"/>
      <c r="AGN568" s="93"/>
      <c r="AGO568" s="93"/>
      <c r="AGP568" s="93"/>
      <c r="AGQ568" s="93"/>
      <c r="AGR568" s="93"/>
      <c r="AGS568" s="93"/>
      <c r="AGT568" s="93"/>
      <c r="AGU568" s="93"/>
      <c r="AGV568" s="93"/>
      <c r="AGW568" s="93"/>
      <c r="AGX568" s="93"/>
      <c r="AGY568" s="93"/>
      <c r="AGZ568" s="93"/>
      <c r="AHA568" s="93"/>
      <c r="AHB568" s="93"/>
      <c r="AHC568" s="93"/>
      <c r="AHD568" s="93"/>
      <c r="AHE568" s="93"/>
      <c r="AHF568" s="93"/>
      <c r="AHG568" s="93"/>
      <c r="AHH568" s="93"/>
      <c r="AHI568" s="93"/>
      <c r="AHJ568" s="93"/>
      <c r="AHK568" s="93"/>
      <c r="AHL568" s="93"/>
      <c r="AHM568" s="93"/>
      <c r="AHN568" s="93"/>
      <c r="AHO568" s="93"/>
      <c r="AHP568" s="93"/>
      <c r="AHQ568" s="93"/>
      <c r="AHR568" s="93"/>
      <c r="AHS568" s="93"/>
      <c r="AHT568" s="93"/>
      <c r="AHU568" s="93"/>
      <c r="AHV568" s="93"/>
      <c r="AHW568" s="93"/>
      <c r="AHX568" s="93"/>
      <c r="AHY568" s="93"/>
      <c r="AHZ568" s="93"/>
      <c r="AIA568" s="93"/>
      <c r="AIB568" s="93"/>
      <c r="AIC568" s="93"/>
      <c r="AID568" s="93"/>
      <c r="AIE568" s="93"/>
      <c r="AIF568" s="93"/>
      <c r="AIG568" s="93"/>
      <c r="AIH568" s="93"/>
      <c r="AII568" s="93"/>
      <c r="AIJ568" s="93"/>
      <c r="AIK568" s="93"/>
      <c r="AIL568" s="93"/>
      <c r="AIM568" s="93"/>
      <c r="AIN568" s="93"/>
      <c r="AIO568" s="93"/>
      <c r="AIP568" s="93"/>
      <c r="AIQ568" s="93"/>
      <c r="AIR568" s="93"/>
      <c r="AIS568" s="93"/>
      <c r="AIT568" s="93"/>
      <c r="AIU568" s="93"/>
      <c r="AIV568" s="93"/>
      <c r="AIW568" s="93"/>
      <c r="AIX568" s="93"/>
      <c r="AIY568" s="93"/>
      <c r="AIZ568" s="93"/>
      <c r="AJA568" s="93"/>
      <c r="AJB568" s="93"/>
      <c r="AJC568" s="93"/>
      <c r="AJD568" s="93"/>
      <c r="AJE568" s="93"/>
      <c r="AJF568" s="93"/>
      <c r="AJG568" s="93"/>
      <c r="AJH568" s="93"/>
      <c r="AJI568" s="93"/>
      <c r="AJJ568" s="93"/>
      <c r="AJK568" s="93"/>
      <c r="AJL568" s="93"/>
      <c r="AJM568" s="93"/>
      <c r="AJN568" s="93"/>
      <c r="AJO568" s="93"/>
      <c r="AJP568" s="93"/>
      <c r="AJQ568" s="93"/>
      <c r="AJR568" s="93"/>
      <c r="AJS568" s="93"/>
      <c r="AJT568" s="93"/>
      <c r="AJU568" s="93"/>
      <c r="AJV568" s="93"/>
      <c r="AJW568" s="93"/>
      <c r="AJX568" s="93"/>
      <c r="AJY568" s="93"/>
      <c r="AJZ568" s="93"/>
      <c r="AKA568" s="93"/>
      <c r="AKB568" s="93"/>
      <c r="AKC568" s="93"/>
      <c r="AKD568" s="93"/>
      <c r="AKE568" s="93"/>
      <c r="AKF568" s="93"/>
      <c r="AKG568" s="93"/>
      <c r="AKH568" s="93"/>
      <c r="AKI568" s="93"/>
      <c r="AKJ568" s="93"/>
      <c r="AKK568" s="93"/>
      <c r="AKL568" s="93"/>
      <c r="AKM568" s="93"/>
      <c r="AKN568" s="93"/>
      <c r="AKO568" s="93"/>
      <c r="AKP568" s="93"/>
      <c r="AKQ568" s="93"/>
      <c r="AKR568" s="93"/>
      <c r="AKS568" s="93"/>
      <c r="AKT568" s="93"/>
      <c r="AKU568" s="93"/>
      <c r="AKV568" s="93"/>
      <c r="AKW568" s="93"/>
      <c r="AKX568" s="93"/>
      <c r="AKY568" s="93"/>
      <c r="AKZ568" s="93"/>
      <c r="ALA568" s="93"/>
      <c r="ALB568" s="93"/>
      <c r="ALC568" s="93"/>
      <c r="ALD568" s="93"/>
      <c r="ALE568" s="93"/>
      <c r="ALF568" s="93"/>
      <c r="ALG568" s="93"/>
      <c r="ALH568" s="93"/>
      <c r="ALI568" s="93"/>
      <c r="ALJ568" s="93"/>
      <c r="ALK568" s="93"/>
      <c r="ALL568" s="93"/>
      <c r="ALM568" s="93"/>
      <c r="ALN568" s="93"/>
      <c r="ALO568" s="93"/>
      <c r="ALP568" s="93"/>
      <c r="ALQ568" s="93"/>
      <c r="ALR568" s="93"/>
      <c r="ALS568" s="93"/>
      <c r="ALT568" s="93"/>
      <c r="ALU568" s="93"/>
      <c r="ALV568" s="93"/>
      <c r="ALW568" s="93"/>
      <c r="ALX568" s="93"/>
      <c r="ALY568" s="93"/>
      <c r="ALZ568" s="93"/>
      <c r="AMA568" s="93"/>
      <c r="AMB568" s="93"/>
      <c r="AMC568" s="93"/>
      <c r="AMD568" s="93"/>
      <c r="AME568" s="93"/>
      <c r="AMF568" s="93"/>
      <c r="AMG568" s="93"/>
      <c r="AMH568" s="93"/>
      <c r="AMI568" s="93"/>
      <c r="AMJ568" s="93"/>
      <c r="AMK568" s="93"/>
      <c r="AML568" s="93"/>
      <c r="AMM568" s="93"/>
      <c r="AMN568" s="93"/>
      <c r="AMO568" s="93"/>
      <c r="AMP568" s="93"/>
      <c r="AMQ568" s="93"/>
      <c r="AMR568" s="93"/>
      <c r="AMS568" s="93"/>
      <c r="AMT568" s="93"/>
      <c r="AMU568" s="93"/>
      <c r="AMV568" s="93"/>
      <c r="AMW568" s="93"/>
      <c r="AMX568" s="93"/>
      <c r="AMY568" s="93"/>
      <c r="AMZ568" s="93"/>
      <c r="ANA568" s="93"/>
      <c r="ANB568" s="93"/>
      <c r="ANC568" s="93"/>
      <c r="AND568" s="93"/>
      <c r="ANE568" s="93"/>
      <c r="ANF568" s="93"/>
      <c r="ANG568" s="93"/>
      <c r="ANH568" s="93"/>
      <c r="ANI568" s="93"/>
      <c r="ANJ568" s="93"/>
      <c r="ANK568" s="93"/>
      <c r="ANL568" s="93"/>
      <c r="ANM568" s="93"/>
      <c r="ANN568" s="93"/>
      <c r="ANO568" s="93"/>
      <c r="ANP568" s="93"/>
      <c r="ANQ568" s="93"/>
      <c r="ANR568" s="93"/>
      <c r="ANS568" s="93"/>
      <c r="ANT568" s="93"/>
      <c r="ANU568" s="93"/>
      <c r="ANV568" s="93"/>
      <c r="ANW568" s="93"/>
      <c r="ANX568" s="93"/>
      <c r="ANY568" s="93"/>
      <c r="ANZ568" s="93"/>
      <c r="AOA568" s="93"/>
      <c r="AOB568" s="93"/>
      <c r="AOC568" s="93"/>
      <c r="AOD568" s="93"/>
      <c r="AOE568" s="93"/>
      <c r="AOF568" s="93"/>
      <c r="AOG568" s="93"/>
      <c r="AOH568" s="93"/>
      <c r="AOI568" s="93"/>
      <c r="AOJ568" s="93"/>
      <c r="AOK568" s="93"/>
      <c r="AOL568" s="93"/>
      <c r="AOM568" s="93"/>
      <c r="AON568" s="93"/>
      <c r="AOO568" s="93"/>
      <c r="AOP568" s="93"/>
      <c r="AOQ568" s="93"/>
      <c r="AOR568" s="93"/>
      <c r="AOS568" s="93"/>
      <c r="AOT568" s="93"/>
      <c r="AOU568" s="93"/>
      <c r="AOV568" s="93"/>
      <c r="AOW568" s="93"/>
      <c r="AOX568" s="93"/>
      <c r="AOY568" s="93"/>
      <c r="AOZ568" s="93"/>
      <c r="APA568" s="93"/>
      <c r="APB568" s="93"/>
      <c r="APC568" s="93"/>
      <c r="APD568" s="93"/>
      <c r="APE568" s="93"/>
      <c r="APF568" s="93"/>
      <c r="APG568" s="93"/>
      <c r="APH568" s="93"/>
      <c r="API568" s="93"/>
      <c r="APJ568" s="93"/>
      <c r="APK568" s="93"/>
      <c r="APL568" s="93"/>
      <c r="APM568" s="93"/>
      <c r="APN568" s="93"/>
      <c r="APO568" s="93"/>
      <c r="APP568" s="93"/>
      <c r="APQ568" s="93"/>
      <c r="APR568" s="93"/>
      <c r="APS568" s="93"/>
      <c r="APT568" s="93"/>
      <c r="APU568" s="93"/>
      <c r="APV568" s="93"/>
      <c r="APW568" s="93"/>
      <c r="APX568" s="93"/>
      <c r="APY568" s="93"/>
      <c r="APZ568" s="93"/>
      <c r="AQA568" s="93"/>
      <c r="AQB568" s="93"/>
      <c r="AQC568" s="93"/>
      <c r="AQD568" s="93"/>
      <c r="AQE568" s="93"/>
      <c r="AQF568" s="93"/>
      <c r="AQG568" s="93"/>
      <c r="AQH568" s="93"/>
      <c r="AQI568" s="93"/>
      <c r="AQJ568" s="93"/>
      <c r="AQK568" s="93"/>
      <c r="AQL568" s="93"/>
      <c r="AQM568" s="93"/>
      <c r="AQN568" s="93"/>
      <c r="AQO568" s="93"/>
      <c r="AQP568" s="93"/>
      <c r="AQQ568" s="93"/>
      <c r="AQR568" s="93"/>
      <c r="AQS568" s="93"/>
      <c r="AQT568" s="93"/>
      <c r="AQU568" s="93"/>
      <c r="AQV568" s="93"/>
      <c r="AQW568" s="93"/>
      <c r="AQX568" s="93"/>
      <c r="AQY568" s="93"/>
      <c r="AQZ568" s="93"/>
      <c r="ARA568" s="93"/>
      <c r="ARB568" s="93"/>
      <c r="ARC568" s="93"/>
      <c r="ARD568" s="93"/>
      <c r="ARE568" s="93"/>
      <c r="ARF568" s="93"/>
      <c r="ARG568" s="93"/>
      <c r="ARH568" s="93"/>
      <c r="ARI568" s="93"/>
      <c r="ARJ568" s="93"/>
      <c r="ARK568" s="93"/>
      <c r="ARL568" s="93"/>
      <c r="ARM568" s="93"/>
      <c r="ARN568" s="93"/>
      <c r="ARO568" s="93"/>
      <c r="ARP568" s="93"/>
      <c r="ARQ568" s="93"/>
      <c r="ARR568" s="93"/>
      <c r="ARS568" s="93"/>
      <c r="ART568" s="93"/>
      <c r="ARU568" s="93"/>
      <c r="ARV568" s="93"/>
      <c r="ARW568" s="93"/>
      <c r="ARX568" s="93"/>
      <c r="ARY568" s="93"/>
      <c r="ARZ568" s="93"/>
      <c r="ASA568" s="93"/>
      <c r="ASB568" s="93"/>
      <c r="ASC568" s="93"/>
      <c r="ASD568" s="93"/>
      <c r="ASE568" s="93"/>
      <c r="ASF568" s="93"/>
      <c r="ASG568" s="93"/>
      <c r="ASH568" s="93"/>
      <c r="ASI568" s="93"/>
      <c r="ASJ568" s="93"/>
      <c r="ASK568" s="93"/>
      <c r="ASL568" s="93"/>
      <c r="ASM568" s="93"/>
      <c r="ASN568" s="93"/>
      <c r="ASO568" s="93"/>
      <c r="ASP568" s="93"/>
      <c r="ASQ568" s="93"/>
      <c r="ASR568" s="93"/>
      <c r="ASS568" s="93"/>
      <c r="AST568" s="93"/>
      <c r="ASU568" s="93"/>
      <c r="ASV568" s="93"/>
      <c r="ASW568" s="93"/>
      <c r="ASX568" s="93"/>
      <c r="ASY568" s="93"/>
      <c r="ASZ568" s="93"/>
      <c r="ATA568" s="93"/>
      <c r="ATB568" s="93"/>
      <c r="ATC568" s="93"/>
      <c r="ATD568" s="93"/>
      <c r="ATE568" s="93"/>
      <c r="ATF568" s="93"/>
      <c r="ATG568" s="93"/>
      <c r="ATH568" s="93"/>
      <c r="ATI568" s="93"/>
      <c r="ATJ568" s="93"/>
      <c r="ATK568" s="93"/>
      <c r="ATL568" s="93"/>
      <c r="ATM568" s="93"/>
      <c r="ATN568" s="93"/>
      <c r="ATO568" s="93"/>
      <c r="ATP568" s="93"/>
      <c r="ATQ568" s="93"/>
      <c r="ATR568" s="93"/>
      <c r="ATS568" s="93"/>
      <c r="ATT568" s="93"/>
      <c r="ATU568" s="93"/>
      <c r="ATV568" s="93"/>
      <c r="ATW568" s="93"/>
      <c r="ATX568" s="93"/>
      <c r="ATY568" s="93"/>
      <c r="ATZ568" s="93"/>
      <c r="AUA568" s="93"/>
      <c r="AUB568" s="93"/>
      <c r="AUC568" s="93"/>
      <c r="AUD568" s="93"/>
      <c r="AUE568" s="93"/>
      <c r="AUF568" s="93"/>
      <c r="AUG568" s="93"/>
      <c r="AUH568" s="93"/>
      <c r="AUI568" s="93"/>
      <c r="AUJ568" s="93"/>
      <c r="AUK568" s="93"/>
      <c r="AUL568" s="93"/>
      <c r="AUM568" s="93"/>
      <c r="AUN568" s="93"/>
      <c r="AUO568" s="93"/>
      <c r="AUP568" s="93"/>
      <c r="AUQ568" s="93"/>
      <c r="AUR568" s="93"/>
      <c r="AUS568" s="93"/>
      <c r="AUT568" s="93"/>
      <c r="AUU568" s="93"/>
      <c r="AUV568" s="93"/>
      <c r="AUW568" s="93"/>
      <c r="AUX568" s="93"/>
      <c r="AUY568" s="93"/>
      <c r="AUZ568" s="93"/>
      <c r="AVA568" s="93"/>
      <c r="AVB568" s="93"/>
      <c r="AVC568" s="93"/>
      <c r="AVD568" s="93"/>
      <c r="AVE568" s="93"/>
      <c r="AVF568" s="93"/>
      <c r="AVG568" s="93"/>
      <c r="AVH568" s="93"/>
      <c r="AVI568" s="93"/>
      <c r="AVJ568" s="93"/>
      <c r="AVK568" s="93"/>
      <c r="AVL568" s="93"/>
      <c r="AVM568" s="93"/>
      <c r="AVN568" s="93"/>
      <c r="AVO568" s="93"/>
      <c r="AVP568" s="93"/>
      <c r="AVQ568" s="93"/>
      <c r="AVR568" s="93"/>
      <c r="AVS568" s="93"/>
      <c r="AVT568" s="93"/>
      <c r="AVU568" s="93"/>
      <c r="AVV568" s="93"/>
      <c r="AVW568" s="93"/>
      <c r="AVX568" s="93"/>
      <c r="AVY568" s="93"/>
      <c r="AVZ568" s="93"/>
      <c r="AWA568" s="93"/>
      <c r="AWB568" s="93"/>
      <c r="AWC568" s="93"/>
      <c r="AWD568" s="93"/>
      <c r="AWE568" s="93"/>
      <c r="AWF568" s="93"/>
      <c r="AWG568" s="93"/>
      <c r="AWH568" s="93"/>
      <c r="AWI568" s="93"/>
      <c r="AWJ568" s="93"/>
      <c r="AWK568" s="93"/>
      <c r="AWL568" s="93"/>
      <c r="AWM568" s="93"/>
      <c r="AWN568" s="93"/>
      <c r="AWO568" s="93"/>
      <c r="AWP568" s="93"/>
      <c r="AWQ568" s="93"/>
      <c r="AWR568" s="93"/>
      <c r="AWS568" s="93"/>
      <c r="AWT568" s="93"/>
      <c r="AWU568" s="93"/>
      <c r="AWV568" s="93"/>
      <c r="AWW568" s="93"/>
      <c r="AWX568" s="93"/>
      <c r="AWY568" s="93"/>
      <c r="AWZ568" s="93"/>
      <c r="AXA568" s="93"/>
      <c r="AXB568" s="93"/>
      <c r="AXC568" s="93"/>
      <c r="AXD568" s="93"/>
      <c r="AXE568" s="93"/>
      <c r="AXF568" s="93"/>
      <c r="AXG568" s="93"/>
      <c r="AXH568" s="93"/>
      <c r="AXI568" s="93"/>
      <c r="AXJ568" s="93"/>
      <c r="AXK568" s="93"/>
      <c r="AXL568" s="93"/>
      <c r="AXM568" s="93"/>
      <c r="AXN568" s="93"/>
      <c r="AXO568" s="93"/>
      <c r="AXP568" s="93"/>
      <c r="AXQ568" s="93"/>
      <c r="AXR568" s="93"/>
      <c r="AXS568" s="93"/>
      <c r="AXT568" s="93"/>
      <c r="AXU568" s="93"/>
      <c r="AXV568" s="93"/>
      <c r="AXW568" s="93"/>
      <c r="AXX568" s="93"/>
      <c r="AXY568" s="93"/>
      <c r="AXZ568" s="93"/>
      <c r="AYA568" s="93"/>
      <c r="AYB568" s="93"/>
      <c r="AYC568" s="93"/>
      <c r="AYD568" s="93"/>
      <c r="AYE568" s="93"/>
      <c r="AYF568" s="93"/>
      <c r="AYG568" s="93"/>
      <c r="AYH568" s="93"/>
      <c r="AYI568" s="93"/>
      <c r="AYJ568" s="93"/>
      <c r="AYK568" s="93"/>
      <c r="AYL568" s="93"/>
      <c r="AYM568" s="93"/>
      <c r="AYN568" s="93"/>
      <c r="AYO568" s="93"/>
      <c r="AYP568" s="93"/>
      <c r="AYQ568" s="93"/>
      <c r="AYR568" s="93"/>
      <c r="AYS568" s="93"/>
      <c r="AYT568" s="93"/>
      <c r="AYU568" s="93"/>
      <c r="AYV568" s="93"/>
      <c r="AYW568" s="93"/>
      <c r="AYX568" s="93"/>
      <c r="AYY568" s="93"/>
      <c r="AYZ568" s="93"/>
      <c r="AZA568" s="93"/>
      <c r="AZB568" s="93"/>
      <c r="AZC568" s="93"/>
      <c r="AZD568" s="93"/>
      <c r="AZE568" s="93"/>
      <c r="AZF568" s="93"/>
      <c r="AZG568" s="93"/>
      <c r="AZH568" s="93"/>
      <c r="AZI568" s="93"/>
      <c r="AZJ568" s="93"/>
      <c r="AZK568" s="93"/>
      <c r="AZL568" s="93"/>
      <c r="AZM568" s="93"/>
      <c r="AZN568" s="93"/>
      <c r="AZO568" s="93"/>
      <c r="AZP568" s="93"/>
      <c r="AZQ568" s="93"/>
      <c r="AZR568" s="93"/>
      <c r="AZS568" s="93"/>
      <c r="AZT568" s="93"/>
      <c r="AZU568" s="93"/>
      <c r="AZV568" s="93"/>
      <c r="AZW568" s="93"/>
      <c r="AZX568" s="93"/>
      <c r="AZY568" s="93"/>
      <c r="AZZ568" s="93"/>
      <c r="BAA568" s="93"/>
      <c r="BAB568" s="93"/>
      <c r="BAC568" s="93"/>
      <c r="BAD568" s="93"/>
      <c r="BAE568" s="93"/>
      <c r="BAF568" s="93"/>
      <c r="BAG568" s="93"/>
      <c r="BAH568" s="93"/>
      <c r="BAI568" s="93"/>
      <c r="BAJ568" s="93"/>
      <c r="BAK568" s="93"/>
      <c r="BAL568" s="93"/>
      <c r="BAM568" s="93"/>
      <c r="BAN568" s="93"/>
      <c r="BAO568" s="93"/>
      <c r="BAP568" s="93"/>
      <c r="BAQ568" s="93"/>
      <c r="BAR568" s="93"/>
      <c r="BAS568" s="93"/>
      <c r="BAT568" s="93"/>
      <c r="BAU568" s="93"/>
      <c r="BAV568" s="93"/>
      <c r="BAW568" s="93"/>
      <c r="BAX568" s="93"/>
      <c r="BAY568" s="93"/>
      <c r="BAZ568" s="93"/>
      <c r="BBA568" s="93"/>
      <c r="BBB568" s="93"/>
      <c r="BBC568" s="93"/>
      <c r="BBD568" s="93"/>
      <c r="BBE568" s="93"/>
      <c r="BBF568" s="93"/>
      <c r="BBG568" s="93"/>
      <c r="BBH568" s="93"/>
      <c r="BBI568" s="93"/>
      <c r="BBJ568" s="93"/>
      <c r="BBK568" s="93"/>
      <c r="BBL568" s="93"/>
      <c r="BBM568" s="93"/>
      <c r="BBN568" s="93"/>
      <c r="BBO568" s="93"/>
      <c r="BBP568" s="93"/>
      <c r="BBQ568" s="93"/>
      <c r="BBR568" s="93"/>
      <c r="BBS568" s="93"/>
      <c r="BBT568" s="93"/>
      <c r="BBU568" s="93"/>
      <c r="BBV568" s="93"/>
      <c r="BBW568" s="93"/>
      <c r="BBX568" s="93"/>
      <c r="BBY568" s="93"/>
      <c r="BBZ568" s="93"/>
      <c r="BCA568" s="93"/>
      <c r="BCB568" s="93"/>
      <c r="BCC568" s="93"/>
      <c r="BCD568" s="93"/>
      <c r="BCE568" s="93"/>
      <c r="BCF568" s="93"/>
      <c r="BCG568" s="93"/>
      <c r="BCH568" s="93"/>
      <c r="BCI568" s="93"/>
      <c r="BCJ568" s="93"/>
      <c r="BCK568" s="93"/>
      <c r="BCL568" s="93"/>
      <c r="BCM568" s="93"/>
      <c r="BCN568" s="93"/>
      <c r="BCO568" s="93"/>
      <c r="BCP568" s="93"/>
      <c r="BCQ568" s="93"/>
      <c r="BCR568" s="93"/>
      <c r="BCS568" s="93"/>
      <c r="BCT568" s="93"/>
      <c r="BCU568" s="93"/>
      <c r="BCV568" s="93"/>
      <c r="BCW568" s="93"/>
      <c r="BCX568" s="93"/>
      <c r="BCY568" s="93"/>
      <c r="BCZ568" s="93"/>
      <c r="BDA568" s="93"/>
      <c r="BDB568" s="93"/>
      <c r="BDC568" s="93"/>
      <c r="BDD568" s="93"/>
      <c r="BDE568" s="93"/>
      <c r="BDF568" s="93"/>
      <c r="BDG568" s="93"/>
      <c r="BDH568" s="93"/>
      <c r="BDI568" s="93"/>
      <c r="BDJ568" s="93"/>
      <c r="BDK568" s="93"/>
      <c r="BDL568" s="93"/>
      <c r="BDM568" s="93"/>
      <c r="BDN568" s="93"/>
      <c r="BDO568" s="93"/>
      <c r="BDP568" s="93"/>
      <c r="BDQ568" s="93"/>
      <c r="BDR568" s="93"/>
      <c r="BDS568" s="93"/>
      <c r="BDT568" s="93"/>
      <c r="BDU568" s="93"/>
      <c r="BDV568" s="93"/>
      <c r="BDW568" s="93"/>
      <c r="BDX568" s="93"/>
      <c r="BDY568" s="93"/>
      <c r="BDZ568" s="93"/>
      <c r="BEA568" s="93"/>
      <c r="BEB568" s="93"/>
      <c r="BEC568" s="93"/>
      <c r="BED568" s="93"/>
      <c r="BEE568" s="93"/>
      <c r="BEF568" s="93"/>
      <c r="BEG568" s="93"/>
      <c r="BEH568" s="93"/>
      <c r="BEI568" s="93"/>
      <c r="BEJ568" s="93"/>
      <c r="BEK568" s="93"/>
      <c r="BEL568" s="93"/>
      <c r="BEM568" s="93"/>
      <c r="BEN568" s="93"/>
      <c r="BEO568" s="93"/>
      <c r="BEP568" s="93"/>
      <c r="BEQ568" s="93"/>
      <c r="BER568" s="93"/>
      <c r="BES568" s="93"/>
      <c r="BET568" s="93"/>
      <c r="BEU568" s="93"/>
      <c r="BEV568" s="93"/>
      <c r="BEW568" s="93"/>
      <c r="BEX568" s="93"/>
      <c r="BEY568" s="93"/>
      <c r="BEZ568" s="93"/>
      <c r="BFA568" s="93"/>
      <c r="BFB568" s="93"/>
      <c r="BFC568" s="93"/>
      <c r="BFD568" s="93"/>
      <c r="BFE568" s="93"/>
      <c r="BFF568" s="93"/>
      <c r="BFG568" s="93"/>
      <c r="BFH568" s="93"/>
      <c r="BFI568" s="93"/>
      <c r="BFJ568" s="93"/>
      <c r="BFK568" s="93"/>
      <c r="BFL568" s="93"/>
      <c r="BFM568" s="93"/>
      <c r="BFN568" s="93"/>
      <c r="BFO568" s="93"/>
      <c r="BFP568" s="93"/>
      <c r="BFQ568" s="93"/>
      <c r="BFR568" s="93"/>
      <c r="BFS568" s="93"/>
      <c r="BFT568" s="93"/>
      <c r="BFU568" s="93"/>
      <c r="BFV568" s="93"/>
      <c r="BFW568" s="93"/>
      <c r="BFX568" s="93"/>
      <c r="BFY568" s="93"/>
      <c r="BFZ568" s="93"/>
      <c r="BGA568" s="93"/>
      <c r="BGB568" s="93"/>
      <c r="BGC568" s="93"/>
      <c r="BGD568" s="93"/>
      <c r="BGE568" s="93"/>
      <c r="BGF568" s="93"/>
      <c r="BGG568" s="93"/>
      <c r="BGH568" s="93"/>
      <c r="BGI568" s="93"/>
      <c r="BGJ568" s="93"/>
      <c r="BGK568" s="93"/>
      <c r="BGL568" s="93"/>
      <c r="BGM568" s="93"/>
      <c r="BGN568" s="93"/>
      <c r="BGO568" s="93"/>
      <c r="BGP568" s="93"/>
      <c r="BGQ568" s="93"/>
      <c r="BGR568" s="93"/>
      <c r="BGS568" s="93"/>
      <c r="BGT568" s="93"/>
      <c r="BGU568" s="93"/>
      <c r="BGV568" s="93"/>
      <c r="BGW568" s="93"/>
      <c r="BGX568" s="93"/>
      <c r="BGY568" s="93"/>
      <c r="BGZ568" s="93"/>
      <c r="BHA568" s="93"/>
      <c r="BHB568" s="93"/>
      <c r="BHC568" s="93"/>
      <c r="BHD568" s="93"/>
      <c r="BHE568" s="93"/>
      <c r="BHF568" s="93"/>
      <c r="BHG568" s="93"/>
      <c r="BHH568" s="93"/>
      <c r="BHI568" s="93"/>
      <c r="BHJ568" s="93"/>
      <c r="BHK568" s="93"/>
      <c r="BHL568" s="93"/>
      <c r="BHM568" s="93"/>
      <c r="BHN568" s="93"/>
      <c r="BHO568" s="93"/>
      <c r="BHP568" s="93"/>
      <c r="BHQ568" s="93"/>
      <c r="BHR568" s="93"/>
      <c r="BHS568" s="93"/>
      <c r="BHT568" s="93"/>
      <c r="BHU568" s="93"/>
      <c r="BHV568" s="93"/>
      <c r="BHW568" s="93"/>
      <c r="BHX568" s="93"/>
      <c r="BHY568" s="93"/>
      <c r="BHZ568" s="93"/>
      <c r="BIA568" s="93"/>
      <c r="BIB568" s="93"/>
      <c r="BIC568" s="93"/>
      <c r="BID568" s="93"/>
      <c r="BIE568" s="93"/>
      <c r="BIF568" s="93"/>
      <c r="BIG568" s="93"/>
      <c r="BIH568" s="93"/>
      <c r="BII568" s="93"/>
      <c r="BIJ568" s="93"/>
      <c r="BIK568" s="93"/>
      <c r="BIL568" s="93"/>
      <c r="BIM568" s="93"/>
      <c r="BIN568" s="93"/>
      <c r="BIO568" s="93"/>
      <c r="BIP568" s="93"/>
      <c r="BIQ568" s="93"/>
      <c r="BIR568" s="93"/>
      <c r="BIS568" s="93"/>
      <c r="BIT568" s="93"/>
      <c r="BIU568" s="93"/>
      <c r="BIV568" s="93"/>
      <c r="BIW568" s="93"/>
      <c r="BIX568" s="93"/>
      <c r="BIY568" s="93"/>
      <c r="BIZ568" s="93"/>
      <c r="BJA568" s="93"/>
      <c r="BJB568" s="93"/>
      <c r="BJC568" s="93"/>
      <c r="BJD568" s="93"/>
      <c r="BJE568" s="93"/>
      <c r="BJF568" s="93"/>
      <c r="BJG568" s="93"/>
      <c r="BJH568" s="93"/>
      <c r="BJI568" s="93"/>
      <c r="BJJ568" s="93"/>
      <c r="BJK568" s="93"/>
      <c r="BJL568" s="93"/>
      <c r="BJM568" s="93"/>
      <c r="BJN568" s="93"/>
      <c r="BJO568" s="93"/>
      <c r="BJP568" s="93"/>
      <c r="BJQ568" s="93"/>
      <c r="BJR568" s="93"/>
      <c r="BJS568" s="93"/>
      <c r="BJT568" s="93"/>
      <c r="BJU568" s="93"/>
      <c r="BJV568" s="93"/>
      <c r="BJW568" s="93"/>
      <c r="BJX568" s="93"/>
      <c r="BJY568" s="93"/>
      <c r="BJZ568" s="93"/>
      <c r="BKA568" s="93"/>
      <c r="BKB568" s="93"/>
      <c r="BKC568" s="93"/>
      <c r="BKD568" s="93"/>
      <c r="BKE568" s="93"/>
      <c r="BKF568" s="93"/>
      <c r="BKG568" s="93"/>
      <c r="BKH568" s="93"/>
      <c r="BKI568" s="93"/>
      <c r="BKJ568" s="93"/>
      <c r="BKK568" s="93"/>
      <c r="BKL568" s="93"/>
      <c r="BKM568" s="93"/>
      <c r="BKN568" s="93"/>
      <c r="BKO568" s="93"/>
      <c r="BKP568" s="93"/>
      <c r="BKQ568" s="93"/>
      <c r="BKR568" s="93"/>
      <c r="BKS568" s="93"/>
      <c r="BKT568" s="93"/>
      <c r="BKU568" s="93"/>
      <c r="BKV568" s="93"/>
      <c r="BKW568" s="93"/>
      <c r="BKX568" s="93"/>
      <c r="BKY568" s="93"/>
      <c r="BKZ568" s="93"/>
      <c r="BLA568" s="93"/>
      <c r="BLB568" s="93"/>
      <c r="BLC568" s="93"/>
      <c r="BLD568" s="93"/>
      <c r="BLE568" s="93"/>
      <c r="BLF568" s="93"/>
      <c r="BLG568" s="93"/>
      <c r="BLH568" s="93"/>
      <c r="BLI568" s="93"/>
      <c r="BLJ568" s="93"/>
      <c r="BLK568" s="93"/>
      <c r="BLL568" s="93"/>
      <c r="BLM568" s="93"/>
      <c r="BLN568" s="93"/>
      <c r="BLO568" s="93"/>
      <c r="BLP568" s="93"/>
      <c r="BLQ568" s="93"/>
      <c r="BLR568" s="93"/>
      <c r="BLS568" s="93"/>
      <c r="BLT568" s="93"/>
      <c r="BLU568" s="93"/>
      <c r="BLV568" s="93"/>
      <c r="BLW568" s="93"/>
      <c r="BLX568" s="93"/>
      <c r="BLY568" s="93"/>
      <c r="BLZ568" s="93"/>
      <c r="BMA568" s="93"/>
      <c r="BMB568" s="93"/>
      <c r="BMC568" s="93"/>
      <c r="BMD568" s="93"/>
      <c r="BME568" s="93"/>
      <c r="BMF568" s="93"/>
      <c r="BMG568" s="93"/>
      <c r="BMH568" s="93"/>
      <c r="BMI568" s="93"/>
      <c r="BMJ568" s="93"/>
      <c r="BMK568" s="93"/>
      <c r="BML568" s="93"/>
      <c r="BMM568" s="93"/>
      <c r="BMN568" s="93"/>
      <c r="BMO568" s="93"/>
      <c r="BMP568" s="93"/>
      <c r="BMQ568" s="93"/>
      <c r="BMR568" s="93"/>
      <c r="BMS568" s="93"/>
      <c r="BMT568" s="93"/>
      <c r="BMU568" s="93"/>
      <c r="BMV568" s="93"/>
      <c r="BMW568" s="93"/>
      <c r="BMX568" s="93"/>
      <c r="BMY568" s="93"/>
      <c r="BMZ568" s="93"/>
      <c r="BNA568" s="93"/>
      <c r="BNB568" s="93"/>
      <c r="BNC568" s="93"/>
      <c r="BND568" s="93"/>
      <c r="BNE568" s="93"/>
      <c r="BNF568" s="93"/>
      <c r="BNG568" s="93"/>
      <c r="BNH568" s="93"/>
      <c r="BNI568" s="93"/>
      <c r="BNJ568" s="93"/>
      <c r="BNK568" s="93"/>
      <c r="BNL568" s="93"/>
      <c r="BNM568" s="93"/>
      <c r="BNN568" s="93"/>
      <c r="BNO568" s="93"/>
      <c r="BNP568" s="93"/>
      <c r="BNQ568" s="93"/>
      <c r="BNR568" s="93"/>
      <c r="BNS568" s="93"/>
      <c r="BNT568" s="93"/>
      <c r="BNU568" s="93"/>
      <c r="BNV568" s="93"/>
      <c r="BNW568" s="93"/>
      <c r="BNX568" s="93"/>
      <c r="BNY568" s="93"/>
      <c r="BNZ568" s="93"/>
      <c r="BOA568" s="93"/>
      <c r="BOB568" s="93"/>
      <c r="BOC568" s="93"/>
      <c r="BOD568" s="93"/>
      <c r="BOE568" s="93"/>
      <c r="BOF568" s="93"/>
      <c r="BOG568" s="93"/>
      <c r="BOH568" s="93"/>
      <c r="BOI568" s="93"/>
      <c r="BOJ568" s="93"/>
      <c r="BOK568" s="93"/>
      <c r="BOL568" s="93"/>
      <c r="BOM568" s="93"/>
      <c r="BON568" s="93"/>
      <c r="BOO568" s="93"/>
      <c r="BOP568" s="93"/>
      <c r="BOQ568" s="93"/>
      <c r="BOR568" s="93"/>
      <c r="BOS568" s="93"/>
      <c r="BOT568" s="93"/>
      <c r="BOU568" s="93"/>
      <c r="BOV568" s="93"/>
      <c r="BOW568" s="93"/>
      <c r="BOX568" s="93"/>
      <c r="BOY568" s="93"/>
      <c r="BOZ568" s="93"/>
      <c r="BPA568" s="93"/>
      <c r="BPB568" s="93"/>
      <c r="BPC568" s="93"/>
      <c r="BPD568" s="93"/>
      <c r="BPE568" s="93"/>
      <c r="BPF568" s="93"/>
      <c r="BPG568" s="93"/>
      <c r="BPH568" s="93"/>
      <c r="BPI568" s="93"/>
      <c r="BPJ568" s="93"/>
      <c r="BPK568" s="93"/>
      <c r="BPL568" s="93"/>
      <c r="BPM568" s="93"/>
      <c r="BPN568" s="93"/>
      <c r="BPO568" s="93"/>
      <c r="BPP568" s="93"/>
      <c r="BPQ568" s="93"/>
      <c r="BPR568" s="93"/>
      <c r="BPS568" s="93"/>
      <c r="BPT568" s="93"/>
      <c r="BPU568" s="93"/>
      <c r="BPV568" s="93"/>
      <c r="BPW568" s="93"/>
      <c r="BPX568" s="93"/>
      <c r="BPY568" s="93"/>
      <c r="BPZ568" s="93"/>
      <c r="BQA568" s="93"/>
      <c r="BQB568" s="93"/>
      <c r="BQC568" s="93"/>
      <c r="BQD568" s="93"/>
      <c r="BQE568" s="93"/>
      <c r="BQF568" s="93"/>
      <c r="BQG568" s="93"/>
      <c r="BQH568" s="93"/>
      <c r="BQI568" s="93"/>
      <c r="BQJ568" s="93"/>
      <c r="BQK568" s="93"/>
      <c r="BQL568" s="93"/>
      <c r="BQM568" s="93"/>
      <c r="BQN568" s="93"/>
      <c r="BQO568" s="93"/>
      <c r="BQP568" s="93"/>
      <c r="BQQ568" s="93"/>
      <c r="BQR568" s="93"/>
      <c r="BQS568" s="93"/>
      <c r="BQT568" s="93"/>
      <c r="BQU568" s="93"/>
      <c r="BQV568" s="93"/>
      <c r="BQW568" s="93"/>
      <c r="BQX568" s="93"/>
      <c r="BQY568" s="93"/>
      <c r="BQZ568" s="93"/>
      <c r="BRA568" s="93"/>
      <c r="BRB568" s="93"/>
      <c r="BRC568" s="93"/>
      <c r="BRD568" s="93"/>
      <c r="BRE568" s="93"/>
      <c r="BRF568" s="93"/>
      <c r="BRG568" s="93"/>
      <c r="BRH568" s="93"/>
      <c r="BRI568" s="93"/>
      <c r="BRJ568" s="93"/>
      <c r="BRK568" s="93"/>
      <c r="BRL568" s="93"/>
      <c r="BRM568" s="93"/>
      <c r="BRN568" s="93"/>
      <c r="BRO568" s="93"/>
      <c r="BRP568" s="93"/>
      <c r="BRQ568" s="93"/>
      <c r="BRR568" s="93"/>
      <c r="BRS568" s="93"/>
      <c r="BRT568" s="93"/>
      <c r="BRU568" s="93"/>
      <c r="BRV568" s="93"/>
      <c r="BRW568" s="93"/>
      <c r="BRX568" s="93"/>
      <c r="BRY568" s="93"/>
      <c r="BRZ568" s="93"/>
      <c r="BSA568" s="93"/>
      <c r="BSB568" s="93"/>
      <c r="BSC568" s="93"/>
      <c r="BSD568" s="93"/>
      <c r="BSE568" s="93"/>
      <c r="BSF568" s="93"/>
      <c r="BSG568" s="93"/>
      <c r="BSH568" s="93"/>
      <c r="BSI568" s="93"/>
      <c r="BSJ568" s="93"/>
      <c r="BSK568" s="93"/>
      <c r="BSL568" s="93"/>
      <c r="BSM568" s="93"/>
      <c r="BSN568" s="93"/>
      <c r="BSO568" s="93"/>
      <c r="BSP568" s="93"/>
      <c r="BSQ568" s="93"/>
      <c r="BSR568" s="93"/>
      <c r="BSS568" s="93"/>
      <c r="BST568" s="93"/>
      <c r="BSU568" s="93"/>
      <c r="BSV568" s="93"/>
      <c r="BSW568" s="93"/>
      <c r="BSX568" s="93"/>
      <c r="BSY568" s="93"/>
      <c r="BSZ568" s="93"/>
      <c r="BTA568" s="93"/>
      <c r="BTB568" s="93"/>
      <c r="BTC568" s="93"/>
      <c r="BTD568" s="93"/>
      <c r="BTE568" s="93"/>
      <c r="BTF568" s="93"/>
      <c r="BTG568" s="93"/>
      <c r="BTH568" s="93"/>
      <c r="BTI568" s="93"/>
      <c r="BTJ568" s="93"/>
      <c r="BTK568" s="93"/>
      <c r="BTL568" s="93"/>
      <c r="BTM568" s="93"/>
      <c r="BTN568" s="93"/>
      <c r="BTO568" s="93"/>
      <c r="BTP568" s="93"/>
      <c r="BTQ568" s="93"/>
      <c r="BTR568" s="93"/>
      <c r="BTS568" s="93"/>
      <c r="BTT568" s="93"/>
      <c r="BTU568" s="93"/>
      <c r="BTV568" s="93"/>
      <c r="BTW568" s="93"/>
      <c r="BTX568" s="93"/>
      <c r="BTY568" s="93"/>
      <c r="BTZ568" s="93"/>
      <c r="BUA568" s="93"/>
      <c r="BUB568" s="93"/>
      <c r="BUC568" s="93"/>
      <c r="BUD568" s="93"/>
      <c r="BUE568" s="93"/>
      <c r="BUF568" s="93"/>
      <c r="BUG568" s="93"/>
      <c r="BUH568" s="93"/>
      <c r="BUI568" s="93"/>
      <c r="BUJ568" s="93"/>
      <c r="BUK568" s="93"/>
      <c r="BUL568" s="93"/>
      <c r="BUM568" s="93"/>
      <c r="BUN568" s="93"/>
      <c r="BUO568" s="93"/>
      <c r="BUP568" s="93"/>
      <c r="BUQ568" s="93"/>
      <c r="BUR568" s="93"/>
      <c r="BUS568" s="93"/>
      <c r="BUT568" s="93"/>
      <c r="BUU568" s="93"/>
      <c r="BUV568" s="93"/>
      <c r="BUW568" s="93"/>
      <c r="BUX568" s="93"/>
      <c r="BUY568" s="93"/>
      <c r="BUZ568" s="93"/>
      <c r="BVA568" s="93"/>
      <c r="BVB568" s="93"/>
      <c r="BVC568" s="93"/>
      <c r="BVD568" s="93"/>
      <c r="BVE568" s="93"/>
      <c r="BVF568" s="93"/>
      <c r="BVG568" s="93"/>
      <c r="BVH568" s="93"/>
      <c r="BVI568" s="93"/>
      <c r="BVJ568" s="93"/>
      <c r="BVK568" s="93"/>
      <c r="BVL568" s="93"/>
      <c r="BVM568" s="93"/>
      <c r="BVN568" s="93"/>
      <c r="BVO568" s="93"/>
      <c r="BVP568" s="93"/>
      <c r="BVQ568" s="93"/>
      <c r="BVR568" s="93"/>
      <c r="BVS568" s="93"/>
      <c r="BVT568" s="93"/>
      <c r="BVU568" s="93"/>
      <c r="BVV568" s="93"/>
      <c r="BVW568" s="93"/>
      <c r="BVX568" s="93"/>
      <c r="BVY568" s="93"/>
      <c r="BVZ568" s="93"/>
      <c r="BWA568" s="93"/>
      <c r="BWB568" s="93"/>
      <c r="BWC568" s="93"/>
      <c r="BWD568" s="93"/>
      <c r="BWE568" s="93"/>
      <c r="BWF568" s="93"/>
      <c r="BWG568" s="93"/>
      <c r="BWH568" s="93"/>
      <c r="BWI568" s="93"/>
      <c r="BWJ568" s="93"/>
      <c r="BWK568" s="93"/>
      <c r="BWL568" s="93"/>
      <c r="BWM568" s="93"/>
      <c r="BWN568" s="93"/>
      <c r="BWO568" s="93"/>
      <c r="BWP568" s="93"/>
      <c r="BWQ568" s="93"/>
      <c r="BWR568" s="93"/>
      <c r="BWS568" s="93"/>
      <c r="BWT568" s="93"/>
      <c r="BWU568" s="93"/>
      <c r="BWV568" s="93"/>
      <c r="BWW568" s="93"/>
      <c r="BWX568" s="93"/>
      <c r="BWY568" s="93"/>
      <c r="BWZ568" s="93"/>
      <c r="BXA568" s="93"/>
      <c r="BXB568" s="93"/>
      <c r="BXC568" s="93"/>
      <c r="BXD568" s="93"/>
      <c r="BXE568" s="93"/>
      <c r="BXF568" s="93"/>
      <c r="BXG568" s="93"/>
      <c r="BXH568" s="93"/>
      <c r="BXI568" s="93"/>
      <c r="BXJ568" s="93"/>
      <c r="BXK568" s="93"/>
      <c r="BXL568" s="93"/>
      <c r="BXM568" s="93"/>
      <c r="BXN568" s="93"/>
      <c r="BXO568" s="93"/>
      <c r="BXP568" s="93"/>
      <c r="BXQ568" s="93"/>
      <c r="BXR568" s="93"/>
      <c r="BXS568" s="93"/>
      <c r="BXT568" s="93"/>
      <c r="BXU568" s="93"/>
      <c r="BXV568" s="93"/>
      <c r="BXW568" s="93"/>
      <c r="BXX568" s="93"/>
      <c r="BXY568" s="93"/>
      <c r="BXZ568" s="93"/>
      <c r="BYA568" s="93"/>
      <c r="BYB568" s="93"/>
      <c r="BYC568" s="93"/>
      <c r="BYD568" s="93"/>
      <c r="BYE568" s="93"/>
      <c r="BYF568" s="93"/>
      <c r="BYG568" s="93"/>
      <c r="BYH568" s="93"/>
      <c r="BYI568" s="93"/>
      <c r="BYJ568" s="93"/>
      <c r="BYK568" s="93"/>
      <c r="BYL568" s="93"/>
      <c r="BYM568" s="93"/>
      <c r="BYN568" s="93"/>
      <c r="BYO568" s="93"/>
      <c r="BYP568" s="93"/>
      <c r="BYQ568" s="93"/>
      <c r="BYR568" s="93"/>
      <c r="BYS568" s="93"/>
      <c r="BYT568" s="93"/>
      <c r="BYU568" s="93"/>
      <c r="BYV568" s="93"/>
      <c r="BYW568" s="93"/>
      <c r="BYX568" s="93"/>
      <c r="BYY568" s="93"/>
      <c r="BYZ568" s="93"/>
      <c r="BZA568" s="93"/>
      <c r="BZB568" s="93"/>
      <c r="BZC568" s="93"/>
      <c r="BZD568" s="93"/>
      <c r="BZE568" s="93"/>
      <c r="BZF568" s="93"/>
      <c r="BZG568" s="93"/>
      <c r="BZH568" s="93"/>
      <c r="BZI568" s="93"/>
      <c r="BZJ568" s="93"/>
      <c r="BZK568" s="93"/>
      <c r="BZL568" s="93"/>
      <c r="BZM568" s="93"/>
      <c r="BZN568" s="93"/>
      <c r="BZO568" s="93"/>
      <c r="BZP568" s="93"/>
      <c r="BZQ568" s="93"/>
      <c r="BZR568" s="93"/>
      <c r="BZS568" s="93"/>
      <c r="BZT568" s="93"/>
      <c r="BZU568" s="93"/>
      <c r="BZV568" s="93"/>
      <c r="BZW568" s="93"/>
      <c r="BZX568" s="93"/>
      <c r="BZY568" s="93"/>
      <c r="BZZ568" s="93"/>
      <c r="CAA568" s="93"/>
      <c r="CAB568" s="93"/>
      <c r="CAC568" s="93"/>
      <c r="CAD568" s="93"/>
      <c r="CAE568" s="93"/>
      <c r="CAF568" s="93"/>
      <c r="CAG568" s="93"/>
      <c r="CAH568" s="93"/>
      <c r="CAI568" s="93"/>
      <c r="CAJ568" s="93"/>
      <c r="CAK568" s="93"/>
      <c r="CAL568" s="93"/>
      <c r="CAM568" s="93"/>
      <c r="CAN568" s="93"/>
      <c r="CAO568" s="93"/>
      <c r="CAP568" s="93"/>
      <c r="CAQ568" s="93"/>
      <c r="CAR568" s="93"/>
      <c r="CAS568" s="93"/>
      <c r="CAT568" s="93"/>
      <c r="CAU568" s="93"/>
      <c r="CAV568" s="93"/>
      <c r="CAW568" s="93"/>
      <c r="CAX568" s="93"/>
      <c r="CAY568" s="93"/>
      <c r="CAZ568" s="93"/>
      <c r="CBA568" s="93"/>
      <c r="CBB568" s="93"/>
      <c r="CBC568" s="93"/>
      <c r="CBD568" s="93"/>
      <c r="CBE568" s="93"/>
      <c r="CBF568" s="93"/>
      <c r="CBG568" s="93"/>
      <c r="CBH568" s="93"/>
      <c r="CBI568" s="93"/>
      <c r="CBJ568" s="93"/>
      <c r="CBK568" s="93"/>
      <c r="CBL568" s="93"/>
      <c r="CBM568" s="93"/>
      <c r="CBN568" s="93"/>
      <c r="CBO568" s="93"/>
      <c r="CBP568" s="93"/>
      <c r="CBQ568" s="93"/>
      <c r="CBR568" s="93"/>
      <c r="CBS568" s="93"/>
      <c r="CBT568" s="93"/>
      <c r="CBU568" s="93"/>
      <c r="CBV568" s="93"/>
      <c r="CBW568" s="93"/>
      <c r="CBX568" s="93"/>
      <c r="CBY568" s="93"/>
      <c r="CBZ568" s="93"/>
      <c r="CCA568" s="93"/>
      <c r="CCB568" s="93"/>
      <c r="CCC568" s="93"/>
      <c r="CCD568" s="93"/>
      <c r="CCE568" s="93"/>
      <c r="CCF568" s="93"/>
      <c r="CCG568" s="93"/>
      <c r="CCH568" s="93"/>
      <c r="CCI568" s="93"/>
      <c r="CCJ568" s="93"/>
      <c r="CCK568" s="93"/>
      <c r="CCL568" s="93"/>
      <c r="CCM568" s="93"/>
      <c r="CCN568" s="93"/>
      <c r="CCO568" s="93"/>
      <c r="CCP568" s="93"/>
      <c r="CCQ568" s="93"/>
      <c r="CCR568" s="93"/>
      <c r="CCS568" s="93"/>
      <c r="CCT568" s="93"/>
      <c r="CCU568" s="93"/>
      <c r="CCV568" s="93"/>
      <c r="CCW568" s="93"/>
      <c r="CCX568" s="93"/>
      <c r="CCY568" s="93"/>
      <c r="CCZ568" s="93"/>
      <c r="CDA568" s="93"/>
      <c r="CDB568" s="93"/>
      <c r="CDC568" s="93"/>
      <c r="CDD568" s="93"/>
      <c r="CDE568" s="93"/>
      <c r="CDF568" s="93"/>
      <c r="CDG568" s="93"/>
      <c r="CDH568" s="93"/>
      <c r="CDI568" s="93"/>
      <c r="CDJ568" s="93"/>
      <c r="CDK568" s="93"/>
      <c r="CDL568" s="93"/>
      <c r="CDM568" s="93"/>
      <c r="CDN568" s="93"/>
      <c r="CDO568" s="93"/>
      <c r="CDP568" s="93"/>
      <c r="CDQ568" s="93"/>
      <c r="CDR568" s="93"/>
      <c r="CDS568" s="93"/>
      <c r="CDT568" s="93"/>
      <c r="CDU568" s="93"/>
      <c r="CDV568" s="93"/>
      <c r="CDW568" s="93"/>
      <c r="CDX568" s="93"/>
      <c r="CDY568" s="93"/>
      <c r="CDZ568" s="93"/>
      <c r="CEA568" s="93"/>
      <c r="CEB568" s="93"/>
      <c r="CEC568" s="93"/>
      <c r="CED568" s="93"/>
      <c r="CEE568" s="93"/>
      <c r="CEF568" s="93"/>
      <c r="CEG568" s="93"/>
      <c r="CEH568" s="93"/>
      <c r="CEI568" s="93"/>
      <c r="CEJ568" s="93"/>
      <c r="CEK568" s="93"/>
      <c r="CEL568" s="93"/>
      <c r="CEM568" s="93"/>
      <c r="CEN568" s="93"/>
      <c r="CEO568" s="93"/>
      <c r="CEP568" s="93"/>
      <c r="CEQ568" s="93"/>
      <c r="CER568" s="93"/>
      <c r="CES568" s="93"/>
      <c r="CET568" s="93"/>
      <c r="CEU568" s="93"/>
      <c r="CEV568" s="93"/>
      <c r="CEW568" s="93"/>
      <c r="CEX568" s="93"/>
      <c r="CEY568" s="93"/>
      <c r="CEZ568" s="93"/>
      <c r="CFA568" s="93"/>
      <c r="CFB568" s="93"/>
      <c r="CFC568" s="93"/>
      <c r="CFD568" s="93"/>
      <c r="CFE568" s="93"/>
      <c r="CFF568" s="93"/>
      <c r="CFG568" s="93"/>
      <c r="CFH568" s="93"/>
      <c r="CFI568" s="93"/>
      <c r="CFJ568" s="93"/>
      <c r="CFK568" s="93"/>
      <c r="CFL568" s="93"/>
      <c r="CFM568" s="93"/>
      <c r="CFN568" s="93"/>
      <c r="CFO568" s="93"/>
      <c r="CFP568" s="93"/>
      <c r="CFQ568" s="93"/>
      <c r="CFR568" s="93"/>
      <c r="CFS568" s="93"/>
      <c r="CFT568" s="93"/>
      <c r="CFU568" s="93"/>
      <c r="CFV568" s="93"/>
      <c r="CFW568" s="93"/>
      <c r="CFX568" s="93"/>
      <c r="CFY568" s="93"/>
      <c r="CFZ568" s="93"/>
      <c r="CGA568" s="93"/>
      <c r="CGB568" s="93"/>
      <c r="CGC568" s="93"/>
      <c r="CGD568" s="93"/>
      <c r="CGE568" s="93"/>
      <c r="CGF568" s="93"/>
      <c r="CGG568" s="93"/>
      <c r="CGH568" s="93"/>
      <c r="CGI568" s="93"/>
      <c r="CGJ568" s="93"/>
      <c r="CGK568" s="93"/>
      <c r="CGL568" s="93"/>
      <c r="CGM568" s="93"/>
      <c r="CGN568" s="93"/>
      <c r="CGO568" s="93"/>
      <c r="CGP568" s="93"/>
      <c r="CGQ568" s="93"/>
      <c r="CGR568" s="93"/>
      <c r="CGS568" s="93"/>
      <c r="CGT568" s="93"/>
      <c r="CGU568" s="93"/>
      <c r="CGV568" s="93"/>
      <c r="CGW568" s="93"/>
      <c r="CGX568" s="93"/>
      <c r="CGY568" s="93"/>
      <c r="CGZ568" s="93"/>
      <c r="CHA568" s="93"/>
      <c r="CHB568" s="93"/>
      <c r="CHC568" s="93"/>
      <c r="CHD568" s="93"/>
      <c r="CHE568" s="93"/>
      <c r="CHF568" s="93"/>
      <c r="CHG568" s="93"/>
      <c r="CHH568" s="93"/>
      <c r="CHI568" s="93"/>
      <c r="CHJ568" s="93"/>
      <c r="CHK568" s="93"/>
      <c r="CHL568" s="93"/>
      <c r="CHM568" s="93"/>
      <c r="CHN568" s="93"/>
      <c r="CHO568" s="93"/>
      <c r="CHP568" s="93"/>
      <c r="CHQ568" s="93"/>
      <c r="CHR568" s="93"/>
      <c r="CHS568" s="93"/>
      <c r="CHT568" s="93"/>
      <c r="CHU568" s="93"/>
      <c r="CHV568" s="93"/>
      <c r="CHW568" s="93"/>
      <c r="CHX568" s="93"/>
      <c r="CHY568" s="93"/>
      <c r="CHZ568" s="93"/>
      <c r="CIA568" s="93"/>
      <c r="CIB568" s="93"/>
      <c r="CIC568" s="93"/>
      <c r="CID568" s="93"/>
      <c r="CIE568" s="93"/>
      <c r="CIF568" s="93"/>
      <c r="CIG568" s="93"/>
      <c r="CIH568" s="93"/>
      <c r="CII568" s="93"/>
      <c r="CIJ568" s="93"/>
      <c r="CIK568" s="93"/>
      <c r="CIL568" s="93"/>
      <c r="CIM568" s="93"/>
      <c r="CIN568" s="93"/>
      <c r="CIO568" s="93"/>
      <c r="CIP568" s="93"/>
      <c r="CIQ568" s="93"/>
      <c r="CIR568" s="93"/>
      <c r="CIS568" s="93"/>
      <c r="CIT568" s="93"/>
      <c r="CIU568" s="93"/>
      <c r="CIV568" s="93"/>
      <c r="CIW568" s="93"/>
      <c r="CIX568" s="93"/>
      <c r="CIY568" s="93"/>
      <c r="CIZ568" s="93"/>
      <c r="CJA568" s="93"/>
      <c r="CJB568" s="93"/>
      <c r="CJC568" s="93"/>
      <c r="CJD568" s="93"/>
      <c r="CJE568" s="93"/>
      <c r="CJF568" s="93"/>
      <c r="CJG568" s="93"/>
      <c r="CJH568" s="93"/>
      <c r="CJI568" s="93"/>
      <c r="CJJ568" s="93"/>
      <c r="CJK568" s="93"/>
      <c r="CJL568" s="93"/>
      <c r="CJM568" s="93"/>
      <c r="CJN568" s="93"/>
      <c r="CJO568" s="93"/>
      <c r="CJP568" s="93"/>
      <c r="CJQ568" s="93"/>
      <c r="CJR568" s="93"/>
      <c r="CJS568" s="93"/>
      <c r="CJT568" s="93"/>
      <c r="CJU568" s="93"/>
      <c r="CJV568" s="93"/>
      <c r="CJW568" s="93"/>
      <c r="CJX568" s="93"/>
      <c r="CJY568" s="93"/>
      <c r="CJZ568" s="93"/>
      <c r="CKA568" s="93"/>
      <c r="CKB568" s="93"/>
      <c r="CKC568" s="93"/>
      <c r="CKD568" s="93"/>
      <c r="CKE568" s="93"/>
      <c r="CKF568" s="93"/>
      <c r="CKG568" s="93"/>
      <c r="CKH568" s="93"/>
      <c r="CKI568" s="93"/>
      <c r="CKJ568" s="93"/>
      <c r="CKK568" s="93"/>
      <c r="CKL568" s="93"/>
      <c r="CKM568" s="93"/>
      <c r="CKN568" s="93"/>
      <c r="CKO568" s="93"/>
      <c r="CKP568" s="93"/>
      <c r="CKQ568" s="93"/>
      <c r="CKR568" s="93"/>
      <c r="CKS568" s="93"/>
      <c r="CKT568" s="93"/>
      <c r="CKU568" s="93"/>
      <c r="CKV568" s="93"/>
      <c r="CKW568" s="93"/>
      <c r="CKX568" s="93"/>
      <c r="CKY568" s="93"/>
      <c r="CKZ568" s="93"/>
      <c r="CLA568" s="93"/>
      <c r="CLB568" s="93"/>
      <c r="CLC568" s="93"/>
      <c r="CLD568" s="93"/>
      <c r="CLE568" s="93"/>
      <c r="CLF568" s="93"/>
      <c r="CLG568" s="93"/>
      <c r="CLH568" s="93"/>
      <c r="CLI568" s="93"/>
      <c r="CLJ568" s="93"/>
      <c r="CLK568" s="93"/>
      <c r="CLL568" s="93"/>
      <c r="CLM568" s="93"/>
      <c r="CLN568" s="93"/>
      <c r="CLO568" s="93"/>
      <c r="CLP568" s="93"/>
      <c r="CLQ568" s="93"/>
      <c r="CLR568" s="93"/>
      <c r="CLS568" s="93"/>
      <c r="CLT568" s="93"/>
      <c r="CLU568" s="93"/>
      <c r="CLV568" s="93"/>
      <c r="CLW568" s="93"/>
      <c r="CLX568" s="93"/>
      <c r="CLY568" s="93"/>
      <c r="CLZ568" s="93"/>
      <c r="CMA568" s="93"/>
      <c r="CMB568" s="93"/>
      <c r="CMC568" s="93"/>
      <c r="CMD568" s="93"/>
      <c r="CME568" s="93"/>
      <c r="CMF568" s="93"/>
      <c r="CMG568" s="93"/>
      <c r="CMH568" s="93"/>
      <c r="CMI568" s="93"/>
      <c r="CMJ568" s="93"/>
      <c r="CMK568" s="93"/>
      <c r="CML568" s="93"/>
      <c r="CMM568" s="93"/>
      <c r="CMN568" s="93"/>
      <c r="CMO568" s="93"/>
      <c r="CMP568" s="93"/>
      <c r="CMQ568" s="93"/>
      <c r="CMR568" s="93"/>
      <c r="CMS568" s="93"/>
      <c r="CMT568" s="93"/>
      <c r="CMU568" s="93"/>
      <c r="CMV568" s="93"/>
      <c r="CMW568" s="93"/>
      <c r="CMX568" s="93"/>
      <c r="CMY568" s="93"/>
      <c r="CMZ568" s="93"/>
      <c r="CNA568" s="93"/>
      <c r="CNB568" s="93"/>
      <c r="CNC568" s="93"/>
      <c r="CND568" s="93"/>
      <c r="CNE568" s="93"/>
      <c r="CNF568" s="93"/>
      <c r="CNG568" s="93"/>
      <c r="CNH568" s="93"/>
      <c r="CNI568" s="93"/>
      <c r="CNJ568" s="93"/>
      <c r="CNK568" s="93"/>
      <c r="CNL568" s="93"/>
      <c r="CNM568" s="93"/>
      <c r="CNN568" s="93"/>
      <c r="CNO568" s="93"/>
      <c r="CNP568" s="93"/>
      <c r="CNQ568" s="93"/>
      <c r="CNR568" s="93"/>
      <c r="CNS568" s="93"/>
      <c r="CNT568" s="93"/>
      <c r="CNU568" s="93"/>
      <c r="CNV568" s="93"/>
      <c r="CNW568" s="93"/>
      <c r="CNX568" s="93"/>
      <c r="CNY568" s="93"/>
      <c r="CNZ568" s="93"/>
      <c r="COA568" s="93"/>
      <c r="COB568" s="93"/>
      <c r="COC568" s="93"/>
      <c r="COD568" s="93"/>
      <c r="COE568" s="93"/>
      <c r="COF568" s="93"/>
      <c r="COG568" s="93"/>
      <c r="COH568" s="93"/>
      <c r="COI568" s="93"/>
      <c r="COJ568" s="93"/>
      <c r="COK568" s="93"/>
      <c r="COL568" s="93"/>
      <c r="COM568" s="93"/>
      <c r="CON568" s="93"/>
      <c r="COO568" s="93"/>
      <c r="COP568" s="93"/>
      <c r="COQ568" s="93"/>
      <c r="COR568" s="93"/>
      <c r="COS568" s="93"/>
      <c r="COT568" s="93"/>
      <c r="COU568" s="93"/>
      <c r="COV568" s="93"/>
      <c r="COW568" s="93"/>
      <c r="COX568" s="93"/>
      <c r="COY568" s="93"/>
      <c r="COZ568" s="93"/>
      <c r="CPA568" s="93"/>
      <c r="CPB568" s="93"/>
      <c r="CPC568" s="93"/>
      <c r="CPD568" s="93"/>
      <c r="CPE568" s="93"/>
      <c r="CPF568" s="93"/>
      <c r="CPG568" s="93"/>
      <c r="CPH568" s="93"/>
      <c r="CPI568" s="93"/>
      <c r="CPJ568" s="93"/>
      <c r="CPK568" s="93"/>
      <c r="CPL568" s="93"/>
      <c r="CPM568" s="93"/>
      <c r="CPN568" s="93"/>
      <c r="CPO568" s="93"/>
      <c r="CPP568" s="93"/>
      <c r="CPQ568" s="93"/>
      <c r="CPR568" s="93"/>
      <c r="CPS568" s="93"/>
      <c r="CPT568" s="93"/>
      <c r="CPU568" s="93"/>
      <c r="CPV568" s="93"/>
      <c r="CPW568" s="93"/>
      <c r="CPX568" s="93"/>
      <c r="CPY568" s="93"/>
      <c r="CPZ568" s="93"/>
      <c r="CQA568" s="93"/>
      <c r="CQB568" s="93"/>
      <c r="CQC568" s="93"/>
      <c r="CQD568" s="93"/>
      <c r="CQE568" s="93"/>
      <c r="CQF568" s="93"/>
      <c r="CQG568" s="93"/>
      <c r="CQH568" s="93"/>
      <c r="CQI568" s="93"/>
      <c r="CQJ568" s="93"/>
      <c r="CQK568" s="93"/>
      <c r="CQL568" s="93"/>
      <c r="CQM568" s="93"/>
      <c r="CQN568" s="93"/>
      <c r="CQO568" s="93"/>
      <c r="CQP568" s="93"/>
      <c r="CQQ568" s="93"/>
      <c r="CQR568" s="93"/>
      <c r="CQS568" s="93"/>
      <c r="CQT568" s="93"/>
      <c r="CQU568" s="93"/>
      <c r="CQV568" s="93"/>
      <c r="CQW568" s="93"/>
      <c r="CQX568" s="93"/>
      <c r="CQY568" s="93"/>
      <c r="CQZ568" s="93"/>
      <c r="CRA568" s="93"/>
      <c r="CRB568" s="93"/>
      <c r="CRC568" s="93"/>
      <c r="CRD568" s="93"/>
      <c r="CRE568" s="93"/>
      <c r="CRF568" s="93"/>
      <c r="CRG568" s="93"/>
      <c r="CRH568" s="93"/>
      <c r="CRI568" s="93"/>
      <c r="CRJ568" s="93"/>
      <c r="CRK568" s="93"/>
      <c r="CRL568" s="93"/>
      <c r="CRM568" s="93"/>
      <c r="CRN568" s="93"/>
      <c r="CRO568" s="93"/>
      <c r="CRP568" s="93"/>
      <c r="CRQ568" s="93"/>
      <c r="CRR568" s="93"/>
      <c r="CRS568" s="93"/>
      <c r="CRT568" s="93"/>
      <c r="CRU568" s="93"/>
      <c r="CRV568" s="93"/>
      <c r="CRW568" s="93"/>
      <c r="CRX568" s="93"/>
      <c r="CRY568" s="93"/>
      <c r="CRZ568" s="93"/>
      <c r="CSA568" s="93"/>
      <c r="CSB568" s="93"/>
      <c r="CSC568" s="93"/>
      <c r="CSD568" s="93"/>
      <c r="CSE568" s="93"/>
      <c r="CSF568" s="93"/>
      <c r="CSG568" s="93"/>
      <c r="CSH568" s="93"/>
      <c r="CSI568" s="93"/>
      <c r="CSJ568" s="93"/>
      <c r="CSK568" s="93"/>
      <c r="CSL568" s="93"/>
      <c r="CSM568" s="93"/>
      <c r="CSN568" s="93"/>
      <c r="CSO568" s="93"/>
      <c r="CSP568" s="93"/>
      <c r="CSQ568" s="93"/>
      <c r="CSR568" s="93"/>
      <c r="CSS568" s="93"/>
      <c r="CST568" s="93"/>
      <c r="CSU568" s="93"/>
      <c r="CSV568" s="93"/>
      <c r="CSW568" s="93"/>
      <c r="CSX568" s="93"/>
      <c r="CSY568" s="93"/>
      <c r="CSZ568" s="93"/>
      <c r="CTA568" s="93"/>
      <c r="CTB568" s="93"/>
      <c r="CTC568" s="93"/>
      <c r="CTD568" s="93"/>
      <c r="CTE568" s="93"/>
      <c r="CTF568" s="93"/>
      <c r="CTG568" s="93"/>
      <c r="CTH568" s="93"/>
      <c r="CTI568" s="93"/>
      <c r="CTJ568" s="93"/>
      <c r="CTK568" s="93"/>
      <c r="CTL568" s="93"/>
      <c r="CTM568" s="93"/>
      <c r="CTN568" s="93"/>
      <c r="CTO568" s="93"/>
      <c r="CTP568" s="93"/>
      <c r="CTQ568" s="93"/>
      <c r="CTR568" s="93"/>
      <c r="CTS568" s="93"/>
      <c r="CTT568" s="93"/>
      <c r="CTU568" s="93"/>
      <c r="CTV568" s="93"/>
      <c r="CTW568" s="93"/>
      <c r="CTX568" s="93"/>
      <c r="CTY568" s="93"/>
      <c r="CTZ568" s="93"/>
      <c r="CUA568" s="93"/>
      <c r="CUB568" s="93"/>
      <c r="CUC568" s="93"/>
      <c r="CUD568" s="93"/>
      <c r="CUE568" s="93"/>
      <c r="CUF568" s="93"/>
      <c r="CUG568" s="93"/>
      <c r="CUH568" s="93"/>
      <c r="CUI568" s="93"/>
      <c r="CUJ568" s="93"/>
      <c r="CUK568" s="93"/>
      <c r="CUL568" s="93"/>
      <c r="CUM568" s="93"/>
      <c r="CUN568" s="93"/>
      <c r="CUO568" s="93"/>
      <c r="CUP568" s="93"/>
      <c r="CUQ568" s="93"/>
      <c r="CUR568" s="93"/>
      <c r="CUS568" s="93"/>
      <c r="CUT568" s="93"/>
      <c r="CUU568" s="93"/>
      <c r="CUV568" s="93"/>
      <c r="CUW568" s="93"/>
      <c r="CUX568" s="93"/>
      <c r="CUY568" s="93"/>
      <c r="CUZ568" s="93"/>
      <c r="CVA568" s="93"/>
      <c r="CVB568" s="93"/>
      <c r="CVC568" s="93"/>
      <c r="CVD568" s="93"/>
      <c r="CVE568" s="93"/>
      <c r="CVF568" s="93"/>
      <c r="CVG568" s="93"/>
      <c r="CVH568" s="93"/>
      <c r="CVI568" s="93"/>
      <c r="CVJ568" s="93"/>
      <c r="CVK568" s="93"/>
      <c r="CVL568" s="93"/>
      <c r="CVM568" s="93"/>
      <c r="CVN568" s="93"/>
      <c r="CVO568" s="93"/>
      <c r="CVP568" s="93"/>
      <c r="CVQ568" s="93"/>
      <c r="CVR568" s="93"/>
      <c r="CVS568" s="93"/>
      <c r="CVT568" s="93"/>
      <c r="CVU568" s="93"/>
      <c r="CVV568" s="93"/>
      <c r="CVW568" s="93"/>
      <c r="CVX568" s="93"/>
      <c r="CVY568" s="93"/>
      <c r="CVZ568" s="93"/>
      <c r="CWA568" s="93"/>
      <c r="CWB568" s="93"/>
      <c r="CWC568" s="93"/>
      <c r="CWD568" s="93"/>
      <c r="CWE568" s="93"/>
      <c r="CWF568" s="93"/>
      <c r="CWG568" s="93"/>
      <c r="CWH568" s="93"/>
      <c r="CWI568" s="93"/>
      <c r="CWJ568" s="93"/>
      <c r="CWK568" s="93"/>
      <c r="CWL568" s="93"/>
      <c r="CWM568" s="93"/>
      <c r="CWN568" s="93"/>
      <c r="CWO568" s="93"/>
      <c r="CWP568" s="93"/>
      <c r="CWQ568" s="93"/>
      <c r="CWR568" s="93"/>
      <c r="CWS568" s="93"/>
      <c r="CWT568" s="93"/>
      <c r="CWU568" s="93"/>
      <c r="CWV568" s="93"/>
      <c r="CWW568" s="93"/>
      <c r="CWX568" s="93"/>
      <c r="CWY568" s="93"/>
      <c r="CWZ568" s="93"/>
      <c r="CXA568" s="93"/>
      <c r="CXB568" s="93"/>
      <c r="CXC568" s="93"/>
      <c r="CXD568" s="93"/>
      <c r="CXE568" s="93"/>
      <c r="CXF568" s="93"/>
      <c r="CXG568" s="93"/>
      <c r="CXH568" s="93"/>
      <c r="CXI568" s="93"/>
      <c r="CXJ568" s="93"/>
      <c r="CXK568" s="93"/>
      <c r="CXL568" s="93"/>
      <c r="CXM568" s="93"/>
      <c r="CXN568" s="93"/>
      <c r="CXO568" s="93"/>
      <c r="CXP568" s="93"/>
      <c r="CXQ568" s="93"/>
      <c r="CXR568" s="93"/>
      <c r="CXS568" s="93"/>
      <c r="CXT568" s="93"/>
      <c r="CXU568" s="93"/>
      <c r="CXV568" s="93"/>
      <c r="CXW568" s="93"/>
      <c r="CXX568" s="93"/>
      <c r="CXY568" s="93"/>
      <c r="CXZ568" s="93"/>
      <c r="CYA568" s="93"/>
      <c r="CYB568" s="93"/>
      <c r="CYC568" s="93"/>
      <c r="CYD568" s="93"/>
      <c r="CYE568" s="93"/>
      <c r="CYF568" s="93"/>
      <c r="CYG568" s="93"/>
      <c r="CYH568" s="93"/>
      <c r="CYI568" s="93"/>
      <c r="CYJ568" s="93"/>
      <c r="CYK568" s="93"/>
      <c r="CYL568" s="93"/>
      <c r="CYM568" s="93"/>
      <c r="CYN568" s="93"/>
      <c r="CYO568" s="93"/>
      <c r="CYP568" s="93"/>
      <c r="CYQ568" s="93"/>
      <c r="CYR568" s="93"/>
      <c r="CYS568" s="93"/>
      <c r="CYT568" s="93"/>
      <c r="CYU568" s="93"/>
      <c r="CYV568" s="93"/>
      <c r="CYW568" s="93"/>
      <c r="CYX568" s="93"/>
      <c r="CYY568" s="93"/>
      <c r="CYZ568" s="93"/>
      <c r="CZA568" s="93"/>
      <c r="CZB568" s="93"/>
      <c r="CZC568" s="93"/>
      <c r="CZD568" s="93"/>
      <c r="CZE568" s="93"/>
      <c r="CZF568" s="93"/>
      <c r="CZG568" s="93"/>
      <c r="CZH568" s="93"/>
      <c r="CZI568" s="93"/>
      <c r="CZJ568" s="93"/>
      <c r="CZK568" s="93"/>
      <c r="CZL568" s="93"/>
      <c r="CZM568" s="93"/>
      <c r="CZN568" s="93"/>
      <c r="CZO568" s="93"/>
      <c r="CZP568" s="93"/>
      <c r="CZQ568" s="93"/>
      <c r="CZR568" s="93"/>
      <c r="CZS568" s="93"/>
      <c r="CZT568" s="93"/>
      <c r="CZU568" s="93"/>
      <c r="CZV568" s="93"/>
      <c r="CZW568" s="93"/>
      <c r="CZX568" s="93"/>
      <c r="CZY568" s="93"/>
      <c r="CZZ568" s="93"/>
      <c r="DAA568" s="93"/>
      <c r="DAB568" s="93"/>
      <c r="DAC568" s="93"/>
      <c r="DAD568" s="93"/>
      <c r="DAE568" s="93"/>
      <c r="DAF568" s="93"/>
      <c r="DAG568" s="93"/>
      <c r="DAH568" s="93"/>
      <c r="DAI568" s="93"/>
      <c r="DAJ568" s="93"/>
      <c r="DAK568" s="93"/>
      <c r="DAL568" s="93"/>
      <c r="DAM568" s="93"/>
      <c r="DAN568" s="93"/>
      <c r="DAO568" s="93"/>
      <c r="DAP568" s="93"/>
      <c r="DAQ568" s="93"/>
      <c r="DAR568" s="93"/>
      <c r="DAS568" s="93"/>
      <c r="DAT568" s="93"/>
      <c r="DAU568" s="93"/>
      <c r="DAV568" s="93"/>
      <c r="DAW568" s="93"/>
      <c r="DAX568" s="93"/>
      <c r="DAY568" s="93"/>
      <c r="DAZ568" s="93"/>
      <c r="DBA568" s="93"/>
      <c r="DBB568" s="93"/>
      <c r="DBC568" s="93"/>
      <c r="DBD568" s="93"/>
      <c r="DBE568" s="93"/>
      <c r="DBF568" s="93"/>
      <c r="DBG568" s="93"/>
      <c r="DBH568" s="93"/>
      <c r="DBI568" s="93"/>
      <c r="DBJ568" s="93"/>
      <c r="DBK568" s="93"/>
      <c r="DBL568" s="93"/>
      <c r="DBM568" s="93"/>
      <c r="DBN568" s="93"/>
      <c r="DBO568" s="93"/>
      <c r="DBP568" s="93"/>
      <c r="DBQ568" s="93"/>
      <c r="DBR568" s="93"/>
      <c r="DBS568" s="93"/>
      <c r="DBT568" s="93"/>
      <c r="DBU568" s="93"/>
      <c r="DBV568" s="93"/>
      <c r="DBW568" s="93"/>
      <c r="DBX568" s="93"/>
      <c r="DBY568" s="93"/>
      <c r="DBZ568" s="93"/>
      <c r="DCA568" s="93"/>
      <c r="DCB568" s="93"/>
      <c r="DCC568" s="93"/>
      <c r="DCD568" s="93"/>
      <c r="DCE568" s="93"/>
      <c r="DCF568" s="93"/>
      <c r="DCG568" s="93"/>
      <c r="DCH568" s="93"/>
      <c r="DCI568" s="93"/>
      <c r="DCJ568" s="93"/>
      <c r="DCK568" s="93"/>
      <c r="DCL568" s="93"/>
      <c r="DCM568" s="93"/>
      <c r="DCN568" s="93"/>
      <c r="DCO568" s="93"/>
      <c r="DCP568" s="93"/>
      <c r="DCQ568" s="93"/>
      <c r="DCR568" s="93"/>
      <c r="DCS568" s="93"/>
      <c r="DCT568" s="93"/>
      <c r="DCU568" s="93"/>
      <c r="DCV568" s="93"/>
      <c r="DCW568" s="93"/>
      <c r="DCX568" s="93"/>
      <c r="DCY568" s="93"/>
      <c r="DCZ568" s="93"/>
      <c r="DDA568" s="93"/>
      <c r="DDB568" s="93"/>
      <c r="DDC568" s="93"/>
      <c r="DDD568" s="93"/>
      <c r="DDE568" s="93"/>
      <c r="DDF568" s="93"/>
      <c r="DDG568" s="93"/>
      <c r="DDH568" s="93"/>
      <c r="DDI568" s="93"/>
      <c r="DDJ568" s="93"/>
      <c r="DDK568" s="93"/>
      <c r="DDL568" s="93"/>
      <c r="DDM568" s="93"/>
      <c r="DDN568" s="93"/>
      <c r="DDO568" s="93"/>
      <c r="DDP568" s="93"/>
      <c r="DDQ568" s="93"/>
      <c r="DDR568" s="93"/>
      <c r="DDS568" s="93"/>
      <c r="DDT568" s="93"/>
      <c r="DDU568" s="93"/>
      <c r="DDV568" s="93"/>
      <c r="DDW568" s="93"/>
      <c r="DDX568" s="93"/>
      <c r="DDY568" s="93"/>
      <c r="DDZ568" s="93"/>
      <c r="DEA568" s="93"/>
      <c r="DEB568" s="93"/>
      <c r="DEC568" s="93"/>
      <c r="DED568" s="93"/>
      <c r="DEE568" s="93"/>
      <c r="DEF568" s="93"/>
      <c r="DEG568" s="93"/>
      <c r="DEH568" s="93"/>
      <c r="DEI568" s="93"/>
      <c r="DEJ568" s="93"/>
      <c r="DEK568" s="93"/>
      <c r="DEL568" s="93"/>
      <c r="DEM568" s="93"/>
      <c r="DEN568" s="93"/>
      <c r="DEO568" s="93"/>
      <c r="DEP568" s="93"/>
      <c r="DEQ568" s="93"/>
      <c r="DER568" s="93"/>
      <c r="DES568" s="93"/>
      <c r="DET568" s="93"/>
      <c r="DEU568" s="93"/>
      <c r="DEV568" s="93"/>
      <c r="DEW568" s="93"/>
      <c r="DEX568" s="93"/>
      <c r="DEY568" s="93"/>
      <c r="DEZ568" s="93"/>
      <c r="DFA568" s="93"/>
      <c r="DFB568" s="93"/>
      <c r="DFC568" s="93"/>
      <c r="DFD568" s="93"/>
      <c r="DFE568" s="93"/>
      <c r="DFF568" s="93"/>
      <c r="DFG568" s="93"/>
      <c r="DFH568" s="93"/>
      <c r="DFI568" s="93"/>
      <c r="DFJ568" s="93"/>
      <c r="DFK568" s="93"/>
      <c r="DFL568" s="93"/>
      <c r="DFM568" s="93"/>
      <c r="DFN568" s="93"/>
      <c r="DFO568" s="93"/>
      <c r="DFP568" s="93"/>
      <c r="DFQ568" s="93"/>
      <c r="DFR568" s="93"/>
      <c r="DFS568" s="93"/>
      <c r="DFT568" s="93"/>
      <c r="DFU568" s="93"/>
      <c r="DFV568" s="93"/>
      <c r="DFW568" s="93"/>
      <c r="DFX568" s="93"/>
      <c r="DFY568" s="93"/>
      <c r="DFZ568" s="93"/>
      <c r="DGA568" s="93"/>
      <c r="DGB568" s="93"/>
      <c r="DGC568" s="93"/>
      <c r="DGD568" s="93"/>
      <c r="DGE568" s="93"/>
      <c r="DGF568" s="93"/>
      <c r="DGG568" s="93"/>
      <c r="DGH568" s="93"/>
      <c r="DGI568" s="93"/>
      <c r="DGJ568" s="93"/>
      <c r="DGK568" s="93"/>
      <c r="DGL568" s="93"/>
      <c r="DGM568" s="93"/>
      <c r="DGN568" s="93"/>
      <c r="DGO568" s="93"/>
      <c r="DGP568" s="93"/>
      <c r="DGQ568" s="93"/>
      <c r="DGR568" s="93"/>
      <c r="DGS568" s="93"/>
      <c r="DGT568" s="93"/>
      <c r="DGU568" s="93"/>
      <c r="DGV568" s="93"/>
      <c r="DGW568" s="93"/>
      <c r="DGX568" s="93"/>
      <c r="DGY568" s="93"/>
      <c r="DGZ568" s="93"/>
      <c r="DHA568" s="93"/>
      <c r="DHB568" s="93"/>
      <c r="DHC568" s="93"/>
      <c r="DHD568" s="93"/>
      <c r="DHE568" s="93"/>
      <c r="DHF568" s="93"/>
      <c r="DHG568" s="93"/>
      <c r="DHH568" s="93"/>
      <c r="DHI568" s="93"/>
      <c r="DHJ568" s="93"/>
      <c r="DHK568" s="93"/>
      <c r="DHL568" s="93"/>
      <c r="DHM568" s="93"/>
      <c r="DHN568" s="93"/>
      <c r="DHO568" s="93"/>
      <c r="DHP568" s="93"/>
      <c r="DHQ568" s="93"/>
      <c r="DHR568" s="93"/>
      <c r="DHS568" s="93"/>
      <c r="DHT568" s="93"/>
      <c r="DHU568" s="93"/>
      <c r="DHV568" s="93"/>
      <c r="DHW568" s="93"/>
      <c r="DHX568" s="93"/>
      <c r="DHY568" s="93"/>
      <c r="DHZ568" s="93"/>
      <c r="DIA568" s="93"/>
      <c r="DIB568" s="93"/>
      <c r="DIC568" s="93"/>
      <c r="DID568" s="93"/>
      <c r="DIE568" s="93"/>
      <c r="DIF568" s="93"/>
      <c r="DIG568" s="93"/>
      <c r="DIH568" s="93"/>
      <c r="DII568" s="93"/>
      <c r="DIJ568" s="93"/>
      <c r="DIK568" s="93"/>
      <c r="DIL568" s="93"/>
      <c r="DIM568" s="93"/>
      <c r="DIN568" s="93"/>
      <c r="DIO568" s="93"/>
      <c r="DIP568" s="93"/>
      <c r="DIQ568" s="93"/>
      <c r="DIR568" s="93"/>
      <c r="DIS568" s="93"/>
      <c r="DIT568" s="93"/>
      <c r="DIU568" s="93"/>
      <c r="DIV568" s="93"/>
      <c r="DIW568" s="93"/>
      <c r="DIX568" s="93"/>
      <c r="DIY568" s="93"/>
      <c r="DIZ568" s="93"/>
      <c r="DJA568" s="93"/>
      <c r="DJB568" s="93"/>
      <c r="DJC568" s="93"/>
      <c r="DJD568" s="93"/>
      <c r="DJE568" s="93"/>
      <c r="DJF568" s="93"/>
      <c r="DJG568" s="93"/>
      <c r="DJH568" s="93"/>
      <c r="DJI568" s="93"/>
      <c r="DJJ568" s="93"/>
      <c r="DJK568" s="93"/>
      <c r="DJL568" s="93"/>
      <c r="DJM568" s="93"/>
      <c r="DJN568" s="93"/>
      <c r="DJO568" s="93"/>
      <c r="DJP568" s="93"/>
      <c r="DJQ568" s="93"/>
      <c r="DJR568" s="93"/>
      <c r="DJS568" s="93"/>
      <c r="DJT568" s="93"/>
      <c r="DJU568" s="93"/>
      <c r="DJV568" s="93"/>
      <c r="DJW568" s="93"/>
      <c r="DJX568" s="93"/>
      <c r="DJY568" s="93"/>
      <c r="DJZ568" s="93"/>
      <c r="DKA568" s="93"/>
      <c r="DKB568" s="93"/>
      <c r="DKC568" s="93"/>
      <c r="DKD568" s="93"/>
      <c r="DKE568" s="93"/>
      <c r="DKF568" s="93"/>
      <c r="DKG568" s="93"/>
      <c r="DKH568" s="93"/>
      <c r="DKI568" s="93"/>
      <c r="DKJ568" s="93"/>
      <c r="DKK568" s="93"/>
      <c r="DKL568" s="93"/>
      <c r="DKM568" s="93"/>
      <c r="DKN568" s="93"/>
      <c r="DKO568" s="93"/>
      <c r="DKP568" s="93"/>
      <c r="DKQ568" s="93"/>
      <c r="DKR568" s="93"/>
      <c r="DKS568" s="93"/>
      <c r="DKT568" s="93"/>
      <c r="DKU568" s="93"/>
      <c r="DKV568" s="93"/>
      <c r="DKW568" s="93"/>
      <c r="DKX568" s="93"/>
      <c r="DKY568" s="93"/>
      <c r="DKZ568" s="93"/>
      <c r="DLA568" s="93"/>
      <c r="DLB568" s="93"/>
      <c r="DLC568" s="93"/>
      <c r="DLD568" s="93"/>
      <c r="DLE568" s="93"/>
      <c r="DLF568" s="93"/>
      <c r="DLG568" s="93"/>
      <c r="DLH568" s="93"/>
      <c r="DLI568" s="93"/>
      <c r="DLJ568" s="93"/>
      <c r="DLK568" s="93"/>
      <c r="DLL568" s="93"/>
      <c r="DLM568" s="93"/>
      <c r="DLN568" s="93"/>
      <c r="DLO568" s="93"/>
      <c r="DLP568" s="93"/>
      <c r="DLQ568" s="93"/>
      <c r="DLR568" s="93"/>
      <c r="DLS568" s="93"/>
      <c r="DLT568" s="93"/>
      <c r="DLU568" s="93"/>
      <c r="DLV568" s="93"/>
      <c r="DLW568" s="93"/>
      <c r="DLX568" s="93"/>
      <c r="DLY568" s="93"/>
      <c r="DLZ568" s="93"/>
      <c r="DMA568" s="93"/>
      <c r="DMB568" s="93"/>
      <c r="DMC568" s="93"/>
      <c r="DMD568" s="93"/>
      <c r="DME568" s="93"/>
      <c r="DMF568" s="93"/>
      <c r="DMG568" s="93"/>
      <c r="DMH568" s="93"/>
      <c r="DMI568" s="93"/>
      <c r="DMJ568" s="93"/>
      <c r="DMK568" s="93"/>
      <c r="DML568" s="93"/>
      <c r="DMM568" s="93"/>
      <c r="DMN568" s="93"/>
      <c r="DMO568" s="93"/>
      <c r="DMP568" s="93"/>
      <c r="DMQ568" s="93"/>
      <c r="DMR568" s="93"/>
      <c r="DMS568" s="93"/>
      <c r="DMT568" s="93"/>
      <c r="DMU568" s="93"/>
      <c r="DMV568" s="93"/>
      <c r="DMW568" s="93"/>
      <c r="DMX568" s="93"/>
      <c r="DMY568" s="93"/>
      <c r="DMZ568" s="93"/>
      <c r="DNA568" s="93"/>
      <c r="DNB568" s="93"/>
      <c r="DNC568" s="93"/>
      <c r="DND568" s="93"/>
      <c r="DNE568" s="93"/>
      <c r="DNF568" s="93"/>
      <c r="DNG568" s="93"/>
      <c r="DNH568" s="93"/>
      <c r="DNI568" s="93"/>
      <c r="DNJ568" s="93"/>
      <c r="DNK568" s="93"/>
      <c r="DNL568" s="93"/>
      <c r="DNM568" s="93"/>
      <c r="DNN568" s="93"/>
      <c r="DNO568" s="93"/>
      <c r="DNP568" s="93"/>
      <c r="DNQ568" s="93"/>
      <c r="DNR568" s="93"/>
      <c r="DNS568" s="93"/>
      <c r="DNT568" s="93"/>
      <c r="DNU568" s="93"/>
      <c r="DNV568" s="93"/>
      <c r="DNW568" s="93"/>
      <c r="DNX568" s="93"/>
      <c r="DNY568" s="93"/>
      <c r="DNZ568" s="93"/>
      <c r="DOA568" s="93"/>
      <c r="DOB568" s="93"/>
      <c r="DOC568" s="93"/>
      <c r="DOD568" s="93"/>
      <c r="DOE568" s="93"/>
      <c r="DOF568" s="93"/>
      <c r="DOG568" s="93"/>
      <c r="DOH568" s="93"/>
      <c r="DOI568" s="93"/>
      <c r="DOJ568" s="93"/>
      <c r="DOK568" s="93"/>
      <c r="DOL568" s="93"/>
      <c r="DOM568" s="93"/>
      <c r="DON568" s="93"/>
      <c r="DOO568" s="93"/>
      <c r="DOP568" s="93"/>
      <c r="DOQ568" s="93"/>
      <c r="DOR568" s="93"/>
      <c r="DOS568" s="93"/>
      <c r="DOT568" s="93"/>
      <c r="DOU568" s="93"/>
      <c r="DOV568" s="93"/>
      <c r="DOW568" s="93"/>
      <c r="DOX568" s="93"/>
      <c r="DOY568" s="93"/>
      <c r="DOZ568" s="93"/>
      <c r="DPA568" s="93"/>
      <c r="DPB568" s="93"/>
      <c r="DPC568" s="93"/>
      <c r="DPD568" s="93"/>
      <c r="DPE568" s="93"/>
      <c r="DPF568" s="93"/>
      <c r="DPG568" s="93"/>
      <c r="DPH568" s="93"/>
      <c r="DPI568" s="93"/>
      <c r="DPJ568" s="93"/>
      <c r="DPK568" s="93"/>
      <c r="DPL568" s="93"/>
      <c r="DPM568" s="93"/>
      <c r="DPN568" s="93"/>
      <c r="DPO568" s="93"/>
      <c r="DPP568" s="93"/>
      <c r="DPQ568" s="93"/>
      <c r="DPR568" s="93"/>
      <c r="DPS568" s="93"/>
      <c r="DPT568" s="93"/>
      <c r="DPU568" s="93"/>
      <c r="DPV568" s="93"/>
      <c r="DPW568" s="93"/>
      <c r="DPX568" s="93"/>
      <c r="DPY568" s="93"/>
      <c r="DPZ568" s="93"/>
      <c r="DQA568" s="93"/>
      <c r="DQB568" s="93"/>
      <c r="DQC568" s="93"/>
      <c r="DQD568" s="93"/>
      <c r="DQE568" s="93"/>
      <c r="DQF568" s="93"/>
      <c r="DQG568" s="93"/>
      <c r="DQH568" s="93"/>
      <c r="DQI568" s="93"/>
      <c r="DQJ568" s="93"/>
      <c r="DQK568" s="93"/>
      <c r="DQL568" s="93"/>
      <c r="DQM568" s="93"/>
      <c r="DQN568" s="93"/>
      <c r="DQO568" s="93"/>
      <c r="DQP568" s="93"/>
      <c r="DQQ568" s="93"/>
      <c r="DQR568" s="93"/>
      <c r="DQS568" s="93"/>
      <c r="DQT568" s="93"/>
      <c r="DQU568" s="93"/>
      <c r="DQV568" s="93"/>
      <c r="DQW568" s="93"/>
      <c r="DQX568" s="93"/>
      <c r="DQY568" s="93"/>
      <c r="DQZ568" s="93"/>
      <c r="DRA568" s="93"/>
      <c r="DRB568" s="93"/>
      <c r="DRC568" s="93"/>
      <c r="DRD568" s="93"/>
      <c r="DRE568" s="93"/>
      <c r="DRF568" s="93"/>
      <c r="DRG568" s="93"/>
      <c r="DRH568" s="93"/>
      <c r="DRI568" s="93"/>
      <c r="DRJ568" s="93"/>
      <c r="DRK568" s="93"/>
      <c r="DRL568" s="93"/>
      <c r="DRM568" s="93"/>
      <c r="DRN568" s="93"/>
      <c r="DRO568" s="93"/>
      <c r="DRP568" s="93"/>
      <c r="DRQ568" s="93"/>
      <c r="DRR568" s="93"/>
      <c r="DRS568" s="93"/>
      <c r="DRT568" s="93"/>
      <c r="DRU568" s="93"/>
      <c r="DRV568" s="93"/>
      <c r="DRW568" s="93"/>
      <c r="DRX568" s="93"/>
      <c r="DRY568" s="93"/>
      <c r="DRZ568" s="93"/>
      <c r="DSA568" s="93"/>
      <c r="DSB568" s="93"/>
      <c r="DSC568" s="93"/>
      <c r="DSD568" s="93"/>
      <c r="DSE568" s="93"/>
      <c r="DSF568" s="93"/>
      <c r="DSG568" s="93"/>
      <c r="DSH568" s="93"/>
      <c r="DSI568" s="93"/>
      <c r="DSJ568" s="93"/>
      <c r="DSK568" s="93"/>
      <c r="DSL568" s="93"/>
      <c r="DSM568" s="93"/>
      <c r="DSN568" s="93"/>
      <c r="DSO568" s="93"/>
      <c r="DSP568" s="93"/>
      <c r="DSQ568" s="93"/>
      <c r="DSR568" s="93"/>
      <c r="DSS568" s="93"/>
      <c r="DST568" s="93"/>
      <c r="DSU568" s="93"/>
      <c r="DSV568" s="93"/>
      <c r="DSW568" s="93"/>
      <c r="DSX568" s="93"/>
      <c r="DSY568" s="93"/>
      <c r="DSZ568" s="93"/>
      <c r="DTA568" s="93"/>
      <c r="DTB568" s="93"/>
      <c r="DTC568" s="93"/>
      <c r="DTD568" s="93"/>
      <c r="DTE568" s="93"/>
      <c r="DTF568" s="93"/>
      <c r="DTG568" s="93"/>
      <c r="DTH568" s="93"/>
      <c r="DTI568" s="93"/>
      <c r="DTJ568" s="93"/>
      <c r="DTK568" s="93"/>
      <c r="DTL568" s="93"/>
      <c r="DTM568" s="93"/>
      <c r="DTN568" s="93"/>
      <c r="DTO568" s="93"/>
      <c r="DTP568" s="93"/>
      <c r="DTQ568" s="93"/>
      <c r="DTR568" s="93"/>
      <c r="DTS568" s="93"/>
      <c r="DTT568" s="93"/>
      <c r="DTU568" s="93"/>
      <c r="DTV568" s="93"/>
      <c r="DTW568" s="93"/>
      <c r="DTX568" s="93"/>
      <c r="DTY568" s="93"/>
      <c r="DTZ568" s="93"/>
      <c r="DUA568" s="93"/>
      <c r="DUB568" s="93"/>
      <c r="DUC568" s="93"/>
      <c r="DUD568" s="93"/>
      <c r="DUE568" s="93"/>
      <c r="DUF568" s="93"/>
      <c r="DUG568" s="93"/>
      <c r="DUH568" s="93"/>
      <c r="DUI568" s="93"/>
      <c r="DUJ568" s="93"/>
      <c r="DUK568" s="93"/>
      <c r="DUL568" s="93"/>
      <c r="DUM568" s="93"/>
      <c r="DUN568" s="93"/>
      <c r="DUO568" s="93"/>
      <c r="DUP568" s="93"/>
      <c r="DUQ568" s="93"/>
      <c r="DUR568" s="93"/>
      <c r="DUS568" s="93"/>
      <c r="DUT568" s="93"/>
      <c r="DUU568" s="93"/>
      <c r="DUV568" s="93"/>
      <c r="DUW568" s="93"/>
      <c r="DUX568" s="93"/>
      <c r="DUY568" s="93"/>
      <c r="DUZ568" s="93"/>
      <c r="DVA568" s="93"/>
      <c r="DVB568" s="93"/>
      <c r="DVC568" s="93"/>
      <c r="DVD568" s="93"/>
      <c r="DVE568" s="93"/>
      <c r="DVF568" s="93"/>
      <c r="DVG568" s="93"/>
      <c r="DVH568" s="93"/>
      <c r="DVI568" s="93"/>
      <c r="DVJ568" s="93"/>
      <c r="DVK568" s="93"/>
      <c r="DVL568" s="93"/>
      <c r="DVM568" s="93"/>
      <c r="DVN568" s="93"/>
      <c r="DVO568" s="93"/>
      <c r="DVP568" s="93"/>
      <c r="DVQ568" s="93"/>
      <c r="DVR568" s="93"/>
      <c r="DVS568" s="93"/>
      <c r="DVT568" s="93"/>
      <c r="DVU568" s="93"/>
      <c r="DVV568" s="93"/>
      <c r="DVW568" s="93"/>
      <c r="DVX568" s="93"/>
      <c r="DVY568" s="93"/>
      <c r="DVZ568" s="93"/>
      <c r="DWA568" s="93"/>
      <c r="DWB568" s="93"/>
      <c r="DWC568" s="93"/>
      <c r="DWD568" s="93"/>
      <c r="DWE568" s="93"/>
      <c r="DWF568" s="93"/>
      <c r="DWG568" s="93"/>
      <c r="DWH568" s="93"/>
      <c r="DWI568" s="93"/>
      <c r="DWJ568" s="93"/>
      <c r="DWK568" s="93"/>
      <c r="DWL568" s="93"/>
      <c r="DWM568" s="93"/>
      <c r="DWN568" s="93"/>
      <c r="DWO568" s="93"/>
      <c r="DWP568" s="93"/>
      <c r="DWQ568" s="93"/>
      <c r="DWR568" s="93"/>
      <c r="DWS568" s="93"/>
      <c r="DWT568" s="93"/>
      <c r="DWU568" s="93"/>
      <c r="DWV568" s="93"/>
      <c r="DWW568" s="93"/>
      <c r="DWX568" s="93"/>
      <c r="DWY568" s="93"/>
      <c r="DWZ568" s="93"/>
      <c r="DXA568" s="93"/>
      <c r="DXB568" s="93"/>
      <c r="DXC568" s="93"/>
      <c r="DXD568" s="93"/>
      <c r="DXE568" s="93"/>
      <c r="DXF568" s="93"/>
      <c r="DXG568" s="93"/>
      <c r="DXH568" s="93"/>
      <c r="DXI568" s="93"/>
      <c r="DXJ568" s="93"/>
      <c r="DXK568" s="93"/>
      <c r="DXL568" s="93"/>
      <c r="DXM568" s="93"/>
      <c r="DXN568" s="93"/>
      <c r="DXO568" s="93"/>
      <c r="DXP568" s="93"/>
      <c r="DXQ568" s="93"/>
      <c r="DXR568" s="93"/>
      <c r="DXS568" s="93"/>
      <c r="DXT568" s="93"/>
      <c r="DXU568" s="93"/>
      <c r="DXV568" s="93"/>
      <c r="DXW568" s="93"/>
      <c r="DXX568" s="93"/>
      <c r="DXY568" s="93"/>
      <c r="DXZ568" s="93"/>
      <c r="DYA568" s="93"/>
      <c r="DYB568" s="93"/>
      <c r="DYC568" s="93"/>
      <c r="DYD568" s="93"/>
      <c r="DYE568" s="93"/>
      <c r="DYF568" s="93"/>
      <c r="DYG568" s="93"/>
      <c r="DYH568" s="93"/>
      <c r="DYI568" s="93"/>
      <c r="DYJ568" s="93"/>
      <c r="DYK568" s="93"/>
      <c r="DYL568" s="93"/>
      <c r="DYM568" s="93"/>
      <c r="DYN568" s="93"/>
      <c r="DYO568" s="93"/>
      <c r="DYP568" s="93"/>
      <c r="DYQ568" s="93"/>
      <c r="DYR568" s="93"/>
      <c r="DYS568" s="93"/>
      <c r="DYT568" s="93"/>
      <c r="DYU568" s="93"/>
      <c r="DYV568" s="93"/>
      <c r="DYW568" s="93"/>
      <c r="DYX568" s="93"/>
      <c r="DYY568" s="93"/>
      <c r="DYZ568" s="93"/>
      <c r="DZA568" s="93"/>
      <c r="DZB568" s="93"/>
      <c r="DZC568" s="93"/>
      <c r="DZD568" s="93"/>
      <c r="DZE568" s="93"/>
      <c r="DZF568" s="93"/>
      <c r="DZG568" s="93"/>
      <c r="DZH568" s="93"/>
      <c r="DZI568" s="93"/>
      <c r="DZJ568" s="93"/>
      <c r="DZK568" s="93"/>
      <c r="DZL568" s="93"/>
      <c r="DZM568" s="93"/>
      <c r="DZN568" s="93"/>
      <c r="DZO568" s="93"/>
      <c r="DZP568" s="93"/>
      <c r="DZQ568" s="93"/>
      <c r="DZR568" s="93"/>
      <c r="DZS568" s="93"/>
      <c r="DZT568" s="93"/>
      <c r="DZU568" s="93"/>
      <c r="DZV568" s="93"/>
      <c r="DZW568" s="93"/>
      <c r="DZX568" s="93"/>
      <c r="DZY568" s="93"/>
      <c r="DZZ568" s="93"/>
      <c r="EAA568" s="93"/>
      <c r="EAB568" s="93"/>
      <c r="EAC568" s="93"/>
      <c r="EAD568" s="93"/>
      <c r="EAE568" s="93"/>
      <c r="EAF568" s="93"/>
      <c r="EAG568" s="93"/>
      <c r="EAH568" s="93"/>
      <c r="EAI568" s="93"/>
      <c r="EAJ568" s="93"/>
      <c r="EAK568" s="93"/>
      <c r="EAL568" s="93"/>
      <c r="EAM568" s="93"/>
      <c r="EAN568" s="93"/>
      <c r="EAO568" s="93"/>
      <c r="EAP568" s="93"/>
      <c r="EAQ568" s="93"/>
      <c r="EAR568" s="93"/>
      <c r="EAS568" s="93"/>
      <c r="EAT568" s="93"/>
      <c r="EAU568" s="93"/>
      <c r="EAV568" s="93"/>
      <c r="EAW568" s="93"/>
      <c r="EAX568" s="93"/>
      <c r="EAY568" s="93"/>
      <c r="EAZ568" s="93"/>
      <c r="EBA568" s="93"/>
      <c r="EBB568" s="93"/>
      <c r="EBC568" s="93"/>
      <c r="EBD568" s="93"/>
      <c r="EBE568" s="93"/>
      <c r="EBF568" s="93"/>
      <c r="EBG568" s="93"/>
      <c r="EBH568" s="93"/>
      <c r="EBI568" s="93"/>
      <c r="EBJ568" s="93"/>
      <c r="EBK568" s="93"/>
      <c r="EBL568" s="93"/>
      <c r="EBM568" s="93"/>
      <c r="EBN568" s="93"/>
      <c r="EBO568" s="93"/>
      <c r="EBP568" s="93"/>
      <c r="EBQ568" s="93"/>
      <c r="EBR568" s="93"/>
      <c r="EBS568" s="93"/>
      <c r="EBT568" s="93"/>
      <c r="EBU568" s="93"/>
      <c r="EBV568" s="93"/>
      <c r="EBW568" s="93"/>
      <c r="EBX568" s="93"/>
      <c r="EBY568" s="93"/>
      <c r="EBZ568" s="93"/>
      <c r="ECA568" s="93"/>
      <c r="ECB568" s="93"/>
      <c r="ECC568" s="93"/>
      <c r="ECD568" s="93"/>
      <c r="ECE568" s="93"/>
      <c r="ECF568" s="93"/>
      <c r="ECG568" s="93"/>
      <c r="ECH568" s="93"/>
      <c r="ECI568" s="93"/>
      <c r="ECJ568" s="93"/>
      <c r="ECK568" s="93"/>
      <c r="ECL568" s="93"/>
      <c r="ECM568" s="93"/>
      <c r="ECN568" s="93"/>
      <c r="ECO568" s="93"/>
      <c r="ECP568" s="93"/>
      <c r="ECQ568" s="93"/>
      <c r="ECR568" s="93"/>
      <c r="ECS568" s="93"/>
      <c r="ECT568" s="93"/>
      <c r="ECU568" s="93"/>
      <c r="ECV568" s="93"/>
      <c r="ECW568" s="93"/>
      <c r="ECX568" s="93"/>
      <c r="ECY568" s="93"/>
      <c r="ECZ568" s="93"/>
      <c r="EDA568" s="93"/>
      <c r="EDB568" s="93"/>
      <c r="EDC568" s="93"/>
      <c r="EDD568" s="93"/>
      <c r="EDE568" s="93"/>
      <c r="EDF568" s="93"/>
      <c r="EDG568" s="93"/>
      <c r="EDH568" s="93"/>
      <c r="EDI568" s="93"/>
      <c r="EDJ568" s="93"/>
      <c r="EDK568" s="93"/>
      <c r="EDL568" s="93"/>
      <c r="EDM568" s="93"/>
      <c r="EDN568" s="93"/>
      <c r="EDO568" s="93"/>
      <c r="EDP568" s="93"/>
      <c r="EDQ568" s="93"/>
      <c r="EDR568" s="93"/>
      <c r="EDS568" s="93"/>
      <c r="EDT568" s="93"/>
      <c r="EDU568" s="93"/>
      <c r="EDV568" s="93"/>
      <c r="EDW568" s="93"/>
      <c r="EDX568" s="93"/>
      <c r="EDY568" s="93"/>
      <c r="EDZ568" s="93"/>
      <c r="EEA568" s="93"/>
      <c r="EEB568" s="93"/>
      <c r="EEC568" s="93"/>
      <c r="EED568" s="93"/>
      <c r="EEE568" s="93"/>
      <c r="EEF568" s="93"/>
      <c r="EEG568" s="93"/>
      <c r="EEH568" s="93"/>
      <c r="EEI568" s="93"/>
      <c r="EEJ568" s="93"/>
      <c r="EEK568" s="93"/>
      <c r="EEL568" s="93"/>
      <c r="EEM568" s="93"/>
      <c r="EEN568" s="93"/>
      <c r="EEO568" s="93"/>
      <c r="EEP568" s="93"/>
      <c r="EEQ568" s="93"/>
      <c r="EER568" s="93"/>
      <c r="EES568" s="93"/>
      <c r="EET568" s="93"/>
      <c r="EEU568" s="93"/>
      <c r="EEV568" s="93"/>
      <c r="EEW568" s="93"/>
      <c r="EEX568" s="93"/>
      <c r="EEY568" s="93"/>
      <c r="EEZ568" s="93"/>
      <c r="EFA568" s="93"/>
      <c r="EFB568" s="93"/>
      <c r="EFC568" s="93"/>
      <c r="EFD568" s="93"/>
      <c r="EFE568" s="93"/>
      <c r="EFF568" s="93"/>
      <c r="EFG568" s="93"/>
      <c r="EFH568" s="93"/>
      <c r="EFI568" s="93"/>
      <c r="EFJ568" s="93"/>
      <c r="EFK568" s="93"/>
      <c r="EFL568" s="93"/>
      <c r="EFM568" s="93"/>
      <c r="EFN568" s="93"/>
      <c r="EFO568" s="93"/>
      <c r="EFP568" s="93"/>
      <c r="EFQ568" s="93"/>
      <c r="EFR568" s="93"/>
      <c r="EFS568" s="93"/>
      <c r="EFT568" s="93"/>
      <c r="EFU568" s="93"/>
      <c r="EFV568" s="93"/>
      <c r="EFW568" s="93"/>
      <c r="EFX568" s="93"/>
      <c r="EFY568" s="93"/>
      <c r="EFZ568" s="93"/>
      <c r="EGA568" s="93"/>
      <c r="EGB568" s="93"/>
      <c r="EGC568" s="93"/>
      <c r="EGD568" s="93"/>
      <c r="EGE568" s="93"/>
      <c r="EGF568" s="93"/>
      <c r="EGG568" s="93"/>
      <c r="EGH568" s="93"/>
      <c r="EGI568" s="93"/>
      <c r="EGJ568" s="93"/>
      <c r="EGK568" s="93"/>
      <c r="EGL568" s="93"/>
      <c r="EGM568" s="93"/>
      <c r="EGN568" s="93"/>
      <c r="EGO568" s="93"/>
      <c r="EGP568" s="93"/>
      <c r="EGQ568" s="93"/>
      <c r="EGR568" s="93"/>
      <c r="EGS568" s="93"/>
      <c r="EGT568" s="93"/>
      <c r="EGU568" s="93"/>
      <c r="EGV568" s="93"/>
      <c r="EGW568" s="93"/>
      <c r="EGX568" s="93"/>
      <c r="EGY568" s="93"/>
      <c r="EGZ568" s="93"/>
      <c r="EHA568" s="93"/>
      <c r="EHB568" s="93"/>
      <c r="EHC568" s="93"/>
      <c r="EHD568" s="93"/>
      <c r="EHE568" s="93"/>
      <c r="EHF568" s="93"/>
      <c r="EHG568" s="93"/>
      <c r="EHH568" s="93"/>
      <c r="EHI568" s="93"/>
      <c r="EHJ568" s="93"/>
      <c r="EHK568" s="93"/>
      <c r="EHL568" s="93"/>
      <c r="EHM568" s="93"/>
      <c r="EHN568" s="93"/>
      <c r="EHO568" s="93"/>
      <c r="EHP568" s="93"/>
      <c r="EHQ568" s="93"/>
      <c r="EHR568" s="93"/>
      <c r="EHS568" s="93"/>
      <c r="EHT568" s="93"/>
      <c r="EHU568" s="93"/>
      <c r="EHV568" s="93"/>
      <c r="EHW568" s="93"/>
      <c r="EHX568" s="93"/>
      <c r="EHY568" s="93"/>
      <c r="EHZ568" s="93"/>
      <c r="EIA568" s="93"/>
      <c r="EIB568" s="93"/>
      <c r="EIC568" s="93"/>
      <c r="EID568" s="93"/>
      <c r="EIE568" s="93"/>
      <c r="EIF568" s="93"/>
      <c r="EIG568" s="93"/>
      <c r="EIH568" s="93"/>
      <c r="EII568" s="93"/>
      <c r="EIJ568" s="93"/>
      <c r="EIK568" s="93"/>
      <c r="EIL568" s="93"/>
      <c r="EIM568" s="93"/>
      <c r="EIN568" s="93"/>
      <c r="EIO568" s="93"/>
      <c r="EIP568" s="93"/>
      <c r="EIQ568" s="93"/>
      <c r="EIR568" s="93"/>
      <c r="EIS568" s="93"/>
      <c r="EIT568" s="93"/>
      <c r="EIU568" s="93"/>
      <c r="EIV568" s="93"/>
      <c r="EIW568" s="93"/>
      <c r="EIX568" s="93"/>
      <c r="EIY568" s="93"/>
      <c r="EIZ568" s="93"/>
      <c r="EJA568" s="93"/>
      <c r="EJB568" s="93"/>
      <c r="EJC568" s="93"/>
      <c r="EJD568" s="93"/>
      <c r="EJE568" s="93"/>
      <c r="EJF568" s="93"/>
      <c r="EJG568" s="93"/>
      <c r="EJH568" s="93"/>
      <c r="EJI568" s="93"/>
      <c r="EJJ568" s="93"/>
      <c r="EJK568" s="93"/>
      <c r="EJL568" s="93"/>
      <c r="EJM568" s="93"/>
      <c r="EJN568" s="93"/>
      <c r="EJO568" s="93"/>
      <c r="EJP568" s="93"/>
      <c r="EJQ568" s="93"/>
      <c r="EJR568" s="93"/>
      <c r="EJS568" s="93"/>
      <c r="EJT568" s="93"/>
      <c r="EJU568" s="93"/>
      <c r="EJV568" s="93"/>
      <c r="EJW568" s="93"/>
      <c r="EJX568" s="93"/>
      <c r="EJY568" s="93"/>
      <c r="EJZ568" s="93"/>
      <c r="EKA568" s="93"/>
      <c r="EKB568" s="93"/>
      <c r="EKC568" s="93"/>
      <c r="EKD568" s="93"/>
      <c r="EKE568" s="93"/>
      <c r="EKF568" s="93"/>
      <c r="EKG568" s="93"/>
      <c r="EKH568" s="93"/>
      <c r="EKI568" s="93"/>
      <c r="EKJ568" s="93"/>
      <c r="EKK568" s="93"/>
      <c r="EKL568" s="93"/>
      <c r="EKM568" s="93"/>
      <c r="EKN568" s="93"/>
      <c r="EKO568" s="93"/>
      <c r="EKP568" s="93"/>
      <c r="EKQ568" s="93"/>
      <c r="EKR568" s="93"/>
      <c r="EKS568" s="93"/>
      <c r="EKT568" s="93"/>
      <c r="EKU568" s="93"/>
      <c r="EKV568" s="93"/>
      <c r="EKW568" s="93"/>
      <c r="EKX568" s="93"/>
      <c r="EKY568" s="93"/>
      <c r="EKZ568" s="93"/>
      <c r="ELA568" s="93"/>
      <c r="ELB568" s="93"/>
      <c r="ELC568" s="93"/>
      <c r="ELD568" s="93"/>
      <c r="ELE568" s="93"/>
      <c r="ELF568" s="93"/>
      <c r="ELG568" s="93"/>
      <c r="ELH568" s="93"/>
      <c r="ELI568" s="93"/>
      <c r="ELJ568" s="93"/>
      <c r="ELK568" s="93"/>
      <c r="ELL568" s="93"/>
      <c r="ELM568" s="93"/>
      <c r="ELN568" s="93"/>
      <c r="ELO568" s="93"/>
      <c r="ELP568" s="93"/>
      <c r="ELQ568" s="93"/>
      <c r="ELR568" s="93"/>
      <c r="ELS568" s="93"/>
      <c r="ELT568" s="93"/>
      <c r="ELU568" s="93"/>
      <c r="ELV568" s="93"/>
      <c r="ELW568" s="93"/>
      <c r="ELX568" s="93"/>
      <c r="ELY568" s="93"/>
      <c r="ELZ568" s="93"/>
      <c r="EMA568" s="93"/>
      <c r="EMB568" s="93"/>
      <c r="EMC568" s="93"/>
      <c r="EMD568" s="93"/>
      <c r="EME568" s="93"/>
      <c r="EMF568" s="93"/>
      <c r="EMG568" s="93"/>
      <c r="EMH568" s="93"/>
      <c r="EMI568" s="93"/>
      <c r="EMJ568" s="93"/>
      <c r="EMK568" s="93"/>
      <c r="EML568" s="93"/>
      <c r="EMM568" s="93"/>
      <c r="EMN568" s="93"/>
      <c r="EMO568" s="93"/>
      <c r="EMP568" s="93"/>
      <c r="EMQ568" s="93"/>
      <c r="EMR568" s="93"/>
      <c r="EMS568" s="93"/>
      <c r="EMT568" s="93"/>
      <c r="EMU568" s="93"/>
      <c r="EMV568" s="93"/>
      <c r="EMW568" s="93"/>
      <c r="EMX568" s="93"/>
      <c r="EMY568" s="93"/>
      <c r="EMZ568" s="93"/>
      <c r="ENA568" s="93"/>
      <c r="ENB568" s="93"/>
      <c r="ENC568" s="93"/>
      <c r="END568" s="93"/>
      <c r="ENE568" s="93"/>
      <c r="ENF568" s="93"/>
      <c r="ENG568" s="93"/>
      <c r="ENH568" s="93"/>
      <c r="ENI568" s="93"/>
      <c r="ENJ568" s="93"/>
      <c r="ENK568" s="93"/>
      <c r="ENL568" s="93"/>
      <c r="ENM568" s="93"/>
      <c r="ENN568" s="93"/>
      <c r="ENO568" s="93"/>
      <c r="ENP568" s="93"/>
      <c r="ENQ568" s="93"/>
      <c r="ENR568" s="93"/>
      <c r="ENS568" s="93"/>
      <c r="ENT568" s="93"/>
      <c r="ENU568" s="93"/>
      <c r="ENV568" s="93"/>
      <c r="ENW568" s="93"/>
      <c r="ENX568" s="93"/>
      <c r="ENY568" s="93"/>
      <c r="ENZ568" s="93"/>
      <c r="EOA568" s="93"/>
      <c r="EOB568" s="93"/>
      <c r="EOC568" s="93"/>
      <c r="EOD568" s="93"/>
      <c r="EOE568" s="93"/>
      <c r="EOF568" s="93"/>
      <c r="EOG568" s="93"/>
      <c r="EOH568" s="93"/>
      <c r="EOI568" s="93"/>
      <c r="EOJ568" s="93"/>
      <c r="EOK568" s="93"/>
      <c r="EOL568" s="93"/>
      <c r="EOM568" s="93"/>
      <c r="EON568" s="93"/>
      <c r="EOO568" s="93"/>
      <c r="EOP568" s="93"/>
      <c r="EOQ568" s="93"/>
      <c r="EOR568" s="93"/>
      <c r="EOS568" s="93"/>
      <c r="EOT568" s="93"/>
      <c r="EOU568" s="93"/>
      <c r="EOV568" s="93"/>
      <c r="EOW568" s="93"/>
      <c r="EOX568" s="93"/>
      <c r="EOY568" s="93"/>
      <c r="EOZ568" s="93"/>
      <c r="EPA568" s="93"/>
      <c r="EPB568" s="93"/>
      <c r="EPC568" s="93"/>
      <c r="EPD568" s="93"/>
      <c r="EPE568" s="93"/>
      <c r="EPF568" s="93"/>
      <c r="EPG568" s="93"/>
      <c r="EPH568" s="93"/>
      <c r="EPI568" s="93"/>
      <c r="EPJ568" s="93"/>
      <c r="EPK568" s="93"/>
      <c r="EPL568" s="93"/>
      <c r="EPM568" s="93"/>
      <c r="EPN568" s="93"/>
      <c r="EPO568" s="93"/>
      <c r="EPP568" s="93"/>
      <c r="EPQ568" s="93"/>
      <c r="EPR568" s="93"/>
      <c r="EPS568" s="93"/>
      <c r="EPT568" s="93"/>
      <c r="EPU568" s="93"/>
      <c r="EPV568" s="93"/>
      <c r="EPW568" s="93"/>
      <c r="EPX568" s="93"/>
      <c r="EPY568" s="93"/>
      <c r="EPZ568" s="93"/>
      <c r="EQA568" s="93"/>
      <c r="EQB568" s="93"/>
      <c r="EQC568" s="93"/>
      <c r="EQD568" s="93"/>
      <c r="EQE568" s="93"/>
      <c r="EQF568" s="93"/>
      <c r="EQG568" s="93"/>
      <c r="EQH568" s="93"/>
      <c r="EQI568" s="93"/>
      <c r="EQJ568" s="93"/>
      <c r="EQK568" s="93"/>
      <c r="EQL568" s="93"/>
      <c r="EQM568" s="93"/>
      <c r="EQN568" s="93"/>
      <c r="EQO568" s="93"/>
      <c r="EQP568" s="93"/>
      <c r="EQQ568" s="93"/>
      <c r="EQR568" s="93"/>
      <c r="EQS568" s="93"/>
      <c r="EQT568" s="93"/>
      <c r="EQU568" s="93"/>
      <c r="EQV568" s="93"/>
      <c r="EQW568" s="93"/>
      <c r="EQX568" s="93"/>
      <c r="EQY568" s="93"/>
      <c r="EQZ568" s="93"/>
      <c r="ERA568" s="93"/>
      <c r="ERB568" s="93"/>
      <c r="ERC568" s="93"/>
      <c r="ERD568" s="93"/>
      <c r="ERE568" s="93"/>
      <c r="ERF568" s="93"/>
      <c r="ERG568" s="93"/>
      <c r="ERH568" s="93"/>
      <c r="ERI568" s="93"/>
      <c r="ERJ568" s="93"/>
      <c r="ERK568" s="93"/>
      <c r="ERL568" s="93"/>
      <c r="ERM568" s="93"/>
      <c r="ERN568" s="93"/>
      <c r="ERO568" s="93"/>
      <c r="ERP568" s="93"/>
      <c r="ERQ568" s="93"/>
      <c r="ERR568" s="93"/>
      <c r="ERS568" s="93"/>
      <c r="ERT568" s="93"/>
      <c r="ERU568" s="93"/>
      <c r="ERV568" s="93"/>
      <c r="ERW568" s="93"/>
      <c r="ERX568" s="93"/>
      <c r="ERY568" s="93"/>
      <c r="ERZ568" s="93"/>
      <c r="ESA568" s="93"/>
      <c r="ESB568" s="93"/>
      <c r="ESC568" s="93"/>
      <c r="ESD568" s="93"/>
      <c r="ESE568" s="93"/>
      <c r="ESF568" s="93"/>
      <c r="ESG568" s="93"/>
      <c r="ESH568" s="93"/>
      <c r="ESI568" s="93"/>
      <c r="ESJ568" s="93"/>
      <c r="ESK568" s="93"/>
      <c r="ESL568" s="93"/>
      <c r="ESM568" s="93"/>
      <c r="ESN568" s="93"/>
      <c r="ESO568" s="93"/>
      <c r="ESP568" s="93"/>
      <c r="ESQ568" s="93"/>
      <c r="ESR568" s="93"/>
      <c r="ESS568" s="93"/>
      <c r="EST568" s="93"/>
      <c r="ESU568" s="93"/>
      <c r="ESV568" s="93"/>
      <c r="ESW568" s="93"/>
      <c r="ESX568" s="93"/>
      <c r="ESY568" s="93"/>
      <c r="ESZ568" s="93"/>
      <c r="ETA568" s="93"/>
      <c r="ETB568" s="93"/>
      <c r="ETC568" s="93"/>
      <c r="ETD568" s="93"/>
      <c r="ETE568" s="93"/>
      <c r="ETF568" s="93"/>
      <c r="ETG568" s="93"/>
      <c r="ETH568" s="93"/>
      <c r="ETI568" s="93"/>
      <c r="ETJ568" s="93"/>
      <c r="ETK568" s="93"/>
      <c r="ETL568" s="93"/>
      <c r="ETM568" s="93"/>
      <c r="ETN568" s="93"/>
      <c r="ETO568" s="93"/>
      <c r="ETP568" s="93"/>
      <c r="ETQ568" s="93"/>
      <c r="ETR568" s="93"/>
      <c r="ETS568" s="93"/>
      <c r="ETT568" s="93"/>
      <c r="ETU568" s="93"/>
      <c r="ETV568" s="93"/>
      <c r="ETW568" s="93"/>
      <c r="ETX568" s="93"/>
      <c r="ETY568" s="93"/>
      <c r="ETZ568" s="93"/>
      <c r="EUA568" s="93"/>
      <c r="EUB568" s="93"/>
      <c r="EUC568" s="93"/>
      <c r="EUD568" s="93"/>
      <c r="EUE568" s="93"/>
      <c r="EUF568" s="93"/>
      <c r="EUG568" s="93"/>
      <c r="EUH568" s="93"/>
      <c r="EUI568" s="93"/>
      <c r="EUJ568" s="93"/>
      <c r="EUK568" s="93"/>
      <c r="EUL568" s="93"/>
      <c r="EUM568" s="93"/>
      <c r="EUN568" s="93"/>
      <c r="EUO568" s="93"/>
      <c r="EUP568" s="93"/>
      <c r="EUQ568" s="93"/>
      <c r="EUR568" s="93"/>
      <c r="EUS568" s="93"/>
      <c r="EUT568" s="93"/>
      <c r="EUU568" s="93"/>
      <c r="EUV568" s="93"/>
      <c r="EUW568" s="93"/>
      <c r="EUX568" s="93"/>
      <c r="EUY568" s="93"/>
      <c r="EUZ568" s="93"/>
      <c r="EVA568" s="93"/>
      <c r="EVB568" s="93"/>
      <c r="EVC568" s="93"/>
      <c r="EVD568" s="93"/>
      <c r="EVE568" s="93"/>
      <c r="EVF568" s="93"/>
      <c r="EVG568" s="93"/>
      <c r="EVH568" s="93"/>
      <c r="EVI568" s="93"/>
      <c r="EVJ568" s="93"/>
      <c r="EVK568" s="93"/>
      <c r="EVL568" s="93"/>
      <c r="EVM568" s="93"/>
      <c r="EVN568" s="93"/>
      <c r="EVO568" s="93"/>
      <c r="EVP568" s="93"/>
      <c r="EVQ568" s="93"/>
      <c r="EVR568" s="93"/>
      <c r="EVS568" s="93"/>
      <c r="EVT568" s="93"/>
      <c r="EVU568" s="93"/>
      <c r="EVV568" s="93"/>
      <c r="EVW568" s="93"/>
      <c r="EVX568" s="93"/>
      <c r="EVY568" s="93"/>
      <c r="EVZ568" s="93"/>
      <c r="EWA568" s="93"/>
      <c r="EWB568" s="93"/>
      <c r="EWC568" s="93"/>
      <c r="EWD568" s="93"/>
      <c r="EWE568" s="93"/>
      <c r="EWF568" s="93"/>
      <c r="EWG568" s="93"/>
      <c r="EWH568" s="93"/>
      <c r="EWI568" s="93"/>
      <c r="EWJ568" s="93"/>
      <c r="EWK568" s="93"/>
      <c r="EWL568" s="93"/>
      <c r="EWM568" s="93"/>
      <c r="EWN568" s="93"/>
      <c r="EWO568" s="93"/>
      <c r="EWP568" s="93"/>
      <c r="EWQ568" s="93"/>
      <c r="EWR568" s="93"/>
      <c r="EWS568" s="93"/>
      <c r="EWT568" s="93"/>
      <c r="EWU568" s="93"/>
      <c r="EWV568" s="93"/>
      <c r="EWW568" s="93"/>
      <c r="EWX568" s="93"/>
      <c r="EWY568" s="93"/>
      <c r="EWZ568" s="93"/>
      <c r="EXA568" s="93"/>
      <c r="EXB568" s="93"/>
      <c r="EXC568" s="93"/>
      <c r="EXD568" s="93"/>
      <c r="EXE568" s="93"/>
      <c r="EXF568" s="93"/>
      <c r="EXG568" s="93"/>
      <c r="EXH568" s="93"/>
      <c r="EXI568" s="93"/>
      <c r="EXJ568" s="93"/>
      <c r="EXK568" s="93"/>
      <c r="EXL568" s="93"/>
      <c r="EXM568" s="93"/>
      <c r="EXN568" s="93"/>
      <c r="EXO568" s="93"/>
      <c r="EXP568" s="93"/>
      <c r="EXQ568" s="93"/>
      <c r="EXR568" s="93"/>
      <c r="EXS568" s="93"/>
      <c r="EXT568" s="93"/>
      <c r="EXU568" s="93"/>
      <c r="EXV568" s="93"/>
      <c r="EXW568" s="93"/>
      <c r="EXX568" s="93"/>
      <c r="EXY568" s="93"/>
      <c r="EXZ568" s="93"/>
      <c r="EYA568" s="93"/>
      <c r="EYB568" s="93"/>
      <c r="EYC568" s="93"/>
      <c r="EYD568" s="93"/>
      <c r="EYE568" s="93"/>
      <c r="EYF568" s="93"/>
      <c r="EYG568" s="93"/>
      <c r="EYH568" s="93"/>
      <c r="EYI568" s="93"/>
      <c r="EYJ568" s="93"/>
      <c r="EYK568" s="93"/>
      <c r="EYL568" s="93"/>
      <c r="EYM568" s="93"/>
      <c r="EYN568" s="93"/>
      <c r="EYO568" s="93"/>
      <c r="EYP568" s="93"/>
      <c r="EYQ568" s="93"/>
      <c r="EYR568" s="93"/>
      <c r="EYS568" s="93"/>
      <c r="EYT568" s="93"/>
      <c r="EYU568" s="93"/>
      <c r="EYV568" s="93"/>
      <c r="EYW568" s="93"/>
      <c r="EYX568" s="93"/>
      <c r="EYY568" s="93"/>
      <c r="EYZ568" s="93"/>
      <c r="EZA568" s="93"/>
      <c r="EZB568" s="93"/>
      <c r="EZC568" s="93"/>
      <c r="EZD568" s="93"/>
      <c r="EZE568" s="93"/>
      <c r="EZF568" s="93"/>
      <c r="EZG568" s="93"/>
      <c r="EZH568" s="93"/>
      <c r="EZI568" s="93"/>
      <c r="EZJ568" s="93"/>
      <c r="EZK568" s="93"/>
      <c r="EZL568" s="93"/>
      <c r="EZM568" s="93"/>
      <c r="EZN568" s="93"/>
      <c r="EZO568" s="93"/>
      <c r="EZP568" s="93"/>
      <c r="EZQ568" s="93"/>
      <c r="EZR568" s="93"/>
      <c r="EZS568" s="93"/>
      <c r="EZT568" s="93"/>
      <c r="EZU568" s="93"/>
      <c r="EZV568" s="93"/>
      <c r="EZW568" s="93"/>
      <c r="EZX568" s="93"/>
      <c r="EZY568" s="93"/>
      <c r="EZZ568" s="93"/>
      <c r="FAA568" s="93"/>
      <c r="FAB568" s="93"/>
      <c r="FAC568" s="93"/>
      <c r="FAD568" s="93"/>
      <c r="FAE568" s="93"/>
      <c r="FAF568" s="93"/>
      <c r="FAG568" s="93"/>
      <c r="FAH568" s="93"/>
      <c r="FAI568" s="93"/>
      <c r="FAJ568" s="93"/>
      <c r="FAK568" s="93"/>
      <c r="FAL568" s="93"/>
      <c r="FAM568" s="93"/>
      <c r="FAN568" s="93"/>
      <c r="FAO568" s="93"/>
      <c r="FAP568" s="93"/>
      <c r="FAQ568" s="93"/>
      <c r="FAR568" s="93"/>
      <c r="FAS568" s="93"/>
      <c r="FAT568" s="93"/>
      <c r="FAU568" s="93"/>
      <c r="FAV568" s="93"/>
      <c r="FAW568" s="93"/>
      <c r="FAX568" s="93"/>
      <c r="FAY568" s="93"/>
      <c r="FAZ568" s="93"/>
      <c r="FBA568" s="93"/>
      <c r="FBB568" s="93"/>
      <c r="FBC568" s="93"/>
      <c r="FBD568" s="93"/>
      <c r="FBE568" s="93"/>
      <c r="FBF568" s="93"/>
      <c r="FBG568" s="93"/>
      <c r="FBH568" s="93"/>
      <c r="FBI568" s="93"/>
      <c r="FBJ568" s="93"/>
      <c r="FBK568" s="93"/>
      <c r="FBL568" s="93"/>
      <c r="FBM568" s="93"/>
      <c r="FBN568" s="93"/>
      <c r="FBO568" s="93"/>
      <c r="FBP568" s="93"/>
      <c r="FBQ568" s="93"/>
      <c r="FBR568" s="93"/>
      <c r="FBS568" s="93"/>
      <c r="FBT568" s="93"/>
      <c r="FBU568" s="93"/>
      <c r="FBV568" s="93"/>
      <c r="FBW568" s="93"/>
      <c r="FBX568" s="93"/>
      <c r="FBY568" s="93"/>
      <c r="FBZ568" s="93"/>
      <c r="FCA568" s="93"/>
      <c r="FCB568" s="93"/>
      <c r="FCC568" s="93"/>
      <c r="FCD568" s="93"/>
      <c r="FCE568" s="93"/>
      <c r="FCF568" s="93"/>
      <c r="FCG568" s="93"/>
      <c r="FCH568" s="93"/>
      <c r="FCI568" s="93"/>
      <c r="FCJ568" s="93"/>
      <c r="FCK568" s="93"/>
      <c r="FCL568" s="93"/>
      <c r="FCM568" s="93"/>
      <c r="FCN568" s="93"/>
      <c r="FCO568" s="93"/>
      <c r="FCP568" s="93"/>
      <c r="FCQ568" s="93"/>
      <c r="FCR568" s="93"/>
      <c r="FCS568" s="93"/>
      <c r="FCT568" s="93"/>
      <c r="FCU568" s="93"/>
      <c r="FCV568" s="93"/>
      <c r="FCW568" s="93"/>
      <c r="FCX568" s="93"/>
      <c r="FCY568" s="93"/>
      <c r="FCZ568" s="93"/>
      <c r="FDA568" s="93"/>
      <c r="FDB568" s="93"/>
      <c r="FDC568" s="93"/>
      <c r="FDD568" s="93"/>
      <c r="FDE568" s="93"/>
      <c r="FDF568" s="93"/>
      <c r="FDG568" s="93"/>
      <c r="FDH568" s="93"/>
      <c r="FDI568" s="93"/>
      <c r="FDJ568" s="93"/>
      <c r="FDK568" s="93"/>
      <c r="FDL568" s="93"/>
      <c r="FDM568" s="93"/>
      <c r="FDN568" s="93"/>
      <c r="FDO568" s="93"/>
      <c r="FDP568" s="93"/>
      <c r="FDQ568" s="93"/>
      <c r="FDR568" s="93"/>
      <c r="FDS568" s="93"/>
      <c r="FDT568" s="93"/>
      <c r="FDU568" s="93"/>
      <c r="FDV568" s="93"/>
      <c r="FDW568" s="93"/>
      <c r="FDX568" s="93"/>
      <c r="FDY568" s="93"/>
      <c r="FDZ568" s="93"/>
      <c r="FEA568" s="93"/>
      <c r="FEB568" s="93"/>
      <c r="FEC568" s="93"/>
      <c r="FED568" s="93"/>
      <c r="FEE568" s="93"/>
      <c r="FEF568" s="93"/>
      <c r="FEG568" s="93"/>
      <c r="FEH568" s="93"/>
      <c r="FEI568" s="93"/>
      <c r="FEJ568" s="93"/>
      <c r="FEK568" s="93"/>
      <c r="FEL568" s="93"/>
      <c r="FEM568" s="93"/>
      <c r="FEN568" s="93"/>
      <c r="FEO568" s="93"/>
      <c r="FEP568" s="93"/>
      <c r="FEQ568" s="93"/>
      <c r="FER568" s="93"/>
      <c r="FES568" s="93"/>
      <c r="FET568" s="93"/>
      <c r="FEU568" s="93"/>
      <c r="FEV568" s="93"/>
      <c r="FEW568" s="93"/>
      <c r="FEX568" s="93"/>
      <c r="FEY568" s="93"/>
      <c r="FEZ568" s="93"/>
      <c r="FFA568" s="93"/>
      <c r="FFB568" s="93"/>
      <c r="FFC568" s="93"/>
      <c r="FFD568" s="93"/>
      <c r="FFE568" s="93"/>
      <c r="FFF568" s="93"/>
      <c r="FFG568" s="93"/>
      <c r="FFH568" s="93"/>
      <c r="FFI568" s="93"/>
      <c r="FFJ568" s="93"/>
      <c r="FFK568" s="93"/>
      <c r="FFL568" s="93"/>
      <c r="FFM568" s="93"/>
      <c r="FFN568" s="93"/>
      <c r="FFO568" s="93"/>
      <c r="FFP568" s="93"/>
      <c r="FFQ568" s="93"/>
      <c r="FFR568" s="93"/>
      <c r="FFS568" s="93"/>
      <c r="FFT568" s="93"/>
      <c r="FFU568" s="93"/>
      <c r="FFV568" s="93"/>
      <c r="FFW568" s="93"/>
      <c r="FFX568" s="93"/>
      <c r="FFY568" s="93"/>
      <c r="FFZ568" s="93"/>
      <c r="FGA568" s="93"/>
      <c r="FGB568" s="93"/>
      <c r="FGC568" s="93"/>
      <c r="FGD568" s="93"/>
      <c r="FGE568" s="93"/>
      <c r="FGF568" s="93"/>
      <c r="FGG568" s="93"/>
      <c r="FGH568" s="93"/>
      <c r="FGI568" s="93"/>
      <c r="FGJ568" s="93"/>
      <c r="FGK568" s="93"/>
      <c r="FGL568" s="93"/>
      <c r="FGM568" s="93"/>
      <c r="FGN568" s="93"/>
      <c r="FGO568" s="93"/>
      <c r="FGP568" s="93"/>
      <c r="FGQ568" s="93"/>
      <c r="FGR568" s="93"/>
      <c r="FGS568" s="93"/>
      <c r="FGT568" s="93"/>
      <c r="FGU568" s="93"/>
      <c r="FGV568" s="93"/>
      <c r="FGW568" s="93"/>
      <c r="FGX568" s="93"/>
      <c r="FGY568" s="93"/>
      <c r="FGZ568" s="93"/>
      <c r="FHA568" s="93"/>
      <c r="FHB568" s="93"/>
      <c r="FHC568" s="93"/>
      <c r="FHD568" s="93"/>
      <c r="FHE568" s="93"/>
      <c r="FHF568" s="93"/>
      <c r="FHG568" s="93"/>
      <c r="FHH568" s="93"/>
      <c r="FHI568" s="93"/>
      <c r="FHJ568" s="93"/>
      <c r="FHK568" s="93"/>
      <c r="FHL568" s="93"/>
      <c r="FHM568" s="93"/>
      <c r="FHN568" s="93"/>
      <c r="FHO568" s="93"/>
      <c r="FHP568" s="93"/>
      <c r="FHQ568" s="93"/>
      <c r="FHR568" s="93"/>
      <c r="FHS568" s="93"/>
      <c r="FHT568" s="93"/>
      <c r="FHU568" s="93"/>
      <c r="FHV568" s="93"/>
      <c r="FHW568" s="93"/>
      <c r="FHX568" s="93"/>
      <c r="FHY568" s="93"/>
      <c r="FHZ568" s="93"/>
      <c r="FIA568" s="93"/>
      <c r="FIB568" s="93"/>
      <c r="FIC568" s="93"/>
      <c r="FID568" s="93"/>
      <c r="FIE568" s="93"/>
      <c r="FIF568" s="93"/>
      <c r="FIG568" s="93"/>
      <c r="FIH568" s="93"/>
      <c r="FII568" s="93"/>
      <c r="FIJ568" s="93"/>
      <c r="FIK568" s="93"/>
      <c r="FIL568" s="93"/>
      <c r="FIM568" s="93"/>
      <c r="FIN568" s="93"/>
      <c r="FIO568" s="93"/>
      <c r="FIP568" s="93"/>
      <c r="FIQ568" s="93"/>
      <c r="FIR568" s="93"/>
      <c r="FIS568" s="93"/>
      <c r="FIT568" s="93"/>
      <c r="FIU568" s="93"/>
      <c r="FIV568" s="93"/>
      <c r="FIW568" s="93"/>
      <c r="FIX568" s="93"/>
      <c r="FIY568" s="93"/>
      <c r="FIZ568" s="93"/>
      <c r="FJA568" s="93"/>
      <c r="FJB568" s="93"/>
      <c r="FJC568" s="93"/>
      <c r="FJD568" s="93"/>
      <c r="FJE568" s="93"/>
      <c r="FJF568" s="93"/>
      <c r="FJG568" s="93"/>
      <c r="FJH568" s="93"/>
      <c r="FJI568" s="93"/>
      <c r="FJJ568" s="93"/>
      <c r="FJK568" s="93"/>
      <c r="FJL568" s="93"/>
      <c r="FJM568" s="93"/>
      <c r="FJN568" s="93"/>
      <c r="FJO568" s="93"/>
      <c r="FJP568" s="93"/>
      <c r="FJQ568" s="93"/>
      <c r="FJR568" s="93"/>
      <c r="FJS568" s="93"/>
      <c r="FJT568" s="93"/>
      <c r="FJU568" s="93"/>
      <c r="FJV568" s="93"/>
      <c r="FJW568" s="93"/>
      <c r="FJX568" s="93"/>
      <c r="FJY568" s="93"/>
      <c r="FJZ568" s="93"/>
      <c r="FKA568" s="93"/>
      <c r="FKB568" s="93"/>
      <c r="FKC568" s="93"/>
      <c r="FKD568" s="93"/>
      <c r="FKE568" s="93"/>
      <c r="FKF568" s="93"/>
      <c r="FKG568" s="93"/>
      <c r="FKH568" s="93"/>
      <c r="FKI568" s="93"/>
      <c r="FKJ568" s="93"/>
      <c r="FKK568" s="93"/>
      <c r="FKL568" s="93"/>
      <c r="FKM568" s="93"/>
      <c r="FKN568" s="93"/>
      <c r="FKO568" s="93"/>
      <c r="FKP568" s="93"/>
      <c r="FKQ568" s="93"/>
      <c r="FKR568" s="93"/>
      <c r="FKS568" s="93"/>
      <c r="FKT568" s="93"/>
      <c r="FKU568" s="93"/>
      <c r="FKV568" s="93"/>
      <c r="FKW568" s="93"/>
      <c r="FKX568" s="93"/>
      <c r="FKY568" s="93"/>
      <c r="FKZ568" s="93"/>
      <c r="FLA568" s="93"/>
      <c r="FLB568" s="93"/>
      <c r="FLC568" s="93"/>
      <c r="FLD568" s="93"/>
      <c r="FLE568" s="93"/>
      <c r="FLF568" s="93"/>
      <c r="FLG568" s="93"/>
      <c r="FLH568" s="93"/>
      <c r="FLI568" s="93"/>
      <c r="FLJ568" s="93"/>
      <c r="FLK568" s="93"/>
      <c r="FLL568" s="93"/>
      <c r="FLM568" s="93"/>
      <c r="FLN568" s="93"/>
      <c r="FLO568" s="93"/>
      <c r="FLP568" s="93"/>
      <c r="FLQ568" s="93"/>
      <c r="FLR568" s="93"/>
      <c r="FLS568" s="93"/>
      <c r="FLT568" s="93"/>
      <c r="FLU568" s="93"/>
      <c r="FLV568" s="93"/>
      <c r="FLW568" s="93"/>
      <c r="FLX568" s="93"/>
      <c r="FLY568" s="93"/>
      <c r="FLZ568" s="93"/>
      <c r="FMA568" s="93"/>
      <c r="FMB568" s="93"/>
      <c r="FMC568" s="93"/>
      <c r="FMD568" s="93"/>
      <c r="FME568" s="93"/>
      <c r="FMF568" s="93"/>
      <c r="FMG568" s="93"/>
      <c r="FMH568" s="93"/>
      <c r="FMI568" s="93"/>
      <c r="FMJ568" s="93"/>
      <c r="FMK568" s="93"/>
      <c r="FML568" s="93"/>
      <c r="FMM568" s="93"/>
      <c r="FMN568" s="93"/>
      <c r="FMO568" s="93"/>
      <c r="FMP568" s="93"/>
      <c r="FMQ568" s="93"/>
      <c r="FMR568" s="93"/>
      <c r="FMS568" s="93"/>
      <c r="FMT568" s="93"/>
      <c r="FMU568" s="93"/>
      <c r="FMV568" s="93"/>
      <c r="FMW568" s="93"/>
      <c r="FMX568" s="93"/>
      <c r="FMY568" s="93"/>
      <c r="FMZ568" s="93"/>
      <c r="FNA568" s="93"/>
      <c r="FNB568" s="93"/>
      <c r="FNC568" s="93"/>
      <c r="FND568" s="93"/>
      <c r="FNE568" s="93"/>
      <c r="FNF568" s="93"/>
      <c r="FNG568" s="93"/>
      <c r="FNH568" s="93"/>
      <c r="FNI568" s="93"/>
      <c r="FNJ568" s="93"/>
      <c r="FNK568" s="93"/>
      <c r="FNL568" s="93"/>
      <c r="FNM568" s="93"/>
      <c r="FNN568" s="93"/>
      <c r="FNO568" s="93"/>
      <c r="FNP568" s="93"/>
      <c r="FNQ568" s="93"/>
      <c r="FNR568" s="93"/>
      <c r="FNS568" s="93"/>
      <c r="FNT568" s="93"/>
      <c r="FNU568" s="93"/>
      <c r="FNV568" s="93"/>
      <c r="FNW568" s="93"/>
      <c r="FNX568" s="93"/>
      <c r="FNY568" s="93"/>
      <c r="FNZ568" s="93"/>
      <c r="FOA568" s="93"/>
      <c r="FOB568" s="93"/>
      <c r="FOC568" s="93"/>
      <c r="FOD568" s="93"/>
      <c r="FOE568" s="93"/>
      <c r="FOF568" s="93"/>
      <c r="FOG568" s="93"/>
      <c r="FOH568" s="93"/>
      <c r="FOI568" s="93"/>
      <c r="FOJ568" s="93"/>
      <c r="FOK568" s="93"/>
      <c r="FOL568" s="93"/>
      <c r="FOM568" s="93"/>
      <c r="FON568" s="93"/>
      <c r="FOO568" s="93"/>
      <c r="FOP568" s="93"/>
      <c r="FOQ568" s="93"/>
      <c r="FOR568" s="93"/>
      <c r="FOS568" s="93"/>
      <c r="FOT568" s="93"/>
      <c r="FOU568" s="93"/>
      <c r="FOV568" s="93"/>
      <c r="FOW568" s="93"/>
      <c r="FOX568" s="93"/>
      <c r="FOY568" s="93"/>
      <c r="FOZ568" s="93"/>
      <c r="FPA568" s="93"/>
      <c r="FPB568" s="93"/>
      <c r="FPC568" s="93"/>
      <c r="FPD568" s="93"/>
      <c r="FPE568" s="93"/>
      <c r="FPF568" s="93"/>
      <c r="FPG568" s="93"/>
      <c r="FPH568" s="93"/>
      <c r="FPI568" s="93"/>
      <c r="FPJ568" s="93"/>
      <c r="FPK568" s="93"/>
      <c r="FPL568" s="93"/>
      <c r="FPM568" s="93"/>
      <c r="FPN568" s="93"/>
      <c r="FPO568" s="93"/>
      <c r="FPP568" s="93"/>
      <c r="FPQ568" s="93"/>
      <c r="FPR568" s="93"/>
      <c r="FPS568" s="93"/>
      <c r="FPT568" s="93"/>
      <c r="FPU568" s="93"/>
      <c r="FPV568" s="93"/>
      <c r="FPW568" s="93"/>
      <c r="FPX568" s="93"/>
      <c r="FPY568" s="93"/>
      <c r="FPZ568" s="93"/>
      <c r="FQA568" s="93"/>
      <c r="FQB568" s="93"/>
      <c r="FQC568" s="93"/>
      <c r="FQD568" s="93"/>
      <c r="FQE568" s="93"/>
      <c r="FQF568" s="93"/>
      <c r="FQG568" s="93"/>
      <c r="FQH568" s="93"/>
      <c r="FQI568" s="93"/>
      <c r="FQJ568" s="93"/>
      <c r="FQK568" s="93"/>
      <c r="FQL568" s="93"/>
      <c r="FQM568" s="93"/>
      <c r="FQN568" s="93"/>
      <c r="FQO568" s="93"/>
      <c r="FQP568" s="93"/>
      <c r="FQQ568" s="93"/>
      <c r="FQR568" s="93"/>
      <c r="FQS568" s="93"/>
      <c r="FQT568" s="93"/>
      <c r="FQU568" s="93"/>
      <c r="FQV568" s="93"/>
      <c r="FQW568" s="93"/>
      <c r="FQX568" s="93"/>
      <c r="FQY568" s="93"/>
      <c r="FQZ568" s="93"/>
      <c r="FRA568" s="93"/>
      <c r="FRB568" s="93"/>
      <c r="FRC568" s="93"/>
      <c r="FRD568" s="93"/>
      <c r="FRE568" s="93"/>
      <c r="FRF568" s="93"/>
      <c r="FRG568" s="93"/>
      <c r="FRH568" s="93"/>
      <c r="FRI568" s="93"/>
      <c r="FRJ568" s="93"/>
      <c r="FRK568" s="93"/>
      <c r="FRL568" s="93"/>
      <c r="FRM568" s="93"/>
      <c r="FRN568" s="93"/>
      <c r="FRO568" s="93"/>
      <c r="FRP568" s="93"/>
      <c r="FRQ568" s="93"/>
      <c r="FRR568" s="93"/>
      <c r="FRS568" s="93"/>
      <c r="FRT568" s="93"/>
      <c r="FRU568" s="93"/>
      <c r="FRV568" s="93"/>
      <c r="FRW568" s="93"/>
      <c r="FRX568" s="93"/>
      <c r="FRY568" s="93"/>
      <c r="FRZ568" s="93"/>
      <c r="FSA568" s="93"/>
      <c r="FSB568" s="93"/>
      <c r="FSC568" s="93"/>
      <c r="FSD568" s="93"/>
      <c r="FSE568" s="93"/>
      <c r="FSF568" s="93"/>
      <c r="FSG568" s="93"/>
      <c r="FSH568" s="93"/>
      <c r="FSI568" s="93"/>
      <c r="FSJ568" s="93"/>
      <c r="FSK568" s="93"/>
      <c r="FSL568" s="93"/>
      <c r="FSM568" s="93"/>
      <c r="FSN568" s="93"/>
      <c r="FSO568" s="93"/>
      <c r="FSP568" s="93"/>
      <c r="FSQ568" s="93"/>
      <c r="FSR568" s="93"/>
      <c r="FSS568" s="93"/>
      <c r="FST568" s="93"/>
      <c r="FSU568" s="93"/>
      <c r="FSV568" s="93"/>
      <c r="FSW568" s="93"/>
      <c r="FSX568" s="93"/>
      <c r="FSY568" s="93"/>
      <c r="FSZ568" s="93"/>
      <c r="FTA568" s="93"/>
      <c r="FTB568" s="93"/>
      <c r="FTC568" s="93"/>
      <c r="FTD568" s="93"/>
      <c r="FTE568" s="93"/>
      <c r="FTF568" s="93"/>
      <c r="FTG568" s="93"/>
      <c r="FTH568" s="93"/>
      <c r="FTI568" s="93"/>
      <c r="FTJ568" s="93"/>
      <c r="FTK568" s="93"/>
      <c r="FTL568" s="93"/>
      <c r="FTM568" s="93"/>
      <c r="FTN568" s="93"/>
      <c r="FTO568" s="93"/>
      <c r="FTP568" s="93"/>
      <c r="FTQ568" s="93"/>
      <c r="FTR568" s="93"/>
      <c r="FTS568" s="93"/>
      <c r="FTT568" s="93"/>
      <c r="FTU568" s="93"/>
      <c r="FTV568" s="93"/>
      <c r="FTW568" s="93"/>
      <c r="FTX568" s="93"/>
      <c r="FTY568" s="93"/>
      <c r="FTZ568" s="93"/>
      <c r="FUA568" s="93"/>
      <c r="FUB568" s="93"/>
      <c r="FUC568" s="93"/>
      <c r="FUD568" s="93"/>
      <c r="FUE568" s="93"/>
      <c r="FUF568" s="93"/>
      <c r="FUG568" s="93"/>
      <c r="FUH568" s="93"/>
      <c r="FUI568" s="93"/>
      <c r="FUJ568" s="93"/>
      <c r="FUK568" s="93"/>
      <c r="FUL568" s="93"/>
      <c r="FUM568" s="93"/>
      <c r="FUN568" s="93"/>
      <c r="FUO568" s="93"/>
      <c r="FUP568" s="93"/>
      <c r="FUQ568" s="93"/>
      <c r="FUR568" s="93"/>
      <c r="FUS568" s="93"/>
      <c r="FUT568" s="93"/>
      <c r="FUU568" s="93"/>
      <c r="FUV568" s="93"/>
      <c r="FUW568" s="93"/>
      <c r="FUX568" s="93"/>
      <c r="FUY568" s="93"/>
      <c r="FUZ568" s="93"/>
      <c r="FVA568" s="93"/>
      <c r="FVB568" s="93"/>
      <c r="FVC568" s="93"/>
      <c r="FVD568" s="93"/>
      <c r="FVE568" s="93"/>
      <c r="FVF568" s="93"/>
      <c r="FVG568" s="93"/>
      <c r="FVH568" s="93"/>
      <c r="FVI568" s="93"/>
      <c r="FVJ568" s="93"/>
      <c r="FVK568" s="93"/>
      <c r="FVL568" s="93"/>
      <c r="FVM568" s="93"/>
      <c r="FVN568" s="93"/>
      <c r="FVO568" s="93"/>
      <c r="FVP568" s="93"/>
      <c r="FVQ568" s="93"/>
      <c r="FVR568" s="93"/>
      <c r="FVS568" s="93"/>
      <c r="FVT568" s="93"/>
      <c r="FVU568" s="93"/>
      <c r="FVV568" s="93"/>
      <c r="FVW568" s="93"/>
      <c r="FVX568" s="93"/>
      <c r="FVY568" s="93"/>
      <c r="FVZ568" s="93"/>
      <c r="FWA568" s="93"/>
      <c r="FWB568" s="93"/>
      <c r="FWC568" s="93"/>
      <c r="FWD568" s="93"/>
      <c r="FWE568" s="93"/>
      <c r="FWF568" s="93"/>
      <c r="FWG568" s="93"/>
      <c r="FWH568" s="93"/>
      <c r="FWI568" s="93"/>
      <c r="FWJ568" s="93"/>
      <c r="FWK568" s="93"/>
      <c r="FWL568" s="93"/>
      <c r="FWM568" s="93"/>
      <c r="FWN568" s="93"/>
      <c r="FWO568" s="93"/>
      <c r="FWP568" s="93"/>
      <c r="FWQ568" s="93"/>
      <c r="FWR568" s="93"/>
      <c r="FWS568" s="93"/>
      <c r="FWT568" s="93"/>
      <c r="FWU568" s="93"/>
      <c r="FWV568" s="93"/>
      <c r="FWW568" s="93"/>
      <c r="FWX568" s="93"/>
      <c r="FWY568" s="93"/>
      <c r="FWZ568" s="93"/>
      <c r="FXA568" s="93"/>
      <c r="FXB568" s="93"/>
      <c r="FXC568" s="93"/>
      <c r="FXD568" s="93"/>
      <c r="FXE568" s="93"/>
      <c r="FXF568" s="93"/>
      <c r="FXG568" s="93"/>
      <c r="FXH568" s="93"/>
      <c r="FXI568" s="93"/>
      <c r="FXJ568" s="93"/>
      <c r="FXK568" s="93"/>
      <c r="FXL568" s="93"/>
      <c r="FXM568" s="93"/>
      <c r="FXN568" s="93"/>
      <c r="FXO568" s="93"/>
      <c r="FXP568" s="93"/>
      <c r="FXQ568" s="93"/>
      <c r="FXR568" s="93"/>
      <c r="FXS568" s="93"/>
      <c r="FXT568" s="93"/>
      <c r="FXU568" s="93"/>
      <c r="FXV568" s="93"/>
      <c r="FXW568" s="93"/>
      <c r="FXX568" s="93"/>
      <c r="FXY568" s="93"/>
      <c r="FXZ568" s="93"/>
      <c r="FYA568" s="93"/>
      <c r="FYB568" s="93"/>
      <c r="FYC568" s="93"/>
      <c r="FYD568" s="93"/>
      <c r="FYE568" s="93"/>
      <c r="FYF568" s="93"/>
      <c r="FYG568" s="93"/>
      <c r="FYH568" s="93"/>
      <c r="FYI568" s="93"/>
      <c r="FYJ568" s="93"/>
      <c r="FYK568" s="93"/>
      <c r="FYL568" s="93"/>
      <c r="FYM568" s="93"/>
      <c r="FYN568" s="93"/>
      <c r="FYO568" s="93"/>
      <c r="FYP568" s="93"/>
      <c r="FYQ568" s="93"/>
      <c r="FYR568" s="93"/>
      <c r="FYS568" s="93"/>
      <c r="FYT568" s="93"/>
      <c r="FYU568" s="93"/>
      <c r="FYV568" s="93"/>
      <c r="FYW568" s="93"/>
      <c r="FYX568" s="93"/>
      <c r="FYY568" s="93"/>
      <c r="FYZ568" s="93"/>
      <c r="FZA568" s="93"/>
      <c r="FZB568" s="93"/>
      <c r="FZC568" s="93"/>
      <c r="FZD568" s="93"/>
      <c r="FZE568" s="93"/>
      <c r="FZF568" s="93"/>
      <c r="FZG568" s="93"/>
      <c r="FZH568" s="93"/>
      <c r="FZI568" s="93"/>
      <c r="FZJ568" s="93"/>
      <c r="FZK568" s="93"/>
      <c r="FZL568" s="93"/>
      <c r="FZM568" s="93"/>
      <c r="FZN568" s="93"/>
      <c r="FZO568" s="93"/>
      <c r="FZP568" s="93"/>
      <c r="FZQ568" s="93"/>
      <c r="FZR568" s="93"/>
      <c r="FZS568" s="93"/>
      <c r="FZT568" s="93"/>
      <c r="FZU568" s="93"/>
      <c r="FZV568" s="93"/>
      <c r="FZW568" s="93"/>
      <c r="FZX568" s="93"/>
      <c r="FZY568" s="93"/>
      <c r="FZZ568" s="93"/>
      <c r="GAA568" s="93"/>
      <c r="GAB568" s="93"/>
      <c r="GAC568" s="93"/>
      <c r="GAD568" s="93"/>
    </row>
    <row r="569" spans="1:4762" s="95" customFormat="1" ht="25.15" customHeight="1" outlineLevel="1" x14ac:dyDescent="0.25">
      <c r="A569" s="80" t="s">
        <v>202</v>
      </c>
      <c r="B569" s="80"/>
      <c r="C569" s="80"/>
      <c r="D569" s="89" t="s">
        <v>1758</v>
      </c>
      <c r="E569" s="80" t="s">
        <v>33</v>
      </c>
      <c r="F569" s="80" t="s">
        <v>37</v>
      </c>
      <c r="G569" s="80" t="s">
        <v>43</v>
      </c>
      <c r="H569" s="80" t="s">
        <v>998</v>
      </c>
      <c r="I569" s="80" t="s">
        <v>7</v>
      </c>
      <c r="J569" s="80"/>
      <c r="K569" s="90" t="s">
        <v>999</v>
      </c>
      <c r="L569" s="80"/>
      <c r="M569" s="80" t="s">
        <v>1007</v>
      </c>
      <c r="N569" s="92" t="s">
        <v>31</v>
      </c>
      <c r="O569" s="37">
        <v>9261</v>
      </c>
      <c r="P569" s="37">
        <v>2482</v>
      </c>
      <c r="Q569" s="37">
        <v>2110</v>
      </c>
      <c r="R569" s="37"/>
      <c r="S569" s="37">
        <v>3467</v>
      </c>
      <c r="T569" s="37">
        <v>2540</v>
      </c>
      <c r="U569" s="37">
        <v>11462</v>
      </c>
      <c r="V569" s="37">
        <v>1302</v>
      </c>
      <c r="W569" s="37">
        <v>6570</v>
      </c>
      <c r="X569" s="37">
        <v>3530</v>
      </c>
      <c r="Y569" s="37"/>
      <c r="Z569" s="37">
        <v>21</v>
      </c>
      <c r="AA569" s="37" t="s">
        <v>2643</v>
      </c>
      <c r="AB569" s="37">
        <v>19000</v>
      </c>
      <c r="AC569" s="37">
        <v>9926</v>
      </c>
      <c r="AD569" s="37"/>
      <c r="AE569" s="37"/>
      <c r="AF569" s="37"/>
      <c r="AG569" s="37"/>
      <c r="AH569" s="37">
        <v>48</v>
      </c>
      <c r="AI569" s="38" t="s">
        <v>2874</v>
      </c>
      <c r="AJ569" s="38" t="s">
        <v>2873</v>
      </c>
      <c r="AK569" s="38" t="s">
        <v>2721</v>
      </c>
      <c r="AL569" s="38" t="s">
        <v>2722</v>
      </c>
      <c r="AM569" s="38" t="s">
        <v>2948</v>
      </c>
      <c r="AN569" s="38" t="s">
        <v>2916</v>
      </c>
      <c r="AO569" s="197" t="s">
        <v>3145</v>
      </c>
      <c r="AP569" s="100" t="s">
        <v>3140</v>
      </c>
      <c r="AQ569" s="80"/>
      <c r="AR569" s="80"/>
      <c r="AS569" s="100" t="s">
        <v>2589</v>
      </c>
      <c r="AT569" s="100" t="s">
        <v>2580</v>
      </c>
      <c r="AU569" s="199" t="s">
        <v>3271</v>
      </c>
      <c r="AV569" s="199" t="s">
        <v>3188</v>
      </c>
      <c r="AW569" s="84" t="s">
        <v>3180</v>
      </c>
      <c r="AX569" s="91"/>
      <c r="AY569" s="91"/>
      <c r="AZ569" s="91"/>
      <c r="BA569" s="91"/>
      <c r="BB569" s="91"/>
      <c r="BC569" s="91"/>
      <c r="BD569" s="91"/>
      <c r="BE569" s="91"/>
      <c r="BF569" s="91"/>
      <c r="BG569" s="91"/>
      <c r="BH569" s="91"/>
      <c r="BI569" s="91"/>
      <c r="BJ569" s="91"/>
      <c r="BK569" s="91"/>
      <c r="BL569" s="91"/>
      <c r="BM569" s="80"/>
      <c r="BN569" s="80"/>
      <c r="BO569" s="80"/>
      <c r="BP569" s="80"/>
      <c r="BQ569" s="80"/>
      <c r="BR569" s="80"/>
      <c r="BS569" s="80"/>
      <c r="BT569" s="80"/>
      <c r="BU569" s="93"/>
      <c r="BV569" s="93"/>
      <c r="BW569" s="93"/>
      <c r="BX569" s="93"/>
      <c r="BY569" s="93"/>
      <c r="BZ569" s="93"/>
      <c r="CA569" s="93"/>
      <c r="CB569" s="93"/>
      <c r="CC569" s="93"/>
      <c r="CD569" s="93"/>
      <c r="CE569" s="93"/>
      <c r="CF569" s="93"/>
      <c r="CG569" s="93"/>
      <c r="CH569" s="93"/>
      <c r="CI569" s="93"/>
      <c r="CJ569" s="93"/>
      <c r="CK569" s="93"/>
      <c r="CL569" s="93"/>
      <c r="CM569" s="93"/>
      <c r="CN569" s="93"/>
      <c r="CO569" s="93"/>
      <c r="CP569" s="93"/>
      <c r="CQ569" s="93"/>
      <c r="CR569" s="93"/>
      <c r="CS569" s="93"/>
      <c r="CT569" s="93"/>
      <c r="CU569" s="93"/>
      <c r="CV569" s="93"/>
      <c r="CW569" s="93"/>
      <c r="CX569" s="93"/>
      <c r="CY569" s="93"/>
      <c r="CZ569" s="93"/>
      <c r="DA569" s="93"/>
      <c r="DB569" s="93"/>
      <c r="DC569" s="93"/>
      <c r="DD569" s="93"/>
      <c r="DE569" s="93"/>
      <c r="DF569" s="93"/>
      <c r="DG569" s="93"/>
      <c r="DH569" s="93"/>
      <c r="DI569" s="93"/>
      <c r="DJ569" s="93"/>
      <c r="DK569" s="93"/>
      <c r="DL569" s="93"/>
      <c r="DM569" s="93"/>
      <c r="DN569" s="93"/>
      <c r="DO569" s="93"/>
      <c r="DP569" s="93"/>
      <c r="DQ569" s="93"/>
      <c r="DR569" s="93"/>
      <c r="DS569" s="93"/>
      <c r="DT569" s="93"/>
      <c r="DU569" s="93"/>
      <c r="DV569" s="93"/>
      <c r="DW569" s="93"/>
      <c r="DX569" s="93"/>
      <c r="DY569" s="93"/>
      <c r="DZ569" s="93"/>
      <c r="EA569" s="93"/>
      <c r="EB569" s="93"/>
      <c r="EC569" s="93"/>
      <c r="ED569" s="93"/>
      <c r="EE569" s="93"/>
      <c r="EF569" s="93"/>
      <c r="EG569" s="93"/>
      <c r="EH569" s="93"/>
      <c r="EI569" s="93"/>
      <c r="EJ569" s="93"/>
      <c r="EK569" s="93"/>
      <c r="EL569" s="93"/>
      <c r="EM569" s="93"/>
      <c r="EN569" s="93"/>
      <c r="EO569" s="93"/>
      <c r="EP569" s="93"/>
      <c r="EQ569" s="93"/>
      <c r="ER569" s="93"/>
      <c r="ES569" s="93"/>
      <c r="ET569" s="93"/>
      <c r="EU569" s="93"/>
      <c r="EV569" s="93"/>
      <c r="EW569" s="93"/>
      <c r="EX569" s="93"/>
      <c r="EY569" s="93"/>
      <c r="EZ569" s="93"/>
      <c r="FA569" s="93"/>
      <c r="FB569" s="93"/>
      <c r="FC569" s="93"/>
      <c r="FD569" s="93"/>
      <c r="FE569" s="93"/>
      <c r="FF569" s="93"/>
      <c r="FG569" s="93"/>
      <c r="FH569" s="93"/>
      <c r="FI569" s="93"/>
      <c r="FJ569" s="93"/>
      <c r="FK569" s="93"/>
      <c r="FL569" s="93"/>
      <c r="FM569" s="93"/>
      <c r="FN569" s="93"/>
      <c r="FO569" s="93"/>
      <c r="FP569" s="93"/>
      <c r="FQ569" s="93"/>
      <c r="FR569" s="93"/>
      <c r="FS569" s="93"/>
      <c r="FT569" s="93"/>
      <c r="FU569" s="93"/>
      <c r="FV569" s="93"/>
      <c r="FW569" s="93"/>
      <c r="FX569" s="93"/>
      <c r="FY569" s="93"/>
      <c r="FZ569" s="93"/>
      <c r="GA569" s="93"/>
      <c r="GB569" s="93"/>
      <c r="GC569" s="93"/>
      <c r="GD569" s="93"/>
      <c r="GE569" s="93"/>
      <c r="GF569" s="93"/>
      <c r="GG569" s="93"/>
      <c r="GH569" s="93"/>
      <c r="GI569" s="93"/>
      <c r="GJ569" s="93"/>
      <c r="GK569" s="93"/>
      <c r="GL569" s="93"/>
      <c r="GM569" s="93"/>
      <c r="GN569" s="93"/>
      <c r="GO569" s="93"/>
      <c r="GP569" s="93"/>
      <c r="GQ569" s="93"/>
      <c r="GR569" s="93"/>
      <c r="GS569" s="93"/>
      <c r="GT569" s="93"/>
      <c r="GU569" s="93"/>
      <c r="GV569" s="93"/>
      <c r="GW569" s="93"/>
      <c r="GX569" s="93"/>
      <c r="GY569" s="93"/>
      <c r="GZ569" s="93"/>
      <c r="HA569" s="93"/>
      <c r="HB569" s="93"/>
      <c r="HC569" s="93"/>
      <c r="HD569" s="93"/>
      <c r="HE569" s="93"/>
      <c r="HF569" s="93"/>
      <c r="HG569" s="93"/>
      <c r="HH569" s="93"/>
      <c r="HI569" s="93"/>
      <c r="HJ569" s="93"/>
      <c r="HK569" s="93"/>
      <c r="HL569" s="93"/>
      <c r="HM569" s="93"/>
      <c r="HN569" s="93"/>
      <c r="HO569" s="93"/>
      <c r="HP569" s="93"/>
      <c r="HQ569" s="93"/>
      <c r="HR569" s="93"/>
      <c r="HS569" s="93"/>
      <c r="HT569" s="93"/>
      <c r="HU569" s="93"/>
      <c r="HV569" s="93"/>
      <c r="HW569" s="93"/>
      <c r="HX569" s="93"/>
      <c r="HY569" s="93"/>
      <c r="HZ569" s="93"/>
      <c r="IA569" s="93"/>
      <c r="IB569" s="93"/>
      <c r="IC569" s="93"/>
      <c r="ID569" s="93"/>
      <c r="IE569" s="93"/>
      <c r="IF569" s="93"/>
      <c r="IG569" s="93"/>
      <c r="IH569" s="93"/>
      <c r="II569" s="93"/>
      <c r="IJ569" s="93"/>
      <c r="IK569" s="93"/>
      <c r="IL569" s="93"/>
      <c r="IM569" s="93"/>
      <c r="IN569" s="93"/>
      <c r="IO569" s="93"/>
      <c r="IP569" s="93"/>
      <c r="IQ569" s="93"/>
      <c r="IR569" s="93"/>
      <c r="IS569" s="93"/>
      <c r="IT569" s="93"/>
      <c r="IU569" s="93"/>
      <c r="IV569" s="93"/>
      <c r="IW569" s="93"/>
      <c r="IX569" s="93"/>
      <c r="IY569" s="93"/>
      <c r="IZ569" s="93"/>
      <c r="JA569" s="93"/>
      <c r="JB569" s="93"/>
      <c r="JC569" s="93"/>
      <c r="JD569" s="93"/>
      <c r="JE569" s="93"/>
      <c r="JF569" s="93"/>
      <c r="JG569" s="93"/>
      <c r="JH569" s="93"/>
      <c r="JI569" s="93"/>
      <c r="JJ569" s="93"/>
      <c r="JK569" s="93"/>
      <c r="JL569" s="93"/>
      <c r="JM569" s="93"/>
      <c r="JN569" s="93"/>
      <c r="JO569" s="93"/>
      <c r="JP569" s="93"/>
      <c r="JQ569" s="93"/>
      <c r="JR569" s="93"/>
      <c r="JS569" s="93"/>
      <c r="JT569" s="93"/>
      <c r="JU569" s="93"/>
      <c r="JV569" s="93"/>
      <c r="JW569" s="93"/>
      <c r="JX569" s="93"/>
      <c r="JY569" s="93"/>
      <c r="JZ569" s="93"/>
      <c r="KA569" s="93"/>
      <c r="KB569" s="93"/>
      <c r="KC569" s="93"/>
      <c r="KD569" s="93"/>
      <c r="KE569" s="93"/>
      <c r="KF569" s="93"/>
      <c r="KG569" s="93"/>
      <c r="KH569" s="93"/>
      <c r="KI569" s="93"/>
      <c r="KJ569" s="93"/>
      <c r="KK569" s="93"/>
      <c r="KL569" s="93"/>
      <c r="KM569" s="93"/>
      <c r="KN569" s="93"/>
      <c r="KO569" s="93"/>
      <c r="KP569" s="93"/>
      <c r="KQ569" s="93"/>
      <c r="KR569" s="93"/>
      <c r="KS569" s="93"/>
      <c r="KT569" s="93"/>
      <c r="KU569" s="93"/>
      <c r="KV569" s="93"/>
      <c r="KW569" s="93"/>
      <c r="KX569" s="93"/>
      <c r="KY569" s="93"/>
      <c r="KZ569" s="93"/>
      <c r="LA569" s="93"/>
      <c r="LB569" s="93"/>
      <c r="LC569" s="93"/>
      <c r="LD569" s="93"/>
      <c r="LE569" s="93"/>
      <c r="LF569" s="93"/>
      <c r="LG569" s="93"/>
      <c r="LH569" s="93"/>
      <c r="LI569" s="93"/>
      <c r="LJ569" s="93"/>
      <c r="LK569" s="93"/>
      <c r="LL569" s="93"/>
      <c r="LM569" s="93"/>
      <c r="LN569" s="93"/>
      <c r="LO569" s="93"/>
      <c r="LP569" s="93"/>
      <c r="LQ569" s="93"/>
      <c r="LR569" s="93"/>
      <c r="LS569" s="93"/>
      <c r="LT569" s="93"/>
      <c r="LU569" s="93"/>
      <c r="LV569" s="93"/>
      <c r="LW569" s="93"/>
      <c r="LX569" s="93"/>
      <c r="LY569" s="93"/>
      <c r="LZ569" s="93"/>
      <c r="MA569" s="93"/>
      <c r="MB569" s="93"/>
      <c r="MC569" s="93"/>
      <c r="MD569" s="93"/>
      <c r="ME569" s="93"/>
      <c r="MF569" s="93"/>
      <c r="MG569" s="93"/>
      <c r="MH569" s="93"/>
      <c r="MI569" s="93"/>
      <c r="MJ569" s="93"/>
      <c r="MK569" s="93"/>
      <c r="ML569" s="93"/>
      <c r="MM569" s="93"/>
      <c r="MN569" s="93"/>
      <c r="MO569" s="93"/>
      <c r="MP569" s="93"/>
      <c r="MQ569" s="93"/>
      <c r="MR569" s="93"/>
      <c r="MS569" s="93"/>
      <c r="MT569" s="93"/>
      <c r="MU569" s="93"/>
      <c r="MV569" s="93"/>
      <c r="MW569" s="93"/>
      <c r="MX569" s="93"/>
      <c r="MY569" s="93"/>
      <c r="MZ569" s="93"/>
      <c r="NA569" s="93"/>
      <c r="NB569" s="93"/>
      <c r="NC569" s="93"/>
      <c r="ND569" s="93"/>
      <c r="NE569" s="93"/>
      <c r="NF569" s="93"/>
      <c r="NG569" s="93"/>
      <c r="NH569" s="93"/>
      <c r="NI569" s="93"/>
      <c r="NJ569" s="93"/>
      <c r="NK569" s="93"/>
      <c r="NL569" s="93"/>
      <c r="NM569" s="93"/>
      <c r="NN569" s="93"/>
      <c r="NO569" s="93"/>
      <c r="NP569" s="93"/>
      <c r="NQ569" s="93"/>
      <c r="NR569" s="93"/>
      <c r="NS569" s="93"/>
      <c r="NT569" s="93"/>
      <c r="NU569" s="93"/>
      <c r="NV569" s="93"/>
      <c r="NW569" s="93"/>
      <c r="NX569" s="93"/>
      <c r="NY569" s="93"/>
      <c r="NZ569" s="93"/>
      <c r="OA569" s="93"/>
      <c r="OB569" s="93"/>
      <c r="OC569" s="93"/>
      <c r="OD569" s="93"/>
      <c r="OE569" s="93"/>
      <c r="OF569" s="93"/>
      <c r="OG569" s="93"/>
      <c r="OH569" s="93"/>
      <c r="OI569" s="93"/>
      <c r="OJ569" s="93"/>
      <c r="OK569" s="93"/>
      <c r="OL569" s="93"/>
      <c r="OM569" s="93"/>
      <c r="ON569" s="93"/>
      <c r="OO569" s="93"/>
      <c r="OP569" s="93"/>
      <c r="OQ569" s="93"/>
      <c r="OR569" s="93"/>
      <c r="OS569" s="93"/>
      <c r="OT569" s="93"/>
      <c r="OU569" s="93"/>
      <c r="OV569" s="93"/>
      <c r="OW569" s="93"/>
      <c r="OX569" s="93"/>
      <c r="OY569" s="93"/>
      <c r="OZ569" s="93"/>
      <c r="PA569" s="93"/>
      <c r="PB569" s="93"/>
      <c r="PC569" s="93"/>
      <c r="PD569" s="93"/>
      <c r="PE569" s="93"/>
      <c r="PF569" s="93"/>
      <c r="PG569" s="93"/>
      <c r="PH569" s="93"/>
      <c r="PI569" s="93"/>
      <c r="PJ569" s="93"/>
      <c r="PK569" s="93"/>
      <c r="PL569" s="93"/>
      <c r="PM569" s="93"/>
      <c r="PN569" s="93"/>
      <c r="PO569" s="93"/>
      <c r="PP569" s="93"/>
      <c r="PQ569" s="93"/>
      <c r="PR569" s="93"/>
      <c r="PS569" s="93"/>
      <c r="PT569" s="93"/>
      <c r="PU569" s="93"/>
      <c r="PV569" s="93"/>
      <c r="PW569" s="93"/>
      <c r="PX569" s="93"/>
      <c r="PY569" s="93"/>
      <c r="PZ569" s="93"/>
      <c r="QA569" s="93"/>
      <c r="QB569" s="93"/>
      <c r="QC569" s="93"/>
      <c r="QD569" s="93"/>
      <c r="QE569" s="93"/>
      <c r="QF569" s="93"/>
      <c r="QG569" s="93"/>
      <c r="QH569" s="93"/>
      <c r="QI569" s="93"/>
      <c r="QJ569" s="93"/>
      <c r="QK569" s="93"/>
      <c r="QL569" s="93"/>
      <c r="QM569" s="93"/>
      <c r="QN569" s="93"/>
      <c r="QO569" s="93"/>
      <c r="QP569" s="93"/>
      <c r="QQ569" s="93"/>
      <c r="QR569" s="93"/>
      <c r="QS569" s="93"/>
      <c r="QT569" s="93"/>
      <c r="QU569" s="93"/>
      <c r="QV569" s="93"/>
      <c r="QW569" s="93"/>
      <c r="QX569" s="93"/>
      <c r="QY569" s="93"/>
      <c r="QZ569" s="93"/>
      <c r="RA569" s="93"/>
      <c r="RB569" s="93"/>
      <c r="RC569" s="93"/>
      <c r="RD569" s="93"/>
      <c r="RE569" s="93"/>
      <c r="RF569" s="93"/>
      <c r="RG569" s="93"/>
      <c r="RH569" s="93"/>
      <c r="RI569" s="93"/>
      <c r="RJ569" s="93"/>
      <c r="RK569" s="93"/>
      <c r="RL569" s="93"/>
      <c r="RM569" s="93"/>
      <c r="RN569" s="93"/>
      <c r="RO569" s="93"/>
      <c r="RP569" s="93"/>
      <c r="RQ569" s="93"/>
      <c r="RR569" s="93"/>
      <c r="RS569" s="93"/>
      <c r="RT569" s="93"/>
      <c r="RU569" s="93"/>
      <c r="RV569" s="93"/>
      <c r="RW569" s="93"/>
      <c r="RX569" s="93"/>
      <c r="RY569" s="93"/>
      <c r="RZ569" s="93"/>
      <c r="SA569" s="93"/>
      <c r="SB569" s="93"/>
      <c r="SC569" s="93"/>
      <c r="SD569" s="93"/>
      <c r="SE569" s="93"/>
      <c r="SF569" s="93"/>
      <c r="SG569" s="93"/>
      <c r="SH569" s="93"/>
      <c r="SI569" s="93"/>
      <c r="SJ569" s="93"/>
      <c r="SK569" s="93"/>
      <c r="SL569" s="93"/>
      <c r="SM569" s="93"/>
      <c r="SN569" s="93"/>
      <c r="SO569" s="93"/>
      <c r="SP569" s="93"/>
      <c r="SQ569" s="93"/>
      <c r="SR569" s="93"/>
      <c r="SS569" s="93"/>
      <c r="ST569" s="93"/>
      <c r="SU569" s="93"/>
      <c r="SV569" s="93"/>
      <c r="SW569" s="93"/>
      <c r="SX569" s="93"/>
      <c r="SY569" s="93"/>
      <c r="SZ569" s="93"/>
      <c r="TA569" s="93"/>
      <c r="TB569" s="93"/>
      <c r="TC569" s="93"/>
      <c r="TD569" s="93"/>
      <c r="TE569" s="93"/>
      <c r="TF569" s="93"/>
      <c r="TG569" s="93"/>
      <c r="TH569" s="93"/>
      <c r="TI569" s="93"/>
      <c r="TJ569" s="93"/>
      <c r="TK569" s="93"/>
      <c r="TL569" s="93"/>
      <c r="TM569" s="93"/>
      <c r="TN569" s="93"/>
      <c r="TO569" s="93"/>
      <c r="TP569" s="93"/>
      <c r="TQ569" s="93"/>
      <c r="TR569" s="93"/>
      <c r="TS569" s="93"/>
      <c r="TT569" s="93"/>
      <c r="TU569" s="93"/>
      <c r="TV569" s="93"/>
      <c r="TW569" s="93"/>
      <c r="TX569" s="93"/>
      <c r="TY569" s="93"/>
      <c r="TZ569" s="93"/>
      <c r="UA569" s="93"/>
      <c r="UB569" s="93"/>
      <c r="UC569" s="93"/>
      <c r="UD569" s="93"/>
      <c r="UE569" s="93"/>
      <c r="UF569" s="93"/>
      <c r="UG569" s="93"/>
      <c r="UH569" s="93"/>
      <c r="UI569" s="93"/>
      <c r="UJ569" s="93"/>
      <c r="UK569" s="93"/>
      <c r="UL569" s="93"/>
      <c r="UM569" s="93"/>
      <c r="UN569" s="93"/>
      <c r="UO569" s="93"/>
      <c r="UP569" s="93"/>
      <c r="UQ569" s="93"/>
      <c r="UR569" s="93"/>
      <c r="US569" s="93"/>
      <c r="UT569" s="93"/>
      <c r="UU569" s="93"/>
      <c r="UV569" s="93"/>
      <c r="UW569" s="93"/>
      <c r="UX569" s="93"/>
      <c r="UY569" s="93"/>
      <c r="UZ569" s="93"/>
      <c r="VA569" s="93"/>
      <c r="VB569" s="93"/>
      <c r="VC569" s="93"/>
      <c r="VD569" s="93"/>
      <c r="VE569" s="93"/>
      <c r="VF569" s="93"/>
      <c r="VG569" s="93"/>
      <c r="VH569" s="93"/>
      <c r="VI569" s="93"/>
      <c r="VJ569" s="93"/>
      <c r="VK569" s="93"/>
      <c r="VL569" s="93"/>
      <c r="VM569" s="93"/>
      <c r="VN569" s="93"/>
      <c r="VO569" s="93"/>
      <c r="VP569" s="93"/>
      <c r="VQ569" s="93"/>
      <c r="VR569" s="93"/>
      <c r="VS569" s="93"/>
      <c r="VT569" s="93"/>
      <c r="VU569" s="93"/>
      <c r="VV569" s="93"/>
      <c r="VW569" s="93"/>
      <c r="VX569" s="93"/>
      <c r="VY569" s="93"/>
      <c r="VZ569" s="93"/>
      <c r="WA569" s="93"/>
      <c r="WB569" s="93"/>
      <c r="WC569" s="93"/>
      <c r="WD569" s="93"/>
      <c r="WE569" s="93"/>
      <c r="WF569" s="93"/>
      <c r="WG569" s="93"/>
      <c r="WH569" s="93"/>
      <c r="WI569" s="93"/>
      <c r="WJ569" s="93"/>
      <c r="WK569" s="93"/>
      <c r="WL569" s="93"/>
      <c r="WM569" s="93"/>
      <c r="WN569" s="93"/>
      <c r="WO569" s="93"/>
      <c r="WP569" s="93"/>
      <c r="WQ569" s="93"/>
      <c r="WR569" s="93"/>
      <c r="WS569" s="93"/>
      <c r="WT569" s="93"/>
      <c r="WU569" s="93"/>
      <c r="WV569" s="93"/>
      <c r="WW569" s="93"/>
      <c r="WX569" s="93"/>
      <c r="WY569" s="93"/>
      <c r="WZ569" s="93"/>
      <c r="XA569" s="93"/>
      <c r="XB569" s="93"/>
      <c r="XC569" s="93"/>
      <c r="XD569" s="93"/>
      <c r="XE569" s="93"/>
      <c r="XF569" s="93"/>
      <c r="XG569" s="93"/>
      <c r="XH569" s="93"/>
      <c r="XI569" s="93"/>
      <c r="XJ569" s="93"/>
      <c r="XK569" s="93"/>
      <c r="XL569" s="93"/>
      <c r="XM569" s="93"/>
      <c r="XN569" s="93"/>
      <c r="XO569" s="93"/>
      <c r="XP569" s="93"/>
      <c r="XQ569" s="93"/>
      <c r="XR569" s="93"/>
      <c r="XS569" s="93"/>
      <c r="XT569" s="93"/>
      <c r="XU569" s="93"/>
      <c r="XV569" s="93"/>
      <c r="XW569" s="93"/>
      <c r="XX569" s="93"/>
      <c r="XY569" s="93"/>
      <c r="XZ569" s="93"/>
      <c r="YA569" s="93"/>
      <c r="YB569" s="93"/>
      <c r="YC569" s="93"/>
      <c r="YD569" s="93"/>
      <c r="YE569" s="93"/>
      <c r="YF569" s="93"/>
      <c r="YG569" s="93"/>
      <c r="YH569" s="93"/>
      <c r="YI569" s="93"/>
      <c r="YJ569" s="93"/>
      <c r="YK569" s="93"/>
      <c r="YL569" s="93"/>
      <c r="YM569" s="93"/>
      <c r="YN569" s="93"/>
      <c r="YO569" s="93"/>
      <c r="YP569" s="93"/>
      <c r="YQ569" s="93"/>
      <c r="YR569" s="93"/>
      <c r="YS569" s="93"/>
      <c r="YT569" s="93"/>
      <c r="YU569" s="93"/>
      <c r="YV569" s="93"/>
      <c r="YW569" s="93"/>
      <c r="YX569" s="93"/>
      <c r="YY569" s="93"/>
      <c r="YZ569" s="93"/>
      <c r="ZA569" s="93"/>
      <c r="ZB569" s="93"/>
      <c r="ZC569" s="93"/>
      <c r="ZD569" s="93"/>
      <c r="ZE569" s="93"/>
      <c r="ZF569" s="93"/>
      <c r="ZG569" s="93"/>
      <c r="ZH569" s="93"/>
      <c r="ZI569" s="93"/>
      <c r="ZJ569" s="93"/>
      <c r="ZK569" s="93"/>
      <c r="ZL569" s="93"/>
      <c r="ZM569" s="93"/>
      <c r="ZN569" s="93"/>
      <c r="ZO569" s="93"/>
      <c r="ZP569" s="93"/>
      <c r="ZQ569" s="93"/>
      <c r="ZR569" s="93"/>
      <c r="ZS569" s="93"/>
      <c r="ZT569" s="93"/>
      <c r="ZU569" s="93"/>
      <c r="ZV569" s="93"/>
      <c r="ZW569" s="93"/>
      <c r="ZX569" s="93"/>
      <c r="ZY569" s="93"/>
      <c r="ZZ569" s="93"/>
      <c r="AAA569" s="93"/>
      <c r="AAB569" s="93"/>
      <c r="AAC569" s="93"/>
      <c r="AAD569" s="93"/>
      <c r="AAE569" s="93"/>
      <c r="AAF569" s="93"/>
      <c r="AAG569" s="93"/>
      <c r="AAH569" s="93"/>
      <c r="AAI569" s="93"/>
      <c r="AAJ569" s="93"/>
      <c r="AAK569" s="93"/>
      <c r="AAL569" s="93"/>
      <c r="AAM569" s="93"/>
      <c r="AAN569" s="93"/>
      <c r="AAO569" s="93"/>
      <c r="AAP569" s="93"/>
      <c r="AAQ569" s="93"/>
      <c r="AAR569" s="93"/>
      <c r="AAS569" s="93"/>
      <c r="AAT569" s="93"/>
      <c r="AAU569" s="93"/>
      <c r="AAV569" s="93"/>
      <c r="AAW569" s="93"/>
      <c r="AAX569" s="93"/>
      <c r="AAY569" s="93"/>
      <c r="AAZ569" s="93"/>
      <c r="ABA569" s="93"/>
      <c r="ABB569" s="93"/>
      <c r="ABC569" s="93"/>
      <c r="ABD569" s="93"/>
      <c r="ABE569" s="93"/>
      <c r="ABF569" s="93"/>
      <c r="ABG569" s="93"/>
      <c r="ABH569" s="93"/>
      <c r="ABI569" s="93"/>
      <c r="ABJ569" s="93"/>
      <c r="ABK569" s="93"/>
      <c r="ABL569" s="93"/>
      <c r="ABM569" s="93"/>
      <c r="ABN569" s="93"/>
      <c r="ABO569" s="93"/>
      <c r="ABP569" s="93"/>
      <c r="ABQ569" s="93"/>
      <c r="ABR569" s="93"/>
      <c r="ABS569" s="93"/>
      <c r="ABT569" s="93"/>
      <c r="ABU569" s="93"/>
      <c r="ABV569" s="93"/>
      <c r="ABW569" s="93"/>
      <c r="ABX569" s="93"/>
      <c r="ABY569" s="93"/>
      <c r="ABZ569" s="93"/>
      <c r="ACA569" s="93"/>
      <c r="ACB569" s="93"/>
      <c r="ACC569" s="93"/>
      <c r="ACD569" s="93"/>
      <c r="ACE569" s="93"/>
      <c r="ACF569" s="93"/>
      <c r="ACG569" s="93"/>
      <c r="ACH569" s="93"/>
      <c r="ACI569" s="93"/>
      <c r="ACJ569" s="93"/>
      <c r="ACK569" s="93"/>
      <c r="ACL569" s="93"/>
      <c r="ACM569" s="93"/>
      <c r="ACN569" s="93"/>
      <c r="ACO569" s="93"/>
      <c r="ACP569" s="93"/>
      <c r="ACQ569" s="93"/>
      <c r="ACR569" s="93"/>
      <c r="ACS569" s="93"/>
      <c r="ACT569" s="93"/>
      <c r="ACU569" s="93"/>
      <c r="ACV569" s="93"/>
      <c r="ACW569" s="93"/>
      <c r="ACX569" s="93"/>
      <c r="ACY569" s="93"/>
      <c r="ACZ569" s="93"/>
      <c r="ADA569" s="93"/>
      <c r="ADB569" s="93"/>
      <c r="ADC569" s="93"/>
      <c r="ADD569" s="93"/>
      <c r="ADE569" s="93"/>
      <c r="ADF569" s="93"/>
      <c r="ADG569" s="93"/>
      <c r="ADH569" s="93"/>
      <c r="ADI569" s="93"/>
      <c r="ADJ569" s="93"/>
      <c r="ADK569" s="93"/>
      <c r="ADL569" s="93"/>
      <c r="ADM569" s="93"/>
      <c r="ADN569" s="93"/>
      <c r="ADO569" s="93"/>
      <c r="ADP569" s="93"/>
      <c r="ADQ569" s="93"/>
      <c r="ADR569" s="93"/>
      <c r="ADS569" s="93"/>
      <c r="ADT569" s="93"/>
      <c r="ADU569" s="93"/>
      <c r="ADV569" s="93"/>
      <c r="ADW569" s="93"/>
      <c r="ADX569" s="93"/>
      <c r="ADY569" s="93"/>
      <c r="ADZ569" s="93"/>
      <c r="AEA569" s="93"/>
      <c r="AEB569" s="93"/>
      <c r="AEC569" s="93"/>
      <c r="AED569" s="93"/>
      <c r="AEE569" s="93"/>
      <c r="AEF569" s="93"/>
      <c r="AEG569" s="93"/>
      <c r="AEH569" s="93"/>
      <c r="AEI569" s="93"/>
      <c r="AEJ569" s="93"/>
      <c r="AEK569" s="93"/>
      <c r="AEL569" s="93"/>
      <c r="AEM569" s="93"/>
      <c r="AEN569" s="93"/>
      <c r="AEO569" s="93"/>
      <c r="AEP569" s="93"/>
      <c r="AEQ569" s="93"/>
      <c r="AER569" s="93"/>
      <c r="AES569" s="93"/>
      <c r="AET569" s="93"/>
      <c r="AEU569" s="93"/>
      <c r="AEV569" s="93"/>
      <c r="AEW569" s="93"/>
      <c r="AEX569" s="93"/>
      <c r="AEY569" s="93"/>
      <c r="AEZ569" s="93"/>
      <c r="AFA569" s="93"/>
      <c r="AFB569" s="93"/>
      <c r="AFC569" s="93"/>
      <c r="AFD569" s="93"/>
      <c r="AFE569" s="93"/>
      <c r="AFF569" s="93"/>
      <c r="AFG569" s="93"/>
      <c r="AFH569" s="93"/>
      <c r="AFI569" s="93"/>
      <c r="AFJ569" s="93"/>
      <c r="AFK569" s="93"/>
      <c r="AFL569" s="93"/>
      <c r="AFM569" s="93"/>
      <c r="AFN569" s="93"/>
      <c r="AFO569" s="93"/>
      <c r="AFP569" s="93"/>
      <c r="AFQ569" s="93"/>
      <c r="AFR569" s="93"/>
      <c r="AFS569" s="93"/>
      <c r="AFT569" s="93"/>
      <c r="AFU569" s="93"/>
      <c r="AFV569" s="93"/>
      <c r="AFW569" s="93"/>
      <c r="AFX569" s="93"/>
      <c r="AFY569" s="93"/>
      <c r="AFZ569" s="93"/>
      <c r="AGA569" s="93"/>
      <c r="AGB569" s="93"/>
      <c r="AGC569" s="93"/>
      <c r="AGD569" s="93"/>
      <c r="AGE569" s="93"/>
      <c r="AGF569" s="93"/>
      <c r="AGG569" s="93"/>
      <c r="AGH569" s="93"/>
      <c r="AGI569" s="93"/>
      <c r="AGJ569" s="93"/>
      <c r="AGK569" s="93"/>
      <c r="AGL569" s="93"/>
      <c r="AGM569" s="93"/>
      <c r="AGN569" s="93"/>
      <c r="AGO569" s="93"/>
      <c r="AGP569" s="93"/>
      <c r="AGQ569" s="93"/>
      <c r="AGR569" s="93"/>
      <c r="AGS569" s="93"/>
      <c r="AGT569" s="93"/>
      <c r="AGU569" s="93"/>
      <c r="AGV569" s="93"/>
      <c r="AGW569" s="93"/>
      <c r="AGX569" s="93"/>
      <c r="AGY569" s="93"/>
      <c r="AGZ569" s="93"/>
      <c r="AHA569" s="93"/>
      <c r="AHB569" s="93"/>
      <c r="AHC569" s="93"/>
      <c r="AHD569" s="93"/>
      <c r="AHE569" s="93"/>
      <c r="AHF569" s="93"/>
      <c r="AHG569" s="93"/>
      <c r="AHH569" s="93"/>
      <c r="AHI569" s="93"/>
      <c r="AHJ569" s="93"/>
      <c r="AHK569" s="93"/>
      <c r="AHL569" s="93"/>
      <c r="AHM569" s="93"/>
      <c r="AHN569" s="93"/>
      <c r="AHO569" s="93"/>
      <c r="AHP569" s="93"/>
      <c r="AHQ569" s="93"/>
      <c r="AHR569" s="93"/>
      <c r="AHS569" s="93"/>
      <c r="AHT569" s="93"/>
      <c r="AHU569" s="93"/>
      <c r="AHV569" s="93"/>
      <c r="AHW569" s="93"/>
      <c r="AHX569" s="93"/>
      <c r="AHY569" s="93"/>
      <c r="AHZ569" s="93"/>
      <c r="AIA569" s="93"/>
      <c r="AIB569" s="93"/>
      <c r="AIC569" s="93"/>
      <c r="AID569" s="93"/>
      <c r="AIE569" s="93"/>
      <c r="AIF569" s="93"/>
      <c r="AIG569" s="93"/>
      <c r="AIH569" s="93"/>
      <c r="AII569" s="93"/>
      <c r="AIJ569" s="93"/>
      <c r="AIK569" s="93"/>
      <c r="AIL569" s="93"/>
      <c r="AIM569" s="93"/>
      <c r="AIN569" s="93"/>
      <c r="AIO569" s="93"/>
      <c r="AIP569" s="93"/>
      <c r="AIQ569" s="93"/>
      <c r="AIR569" s="93"/>
      <c r="AIS569" s="93"/>
      <c r="AIT569" s="93"/>
      <c r="AIU569" s="93"/>
      <c r="AIV569" s="93"/>
      <c r="AIW569" s="93"/>
      <c r="AIX569" s="93"/>
      <c r="AIY569" s="93"/>
      <c r="AIZ569" s="93"/>
      <c r="AJA569" s="93"/>
      <c r="AJB569" s="93"/>
      <c r="AJC569" s="93"/>
      <c r="AJD569" s="93"/>
      <c r="AJE569" s="93"/>
      <c r="AJF569" s="93"/>
      <c r="AJG569" s="93"/>
      <c r="AJH569" s="93"/>
      <c r="AJI569" s="93"/>
      <c r="AJJ569" s="93"/>
      <c r="AJK569" s="93"/>
      <c r="AJL569" s="93"/>
      <c r="AJM569" s="93"/>
      <c r="AJN569" s="93"/>
      <c r="AJO569" s="93"/>
      <c r="AJP569" s="93"/>
      <c r="AJQ569" s="93"/>
      <c r="AJR569" s="93"/>
      <c r="AJS569" s="93"/>
      <c r="AJT569" s="93"/>
      <c r="AJU569" s="93"/>
      <c r="AJV569" s="93"/>
      <c r="AJW569" s="93"/>
      <c r="AJX569" s="93"/>
      <c r="AJY569" s="93"/>
      <c r="AJZ569" s="93"/>
      <c r="AKA569" s="93"/>
      <c r="AKB569" s="93"/>
      <c r="AKC569" s="93"/>
      <c r="AKD569" s="93"/>
      <c r="AKE569" s="93"/>
      <c r="AKF569" s="93"/>
      <c r="AKG569" s="93"/>
      <c r="AKH569" s="93"/>
      <c r="AKI569" s="93"/>
      <c r="AKJ569" s="93"/>
      <c r="AKK569" s="93"/>
      <c r="AKL569" s="93"/>
      <c r="AKM569" s="93"/>
      <c r="AKN569" s="93"/>
      <c r="AKO569" s="93"/>
      <c r="AKP569" s="93"/>
      <c r="AKQ569" s="93"/>
      <c r="AKR569" s="93"/>
      <c r="AKS569" s="93"/>
      <c r="AKT569" s="93"/>
      <c r="AKU569" s="93"/>
      <c r="AKV569" s="93"/>
      <c r="AKW569" s="93"/>
      <c r="AKX569" s="93"/>
      <c r="AKY569" s="93"/>
      <c r="AKZ569" s="93"/>
      <c r="ALA569" s="93"/>
      <c r="ALB569" s="93"/>
      <c r="ALC569" s="93"/>
      <c r="ALD569" s="93"/>
      <c r="ALE569" s="93"/>
      <c r="ALF569" s="93"/>
      <c r="ALG569" s="93"/>
      <c r="ALH569" s="93"/>
      <c r="ALI569" s="93"/>
      <c r="ALJ569" s="93"/>
      <c r="ALK569" s="93"/>
      <c r="ALL569" s="93"/>
      <c r="ALM569" s="93"/>
      <c r="ALN569" s="93"/>
      <c r="ALO569" s="93"/>
      <c r="ALP569" s="93"/>
      <c r="ALQ569" s="93"/>
      <c r="ALR569" s="93"/>
      <c r="ALS569" s="93"/>
      <c r="ALT569" s="93"/>
      <c r="ALU569" s="93"/>
      <c r="ALV569" s="93"/>
      <c r="ALW569" s="93"/>
      <c r="ALX569" s="93"/>
      <c r="ALY569" s="93"/>
      <c r="ALZ569" s="93"/>
      <c r="AMA569" s="93"/>
      <c r="AMB569" s="93"/>
      <c r="AMC569" s="93"/>
      <c r="AMD569" s="93"/>
      <c r="AME569" s="93"/>
      <c r="AMF569" s="93"/>
      <c r="AMG569" s="93"/>
      <c r="AMH569" s="93"/>
      <c r="AMI569" s="93"/>
      <c r="AMJ569" s="93"/>
      <c r="AMK569" s="93"/>
      <c r="AML569" s="93"/>
      <c r="AMM569" s="93"/>
      <c r="AMN569" s="93"/>
      <c r="AMO569" s="93"/>
      <c r="AMP569" s="93"/>
      <c r="AMQ569" s="93"/>
      <c r="AMR569" s="93"/>
      <c r="AMS569" s="93"/>
      <c r="AMT569" s="93"/>
      <c r="AMU569" s="93"/>
      <c r="AMV569" s="93"/>
      <c r="AMW569" s="93"/>
      <c r="AMX569" s="93"/>
      <c r="AMY569" s="93"/>
      <c r="AMZ569" s="93"/>
      <c r="ANA569" s="93"/>
      <c r="ANB569" s="93"/>
      <c r="ANC569" s="93"/>
      <c r="AND569" s="93"/>
      <c r="ANE569" s="93"/>
      <c r="ANF569" s="93"/>
      <c r="ANG569" s="93"/>
      <c r="ANH569" s="93"/>
      <c r="ANI569" s="93"/>
      <c r="ANJ569" s="93"/>
      <c r="ANK569" s="93"/>
      <c r="ANL569" s="93"/>
      <c r="ANM569" s="93"/>
      <c r="ANN569" s="93"/>
      <c r="ANO569" s="93"/>
      <c r="ANP569" s="93"/>
      <c r="ANQ569" s="93"/>
      <c r="ANR569" s="93"/>
      <c r="ANS569" s="93"/>
      <c r="ANT569" s="93"/>
      <c r="ANU569" s="93"/>
      <c r="ANV569" s="93"/>
      <c r="ANW569" s="93"/>
      <c r="ANX569" s="93"/>
      <c r="ANY569" s="93"/>
      <c r="ANZ569" s="93"/>
      <c r="AOA569" s="93"/>
      <c r="AOB569" s="93"/>
      <c r="AOC569" s="93"/>
      <c r="AOD569" s="93"/>
      <c r="AOE569" s="93"/>
      <c r="AOF569" s="93"/>
      <c r="AOG569" s="93"/>
      <c r="AOH569" s="93"/>
      <c r="AOI569" s="93"/>
      <c r="AOJ569" s="93"/>
      <c r="AOK569" s="93"/>
      <c r="AOL569" s="93"/>
      <c r="AOM569" s="93"/>
      <c r="AON569" s="93"/>
      <c r="AOO569" s="93"/>
      <c r="AOP569" s="93"/>
      <c r="AOQ569" s="93"/>
      <c r="AOR569" s="93"/>
      <c r="AOS569" s="93"/>
      <c r="AOT569" s="93"/>
      <c r="AOU569" s="93"/>
      <c r="AOV569" s="93"/>
      <c r="AOW569" s="93"/>
      <c r="AOX569" s="93"/>
      <c r="AOY569" s="93"/>
      <c r="AOZ569" s="93"/>
      <c r="APA569" s="93"/>
      <c r="APB569" s="93"/>
      <c r="APC569" s="93"/>
      <c r="APD569" s="93"/>
      <c r="APE569" s="93"/>
      <c r="APF569" s="93"/>
      <c r="APG569" s="93"/>
      <c r="APH569" s="93"/>
      <c r="API569" s="93"/>
      <c r="APJ569" s="93"/>
      <c r="APK569" s="93"/>
      <c r="APL569" s="93"/>
      <c r="APM569" s="93"/>
      <c r="APN569" s="93"/>
      <c r="APO569" s="93"/>
      <c r="APP569" s="93"/>
      <c r="APQ569" s="93"/>
      <c r="APR569" s="93"/>
      <c r="APS569" s="93"/>
      <c r="APT569" s="93"/>
      <c r="APU569" s="93"/>
      <c r="APV569" s="93"/>
      <c r="APW569" s="93"/>
      <c r="APX569" s="93"/>
      <c r="APY569" s="93"/>
      <c r="APZ569" s="93"/>
      <c r="AQA569" s="93"/>
      <c r="AQB569" s="93"/>
      <c r="AQC569" s="93"/>
      <c r="AQD569" s="93"/>
      <c r="AQE569" s="93"/>
      <c r="AQF569" s="93"/>
      <c r="AQG569" s="93"/>
      <c r="AQH569" s="93"/>
      <c r="AQI569" s="93"/>
      <c r="AQJ569" s="93"/>
      <c r="AQK569" s="93"/>
      <c r="AQL569" s="93"/>
      <c r="AQM569" s="93"/>
      <c r="AQN569" s="93"/>
      <c r="AQO569" s="93"/>
      <c r="AQP569" s="93"/>
      <c r="AQQ569" s="93"/>
      <c r="AQR569" s="93"/>
      <c r="AQS569" s="93"/>
      <c r="AQT569" s="93"/>
      <c r="AQU569" s="93"/>
      <c r="AQV569" s="93"/>
      <c r="AQW569" s="93"/>
      <c r="AQX569" s="93"/>
      <c r="AQY569" s="93"/>
      <c r="AQZ569" s="93"/>
      <c r="ARA569" s="93"/>
      <c r="ARB569" s="93"/>
      <c r="ARC569" s="93"/>
      <c r="ARD569" s="93"/>
      <c r="ARE569" s="93"/>
      <c r="ARF569" s="93"/>
      <c r="ARG569" s="93"/>
      <c r="ARH569" s="93"/>
      <c r="ARI569" s="93"/>
      <c r="ARJ569" s="93"/>
      <c r="ARK569" s="93"/>
      <c r="ARL569" s="93"/>
      <c r="ARM569" s="93"/>
      <c r="ARN569" s="93"/>
      <c r="ARO569" s="93"/>
      <c r="ARP569" s="93"/>
      <c r="ARQ569" s="93"/>
      <c r="ARR569" s="93"/>
      <c r="ARS569" s="93"/>
      <c r="ART569" s="93"/>
      <c r="ARU569" s="93"/>
      <c r="ARV569" s="93"/>
      <c r="ARW569" s="93"/>
      <c r="ARX569" s="93"/>
      <c r="ARY569" s="93"/>
      <c r="ARZ569" s="93"/>
      <c r="ASA569" s="93"/>
      <c r="ASB569" s="93"/>
      <c r="ASC569" s="93"/>
      <c r="ASD569" s="93"/>
      <c r="ASE569" s="93"/>
      <c r="ASF569" s="93"/>
      <c r="ASG569" s="93"/>
      <c r="ASH569" s="93"/>
      <c r="ASI569" s="93"/>
      <c r="ASJ569" s="93"/>
      <c r="ASK569" s="93"/>
      <c r="ASL569" s="93"/>
      <c r="ASM569" s="93"/>
      <c r="ASN569" s="93"/>
      <c r="ASO569" s="93"/>
      <c r="ASP569" s="93"/>
      <c r="ASQ569" s="93"/>
      <c r="ASR569" s="93"/>
      <c r="ASS569" s="93"/>
      <c r="AST569" s="93"/>
      <c r="ASU569" s="93"/>
      <c r="ASV569" s="93"/>
      <c r="ASW569" s="93"/>
      <c r="ASX569" s="93"/>
      <c r="ASY569" s="93"/>
      <c r="ASZ569" s="93"/>
      <c r="ATA569" s="93"/>
      <c r="ATB569" s="93"/>
      <c r="ATC569" s="93"/>
      <c r="ATD569" s="93"/>
      <c r="ATE569" s="93"/>
      <c r="ATF569" s="93"/>
      <c r="ATG569" s="93"/>
      <c r="ATH569" s="93"/>
      <c r="ATI569" s="93"/>
      <c r="ATJ569" s="93"/>
      <c r="ATK569" s="93"/>
      <c r="ATL569" s="93"/>
      <c r="ATM569" s="93"/>
      <c r="ATN569" s="93"/>
      <c r="ATO569" s="93"/>
      <c r="ATP569" s="93"/>
      <c r="ATQ569" s="93"/>
      <c r="ATR569" s="93"/>
      <c r="ATS569" s="93"/>
      <c r="ATT569" s="93"/>
      <c r="ATU569" s="93"/>
      <c r="ATV569" s="93"/>
      <c r="ATW569" s="93"/>
      <c r="ATX569" s="93"/>
      <c r="ATY569" s="93"/>
      <c r="ATZ569" s="93"/>
      <c r="AUA569" s="93"/>
      <c r="AUB569" s="93"/>
      <c r="AUC569" s="93"/>
      <c r="AUD569" s="93"/>
      <c r="AUE569" s="93"/>
      <c r="AUF569" s="93"/>
      <c r="AUG569" s="93"/>
      <c r="AUH569" s="93"/>
      <c r="AUI569" s="93"/>
      <c r="AUJ569" s="93"/>
      <c r="AUK569" s="93"/>
      <c r="AUL569" s="93"/>
      <c r="AUM569" s="93"/>
      <c r="AUN569" s="93"/>
      <c r="AUO569" s="93"/>
      <c r="AUP569" s="93"/>
      <c r="AUQ569" s="93"/>
      <c r="AUR569" s="93"/>
      <c r="AUS569" s="93"/>
      <c r="AUT569" s="93"/>
      <c r="AUU569" s="93"/>
      <c r="AUV569" s="93"/>
      <c r="AUW569" s="93"/>
      <c r="AUX569" s="93"/>
      <c r="AUY569" s="93"/>
      <c r="AUZ569" s="93"/>
      <c r="AVA569" s="93"/>
      <c r="AVB569" s="93"/>
      <c r="AVC569" s="93"/>
      <c r="AVD569" s="93"/>
      <c r="AVE569" s="93"/>
      <c r="AVF569" s="93"/>
      <c r="AVG569" s="93"/>
      <c r="AVH569" s="93"/>
      <c r="AVI569" s="93"/>
      <c r="AVJ569" s="93"/>
      <c r="AVK569" s="93"/>
      <c r="AVL569" s="93"/>
      <c r="AVM569" s="93"/>
      <c r="AVN569" s="93"/>
      <c r="AVO569" s="93"/>
      <c r="AVP569" s="93"/>
      <c r="AVQ569" s="93"/>
      <c r="AVR569" s="93"/>
      <c r="AVS569" s="93"/>
      <c r="AVT569" s="93"/>
      <c r="AVU569" s="93"/>
      <c r="AVV569" s="93"/>
      <c r="AVW569" s="93"/>
      <c r="AVX569" s="93"/>
      <c r="AVY569" s="93"/>
      <c r="AVZ569" s="93"/>
      <c r="AWA569" s="93"/>
      <c r="AWB569" s="93"/>
      <c r="AWC569" s="93"/>
      <c r="AWD569" s="93"/>
      <c r="AWE569" s="93"/>
      <c r="AWF569" s="93"/>
      <c r="AWG569" s="93"/>
      <c r="AWH569" s="93"/>
      <c r="AWI569" s="93"/>
      <c r="AWJ569" s="93"/>
      <c r="AWK569" s="93"/>
      <c r="AWL569" s="93"/>
      <c r="AWM569" s="93"/>
      <c r="AWN569" s="93"/>
      <c r="AWO569" s="93"/>
      <c r="AWP569" s="93"/>
      <c r="AWQ569" s="93"/>
      <c r="AWR569" s="93"/>
      <c r="AWS569" s="93"/>
      <c r="AWT569" s="93"/>
      <c r="AWU569" s="93"/>
      <c r="AWV569" s="93"/>
      <c r="AWW569" s="93"/>
      <c r="AWX569" s="93"/>
      <c r="AWY569" s="93"/>
      <c r="AWZ569" s="93"/>
      <c r="AXA569" s="93"/>
      <c r="AXB569" s="93"/>
      <c r="AXC569" s="93"/>
      <c r="AXD569" s="93"/>
      <c r="AXE569" s="93"/>
      <c r="AXF569" s="93"/>
      <c r="AXG569" s="93"/>
      <c r="AXH569" s="93"/>
      <c r="AXI569" s="93"/>
      <c r="AXJ569" s="93"/>
      <c r="AXK569" s="93"/>
      <c r="AXL569" s="93"/>
      <c r="AXM569" s="93"/>
      <c r="AXN569" s="93"/>
      <c r="AXO569" s="93"/>
      <c r="AXP569" s="93"/>
      <c r="AXQ569" s="93"/>
      <c r="AXR569" s="93"/>
      <c r="AXS569" s="93"/>
      <c r="AXT569" s="93"/>
      <c r="AXU569" s="93"/>
      <c r="AXV569" s="93"/>
      <c r="AXW569" s="93"/>
      <c r="AXX569" s="93"/>
      <c r="AXY569" s="93"/>
      <c r="AXZ569" s="93"/>
      <c r="AYA569" s="93"/>
      <c r="AYB569" s="93"/>
      <c r="AYC569" s="93"/>
      <c r="AYD569" s="93"/>
      <c r="AYE569" s="93"/>
      <c r="AYF569" s="93"/>
      <c r="AYG569" s="93"/>
      <c r="AYH569" s="93"/>
      <c r="AYI569" s="93"/>
      <c r="AYJ569" s="93"/>
      <c r="AYK569" s="93"/>
      <c r="AYL569" s="93"/>
      <c r="AYM569" s="93"/>
      <c r="AYN569" s="93"/>
      <c r="AYO569" s="93"/>
      <c r="AYP569" s="93"/>
      <c r="AYQ569" s="93"/>
      <c r="AYR569" s="93"/>
      <c r="AYS569" s="93"/>
      <c r="AYT569" s="93"/>
      <c r="AYU569" s="93"/>
      <c r="AYV569" s="93"/>
      <c r="AYW569" s="93"/>
      <c r="AYX569" s="93"/>
      <c r="AYY569" s="93"/>
      <c r="AYZ569" s="93"/>
      <c r="AZA569" s="93"/>
      <c r="AZB569" s="93"/>
      <c r="AZC569" s="93"/>
      <c r="AZD569" s="93"/>
      <c r="AZE569" s="93"/>
      <c r="AZF569" s="93"/>
      <c r="AZG569" s="93"/>
      <c r="AZH569" s="93"/>
      <c r="AZI569" s="93"/>
      <c r="AZJ569" s="93"/>
      <c r="AZK569" s="93"/>
      <c r="AZL569" s="93"/>
      <c r="AZM569" s="93"/>
      <c r="AZN569" s="93"/>
      <c r="AZO569" s="93"/>
      <c r="AZP569" s="93"/>
      <c r="AZQ569" s="93"/>
      <c r="AZR569" s="93"/>
      <c r="AZS569" s="93"/>
      <c r="AZT569" s="93"/>
      <c r="AZU569" s="93"/>
      <c r="AZV569" s="93"/>
      <c r="AZW569" s="93"/>
      <c r="AZX569" s="93"/>
      <c r="AZY569" s="93"/>
      <c r="AZZ569" s="93"/>
      <c r="BAA569" s="93"/>
      <c r="BAB569" s="93"/>
      <c r="BAC569" s="93"/>
      <c r="BAD569" s="93"/>
      <c r="BAE569" s="93"/>
      <c r="BAF569" s="93"/>
      <c r="BAG569" s="93"/>
      <c r="BAH569" s="93"/>
      <c r="BAI569" s="93"/>
      <c r="BAJ569" s="93"/>
      <c r="BAK569" s="93"/>
      <c r="BAL569" s="93"/>
      <c r="BAM569" s="93"/>
      <c r="BAN569" s="93"/>
      <c r="BAO569" s="93"/>
      <c r="BAP569" s="93"/>
      <c r="BAQ569" s="93"/>
      <c r="BAR569" s="93"/>
      <c r="BAS569" s="93"/>
      <c r="BAT569" s="93"/>
      <c r="BAU569" s="93"/>
      <c r="BAV569" s="93"/>
      <c r="BAW569" s="93"/>
      <c r="BAX569" s="93"/>
      <c r="BAY569" s="93"/>
      <c r="BAZ569" s="93"/>
      <c r="BBA569" s="93"/>
      <c r="BBB569" s="93"/>
      <c r="BBC569" s="93"/>
      <c r="BBD569" s="93"/>
      <c r="BBE569" s="93"/>
      <c r="BBF569" s="93"/>
      <c r="BBG569" s="93"/>
      <c r="BBH569" s="93"/>
      <c r="BBI569" s="93"/>
      <c r="BBJ569" s="93"/>
      <c r="BBK569" s="93"/>
      <c r="BBL569" s="93"/>
      <c r="BBM569" s="93"/>
      <c r="BBN569" s="93"/>
      <c r="BBO569" s="93"/>
      <c r="BBP569" s="93"/>
      <c r="BBQ569" s="93"/>
      <c r="BBR569" s="93"/>
      <c r="BBS569" s="93"/>
      <c r="BBT569" s="93"/>
      <c r="BBU569" s="93"/>
      <c r="BBV569" s="93"/>
      <c r="BBW569" s="93"/>
      <c r="BBX569" s="93"/>
      <c r="BBY569" s="93"/>
      <c r="BBZ569" s="93"/>
      <c r="BCA569" s="93"/>
      <c r="BCB569" s="93"/>
      <c r="BCC569" s="93"/>
      <c r="BCD569" s="93"/>
      <c r="BCE569" s="93"/>
      <c r="BCF569" s="93"/>
      <c r="BCG569" s="93"/>
      <c r="BCH569" s="93"/>
      <c r="BCI569" s="93"/>
      <c r="BCJ569" s="93"/>
      <c r="BCK569" s="93"/>
      <c r="BCL569" s="93"/>
      <c r="BCM569" s="93"/>
      <c r="BCN569" s="93"/>
      <c r="BCO569" s="93"/>
      <c r="BCP569" s="93"/>
      <c r="BCQ569" s="93"/>
      <c r="BCR569" s="93"/>
      <c r="BCS569" s="93"/>
      <c r="BCT569" s="93"/>
      <c r="BCU569" s="93"/>
      <c r="BCV569" s="93"/>
      <c r="BCW569" s="93"/>
      <c r="BCX569" s="93"/>
      <c r="BCY569" s="93"/>
      <c r="BCZ569" s="93"/>
      <c r="BDA569" s="93"/>
      <c r="BDB569" s="93"/>
      <c r="BDC569" s="93"/>
      <c r="BDD569" s="93"/>
      <c r="BDE569" s="93"/>
      <c r="BDF569" s="93"/>
      <c r="BDG569" s="93"/>
      <c r="BDH569" s="93"/>
      <c r="BDI569" s="93"/>
      <c r="BDJ569" s="93"/>
      <c r="BDK569" s="93"/>
      <c r="BDL569" s="93"/>
      <c r="BDM569" s="93"/>
      <c r="BDN569" s="93"/>
      <c r="BDO569" s="93"/>
      <c r="BDP569" s="93"/>
      <c r="BDQ569" s="93"/>
      <c r="BDR569" s="93"/>
      <c r="BDS569" s="93"/>
      <c r="BDT569" s="93"/>
      <c r="BDU569" s="93"/>
      <c r="BDV569" s="93"/>
      <c r="BDW569" s="93"/>
      <c r="BDX569" s="93"/>
      <c r="BDY569" s="93"/>
      <c r="BDZ569" s="93"/>
      <c r="BEA569" s="93"/>
      <c r="BEB569" s="93"/>
      <c r="BEC569" s="93"/>
      <c r="BED569" s="93"/>
      <c r="BEE569" s="93"/>
      <c r="BEF569" s="93"/>
      <c r="BEG569" s="93"/>
      <c r="BEH569" s="93"/>
      <c r="BEI569" s="93"/>
      <c r="BEJ569" s="93"/>
      <c r="BEK569" s="93"/>
      <c r="BEL569" s="93"/>
      <c r="BEM569" s="93"/>
      <c r="BEN569" s="93"/>
      <c r="BEO569" s="93"/>
      <c r="BEP569" s="93"/>
      <c r="BEQ569" s="93"/>
      <c r="BER569" s="93"/>
      <c r="BES569" s="93"/>
      <c r="BET569" s="93"/>
      <c r="BEU569" s="93"/>
      <c r="BEV569" s="93"/>
      <c r="BEW569" s="93"/>
      <c r="BEX569" s="93"/>
      <c r="BEY569" s="93"/>
      <c r="BEZ569" s="93"/>
      <c r="BFA569" s="93"/>
      <c r="BFB569" s="93"/>
      <c r="BFC569" s="93"/>
      <c r="BFD569" s="93"/>
      <c r="BFE569" s="93"/>
      <c r="BFF569" s="93"/>
      <c r="BFG569" s="93"/>
      <c r="BFH569" s="93"/>
      <c r="BFI569" s="93"/>
      <c r="BFJ569" s="93"/>
      <c r="BFK569" s="93"/>
      <c r="BFL569" s="93"/>
      <c r="BFM569" s="93"/>
      <c r="BFN569" s="93"/>
      <c r="BFO569" s="93"/>
      <c r="BFP569" s="93"/>
      <c r="BFQ569" s="93"/>
      <c r="BFR569" s="93"/>
      <c r="BFS569" s="93"/>
      <c r="BFT569" s="93"/>
      <c r="BFU569" s="93"/>
      <c r="BFV569" s="93"/>
      <c r="BFW569" s="93"/>
      <c r="BFX569" s="93"/>
      <c r="BFY569" s="93"/>
      <c r="BFZ569" s="93"/>
      <c r="BGA569" s="93"/>
      <c r="BGB569" s="93"/>
      <c r="BGC569" s="93"/>
      <c r="BGD569" s="93"/>
      <c r="BGE569" s="93"/>
      <c r="BGF569" s="93"/>
      <c r="BGG569" s="93"/>
      <c r="BGH569" s="93"/>
      <c r="BGI569" s="93"/>
      <c r="BGJ569" s="93"/>
      <c r="BGK569" s="93"/>
      <c r="BGL569" s="93"/>
      <c r="BGM569" s="93"/>
      <c r="BGN569" s="93"/>
      <c r="BGO569" s="93"/>
      <c r="BGP569" s="93"/>
      <c r="BGQ569" s="93"/>
      <c r="BGR569" s="93"/>
      <c r="BGS569" s="93"/>
      <c r="BGT569" s="93"/>
      <c r="BGU569" s="93"/>
      <c r="BGV569" s="93"/>
      <c r="BGW569" s="93"/>
      <c r="BGX569" s="93"/>
      <c r="BGY569" s="93"/>
      <c r="BGZ569" s="93"/>
      <c r="BHA569" s="93"/>
      <c r="BHB569" s="93"/>
      <c r="BHC569" s="93"/>
      <c r="BHD569" s="93"/>
      <c r="BHE569" s="93"/>
      <c r="BHF569" s="93"/>
      <c r="BHG569" s="93"/>
      <c r="BHH569" s="93"/>
      <c r="BHI569" s="93"/>
      <c r="BHJ569" s="93"/>
      <c r="BHK569" s="93"/>
      <c r="BHL569" s="93"/>
      <c r="BHM569" s="93"/>
      <c r="BHN569" s="93"/>
      <c r="BHO569" s="93"/>
      <c r="BHP569" s="93"/>
      <c r="BHQ569" s="93"/>
      <c r="BHR569" s="93"/>
      <c r="BHS569" s="93"/>
      <c r="BHT569" s="93"/>
      <c r="BHU569" s="93"/>
      <c r="BHV569" s="93"/>
      <c r="BHW569" s="93"/>
      <c r="BHX569" s="93"/>
      <c r="BHY569" s="93"/>
      <c r="BHZ569" s="93"/>
      <c r="BIA569" s="93"/>
      <c r="BIB569" s="93"/>
      <c r="BIC569" s="93"/>
      <c r="BID569" s="93"/>
      <c r="BIE569" s="93"/>
      <c r="BIF569" s="93"/>
      <c r="BIG569" s="93"/>
      <c r="BIH569" s="93"/>
      <c r="BII569" s="93"/>
      <c r="BIJ569" s="93"/>
      <c r="BIK569" s="93"/>
      <c r="BIL569" s="93"/>
      <c r="BIM569" s="93"/>
      <c r="BIN569" s="93"/>
      <c r="BIO569" s="93"/>
      <c r="BIP569" s="93"/>
      <c r="BIQ569" s="93"/>
      <c r="BIR569" s="93"/>
      <c r="BIS569" s="93"/>
      <c r="BIT569" s="93"/>
      <c r="BIU569" s="93"/>
      <c r="BIV569" s="93"/>
      <c r="BIW569" s="93"/>
      <c r="BIX569" s="93"/>
      <c r="BIY569" s="93"/>
      <c r="BIZ569" s="93"/>
      <c r="BJA569" s="93"/>
      <c r="BJB569" s="93"/>
      <c r="BJC569" s="93"/>
      <c r="BJD569" s="93"/>
      <c r="BJE569" s="93"/>
      <c r="BJF569" s="93"/>
      <c r="BJG569" s="93"/>
      <c r="BJH569" s="93"/>
      <c r="BJI569" s="93"/>
      <c r="BJJ569" s="93"/>
      <c r="BJK569" s="93"/>
      <c r="BJL569" s="93"/>
      <c r="BJM569" s="93"/>
      <c r="BJN569" s="93"/>
      <c r="BJO569" s="93"/>
      <c r="BJP569" s="93"/>
      <c r="BJQ569" s="93"/>
      <c r="BJR569" s="93"/>
      <c r="BJS569" s="93"/>
      <c r="BJT569" s="93"/>
      <c r="BJU569" s="93"/>
      <c r="BJV569" s="93"/>
      <c r="BJW569" s="93"/>
      <c r="BJX569" s="93"/>
      <c r="BJY569" s="93"/>
      <c r="BJZ569" s="93"/>
      <c r="BKA569" s="93"/>
      <c r="BKB569" s="93"/>
      <c r="BKC569" s="93"/>
      <c r="BKD569" s="93"/>
      <c r="BKE569" s="93"/>
      <c r="BKF569" s="93"/>
      <c r="BKG569" s="93"/>
      <c r="BKH569" s="93"/>
      <c r="BKI569" s="93"/>
      <c r="BKJ569" s="93"/>
      <c r="BKK569" s="93"/>
      <c r="BKL569" s="93"/>
      <c r="BKM569" s="93"/>
      <c r="BKN569" s="93"/>
      <c r="BKO569" s="93"/>
      <c r="BKP569" s="93"/>
      <c r="BKQ569" s="93"/>
      <c r="BKR569" s="93"/>
      <c r="BKS569" s="93"/>
      <c r="BKT569" s="93"/>
      <c r="BKU569" s="93"/>
      <c r="BKV569" s="93"/>
      <c r="BKW569" s="93"/>
      <c r="BKX569" s="93"/>
      <c r="BKY569" s="93"/>
      <c r="BKZ569" s="93"/>
      <c r="BLA569" s="93"/>
      <c r="BLB569" s="93"/>
      <c r="BLC569" s="93"/>
      <c r="BLD569" s="93"/>
      <c r="BLE569" s="93"/>
      <c r="BLF569" s="93"/>
      <c r="BLG569" s="93"/>
      <c r="BLH569" s="93"/>
      <c r="BLI569" s="93"/>
      <c r="BLJ569" s="93"/>
      <c r="BLK569" s="93"/>
      <c r="BLL569" s="93"/>
      <c r="BLM569" s="93"/>
      <c r="BLN569" s="93"/>
      <c r="BLO569" s="93"/>
      <c r="BLP569" s="93"/>
      <c r="BLQ569" s="93"/>
      <c r="BLR569" s="93"/>
      <c r="BLS569" s="93"/>
      <c r="BLT569" s="93"/>
      <c r="BLU569" s="93"/>
      <c r="BLV569" s="93"/>
      <c r="BLW569" s="93"/>
      <c r="BLX569" s="93"/>
      <c r="BLY569" s="93"/>
      <c r="BLZ569" s="93"/>
      <c r="BMA569" s="93"/>
      <c r="BMB569" s="93"/>
      <c r="BMC569" s="93"/>
      <c r="BMD569" s="93"/>
      <c r="BME569" s="93"/>
      <c r="BMF569" s="93"/>
      <c r="BMG569" s="93"/>
      <c r="BMH569" s="93"/>
      <c r="BMI569" s="93"/>
      <c r="BMJ569" s="93"/>
      <c r="BMK569" s="93"/>
      <c r="BML569" s="93"/>
      <c r="BMM569" s="93"/>
      <c r="BMN569" s="93"/>
      <c r="BMO569" s="93"/>
      <c r="BMP569" s="93"/>
      <c r="BMQ569" s="93"/>
      <c r="BMR569" s="93"/>
      <c r="BMS569" s="93"/>
      <c r="BMT569" s="93"/>
      <c r="BMU569" s="93"/>
      <c r="BMV569" s="93"/>
      <c r="BMW569" s="93"/>
      <c r="BMX569" s="93"/>
      <c r="BMY569" s="93"/>
      <c r="BMZ569" s="93"/>
      <c r="BNA569" s="93"/>
      <c r="BNB569" s="93"/>
      <c r="BNC569" s="93"/>
      <c r="BND569" s="93"/>
      <c r="BNE569" s="93"/>
      <c r="BNF569" s="93"/>
      <c r="BNG569" s="93"/>
      <c r="BNH569" s="93"/>
      <c r="BNI569" s="93"/>
      <c r="BNJ569" s="93"/>
      <c r="BNK569" s="93"/>
      <c r="BNL569" s="93"/>
      <c r="BNM569" s="93"/>
      <c r="BNN569" s="93"/>
      <c r="BNO569" s="93"/>
      <c r="BNP569" s="93"/>
      <c r="BNQ569" s="93"/>
      <c r="BNR569" s="93"/>
      <c r="BNS569" s="93"/>
      <c r="BNT569" s="93"/>
      <c r="BNU569" s="93"/>
      <c r="BNV569" s="93"/>
      <c r="BNW569" s="93"/>
      <c r="BNX569" s="93"/>
      <c r="BNY569" s="93"/>
      <c r="BNZ569" s="93"/>
      <c r="BOA569" s="93"/>
      <c r="BOB569" s="93"/>
      <c r="BOC569" s="93"/>
      <c r="BOD569" s="93"/>
      <c r="BOE569" s="93"/>
      <c r="BOF569" s="93"/>
      <c r="BOG569" s="93"/>
      <c r="BOH569" s="93"/>
      <c r="BOI569" s="93"/>
      <c r="BOJ569" s="93"/>
      <c r="BOK569" s="93"/>
      <c r="BOL569" s="93"/>
      <c r="BOM569" s="93"/>
      <c r="BON569" s="93"/>
      <c r="BOO569" s="93"/>
      <c r="BOP569" s="93"/>
      <c r="BOQ569" s="93"/>
      <c r="BOR569" s="93"/>
      <c r="BOS569" s="93"/>
      <c r="BOT569" s="93"/>
      <c r="BOU569" s="93"/>
      <c r="BOV569" s="93"/>
      <c r="BOW569" s="93"/>
      <c r="BOX569" s="93"/>
      <c r="BOY569" s="93"/>
      <c r="BOZ569" s="93"/>
      <c r="BPA569" s="93"/>
      <c r="BPB569" s="93"/>
      <c r="BPC569" s="93"/>
      <c r="BPD569" s="93"/>
      <c r="BPE569" s="93"/>
      <c r="BPF569" s="93"/>
      <c r="BPG569" s="93"/>
      <c r="BPH569" s="93"/>
      <c r="BPI569" s="93"/>
      <c r="BPJ569" s="93"/>
      <c r="BPK569" s="93"/>
      <c r="BPL569" s="93"/>
      <c r="BPM569" s="93"/>
      <c r="BPN569" s="93"/>
      <c r="BPO569" s="93"/>
      <c r="BPP569" s="93"/>
      <c r="BPQ569" s="93"/>
      <c r="BPR569" s="93"/>
      <c r="BPS569" s="93"/>
      <c r="BPT569" s="93"/>
      <c r="BPU569" s="93"/>
      <c r="BPV569" s="93"/>
      <c r="BPW569" s="93"/>
      <c r="BPX569" s="93"/>
      <c r="BPY569" s="93"/>
      <c r="BPZ569" s="93"/>
      <c r="BQA569" s="93"/>
      <c r="BQB569" s="93"/>
      <c r="BQC569" s="93"/>
      <c r="BQD569" s="93"/>
      <c r="BQE569" s="93"/>
      <c r="BQF569" s="93"/>
      <c r="BQG569" s="93"/>
      <c r="BQH569" s="93"/>
      <c r="BQI569" s="93"/>
      <c r="BQJ569" s="93"/>
      <c r="BQK569" s="93"/>
      <c r="BQL569" s="93"/>
      <c r="BQM569" s="93"/>
      <c r="BQN569" s="93"/>
      <c r="BQO569" s="93"/>
      <c r="BQP569" s="93"/>
      <c r="BQQ569" s="93"/>
      <c r="BQR569" s="93"/>
      <c r="BQS569" s="93"/>
      <c r="BQT569" s="93"/>
      <c r="BQU569" s="93"/>
      <c r="BQV569" s="93"/>
      <c r="BQW569" s="93"/>
      <c r="BQX569" s="93"/>
      <c r="BQY569" s="93"/>
      <c r="BQZ569" s="93"/>
      <c r="BRA569" s="93"/>
      <c r="BRB569" s="93"/>
      <c r="BRC569" s="93"/>
      <c r="BRD569" s="93"/>
      <c r="BRE569" s="93"/>
      <c r="BRF569" s="93"/>
      <c r="BRG569" s="93"/>
      <c r="BRH569" s="93"/>
      <c r="BRI569" s="93"/>
      <c r="BRJ569" s="93"/>
      <c r="BRK569" s="93"/>
      <c r="BRL569" s="93"/>
      <c r="BRM569" s="93"/>
      <c r="BRN569" s="93"/>
      <c r="BRO569" s="93"/>
      <c r="BRP569" s="93"/>
      <c r="BRQ569" s="93"/>
      <c r="BRR569" s="93"/>
      <c r="BRS569" s="93"/>
      <c r="BRT569" s="93"/>
      <c r="BRU569" s="93"/>
      <c r="BRV569" s="93"/>
      <c r="BRW569" s="93"/>
      <c r="BRX569" s="93"/>
      <c r="BRY569" s="93"/>
      <c r="BRZ569" s="93"/>
      <c r="BSA569" s="93"/>
      <c r="BSB569" s="93"/>
      <c r="BSC569" s="93"/>
      <c r="BSD569" s="93"/>
      <c r="BSE569" s="93"/>
      <c r="BSF569" s="93"/>
      <c r="BSG569" s="93"/>
      <c r="BSH569" s="93"/>
      <c r="BSI569" s="93"/>
      <c r="BSJ569" s="93"/>
      <c r="BSK569" s="93"/>
      <c r="BSL569" s="93"/>
      <c r="BSM569" s="93"/>
      <c r="BSN569" s="93"/>
      <c r="BSO569" s="93"/>
      <c r="BSP569" s="93"/>
      <c r="BSQ569" s="93"/>
      <c r="BSR569" s="93"/>
      <c r="BSS569" s="93"/>
      <c r="BST569" s="93"/>
      <c r="BSU569" s="93"/>
      <c r="BSV569" s="93"/>
      <c r="BSW569" s="93"/>
      <c r="BSX569" s="93"/>
      <c r="BSY569" s="93"/>
      <c r="BSZ569" s="93"/>
      <c r="BTA569" s="93"/>
      <c r="BTB569" s="93"/>
      <c r="BTC569" s="93"/>
      <c r="BTD569" s="93"/>
      <c r="BTE569" s="93"/>
      <c r="BTF569" s="93"/>
      <c r="BTG569" s="93"/>
      <c r="BTH569" s="93"/>
      <c r="BTI569" s="93"/>
      <c r="BTJ569" s="93"/>
      <c r="BTK569" s="93"/>
      <c r="BTL569" s="93"/>
      <c r="BTM569" s="93"/>
      <c r="BTN569" s="93"/>
      <c r="BTO569" s="93"/>
      <c r="BTP569" s="93"/>
      <c r="BTQ569" s="93"/>
      <c r="BTR569" s="93"/>
      <c r="BTS569" s="93"/>
      <c r="BTT569" s="93"/>
      <c r="BTU569" s="93"/>
      <c r="BTV569" s="93"/>
      <c r="BTW569" s="93"/>
      <c r="BTX569" s="93"/>
      <c r="BTY569" s="93"/>
      <c r="BTZ569" s="93"/>
      <c r="BUA569" s="93"/>
      <c r="BUB569" s="93"/>
      <c r="BUC569" s="93"/>
      <c r="BUD569" s="93"/>
      <c r="BUE569" s="93"/>
      <c r="BUF569" s="93"/>
      <c r="BUG569" s="93"/>
      <c r="BUH569" s="93"/>
      <c r="BUI569" s="93"/>
      <c r="BUJ569" s="93"/>
      <c r="BUK569" s="93"/>
      <c r="BUL569" s="93"/>
      <c r="BUM569" s="93"/>
      <c r="BUN569" s="93"/>
      <c r="BUO569" s="93"/>
      <c r="BUP569" s="93"/>
      <c r="BUQ569" s="93"/>
      <c r="BUR569" s="93"/>
      <c r="BUS569" s="93"/>
      <c r="BUT569" s="93"/>
      <c r="BUU569" s="93"/>
      <c r="BUV569" s="93"/>
      <c r="BUW569" s="93"/>
      <c r="BUX569" s="93"/>
      <c r="BUY569" s="93"/>
      <c r="BUZ569" s="93"/>
      <c r="BVA569" s="93"/>
      <c r="BVB569" s="93"/>
      <c r="BVC569" s="93"/>
      <c r="BVD569" s="93"/>
      <c r="BVE569" s="93"/>
      <c r="BVF569" s="93"/>
      <c r="BVG569" s="93"/>
      <c r="BVH569" s="93"/>
      <c r="BVI569" s="93"/>
      <c r="BVJ569" s="93"/>
      <c r="BVK569" s="93"/>
      <c r="BVL569" s="93"/>
      <c r="BVM569" s="93"/>
      <c r="BVN569" s="93"/>
      <c r="BVO569" s="93"/>
      <c r="BVP569" s="93"/>
      <c r="BVQ569" s="93"/>
      <c r="BVR569" s="93"/>
      <c r="BVS569" s="93"/>
      <c r="BVT569" s="93"/>
      <c r="BVU569" s="93"/>
      <c r="BVV569" s="93"/>
      <c r="BVW569" s="93"/>
      <c r="BVX569" s="93"/>
      <c r="BVY569" s="93"/>
      <c r="BVZ569" s="93"/>
      <c r="BWA569" s="93"/>
      <c r="BWB569" s="93"/>
      <c r="BWC569" s="93"/>
      <c r="BWD569" s="93"/>
      <c r="BWE569" s="93"/>
      <c r="BWF569" s="93"/>
      <c r="BWG569" s="93"/>
      <c r="BWH569" s="93"/>
      <c r="BWI569" s="93"/>
      <c r="BWJ569" s="93"/>
      <c r="BWK569" s="93"/>
      <c r="BWL569" s="93"/>
      <c r="BWM569" s="93"/>
      <c r="BWN569" s="93"/>
      <c r="BWO569" s="93"/>
      <c r="BWP569" s="93"/>
      <c r="BWQ569" s="93"/>
      <c r="BWR569" s="93"/>
      <c r="BWS569" s="93"/>
      <c r="BWT569" s="93"/>
      <c r="BWU569" s="93"/>
      <c r="BWV569" s="93"/>
      <c r="BWW569" s="93"/>
      <c r="BWX569" s="93"/>
      <c r="BWY569" s="93"/>
      <c r="BWZ569" s="93"/>
      <c r="BXA569" s="93"/>
      <c r="BXB569" s="93"/>
      <c r="BXC569" s="93"/>
      <c r="BXD569" s="93"/>
      <c r="BXE569" s="93"/>
      <c r="BXF569" s="93"/>
      <c r="BXG569" s="93"/>
      <c r="BXH569" s="93"/>
      <c r="BXI569" s="93"/>
      <c r="BXJ569" s="93"/>
      <c r="BXK569" s="93"/>
      <c r="BXL569" s="93"/>
      <c r="BXM569" s="93"/>
      <c r="BXN569" s="93"/>
      <c r="BXO569" s="93"/>
      <c r="BXP569" s="93"/>
      <c r="BXQ569" s="93"/>
      <c r="BXR569" s="93"/>
      <c r="BXS569" s="93"/>
      <c r="BXT569" s="93"/>
      <c r="BXU569" s="93"/>
      <c r="BXV569" s="93"/>
      <c r="BXW569" s="93"/>
      <c r="BXX569" s="93"/>
      <c r="BXY569" s="93"/>
      <c r="BXZ569" s="93"/>
      <c r="BYA569" s="93"/>
      <c r="BYB569" s="93"/>
      <c r="BYC569" s="93"/>
      <c r="BYD569" s="93"/>
      <c r="BYE569" s="93"/>
      <c r="BYF569" s="93"/>
      <c r="BYG569" s="93"/>
      <c r="BYH569" s="93"/>
      <c r="BYI569" s="93"/>
      <c r="BYJ569" s="93"/>
      <c r="BYK569" s="93"/>
      <c r="BYL569" s="93"/>
      <c r="BYM569" s="93"/>
      <c r="BYN569" s="93"/>
      <c r="BYO569" s="93"/>
      <c r="BYP569" s="93"/>
      <c r="BYQ569" s="93"/>
      <c r="BYR569" s="93"/>
      <c r="BYS569" s="93"/>
      <c r="BYT569" s="93"/>
      <c r="BYU569" s="93"/>
      <c r="BYV569" s="93"/>
      <c r="BYW569" s="93"/>
      <c r="BYX569" s="93"/>
      <c r="BYY569" s="93"/>
      <c r="BYZ569" s="93"/>
      <c r="BZA569" s="93"/>
      <c r="BZB569" s="93"/>
      <c r="BZC569" s="93"/>
      <c r="BZD569" s="93"/>
      <c r="BZE569" s="93"/>
      <c r="BZF569" s="93"/>
      <c r="BZG569" s="93"/>
      <c r="BZH569" s="93"/>
      <c r="BZI569" s="93"/>
      <c r="BZJ569" s="93"/>
      <c r="BZK569" s="93"/>
      <c r="BZL569" s="93"/>
      <c r="BZM569" s="93"/>
      <c r="BZN569" s="93"/>
      <c r="BZO569" s="93"/>
      <c r="BZP569" s="93"/>
      <c r="BZQ569" s="93"/>
      <c r="BZR569" s="93"/>
      <c r="BZS569" s="93"/>
      <c r="BZT569" s="93"/>
      <c r="BZU569" s="93"/>
      <c r="BZV569" s="93"/>
      <c r="BZW569" s="93"/>
      <c r="BZX569" s="93"/>
      <c r="BZY569" s="93"/>
      <c r="BZZ569" s="93"/>
      <c r="CAA569" s="93"/>
      <c r="CAB569" s="93"/>
      <c r="CAC569" s="93"/>
      <c r="CAD569" s="93"/>
      <c r="CAE569" s="93"/>
      <c r="CAF569" s="93"/>
      <c r="CAG569" s="93"/>
      <c r="CAH569" s="93"/>
      <c r="CAI569" s="93"/>
      <c r="CAJ569" s="93"/>
      <c r="CAK569" s="93"/>
      <c r="CAL569" s="93"/>
      <c r="CAM569" s="93"/>
      <c r="CAN569" s="93"/>
      <c r="CAO569" s="93"/>
      <c r="CAP569" s="93"/>
      <c r="CAQ569" s="93"/>
      <c r="CAR569" s="93"/>
      <c r="CAS569" s="93"/>
      <c r="CAT569" s="93"/>
      <c r="CAU569" s="93"/>
      <c r="CAV569" s="93"/>
      <c r="CAW569" s="93"/>
      <c r="CAX569" s="93"/>
      <c r="CAY569" s="93"/>
      <c r="CAZ569" s="93"/>
      <c r="CBA569" s="93"/>
      <c r="CBB569" s="93"/>
      <c r="CBC569" s="93"/>
      <c r="CBD569" s="93"/>
      <c r="CBE569" s="93"/>
      <c r="CBF569" s="93"/>
      <c r="CBG569" s="93"/>
      <c r="CBH569" s="93"/>
      <c r="CBI569" s="93"/>
      <c r="CBJ569" s="93"/>
      <c r="CBK569" s="93"/>
      <c r="CBL569" s="93"/>
      <c r="CBM569" s="93"/>
      <c r="CBN569" s="93"/>
      <c r="CBO569" s="93"/>
      <c r="CBP569" s="93"/>
      <c r="CBQ569" s="93"/>
      <c r="CBR569" s="93"/>
      <c r="CBS569" s="93"/>
      <c r="CBT569" s="93"/>
      <c r="CBU569" s="93"/>
      <c r="CBV569" s="93"/>
      <c r="CBW569" s="93"/>
      <c r="CBX569" s="93"/>
      <c r="CBY569" s="93"/>
      <c r="CBZ569" s="93"/>
      <c r="CCA569" s="93"/>
      <c r="CCB569" s="93"/>
      <c r="CCC569" s="93"/>
      <c r="CCD569" s="93"/>
      <c r="CCE569" s="93"/>
      <c r="CCF569" s="93"/>
      <c r="CCG569" s="93"/>
      <c r="CCH569" s="93"/>
      <c r="CCI569" s="93"/>
      <c r="CCJ569" s="93"/>
      <c r="CCK569" s="93"/>
      <c r="CCL569" s="93"/>
      <c r="CCM569" s="93"/>
      <c r="CCN569" s="93"/>
      <c r="CCO569" s="93"/>
      <c r="CCP569" s="93"/>
      <c r="CCQ569" s="93"/>
      <c r="CCR569" s="93"/>
      <c r="CCS569" s="93"/>
      <c r="CCT569" s="93"/>
      <c r="CCU569" s="93"/>
      <c r="CCV569" s="93"/>
      <c r="CCW569" s="93"/>
      <c r="CCX569" s="93"/>
      <c r="CCY569" s="93"/>
      <c r="CCZ569" s="93"/>
      <c r="CDA569" s="93"/>
      <c r="CDB569" s="93"/>
      <c r="CDC569" s="93"/>
      <c r="CDD569" s="93"/>
      <c r="CDE569" s="93"/>
      <c r="CDF569" s="93"/>
      <c r="CDG569" s="93"/>
      <c r="CDH569" s="93"/>
      <c r="CDI569" s="93"/>
      <c r="CDJ569" s="93"/>
      <c r="CDK569" s="93"/>
      <c r="CDL569" s="93"/>
      <c r="CDM569" s="93"/>
      <c r="CDN569" s="93"/>
      <c r="CDO569" s="93"/>
      <c r="CDP569" s="93"/>
      <c r="CDQ569" s="93"/>
      <c r="CDR569" s="93"/>
      <c r="CDS569" s="93"/>
      <c r="CDT569" s="93"/>
      <c r="CDU569" s="93"/>
      <c r="CDV569" s="93"/>
      <c r="CDW569" s="93"/>
      <c r="CDX569" s="93"/>
      <c r="CDY569" s="93"/>
      <c r="CDZ569" s="93"/>
      <c r="CEA569" s="93"/>
      <c r="CEB569" s="93"/>
      <c r="CEC569" s="93"/>
      <c r="CED569" s="93"/>
      <c r="CEE569" s="93"/>
      <c r="CEF569" s="93"/>
      <c r="CEG569" s="93"/>
      <c r="CEH569" s="93"/>
      <c r="CEI569" s="93"/>
      <c r="CEJ569" s="93"/>
      <c r="CEK569" s="93"/>
      <c r="CEL569" s="93"/>
      <c r="CEM569" s="93"/>
      <c r="CEN569" s="93"/>
      <c r="CEO569" s="93"/>
      <c r="CEP569" s="93"/>
      <c r="CEQ569" s="93"/>
      <c r="CER569" s="93"/>
      <c r="CES569" s="93"/>
      <c r="CET569" s="93"/>
      <c r="CEU569" s="93"/>
      <c r="CEV569" s="93"/>
      <c r="CEW569" s="93"/>
      <c r="CEX569" s="93"/>
      <c r="CEY569" s="93"/>
      <c r="CEZ569" s="93"/>
      <c r="CFA569" s="93"/>
      <c r="CFB569" s="93"/>
      <c r="CFC569" s="93"/>
      <c r="CFD569" s="93"/>
      <c r="CFE569" s="93"/>
      <c r="CFF569" s="93"/>
      <c r="CFG569" s="93"/>
      <c r="CFH569" s="93"/>
      <c r="CFI569" s="93"/>
      <c r="CFJ569" s="93"/>
      <c r="CFK569" s="93"/>
      <c r="CFL569" s="93"/>
      <c r="CFM569" s="93"/>
      <c r="CFN569" s="93"/>
      <c r="CFO569" s="93"/>
      <c r="CFP569" s="93"/>
      <c r="CFQ569" s="93"/>
      <c r="CFR569" s="93"/>
      <c r="CFS569" s="93"/>
      <c r="CFT569" s="93"/>
      <c r="CFU569" s="93"/>
      <c r="CFV569" s="93"/>
      <c r="CFW569" s="93"/>
      <c r="CFX569" s="93"/>
      <c r="CFY569" s="93"/>
      <c r="CFZ569" s="93"/>
      <c r="CGA569" s="93"/>
      <c r="CGB569" s="93"/>
      <c r="CGC569" s="93"/>
      <c r="CGD569" s="93"/>
      <c r="CGE569" s="93"/>
      <c r="CGF569" s="93"/>
      <c r="CGG569" s="93"/>
      <c r="CGH569" s="93"/>
      <c r="CGI569" s="93"/>
      <c r="CGJ569" s="93"/>
      <c r="CGK569" s="93"/>
      <c r="CGL569" s="93"/>
      <c r="CGM569" s="93"/>
      <c r="CGN569" s="93"/>
      <c r="CGO569" s="93"/>
      <c r="CGP569" s="93"/>
      <c r="CGQ569" s="93"/>
      <c r="CGR569" s="93"/>
      <c r="CGS569" s="93"/>
      <c r="CGT569" s="93"/>
      <c r="CGU569" s="93"/>
      <c r="CGV569" s="93"/>
      <c r="CGW569" s="93"/>
      <c r="CGX569" s="93"/>
      <c r="CGY569" s="93"/>
      <c r="CGZ569" s="93"/>
      <c r="CHA569" s="93"/>
      <c r="CHB569" s="93"/>
      <c r="CHC569" s="93"/>
      <c r="CHD569" s="93"/>
      <c r="CHE569" s="93"/>
      <c r="CHF569" s="93"/>
      <c r="CHG569" s="93"/>
      <c r="CHH569" s="93"/>
      <c r="CHI569" s="93"/>
      <c r="CHJ569" s="93"/>
      <c r="CHK569" s="93"/>
      <c r="CHL569" s="93"/>
      <c r="CHM569" s="93"/>
      <c r="CHN569" s="93"/>
      <c r="CHO569" s="93"/>
      <c r="CHP569" s="93"/>
      <c r="CHQ569" s="93"/>
      <c r="CHR569" s="93"/>
      <c r="CHS569" s="93"/>
      <c r="CHT569" s="93"/>
      <c r="CHU569" s="93"/>
      <c r="CHV569" s="93"/>
      <c r="CHW569" s="93"/>
      <c r="CHX569" s="93"/>
      <c r="CHY569" s="93"/>
      <c r="CHZ569" s="93"/>
      <c r="CIA569" s="93"/>
      <c r="CIB569" s="93"/>
      <c r="CIC569" s="93"/>
      <c r="CID569" s="93"/>
      <c r="CIE569" s="93"/>
      <c r="CIF569" s="93"/>
      <c r="CIG569" s="93"/>
      <c r="CIH569" s="93"/>
      <c r="CII569" s="93"/>
      <c r="CIJ569" s="93"/>
      <c r="CIK569" s="93"/>
      <c r="CIL569" s="93"/>
      <c r="CIM569" s="93"/>
      <c r="CIN569" s="93"/>
      <c r="CIO569" s="93"/>
      <c r="CIP569" s="93"/>
      <c r="CIQ569" s="93"/>
      <c r="CIR569" s="93"/>
      <c r="CIS569" s="93"/>
      <c r="CIT569" s="93"/>
      <c r="CIU569" s="93"/>
      <c r="CIV569" s="93"/>
      <c r="CIW569" s="93"/>
      <c r="CIX569" s="93"/>
      <c r="CIY569" s="93"/>
      <c r="CIZ569" s="93"/>
      <c r="CJA569" s="93"/>
      <c r="CJB569" s="93"/>
      <c r="CJC569" s="93"/>
      <c r="CJD569" s="93"/>
      <c r="CJE569" s="93"/>
      <c r="CJF569" s="93"/>
      <c r="CJG569" s="93"/>
      <c r="CJH569" s="93"/>
      <c r="CJI569" s="93"/>
      <c r="CJJ569" s="93"/>
      <c r="CJK569" s="93"/>
      <c r="CJL569" s="93"/>
      <c r="CJM569" s="93"/>
      <c r="CJN569" s="93"/>
      <c r="CJO569" s="93"/>
      <c r="CJP569" s="93"/>
      <c r="CJQ569" s="93"/>
      <c r="CJR569" s="93"/>
      <c r="CJS569" s="93"/>
      <c r="CJT569" s="93"/>
      <c r="CJU569" s="93"/>
      <c r="CJV569" s="93"/>
      <c r="CJW569" s="93"/>
      <c r="CJX569" s="93"/>
      <c r="CJY569" s="93"/>
      <c r="CJZ569" s="93"/>
      <c r="CKA569" s="93"/>
      <c r="CKB569" s="93"/>
      <c r="CKC569" s="93"/>
      <c r="CKD569" s="93"/>
      <c r="CKE569" s="93"/>
      <c r="CKF569" s="93"/>
      <c r="CKG569" s="93"/>
      <c r="CKH569" s="93"/>
      <c r="CKI569" s="93"/>
      <c r="CKJ569" s="93"/>
      <c r="CKK569" s="93"/>
      <c r="CKL569" s="93"/>
      <c r="CKM569" s="93"/>
      <c r="CKN569" s="93"/>
      <c r="CKO569" s="93"/>
      <c r="CKP569" s="93"/>
      <c r="CKQ569" s="93"/>
      <c r="CKR569" s="93"/>
      <c r="CKS569" s="93"/>
      <c r="CKT569" s="93"/>
      <c r="CKU569" s="93"/>
      <c r="CKV569" s="93"/>
      <c r="CKW569" s="93"/>
      <c r="CKX569" s="93"/>
      <c r="CKY569" s="93"/>
      <c r="CKZ569" s="93"/>
      <c r="CLA569" s="93"/>
      <c r="CLB569" s="93"/>
      <c r="CLC569" s="93"/>
      <c r="CLD569" s="93"/>
      <c r="CLE569" s="93"/>
      <c r="CLF569" s="93"/>
      <c r="CLG569" s="93"/>
      <c r="CLH569" s="93"/>
      <c r="CLI569" s="93"/>
      <c r="CLJ569" s="93"/>
      <c r="CLK569" s="93"/>
      <c r="CLL569" s="93"/>
      <c r="CLM569" s="93"/>
      <c r="CLN569" s="93"/>
      <c r="CLO569" s="93"/>
      <c r="CLP569" s="93"/>
      <c r="CLQ569" s="93"/>
      <c r="CLR569" s="93"/>
      <c r="CLS569" s="93"/>
      <c r="CLT569" s="93"/>
      <c r="CLU569" s="93"/>
      <c r="CLV569" s="93"/>
      <c r="CLW569" s="93"/>
      <c r="CLX569" s="93"/>
      <c r="CLY569" s="93"/>
      <c r="CLZ569" s="93"/>
      <c r="CMA569" s="93"/>
      <c r="CMB569" s="93"/>
      <c r="CMC569" s="93"/>
      <c r="CMD569" s="93"/>
      <c r="CME569" s="93"/>
      <c r="CMF569" s="93"/>
      <c r="CMG569" s="93"/>
      <c r="CMH569" s="93"/>
      <c r="CMI569" s="93"/>
      <c r="CMJ569" s="93"/>
      <c r="CMK569" s="93"/>
      <c r="CML569" s="93"/>
      <c r="CMM569" s="93"/>
      <c r="CMN569" s="93"/>
      <c r="CMO569" s="93"/>
      <c r="CMP569" s="93"/>
      <c r="CMQ569" s="93"/>
      <c r="CMR569" s="93"/>
      <c r="CMS569" s="93"/>
      <c r="CMT569" s="93"/>
      <c r="CMU569" s="93"/>
      <c r="CMV569" s="93"/>
      <c r="CMW569" s="93"/>
      <c r="CMX569" s="93"/>
      <c r="CMY569" s="93"/>
      <c r="CMZ569" s="93"/>
      <c r="CNA569" s="93"/>
      <c r="CNB569" s="93"/>
      <c r="CNC569" s="93"/>
      <c r="CND569" s="93"/>
      <c r="CNE569" s="93"/>
      <c r="CNF569" s="93"/>
      <c r="CNG569" s="93"/>
      <c r="CNH569" s="93"/>
      <c r="CNI569" s="93"/>
      <c r="CNJ569" s="93"/>
      <c r="CNK569" s="93"/>
      <c r="CNL569" s="93"/>
      <c r="CNM569" s="93"/>
      <c r="CNN569" s="93"/>
      <c r="CNO569" s="93"/>
      <c r="CNP569" s="93"/>
      <c r="CNQ569" s="93"/>
      <c r="CNR569" s="93"/>
      <c r="CNS569" s="93"/>
      <c r="CNT569" s="93"/>
      <c r="CNU569" s="93"/>
      <c r="CNV569" s="93"/>
      <c r="CNW569" s="93"/>
      <c r="CNX569" s="93"/>
      <c r="CNY569" s="93"/>
      <c r="CNZ569" s="93"/>
      <c r="COA569" s="93"/>
      <c r="COB569" s="93"/>
      <c r="COC569" s="93"/>
      <c r="COD569" s="93"/>
      <c r="COE569" s="93"/>
      <c r="COF569" s="93"/>
      <c r="COG569" s="93"/>
      <c r="COH569" s="93"/>
      <c r="COI569" s="93"/>
      <c r="COJ569" s="93"/>
      <c r="COK569" s="93"/>
      <c r="COL569" s="93"/>
      <c r="COM569" s="93"/>
      <c r="CON569" s="93"/>
      <c r="COO569" s="93"/>
      <c r="COP569" s="93"/>
      <c r="COQ569" s="93"/>
      <c r="COR569" s="93"/>
      <c r="COS569" s="93"/>
      <c r="COT569" s="93"/>
      <c r="COU569" s="93"/>
      <c r="COV569" s="93"/>
      <c r="COW569" s="93"/>
      <c r="COX569" s="93"/>
      <c r="COY569" s="93"/>
      <c r="COZ569" s="93"/>
      <c r="CPA569" s="93"/>
      <c r="CPB569" s="93"/>
      <c r="CPC569" s="93"/>
      <c r="CPD569" s="93"/>
      <c r="CPE569" s="93"/>
      <c r="CPF569" s="93"/>
      <c r="CPG569" s="93"/>
      <c r="CPH569" s="93"/>
      <c r="CPI569" s="93"/>
      <c r="CPJ569" s="93"/>
      <c r="CPK569" s="93"/>
      <c r="CPL569" s="93"/>
      <c r="CPM569" s="93"/>
      <c r="CPN569" s="93"/>
      <c r="CPO569" s="93"/>
      <c r="CPP569" s="93"/>
      <c r="CPQ569" s="93"/>
      <c r="CPR569" s="93"/>
      <c r="CPS569" s="93"/>
      <c r="CPT569" s="93"/>
      <c r="CPU569" s="93"/>
      <c r="CPV569" s="93"/>
      <c r="CPW569" s="93"/>
      <c r="CPX569" s="93"/>
      <c r="CPY569" s="93"/>
      <c r="CPZ569" s="93"/>
      <c r="CQA569" s="93"/>
      <c r="CQB569" s="93"/>
      <c r="CQC569" s="93"/>
      <c r="CQD569" s="93"/>
      <c r="CQE569" s="93"/>
      <c r="CQF569" s="93"/>
      <c r="CQG569" s="93"/>
      <c r="CQH569" s="93"/>
      <c r="CQI569" s="93"/>
      <c r="CQJ569" s="93"/>
      <c r="CQK569" s="93"/>
      <c r="CQL569" s="93"/>
      <c r="CQM569" s="93"/>
      <c r="CQN569" s="93"/>
      <c r="CQO569" s="93"/>
      <c r="CQP569" s="93"/>
      <c r="CQQ569" s="93"/>
      <c r="CQR569" s="93"/>
      <c r="CQS569" s="93"/>
      <c r="CQT569" s="93"/>
      <c r="CQU569" s="93"/>
      <c r="CQV569" s="93"/>
      <c r="CQW569" s="93"/>
      <c r="CQX569" s="93"/>
      <c r="CQY569" s="93"/>
      <c r="CQZ569" s="93"/>
      <c r="CRA569" s="93"/>
      <c r="CRB569" s="93"/>
      <c r="CRC569" s="93"/>
      <c r="CRD569" s="93"/>
      <c r="CRE569" s="93"/>
      <c r="CRF569" s="93"/>
      <c r="CRG569" s="93"/>
      <c r="CRH569" s="93"/>
      <c r="CRI569" s="93"/>
      <c r="CRJ569" s="93"/>
      <c r="CRK569" s="93"/>
      <c r="CRL569" s="93"/>
      <c r="CRM569" s="93"/>
      <c r="CRN569" s="93"/>
      <c r="CRO569" s="93"/>
      <c r="CRP569" s="93"/>
      <c r="CRQ569" s="93"/>
      <c r="CRR569" s="93"/>
      <c r="CRS569" s="93"/>
      <c r="CRT569" s="93"/>
      <c r="CRU569" s="93"/>
      <c r="CRV569" s="93"/>
      <c r="CRW569" s="93"/>
      <c r="CRX569" s="93"/>
      <c r="CRY569" s="93"/>
      <c r="CRZ569" s="93"/>
      <c r="CSA569" s="93"/>
      <c r="CSB569" s="93"/>
      <c r="CSC569" s="93"/>
      <c r="CSD569" s="93"/>
      <c r="CSE569" s="93"/>
      <c r="CSF569" s="93"/>
      <c r="CSG569" s="93"/>
      <c r="CSH569" s="93"/>
      <c r="CSI569" s="93"/>
      <c r="CSJ569" s="93"/>
      <c r="CSK569" s="93"/>
      <c r="CSL569" s="93"/>
      <c r="CSM569" s="93"/>
      <c r="CSN569" s="93"/>
      <c r="CSO569" s="93"/>
      <c r="CSP569" s="93"/>
      <c r="CSQ569" s="93"/>
      <c r="CSR569" s="93"/>
      <c r="CSS569" s="93"/>
      <c r="CST569" s="93"/>
      <c r="CSU569" s="93"/>
      <c r="CSV569" s="93"/>
      <c r="CSW569" s="93"/>
      <c r="CSX569" s="93"/>
      <c r="CSY569" s="93"/>
      <c r="CSZ569" s="93"/>
      <c r="CTA569" s="93"/>
      <c r="CTB569" s="93"/>
      <c r="CTC569" s="93"/>
      <c r="CTD569" s="93"/>
      <c r="CTE569" s="93"/>
      <c r="CTF569" s="93"/>
      <c r="CTG569" s="93"/>
      <c r="CTH569" s="93"/>
      <c r="CTI569" s="93"/>
      <c r="CTJ569" s="93"/>
      <c r="CTK569" s="93"/>
      <c r="CTL569" s="93"/>
      <c r="CTM569" s="93"/>
      <c r="CTN569" s="93"/>
      <c r="CTO569" s="93"/>
      <c r="CTP569" s="93"/>
      <c r="CTQ569" s="93"/>
      <c r="CTR569" s="93"/>
      <c r="CTS569" s="93"/>
      <c r="CTT569" s="93"/>
      <c r="CTU569" s="93"/>
      <c r="CTV569" s="93"/>
      <c r="CTW569" s="93"/>
      <c r="CTX569" s="93"/>
      <c r="CTY569" s="93"/>
      <c r="CTZ569" s="93"/>
      <c r="CUA569" s="93"/>
      <c r="CUB569" s="93"/>
      <c r="CUC569" s="93"/>
      <c r="CUD569" s="93"/>
      <c r="CUE569" s="93"/>
      <c r="CUF569" s="93"/>
      <c r="CUG569" s="93"/>
      <c r="CUH569" s="93"/>
      <c r="CUI569" s="93"/>
      <c r="CUJ569" s="93"/>
      <c r="CUK569" s="93"/>
      <c r="CUL569" s="93"/>
      <c r="CUM569" s="93"/>
      <c r="CUN569" s="93"/>
      <c r="CUO569" s="93"/>
      <c r="CUP569" s="93"/>
      <c r="CUQ569" s="93"/>
      <c r="CUR569" s="93"/>
      <c r="CUS569" s="93"/>
      <c r="CUT569" s="93"/>
      <c r="CUU569" s="93"/>
      <c r="CUV569" s="93"/>
      <c r="CUW569" s="93"/>
      <c r="CUX569" s="93"/>
      <c r="CUY569" s="93"/>
      <c r="CUZ569" s="93"/>
      <c r="CVA569" s="93"/>
      <c r="CVB569" s="93"/>
      <c r="CVC569" s="93"/>
      <c r="CVD569" s="93"/>
      <c r="CVE569" s="93"/>
      <c r="CVF569" s="93"/>
      <c r="CVG569" s="93"/>
      <c r="CVH569" s="93"/>
      <c r="CVI569" s="93"/>
      <c r="CVJ569" s="93"/>
      <c r="CVK569" s="93"/>
      <c r="CVL569" s="93"/>
      <c r="CVM569" s="93"/>
      <c r="CVN569" s="93"/>
      <c r="CVO569" s="93"/>
      <c r="CVP569" s="93"/>
      <c r="CVQ569" s="93"/>
      <c r="CVR569" s="93"/>
      <c r="CVS569" s="93"/>
      <c r="CVT569" s="93"/>
      <c r="CVU569" s="93"/>
      <c r="CVV569" s="93"/>
      <c r="CVW569" s="93"/>
      <c r="CVX569" s="93"/>
      <c r="CVY569" s="93"/>
      <c r="CVZ569" s="93"/>
      <c r="CWA569" s="93"/>
      <c r="CWB569" s="93"/>
      <c r="CWC569" s="93"/>
      <c r="CWD569" s="93"/>
      <c r="CWE569" s="93"/>
      <c r="CWF569" s="93"/>
      <c r="CWG569" s="93"/>
      <c r="CWH569" s="93"/>
      <c r="CWI569" s="93"/>
      <c r="CWJ569" s="93"/>
      <c r="CWK569" s="93"/>
      <c r="CWL569" s="93"/>
      <c r="CWM569" s="93"/>
      <c r="CWN569" s="93"/>
      <c r="CWO569" s="93"/>
      <c r="CWP569" s="93"/>
      <c r="CWQ569" s="93"/>
      <c r="CWR569" s="93"/>
      <c r="CWS569" s="93"/>
      <c r="CWT569" s="93"/>
      <c r="CWU569" s="93"/>
      <c r="CWV569" s="93"/>
      <c r="CWW569" s="93"/>
      <c r="CWX569" s="93"/>
      <c r="CWY569" s="93"/>
      <c r="CWZ569" s="93"/>
      <c r="CXA569" s="93"/>
      <c r="CXB569" s="93"/>
      <c r="CXC569" s="93"/>
      <c r="CXD569" s="93"/>
      <c r="CXE569" s="93"/>
      <c r="CXF569" s="93"/>
      <c r="CXG569" s="93"/>
      <c r="CXH569" s="93"/>
      <c r="CXI569" s="93"/>
      <c r="CXJ569" s="93"/>
      <c r="CXK569" s="93"/>
      <c r="CXL569" s="93"/>
      <c r="CXM569" s="93"/>
      <c r="CXN569" s="93"/>
      <c r="CXO569" s="93"/>
      <c r="CXP569" s="93"/>
      <c r="CXQ569" s="93"/>
      <c r="CXR569" s="93"/>
      <c r="CXS569" s="93"/>
      <c r="CXT569" s="93"/>
      <c r="CXU569" s="93"/>
      <c r="CXV569" s="93"/>
      <c r="CXW569" s="93"/>
      <c r="CXX569" s="93"/>
      <c r="CXY569" s="93"/>
      <c r="CXZ569" s="93"/>
      <c r="CYA569" s="93"/>
      <c r="CYB569" s="93"/>
      <c r="CYC569" s="93"/>
      <c r="CYD569" s="93"/>
      <c r="CYE569" s="93"/>
      <c r="CYF569" s="93"/>
      <c r="CYG569" s="93"/>
      <c r="CYH569" s="93"/>
      <c r="CYI569" s="93"/>
      <c r="CYJ569" s="93"/>
      <c r="CYK569" s="93"/>
      <c r="CYL569" s="93"/>
      <c r="CYM569" s="93"/>
      <c r="CYN569" s="93"/>
      <c r="CYO569" s="93"/>
      <c r="CYP569" s="93"/>
      <c r="CYQ569" s="93"/>
      <c r="CYR569" s="93"/>
      <c r="CYS569" s="93"/>
      <c r="CYT569" s="93"/>
      <c r="CYU569" s="93"/>
      <c r="CYV569" s="93"/>
      <c r="CYW569" s="93"/>
      <c r="CYX569" s="93"/>
      <c r="CYY569" s="93"/>
      <c r="CYZ569" s="93"/>
      <c r="CZA569" s="93"/>
      <c r="CZB569" s="93"/>
      <c r="CZC569" s="93"/>
      <c r="CZD569" s="93"/>
      <c r="CZE569" s="93"/>
      <c r="CZF569" s="93"/>
      <c r="CZG569" s="93"/>
      <c r="CZH569" s="93"/>
      <c r="CZI569" s="93"/>
      <c r="CZJ569" s="93"/>
      <c r="CZK569" s="93"/>
      <c r="CZL569" s="93"/>
      <c r="CZM569" s="93"/>
      <c r="CZN569" s="93"/>
      <c r="CZO569" s="93"/>
      <c r="CZP569" s="93"/>
      <c r="CZQ569" s="93"/>
      <c r="CZR569" s="93"/>
      <c r="CZS569" s="93"/>
      <c r="CZT569" s="93"/>
      <c r="CZU569" s="93"/>
      <c r="CZV569" s="93"/>
      <c r="CZW569" s="93"/>
      <c r="CZX569" s="93"/>
      <c r="CZY569" s="93"/>
      <c r="CZZ569" s="93"/>
      <c r="DAA569" s="93"/>
      <c r="DAB569" s="93"/>
      <c r="DAC569" s="93"/>
      <c r="DAD569" s="93"/>
      <c r="DAE569" s="93"/>
      <c r="DAF569" s="93"/>
      <c r="DAG569" s="93"/>
      <c r="DAH569" s="93"/>
      <c r="DAI569" s="93"/>
      <c r="DAJ569" s="93"/>
      <c r="DAK569" s="93"/>
      <c r="DAL569" s="93"/>
      <c r="DAM569" s="93"/>
      <c r="DAN569" s="93"/>
      <c r="DAO569" s="93"/>
      <c r="DAP569" s="93"/>
      <c r="DAQ569" s="93"/>
      <c r="DAR569" s="93"/>
      <c r="DAS569" s="93"/>
      <c r="DAT569" s="93"/>
      <c r="DAU569" s="93"/>
      <c r="DAV569" s="93"/>
      <c r="DAW569" s="93"/>
      <c r="DAX569" s="93"/>
      <c r="DAY569" s="93"/>
      <c r="DAZ569" s="93"/>
      <c r="DBA569" s="93"/>
      <c r="DBB569" s="93"/>
      <c r="DBC569" s="93"/>
      <c r="DBD569" s="93"/>
      <c r="DBE569" s="93"/>
      <c r="DBF569" s="93"/>
      <c r="DBG569" s="93"/>
      <c r="DBH569" s="93"/>
      <c r="DBI569" s="93"/>
      <c r="DBJ569" s="93"/>
      <c r="DBK569" s="93"/>
      <c r="DBL569" s="93"/>
      <c r="DBM569" s="93"/>
      <c r="DBN569" s="93"/>
      <c r="DBO569" s="93"/>
      <c r="DBP569" s="93"/>
      <c r="DBQ569" s="93"/>
      <c r="DBR569" s="93"/>
      <c r="DBS569" s="93"/>
      <c r="DBT569" s="93"/>
      <c r="DBU569" s="93"/>
      <c r="DBV569" s="93"/>
      <c r="DBW569" s="93"/>
      <c r="DBX569" s="93"/>
      <c r="DBY569" s="93"/>
      <c r="DBZ569" s="93"/>
      <c r="DCA569" s="93"/>
      <c r="DCB569" s="93"/>
      <c r="DCC569" s="93"/>
      <c r="DCD569" s="93"/>
      <c r="DCE569" s="93"/>
      <c r="DCF569" s="93"/>
      <c r="DCG569" s="93"/>
      <c r="DCH569" s="93"/>
      <c r="DCI569" s="93"/>
      <c r="DCJ569" s="93"/>
      <c r="DCK569" s="93"/>
      <c r="DCL569" s="93"/>
      <c r="DCM569" s="93"/>
      <c r="DCN569" s="93"/>
      <c r="DCO569" s="93"/>
      <c r="DCP569" s="93"/>
      <c r="DCQ569" s="93"/>
      <c r="DCR569" s="93"/>
      <c r="DCS569" s="93"/>
      <c r="DCT569" s="93"/>
      <c r="DCU569" s="93"/>
      <c r="DCV569" s="93"/>
      <c r="DCW569" s="93"/>
      <c r="DCX569" s="93"/>
      <c r="DCY569" s="93"/>
      <c r="DCZ569" s="93"/>
      <c r="DDA569" s="93"/>
      <c r="DDB569" s="93"/>
      <c r="DDC569" s="93"/>
      <c r="DDD569" s="93"/>
      <c r="DDE569" s="93"/>
      <c r="DDF569" s="93"/>
      <c r="DDG569" s="93"/>
      <c r="DDH569" s="93"/>
      <c r="DDI569" s="93"/>
      <c r="DDJ569" s="93"/>
      <c r="DDK569" s="93"/>
      <c r="DDL569" s="93"/>
      <c r="DDM569" s="93"/>
      <c r="DDN569" s="93"/>
      <c r="DDO569" s="93"/>
      <c r="DDP569" s="93"/>
      <c r="DDQ569" s="93"/>
      <c r="DDR569" s="93"/>
      <c r="DDS569" s="93"/>
      <c r="DDT569" s="93"/>
      <c r="DDU569" s="93"/>
      <c r="DDV569" s="93"/>
      <c r="DDW569" s="93"/>
      <c r="DDX569" s="93"/>
      <c r="DDY569" s="93"/>
      <c r="DDZ569" s="93"/>
      <c r="DEA569" s="93"/>
      <c r="DEB569" s="93"/>
      <c r="DEC569" s="93"/>
      <c r="DED569" s="93"/>
      <c r="DEE569" s="93"/>
      <c r="DEF569" s="93"/>
      <c r="DEG569" s="93"/>
      <c r="DEH569" s="93"/>
      <c r="DEI569" s="93"/>
      <c r="DEJ569" s="93"/>
      <c r="DEK569" s="93"/>
      <c r="DEL569" s="93"/>
      <c r="DEM569" s="93"/>
      <c r="DEN569" s="93"/>
      <c r="DEO569" s="93"/>
      <c r="DEP569" s="93"/>
      <c r="DEQ569" s="93"/>
      <c r="DER569" s="93"/>
      <c r="DES569" s="93"/>
      <c r="DET569" s="93"/>
      <c r="DEU569" s="93"/>
      <c r="DEV569" s="93"/>
      <c r="DEW569" s="93"/>
      <c r="DEX569" s="93"/>
      <c r="DEY569" s="93"/>
      <c r="DEZ569" s="93"/>
      <c r="DFA569" s="93"/>
      <c r="DFB569" s="93"/>
      <c r="DFC569" s="93"/>
      <c r="DFD569" s="93"/>
      <c r="DFE569" s="93"/>
      <c r="DFF569" s="93"/>
      <c r="DFG569" s="93"/>
      <c r="DFH569" s="93"/>
      <c r="DFI569" s="93"/>
      <c r="DFJ569" s="93"/>
      <c r="DFK569" s="93"/>
      <c r="DFL569" s="93"/>
      <c r="DFM569" s="93"/>
      <c r="DFN569" s="93"/>
      <c r="DFO569" s="93"/>
      <c r="DFP569" s="93"/>
      <c r="DFQ569" s="93"/>
      <c r="DFR569" s="93"/>
      <c r="DFS569" s="93"/>
      <c r="DFT569" s="93"/>
      <c r="DFU569" s="93"/>
      <c r="DFV569" s="93"/>
      <c r="DFW569" s="93"/>
      <c r="DFX569" s="93"/>
      <c r="DFY569" s="93"/>
      <c r="DFZ569" s="93"/>
      <c r="DGA569" s="93"/>
      <c r="DGB569" s="93"/>
      <c r="DGC569" s="93"/>
      <c r="DGD569" s="93"/>
      <c r="DGE569" s="93"/>
      <c r="DGF569" s="93"/>
      <c r="DGG569" s="93"/>
      <c r="DGH569" s="93"/>
      <c r="DGI569" s="93"/>
      <c r="DGJ569" s="93"/>
      <c r="DGK569" s="93"/>
      <c r="DGL569" s="93"/>
      <c r="DGM569" s="93"/>
      <c r="DGN569" s="93"/>
      <c r="DGO569" s="93"/>
      <c r="DGP569" s="93"/>
      <c r="DGQ569" s="93"/>
      <c r="DGR569" s="93"/>
      <c r="DGS569" s="93"/>
      <c r="DGT569" s="93"/>
      <c r="DGU569" s="93"/>
      <c r="DGV569" s="93"/>
      <c r="DGW569" s="93"/>
      <c r="DGX569" s="93"/>
      <c r="DGY569" s="93"/>
      <c r="DGZ569" s="93"/>
      <c r="DHA569" s="93"/>
      <c r="DHB569" s="93"/>
      <c r="DHC569" s="93"/>
      <c r="DHD569" s="93"/>
      <c r="DHE569" s="93"/>
      <c r="DHF569" s="93"/>
      <c r="DHG569" s="93"/>
      <c r="DHH569" s="93"/>
      <c r="DHI569" s="93"/>
      <c r="DHJ569" s="93"/>
      <c r="DHK569" s="93"/>
      <c r="DHL569" s="93"/>
      <c r="DHM569" s="93"/>
      <c r="DHN569" s="93"/>
      <c r="DHO569" s="93"/>
      <c r="DHP569" s="93"/>
      <c r="DHQ569" s="93"/>
      <c r="DHR569" s="93"/>
      <c r="DHS569" s="93"/>
      <c r="DHT569" s="93"/>
      <c r="DHU569" s="93"/>
      <c r="DHV569" s="93"/>
      <c r="DHW569" s="93"/>
      <c r="DHX569" s="93"/>
      <c r="DHY569" s="93"/>
      <c r="DHZ569" s="93"/>
      <c r="DIA569" s="93"/>
      <c r="DIB569" s="93"/>
      <c r="DIC569" s="93"/>
      <c r="DID569" s="93"/>
      <c r="DIE569" s="93"/>
      <c r="DIF569" s="93"/>
      <c r="DIG569" s="93"/>
      <c r="DIH569" s="93"/>
      <c r="DII569" s="93"/>
      <c r="DIJ569" s="93"/>
      <c r="DIK569" s="93"/>
      <c r="DIL569" s="93"/>
      <c r="DIM569" s="93"/>
      <c r="DIN569" s="93"/>
      <c r="DIO569" s="93"/>
      <c r="DIP569" s="93"/>
      <c r="DIQ569" s="93"/>
      <c r="DIR569" s="93"/>
      <c r="DIS569" s="93"/>
      <c r="DIT569" s="93"/>
      <c r="DIU569" s="93"/>
      <c r="DIV569" s="93"/>
      <c r="DIW569" s="93"/>
      <c r="DIX569" s="93"/>
      <c r="DIY569" s="93"/>
      <c r="DIZ569" s="93"/>
      <c r="DJA569" s="93"/>
      <c r="DJB569" s="93"/>
      <c r="DJC569" s="93"/>
      <c r="DJD569" s="93"/>
      <c r="DJE569" s="93"/>
      <c r="DJF569" s="93"/>
      <c r="DJG569" s="93"/>
      <c r="DJH569" s="93"/>
      <c r="DJI569" s="93"/>
      <c r="DJJ569" s="93"/>
      <c r="DJK569" s="93"/>
      <c r="DJL569" s="93"/>
      <c r="DJM569" s="93"/>
      <c r="DJN569" s="93"/>
      <c r="DJO569" s="93"/>
      <c r="DJP569" s="93"/>
      <c r="DJQ569" s="93"/>
      <c r="DJR569" s="93"/>
      <c r="DJS569" s="93"/>
      <c r="DJT569" s="93"/>
      <c r="DJU569" s="93"/>
      <c r="DJV569" s="93"/>
      <c r="DJW569" s="93"/>
      <c r="DJX569" s="93"/>
      <c r="DJY569" s="93"/>
      <c r="DJZ569" s="93"/>
      <c r="DKA569" s="93"/>
      <c r="DKB569" s="93"/>
      <c r="DKC569" s="93"/>
      <c r="DKD569" s="93"/>
      <c r="DKE569" s="93"/>
      <c r="DKF569" s="93"/>
      <c r="DKG569" s="93"/>
      <c r="DKH569" s="93"/>
      <c r="DKI569" s="93"/>
      <c r="DKJ569" s="93"/>
      <c r="DKK569" s="93"/>
      <c r="DKL569" s="93"/>
      <c r="DKM569" s="93"/>
      <c r="DKN569" s="93"/>
      <c r="DKO569" s="93"/>
      <c r="DKP569" s="93"/>
      <c r="DKQ569" s="93"/>
      <c r="DKR569" s="93"/>
      <c r="DKS569" s="93"/>
      <c r="DKT569" s="93"/>
      <c r="DKU569" s="93"/>
      <c r="DKV569" s="93"/>
      <c r="DKW569" s="93"/>
      <c r="DKX569" s="93"/>
      <c r="DKY569" s="93"/>
      <c r="DKZ569" s="93"/>
      <c r="DLA569" s="93"/>
      <c r="DLB569" s="93"/>
      <c r="DLC569" s="93"/>
      <c r="DLD569" s="93"/>
      <c r="DLE569" s="93"/>
      <c r="DLF569" s="93"/>
      <c r="DLG569" s="93"/>
      <c r="DLH569" s="93"/>
      <c r="DLI569" s="93"/>
      <c r="DLJ569" s="93"/>
      <c r="DLK569" s="93"/>
      <c r="DLL569" s="93"/>
      <c r="DLM569" s="93"/>
      <c r="DLN569" s="93"/>
      <c r="DLO569" s="93"/>
      <c r="DLP569" s="93"/>
      <c r="DLQ569" s="93"/>
      <c r="DLR569" s="93"/>
      <c r="DLS569" s="93"/>
      <c r="DLT569" s="93"/>
      <c r="DLU569" s="93"/>
      <c r="DLV569" s="93"/>
      <c r="DLW569" s="93"/>
      <c r="DLX569" s="93"/>
      <c r="DLY569" s="93"/>
      <c r="DLZ569" s="93"/>
      <c r="DMA569" s="93"/>
      <c r="DMB569" s="93"/>
      <c r="DMC569" s="93"/>
      <c r="DMD569" s="93"/>
      <c r="DME569" s="93"/>
      <c r="DMF569" s="93"/>
      <c r="DMG569" s="93"/>
      <c r="DMH569" s="93"/>
      <c r="DMI569" s="93"/>
      <c r="DMJ569" s="93"/>
      <c r="DMK569" s="93"/>
      <c r="DML569" s="93"/>
      <c r="DMM569" s="93"/>
      <c r="DMN569" s="93"/>
      <c r="DMO569" s="93"/>
      <c r="DMP569" s="93"/>
      <c r="DMQ569" s="93"/>
      <c r="DMR569" s="93"/>
      <c r="DMS569" s="93"/>
      <c r="DMT569" s="93"/>
      <c r="DMU569" s="93"/>
      <c r="DMV569" s="93"/>
      <c r="DMW569" s="93"/>
      <c r="DMX569" s="93"/>
      <c r="DMY569" s="93"/>
      <c r="DMZ569" s="93"/>
      <c r="DNA569" s="93"/>
      <c r="DNB569" s="93"/>
      <c r="DNC569" s="93"/>
      <c r="DND569" s="93"/>
      <c r="DNE569" s="93"/>
      <c r="DNF569" s="93"/>
      <c r="DNG569" s="93"/>
      <c r="DNH569" s="93"/>
      <c r="DNI569" s="93"/>
      <c r="DNJ569" s="93"/>
      <c r="DNK569" s="93"/>
      <c r="DNL569" s="93"/>
      <c r="DNM569" s="93"/>
      <c r="DNN569" s="93"/>
      <c r="DNO569" s="93"/>
      <c r="DNP569" s="93"/>
      <c r="DNQ569" s="93"/>
      <c r="DNR569" s="93"/>
      <c r="DNS569" s="93"/>
      <c r="DNT569" s="93"/>
      <c r="DNU569" s="93"/>
      <c r="DNV569" s="93"/>
      <c r="DNW569" s="93"/>
      <c r="DNX569" s="93"/>
      <c r="DNY569" s="93"/>
      <c r="DNZ569" s="93"/>
      <c r="DOA569" s="93"/>
      <c r="DOB569" s="93"/>
      <c r="DOC569" s="93"/>
      <c r="DOD569" s="93"/>
      <c r="DOE569" s="93"/>
      <c r="DOF569" s="93"/>
      <c r="DOG569" s="93"/>
      <c r="DOH569" s="93"/>
      <c r="DOI569" s="93"/>
      <c r="DOJ569" s="93"/>
      <c r="DOK569" s="93"/>
      <c r="DOL569" s="93"/>
      <c r="DOM569" s="93"/>
      <c r="DON569" s="93"/>
      <c r="DOO569" s="93"/>
      <c r="DOP569" s="93"/>
      <c r="DOQ569" s="93"/>
      <c r="DOR569" s="93"/>
      <c r="DOS569" s="93"/>
      <c r="DOT569" s="93"/>
      <c r="DOU569" s="93"/>
      <c r="DOV569" s="93"/>
      <c r="DOW569" s="93"/>
      <c r="DOX569" s="93"/>
      <c r="DOY569" s="93"/>
      <c r="DOZ569" s="93"/>
      <c r="DPA569" s="93"/>
      <c r="DPB569" s="93"/>
      <c r="DPC569" s="93"/>
      <c r="DPD569" s="93"/>
      <c r="DPE569" s="93"/>
      <c r="DPF569" s="93"/>
      <c r="DPG569" s="93"/>
      <c r="DPH569" s="93"/>
      <c r="DPI569" s="93"/>
      <c r="DPJ569" s="93"/>
      <c r="DPK569" s="93"/>
      <c r="DPL569" s="93"/>
      <c r="DPM569" s="93"/>
      <c r="DPN569" s="93"/>
      <c r="DPO569" s="93"/>
      <c r="DPP569" s="93"/>
      <c r="DPQ569" s="93"/>
      <c r="DPR569" s="93"/>
      <c r="DPS569" s="93"/>
      <c r="DPT569" s="93"/>
      <c r="DPU569" s="93"/>
      <c r="DPV569" s="93"/>
      <c r="DPW569" s="93"/>
      <c r="DPX569" s="93"/>
      <c r="DPY569" s="93"/>
      <c r="DPZ569" s="93"/>
      <c r="DQA569" s="93"/>
      <c r="DQB569" s="93"/>
      <c r="DQC569" s="93"/>
      <c r="DQD569" s="93"/>
      <c r="DQE569" s="93"/>
      <c r="DQF569" s="93"/>
      <c r="DQG569" s="93"/>
      <c r="DQH569" s="93"/>
      <c r="DQI569" s="93"/>
      <c r="DQJ569" s="93"/>
      <c r="DQK569" s="93"/>
      <c r="DQL569" s="93"/>
      <c r="DQM569" s="93"/>
      <c r="DQN569" s="93"/>
      <c r="DQO569" s="93"/>
      <c r="DQP569" s="93"/>
      <c r="DQQ569" s="93"/>
      <c r="DQR569" s="93"/>
      <c r="DQS569" s="93"/>
      <c r="DQT569" s="93"/>
      <c r="DQU569" s="93"/>
      <c r="DQV569" s="93"/>
      <c r="DQW569" s="93"/>
      <c r="DQX569" s="93"/>
      <c r="DQY569" s="93"/>
      <c r="DQZ569" s="93"/>
      <c r="DRA569" s="93"/>
      <c r="DRB569" s="93"/>
      <c r="DRC569" s="93"/>
      <c r="DRD569" s="93"/>
      <c r="DRE569" s="93"/>
      <c r="DRF569" s="93"/>
      <c r="DRG569" s="93"/>
      <c r="DRH569" s="93"/>
      <c r="DRI569" s="93"/>
      <c r="DRJ569" s="93"/>
      <c r="DRK569" s="93"/>
      <c r="DRL569" s="93"/>
      <c r="DRM569" s="93"/>
      <c r="DRN569" s="93"/>
      <c r="DRO569" s="93"/>
      <c r="DRP569" s="93"/>
      <c r="DRQ569" s="93"/>
      <c r="DRR569" s="93"/>
      <c r="DRS569" s="93"/>
      <c r="DRT569" s="93"/>
      <c r="DRU569" s="93"/>
      <c r="DRV569" s="93"/>
      <c r="DRW569" s="93"/>
      <c r="DRX569" s="93"/>
      <c r="DRY569" s="93"/>
      <c r="DRZ569" s="93"/>
      <c r="DSA569" s="93"/>
      <c r="DSB569" s="93"/>
      <c r="DSC569" s="93"/>
      <c r="DSD569" s="93"/>
      <c r="DSE569" s="93"/>
      <c r="DSF569" s="93"/>
      <c r="DSG569" s="93"/>
      <c r="DSH569" s="93"/>
      <c r="DSI569" s="93"/>
      <c r="DSJ569" s="93"/>
      <c r="DSK569" s="93"/>
      <c r="DSL569" s="93"/>
      <c r="DSM569" s="93"/>
      <c r="DSN569" s="93"/>
      <c r="DSO569" s="93"/>
      <c r="DSP569" s="93"/>
      <c r="DSQ569" s="93"/>
      <c r="DSR569" s="93"/>
      <c r="DSS569" s="93"/>
      <c r="DST569" s="93"/>
      <c r="DSU569" s="93"/>
      <c r="DSV569" s="93"/>
      <c r="DSW569" s="93"/>
      <c r="DSX569" s="93"/>
      <c r="DSY569" s="93"/>
      <c r="DSZ569" s="93"/>
      <c r="DTA569" s="93"/>
      <c r="DTB569" s="93"/>
      <c r="DTC569" s="93"/>
      <c r="DTD569" s="93"/>
      <c r="DTE569" s="93"/>
      <c r="DTF569" s="93"/>
      <c r="DTG569" s="93"/>
      <c r="DTH569" s="93"/>
      <c r="DTI569" s="93"/>
      <c r="DTJ569" s="93"/>
      <c r="DTK569" s="93"/>
      <c r="DTL569" s="93"/>
      <c r="DTM569" s="93"/>
      <c r="DTN569" s="93"/>
      <c r="DTO569" s="93"/>
      <c r="DTP569" s="93"/>
      <c r="DTQ569" s="93"/>
      <c r="DTR569" s="93"/>
      <c r="DTS569" s="93"/>
      <c r="DTT569" s="93"/>
      <c r="DTU569" s="93"/>
      <c r="DTV569" s="93"/>
      <c r="DTW569" s="93"/>
      <c r="DTX569" s="93"/>
      <c r="DTY569" s="93"/>
      <c r="DTZ569" s="93"/>
      <c r="DUA569" s="93"/>
      <c r="DUB569" s="93"/>
      <c r="DUC569" s="93"/>
      <c r="DUD569" s="93"/>
      <c r="DUE569" s="93"/>
      <c r="DUF569" s="93"/>
      <c r="DUG569" s="93"/>
      <c r="DUH569" s="93"/>
      <c r="DUI569" s="93"/>
      <c r="DUJ569" s="93"/>
      <c r="DUK569" s="93"/>
      <c r="DUL569" s="93"/>
      <c r="DUM569" s="93"/>
      <c r="DUN569" s="93"/>
      <c r="DUO569" s="93"/>
      <c r="DUP569" s="93"/>
      <c r="DUQ569" s="93"/>
      <c r="DUR569" s="93"/>
      <c r="DUS569" s="93"/>
      <c r="DUT569" s="93"/>
      <c r="DUU569" s="93"/>
      <c r="DUV569" s="93"/>
      <c r="DUW569" s="93"/>
      <c r="DUX569" s="93"/>
      <c r="DUY569" s="93"/>
      <c r="DUZ569" s="93"/>
      <c r="DVA569" s="93"/>
      <c r="DVB569" s="93"/>
      <c r="DVC569" s="93"/>
      <c r="DVD569" s="93"/>
      <c r="DVE569" s="93"/>
      <c r="DVF569" s="93"/>
      <c r="DVG569" s="93"/>
      <c r="DVH569" s="93"/>
      <c r="DVI569" s="93"/>
      <c r="DVJ569" s="93"/>
      <c r="DVK569" s="93"/>
      <c r="DVL569" s="93"/>
      <c r="DVM569" s="93"/>
      <c r="DVN569" s="93"/>
      <c r="DVO569" s="93"/>
      <c r="DVP569" s="93"/>
      <c r="DVQ569" s="93"/>
      <c r="DVR569" s="93"/>
      <c r="DVS569" s="93"/>
      <c r="DVT569" s="93"/>
      <c r="DVU569" s="93"/>
      <c r="DVV569" s="93"/>
      <c r="DVW569" s="93"/>
      <c r="DVX569" s="93"/>
      <c r="DVY569" s="93"/>
      <c r="DVZ569" s="93"/>
      <c r="DWA569" s="93"/>
      <c r="DWB569" s="93"/>
      <c r="DWC569" s="93"/>
      <c r="DWD569" s="93"/>
      <c r="DWE569" s="93"/>
      <c r="DWF569" s="93"/>
      <c r="DWG569" s="93"/>
      <c r="DWH569" s="93"/>
      <c r="DWI569" s="93"/>
      <c r="DWJ569" s="93"/>
      <c r="DWK569" s="93"/>
      <c r="DWL569" s="93"/>
      <c r="DWM569" s="93"/>
      <c r="DWN569" s="93"/>
      <c r="DWO569" s="93"/>
      <c r="DWP569" s="93"/>
      <c r="DWQ569" s="93"/>
      <c r="DWR569" s="93"/>
      <c r="DWS569" s="93"/>
      <c r="DWT569" s="93"/>
      <c r="DWU569" s="93"/>
      <c r="DWV569" s="93"/>
      <c r="DWW569" s="93"/>
      <c r="DWX569" s="93"/>
      <c r="DWY569" s="93"/>
      <c r="DWZ569" s="93"/>
      <c r="DXA569" s="93"/>
      <c r="DXB569" s="93"/>
      <c r="DXC569" s="93"/>
      <c r="DXD569" s="93"/>
      <c r="DXE569" s="93"/>
      <c r="DXF569" s="93"/>
      <c r="DXG569" s="93"/>
      <c r="DXH569" s="93"/>
      <c r="DXI569" s="93"/>
      <c r="DXJ569" s="93"/>
      <c r="DXK569" s="93"/>
      <c r="DXL569" s="93"/>
      <c r="DXM569" s="93"/>
      <c r="DXN569" s="93"/>
      <c r="DXO569" s="93"/>
      <c r="DXP569" s="93"/>
      <c r="DXQ569" s="93"/>
      <c r="DXR569" s="93"/>
      <c r="DXS569" s="93"/>
      <c r="DXT569" s="93"/>
      <c r="DXU569" s="93"/>
      <c r="DXV569" s="93"/>
      <c r="DXW569" s="93"/>
      <c r="DXX569" s="93"/>
      <c r="DXY569" s="93"/>
      <c r="DXZ569" s="93"/>
      <c r="DYA569" s="93"/>
      <c r="DYB569" s="93"/>
      <c r="DYC569" s="93"/>
      <c r="DYD569" s="93"/>
      <c r="DYE569" s="93"/>
      <c r="DYF569" s="93"/>
      <c r="DYG569" s="93"/>
      <c r="DYH569" s="93"/>
      <c r="DYI569" s="93"/>
      <c r="DYJ569" s="93"/>
      <c r="DYK569" s="93"/>
      <c r="DYL569" s="93"/>
      <c r="DYM569" s="93"/>
      <c r="DYN569" s="93"/>
      <c r="DYO569" s="93"/>
      <c r="DYP569" s="93"/>
      <c r="DYQ569" s="93"/>
      <c r="DYR569" s="93"/>
      <c r="DYS569" s="93"/>
      <c r="DYT569" s="93"/>
      <c r="DYU569" s="93"/>
      <c r="DYV569" s="93"/>
      <c r="DYW569" s="93"/>
      <c r="DYX569" s="93"/>
      <c r="DYY569" s="93"/>
      <c r="DYZ569" s="93"/>
      <c r="DZA569" s="93"/>
      <c r="DZB569" s="93"/>
      <c r="DZC569" s="93"/>
      <c r="DZD569" s="93"/>
      <c r="DZE569" s="93"/>
      <c r="DZF569" s="93"/>
      <c r="DZG569" s="93"/>
      <c r="DZH569" s="93"/>
      <c r="DZI569" s="93"/>
      <c r="DZJ569" s="93"/>
      <c r="DZK569" s="93"/>
      <c r="DZL569" s="93"/>
      <c r="DZM569" s="93"/>
      <c r="DZN569" s="93"/>
      <c r="DZO569" s="93"/>
      <c r="DZP569" s="93"/>
      <c r="DZQ569" s="93"/>
      <c r="DZR569" s="93"/>
      <c r="DZS569" s="93"/>
      <c r="DZT569" s="93"/>
      <c r="DZU569" s="93"/>
      <c r="DZV569" s="93"/>
      <c r="DZW569" s="93"/>
      <c r="DZX569" s="93"/>
      <c r="DZY569" s="93"/>
      <c r="DZZ569" s="93"/>
      <c r="EAA569" s="93"/>
      <c r="EAB569" s="93"/>
      <c r="EAC569" s="93"/>
      <c r="EAD569" s="93"/>
      <c r="EAE569" s="93"/>
      <c r="EAF569" s="93"/>
      <c r="EAG569" s="93"/>
      <c r="EAH569" s="93"/>
      <c r="EAI569" s="93"/>
      <c r="EAJ569" s="93"/>
      <c r="EAK569" s="93"/>
      <c r="EAL569" s="93"/>
      <c r="EAM569" s="93"/>
      <c r="EAN569" s="93"/>
      <c r="EAO569" s="93"/>
      <c r="EAP569" s="93"/>
      <c r="EAQ569" s="93"/>
      <c r="EAR569" s="93"/>
      <c r="EAS569" s="93"/>
      <c r="EAT569" s="93"/>
      <c r="EAU569" s="93"/>
      <c r="EAV569" s="93"/>
      <c r="EAW569" s="93"/>
      <c r="EAX569" s="93"/>
      <c r="EAY569" s="93"/>
      <c r="EAZ569" s="93"/>
      <c r="EBA569" s="93"/>
      <c r="EBB569" s="93"/>
      <c r="EBC569" s="93"/>
      <c r="EBD569" s="93"/>
      <c r="EBE569" s="93"/>
      <c r="EBF569" s="93"/>
      <c r="EBG569" s="93"/>
      <c r="EBH569" s="93"/>
      <c r="EBI569" s="93"/>
      <c r="EBJ569" s="93"/>
      <c r="EBK569" s="93"/>
      <c r="EBL569" s="93"/>
      <c r="EBM569" s="93"/>
      <c r="EBN569" s="93"/>
      <c r="EBO569" s="93"/>
      <c r="EBP569" s="93"/>
      <c r="EBQ569" s="93"/>
      <c r="EBR569" s="93"/>
      <c r="EBS569" s="93"/>
      <c r="EBT569" s="93"/>
      <c r="EBU569" s="93"/>
      <c r="EBV569" s="93"/>
      <c r="EBW569" s="93"/>
      <c r="EBX569" s="93"/>
      <c r="EBY569" s="93"/>
      <c r="EBZ569" s="93"/>
      <c r="ECA569" s="93"/>
      <c r="ECB569" s="93"/>
      <c r="ECC569" s="93"/>
      <c r="ECD569" s="93"/>
      <c r="ECE569" s="93"/>
      <c r="ECF569" s="93"/>
      <c r="ECG569" s="93"/>
      <c r="ECH569" s="93"/>
      <c r="ECI569" s="93"/>
      <c r="ECJ569" s="93"/>
      <c r="ECK569" s="93"/>
      <c r="ECL569" s="93"/>
      <c r="ECM569" s="93"/>
      <c r="ECN569" s="93"/>
      <c r="ECO569" s="93"/>
      <c r="ECP569" s="93"/>
      <c r="ECQ569" s="93"/>
      <c r="ECR569" s="93"/>
      <c r="ECS569" s="93"/>
      <c r="ECT569" s="93"/>
      <c r="ECU569" s="93"/>
      <c r="ECV569" s="93"/>
      <c r="ECW569" s="93"/>
      <c r="ECX569" s="93"/>
      <c r="ECY569" s="93"/>
      <c r="ECZ569" s="93"/>
      <c r="EDA569" s="93"/>
      <c r="EDB569" s="93"/>
      <c r="EDC569" s="93"/>
      <c r="EDD569" s="93"/>
      <c r="EDE569" s="93"/>
      <c r="EDF569" s="93"/>
      <c r="EDG569" s="93"/>
      <c r="EDH569" s="93"/>
      <c r="EDI569" s="93"/>
      <c r="EDJ569" s="93"/>
      <c r="EDK569" s="93"/>
      <c r="EDL569" s="93"/>
      <c r="EDM569" s="93"/>
      <c r="EDN569" s="93"/>
      <c r="EDO569" s="93"/>
      <c r="EDP569" s="93"/>
      <c r="EDQ569" s="93"/>
      <c r="EDR569" s="93"/>
      <c r="EDS569" s="93"/>
      <c r="EDT569" s="93"/>
      <c r="EDU569" s="93"/>
      <c r="EDV569" s="93"/>
      <c r="EDW569" s="93"/>
      <c r="EDX569" s="93"/>
      <c r="EDY569" s="93"/>
      <c r="EDZ569" s="93"/>
      <c r="EEA569" s="93"/>
      <c r="EEB569" s="93"/>
      <c r="EEC569" s="93"/>
      <c r="EED569" s="93"/>
      <c r="EEE569" s="93"/>
      <c r="EEF569" s="93"/>
      <c r="EEG569" s="93"/>
      <c r="EEH569" s="93"/>
      <c r="EEI569" s="93"/>
      <c r="EEJ569" s="93"/>
      <c r="EEK569" s="93"/>
      <c r="EEL569" s="93"/>
      <c r="EEM569" s="93"/>
      <c r="EEN569" s="93"/>
      <c r="EEO569" s="93"/>
      <c r="EEP569" s="93"/>
      <c r="EEQ569" s="93"/>
      <c r="EER569" s="93"/>
      <c r="EES569" s="93"/>
      <c r="EET569" s="93"/>
      <c r="EEU569" s="93"/>
      <c r="EEV569" s="93"/>
      <c r="EEW569" s="93"/>
      <c r="EEX569" s="93"/>
      <c r="EEY569" s="93"/>
      <c r="EEZ569" s="93"/>
      <c r="EFA569" s="93"/>
      <c r="EFB569" s="93"/>
      <c r="EFC569" s="93"/>
      <c r="EFD569" s="93"/>
      <c r="EFE569" s="93"/>
      <c r="EFF569" s="93"/>
      <c r="EFG569" s="93"/>
      <c r="EFH569" s="93"/>
      <c r="EFI569" s="93"/>
      <c r="EFJ569" s="93"/>
      <c r="EFK569" s="93"/>
      <c r="EFL569" s="93"/>
      <c r="EFM569" s="93"/>
      <c r="EFN569" s="93"/>
      <c r="EFO569" s="93"/>
      <c r="EFP569" s="93"/>
      <c r="EFQ569" s="93"/>
      <c r="EFR569" s="93"/>
      <c r="EFS569" s="93"/>
      <c r="EFT569" s="93"/>
      <c r="EFU569" s="93"/>
      <c r="EFV569" s="93"/>
      <c r="EFW569" s="93"/>
      <c r="EFX569" s="93"/>
      <c r="EFY569" s="93"/>
      <c r="EFZ569" s="93"/>
      <c r="EGA569" s="93"/>
      <c r="EGB569" s="93"/>
      <c r="EGC569" s="93"/>
      <c r="EGD569" s="93"/>
      <c r="EGE569" s="93"/>
      <c r="EGF569" s="93"/>
      <c r="EGG569" s="93"/>
      <c r="EGH569" s="93"/>
      <c r="EGI569" s="93"/>
      <c r="EGJ569" s="93"/>
      <c r="EGK569" s="93"/>
      <c r="EGL569" s="93"/>
      <c r="EGM569" s="93"/>
      <c r="EGN569" s="93"/>
      <c r="EGO569" s="93"/>
      <c r="EGP569" s="93"/>
      <c r="EGQ569" s="93"/>
      <c r="EGR569" s="93"/>
      <c r="EGS569" s="93"/>
      <c r="EGT569" s="93"/>
      <c r="EGU569" s="93"/>
      <c r="EGV569" s="93"/>
      <c r="EGW569" s="93"/>
      <c r="EGX569" s="93"/>
      <c r="EGY569" s="93"/>
      <c r="EGZ569" s="93"/>
      <c r="EHA569" s="93"/>
      <c r="EHB569" s="93"/>
      <c r="EHC569" s="93"/>
      <c r="EHD569" s="93"/>
      <c r="EHE569" s="93"/>
      <c r="EHF569" s="93"/>
      <c r="EHG569" s="93"/>
      <c r="EHH569" s="93"/>
      <c r="EHI569" s="93"/>
      <c r="EHJ569" s="93"/>
      <c r="EHK569" s="93"/>
      <c r="EHL569" s="93"/>
      <c r="EHM569" s="93"/>
      <c r="EHN569" s="93"/>
      <c r="EHO569" s="93"/>
      <c r="EHP569" s="93"/>
      <c r="EHQ569" s="93"/>
      <c r="EHR569" s="93"/>
      <c r="EHS569" s="93"/>
      <c r="EHT569" s="93"/>
      <c r="EHU569" s="93"/>
      <c r="EHV569" s="93"/>
      <c r="EHW569" s="93"/>
      <c r="EHX569" s="93"/>
      <c r="EHY569" s="93"/>
      <c r="EHZ569" s="93"/>
      <c r="EIA569" s="93"/>
      <c r="EIB569" s="93"/>
      <c r="EIC569" s="93"/>
      <c r="EID569" s="93"/>
      <c r="EIE569" s="93"/>
      <c r="EIF569" s="93"/>
      <c r="EIG569" s="93"/>
      <c r="EIH569" s="93"/>
      <c r="EII569" s="93"/>
      <c r="EIJ569" s="93"/>
      <c r="EIK569" s="93"/>
      <c r="EIL569" s="93"/>
      <c r="EIM569" s="93"/>
      <c r="EIN569" s="93"/>
      <c r="EIO569" s="93"/>
      <c r="EIP569" s="93"/>
      <c r="EIQ569" s="93"/>
      <c r="EIR569" s="93"/>
      <c r="EIS569" s="93"/>
      <c r="EIT569" s="93"/>
      <c r="EIU569" s="93"/>
      <c r="EIV569" s="93"/>
      <c r="EIW569" s="93"/>
      <c r="EIX569" s="93"/>
      <c r="EIY569" s="93"/>
      <c r="EIZ569" s="93"/>
      <c r="EJA569" s="93"/>
      <c r="EJB569" s="93"/>
      <c r="EJC569" s="93"/>
      <c r="EJD569" s="93"/>
      <c r="EJE569" s="93"/>
      <c r="EJF569" s="93"/>
      <c r="EJG569" s="93"/>
      <c r="EJH569" s="93"/>
      <c r="EJI569" s="93"/>
      <c r="EJJ569" s="93"/>
      <c r="EJK569" s="93"/>
      <c r="EJL569" s="93"/>
      <c r="EJM569" s="93"/>
      <c r="EJN569" s="93"/>
      <c r="EJO569" s="93"/>
      <c r="EJP569" s="93"/>
      <c r="EJQ569" s="93"/>
      <c r="EJR569" s="93"/>
      <c r="EJS569" s="93"/>
      <c r="EJT569" s="93"/>
      <c r="EJU569" s="93"/>
      <c r="EJV569" s="93"/>
      <c r="EJW569" s="93"/>
      <c r="EJX569" s="93"/>
      <c r="EJY569" s="93"/>
      <c r="EJZ569" s="93"/>
      <c r="EKA569" s="93"/>
      <c r="EKB569" s="93"/>
      <c r="EKC569" s="93"/>
      <c r="EKD569" s="93"/>
      <c r="EKE569" s="93"/>
      <c r="EKF569" s="93"/>
      <c r="EKG569" s="93"/>
      <c r="EKH569" s="93"/>
      <c r="EKI569" s="93"/>
      <c r="EKJ569" s="93"/>
      <c r="EKK569" s="93"/>
      <c r="EKL569" s="93"/>
      <c r="EKM569" s="93"/>
      <c r="EKN569" s="93"/>
      <c r="EKO569" s="93"/>
      <c r="EKP569" s="93"/>
      <c r="EKQ569" s="93"/>
      <c r="EKR569" s="93"/>
      <c r="EKS569" s="93"/>
      <c r="EKT569" s="93"/>
      <c r="EKU569" s="93"/>
      <c r="EKV569" s="93"/>
      <c r="EKW569" s="93"/>
      <c r="EKX569" s="93"/>
      <c r="EKY569" s="93"/>
      <c r="EKZ569" s="93"/>
      <c r="ELA569" s="93"/>
      <c r="ELB569" s="93"/>
      <c r="ELC569" s="93"/>
      <c r="ELD569" s="93"/>
      <c r="ELE569" s="93"/>
      <c r="ELF569" s="93"/>
      <c r="ELG569" s="93"/>
      <c r="ELH569" s="93"/>
      <c r="ELI569" s="93"/>
      <c r="ELJ569" s="93"/>
      <c r="ELK569" s="93"/>
      <c r="ELL569" s="93"/>
      <c r="ELM569" s="93"/>
      <c r="ELN569" s="93"/>
      <c r="ELO569" s="93"/>
      <c r="ELP569" s="93"/>
      <c r="ELQ569" s="93"/>
      <c r="ELR569" s="93"/>
      <c r="ELS569" s="93"/>
      <c r="ELT569" s="93"/>
      <c r="ELU569" s="93"/>
      <c r="ELV569" s="93"/>
      <c r="ELW569" s="93"/>
      <c r="ELX569" s="93"/>
      <c r="ELY569" s="93"/>
      <c r="ELZ569" s="93"/>
      <c r="EMA569" s="93"/>
      <c r="EMB569" s="93"/>
      <c r="EMC569" s="93"/>
      <c r="EMD569" s="93"/>
      <c r="EME569" s="93"/>
      <c r="EMF569" s="93"/>
      <c r="EMG569" s="93"/>
      <c r="EMH569" s="93"/>
      <c r="EMI569" s="93"/>
      <c r="EMJ569" s="93"/>
      <c r="EMK569" s="93"/>
      <c r="EML569" s="93"/>
      <c r="EMM569" s="93"/>
      <c r="EMN569" s="93"/>
      <c r="EMO569" s="93"/>
      <c r="EMP569" s="93"/>
      <c r="EMQ569" s="93"/>
      <c r="EMR569" s="93"/>
      <c r="EMS569" s="93"/>
      <c r="EMT569" s="93"/>
      <c r="EMU569" s="93"/>
      <c r="EMV569" s="93"/>
      <c r="EMW569" s="93"/>
      <c r="EMX569" s="93"/>
      <c r="EMY569" s="93"/>
      <c r="EMZ569" s="93"/>
      <c r="ENA569" s="93"/>
      <c r="ENB569" s="93"/>
      <c r="ENC569" s="93"/>
      <c r="END569" s="93"/>
      <c r="ENE569" s="93"/>
      <c r="ENF569" s="93"/>
      <c r="ENG569" s="93"/>
      <c r="ENH569" s="93"/>
      <c r="ENI569" s="93"/>
      <c r="ENJ569" s="93"/>
      <c r="ENK569" s="93"/>
      <c r="ENL569" s="93"/>
      <c r="ENM569" s="93"/>
      <c r="ENN569" s="93"/>
      <c r="ENO569" s="93"/>
      <c r="ENP569" s="93"/>
      <c r="ENQ569" s="93"/>
      <c r="ENR569" s="93"/>
      <c r="ENS569" s="93"/>
      <c r="ENT569" s="93"/>
      <c r="ENU569" s="93"/>
      <c r="ENV569" s="93"/>
      <c r="ENW569" s="93"/>
      <c r="ENX569" s="93"/>
      <c r="ENY569" s="93"/>
      <c r="ENZ569" s="93"/>
      <c r="EOA569" s="93"/>
      <c r="EOB569" s="93"/>
      <c r="EOC569" s="93"/>
      <c r="EOD569" s="93"/>
      <c r="EOE569" s="93"/>
      <c r="EOF569" s="93"/>
      <c r="EOG569" s="93"/>
      <c r="EOH569" s="93"/>
      <c r="EOI569" s="93"/>
      <c r="EOJ569" s="93"/>
      <c r="EOK569" s="93"/>
      <c r="EOL569" s="93"/>
      <c r="EOM569" s="93"/>
      <c r="EON569" s="93"/>
      <c r="EOO569" s="93"/>
      <c r="EOP569" s="93"/>
      <c r="EOQ569" s="93"/>
      <c r="EOR569" s="93"/>
      <c r="EOS569" s="93"/>
      <c r="EOT569" s="93"/>
      <c r="EOU569" s="93"/>
      <c r="EOV569" s="93"/>
      <c r="EOW569" s="93"/>
      <c r="EOX569" s="93"/>
      <c r="EOY569" s="93"/>
      <c r="EOZ569" s="93"/>
      <c r="EPA569" s="93"/>
      <c r="EPB569" s="93"/>
      <c r="EPC569" s="93"/>
      <c r="EPD569" s="93"/>
      <c r="EPE569" s="93"/>
      <c r="EPF569" s="93"/>
      <c r="EPG569" s="93"/>
      <c r="EPH569" s="93"/>
      <c r="EPI569" s="93"/>
      <c r="EPJ569" s="93"/>
      <c r="EPK569" s="93"/>
      <c r="EPL569" s="93"/>
      <c r="EPM569" s="93"/>
      <c r="EPN569" s="93"/>
      <c r="EPO569" s="93"/>
      <c r="EPP569" s="93"/>
      <c r="EPQ569" s="93"/>
      <c r="EPR569" s="93"/>
      <c r="EPS569" s="93"/>
      <c r="EPT569" s="93"/>
      <c r="EPU569" s="93"/>
      <c r="EPV569" s="93"/>
      <c r="EPW569" s="93"/>
      <c r="EPX569" s="93"/>
      <c r="EPY569" s="93"/>
      <c r="EPZ569" s="93"/>
      <c r="EQA569" s="93"/>
      <c r="EQB569" s="93"/>
      <c r="EQC569" s="93"/>
      <c r="EQD569" s="93"/>
      <c r="EQE569" s="93"/>
      <c r="EQF569" s="93"/>
      <c r="EQG569" s="93"/>
      <c r="EQH569" s="93"/>
      <c r="EQI569" s="93"/>
      <c r="EQJ569" s="93"/>
      <c r="EQK569" s="93"/>
      <c r="EQL569" s="93"/>
      <c r="EQM569" s="93"/>
      <c r="EQN569" s="93"/>
      <c r="EQO569" s="93"/>
      <c r="EQP569" s="93"/>
      <c r="EQQ569" s="93"/>
      <c r="EQR569" s="93"/>
      <c r="EQS569" s="93"/>
      <c r="EQT569" s="93"/>
      <c r="EQU569" s="93"/>
      <c r="EQV569" s="93"/>
      <c r="EQW569" s="93"/>
      <c r="EQX569" s="93"/>
      <c r="EQY569" s="93"/>
      <c r="EQZ569" s="93"/>
      <c r="ERA569" s="93"/>
      <c r="ERB569" s="93"/>
      <c r="ERC569" s="93"/>
      <c r="ERD569" s="93"/>
      <c r="ERE569" s="93"/>
      <c r="ERF569" s="93"/>
      <c r="ERG569" s="93"/>
      <c r="ERH569" s="93"/>
      <c r="ERI569" s="93"/>
      <c r="ERJ569" s="93"/>
      <c r="ERK569" s="93"/>
      <c r="ERL569" s="93"/>
      <c r="ERM569" s="93"/>
      <c r="ERN569" s="93"/>
      <c r="ERO569" s="93"/>
      <c r="ERP569" s="93"/>
      <c r="ERQ569" s="93"/>
      <c r="ERR569" s="93"/>
      <c r="ERS569" s="93"/>
      <c r="ERT569" s="93"/>
      <c r="ERU569" s="93"/>
      <c r="ERV569" s="93"/>
      <c r="ERW569" s="93"/>
      <c r="ERX569" s="93"/>
      <c r="ERY569" s="93"/>
      <c r="ERZ569" s="93"/>
      <c r="ESA569" s="93"/>
      <c r="ESB569" s="93"/>
      <c r="ESC569" s="93"/>
      <c r="ESD569" s="93"/>
      <c r="ESE569" s="93"/>
      <c r="ESF569" s="93"/>
      <c r="ESG569" s="93"/>
      <c r="ESH569" s="93"/>
      <c r="ESI569" s="93"/>
      <c r="ESJ569" s="93"/>
      <c r="ESK569" s="93"/>
      <c r="ESL569" s="93"/>
      <c r="ESM569" s="93"/>
      <c r="ESN569" s="93"/>
      <c r="ESO569" s="93"/>
      <c r="ESP569" s="93"/>
      <c r="ESQ569" s="93"/>
      <c r="ESR569" s="93"/>
      <c r="ESS569" s="93"/>
      <c r="EST569" s="93"/>
      <c r="ESU569" s="93"/>
      <c r="ESV569" s="93"/>
      <c r="ESW569" s="93"/>
      <c r="ESX569" s="93"/>
      <c r="ESY569" s="93"/>
      <c r="ESZ569" s="93"/>
      <c r="ETA569" s="93"/>
      <c r="ETB569" s="93"/>
      <c r="ETC569" s="93"/>
      <c r="ETD569" s="93"/>
      <c r="ETE569" s="93"/>
      <c r="ETF569" s="93"/>
      <c r="ETG569" s="93"/>
      <c r="ETH569" s="93"/>
      <c r="ETI569" s="93"/>
      <c r="ETJ569" s="93"/>
      <c r="ETK569" s="93"/>
      <c r="ETL569" s="93"/>
      <c r="ETM569" s="93"/>
      <c r="ETN569" s="93"/>
      <c r="ETO569" s="93"/>
      <c r="ETP569" s="93"/>
      <c r="ETQ569" s="93"/>
      <c r="ETR569" s="93"/>
      <c r="ETS569" s="93"/>
      <c r="ETT569" s="93"/>
      <c r="ETU569" s="93"/>
      <c r="ETV569" s="93"/>
      <c r="ETW569" s="93"/>
      <c r="ETX569" s="93"/>
      <c r="ETY569" s="93"/>
      <c r="ETZ569" s="93"/>
      <c r="EUA569" s="93"/>
      <c r="EUB569" s="93"/>
      <c r="EUC569" s="93"/>
      <c r="EUD569" s="93"/>
      <c r="EUE569" s="93"/>
      <c r="EUF569" s="93"/>
      <c r="EUG569" s="93"/>
      <c r="EUH569" s="93"/>
      <c r="EUI569" s="93"/>
      <c r="EUJ569" s="93"/>
      <c r="EUK569" s="93"/>
      <c r="EUL569" s="93"/>
      <c r="EUM569" s="93"/>
      <c r="EUN569" s="93"/>
      <c r="EUO569" s="93"/>
      <c r="EUP569" s="93"/>
      <c r="EUQ569" s="93"/>
      <c r="EUR569" s="93"/>
      <c r="EUS569" s="93"/>
      <c r="EUT569" s="93"/>
      <c r="EUU569" s="93"/>
      <c r="EUV569" s="93"/>
      <c r="EUW569" s="93"/>
      <c r="EUX569" s="93"/>
      <c r="EUY569" s="93"/>
      <c r="EUZ569" s="93"/>
      <c r="EVA569" s="93"/>
      <c r="EVB569" s="93"/>
      <c r="EVC569" s="93"/>
      <c r="EVD569" s="93"/>
      <c r="EVE569" s="93"/>
      <c r="EVF569" s="93"/>
      <c r="EVG569" s="93"/>
      <c r="EVH569" s="93"/>
      <c r="EVI569" s="93"/>
      <c r="EVJ569" s="93"/>
      <c r="EVK569" s="93"/>
      <c r="EVL569" s="93"/>
      <c r="EVM569" s="93"/>
      <c r="EVN569" s="93"/>
      <c r="EVO569" s="93"/>
      <c r="EVP569" s="93"/>
      <c r="EVQ569" s="93"/>
      <c r="EVR569" s="93"/>
      <c r="EVS569" s="93"/>
      <c r="EVT569" s="93"/>
      <c r="EVU569" s="93"/>
      <c r="EVV569" s="93"/>
      <c r="EVW569" s="93"/>
      <c r="EVX569" s="93"/>
      <c r="EVY569" s="93"/>
      <c r="EVZ569" s="93"/>
      <c r="EWA569" s="93"/>
      <c r="EWB569" s="93"/>
      <c r="EWC569" s="93"/>
      <c r="EWD569" s="93"/>
      <c r="EWE569" s="93"/>
      <c r="EWF569" s="93"/>
      <c r="EWG569" s="93"/>
      <c r="EWH569" s="93"/>
      <c r="EWI569" s="93"/>
      <c r="EWJ569" s="93"/>
      <c r="EWK569" s="93"/>
      <c r="EWL569" s="93"/>
      <c r="EWM569" s="93"/>
      <c r="EWN569" s="93"/>
      <c r="EWO569" s="93"/>
      <c r="EWP569" s="93"/>
      <c r="EWQ569" s="93"/>
      <c r="EWR569" s="93"/>
      <c r="EWS569" s="93"/>
      <c r="EWT569" s="93"/>
      <c r="EWU569" s="93"/>
      <c r="EWV569" s="93"/>
      <c r="EWW569" s="93"/>
      <c r="EWX569" s="93"/>
      <c r="EWY569" s="93"/>
      <c r="EWZ569" s="93"/>
      <c r="EXA569" s="93"/>
      <c r="EXB569" s="93"/>
      <c r="EXC569" s="93"/>
      <c r="EXD569" s="93"/>
      <c r="EXE569" s="93"/>
      <c r="EXF569" s="93"/>
      <c r="EXG569" s="93"/>
      <c r="EXH569" s="93"/>
      <c r="EXI569" s="93"/>
      <c r="EXJ569" s="93"/>
      <c r="EXK569" s="93"/>
      <c r="EXL569" s="93"/>
      <c r="EXM569" s="93"/>
      <c r="EXN569" s="93"/>
      <c r="EXO569" s="93"/>
      <c r="EXP569" s="93"/>
      <c r="EXQ569" s="93"/>
      <c r="EXR569" s="93"/>
      <c r="EXS569" s="93"/>
      <c r="EXT569" s="93"/>
      <c r="EXU569" s="93"/>
      <c r="EXV569" s="93"/>
      <c r="EXW569" s="93"/>
      <c r="EXX569" s="93"/>
      <c r="EXY569" s="93"/>
      <c r="EXZ569" s="93"/>
      <c r="EYA569" s="93"/>
      <c r="EYB569" s="93"/>
      <c r="EYC569" s="93"/>
      <c r="EYD569" s="93"/>
      <c r="EYE569" s="93"/>
      <c r="EYF569" s="93"/>
      <c r="EYG569" s="93"/>
      <c r="EYH569" s="93"/>
      <c r="EYI569" s="93"/>
      <c r="EYJ569" s="93"/>
      <c r="EYK569" s="93"/>
      <c r="EYL569" s="93"/>
      <c r="EYM569" s="93"/>
      <c r="EYN569" s="93"/>
      <c r="EYO569" s="93"/>
      <c r="EYP569" s="93"/>
      <c r="EYQ569" s="93"/>
      <c r="EYR569" s="93"/>
      <c r="EYS569" s="93"/>
      <c r="EYT569" s="93"/>
      <c r="EYU569" s="93"/>
      <c r="EYV569" s="93"/>
      <c r="EYW569" s="93"/>
      <c r="EYX569" s="93"/>
      <c r="EYY569" s="93"/>
      <c r="EYZ569" s="93"/>
      <c r="EZA569" s="93"/>
      <c r="EZB569" s="93"/>
      <c r="EZC569" s="93"/>
      <c r="EZD569" s="93"/>
      <c r="EZE569" s="93"/>
      <c r="EZF569" s="93"/>
      <c r="EZG569" s="93"/>
      <c r="EZH569" s="93"/>
      <c r="EZI569" s="93"/>
      <c r="EZJ569" s="93"/>
      <c r="EZK569" s="93"/>
      <c r="EZL569" s="93"/>
      <c r="EZM569" s="93"/>
      <c r="EZN569" s="93"/>
      <c r="EZO569" s="93"/>
      <c r="EZP569" s="93"/>
      <c r="EZQ569" s="93"/>
      <c r="EZR569" s="93"/>
      <c r="EZS569" s="93"/>
      <c r="EZT569" s="93"/>
      <c r="EZU569" s="93"/>
      <c r="EZV569" s="93"/>
      <c r="EZW569" s="93"/>
      <c r="EZX569" s="93"/>
      <c r="EZY569" s="93"/>
      <c r="EZZ569" s="93"/>
      <c r="FAA569" s="93"/>
      <c r="FAB569" s="93"/>
      <c r="FAC569" s="93"/>
      <c r="FAD569" s="93"/>
      <c r="FAE569" s="93"/>
      <c r="FAF569" s="93"/>
      <c r="FAG569" s="93"/>
      <c r="FAH569" s="93"/>
      <c r="FAI569" s="93"/>
      <c r="FAJ569" s="93"/>
      <c r="FAK569" s="93"/>
      <c r="FAL569" s="93"/>
      <c r="FAM569" s="93"/>
      <c r="FAN569" s="93"/>
      <c r="FAO569" s="93"/>
      <c r="FAP569" s="93"/>
      <c r="FAQ569" s="93"/>
      <c r="FAR569" s="93"/>
      <c r="FAS569" s="93"/>
      <c r="FAT569" s="93"/>
      <c r="FAU569" s="93"/>
      <c r="FAV569" s="93"/>
      <c r="FAW569" s="93"/>
      <c r="FAX569" s="93"/>
      <c r="FAY569" s="93"/>
      <c r="FAZ569" s="93"/>
      <c r="FBA569" s="93"/>
      <c r="FBB569" s="93"/>
      <c r="FBC569" s="93"/>
      <c r="FBD569" s="93"/>
      <c r="FBE569" s="93"/>
      <c r="FBF569" s="93"/>
      <c r="FBG569" s="93"/>
      <c r="FBH569" s="93"/>
      <c r="FBI569" s="93"/>
      <c r="FBJ569" s="93"/>
      <c r="FBK569" s="93"/>
      <c r="FBL569" s="93"/>
      <c r="FBM569" s="93"/>
      <c r="FBN569" s="93"/>
      <c r="FBO569" s="93"/>
      <c r="FBP569" s="93"/>
      <c r="FBQ569" s="93"/>
      <c r="FBR569" s="93"/>
      <c r="FBS569" s="93"/>
      <c r="FBT569" s="93"/>
      <c r="FBU569" s="93"/>
      <c r="FBV569" s="93"/>
      <c r="FBW569" s="93"/>
      <c r="FBX569" s="93"/>
      <c r="FBY569" s="93"/>
      <c r="FBZ569" s="93"/>
      <c r="FCA569" s="93"/>
      <c r="FCB569" s="93"/>
      <c r="FCC569" s="93"/>
      <c r="FCD569" s="93"/>
      <c r="FCE569" s="93"/>
      <c r="FCF569" s="93"/>
      <c r="FCG569" s="93"/>
      <c r="FCH569" s="93"/>
      <c r="FCI569" s="93"/>
      <c r="FCJ569" s="93"/>
      <c r="FCK569" s="93"/>
      <c r="FCL569" s="93"/>
      <c r="FCM569" s="93"/>
      <c r="FCN569" s="93"/>
      <c r="FCO569" s="93"/>
      <c r="FCP569" s="93"/>
      <c r="FCQ569" s="93"/>
      <c r="FCR569" s="93"/>
      <c r="FCS569" s="93"/>
      <c r="FCT569" s="93"/>
      <c r="FCU569" s="93"/>
      <c r="FCV569" s="93"/>
      <c r="FCW569" s="93"/>
      <c r="FCX569" s="93"/>
      <c r="FCY569" s="93"/>
      <c r="FCZ569" s="93"/>
      <c r="FDA569" s="93"/>
      <c r="FDB569" s="93"/>
      <c r="FDC569" s="93"/>
      <c r="FDD569" s="93"/>
      <c r="FDE569" s="93"/>
      <c r="FDF569" s="93"/>
      <c r="FDG569" s="93"/>
      <c r="FDH569" s="93"/>
      <c r="FDI569" s="93"/>
      <c r="FDJ569" s="93"/>
      <c r="FDK569" s="93"/>
      <c r="FDL569" s="93"/>
      <c r="FDM569" s="93"/>
      <c r="FDN569" s="93"/>
      <c r="FDO569" s="93"/>
      <c r="FDP569" s="93"/>
      <c r="FDQ569" s="93"/>
      <c r="FDR569" s="93"/>
      <c r="FDS569" s="93"/>
      <c r="FDT569" s="93"/>
      <c r="FDU569" s="93"/>
      <c r="FDV569" s="93"/>
      <c r="FDW569" s="93"/>
      <c r="FDX569" s="93"/>
      <c r="FDY569" s="93"/>
      <c r="FDZ569" s="93"/>
      <c r="FEA569" s="93"/>
      <c r="FEB569" s="93"/>
      <c r="FEC569" s="93"/>
      <c r="FED569" s="93"/>
      <c r="FEE569" s="93"/>
      <c r="FEF569" s="93"/>
      <c r="FEG569" s="93"/>
      <c r="FEH569" s="93"/>
      <c r="FEI569" s="93"/>
      <c r="FEJ569" s="93"/>
      <c r="FEK569" s="93"/>
      <c r="FEL569" s="93"/>
      <c r="FEM569" s="93"/>
      <c r="FEN569" s="93"/>
      <c r="FEO569" s="93"/>
      <c r="FEP569" s="93"/>
      <c r="FEQ569" s="93"/>
      <c r="FER569" s="93"/>
      <c r="FES569" s="93"/>
      <c r="FET569" s="93"/>
      <c r="FEU569" s="93"/>
      <c r="FEV569" s="93"/>
      <c r="FEW569" s="93"/>
      <c r="FEX569" s="93"/>
      <c r="FEY569" s="93"/>
      <c r="FEZ569" s="93"/>
      <c r="FFA569" s="93"/>
      <c r="FFB569" s="93"/>
      <c r="FFC569" s="93"/>
      <c r="FFD569" s="93"/>
      <c r="FFE569" s="93"/>
      <c r="FFF569" s="93"/>
      <c r="FFG569" s="93"/>
      <c r="FFH569" s="93"/>
      <c r="FFI569" s="93"/>
      <c r="FFJ569" s="93"/>
      <c r="FFK569" s="93"/>
      <c r="FFL569" s="93"/>
      <c r="FFM569" s="93"/>
      <c r="FFN569" s="93"/>
      <c r="FFO569" s="93"/>
      <c r="FFP569" s="93"/>
      <c r="FFQ569" s="93"/>
      <c r="FFR569" s="93"/>
      <c r="FFS569" s="93"/>
      <c r="FFT569" s="93"/>
      <c r="FFU569" s="93"/>
      <c r="FFV569" s="93"/>
      <c r="FFW569" s="93"/>
      <c r="FFX569" s="93"/>
      <c r="FFY569" s="93"/>
      <c r="FFZ569" s="93"/>
      <c r="FGA569" s="93"/>
      <c r="FGB569" s="93"/>
      <c r="FGC569" s="93"/>
      <c r="FGD569" s="93"/>
      <c r="FGE569" s="93"/>
      <c r="FGF569" s="93"/>
      <c r="FGG569" s="93"/>
      <c r="FGH569" s="93"/>
      <c r="FGI569" s="93"/>
      <c r="FGJ569" s="93"/>
      <c r="FGK569" s="93"/>
      <c r="FGL569" s="93"/>
      <c r="FGM569" s="93"/>
      <c r="FGN569" s="93"/>
      <c r="FGO569" s="93"/>
      <c r="FGP569" s="93"/>
      <c r="FGQ569" s="93"/>
      <c r="FGR569" s="93"/>
      <c r="FGS569" s="93"/>
      <c r="FGT569" s="93"/>
      <c r="FGU569" s="93"/>
      <c r="FGV569" s="93"/>
      <c r="FGW569" s="93"/>
      <c r="FGX569" s="93"/>
      <c r="FGY569" s="93"/>
      <c r="FGZ569" s="93"/>
      <c r="FHA569" s="93"/>
      <c r="FHB569" s="93"/>
      <c r="FHC569" s="93"/>
      <c r="FHD569" s="93"/>
      <c r="FHE569" s="93"/>
      <c r="FHF569" s="93"/>
      <c r="FHG569" s="93"/>
      <c r="FHH569" s="93"/>
      <c r="FHI569" s="93"/>
      <c r="FHJ569" s="93"/>
      <c r="FHK569" s="93"/>
      <c r="FHL569" s="93"/>
      <c r="FHM569" s="93"/>
      <c r="FHN569" s="93"/>
      <c r="FHO569" s="93"/>
      <c r="FHP569" s="93"/>
      <c r="FHQ569" s="93"/>
      <c r="FHR569" s="93"/>
      <c r="FHS569" s="93"/>
      <c r="FHT569" s="93"/>
      <c r="FHU569" s="93"/>
      <c r="FHV569" s="93"/>
      <c r="FHW569" s="93"/>
      <c r="FHX569" s="93"/>
      <c r="FHY569" s="93"/>
      <c r="FHZ569" s="93"/>
      <c r="FIA569" s="93"/>
      <c r="FIB569" s="93"/>
      <c r="FIC569" s="93"/>
      <c r="FID569" s="93"/>
      <c r="FIE569" s="93"/>
      <c r="FIF569" s="93"/>
      <c r="FIG569" s="93"/>
      <c r="FIH569" s="93"/>
      <c r="FII569" s="93"/>
      <c r="FIJ569" s="93"/>
      <c r="FIK569" s="93"/>
      <c r="FIL569" s="93"/>
      <c r="FIM569" s="93"/>
      <c r="FIN569" s="93"/>
      <c r="FIO569" s="93"/>
      <c r="FIP569" s="93"/>
      <c r="FIQ569" s="93"/>
      <c r="FIR569" s="93"/>
      <c r="FIS569" s="93"/>
      <c r="FIT569" s="93"/>
      <c r="FIU569" s="93"/>
      <c r="FIV569" s="93"/>
      <c r="FIW569" s="93"/>
      <c r="FIX569" s="93"/>
      <c r="FIY569" s="93"/>
      <c r="FIZ569" s="93"/>
      <c r="FJA569" s="93"/>
      <c r="FJB569" s="93"/>
      <c r="FJC569" s="93"/>
      <c r="FJD569" s="93"/>
      <c r="FJE569" s="93"/>
      <c r="FJF569" s="93"/>
      <c r="FJG569" s="93"/>
      <c r="FJH569" s="93"/>
      <c r="FJI569" s="93"/>
      <c r="FJJ569" s="93"/>
      <c r="FJK569" s="93"/>
      <c r="FJL569" s="93"/>
      <c r="FJM569" s="93"/>
      <c r="FJN569" s="93"/>
      <c r="FJO569" s="93"/>
      <c r="FJP569" s="93"/>
      <c r="FJQ569" s="93"/>
      <c r="FJR569" s="93"/>
      <c r="FJS569" s="93"/>
      <c r="FJT569" s="93"/>
      <c r="FJU569" s="93"/>
      <c r="FJV569" s="93"/>
      <c r="FJW569" s="93"/>
      <c r="FJX569" s="93"/>
      <c r="FJY569" s="93"/>
      <c r="FJZ569" s="93"/>
      <c r="FKA569" s="93"/>
      <c r="FKB569" s="93"/>
      <c r="FKC569" s="93"/>
      <c r="FKD569" s="93"/>
      <c r="FKE569" s="93"/>
      <c r="FKF569" s="93"/>
      <c r="FKG569" s="93"/>
      <c r="FKH569" s="93"/>
      <c r="FKI569" s="93"/>
      <c r="FKJ569" s="93"/>
      <c r="FKK569" s="93"/>
      <c r="FKL569" s="93"/>
      <c r="FKM569" s="93"/>
      <c r="FKN569" s="93"/>
      <c r="FKO569" s="93"/>
      <c r="FKP569" s="93"/>
      <c r="FKQ569" s="93"/>
      <c r="FKR569" s="93"/>
      <c r="FKS569" s="93"/>
      <c r="FKT569" s="93"/>
      <c r="FKU569" s="93"/>
      <c r="FKV569" s="93"/>
      <c r="FKW569" s="93"/>
      <c r="FKX569" s="93"/>
      <c r="FKY569" s="93"/>
      <c r="FKZ569" s="93"/>
      <c r="FLA569" s="93"/>
      <c r="FLB569" s="93"/>
      <c r="FLC569" s="93"/>
      <c r="FLD569" s="93"/>
      <c r="FLE569" s="93"/>
      <c r="FLF569" s="93"/>
      <c r="FLG569" s="93"/>
      <c r="FLH569" s="93"/>
      <c r="FLI569" s="93"/>
      <c r="FLJ569" s="93"/>
      <c r="FLK569" s="93"/>
      <c r="FLL569" s="93"/>
      <c r="FLM569" s="93"/>
      <c r="FLN569" s="93"/>
      <c r="FLO569" s="93"/>
      <c r="FLP569" s="93"/>
      <c r="FLQ569" s="93"/>
      <c r="FLR569" s="93"/>
      <c r="FLS569" s="93"/>
      <c r="FLT569" s="93"/>
      <c r="FLU569" s="93"/>
      <c r="FLV569" s="93"/>
      <c r="FLW569" s="93"/>
      <c r="FLX569" s="93"/>
      <c r="FLY569" s="93"/>
      <c r="FLZ569" s="93"/>
      <c r="FMA569" s="93"/>
      <c r="FMB569" s="93"/>
      <c r="FMC569" s="93"/>
      <c r="FMD569" s="93"/>
      <c r="FME569" s="93"/>
      <c r="FMF569" s="93"/>
      <c r="FMG569" s="93"/>
      <c r="FMH569" s="93"/>
      <c r="FMI569" s="93"/>
      <c r="FMJ569" s="93"/>
      <c r="FMK569" s="93"/>
      <c r="FML569" s="93"/>
      <c r="FMM569" s="93"/>
      <c r="FMN569" s="93"/>
      <c r="FMO569" s="93"/>
      <c r="FMP569" s="93"/>
      <c r="FMQ569" s="93"/>
      <c r="FMR569" s="93"/>
      <c r="FMS569" s="93"/>
      <c r="FMT569" s="93"/>
      <c r="FMU569" s="93"/>
      <c r="FMV569" s="93"/>
      <c r="FMW569" s="93"/>
      <c r="FMX569" s="93"/>
      <c r="FMY569" s="93"/>
      <c r="FMZ569" s="93"/>
      <c r="FNA569" s="93"/>
      <c r="FNB569" s="93"/>
      <c r="FNC569" s="93"/>
      <c r="FND569" s="93"/>
      <c r="FNE569" s="93"/>
      <c r="FNF569" s="93"/>
      <c r="FNG569" s="93"/>
      <c r="FNH569" s="93"/>
      <c r="FNI569" s="93"/>
      <c r="FNJ569" s="93"/>
      <c r="FNK569" s="93"/>
      <c r="FNL569" s="93"/>
      <c r="FNM569" s="93"/>
      <c r="FNN569" s="93"/>
      <c r="FNO569" s="93"/>
      <c r="FNP569" s="93"/>
      <c r="FNQ569" s="93"/>
      <c r="FNR569" s="93"/>
      <c r="FNS569" s="93"/>
      <c r="FNT569" s="93"/>
      <c r="FNU569" s="93"/>
      <c r="FNV569" s="93"/>
      <c r="FNW569" s="93"/>
      <c r="FNX569" s="93"/>
      <c r="FNY569" s="93"/>
      <c r="FNZ569" s="93"/>
      <c r="FOA569" s="93"/>
      <c r="FOB569" s="93"/>
      <c r="FOC569" s="93"/>
      <c r="FOD569" s="93"/>
      <c r="FOE569" s="93"/>
      <c r="FOF569" s="93"/>
      <c r="FOG569" s="93"/>
      <c r="FOH569" s="93"/>
      <c r="FOI569" s="93"/>
      <c r="FOJ569" s="93"/>
      <c r="FOK569" s="93"/>
      <c r="FOL569" s="93"/>
      <c r="FOM569" s="93"/>
      <c r="FON569" s="93"/>
      <c r="FOO569" s="93"/>
      <c r="FOP569" s="93"/>
      <c r="FOQ569" s="93"/>
      <c r="FOR569" s="93"/>
      <c r="FOS569" s="93"/>
      <c r="FOT569" s="93"/>
      <c r="FOU569" s="93"/>
      <c r="FOV569" s="93"/>
      <c r="FOW569" s="93"/>
      <c r="FOX569" s="93"/>
      <c r="FOY569" s="93"/>
      <c r="FOZ569" s="93"/>
      <c r="FPA569" s="93"/>
      <c r="FPB569" s="93"/>
      <c r="FPC569" s="93"/>
      <c r="FPD569" s="93"/>
      <c r="FPE569" s="93"/>
      <c r="FPF569" s="93"/>
      <c r="FPG569" s="93"/>
      <c r="FPH569" s="93"/>
      <c r="FPI569" s="93"/>
      <c r="FPJ569" s="93"/>
      <c r="FPK569" s="93"/>
      <c r="FPL569" s="93"/>
      <c r="FPM569" s="93"/>
      <c r="FPN569" s="93"/>
      <c r="FPO569" s="93"/>
      <c r="FPP569" s="93"/>
      <c r="FPQ569" s="93"/>
      <c r="FPR569" s="93"/>
      <c r="FPS569" s="93"/>
      <c r="FPT569" s="93"/>
      <c r="FPU569" s="93"/>
      <c r="FPV569" s="93"/>
      <c r="FPW569" s="93"/>
      <c r="FPX569" s="93"/>
      <c r="FPY569" s="93"/>
      <c r="FPZ569" s="93"/>
      <c r="FQA569" s="93"/>
      <c r="FQB569" s="93"/>
      <c r="FQC569" s="93"/>
      <c r="FQD569" s="93"/>
      <c r="FQE569" s="93"/>
      <c r="FQF569" s="93"/>
      <c r="FQG569" s="93"/>
      <c r="FQH569" s="93"/>
      <c r="FQI569" s="93"/>
      <c r="FQJ569" s="93"/>
      <c r="FQK569" s="93"/>
      <c r="FQL569" s="93"/>
      <c r="FQM569" s="93"/>
      <c r="FQN569" s="93"/>
      <c r="FQO569" s="93"/>
      <c r="FQP569" s="93"/>
      <c r="FQQ569" s="93"/>
      <c r="FQR569" s="93"/>
      <c r="FQS569" s="93"/>
      <c r="FQT569" s="93"/>
      <c r="FQU569" s="93"/>
      <c r="FQV569" s="93"/>
      <c r="FQW569" s="93"/>
      <c r="FQX569" s="93"/>
      <c r="FQY569" s="93"/>
      <c r="FQZ569" s="93"/>
      <c r="FRA569" s="93"/>
      <c r="FRB569" s="93"/>
      <c r="FRC569" s="93"/>
      <c r="FRD569" s="93"/>
      <c r="FRE569" s="93"/>
      <c r="FRF569" s="93"/>
      <c r="FRG569" s="93"/>
      <c r="FRH569" s="93"/>
      <c r="FRI569" s="93"/>
      <c r="FRJ569" s="93"/>
      <c r="FRK569" s="93"/>
      <c r="FRL569" s="93"/>
      <c r="FRM569" s="93"/>
      <c r="FRN569" s="93"/>
      <c r="FRO569" s="93"/>
      <c r="FRP569" s="93"/>
      <c r="FRQ569" s="93"/>
      <c r="FRR569" s="93"/>
      <c r="FRS569" s="93"/>
      <c r="FRT569" s="93"/>
      <c r="FRU569" s="93"/>
      <c r="FRV569" s="93"/>
      <c r="FRW569" s="93"/>
      <c r="FRX569" s="93"/>
      <c r="FRY569" s="93"/>
      <c r="FRZ569" s="93"/>
      <c r="FSA569" s="93"/>
      <c r="FSB569" s="93"/>
      <c r="FSC569" s="93"/>
      <c r="FSD569" s="93"/>
      <c r="FSE569" s="93"/>
      <c r="FSF569" s="93"/>
      <c r="FSG569" s="93"/>
      <c r="FSH569" s="93"/>
      <c r="FSI569" s="93"/>
      <c r="FSJ569" s="93"/>
      <c r="FSK569" s="93"/>
      <c r="FSL569" s="93"/>
      <c r="FSM569" s="93"/>
      <c r="FSN569" s="93"/>
      <c r="FSO569" s="93"/>
      <c r="FSP569" s="93"/>
      <c r="FSQ569" s="93"/>
      <c r="FSR569" s="93"/>
      <c r="FSS569" s="93"/>
      <c r="FST569" s="93"/>
      <c r="FSU569" s="93"/>
      <c r="FSV569" s="93"/>
      <c r="FSW569" s="93"/>
      <c r="FSX569" s="93"/>
      <c r="FSY569" s="93"/>
      <c r="FSZ569" s="93"/>
      <c r="FTA569" s="93"/>
      <c r="FTB569" s="93"/>
      <c r="FTC569" s="93"/>
      <c r="FTD569" s="93"/>
      <c r="FTE569" s="93"/>
      <c r="FTF569" s="93"/>
      <c r="FTG569" s="93"/>
      <c r="FTH569" s="93"/>
      <c r="FTI569" s="93"/>
      <c r="FTJ569" s="93"/>
      <c r="FTK569" s="93"/>
      <c r="FTL569" s="93"/>
      <c r="FTM569" s="93"/>
      <c r="FTN569" s="93"/>
      <c r="FTO569" s="93"/>
      <c r="FTP569" s="93"/>
      <c r="FTQ569" s="93"/>
      <c r="FTR569" s="93"/>
      <c r="FTS569" s="93"/>
      <c r="FTT569" s="93"/>
      <c r="FTU569" s="93"/>
      <c r="FTV569" s="93"/>
      <c r="FTW569" s="93"/>
      <c r="FTX569" s="93"/>
      <c r="FTY569" s="93"/>
      <c r="FTZ569" s="93"/>
      <c r="FUA569" s="93"/>
      <c r="FUB569" s="93"/>
      <c r="FUC569" s="93"/>
      <c r="FUD569" s="93"/>
      <c r="FUE569" s="93"/>
      <c r="FUF569" s="93"/>
      <c r="FUG569" s="93"/>
      <c r="FUH569" s="93"/>
      <c r="FUI569" s="93"/>
      <c r="FUJ569" s="93"/>
      <c r="FUK569" s="93"/>
      <c r="FUL569" s="93"/>
      <c r="FUM569" s="93"/>
      <c r="FUN569" s="93"/>
      <c r="FUO569" s="93"/>
      <c r="FUP569" s="93"/>
      <c r="FUQ569" s="93"/>
      <c r="FUR569" s="93"/>
      <c r="FUS569" s="93"/>
      <c r="FUT569" s="93"/>
      <c r="FUU569" s="93"/>
      <c r="FUV569" s="93"/>
      <c r="FUW569" s="93"/>
      <c r="FUX569" s="93"/>
      <c r="FUY569" s="93"/>
      <c r="FUZ569" s="93"/>
      <c r="FVA569" s="93"/>
      <c r="FVB569" s="93"/>
      <c r="FVC569" s="93"/>
      <c r="FVD569" s="93"/>
      <c r="FVE569" s="93"/>
      <c r="FVF569" s="93"/>
      <c r="FVG569" s="93"/>
      <c r="FVH569" s="93"/>
      <c r="FVI569" s="93"/>
      <c r="FVJ569" s="93"/>
      <c r="FVK569" s="93"/>
      <c r="FVL569" s="93"/>
      <c r="FVM569" s="93"/>
      <c r="FVN569" s="93"/>
      <c r="FVO569" s="93"/>
      <c r="FVP569" s="93"/>
      <c r="FVQ569" s="93"/>
      <c r="FVR569" s="93"/>
      <c r="FVS569" s="93"/>
      <c r="FVT569" s="93"/>
      <c r="FVU569" s="93"/>
      <c r="FVV569" s="93"/>
      <c r="FVW569" s="93"/>
      <c r="FVX569" s="93"/>
      <c r="FVY569" s="93"/>
      <c r="FVZ569" s="93"/>
      <c r="FWA569" s="93"/>
      <c r="FWB569" s="93"/>
      <c r="FWC569" s="93"/>
      <c r="FWD569" s="93"/>
      <c r="FWE569" s="93"/>
      <c r="FWF569" s="93"/>
      <c r="FWG569" s="93"/>
      <c r="FWH569" s="93"/>
      <c r="FWI569" s="93"/>
      <c r="FWJ569" s="93"/>
      <c r="FWK569" s="93"/>
      <c r="FWL569" s="93"/>
      <c r="FWM569" s="93"/>
      <c r="FWN569" s="93"/>
      <c r="FWO569" s="93"/>
      <c r="FWP569" s="93"/>
      <c r="FWQ569" s="93"/>
      <c r="FWR569" s="93"/>
      <c r="FWS569" s="93"/>
      <c r="FWT569" s="93"/>
      <c r="FWU569" s="93"/>
      <c r="FWV569" s="93"/>
      <c r="FWW569" s="93"/>
      <c r="FWX569" s="93"/>
      <c r="FWY569" s="93"/>
      <c r="FWZ569" s="93"/>
      <c r="FXA569" s="93"/>
      <c r="FXB569" s="93"/>
      <c r="FXC569" s="93"/>
      <c r="FXD569" s="93"/>
      <c r="FXE569" s="93"/>
      <c r="FXF569" s="93"/>
      <c r="FXG569" s="93"/>
      <c r="FXH569" s="93"/>
      <c r="FXI569" s="93"/>
      <c r="FXJ569" s="93"/>
      <c r="FXK569" s="93"/>
      <c r="FXL569" s="93"/>
      <c r="FXM569" s="93"/>
      <c r="FXN569" s="93"/>
      <c r="FXO569" s="93"/>
      <c r="FXP569" s="93"/>
      <c r="FXQ569" s="93"/>
      <c r="FXR569" s="93"/>
      <c r="FXS569" s="93"/>
      <c r="FXT569" s="93"/>
      <c r="FXU569" s="93"/>
      <c r="FXV569" s="93"/>
      <c r="FXW569" s="93"/>
      <c r="FXX569" s="93"/>
      <c r="FXY569" s="93"/>
      <c r="FXZ569" s="93"/>
      <c r="FYA569" s="93"/>
      <c r="FYB569" s="93"/>
      <c r="FYC569" s="93"/>
      <c r="FYD569" s="93"/>
      <c r="FYE569" s="93"/>
      <c r="FYF569" s="93"/>
      <c r="FYG569" s="93"/>
      <c r="FYH569" s="93"/>
      <c r="FYI569" s="93"/>
      <c r="FYJ569" s="93"/>
      <c r="FYK569" s="93"/>
      <c r="FYL569" s="93"/>
      <c r="FYM569" s="93"/>
      <c r="FYN569" s="93"/>
      <c r="FYO569" s="93"/>
      <c r="FYP569" s="93"/>
      <c r="FYQ569" s="93"/>
      <c r="FYR569" s="93"/>
      <c r="FYS569" s="93"/>
      <c r="FYT569" s="93"/>
      <c r="FYU569" s="93"/>
      <c r="FYV569" s="93"/>
      <c r="FYW569" s="93"/>
      <c r="FYX569" s="93"/>
      <c r="FYY569" s="93"/>
      <c r="FYZ569" s="93"/>
      <c r="FZA569" s="93"/>
      <c r="FZB569" s="93"/>
      <c r="FZC569" s="93"/>
      <c r="FZD569" s="93"/>
      <c r="FZE569" s="93"/>
      <c r="FZF569" s="93"/>
      <c r="FZG569" s="93"/>
      <c r="FZH569" s="93"/>
      <c r="FZI569" s="93"/>
      <c r="FZJ569" s="93"/>
      <c r="FZK569" s="93"/>
      <c r="FZL569" s="93"/>
      <c r="FZM569" s="93"/>
      <c r="FZN569" s="93"/>
      <c r="FZO569" s="93"/>
      <c r="FZP569" s="93"/>
      <c r="FZQ569" s="93"/>
      <c r="FZR569" s="93"/>
      <c r="FZS569" s="93"/>
      <c r="FZT569" s="93"/>
      <c r="FZU569" s="93"/>
      <c r="FZV569" s="93"/>
      <c r="FZW569" s="93"/>
      <c r="FZX569" s="93"/>
      <c r="FZY569" s="93"/>
      <c r="FZZ569" s="93"/>
      <c r="GAA569" s="93"/>
      <c r="GAB569" s="93"/>
      <c r="GAC569" s="93"/>
      <c r="GAD569" s="93"/>
    </row>
    <row r="570" spans="1:4762" s="93" customFormat="1" ht="25.15" customHeight="1" outlineLevel="1" x14ac:dyDescent="0.25">
      <c r="A570" s="80" t="s">
        <v>202</v>
      </c>
      <c r="B570" s="80"/>
      <c r="C570" s="80"/>
      <c r="D570" s="89" t="s">
        <v>1758</v>
      </c>
      <c r="E570" s="90" t="s">
        <v>469</v>
      </c>
      <c r="F570" s="90" t="s">
        <v>50</v>
      </c>
      <c r="G570" s="80" t="s">
        <v>4360</v>
      </c>
      <c r="H570" s="90" t="s">
        <v>998</v>
      </c>
      <c r="I570" s="90" t="s">
        <v>7</v>
      </c>
      <c r="J570" s="80"/>
      <c r="K570" s="90" t="s">
        <v>999</v>
      </c>
      <c r="L570" s="80"/>
      <c r="M570" s="90" t="s">
        <v>1005</v>
      </c>
      <c r="N570" s="92" t="s">
        <v>31</v>
      </c>
      <c r="O570" s="37">
        <v>6861</v>
      </c>
      <c r="P570" s="37">
        <v>2482</v>
      </c>
      <c r="Q570" s="37">
        <v>2110</v>
      </c>
      <c r="R570" s="37"/>
      <c r="S570" s="37">
        <v>3322</v>
      </c>
      <c r="T570" s="37">
        <v>2540</v>
      </c>
      <c r="U570" s="37">
        <v>9025</v>
      </c>
      <c r="V570" s="37">
        <v>1157</v>
      </c>
      <c r="W570" s="37">
        <v>5000</v>
      </c>
      <c r="X570" s="37">
        <v>2700</v>
      </c>
      <c r="Y570" s="37"/>
      <c r="Z570" s="37">
        <v>15</v>
      </c>
      <c r="AA570" s="37" t="s">
        <v>2644</v>
      </c>
      <c r="AB570" s="37">
        <v>16000</v>
      </c>
      <c r="AC570" s="37">
        <v>8422</v>
      </c>
      <c r="AD570" s="37"/>
      <c r="AE570" s="37"/>
      <c r="AF570" s="37"/>
      <c r="AG570" s="37"/>
      <c r="AH570" s="37">
        <v>35.799999999999997</v>
      </c>
      <c r="AI570" s="38" t="s">
        <v>2878</v>
      </c>
      <c r="AJ570" s="38" t="s">
        <v>2869</v>
      </c>
      <c r="AK570" s="38" t="s">
        <v>2724</v>
      </c>
      <c r="AL570" s="38" t="s">
        <v>2726</v>
      </c>
      <c r="AM570" s="38" t="s">
        <v>2944</v>
      </c>
      <c r="AN570" s="38" t="s">
        <v>2916</v>
      </c>
      <c r="AO570" s="198" t="s">
        <v>3145</v>
      </c>
      <c r="AP570" s="104" t="s">
        <v>3140</v>
      </c>
      <c r="AQ570" s="80"/>
      <c r="AR570" s="80"/>
      <c r="AS570" s="104" t="s">
        <v>2589</v>
      </c>
      <c r="AT570" s="104" t="s">
        <v>2580</v>
      </c>
      <c r="AU570" s="200" t="s">
        <v>3272</v>
      </c>
      <c r="AV570" s="199" t="s">
        <v>3188</v>
      </c>
      <c r="AW570" s="84" t="s">
        <v>3180</v>
      </c>
      <c r="AX570" s="94"/>
      <c r="AY570" s="94"/>
      <c r="AZ570" s="94"/>
      <c r="BA570" s="94"/>
      <c r="BB570" s="94"/>
      <c r="BC570" s="94"/>
      <c r="BD570" s="94"/>
      <c r="BE570" s="94"/>
      <c r="BF570" s="94"/>
      <c r="BG570" s="94"/>
      <c r="BH570" s="94"/>
      <c r="BI570" s="94"/>
      <c r="BJ570" s="94"/>
      <c r="BK570" s="94"/>
      <c r="BL570" s="94"/>
      <c r="BM570" s="80"/>
      <c r="BN570" s="80"/>
      <c r="BO570" s="80"/>
      <c r="BP570" s="80"/>
      <c r="BQ570" s="80"/>
      <c r="BR570" s="80"/>
      <c r="BS570" s="80"/>
      <c r="BT570" s="80"/>
    </row>
    <row r="571" spans="1:4762" s="93" customFormat="1" ht="25.15" customHeight="1" outlineLevel="1" x14ac:dyDescent="0.25">
      <c r="A571" s="80" t="s">
        <v>202</v>
      </c>
      <c r="B571" s="80"/>
      <c r="C571" s="80"/>
      <c r="D571" s="89" t="s">
        <v>1758</v>
      </c>
      <c r="E571" s="90" t="s">
        <v>469</v>
      </c>
      <c r="F571" s="90" t="s">
        <v>50</v>
      </c>
      <c r="G571" s="80" t="s">
        <v>42</v>
      </c>
      <c r="H571" s="90" t="s">
        <v>998</v>
      </c>
      <c r="I571" s="90" t="s">
        <v>7</v>
      </c>
      <c r="J571" s="80"/>
      <c r="K571" s="90" t="s">
        <v>999</v>
      </c>
      <c r="L571" s="80"/>
      <c r="M571" s="90" t="s">
        <v>1006</v>
      </c>
      <c r="N571" s="92" t="s">
        <v>31</v>
      </c>
      <c r="O571" s="37">
        <v>8061</v>
      </c>
      <c r="P571" s="37">
        <v>2482</v>
      </c>
      <c r="Q571" s="37">
        <v>2110</v>
      </c>
      <c r="R571" s="37"/>
      <c r="S571" s="37">
        <v>3321</v>
      </c>
      <c r="T571" s="37">
        <v>2540</v>
      </c>
      <c r="U571" s="37">
        <v>10225</v>
      </c>
      <c r="V571" s="37">
        <v>1156</v>
      </c>
      <c r="W571" s="37">
        <v>5900</v>
      </c>
      <c r="X571" s="37">
        <v>3000</v>
      </c>
      <c r="Y571" s="37"/>
      <c r="Z571" s="37">
        <v>18</v>
      </c>
      <c r="AA571" s="37" t="s">
        <v>2645</v>
      </c>
      <c r="AB571" s="37">
        <v>16000</v>
      </c>
      <c r="AC571" s="37">
        <v>7957</v>
      </c>
      <c r="AD571" s="37"/>
      <c r="AE571" s="37"/>
      <c r="AF571" s="37"/>
      <c r="AG571" s="37"/>
      <c r="AH571" s="37">
        <v>42.2</v>
      </c>
      <c r="AI571" s="38" t="s">
        <v>2878</v>
      </c>
      <c r="AJ571" s="38" t="s">
        <v>2869</v>
      </c>
      <c r="AK571" s="38" t="s">
        <v>2724</v>
      </c>
      <c r="AL571" s="38" t="s">
        <v>2726</v>
      </c>
      <c r="AM571" s="38" t="s">
        <v>2944</v>
      </c>
      <c r="AN571" s="38" t="s">
        <v>2916</v>
      </c>
      <c r="AO571" s="198" t="s">
        <v>3145</v>
      </c>
      <c r="AP571" s="104" t="s">
        <v>3140</v>
      </c>
      <c r="AQ571" s="80"/>
      <c r="AR571" s="80"/>
      <c r="AS571" s="104" t="s">
        <v>2589</v>
      </c>
      <c r="AT571" s="104" t="s">
        <v>2580</v>
      </c>
      <c r="AU571" s="200" t="s">
        <v>3273</v>
      </c>
      <c r="AV571" s="199" t="s">
        <v>3188</v>
      </c>
      <c r="AW571" s="84" t="s">
        <v>3180</v>
      </c>
      <c r="AX571" s="94"/>
      <c r="AY571" s="94"/>
      <c r="AZ571" s="94"/>
      <c r="BA571" s="94"/>
      <c r="BB571" s="94"/>
      <c r="BC571" s="94"/>
      <c r="BD571" s="94"/>
      <c r="BE571" s="94"/>
      <c r="BF571" s="94"/>
      <c r="BG571" s="94"/>
      <c r="BH571" s="94"/>
      <c r="BI571" s="94"/>
      <c r="BJ571" s="94"/>
      <c r="BK571" s="94"/>
      <c r="BL571" s="94"/>
      <c r="BM571" s="80"/>
      <c r="BN571" s="80"/>
      <c r="BO571" s="80"/>
      <c r="BP571" s="80"/>
      <c r="BQ571" s="80"/>
      <c r="BR571" s="80"/>
      <c r="BS571" s="80"/>
      <c r="BT571" s="80"/>
    </row>
    <row r="572" spans="1:4762" s="95" customFormat="1" ht="25.15" customHeight="1" outlineLevel="1" x14ac:dyDescent="0.25">
      <c r="A572" s="80" t="s">
        <v>202</v>
      </c>
      <c r="B572" s="80"/>
      <c r="C572" s="80"/>
      <c r="D572" s="89" t="s">
        <v>1758</v>
      </c>
      <c r="E572" s="90" t="s">
        <v>469</v>
      </c>
      <c r="F572" s="80" t="s">
        <v>50</v>
      </c>
      <c r="G572" s="80" t="s">
        <v>42</v>
      </c>
      <c r="H572" s="80" t="s">
        <v>998</v>
      </c>
      <c r="I572" s="80" t="s">
        <v>7</v>
      </c>
      <c r="J572" s="80"/>
      <c r="K572" s="90" t="s">
        <v>999</v>
      </c>
      <c r="L572" s="80"/>
      <c r="M572" s="80" t="s">
        <v>2621</v>
      </c>
      <c r="N572" s="92" t="s">
        <v>31</v>
      </c>
      <c r="O572" s="37">
        <v>8061</v>
      </c>
      <c r="P572" s="37">
        <v>2482</v>
      </c>
      <c r="Q572" s="37">
        <v>2110</v>
      </c>
      <c r="R572" s="37"/>
      <c r="S572" s="37">
        <v>3463</v>
      </c>
      <c r="T572" s="37">
        <v>2540</v>
      </c>
      <c r="U572" s="37">
        <v>10320</v>
      </c>
      <c r="V572" s="37">
        <v>1298</v>
      </c>
      <c r="W572" s="37">
        <v>5800</v>
      </c>
      <c r="X572" s="37">
        <v>3100</v>
      </c>
      <c r="Y572" s="37"/>
      <c r="Z572" s="37">
        <v>18</v>
      </c>
      <c r="AA572" s="37" t="s">
        <v>2646</v>
      </c>
      <c r="AB572" s="37">
        <v>19000</v>
      </c>
      <c r="AC572" s="37">
        <v>9600</v>
      </c>
      <c r="AD572" s="37"/>
      <c r="AE572" s="37"/>
      <c r="AF572" s="37"/>
      <c r="AG572" s="37"/>
      <c r="AH572" s="37">
        <v>42.2</v>
      </c>
      <c r="AI572" s="38" t="s">
        <v>2878</v>
      </c>
      <c r="AJ572" s="38" t="s">
        <v>2869</v>
      </c>
      <c r="AK572" s="38" t="s">
        <v>2725</v>
      </c>
      <c r="AL572" s="38" t="s">
        <v>2727</v>
      </c>
      <c r="AM572" s="38" t="s">
        <v>2945</v>
      </c>
      <c r="AN572" s="38" t="s">
        <v>2917</v>
      </c>
      <c r="AO572" s="197" t="s">
        <v>3145</v>
      </c>
      <c r="AP572" s="100" t="s">
        <v>3140</v>
      </c>
      <c r="AQ572" s="80"/>
      <c r="AR572" s="80"/>
      <c r="AS572" s="100" t="s">
        <v>2589</v>
      </c>
      <c r="AT572" s="100" t="s">
        <v>2580</v>
      </c>
      <c r="AU572" s="199" t="s">
        <v>3274</v>
      </c>
      <c r="AV572" s="199" t="s">
        <v>3188</v>
      </c>
      <c r="AW572" s="84" t="s">
        <v>3180</v>
      </c>
      <c r="AX572" s="91"/>
      <c r="AY572" s="91"/>
      <c r="AZ572" s="91"/>
      <c r="BA572" s="91"/>
      <c r="BB572" s="91"/>
      <c r="BC572" s="91"/>
      <c r="BD572" s="91"/>
      <c r="BE572" s="91"/>
      <c r="BF572" s="91"/>
      <c r="BG572" s="91"/>
      <c r="BH572" s="91"/>
      <c r="BI572" s="91"/>
      <c r="BJ572" s="91"/>
      <c r="BK572" s="91"/>
      <c r="BL572" s="91"/>
      <c r="BM572" s="80"/>
      <c r="BN572" s="80"/>
      <c r="BO572" s="80"/>
      <c r="BP572" s="80"/>
      <c r="BQ572" s="80"/>
      <c r="BR572" s="80"/>
      <c r="BS572" s="80"/>
      <c r="BT572" s="80"/>
      <c r="BU572" s="93"/>
      <c r="BV572" s="93"/>
      <c r="BW572" s="93"/>
      <c r="BX572" s="93"/>
      <c r="BY572" s="93"/>
      <c r="BZ572" s="93"/>
      <c r="CA572" s="93"/>
      <c r="CB572" s="93"/>
      <c r="CC572" s="93"/>
      <c r="CD572" s="93"/>
      <c r="CE572" s="93"/>
      <c r="CF572" s="93"/>
      <c r="CG572" s="93"/>
      <c r="CH572" s="93"/>
      <c r="CI572" s="93"/>
      <c r="CJ572" s="93"/>
      <c r="CK572" s="93"/>
      <c r="CL572" s="93"/>
      <c r="CM572" s="93"/>
      <c r="CN572" s="93"/>
      <c r="CO572" s="93"/>
      <c r="CP572" s="93"/>
      <c r="CQ572" s="93"/>
      <c r="CR572" s="93"/>
      <c r="CS572" s="93"/>
      <c r="CT572" s="93"/>
      <c r="CU572" s="93"/>
      <c r="CV572" s="93"/>
      <c r="CW572" s="93"/>
      <c r="CX572" s="93"/>
      <c r="CY572" s="93"/>
      <c r="CZ572" s="93"/>
      <c r="DA572" s="93"/>
      <c r="DB572" s="93"/>
      <c r="DC572" s="93"/>
      <c r="DD572" s="93"/>
      <c r="DE572" s="93"/>
      <c r="DF572" s="93"/>
      <c r="DG572" s="93"/>
      <c r="DH572" s="93"/>
      <c r="DI572" s="93"/>
      <c r="DJ572" s="93"/>
      <c r="DK572" s="93"/>
      <c r="DL572" s="93"/>
      <c r="DM572" s="93"/>
      <c r="DN572" s="93"/>
      <c r="DO572" s="93"/>
      <c r="DP572" s="93"/>
      <c r="DQ572" s="93"/>
      <c r="DR572" s="93"/>
      <c r="DS572" s="93"/>
      <c r="DT572" s="93"/>
      <c r="DU572" s="93"/>
      <c r="DV572" s="93"/>
      <c r="DW572" s="93"/>
      <c r="DX572" s="93"/>
      <c r="DY572" s="93"/>
      <c r="DZ572" s="93"/>
      <c r="EA572" s="93"/>
      <c r="EB572" s="93"/>
      <c r="EC572" s="93"/>
      <c r="ED572" s="93"/>
      <c r="EE572" s="93"/>
      <c r="EF572" s="93"/>
      <c r="EG572" s="93"/>
      <c r="EH572" s="93"/>
      <c r="EI572" s="93"/>
      <c r="EJ572" s="93"/>
      <c r="EK572" s="93"/>
      <c r="EL572" s="93"/>
      <c r="EM572" s="93"/>
      <c r="EN572" s="93"/>
      <c r="EO572" s="93"/>
      <c r="EP572" s="93"/>
      <c r="EQ572" s="93"/>
      <c r="ER572" s="93"/>
      <c r="ES572" s="93"/>
      <c r="ET572" s="93"/>
      <c r="EU572" s="93"/>
      <c r="EV572" s="93"/>
      <c r="EW572" s="93"/>
      <c r="EX572" s="93"/>
      <c r="EY572" s="93"/>
      <c r="EZ572" s="93"/>
      <c r="FA572" s="93"/>
      <c r="FB572" s="93"/>
      <c r="FC572" s="93"/>
      <c r="FD572" s="93"/>
      <c r="FE572" s="93"/>
      <c r="FF572" s="93"/>
      <c r="FG572" s="93"/>
      <c r="FH572" s="93"/>
      <c r="FI572" s="93"/>
      <c r="FJ572" s="93"/>
      <c r="FK572" s="93"/>
      <c r="FL572" s="93"/>
      <c r="FM572" s="93"/>
      <c r="FN572" s="93"/>
      <c r="FO572" s="93"/>
      <c r="FP572" s="93"/>
      <c r="FQ572" s="93"/>
      <c r="FR572" s="93"/>
      <c r="FS572" s="93"/>
      <c r="FT572" s="93"/>
      <c r="FU572" s="93"/>
      <c r="FV572" s="93"/>
      <c r="FW572" s="93"/>
      <c r="FX572" s="93"/>
      <c r="FY572" s="93"/>
      <c r="FZ572" s="93"/>
      <c r="GA572" s="93"/>
      <c r="GB572" s="93"/>
      <c r="GC572" s="93"/>
      <c r="GD572" s="93"/>
      <c r="GE572" s="93"/>
      <c r="GF572" s="93"/>
      <c r="GG572" s="93"/>
      <c r="GH572" s="93"/>
      <c r="GI572" s="93"/>
      <c r="GJ572" s="93"/>
      <c r="GK572" s="93"/>
      <c r="GL572" s="93"/>
      <c r="GM572" s="93"/>
      <c r="GN572" s="93"/>
      <c r="GO572" s="93"/>
      <c r="GP572" s="93"/>
      <c r="GQ572" s="93"/>
      <c r="GR572" s="93"/>
      <c r="GS572" s="93"/>
      <c r="GT572" s="93"/>
      <c r="GU572" s="93"/>
      <c r="GV572" s="93"/>
      <c r="GW572" s="93"/>
      <c r="GX572" s="93"/>
      <c r="GY572" s="93"/>
      <c r="GZ572" s="93"/>
      <c r="HA572" s="93"/>
      <c r="HB572" s="93"/>
      <c r="HC572" s="93"/>
      <c r="HD572" s="93"/>
      <c r="HE572" s="93"/>
      <c r="HF572" s="93"/>
      <c r="HG572" s="93"/>
      <c r="HH572" s="93"/>
      <c r="HI572" s="93"/>
      <c r="HJ572" s="93"/>
      <c r="HK572" s="93"/>
      <c r="HL572" s="93"/>
      <c r="HM572" s="93"/>
      <c r="HN572" s="93"/>
      <c r="HO572" s="93"/>
      <c r="HP572" s="93"/>
      <c r="HQ572" s="93"/>
      <c r="HR572" s="93"/>
      <c r="HS572" s="93"/>
      <c r="HT572" s="93"/>
      <c r="HU572" s="93"/>
      <c r="HV572" s="93"/>
      <c r="HW572" s="93"/>
      <c r="HX572" s="93"/>
      <c r="HY572" s="93"/>
      <c r="HZ572" s="93"/>
      <c r="IA572" s="93"/>
      <c r="IB572" s="93"/>
      <c r="IC572" s="93"/>
      <c r="ID572" s="93"/>
      <c r="IE572" s="93"/>
      <c r="IF572" s="93"/>
      <c r="IG572" s="93"/>
      <c r="IH572" s="93"/>
      <c r="II572" s="93"/>
      <c r="IJ572" s="93"/>
      <c r="IK572" s="93"/>
      <c r="IL572" s="93"/>
      <c r="IM572" s="93"/>
      <c r="IN572" s="93"/>
      <c r="IO572" s="93"/>
      <c r="IP572" s="93"/>
      <c r="IQ572" s="93"/>
      <c r="IR572" s="93"/>
      <c r="IS572" s="93"/>
      <c r="IT572" s="93"/>
      <c r="IU572" s="93"/>
      <c r="IV572" s="93"/>
      <c r="IW572" s="93"/>
      <c r="IX572" s="93"/>
      <c r="IY572" s="93"/>
      <c r="IZ572" s="93"/>
      <c r="JA572" s="93"/>
      <c r="JB572" s="93"/>
      <c r="JC572" s="93"/>
      <c r="JD572" s="93"/>
      <c r="JE572" s="93"/>
      <c r="JF572" s="93"/>
      <c r="JG572" s="93"/>
      <c r="JH572" s="93"/>
      <c r="JI572" s="93"/>
      <c r="JJ572" s="93"/>
      <c r="JK572" s="93"/>
      <c r="JL572" s="93"/>
      <c r="JM572" s="93"/>
      <c r="JN572" s="93"/>
      <c r="JO572" s="93"/>
      <c r="JP572" s="93"/>
      <c r="JQ572" s="93"/>
      <c r="JR572" s="93"/>
      <c r="JS572" s="93"/>
      <c r="JT572" s="93"/>
      <c r="JU572" s="93"/>
      <c r="JV572" s="93"/>
      <c r="JW572" s="93"/>
      <c r="JX572" s="93"/>
      <c r="JY572" s="93"/>
      <c r="JZ572" s="93"/>
      <c r="KA572" s="93"/>
      <c r="KB572" s="93"/>
      <c r="KC572" s="93"/>
      <c r="KD572" s="93"/>
      <c r="KE572" s="93"/>
      <c r="KF572" s="93"/>
      <c r="KG572" s="93"/>
      <c r="KH572" s="93"/>
      <c r="KI572" s="93"/>
      <c r="KJ572" s="93"/>
      <c r="KK572" s="93"/>
      <c r="KL572" s="93"/>
      <c r="KM572" s="93"/>
      <c r="KN572" s="93"/>
      <c r="KO572" s="93"/>
      <c r="KP572" s="93"/>
      <c r="KQ572" s="93"/>
      <c r="KR572" s="93"/>
      <c r="KS572" s="93"/>
      <c r="KT572" s="93"/>
      <c r="KU572" s="93"/>
      <c r="KV572" s="93"/>
      <c r="KW572" s="93"/>
      <c r="KX572" s="93"/>
      <c r="KY572" s="93"/>
      <c r="KZ572" s="93"/>
      <c r="LA572" s="93"/>
      <c r="LB572" s="93"/>
      <c r="LC572" s="93"/>
      <c r="LD572" s="93"/>
      <c r="LE572" s="93"/>
      <c r="LF572" s="93"/>
      <c r="LG572" s="93"/>
      <c r="LH572" s="93"/>
      <c r="LI572" s="93"/>
      <c r="LJ572" s="93"/>
      <c r="LK572" s="93"/>
      <c r="LL572" s="93"/>
      <c r="LM572" s="93"/>
      <c r="LN572" s="93"/>
      <c r="LO572" s="93"/>
      <c r="LP572" s="93"/>
      <c r="LQ572" s="93"/>
      <c r="LR572" s="93"/>
      <c r="LS572" s="93"/>
      <c r="LT572" s="93"/>
      <c r="LU572" s="93"/>
      <c r="LV572" s="93"/>
      <c r="LW572" s="93"/>
      <c r="LX572" s="93"/>
      <c r="LY572" s="93"/>
      <c r="LZ572" s="93"/>
      <c r="MA572" s="93"/>
      <c r="MB572" s="93"/>
      <c r="MC572" s="93"/>
      <c r="MD572" s="93"/>
      <c r="ME572" s="93"/>
      <c r="MF572" s="93"/>
      <c r="MG572" s="93"/>
      <c r="MH572" s="93"/>
      <c r="MI572" s="93"/>
      <c r="MJ572" s="93"/>
      <c r="MK572" s="93"/>
      <c r="ML572" s="93"/>
      <c r="MM572" s="93"/>
      <c r="MN572" s="93"/>
      <c r="MO572" s="93"/>
      <c r="MP572" s="93"/>
      <c r="MQ572" s="93"/>
      <c r="MR572" s="93"/>
      <c r="MS572" s="93"/>
      <c r="MT572" s="93"/>
      <c r="MU572" s="93"/>
      <c r="MV572" s="93"/>
      <c r="MW572" s="93"/>
      <c r="MX572" s="93"/>
      <c r="MY572" s="93"/>
      <c r="MZ572" s="93"/>
      <c r="NA572" s="93"/>
      <c r="NB572" s="93"/>
      <c r="NC572" s="93"/>
      <c r="ND572" s="93"/>
      <c r="NE572" s="93"/>
      <c r="NF572" s="93"/>
      <c r="NG572" s="93"/>
      <c r="NH572" s="93"/>
      <c r="NI572" s="93"/>
      <c r="NJ572" s="93"/>
      <c r="NK572" s="93"/>
      <c r="NL572" s="93"/>
      <c r="NM572" s="93"/>
      <c r="NN572" s="93"/>
      <c r="NO572" s="93"/>
      <c r="NP572" s="93"/>
      <c r="NQ572" s="93"/>
      <c r="NR572" s="93"/>
      <c r="NS572" s="93"/>
      <c r="NT572" s="93"/>
      <c r="NU572" s="93"/>
      <c r="NV572" s="93"/>
      <c r="NW572" s="93"/>
      <c r="NX572" s="93"/>
      <c r="NY572" s="93"/>
      <c r="NZ572" s="93"/>
      <c r="OA572" s="93"/>
      <c r="OB572" s="93"/>
      <c r="OC572" s="93"/>
      <c r="OD572" s="93"/>
      <c r="OE572" s="93"/>
      <c r="OF572" s="93"/>
      <c r="OG572" s="93"/>
      <c r="OH572" s="93"/>
      <c r="OI572" s="93"/>
      <c r="OJ572" s="93"/>
      <c r="OK572" s="93"/>
      <c r="OL572" s="93"/>
      <c r="OM572" s="93"/>
      <c r="ON572" s="93"/>
      <c r="OO572" s="93"/>
      <c r="OP572" s="93"/>
      <c r="OQ572" s="93"/>
      <c r="OR572" s="93"/>
      <c r="OS572" s="93"/>
      <c r="OT572" s="93"/>
      <c r="OU572" s="93"/>
      <c r="OV572" s="93"/>
      <c r="OW572" s="93"/>
      <c r="OX572" s="93"/>
      <c r="OY572" s="93"/>
      <c r="OZ572" s="93"/>
      <c r="PA572" s="93"/>
      <c r="PB572" s="93"/>
      <c r="PC572" s="93"/>
      <c r="PD572" s="93"/>
      <c r="PE572" s="93"/>
      <c r="PF572" s="93"/>
      <c r="PG572" s="93"/>
      <c r="PH572" s="93"/>
      <c r="PI572" s="93"/>
      <c r="PJ572" s="93"/>
      <c r="PK572" s="93"/>
      <c r="PL572" s="93"/>
      <c r="PM572" s="93"/>
      <c r="PN572" s="93"/>
      <c r="PO572" s="93"/>
      <c r="PP572" s="93"/>
      <c r="PQ572" s="93"/>
      <c r="PR572" s="93"/>
      <c r="PS572" s="93"/>
      <c r="PT572" s="93"/>
      <c r="PU572" s="93"/>
      <c r="PV572" s="93"/>
      <c r="PW572" s="93"/>
      <c r="PX572" s="93"/>
      <c r="PY572" s="93"/>
      <c r="PZ572" s="93"/>
      <c r="QA572" s="93"/>
      <c r="QB572" s="93"/>
      <c r="QC572" s="93"/>
      <c r="QD572" s="93"/>
      <c r="QE572" s="93"/>
      <c r="QF572" s="93"/>
      <c r="QG572" s="93"/>
      <c r="QH572" s="93"/>
      <c r="QI572" s="93"/>
      <c r="QJ572" s="93"/>
      <c r="QK572" s="93"/>
      <c r="QL572" s="93"/>
      <c r="QM572" s="93"/>
      <c r="QN572" s="93"/>
      <c r="QO572" s="93"/>
      <c r="QP572" s="93"/>
      <c r="QQ572" s="93"/>
      <c r="QR572" s="93"/>
      <c r="QS572" s="93"/>
      <c r="QT572" s="93"/>
      <c r="QU572" s="93"/>
      <c r="QV572" s="93"/>
      <c r="QW572" s="93"/>
      <c r="QX572" s="93"/>
      <c r="QY572" s="93"/>
      <c r="QZ572" s="93"/>
      <c r="RA572" s="93"/>
      <c r="RB572" s="93"/>
      <c r="RC572" s="93"/>
      <c r="RD572" s="93"/>
      <c r="RE572" s="93"/>
      <c r="RF572" s="93"/>
      <c r="RG572" s="93"/>
      <c r="RH572" s="93"/>
      <c r="RI572" s="93"/>
      <c r="RJ572" s="93"/>
      <c r="RK572" s="93"/>
      <c r="RL572" s="93"/>
      <c r="RM572" s="93"/>
      <c r="RN572" s="93"/>
      <c r="RO572" s="93"/>
      <c r="RP572" s="93"/>
      <c r="RQ572" s="93"/>
      <c r="RR572" s="93"/>
      <c r="RS572" s="93"/>
      <c r="RT572" s="93"/>
      <c r="RU572" s="93"/>
      <c r="RV572" s="93"/>
      <c r="RW572" s="93"/>
      <c r="RX572" s="93"/>
      <c r="RY572" s="93"/>
      <c r="RZ572" s="93"/>
      <c r="SA572" s="93"/>
      <c r="SB572" s="93"/>
      <c r="SC572" s="93"/>
      <c r="SD572" s="93"/>
      <c r="SE572" s="93"/>
      <c r="SF572" s="93"/>
      <c r="SG572" s="93"/>
      <c r="SH572" s="93"/>
      <c r="SI572" s="93"/>
      <c r="SJ572" s="93"/>
      <c r="SK572" s="93"/>
      <c r="SL572" s="93"/>
      <c r="SM572" s="93"/>
      <c r="SN572" s="93"/>
      <c r="SO572" s="93"/>
      <c r="SP572" s="93"/>
      <c r="SQ572" s="93"/>
      <c r="SR572" s="93"/>
      <c r="SS572" s="93"/>
      <c r="ST572" s="93"/>
      <c r="SU572" s="93"/>
      <c r="SV572" s="93"/>
      <c r="SW572" s="93"/>
      <c r="SX572" s="93"/>
      <c r="SY572" s="93"/>
      <c r="SZ572" s="93"/>
      <c r="TA572" s="93"/>
      <c r="TB572" s="93"/>
      <c r="TC572" s="93"/>
      <c r="TD572" s="93"/>
      <c r="TE572" s="93"/>
      <c r="TF572" s="93"/>
      <c r="TG572" s="93"/>
      <c r="TH572" s="93"/>
      <c r="TI572" s="93"/>
      <c r="TJ572" s="93"/>
      <c r="TK572" s="93"/>
      <c r="TL572" s="93"/>
      <c r="TM572" s="93"/>
      <c r="TN572" s="93"/>
      <c r="TO572" s="93"/>
      <c r="TP572" s="93"/>
      <c r="TQ572" s="93"/>
      <c r="TR572" s="93"/>
      <c r="TS572" s="93"/>
      <c r="TT572" s="93"/>
      <c r="TU572" s="93"/>
      <c r="TV572" s="93"/>
      <c r="TW572" s="93"/>
      <c r="TX572" s="93"/>
      <c r="TY572" s="93"/>
      <c r="TZ572" s="93"/>
      <c r="UA572" s="93"/>
      <c r="UB572" s="93"/>
      <c r="UC572" s="93"/>
      <c r="UD572" s="93"/>
      <c r="UE572" s="93"/>
      <c r="UF572" s="93"/>
      <c r="UG572" s="93"/>
      <c r="UH572" s="93"/>
      <c r="UI572" s="93"/>
      <c r="UJ572" s="93"/>
      <c r="UK572" s="93"/>
      <c r="UL572" s="93"/>
      <c r="UM572" s="93"/>
      <c r="UN572" s="93"/>
      <c r="UO572" s="93"/>
      <c r="UP572" s="93"/>
      <c r="UQ572" s="93"/>
      <c r="UR572" s="93"/>
      <c r="US572" s="93"/>
      <c r="UT572" s="93"/>
      <c r="UU572" s="93"/>
      <c r="UV572" s="93"/>
      <c r="UW572" s="93"/>
      <c r="UX572" s="93"/>
      <c r="UY572" s="93"/>
      <c r="UZ572" s="93"/>
      <c r="VA572" s="93"/>
      <c r="VB572" s="93"/>
      <c r="VC572" s="93"/>
      <c r="VD572" s="93"/>
      <c r="VE572" s="93"/>
      <c r="VF572" s="93"/>
      <c r="VG572" s="93"/>
      <c r="VH572" s="93"/>
      <c r="VI572" s="93"/>
      <c r="VJ572" s="93"/>
      <c r="VK572" s="93"/>
      <c r="VL572" s="93"/>
      <c r="VM572" s="93"/>
      <c r="VN572" s="93"/>
      <c r="VO572" s="93"/>
      <c r="VP572" s="93"/>
      <c r="VQ572" s="93"/>
      <c r="VR572" s="93"/>
      <c r="VS572" s="93"/>
      <c r="VT572" s="93"/>
      <c r="VU572" s="93"/>
      <c r="VV572" s="93"/>
      <c r="VW572" s="93"/>
      <c r="VX572" s="93"/>
      <c r="VY572" s="93"/>
      <c r="VZ572" s="93"/>
      <c r="WA572" s="93"/>
      <c r="WB572" s="93"/>
      <c r="WC572" s="93"/>
      <c r="WD572" s="93"/>
      <c r="WE572" s="93"/>
      <c r="WF572" s="93"/>
      <c r="WG572" s="93"/>
      <c r="WH572" s="93"/>
      <c r="WI572" s="93"/>
      <c r="WJ572" s="93"/>
      <c r="WK572" s="93"/>
      <c r="WL572" s="93"/>
      <c r="WM572" s="93"/>
      <c r="WN572" s="93"/>
      <c r="WO572" s="93"/>
      <c r="WP572" s="93"/>
      <c r="WQ572" s="93"/>
      <c r="WR572" s="93"/>
      <c r="WS572" s="93"/>
      <c r="WT572" s="93"/>
      <c r="WU572" s="93"/>
      <c r="WV572" s="93"/>
      <c r="WW572" s="93"/>
      <c r="WX572" s="93"/>
      <c r="WY572" s="93"/>
      <c r="WZ572" s="93"/>
      <c r="XA572" s="93"/>
      <c r="XB572" s="93"/>
      <c r="XC572" s="93"/>
      <c r="XD572" s="93"/>
      <c r="XE572" s="93"/>
      <c r="XF572" s="93"/>
      <c r="XG572" s="93"/>
      <c r="XH572" s="93"/>
      <c r="XI572" s="93"/>
      <c r="XJ572" s="93"/>
      <c r="XK572" s="93"/>
      <c r="XL572" s="93"/>
      <c r="XM572" s="93"/>
      <c r="XN572" s="93"/>
      <c r="XO572" s="93"/>
      <c r="XP572" s="93"/>
      <c r="XQ572" s="93"/>
      <c r="XR572" s="93"/>
      <c r="XS572" s="93"/>
      <c r="XT572" s="93"/>
      <c r="XU572" s="93"/>
      <c r="XV572" s="93"/>
      <c r="XW572" s="93"/>
      <c r="XX572" s="93"/>
      <c r="XY572" s="93"/>
      <c r="XZ572" s="93"/>
      <c r="YA572" s="93"/>
      <c r="YB572" s="93"/>
      <c r="YC572" s="93"/>
      <c r="YD572" s="93"/>
      <c r="YE572" s="93"/>
      <c r="YF572" s="93"/>
      <c r="YG572" s="93"/>
      <c r="YH572" s="93"/>
      <c r="YI572" s="93"/>
      <c r="YJ572" s="93"/>
      <c r="YK572" s="93"/>
      <c r="YL572" s="93"/>
      <c r="YM572" s="93"/>
      <c r="YN572" s="93"/>
      <c r="YO572" s="93"/>
      <c r="YP572" s="93"/>
      <c r="YQ572" s="93"/>
      <c r="YR572" s="93"/>
      <c r="YS572" s="93"/>
      <c r="YT572" s="93"/>
      <c r="YU572" s="93"/>
      <c r="YV572" s="93"/>
      <c r="YW572" s="93"/>
      <c r="YX572" s="93"/>
      <c r="YY572" s="93"/>
      <c r="YZ572" s="93"/>
      <c r="ZA572" s="93"/>
      <c r="ZB572" s="93"/>
      <c r="ZC572" s="93"/>
      <c r="ZD572" s="93"/>
      <c r="ZE572" s="93"/>
      <c r="ZF572" s="93"/>
      <c r="ZG572" s="93"/>
      <c r="ZH572" s="93"/>
      <c r="ZI572" s="93"/>
      <c r="ZJ572" s="93"/>
      <c r="ZK572" s="93"/>
      <c r="ZL572" s="93"/>
      <c r="ZM572" s="93"/>
      <c r="ZN572" s="93"/>
      <c r="ZO572" s="93"/>
      <c r="ZP572" s="93"/>
      <c r="ZQ572" s="93"/>
      <c r="ZR572" s="93"/>
      <c r="ZS572" s="93"/>
      <c r="ZT572" s="93"/>
      <c r="ZU572" s="93"/>
      <c r="ZV572" s="93"/>
      <c r="ZW572" s="93"/>
      <c r="ZX572" s="93"/>
      <c r="ZY572" s="93"/>
      <c r="ZZ572" s="93"/>
      <c r="AAA572" s="93"/>
      <c r="AAB572" s="93"/>
      <c r="AAC572" s="93"/>
      <c r="AAD572" s="93"/>
      <c r="AAE572" s="93"/>
      <c r="AAF572" s="93"/>
      <c r="AAG572" s="93"/>
      <c r="AAH572" s="93"/>
      <c r="AAI572" s="93"/>
      <c r="AAJ572" s="93"/>
      <c r="AAK572" s="93"/>
      <c r="AAL572" s="93"/>
      <c r="AAM572" s="93"/>
      <c r="AAN572" s="93"/>
      <c r="AAO572" s="93"/>
      <c r="AAP572" s="93"/>
      <c r="AAQ572" s="93"/>
      <c r="AAR572" s="93"/>
      <c r="AAS572" s="93"/>
      <c r="AAT572" s="93"/>
      <c r="AAU572" s="93"/>
      <c r="AAV572" s="93"/>
      <c r="AAW572" s="93"/>
      <c r="AAX572" s="93"/>
      <c r="AAY572" s="93"/>
      <c r="AAZ572" s="93"/>
      <c r="ABA572" s="93"/>
      <c r="ABB572" s="93"/>
      <c r="ABC572" s="93"/>
      <c r="ABD572" s="93"/>
      <c r="ABE572" s="93"/>
      <c r="ABF572" s="93"/>
      <c r="ABG572" s="93"/>
      <c r="ABH572" s="93"/>
      <c r="ABI572" s="93"/>
      <c r="ABJ572" s="93"/>
      <c r="ABK572" s="93"/>
      <c r="ABL572" s="93"/>
      <c r="ABM572" s="93"/>
      <c r="ABN572" s="93"/>
      <c r="ABO572" s="93"/>
      <c r="ABP572" s="93"/>
      <c r="ABQ572" s="93"/>
      <c r="ABR572" s="93"/>
      <c r="ABS572" s="93"/>
      <c r="ABT572" s="93"/>
      <c r="ABU572" s="93"/>
      <c r="ABV572" s="93"/>
      <c r="ABW572" s="93"/>
      <c r="ABX572" s="93"/>
      <c r="ABY572" s="93"/>
      <c r="ABZ572" s="93"/>
      <c r="ACA572" s="93"/>
      <c r="ACB572" s="93"/>
      <c r="ACC572" s="93"/>
      <c r="ACD572" s="93"/>
      <c r="ACE572" s="93"/>
      <c r="ACF572" s="93"/>
      <c r="ACG572" s="93"/>
      <c r="ACH572" s="93"/>
      <c r="ACI572" s="93"/>
      <c r="ACJ572" s="93"/>
      <c r="ACK572" s="93"/>
      <c r="ACL572" s="93"/>
      <c r="ACM572" s="93"/>
      <c r="ACN572" s="93"/>
      <c r="ACO572" s="93"/>
      <c r="ACP572" s="93"/>
      <c r="ACQ572" s="93"/>
      <c r="ACR572" s="93"/>
      <c r="ACS572" s="93"/>
      <c r="ACT572" s="93"/>
      <c r="ACU572" s="93"/>
      <c r="ACV572" s="93"/>
      <c r="ACW572" s="93"/>
      <c r="ACX572" s="93"/>
      <c r="ACY572" s="93"/>
      <c r="ACZ572" s="93"/>
      <c r="ADA572" s="93"/>
      <c r="ADB572" s="93"/>
      <c r="ADC572" s="93"/>
      <c r="ADD572" s="93"/>
      <c r="ADE572" s="93"/>
      <c r="ADF572" s="93"/>
      <c r="ADG572" s="93"/>
      <c r="ADH572" s="93"/>
      <c r="ADI572" s="93"/>
      <c r="ADJ572" s="93"/>
      <c r="ADK572" s="93"/>
      <c r="ADL572" s="93"/>
      <c r="ADM572" s="93"/>
      <c r="ADN572" s="93"/>
      <c r="ADO572" s="93"/>
      <c r="ADP572" s="93"/>
      <c r="ADQ572" s="93"/>
      <c r="ADR572" s="93"/>
      <c r="ADS572" s="93"/>
      <c r="ADT572" s="93"/>
      <c r="ADU572" s="93"/>
      <c r="ADV572" s="93"/>
      <c r="ADW572" s="93"/>
      <c r="ADX572" s="93"/>
      <c r="ADY572" s="93"/>
      <c r="ADZ572" s="93"/>
      <c r="AEA572" s="93"/>
      <c r="AEB572" s="93"/>
      <c r="AEC572" s="93"/>
      <c r="AED572" s="93"/>
      <c r="AEE572" s="93"/>
      <c r="AEF572" s="93"/>
      <c r="AEG572" s="93"/>
      <c r="AEH572" s="93"/>
      <c r="AEI572" s="93"/>
      <c r="AEJ572" s="93"/>
      <c r="AEK572" s="93"/>
      <c r="AEL572" s="93"/>
      <c r="AEM572" s="93"/>
      <c r="AEN572" s="93"/>
      <c r="AEO572" s="93"/>
      <c r="AEP572" s="93"/>
      <c r="AEQ572" s="93"/>
      <c r="AER572" s="93"/>
      <c r="AES572" s="93"/>
      <c r="AET572" s="93"/>
      <c r="AEU572" s="93"/>
      <c r="AEV572" s="93"/>
      <c r="AEW572" s="93"/>
      <c r="AEX572" s="93"/>
      <c r="AEY572" s="93"/>
      <c r="AEZ572" s="93"/>
      <c r="AFA572" s="93"/>
      <c r="AFB572" s="93"/>
      <c r="AFC572" s="93"/>
      <c r="AFD572" s="93"/>
      <c r="AFE572" s="93"/>
      <c r="AFF572" s="93"/>
      <c r="AFG572" s="93"/>
      <c r="AFH572" s="93"/>
      <c r="AFI572" s="93"/>
      <c r="AFJ572" s="93"/>
      <c r="AFK572" s="93"/>
      <c r="AFL572" s="93"/>
      <c r="AFM572" s="93"/>
      <c r="AFN572" s="93"/>
      <c r="AFO572" s="93"/>
      <c r="AFP572" s="93"/>
      <c r="AFQ572" s="93"/>
      <c r="AFR572" s="93"/>
      <c r="AFS572" s="93"/>
      <c r="AFT572" s="93"/>
      <c r="AFU572" s="93"/>
      <c r="AFV572" s="93"/>
      <c r="AFW572" s="93"/>
      <c r="AFX572" s="93"/>
      <c r="AFY572" s="93"/>
      <c r="AFZ572" s="93"/>
      <c r="AGA572" s="93"/>
      <c r="AGB572" s="93"/>
      <c r="AGC572" s="93"/>
      <c r="AGD572" s="93"/>
      <c r="AGE572" s="93"/>
      <c r="AGF572" s="93"/>
      <c r="AGG572" s="93"/>
      <c r="AGH572" s="93"/>
      <c r="AGI572" s="93"/>
      <c r="AGJ572" s="93"/>
      <c r="AGK572" s="93"/>
      <c r="AGL572" s="93"/>
      <c r="AGM572" s="93"/>
      <c r="AGN572" s="93"/>
      <c r="AGO572" s="93"/>
      <c r="AGP572" s="93"/>
      <c r="AGQ572" s="93"/>
      <c r="AGR572" s="93"/>
      <c r="AGS572" s="93"/>
      <c r="AGT572" s="93"/>
      <c r="AGU572" s="93"/>
      <c r="AGV572" s="93"/>
      <c r="AGW572" s="93"/>
      <c r="AGX572" s="93"/>
      <c r="AGY572" s="93"/>
      <c r="AGZ572" s="93"/>
      <c r="AHA572" s="93"/>
      <c r="AHB572" s="93"/>
      <c r="AHC572" s="93"/>
      <c r="AHD572" s="93"/>
      <c r="AHE572" s="93"/>
      <c r="AHF572" s="93"/>
      <c r="AHG572" s="93"/>
      <c r="AHH572" s="93"/>
      <c r="AHI572" s="93"/>
      <c r="AHJ572" s="93"/>
      <c r="AHK572" s="93"/>
      <c r="AHL572" s="93"/>
      <c r="AHM572" s="93"/>
      <c r="AHN572" s="93"/>
      <c r="AHO572" s="93"/>
      <c r="AHP572" s="93"/>
      <c r="AHQ572" s="93"/>
      <c r="AHR572" s="93"/>
      <c r="AHS572" s="93"/>
      <c r="AHT572" s="93"/>
      <c r="AHU572" s="93"/>
      <c r="AHV572" s="93"/>
      <c r="AHW572" s="93"/>
      <c r="AHX572" s="93"/>
      <c r="AHY572" s="93"/>
      <c r="AHZ572" s="93"/>
      <c r="AIA572" s="93"/>
      <c r="AIB572" s="93"/>
      <c r="AIC572" s="93"/>
      <c r="AID572" s="93"/>
      <c r="AIE572" s="93"/>
      <c r="AIF572" s="93"/>
      <c r="AIG572" s="93"/>
      <c r="AIH572" s="93"/>
      <c r="AII572" s="93"/>
      <c r="AIJ572" s="93"/>
      <c r="AIK572" s="93"/>
      <c r="AIL572" s="93"/>
      <c r="AIM572" s="93"/>
      <c r="AIN572" s="93"/>
      <c r="AIO572" s="93"/>
      <c r="AIP572" s="93"/>
      <c r="AIQ572" s="93"/>
      <c r="AIR572" s="93"/>
      <c r="AIS572" s="93"/>
      <c r="AIT572" s="93"/>
      <c r="AIU572" s="93"/>
      <c r="AIV572" s="93"/>
      <c r="AIW572" s="93"/>
      <c r="AIX572" s="93"/>
      <c r="AIY572" s="93"/>
      <c r="AIZ572" s="93"/>
      <c r="AJA572" s="93"/>
      <c r="AJB572" s="93"/>
      <c r="AJC572" s="93"/>
      <c r="AJD572" s="93"/>
      <c r="AJE572" s="93"/>
      <c r="AJF572" s="93"/>
      <c r="AJG572" s="93"/>
      <c r="AJH572" s="93"/>
      <c r="AJI572" s="93"/>
      <c r="AJJ572" s="93"/>
      <c r="AJK572" s="93"/>
      <c r="AJL572" s="93"/>
      <c r="AJM572" s="93"/>
      <c r="AJN572" s="93"/>
      <c r="AJO572" s="93"/>
      <c r="AJP572" s="93"/>
      <c r="AJQ572" s="93"/>
      <c r="AJR572" s="93"/>
      <c r="AJS572" s="93"/>
      <c r="AJT572" s="93"/>
      <c r="AJU572" s="93"/>
      <c r="AJV572" s="93"/>
      <c r="AJW572" s="93"/>
      <c r="AJX572" s="93"/>
      <c r="AJY572" s="93"/>
      <c r="AJZ572" s="93"/>
      <c r="AKA572" s="93"/>
      <c r="AKB572" s="93"/>
      <c r="AKC572" s="93"/>
      <c r="AKD572" s="93"/>
      <c r="AKE572" s="93"/>
      <c r="AKF572" s="93"/>
      <c r="AKG572" s="93"/>
      <c r="AKH572" s="93"/>
      <c r="AKI572" s="93"/>
      <c r="AKJ572" s="93"/>
      <c r="AKK572" s="93"/>
      <c r="AKL572" s="93"/>
      <c r="AKM572" s="93"/>
      <c r="AKN572" s="93"/>
      <c r="AKO572" s="93"/>
      <c r="AKP572" s="93"/>
      <c r="AKQ572" s="93"/>
      <c r="AKR572" s="93"/>
      <c r="AKS572" s="93"/>
      <c r="AKT572" s="93"/>
      <c r="AKU572" s="93"/>
      <c r="AKV572" s="93"/>
      <c r="AKW572" s="93"/>
      <c r="AKX572" s="93"/>
      <c r="AKY572" s="93"/>
      <c r="AKZ572" s="93"/>
      <c r="ALA572" s="93"/>
      <c r="ALB572" s="93"/>
      <c r="ALC572" s="93"/>
      <c r="ALD572" s="93"/>
      <c r="ALE572" s="93"/>
      <c r="ALF572" s="93"/>
      <c r="ALG572" s="93"/>
      <c r="ALH572" s="93"/>
      <c r="ALI572" s="93"/>
      <c r="ALJ572" s="93"/>
      <c r="ALK572" s="93"/>
      <c r="ALL572" s="93"/>
      <c r="ALM572" s="93"/>
      <c r="ALN572" s="93"/>
      <c r="ALO572" s="93"/>
      <c r="ALP572" s="93"/>
      <c r="ALQ572" s="93"/>
      <c r="ALR572" s="93"/>
      <c r="ALS572" s="93"/>
      <c r="ALT572" s="93"/>
      <c r="ALU572" s="93"/>
      <c r="ALV572" s="93"/>
      <c r="ALW572" s="93"/>
      <c r="ALX572" s="93"/>
      <c r="ALY572" s="93"/>
      <c r="ALZ572" s="93"/>
      <c r="AMA572" s="93"/>
      <c r="AMB572" s="93"/>
      <c r="AMC572" s="93"/>
      <c r="AMD572" s="93"/>
      <c r="AME572" s="93"/>
      <c r="AMF572" s="93"/>
      <c r="AMG572" s="93"/>
      <c r="AMH572" s="93"/>
      <c r="AMI572" s="93"/>
      <c r="AMJ572" s="93"/>
      <c r="AMK572" s="93"/>
      <c r="AML572" s="93"/>
      <c r="AMM572" s="93"/>
      <c r="AMN572" s="93"/>
      <c r="AMO572" s="93"/>
      <c r="AMP572" s="93"/>
      <c r="AMQ572" s="93"/>
      <c r="AMR572" s="93"/>
      <c r="AMS572" s="93"/>
      <c r="AMT572" s="93"/>
      <c r="AMU572" s="93"/>
      <c r="AMV572" s="93"/>
      <c r="AMW572" s="93"/>
      <c r="AMX572" s="93"/>
      <c r="AMY572" s="93"/>
      <c r="AMZ572" s="93"/>
      <c r="ANA572" s="93"/>
      <c r="ANB572" s="93"/>
      <c r="ANC572" s="93"/>
      <c r="AND572" s="93"/>
      <c r="ANE572" s="93"/>
      <c r="ANF572" s="93"/>
      <c r="ANG572" s="93"/>
      <c r="ANH572" s="93"/>
      <c r="ANI572" s="93"/>
      <c r="ANJ572" s="93"/>
      <c r="ANK572" s="93"/>
      <c r="ANL572" s="93"/>
      <c r="ANM572" s="93"/>
      <c r="ANN572" s="93"/>
      <c r="ANO572" s="93"/>
      <c r="ANP572" s="93"/>
      <c r="ANQ572" s="93"/>
      <c r="ANR572" s="93"/>
      <c r="ANS572" s="93"/>
      <c r="ANT572" s="93"/>
      <c r="ANU572" s="93"/>
      <c r="ANV572" s="93"/>
      <c r="ANW572" s="93"/>
      <c r="ANX572" s="93"/>
      <c r="ANY572" s="93"/>
      <c r="ANZ572" s="93"/>
      <c r="AOA572" s="93"/>
      <c r="AOB572" s="93"/>
      <c r="AOC572" s="93"/>
      <c r="AOD572" s="93"/>
      <c r="AOE572" s="93"/>
      <c r="AOF572" s="93"/>
      <c r="AOG572" s="93"/>
      <c r="AOH572" s="93"/>
      <c r="AOI572" s="93"/>
      <c r="AOJ572" s="93"/>
      <c r="AOK572" s="93"/>
      <c r="AOL572" s="93"/>
      <c r="AOM572" s="93"/>
      <c r="AON572" s="93"/>
      <c r="AOO572" s="93"/>
      <c r="AOP572" s="93"/>
      <c r="AOQ572" s="93"/>
      <c r="AOR572" s="93"/>
      <c r="AOS572" s="93"/>
      <c r="AOT572" s="93"/>
      <c r="AOU572" s="93"/>
      <c r="AOV572" s="93"/>
      <c r="AOW572" s="93"/>
      <c r="AOX572" s="93"/>
      <c r="AOY572" s="93"/>
      <c r="AOZ572" s="93"/>
      <c r="APA572" s="93"/>
      <c r="APB572" s="93"/>
      <c r="APC572" s="93"/>
      <c r="APD572" s="93"/>
      <c r="APE572" s="93"/>
      <c r="APF572" s="93"/>
      <c r="APG572" s="93"/>
      <c r="APH572" s="93"/>
      <c r="API572" s="93"/>
      <c r="APJ572" s="93"/>
      <c r="APK572" s="93"/>
      <c r="APL572" s="93"/>
      <c r="APM572" s="93"/>
      <c r="APN572" s="93"/>
      <c r="APO572" s="93"/>
      <c r="APP572" s="93"/>
      <c r="APQ572" s="93"/>
      <c r="APR572" s="93"/>
      <c r="APS572" s="93"/>
      <c r="APT572" s="93"/>
      <c r="APU572" s="93"/>
      <c r="APV572" s="93"/>
      <c r="APW572" s="93"/>
      <c r="APX572" s="93"/>
      <c r="APY572" s="93"/>
      <c r="APZ572" s="93"/>
      <c r="AQA572" s="93"/>
      <c r="AQB572" s="93"/>
      <c r="AQC572" s="93"/>
      <c r="AQD572" s="93"/>
      <c r="AQE572" s="93"/>
      <c r="AQF572" s="93"/>
      <c r="AQG572" s="93"/>
      <c r="AQH572" s="93"/>
      <c r="AQI572" s="93"/>
      <c r="AQJ572" s="93"/>
      <c r="AQK572" s="93"/>
      <c r="AQL572" s="93"/>
      <c r="AQM572" s="93"/>
      <c r="AQN572" s="93"/>
      <c r="AQO572" s="93"/>
      <c r="AQP572" s="93"/>
      <c r="AQQ572" s="93"/>
      <c r="AQR572" s="93"/>
      <c r="AQS572" s="93"/>
      <c r="AQT572" s="93"/>
      <c r="AQU572" s="93"/>
      <c r="AQV572" s="93"/>
      <c r="AQW572" s="93"/>
      <c r="AQX572" s="93"/>
      <c r="AQY572" s="93"/>
      <c r="AQZ572" s="93"/>
      <c r="ARA572" s="93"/>
      <c r="ARB572" s="93"/>
      <c r="ARC572" s="93"/>
      <c r="ARD572" s="93"/>
      <c r="ARE572" s="93"/>
      <c r="ARF572" s="93"/>
      <c r="ARG572" s="93"/>
      <c r="ARH572" s="93"/>
      <c r="ARI572" s="93"/>
      <c r="ARJ572" s="93"/>
      <c r="ARK572" s="93"/>
      <c r="ARL572" s="93"/>
      <c r="ARM572" s="93"/>
      <c r="ARN572" s="93"/>
      <c r="ARO572" s="93"/>
      <c r="ARP572" s="93"/>
      <c r="ARQ572" s="93"/>
      <c r="ARR572" s="93"/>
      <c r="ARS572" s="93"/>
      <c r="ART572" s="93"/>
      <c r="ARU572" s="93"/>
      <c r="ARV572" s="93"/>
      <c r="ARW572" s="93"/>
      <c r="ARX572" s="93"/>
      <c r="ARY572" s="93"/>
      <c r="ARZ572" s="93"/>
      <c r="ASA572" s="93"/>
      <c r="ASB572" s="93"/>
      <c r="ASC572" s="93"/>
      <c r="ASD572" s="93"/>
      <c r="ASE572" s="93"/>
      <c r="ASF572" s="93"/>
      <c r="ASG572" s="93"/>
      <c r="ASH572" s="93"/>
      <c r="ASI572" s="93"/>
      <c r="ASJ572" s="93"/>
      <c r="ASK572" s="93"/>
      <c r="ASL572" s="93"/>
      <c r="ASM572" s="93"/>
      <c r="ASN572" s="93"/>
      <c r="ASO572" s="93"/>
      <c r="ASP572" s="93"/>
      <c r="ASQ572" s="93"/>
      <c r="ASR572" s="93"/>
      <c r="ASS572" s="93"/>
      <c r="AST572" s="93"/>
      <c r="ASU572" s="93"/>
      <c r="ASV572" s="93"/>
      <c r="ASW572" s="93"/>
      <c r="ASX572" s="93"/>
      <c r="ASY572" s="93"/>
      <c r="ASZ572" s="93"/>
      <c r="ATA572" s="93"/>
      <c r="ATB572" s="93"/>
      <c r="ATC572" s="93"/>
      <c r="ATD572" s="93"/>
      <c r="ATE572" s="93"/>
      <c r="ATF572" s="93"/>
      <c r="ATG572" s="93"/>
      <c r="ATH572" s="93"/>
      <c r="ATI572" s="93"/>
      <c r="ATJ572" s="93"/>
      <c r="ATK572" s="93"/>
      <c r="ATL572" s="93"/>
      <c r="ATM572" s="93"/>
      <c r="ATN572" s="93"/>
      <c r="ATO572" s="93"/>
      <c r="ATP572" s="93"/>
      <c r="ATQ572" s="93"/>
      <c r="ATR572" s="93"/>
      <c r="ATS572" s="93"/>
      <c r="ATT572" s="93"/>
      <c r="ATU572" s="93"/>
      <c r="ATV572" s="93"/>
      <c r="ATW572" s="93"/>
      <c r="ATX572" s="93"/>
      <c r="ATY572" s="93"/>
      <c r="ATZ572" s="93"/>
      <c r="AUA572" s="93"/>
      <c r="AUB572" s="93"/>
      <c r="AUC572" s="93"/>
      <c r="AUD572" s="93"/>
      <c r="AUE572" s="93"/>
      <c r="AUF572" s="93"/>
      <c r="AUG572" s="93"/>
      <c r="AUH572" s="93"/>
      <c r="AUI572" s="93"/>
      <c r="AUJ572" s="93"/>
      <c r="AUK572" s="93"/>
      <c r="AUL572" s="93"/>
      <c r="AUM572" s="93"/>
      <c r="AUN572" s="93"/>
      <c r="AUO572" s="93"/>
      <c r="AUP572" s="93"/>
      <c r="AUQ572" s="93"/>
      <c r="AUR572" s="93"/>
      <c r="AUS572" s="93"/>
      <c r="AUT572" s="93"/>
      <c r="AUU572" s="93"/>
      <c r="AUV572" s="93"/>
      <c r="AUW572" s="93"/>
      <c r="AUX572" s="93"/>
      <c r="AUY572" s="93"/>
      <c r="AUZ572" s="93"/>
      <c r="AVA572" s="93"/>
      <c r="AVB572" s="93"/>
      <c r="AVC572" s="93"/>
      <c r="AVD572" s="93"/>
      <c r="AVE572" s="93"/>
      <c r="AVF572" s="93"/>
      <c r="AVG572" s="93"/>
      <c r="AVH572" s="93"/>
      <c r="AVI572" s="93"/>
      <c r="AVJ572" s="93"/>
      <c r="AVK572" s="93"/>
      <c r="AVL572" s="93"/>
      <c r="AVM572" s="93"/>
      <c r="AVN572" s="93"/>
      <c r="AVO572" s="93"/>
      <c r="AVP572" s="93"/>
      <c r="AVQ572" s="93"/>
      <c r="AVR572" s="93"/>
      <c r="AVS572" s="93"/>
      <c r="AVT572" s="93"/>
      <c r="AVU572" s="93"/>
      <c r="AVV572" s="93"/>
      <c r="AVW572" s="93"/>
      <c r="AVX572" s="93"/>
      <c r="AVY572" s="93"/>
      <c r="AVZ572" s="93"/>
      <c r="AWA572" s="93"/>
      <c r="AWB572" s="93"/>
      <c r="AWC572" s="93"/>
      <c r="AWD572" s="93"/>
      <c r="AWE572" s="93"/>
      <c r="AWF572" s="93"/>
      <c r="AWG572" s="93"/>
      <c r="AWH572" s="93"/>
      <c r="AWI572" s="93"/>
      <c r="AWJ572" s="93"/>
      <c r="AWK572" s="93"/>
      <c r="AWL572" s="93"/>
      <c r="AWM572" s="93"/>
      <c r="AWN572" s="93"/>
      <c r="AWO572" s="93"/>
      <c r="AWP572" s="93"/>
      <c r="AWQ572" s="93"/>
      <c r="AWR572" s="93"/>
      <c r="AWS572" s="93"/>
      <c r="AWT572" s="93"/>
      <c r="AWU572" s="93"/>
      <c r="AWV572" s="93"/>
      <c r="AWW572" s="93"/>
      <c r="AWX572" s="93"/>
      <c r="AWY572" s="93"/>
      <c r="AWZ572" s="93"/>
      <c r="AXA572" s="93"/>
      <c r="AXB572" s="93"/>
      <c r="AXC572" s="93"/>
      <c r="AXD572" s="93"/>
      <c r="AXE572" s="93"/>
      <c r="AXF572" s="93"/>
      <c r="AXG572" s="93"/>
      <c r="AXH572" s="93"/>
      <c r="AXI572" s="93"/>
      <c r="AXJ572" s="93"/>
      <c r="AXK572" s="93"/>
      <c r="AXL572" s="93"/>
      <c r="AXM572" s="93"/>
      <c r="AXN572" s="93"/>
      <c r="AXO572" s="93"/>
      <c r="AXP572" s="93"/>
      <c r="AXQ572" s="93"/>
      <c r="AXR572" s="93"/>
      <c r="AXS572" s="93"/>
      <c r="AXT572" s="93"/>
      <c r="AXU572" s="93"/>
      <c r="AXV572" s="93"/>
      <c r="AXW572" s="93"/>
      <c r="AXX572" s="93"/>
      <c r="AXY572" s="93"/>
      <c r="AXZ572" s="93"/>
      <c r="AYA572" s="93"/>
      <c r="AYB572" s="93"/>
      <c r="AYC572" s="93"/>
      <c r="AYD572" s="93"/>
      <c r="AYE572" s="93"/>
      <c r="AYF572" s="93"/>
      <c r="AYG572" s="93"/>
      <c r="AYH572" s="93"/>
      <c r="AYI572" s="93"/>
      <c r="AYJ572" s="93"/>
      <c r="AYK572" s="93"/>
      <c r="AYL572" s="93"/>
      <c r="AYM572" s="93"/>
      <c r="AYN572" s="93"/>
      <c r="AYO572" s="93"/>
      <c r="AYP572" s="93"/>
      <c r="AYQ572" s="93"/>
      <c r="AYR572" s="93"/>
      <c r="AYS572" s="93"/>
      <c r="AYT572" s="93"/>
      <c r="AYU572" s="93"/>
      <c r="AYV572" s="93"/>
      <c r="AYW572" s="93"/>
      <c r="AYX572" s="93"/>
      <c r="AYY572" s="93"/>
      <c r="AYZ572" s="93"/>
      <c r="AZA572" s="93"/>
      <c r="AZB572" s="93"/>
      <c r="AZC572" s="93"/>
      <c r="AZD572" s="93"/>
      <c r="AZE572" s="93"/>
      <c r="AZF572" s="93"/>
      <c r="AZG572" s="93"/>
      <c r="AZH572" s="93"/>
      <c r="AZI572" s="93"/>
      <c r="AZJ572" s="93"/>
      <c r="AZK572" s="93"/>
      <c r="AZL572" s="93"/>
      <c r="AZM572" s="93"/>
      <c r="AZN572" s="93"/>
      <c r="AZO572" s="93"/>
      <c r="AZP572" s="93"/>
      <c r="AZQ572" s="93"/>
      <c r="AZR572" s="93"/>
      <c r="AZS572" s="93"/>
      <c r="AZT572" s="93"/>
      <c r="AZU572" s="93"/>
      <c r="AZV572" s="93"/>
      <c r="AZW572" s="93"/>
      <c r="AZX572" s="93"/>
      <c r="AZY572" s="93"/>
      <c r="AZZ572" s="93"/>
      <c r="BAA572" s="93"/>
      <c r="BAB572" s="93"/>
      <c r="BAC572" s="93"/>
      <c r="BAD572" s="93"/>
      <c r="BAE572" s="93"/>
      <c r="BAF572" s="93"/>
      <c r="BAG572" s="93"/>
      <c r="BAH572" s="93"/>
      <c r="BAI572" s="93"/>
      <c r="BAJ572" s="93"/>
      <c r="BAK572" s="93"/>
      <c r="BAL572" s="93"/>
      <c r="BAM572" s="93"/>
      <c r="BAN572" s="93"/>
      <c r="BAO572" s="93"/>
      <c r="BAP572" s="93"/>
      <c r="BAQ572" s="93"/>
      <c r="BAR572" s="93"/>
      <c r="BAS572" s="93"/>
      <c r="BAT572" s="93"/>
      <c r="BAU572" s="93"/>
      <c r="BAV572" s="93"/>
      <c r="BAW572" s="93"/>
      <c r="BAX572" s="93"/>
      <c r="BAY572" s="93"/>
      <c r="BAZ572" s="93"/>
      <c r="BBA572" s="93"/>
      <c r="BBB572" s="93"/>
      <c r="BBC572" s="93"/>
      <c r="BBD572" s="93"/>
      <c r="BBE572" s="93"/>
      <c r="BBF572" s="93"/>
      <c r="BBG572" s="93"/>
      <c r="BBH572" s="93"/>
      <c r="BBI572" s="93"/>
      <c r="BBJ572" s="93"/>
      <c r="BBK572" s="93"/>
      <c r="BBL572" s="93"/>
      <c r="BBM572" s="93"/>
      <c r="BBN572" s="93"/>
      <c r="BBO572" s="93"/>
      <c r="BBP572" s="93"/>
      <c r="BBQ572" s="93"/>
      <c r="BBR572" s="93"/>
      <c r="BBS572" s="93"/>
      <c r="BBT572" s="93"/>
      <c r="BBU572" s="93"/>
      <c r="BBV572" s="93"/>
      <c r="BBW572" s="93"/>
      <c r="BBX572" s="93"/>
      <c r="BBY572" s="93"/>
      <c r="BBZ572" s="93"/>
      <c r="BCA572" s="93"/>
      <c r="BCB572" s="93"/>
      <c r="BCC572" s="93"/>
      <c r="BCD572" s="93"/>
      <c r="BCE572" s="93"/>
      <c r="BCF572" s="93"/>
      <c r="BCG572" s="93"/>
      <c r="BCH572" s="93"/>
      <c r="BCI572" s="93"/>
      <c r="BCJ572" s="93"/>
      <c r="BCK572" s="93"/>
      <c r="BCL572" s="93"/>
      <c r="BCM572" s="93"/>
      <c r="BCN572" s="93"/>
      <c r="BCO572" s="93"/>
      <c r="BCP572" s="93"/>
      <c r="BCQ572" s="93"/>
      <c r="BCR572" s="93"/>
      <c r="BCS572" s="93"/>
      <c r="BCT572" s="93"/>
      <c r="BCU572" s="93"/>
      <c r="BCV572" s="93"/>
      <c r="BCW572" s="93"/>
      <c r="BCX572" s="93"/>
      <c r="BCY572" s="93"/>
      <c r="BCZ572" s="93"/>
      <c r="BDA572" s="93"/>
      <c r="BDB572" s="93"/>
      <c r="BDC572" s="93"/>
      <c r="BDD572" s="93"/>
      <c r="BDE572" s="93"/>
      <c r="BDF572" s="93"/>
      <c r="BDG572" s="93"/>
      <c r="BDH572" s="93"/>
      <c r="BDI572" s="93"/>
      <c r="BDJ572" s="93"/>
      <c r="BDK572" s="93"/>
      <c r="BDL572" s="93"/>
      <c r="BDM572" s="93"/>
      <c r="BDN572" s="93"/>
      <c r="BDO572" s="93"/>
      <c r="BDP572" s="93"/>
      <c r="BDQ572" s="93"/>
      <c r="BDR572" s="93"/>
      <c r="BDS572" s="93"/>
      <c r="BDT572" s="93"/>
      <c r="BDU572" s="93"/>
      <c r="BDV572" s="93"/>
      <c r="BDW572" s="93"/>
      <c r="BDX572" s="93"/>
      <c r="BDY572" s="93"/>
      <c r="BDZ572" s="93"/>
      <c r="BEA572" s="93"/>
      <c r="BEB572" s="93"/>
      <c r="BEC572" s="93"/>
      <c r="BED572" s="93"/>
      <c r="BEE572" s="93"/>
      <c r="BEF572" s="93"/>
      <c r="BEG572" s="93"/>
      <c r="BEH572" s="93"/>
      <c r="BEI572" s="93"/>
      <c r="BEJ572" s="93"/>
      <c r="BEK572" s="93"/>
      <c r="BEL572" s="93"/>
      <c r="BEM572" s="93"/>
      <c r="BEN572" s="93"/>
      <c r="BEO572" s="93"/>
      <c r="BEP572" s="93"/>
      <c r="BEQ572" s="93"/>
      <c r="BER572" s="93"/>
      <c r="BES572" s="93"/>
      <c r="BET572" s="93"/>
      <c r="BEU572" s="93"/>
      <c r="BEV572" s="93"/>
      <c r="BEW572" s="93"/>
      <c r="BEX572" s="93"/>
      <c r="BEY572" s="93"/>
      <c r="BEZ572" s="93"/>
      <c r="BFA572" s="93"/>
      <c r="BFB572" s="93"/>
      <c r="BFC572" s="93"/>
      <c r="BFD572" s="93"/>
      <c r="BFE572" s="93"/>
      <c r="BFF572" s="93"/>
      <c r="BFG572" s="93"/>
      <c r="BFH572" s="93"/>
      <c r="BFI572" s="93"/>
      <c r="BFJ572" s="93"/>
      <c r="BFK572" s="93"/>
      <c r="BFL572" s="93"/>
      <c r="BFM572" s="93"/>
      <c r="BFN572" s="93"/>
      <c r="BFO572" s="93"/>
      <c r="BFP572" s="93"/>
      <c r="BFQ572" s="93"/>
      <c r="BFR572" s="93"/>
      <c r="BFS572" s="93"/>
      <c r="BFT572" s="93"/>
      <c r="BFU572" s="93"/>
      <c r="BFV572" s="93"/>
      <c r="BFW572" s="93"/>
      <c r="BFX572" s="93"/>
      <c r="BFY572" s="93"/>
      <c r="BFZ572" s="93"/>
      <c r="BGA572" s="93"/>
      <c r="BGB572" s="93"/>
      <c r="BGC572" s="93"/>
      <c r="BGD572" s="93"/>
      <c r="BGE572" s="93"/>
      <c r="BGF572" s="93"/>
      <c r="BGG572" s="93"/>
      <c r="BGH572" s="93"/>
      <c r="BGI572" s="93"/>
      <c r="BGJ572" s="93"/>
      <c r="BGK572" s="93"/>
      <c r="BGL572" s="93"/>
      <c r="BGM572" s="93"/>
      <c r="BGN572" s="93"/>
      <c r="BGO572" s="93"/>
      <c r="BGP572" s="93"/>
      <c r="BGQ572" s="93"/>
      <c r="BGR572" s="93"/>
      <c r="BGS572" s="93"/>
      <c r="BGT572" s="93"/>
      <c r="BGU572" s="93"/>
      <c r="BGV572" s="93"/>
      <c r="BGW572" s="93"/>
      <c r="BGX572" s="93"/>
      <c r="BGY572" s="93"/>
      <c r="BGZ572" s="93"/>
      <c r="BHA572" s="93"/>
      <c r="BHB572" s="93"/>
      <c r="BHC572" s="93"/>
      <c r="BHD572" s="93"/>
      <c r="BHE572" s="93"/>
      <c r="BHF572" s="93"/>
      <c r="BHG572" s="93"/>
      <c r="BHH572" s="93"/>
      <c r="BHI572" s="93"/>
      <c r="BHJ572" s="93"/>
      <c r="BHK572" s="93"/>
      <c r="BHL572" s="93"/>
      <c r="BHM572" s="93"/>
      <c r="BHN572" s="93"/>
      <c r="BHO572" s="93"/>
      <c r="BHP572" s="93"/>
      <c r="BHQ572" s="93"/>
      <c r="BHR572" s="93"/>
      <c r="BHS572" s="93"/>
      <c r="BHT572" s="93"/>
      <c r="BHU572" s="93"/>
      <c r="BHV572" s="93"/>
      <c r="BHW572" s="93"/>
      <c r="BHX572" s="93"/>
      <c r="BHY572" s="93"/>
      <c r="BHZ572" s="93"/>
      <c r="BIA572" s="93"/>
      <c r="BIB572" s="93"/>
      <c r="BIC572" s="93"/>
      <c r="BID572" s="93"/>
      <c r="BIE572" s="93"/>
      <c r="BIF572" s="93"/>
      <c r="BIG572" s="93"/>
      <c r="BIH572" s="93"/>
      <c r="BII572" s="93"/>
      <c r="BIJ572" s="93"/>
      <c r="BIK572" s="93"/>
      <c r="BIL572" s="93"/>
      <c r="BIM572" s="93"/>
      <c r="BIN572" s="93"/>
      <c r="BIO572" s="93"/>
      <c r="BIP572" s="93"/>
      <c r="BIQ572" s="93"/>
      <c r="BIR572" s="93"/>
      <c r="BIS572" s="93"/>
      <c r="BIT572" s="93"/>
      <c r="BIU572" s="93"/>
      <c r="BIV572" s="93"/>
      <c r="BIW572" s="93"/>
      <c r="BIX572" s="93"/>
      <c r="BIY572" s="93"/>
      <c r="BIZ572" s="93"/>
      <c r="BJA572" s="93"/>
      <c r="BJB572" s="93"/>
      <c r="BJC572" s="93"/>
      <c r="BJD572" s="93"/>
      <c r="BJE572" s="93"/>
      <c r="BJF572" s="93"/>
      <c r="BJG572" s="93"/>
      <c r="BJH572" s="93"/>
      <c r="BJI572" s="93"/>
      <c r="BJJ572" s="93"/>
      <c r="BJK572" s="93"/>
      <c r="BJL572" s="93"/>
      <c r="BJM572" s="93"/>
      <c r="BJN572" s="93"/>
      <c r="BJO572" s="93"/>
      <c r="BJP572" s="93"/>
      <c r="BJQ572" s="93"/>
      <c r="BJR572" s="93"/>
      <c r="BJS572" s="93"/>
      <c r="BJT572" s="93"/>
      <c r="BJU572" s="93"/>
      <c r="BJV572" s="93"/>
      <c r="BJW572" s="93"/>
      <c r="BJX572" s="93"/>
      <c r="BJY572" s="93"/>
      <c r="BJZ572" s="93"/>
      <c r="BKA572" s="93"/>
      <c r="BKB572" s="93"/>
      <c r="BKC572" s="93"/>
      <c r="BKD572" s="93"/>
      <c r="BKE572" s="93"/>
      <c r="BKF572" s="93"/>
      <c r="BKG572" s="93"/>
      <c r="BKH572" s="93"/>
      <c r="BKI572" s="93"/>
      <c r="BKJ572" s="93"/>
      <c r="BKK572" s="93"/>
      <c r="BKL572" s="93"/>
      <c r="BKM572" s="93"/>
      <c r="BKN572" s="93"/>
      <c r="BKO572" s="93"/>
      <c r="BKP572" s="93"/>
      <c r="BKQ572" s="93"/>
      <c r="BKR572" s="93"/>
      <c r="BKS572" s="93"/>
      <c r="BKT572" s="93"/>
      <c r="BKU572" s="93"/>
      <c r="BKV572" s="93"/>
      <c r="BKW572" s="93"/>
      <c r="BKX572" s="93"/>
      <c r="BKY572" s="93"/>
      <c r="BKZ572" s="93"/>
      <c r="BLA572" s="93"/>
      <c r="BLB572" s="93"/>
      <c r="BLC572" s="93"/>
      <c r="BLD572" s="93"/>
      <c r="BLE572" s="93"/>
      <c r="BLF572" s="93"/>
      <c r="BLG572" s="93"/>
      <c r="BLH572" s="93"/>
      <c r="BLI572" s="93"/>
      <c r="BLJ572" s="93"/>
      <c r="BLK572" s="93"/>
      <c r="BLL572" s="93"/>
      <c r="BLM572" s="93"/>
      <c r="BLN572" s="93"/>
      <c r="BLO572" s="93"/>
      <c r="BLP572" s="93"/>
      <c r="BLQ572" s="93"/>
      <c r="BLR572" s="93"/>
      <c r="BLS572" s="93"/>
      <c r="BLT572" s="93"/>
      <c r="BLU572" s="93"/>
      <c r="BLV572" s="93"/>
      <c r="BLW572" s="93"/>
      <c r="BLX572" s="93"/>
      <c r="BLY572" s="93"/>
      <c r="BLZ572" s="93"/>
      <c r="BMA572" s="93"/>
      <c r="BMB572" s="93"/>
      <c r="BMC572" s="93"/>
      <c r="BMD572" s="93"/>
      <c r="BME572" s="93"/>
      <c r="BMF572" s="93"/>
      <c r="BMG572" s="93"/>
      <c r="BMH572" s="93"/>
      <c r="BMI572" s="93"/>
      <c r="BMJ572" s="93"/>
      <c r="BMK572" s="93"/>
      <c r="BML572" s="93"/>
      <c r="BMM572" s="93"/>
      <c r="BMN572" s="93"/>
      <c r="BMO572" s="93"/>
      <c r="BMP572" s="93"/>
      <c r="BMQ572" s="93"/>
      <c r="BMR572" s="93"/>
      <c r="BMS572" s="93"/>
      <c r="BMT572" s="93"/>
      <c r="BMU572" s="93"/>
      <c r="BMV572" s="93"/>
      <c r="BMW572" s="93"/>
      <c r="BMX572" s="93"/>
      <c r="BMY572" s="93"/>
      <c r="BMZ572" s="93"/>
      <c r="BNA572" s="93"/>
      <c r="BNB572" s="93"/>
      <c r="BNC572" s="93"/>
      <c r="BND572" s="93"/>
      <c r="BNE572" s="93"/>
      <c r="BNF572" s="93"/>
      <c r="BNG572" s="93"/>
      <c r="BNH572" s="93"/>
      <c r="BNI572" s="93"/>
      <c r="BNJ572" s="93"/>
      <c r="BNK572" s="93"/>
      <c r="BNL572" s="93"/>
      <c r="BNM572" s="93"/>
      <c r="BNN572" s="93"/>
      <c r="BNO572" s="93"/>
      <c r="BNP572" s="93"/>
      <c r="BNQ572" s="93"/>
      <c r="BNR572" s="93"/>
      <c r="BNS572" s="93"/>
      <c r="BNT572" s="93"/>
      <c r="BNU572" s="93"/>
      <c r="BNV572" s="93"/>
      <c r="BNW572" s="93"/>
      <c r="BNX572" s="93"/>
      <c r="BNY572" s="93"/>
      <c r="BNZ572" s="93"/>
      <c r="BOA572" s="93"/>
      <c r="BOB572" s="93"/>
      <c r="BOC572" s="93"/>
      <c r="BOD572" s="93"/>
      <c r="BOE572" s="93"/>
      <c r="BOF572" s="93"/>
      <c r="BOG572" s="93"/>
      <c r="BOH572" s="93"/>
      <c r="BOI572" s="93"/>
      <c r="BOJ572" s="93"/>
      <c r="BOK572" s="93"/>
      <c r="BOL572" s="93"/>
      <c r="BOM572" s="93"/>
      <c r="BON572" s="93"/>
      <c r="BOO572" s="93"/>
      <c r="BOP572" s="93"/>
      <c r="BOQ572" s="93"/>
      <c r="BOR572" s="93"/>
      <c r="BOS572" s="93"/>
      <c r="BOT572" s="93"/>
      <c r="BOU572" s="93"/>
      <c r="BOV572" s="93"/>
      <c r="BOW572" s="93"/>
      <c r="BOX572" s="93"/>
      <c r="BOY572" s="93"/>
      <c r="BOZ572" s="93"/>
      <c r="BPA572" s="93"/>
      <c r="BPB572" s="93"/>
      <c r="BPC572" s="93"/>
      <c r="BPD572" s="93"/>
      <c r="BPE572" s="93"/>
      <c r="BPF572" s="93"/>
      <c r="BPG572" s="93"/>
      <c r="BPH572" s="93"/>
      <c r="BPI572" s="93"/>
      <c r="BPJ572" s="93"/>
      <c r="BPK572" s="93"/>
      <c r="BPL572" s="93"/>
      <c r="BPM572" s="93"/>
      <c r="BPN572" s="93"/>
      <c r="BPO572" s="93"/>
      <c r="BPP572" s="93"/>
      <c r="BPQ572" s="93"/>
      <c r="BPR572" s="93"/>
      <c r="BPS572" s="93"/>
      <c r="BPT572" s="93"/>
      <c r="BPU572" s="93"/>
      <c r="BPV572" s="93"/>
      <c r="BPW572" s="93"/>
      <c r="BPX572" s="93"/>
      <c r="BPY572" s="93"/>
      <c r="BPZ572" s="93"/>
      <c r="BQA572" s="93"/>
      <c r="BQB572" s="93"/>
      <c r="BQC572" s="93"/>
      <c r="BQD572" s="93"/>
      <c r="BQE572" s="93"/>
      <c r="BQF572" s="93"/>
      <c r="BQG572" s="93"/>
      <c r="BQH572" s="93"/>
      <c r="BQI572" s="93"/>
      <c r="BQJ572" s="93"/>
      <c r="BQK572" s="93"/>
      <c r="BQL572" s="93"/>
      <c r="BQM572" s="93"/>
      <c r="BQN572" s="93"/>
      <c r="BQO572" s="93"/>
      <c r="BQP572" s="93"/>
      <c r="BQQ572" s="93"/>
      <c r="BQR572" s="93"/>
      <c r="BQS572" s="93"/>
      <c r="BQT572" s="93"/>
      <c r="BQU572" s="93"/>
      <c r="BQV572" s="93"/>
      <c r="BQW572" s="93"/>
      <c r="BQX572" s="93"/>
      <c r="BQY572" s="93"/>
      <c r="BQZ572" s="93"/>
      <c r="BRA572" s="93"/>
      <c r="BRB572" s="93"/>
      <c r="BRC572" s="93"/>
      <c r="BRD572" s="93"/>
      <c r="BRE572" s="93"/>
      <c r="BRF572" s="93"/>
      <c r="BRG572" s="93"/>
      <c r="BRH572" s="93"/>
      <c r="BRI572" s="93"/>
      <c r="BRJ572" s="93"/>
      <c r="BRK572" s="93"/>
      <c r="BRL572" s="93"/>
      <c r="BRM572" s="93"/>
      <c r="BRN572" s="93"/>
      <c r="BRO572" s="93"/>
      <c r="BRP572" s="93"/>
      <c r="BRQ572" s="93"/>
      <c r="BRR572" s="93"/>
      <c r="BRS572" s="93"/>
      <c r="BRT572" s="93"/>
      <c r="BRU572" s="93"/>
      <c r="BRV572" s="93"/>
      <c r="BRW572" s="93"/>
      <c r="BRX572" s="93"/>
      <c r="BRY572" s="93"/>
      <c r="BRZ572" s="93"/>
      <c r="BSA572" s="93"/>
      <c r="BSB572" s="93"/>
      <c r="BSC572" s="93"/>
      <c r="BSD572" s="93"/>
      <c r="BSE572" s="93"/>
      <c r="BSF572" s="93"/>
      <c r="BSG572" s="93"/>
      <c r="BSH572" s="93"/>
      <c r="BSI572" s="93"/>
      <c r="BSJ572" s="93"/>
      <c r="BSK572" s="93"/>
      <c r="BSL572" s="93"/>
      <c r="BSM572" s="93"/>
      <c r="BSN572" s="93"/>
      <c r="BSO572" s="93"/>
      <c r="BSP572" s="93"/>
      <c r="BSQ572" s="93"/>
      <c r="BSR572" s="93"/>
      <c r="BSS572" s="93"/>
      <c r="BST572" s="93"/>
      <c r="BSU572" s="93"/>
      <c r="BSV572" s="93"/>
      <c r="BSW572" s="93"/>
      <c r="BSX572" s="93"/>
      <c r="BSY572" s="93"/>
      <c r="BSZ572" s="93"/>
      <c r="BTA572" s="93"/>
      <c r="BTB572" s="93"/>
      <c r="BTC572" s="93"/>
      <c r="BTD572" s="93"/>
      <c r="BTE572" s="93"/>
      <c r="BTF572" s="93"/>
      <c r="BTG572" s="93"/>
      <c r="BTH572" s="93"/>
      <c r="BTI572" s="93"/>
      <c r="BTJ572" s="93"/>
      <c r="BTK572" s="93"/>
      <c r="BTL572" s="93"/>
      <c r="BTM572" s="93"/>
      <c r="BTN572" s="93"/>
      <c r="BTO572" s="93"/>
      <c r="BTP572" s="93"/>
      <c r="BTQ572" s="93"/>
      <c r="BTR572" s="93"/>
      <c r="BTS572" s="93"/>
      <c r="BTT572" s="93"/>
      <c r="BTU572" s="93"/>
      <c r="BTV572" s="93"/>
      <c r="BTW572" s="93"/>
      <c r="BTX572" s="93"/>
      <c r="BTY572" s="93"/>
      <c r="BTZ572" s="93"/>
      <c r="BUA572" s="93"/>
      <c r="BUB572" s="93"/>
      <c r="BUC572" s="93"/>
      <c r="BUD572" s="93"/>
      <c r="BUE572" s="93"/>
      <c r="BUF572" s="93"/>
      <c r="BUG572" s="93"/>
      <c r="BUH572" s="93"/>
      <c r="BUI572" s="93"/>
      <c r="BUJ572" s="93"/>
      <c r="BUK572" s="93"/>
      <c r="BUL572" s="93"/>
      <c r="BUM572" s="93"/>
      <c r="BUN572" s="93"/>
      <c r="BUO572" s="93"/>
      <c r="BUP572" s="93"/>
      <c r="BUQ572" s="93"/>
      <c r="BUR572" s="93"/>
      <c r="BUS572" s="93"/>
      <c r="BUT572" s="93"/>
      <c r="BUU572" s="93"/>
      <c r="BUV572" s="93"/>
      <c r="BUW572" s="93"/>
      <c r="BUX572" s="93"/>
      <c r="BUY572" s="93"/>
      <c r="BUZ572" s="93"/>
      <c r="BVA572" s="93"/>
      <c r="BVB572" s="93"/>
      <c r="BVC572" s="93"/>
      <c r="BVD572" s="93"/>
      <c r="BVE572" s="93"/>
      <c r="BVF572" s="93"/>
      <c r="BVG572" s="93"/>
      <c r="BVH572" s="93"/>
      <c r="BVI572" s="93"/>
      <c r="BVJ572" s="93"/>
      <c r="BVK572" s="93"/>
      <c r="BVL572" s="93"/>
      <c r="BVM572" s="93"/>
      <c r="BVN572" s="93"/>
      <c r="BVO572" s="93"/>
      <c r="BVP572" s="93"/>
      <c r="BVQ572" s="93"/>
      <c r="BVR572" s="93"/>
      <c r="BVS572" s="93"/>
      <c r="BVT572" s="93"/>
      <c r="BVU572" s="93"/>
      <c r="BVV572" s="93"/>
      <c r="BVW572" s="93"/>
      <c r="BVX572" s="93"/>
      <c r="BVY572" s="93"/>
      <c r="BVZ572" s="93"/>
      <c r="BWA572" s="93"/>
      <c r="BWB572" s="93"/>
      <c r="BWC572" s="93"/>
      <c r="BWD572" s="93"/>
      <c r="BWE572" s="93"/>
      <c r="BWF572" s="93"/>
      <c r="BWG572" s="93"/>
      <c r="BWH572" s="93"/>
      <c r="BWI572" s="93"/>
      <c r="BWJ572" s="93"/>
      <c r="BWK572" s="93"/>
      <c r="BWL572" s="93"/>
      <c r="BWM572" s="93"/>
      <c r="BWN572" s="93"/>
      <c r="BWO572" s="93"/>
      <c r="BWP572" s="93"/>
      <c r="BWQ572" s="93"/>
      <c r="BWR572" s="93"/>
      <c r="BWS572" s="93"/>
      <c r="BWT572" s="93"/>
      <c r="BWU572" s="93"/>
      <c r="BWV572" s="93"/>
      <c r="BWW572" s="93"/>
      <c r="BWX572" s="93"/>
      <c r="BWY572" s="93"/>
      <c r="BWZ572" s="93"/>
      <c r="BXA572" s="93"/>
      <c r="BXB572" s="93"/>
      <c r="BXC572" s="93"/>
      <c r="BXD572" s="93"/>
      <c r="BXE572" s="93"/>
      <c r="BXF572" s="93"/>
      <c r="BXG572" s="93"/>
      <c r="BXH572" s="93"/>
      <c r="BXI572" s="93"/>
      <c r="BXJ572" s="93"/>
      <c r="BXK572" s="93"/>
      <c r="BXL572" s="93"/>
      <c r="BXM572" s="93"/>
      <c r="BXN572" s="93"/>
      <c r="BXO572" s="93"/>
      <c r="BXP572" s="93"/>
      <c r="BXQ572" s="93"/>
      <c r="BXR572" s="93"/>
      <c r="BXS572" s="93"/>
      <c r="BXT572" s="93"/>
      <c r="BXU572" s="93"/>
      <c r="BXV572" s="93"/>
      <c r="BXW572" s="93"/>
      <c r="BXX572" s="93"/>
      <c r="BXY572" s="93"/>
      <c r="BXZ572" s="93"/>
      <c r="BYA572" s="93"/>
      <c r="BYB572" s="93"/>
      <c r="BYC572" s="93"/>
      <c r="BYD572" s="93"/>
      <c r="BYE572" s="93"/>
      <c r="BYF572" s="93"/>
      <c r="BYG572" s="93"/>
      <c r="BYH572" s="93"/>
      <c r="BYI572" s="93"/>
      <c r="BYJ572" s="93"/>
      <c r="BYK572" s="93"/>
      <c r="BYL572" s="93"/>
      <c r="BYM572" s="93"/>
      <c r="BYN572" s="93"/>
      <c r="BYO572" s="93"/>
      <c r="BYP572" s="93"/>
      <c r="BYQ572" s="93"/>
      <c r="BYR572" s="93"/>
      <c r="BYS572" s="93"/>
      <c r="BYT572" s="93"/>
      <c r="BYU572" s="93"/>
      <c r="BYV572" s="93"/>
      <c r="BYW572" s="93"/>
      <c r="BYX572" s="93"/>
      <c r="BYY572" s="93"/>
      <c r="BYZ572" s="93"/>
      <c r="BZA572" s="93"/>
      <c r="BZB572" s="93"/>
      <c r="BZC572" s="93"/>
      <c r="BZD572" s="93"/>
      <c r="BZE572" s="93"/>
      <c r="BZF572" s="93"/>
      <c r="BZG572" s="93"/>
      <c r="BZH572" s="93"/>
      <c r="BZI572" s="93"/>
      <c r="BZJ572" s="93"/>
      <c r="BZK572" s="93"/>
      <c r="BZL572" s="93"/>
      <c r="BZM572" s="93"/>
      <c r="BZN572" s="93"/>
      <c r="BZO572" s="93"/>
      <c r="BZP572" s="93"/>
      <c r="BZQ572" s="93"/>
      <c r="BZR572" s="93"/>
      <c r="BZS572" s="93"/>
      <c r="BZT572" s="93"/>
      <c r="BZU572" s="93"/>
      <c r="BZV572" s="93"/>
      <c r="BZW572" s="93"/>
      <c r="BZX572" s="93"/>
      <c r="BZY572" s="93"/>
      <c r="BZZ572" s="93"/>
      <c r="CAA572" s="93"/>
      <c r="CAB572" s="93"/>
      <c r="CAC572" s="93"/>
      <c r="CAD572" s="93"/>
      <c r="CAE572" s="93"/>
      <c r="CAF572" s="93"/>
      <c r="CAG572" s="93"/>
      <c r="CAH572" s="93"/>
      <c r="CAI572" s="93"/>
      <c r="CAJ572" s="93"/>
      <c r="CAK572" s="93"/>
      <c r="CAL572" s="93"/>
      <c r="CAM572" s="93"/>
      <c r="CAN572" s="93"/>
      <c r="CAO572" s="93"/>
      <c r="CAP572" s="93"/>
      <c r="CAQ572" s="93"/>
      <c r="CAR572" s="93"/>
      <c r="CAS572" s="93"/>
      <c r="CAT572" s="93"/>
      <c r="CAU572" s="93"/>
      <c r="CAV572" s="93"/>
      <c r="CAW572" s="93"/>
      <c r="CAX572" s="93"/>
      <c r="CAY572" s="93"/>
      <c r="CAZ572" s="93"/>
      <c r="CBA572" s="93"/>
      <c r="CBB572" s="93"/>
      <c r="CBC572" s="93"/>
      <c r="CBD572" s="93"/>
      <c r="CBE572" s="93"/>
      <c r="CBF572" s="93"/>
      <c r="CBG572" s="93"/>
      <c r="CBH572" s="93"/>
      <c r="CBI572" s="93"/>
      <c r="CBJ572" s="93"/>
      <c r="CBK572" s="93"/>
      <c r="CBL572" s="93"/>
      <c r="CBM572" s="93"/>
      <c r="CBN572" s="93"/>
      <c r="CBO572" s="93"/>
      <c r="CBP572" s="93"/>
      <c r="CBQ572" s="93"/>
      <c r="CBR572" s="93"/>
      <c r="CBS572" s="93"/>
      <c r="CBT572" s="93"/>
      <c r="CBU572" s="93"/>
      <c r="CBV572" s="93"/>
      <c r="CBW572" s="93"/>
      <c r="CBX572" s="93"/>
      <c r="CBY572" s="93"/>
      <c r="CBZ572" s="93"/>
      <c r="CCA572" s="93"/>
      <c r="CCB572" s="93"/>
      <c r="CCC572" s="93"/>
      <c r="CCD572" s="93"/>
      <c r="CCE572" s="93"/>
      <c r="CCF572" s="93"/>
      <c r="CCG572" s="93"/>
      <c r="CCH572" s="93"/>
      <c r="CCI572" s="93"/>
      <c r="CCJ572" s="93"/>
      <c r="CCK572" s="93"/>
      <c r="CCL572" s="93"/>
      <c r="CCM572" s="93"/>
      <c r="CCN572" s="93"/>
      <c r="CCO572" s="93"/>
      <c r="CCP572" s="93"/>
      <c r="CCQ572" s="93"/>
      <c r="CCR572" s="93"/>
      <c r="CCS572" s="93"/>
      <c r="CCT572" s="93"/>
      <c r="CCU572" s="93"/>
      <c r="CCV572" s="93"/>
      <c r="CCW572" s="93"/>
      <c r="CCX572" s="93"/>
      <c r="CCY572" s="93"/>
      <c r="CCZ572" s="93"/>
      <c r="CDA572" s="93"/>
      <c r="CDB572" s="93"/>
      <c r="CDC572" s="93"/>
      <c r="CDD572" s="93"/>
      <c r="CDE572" s="93"/>
      <c r="CDF572" s="93"/>
      <c r="CDG572" s="93"/>
      <c r="CDH572" s="93"/>
      <c r="CDI572" s="93"/>
      <c r="CDJ572" s="93"/>
      <c r="CDK572" s="93"/>
      <c r="CDL572" s="93"/>
      <c r="CDM572" s="93"/>
      <c r="CDN572" s="93"/>
      <c r="CDO572" s="93"/>
      <c r="CDP572" s="93"/>
      <c r="CDQ572" s="93"/>
      <c r="CDR572" s="93"/>
      <c r="CDS572" s="93"/>
      <c r="CDT572" s="93"/>
      <c r="CDU572" s="93"/>
      <c r="CDV572" s="93"/>
      <c r="CDW572" s="93"/>
      <c r="CDX572" s="93"/>
      <c r="CDY572" s="93"/>
      <c r="CDZ572" s="93"/>
      <c r="CEA572" s="93"/>
      <c r="CEB572" s="93"/>
      <c r="CEC572" s="93"/>
      <c r="CED572" s="93"/>
      <c r="CEE572" s="93"/>
      <c r="CEF572" s="93"/>
      <c r="CEG572" s="93"/>
      <c r="CEH572" s="93"/>
      <c r="CEI572" s="93"/>
      <c r="CEJ572" s="93"/>
      <c r="CEK572" s="93"/>
      <c r="CEL572" s="93"/>
      <c r="CEM572" s="93"/>
      <c r="CEN572" s="93"/>
      <c r="CEO572" s="93"/>
      <c r="CEP572" s="93"/>
      <c r="CEQ572" s="93"/>
      <c r="CER572" s="93"/>
      <c r="CES572" s="93"/>
      <c r="CET572" s="93"/>
      <c r="CEU572" s="93"/>
      <c r="CEV572" s="93"/>
      <c r="CEW572" s="93"/>
      <c r="CEX572" s="93"/>
      <c r="CEY572" s="93"/>
      <c r="CEZ572" s="93"/>
      <c r="CFA572" s="93"/>
      <c r="CFB572" s="93"/>
      <c r="CFC572" s="93"/>
      <c r="CFD572" s="93"/>
      <c r="CFE572" s="93"/>
      <c r="CFF572" s="93"/>
      <c r="CFG572" s="93"/>
      <c r="CFH572" s="93"/>
      <c r="CFI572" s="93"/>
      <c r="CFJ572" s="93"/>
      <c r="CFK572" s="93"/>
      <c r="CFL572" s="93"/>
      <c r="CFM572" s="93"/>
      <c r="CFN572" s="93"/>
      <c r="CFO572" s="93"/>
      <c r="CFP572" s="93"/>
      <c r="CFQ572" s="93"/>
      <c r="CFR572" s="93"/>
      <c r="CFS572" s="93"/>
      <c r="CFT572" s="93"/>
      <c r="CFU572" s="93"/>
      <c r="CFV572" s="93"/>
      <c r="CFW572" s="93"/>
      <c r="CFX572" s="93"/>
      <c r="CFY572" s="93"/>
      <c r="CFZ572" s="93"/>
      <c r="CGA572" s="93"/>
      <c r="CGB572" s="93"/>
      <c r="CGC572" s="93"/>
      <c r="CGD572" s="93"/>
      <c r="CGE572" s="93"/>
      <c r="CGF572" s="93"/>
      <c r="CGG572" s="93"/>
      <c r="CGH572" s="93"/>
      <c r="CGI572" s="93"/>
      <c r="CGJ572" s="93"/>
      <c r="CGK572" s="93"/>
      <c r="CGL572" s="93"/>
      <c r="CGM572" s="93"/>
      <c r="CGN572" s="93"/>
      <c r="CGO572" s="93"/>
      <c r="CGP572" s="93"/>
      <c r="CGQ572" s="93"/>
      <c r="CGR572" s="93"/>
      <c r="CGS572" s="93"/>
      <c r="CGT572" s="93"/>
      <c r="CGU572" s="93"/>
      <c r="CGV572" s="93"/>
      <c r="CGW572" s="93"/>
      <c r="CGX572" s="93"/>
      <c r="CGY572" s="93"/>
      <c r="CGZ572" s="93"/>
      <c r="CHA572" s="93"/>
      <c r="CHB572" s="93"/>
      <c r="CHC572" s="93"/>
      <c r="CHD572" s="93"/>
      <c r="CHE572" s="93"/>
      <c r="CHF572" s="93"/>
      <c r="CHG572" s="93"/>
      <c r="CHH572" s="93"/>
      <c r="CHI572" s="93"/>
      <c r="CHJ572" s="93"/>
      <c r="CHK572" s="93"/>
      <c r="CHL572" s="93"/>
      <c r="CHM572" s="93"/>
      <c r="CHN572" s="93"/>
      <c r="CHO572" s="93"/>
      <c r="CHP572" s="93"/>
      <c r="CHQ572" s="93"/>
      <c r="CHR572" s="93"/>
      <c r="CHS572" s="93"/>
      <c r="CHT572" s="93"/>
      <c r="CHU572" s="93"/>
      <c r="CHV572" s="93"/>
      <c r="CHW572" s="93"/>
      <c r="CHX572" s="93"/>
      <c r="CHY572" s="93"/>
      <c r="CHZ572" s="93"/>
      <c r="CIA572" s="93"/>
      <c r="CIB572" s="93"/>
      <c r="CIC572" s="93"/>
      <c r="CID572" s="93"/>
      <c r="CIE572" s="93"/>
      <c r="CIF572" s="93"/>
      <c r="CIG572" s="93"/>
      <c r="CIH572" s="93"/>
      <c r="CII572" s="93"/>
      <c r="CIJ572" s="93"/>
      <c r="CIK572" s="93"/>
      <c r="CIL572" s="93"/>
      <c r="CIM572" s="93"/>
      <c r="CIN572" s="93"/>
      <c r="CIO572" s="93"/>
      <c r="CIP572" s="93"/>
      <c r="CIQ572" s="93"/>
      <c r="CIR572" s="93"/>
      <c r="CIS572" s="93"/>
      <c r="CIT572" s="93"/>
      <c r="CIU572" s="93"/>
      <c r="CIV572" s="93"/>
      <c r="CIW572" s="93"/>
      <c r="CIX572" s="93"/>
      <c r="CIY572" s="93"/>
      <c r="CIZ572" s="93"/>
      <c r="CJA572" s="93"/>
      <c r="CJB572" s="93"/>
      <c r="CJC572" s="93"/>
      <c r="CJD572" s="93"/>
      <c r="CJE572" s="93"/>
      <c r="CJF572" s="93"/>
      <c r="CJG572" s="93"/>
      <c r="CJH572" s="93"/>
      <c r="CJI572" s="93"/>
      <c r="CJJ572" s="93"/>
      <c r="CJK572" s="93"/>
      <c r="CJL572" s="93"/>
      <c r="CJM572" s="93"/>
      <c r="CJN572" s="93"/>
      <c r="CJO572" s="93"/>
      <c r="CJP572" s="93"/>
      <c r="CJQ572" s="93"/>
      <c r="CJR572" s="93"/>
      <c r="CJS572" s="93"/>
      <c r="CJT572" s="93"/>
      <c r="CJU572" s="93"/>
      <c r="CJV572" s="93"/>
      <c r="CJW572" s="93"/>
      <c r="CJX572" s="93"/>
      <c r="CJY572" s="93"/>
      <c r="CJZ572" s="93"/>
      <c r="CKA572" s="93"/>
      <c r="CKB572" s="93"/>
      <c r="CKC572" s="93"/>
      <c r="CKD572" s="93"/>
      <c r="CKE572" s="93"/>
      <c r="CKF572" s="93"/>
      <c r="CKG572" s="93"/>
      <c r="CKH572" s="93"/>
      <c r="CKI572" s="93"/>
      <c r="CKJ572" s="93"/>
      <c r="CKK572" s="93"/>
      <c r="CKL572" s="93"/>
      <c r="CKM572" s="93"/>
      <c r="CKN572" s="93"/>
      <c r="CKO572" s="93"/>
      <c r="CKP572" s="93"/>
      <c r="CKQ572" s="93"/>
      <c r="CKR572" s="93"/>
      <c r="CKS572" s="93"/>
      <c r="CKT572" s="93"/>
      <c r="CKU572" s="93"/>
      <c r="CKV572" s="93"/>
      <c r="CKW572" s="93"/>
      <c r="CKX572" s="93"/>
      <c r="CKY572" s="93"/>
      <c r="CKZ572" s="93"/>
      <c r="CLA572" s="93"/>
      <c r="CLB572" s="93"/>
      <c r="CLC572" s="93"/>
      <c r="CLD572" s="93"/>
      <c r="CLE572" s="93"/>
      <c r="CLF572" s="93"/>
      <c r="CLG572" s="93"/>
      <c r="CLH572" s="93"/>
      <c r="CLI572" s="93"/>
      <c r="CLJ572" s="93"/>
      <c r="CLK572" s="93"/>
      <c r="CLL572" s="93"/>
      <c r="CLM572" s="93"/>
      <c r="CLN572" s="93"/>
      <c r="CLO572" s="93"/>
      <c r="CLP572" s="93"/>
      <c r="CLQ572" s="93"/>
      <c r="CLR572" s="93"/>
      <c r="CLS572" s="93"/>
      <c r="CLT572" s="93"/>
      <c r="CLU572" s="93"/>
      <c r="CLV572" s="93"/>
      <c r="CLW572" s="93"/>
      <c r="CLX572" s="93"/>
      <c r="CLY572" s="93"/>
      <c r="CLZ572" s="93"/>
      <c r="CMA572" s="93"/>
      <c r="CMB572" s="93"/>
      <c r="CMC572" s="93"/>
      <c r="CMD572" s="93"/>
      <c r="CME572" s="93"/>
      <c r="CMF572" s="93"/>
      <c r="CMG572" s="93"/>
      <c r="CMH572" s="93"/>
      <c r="CMI572" s="93"/>
      <c r="CMJ572" s="93"/>
      <c r="CMK572" s="93"/>
      <c r="CML572" s="93"/>
      <c r="CMM572" s="93"/>
      <c r="CMN572" s="93"/>
      <c r="CMO572" s="93"/>
      <c r="CMP572" s="93"/>
      <c r="CMQ572" s="93"/>
      <c r="CMR572" s="93"/>
      <c r="CMS572" s="93"/>
      <c r="CMT572" s="93"/>
      <c r="CMU572" s="93"/>
      <c r="CMV572" s="93"/>
      <c r="CMW572" s="93"/>
      <c r="CMX572" s="93"/>
      <c r="CMY572" s="93"/>
      <c r="CMZ572" s="93"/>
      <c r="CNA572" s="93"/>
      <c r="CNB572" s="93"/>
      <c r="CNC572" s="93"/>
      <c r="CND572" s="93"/>
      <c r="CNE572" s="93"/>
      <c r="CNF572" s="93"/>
      <c r="CNG572" s="93"/>
      <c r="CNH572" s="93"/>
      <c r="CNI572" s="93"/>
      <c r="CNJ572" s="93"/>
      <c r="CNK572" s="93"/>
      <c r="CNL572" s="93"/>
      <c r="CNM572" s="93"/>
      <c r="CNN572" s="93"/>
      <c r="CNO572" s="93"/>
      <c r="CNP572" s="93"/>
      <c r="CNQ572" s="93"/>
      <c r="CNR572" s="93"/>
      <c r="CNS572" s="93"/>
      <c r="CNT572" s="93"/>
      <c r="CNU572" s="93"/>
      <c r="CNV572" s="93"/>
      <c r="CNW572" s="93"/>
      <c r="CNX572" s="93"/>
      <c r="CNY572" s="93"/>
      <c r="CNZ572" s="93"/>
      <c r="COA572" s="93"/>
      <c r="COB572" s="93"/>
      <c r="COC572" s="93"/>
      <c r="COD572" s="93"/>
      <c r="COE572" s="93"/>
      <c r="COF572" s="93"/>
      <c r="COG572" s="93"/>
      <c r="COH572" s="93"/>
      <c r="COI572" s="93"/>
      <c r="COJ572" s="93"/>
      <c r="COK572" s="93"/>
      <c r="COL572" s="93"/>
      <c r="COM572" s="93"/>
      <c r="CON572" s="93"/>
      <c r="COO572" s="93"/>
      <c r="COP572" s="93"/>
      <c r="COQ572" s="93"/>
      <c r="COR572" s="93"/>
      <c r="COS572" s="93"/>
      <c r="COT572" s="93"/>
      <c r="COU572" s="93"/>
      <c r="COV572" s="93"/>
      <c r="COW572" s="93"/>
      <c r="COX572" s="93"/>
      <c r="COY572" s="93"/>
      <c r="COZ572" s="93"/>
      <c r="CPA572" s="93"/>
      <c r="CPB572" s="93"/>
      <c r="CPC572" s="93"/>
      <c r="CPD572" s="93"/>
      <c r="CPE572" s="93"/>
      <c r="CPF572" s="93"/>
      <c r="CPG572" s="93"/>
      <c r="CPH572" s="93"/>
      <c r="CPI572" s="93"/>
      <c r="CPJ572" s="93"/>
      <c r="CPK572" s="93"/>
      <c r="CPL572" s="93"/>
      <c r="CPM572" s="93"/>
      <c r="CPN572" s="93"/>
      <c r="CPO572" s="93"/>
      <c r="CPP572" s="93"/>
      <c r="CPQ572" s="93"/>
      <c r="CPR572" s="93"/>
      <c r="CPS572" s="93"/>
      <c r="CPT572" s="93"/>
      <c r="CPU572" s="93"/>
      <c r="CPV572" s="93"/>
      <c r="CPW572" s="93"/>
      <c r="CPX572" s="93"/>
      <c r="CPY572" s="93"/>
      <c r="CPZ572" s="93"/>
      <c r="CQA572" s="93"/>
      <c r="CQB572" s="93"/>
      <c r="CQC572" s="93"/>
      <c r="CQD572" s="93"/>
      <c r="CQE572" s="93"/>
      <c r="CQF572" s="93"/>
      <c r="CQG572" s="93"/>
      <c r="CQH572" s="93"/>
      <c r="CQI572" s="93"/>
      <c r="CQJ572" s="93"/>
      <c r="CQK572" s="93"/>
      <c r="CQL572" s="93"/>
      <c r="CQM572" s="93"/>
      <c r="CQN572" s="93"/>
      <c r="CQO572" s="93"/>
      <c r="CQP572" s="93"/>
      <c r="CQQ572" s="93"/>
      <c r="CQR572" s="93"/>
      <c r="CQS572" s="93"/>
      <c r="CQT572" s="93"/>
      <c r="CQU572" s="93"/>
      <c r="CQV572" s="93"/>
      <c r="CQW572" s="93"/>
      <c r="CQX572" s="93"/>
      <c r="CQY572" s="93"/>
      <c r="CQZ572" s="93"/>
      <c r="CRA572" s="93"/>
      <c r="CRB572" s="93"/>
      <c r="CRC572" s="93"/>
      <c r="CRD572" s="93"/>
      <c r="CRE572" s="93"/>
      <c r="CRF572" s="93"/>
      <c r="CRG572" s="93"/>
      <c r="CRH572" s="93"/>
      <c r="CRI572" s="93"/>
      <c r="CRJ572" s="93"/>
      <c r="CRK572" s="93"/>
      <c r="CRL572" s="93"/>
      <c r="CRM572" s="93"/>
      <c r="CRN572" s="93"/>
      <c r="CRO572" s="93"/>
      <c r="CRP572" s="93"/>
      <c r="CRQ572" s="93"/>
      <c r="CRR572" s="93"/>
      <c r="CRS572" s="93"/>
      <c r="CRT572" s="93"/>
      <c r="CRU572" s="93"/>
      <c r="CRV572" s="93"/>
      <c r="CRW572" s="93"/>
      <c r="CRX572" s="93"/>
      <c r="CRY572" s="93"/>
      <c r="CRZ572" s="93"/>
      <c r="CSA572" s="93"/>
      <c r="CSB572" s="93"/>
      <c r="CSC572" s="93"/>
      <c r="CSD572" s="93"/>
      <c r="CSE572" s="93"/>
      <c r="CSF572" s="93"/>
      <c r="CSG572" s="93"/>
      <c r="CSH572" s="93"/>
      <c r="CSI572" s="93"/>
      <c r="CSJ572" s="93"/>
      <c r="CSK572" s="93"/>
      <c r="CSL572" s="93"/>
      <c r="CSM572" s="93"/>
      <c r="CSN572" s="93"/>
      <c r="CSO572" s="93"/>
      <c r="CSP572" s="93"/>
      <c r="CSQ572" s="93"/>
      <c r="CSR572" s="93"/>
      <c r="CSS572" s="93"/>
      <c r="CST572" s="93"/>
      <c r="CSU572" s="93"/>
      <c r="CSV572" s="93"/>
      <c r="CSW572" s="93"/>
      <c r="CSX572" s="93"/>
      <c r="CSY572" s="93"/>
      <c r="CSZ572" s="93"/>
      <c r="CTA572" s="93"/>
      <c r="CTB572" s="93"/>
      <c r="CTC572" s="93"/>
      <c r="CTD572" s="93"/>
      <c r="CTE572" s="93"/>
      <c r="CTF572" s="93"/>
      <c r="CTG572" s="93"/>
      <c r="CTH572" s="93"/>
      <c r="CTI572" s="93"/>
      <c r="CTJ572" s="93"/>
      <c r="CTK572" s="93"/>
      <c r="CTL572" s="93"/>
      <c r="CTM572" s="93"/>
      <c r="CTN572" s="93"/>
      <c r="CTO572" s="93"/>
      <c r="CTP572" s="93"/>
      <c r="CTQ572" s="93"/>
      <c r="CTR572" s="93"/>
      <c r="CTS572" s="93"/>
      <c r="CTT572" s="93"/>
      <c r="CTU572" s="93"/>
      <c r="CTV572" s="93"/>
      <c r="CTW572" s="93"/>
      <c r="CTX572" s="93"/>
      <c r="CTY572" s="93"/>
      <c r="CTZ572" s="93"/>
      <c r="CUA572" s="93"/>
      <c r="CUB572" s="93"/>
      <c r="CUC572" s="93"/>
      <c r="CUD572" s="93"/>
      <c r="CUE572" s="93"/>
      <c r="CUF572" s="93"/>
      <c r="CUG572" s="93"/>
      <c r="CUH572" s="93"/>
      <c r="CUI572" s="93"/>
      <c r="CUJ572" s="93"/>
      <c r="CUK572" s="93"/>
      <c r="CUL572" s="93"/>
      <c r="CUM572" s="93"/>
      <c r="CUN572" s="93"/>
      <c r="CUO572" s="93"/>
      <c r="CUP572" s="93"/>
      <c r="CUQ572" s="93"/>
      <c r="CUR572" s="93"/>
      <c r="CUS572" s="93"/>
      <c r="CUT572" s="93"/>
      <c r="CUU572" s="93"/>
      <c r="CUV572" s="93"/>
      <c r="CUW572" s="93"/>
      <c r="CUX572" s="93"/>
      <c r="CUY572" s="93"/>
      <c r="CUZ572" s="93"/>
      <c r="CVA572" s="93"/>
      <c r="CVB572" s="93"/>
      <c r="CVC572" s="93"/>
      <c r="CVD572" s="93"/>
      <c r="CVE572" s="93"/>
      <c r="CVF572" s="93"/>
      <c r="CVG572" s="93"/>
      <c r="CVH572" s="93"/>
      <c r="CVI572" s="93"/>
      <c r="CVJ572" s="93"/>
      <c r="CVK572" s="93"/>
      <c r="CVL572" s="93"/>
      <c r="CVM572" s="93"/>
      <c r="CVN572" s="93"/>
      <c r="CVO572" s="93"/>
      <c r="CVP572" s="93"/>
      <c r="CVQ572" s="93"/>
      <c r="CVR572" s="93"/>
      <c r="CVS572" s="93"/>
      <c r="CVT572" s="93"/>
      <c r="CVU572" s="93"/>
      <c r="CVV572" s="93"/>
      <c r="CVW572" s="93"/>
      <c r="CVX572" s="93"/>
      <c r="CVY572" s="93"/>
      <c r="CVZ572" s="93"/>
      <c r="CWA572" s="93"/>
      <c r="CWB572" s="93"/>
      <c r="CWC572" s="93"/>
      <c r="CWD572" s="93"/>
      <c r="CWE572" s="93"/>
      <c r="CWF572" s="93"/>
      <c r="CWG572" s="93"/>
      <c r="CWH572" s="93"/>
      <c r="CWI572" s="93"/>
      <c r="CWJ572" s="93"/>
      <c r="CWK572" s="93"/>
      <c r="CWL572" s="93"/>
      <c r="CWM572" s="93"/>
      <c r="CWN572" s="93"/>
      <c r="CWO572" s="93"/>
      <c r="CWP572" s="93"/>
      <c r="CWQ572" s="93"/>
      <c r="CWR572" s="93"/>
      <c r="CWS572" s="93"/>
      <c r="CWT572" s="93"/>
      <c r="CWU572" s="93"/>
      <c r="CWV572" s="93"/>
      <c r="CWW572" s="93"/>
      <c r="CWX572" s="93"/>
      <c r="CWY572" s="93"/>
      <c r="CWZ572" s="93"/>
      <c r="CXA572" s="93"/>
      <c r="CXB572" s="93"/>
      <c r="CXC572" s="93"/>
      <c r="CXD572" s="93"/>
      <c r="CXE572" s="93"/>
      <c r="CXF572" s="93"/>
      <c r="CXG572" s="93"/>
      <c r="CXH572" s="93"/>
      <c r="CXI572" s="93"/>
      <c r="CXJ572" s="93"/>
      <c r="CXK572" s="93"/>
      <c r="CXL572" s="93"/>
      <c r="CXM572" s="93"/>
      <c r="CXN572" s="93"/>
      <c r="CXO572" s="93"/>
      <c r="CXP572" s="93"/>
      <c r="CXQ572" s="93"/>
      <c r="CXR572" s="93"/>
      <c r="CXS572" s="93"/>
      <c r="CXT572" s="93"/>
      <c r="CXU572" s="93"/>
      <c r="CXV572" s="93"/>
      <c r="CXW572" s="93"/>
      <c r="CXX572" s="93"/>
      <c r="CXY572" s="93"/>
      <c r="CXZ572" s="93"/>
      <c r="CYA572" s="93"/>
      <c r="CYB572" s="93"/>
      <c r="CYC572" s="93"/>
      <c r="CYD572" s="93"/>
      <c r="CYE572" s="93"/>
      <c r="CYF572" s="93"/>
      <c r="CYG572" s="93"/>
      <c r="CYH572" s="93"/>
      <c r="CYI572" s="93"/>
      <c r="CYJ572" s="93"/>
      <c r="CYK572" s="93"/>
      <c r="CYL572" s="93"/>
      <c r="CYM572" s="93"/>
      <c r="CYN572" s="93"/>
      <c r="CYO572" s="93"/>
      <c r="CYP572" s="93"/>
      <c r="CYQ572" s="93"/>
      <c r="CYR572" s="93"/>
      <c r="CYS572" s="93"/>
      <c r="CYT572" s="93"/>
      <c r="CYU572" s="93"/>
      <c r="CYV572" s="93"/>
      <c r="CYW572" s="93"/>
      <c r="CYX572" s="93"/>
      <c r="CYY572" s="93"/>
      <c r="CYZ572" s="93"/>
      <c r="CZA572" s="93"/>
      <c r="CZB572" s="93"/>
      <c r="CZC572" s="93"/>
      <c r="CZD572" s="93"/>
      <c r="CZE572" s="93"/>
      <c r="CZF572" s="93"/>
      <c r="CZG572" s="93"/>
      <c r="CZH572" s="93"/>
      <c r="CZI572" s="93"/>
      <c r="CZJ572" s="93"/>
      <c r="CZK572" s="93"/>
      <c r="CZL572" s="93"/>
      <c r="CZM572" s="93"/>
      <c r="CZN572" s="93"/>
      <c r="CZO572" s="93"/>
      <c r="CZP572" s="93"/>
      <c r="CZQ572" s="93"/>
      <c r="CZR572" s="93"/>
      <c r="CZS572" s="93"/>
      <c r="CZT572" s="93"/>
      <c r="CZU572" s="93"/>
      <c r="CZV572" s="93"/>
      <c r="CZW572" s="93"/>
      <c r="CZX572" s="93"/>
      <c r="CZY572" s="93"/>
      <c r="CZZ572" s="93"/>
      <c r="DAA572" s="93"/>
      <c r="DAB572" s="93"/>
      <c r="DAC572" s="93"/>
      <c r="DAD572" s="93"/>
      <c r="DAE572" s="93"/>
      <c r="DAF572" s="93"/>
      <c r="DAG572" s="93"/>
      <c r="DAH572" s="93"/>
      <c r="DAI572" s="93"/>
      <c r="DAJ572" s="93"/>
      <c r="DAK572" s="93"/>
      <c r="DAL572" s="93"/>
      <c r="DAM572" s="93"/>
      <c r="DAN572" s="93"/>
      <c r="DAO572" s="93"/>
      <c r="DAP572" s="93"/>
      <c r="DAQ572" s="93"/>
      <c r="DAR572" s="93"/>
      <c r="DAS572" s="93"/>
      <c r="DAT572" s="93"/>
      <c r="DAU572" s="93"/>
      <c r="DAV572" s="93"/>
      <c r="DAW572" s="93"/>
      <c r="DAX572" s="93"/>
      <c r="DAY572" s="93"/>
      <c r="DAZ572" s="93"/>
      <c r="DBA572" s="93"/>
      <c r="DBB572" s="93"/>
      <c r="DBC572" s="93"/>
      <c r="DBD572" s="93"/>
      <c r="DBE572" s="93"/>
      <c r="DBF572" s="93"/>
      <c r="DBG572" s="93"/>
      <c r="DBH572" s="93"/>
      <c r="DBI572" s="93"/>
      <c r="DBJ572" s="93"/>
      <c r="DBK572" s="93"/>
      <c r="DBL572" s="93"/>
      <c r="DBM572" s="93"/>
      <c r="DBN572" s="93"/>
      <c r="DBO572" s="93"/>
      <c r="DBP572" s="93"/>
      <c r="DBQ572" s="93"/>
      <c r="DBR572" s="93"/>
      <c r="DBS572" s="93"/>
      <c r="DBT572" s="93"/>
      <c r="DBU572" s="93"/>
      <c r="DBV572" s="93"/>
      <c r="DBW572" s="93"/>
      <c r="DBX572" s="93"/>
      <c r="DBY572" s="93"/>
      <c r="DBZ572" s="93"/>
      <c r="DCA572" s="93"/>
      <c r="DCB572" s="93"/>
      <c r="DCC572" s="93"/>
      <c r="DCD572" s="93"/>
      <c r="DCE572" s="93"/>
      <c r="DCF572" s="93"/>
      <c r="DCG572" s="93"/>
      <c r="DCH572" s="93"/>
      <c r="DCI572" s="93"/>
      <c r="DCJ572" s="93"/>
      <c r="DCK572" s="93"/>
      <c r="DCL572" s="93"/>
      <c r="DCM572" s="93"/>
      <c r="DCN572" s="93"/>
      <c r="DCO572" s="93"/>
      <c r="DCP572" s="93"/>
      <c r="DCQ572" s="93"/>
      <c r="DCR572" s="93"/>
      <c r="DCS572" s="93"/>
      <c r="DCT572" s="93"/>
      <c r="DCU572" s="93"/>
      <c r="DCV572" s="93"/>
      <c r="DCW572" s="93"/>
      <c r="DCX572" s="93"/>
      <c r="DCY572" s="93"/>
      <c r="DCZ572" s="93"/>
      <c r="DDA572" s="93"/>
      <c r="DDB572" s="93"/>
      <c r="DDC572" s="93"/>
      <c r="DDD572" s="93"/>
      <c r="DDE572" s="93"/>
      <c r="DDF572" s="93"/>
      <c r="DDG572" s="93"/>
      <c r="DDH572" s="93"/>
      <c r="DDI572" s="93"/>
      <c r="DDJ572" s="93"/>
      <c r="DDK572" s="93"/>
      <c r="DDL572" s="93"/>
      <c r="DDM572" s="93"/>
      <c r="DDN572" s="93"/>
      <c r="DDO572" s="93"/>
      <c r="DDP572" s="93"/>
      <c r="DDQ572" s="93"/>
      <c r="DDR572" s="93"/>
      <c r="DDS572" s="93"/>
      <c r="DDT572" s="93"/>
      <c r="DDU572" s="93"/>
      <c r="DDV572" s="93"/>
      <c r="DDW572" s="93"/>
      <c r="DDX572" s="93"/>
      <c r="DDY572" s="93"/>
      <c r="DDZ572" s="93"/>
      <c r="DEA572" s="93"/>
      <c r="DEB572" s="93"/>
      <c r="DEC572" s="93"/>
      <c r="DED572" s="93"/>
      <c r="DEE572" s="93"/>
      <c r="DEF572" s="93"/>
      <c r="DEG572" s="93"/>
      <c r="DEH572" s="93"/>
      <c r="DEI572" s="93"/>
      <c r="DEJ572" s="93"/>
      <c r="DEK572" s="93"/>
      <c r="DEL572" s="93"/>
      <c r="DEM572" s="93"/>
      <c r="DEN572" s="93"/>
      <c r="DEO572" s="93"/>
      <c r="DEP572" s="93"/>
      <c r="DEQ572" s="93"/>
      <c r="DER572" s="93"/>
      <c r="DES572" s="93"/>
      <c r="DET572" s="93"/>
      <c r="DEU572" s="93"/>
      <c r="DEV572" s="93"/>
      <c r="DEW572" s="93"/>
      <c r="DEX572" s="93"/>
      <c r="DEY572" s="93"/>
      <c r="DEZ572" s="93"/>
      <c r="DFA572" s="93"/>
      <c r="DFB572" s="93"/>
      <c r="DFC572" s="93"/>
      <c r="DFD572" s="93"/>
      <c r="DFE572" s="93"/>
      <c r="DFF572" s="93"/>
      <c r="DFG572" s="93"/>
      <c r="DFH572" s="93"/>
      <c r="DFI572" s="93"/>
      <c r="DFJ572" s="93"/>
      <c r="DFK572" s="93"/>
      <c r="DFL572" s="93"/>
      <c r="DFM572" s="93"/>
      <c r="DFN572" s="93"/>
      <c r="DFO572" s="93"/>
      <c r="DFP572" s="93"/>
      <c r="DFQ572" s="93"/>
      <c r="DFR572" s="93"/>
      <c r="DFS572" s="93"/>
      <c r="DFT572" s="93"/>
      <c r="DFU572" s="93"/>
      <c r="DFV572" s="93"/>
      <c r="DFW572" s="93"/>
      <c r="DFX572" s="93"/>
      <c r="DFY572" s="93"/>
      <c r="DFZ572" s="93"/>
      <c r="DGA572" s="93"/>
      <c r="DGB572" s="93"/>
      <c r="DGC572" s="93"/>
      <c r="DGD572" s="93"/>
      <c r="DGE572" s="93"/>
      <c r="DGF572" s="93"/>
      <c r="DGG572" s="93"/>
      <c r="DGH572" s="93"/>
      <c r="DGI572" s="93"/>
      <c r="DGJ572" s="93"/>
      <c r="DGK572" s="93"/>
      <c r="DGL572" s="93"/>
      <c r="DGM572" s="93"/>
      <c r="DGN572" s="93"/>
      <c r="DGO572" s="93"/>
      <c r="DGP572" s="93"/>
      <c r="DGQ572" s="93"/>
      <c r="DGR572" s="93"/>
      <c r="DGS572" s="93"/>
      <c r="DGT572" s="93"/>
      <c r="DGU572" s="93"/>
      <c r="DGV572" s="93"/>
      <c r="DGW572" s="93"/>
      <c r="DGX572" s="93"/>
      <c r="DGY572" s="93"/>
      <c r="DGZ572" s="93"/>
      <c r="DHA572" s="93"/>
      <c r="DHB572" s="93"/>
      <c r="DHC572" s="93"/>
      <c r="DHD572" s="93"/>
      <c r="DHE572" s="93"/>
      <c r="DHF572" s="93"/>
      <c r="DHG572" s="93"/>
      <c r="DHH572" s="93"/>
      <c r="DHI572" s="93"/>
      <c r="DHJ572" s="93"/>
      <c r="DHK572" s="93"/>
      <c r="DHL572" s="93"/>
      <c r="DHM572" s="93"/>
      <c r="DHN572" s="93"/>
      <c r="DHO572" s="93"/>
      <c r="DHP572" s="93"/>
      <c r="DHQ572" s="93"/>
      <c r="DHR572" s="93"/>
      <c r="DHS572" s="93"/>
      <c r="DHT572" s="93"/>
      <c r="DHU572" s="93"/>
      <c r="DHV572" s="93"/>
      <c r="DHW572" s="93"/>
      <c r="DHX572" s="93"/>
      <c r="DHY572" s="93"/>
      <c r="DHZ572" s="93"/>
      <c r="DIA572" s="93"/>
      <c r="DIB572" s="93"/>
      <c r="DIC572" s="93"/>
      <c r="DID572" s="93"/>
      <c r="DIE572" s="93"/>
      <c r="DIF572" s="93"/>
      <c r="DIG572" s="93"/>
      <c r="DIH572" s="93"/>
      <c r="DII572" s="93"/>
      <c r="DIJ572" s="93"/>
      <c r="DIK572" s="93"/>
      <c r="DIL572" s="93"/>
      <c r="DIM572" s="93"/>
      <c r="DIN572" s="93"/>
      <c r="DIO572" s="93"/>
      <c r="DIP572" s="93"/>
      <c r="DIQ572" s="93"/>
      <c r="DIR572" s="93"/>
      <c r="DIS572" s="93"/>
      <c r="DIT572" s="93"/>
      <c r="DIU572" s="93"/>
      <c r="DIV572" s="93"/>
      <c r="DIW572" s="93"/>
      <c r="DIX572" s="93"/>
      <c r="DIY572" s="93"/>
      <c r="DIZ572" s="93"/>
      <c r="DJA572" s="93"/>
      <c r="DJB572" s="93"/>
      <c r="DJC572" s="93"/>
      <c r="DJD572" s="93"/>
      <c r="DJE572" s="93"/>
      <c r="DJF572" s="93"/>
      <c r="DJG572" s="93"/>
      <c r="DJH572" s="93"/>
      <c r="DJI572" s="93"/>
      <c r="DJJ572" s="93"/>
      <c r="DJK572" s="93"/>
      <c r="DJL572" s="93"/>
      <c r="DJM572" s="93"/>
      <c r="DJN572" s="93"/>
      <c r="DJO572" s="93"/>
      <c r="DJP572" s="93"/>
      <c r="DJQ572" s="93"/>
      <c r="DJR572" s="93"/>
      <c r="DJS572" s="93"/>
      <c r="DJT572" s="93"/>
      <c r="DJU572" s="93"/>
      <c r="DJV572" s="93"/>
      <c r="DJW572" s="93"/>
      <c r="DJX572" s="93"/>
      <c r="DJY572" s="93"/>
      <c r="DJZ572" s="93"/>
      <c r="DKA572" s="93"/>
      <c r="DKB572" s="93"/>
      <c r="DKC572" s="93"/>
      <c r="DKD572" s="93"/>
      <c r="DKE572" s="93"/>
      <c r="DKF572" s="93"/>
      <c r="DKG572" s="93"/>
      <c r="DKH572" s="93"/>
      <c r="DKI572" s="93"/>
      <c r="DKJ572" s="93"/>
      <c r="DKK572" s="93"/>
      <c r="DKL572" s="93"/>
      <c r="DKM572" s="93"/>
      <c r="DKN572" s="93"/>
      <c r="DKO572" s="93"/>
      <c r="DKP572" s="93"/>
      <c r="DKQ572" s="93"/>
      <c r="DKR572" s="93"/>
      <c r="DKS572" s="93"/>
      <c r="DKT572" s="93"/>
      <c r="DKU572" s="93"/>
      <c r="DKV572" s="93"/>
      <c r="DKW572" s="93"/>
      <c r="DKX572" s="93"/>
      <c r="DKY572" s="93"/>
      <c r="DKZ572" s="93"/>
      <c r="DLA572" s="93"/>
      <c r="DLB572" s="93"/>
      <c r="DLC572" s="93"/>
      <c r="DLD572" s="93"/>
      <c r="DLE572" s="93"/>
      <c r="DLF572" s="93"/>
      <c r="DLG572" s="93"/>
      <c r="DLH572" s="93"/>
      <c r="DLI572" s="93"/>
      <c r="DLJ572" s="93"/>
      <c r="DLK572" s="93"/>
      <c r="DLL572" s="93"/>
      <c r="DLM572" s="93"/>
      <c r="DLN572" s="93"/>
      <c r="DLO572" s="93"/>
      <c r="DLP572" s="93"/>
      <c r="DLQ572" s="93"/>
      <c r="DLR572" s="93"/>
      <c r="DLS572" s="93"/>
      <c r="DLT572" s="93"/>
      <c r="DLU572" s="93"/>
      <c r="DLV572" s="93"/>
      <c r="DLW572" s="93"/>
      <c r="DLX572" s="93"/>
      <c r="DLY572" s="93"/>
      <c r="DLZ572" s="93"/>
      <c r="DMA572" s="93"/>
      <c r="DMB572" s="93"/>
      <c r="DMC572" s="93"/>
      <c r="DMD572" s="93"/>
      <c r="DME572" s="93"/>
      <c r="DMF572" s="93"/>
      <c r="DMG572" s="93"/>
      <c r="DMH572" s="93"/>
      <c r="DMI572" s="93"/>
      <c r="DMJ572" s="93"/>
      <c r="DMK572" s="93"/>
      <c r="DML572" s="93"/>
      <c r="DMM572" s="93"/>
      <c r="DMN572" s="93"/>
      <c r="DMO572" s="93"/>
      <c r="DMP572" s="93"/>
      <c r="DMQ572" s="93"/>
      <c r="DMR572" s="93"/>
      <c r="DMS572" s="93"/>
      <c r="DMT572" s="93"/>
      <c r="DMU572" s="93"/>
      <c r="DMV572" s="93"/>
      <c r="DMW572" s="93"/>
      <c r="DMX572" s="93"/>
      <c r="DMY572" s="93"/>
      <c r="DMZ572" s="93"/>
      <c r="DNA572" s="93"/>
      <c r="DNB572" s="93"/>
      <c r="DNC572" s="93"/>
      <c r="DND572" s="93"/>
      <c r="DNE572" s="93"/>
      <c r="DNF572" s="93"/>
      <c r="DNG572" s="93"/>
      <c r="DNH572" s="93"/>
      <c r="DNI572" s="93"/>
      <c r="DNJ572" s="93"/>
      <c r="DNK572" s="93"/>
      <c r="DNL572" s="93"/>
      <c r="DNM572" s="93"/>
      <c r="DNN572" s="93"/>
      <c r="DNO572" s="93"/>
      <c r="DNP572" s="93"/>
      <c r="DNQ572" s="93"/>
      <c r="DNR572" s="93"/>
      <c r="DNS572" s="93"/>
      <c r="DNT572" s="93"/>
      <c r="DNU572" s="93"/>
      <c r="DNV572" s="93"/>
      <c r="DNW572" s="93"/>
      <c r="DNX572" s="93"/>
      <c r="DNY572" s="93"/>
      <c r="DNZ572" s="93"/>
      <c r="DOA572" s="93"/>
      <c r="DOB572" s="93"/>
      <c r="DOC572" s="93"/>
      <c r="DOD572" s="93"/>
      <c r="DOE572" s="93"/>
      <c r="DOF572" s="93"/>
      <c r="DOG572" s="93"/>
      <c r="DOH572" s="93"/>
      <c r="DOI572" s="93"/>
      <c r="DOJ572" s="93"/>
      <c r="DOK572" s="93"/>
      <c r="DOL572" s="93"/>
      <c r="DOM572" s="93"/>
      <c r="DON572" s="93"/>
      <c r="DOO572" s="93"/>
      <c r="DOP572" s="93"/>
      <c r="DOQ572" s="93"/>
      <c r="DOR572" s="93"/>
      <c r="DOS572" s="93"/>
      <c r="DOT572" s="93"/>
      <c r="DOU572" s="93"/>
      <c r="DOV572" s="93"/>
      <c r="DOW572" s="93"/>
      <c r="DOX572" s="93"/>
      <c r="DOY572" s="93"/>
      <c r="DOZ572" s="93"/>
      <c r="DPA572" s="93"/>
      <c r="DPB572" s="93"/>
      <c r="DPC572" s="93"/>
      <c r="DPD572" s="93"/>
      <c r="DPE572" s="93"/>
      <c r="DPF572" s="93"/>
      <c r="DPG572" s="93"/>
      <c r="DPH572" s="93"/>
      <c r="DPI572" s="93"/>
      <c r="DPJ572" s="93"/>
      <c r="DPK572" s="93"/>
      <c r="DPL572" s="93"/>
      <c r="DPM572" s="93"/>
      <c r="DPN572" s="93"/>
      <c r="DPO572" s="93"/>
      <c r="DPP572" s="93"/>
      <c r="DPQ572" s="93"/>
      <c r="DPR572" s="93"/>
      <c r="DPS572" s="93"/>
      <c r="DPT572" s="93"/>
      <c r="DPU572" s="93"/>
      <c r="DPV572" s="93"/>
      <c r="DPW572" s="93"/>
      <c r="DPX572" s="93"/>
      <c r="DPY572" s="93"/>
      <c r="DPZ572" s="93"/>
      <c r="DQA572" s="93"/>
      <c r="DQB572" s="93"/>
      <c r="DQC572" s="93"/>
      <c r="DQD572" s="93"/>
      <c r="DQE572" s="93"/>
      <c r="DQF572" s="93"/>
      <c r="DQG572" s="93"/>
      <c r="DQH572" s="93"/>
      <c r="DQI572" s="93"/>
      <c r="DQJ572" s="93"/>
      <c r="DQK572" s="93"/>
      <c r="DQL572" s="93"/>
      <c r="DQM572" s="93"/>
      <c r="DQN572" s="93"/>
      <c r="DQO572" s="93"/>
      <c r="DQP572" s="93"/>
      <c r="DQQ572" s="93"/>
      <c r="DQR572" s="93"/>
      <c r="DQS572" s="93"/>
      <c r="DQT572" s="93"/>
      <c r="DQU572" s="93"/>
      <c r="DQV572" s="93"/>
      <c r="DQW572" s="93"/>
      <c r="DQX572" s="93"/>
      <c r="DQY572" s="93"/>
      <c r="DQZ572" s="93"/>
      <c r="DRA572" s="93"/>
      <c r="DRB572" s="93"/>
      <c r="DRC572" s="93"/>
      <c r="DRD572" s="93"/>
      <c r="DRE572" s="93"/>
      <c r="DRF572" s="93"/>
      <c r="DRG572" s="93"/>
      <c r="DRH572" s="93"/>
      <c r="DRI572" s="93"/>
      <c r="DRJ572" s="93"/>
      <c r="DRK572" s="93"/>
      <c r="DRL572" s="93"/>
      <c r="DRM572" s="93"/>
      <c r="DRN572" s="93"/>
      <c r="DRO572" s="93"/>
      <c r="DRP572" s="93"/>
      <c r="DRQ572" s="93"/>
      <c r="DRR572" s="93"/>
      <c r="DRS572" s="93"/>
      <c r="DRT572" s="93"/>
      <c r="DRU572" s="93"/>
      <c r="DRV572" s="93"/>
      <c r="DRW572" s="93"/>
      <c r="DRX572" s="93"/>
      <c r="DRY572" s="93"/>
      <c r="DRZ572" s="93"/>
      <c r="DSA572" s="93"/>
      <c r="DSB572" s="93"/>
      <c r="DSC572" s="93"/>
      <c r="DSD572" s="93"/>
      <c r="DSE572" s="93"/>
      <c r="DSF572" s="93"/>
      <c r="DSG572" s="93"/>
      <c r="DSH572" s="93"/>
      <c r="DSI572" s="93"/>
      <c r="DSJ572" s="93"/>
      <c r="DSK572" s="93"/>
      <c r="DSL572" s="93"/>
      <c r="DSM572" s="93"/>
      <c r="DSN572" s="93"/>
      <c r="DSO572" s="93"/>
      <c r="DSP572" s="93"/>
      <c r="DSQ572" s="93"/>
      <c r="DSR572" s="93"/>
      <c r="DSS572" s="93"/>
      <c r="DST572" s="93"/>
      <c r="DSU572" s="93"/>
      <c r="DSV572" s="93"/>
      <c r="DSW572" s="93"/>
      <c r="DSX572" s="93"/>
      <c r="DSY572" s="93"/>
      <c r="DSZ572" s="93"/>
      <c r="DTA572" s="93"/>
      <c r="DTB572" s="93"/>
      <c r="DTC572" s="93"/>
      <c r="DTD572" s="93"/>
      <c r="DTE572" s="93"/>
      <c r="DTF572" s="93"/>
      <c r="DTG572" s="93"/>
      <c r="DTH572" s="93"/>
      <c r="DTI572" s="93"/>
      <c r="DTJ572" s="93"/>
      <c r="DTK572" s="93"/>
      <c r="DTL572" s="93"/>
      <c r="DTM572" s="93"/>
      <c r="DTN572" s="93"/>
      <c r="DTO572" s="93"/>
      <c r="DTP572" s="93"/>
      <c r="DTQ572" s="93"/>
      <c r="DTR572" s="93"/>
      <c r="DTS572" s="93"/>
      <c r="DTT572" s="93"/>
      <c r="DTU572" s="93"/>
      <c r="DTV572" s="93"/>
      <c r="DTW572" s="93"/>
      <c r="DTX572" s="93"/>
      <c r="DTY572" s="93"/>
      <c r="DTZ572" s="93"/>
      <c r="DUA572" s="93"/>
      <c r="DUB572" s="93"/>
      <c r="DUC572" s="93"/>
      <c r="DUD572" s="93"/>
      <c r="DUE572" s="93"/>
      <c r="DUF572" s="93"/>
      <c r="DUG572" s="93"/>
      <c r="DUH572" s="93"/>
      <c r="DUI572" s="93"/>
      <c r="DUJ572" s="93"/>
      <c r="DUK572" s="93"/>
      <c r="DUL572" s="93"/>
      <c r="DUM572" s="93"/>
      <c r="DUN572" s="93"/>
      <c r="DUO572" s="93"/>
      <c r="DUP572" s="93"/>
      <c r="DUQ572" s="93"/>
      <c r="DUR572" s="93"/>
      <c r="DUS572" s="93"/>
      <c r="DUT572" s="93"/>
      <c r="DUU572" s="93"/>
      <c r="DUV572" s="93"/>
      <c r="DUW572" s="93"/>
      <c r="DUX572" s="93"/>
      <c r="DUY572" s="93"/>
      <c r="DUZ572" s="93"/>
      <c r="DVA572" s="93"/>
      <c r="DVB572" s="93"/>
      <c r="DVC572" s="93"/>
      <c r="DVD572" s="93"/>
      <c r="DVE572" s="93"/>
      <c r="DVF572" s="93"/>
      <c r="DVG572" s="93"/>
      <c r="DVH572" s="93"/>
      <c r="DVI572" s="93"/>
      <c r="DVJ572" s="93"/>
      <c r="DVK572" s="93"/>
      <c r="DVL572" s="93"/>
      <c r="DVM572" s="93"/>
      <c r="DVN572" s="93"/>
      <c r="DVO572" s="93"/>
      <c r="DVP572" s="93"/>
      <c r="DVQ572" s="93"/>
      <c r="DVR572" s="93"/>
      <c r="DVS572" s="93"/>
      <c r="DVT572" s="93"/>
      <c r="DVU572" s="93"/>
      <c r="DVV572" s="93"/>
      <c r="DVW572" s="93"/>
      <c r="DVX572" s="93"/>
      <c r="DVY572" s="93"/>
      <c r="DVZ572" s="93"/>
      <c r="DWA572" s="93"/>
      <c r="DWB572" s="93"/>
      <c r="DWC572" s="93"/>
      <c r="DWD572" s="93"/>
      <c r="DWE572" s="93"/>
      <c r="DWF572" s="93"/>
      <c r="DWG572" s="93"/>
      <c r="DWH572" s="93"/>
      <c r="DWI572" s="93"/>
      <c r="DWJ572" s="93"/>
      <c r="DWK572" s="93"/>
      <c r="DWL572" s="93"/>
      <c r="DWM572" s="93"/>
      <c r="DWN572" s="93"/>
      <c r="DWO572" s="93"/>
      <c r="DWP572" s="93"/>
      <c r="DWQ572" s="93"/>
      <c r="DWR572" s="93"/>
      <c r="DWS572" s="93"/>
      <c r="DWT572" s="93"/>
      <c r="DWU572" s="93"/>
      <c r="DWV572" s="93"/>
      <c r="DWW572" s="93"/>
      <c r="DWX572" s="93"/>
      <c r="DWY572" s="93"/>
      <c r="DWZ572" s="93"/>
      <c r="DXA572" s="93"/>
      <c r="DXB572" s="93"/>
      <c r="DXC572" s="93"/>
      <c r="DXD572" s="93"/>
      <c r="DXE572" s="93"/>
      <c r="DXF572" s="93"/>
      <c r="DXG572" s="93"/>
      <c r="DXH572" s="93"/>
      <c r="DXI572" s="93"/>
      <c r="DXJ572" s="93"/>
      <c r="DXK572" s="93"/>
      <c r="DXL572" s="93"/>
      <c r="DXM572" s="93"/>
      <c r="DXN572" s="93"/>
      <c r="DXO572" s="93"/>
      <c r="DXP572" s="93"/>
      <c r="DXQ572" s="93"/>
      <c r="DXR572" s="93"/>
      <c r="DXS572" s="93"/>
      <c r="DXT572" s="93"/>
      <c r="DXU572" s="93"/>
      <c r="DXV572" s="93"/>
      <c r="DXW572" s="93"/>
      <c r="DXX572" s="93"/>
      <c r="DXY572" s="93"/>
      <c r="DXZ572" s="93"/>
      <c r="DYA572" s="93"/>
      <c r="DYB572" s="93"/>
      <c r="DYC572" s="93"/>
      <c r="DYD572" s="93"/>
      <c r="DYE572" s="93"/>
      <c r="DYF572" s="93"/>
      <c r="DYG572" s="93"/>
      <c r="DYH572" s="93"/>
      <c r="DYI572" s="93"/>
      <c r="DYJ572" s="93"/>
      <c r="DYK572" s="93"/>
      <c r="DYL572" s="93"/>
      <c r="DYM572" s="93"/>
      <c r="DYN572" s="93"/>
      <c r="DYO572" s="93"/>
      <c r="DYP572" s="93"/>
      <c r="DYQ572" s="93"/>
      <c r="DYR572" s="93"/>
      <c r="DYS572" s="93"/>
      <c r="DYT572" s="93"/>
      <c r="DYU572" s="93"/>
      <c r="DYV572" s="93"/>
      <c r="DYW572" s="93"/>
      <c r="DYX572" s="93"/>
      <c r="DYY572" s="93"/>
      <c r="DYZ572" s="93"/>
      <c r="DZA572" s="93"/>
      <c r="DZB572" s="93"/>
      <c r="DZC572" s="93"/>
      <c r="DZD572" s="93"/>
      <c r="DZE572" s="93"/>
      <c r="DZF572" s="93"/>
      <c r="DZG572" s="93"/>
      <c r="DZH572" s="93"/>
      <c r="DZI572" s="93"/>
      <c r="DZJ572" s="93"/>
      <c r="DZK572" s="93"/>
      <c r="DZL572" s="93"/>
      <c r="DZM572" s="93"/>
      <c r="DZN572" s="93"/>
      <c r="DZO572" s="93"/>
      <c r="DZP572" s="93"/>
      <c r="DZQ572" s="93"/>
      <c r="DZR572" s="93"/>
      <c r="DZS572" s="93"/>
      <c r="DZT572" s="93"/>
      <c r="DZU572" s="93"/>
      <c r="DZV572" s="93"/>
      <c r="DZW572" s="93"/>
      <c r="DZX572" s="93"/>
      <c r="DZY572" s="93"/>
      <c r="DZZ572" s="93"/>
      <c r="EAA572" s="93"/>
      <c r="EAB572" s="93"/>
      <c r="EAC572" s="93"/>
      <c r="EAD572" s="93"/>
      <c r="EAE572" s="93"/>
      <c r="EAF572" s="93"/>
      <c r="EAG572" s="93"/>
      <c r="EAH572" s="93"/>
      <c r="EAI572" s="93"/>
      <c r="EAJ572" s="93"/>
      <c r="EAK572" s="93"/>
      <c r="EAL572" s="93"/>
      <c r="EAM572" s="93"/>
      <c r="EAN572" s="93"/>
      <c r="EAO572" s="93"/>
      <c r="EAP572" s="93"/>
      <c r="EAQ572" s="93"/>
      <c r="EAR572" s="93"/>
      <c r="EAS572" s="93"/>
      <c r="EAT572" s="93"/>
      <c r="EAU572" s="93"/>
      <c r="EAV572" s="93"/>
      <c r="EAW572" s="93"/>
      <c r="EAX572" s="93"/>
      <c r="EAY572" s="93"/>
      <c r="EAZ572" s="93"/>
      <c r="EBA572" s="93"/>
      <c r="EBB572" s="93"/>
      <c r="EBC572" s="93"/>
      <c r="EBD572" s="93"/>
      <c r="EBE572" s="93"/>
      <c r="EBF572" s="93"/>
      <c r="EBG572" s="93"/>
      <c r="EBH572" s="93"/>
      <c r="EBI572" s="93"/>
      <c r="EBJ572" s="93"/>
      <c r="EBK572" s="93"/>
      <c r="EBL572" s="93"/>
      <c r="EBM572" s="93"/>
      <c r="EBN572" s="93"/>
      <c r="EBO572" s="93"/>
      <c r="EBP572" s="93"/>
      <c r="EBQ572" s="93"/>
      <c r="EBR572" s="93"/>
      <c r="EBS572" s="93"/>
      <c r="EBT572" s="93"/>
      <c r="EBU572" s="93"/>
      <c r="EBV572" s="93"/>
      <c r="EBW572" s="93"/>
      <c r="EBX572" s="93"/>
      <c r="EBY572" s="93"/>
      <c r="EBZ572" s="93"/>
      <c r="ECA572" s="93"/>
      <c r="ECB572" s="93"/>
      <c r="ECC572" s="93"/>
      <c r="ECD572" s="93"/>
      <c r="ECE572" s="93"/>
      <c r="ECF572" s="93"/>
      <c r="ECG572" s="93"/>
      <c r="ECH572" s="93"/>
      <c r="ECI572" s="93"/>
      <c r="ECJ572" s="93"/>
      <c r="ECK572" s="93"/>
      <c r="ECL572" s="93"/>
      <c r="ECM572" s="93"/>
      <c r="ECN572" s="93"/>
      <c r="ECO572" s="93"/>
      <c r="ECP572" s="93"/>
      <c r="ECQ572" s="93"/>
      <c r="ECR572" s="93"/>
      <c r="ECS572" s="93"/>
      <c r="ECT572" s="93"/>
      <c r="ECU572" s="93"/>
      <c r="ECV572" s="93"/>
      <c r="ECW572" s="93"/>
      <c r="ECX572" s="93"/>
      <c r="ECY572" s="93"/>
      <c r="ECZ572" s="93"/>
      <c r="EDA572" s="93"/>
      <c r="EDB572" s="93"/>
      <c r="EDC572" s="93"/>
      <c r="EDD572" s="93"/>
      <c r="EDE572" s="93"/>
      <c r="EDF572" s="93"/>
      <c r="EDG572" s="93"/>
      <c r="EDH572" s="93"/>
      <c r="EDI572" s="93"/>
      <c r="EDJ572" s="93"/>
      <c r="EDK572" s="93"/>
      <c r="EDL572" s="93"/>
      <c r="EDM572" s="93"/>
      <c r="EDN572" s="93"/>
      <c r="EDO572" s="93"/>
      <c r="EDP572" s="93"/>
      <c r="EDQ572" s="93"/>
      <c r="EDR572" s="93"/>
      <c r="EDS572" s="93"/>
      <c r="EDT572" s="93"/>
      <c r="EDU572" s="93"/>
      <c r="EDV572" s="93"/>
      <c r="EDW572" s="93"/>
      <c r="EDX572" s="93"/>
      <c r="EDY572" s="93"/>
      <c r="EDZ572" s="93"/>
      <c r="EEA572" s="93"/>
      <c r="EEB572" s="93"/>
      <c r="EEC572" s="93"/>
      <c r="EED572" s="93"/>
      <c r="EEE572" s="93"/>
      <c r="EEF572" s="93"/>
      <c r="EEG572" s="93"/>
      <c r="EEH572" s="93"/>
      <c r="EEI572" s="93"/>
      <c r="EEJ572" s="93"/>
      <c r="EEK572" s="93"/>
      <c r="EEL572" s="93"/>
      <c r="EEM572" s="93"/>
      <c r="EEN572" s="93"/>
      <c r="EEO572" s="93"/>
      <c r="EEP572" s="93"/>
      <c r="EEQ572" s="93"/>
      <c r="EER572" s="93"/>
      <c r="EES572" s="93"/>
      <c r="EET572" s="93"/>
      <c r="EEU572" s="93"/>
      <c r="EEV572" s="93"/>
      <c r="EEW572" s="93"/>
      <c r="EEX572" s="93"/>
      <c r="EEY572" s="93"/>
      <c r="EEZ572" s="93"/>
      <c r="EFA572" s="93"/>
      <c r="EFB572" s="93"/>
      <c r="EFC572" s="93"/>
      <c r="EFD572" s="93"/>
      <c r="EFE572" s="93"/>
      <c r="EFF572" s="93"/>
      <c r="EFG572" s="93"/>
      <c r="EFH572" s="93"/>
      <c r="EFI572" s="93"/>
      <c r="EFJ572" s="93"/>
      <c r="EFK572" s="93"/>
      <c r="EFL572" s="93"/>
      <c r="EFM572" s="93"/>
      <c r="EFN572" s="93"/>
      <c r="EFO572" s="93"/>
      <c r="EFP572" s="93"/>
      <c r="EFQ572" s="93"/>
      <c r="EFR572" s="93"/>
      <c r="EFS572" s="93"/>
      <c r="EFT572" s="93"/>
      <c r="EFU572" s="93"/>
      <c r="EFV572" s="93"/>
      <c r="EFW572" s="93"/>
      <c r="EFX572" s="93"/>
      <c r="EFY572" s="93"/>
      <c r="EFZ572" s="93"/>
      <c r="EGA572" s="93"/>
      <c r="EGB572" s="93"/>
      <c r="EGC572" s="93"/>
      <c r="EGD572" s="93"/>
      <c r="EGE572" s="93"/>
      <c r="EGF572" s="93"/>
      <c r="EGG572" s="93"/>
      <c r="EGH572" s="93"/>
      <c r="EGI572" s="93"/>
      <c r="EGJ572" s="93"/>
      <c r="EGK572" s="93"/>
      <c r="EGL572" s="93"/>
      <c r="EGM572" s="93"/>
      <c r="EGN572" s="93"/>
      <c r="EGO572" s="93"/>
      <c r="EGP572" s="93"/>
      <c r="EGQ572" s="93"/>
      <c r="EGR572" s="93"/>
      <c r="EGS572" s="93"/>
      <c r="EGT572" s="93"/>
      <c r="EGU572" s="93"/>
      <c r="EGV572" s="93"/>
      <c r="EGW572" s="93"/>
      <c r="EGX572" s="93"/>
      <c r="EGY572" s="93"/>
      <c r="EGZ572" s="93"/>
      <c r="EHA572" s="93"/>
      <c r="EHB572" s="93"/>
      <c r="EHC572" s="93"/>
      <c r="EHD572" s="93"/>
      <c r="EHE572" s="93"/>
      <c r="EHF572" s="93"/>
      <c r="EHG572" s="93"/>
      <c r="EHH572" s="93"/>
      <c r="EHI572" s="93"/>
      <c r="EHJ572" s="93"/>
      <c r="EHK572" s="93"/>
      <c r="EHL572" s="93"/>
      <c r="EHM572" s="93"/>
      <c r="EHN572" s="93"/>
      <c r="EHO572" s="93"/>
      <c r="EHP572" s="93"/>
      <c r="EHQ572" s="93"/>
      <c r="EHR572" s="93"/>
      <c r="EHS572" s="93"/>
      <c r="EHT572" s="93"/>
      <c r="EHU572" s="93"/>
      <c r="EHV572" s="93"/>
      <c r="EHW572" s="93"/>
      <c r="EHX572" s="93"/>
      <c r="EHY572" s="93"/>
      <c r="EHZ572" s="93"/>
      <c r="EIA572" s="93"/>
      <c r="EIB572" s="93"/>
      <c r="EIC572" s="93"/>
      <c r="EID572" s="93"/>
      <c r="EIE572" s="93"/>
      <c r="EIF572" s="93"/>
      <c r="EIG572" s="93"/>
      <c r="EIH572" s="93"/>
      <c r="EII572" s="93"/>
      <c r="EIJ572" s="93"/>
      <c r="EIK572" s="93"/>
      <c r="EIL572" s="93"/>
      <c r="EIM572" s="93"/>
      <c r="EIN572" s="93"/>
      <c r="EIO572" s="93"/>
      <c r="EIP572" s="93"/>
      <c r="EIQ572" s="93"/>
      <c r="EIR572" s="93"/>
      <c r="EIS572" s="93"/>
      <c r="EIT572" s="93"/>
      <c r="EIU572" s="93"/>
      <c r="EIV572" s="93"/>
      <c r="EIW572" s="93"/>
      <c r="EIX572" s="93"/>
      <c r="EIY572" s="93"/>
      <c r="EIZ572" s="93"/>
      <c r="EJA572" s="93"/>
      <c r="EJB572" s="93"/>
      <c r="EJC572" s="93"/>
      <c r="EJD572" s="93"/>
      <c r="EJE572" s="93"/>
      <c r="EJF572" s="93"/>
      <c r="EJG572" s="93"/>
      <c r="EJH572" s="93"/>
      <c r="EJI572" s="93"/>
      <c r="EJJ572" s="93"/>
      <c r="EJK572" s="93"/>
      <c r="EJL572" s="93"/>
      <c r="EJM572" s="93"/>
      <c r="EJN572" s="93"/>
      <c r="EJO572" s="93"/>
      <c r="EJP572" s="93"/>
      <c r="EJQ572" s="93"/>
      <c r="EJR572" s="93"/>
      <c r="EJS572" s="93"/>
      <c r="EJT572" s="93"/>
      <c r="EJU572" s="93"/>
      <c r="EJV572" s="93"/>
      <c r="EJW572" s="93"/>
      <c r="EJX572" s="93"/>
      <c r="EJY572" s="93"/>
      <c r="EJZ572" s="93"/>
      <c r="EKA572" s="93"/>
      <c r="EKB572" s="93"/>
      <c r="EKC572" s="93"/>
      <c r="EKD572" s="93"/>
      <c r="EKE572" s="93"/>
      <c r="EKF572" s="93"/>
      <c r="EKG572" s="93"/>
      <c r="EKH572" s="93"/>
      <c r="EKI572" s="93"/>
      <c r="EKJ572" s="93"/>
      <c r="EKK572" s="93"/>
      <c r="EKL572" s="93"/>
      <c r="EKM572" s="93"/>
      <c r="EKN572" s="93"/>
      <c r="EKO572" s="93"/>
      <c r="EKP572" s="93"/>
      <c r="EKQ572" s="93"/>
      <c r="EKR572" s="93"/>
      <c r="EKS572" s="93"/>
      <c r="EKT572" s="93"/>
      <c r="EKU572" s="93"/>
      <c r="EKV572" s="93"/>
      <c r="EKW572" s="93"/>
      <c r="EKX572" s="93"/>
      <c r="EKY572" s="93"/>
      <c r="EKZ572" s="93"/>
      <c r="ELA572" s="93"/>
      <c r="ELB572" s="93"/>
      <c r="ELC572" s="93"/>
      <c r="ELD572" s="93"/>
      <c r="ELE572" s="93"/>
      <c r="ELF572" s="93"/>
      <c r="ELG572" s="93"/>
      <c r="ELH572" s="93"/>
      <c r="ELI572" s="93"/>
      <c r="ELJ572" s="93"/>
      <c r="ELK572" s="93"/>
      <c r="ELL572" s="93"/>
      <c r="ELM572" s="93"/>
      <c r="ELN572" s="93"/>
      <c r="ELO572" s="93"/>
      <c r="ELP572" s="93"/>
      <c r="ELQ572" s="93"/>
      <c r="ELR572" s="93"/>
      <c r="ELS572" s="93"/>
      <c r="ELT572" s="93"/>
      <c r="ELU572" s="93"/>
      <c r="ELV572" s="93"/>
      <c r="ELW572" s="93"/>
      <c r="ELX572" s="93"/>
      <c r="ELY572" s="93"/>
      <c r="ELZ572" s="93"/>
      <c r="EMA572" s="93"/>
      <c r="EMB572" s="93"/>
      <c r="EMC572" s="93"/>
      <c r="EMD572" s="93"/>
      <c r="EME572" s="93"/>
      <c r="EMF572" s="93"/>
      <c r="EMG572" s="93"/>
      <c r="EMH572" s="93"/>
      <c r="EMI572" s="93"/>
      <c r="EMJ572" s="93"/>
      <c r="EMK572" s="93"/>
      <c r="EML572" s="93"/>
      <c r="EMM572" s="93"/>
      <c r="EMN572" s="93"/>
      <c r="EMO572" s="93"/>
      <c r="EMP572" s="93"/>
      <c r="EMQ572" s="93"/>
      <c r="EMR572" s="93"/>
      <c r="EMS572" s="93"/>
      <c r="EMT572" s="93"/>
      <c r="EMU572" s="93"/>
      <c r="EMV572" s="93"/>
      <c r="EMW572" s="93"/>
      <c r="EMX572" s="93"/>
      <c r="EMY572" s="93"/>
      <c r="EMZ572" s="93"/>
      <c r="ENA572" s="93"/>
      <c r="ENB572" s="93"/>
      <c r="ENC572" s="93"/>
      <c r="END572" s="93"/>
      <c r="ENE572" s="93"/>
      <c r="ENF572" s="93"/>
      <c r="ENG572" s="93"/>
      <c r="ENH572" s="93"/>
      <c r="ENI572" s="93"/>
      <c r="ENJ572" s="93"/>
      <c r="ENK572" s="93"/>
      <c r="ENL572" s="93"/>
      <c r="ENM572" s="93"/>
      <c r="ENN572" s="93"/>
      <c r="ENO572" s="93"/>
      <c r="ENP572" s="93"/>
      <c r="ENQ572" s="93"/>
      <c r="ENR572" s="93"/>
      <c r="ENS572" s="93"/>
      <c r="ENT572" s="93"/>
      <c r="ENU572" s="93"/>
      <c r="ENV572" s="93"/>
      <c r="ENW572" s="93"/>
      <c r="ENX572" s="93"/>
      <c r="ENY572" s="93"/>
      <c r="ENZ572" s="93"/>
      <c r="EOA572" s="93"/>
      <c r="EOB572" s="93"/>
      <c r="EOC572" s="93"/>
      <c r="EOD572" s="93"/>
      <c r="EOE572" s="93"/>
      <c r="EOF572" s="93"/>
      <c r="EOG572" s="93"/>
      <c r="EOH572" s="93"/>
      <c r="EOI572" s="93"/>
      <c r="EOJ572" s="93"/>
      <c r="EOK572" s="93"/>
      <c r="EOL572" s="93"/>
      <c r="EOM572" s="93"/>
      <c r="EON572" s="93"/>
      <c r="EOO572" s="93"/>
      <c r="EOP572" s="93"/>
      <c r="EOQ572" s="93"/>
      <c r="EOR572" s="93"/>
      <c r="EOS572" s="93"/>
      <c r="EOT572" s="93"/>
      <c r="EOU572" s="93"/>
      <c r="EOV572" s="93"/>
      <c r="EOW572" s="93"/>
      <c r="EOX572" s="93"/>
      <c r="EOY572" s="93"/>
      <c r="EOZ572" s="93"/>
      <c r="EPA572" s="93"/>
      <c r="EPB572" s="93"/>
      <c r="EPC572" s="93"/>
      <c r="EPD572" s="93"/>
      <c r="EPE572" s="93"/>
      <c r="EPF572" s="93"/>
      <c r="EPG572" s="93"/>
      <c r="EPH572" s="93"/>
      <c r="EPI572" s="93"/>
      <c r="EPJ572" s="93"/>
      <c r="EPK572" s="93"/>
      <c r="EPL572" s="93"/>
      <c r="EPM572" s="93"/>
      <c r="EPN572" s="93"/>
      <c r="EPO572" s="93"/>
      <c r="EPP572" s="93"/>
      <c r="EPQ572" s="93"/>
      <c r="EPR572" s="93"/>
      <c r="EPS572" s="93"/>
      <c r="EPT572" s="93"/>
      <c r="EPU572" s="93"/>
      <c r="EPV572" s="93"/>
      <c r="EPW572" s="93"/>
      <c r="EPX572" s="93"/>
      <c r="EPY572" s="93"/>
      <c r="EPZ572" s="93"/>
      <c r="EQA572" s="93"/>
      <c r="EQB572" s="93"/>
      <c r="EQC572" s="93"/>
      <c r="EQD572" s="93"/>
      <c r="EQE572" s="93"/>
      <c r="EQF572" s="93"/>
      <c r="EQG572" s="93"/>
      <c r="EQH572" s="93"/>
      <c r="EQI572" s="93"/>
      <c r="EQJ572" s="93"/>
      <c r="EQK572" s="93"/>
      <c r="EQL572" s="93"/>
      <c r="EQM572" s="93"/>
      <c r="EQN572" s="93"/>
      <c r="EQO572" s="93"/>
      <c r="EQP572" s="93"/>
      <c r="EQQ572" s="93"/>
      <c r="EQR572" s="93"/>
      <c r="EQS572" s="93"/>
      <c r="EQT572" s="93"/>
      <c r="EQU572" s="93"/>
      <c r="EQV572" s="93"/>
      <c r="EQW572" s="93"/>
      <c r="EQX572" s="93"/>
      <c r="EQY572" s="93"/>
      <c r="EQZ572" s="93"/>
      <c r="ERA572" s="93"/>
      <c r="ERB572" s="93"/>
      <c r="ERC572" s="93"/>
      <c r="ERD572" s="93"/>
      <c r="ERE572" s="93"/>
      <c r="ERF572" s="93"/>
      <c r="ERG572" s="93"/>
      <c r="ERH572" s="93"/>
      <c r="ERI572" s="93"/>
      <c r="ERJ572" s="93"/>
      <c r="ERK572" s="93"/>
      <c r="ERL572" s="93"/>
      <c r="ERM572" s="93"/>
      <c r="ERN572" s="93"/>
      <c r="ERO572" s="93"/>
      <c r="ERP572" s="93"/>
      <c r="ERQ572" s="93"/>
      <c r="ERR572" s="93"/>
      <c r="ERS572" s="93"/>
      <c r="ERT572" s="93"/>
      <c r="ERU572" s="93"/>
      <c r="ERV572" s="93"/>
      <c r="ERW572" s="93"/>
      <c r="ERX572" s="93"/>
      <c r="ERY572" s="93"/>
      <c r="ERZ572" s="93"/>
      <c r="ESA572" s="93"/>
      <c r="ESB572" s="93"/>
      <c r="ESC572" s="93"/>
      <c r="ESD572" s="93"/>
      <c r="ESE572" s="93"/>
      <c r="ESF572" s="93"/>
      <c r="ESG572" s="93"/>
      <c r="ESH572" s="93"/>
      <c r="ESI572" s="93"/>
      <c r="ESJ572" s="93"/>
      <c r="ESK572" s="93"/>
      <c r="ESL572" s="93"/>
      <c r="ESM572" s="93"/>
      <c r="ESN572" s="93"/>
      <c r="ESO572" s="93"/>
      <c r="ESP572" s="93"/>
      <c r="ESQ572" s="93"/>
      <c r="ESR572" s="93"/>
      <c r="ESS572" s="93"/>
      <c r="EST572" s="93"/>
      <c r="ESU572" s="93"/>
      <c r="ESV572" s="93"/>
      <c r="ESW572" s="93"/>
      <c r="ESX572" s="93"/>
      <c r="ESY572" s="93"/>
      <c r="ESZ572" s="93"/>
      <c r="ETA572" s="93"/>
      <c r="ETB572" s="93"/>
      <c r="ETC572" s="93"/>
      <c r="ETD572" s="93"/>
      <c r="ETE572" s="93"/>
      <c r="ETF572" s="93"/>
      <c r="ETG572" s="93"/>
      <c r="ETH572" s="93"/>
      <c r="ETI572" s="93"/>
      <c r="ETJ572" s="93"/>
      <c r="ETK572" s="93"/>
      <c r="ETL572" s="93"/>
      <c r="ETM572" s="93"/>
      <c r="ETN572" s="93"/>
      <c r="ETO572" s="93"/>
      <c r="ETP572" s="93"/>
      <c r="ETQ572" s="93"/>
      <c r="ETR572" s="93"/>
      <c r="ETS572" s="93"/>
      <c r="ETT572" s="93"/>
      <c r="ETU572" s="93"/>
      <c r="ETV572" s="93"/>
      <c r="ETW572" s="93"/>
      <c r="ETX572" s="93"/>
      <c r="ETY572" s="93"/>
      <c r="ETZ572" s="93"/>
      <c r="EUA572" s="93"/>
      <c r="EUB572" s="93"/>
      <c r="EUC572" s="93"/>
      <c r="EUD572" s="93"/>
      <c r="EUE572" s="93"/>
      <c r="EUF572" s="93"/>
      <c r="EUG572" s="93"/>
      <c r="EUH572" s="93"/>
      <c r="EUI572" s="93"/>
      <c r="EUJ572" s="93"/>
      <c r="EUK572" s="93"/>
      <c r="EUL572" s="93"/>
      <c r="EUM572" s="93"/>
      <c r="EUN572" s="93"/>
      <c r="EUO572" s="93"/>
      <c r="EUP572" s="93"/>
      <c r="EUQ572" s="93"/>
      <c r="EUR572" s="93"/>
      <c r="EUS572" s="93"/>
      <c r="EUT572" s="93"/>
      <c r="EUU572" s="93"/>
      <c r="EUV572" s="93"/>
      <c r="EUW572" s="93"/>
      <c r="EUX572" s="93"/>
      <c r="EUY572" s="93"/>
      <c r="EUZ572" s="93"/>
      <c r="EVA572" s="93"/>
      <c r="EVB572" s="93"/>
      <c r="EVC572" s="93"/>
      <c r="EVD572" s="93"/>
      <c r="EVE572" s="93"/>
      <c r="EVF572" s="93"/>
      <c r="EVG572" s="93"/>
      <c r="EVH572" s="93"/>
      <c r="EVI572" s="93"/>
      <c r="EVJ572" s="93"/>
      <c r="EVK572" s="93"/>
      <c r="EVL572" s="93"/>
      <c r="EVM572" s="93"/>
      <c r="EVN572" s="93"/>
      <c r="EVO572" s="93"/>
      <c r="EVP572" s="93"/>
      <c r="EVQ572" s="93"/>
      <c r="EVR572" s="93"/>
      <c r="EVS572" s="93"/>
      <c r="EVT572" s="93"/>
      <c r="EVU572" s="93"/>
      <c r="EVV572" s="93"/>
      <c r="EVW572" s="93"/>
      <c r="EVX572" s="93"/>
      <c r="EVY572" s="93"/>
      <c r="EVZ572" s="93"/>
      <c r="EWA572" s="93"/>
      <c r="EWB572" s="93"/>
      <c r="EWC572" s="93"/>
      <c r="EWD572" s="93"/>
      <c r="EWE572" s="93"/>
      <c r="EWF572" s="93"/>
      <c r="EWG572" s="93"/>
      <c r="EWH572" s="93"/>
      <c r="EWI572" s="93"/>
      <c r="EWJ572" s="93"/>
      <c r="EWK572" s="93"/>
      <c r="EWL572" s="93"/>
      <c r="EWM572" s="93"/>
      <c r="EWN572" s="93"/>
      <c r="EWO572" s="93"/>
      <c r="EWP572" s="93"/>
      <c r="EWQ572" s="93"/>
      <c r="EWR572" s="93"/>
      <c r="EWS572" s="93"/>
      <c r="EWT572" s="93"/>
      <c r="EWU572" s="93"/>
      <c r="EWV572" s="93"/>
      <c r="EWW572" s="93"/>
      <c r="EWX572" s="93"/>
      <c r="EWY572" s="93"/>
      <c r="EWZ572" s="93"/>
      <c r="EXA572" s="93"/>
      <c r="EXB572" s="93"/>
      <c r="EXC572" s="93"/>
      <c r="EXD572" s="93"/>
      <c r="EXE572" s="93"/>
      <c r="EXF572" s="93"/>
      <c r="EXG572" s="93"/>
      <c r="EXH572" s="93"/>
      <c r="EXI572" s="93"/>
      <c r="EXJ572" s="93"/>
      <c r="EXK572" s="93"/>
      <c r="EXL572" s="93"/>
      <c r="EXM572" s="93"/>
      <c r="EXN572" s="93"/>
      <c r="EXO572" s="93"/>
      <c r="EXP572" s="93"/>
      <c r="EXQ572" s="93"/>
      <c r="EXR572" s="93"/>
      <c r="EXS572" s="93"/>
      <c r="EXT572" s="93"/>
      <c r="EXU572" s="93"/>
      <c r="EXV572" s="93"/>
      <c r="EXW572" s="93"/>
      <c r="EXX572" s="93"/>
      <c r="EXY572" s="93"/>
      <c r="EXZ572" s="93"/>
      <c r="EYA572" s="93"/>
      <c r="EYB572" s="93"/>
      <c r="EYC572" s="93"/>
      <c r="EYD572" s="93"/>
      <c r="EYE572" s="93"/>
      <c r="EYF572" s="93"/>
      <c r="EYG572" s="93"/>
      <c r="EYH572" s="93"/>
      <c r="EYI572" s="93"/>
      <c r="EYJ572" s="93"/>
      <c r="EYK572" s="93"/>
      <c r="EYL572" s="93"/>
      <c r="EYM572" s="93"/>
      <c r="EYN572" s="93"/>
      <c r="EYO572" s="93"/>
      <c r="EYP572" s="93"/>
      <c r="EYQ572" s="93"/>
      <c r="EYR572" s="93"/>
      <c r="EYS572" s="93"/>
      <c r="EYT572" s="93"/>
      <c r="EYU572" s="93"/>
      <c r="EYV572" s="93"/>
      <c r="EYW572" s="93"/>
      <c r="EYX572" s="93"/>
      <c r="EYY572" s="93"/>
      <c r="EYZ572" s="93"/>
      <c r="EZA572" s="93"/>
      <c r="EZB572" s="93"/>
      <c r="EZC572" s="93"/>
      <c r="EZD572" s="93"/>
      <c r="EZE572" s="93"/>
      <c r="EZF572" s="93"/>
      <c r="EZG572" s="93"/>
      <c r="EZH572" s="93"/>
      <c r="EZI572" s="93"/>
      <c r="EZJ572" s="93"/>
      <c r="EZK572" s="93"/>
      <c r="EZL572" s="93"/>
      <c r="EZM572" s="93"/>
      <c r="EZN572" s="93"/>
      <c r="EZO572" s="93"/>
      <c r="EZP572" s="93"/>
      <c r="EZQ572" s="93"/>
      <c r="EZR572" s="93"/>
      <c r="EZS572" s="93"/>
      <c r="EZT572" s="93"/>
      <c r="EZU572" s="93"/>
      <c r="EZV572" s="93"/>
      <c r="EZW572" s="93"/>
      <c r="EZX572" s="93"/>
      <c r="EZY572" s="93"/>
      <c r="EZZ572" s="93"/>
      <c r="FAA572" s="93"/>
      <c r="FAB572" s="93"/>
      <c r="FAC572" s="93"/>
      <c r="FAD572" s="93"/>
      <c r="FAE572" s="93"/>
      <c r="FAF572" s="93"/>
      <c r="FAG572" s="93"/>
      <c r="FAH572" s="93"/>
      <c r="FAI572" s="93"/>
      <c r="FAJ572" s="93"/>
      <c r="FAK572" s="93"/>
      <c r="FAL572" s="93"/>
      <c r="FAM572" s="93"/>
      <c r="FAN572" s="93"/>
      <c r="FAO572" s="93"/>
      <c r="FAP572" s="93"/>
      <c r="FAQ572" s="93"/>
      <c r="FAR572" s="93"/>
      <c r="FAS572" s="93"/>
      <c r="FAT572" s="93"/>
      <c r="FAU572" s="93"/>
      <c r="FAV572" s="93"/>
      <c r="FAW572" s="93"/>
      <c r="FAX572" s="93"/>
      <c r="FAY572" s="93"/>
      <c r="FAZ572" s="93"/>
      <c r="FBA572" s="93"/>
      <c r="FBB572" s="93"/>
      <c r="FBC572" s="93"/>
      <c r="FBD572" s="93"/>
      <c r="FBE572" s="93"/>
      <c r="FBF572" s="93"/>
      <c r="FBG572" s="93"/>
      <c r="FBH572" s="93"/>
      <c r="FBI572" s="93"/>
      <c r="FBJ572" s="93"/>
      <c r="FBK572" s="93"/>
      <c r="FBL572" s="93"/>
      <c r="FBM572" s="93"/>
      <c r="FBN572" s="93"/>
      <c r="FBO572" s="93"/>
      <c r="FBP572" s="93"/>
      <c r="FBQ572" s="93"/>
      <c r="FBR572" s="93"/>
      <c r="FBS572" s="93"/>
      <c r="FBT572" s="93"/>
      <c r="FBU572" s="93"/>
      <c r="FBV572" s="93"/>
      <c r="FBW572" s="93"/>
      <c r="FBX572" s="93"/>
      <c r="FBY572" s="93"/>
      <c r="FBZ572" s="93"/>
      <c r="FCA572" s="93"/>
      <c r="FCB572" s="93"/>
      <c r="FCC572" s="93"/>
      <c r="FCD572" s="93"/>
      <c r="FCE572" s="93"/>
      <c r="FCF572" s="93"/>
      <c r="FCG572" s="93"/>
      <c r="FCH572" s="93"/>
      <c r="FCI572" s="93"/>
      <c r="FCJ572" s="93"/>
      <c r="FCK572" s="93"/>
      <c r="FCL572" s="93"/>
      <c r="FCM572" s="93"/>
      <c r="FCN572" s="93"/>
      <c r="FCO572" s="93"/>
      <c r="FCP572" s="93"/>
      <c r="FCQ572" s="93"/>
      <c r="FCR572" s="93"/>
      <c r="FCS572" s="93"/>
      <c r="FCT572" s="93"/>
      <c r="FCU572" s="93"/>
      <c r="FCV572" s="93"/>
      <c r="FCW572" s="93"/>
      <c r="FCX572" s="93"/>
      <c r="FCY572" s="93"/>
      <c r="FCZ572" s="93"/>
      <c r="FDA572" s="93"/>
      <c r="FDB572" s="93"/>
      <c r="FDC572" s="93"/>
      <c r="FDD572" s="93"/>
      <c r="FDE572" s="93"/>
      <c r="FDF572" s="93"/>
      <c r="FDG572" s="93"/>
      <c r="FDH572" s="93"/>
      <c r="FDI572" s="93"/>
      <c r="FDJ572" s="93"/>
      <c r="FDK572" s="93"/>
      <c r="FDL572" s="93"/>
      <c r="FDM572" s="93"/>
      <c r="FDN572" s="93"/>
      <c r="FDO572" s="93"/>
      <c r="FDP572" s="93"/>
      <c r="FDQ572" s="93"/>
      <c r="FDR572" s="93"/>
      <c r="FDS572" s="93"/>
      <c r="FDT572" s="93"/>
      <c r="FDU572" s="93"/>
      <c r="FDV572" s="93"/>
      <c r="FDW572" s="93"/>
      <c r="FDX572" s="93"/>
      <c r="FDY572" s="93"/>
      <c r="FDZ572" s="93"/>
      <c r="FEA572" s="93"/>
      <c r="FEB572" s="93"/>
      <c r="FEC572" s="93"/>
      <c r="FED572" s="93"/>
      <c r="FEE572" s="93"/>
      <c r="FEF572" s="93"/>
      <c r="FEG572" s="93"/>
      <c r="FEH572" s="93"/>
      <c r="FEI572" s="93"/>
      <c r="FEJ572" s="93"/>
      <c r="FEK572" s="93"/>
      <c r="FEL572" s="93"/>
      <c r="FEM572" s="93"/>
      <c r="FEN572" s="93"/>
      <c r="FEO572" s="93"/>
      <c r="FEP572" s="93"/>
      <c r="FEQ572" s="93"/>
      <c r="FER572" s="93"/>
      <c r="FES572" s="93"/>
      <c r="FET572" s="93"/>
      <c r="FEU572" s="93"/>
      <c r="FEV572" s="93"/>
      <c r="FEW572" s="93"/>
      <c r="FEX572" s="93"/>
      <c r="FEY572" s="93"/>
      <c r="FEZ572" s="93"/>
      <c r="FFA572" s="93"/>
      <c r="FFB572" s="93"/>
      <c r="FFC572" s="93"/>
      <c r="FFD572" s="93"/>
      <c r="FFE572" s="93"/>
      <c r="FFF572" s="93"/>
      <c r="FFG572" s="93"/>
      <c r="FFH572" s="93"/>
      <c r="FFI572" s="93"/>
      <c r="FFJ572" s="93"/>
      <c r="FFK572" s="93"/>
      <c r="FFL572" s="93"/>
      <c r="FFM572" s="93"/>
      <c r="FFN572" s="93"/>
      <c r="FFO572" s="93"/>
      <c r="FFP572" s="93"/>
      <c r="FFQ572" s="93"/>
      <c r="FFR572" s="93"/>
      <c r="FFS572" s="93"/>
      <c r="FFT572" s="93"/>
      <c r="FFU572" s="93"/>
      <c r="FFV572" s="93"/>
      <c r="FFW572" s="93"/>
      <c r="FFX572" s="93"/>
      <c r="FFY572" s="93"/>
      <c r="FFZ572" s="93"/>
      <c r="FGA572" s="93"/>
      <c r="FGB572" s="93"/>
      <c r="FGC572" s="93"/>
      <c r="FGD572" s="93"/>
      <c r="FGE572" s="93"/>
      <c r="FGF572" s="93"/>
      <c r="FGG572" s="93"/>
      <c r="FGH572" s="93"/>
      <c r="FGI572" s="93"/>
      <c r="FGJ572" s="93"/>
      <c r="FGK572" s="93"/>
      <c r="FGL572" s="93"/>
      <c r="FGM572" s="93"/>
      <c r="FGN572" s="93"/>
      <c r="FGO572" s="93"/>
      <c r="FGP572" s="93"/>
      <c r="FGQ572" s="93"/>
      <c r="FGR572" s="93"/>
      <c r="FGS572" s="93"/>
      <c r="FGT572" s="93"/>
      <c r="FGU572" s="93"/>
      <c r="FGV572" s="93"/>
      <c r="FGW572" s="93"/>
      <c r="FGX572" s="93"/>
      <c r="FGY572" s="93"/>
      <c r="FGZ572" s="93"/>
      <c r="FHA572" s="93"/>
      <c r="FHB572" s="93"/>
      <c r="FHC572" s="93"/>
      <c r="FHD572" s="93"/>
      <c r="FHE572" s="93"/>
      <c r="FHF572" s="93"/>
      <c r="FHG572" s="93"/>
      <c r="FHH572" s="93"/>
      <c r="FHI572" s="93"/>
      <c r="FHJ572" s="93"/>
      <c r="FHK572" s="93"/>
      <c r="FHL572" s="93"/>
      <c r="FHM572" s="93"/>
      <c r="FHN572" s="93"/>
      <c r="FHO572" s="93"/>
      <c r="FHP572" s="93"/>
      <c r="FHQ572" s="93"/>
      <c r="FHR572" s="93"/>
      <c r="FHS572" s="93"/>
      <c r="FHT572" s="93"/>
      <c r="FHU572" s="93"/>
      <c r="FHV572" s="93"/>
      <c r="FHW572" s="93"/>
      <c r="FHX572" s="93"/>
      <c r="FHY572" s="93"/>
      <c r="FHZ572" s="93"/>
      <c r="FIA572" s="93"/>
      <c r="FIB572" s="93"/>
      <c r="FIC572" s="93"/>
      <c r="FID572" s="93"/>
      <c r="FIE572" s="93"/>
      <c r="FIF572" s="93"/>
      <c r="FIG572" s="93"/>
      <c r="FIH572" s="93"/>
      <c r="FII572" s="93"/>
      <c r="FIJ572" s="93"/>
      <c r="FIK572" s="93"/>
      <c r="FIL572" s="93"/>
      <c r="FIM572" s="93"/>
      <c r="FIN572" s="93"/>
      <c r="FIO572" s="93"/>
      <c r="FIP572" s="93"/>
      <c r="FIQ572" s="93"/>
      <c r="FIR572" s="93"/>
      <c r="FIS572" s="93"/>
      <c r="FIT572" s="93"/>
      <c r="FIU572" s="93"/>
      <c r="FIV572" s="93"/>
      <c r="FIW572" s="93"/>
      <c r="FIX572" s="93"/>
      <c r="FIY572" s="93"/>
      <c r="FIZ572" s="93"/>
      <c r="FJA572" s="93"/>
      <c r="FJB572" s="93"/>
      <c r="FJC572" s="93"/>
      <c r="FJD572" s="93"/>
      <c r="FJE572" s="93"/>
      <c r="FJF572" s="93"/>
      <c r="FJG572" s="93"/>
      <c r="FJH572" s="93"/>
      <c r="FJI572" s="93"/>
      <c r="FJJ572" s="93"/>
      <c r="FJK572" s="93"/>
      <c r="FJL572" s="93"/>
      <c r="FJM572" s="93"/>
      <c r="FJN572" s="93"/>
      <c r="FJO572" s="93"/>
      <c r="FJP572" s="93"/>
      <c r="FJQ572" s="93"/>
      <c r="FJR572" s="93"/>
      <c r="FJS572" s="93"/>
      <c r="FJT572" s="93"/>
      <c r="FJU572" s="93"/>
      <c r="FJV572" s="93"/>
      <c r="FJW572" s="93"/>
      <c r="FJX572" s="93"/>
      <c r="FJY572" s="93"/>
      <c r="FJZ572" s="93"/>
      <c r="FKA572" s="93"/>
      <c r="FKB572" s="93"/>
      <c r="FKC572" s="93"/>
      <c r="FKD572" s="93"/>
      <c r="FKE572" s="93"/>
      <c r="FKF572" s="93"/>
      <c r="FKG572" s="93"/>
      <c r="FKH572" s="93"/>
      <c r="FKI572" s="93"/>
      <c r="FKJ572" s="93"/>
      <c r="FKK572" s="93"/>
      <c r="FKL572" s="93"/>
      <c r="FKM572" s="93"/>
      <c r="FKN572" s="93"/>
      <c r="FKO572" s="93"/>
      <c r="FKP572" s="93"/>
      <c r="FKQ572" s="93"/>
      <c r="FKR572" s="93"/>
      <c r="FKS572" s="93"/>
      <c r="FKT572" s="93"/>
      <c r="FKU572" s="93"/>
      <c r="FKV572" s="93"/>
      <c r="FKW572" s="93"/>
      <c r="FKX572" s="93"/>
      <c r="FKY572" s="93"/>
      <c r="FKZ572" s="93"/>
      <c r="FLA572" s="93"/>
      <c r="FLB572" s="93"/>
      <c r="FLC572" s="93"/>
      <c r="FLD572" s="93"/>
      <c r="FLE572" s="93"/>
      <c r="FLF572" s="93"/>
      <c r="FLG572" s="93"/>
      <c r="FLH572" s="93"/>
      <c r="FLI572" s="93"/>
      <c r="FLJ572" s="93"/>
      <c r="FLK572" s="93"/>
      <c r="FLL572" s="93"/>
      <c r="FLM572" s="93"/>
      <c r="FLN572" s="93"/>
      <c r="FLO572" s="93"/>
      <c r="FLP572" s="93"/>
      <c r="FLQ572" s="93"/>
      <c r="FLR572" s="93"/>
      <c r="FLS572" s="93"/>
      <c r="FLT572" s="93"/>
      <c r="FLU572" s="93"/>
      <c r="FLV572" s="93"/>
      <c r="FLW572" s="93"/>
      <c r="FLX572" s="93"/>
      <c r="FLY572" s="93"/>
      <c r="FLZ572" s="93"/>
      <c r="FMA572" s="93"/>
      <c r="FMB572" s="93"/>
      <c r="FMC572" s="93"/>
      <c r="FMD572" s="93"/>
      <c r="FME572" s="93"/>
      <c r="FMF572" s="93"/>
      <c r="FMG572" s="93"/>
      <c r="FMH572" s="93"/>
      <c r="FMI572" s="93"/>
      <c r="FMJ572" s="93"/>
      <c r="FMK572" s="93"/>
      <c r="FML572" s="93"/>
      <c r="FMM572" s="93"/>
      <c r="FMN572" s="93"/>
      <c r="FMO572" s="93"/>
      <c r="FMP572" s="93"/>
      <c r="FMQ572" s="93"/>
      <c r="FMR572" s="93"/>
      <c r="FMS572" s="93"/>
      <c r="FMT572" s="93"/>
      <c r="FMU572" s="93"/>
      <c r="FMV572" s="93"/>
      <c r="FMW572" s="93"/>
      <c r="FMX572" s="93"/>
      <c r="FMY572" s="93"/>
      <c r="FMZ572" s="93"/>
      <c r="FNA572" s="93"/>
      <c r="FNB572" s="93"/>
      <c r="FNC572" s="93"/>
      <c r="FND572" s="93"/>
      <c r="FNE572" s="93"/>
      <c r="FNF572" s="93"/>
      <c r="FNG572" s="93"/>
      <c r="FNH572" s="93"/>
      <c r="FNI572" s="93"/>
      <c r="FNJ572" s="93"/>
      <c r="FNK572" s="93"/>
      <c r="FNL572" s="93"/>
      <c r="FNM572" s="93"/>
      <c r="FNN572" s="93"/>
      <c r="FNO572" s="93"/>
      <c r="FNP572" s="93"/>
      <c r="FNQ572" s="93"/>
      <c r="FNR572" s="93"/>
      <c r="FNS572" s="93"/>
      <c r="FNT572" s="93"/>
      <c r="FNU572" s="93"/>
      <c r="FNV572" s="93"/>
      <c r="FNW572" s="93"/>
      <c r="FNX572" s="93"/>
      <c r="FNY572" s="93"/>
      <c r="FNZ572" s="93"/>
      <c r="FOA572" s="93"/>
      <c r="FOB572" s="93"/>
      <c r="FOC572" s="93"/>
      <c r="FOD572" s="93"/>
      <c r="FOE572" s="93"/>
      <c r="FOF572" s="93"/>
      <c r="FOG572" s="93"/>
      <c r="FOH572" s="93"/>
      <c r="FOI572" s="93"/>
      <c r="FOJ572" s="93"/>
      <c r="FOK572" s="93"/>
      <c r="FOL572" s="93"/>
      <c r="FOM572" s="93"/>
      <c r="FON572" s="93"/>
      <c r="FOO572" s="93"/>
      <c r="FOP572" s="93"/>
      <c r="FOQ572" s="93"/>
      <c r="FOR572" s="93"/>
      <c r="FOS572" s="93"/>
      <c r="FOT572" s="93"/>
      <c r="FOU572" s="93"/>
      <c r="FOV572" s="93"/>
      <c r="FOW572" s="93"/>
      <c r="FOX572" s="93"/>
      <c r="FOY572" s="93"/>
      <c r="FOZ572" s="93"/>
      <c r="FPA572" s="93"/>
      <c r="FPB572" s="93"/>
      <c r="FPC572" s="93"/>
      <c r="FPD572" s="93"/>
      <c r="FPE572" s="93"/>
      <c r="FPF572" s="93"/>
      <c r="FPG572" s="93"/>
      <c r="FPH572" s="93"/>
      <c r="FPI572" s="93"/>
      <c r="FPJ572" s="93"/>
      <c r="FPK572" s="93"/>
      <c r="FPL572" s="93"/>
      <c r="FPM572" s="93"/>
      <c r="FPN572" s="93"/>
      <c r="FPO572" s="93"/>
      <c r="FPP572" s="93"/>
      <c r="FPQ572" s="93"/>
      <c r="FPR572" s="93"/>
      <c r="FPS572" s="93"/>
      <c r="FPT572" s="93"/>
      <c r="FPU572" s="93"/>
      <c r="FPV572" s="93"/>
      <c r="FPW572" s="93"/>
      <c r="FPX572" s="93"/>
      <c r="FPY572" s="93"/>
      <c r="FPZ572" s="93"/>
      <c r="FQA572" s="93"/>
      <c r="FQB572" s="93"/>
      <c r="FQC572" s="93"/>
      <c r="FQD572" s="93"/>
      <c r="FQE572" s="93"/>
      <c r="FQF572" s="93"/>
      <c r="FQG572" s="93"/>
      <c r="FQH572" s="93"/>
      <c r="FQI572" s="93"/>
      <c r="FQJ572" s="93"/>
      <c r="FQK572" s="93"/>
      <c r="FQL572" s="93"/>
      <c r="FQM572" s="93"/>
      <c r="FQN572" s="93"/>
      <c r="FQO572" s="93"/>
      <c r="FQP572" s="93"/>
      <c r="FQQ572" s="93"/>
      <c r="FQR572" s="93"/>
      <c r="FQS572" s="93"/>
      <c r="FQT572" s="93"/>
      <c r="FQU572" s="93"/>
      <c r="FQV572" s="93"/>
      <c r="FQW572" s="93"/>
      <c r="FQX572" s="93"/>
      <c r="FQY572" s="93"/>
      <c r="FQZ572" s="93"/>
      <c r="FRA572" s="93"/>
      <c r="FRB572" s="93"/>
      <c r="FRC572" s="93"/>
      <c r="FRD572" s="93"/>
      <c r="FRE572" s="93"/>
      <c r="FRF572" s="93"/>
      <c r="FRG572" s="93"/>
      <c r="FRH572" s="93"/>
      <c r="FRI572" s="93"/>
      <c r="FRJ572" s="93"/>
      <c r="FRK572" s="93"/>
      <c r="FRL572" s="93"/>
      <c r="FRM572" s="93"/>
      <c r="FRN572" s="93"/>
      <c r="FRO572" s="93"/>
      <c r="FRP572" s="93"/>
      <c r="FRQ572" s="93"/>
      <c r="FRR572" s="93"/>
      <c r="FRS572" s="93"/>
      <c r="FRT572" s="93"/>
      <c r="FRU572" s="93"/>
      <c r="FRV572" s="93"/>
      <c r="FRW572" s="93"/>
      <c r="FRX572" s="93"/>
      <c r="FRY572" s="93"/>
      <c r="FRZ572" s="93"/>
      <c r="FSA572" s="93"/>
      <c r="FSB572" s="93"/>
      <c r="FSC572" s="93"/>
      <c r="FSD572" s="93"/>
      <c r="FSE572" s="93"/>
      <c r="FSF572" s="93"/>
      <c r="FSG572" s="93"/>
      <c r="FSH572" s="93"/>
      <c r="FSI572" s="93"/>
      <c r="FSJ572" s="93"/>
      <c r="FSK572" s="93"/>
      <c r="FSL572" s="93"/>
      <c r="FSM572" s="93"/>
      <c r="FSN572" s="93"/>
      <c r="FSO572" s="93"/>
      <c r="FSP572" s="93"/>
      <c r="FSQ572" s="93"/>
      <c r="FSR572" s="93"/>
      <c r="FSS572" s="93"/>
      <c r="FST572" s="93"/>
      <c r="FSU572" s="93"/>
      <c r="FSV572" s="93"/>
      <c r="FSW572" s="93"/>
      <c r="FSX572" s="93"/>
      <c r="FSY572" s="93"/>
      <c r="FSZ572" s="93"/>
      <c r="FTA572" s="93"/>
      <c r="FTB572" s="93"/>
      <c r="FTC572" s="93"/>
      <c r="FTD572" s="93"/>
      <c r="FTE572" s="93"/>
      <c r="FTF572" s="93"/>
      <c r="FTG572" s="93"/>
      <c r="FTH572" s="93"/>
      <c r="FTI572" s="93"/>
      <c r="FTJ572" s="93"/>
      <c r="FTK572" s="93"/>
      <c r="FTL572" s="93"/>
      <c r="FTM572" s="93"/>
      <c r="FTN572" s="93"/>
      <c r="FTO572" s="93"/>
      <c r="FTP572" s="93"/>
      <c r="FTQ572" s="93"/>
      <c r="FTR572" s="93"/>
      <c r="FTS572" s="93"/>
      <c r="FTT572" s="93"/>
      <c r="FTU572" s="93"/>
      <c r="FTV572" s="93"/>
      <c r="FTW572" s="93"/>
      <c r="FTX572" s="93"/>
      <c r="FTY572" s="93"/>
      <c r="FTZ572" s="93"/>
      <c r="FUA572" s="93"/>
      <c r="FUB572" s="93"/>
      <c r="FUC572" s="93"/>
      <c r="FUD572" s="93"/>
      <c r="FUE572" s="93"/>
      <c r="FUF572" s="93"/>
      <c r="FUG572" s="93"/>
      <c r="FUH572" s="93"/>
      <c r="FUI572" s="93"/>
      <c r="FUJ572" s="93"/>
      <c r="FUK572" s="93"/>
      <c r="FUL572" s="93"/>
      <c r="FUM572" s="93"/>
      <c r="FUN572" s="93"/>
      <c r="FUO572" s="93"/>
      <c r="FUP572" s="93"/>
      <c r="FUQ572" s="93"/>
      <c r="FUR572" s="93"/>
      <c r="FUS572" s="93"/>
      <c r="FUT572" s="93"/>
      <c r="FUU572" s="93"/>
      <c r="FUV572" s="93"/>
      <c r="FUW572" s="93"/>
      <c r="FUX572" s="93"/>
      <c r="FUY572" s="93"/>
      <c r="FUZ572" s="93"/>
      <c r="FVA572" s="93"/>
      <c r="FVB572" s="93"/>
      <c r="FVC572" s="93"/>
      <c r="FVD572" s="93"/>
      <c r="FVE572" s="93"/>
      <c r="FVF572" s="93"/>
      <c r="FVG572" s="93"/>
      <c r="FVH572" s="93"/>
      <c r="FVI572" s="93"/>
      <c r="FVJ572" s="93"/>
      <c r="FVK572" s="93"/>
      <c r="FVL572" s="93"/>
      <c r="FVM572" s="93"/>
      <c r="FVN572" s="93"/>
      <c r="FVO572" s="93"/>
      <c r="FVP572" s="93"/>
      <c r="FVQ572" s="93"/>
      <c r="FVR572" s="93"/>
      <c r="FVS572" s="93"/>
      <c r="FVT572" s="93"/>
      <c r="FVU572" s="93"/>
      <c r="FVV572" s="93"/>
      <c r="FVW572" s="93"/>
      <c r="FVX572" s="93"/>
      <c r="FVY572" s="93"/>
      <c r="FVZ572" s="93"/>
      <c r="FWA572" s="93"/>
      <c r="FWB572" s="93"/>
      <c r="FWC572" s="93"/>
      <c r="FWD572" s="93"/>
      <c r="FWE572" s="93"/>
      <c r="FWF572" s="93"/>
      <c r="FWG572" s="93"/>
      <c r="FWH572" s="93"/>
      <c r="FWI572" s="93"/>
      <c r="FWJ572" s="93"/>
      <c r="FWK572" s="93"/>
      <c r="FWL572" s="93"/>
      <c r="FWM572" s="93"/>
      <c r="FWN572" s="93"/>
      <c r="FWO572" s="93"/>
      <c r="FWP572" s="93"/>
      <c r="FWQ572" s="93"/>
      <c r="FWR572" s="93"/>
      <c r="FWS572" s="93"/>
      <c r="FWT572" s="93"/>
      <c r="FWU572" s="93"/>
      <c r="FWV572" s="93"/>
      <c r="FWW572" s="93"/>
      <c r="FWX572" s="93"/>
      <c r="FWY572" s="93"/>
      <c r="FWZ572" s="93"/>
      <c r="FXA572" s="93"/>
      <c r="FXB572" s="93"/>
      <c r="FXC572" s="93"/>
      <c r="FXD572" s="93"/>
      <c r="FXE572" s="93"/>
      <c r="FXF572" s="93"/>
      <c r="FXG572" s="93"/>
      <c r="FXH572" s="93"/>
      <c r="FXI572" s="93"/>
      <c r="FXJ572" s="93"/>
      <c r="FXK572" s="93"/>
      <c r="FXL572" s="93"/>
      <c r="FXM572" s="93"/>
      <c r="FXN572" s="93"/>
      <c r="FXO572" s="93"/>
      <c r="FXP572" s="93"/>
      <c r="FXQ572" s="93"/>
      <c r="FXR572" s="93"/>
      <c r="FXS572" s="93"/>
      <c r="FXT572" s="93"/>
      <c r="FXU572" s="93"/>
      <c r="FXV572" s="93"/>
      <c r="FXW572" s="93"/>
      <c r="FXX572" s="93"/>
      <c r="FXY572" s="93"/>
      <c r="FXZ572" s="93"/>
      <c r="FYA572" s="93"/>
      <c r="FYB572" s="93"/>
      <c r="FYC572" s="93"/>
      <c r="FYD572" s="93"/>
      <c r="FYE572" s="93"/>
      <c r="FYF572" s="93"/>
      <c r="FYG572" s="93"/>
      <c r="FYH572" s="93"/>
      <c r="FYI572" s="93"/>
      <c r="FYJ572" s="93"/>
      <c r="FYK572" s="93"/>
      <c r="FYL572" s="93"/>
      <c r="FYM572" s="93"/>
      <c r="FYN572" s="93"/>
      <c r="FYO572" s="93"/>
      <c r="FYP572" s="93"/>
      <c r="FYQ572" s="93"/>
      <c r="FYR572" s="93"/>
      <c r="FYS572" s="93"/>
      <c r="FYT572" s="93"/>
      <c r="FYU572" s="93"/>
      <c r="FYV572" s="93"/>
      <c r="FYW572" s="93"/>
      <c r="FYX572" s="93"/>
      <c r="FYY572" s="93"/>
      <c r="FYZ572" s="93"/>
      <c r="FZA572" s="93"/>
      <c r="FZB572" s="93"/>
      <c r="FZC572" s="93"/>
      <c r="FZD572" s="93"/>
      <c r="FZE572" s="93"/>
      <c r="FZF572" s="93"/>
      <c r="FZG572" s="93"/>
      <c r="FZH572" s="93"/>
      <c r="FZI572" s="93"/>
      <c r="FZJ572" s="93"/>
      <c r="FZK572" s="93"/>
      <c r="FZL572" s="93"/>
      <c r="FZM572" s="93"/>
      <c r="FZN572" s="93"/>
      <c r="FZO572" s="93"/>
      <c r="FZP572" s="93"/>
      <c r="FZQ572" s="93"/>
      <c r="FZR572" s="93"/>
      <c r="FZS572" s="93"/>
      <c r="FZT572" s="93"/>
      <c r="FZU572" s="93"/>
      <c r="FZV572" s="93"/>
      <c r="FZW572" s="93"/>
      <c r="FZX572" s="93"/>
      <c r="FZY572" s="93"/>
      <c r="FZZ572" s="93"/>
      <c r="GAA572" s="93"/>
      <c r="GAB572" s="93"/>
      <c r="GAC572" s="93"/>
      <c r="GAD572" s="93"/>
    </row>
    <row r="573" spans="1:4762" s="95" customFormat="1" ht="25.15" customHeight="1" outlineLevel="1" x14ac:dyDescent="0.25">
      <c r="A573" s="80" t="s">
        <v>202</v>
      </c>
      <c r="B573" s="80"/>
      <c r="C573" s="80"/>
      <c r="D573" s="89" t="s">
        <v>1758</v>
      </c>
      <c r="E573" s="90" t="s">
        <v>469</v>
      </c>
      <c r="F573" s="80" t="s">
        <v>50</v>
      </c>
      <c r="G573" s="80" t="s">
        <v>43</v>
      </c>
      <c r="H573" s="80" t="s">
        <v>998</v>
      </c>
      <c r="I573" s="80" t="s">
        <v>7</v>
      </c>
      <c r="J573" s="80"/>
      <c r="K573" s="90" t="s">
        <v>999</v>
      </c>
      <c r="L573" s="80"/>
      <c r="M573" s="80" t="s">
        <v>2622</v>
      </c>
      <c r="N573" s="92" t="s">
        <v>31</v>
      </c>
      <c r="O573" s="37">
        <v>9261</v>
      </c>
      <c r="P573" s="37">
        <v>2482</v>
      </c>
      <c r="Q573" s="37">
        <v>2110</v>
      </c>
      <c r="R573" s="37"/>
      <c r="S573" s="37">
        <v>3455</v>
      </c>
      <c r="T573" s="37">
        <v>2540</v>
      </c>
      <c r="U573" s="37">
        <v>11520</v>
      </c>
      <c r="V573" s="37">
        <v>1290</v>
      </c>
      <c r="W573" s="37">
        <v>6800</v>
      </c>
      <c r="X573" s="37">
        <v>3300</v>
      </c>
      <c r="Y573" s="37"/>
      <c r="Z573" s="37">
        <v>21</v>
      </c>
      <c r="AA573" s="37" t="s">
        <v>2647</v>
      </c>
      <c r="AB573" s="37">
        <v>19000</v>
      </c>
      <c r="AC573" s="37">
        <v>9139</v>
      </c>
      <c r="AD573" s="37"/>
      <c r="AE573" s="37"/>
      <c r="AF573" s="37"/>
      <c r="AG573" s="37"/>
      <c r="AH573" s="37">
        <v>48.2</v>
      </c>
      <c r="AI573" s="38" t="s">
        <v>2878</v>
      </c>
      <c r="AJ573" s="38" t="s">
        <v>2869</v>
      </c>
      <c r="AK573" s="38" t="s">
        <v>2725</v>
      </c>
      <c r="AL573" s="38" t="s">
        <v>2727</v>
      </c>
      <c r="AM573" s="38" t="s">
        <v>2945</v>
      </c>
      <c r="AN573" s="38" t="s">
        <v>2917</v>
      </c>
      <c r="AO573" s="197" t="s">
        <v>3145</v>
      </c>
      <c r="AP573" s="100" t="s">
        <v>3140</v>
      </c>
      <c r="AQ573" s="80"/>
      <c r="AR573" s="80"/>
      <c r="AS573" s="100" t="s">
        <v>2589</v>
      </c>
      <c r="AT573" s="100" t="s">
        <v>2580</v>
      </c>
      <c r="AU573" s="199" t="s">
        <v>3275</v>
      </c>
      <c r="AV573" s="199" t="s">
        <v>3188</v>
      </c>
      <c r="AW573" s="84" t="s">
        <v>3180</v>
      </c>
      <c r="AX573" s="91"/>
      <c r="AY573" s="91"/>
      <c r="AZ573" s="91"/>
      <c r="BA573" s="91"/>
      <c r="BB573" s="91"/>
      <c r="BC573" s="91"/>
      <c r="BD573" s="91"/>
      <c r="BE573" s="91"/>
      <c r="BF573" s="91"/>
      <c r="BG573" s="91"/>
      <c r="BH573" s="91"/>
      <c r="BI573" s="91"/>
      <c r="BJ573" s="91"/>
      <c r="BK573" s="91"/>
      <c r="BL573" s="91"/>
      <c r="BM573" s="80"/>
      <c r="BN573" s="80"/>
      <c r="BO573" s="80"/>
      <c r="BP573" s="80"/>
      <c r="BQ573" s="80"/>
      <c r="BR573" s="80"/>
      <c r="BS573" s="80"/>
      <c r="BT573" s="80"/>
      <c r="BU573" s="93"/>
      <c r="BV573" s="93"/>
      <c r="BW573" s="93"/>
      <c r="BX573" s="93"/>
      <c r="BY573" s="93"/>
      <c r="BZ573" s="93"/>
      <c r="CA573" s="93"/>
      <c r="CB573" s="93"/>
      <c r="CC573" s="93"/>
      <c r="CD573" s="93"/>
      <c r="CE573" s="93"/>
      <c r="CF573" s="93"/>
      <c r="CG573" s="93"/>
      <c r="CH573" s="93"/>
      <c r="CI573" s="93"/>
      <c r="CJ573" s="93"/>
      <c r="CK573" s="93"/>
      <c r="CL573" s="93"/>
      <c r="CM573" s="93"/>
      <c r="CN573" s="93"/>
      <c r="CO573" s="93"/>
      <c r="CP573" s="93"/>
      <c r="CQ573" s="93"/>
      <c r="CR573" s="93"/>
      <c r="CS573" s="93"/>
      <c r="CT573" s="93"/>
      <c r="CU573" s="93"/>
      <c r="CV573" s="93"/>
      <c r="CW573" s="93"/>
      <c r="CX573" s="93"/>
      <c r="CY573" s="93"/>
      <c r="CZ573" s="93"/>
      <c r="DA573" s="93"/>
      <c r="DB573" s="93"/>
      <c r="DC573" s="93"/>
      <c r="DD573" s="93"/>
      <c r="DE573" s="93"/>
      <c r="DF573" s="93"/>
      <c r="DG573" s="93"/>
      <c r="DH573" s="93"/>
      <c r="DI573" s="93"/>
      <c r="DJ573" s="93"/>
      <c r="DK573" s="93"/>
      <c r="DL573" s="93"/>
      <c r="DM573" s="93"/>
      <c r="DN573" s="93"/>
      <c r="DO573" s="93"/>
      <c r="DP573" s="93"/>
      <c r="DQ573" s="93"/>
      <c r="DR573" s="93"/>
      <c r="DS573" s="93"/>
      <c r="DT573" s="93"/>
      <c r="DU573" s="93"/>
      <c r="DV573" s="93"/>
      <c r="DW573" s="93"/>
      <c r="DX573" s="93"/>
      <c r="DY573" s="93"/>
      <c r="DZ573" s="93"/>
      <c r="EA573" s="93"/>
      <c r="EB573" s="93"/>
      <c r="EC573" s="93"/>
      <c r="ED573" s="93"/>
      <c r="EE573" s="93"/>
      <c r="EF573" s="93"/>
      <c r="EG573" s="93"/>
      <c r="EH573" s="93"/>
      <c r="EI573" s="93"/>
      <c r="EJ573" s="93"/>
      <c r="EK573" s="93"/>
      <c r="EL573" s="93"/>
      <c r="EM573" s="93"/>
      <c r="EN573" s="93"/>
      <c r="EO573" s="93"/>
      <c r="EP573" s="93"/>
      <c r="EQ573" s="93"/>
      <c r="ER573" s="93"/>
      <c r="ES573" s="93"/>
      <c r="ET573" s="93"/>
      <c r="EU573" s="93"/>
      <c r="EV573" s="93"/>
      <c r="EW573" s="93"/>
      <c r="EX573" s="93"/>
      <c r="EY573" s="93"/>
      <c r="EZ573" s="93"/>
      <c r="FA573" s="93"/>
      <c r="FB573" s="93"/>
      <c r="FC573" s="93"/>
      <c r="FD573" s="93"/>
      <c r="FE573" s="93"/>
      <c r="FF573" s="93"/>
      <c r="FG573" s="93"/>
      <c r="FH573" s="93"/>
      <c r="FI573" s="93"/>
      <c r="FJ573" s="93"/>
      <c r="FK573" s="93"/>
      <c r="FL573" s="93"/>
      <c r="FM573" s="93"/>
      <c r="FN573" s="93"/>
      <c r="FO573" s="93"/>
      <c r="FP573" s="93"/>
      <c r="FQ573" s="93"/>
      <c r="FR573" s="93"/>
      <c r="FS573" s="93"/>
      <c r="FT573" s="93"/>
      <c r="FU573" s="93"/>
      <c r="FV573" s="93"/>
      <c r="FW573" s="93"/>
      <c r="FX573" s="93"/>
      <c r="FY573" s="93"/>
      <c r="FZ573" s="93"/>
      <c r="GA573" s="93"/>
      <c r="GB573" s="93"/>
      <c r="GC573" s="93"/>
      <c r="GD573" s="93"/>
      <c r="GE573" s="93"/>
      <c r="GF573" s="93"/>
      <c r="GG573" s="93"/>
      <c r="GH573" s="93"/>
      <c r="GI573" s="93"/>
      <c r="GJ573" s="93"/>
      <c r="GK573" s="93"/>
      <c r="GL573" s="93"/>
      <c r="GM573" s="93"/>
      <c r="GN573" s="93"/>
      <c r="GO573" s="93"/>
      <c r="GP573" s="93"/>
      <c r="GQ573" s="93"/>
      <c r="GR573" s="93"/>
      <c r="GS573" s="93"/>
      <c r="GT573" s="93"/>
      <c r="GU573" s="93"/>
      <c r="GV573" s="93"/>
      <c r="GW573" s="93"/>
      <c r="GX573" s="93"/>
      <c r="GY573" s="93"/>
      <c r="GZ573" s="93"/>
      <c r="HA573" s="93"/>
      <c r="HB573" s="93"/>
      <c r="HC573" s="93"/>
      <c r="HD573" s="93"/>
      <c r="HE573" s="93"/>
      <c r="HF573" s="93"/>
      <c r="HG573" s="93"/>
      <c r="HH573" s="93"/>
      <c r="HI573" s="93"/>
      <c r="HJ573" s="93"/>
      <c r="HK573" s="93"/>
      <c r="HL573" s="93"/>
      <c r="HM573" s="93"/>
      <c r="HN573" s="93"/>
      <c r="HO573" s="93"/>
      <c r="HP573" s="93"/>
      <c r="HQ573" s="93"/>
      <c r="HR573" s="93"/>
      <c r="HS573" s="93"/>
      <c r="HT573" s="93"/>
      <c r="HU573" s="93"/>
      <c r="HV573" s="93"/>
      <c r="HW573" s="93"/>
      <c r="HX573" s="93"/>
      <c r="HY573" s="93"/>
      <c r="HZ573" s="93"/>
      <c r="IA573" s="93"/>
      <c r="IB573" s="93"/>
      <c r="IC573" s="93"/>
      <c r="ID573" s="93"/>
      <c r="IE573" s="93"/>
      <c r="IF573" s="93"/>
      <c r="IG573" s="93"/>
      <c r="IH573" s="93"/>
      <c r="II573" s="93"/>
      <c r="IJ573" s="93"/>
      <c r="IK573" s="93"/>
      <c r="IL573" s="93"/>
      <c r="IM573" s="93"/>
      <c r="IN573" s="93"/>
      <c r="IO573" s="93"/>
      <c r="IP573" s="93"/>
      <c r="IQ573" s="93"/>
      <c r="IR573" s="93"/>
      <c r="IS573" s="93"/>
      <c r="IT573" s="93"/>
      <c r="IU573" s="93"/>
      <c r="IV573" s="93"/>
      <c r="IW573" s="93"/>
      <c r="IX573" s="93"/>
      <c r="IY573" s="93"/>
      <c r="IZ573" s="93"/>
      <c r="JA573" s="93"/>
      <c r="JB573" s="93"/>
      <c r="JC573" s="93"/>
      <c r="JD573" s="93"/>
      <c r="JE573" s="93"/>
      <c r="JF573" s="93"/>
      <c r="JG573" s="93"/>
      <c r="JH573" s="93"/>
      <c r="JI573" s="93"/>
      <c r="JJ573" s="93"/>
      <c r="JK573" s="93"/>
      <c r="JL573" s="93"/>
      <c r="JM573" s="93"/>
      <c r="JN573" s="93"/>
      <c r="JO573" s="93"/>
      <c r="JP573" s="93"/>
      <c r="JQ573" s="93"/>
      <c r="JR573" s="93"/>
      <c r="JS573" s="93"/>
      <c r="JT573" s="93"/>
      <c r="JU573" s="93"/>
      <c r="JV573" s="93"/>
      <c r="JW573" s="93"/>
      <c r="JX573" s="93"/>
      <c r="JY573" s="93"/>
      <c r="JZ573" s="93"/>
      <c r="KA573" s="93"/>
      <c r="KB573" s="93"/>
      <c r="KC573" s="93"/>
      <c r="KD573" s="93"/>
      <c r="KE573" s="93"/>
      <c r="KF573" s="93"/>
      <c r="KG573" s="93"/>
      <c r="KH573" s="93"/>
      <c r="KI573" s="93"/>
      <c r="KJ573" s="93"/>
      <c r="KK573" s="93"/>
      <c r="KL573" s="93"/>
      <c r="KM573" s="93"/>
      <c r="KN573" s="93"/>
      <c r="KO573" s="93"/>
      <c r="KP573" s="93"/>
      <c r="KQ573" s="93"/>
      <c r="KR573" s="93"/>
      <c r="KS573" s="93"/>
      <c r="KT573" s="93"/>
      <c r="KU573" s="93"/>
      <c r="KV573" s="93"/>
      <c r="KW573" s="93"/>
      <c r="KX573" s="93"/>
      <c r="KY573" s="93"/>
      <c r="KZ573" s="93"/>
      <c r="LA573" s="93"/>
      <c r="LB573" s="93"/>
      <c r="LC573" s="93"/>
      <c r="LD573" s="93"/>
      <c r="LE573" s="93"/>
      <c r="LF573" s="93"/>
      <c r="LG573" s="93"/>
      <c r="LH573" s="93"/>
      <c r="LI573" s="93"/>
      <c r="LJ573" s="93"/>
      <c r="LK573" s="93"/>
      <c r="LL573" s="93"/>
      <c r="LM573" s="93"/>
      <c r="LN573" s="93"/>
      <c r="LO573" s="93"/>
      <c r="LP573" s="93"/>
      <c r="LQ573" s="93"/>
      <c r="LR573" s="93"/>
      <c r="LS573" s="93"/>
      <c r="LT573" s="93"/>
      <c r="LU573" s="93"/>
      <c r="LV573" s="93"/>
      <c r="LW573" s="93"/>
      <c r="LX573" s="93"/>
      <c r="LY573" s="93"/>
      <c r="LZ573" s="93"/>
      <c r="MA573" s="93"/>
      <c r="MB573" s="93"/>
      <c r="MC573" s="93"/>
      <c r="MD573" s="93"/>
      <c r="ME573" s="93"/>
      <c r="MF573" s="93"/>
      <c r="MG573" s="93"/>
      <c r="MH573" s="93"/>
      <c r="MI573" s="93"/>
      <c r="MJ573" s="93"/>
      <c r="MK573" s="93"/>
      <c r="ML573" s="93"/>
      <c r="MM573" s="93"/>
      <c r="MN573" s="93"/>
      <c r="MO573" s="93"/>
      <c r="MP573" s="93"/>
      <c r="MQ573" s="93"/>
      <c r="MR573" s="93"/>
      <c r="MS573" s="93"/>
      <c r="MT573" s="93"/>
      <c r="MU573" s="93"/>
      <c r="MV573" s="93"/>
      <c r="MW573" s="93"/>
      <c r="MX573" s="93"/>
      <c r="MY573" s="93"/>
      <c r="MZ573" s="93"/>
      <c r="NA573" s="93"/>
      <c r="NB573" s="93"/>
      <c r="NC573" s="93"/>
      <c r="ND573" s="93"/>
      <c r="NE573" s="93"/>
      <c r="NF573" s="93"/>
      <c r="NG573" s="93"/>
      <c r="NH573" s="93"/>
      <c r="NI573" s="93"/>
      <c r="NJ573" s="93"/>
      <c r="NK573" s="93"/>
      <c r="NL573" s="93"/>
      <c r="NM573" s="93"/>
      <c r="NN573" s="93"/>
      <c r="NO573" s="93"/>
      <c r="NP573" s="93"/>
      <c r="NQ573" s="93"/>
      <c r="NR573" s="93"/>
      <c r="NS573" s="93"/>
      <c r="NT573" s="93"/>
      <c r="NU573" s="93"/>
      <c r="NV573" s="93"/>
      <c r="NW573" s="93"/>
      <c r="NX573" s="93"/>
      <c r="NY573" s="93"/>
      <c r="NZ573" s="93"/>
      <c r="OA573" s="93"/>
      <c r="OB573" s="93"/>
      <c r="OC573" s="93"/>
      <c r="OD573" s="93"/>
      <c r="OE573" s="93"/>
      <c r="OF573" s="93"/>
      <c r="OG573" s="93"/>
      <c r="OH573" s="93"/>
      <c r="OI573" s="93"/>
      <c r="OJ573" s="93"/>
      <c r="OK573" s="93"/>
      <c r="OL573" s="93"/>
      <c r="OM573" s="93"/>
      <c r="ON573" s="93"/>
      <c r="OO573" s="93"/>
      <c r="OP573" s="93"/>
      <c r="OQ573" s="93"/>
      <c r="OR573" s="93"/>
      <c r="OS573" s="93"/>
      <c r="OT573" s="93"/>
      <c r="OU573" s="93"/>
      <c r="OV573" s="93"/>
      <c r="OW573" s="93"/>
      <c r="OX573" s="93"/>
      <c r="OY573" s="93"/>
      <c r="OZ573" s="93"/>
      <c r="PA573" s="93"/>
      <c r="PB573" s="93"/>
      <c r="PC573" s="93"/>
      <c r="PD573" s="93"/>
      <c r="PE573" s="93"/>
      <c r="PF573" s="93"/>
      <c r="PG573" s="93"/>
      <c r="PH573" s="93"/>
      <c r="PI573" s="93"/>
      <c r="PJ573" s="93"/>
      <c r="PK573" s="93"/>
      <c r="PL573" s="93"/>
      <c r="PM573" s="93"/>
      <c r="PN573" s="93"/>
      <c r="PO573" s="93"/>
      <c r="PP573" s="93"/>
      <c r="PQ573" s="93"/>
      <c r="PR573" s="93"/>
      <c r="PS573" s="93"/>
      <c r="PT573" s="93"/>
      <c r="PU573" s="93"/>
      <c r="PV573" s="93"/>
      <c r="PW573" s="93"/>
      <c r="PX573" s="93"/>
      <c r="PY573" s="93"/>
      <c r="PZ573" s="93"/>
      <c r="QA573" s="93"/>
      <c r="QB573" s="93"/>
      <c r="QC573" s="93"/>
      <c r="QD573" s="93"/>
      <c r="QE573" s="93"/>
      <c r="QF573" s="93"/>
      <c r="QG573" s="93"/>
      <c r="QH573" s="93"/>
      <c r="QI573" s="93"/>
      <c r="QJ573" s="93"/>
      <c r="QK573" s="93"/>
      <c r="QL573" s="93"/>
      <c r="QM573" s="93"/>
      <c r="QN573" s="93"/>
      <c r="QO573" s="93"/>
      <c r="QP573" s="93"/>
      <c r="QQ573" s="93"/>
      <c r="QR573" s="93"/>
      <c r="QS573" s="93"/>
      <c r="QT573" s="93"/>
      <c r="QU573" s="93"/>
      <c r="QV573" s="93"/>
      <c r="QW573" s="93"/>
      <c r="QX573" s="93"/>
      <c r="QY573" s="93"/>
      <c r="QZ573" s="93"/>
      <c r="RA573" s="93"/>
      <c r="RB573" s="93"/>
      <c r="RC573" s="93"/>
      <c r="RD573" s="93"/>
      <c r="RE573" s="93"/>
      <c r="RF573" s="93"/>
      <c r="RG573" s="93"/>
      <c r="RH573" s="93"/>
      <c r="RI573" s="93"/>
      <c r="RJ573" s="93"/>
      <c r="RK573" s="93"/>
      <c r="RL573" s="93"/>
      <c r="RM573" s="93"/>
      <c r="RN573" s="93"/>
      <c r="RO573" s="93"/>
      <c r="RP573" s="93"/>
      <c r="RQ573" s="93"/>
      <c r="RR573" s="93"/>
      <c r="RS573" s="93"/>
      <c r="RT573" s="93"/>
      <c r="RU573" s="93"/>
      <c r="RV573" s="93"/>
      <c r="RW573" s="93"/>
      <c r="RX573" s="93"/>
      <c r="RY573" s="93"/>
      <c r="RZ573" s="93"/>
      <c r="SA573" s="93"/>
      <c r="SB573" s="93"/>
      <c r="SC573" s="93"/>
      <c r="SD573" s="93"/>
      <c r="SE573" s="93"/>
      <c r="SF573" s="93"/>
      <c r="SG573" s="93"/>
      <c r="SH573" s="93"/>
      <c r="SI573" s="93"/>
      <c r="SJ573" s="93"/>
      <c r="SK573" s="93"/>
      <c r="SL573" s="93"/>
      <c r="SM573" s="93"/>
      <c r="SN573" s="93"/>
      <c r="SO573" s="93"/>
      <c r="SP573" s="93"/>
      <c r="SQ573" s="93"/>
      <c r="SR573" s="93"/>
      <c r="SS573" s="93"/>
      <c r="ST573" s="93"/>
      <c r="SU573" s="93"/>
      <c r="SV573" s="93"/>
      <c r="SW573" s="93"/>
      <c r="SX573" s="93"/>
      <c r="SY573" s="93"/>
      <c r="SZ573" s="93"/>
      <c r="TA573" s="93"/>
      <c r="TB573" s="93"/>
      <c r="TC573" s="93"/>
      <c r="TD573" s="93"/>
      <c r="TE573" s="93"/>
      <c r="TF573" s="93"/>
      <c r="TG573" s="93"/>
      <c r="TH573" s="93"/>
      <c r="TI573" s="93"/>
      <c r="TJ573" s="93"/>
      <c r="TK573" s="93"/>
      <c r="TL573" s="93"/>
      <c r="TM573" s="93"/>
      <c r="TN573" s="93"/>
      <c r="TO573" s="93"/>
      <c r="TP573" s="93"/>
      <c r="TQ573" s="93"/>
      <c r="TR573" s="93"/>
      <c r="TS573" s="93"/>
      <c r="TT573" s="93"/>
      <c r="TU573" s="93"/>
      <c r="TV573" s="93"/>
      <c r="TW573" s="93"/>
      <c r="TX573" s="93"/>
      <c r="TY573" s="93"/>
      <c r="TZ573" s="93"/>
      <c r="UA573" s="93"/>
      <c r="UB573" s="93"/>
      <c r="UC573" s="93"/>
      <c r="UD573" s="93"/>
      <c r="UE573" s="93"/>
      <c r="UF573" s="93"/>
      <c r="UG573" s="93"/>
      <c r="UH573" s="93"/>
      <c r="UI573" s="93"/>
      <c r="UJ573" s="93"/>
      <c r="UK573" s="93"/>
      <c r="UL573" s="93"/>
      <c r="UM573" s="93"/>
      <c r="UN573" s="93"/>
      <c r="UO573" s="93"/>
      <c r="UP573" s="93"/>
      <c r="UQ573" s="93"/>
      <c r="UR573" s="93"/>
      <c r="US573" s="93"/>
      <c r="UT573" s="93"/>
      <c r="UU573" s="93"/>
      <c r="UV573" s="93"/>
      <c r="UW573" s="93"/>
      <c r="UX573" s="93"/>
      <c r="UY573" s="93"/>
      <c r="UZ573" s="93"/>
      <c r="VA573" s="93"/>
      <c r="VB573" s="93"/>
      <c r="VC573" s="93"/>
      <c r="VD573" s="93"/>
      <c r="VE573" s="93"/>
      <c r="VF573" s="93"/>
      <c r="VG573" s="93"/>
      <c r="VH573" s="93"/>
      <c r="VI573" s="93"/>
      <c r="VJ573" s="93"/>
      <c r="VK573" s="93"/>
      <c r="VL573" s="93"/>
      <c r="VM573" s="93"/>
      <c r="VN573" s="93"/>
      <c r="VO573" s="93"/>
      <c r="VP573" s="93"/>
      <c r="VQ573" s="93"/>
      <c r="VR573" s="93"/>
      <c r="VS573" s="93"/>
      <c r="VT573" s="93"/>
      <c r="VU573" s="93"/>
      <c r="VV573" s="93"/>
      <c r="VW573" s="93"/>
      <c r="VX573" s="93"/>
      <c r="VY573" s="93"/>
      <c r="VZ573" s="93"/>
      <c r="WA573" s="93"/>
      <c r="WB573" s="93"/>
      <c r="WC573" s="93"/>
      <c r="WD573" s="93"/>
      <c r="WE573" s="93"/>
      <c r="WF573" s="93"/>
      <c r="WG573" s="93"/>
      <c r="WH573" s="93"/>
      <c r="WI573" s="93"/>
      <c r="WJ573" s="93"/>
      <c r="WK573" s="93"/>
      <c r="WL573" s="93"/>
      <c r="WM573" s="93"/>
      <c r="WN573" s="93"/>
      <c r="WO573" s="93"/>
      <c r="WP573" s="93"/>
      <c r="WQ573" s="93"/>
      <c r="WR573" s="93"/>
      <c r="WS573" s="93"/>
      <c r="WT573" s="93"/>
      <c r="WU573" s="93"/>
      <c r="WV573" s="93"/>
      <c r="WW573" s="93"/>
      <c r="WX573" s="93"/>
      <c r="WY573" s="93"/>
      <c r="WZ573" s="93"/>
      <c r="XA573" s="93"/>
      <c r="XB573" s="93"/>
      <c r="XC573" s="93"/>
      <c r="XD573" s="93"/>
      <c r="XE573" s="93"/>
      <c r="XF573" s="93"/>
      <c r="XG573" s="93"/>
      <c r="XH573" s="93"/>
      <c r="XI573" s="93"/>
      <c r="XJ573" s="93"/>
      <c r="XK573" s="93"/>
      <c r="XL573" s="93"/>
      <c r="XM573" s="93"/>
      <c r="XN573" s="93"/>
      <c r="XO573" s="93"/>
      <c r="XP573" s="93"/>
      <c r="XQ573" s="93"/>
      <c r="XR573" s="93"/>
      <c r="XS573" s="93"/>
      <c r="XT573" s="93"/>
      <c r="XU573" s="93"/>
      <c r="XV573" s="93"/>
      <c r="XW573" s="93"/>
      <c r="XX573" s="93"/>
      <c r="XY573" s="93"/>
      <c r="XZ573" s="93"/>
      <c r="YA573" s="93"/>
      <c r="YB573" s="93"/>
      <c r="YC573" s="93"/>
      <c r="YD573" s="93"/>
      <c r="YE573" s="93"/>
      <c r="YF573" s="93"/>
      <c r="YG573" s="93"/>
      <c r="YH573" s="93"/>
      <c r="YI573" s="93"/>
      <c r="YJ573" s="93"/>
      <c r="YK573" s="93"/>
      <c r="YL573" s="93"/>
      <c r="YM573" s="93"/>
      <c r="YN573" s="93"/>
      <c r="YO573" s="93"/>
      <c r="YP573" s="93"/>
      <c r="YQ573" s="93"/>
      <c r="YR573" s="93"/>
      <c r="YS573" s="93"/>
      <c r="YT573" s="93"/>
      <c r="YU573" s="93"/>
      <c r="YV573" s="93"/>
      <c r="YW573" s="93"/>
      <c r="YX573" s="93"/>
      <c r="YY573" s="93"/>
      <c r="YZ573" s="93"/>
      <c r="ZA573" s="93"/>
      <c r="ZB573" s="93"/>
      <c r="ZC573" s="93"/>
      <c r="ZD573" s="93"/>
      <c r="ZE573" s="93"/>
      <c r="ZF573" s="93"/>
      <c r="ZG573" s="93"/>
      <c r="ZH573" s="93"/>
      <c r="ZI573" s="93"/>
      <c r="ZJ573" s="93"/>
      <c r="ZK573" s="93"/>
      <c r="ZL573" s="93"/>
      <c r="ZM573" s="93"/>
      <c r="ZN573" s="93"/>
      <c r="ZO573" s="93"/>
      <c r="ZP573" s="93"/>
      <c r="ZQ573" s="93"/>
      <c r="ZR573" s="93"/>
      <c r="ZS573" s="93"/>
      <c r="ZT573" s="93"/>
      <c r="ZU573" s="93"/>
      <c r="ZV573" s="93"/>
      <c r="ZW573" s="93"/>
      <c r="ZX573" s="93"/>
      <c r="ZY573" s="93"/>
      <c r="ZZ573" s="93"/>
      <c r="AAA573" s="93"/>
      <c r="AAB573" s="93"/>
      <c r="AAC573" s="93"/>
      <c r="AAD573" s="93"/>
      <c r="AAE573" s="93"/>
      <c r="AAF573" s="93"/>
      <c r="AAG573" s="93"/>
      <c r="AAH573" s="93"/>
      <c r="AAI573" s="93"/>
      <c r="AAJ573" s="93"/>
      <c r="AAK573" s="93"/>
      <c r="AAL573" s="93"/>
      <c r="AAM573" s="93"/>
      <c r="AAN573" s="93"/>
      <c r="AAO573" s="93"/>
      <c r="AAP573" s="93"/>
      <c r="AAQ573" s="93"/>
      <c r="AAR573" s="93"/>
      <c r="AAS573" s="93"/>
      <c r="AAT573" s="93"/>
      <c r="AAU573" s="93"/>
      <c r="AAV573" s="93"/>
      <c r="AAW573" s="93"/>
      <c r="AAX573" s="93"/>
      <c r="AAY573" s="93"/>
      <c r="AAZ573" s="93"/>
      <c r="ABA573" s="93"/>
      <c r="ABB573" s="93"/>
      <c r="ABC573" s="93"/>
      <c r="ABD573" s="93"/>
      <c r="ABE573" s="93"/>
      <c r="ABF573" s="93"/>
      <c r="ABG573" s="93"/>
      <c r="ABH573" s="93"/>
      <c r="ABI573" s="93"/>
      <c r="ABJ573" s="93"/>
      <c r="ABK573" s="93"/>
      <c r="ABL573" s="93"/>
      <c r="ABM573" s="93"/>
      <c r="ABN573" s="93"/>
      <c r="ABO573" s="93"/>
      <c r="ABP573" s="93"/>
      <c r="ABQ573" s="93"/>
      <c r="ABR573" s="93"/>
      <c r="ABS573" s="93"/>
      <c r="ABT573" s="93"/>
      <c r="ABU573" s="93"/>
      <c r="ABV573" s="93"/>
      <c r="ABW573" s="93"/>
      <c r="ABX573" s="93"/>
      <c r="ABY573" s="93"/>
      <c r="ABZ573" s="93"/>
      <c r="ACA573" s="93"/>
      <c r="ACB573" s="93"/>
      <c r="ACC573" s="93"/>
      <c r="ACD573" s="93"/>
      <c r="ACE573" s="93"/>
      <c r="ACF573" s="93"/>
      <c r="ACG573" s="93"/>
      <c r="ACH573" s="93"/>
      <c r="ACI573" s="93"/>
      <c r="ACJ573" s="93"/>
      <c r="ACK573" s="93"/>
      <c r="ACL573" s="93"/>
      <c r="ACM573" s="93"/>
      <c r="ACN573" s="93"/>
      <c r="ACO573" s="93"/>
      <c r="ACP573" s="93"/>
      <c r="ACQ573" s="93"/>
      <c r="ACR573" s="93"/>
      <c r="ACS573" s="93"/>
      <c r="ACT573" s="93"/>
      <c r="ACU573" s="93"/>
      <c r="ACV573" s="93"/>
      <c r="ACW573" s="93"/>
      <c r="ACX573" s="93"/>
      <c r="ACY573" s="93"/>
      <c r="ACZ573" s="93"/>
      <c r="ADA573" s="93"/>
      <c r="ADB573" s="93"/>
      <c r="ADC573" s="93"/>
      <c r="ADD573" s="93"/>
      <c r="ADE573" s="93"/>
      <c r="ADF573" s="93"/>
      <c r="ADG573" s="93"/>
      <c r="ADH573" s="93"/>
      <c r="ADI573" s="93"/>
      <c r="ADJ573" s="93"/>
      <c r="ADK573" s="93"/>
      <c r="ADL573" s="93"/>
      <c r="ADM573" s="93"/>
      <c r="ADN573" s="93"/>
      <c r="ADO573" s="93"/>
      <c r="ADP573" s="93"/>
      <c r="ADQ573" s="93"/>
      <c r="ADR573" s="93"/>
      <c r="ADS573" s="93"/>
      <c r="ADT573" s="93"/>
      <c r="ADU573" s="93"/>
      <c r="ADV573" s="93"/>
      <c r="ADW573" s="93"/>
      <c r="ADX573" s="93"/>
      <c r="ADY573" s="93"/>
      <c r="ADZ573" s="93"/>
      <c r="AEA573" s="93"/>
      <c r="AEB573" s="93"/>
      <c r="AEC573" s="93"/>
      <c r="AED573" s="93"/>
      <c r="AEE573" s="93"/>
      <c r="AEF573" s="93"/>
      <c r="AEG573" s="93"/>
      <c r="AEH573" s="93"/>
      <c r="AEI573" s="93"/>
      <c r="AEJ573" s="93"/>
      <c r="AEK573" s="93"/>
      <c r="AEL573" s="93"/>
      <c r="AEM573" s="93"/>
      <c r="AEN573" s="93"/>
      <c r="AEO573" s="93"/>
      <c r="AEP573" s="93"/>
      <c r="AEQ573" s="93"/>
      <c r="AER573" s="93"/>
      <c r="AES573" s="93"/>
      <c r="AET573" s="93"/>
      <c r="AEU573" s="93"/>
      <c r="AEV573" s="93"/>
      <c r="AEW573" s="93"/>
      <c r="AEX573" s="93"/>
      <c r="AEY573" s="93"/>
      <c r="AEZ573" s="93"/>
      <c r="AFA573" s="93"/>
      <c r="AFB573" s="93"/>
      <c r="AFC573" s="93"/>
      <c r="AFD573" s="93"/>
      <c r="AFE573" s="93"/>
      <c r="AFF573" s="93"/>
      <c r="AFG573" s="93"/>
      <c r="AFH573" s="93"/>
      <c r="AFI573" s="93"/>
      <c r="AFJ573" s="93"/>
      <c r="AFK573" s="93"/>
      <c r="AFL573" s="93"/>
      <c r="AFM573" s="93"/>
      <c r="AFN573" s="93"/>
      <c r="AFO573" s="93"/>
      <c r="AFP573" s="93"/>
      <c r="AFQ573" s="93"/>
      <c r="AFR573" s="93"/>
      <c r="AFS573" s="93"/>
      <c r="AFT573" s="93"/>
      <c r="AFU573" s="93"/>
      <c r="AFV573" s="93"/>
      <c r="AFW573" s="93"/>
      <c r="AFX573" s="93"/>
      <c r="AFY573" s="93"/>
      <c r="AFZ573" s="93"/>
      <c r="AGA573" s="93"/>
      <c r="AGB573" s="93"/>
      <c r="AGC573" s="93"/>
      <c r="AGD573" s="93"/>
      <c r="AGE573" s="93"/>
      <c r="AGF573" s="93"/>
      <c r="AGG573" s="93"/>
      <c r="AGH573" s="93"/>
      <c r="AGI573" s="93"/>
      <c r="AGJ573" s="93"/>
      <c r="AGK573" s="93"/>
      <c r="AGL573" s="93"/>
      <c r="AGM573" s="93"/>
      <c r="AGN573" s="93"/>
      <c r="AGO573" s="93"/>
      <c r="AGP573" s="93"/>
      <c r="AGQ573" s="93"/>
      <c r="AGR573" s="93"/>
      <c r="AGS573" s="93"/>
      <c r="AGT573" s="93"/>
      <c r="AGU573" s="93"/>
      <c r="AGV573" s="93"/>
      <c r="AGW573" s="93"/>
      <c r="AGX573" s="93"/>
      <c r="AGY573" s="93"/>
      <c r="AGZ573" s="93"/>
      <c r="AHA573" s="93"/>
      <c r="AHB573" s="93"/>
      <c r="AHC573" s="93"/>
      <c r="AHD573" s="93"/>
      <c r="AHE573" s="93"/>
      <c r="AHF573" s="93"/>
      <c r="AHG573" s="93"/>
      <c r="AHH573" s="93"/>
      <c r="AHI573" s="93"/>
      <c r="AHJ573" s="93"/>
      <c r="AHK573" s="93"/>
      <c r="AHL573" s="93"/>
      <c r="AHM573" s="93"/>
      <c r="AHN573" s="93"/>
      <c r="AHO573" s="93"/>
      <c r="AHP573" s="93"/>
      <c r="AHQ573" s="93"/>
      <c r="AHR573" s="93"/>
      <c r="AHS573" s="93"/>
      <c r="AHT573" s="93"/>
      <c r="AHU573" s="93"/>
      <c r="AHV573" s="93"/>
      <c r="AHW573" s="93"/>
      <c r="AHX573" s="93"/>
      <c r="AHY573" s="93"/>
      <c r="AHZ573" s="93"/>
      <c r="AIA573" s="93"/>
      <c r="AIB573" s="93"/>
      <c r="AIC573" s="93"/>
      <c r="AID573" s="93"/>
      <c r="AIE573" s="93"/>
      <c r="AIF573" s="93"/>
      <c r="AIG573" s="93"/>
      <c r="AIH573" s="93"/>
      <c r="AII573" s="93"/>
      <c r="AIJ573" s="93"/>
      <c r="AIK573" s="93"/>
      <c r="AIL573" s="93"/>
      <c r="AIM573" s="93"/>
      <c r="AIN573" s="93"/>
      <c r="AIO573" s="93"/>
      <c r="AIP573" s="93"/>
      <c r="AIQ573" s="93"/>
      <c r="AIR573" s="93"/>
      <c r="AIS573" s="93"/>
      <c r="AIT573" s="93"/>
      <c r="AIU573" s="93"/>
      <c r="AIV573" s="93"/>
      <c r="AIW573" s="93"/>
      <c r="AIX573" s="93"/>
      <c r="AIY573" s="93"/>
      <c r="AIZ573" s="93"/>
      <c r="AJA573" s="93"/>
      <c r="AJB573" s="93"/>
      <c r="AJC573" s="93"/>
      <c r="AJD573" s="93"/>
      <c r="AJE573" s="93"/>
      <c r="AJF573" s="93"/>
      <c r="AJG573" s="93"/>
      <c r="AJH573" s="93"/>
      <c r="AJI573" s="93"/>
      <c r="AJJ573" s="93"/>
      <c r="AJK573" s="93"/>
      <c r="AJL573" s="93"/>
      <c r="AJM573" s="93"/>
      <c r="AJN573" s="93"/>
      <c r="AJO573" s="93"/>
      <c r="AJP573" s="93"/>
      <c r="AJQ573" s="93"/>
      <c r="AJR573" s="93"/>
      <c r="AJS573" s="93"/>
      <c r="AJT573" s="93"/>
      <c r="AJU573" s="93"/>
      <c r="AJV573" s="93"/>
      <c r="AJW573" s="93"/>
      <c r="AJX573" s="93"/>
      <c r="AJY573" s="93"/>
      <c r="AJZ573" s="93"/>
      <c r="AKA573" s="93"/>
      <c r="AKB573" s="93"/>
      <c r="AKC573" s="93"/>
      <c r="AKD573" s="93"/>
      <c r="AKE573" s="93"/>
      <c r="AKF573" s="93"/>
      <c r="AKG573" s="93"/>
      <c r="AKH573" s="93"/>
      <c r="AKI573" s="93"/>
      <c r="AKJ573" s="93"/>
      <c r="AKK573" s="93"/>
      <c r="AKL573" s="93"/>
      <c r="AKM573" s="93"/>
      <c r="AKN573" s="93"/>
      <c r="AKO573" s="93"/>
      <c r="AKP573" s="93"/>
      <c r="AKQ573" s="93"/>
      <c r="AKR573" s="93"/>
      <c r="AKS573" s="93"/>
      <c r="AKT573" s="93"/>
      <c r="AKU573" s="93"/>
      <c r="AKV573" s="93"/>
      <c r="AKW573" s="93"/>
      <c r="AKX573" s="93"/>
      <c r="AKY573" s="93"/>
      <c r="AKZ573" s="93"/>
      <c r="ALA573" s="93"/>
      <c r="ALB573" s="93"/>
      <c r="ALC573" s="93"/>
      <c r="ALD573" s="93"/>
      <c r="ALE573" s="93"/>
      <c r="ALF573" s="93"/>
      <c r="ALG573" s="93"/>
      <c r="ALH573" s="93"/>
      <c r="ALI573" s="93"/>
      <c r="ALJ573" s="93"/>
      <c r="ALK573" s="93"/>
      <c r="ALL573" s="93"/>
      <c r="ALM573" s="93"/>
      <c r="ALN573" s="93"/>
      <c r="ALO573" s="93"/>
      <c r="ALP573" s="93"/>
      <c r="ALQ573" s="93"/>
      <c r="ALR573" s="93"/>
      <c r="ALS573" s="93"/>
      <c r="ALT573" s="93"/>
      <c r="ALU573" s="93"/>
      <c r="ALV573" s="93"/>
      <c r="ALW573" s="93"/>
      <c r="ALX573" s="93"/>
      <c r="ALY573" s="93"/>
      <c r="ALZ573" s="93"/>
      <c r="AMA573" s="93"/>
      <c r="AMB573" s="93"/>
      <c r="AMC573" s="93"/>
      <c r="AMD573" s="93"/>
      <c r="AME573" s="93"/>
      <c r="AMF573" s="93"/>
      <c r="AMG573" s="93"/>
      <c r="AMH573" s="93"/>
      <c r="AMI573" s="93"/>
      <c r="AMJ573" s="93"/>
      <c r="AMK573" s="93"/>
      <c r="AML573" s="93"/>
      <c r="AMM573" s="93"/>
      <c r="AMN573" s="93"/>
      <c r="AMO573" s="93"/>
      <c r="AMP573" s="93"/>
      <c r="AMQ573" s="93"/>
      <c r="AMR573" s="93"/>
      <c r="AMS573" s="93"/>
      <c r="AMT573" s="93"/>
      <c r="AMU573" s="93"/>
      <c r="AMV573" s="93"/>
      <c r="AMW573" s="93"/>
      <c r="AMX573" s="93"/>
      <c r="AMY573" s="93"/>
      <c r="AMZ573" s="93"/>
      <c r="ANA573" s="93"/>
      <c r="ANB573" s="93"/>
      <c r="ANC573" s="93"/>
      <c r="AND573" s="93"/>
      <c r="ANE573" s="93"/>
      <c r="ANF573" s="93"/>
      <c r="ANG573" s="93"/>
      <c r="ANH573" s="93"/>
      <c r="ANI573" s="93"/>
      <c r="ANJ573" s="93"/>
      <c r="ANK573" s="93"/>
      <c r="ANL573" s="93"/>
      <c r="ANM573" s="93"/>
      <c r="ANN573" s="93"/>
      <c r="ANO573" s="93"/>
      <c r="ANP573" s="93"/>
      <c r="ANQ573" s="93"/>
      <c r="ANR573" s="93"/>
      <c r="ANS573" s="93"/>
      <c r="ANT573" s="93"/>
      <c r="ANU573" s="93"/>
      <c r="ANV573" s="93"/>
      <c r="ANW573" s="93"/>
      <c r="ANX573" s="93"/>
      <c r="ANY573" s="93"/>
      <c r="ANZ573" s="93"/>
      <c r="AOA573" s="93"/>
      <c r="AOB573" s="93"/>
      <c r="AOC573" s="93"/>
      <c r="AOD573" s="93"/>
      <c r="AOE573" s="93"/>
      <c r="AOF573" s="93"/>
      <c r="AOG573" s="93"/>
      <c r="AOH573" s="93"/>
      <c r="AOI573" s="93"/>
      <c r="AOJ573" s="93"/>
      <c r="AOK573" s="93"/>
      <c r="AOL573" s="93"/>
      <c r="AOM573" s="93"/>
      <c r="AON573" s="93"/>
      <c r="AOO573" s="93"/>
      <c r="AOP573" s="93"/>
      <c r="AOQ573" s="93"/>
      <c r="AOR573" s="93"/>
      <c r="AOS573" s="93"/>
      <c r="AOT573" s="93"/>
      <c r="AOU573" s="93"/>
      <c r="AOV573" s="93"/>
      <c r="AOW573" s="93"/>
      <c r="AOX573" s="93"/>
      <c r="AOY573" s="93"/>
      <c r="AOZ573" s="93"/>
      <c r="APA573" s="93"/>
      <c r="APB573" s="93"/>
      <c r="APC573" s="93"/>
      <c r="APD573" s="93"/>
      <c r="APE573" s="93"/>
      <c r="APF573" s="93"/>
      <c r="APG573" s="93"/>
      <c r="APH573" s="93"/>
      <c r="API573" s="93"/>
      <c r="APJ573" s="93"/>
      <c r="APK573" s="93"/>
      <c r="APL573" s="93"/>
      <c r="APM573" s="93"/>
      <c r="APN573" s="93"/>
      <c r="APO573" s="93"/>
      <c r="APP573" s="93"/>
      <c r="APQ573" s="93"/>
      <c r="APR573" s="93"/>
      <c r="APS573" s="93"/>
      <c r="APT573" s="93"/>
      <c r="APU573" s="93"/>
      <c r="APV573" s="93"/>
      <c r="APW573" s="93"/>
      <c r="APX573" s="93"/>
      <c r="APY573" s="93"/>
      <c r="APZ573" s="93"/>
      <c r="AQA573" s="93"/>
      <c r="AQB573" s="93"/>
      <c r="AQC573" s="93"/>
      <c r="AQD573" s="93"/>
      <c r="AQE573" s="93"/>
      <c r="AQF573" s="93"/>
      <c r="AQG573" s="93"/>
      <c r="AQH573" s="93"/>
      <c r="AQI573" s="93"/>
      <c r="AQJ573" s="93"/>
      <c r="AQK573" s="93"/>
      <c r="AQL573" s="93"/>
      <c r="AQM573" s="93"/>
      <c r="AQN573" s="93"/>
      <c r="AQO573" s="93"/>
      <c r="AQP573" s="93"/>
      <c r="AQQ573" s="93"/>
      <c r="AQR573" s="93"/>
      <c r="AQS573" s="93"/>
      <c r="AQT573" s="93"/>
      <c r="AQU573" s="93"/>
      <c r="AQV573" s="93"/>
      <c r="AQW573" s="93"/>
      <c r="AQX573" s="93"/>
      <c r="AQY573" s="93"/>
      <c r="AQZ573" s="93"/>
      <c r="ARA573" s="93"/>
      <c r="ARB573" s="93"/>
      <c r="ARC573" s="93"/>
      <c r="ARD573" s="93"/>
      <c r="ARE573" s="93"/>
      <c r="ARF573" s="93"/>
      <c r="ARG573" s="93"/>
      <c r="ARH573" s="93"/>
      <c r="ARI573" s="93"/>
      <c r="ARJ573" s="93"/>
      <c r="ARK573" s="93"/>
      <c r="ARL573" s="93"/>
      <c r="ARM573" s="93"/>
      <c r="ARN573" s="93"/>
      <c r="ARO573" s="93"/>
      <c r="ARP573" s="93"/>
      <c r="ARQ573" s="93"/>
      <c r="ARR573" s="93"/>
      <c r="ARS573" s="93"/>
      <c r="ART573" s="93"/>
      <c r="ARU573" s="93"/>
      <c r="ARV573" s="93"/>
      <c r="ARW573" s="93"/>
      <c r="ARX573" s="93"/>
      <c r="ARY573" s="93"/>
      <c r="ARZ573" s="93"/>
      <c r="ASA573" s="93"/>
      <c r="ASB573" s="93"/>
      <c r="ASC573" s="93"/>
      <c r="ASD573" s="93"/>
      <c r="ASE573" s="93"/>
      <c r="ASF573" s="93"/>
      <c r="ASG573" s="93"/>
      <c r="ASH573" s="93"/>
      <c r="ASI573" s="93"/>
      <c r="ASJ573" s="93"/>
      <c r="ASK573" s="93"/>
      <c r="ASL573" s="93"/>
      <c r="ASM573" s="93"/>
      <c r="ASN573" s="93"/>
      <c r="ASO573" s="93"/>
      <c r="ASP573" s="93"/>
      <c r="ASQ573" s="93"/>
      <c r="ASR573" s="93"/>
      <c r="ASS573" s="93"/>
      <c r="AST573" s="93"/>
      <c r="ASU573" s="93"/>
      <c r="ASV573" s="93"/>
      <c r="ASW573" s="93"/>
      <c r="ASX573" s="93"/>
      <c r="ASY573" s="93"/>
      <c r="ASZ573" s="93"/>
      <c r="ATA573" s="93"/>
      <c r="ATB573" s="93"/>
      <c r="ATC573" s="93"/>
      <c r="ATD573" s="93"/>
      <c r="ATE573" s="93"/>
      <c r="ATF573" s="93"/>
      <c r="ATG573" s="93"/>
      <c r="ATH573" s="93"/>
      <c r="ATI573" s="93"/>
      <c r="ATJ573" s="93"/>
      <c r="ATK573" s="93"/>
      <c r="ATL573" s="93"/>
      <c r="ATM573" s="93"/>
      <c r="ATN573" s="93"/>
      <c r="ATO573" s="93"/>
      <c r="ATP573" s="93"/>
      <c r="ATQ573" s="93"/>
      <c r="ATR573" s="93"/>
      <c r="ATS573" s="93"/>
      <c r="ATT573" s="93"/>
      <c r="ATU573" s="93"/>
      <c r="ATV573" s="93"/>
      <c r="ATW573" s="93"/>
      <c r="ATX573" s="93"/>
      <c r="ATY573" s="93"/>
      <c r="ATZ573" s="93"/>
      <c r="AUA573" s="93"/>
      <c r="AUB573" s="93"/>
      <c r="AUC573" s="93"/>
      <c r="AUD573" s="93"/>
      <c r="AUE573" s="93"/>
      <c r="AUF573" s="93"/>
      <c r="AUG573" s="93"/>
      <c r="AUH573" s="93"/>
      <c r="AUI573" s="93"/>
      <c r="AUJ573" s="93"/>
      <c r="AUK573" s="93"/>
      <c r="AUL573" s="93"/>
      <c r="AUM573" s="93"/>
      <c r="AUN573" s="93"/>
      <c r="AUO573" s="93"/>
      <c r="AUP573" s="93"/>
      <c r="AUQ573" s="93"/>
      <c r="AUR573" s="93"/>
      <c r="AUS573" s="93"/>
      <c r="AUT573" s="93"/>
      <c r="AUU573" s="93"/>
      <c r="AUV573" s="93"/>
      <c r="AUW573" s="93"/>
      <c r="AUX573" s="93"/>
      <c r="AUY573" s="93"/>
      <c r="AUZ573" s="93"/>
      <c r="AVA573" s="93"/>
      <c r="AVB573" s="93"/>
      <c r="AVC573" s="93"/>
      <c r="AVD573" s="93"/>
      <c r="AVE573" s="93"/>
      <c r="AVF573" s="93"/>
      <c r="AVG573" s="93"/>
      <c r="AVH573" s="93"/>
      <c r="AVI573" s="93"/>
      <c r="AVJ573" s="93"/>
      <c r="AVK573" s="93"/>
      <c r="AVL573" s="93"/>
      <c r="AVM573" s="93"/>
      <c r="AVN573" s="93"/>
      <c r="AVO573" s="93"/>
      <c r="AVP573" s="93"/>
      <c r="AVQ573" s="93"/>
      <c r="AVR573" s="93"/>
      <c r="AVS573" s="93"/>
      <c r="AVT573" s="93"/>
      <c r="AVU573" s="93"/>
      <c r="AVV573" s="93"/>
      <c r="AVW573" s="93"/>
      <c r="AVX573" s="93"/>
      <c r="AVY573" s="93"/>
      <c r="AVZ573" s="93"/>
      <c r="AWA573" s="93"/>
      <c r="AWB573" s="93"/>
      <c r="AWC573" s="93"/>
      <c r="AWD573" s="93"/>
      <c r="AWE573" s="93"/>
      <c r="AWF573" s="93"/>
      <c r="AWG573" s="93"/>
      <c r="AWH573" s="93"/>
      <c r="AWI573" s="93"/>
      <c r="AWJ573" s="93"/>
      <c r="AWK573" s="93"/>
      <c r="AWL573" s="93"/>
      <c r="AWM573" s="93"/>
      <c r="AWN573" s="93"/>
      <c r="AWO573" s="93"/>
      <c r="AWP573" s="93"/>
      <c r="AWQ573" s="93"/>
      <c r="AWR573" s="93"/>
      <c r="AWS573" s="93"/>
      <c r="AWT573" s="93"/>
      <c r="AWU573" s="93"/>
      <c r="AWV573" s="93"/>
      <c r="AWW573" s="93"/>
      <c r="AWX573" s="93"/>
      <c r="AWY573" s="93"/>
      <c r="AWZ573" s="93"/>
      <c r="AXA573" s="93"/>
      <c r="AXB573" s="93"/>
      <c r="AXC573" s="93"/>
      <c r="AXD573" s="93"/>
      <c r="AXE573" s="93"/>
      <c r="AXF573" s="93"/>
      <c r="AXG573" s="93"/>
      <c r="AXH573" s="93"/>
      <c r="AXI573" s="93"/>
      <c r="AXJ573" s="93"/>
      <c r="AXK573" s="93"/>
      <c r="AXL573" s="93"/>
      <c r="AXM573" s="93"/>
      <c r="AXN573" s="93"/>
      <c r="AXO573" s="93"/>
      <c r="AXP573" s="93"/>
      <c r="AXQ573" s="93"/>
      <c r="AXR573" s="93"/>
      <c r="AXS573" s="93"/>
      <c r="AXT573" s="93"/>
      <c r="AXU573" s="93"/>
      <c r="AXV573" s="93"/>
      <c r="AXW573" s="93"/>
      <c r="AXX573" s="93"/>
      <c r="AXY573" s="93"/>
      <c r="AXZ573" s="93"/>
      <c r="AYA573" s="93"/>
      <c r="AYB573" s="93"/>
      <c r="AYC573" s="93"/>
      <c r="AYD573" s="93"/>
      <c r="AYE573" s="93"/>
      <c r="AYF573" s="93"/>
      <c r="AYG573" s="93"/>
      <c r="AYH573" s="93"/>
      <c r="AYI573" s="93"/>
      <c r="AYJ573" s="93"/>
      <c r="AYK573" s="93"/>
      <c r="AYL573" s="93"/>
      <c r="AYM573" s="93"/>
      <c r="AYN573" s="93"/>
      <c r="AYO573" s="93"/>
      <c r="AYP573" s="93"/>
      <c r="AYQ573" s="93"/>
      <c r="AYR573" s="93"/>
      <c r="AYS573" s="93"/>
      <c r="AYT573" s="93"/>
      <c r="AYU573" s="93"/>
      <c r="AYV573" s="93"/>
      <c r="AYW573" s="93"/>
      <c r="AYX573" s="93"/>
      <c r="AYY573" s="93"/>
      <c r="AYZ573" s="93"/>
      <c r="AZA573" s="93"/>
      <c r="AZB573" s="93"/>
      <c r="AZC573" s="93"/>
      <c r="AZD573" s="93"/>
      <c r="AZE573" s="93"/>
      <c r="AZF573" s="93"/>
      <c r="AZG573" s="93"/>
      <c r="AZH573" s="93"/>
      <c r="AZI573" s="93"/>
      <c r="AZJ573" s="93"/>
      <c r="AZK573" s="93"/>
      <c r="AZL573" s="93"/>
      <c r="AZM573" s="93"/>
      <c r="AZN573" s="93"/>
      <c r="AZO573" s="93"/>
      <c r="AZP573" s="93"/>
      <c r="AZQ573" s="93"/>
      <c r="AZR573" s="93"/>
      <c r="AZS573" s="93"/>
      <c r="AZT573" s="93"/>
      <c r="AZU573" s="93"/>
      <c r="AZV573" s="93"/>
      <c r="AZW573" s="93"/>
      <c r="AZX573" s="93"/>
      <c r="AZY573" s="93"/>
      <c r="AZZ573" s="93"/>
      <c r="BAA573" s="93"/>
      <c r="BAB573" s="93"/>
      <c r="BAC573" s="93"/>
      <c r="BAD573" s="93"/>
      <c r="BAE573" s="93"/>
      <c r="BAF573" s="93"/>
      <c r="BAG573" s="93"/>
      <c r="BAH573" s="93"/>
      <c r="BAI573" s="93"/>
      <c r="BAJ573" s="93"/>
      <c r="BAK573" s="93"/>
      <c r="BAL573" s="93"/>
      <c r="BAM573" s="93"/>
      <c r="BAN573" s="93"/>
      <c r="BAO573" s="93"/>
      <c r="BAP573" s="93"/>
      <c r="BAQ573" s="93"/>
      <c r="BAR573" s="93"/>
      <c r="BAS573" s="93"/>
      <c r="BAT573" s="93"/>
      <c r="BAU573" s="93"/>
      <c r="BAV573" s="93"/>
      <c r="BAW573" s="93"/>
      <c r="BAX573" s="93"/>
      <c r="BAY573" s="93"/>
      <c r="BAZ573" s="93"/>
      <c r="BBA573" s="93"/>
      <c r="BBB573" s="93"/>
      <c r="BBC573" s="93"/>
      <c r="BBD573" s="93"/>
      <c r="BBE573" s="93"/>
      <c r="BBF573" s="93"/>
      <c r="BBG573" s="93"/>
      <c r="BBH573" s="93"/>
      <c r="BBI573" s="93"/>
      <c r="BBJ573" s="93"/>
      <c r="BBK573" s="93"/>
      <c r="BBL573" s="93"/>
      <c r="BBM573" s="93"/>
      <c r="BBN573" s="93"/>
      <c r="BBO573" s="93"/>
      <c r="BBP573" s="93"/>
      <c r="BBQ573" s="93"/>
      <c r="BBR573" s="93"/>
      <c r="BBS573" s="93"/>
      <c r="BBT573" s="93"/>
      <c r="BBU573" s="93"/>
      <c r="BBV573" s="93"/>
      <c r="BBW573" s="93"/>
      <c r="BBX573" s="93"/>
      <c r="BBY573" s="93"/>
      <c r="BBZ573" s="93"/>
      <c r="BCA573" s="93"/>
      <c r="BCB573" s="93"/>
      <c r="BCC573" s="93"/>
      <c r="BCD573" s="93"/>
      <c r="BCE573" s="93"/>
      <c r="BCF573" s="93"/>
      <c r="BCG573" s="93"/>
      <c r="BCH573" s="93"/>
      <c r="BCI573" s="93"/>
      <c r="BCJ573" s="93"/>
      <c r="BCK573" s="93"/>
      <c r="BCL573" s="93"/>
      <c r="BCM573" s="93"/>
      <c r="BCN573" s="93"/>
      <c r="BCO573" s="93"/>
      <c r="BCP573" s="93"/>
      <c r="BCQ573" s="93"/>
      <c r="BCR573" s="93"/>
      <c r="BCS573" s="93"/>
      <c r="BCT573" s="93"/>
      <c r="BCU573" s="93"/>
      <c r="BCV573" s="93"/>
      <c r="BCW573" s="93"/>
      <c r="BCX573" s="93"/>
      <c r="BCY573" s="93"/>
      <c r="BCZ573" s="93"/>
      <c r="BDA573" s="93"/>
      <c r="BDB573" s="93"/>
      <c r="BDC573" s="93"/>
      <c r="BDD573" s="93"/>
      <c r="BDE573" s="93"/>
      <c r="BDF573" s="93"/>
      <c r="BDG573" s="93"/>
      <c r="BDH573" s="93"/>
      <c r="BDI573" s="93"/>
      <c r="BDJ573" s="93"/>
      <c r="BDK573" s="93"/>
      <c r="BDL573" s="93"/>
      <c r="BDM573" s="93"/>
      <c r="BDN573" s="93"/>
      <c r="BDO573" s="93"/>
      <c r="BDP573" s="93"/>
      <c r="BDQ573" s="93"/>
      <c r="BDR573" s="93"/>
      <c r="BDS573" s="93"/>
      <c r="BDT573" s="93"/>
      <c r="BDU573" s="93"/>
      <c r="BDV573" s="93"/>
      <c r="BDW573" s="93"/>
      <c r="BDX573" s="93"/>
      <c r="BDY573" s="93"/>
      <c r="BDZ573" s="93"/>
      <c r="BEA573" s="93"/>
      <c r="BEB573" s="93"/>
      <c r="BEC573" s="93"/>
      <c r="BED573" s="93"/>
      <c r="BEE573" s="93"/>
      <c r="BEF573" s="93"/>
      <c r="BEG573" s="93"/>
      <c r="BEH573" s="93"/>
      <c r="BEI573" s="93"/>
      <c r="BEJ573" s="93"/>
      <c r="BEK573" s="93"/>
      <c r="BEL573" s="93"/>
      <c r="BEM573" s="93"/>
      <c r="BEN573" s="93"/>
      <c r="BEO573" s="93"/>
      <c r="BEP573" s="93"/>
      <c r="BEQ573" s="93"/>
      <c r="BER573" s="93"/>
      <c r="BES573" s="93"/>
      <c r="BET573" s="93"/>
      <c r="BEU573" s="93"/>
      <c r="BEV573" s="93"/>
      <c r="BEW573" s="93"/>
      <c r="BEX573" s="93"/>
      <c r="BEY573" s="93"/>
      <c r="BEZ573" s="93"/>
      <c r="BFA573" s="93"/>
      <c r="BFB573" s="93"/>
      <c r="BFC573" s="93"/>
      <c r="BFD573" s="93"/>
      <c r="BFE573" s="93"/>
      <c r="BFF573" s="93"/>
      <c r="BFG573" s="93"/>
      <c r="BFH573" s="93"/>
      <c r="BFI573" s="93"/>
      <c r="BFJ573" s="93"/>
      <c r="BFK573" s="93"/>
      <c r="BFL573" s="93"/>
      <c r="BFM573" s="93"/>
      <c r="BFN573" s="93"/>
      <c r="BFO573" s="93"/>
      <c r="BFP573" s="93"/>
      <c r="BFQ573" s="93"/>
      <c r="BFR573" s="93"/>
      <c r="BFS573" s="93"/>
      <c r="BFT573" s="93"/>
      <c r="BFU573" s="93"/>
      <c r="BFV573" s="93"/>
      <c r="BFW573" s="93"/>
      <c r="BFX573" s="93"/>
      <c r="BFY573" s="93"/>
      <c r="BFZ573" s="93"/>
      <c r="BGA573" s="93"/>
      <c r="BGB573" s="93"/>
      <c r="BGC573" s="93"/>
      <c r="BGD573" s="93"/>
      <c r="BGE573" s="93"/>
      <c r="BGF573" s="93"/>
      <c r="BGG573" s="93"/>
      <c r="BGH573" s="93"/>
      <c r="BGI573" s="93"/>
      <c r="BGJ573" s="93"/>
      <c r="BGK573" s="93"/>
      <c r="BGL573" s="93"/>
      <c r="BGM573" s="93"/>
      <c r="BGN573" s="93"/>
      <c r="BGO573" s="93"/>
      <c r="BGP573" s="93"/>
      <c r="BGQ573" s="93"/>
      <c r="BGR573" s="93"/>
      <c r="BGS573" s="93"/>
      <c r="BGT573" s="93"/>
      <c r="BGU573" s="93"/>
      <c r="BGV573" s="93"/>
      <c r="BGW573" s="93"/>
      <c r="BGX573" s="93"/>
      <c r="BGY573" s="93"/>
      <c r="BGZ573" s="93"/>
      <c r="BHA573" s="93"/>
      <c r="BHB573" s="93"/>
      <c r="BHC573" s="93"/>
      <c r="BHD573" s="93"/>
      <c r="BHE573" s="93"/>
      <c r="BHF573" s="93"/>
      <c r="BHG573" s="93"/>
      <c r="BHH573" s="93"/>
      <c r="BHI573" s="93"/>
      <c r="BHJ573" s="93"/>
      <c r="BHK573" s="93"/>
      <c r="BHL573" s="93"/>
      <c r="BHM573" s="93"/>
      <c r="BHN573" s="93"/>
      <c r="BHO573" s="93"/>
      <c r="BHP573" s="93"/>
      <c r="BHQ573" s="93"/>
      <c r="BHR573" s="93"/>
      <c r="BHS573" s="93"/>
      <c r="BHT573" s="93"/>
      <c r="BHU573" s="93"/>
      <c r="BHV573" s="93"/>
      <c r="BHW573" s="93"/>
      <c r="BHX573" s="93"/>
      <c r="BHY573" s="93"/>
      <c r="BHZ573" s="93"/>
      <c r="BIA573" s="93"/>
      <c r="BIB573" s="93"/>
      <c r="BIC573" s="93"/>
      <c r="BID573" s="93"/>
      <c r="BIE573" s="93"/>
      <c r="BIF573" s="93"/>
      <c r="BIG573" s="93"/>
      <c r="BIH573" s="93"/>
      <c r="BII573" s="93"/>
      <c r="BIJ573" s="93"/>
      <c r="BIK573" s="93"/>
      <c r="BIL573" s="93"/>
      <c r="BIM573" s="93"/>
      <c r="BIN573" s="93"/>
      <c r="BIO573" s="93"/>
      <c r="BIP573" s="93"/>
      <c r="BIQ573" s="93"/>
      <c r="BIR573" s="93"/>
      <c r="BIS573" s="93"/>
      <c r="BIT573" s="93"/>
      <c r="BIU573" s="93"/>
      <c r="BIV573" s="93"/>
      <c r="BIW573" s="93"/>
      <c r="BIX573" s="93"/>
      <c r="BIY573" s="93"/>
      <c r="BIZ573" s="93"/>
      <c r="BJA573" s="93"/>
      <c r="BJB573" s="93"/>
      <c r="BJC573" s="93"/>
      <c r="BJD573" s="93"/>
      <c r="BJE573" s="93"/>
      <c r="BJF573" s="93"/>
      <c r="BJG573" s="93"/>
      <c r="BJH573" s="93"/>
      <c r="BJI573" s="93"/>
      <c r="BJJ573" s="93"/>
      <c r="BJK573" s="93"/>
      <c r="BJL573" s="93"/>
      <c r="BJM573" s="93"/>
      <c r="BJN573" s="93"/>
      <c r="BJO573" s="93"/>
      <c r="BJP573" s="93"/>
      <c r="BJQ573" s="93"/>
      <c r="BJR573" s="93"/>
      <c r="BJS573" s="93"/>
      <c r="BJT573" s="93"/>
      <c r="BJU573" s="93"/>
      <c r="BJV573" s="93"/>
      <c r="BJW573" s="93"/>
      <c r="BJX573" s="93"/>
      <c r="BJY573" s="93"/>
      <c r="BJZ573" s="93"/>
      <c r="BKA573" s="93"/>
      <c r="BKB573" s="93"/>
      <c r="BKC573" s="93"/>
      <c r="BKD573" s="93"/>
      <c r="BKE573" s="93"/>
      <c r="BKF573" s="93"/>
      <c r="BKG573" s="93"/>
      <c r="BKH573" s="93"/>
      <c r="BKI573" s="93"/>
      <c r="BKJ573" s="93"/>
      <c r="BKK573" s="93"/>
      <c r="BKL573" s="93"/>
      <c r="BKM573" s="93"/>
      <c r="BKN573" s="93"/>
      <c r="BKO573" s="93"/>
      <c r="BKP573" s="93"/>
      <c r="BKQ573" s="93"/>
      <c r="BKR573" s="93"/>
      <c r="BKS573" s="93"/>
      <c r="BKT573" s="93"/>
      <c r="BKU573" s="93"/>
      <c r="BKV573" s="93"/>
      <c r="BKW573" s="93"/>
      <c r="BKX573" s="93"/>
      <c r="BKY573" s="93"/>
      <c r="BKZ573" s="93"/>
      <c r="BLA573" s="93"/>
      <c r="BLB573" s="93"/>
      <c r="BLC573" s="93"/>
      <c r="BLD573" s="93"/>
      <c r="BLE573" s="93"/>
      <c r="BLF573" s="93"/>
      <c r="BLG573" s="93"/>
      <c r="BLH573" s="93"/>
      <c r="BLI573" s="93"/>
      <c r="BLJ573" s="93"/>
      <c r="BLK573" s="93"/>
      <c r="BLL573" s="93"/>
      <c r="BLM573" s="93"/>
      <c r="BLN573" s="93"/>
      <c r="BLO573" s="93"/>
      <c r="BLP573" s="93"/>
      <c r="BLQ573" s="93"/>
      <c r="BLR573" s="93"/>
      <c r="BLS573" s="93"/>
      <c r="BLT573" s="93"/>
      <c r="BLU573" s="93"/>
      <c r="BLV573" s="93"/>
      <c r="BLW573" s="93"/>
      <c r="BLX573" s="93"/>
      <c r="BLY573" s="93"/>
      <c r="BLZ573" s="93"/>
      <c r="BMA573" s="93"/>
      <c r="BMB573" s="93"/>
      <c r="BMC573" s="93"/>
      <c r="BMD573" s="93"/>
      <c r="BME573" s="93"/>
      <c r="BMF573" s="93"/>
      <c r="BMG573" s="93"/>
      <c r="BMH573" s="93"/>
      <c r="BMI573" s="93"/>
      <c r="BMJ573" s="93"/>
      <c r="BMK573" s="93"/>
      <c r="BML573" s="93"/>
      <c r="BMM573" s="93"/>
      <c r="BMN573" s="93"/>
      <c r="BMO573" s="93"/>
      <c r="BMP573" s="93"/>
      <c r="BMQ573" s="93"/>
      <c r="BMR573" s="93"/>
      <c r="BMS573" s="93"/>
      <c r="BMT573" s="93"/>
      <c r="BMU573" s="93"/>
      <c r="BMV573" s="93"/>
      <c r="BMW573" s="93"/>
      <c r="BMX573" s="93"/>
      <c r="BMY573" s="93"/>
      <c r="BMZ573" s="93"/>
      <c r="BNA573" s="93"/>
      <c r="BNB573" s="93"/>
      <c r="BNC573" s="93"/>
      <c r="BND573" s="93"/>
      <c r="BNE573" s="93"/>
      <c r="BNF573" s="93"/>
      <c r="BNG573" s="93"/>
      <c r="BNH573" s="93"/>
      <c r="BNI573" s="93"/>
      <c r="BNJ573" s="93"/>
      <c r="BNK573" s="93"/>
      <c r="BNL573" s="93"/>
      <c r="BNM573" s="93"/>
      <c r="BNN573" s="93"/>
      <c r="BNO573" s="93"/>
      <c r="BNP573" s="93"/>
      <c r="BNQ573" s="93"/>
      <c r="BNR573" s="93"/>
      <c r="BNS573" s="93"/>
      <c r="BNT573" s="93"/>
      <c r="BNU573" s="93"/>
      <c r="BNV573" s="93"/>
      <c r="BNW573" s="93"/>
      <c r="BNX573" s="93"/>
      <c r="BNY573" s="93"/>
      <c r="BNZ573" s="93"/>
      <c r="BOA573" s="93"/>
      <c r="BOB573" s="93"/>
      <c r="BOC573" s="93"/>
      <c r="BOD573" s="93"/>
      <c r="BOE573" s="93"/>
      <c r="BOF573" s="93"/>
      <c r="BOG573" s="93"/>
      <c r="BOH573" s="93"/>
      <c r="BOI573" s="93"/>
      <c r="BOJ573" s="93"/>
      <c r="BOK573" s="93"/>
      <c r="BOL573" s="93"/>
      <c r="BOM573" s="93"/>
      <c r="BON573" s="93"/>
      <c r="BOO573" s="93"/>
      <c r="BOP573" s="93"/>
      <c r="BOQ573" s="93"/>
      <c r="BOR573" s="93"/>
      <c r="BOS573" s="93"/>
      <c r="BOT573" s="93"/>
      <c r="BOU573" s="93"/>
      <c r="BOV573" s="93"/>
      <c r="BOW573" s="93"/>
      <c r="BOX573" s="93"/>
      <c r="BOY573" s="93"/>
      <c r="BOZ573" s="93"/>
      <c r="BPA573" s="93"/>
      <c r="BPB573" s="93"/>
      <c r="BPC573" s="93"/>
      <c r="BPD573" s="93"/>
      <c r="BPE573" s="93"/>
      <c r="BPF573" s="93"/>
      <c r="BPG573" s="93"/>
      <c r="BPH573" s="93"/>
      <c r="BPI573" s="93"/>
      <c r="BPJ573" s="93"/>
      <c r="BPK573" s="93"/>
      <c r="BPL573" s="93"/>
      <c r="BPM573" s="93"/>
      <c r="BPN573" s="93"/>
      <c r="BPO573" s="93"/>
      <c r="BPP573" s="93"/>
      <c r="BPQ573" s="93"/>
      <c r="BPR573" s="93"/>
      <c r="BPS573" s="93"/>
      <c r="BPT573" s="93"/>
      <c r="BPU573" s="93"/>
      <c r="BPV573" s="93"/>
      <c r="BPW573" s="93"/>
      <c r="BPX573" s="93"/>
      <c r="BPY573" s="93"/>
      <c r="BPZ573" s="93"/>
      <c r="BQA573" s="93"/>
      <c r="BQB573" s="93"/>
      <c r="BQC573" s="93"/>
      <c r="BQD573" s="93"/>
      <c r="BQE573" s="93"/>
      <c r="BQF573" s="93"/>
      <c r="BQG573" s="93"/>
      <c r="BQH573" s="93"/>
      <c r="BQI573" s="93"/>
      <c r="BQJ573" s="93"/>
      <c r="BQK573" s="93"/>
      <c r="BQL573" s="93"/>
      <c r="BQM573" s="93"/>
      <c r="BQN573" s="93"/>
      <c r="BQO573" s="93"/>
      <c r="BQP573" s="93"/>
      <c r="BQQ573" s="93"/>
      <c r="BQR573" s="93"/>
      <c r="BQS573" s="93"/>
      <c r="BQT573" s="93"/>
      <c r="BQU573" s="93"/>
      <c r="BQV573" s="93"/>
      <c r="BQW573" s="93"/>
      <c r="BQX573" s="93"/>
      <c r="BQY573" s="93"/>
      <c r="BQZ573" s="93"/>
      <c r="BRA573" s="93"/>
      <c r="BRB573" s="93"/>
      <c r="BRC573" s="93"/>
      <c r="BRD573" s="93"/>
      <c r="BRE573" s="93"/>
      <c r="BRF573" s="93"/>
      <c r="BRG573" s="93"/>
      <c r="BRH573" s="93"/>
      <c r="BRI573" s="93"/>
      <c r="BRJ573" s="93"/>
      <c r="BRK573" s="93"/>
      <c r="BRL573" s="93"/>
      <c r="BRM573" s="93"/>
      <c r="BRN573" s="93"/>
      <c r="BRO573" s="93"/>
      <c r="BRP573" s="93"/>
      <c r="BRQ573" s="93"/>
      <c r="BRR573" s="93"/>
      <c r="BRS573" s="93"/>
      <c r="BRT573" s="93"/>
      <c r="BRU573" s="93"/>
      <c r="BRV573" s="93"/>
      <c r="BRW573" s="93"/>
      <c r="BRX573" s="93"/>
      <c r="BRY573" s="93"/>
      <c r="BRZ573" s="93"/>
      <c r="BSA573" s="93"/>
      <c r="BSB573" s="93"/>
      <c r="BSC573" s="93"/>
      <c r="BSD573" s="93"/>
      <c r="BSE573" s="93"/>
      <c r="BSF573" s="93"/>
      <c r="BSG573" s="93"/>
      <c r="BSH573" s="93"/>
      <c r="BSI573" s="93"/>
      <c r="BSJ573" s="93"/>
      <c r="BSK573" s="93"/>
      <c r="BSL573" s="93"/>
      <c r="BSM573" s="93"/>
      <c r="BSN573" s="93"/>
      <c r="BSO573" s="93"/>
      <c r="BSP573" s="93"/>
      <c r="BSQ573" s="93"/>
      <c r="BSR573" s="93"/>
      <c r="BSS573" s="93"/>
      <c r="BST573" s="93"/>
      <c r="BSU573" s="93"/>
      <c r="BSV573" s="93"/>
      <c r="BSW573" s="93"/>
      <c r="BSX573" s="93"/>
      <c r="BSY573" s="93"/>
      <c r="BSZ573" s="93"/>
      <c r="BTA573" s="93"/>
      <c r="BTB573" s="93"/>
      <c r="BTC573" s="93"/>
      <c r="BTD573" s="93"/>
      <c r="BTE573" s="93"/>
      <c r="BTF573" s="93"/>
      <c r="BTG573" s="93"/>
      <c r="BTH573" s="93"/>
      <c r="BTI573" s="93"/>
      <c r="BTJ573" s="93"/>
      <c r="BTK573" s="93"/>
      <c r="BTL573" s="93"/>
      <c r="BTM573" s="93"/>
      <c r="BTN573" s="93"/>
      <c r="BTO573" s="93"/>
      <c r="BTP573" s="93"/>
      <c r="BTQ573" s="93"/>
      <c r="BTR573" s="93"/>
      <c r="BTS573" s="93"/>
      <c r="BTT573" s="93"/>
      <c r="BTU573" s="93"/>
      <c r="BTV573" s="93"/>
      <c r="BTW573" s="93"/>
      <c r="BTX573" s="93"/>
      <c r="BTY573" s="93"/>
      <c r="BTZ573" s="93"/>
      <c r="BUA573" s="93"/>
      <c r="BUB573" s="93"/>
      <c r="BUC573" s="93"/>
      <c r="BUD573" s="93"/>
      <c r="BUE573" s="93"/>
      <c r="BUF573" s="93"/>
      <c r="BUG573" s="93"/>
      <c r="BUH573" s="93"/>
      <c r="BUI573" s="93"/>
      <c r="BUJ573" s="93"/>
      <c r="BUK573" s="93"/>
      <c r="BUL573" s="93"/>
      <c r="BUM573" s="93"/>
      <c r="BUN573" s="93"/>
      <c r="BUO573" s="93"/>
      <c r="BUP573" s="93"/>
      <c r="BUQ573" s="93"/>
      <c r="BUR573" s="93"/>
      <c r="BUS573" s="93"/>
      <c r="BUT573" s="93"/>
      <c r="BUU573" s="93"/>
      <c r="BUV573" s="93"/>
      <c r="BUW573" s="93"/>
      <c r="BUX573" s="93"/>
      <c r="BUY573" s="93"/>
      <c r="BUZ573" s="93"/>
      <c r="BVA573" s="93"/>
      <c r="BVB573" s="93"/>
      <c r="BVC573" s="93"/>
      <c r="BVD573" s="93"/>
      <c r="BVE573" s="93"/>
      <c r="BVF573" s="93"/>
      <c r="BVG573" s="93"/>
      <c r="BVH573" s="93"/>
      <c r="BVI573" s="93"/>
      <c r="BVJ573" s="93"/>
      <c r="BVK573" s="93"/>
      <c r="BVL573" s="93"/>
      <c r="BVM573" s="93"/>
      <c r="BVN573" s="93"/>
      <c r="BVO573" s="93"/>
      <c r="BVP573" s="93"/>
      <c r="BVQ573" s="93"/>
      <c r="BVR573" s="93"/>
      <c r="BVS573" s="93"/>
      <c r="BVT573" s="93"/>
      <c r="BVU573" s="93"/>
      <c r="BVV573" s="93"/>
      <c r="BVW573" s="93"/>
      <c r="BVX573" s="93"/>
      <c r="BVY573" s="93"/>
      <c r="BVZ573" s="93"/>
      <c r="BWA573" s="93"/>
      <c r="BWB573" s="93"/>
      <c r="BWC573" s="93"/>
      <c r="BWD573" s="93"/>
      <c r="BWE573" s="93"/>
      <c r="BWF573" s="93"/>
      <c r="BWG573" s="93"/>
      <c r="BWH573" s="93"/>
      <c r="BWI573" s="93"/>
      <c r="BWJ573" s="93"/>
      <c r="BWK573" s="93"/>
      <c r="BWL573" s="93"/>
      <c r="BWM573" s="93"/>
      <c r="BWN573" s="93"/>
      <c r="BWO573" s="93"/>
      <c r="BWP573" s="93"/>
      <c r="BWQ573" s="93"/>
      <c r="BWR573" s="93"/>
      <c r="BWS573" s="93"/>
      <c r="BWT573" s="93"/>
      <c r="BWU573" s="93"/>
      <c r="BWV573" s="93"/>
      <c r="BWW573" s="93"/>
      <c r="BWX573" s="93"/>
      <c r="BWY573" s="93"/>
      <c r="BWZ573" s="93"/>
      <c r="BXA573" s="93"/>
      <c r="BXB573" s="93"/>
      <c r="BXC573" s="93"/>
      <c r="BXD573" s="93"/>
      <c r="BXE573" s="93"/>
      <c r="BXF573" s="93"/>
      <c r="BXG573" s="93"/>
      <c r="BXH573" s="93"/>
      <c r="BXI573" s="93"/>
      <c r="BXJ573" s="93"/>
      <c r="BXK573" s="93"/>
      <c r="BXL573" s="93"/>
      <c r="BXM573" s="93"/>
      <c r="BXN573" s="93"/>
      <c r="BXO573" s="93"/>
      <c r="BXP573" s="93"/>
      <c r="BXQ573" s="93"/>
      <c r="BXR573" s="93"/>
      <c r="BXS573" s="93"/>
      <c r="BXT573" s="93"/>
      <c r="BXU573" s="93"/>
      <c r="BXV573" s="93"/>
      <c r="BXW573" s="93"/>
      <c r="BXX573" s="93"/>
      <c r="BXY573" s="93"/>
      <c r="BXZ573" s="93"/>
      <c r="BYA573" s="93"/>
      <c r="BYB573" s="93"/>
      <c r="BYC573" s="93"/>
      <c r="BYD573" s="93"/>
      <c r="BYE573" s="93"/>
      <c r="BYF573" s="93"/>
      <c r="BYG573" s="93"/>
      <c r="BYH573" s="93"/>
      <c r="BYI573" s="93"/>
      <c r="BYJ573" s="93"/>
      <c r="BYK573" s="93"/>
      <c r="BYL573" s="93"/>
      <c r="BYM573" s="93"/>
      <c r="BYN573" s="93"/>
      <c r="BYO573" s="93"/>
      <c r="BYP573" s="93"/>
      <c r="BYQ573" s="93"/>
      <c r="BYR573" s="93"/>
      <c r="BYS573" s="93"/>
      <c r="BYT573" s="93"/>
      <c r="BYU573" s="93"/>
      <c r="BYV573" s="93"/>
      <c r="BYW573" s="93"/>
      <c r="BYX573" s="93"/>
      <c r="BYY573" s="93"/>
      <c r="BYZ573" s="93"/>
      <c r="BZA573" s="93"/>
      <c r="BZB573" s="93"/>
      <c r="BZC573" s="93"/>
      <c r="BZD573" s="93"/>
      <c r="BZE573" s="93"/>
      <c r="BZF573" s="93"/>
      <c r="BZG573" s="93"/>
      <c r="BZH573" s="93"/>
      <c r="BZI573" s="93"/>
      <c r="BZJ573" s="93"/>
      <c r="BZK573" s="93"/>
      <c r="BZL573" s="93"/>
      <c r="BZM573" s="93"/>
      <c r="BZN573" s="93"/>
      <c r="BZO573" s="93"/>
      <c r="BZP573" s="93"/>
      <c r="BZQ573" s="93"/>
      <c r="BZR573" s="93"/>
      <c r="BZS573" s="93"/>
      <c r="BZT573" s="93"/>
      <c r="BZU573" s="93"/>
      <c r="BZV573" s="93"/>
      <c r="BZW573" s="93"/>
      <c r="BZX573" s="93"/>
      <c r="BZY573" s="93"/>
      <c r="BZZ573" s="93"/>
      <c r="CAA573" s="93"/>
      <c r="CAB573" s="93"/>
      <c r="CAC573" s="93"/>
      <c r="CAD573" s="93"/>
      <c r="CAE573" s="93"/>
      <c r="CAF573" s="93"/>
      <c r="CAG573" s="93"/>
      <c r="CAH573" s="93"/>
      <c r="CAI573" s="93"/>
      <c r="CAJ573" s="93"/>
      <c r="CAK573" s="93"/>
      <c r="CAL573" s="93"/>
      <c r="CAM573" s="93"/>
      <c r="CAN573" s="93"/>
      <c r="CAO573" s="93"/>
      <c r="CAP573" s="93"/>
      <c r="CAQ573" s="93"/>
      <c r="CAR573" s="93"/>
      <c r="CAS573" s="93"/>
      <c r="CAT573" s="93"/>
      <c r="CAU573" s="93"/>
      <c r="CAV573" s="93"/>
      <c r="CAW573" s="93"/>
      <c r="CAX573" s="93"/>
      <c r="CAY573" s="93"/>
      <c r="CAZ573" s="93"/>
      <c r="CBA573" s="93"/>
      <c r="CBB573" s="93"/>
      <c r="CBC573" s="93"/>
      <c r="CBD573" s="93"/>
      <c r="CBE573" s="93"/>
      <c r="CBF573" s="93"/>
      <c r="CBG573" s="93"/>
      <c r="CBH573" s="93"/>
      <c r="CBI573" s="93"/>
      <c r="CBJ573" s="93"/>
      <c r="CBK573" s="93"/>
      <c r="CBL573" s="93"/>
      <c r="CBM573" s="93"/>
      <c r="CBN573" s="93"/>
      <c r="CBO573" s="93"/>
      <c r="CBP573" s="93"/>
      <c r="CBQ573" s="93"/>
      <c r="CBR573" s="93"/>
      <c r="CBS573" s="93"/>
      <c r="CBT573" s="93"/>
      <c r="CBU573" s="93"/>
      <c r="CBV573" s="93"/>
      <c r="CBW573" s="93"/>
      <c r="CBX573" s="93"/>
      <c r="CBY573" s="93"/>
      <c r="CBZ573" s="93"/>
      <c r="CCA573" s="93"/>
      <c r="CCB573" s="93"/>
      <c r="CCC573" s="93"/>
      <c r="CCD573" s="93"/>
      <c r="CCE573" s="93"/>
      <c r="CCF573" s="93"/>
      <c r="CCG573" s="93"/>
      <c r="CCH573" s="93"/>
      <c r="CCI573" s="93"/>
      <c r="CCJ573" s="93"/>
      <c r="CCK573" s="93"/>
      <c r="CCL573" s="93"/>
      <c r="CCM573" s="93"/>
      <c r="CCN573" s="93"/>
      <c r="CCO573" s="93"/>
      <c r="CCP573" s="93"/>
      <c r="CCQ573" s="93"/>
      <c r="CCR573" s="93"/>
      <c r="CCS573" s="93"/>
      <c r="CCT573" s="93"/>
      <c r="CCU573" s="93"/>
      <c r="CCV573" s="93"/>
      <c r="CCW573" s="93"/>
      <c r="CCX573" s="93"/>
      <c r="CCY573" s="93"/>
      <c r="CCZ573" s="93"/>
      <c r="CDA573" s="93"/>
      <c r="CDB573" s="93"/>
      <c r="CDC573" s="93"/>
      <c r="CDD573" s="93"/>
      <c r="CDE573" s="93"/>
      <c r="CDF573" s="93"/>
      <c r="CDG573" s="93"/>
      <c r="CDH573" s="93"/>
      <c r="CDI573" s="93"/>
      <c r="CDJ573" s="93"/>
      <c r="CDK573" s="93"/>
      <c r="CDL573" s="93"/>
      <c r="CDM573" s="93"/>
      <c r="CDN573" s="93"/>
      <c r="CDO573" s="93"/>
      <c r="CDP573" s="93"/>
      <c r="CDQ573" s="93"/>
      <c r="CDR573" s="93"/>
      <c r="CDS573" s="93"/>
      <c r="CDT573" s="93"/>
      <c r="CDU573" s="93"/>
      <c r="CDV573" s="93"/>
      <c r="CDW573" s="93"/>
      <c r="CDX573" s="93"/>
      <c r="CDY573" s="93"/>
      <c r="CDZ573" s="93"/>
      <c r="CEA573" s="93"/>
      <c r="CEB573" s="93"/>
      <c r="CEC573" s="93"/>
      <c r="CED573" s="93"/>
      <c r="CEE573" s="93"/>
      <c r="CEF573" s="93"/>
      <c r="CEG573" s="93"/>
      <c r="CEH573" s="93"/>
      <c r="CEI573" s="93"/>
      <c r="CEJ573" s="93"/>
      <c r="CEK573" s="93"/>
      <c r="CEL573" s="93"/>
      <c r="CEM573" s="93"/>
      <c r="CEN573" s="93"/>
      <c r="CEO573" s="93"/>
      <c r="CEP573" s="93"/>
      <c r="CEQ573" s="93"/>
      <c r="CER573" s="93"/>
      <c r="CES573" s="93"/>
      <c r="CET573" s="93"/>
      <c r="CEU573" s="93"/>
      <c r="CEV573" s="93"/>
      <c r="CEW573" s="93"/>
      <c r="CEX573" s="93"/>
      <c r="CEY573" s="93"/>
      <c r="CEZ573" s="93"/>
      <c r="CFA573" s="93"/>
      <c r="CFB573" s="93"/>
      <c r="CFC573" s="93"/>
      <c r="CFD573" s="93"/>
      <c r="CFE573" s="93"/>
      <c r="CFF573" s="93"/>
      <c r="CFG573" s="93"/>
      <c r="CFH573" s="93"/>
      <c r="CFI573" s="93"/>
      <c r="CFJ573" s="93"/>
      <c r="CFK573" s="93"/>
      <c r="CFL573" s="93"/>
      <c r="CFM573" s="93"/>
      <c r="CFN573" s="93"/>
      <c r="CFO573" s="93"/>
      <c r="CFP573" s="93"/>
      <c r="CFQ573" s="93"/>
      <c r="CFR573" s="93"/>
      <c r="CFS573" s="93"/>
      <c r="CFT573" s="93"/>
      <c r="CFU573" s="93"/>
      <c r="CFV573" s="93"/>
      <c r="CFW573" s="93"/>
      <c r="CFX573" s="93"/>
      <c r="CFY573" s="93"/>
      <c r="CFZ573" s="93"/>
      <c r="CGA573" s="93"/>
      <c r="CGB573" s="93"/>
      <c r="CGC573" s="93"/>
      <c r="CGD573" s="93"/>
      <c r="CGE573" s="93"/>
      <c r="CGF573" s="93"/>
      <c r="CGG573" s="93"/>
      <c r="CGH573" s="93"/>
      <c r="CGI573" s="93"/>
      <c r="CGJ573" s="93"/>
      <c r="CGK573" s="93"/>
      <c r="CGL573" s="93"/>
      <c r="CGM573" s="93"/>
      <c r="CGN573" s="93"/>
      <c r="CGO573" s="93"/>
      <c r="CGP573" s="93"/>
      <c r="CGQ573" s="93"/>
      <c r="CGR573" s="93"/>
      <c r="CGS573" s="93"/>
      <c r="CGT573" s="93"/>
      <c r="CGU573" s="93"/>
      <c r="CGV573" s="93"/>
      <c r="CGW573" s="93"/>
      <c r="CGX573" s="93"/>
      <c r="CGY573" s="93"/>
      <c r="CGZ573" s="93"/>
      <c r="CHA573" s="93"/>
      <c r="CHB573" s="93"/>
      <c r="CHC573" s="93"/>
      <c r="CHD573" s="93"/>
      <c r="CHE573" s="93"/>
      <c r="CHF573" s="93"/>
      <c r="CHG573" s="93"/>
      <c r="CHH573" s="93"/>
      <c r="CHI573" s="93"/>
      <c r="CHJ573" s="93"/>
      <c r="CHK573" s="93"/>
      <c r="CHL573" s="93"/>
      <c r="CHM573" s="93"/>
      <c r="CHN573" s="93"/>
      <c r="CHO573" s="93"/>
      <c r="CHP573" s="93"/>
      <c r="CHQ573" s="93"/>
      <c r="CHR573" s="93"/>
      <c r="CHS573" s="93"/>
      <c r="CHT573" s="93"/>
      <c r="CHU573" s="93"/>
      <c r="CHV573" s="93"/>
      <c r="CHW573" s="93"/>
      <c r="CHX573" s="93"/>
      <c r="CHY573" s="93"/>
      <c r="CHZ573" s="93"/>
      <c r="CIA573" s="93"/>
      <c r="CIB573" s="93"/>
      <c r="CIC573" s="93"/>
      <c r="CID573" s="93"/>
      <c r="CIE573" s="93"/>
      <c r="CIF573" s="93"/>
      <c r="CIG573" s="93"/>
      <c r="CIH573" s="93"/>
      <c r="CII573" s="93"/>
      <c r="CIJ573" s="93"/>
      <c r="CIK573" s="93"/>
      <c r="CIL573" s="93"/>
      <c r="CIM573" s="93"/>
      <c r="CIN573" s="93"/>
      <c r="CIO573" s="93"/>
      <c r="CIP573" s="93"/>
      <c r="CIQ573" s="93"/>
      <c r="CIR573" s="93"/>
      <c r="CIS573" s="93"/>
      <c r="CIT573" s="93"/>
      <c r="CIU573" s="93"/>
      <c r="CIV573" s="93"/>
      <c r="CIW573" s="93"/>
      <c r="CIX573" s="93"/>
      <c r="CIY573" s="93"/>
      <c r="CIZ573" s="93"/>
      <c r="CJA573" s="93"/>
      <c r="CJB573" s="93"/>
      <c r="CJC573" s="93"/>
      <c r="CJD573" s="93"/>
      <c r="CJE573" s="93"/>
      <c r="CJF573" s="93"/>
      <c r="CJG573" s="93"/>
      <c r="CJH573" s="93"/>
      <c r="CJI573" s="93"/>
      <c r="CJJ573" s="93"/>
      <c r="CJK573" s="93"/>
      <c r="CJL573" s="93"/>
      <c r="CJM573" s="93"/>
      <c r="CJN573" s="93"/>
      <c r="CJO573" s="93"/>
      <c r="CJP573" s="93"/>
      <c r="CJQ573" s="93"/>
      <c r="CJR573" s="93"/>
      <c r="CJS573" s="93"/>
      <c r="CJT573" s="93"/>
      <c r="CJU573" s="93"/>
      <c r="CJV573" s="93"/>
      <c r="CJW573" s="93"/>
      <c r="CJX573" s="93"/>
      <c r="CJY573" s="93"/>
      <c r="CJZ573" s="93"/>
      <c r="CKA573" s="93"/>
      <c r="CKB573" s="93"/>
      <c r="CKC573" s="93"/>
      <c r="CKD573" s="93"/>
      <c r="CKE573" s="93"/>
      <c r="CKF573" s="93"/>
      <c r="CKG573" s="93"/>
      <c r="CKH573" s="93"/>
      <c r="CKI573" s="93"/>
      <c r="CKJ573" s="93"/>
      <c r="CKK573" s="93"/>
      <c r="CKL573" s="93"/>
      <c r="CKM573" s="93"/>
      <c r="CKN573" s="93"/>
      <c r="CKO573" s="93"/>
      <c r="CKP573" s="93"/>
      <c r="CKQ573" s="93"/>
      <c r="CKR573" s="93"/>
      <c r="CKS573" s="93"/>
      <c r="CKT573" s="93"/>
      <c r="CKU573" s="93"/>
      <c r="CKV573" s="93"/>
      <c r="CKW573" s="93"/>
      <c r="CKX573" s="93"/>
      <c r="CKY573" s="93"/>
      <c r="CKZ573" s="93"/>
      <c r="CLA573" s="93"/>
      <c r="CLB573" s="93"/>
      <c r="CLC573" s="93"/>
      <c r="CLD573" s="93"/>
      <c r="CLE573" s="93"/>
      <c r="CLF573" s="93"/>
      <c r="CLG573" s="93"/>
      <c r="CLH573" s="93"/>
      <c r="CLI573" s="93"/>
      <c r="CLJ573" s="93"/>
      <c r="CLK573" s="93"/>
      <c r="CLL573" s="93"/>
      <c r="CLM573" s="93"/>
      <c r="CLN573" s="93"/>
      <c r="CLO573" s="93"/>
      <c r="CLP573" s="93"/>
      <c r="CLQ573" s="93"/>
      <c r="CLR573" s="93"/>
      <c r="CLS573" s="93"/>
      <c r="CLT573" s="93"/>
      <c r="CLU573" s="93"/>
      <c r="CLV573" s="93"/>
      <c r="CLW573" s="93"/>
      <c r="CLX573" s="93"/>
      <c r="CLY573" s="93"/>
      <c r="CLZ573" s="93"/>
      <c r="CMA573" s="93"/>
      <c r="CMB573" s="93"/>
      <c r="CMC573" s="93"/>
      <c r="CMD573" s="93"/>
      <c r="CME573" s="93"/>
      <c r="CMF573" s="93"/>
      <c r="CMG573" s="93"/>
      <c r="CMH573" s="93"/>
      <c r="CMI573" s="93"/>
      <c r="CMJ573" s="93"/>
      <c r="CMK573" s="93"/>
      <c r="CML573" s="93"/>
      <c r="CMM573" s="93"/>
      <c r="CMN573" s="93"/>
      <c r="CMO573" s="93"/>
      <c r="CMP573" s="93"/>
      <c r="CMQ573" s="93"/>
      <c r="CMR573" s="93"/>
      <c r="CMS573" s="93"/>
      <c r="CMT573" s="93"/>
      <c r="CMU573" s="93"/>
      <c r="CMV573" s="93"/>
      <c r="CMW573" s="93"/>
      <c r="CMX573" s="93"/>
      <c r="CMY573" s="93"/>
      <c r="CMZ573" s="93"/>
      <c r="CNA573" s="93"/>
      <c r="CNB573" s="93"/>
      <c r="CNC573" s="93"/>
      <c r="CND573" s="93"/>
      <c r="CNE573" s="93"/>
      <c r="CNF573" s="93"/>
      <c r="CNG573" s="93"/>
      <c r="CNH573" s="93"/>
      <c r="CNI573" s="93"/>
      <c r="CNJ573" s="93"/>
      <c r="CNK573" s="93"/>
      <c r="CNL573" s="93"/>
      <c r="CNM573" s="93"/>
      <c r="CNN573" s="93"/>
      <c r="CNO573" s="93"/>
      <c r="CNP573" s="93"/>
      <c r="CNQ573" s="93"/>
      <c r="CNR573" s="93"/>
      <c r="CNS573" s="93"/>
      <c r="CNT573" s="93"/>
      <c r="CNU573" s="93"/>
      <c r="CNV573" s="93"/>
      <c r="CNW573" s="93"/>
      <c r="CNX573" s="93"/>
      <c r="CNY573" s="93"/>
      <c r="CNZ573" s="93"/>
      <c r="COA573" s="93"/>
      <c r="COB573" s="93"/>
      <c r="COC573" s="93"/>
      <c r="COD573" s="93"/>
      <c r="COE573" s="93"/>
      <c r="COF573" s="93"/>
      <c r="COG573" s="93"/>
      <c r="COH573" s="93"/>
      <c r="COI573" s="93"/>
      <c r="COJ573" s="93"/>
      <c r="COK573" s="93"/>
      <c r="COL573" s="93"/>
      <c r="COM573" s="93"/>
      <c r="CON573" s="93"/>
      <c r="COO573" s="93"/>
      <c r="COP573" s="93"/>
      <c r="COQ573" s="93"/>
      <c r="COR573" s="93"/>
      <c r="COS573" s="93"/>
      <c r="COT573" s="93"/>
      <c r="COU573" s="93"/>
      <c r="COV573" s="93"/>
      <c r="COW573" s="93"/>
      <c r="COX573" s="93"/>
      <c r="COY573" s="93"/>
      <c r="COZ573" s="93"/>
      <c r="CPA573" s="93"/>
      <c r="CPB573" s="93"/>
      <c r="CPC573" s="93"/>
      <c r="CPD573" s="93"/>
      <c r="CPE573" s="93"/>
      <c r="CPF573" s="93"/>
      <c r="CPG573" s="93"/>
      <c r="CPH573" s="93"/>
      <c r="CPI573" s="93"/>
      <c r="CPJ573" s="93"/>
      <c r="CPK573" s="93"/>
      <c r="CPL573" s="93"/>
      <c r="CPM573" s="93"/>
      <c r="CPN573" s="93"/>
      <c r="CPO573" s="93"/>
      <c r="CPP573" s="93"/>
      <c r="CPQ573" s="93"/>
      <c r="CPR573" s="93"/>
      <c r="CPS573" s="93"/>
      <c r="CPT573" s="93"/>
      <c r="CPU573" s="93"/>
      <c r="CPV573" s="93"/>
      <c r="CPW573" s="93"/>
      <c r="CPX573" s="93"/>
      <c r="CPY573" s="93"/>
      <c r="CPZ573" s="93"/>
      <c r="CQA573" s="93"/>
      <c r="CQB573" s="93"/>
      <c r="CQC573" s="93"/>
      <c r="CQD573" s="93"/>
      <c r="CQE573" s="93"/>
      <c r="CQF573" s="93"/>
      <c r="CQG573" s="93"/>
      <c r="CQH573" s="93"/>
      <c r="CQI573" s="93"/>
      <c r="CQJ573" s="93"/>
      <c r="CQK573" s="93"/>
      <c r="CQL573" s="93"/>
      <c r="CQM573" s="93"/>
      <c r="CQN573" s="93"/>
      <c r="CQO573" s="93"/>
      <c r="CQP573" s="93"/>
      <c r="CQQ573" s="93"/>
      <c r="CQR573" s="93"/>
      <c r="CQS573" s="93"/>
      <c r="CQT573" s="93"/>
      <c r="CQU573" s="93"/>
      <c r="CQV573" s="93"/>
      <c r="CQW573" s="93"/>
      <c r="CQX573" s="93"/>
      <c r="CQY573" s="93"/>
      <c r="CQZ573" s="93"/>
      <c r="CRA573" s="93"/>
      <c r="CRB573" s="93"/>
      <c r="CRC573" s="93"/>
      <c r="CRD573" s="93"/>
      <c r="CRE573" s="93"/>
      <c r="CRF573" s="93"/>
      <c r="CRG573" s="93"/>
      <c r="CRH573" s="93"/>
      <c r="CRI573" s="93"/>
      <c r="CRJ573" s="93"/>
      <c r="CRK573" s="93"/>
      <c r="CRL573" s="93"/>
      <c r="CRM573" s="93"/>
      <c r="CRN573" s="93"/>
      <c r="CRO573" s="93"/>
      <c r="CRP573" s="93"/>
      <c r="CRQ573" s="93"/>
      <c r="CRR573" s="93"/>
      <c r="CRS573" s="93"/>
      <c r="CRT573" s="93"/>
      <c r="CRU573" s="93"/>
      <c r="CRV573" s="93"/>
      <c r="CRW573" s="93"/>
      <c r="CRX573" s="93"/>
      <c r="CRY573" s="93"/>
      <c r="CRZ573" s="93"/>
      <c r="CSA573" s="93"/>
      <c r="CSB573" s="93"/>
      <c r="CSC573" s="93"/>
      <c r="CSD573" s="93"/>
      <c r="CSE573" s="93"/>
      <c r="CSF573" s="93"/>
      <c r="CSG573" s="93"/>
      <c r="CSH573" s="93"/>
      <c r="CSI573" s="93"/>
      <c r="CSJ573" s="93"/>
      <c r="CSK573" s="93"/>
      <c r="CSL573" s="93"/>
      <c r="CSM573" s="93"/>
      <c r="CSN573" s="93"/>
      <c r="CSO573" s="93"/>
      <c r="CSP573" s="93"/>
      <c r="CSQ573" s="93"/>
      <c r="CSR573" s="93"/>
      <c r="CSS573" s="93"/>
      <c r="CST573" s="93"/>
      <c r="CSU573" s="93"/>
      <c r="CSV573" s="93"/>
      <c r="CSW573" s="93"/>
      <c r="CSX573" s="93"/>
      <c r="CSY573" s="93"/>
      <c r="CSZ573" s="93"/>
      <c r="CTA573" s="93"/>
      <c r="CTB573" s="93"/>
      <c r="CTC573" s="93"/>
      <c r="CTD573" s="93"/>
      <c r="CTE573" s="93"/>
      <c r="CTF573" s="93"/>
      <c r="CTG573" s="93"/>
      <c r="CTH573" s="93"/>
      <c r="CTI573" s="93"/>
      <c r="CTJ573" s="93"/>
      <c r="CTK573" s="93"/>
      <c r="CTL573" s="93"/>
      <c r="CTM573" s="93"/>
      <c r="CTN573" s="93"/>
      <c r="CTO573" s="93"/>
      <c r="CTP573" s="93"/>
      <c r="CTQ573" s="93"/>
      <c r="CTR573" s="93"/>
      <c r="CTS573" s="93"/>
      <c r="CTT573" s="93"/>
      <c r="CTU573" s="93"/>
      <c r="CTV573" s="93"/>
      <c r="CTW573" s="93"/>
      <c r="CTX573" s="93"/>
      <c r="CTY573" s="93"/>
      <c r="CTZ573" s="93"/>
      <c r="CUA573" s="93"/>
      <c r="CUB573" s="93"/>
      <c r="CUC573" s="93"/>
      <c r="CUD573" s="93"/>
      <c r="CUE573" s="93"/>
      <c r="CUF573" s="93"/>
      <c r="CUG573" s="93"/>
      <c r="CUH573" s="93"/>
      <c r="CUI573" s="93"/>
      <c r="CUJ573" s="93"/>
      <c r="CUK573" s="93"/>
      <c r="CUL573" s="93"/>
      <c r="CUM573" s="93"/>
      <c r="CUN573" s="93"/>
      <c r="CUO573" s="93"/>
      <c r="CUP573" s="93"/>
      <c r="CUQ573" s="93"/>
      <c r="CUR573" s="93"/>
      <c r="CUS573" s="93"/>
      <c r="CUT573" s="93"/>
      <c r="CUU573" s="93"/>
      <c r="CUV573" s="93"/>
      <c r="CUW573" s="93"/>
      <c r="CUX573" s="93"/>
      <c r="CUY573" s="93"/>
      <c r="CUZ573" s="93"/>
      <c r="CVA573" s="93"/>
      <c r="CVB573" s="93"/>
      <c r="CVC573" s="93"/>
      <c r="CVD573" s="93"/>
      <c r="CVE573" s="93"/>
      <c r="CVF573" s="93"/>
      <c r="CVG573" s="93"/>
      <c r="CVH573" s="93"/>
      <c r="CVI573" s="93"/>
      <c r="CVJ573" s="93"/>
      <c r="CVK573" s="93"/>
      <c r="CVL573" s="93"/>
      <c r="CVM573" s="93"/>
      <c r="CVN573" s="93"/>
      <c r="CVO573" s="93"/>
      <c r="CVP573" s="93"/>
      <c r="CVQ573" s="93"/>
      <c r="CVR573" s="93"/>
      <c r="CVS573" s="93"/>
      <c r="CVT573" s="93"/>
      <c r="CVU573" s="93"/>
      <c r="CVV573" s="93"/>
      <c r="CVW573" s="93"/>
      <c r="CVX573" s="93"/>
      <c r="CVY573" s="93"/>
      <c r="CVZ573" s="93"/>
      <c r="CWA573" s="93"/>
      <c r="CWB573" s="93"/>
      <c r="CWC573" s="93"/>
      <c r="CWD573" s="93"/>
      <c r="CWE573" s="93"/>
      <c r="CWF573" s="93"/>
      <c r="CWG573" s="93"/>
      <c r="CWH573" s="93"/>
      <c r="CWI573" s="93"/>
      <c r="CWJ573" s="93"/>
      <c r="CWK573" s="93"/>
      <c r="CWL573" s="93"/>
      <c r="CWM573" s="93"/>
      <c r="CWN573" s="93"/>
      <c r="CWO573" s="93"/>
      <c r="CWP573" s="93"/>
      <c r="CWQ573" s="93"/>
      <c r="CWR573" s="93"/>
      <c r="CWS573" s="93"/>
      <c r="CWT573" s="93"/>
      <c r="CWU573" s="93"/>
      <c r="CWV573" s="93"/>
      <c r="CWW573" s="93"/>
      <c r="CWX573" s="93"/>
      <c r="CWY573" s="93"/>
      <c r="CWZ573" s="93"/>
      <c r="CXA573" s="93"/>
      <c r="CXB573" s="93"/>
      <c r="CXC573" s="93"/>
      <c r="CXD573" s="93"/>
      <c r="CXE573" s="93"/>
      <c r="CXF573" s="93"/>
      <c r="CXG573" s="93"/>
      <c r="CXH573" s="93"/>
      <c r="CXI573" s="93"/>
      <c r="CXJ573" s="93"/>
      <c r="CXK573" s="93"/>
      <c r="CXL573" s="93"/>
      <c r="CXM573" s="93"/>
      <c r="CXN573" s="93"/>
      <c r="CXO573" s="93"/>
      <c r="CXP573" s="93"/>
      <c r="CXQ573" s="93"/>
      <c r="CXR573" s="93"/>
      <c r="CXS573" s="93"/>
      <c r="CXT573" s="93"/>
      <c r="CXU573" s="93"/>
      <c r="CXV573" s="93"/>
      <c r="CXW573" s="93"/>
      <c r="CXX573" s="93"/>
      <c r="CXY573" s="93"/>
      <c r="CXZ573" s="93"/>
      <c r="CYA573" s="93"/>
      <c r="CYB573" s="93"/>
      <c r="CYC573" s="93"/>
      <c r="CYD573" s="93"/>
      <c r="CYE573" s="93"/>
      <c r="CYF573" s="93"/>
      <c r="CYG573" s="93"/>
      <c r="CYH573" s="93"/>
      <c r="CYI573" s="93"/>
      <c r="CYJ573" s="93"/>
      <c r="CYK573" s="93"/>
      <c r="CYL573" s="93"/>
      <c r="CYM573" s="93"/>
      <c r="CYN573" s="93"/>
      <c r="CYO573" s="93"/>
      <c r="CYP573" s="93"/>
      <c r="CYQ573" s="93"/>
      <c r="CYR573" s="93"/>
      <c r="CYS573" s="93"/>
      <c r="CYT573" s="93"/>
      <c r="CYU573" s="93"/>
      <c r="CYV573" s="93"/>
      <c r="CYW573" s="93"/>
      <c r="CYX573" s="93"/>
      <c r="CYY573" s="93"/>
      <c r="CYZ573" s="93"/>
      <c r="CZA573" s="93"/>
      <c r="CZB573" s="93"/>
      <c r="CZC573" s="93"/>
      <c r="CZD573" s="93"/>
      <c r="CZE573" s="93"/>
      <c r="CZF573" s="93"/>
      <c r="CZG573" s="93"/>
      <c r="CZH573" s="93"/>
      <c r="CZI573" s="93"/>
      <c r="CZJ573" s="93"/>
      <c r="CZK573" s="93"/>
      <c r="CZL573" s="93"/>
      <c r="CZM573" s="93"/>
      <c r="CZN573" s="93"/>
      <c r="CZO573" s="93"/>
      <c r="CZP573" s="93"/>
      <c r="CZQ573" s="93"/>
      <c r="CZR573" s="93"/>
      <c r="CZS573" s="93"/>
      <c r="CZT573" s="93"/>
      <c r="CZU573" s="93"/>
      <c r="CZV573" s="93"/>
      <c r="CZW573" s="93"/>
      <c r="CZX573" s="93"/>
      <c r="CZY573" s="93"/>
      <c r="CZZ573" s="93"/>
      <c r="DAA573" s="93"/>
      <c r="DAB573" s="93"/>
      <c r="DAC573" s="93"/>
      <c r="DAD573" s="93"/>
      <c r="DAE573" s="93"/>
      <c r="DAF573" s="93"/>
      <c r="DAG573" s="93"/>
      <c r="DAH573" s="93"/>
      <c r="DAI573" s="93"/>
      <c r="DAJ573" s="93"/>
      <c r="DAK573" s="93"/>
      <c r="DAL573" s="93"/>
      <c r="DAM573" s="93"/>
      <c r="DAN573" s="93"/>
      <c r="DAO573" s="93"/>
      <c r="DAP573" s="93"/>
      <c r="DAQ573" s="93"/>
      <c r="DAR573" s="93"/>
      <c r="DAS573" s="93"/>
      <c r="DAT573" s="93"/>
      <c r="DAU573" s="93"/>
      <c r="DAV573" s="93"/>
      <c r="DAW573" s="93"/>
      <c r="DAX573" s="93"/>
      <c r="DAY573" s="93"/>
      <c r="DAZ573" s="93"/>
      <c r="DBA573" s="93"/>
      <c r="DBB573" s="93"/>
      <c r="DBC573" s="93"/>
      <c r="DBD573" s="93"/>
      <c r="DBE573" s="93"/>
      <c r="DBF573" s="93"/>
      <c r="DBG573" s="93"/>
      <c r="DBH573" s="93"/>
      <c r="DBI573" s="93"/>
      <c r="DBJ573" s="93"/>
      <c r="DBK573" s="93"/>
      <c r="DBL573" s="93"/>
      <c r="DBM573" s="93"/>
      <c r="DBN573" s="93"/>
      <c r="DBO573" s="93"/>
      <c r="DBP573" s="93"/>
      <c r="DBQ573" s="93"/>
      <c r="DBR573" s="93"/>
      <c r="DBS573" s="93"/>
      <c r="DBT573" s="93"/>
      <c r="DBU573" s="93"/>
      <c r="DBV573" s="93"/>
      <c r="DBW573" s="93"/>
      <c r="DBX573" s="93"/>
      <c r="DBY573" s="93"/>
      <c r="DBZ573" s="93"/>
      <c r="DCA573" s="93"/>
      <c r="DCB573" s="93"/>
      <c r="DCC573" s="93"/>
      <c r="DCD573" s="93"/>
      <c r="DCE573" s="93"/>
      <c r="DCF573" s="93"/>
      <c r="DCG573" s="93"/>
      <c r="DCH573" s="93"/>
      <c r="DCI573" s="93"/>
      <c r="DCJ573" s="93"/>
      <c r="DCK573" s="93"/>
      <c r="DCL573" s="93"/>
      <c r="DCM573" s="93"/>
      <c r="DCN573" s="93"/>
      <c r="DCO573" s="93"/>
      <c r="DCP573" s="93"/>
      <c r="DCQ573" s="93"/>
      <c r="DCR573" s="93"/>
      <c r="DCS573" s="93"/>
      <c r="DCT573" s="93"/>
      <c r="DCU573" s="93"/>
      <c r="DCV573" s="93"/>
      <c r="DCW573" s="93"/>
      <c r="DCX573" s="93"/>
      <c r="DCY573" s="93"/>
      <c r="DCZ573" s="93"/>
      <c r="DDA573" s="93"/>
      <c r="DDB573" s="93"/>
      <c r="DDC573" s="93"/>
      <c r="DDD573" s="93"/>
      <c r="DDE573" s="93"/>
      <c r="DDF573" s="93"/>
      <c r="DDG573" s="93"/>
      <c r="DDH573" s="93"/>
      <c r="DDI573" s="93"/>
      <c r="DDJ573" s="93"/>
      <c r="DDK573" s="93"/>
      <c r="DDL573" s="93"/>
      <c r="DDM573" s="93"/>
      <c r="DDN573" s="93"/>
      <c r="DDO573" s="93"/>
      <c r="DDP573" s="93"/>
      <c r="DDQ573" s="93"/>
      <c r="DDR573" s="93"/>
      <c r="DDS573" s="93"/>
      <c r="DDT573" s="93"/>
      <c r="DDU573" s="93"/>
      <c r="DDV573" s="93"/>
      <c r="DDW573" s="93"/>
      <c r="DDX573" s="93"/>
      <c r="DDY573" s="93"/>
      <c r="DDZ573" s="93"/>
      <c r="DEA573" s="93"/>
      <c r="DEB573" s="93"/>
      <c r="DEC573" s="93"/>
      <c r="DED573" s="93"/>
      <c r="DEE573" s="93"/>
      <c r="DEF573" s="93"/>
      <c r="DEG573" s="93"/>
      <c r="DEH573" s="93"/>
      <c r="DEI573" s="93"/>
      <c r="DEJ573" s="93"/>
      <c r="DEK573" s="93"/>
      <c r="DEL573" s="93"/>
      <c r="DEM573" s="93"/>
      <c r="DEN573" s="93"/>
      <c r="DEO573" s="93"/>
      <c r="DEP573" s="93"/>
      <c r="DEQ573" s="93"/>
      <c r="DER573" s="93"/>
      <c r="DES573" s="93"/>
      <c r="DET573" s="93"/>
      <c r="DEU573" s="93"/>
      <c r="DEV573" s="93"/>
      <c r="DEW573" s="93"/>
      <c r="DEX573" s="93"/>
      <c r="DEY573" s="93"/>
      <c r="DEZ573" s="93"/>
      <c r="DFA573" s="93"/>
      <c r="DFB573" s="93"/>
      <c r="DFC573" s="93"/>
      <c r="DFD573" s="93"/>
      <c r="DFE573" s="93"/>
      <c r="DFF573" s="93"/>
      <c r="DFG573" s="93"/>
      <c r="DFH573" s="93"/>
      <c r="DFI573" s="93"/>
      <c r="DFJ573" s="93"/>
      <c r="DFK573" s="93"/>
      <c r="DFL573" s="93"/>
      <c r="DFM573" s="93"/>
      <c r="DFN573" s="93"/>
      <c r="DFO573" s="93"/>
      <c r="DFP573" s="93"/>
      <c r="DFQ573" s="93"/>
      <c r="DFR573" s="93"/>
      <c r="DFS573" s="93"/>
      <c r="DFT573" s="93"/>
      <c r="DFU573" s="93"/>
      <c r="DFV573" s="93"/>
      <c r="DFW573" s="93"/>
      <c r="DFX573" s="93"/>
      <c r="DFY573" s="93"/>
      <c r="DFZ573" s="93"/>
      <c r="DGA573" s="93"/>
      <c r="DGB573" s="93"/>
      <c r="DGC573" s="93"/>
      <c r="DGD573" s="93"/>
      <c r="DGE573" s="93"/>
      <c r="DGF573" s="93"/>
      <c r="DGG573" s="93"/>
      <c r="DGH573" s="93"/>
      <c r="DGI573" s="93"/>
      <c r="DGJ573" s="93"/>
      <c r="DGK573" s="93"/>
      <c r="DGL573" s="93"/>
      <c r="DGM573" s="93"/>
      <c r="DGN573" s="93"/>
      <c r="DGO573" s="93"/>
      <c r="DGP573" s="93"/>
      <c r="DGQ573" s="93"/>
      <c r="DGR573" s="93"/>
      <c r="DGS573" s="93"/>
      <c r="DGT573" s="93"/>
      <c r="DGU573" s="93"/>
      <c r="DGV573" s="93"/>
      <c r="DGW573" s="93"/>
      <c r="DGX573" s="93"/>
      <c r="DGY573" s="93"/>
      <c r="DGZ573" s="93"/>
      <c r="DHA573" s="93"/>
      <c r="DHB573" s="93"/>
      <c r="DHC573" s="93"/>
      <c r="DHD573" s="93"/>
      <c r="DHE573" s="93"/>
      <c r="DHF573" s="93"/>
      <c r="DHG573" s="93"/>
      <c r="DHH573" s="93"/>
      <c r="DHI573" s="93"/>
      <c r="DHJ573" s="93"/>
      <c r="DHK573" s="93"/>
      <c r="DHL573" s="93"/>
      <c r="DHM573" s="93"/>
      <c r="DHN573" s="93"/>
      <c r="DHO573" s="93"/>
      <c r="DHP573" s="93"/>
      <c r="DHQ573" s="93"/>
      <c r="DHR573" s="93"/>
      <c r="DHS573" s="93"/>
      <c r="DHT573" s="93"/>
      <c r="DHU573" s="93"/>
      <c r="DHV573" s="93"/>
      <c r="DHW573" s="93"/>
      <c r="DHX573" s="93"/>
      <c r="DHY573" s="93"/>
      <c r="DHZ573" s="93"/>
      <c r="DIA573" s="93"/>
      <c r="DIB573" s="93"/>
      <c r="DIC573" s="93"/>
      <c r="DID573" s="93"/>
      <c r="DIE573" s="93"/>
      <c r="DIF573" s="93"/>
      <c r="DIG573" s="93"/>
      <c r="DIH573" s="93"/>
      <c r="DII573" s="93"/>
      <c r="DIJ573" s="93"/>
      <c r="DIK573" s="93"/>
      <c r="DIL573" s="93"/>
      <c r="DIM573" s="93"/>
      <c r="DIN573" s="93"/>
      <c r="DIO573" s="93"/>
      <c r="DIP573" s="93"/>
      <c r="DIQ573" s="93"/>
      <c r="DIR573" s="93"/>
      <c r="DIS573" s="93"/>
      <c r="DIT573" s="93"/>
      <c r="DIU573" s="93"/>
      <c r="DIV573" s="93"/>
      <c r="DIW573" s="93"/>
      <c r="DIX573" s="93"/>
      <c r="DIY573" s="93"/>
      <c r="DIZ573" s="93"/>
      <c r="DJA573" s="93"/>
      <c r="DJB573" s="93"/>
      <c r="DJC573" s="93"/>
      <c r="DJD573" s="93"/>
      <c r="DJE573" s="93"/>
      <c r="DJF573" s="93"/>
      <c r="DJG573" s="93"/>
      <c r="DJH573" s="93"/>
      <c r="DJI573" s="93"/>
      <c r="DJJ573" s="93"/>
      <c r="DJK573" s="93"/>
      <c r="DJL573" s="93"/>
      <c r="DJM573" s="93"/>
      <c r="DJN573" s="93"/>
      <c r="DJO573" s="93"/>
      <c r="DJP573" s="93"/>
      <c r="DJQ573" s="93"/>
      <c r="DJR573" s="93"/>
      <c r="DJS573" s="93"/>
      <c r="DJT573" s="93"/>
      <c r="DJU573" s="93"/>
      <c r="DJV573" s="93"/>
      <c r="DJW573" s="93"/>
      <c r="DJX573" s="93"/>
      <c r="DJY573" s="93"/>
      <c r="DJZ573" s="93"/>
      <c r="DKA573" s="93"/>
      <c r="DKB573" s="93"/>
      <c r="DKC573" s="93"/>
      <c r="DKD573" s="93"/>
      <c r="DKE573" s="93"/>
      <c r="DKF573" s="93"/>
      <c r="DKG573" s="93"/>
      <c r="DKH573" s="93"/>
      <c r="DKI573" s="93"/>
      <c r="DKJ573" s="93"/>
      <c r="DKK573" s="93"/>
      <c r="DKL573" s="93"/>
      <c r="DKM573" s="93"/>
      <c r="DKN573" s="93"/>
      <c r="DKO573" s="93"/>
      <c r="DKP573" s="93"/>
      <c r="DKQ573" s="93"/>
      <c r="DKR573" s="93"/>
      <c r="DKS573" s="93"/>
      <c r="DKT573" s="93"/>
      <c r="DKU573" s="93"/>
      <c r="DKV573" s="93"/>
      <c r="DKW573" s="93"/>
      <c r="DKX573" s="93"/>
      <c r="DKY573" s="93"/>
      <c r="DKZ573" s="93"/>
      <c r="DLA573" s="93"/>
      <c r="DLB573" s="93"/>
      <c r="DLC573" s="93"/>
      <c r="DLD573" s="93"/>
      <c r="DLE573" s="93"/>
      <c r="DLF573" s="93"/>
      <c r="DLG573" s="93"/>
      <c r="DLH573" s="93"/>
      <c r="DLI573" s="93"/>
      <c r="DLJ573" s="93"/>
      <c r="DLK573" s="93"/>
      <c r="DLL573" s="93"/>
      <c r="DLM573" s="93"/>
      <c r="DLN573" s="93"/>
      <c r="DLO573" s="93"/>
      <c r="DLP573" s="93"/>
      <c r="DLQ573" s="93"/>
      <c r="DLR573" s="93"/>
      <c r="DLS573" s="93"/>
      <c r="DLT573" s="93"/>
      <c r="DLU573" s="93"/>
      <c r="DLV573" s="93"/>
      <c r="DLW573" s="93"/>
      <c r="DLX573" s="93"/>
      <c r="DLY573" s="93"/>
      <c r="DLZ573" s="93"/>
      <c r="DMA573" s="93"/>
      <c r="DMB573" s="93"/>
      <c r="DMC573" s="93"/>
      <c r="DMD573" s="93"/>
      <c r="DME573" s="93"/>
      <c r="DMF573" s="93"/>
      <c r="DMG573" s="93"/>
      <c r="DMH573" s="93"/>
      <c r="DMI573" s="93"/>
      <c r="DMJ573" s="93"/>
      <c r="DMK573" s="93"/>
      <c r="DML573" s="93"/>
      <c r="DMM573" s="93"/>
      <c r="DMN573" s="93"/>
      <c r="DMO573" s="93"/>
      <c r="DMP573" s="93"/>
      <c r="DMQ573" s="93"/>
      <c r="DMR573" s="93"/>
      <c r="DMS573" s="93"/>
      <c r="DMT573" s="93"/>
      <c r="DMU573" s="93"/>
      <c r="DMV573" s="93"/>
      <c r="DMW573" s="93"/>
      <c r="DMX573" s="93"/>
      <c r="DMY573" s="93"/>
      <c r="DMZ573" s="93"/>
      <c r="DNA573" s="93"/>
      <c r="DNB573" s="93"/>
      <c r="DNC573" s="93"/>
      <c r="DND573" s="93"/>
      <c r="DNE573" s="93"/>
      <c r="DNF573" s="93"/>
      <c r="DNG573" s="93"/>
      <c r="DNH573" s="93"/>
      <c r="DNI573" s="93"/>
      <c r="DNJ573" s="93"/>
      <c r="DNK573" s="93"/>
      <c r="DNL573" s="93"/>
      <c r="DNM573" s="93"/>
      <c r="DNN573" s="93"/>
      <c r="DNO573" s="93"/>
      <c r="DNP573" s="93"/>
      <c r="DNQ573" s="93"/>
      <c r="DNR573" s="93"/>
      <c r="DNS573" s="93"/>
      <c r="DNT573" s="93"/>
      <c r="DNU573" s="93"/>
      <c r="DNV573" s="93"/>
      <c r="DNW573" s="93"/>
      <c r="DNX573" s="93"/>
      <c r="DNY573" s="93"/>
      <c r="DNZ573" s="93"/>
      <c r="DOA573" s="93"/>
      <c r="DOB573" s="93"/>
      <c r="DOC573" s="93"/>
      <c r="DOD573" s="93"/>
      <c r="DOE573" s="93"/>
      <c r="DOF573" s="93"/>
      <c r="DOG573" s="93"/>
      <c r="DOH573" s="93"/>
      <c r="DOI573" s="93"/>
      <c r="DOJ573" s="93"/>
      <c r="DOK573" s="93"/>
      <c r="DOL573" s="93"/>
      <c r="DOM573" s="93"/>
      <c r="DON573" s="93"/>
      <c r="DOO573" s="93"/>
      <c r="DOP573" s="93"/>
      <c r="DOQ573" s="93"/>
      <c r="DOR573" s="93"/>
      <c r="DOS573" s="93"/>
      <c r="DOT573" s="93"/>
      <c r="DOU573" s="93"/>
      <c r="DOV573" s="93"/>
      <c r="DOW573" s="93"/>
      <c r="DOX573" s="93"/>
      <c r="DOY573" s="93"/>
      <c r="DOZ573" s="93"/>
      <c r="DPA573" s="93"/>
      <c r="DPB573" s="93"/>
      <c r="DPC573" s="93"/>
      <c r="DPD573" s="93"/>
      <c r="DPE573" s="93"/>
      <c r="DPF573" s="93"/>
      <c r="DPG573" s="93"/>
      <c r="DPH573" s="93"/>
      <c r="DPI573" s="93"/>
      <c r="DPJ573" s="93"/>
      <c r="DPK573" s="93"/>
      <c r="DPL573" s="93"/>
      <c r="DPM573" s="93"/>
      <c r="DPN573" s="93"/>
      <c r="DPO573" s="93"/>
      <c r="DPP573" s="93"/>
      <c r="DPQ573" s="93"/>
      <c r="DPR573" s="93"/>
      <c r="DPS573" s="93"/>
      <c r="DPT573" s="93"/>
      <c r="DPU573" s="93"/>
      <c r="DPV573" s="93"/>
      <c r="DPW573" s="93"/>
      <c r="DPX573" s="93"/>
      <c r="DPY573" s="93"/>
      <c r="DPZ573" s="93"/>
      <c r="DQA573" s="93"/>
      <c r="DQB573" s="93"/>
      <c r="DQC573" s="93"/>
      <c r="DQD573" s="93"/>
      <c r="DQE573" s="93"/>
      <c r="DQF573" s="93"/>
      <c r="DQG573" s="93"/>
      <c r="DQH573" s="93"/>
      <c r="DQI573" s="93"/>
      <c r="DQJ573" s="93"/>
      <c r="DQK573" s="93"/>
      <c r="DQL573" s="93"/>
      <c r="DQM573" s="93"/>
      <c r="DQN573" s="93"/>
      <c r="DQO573" s="93"/>
      <c r="DQP573" s="93"/>
      <c r="DQQ573" s="93"/>
      <c r="DQR573" s="93"/>
      <c r="DQS573" s="93"/>
      <c r="DQT573" s="93"/>
      <c r="DQU573" s="93"/>
      <c r="DQV573" s="93"/>
      <c r="DQW573" s="93"/>
      <c r="DQX573" s="93"/>
      <c r="DQY573" s="93"/>
      <c r="DQZ573" s="93"/>
      <c r="DRA573" s="93"/>
      <c r="DRB573" s="93"/>
      <c r="DRC573" s="93"/>
      <c r="DRD573" s="93"/>
      <c r="DRE573" s="93"/>
      <c r="DRF573" s="93"/>
      <c r="DRG573" s="93"/>
      <c r="DRH573" s="93"/>
      <c r="DRI573" s="93"/>
      <c r="DRJ573" s="93"/>
      <c r="DRK573" s="93"/>
      <c r="DRL573" s="93"/>
      <c r="DRM573" s="93"/>
      <c r="DRN573" s="93"/>
      <c r="DRO573" s="93"/>
      <c r="DRP573" s="93"/>
      <c r="DRQ573" s="93"/>
      <c r="DRR573" s="93"/>
      <c r="DRS573" s="93"/>
      <c r="DRT573" s="93"/>
      <c r="DRU573" s="93"/>
      <c r="DRV573" s="93"/>
      <c r="DRW573" s="93"/>
      <c r="DRX573" s="93"/>
      <c r="DRY573" s="93"/>
      <c r="DRZ573" s="93"/>
      <c r="DSA573" s="93"/>
      <c r="DSB573" s="93"/>
      <c r="DSC573" s="93"/>
      <c r="DSD573" s="93"/>
      <c r="DSE573" s="93"/>
      <c r="DSF573" s="93"/>
      <c r="DSG573" s="93"/>
      <c r="DSH573" s="93"/>
      <c r="DSI573" s="93"/>
      <c r="DSJ573" s="93"/>
      <c r="DSK573" s="93"/>
      <c r="DSL573" s="93"/>
      <c r="DSM573" s="93"/>
      <c r="DSN573" s="93"/>
      <c r="DSO573" s="93"/>
      <c r="DSP573" s="93"/>
      <c r="DSQ573" s="93"/>
      <c r="DSR573" s="93"/>
      <c r="DSS573" s="93"/>
      <c r="DST573" s="93"/>
      <c r="DSU573" s="93"/>
      <c r="DSV573" s="93"/>
      <c r="DSW573" s="93"/>
      <c r="DSX573" s="93"/>
      <c r="DSY573" s="93"/>
      <c r="DSZ573" s="93"/>
      <c r="DTA573" s="93"/>
      <c r="DTB573" s="93"/>
      <c r="DTC573" s="93"/>
      <c r="DTD573" s="93"/>
      <c r="DTE573" s="93"/>
      <c r="DTF573" s="93"/>
      <c r="DTG573" s="93"/>
      <c r="DTH573" s="93"/>
      <c r="DTI573" s="93"/>
      <c r="DTJ573" s="93"/>
      <c r="DTK573" s="93"/>
      <c r="DTL573" s="93"/>
      <c r="DTM573" s="93"/>
      <c r="DTN573" s="93"/>
      <c r="DTO573" s="93"/>
      <c r="DTP573" s="93"/>
      <c r="DTQ573" s="93"/>
      <c r="DTR573" s="93"/>
      <c r="DTS573" s="93"/>
      <c r="DTT573" s="93"/>
      <c r="DTU573" s="93"/>
      <c r="DTV573" s="93"/>
      <c r="DTW573" s="93"/>
      <c r="DTX573" s="93"/>
      <c r="DTY573" s="93"/>
      <c r="DTZ573" s="93"/>
      <c r="DUA573" s="93"/>
      <c r="DUB573" s="93"/>
      <c r="DUC573" s="93"/>
      <c r="DUD573" s="93"/>
      <c r="DUE573" s="93"/>
      <c r="DUF573" s="93"/>
      <c r="DUG573" s="93"/>
      <c r="DUH573" s="93"/>
      <c r="DUI573" s="93"/>
      <c r="DUJ573" s="93"/>
      <c r="DUK573" s="93"/>
      <c r="DUL573" s="93"/>
      <c r="DUM573" s="93"/>
      <c r="DUN573" s="93"/>
      <c r="DUO573" s="93"/>
      <c r="DUP573" s="93"/>
      <c r="DUQ573" s="93"/>
      <c r="DUR573" s="93"/>
      <c r="DUS573" s="93"/>
      <c r="DUT573" s="93"/>
      <c r="DUU573" s="93"/>
      <c r="DUV573" s="93"/>
      <c r="DUW573" s="93"/>
      <c r="DUX573" s="93"/>
      <c r="DUY573" s="93"/>
      <c r="DUZ573" s="93"/>
      <c r="DVA573" s="93"/>
      <c r="DVB573" s="93"/>
      <c r="DVC573" s="93"/>
      <c r="DVD573" s="93"/>
      <c r="DVE573" s="93"/>
      <c r="DVF573" s="93"/>
      <c r="DVG573" s="93"/>
      <c r="DVH573" s="93"/>
      <c r="DVI573" s="93"/>
      <c r="DVJ573" s="93"/>
      <c r="DVK573" s="93"/>
      <c r="DVL573" s="93"/>
      <c r="DVM573" s="93"/>
      <c r="DVN573" s="93"/>
      <c r="DVO573" s="93"/>
      <c r="DVP573" s="93"/>
      <c r="DVQ573" s="93"/>
      <c r="DVR573" s="93"/>
      <c r="DVS573" s="93"/>
      <c r="DVT573" s="93"/>
      <c r="DVU573" s="93"/>
      <c r="DVV573" s="93"/>
      <c r="DVW573" s="93"/>
      <c r="DVX573" s="93"/>
      <c r="DVY573" s="93"/>
      <c r="DVZ573" s="93"/>
      <c r="DWA573" s="93"/>
      <c r="DWB573" s="93"/>
      <c r="DWC573" s="93"/>
      <c r="DWD573" s="93"/>
      <c r="DWE573" s="93"/>
      <c r="DWF573" s="93"/>
      <c r="DWG573" s="93"/>
      <c r="DWH573" s="93"/>
      <c r="DWI573" s="93"/>
      <c r="DWJ573" s="93"/>
      <c r="DWK573" s="93"/>
      <c r="DWL573" s="93"/>
      <c r="DWM573" s="93"/>
      <c r="DWN573" s="93"/>
      <c r="DWO573" s="93"/>
      <c r="DWP573" s="93"/>
      <c r="DWQ573" s="93"/>
      <c r="DWR573" s="93"/>
      <c r="DWS573" s="93"/>
      <c r="DWT573" s="93"/>
      <c r="DWU573" s="93"/>
      <c r="DWV573" s="93"/>
      <c r="DWW573" s="93"/>
      <c r="DWX573" s="93"/>
      <c r="DWY573" s="93"/>
      <c r="DWZ573" s="93"/>
      <c r="DXA573" s="93"/>
      <c r="DXB573" s="93"/>
      <c r="DXC573" s="93"/>
      <c r="DXD573" s="93"/>
      <c r="DXE573" s="93"/>
      <c r="DXF573" s="93"/>
      <c r="DXG573" s="93"/>
      <c r="DXH573" s="93"/>
      <c r="DXI573" s="93"/>
      <c r="DXJ573" s="93"/>
      <c r="DXK573" s="93"/>
      <c r="DXL573" s="93"/>
      <c r="DXM573" s="93"/>
      <c r="DXN573" s="93"/>
      <c r="DXO573" s="93"/>
      <c r="DXP573" s="93"/>
      <c r="DXQ573" s="93"/>
      <c r="DXR573" s="93"/>
      <c r="DXS573" s="93"/>
      <c r="DXT573" s="93"/>
      <c r="DXU573" s="93"/>
      <c r="DXV573" s="93"/>
      <c r="DXW573" s="93"/>
      <c r="DXX573" s="93"/>
      <c r="DXY573" s="93"/>
      <c r="DXZ573" s="93"/>
      <c r="DYA573" s="93"/>
      <c r="DYB573" s="93"/>
      <c r="DYC573" s="93"/>
      <c r="DYD573" s="93"/>
      <c r="DYE573" s="93"/>
      <c r="DYF573" s="93"/>
      <c r="DYG573" s="93"/>
      <c r="DYH573" s="93"/>
      <c r="DYI573" s="93"/>
      <c r="DYJ573" s="93"/>
      <c r="DYK573" s="93"/>
      <c r="DYL573" s="93"/>
      <c r="DYM573" s="93"/>
      <c r="DYN573" s="93"/>
      <c r="DYO573" s="93"/>
      <c r="DYP573" s="93"/>
      <c r="DYQ573" s="93"/>
      <c r="DYR573" s="93"/>
      <c r="DYS573" s="93"/>
      <c r="DYT573" s="93"/>
      <c r="DYU573" s="93"/>
      <c r="DYV573" s="93"/>
      <c r="DYW573" s="93"/>
      <c r="DYX573" s="93"/>
      <c r="DYY573" s="93"/>
      <c r="DYZ573" s="93"/>
      <c r="DZA573" s="93"/>
      <c r="DZB573" s="93"/>
      <c r="DZC573" s="93"/>
      <c r="DZD573" s="93"/>
      <c r="DZE573" s="93"/>
      <c r="DZF573" s="93"/>
      <c r="DZG573" s="93"/>
      <c r="DZH573" s="93"/>
      <c r="DZI573" s="93"/>
      <c r="DZJ573" s="93"/>
      <c r="DZK573" s="93"/>
      <c r="DZL573" s="93"/>
      <c r="DZM573" s="93"/>
      <c r="DZN573" s="93"/>
      <c r="DZO573" s="93"/>
      <c r="DZP573" s="93"/>
      <c r="DZQ573" s="93"/>
      <c r="DZR573" s="93"/>
      <c r="DZS573" s="93"/>
      <c r="DZT573" s="93"/>
      <c r="DZU573" s="93"/>
      <c r="DZV573" s="93"/>
      <c r="DZW573" s="93"/>
      <c r="DZX573" s="93"/>
      <c r="DZY573" s="93"/>
      <c r="DZZ573" s="93"/>
      <c r="EAA573" s="93"/>
      <c r="EAB573" s="93"/>
      <c r="EAC573" s="93"/>
      <c r="EAD573" s="93"/>
      <c r="EAE573" s="93"/>
      <c r="EAF573" s="93"/>
      <c r="EAG573" s="93"/>
      <c r="EAH573" s="93"/>
      <c r="EAI573" s="93"/>
      <c r="EAJ573" s="93"/>
      <c r="EAK573" s="93"/>
      <c r="EAL573" s="93"/>
      <c r="EAM573" s="93"/>
      <c r="EAN573" s="93"/>
      <c r="EAO573" s="93"/>
      <c r="EAP573" s="93"/>
      <c r="EAQ573" s="93"/>
      <c r="EAR573" s="93"/>
      <c r="EAS573" s="93"/>
      <c r="EAT573" s="93"/>
      <c r="EAU573" s="93"/>
      <c r="EAV573" s="93"/>
      <c r="EAW573" s="93"/>
      <c r="EAX573" s="93"/>
      <c r="EAY573" s="93"/>
      <c r="EAZ573" s="93"/>
      <c r="EBA573" s="93"/>
      <c r="EBB573" s="93"/>
      <c r="EBC573" s="93"/>
      <c r="EBD573" s="93"/>
      <c r="EBE573" s="93"/>
      <c r="EBF573" s="93"/>
      <c r="EBG573" s="93"/>
      <c r="EBH573" s="93"/>
      <c r="EBI573" s="93"/>
      <c r="EBJ573" s="93"/>
      <c r="EBK573" s="93"/>
      <c r="EBL573" s="93"/>
      <c r="EBM573" s="93"/>
      <c r="EBN573" s="93"/>
      <c r="EBO573" s="93"/>
      <c r="EBP573" s="93"/>
      <c r="EBQ573" s="93"/>
      <c r="EBR573" s="93"/>
      <c r="EBS573" s="93"/>
      <c r="EBT573" s="93"/>
      <c r="EBU573" s="93"/>
      <c r="EBV573" s="93"/>
      <c r="EBW573" s="93"/>
      <c r="EBX573" s="93"/>
      <c r="EBY573" s="93"/>
      <c r="EBZ573" s="93"/>
      <c r="ECA573" s="93"/>
      <c r="ECB573" s="93"/>
      <c r="ECC573" s="93"/>
      <c r="ECD573" s="93"/>
      <c r="ECE573" s="93"/>
      <c r="ECF573" s="93"/>
      <c r="ECG573" s="93"/>
      <c r="ECH573" s="93"/>
      <c r="ECI573" s="93"/>
      <c r="ECJ573" s="93"/>
      <c r="ECK573" s="93"/>
      <c r="ECL573" s="93"/>
      <c r="ECM573" s="93"/>
      <c r="ECN573" s="93"/>
      <c r="ECO573" s="93"/>
      <c r="ECP573" s="93"/>
      <c r="ECQ573" s="93"/>
      <c r="ECR573" s="93"/>
      <c r="ECS573" s="93"/>
      <c r="ECT573" s="93"/>
      <c r="ECU573" s="93"/>
      <c r="ECV573" s="93"/>
      <c r="ECW573" s="93"/>
      <c r="ECX573" s="93"/>
      <c r="ECY573" s="93"/>
      <c r="ECZ573" s="93"/>
      <c r="EDA573" s="93"/>
      <c r="EDB573" s="93"/>
      <c r="EDC573" s="93"/>
      <c r="EDD573" s="93"/>
      <c r="EDE573" s="93"/>
      <c r="EDF573" s="93"/>
      <c r="EDG573" s="93"/>
      <c r="EDH573" s="93"/>
      <c r="EDI573" s="93"/>
      <c r="EDJ573" s="93"/>
      <c r="EDK573" s="93"/>
      <c r="EDL573" s="93"/>
      <c r="EDM573" s="93"/>
      <c r="EDN573" s="93"/>
      <c r="EDO573" s="93"/>
      <c r="EDP573" s="93"/>
      <c r="EDQ573" s="93"/>
      <c r="EDR573" s="93"/>
      <c r="EDS573" s="93"/>
      <c r="EDT573" s="93"/>
      <c r="EDU573" s="93"/>
      <c r="EDV573" s="93"/>
      <c r="EDW573" s="93"/>
      <c r="EDX573" s="93"/>
      <c r="EDY573" s="93"/>
      <c r="EDZ573" s="93"/>
      <c r="EEA573" s="93"/>
      <c r="EEB573" s="93"/>
      <c r="EEC573" s="93"/>
      <c r="EED573" s="93"/>
      <c r="EEE573" s="93"/>
      <c r="EEF573" s="93"/>
      <c r="EEG573" s="93"/>
      <c r="EEH573" s="93"/>
      <c r="EEI573" s="93"/>
      <c r="EEJ573" s="93"/>
      <c r="EEK573" s="93"/>
      <c r="EEL573" s="93"/>
      <c r="EEM573" s="93"/>
      <c r="EEN573" s="93"/>
      <c r="EEO573" s="93"/>
      <c r="EEP573" s="93"/>
      <c r="EEQ573" s="93"/>
      <c r="EER573" s="93"/>
      <c r="EES573" s="93"/>
      <c r="EET573" s="93"/>
      <c r="EEU573" s="93"/>
      <c r="EEV573" s="93"/>
      <c r="EEW573" s="93"/>
      <c r="EEX573" s="93"/>
      <c r="EEY573" s="93"/>
      <c r="EEZ573" s="93"/>
      <c r="EFA573" s="93"/>
      <c r="EFB573" s="93"/>
      <c r="EFC573" s="93"/>
      <c r="EFD573" s="93"/>
      <c r="EFE573" s="93"/>
      <c r="EFF573" s="93"/>
      <c r="EFG573" s="93"/>
      <c r="EFH573" s="93"/>
      <c r="EFI573" s="93"/>
      <c r="EFJ573" s="93"/>
      <c r="EFK573" s="93"/>
      <c r="EFL573" s="93"/>
      <c r="EFM573" s="93"/>
      <c r="EFN573" s="93"/>
      <c r="EFO573" s="93"/>
      <c r="EFP573" s="93"/>
      <c r="EFQ573" s="93"/>
      <c r="EFR573" s="93"/>
      <c r="EFS573" s="93"/>
      <c r="EFT573" s="93"/>
      <c r="EFU573" s="93"/>
      <c r="EFV573" s="93"/>
      <c r="EFW573" s="93"/>
      <c r="EFX573" s="93"/>
      <c r="EFY573" s="93"/>
      <c r="EFZ573" s="93"/>
      <c r="EGA573" s="93"/>
      <c r="EGB573" s="93"/>
      <c r="EGC573" s="93"/>
      <c r="EGD573" s="93"/>
      <c r="EGE573" s="93"/>
      <c r="EGF573" s="93"/>
      <c r="EGG573" s="93"/>
      <c r="EGH573" s="93"/>
      <c r="EGI573" s="93"/>
      <c r="EGJ573" s="93"/>
      <c r="EGK573" s="93"/>
      <c r="EGL573" s="93"/>
      <c r="EGM573" s="93"/>
      <c r="EGN573" s="93"/>
      <c r="EGO573" s="93"/>
      <c r="EGP573" s="93"/>
      <c r="EGQ573" s="93"/>
      <c r="EGR573" s="93"/>
      <c r="EGS573" s="93"/>
      <c r="EGT573" s="93"/>
      <c r="EGU573" s="93"/>
      <c r="EGV573" s="93"/>
      <c r="EGW573" s="93"/>
      <c r="EGX573" s="93"/>
      <c r="EGY573" s="93"/>
      <c r="EGZ573" s="93"/>
      <c r="EHA573" s="93"/>
      <c r="EHB573" s="93"/>
      <c r="EHC573" s="93"/>
      <c r="EHD573" s="93"/>
      <c r="EHE573" s="93"/>
      <c r="EHF573" s="93"/>
      <c r="EHG573" s="93"/>
      <c r="EHH573" s="93"/>
      <c r="EHI573" s="93"/>
      <c r="EHJ573" s="93"/>
      <c r="EHK573" s="93"/>
      <c r="EHL573" s="93"/>
      <c r="EHM573" s="93"/>
      <c r="EHN573" s="93"/>
      <c r="EHO573" s="93"/>
      <c r="EHP573" s="93"/>
      <c r="EHQ573" s="93"/>
      <c r="EHR573" s="93"/>
      <c r="EHS573" s="93"/>
      <c r="EHT573" s="93"/>
      <c r="EHU573" s="93"/>
      <c r="EHV573" s="93"/>
      <c r="EHW573" s="93"/>
      <c r="EHX573" s="93"/>
      <c r="EHY573" s="93"/>
      <c r="EHZ573" s="93"/>
      <c r="EIA573" s="93"/>
      <c r="EIB573" s="93"/>
      <c r="EIC573" s="93"/>
      <c r="EID573" s="93"/>
      <c r="EIE573" s="93"/>
      <c r="EIF573" s="93"/>
      <c r="EIG573" s="93"/>
      <c r="EIH573" s="93"/>
      <c r="EII573" s="93"/>
      <c r="EIJ573" s="93"/>
      <c r="EIK573" s="93"/>
      <c r="EIL573" s="93"/>
      <c r="EIM573" s="93"/>
      <c r="EIN573" s="93"/>
      <c r="EIO573" s="93"/>
      <c r="EIP573" s="93"/>
      <c r="EIQ573" s="93"/>
      <c r="EIR573" s="93"/>
      <c r="EIS573" s="93"/>
      <c r="EIT573" s="93"/>
      <c r="EIU573" s="93"/>
      <c r="EIV573" s="93"/>
      <c r="EIW573" s="93"/>
      <c r="EIX573" s="93"/>
      <c r="EIY573" s="93"/>
      <c r="EIZ573" s="93"/>
      <c r="EJA573" s="93"/>
      <c r="EJB573" s="93"/>
      <c r="EJC573" s="93"/>
      <c r="EJD573" s="93"/>
      <c r="EJE573" s="93"/>
      <c r="EJF573" s="93"/>
      <c r="EJG573" s="93"/>
      <c r="EJH573" s="93"/>
      <c r="EJI573" s="93"/>
      <c r="EJJ573" s="93"/>
      <c r="EJK573" s="93"/>
      <c r="EJL573" s="93"/>
      <c r="EJM573" s="93"/>
      <c r="EJN573" s="93"/>
      <c r="EJO573" s="93"/>
      <c r="EJP573" s="93"/>
      <c r="EJQ573" s="93"/>
      <c r="EJR573" s="93"/>
      <c r="EJS573" s="93"/>
      <c r="EJT573" s="93"/>
      <c r="EJU573" s="93"/>
      <c r="EJV573" s="93"/>
      <c r="EJW573" s="93"/>
      <c r="EJX573" s="93"/>
      <c r="EJY573" s="93"/>
      <c r="EJZ573" s="93"/>
      <c r="EKA573" s="93"/>
      <c r="EKB573" s="93"/>
      <c r="EKC573" s="93"/>
      <c r="EKD573" s="93"/>
      <c r="EKE573" s="93"/>
      <c r="EKF573" s="93"/>
      <c r="EKG573" s="93"/>
      <c r="EKH573" s="93"/>
      <c r="EKI573" s="93"/>
      <c r="EKJ573" s="93"/>
      <c r="EKK573" s="93"/>
      <c r="EKL573" s="93"/>
      <c r="EKM573" s="93"/>
      <c r="EKN573" s="93"/>
      <c r="EKO573" s="93"/>
      <c r="EKP573" s="93"/>
      <c r="EKQ573" s="93"/>
      <c r="EKR573" s="93"/>
      <c r="EKS573" s="93"/>
      <c r="EKT573" s="93"/>
      <c r="EKU573" s="93"/>
      <c r="EKV573" s="93"/>
      <c r="EKW573" s="93"/>
      <c r="EKX573" s="93"/>
      <c r="EKY573" s="93"/>
      <c r="EKZ573" s="93"/>
      <c r="ELA573" s="93"/>
      <c r="ELB573" s="93"/>
      <c r="ELC573" s="93"/>
      <c r="ELD573" s="93"/>
      <c r="ELE573" s="93"/>
      <c r="ELF573" s="93"/>
      <c r="ELG573" s="93"/>
      <c r="ELH573" s="93"/>
      <c r="ELI573" s="93"/>
      <c r="ELJ573" s="93"/>
      <c r="ELK573" s="93"/>
      <c r="ELL573" s="93"/>
      <c r="ELM573" s="93"/>
      <c r="ELN573" s="93"/>
      <c r="ELO573" s="93"/>
      <c r="ELP573" s="93"/>
      <c r="ELQ573" s="93"/>
      <c r="ELR573" s="93"/>
      <c r="ELS573" s="93"/>
      <c r="ELT573" s="93"/>
      <c r="ELU573" s="93"/>
      <c r="ELV573" s="93"/>
      <c r="ELW573" s="93"/>
      <c r="ELX573" s="93"/>
      <c r="ELY573" s="93"/>
      <c r="ELZ573" s="93"/>
      <c r="EMA573" s="93"/>
      <c r="EMB573" s="93"/>
      <c r="EMC573" s="93"/>
      <c r="EMD573" s="93"/>
      <c r="EME573" s="93"/>
      <c r="EMF573" s="93"/>
      <c r="EMG573" s="93"/>
      <c r="EMH573" s="93"/>
      <c r="EMI573" s="93"/>
      <c r="EMJ573" s="93"/>
      <c r="EMK573" s="93"/>
      <c r="EML573" s="93"/>
      <c r="EMM573" s="93"/>
      <c r="EMN573" s="93"/>
      <c r="EMO573" s="93"/>
      <c r="EMP573" s="93"/>
      <c r="EMQ573" s="93"/>
      <c r="EMR573" s="93"/>
      <c r="EMS573" s="93"/>
      <c r="EMT573" s="93"/>
      <c r="EMU573" s="93"/>
      <c r="EMV573" s="93"/>
      <c r="EMW573" s="93"/>
      <c r="EMX573" s="93"/>
      <c r="EMY573" s="93"/>
      <c r="EMZ573" s="93"/>
      <c r="ENA573" s="93"/>
      <c r="ENB573" s="93"/>
      <c r="ENC573" s="93"/>
      <c r="END573" s="93"/>
      <c r="ENE573" s="93"/>
      <c r="ENF573" s="93"/>
      <c r="ENG573" s="93"/>
      <c r="ENH573" s="93"/>
      <c r="ENI573" s="93"/>
      <c r="ENJ573" s="93"/>
      <c r="ENK573" s="93"/>
      <c r="ENL573" s="93"/>
      <c r="ENM573" s="93"/>
      <c r="ENN573" s="93"/>
      <c r="ENO573" s="93"/>
      <c r="ENP573" s="93"/>
      <c r="ENQ573" s="93"/>
      <c r="ENR573" s="93"/>
      <c r="ENS573" s="93"/>
      <c r="ENT573" s="93"/>
      <c r="ENU573" s="93"/>
      <c r="ENV573" s="93"/>
      <c r="ENW573" s="93"/>
      <c r="ENX573" s="93"/>
      <c r="ENY573" s="93"/>
      <c r="ENZ573" s="93"/>
      <c r="EOA573" s="93"/>
      <c r="EOB573" s="93"/>
      <c r="EOC573" s="93"/>
      <c r="EOD573" s="93"/>
      <c r="EOE573" s="93"/>
      <c r="EOF573" s="93"/>
      <c r="EOG573" s="93"/>
      <c r="EOH573" s="93"/>
      <c r="EOI573" s="93"/>
      <c r="EOJ573" s="93"/>
      <c r="EOK573" s="93"/>
      <c r="EOL573" s="93"/>
      <c r="EOM573" s="93"/>
      <c r="EON573" s="93"/>
      <c r="EOO573" s="93"/>
      <c r="EOP573" s="93"/>
      <c r="EOQ573" s="93"/>
      <c r="EOR573" s="93"/>
      <c r="EOS573" s="93"/>
      <c r="EOT573" s="93"/>
      <c r="EOU573" s="93"/>
      <c r="EOV573" s="93"/>
      <c r="EOW573" s="93"/>
      <c r="EOX573" s="93"/>
      <c r="EOY573" s="93"/>
      <c r="EOZ573" s="93"/>
      <c r="EPA573" s="93"/>
      <c r="EPB573" s="93"/>
      <c r="EPC573" s="93"/>
      <c r="EPD573" s="93"/>
      <c r="EPE573" s="93"/>
      <c r="EPF573" s="93"/>
      <c r="EPG573" s="93"/>
      <c r="EPH573" s="93"/>
      <c r="EPI573" s="93"/>
      <c r="EPJ573" s="93"/>
      <c r="EPK573" s="93"/>
      <c r="EPL573" s="93"/>
      <c r="EPM573" s="93"/>
      <c r="EPN573" s="93"/>
      <c r="EPO573" s="93"/>
      <c r="EPP573" s="93"/>
      <c r="EPQ573" s="93"/>
      <c r="EPR573" s="93"/>
      <c r="EPS573" s="93"/>
      <c r="EPT573" s="93"/>
      <c r="EPU573" s="93"/>
      <c r="EPV573" s="93"/>
      <c r="EPW573" s="93"/>
      <c r="EPX573" s="93"/>
      <c r="EPY573" s="93"/>
      <c r="EPZ573" s="93"/>
      <c r="EQA573" s="93"/>
      <c r="EQB573" s="93"/>
      <c r="EQC573" s="93"/>
      <c r="EQD573" s="93"/>
      <c r="EQE573" s="93"/>
      <c r="EQF573" s="93"/>
      <c r="EQG573" s="93"/>
      <c r="EQH573" s="93"/>
      <c r="EQI573" s="93"/>
      <c r="EQJ573" s="93"/>
      <c r="EQK573" s="93"/>
      <c r="EQL573" s="93"/>
      <c r="EQM573" s="93"/>
      <c r="EQN573" s="93"/>
      <c r="EQO573" s="93"/>
      <c r="EQP573" s="93"/>
      <c r="EQQ573" s="93"/>
      <c r="EQR573" s="93"/>
      <c r="EQS573" s="93"/>
      <c r="EQT573" s="93"/>
      <c r="EQU573" s="93"/>
      <c r="EQV573" s="93"/>
      <c r="EQW573" s="93"/>
      <c r="EQX573" s="93"/>
      <c r="EQY573" s="93"/>
      <c r="EQZ573" s="93"/>
      <c r="ERA573" s="93"/>
      <c r="ERB573" s="93"/>
      <c r="ERC573" s="93"/>
      <c r="ERD573" s="93"/>
      <c r="ERE573" s="93"/>
      <c r="ERF573" s="93"/>
      <c r="ERG573" s="93"/>
      <c r="ERH573" s="93"/>
      <c r="ERI573" s="93"/>
      <c r="ERJ573" s="93"/>
      <c r="ERK573" s="93"/>
      <c r="ERL573" s="93"/>
      <c r="ERM573" s="93"/>
      <c r="ERN573" s="93"/>
      <c r="ERO573" s="93"/>
      <c r="ERP573" s="93"/>
      <c r="ERQ573" s="93"/>
      <c r="ERR573" s="93"/>
      <c r="ERS573" s="93"/>
      <c r="ERT573" s="93"/>
      <c r="ERU573" s="93"/>
      <c r="ERV573" s="93"/>
      <c r="ERW573" s="93"/>
      <c r="ERX573" s="93"/>
      <c r="ERY573" s="93"/>
      <c r="ERZ573" s="93"/>
      <c r="ESA573" s="93"/>
      <c r="ESB573" s="93"/>
      <c r="ESC573" s="93"/>
      <c r="ESD573" s="93"/>
      <c r="ESE573" s="93"/>
      <c r="ESF573" s="93"/>
      <c r="ESG573" s="93"/>
      <c r="ESH573" s="93"/>
      <c r="ESI573" s="93"/>
      <c r="ESJ573" s="93"/>
      <c r="ESK573" s="93"/>
      <c r="ESL573" s="93"/>
      <c r="ESM573" s="93"/>
      <c r="ESN573" s="93"/>
      <c r="ESO573" s="93"/>
      <c r="ESP573" s="93"/>
      <c r="ESQ573" s="93"/>
      <c r="ESR573" s="93"/>
      <c r="ESS573" s="93"/>
      <c r="EST573" s="93"/>
      <c r="ESU573" s="93"/>
      <c r="ESV573" s="93"/>
      <c r="ESW573" s="93"/>
      <c r="ESX573" s="93"/>
      <c r="ESY573" s="93"/>
      <c r="ESZ573" s="93"/>
      <c r="ETA573" s="93"/>
      <c r="ETB573" s="93"/>
      <c r="ETC573" s="93"/>
      <c r="ETD573" s="93"/>
      <c r="ETE573" s="93"/>
      <c r="ETF573" s="93"/>
      <c r="ETG573" s="93"/>
      <c r="ETH573" s="93"/>
      <c r="ETI573" s="93"/>
      <c r="ETJ573" s="93"/>
      <c r="ETK573" s="93"/>
      <c r="ETL573" s="93"/>
      <c r="ETM573" s="93"/>
      <c r="ETN573" s="93"/>
      <c r="ETO573" s="93"/>
      <c r="ETP573" s="93"/>
      <c r="ETQ573" s="93"/>
      <c r="ETR573" s="93"/>
      <c r="ETS573" s="93"/>
      <c r="ETT573" s="93"/>
      <c r="ETU573" s="93"/>
      <c r="ETV573" s="93"/>
      <c r="ETW573" s="93"/>
      <c r="ETX573" s="93"/>
      <c r="ETY573" s="93"/>
      <c r="ETZ573" s="93"/>
      <c r="EUA573" s="93"/>
      <c r="EUB573" s="93"/>
      <c r="EUC573" s="93"/>
      <c r="EUD573" s="93"/>
      <c r="EUE573" s="93"/>
      <c r="EUF573" s="93"/>
      <c r="EUG573" s="93"/>
      <c r="EUH573" s="93"/>
      <c r="EUI573" s="93"/>
      <c r="EUJ573" s="93"/>
      <c r="EUK573" s="93"/>
      <c r="EUL573" s="93"/>
      <c r="EUM573" s="93"/>
      <c r="EUN573" s="93"/>
      <c r="EUO573" s="93"/>
      <c r="EUP573" s="93"/>
      <c r="EUQ573" s="93"/>
      <c r="EUR573" s="93"/>
      <c r="EUS573" s="93"/>
      <c r="EUT573" s="93"/>
      <c r="EUU573" s="93"/>
      <c r="EUV573" s="93"/>
      <c r="EUW573" s="93"/>
      <c r="EUX573" s="93"/>
      <c r="EUY573" s="93"/>
      <c r="EUZ573" s="93"/>
      <c r="EVA573" s="93"/>
      <c r="EVB573" s="93"/>
      <c r="EVC573" s="93"/>
      <c r="EVD573" s="93"/>
      <c r="EVE573" s="93"/>
      <c r="EVF573" s="93"/>
      <c r="EVG573" s="93"/>
      <c r="EVH573" s="93"/>
      <c r="EVI573" s="93"/>
      <c r="EVJ573" s="93"/>
      <c r="EVK573" s="93"/>
      <c r="EVL573" s="93"/>
      <c r="EVM573" s="93"/>
      <c r="EVN573" s="93"/>
      <c r="EVO573" s="93"/>
      <c r="EVP573" s="93"/>
      <c r="EVQ573" s="93"/>
      <c r="EVR573" s="93"/>
      <c r="EVS573" s="93"/>
      <c r="EVT573" s="93"/>
      <c r="EVU573" s="93"/>
      <c r="EVV573" s="93"/>
      <c r="EVW573" s="93"/>
      <c r="EVX573" s="93"/>
      <c r="EVY573" s="93"/>
      <c r="EVZ573" s="93"/>
      <c r="EWA573" s="93"/>
      <c r="EWB573" s="93"/>
      <c r="EWC573" s="93"/>
      <c r="EWD573" s="93"/>
      <c r="EWE573" s="93"/>
      <c r="EWF573" s="93"/>
      <c r="EWG573" s="93"/>
      <c r="EWH573" s="93"/>
      <c r="EWI573" s="93"/>
      <c r="EWJ573" s="93"/>
      <c r="EWK573" s="93"/>
      <c r="EWL573" s="93"/>
      <c r="EWM573" s="93"/>
      <c r="EWN573" s="93"/>
      <c r="EWO573" s="93"/>
      <c r="EWP573" s="93"/>
      <c r="EWQ573" s="93"/>
      <c r="EWR573" s="93"/>
      <c r="EWS573" s="93"/>
      <c r="EWT573" s="93"/>
      <c r="EWU573" s="93"/>
      <c r="EWV573" s="93"/>
      <c r="EWW573" s="93"/>
      <c r="EWX573" s="93"/>
      <c r="EWY573" s="93"/>
      <c r="EWZ573" s="93"/>
      <c r="EXA573" s="93"/>
      <c r="EXB573" s="93"/>
      <c r="EXC573" s="93"/>
      <c r="EXD573" s="93"/>
      <c r="EXE573" s="93"/>
      <c r="EXF573" s="93"/>
      <c r="EXG573" s="93"/>
      <c r="EXH573" s="93"/>
      <c r="EXI573" s="93"/>
      <c r="EXJ573" s="93"/>
      <c r="EXK573" s="93"/>
      <c r="EXL573" s="93"/>
      <c r="EXM573" s="93"/>
      <c r="EXN573" s="93"/>
      <c r="EXO573" s="93"/>
      <c r="EXP573" s="93"/>
      <c r="EXQ573" s="93"/>
      <c r="EXR573" s="93"/>
      <c r="EXS573" s="93"/>
      <c r="EXT573" s="93"/>
      <c r="EXU573" s="93"/>
      <c r="EXV573" s="93"/>
      <c r="EXW573" s="93"/>
      <c r="EXX573" s="93"/>
      <c r="EXY573" s="93"/>
      <c r="EXZ573" s="93"/>
      <c r="EYA573" s="93"/>
      <c r="EYB573" s="93"/>
      <c r="EYC573" s="93"/>
      <c r="EYD573" s="93"/>
      <c r="EYE573" s="93"/>
      <c r="EYF573" s="93"/>
      <c r="EYG573" s="93"/>
      <c r="EYH573" s="93"/>
      <c r="EYI573" s="93"/>
      <c r="EYJ573" s="93"/>
      <c r="EYK573" s="93"/>
      <c r="EYL573" s="93"/>
      <c r="EYM573" s="93"/>
      <c r="EYN573" s="93"/>
      <c r="EYO573" s="93"/>
      <c r="EYP573" s="93"/>
      <c r="EYQ573" s="93"/>
      <c r="EYR573" s="93"/>
      <c r="EYS573" s="93"/>
      <c r="EYT573" s="93"/>
      <c r="EYU573" s="93"/>
      <c r="EYV573" s="93"/>
      <c r="EYW573" s="93"/>
      <c r="EYX573" s="93"/>
      <c r="EYY573" s="93"/>
      <c r="EYZ573" s="93"/>
      <c r="EZA573" s="93"/>
      <c r="EZB573" s="93"/>
      <c r="EZC573" s="93"/>
      <c r="EZD573" s="93"/>
      <c r="EZE573" s="93"/>
      <c r="EZF573" s="93"/>
      <c r="EZG573" s="93"/>
      <c r="EZH573" s="93"/>
      <c r="EZI573" s="93"/>
      <c r="EZJ573" s="93"/>
      <c r="EZK573" s="93"/>
      <c r="EZL573" s="93"/>
      <c r="EZM573" s="93"/>
      <c r="EZN573" s="93"/>
      <c r="EZO573" s="93"/>
      <c r="EZP573" s="93"/>
      <c r="EZQ573" s="93"/>
      <c r="EZR573" s="93"/>
      <c r="EZS573" s="93"/>
      <c r="EZT573" s="93"/>
      <c r="EZU573" s="93"/>
      <c r="EZV573" s="93"/>
      <c r="EZW573" s="93"/>
      <c r="EZX573" s="93"/>
      <c r="EZY573" s="93"/>
      <c r="EZZ573" s="93"/>
      <c r="FAA573" s="93"/>
      <c r="FAB573" s="93"/>
      <c r="FAC573" s="93"/>
      <c r="FAD573" s="93"/>
      <c r="FAE573" s="93"/>
      <c r="FAF573" s="93"/>
      <c r="FAG573" s="93"/>
      <c r="FAH573" s="93"/>
      <c r="FAI573" s="93"/>
      <c r="FAJ573" s="93"/>
      <c r="FAK573" s="93"/>
      <c r="FAL573" s="93"/>
      <c r="FAM573" s="93"/>
      <c r="FAN573" s="93"/>
      <c r="FAO573" s="93"/>
      <c r="FAP573" s="93"/>
      <c r="FAQ573" s="93"/>
      <c r="FAR573" s="93"/>
      <c r="FAS573" s="93"/>
      <c r="FAT573" s="93"/>
      <c r="FAU573" s="93"/>
      <c r="FAV573" s="93"/>
      <c r="FAW573" s="93"/>
      <c r="FAX573" s="93"/>
      <c r="FAY573" s="93"/>
      <c r="FAZ573" s="93"/>
      <c r="FBA573" s="93"/>
      <c r="FBB573" s="93"/>
      <c r="FBC573" s="93"/>
      <c r="FBD573" s="93"/>
      <c r="FBE573" s="93"/>
      <c r="FBF573" s="93"/>
      <c r="FBG573" s="93"/>
      <c r="FBH573" s="93"/>
      <c r="FBI573" s="93"/>
      <c r="FBJ573" s="93"/>
      <c r="FBK573" s="93"/>
      <c r="FBL573" s="93"/>
      <c r="FBM573" s="93"/>
      <c r="FBN573" s="93"/>
      <c r="FBO573" s="93"/>
      <c r="FBP573" s="93"/>
      <c r="FBQ573" s="93"/>
      <c r="FBR573" s="93"/>
      <c r="FBS573" s="93"/>
      <c r="FBT573" s="93"/>
      <c r="FBU573" s="93"/>
      <c r="FBV573" s="93"/>
      <c r="FBW573" s="93"/>
      <c r="FBX573" s="93"/>
      <c r="FBY573" s="93"/>
      <c r="FBZ573" s="93"/>
      <c r="FCA573" s="93"/>
      <c r="FCB573" s="93"/>
      <c r="FCC573" s="93"/>
      <c r="FCD573" s="93"/>
      <c r="FCE573" s="93"/>
      <c r="FCF573" s="93"/>
      <c r="FCG573" s="93"/>
      <c r="FCH573" s="93"/>
      <c r="FCI573" s="93"/>
      <c r="FCJ573" s="93"/>
      <c r="FCK573" s="93"/>
      <c r="FCL573" s="93"/>
      <c r="FCM573" s="93"/>
      <c r="FCN573" s="93"/>
      <c r="FCO573" s="93"/>
      <c r="FCP573" s="93"/>
      <c r="FCQ573" s="93"/>
      <c r="FCR573" s="93"/>
      <c r="FCS573" s="93"/>
      <c r="FCT573" s="93"/>
      <c r="FCU573" s="93"/>
      <c r="FCV573" s="93"/>
      <c r="FCW573" s="93"/>
      <c r="FCX573" s="93"/>
      <c r="FCY573" s="93"/>
      <c r="FCZ573" s="93"/>
      <c r="FDA573" s="93"/>
      <c r="FDB573" s="93"/>
      <c r="FDC573" s="93"/>
      <c r="FDD573" s="93"/>
      <c r="FDE573" s="93"/>
      <c r="FDF573" s="93"/>
      <c r="FDG573" s="93"/>
      <c r="FDH573" s="93"/>
      <c r="FDI573" s="93"/>
      <c r="FDJ573" s="93"/>
      <c r="FDK573" s="93"/>
      <c r="FDL573" s="93"/>
      <c r="FDM573" s="93"/>
      <c r="FDN573" s="93"/>
      <c r="FDO573" s="93"/>
      <c r="FDP573" s="93"/>
      <c r="FDQ573" s="93"/>
      <c r="FDR573" s="93"/>
      <c r="FDS573" s="93"/>
      <c r="FDT573" s="93"/>
      <c r="FDU573" s="93"/>
      <c r="FDV573" s="93"/>
      <c r="FDW573" s="93"/>
      <c r="FDX573" s="93"/>
      <c r="FDY573" s="93"/>
      <c r="FDZ573" s="93"/>
      <c r="FEA573" s="93"/>
      <c r="FEB573" s="93"/>
      <c r="FEC573" s="93"/>
      <c r="FED573" s="93"/>
      <c r="FEE573" s="93"/>
      <c r="FEF573" s="93"/>
      <c r="FEG573" s="93"/>
      <c r="FEH573" s="93"/>
      <c r="FEI573" s="93"/>
      <c r="FEJ573" s="93"/>
      <c r="FEK573" s="93"/>
      <c r="FEL573" s="93"/>
      <c r="FEM573" s="93"/>
      <c r="FEN573" s="93"/>
      <c r="FEO573" s="93"/>
      <c r="FEP573" s="93"/>
      <c r="FEQ573" s="93"/>
      <c r="FER573" s="93"/>
      <c r="FES573" s="93"/>
      <c r="FET573" s="93"/>
      <c r="FEU573" s="93"/>
      <c r="FEV573" s="93"/>
      <c r="FEW573" s="93"/>
      <c r="FEX573" s="93"/>
      <c r="FEY573" s="93"/>
      <c r="FEZ573" s="93"/>
      <c r="FFA573" s="93"/>
      <c r="FFB573" s="93"/>
      <c r="FFC573" s="93"/>
      <c r="FFD573" s="93"/>
      <c r="FFE573" s="93"/>
      <c r="FFF573" s="93"/>
      <c r="FFG573" s="93"/>
      <c r="FFH573" s="93"/>
      <c r="FFI573" s="93"/>
      <c r="FFJ573" s="93"/>
      <c r="FFK573" s="93"/>
      <c r="FFL573" s="93"/>
      <c r="FFM573" s="93"/>
      <c r="FFN573" s="93"/>
      <c r="FFO573" s="93"/>
      <c r="FFP573" s="93"/>
      <c r="FFQ573" s="93"/>
      <c r="FFR573" s="93"/>
      <c r="FFS573" s="93"/>
      <c r="FFT573" s="93"/>
      <c r="FFU573" s="93"/>
      <c r="FFV573" s="93"/>
      <c r="FFW573" s="93"/>
      <c r="FFX573" s="93"/>
      <c r="FFY573" s="93"/>
      <c r="FFZ573" s="93"/>
      <c r="FGA573" s="93"/>
      <c r="FGB573" s="93"/>
      <c r="FGC573" s="93"/>
      <c r="FGD573" s="93"/>
      <c r="FGE573" s="93"/>
      <c r="FGF573" s="93"/>
      <c r="FGG573" s="93"/>
      <c r="FGH573" s="93"/>
      <c r="FGI573" s="93"/>
      <c r="FGJ573" s="93"/>
      <c r="FGK573" s="93"/>
      <c r="FGL573" s="93"/>
      <c r="FGM573" s="93"/>
      <c r="FGN573" s="93"/>
      <c r="FGO573" s="93"/>
      <c r="FGP573" s="93"/>
      <c r="FGQ573" s="93"/>
      <c r="FGR573" s="93"/>
      <c r="FGS573" s="93"/>
      <c r="FGT573" s="93"/>
      <c r="FGU573" s="93"/>
      <c r="FGV573" s="93"/>
      <c r="FGW573" s="93"/>
      <c r="FGX573" s="93"/>
      <c r="FGY573" s="93"/>
      <c r="FGZ573" s="93"/>
      <c r="FHA573" s="93"/>
      <c r="FHB573" s="93"/>
      <c r="FHC573" s="93"/>
      <c r="FHD573" s="93"/>
      <c r="FHE573" s="93"/>
      <c r="FHF573" s="93"/>
      <c r="FHG573" s="93"/>
      <c r="FHH573" s="93"/>
      <c r="FHI573" s="93"/>
      <c r="FHJ573" s="93"/>
      <c r="FHK573" s="93"/>
      <c r="FHL573" s="93"/>
      <c r="FHM573" s="93"/>
      <c r="FHN573" s="93"/>
      <c r="FHO573" s="93"/>
      <c r="FHP573" s="93"/>
      <c r="FHQ573" s="93"/>
      <c r="FHR573" s="93"/>
      <c r="FHS573" s="93"/>
      <c r="FHT573" s="93"/>
      <c r="FHU573" s="93"/>
      <c r="FHV573" s="93"/>
      <c r="FHW573" s="93"/>
      <c r="FHX573" s="93"/>
      <c r="FHY573" s="93"/>
      <c r="FHZ573" s="93"/>
      <c r="FIA573" s="93"/>
      <c r="FIB573" s="93"/>
      <c r="FIC573" s="93"/>
      <c r="FID573" s="93"/>
      <c r="FIE573" s="93"/>
      <c r="FIF573" s="93"/>
      <c r="FIG573" s="93"/>
      <c r="FIH573" s="93"/>
      <c r="FII573" s="93"/>
      <c r="FIJ573" s="93"/>
      <c r="FIK573" s="93"/>
      <c r="FIL573" s="93"/>
      <c r="FIM573" s="93"/>
      <c r="FIN573" s="93"/>
      <c r="FIO573" s="93"/>
      <c r="FIP573" s="93"/>
      <c r="FIQ573" s="93"/>
      <c r="FIR573" s="93"/>
      <c r="FIS573" s="93"/>
      <c r="FIT573" s="93"/>
      <c r="FIU573" s="93"/>
      <c r="FIV573" s="93"/>
      <c r="FIW573" s="93"/>
      <c r="FIX573" s="93"/>
      <c r="FIY573" s="93"/>
      <c r="FIZ573" s="93"/>
      <c r="FJA573" s="93"/>
      <c r="FJB573" s="93"/>
      <c r="FJC573" s="93"/>
      <c r="FJD573" s="93"/>
      <c r="FJE573" s="93"/>
      <c r="FJF573" s="93"/>
      <c r="FJG573" s="93"/>
      <c r="FJH573" s="93"/>
      <c r="FJI573" s="93"/>
      <c r="FJJ573" s="93"/>
      <c r="FJK573" s="93"/>
      <c r="FJL573" s="93"/>
      <c r="FJM573" s="93"/>
      <c r="FJN573" s="93"/>
      <c r="FJO573" s="93"/>
      <c r="FJP573" s="93"/>
      <c r="FJQ573" s="93"/>
      <c r="FJR573" s="93"/>
      <c r="FJS573" s="93"/>
      <c r="FJT573" s="93"/>
      <c r="FJU573" s="93"/>
      <c r="FJV573" s="93"/>
      <c r="FJW573" s="93"/>
      <c r="FJX573" s="93"/>
      <c r="FJY573" s="93"/>
      <c r="FJZ573" s="93"/>
      <c r="FKA573" s="93"/>
      <c r="FKB573" s="93"/>
      <c r="FKC573" s="93"/>
      <c r="FKD573" s="93"/>
      <c r="FKE573" s="93"/>
      <c r="FKF573" s="93"/>
      <c r="FKG573" s="93"/>
      <c r="FKH573" s="93"/>
      <c r="FKI573" s="93"/>
      <c r="FKJ573" s="93"/>
      <c r="FKK573" s="93"/>
      <c r="FKL573" s="93"/>
      <c r="FKM573" s="93"/>
      <c r="FKN573" s="93"/>
      <c r="FKO573" s="93"/>
      <c r="FKP573" s="93"/>
      <c r="FKQ573" s="93"/>
      <c r="FKR573" s="93"/>
      <c r="FKS573" s="93"/>
      <c r="FKT573" s="93"/>
      <c r="FKU573" s="93"/>
      <c r="FKV573" s="93"/>
      <c r="FKW573" s="93"/>
      <c r="FKX573" s="93"/>
      <c r="FKY573" s="93"/>
      <c r="FKZ573" s="93"/>
      <c r="FLA573" s="93"/>
      <c r="FLB573" s="93"/>
      <c r="FLC573" s="93"/>
      <c r="FLD573" s="93"/>
      <c r="FLE573" s="93"/>
      <c r="FLF573" s="93"/>
      <c r="FLG573" s="93"/>
      <c r="FLH573" s="93"/>
      <c r="FLI573" s="93"/>
      <c r="FLJ573" s="93"/>
      <c r="FLK573" s="93"/>
      <c r="FLL573" s="93"/>
      <c r="FLM573" s="93"/>
      <c r="FLN573" s="93"/>
      <c r="FLO573" s="93"/>
      <c r="FLP573" s="93"/>
      <c r="FLQ573" s="93"/>
      <c r="FLR573" s="93"/>
      <c r="FLS573" s="93"/>
      <c r="FLT573" s="93"/>
      <c r="FLU573" s="93"/>
      <c r="FLV573" s="93"/>
      <c r="FLW573" s="93"/>
      <c r="FLX573" s="93"/>
      <c r="FLY573" s="93"/>
      <c r="FLZ573" s="93"/>
      <c r="FMA573" s="93"/>
      <c r="FMB573" s="93"/>
      <c r="FMC573" s="93"/>
      <c r="FMD573" s="93"/>
      <c r="FME573" s="93"/>
      <c r="FMF573" s="93"/>
      <c r="FMG573" s="93"/>
      <c r="FMH573" s="93"/>
      <c r="FMI573" s="93"/>
      <c r="FMJ573" s="93"/>
      <c r="FMK573" s="93"/>
      <c r="FML573" s="93"/>
      <c r="FMM573" s="93"/>
      <c r="FMN573" s="93"/>
      <c r="FMO573" s="93"/>
      <c r="FMP573" s="93"/>
      <c r="FMQ573" s="93"/>
      <c r="FMR573" s="93"/>
      <c r="FMS573" s="93"/>
      <c r="FMT573" s="93"/>
      <c r="FMU573" s="93"/>
      <c r="FMV573" s="93"/>
      <c r="FMW573" s="93"/>
      <c r="FMX573" s="93"/>
      <c r="FMY573" s="93"/>
      <c r="FMZ573" s="93"/>
      <c r="FNA573" s="93"/>
      <c r="FNB573" s="93"/>
      <c r="FNC573" s="93"/>
      <c r="FND573" s="93"/>
      <c r="FNE573" s="93"/>
      <c r="FNF573" s="93"/>
      <c r="FNG573" s="93"/>
      <c r="FNH573" s="93"/>
      <c r="FNI573" s="93"/>
      <c r="FNJ573" s="93"/>
      <c r="FNK573" s="93"/>
      <c r="FNL573" s="93"/>
      <c r="FNM573" s="93"/>
      <c r="FNN573" s="93"/>
      <c r="FNO573" s="93"/>
      <c r="FNP573" s="93"/>
      <c r="FNQ573" s="93"/>
      <c r="FNR573" s="93"/>
      <c r="FNS573" s="93"/>
      <c r="FNT573" s="93"/>
      <c r="FNU573" s="93"/>
      <c r="FNV573" s="93"/>
      <c r="FNW573" s="93"/>
      <c r="FNX573" s="93"/>
      <c r="FNY573" s="93"/>
      <c r="FNZ573" s="93"/>
      <c r="FOA573" s="93"/>
      <c r="FOB573" s="93"/>
      <c r="FOC573" s="93"/>
      <c r="FOD573" s="93"/>
      <c r="FOE573" s="93"/>
      <c r="FOF573" s="93"/>
      <c r="FOG573" s="93"/>
      <c r="FOH573" s="93"/>
      <c r="FOI573" s="93"/>
      <c r="FOJ573" s="93"/>
      <c r="FOK573" s="93"/>
      <c r="FOL573" s="93"/>
      <c r="FOM573" s="93"/>
      <c r="FON573" s="93"/>
      <c r="FOO573" s="93"/>
      <c r="FOP573" s="93"/>
      <c r="FOQ573" s="93"/>
      <c r="FOR573" s="93"/>
      <c r="FOS573" s="93"/>
      <c r="FOT573" s="93"/>
      <c r="FOU573" s="93"/>
      <c r="FOV573" s="93"/>
      <c r="FOW573" s="93"/>
      <c r="FOX573" s="93"/>
      <c r="FOY573" s="93"/>
      <c r="FOZ573" s="93"/>
      <c r="FPA573" s="93"/>
      <c r="FPB573" s="93"/>
      <c r="FPC573" s="93"/>
      <c r="FPD573" s="93"/>
      <c r="FPE573" s="93"/>
      <c r="FPF573" s="93"/>
      <c r="FPG573" s="93"/>
      <c r="FPH573" s="93"/>
      <c r="FPI573" s="93"/>
      <c r="FPJ573" s="93"/>
      <c r="FPK573" s="93"/>
      <c r="FPL573" s="93"/>
      <c r="FPM573" s="93"/>
      <c r="FPN573" s="93"/>
      <c r="FPO573" s="93"/>
      <c r="FPP573" s="93"/>
      <c r="FPQ573" s="93"/>
      <c r="FPR573" s="93"/>
      <c r="FPS573" s="93"/>
      <c r="FPT573" s="93"/>
      <c r="FPU573" s="93"/>
      <c r="FPV573" s="93"/>
      <c r="FPW573" s="93"/>
      <c r="FPX573" s="93"/>
      <c r="FPY573" s="93"/>
      <c r="FPZ573" s="93"/>
      <c r="FQA573" s="93"/>
      <c r="FQB573" s="93"/>
      <c r="FQC573" s="93"/>
      <c r="FQD573" s="93"/>
      <c r="FQE573" s="93"/>
      <c r="FQF573" s="93"/>
      <c r="FQG573" s="93"/>
      <c r="FQH573" s="93"/>
      <c r="FQI573" s="93"/>
      <c r="FQJ573" s="93"/>
      <c r="FQK573" s="93"/>
      <c r="FQL573" s="93"/>
      <c r="FQM573" s="93"/>
      <c r="FQN573" s="93"/>
      <c r="FQO573" s="93"/>
      <c r="FQP573" s="93"/>
      <c r="FQQ573" s="93"/>
      <c r="FQR573" s="93"/>
      <c r="FQS573" s="93"/>
      <c r="FQT573" s="93"/>
      <c r="FQU573" s="93"/>
      <c r="FQV573" s="93"/>
      <c r="FQW573" s="93"/>
      <c r="FQX573" s="93"/>
      <c r="FQY573" s="93"/>
      <c r="FQZ573" s="93"/>
      <c r="FRA573" s="93"/>
      <c r="FRB573" s="93"/>
      <c r="FRC573" s="93"/>
      <c r="FRD573" s="93"/>
      <c r="FRE573" s="93"/>
      <c r="FRF573" s="93"/>
      <c r="FRG573" s="93"/>
      <c r="FRH573" s="93"/>
      <c r="FRI573" s="93"/>
      <c r="FRJ573" s="93"/>
      <c r="FRK573" s="93"/>
      <c r="FRL573" s="93"/>
      <c r="FRM573" s="93"/>
      <c r="FRN573" s="93"/>
      <c r="FRO573" s="93"/>
      <c r="FRP573" s="93"/>
      <c r="FRQ573" s="93"/>
      <c r="FRR573" s="93"/>
      <c r="FRS573" s="93"/>
      <c r="FRT573" s="93"/>
      <c r="FRU573" s="93"/>
      <c r="FRV573" s="93"/>
      <c r="FRW573" s="93"/>
      <c r="FRX573" s="93"/>
      <c r="FRY573" s="93"/>
      <c r="FRZ573" s="93"/>
      <c r="FSA573" s="93"/>
      <c r="FSB573" s="93"/>
      <c r="FSC573" s="93"/>
      <c r="FSD573" s="93"/>
      <c r="FSE573" s="93"/>
      <c r="FSF573" s="93"/>
      <c r="FSG573" s="93"/>
      <c r="FSH573" s="93"/>
      <c r="FSI573" s="93"/>
      <c r="FSJ573" s="93"/>
      <c r="FSK573" s="93"/>
      <c r="FSL573" s="93"/>
      <c r="FSM573" s="93"/>
      <c r="FSN573" s="93"/>
      <c r="FSO573" s="93"/>
      <c r="FSP573" s="93"/>
      <c r="FSQ573" s="93"/>
      <c r="FSR573" s="93"/>
      <c r="FSS573" s="93"/>
      <c r="FST573" s="93"/>
      <c r="FSU573" s="93"/>
      <c r="FSV573" s="93"/>
      <c r="FSW573" s="93"/>
      <c r="FSX573" s="93"/>
      <c r="FSY573" s="93"/>
      <c r="FSZ573" s="93"/>
      <c r="FTA573" s="93"/>
      <c r="FTB573" s="93"/>
      <c r="FTC573" s="93"/>
      <c r="FTD573" s="93"/>
      <c r="FTE573" s="93"/>
      <c r="FTF573" s="93"/>
      <c r="FTG573" s="93"/>
      <c r="FTH573" s="93"/>
      <c r="FTI573" s="93"/>
      <c r="FTJ573" s="93"/>
      <c r="FTK573" s="93"/>
      <c r="FTL573" s="93"/>
      <c r="FTM573" s="93"/>
      <c r="FTN573" s="93"/>
      <c r="FTO573" s="93"/>
      <c r="FTP573" s="93"/>
      <c r="FTQ573" s="93"/>
      <c r="FTR573" s="93"/>
      <c r="FTS573" s="93"/>
      <c r="FTT573" s="93"/>
      <c r="FTU573" s="93"/>
      <c r="FTV573" s="93"/>
      <c r="FTW573" s="93"/>
      <c r="FTX573" s="93"/>
      <c r="FTY573" s="93"/>
      <c r="FTZ573" s="93"/>
      <c r="FUA573" s="93"/>
      <c r="FUB573" s="93"/>
      <c r="FUC573" s="93"/>
      <c r="FUD573" s="93"/>
      <c r="FUE573" s="93"/>
      <c r="FUF573" s="93"/>
      <c r="FUG573" s="93"/>
      <c r="FUH573" s="93"/>
      <c r="FUI573" s="93"/>
      <c r="FUJ573" s="93"/>
      <c r="FUK573" s="93"/>
      <c r="FUL573" s="93"/>
      <c r="FUM573" s="93"/>
      <c r="FUN573" s="93"/>
      <c r="FUO573" s="93"/>
      <c r="FUP573" s="93"/>
      <c r="FUQ573" s="93"/>
      <c r="FUR573" s="93"/>
      <c r="FUS573" s="93"/>
      <c r="FUT573" s="93"/>
      <c r="FUU573" s="93"/>
      <c r="FUV573" s="93"/>
      <c r="FUW573" s="93"/>
      <c r="FUX573" s="93"/>
      <c r="FUY573" s="93"/>
      <c r="FUZ573" s="93"/>
      <c r="FVA573" s="93"/>
      <c r="FVB573" s="93"/>
      <c r="FVC573" s="93"/>
      <c r="FVD573" s="93"/>
      <c r="FVE573" s="93"/>
      <c r="FVF573" s="93"/>
      <c r="FVG573" s="93"/>
      <c r="FVH573" s="93"/>
      <c r="FVI573" s="93"/>
      <c r="FVJ573" s="93"/>
      <c r="FVK573" s="93"/>
      <c r="FVL573" s="93"/>
      <c r="FVM573" s="93"/>
      <c r="FVN573" s="93"/>
      <c r="FVO573" s="93"/>
      <c r="FVP573" s="93"/>
      <c r="FVQ573" s="93"/>
      <c r="FVR573" s="93"/>
      <c r="FVS573" s="93"/>
      <c r="FVT573" s="93"/>
      <c r="FVU573" s="93"/>
      <c r="FVV573" s="93"/>
      <c r="FVW573" s="93"/>
      <c r="FVX573" s="93"/>
      <c r="FVY573" s="93"/>
      <c r="FVZ573" s="93"/>
      <c r="FWA573" s="93"/>
      <c r="FWB573" s="93"/>
      <c r="FWC573" s="93"/>
      <c r="FWD573" s="93"/>
      <c r="FWE573" s="93"/>
      <c r="FWF573" s="93"/>
      <c r="FWG573" s="93"/>
      <c r="FWH573" s="93"/>
      <c r="FWI573" s="93"/>
      <c r="FWJ573" s="93"/>
      <c r="FWK573" s="93"/>
      <c r="FWL573" s="93"/>
      <c r="FWM573" s="93"/>
      <c r="FWN573" s="93"/>
      <c r="FWO573" s="93"/>
      <c r="FWP573" s="93"/>
      <c r="FWQ573" s="93"/>
      <c r="FWR573" s="93"/>
      <c r="FWS573" s="93"/>
      <c r="FWT573" s="93"/>
      <c r="FWU573" s="93"/>
      <c r="FWV573" s="93"/>
      <c r="FWW573" s="93"/>
      <c r="FWX573" s="93"/>
      <c r="FWY573" s="93"/>
      <c r="FWZ573" s="93"/>
      <c r="FXA573" s="93"/>
      <c r="FXB573" s="93"/>
      <c r="FXC573" s="93"/>
      <c r="FXD573" s="93"/>
      <c r="FXE573" s="93"/>
      <c r="FXF573" s="93"/>
      <c r="FXG573" s="93"/>
      <c r="FXH573" s="93"/>
      <c r="FXI573" s="93"/>
      <c r="FXJ573" s="93"/>
      <c r="FXK573" s="93"/>
      <c r="FXL573" s="93"/>
      <c r="FXM573" s="93"/>
      <c r="FXN573" s="93"/>
      <c r="FXO573" s="93"/>
      <c r="FXP573" s="93"/>
      <c r="FXQ573" s="93"/>
      <c r="FXR573" s="93"/>
      <c r="FXS573" s="93"/>
      <c r="FXT573" s="93"/>
      <c r="FXU573" s="93"/>
      <c r="FXV573" s="93"/>
      <c r="FXW573" s="93"/>
      <c r="FXX573" s="93"/>
      <c r="FXY573" s="93"/>
      <c r="FXZ573" s="93"/>
      <c r="FYA573" s="93"/>
      <c r="FYB573" s="93"/>
      <c r="FYC573" s="93"/>
      <c r="FYD573" s="93"/>
      <c r="FYE573" s="93"/>
      <c r="FYF573" s="93"/>
      <c r="FYG573" s="93"/>
      <c r="FYH573" s="93"/>
      <c r="FYI573" s="93"/>
      <c r="FYJ573" s="93"/>
      <c r="FYK573" s="93"/>
      <c r="FYL573" s="93"/>
      <c r="FYM573" s="93"/>
      <c r="FYN573" s="93"/>
      <c r="FYO573" s="93"/>
      <c r="FYP573" s="93"/>
      <c r="FYQ573" s="93"/>
      <c r="FYR573" s="93"/>
      <c r="FYS573" s="93"/>
      <c r="FYT573" s="93"/>
      <c r="FYU573" s="93"/>
      <c r="FYV573" s="93"/>
      <c r="FYW573" s="93"/>
      <c r="FYX573" s="93"/>
      <c r="FYY573" s="93"/>
      <c r="FYZ573" s="93"/>
      <c r="FZA573" s="93"/>
      <c r="FZB573" s="93"/>
      <c r="FZC573" s="93"/>
      <c r="FZD573" s="93"/>
      <c r="FZE573" s="93"/>
      <c r="FZF573" s="93"/>
      <c r="FZG573" s="93"/>
      <c r="FZH573" s="93"/>
      <c r="FZI573" s="93"/>
      <c r="FZJ573" s="93"/>
      <c r="FZK573" s="93"/>
      <c r="FZL573" s="93"/>
      <c r="FZM573" s="93"/>
      <c r="FZN573" s="93"/>
      <c r="FZO573" s="93"/>
      <c r="FZP573" s="93"/>
      <c r="FZQ573" s="93"/>
      <c r="FZR573" s="93"/>
      <c r="FZS573" s="93"/>
      <c r="FZT573" s="93"/>
      <c r="FZU573" s="93"/>
      <c r="FZV573" s="93"/>
      <c r="FZW573" s="93"/>
      <c r="FZX573" s="93"/>
      <c r="FZY573" s="93"/>
      <c r="FZZ573" s="93"/>
      <c r="GAA573" s="93"/>
      <c r="GAB573" s="93"/>
      <c r="GAC573" s="93"/>
      <c r="GAD573" s="93"/>
    </row>
    <row r="574" spans="1:4762" s="81" customFormat="1" ht="25.15" customHeight="1" outlineLevel="1" x14ac:dyDescent="0.25">
      <c r="A574" s="9" t="s">
        <v>202</v>
      </c>
      <c r="B574" s="80"/>
      <c r="C574" s="80"/>
      <c r="D574" s="89" t="s">
        <v>1758</v>
      </c>
      <c r="E574" s="80" t="s">
        <v>33</v>
      </c>
      <c r="F574" s="80" t="s">
        <v>34</v>
      </c>
      <c r="G574" s="80" t="s">
        <v>455</v>
      </c>
      <c r="H574" s="80" t="s">
        <v>3312</v>
      </c>
      <c r="I574" s="80" t="s">
        <v>7</v>
      </c>
      <c r="J574" s="80"/>
      <c r="K574" s="80" t="s">
        <v>30</v>
      </c>
      <c r="L574" s="80"/>
      <c r="M574" s="80" t="s">
        <v>2625</v>
      </c>
      <c r="N574" s="83" t="s">
        <v>31</v>
      </c>
      <c r="O574" s="37">
        <v>4222</v>
      </c>
      <c r="P574" s="37">
        <v>2154</v>
      </c>
      <c r="Q574" s="37">
        <v>2050</v>
      </c>
      <c r="R574" s="37"/>
      <c r="S574" s="37">
        <v>3202</v>
      </c>
      <c r="T574" s="37">
        <v>2300</v>
      </c>
      <c r="U574" s="37">
        <v>7074</v>
      </c>
      <c r="V574" s="37">
        <v>1060</v>
      </c>
      <c r="W574" s="37">
        <v>4100</v>
      </c>
      <c r="X574" s="37">
        <v>1917</v>
      </c>
      <c r="Y574" s="37"/>
      <c r="Z574" s="37">
        <v>8</v>
      </c>
      <c r="AA574" s="37" t="s">
        <v>2640</v>
      </c>
      <c r="AB574" s="37">
        <v>7200</v>
      </c>
      <c r="AC574" s="37">
        <v>3495</v>
      </c>
      <c r="AD574" s="37"/>
      <c r="AE574" s="37"/>
      <c r="AF574" s="37"/>
      <c r="AG574" s="37"/>
      <c r="AH574" s="37">
        <v>18.600000000000001</v>
      </c>
      <c r="AI574" s="37" t="s">
        <v>2866</v>
      </c>
      <c r="AJ574" s="37" t="s">
        <v>2881</v>
      </c>
      <c r="AK574" s="37" t="s">
        <v>2713</v>
      </c>
      <c r="AL574" s="37" t="s">
        <v>2661</v>
      </c>
      <c r="AM574" s="37" t="s">
        <v>2951</v>
      </c>
      <c r="AN574" s="37" t="s">
        <v>2912</v>
      </c>
      <c r="AO574" s="37" t="s">
        <v>3117</v>
      </c>
      <c r="AP574" s="37" t="s">
        <v>3090</v>
      </c>
      <c r="AQ574" s="80"/>
      <c r="AR574" s="80"/>
      <c r="AS574" s="37" t="s">
        <v>2585</v>
      </c>
      <c r="AT574" s="37" t="s">
        <v>2581</v>
      </c>
      <c r="AU574" s="84" t="s">
        <v>3276</v>
      </c>
      <c r="AV574" s="199" t="s">
        <v>3188</v>
      </c>
      <c r="AW574" s="84" t="s">
        <v>3180</v>
      </c>
      <c r="AX574" s="80"/>
      <c r="AY574" s="80"/>
      <c r="AZ574" s="80"/>
      <c r="BA574" s="80"/>
      <c r="BB574" s="80"/>
      <c r="BC574" s="80"/>
      <c r="BD574" s="80"/>
      <c r="BE574" s="80"/>
      <c r="BF574" s="80"/>
      <c r="BG574" s="80"/>
      <c r="BH574" s="80"/>
      <c r="BI574" s="80"/>
      <c r="BJ574" s="80"/>
      <c r="BK574" s="80"/>
      <c r="BL574" s="80"/>
      <c r="BM574" s="80"/>
      <c r="BN574" s="80"/>
      <c r="BO574" s="80"/>
      <c r="BP574" s="80"/>
      <c r="BQ574" s="80"/>
      <c r="BR574" s="80"/>
      <c r="BS574" s="80"/>
      <c r="BT574" s="80"/>
    </row>
    <row r="575" spans="1:4762" s="81" customFormat="1" ht="25.15" customHeight="1" outlineLevel="1" x14ac:dyDescent="0.25">
      <c r="A575" s="9" t="s">
        <v>202</v>
      </c>
      <c r="B575" s="80"/>
      <c r="C575" s="80"/>
      <c r="D575" s="89" t="s">
        <v>1758</v>
      </c>
      <c r="E575" s="80" t="s">
        <v>33</v>
      </c>
      <c r="F575" s="80" t="s">
        <v>34</v>
      </c>
      <c r="G575" s="80" t="s">
        <v>455</v>
      </c>
      <c r="H575" s="80" t="s">
        <v>3312</v>
      </c>
      <c r="I575" s="80" t="s">
        <v>7</v>
      </c>
      <c r="J575" s="80"/>
      <c r="K575" s="80" t="s">
        <v>30</v>
      </c>
      <c r="L575" s="80"/>
      <c r="M575" s="80" t="s">
        <v>2626</v>
      </c>
      <c r="N575" s="83" t="s">
        <v>31</v>
      </c>
      <c r="O575" s="37">
        <v>4246</v>
      </c>
      <c r="P575" s="37">
        <v>2154</v>
      </c>
      <c r="Q575" s="37">
        <v>2050</v>
      </c>
      <c r="R575" s="37"/>
      <c r="S575" s="37">
        <v>3250</v>
      </c>
      <c r="T575" s="37">
        <v>2300</v>
      </c>
      <c r="U575" s="37">
        <v>7175</v>
      </c>
      <c r="V575" s="37">
        <v>1090</v>
      </c>
      <c r="W575" s="37">
        <v>4100</v>
      </c>
      <c r="X575" s="37">
        <v>2018</v>
      </c>
      <c r="Y575" s="37"/>
      <c r="Z575" s="37">
        <v>8</v>
      </c>
      <c r="AA575" s="37" t="s">
        <v>2638</v>
      </c>
      <c r="AB575" s="37">
        <v>7200</v>
      </c>
      <c r="AC575" s="37">
        <v>3420</v>
      </c>
      <c r="AD575" s="37"/>
      <c r="AE575" s="37"/>
      <c r="AF575" s="37"/>
      <c r="AG575" s="37"/>
      <c r="AH575" s="37">
        <v>18.600000000000001</v>
      </c>
      <c r="AI575" s="37" t="s">
        <v>2866</v>
      </c>
      <c r="AJ575" s="37" t="s">
        <v>2881</v>
      </c>
      <c r="AK575" s="37" t="s">
        <v>2713</v>
      </c>
      <c r="AL575" s="37" t="s">
        <v>2661</v>
      </c>
      <c r="AM575" s="37" t="s">
        <v>2951</v>
      </c>
      <c r="AN575" s="37" t="s">
        <v>2912</v>
      </c>
      <c r="AO575" s="37" t="s">
        <v>3115</v>
      </c>
      <c r="AP575" s="37" t="s">
        <v>3090</v>
      </c>
      <c r="AQ575" s="80"/>
      <c r="AR575" s="80"/>
      <c r="AS575" s="37" t="s">
        <v>2588</v>
      </c>
      <c r="AT575" s="37" t="s">
        <v>2581</v>
      </c>
      <c r="AU575" s="84" t="s">
        <v>3277</v>
      </c>
      <c r="AV575" s="199" t="s">
        <v>3188</v>
      </c>
      <c r="AW575" s="84" t="s">
        <v>3180</v>
      </c>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row>
    <row r="576" spans="1:4762" s="81" customFormat="1" ht="25.15" customHeight="1" outlineLevel="1" x14ac:dyDescent="0.25">
      <c r="A576" s="9" t="s">
        <v>202</v>
      </c>
      <c r="B576" s="80"/>
      <c r="C576" s="80"/>
      <c r="D576" s="89" t="s">
        <v>1758</v>
      </c>
      <c r="E576" s="80" t="s">
        <v>33</v>
      </c>
      <c r="F576" s="80" t="s">
        <v>37</v>
      </c>
      <c r="G576" s="80" t="s">
        <v>4360</v>
      </c>
      <c r="H576" s="80" t="s">
        <v>3312</v>
      </c>
      <c r="I576" s="80" t="s">
        <v>7</v>
      </c>
      <c r="J576" s="80"/>
      <c r="K576" s="80" t="s">
        <v>30</v>
      </c>
      <c r="L576" s="80"/>
      <c r="M576" s="80" t="s">
        <v>530</v>
      </c>
      <c r="N576" s="83" t="s">
        <v>31</v>
      </c>
      <c r="O576" s="37">
        <v>6820</v>
      </c>
      <c r="P576" s="37">
        <v>2490</v>
      </c>
      <c r="Q576" s="37">
        <v>2100</v>
      </c>
      <c r="R576" s="37"/>
      <c r="S576" s="37">
        <v>3346</v>
      </c>
      <c r="T576" s="37">
        <v>2600</v>
      </c>
      <c r="U576" s="37">
        <v>9092</v>
      </c>
      <c r="V576" s="37">
        <v>1140</v>
      </c>
      <c r="W576" s="37">
        <v>5175</v>
      </c>
      <c r="X576" s="37">
        <v>2555</v>
      </c>
      <c r="Y576" s="37"/>
      <c r="Z576" s="37">
        <v>15</v>
      </c>
      <c r="AA576" s="37" t="s">
        <v>2648</v>
      </c>
      <c r="AB576" s="37">
        <v>16000</v>
      </c>
      <c r="AC576" s="37">
        <v>8415</v>
      </c>
      <c r="AD576" s="37"/>
      <c r="AE576" s="37"/>
      <c r="AF576" s="37"/>
      <c r="AG576" s="37"/>
      <c r="AH576" s="37">
        <v>35.6</v>
      </c>
      <c r="AI576" s="37" t="s">
        <v>2876</v>
      </c>
      <c r="AJ576" s="37" t="s">
        <v>2873</v>
      </c>
      <c r="AK576" s="37" t="s">
        <v>2720</v>
      </c>
      <c r="AL576" s="37" t="s">
        <v>2730</v>
      </c>
      <c r="AM576" s="37" t="s">
        <v>2947</v>
      </c>
      <c r="AN576" s="37" t="s">
        <v>2915</v>
      </c>
      <c r="AO576" s="37" t="s">
        <v>3144</v>
      </c>
      <c r="AP576" s="37" t="s">
        <v>3114</v>
      </c>
      <c r="AQ576" s="80"/>
      <c r="AR576" s="80"/>
      <c r="AS576" s="37" t="s">
        <v>2590</v>
      </c>
      <c r="AT576" s="37" t="s">
        <v>2581</v>
      </c>
      <c r="AU576" s="84" t="s">
        <v>3278</v>
      </c>
      <c r="AV576" s="199" t="s">
        <v>3188</v>
      </c>
      <c r="AW576" s="84" t="s">
        <v>3180</v>
      </c>
      <c r="AX576" s="80"/>
      <c r="AY576" s="80"/>
      <c r="AZ576" s="80"/>
      <c r="BA576" s="80"/>
      <c r="BB576" s="80"/>
      <c r="BC576" s="80"/>
      <c r="BD576" s="80"/>
      <c r="BE576" s="80"/>
      <c r="BF576" s="80"/>
      <c r="BG576" s="80"/>
      <c r="BH576" s="80"/>
      <c r="BI576" s="80"/>
      <c r="BJ576" s="80"/>
      <c r="BK576" s="80"/>
      <c r="BL576" s="80"/>
      <c r="BM576" s="80"/>
      <c r="BN576" s="80"/>
      <c r="BO576" s="80"/>
      <c r="BP576" s="80"/>
      <c r="BQ576" s="80"/>
      <c r="BR576" s="80"/>
      <c r="BS576" s="80"/>
      <c r="BT576" s="80"/>
    </row>
    <row r="577" spans="1:72" s="81" customFormat="1" ht="25.15" customHeight="1" outlineLevel="1" x14ac:dyDescent="0.25">
      <c r="A577" s="9" t="s">
        <v>202</v>
      </c>
      <c r="B577" s="80"/>
      <c r="C577" s="80"/>
      <c r="D577" s="89" t="s">
        <v>1758</v>
      </c>
      <c r="E577" s="80" t="s">
        <v>33</v>
      </c>
      <c r="F577" s="80" t="s">
        <v>37</v>
      </c>
      <c r="G577" s="80" t="s">
        <v>42</v>
      </c>
      <c r="H577" s="80" t="s">
        <v>3312</v>
      </c>
      <c r="I577" s="80" t="s">
        <v>7</v>
      </c>
      <c r="J577" s="80"/>
      <c r="K577" s="80" t="s">
        <v>30</v>
      </c>
      <c r="L577" s="80"/>
      <c r="M577" s="80" t="s">
        <v>531</v>
      </c>
      <c r="N577" s="83" t="s">
        <v>31</v>
      </c>
      <c r="O577" s="37">
        <v>8020</v>
      </c>
      <c r="P577" s="37">
        <v>2490</v>
      </c>
      <c r="Q577" s="37">
        <v>2100</v>
      </c>
      <c r="R577" s="37"/>
      <c r="S577" s="37">
        <v>3346</v>
      </c>
      <c r="T577" s="37">
        <v>2600</v>
      </c>
      <c r="U577" s="37">
        <v>10292</v>
      </c>
      <c r="V577" s="37">
        <v>1140</v>
      </c>
      <c r="W577" s="37">
        <v>5670</v>
      </c>
      <c r="X577" s="37">
        <v>3260</v>
      </c>
      <c r="Y577" s="37"/>
      <c r="Z577" s="37">
        <v>18</v>
      </c>
      <c r="AA577" s="37" t="s">
        <v>2649</v>
      </c>
      <c r="AB577" s="37">
        <v>16000</v>
      </c>
      <c r="AC577" s="37">
        <v>8035</v>
      </c>
      <c r="AD577" s="37"/>
      <c r="AE577" s="37"/>
      <c r="AF577" s="37"/>
      <c r="AG577" s="37"/>
      <c r="AH577" s="37">
        <v>41.9</v>
      </c>
      <c r="AI577" s="37" t="s">
        <v>2876</v>
      </c>
      <c r="AJ577" s="37" t="s">
        <v>2873</v>
      </c>
      <c r="AK577" s="37" t="s">
        <v>2720</v>
      </c>
      <c r="AL577" s="37" t="s">
        <v>2730</v>
      </c>
      <c r="AM577" s="37" t="s">
        <v>2947</v>
      </c>
      <c r="AN577" s="37" t="s">
        <v>2915</v>
      </c>
      <c r="AO577" s="37" t="s">
        <v>3144</v>
      </c>
      <c r="AP577" s="37" t="s">
        <v>3114</v>
      </c>
      <c r="AQ577" s="80"/>
      <c r="AR577" s="80"/>
      <c r="AS577" s="37" t="s">
        <v>2590</v>
      </c>
      <c r="AT577" s="37" t="s">
        <v>2581</v>
      </c>
      <c r="AU577" s="84" t="s">
        <v>3279</v>
      </c>
      <c r="AV577" s="199" t="s">
        <v>3188</v>
      </c>
      <c r="AW577" s="84" t="s">
        <v>3180</v>
      </c>
      <c r="AX577" s="80"/>
      <c r="AY577" s="80"/>
      <c r="AZ577" s="80"/>
      <c r="BA577" s="80"/>
      <c r="BB577" s="80"/>
      <c r="BC577" s="80"/>
      <c r="BD577" s="80"/>
      <c r="BE577" s="80"/>
      <c r="BF577" s="80"/>
      <c r="BG577" s="80"/>
      <c r="BH577" s="80"/>
      <c r="BI577" s="80"/>
      <c r="BJ577" s="80"/>
      <c r="BK577" s="80"/>
      <c r="BL577" s="80"/>
      <c r="BM577" s="80"/>
      <c r="BN577" s="80"/>
      <c r="BO577" s="80"/>
      <c r="BP577" s="80"/>
      <c r="BQ577" s="80"/>
      <c r="BR577" s="80"/>
      <c r="BS577" s="80"/>
      <c r="BT577" s="80"/>
    </row>
    <row r="578" spans="1:72" s="81" customFormat="1" ht="25.15" customHeight="1" outlineLevel="1" x14ac:dyDescent="0.25">
      <c r="A578" s="9" t="s">
        <v>202</v>
      </c>
      <c r="B578" s="80"/>
      <c r="C578" s="80"/>
      <c r="D578" s="89" t="s">
        <v>1758</v>
      </c>
      <c r="E578" s="80" t="s">
        <v>33</v>
      </c>
      <c r="F578" s="80" t="s">
        <v>37</v>
      </c>
      <c r="G578" s="80" t="s">
        <v>42</v>
      </c>
      <c r="H578" s="80" t="s">
        <v>3312</v>
      </c>
      <c r="I578" s="80" t="s">
        <v>7</v>
      </c>
      <c r="J578" s="80"/>
      <c r="K578" s="80" t="s">
        <v>30</v>
      </c>
      <c r="L578" s="80"/>
      <c r="M578" s="80" t="s">
        <v>532</v>
      </c>
      <c r="N578" s="83" t="s">
        <v>31</v>
      </c>
      <c r="O578" s="37">
        <v>8020</v>
      </c>
      <c r="P578" s="37">
        <v>2490</v>
      </c>
      <c r="Q578" s="37">
        <v>2100</v>
      </c>
      <c r="R578" s="37"/>
      <c r="S578" s="37">
        <v>3531</v>
      </c>
      <c r="T578" s="37">
        <v>2600</v>
      </c>
      <c r="U578" s="37">
        <v>10230</v>
      </c>
      <c r="V578" s="37">
        <v>1280</v>
      </c>
      <c r="W578" s="37">
        <v>5670</v>
      </c>
      <c r="X578" s="37">
        <v>3218</v>
      </c>
      <c r="Y578" s="37"/>
      <c r="Z578" s="37">
        <v>18</v>
      </c>
      <c r="AA578" s="37" t="s">
        <v>2650</v>
      </c>
      <c r="AB578" s="37">
        <v>19000</v>
      </c>
      <c r="AC578" s="37">
        <v>10315</v>
      </c>
      <c r="AD578" s="37"/>
      <c r="AE578" s="37"/>
      <c r="AF578" s="37"/>
      <c r="AG578" s="37"/>
      <c r="AH578" s="37">
        <v>41.9</v>
      </c>
      <c r="AI578" s="37" t="s">
        <v>2876</v>
      </c>
      <c r="AJ578" s="37" t="s">
        <v>2873</v>
      </c>
      <c r="AK578" s="37" t="s">
        <v>2721</v>
      </c>
      <c r="AL578" s="37" t="s">
        <v>2722</v>
      </c>
      <c r="AM578" s="37" t="s">
        <v>2948</v>
      </c>
      <c r="AN578" s="37" t="s">
        <v>2915</v>
      </c>
      <c r="AO578" s="37" t="s">
        <v>3144</v>
      </c>
      <c r="AP578" s="37" t="s">
        <v>3114</v>
      </c>
      <c r="AQ578" s="80"/>
      <c r="AR578" s="80"/>
      <c r="AS578" s="37" t="s">
        <v>2590</v>
      </c>
      <c r="AT578" s="37" t="s">
        <v>2581</v>
      </c>
      <c r="AU578" s="84" t="s">
        <v>3280</v>
      </c>
      <c r="AV578" s="199" t="s">
        <v>3188</v>
      </c>
      <c r="AW578" s="84" t="s">
        <v>3180</v>
      </c>
      <c r="AX578" s="80"/>
      <c r="AY578" s="80"/>
      <c r="AZ578" s="80"/>
      <c r="BA578" s="80"/>
      <c r="BB578" s="80"/>
      <c r="BC578" s="80"/>
      <c r="BD578" s="80"/>
      <c r="BE578" s="80"/>
      <c r="BF578" s="80"/>
      <c r="BG578" s="80"/>
      <c r="BH578" s="80"/>
      <c r="BI578" s="80"/>
      <c r="BJ578" s="80"/>
      <c r="BK578" s="80"/>
      <c r="BL578" s="80"/>
      <c r="BM578" s="80"/>
      <c r="BN578" s="80"/>
      <c r="BO578" s="80"/>
      <c r="BP578" s="80"/>
      <c r="BQ578" s="80"/>
      <c r="BR578" s="80"/>
      <c r="BS578" s="80"/>
      <c r="BT578" s="80"/>
    </row>
    <row r="579" spans="1:72" s="81" customFormat="1" ht="25.15" customHeight="1" outlineLevel="1" x14ac:dyDescent="0.25">
      <c r="A579" s="9" t="s">
        <v>202</v>
      </c>
      <c r="B579" s="80"/>
      <c r="C579" s="80"/>
      <c r="D579" s="89" t="s">
        <v>1758</v>
      </c>
      <c r="E579" s="80" t="s">
        <v>33</v>
      </c>
      <c r="F579" s="80" t="s">
        <v>37</v>
      </c>
      <c r="G579" s="80" t="s">
        <v>43</v>
      </c>
      <c r="H579" s="80" t="s">
        <v>3312</v>
      </c>
      <c r="I579" s="80" t="s">
        <v>7</v>
      </c>
      <c r="J579" s="80"/>
      <c r="K579" s="80" t="s">
        <v>30</v>
      </c>
      <c r="L579" s="80"/>
      <c r="M579" s="80" t="s">
        <v>533</v>
      </c>
      <c r="N579" s="83" t="s">
        <v>31</v>
      </c>
      <c r="O579" s="37">
        <v>9220</v>
      </c>
      <c r="P579" s="37">
        <v>2490</v>
      </c>
      <c r="Q579" s="37">
        <v>2100</v>
      </c>
      <c r="R579" s="37"/>
      <c r="S579" s="37">
        <v>3531</v>
      </c>
      <c r="T579" s="37">
        <v>2600</v>
      </c>
      <c r="U579" s="37">
        <v>11430</v>
      </c>
      <c r="V579" s="37">
        <v>1280</v>
      </c>
      <c r="W579" s="37">
        <v>6570</v>
      </c>
      <c r="X579" s="37">
        <v>3498</v>
      </c>
      <c r="Y579" s="37"/>
      <c r="Z579" s="37">
        <v>21</v>
      </c>
      <c r="AA579" s="37" t="s">
        <v>2651</v>
      </c>
      <c r="AB579" s="37">
        <v>19000</v>
      </c>
      <c r="AC579" s="37">
        <v>9830</v>
      </c>
      <c r="AD579" s="37"/>
      <c r="AE579" s="37"/>
      <c r="AF579" s="37"/>
      <c r="AG579" s="37"/>
      <c r="AH579" s="37">
        <v>48.2</v>
      </c>
      <c r="AI579" s="37" t="s">
        <v>2876</v>
      </c>
      <c r="AJ579" s="37" t="s">
        <v>2873</v>
      </c>
      <c r="AK579" s="37" t="s">
        <v>2721</v>
      </c>
      <c r="AL579" s="37" t="s">
        <v>2722</v>
      </c>
      <c r="AM579" s="37" t="s">
        <v>2948</v>
      </c>
      <c r="AN579" s="37" t="s">
        <v>2915</v>
      </c>
      <c r="AO579" s="37" t="s">
        <v>3143</v>
      </c>
      <c r="AP579" s="37" t="s">
        <v>3114</v>
      </c>
      <c r="AQ579" s="80"/>
      <c r="AR579" s="80"/>
      <c r="AS579" s="37" t="s">
        <v>2590</v>
      </c>
      <c r="AT579" s="37" t="s">
        <v>2581</v>
      </c>
      <c r="AU579" s="84" t="s">
        <v>3281</v>
      </c>
      <c r="AV579" s="199" t="s">
        <v>3188</v>
      </c>
      <c r="AW579" s="84" t="s">
        <v>3180</v>
      </c>
      <c r="AX579" s="80"/>
      <c r="AY579" s="80"/>
      <c r="AZ579" s="80"/>
      <c r="BA579" s="80"/>
      <c r="BB579" s="80"/>
      <c r="BC579" s="80"/>
      <c r="BD579" s="80"/>
      <c r="BE579" s="80"/>
      <c r="BF579" s="80"/>
      <c r="BG579" s="80"/>
      <c r="BH579" s="80"/>
      <c r="BI579" s="80"/>
      <c r="BJ579" s="80"/>
      <c r="BK579" s="80"/>
      <c r="BL579" s="80"/>
      <c r="BM579" s="80"/>
      <c r="BN579" s="80"/>
      <c r="BO579" s="80"/>
      <c r="BP579" s="80"/>
      <c r="BQ579" s="80"/>
      <c r="BR579" s="80"/>
      <c r="BS579" s="80"/>
      <c r="BT579" s="80"/>
    </row>
    <row r="580" spans="1:72" s="81" customFormat="1" ht="25.15" customHeight="1" outlineLevel="1" x14ac:dyDescent="0.25">
      <c r="A580" s="9" t="s">
        <v>202</v>
      </c>
      <c r="B580" s="80"/>
      <c r="C580" s="80"/>
      <c r="D580" s="89" t="s">
        <v>1758</v>
      </c>
      <c r="E580" s="80" t="s">
        <v>469</v>
      </c>
      <c r="F580" s="80" t="s">
        <v>50</v>
      </c>
      <c r="G580" s="80" t="s">
        <v>4360</v>
      </c>
      <c r="H580" s="80" t="s">
        <v>3312</v>
      </c>
      <c r="I580" s="80" t="s">
        <v>7</v>
      </c>
      <c r="J580" s="80"/>
      <c r="K580" s="80" t="s">
        <v>30</v>
      </c>
      <c r="L580" s="80"/>
      <c r="M580" s="80" t="s">
        <v>534</v>
      </c>
      <c r="N580" s="83" t="s">
        <v>31</v>
      </c>
      <c r="O580" s="37">
        <v>6820</v>
      </c>
      <c r="P580" s="37">
        <v>2490</v>
      </c>
      <c r="Q580" s="37">
        <v>2100</v>
      </c>
      <c r="R580" s="37"/>
      <c r="S580" s="37">
        <v>3416</v>
      </c>
      <c r="T580" s="37">
        <v>2600</v>
      </c>
      <c r="U580" s="37">
        <v>9055</v>
      </c>
      <c r="V580" s="37">
        <v>1210</v>
      </c>
      <c r="W580" s="37">
        <v>5000</v>
      </c>
      <c r="X580" s="37">
        <v>2730</v>
      </c>
      <c r="Y580" s="37"/>
      <c r="Z580" s="37">
        <v>15</v>
      </c>
      <c r="AA580" s="37" t="s">
        <v>2652</v>
      </c>
      <c r="AB580" s="37">
        <v>16000</v>
      </c>
      <c r="AC580" s="37">
        <v>8425</v>
      </c>
      <c r="AD580" s="37"/>
      <c r="AE580" s="37"/>
      <c r="AF580" s="37"/>
      <c r="AG580" s="37"/>
      <c r="AH580" s="37">
        <v>35.6</v>
      </c>
      <c r="AI580" s="37" t="s">
        <v>2871</v>
      </c>
      <c r="AJ580" s="37" t="s">
        <v>2869</v>
      </c>
      <c r="AK580" s="37" t="s">
        <v>2724</v>
      </c>
      <c r="AL580" s="37" t="s">
        <v>2726</v>
      </c>
      <c r="AM580" s="37" t="s">
        <v>2944</v>
      </c>
      <c r="AN580" s="37" t="s">
        <v>2914</v>
      </c>
      <c r="AO580" s="37" t="s">
        <v>3144</v>
      </c>
      <c r="AP580" s="37" t="s">
        <v>3114</v>
      </c>
      <c r="AQ580" s="80"/>
      <c r="AR580" s="80"/>
      <c r="AS580" s="37" t="s">
        <v>2590</v>
      </c>
      <c r="AT580" s="37" t="s">
        <v>2581</v>
      </c>
      <c r="AU580" s="84" t="s">
        <v>3282</v>
      </c>
      <c r="AV580" s="199" t="s">
        <v>3188</v>
      </c>
      <c r="AW580" s="84" t="s">
        <v>3180</v>
      </c>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row>
    <row r="581" spans="1:72" s="81" customFormat="1" ht="25.15" customHeight="1" outlineLevel="1" x14ac:dyDescent="0.25">
      <c r="A581" s="9" t="s">
        <v>202</v>
      </c>
      <c r="B581" s="80"/>
      <c r="C581" s="80"/>
      <c r="D581" s="89" t="s">
        <v>1758</v>
      </c>
      <c r="E581" s="80" t="s">
        <v>469</v>
      </c>
      <c r="F581" s="80" t="s">
        <v>50</v>
      </c>
      <c r="G581" s="80" t="s">
        <v>42</v>
      </c>
      <c r="H581" s="80" t="s">
        <v>3312</v>
      </c>
      <c r="I581" s="80" t="s">
        <v>7</v>
      </c>
      <c r="J581" s="80"/>
      <c r="K581" s="80" t="s">
        <v>30</v>
      </c>
      <c r="L581" s="80"/>
      <c r="M581" s="80" t="s">
        <v>535</v>
      </c>
      <c r="N581" s="83" t="s">
        <v>31</v>
      </c>
      <c r="O581" s="37">
        <v>8020</v>
      </c>
      <c r="P581" s="37">
        <v>2490</v>
      </c>
      <c r="Q581" s="37">
        <v>2100</v>
      </c>
      <c r="R581" s="37"/>
      <c r="S581" s="37">
        <v>3416</v>
      </c>
      <c r="T581" s="37">
        <v>2600</v>
      </c>
      <c r="U581" s="37">
        <v>10255</v>
      </c>
      <c r="V581" s="37">
        <v>1210</v>
      </c>
      <c r="W581" s="37">
        <v>5900</v>
      </c>
      <c r="X581" s="37">
        <v>3030</v>
      </c>
      <c r="Y581" s="37"/>
      <c r="Z581" s="37">
        <v>18</v>
      </c>
      <c r="AA581" s="37" t="s">
        <v>2653</v>
      </c>
      <c r="AB581" s="37">
        <v>16000</v>
      </c>
      <c r="AC581" s="37">
        <v>8060</v>
      </c>
      <c r="AD581" s="37"/>
      <c r="AE581" s="37"/>
      <c r="AF581" s="37"/>
      <c r="AG581" s="37"/>
      <c r="AH581" s="37">
        <v>41.9</v>
      </c>
      <c r="AI581" s="37" t="s">
        <v>2871</v>
      </c>
      <c r="AJ581" s="37" t="s">
        <v>2869</v>
      </c>
      <c r="AK581" s="37" t="s">
        <v>2724</v>
      </c>
      <c r="AL581" s="37" t="s">
        <v>2726</v>
      </c>
      <c r="AM581" s="37" t="s">
        <v>2944</v>
      </c>
      <c r="AN581" s="37" t="s">
        <v>2914</v>
      </c>
      <c r="AO581" s="37" t="s">
        <v>3144</v>
      </c>
      <c r="AP581" s="37" t="s">
        <v>3114</v>
      </c>
      <c r="AQ581" s="80"/>
      <c r="AR581" s="80"/>
      <c r="AS581" s="37" t="s">
        <v>2590</v>
      </c>
      <c r="AT581" s="37" t="s">
        <v>2581</v>
      </c>
      <c r="AU581" s="84" t="s">
        <v>3283</v>
      </c>
      <c r="AV581" s="199" t="s">
        <v>3188</v>
      </c>
      <c r="AW581" s="84" t="s">
        <v>3180</v>
      </c>
      <c r="AX581" s="80"/>
      <c r="AY581" s="80"/>
      <c r="AZ581" s="80"/>
      <c r="BA581" s="80"/>
      <c r="BB581" s="80"/>
      <c r="BC581" s="80"/>
      <c r="BD581" s="80"/>
      <c r="BE581" s="80"/>
      <c r="BF581" s="80"/>
      <c r="BG581" s="80"/>
      <c r="BH581" s="80"/>
      <c r="BI581" s="80"/>
      <c r="BJ581" s="80"/>
      <c r="BK581" s="80"/>
      <c r="BL581" s="80"/>
      <c r="BM581" s="80"/>
      <c r="BN581" s="80"/>
      <c r="BO581" s="80"/>
      <c r="BP581" s="80"/>
      <c r="BQ581" s="80"/>
      <c r="BR581" s="80"/>
      <c r="BS581" s="80"/>
      <c r="BT581" s="80"/>
    </row>
    <row r="582" spans="1:72" s="81" customFormat="1" ht="25.15" customHeight="1" outlineLevel="1" x14ac:dyDescent="0.25">
      <c r="A582" s="9" t="s">
        <v>202</v>
      </c>
      <c r="B582" s="80"/>
      <c r="C582" s="80"/>
      <c r="D582" s="89" t="s">
        <v>1758</v>
      </c>
      <c r="E582" s="80" t="s">
        <v>469</v>
      </c>
      <c r="F582" s="80" t="s">
        <v>50</v>
      </c>
      <c r="G582" s="80" t="s">
        <v>42</v>
      </c>
      <c r="H582" s="80" t="s">
        <v>3312</v>
      </c>
      <c r="I582" s="80" t="s">
        <v>7</v>
      </c>
      <c r="J582" s="80"/>
      <c r="K582" s="80" t="s">
        <v>30</v>
      </c>
      <c r="L582" s="80"/>
      <c r="M582" s="80" t="s">
        <v>2623</v>
      </c>
      <c r="N582" s="83" t="s">
        <v>31</v>
      </c>
      <c r="O582" s="37">
        <v>8020</v>
      </c>
      <c r="P582" s="37">
        <v>2490</v>
      </c>
      <c r="Q582" s="37">
        <v>2100</v>
      </c>
      <c r="R582" s="37"/>
      <c r="S582" s="37">
        <v>3526</v>
      </c>
      <c r="T582" s="37">
        <v>2600</v>
      </c>
      <c r="U582" s="37">
        <v>10350</v>
      </c>
      <c r="V582" s="37">
        <v>1320</v>
      </c>
      <c r="W582" s="37">
        <v>5800</v>
      </c>
      <c r="X582" s="37">
        <v>3130</v>
      </c>
      <c r="Y582" s="37"/>
      <c r="Z582" s="37">
        <v>18</v>
      </c>
      <c r="AA582" s="37" t="s">
        <v>2654</v>
      </c>
      <c r="AB582" s="37">
        <v>19000</v>
      </c>
      <c r="AC582" s="37">
        <v>9765</v>
      </c>
      <c r="AD582" s="37"/>
      <c r="AE582" s="37"/>
      <c r="AF582" s="37"/>
      <c r="AG582" s="37"/>
      <c r="AH582" s="37">
        <v>41.9</v>
      </c>
      <c r="AI582" s="37" t="s">
        <v>2871</v>
      </c>
      <c r="AJ582" s="37" t="s">
        <v>2869</v>
      </c>
      <c r="AK582" s="37" t="s">
        <v>2725</v>
      </c>
      <c r="AL582" s="37" t="s">
        <v>2727</v>
      </c>
      <c r="AM582" s="37" t="s">
        <v>2945</v>
      </c>
      <c r="AN582" s="37" t="s">
        <v>2914</v>
      </c>
      <c r="AO582" s="37" t="s">
        <v>3144</v>
      </c>
      <c r="AP582" s="37" t="s">
        <v>3114</v>
      </c>
      <c r="AQ582" s="80"/>
      <c r="AR582" s="80"/>
      <c r="AS582" s="37" t="s">
        <v>2590</v>
      </c>
      <c r="AT582" s="37" t="s">
        <v>2581</v>
      </c>
      <c r="AU582" s="84" t="s">
        <v>3284</v>
      </c>
      <c r="AV582" s="199" t="s">
        <v>3188</v>
      </c>
      <c r="AW582" s="84" t="s">
        <v>3180</v>
      </c>
      <c r="AX582" s="80"/>
      <c r="AY582" s="80"/>
      <c r="AZ582" s="80"/>
      <c r="BA582" s="80"/>
      <c r="BB582" s="80"/>
      <c r="BC582" s="80"/>
      <c r="BD582" s="80"/>
      <c r="BE582" s="80"/>
      <c r="BF582" s="80"/>
      <c r="BG582" s="80"/>
      <c r="BH582" s="80"/>
      <c r="BI582" s="80"/>
      <c r="BJ582" s="80"/>
      <c r="BK582" s="80"/>
      <c r="BL582" s="80"/>
      <c r="BM582" s="80"/>
      <c r="BN582" s="80"/>
      <c r="BO582" s="80"/>
      <c r="BP582" s="80"/>
      <c r="BQ582" s="80"/>
      <c r="BR582" s="80"/>
      <c r="BS582" s="80"/>
      <c r="BT582" s="80"/>
    </row>
    <row r="583" spans="1:72" s="81" customFormat="1" ht="25.15" customHeight="1" outlineLevel="1" x14ac:dyDescent="0.25">
      <c r="A583" s="9" t="s">
        <v>202</v>
      </c>
      <c r="B583" s="80"/>
      <c r="C583" s="80"/>
      <c r="D583" s="89" t="s">
        <v>1758</v>
      </c>
      <c r="E583" s="80" t="s">
        <v>469</v>
      </c>
      <c r="F583" s="80" t="s">
        <v>50</v>
      </c>
      <c r="G583" s="80" t="s">
        <v>43</v>
      </c>
      <c r="H583" s="80" t="s">
        <v>3312</v>
      </c>
      <c r="I583" s="80" t="s">
        <v>7</v>
      </c>
      <c r="J583" s="80"/>
      <c r="K583" s="80" t="s">
        <v>30</v>
      </c>
      <c r="L583" s="80"/>
      <c r="M583" s="80" t="s">
        <v>2624</v>
      </c>
      <c r="N583" s="83" t="s">
        <v>31</v>
      </c>
      <c r="O583" s="37">
        <v>9220</v>
      </c>
      <c r="P583" s="37">
        <v>2490</v>
      </c>
      <c r="Q583" s="37">
        <v>2100</v>
      </c>
      <c r="R583" s="37"/>
      <c r="S583" s="37">
        <v>3526</v>
      </c>
      <c r="T583" s="37">
        <v>2600</v>
      </c>
      <c r="U583" s="37">
        <v>11550</v>
      </c>
      <c r="V583" s="37">
        <v>1320</v>
      </c>
      <c r="W583" s="37">
        <v>6800</v>
      </c>
      <c r="X583" s="37">
        <v>3330</v>
      </c>
      <c r="Y583" s="37"/>
      <c r="Z583" s="37">
        <v>21</v>
      </c>
      <c r="AA583" s="37" t="s">
        <v>2655</v>
      </c>
      <c r="AB583" s="37">
        <v>19000</v>
      </c>
      <c r="AC583" s="37">
        <v>9390</v>
      </c>
      <c r="AD583" s="37"/>
      <c r="AE583" s="37"/>
      <c r="AF583" s="37"/>
      <c r="AG583" s="37"/>
      <c r="AH583" s="37">
        <v>48.2</v>
      </c>
      <c r="AI583" s="37" t="s">
        <v>2871</v>
      </c>
      <c r="AJ583" s="37" t="s">
        <v>2869</v>
      </c>
      <c r="AK583" s="37" t="s">
        <v>2725</v>
      </c>
      <c r="AL583" s="37" t="s">
        <v>2727</v>
      </c>
      <c r="AM583" s="37" t="s">
        <v>2945</v>
      </c>
      <c r="AN583" s="37" t="s">
        <v>2914</v>
      </c>
      <c r="AO583" s="37" t="s">
        <v>3143</v>
      </c>
      <c r="AP583" s="37" t="s">
        <v>3114</v>
      </c>
      <c r="AQ583" s="80"/>
      <c r="AR583" s="80"/>
      <c r="AS583" s="37" t="s">
        <v>2590</v>
      </c>
      <c r="AT583" s="37" t="s">
        <v>2581</v>
      </c>
      <c r="AU583" s="84" t="s">
        <v>3285</v>
      </c>
      <c r="AV583" s="199" t="s">
        <v>3188</v>
      </c>
      <c r="AW583" s="84" t="s">
        <v>3180</v>
      </c>
      <c r="AX583" s="80"/>
      <c r="AY583" s="80"/>
      <c r="AZ583" s="80"/>
      <c r="BA583" s="80"/>
      <c r="BB583" s="80"/>
      <c r="BC583" s="80"/>
      <c r="BD583" s="80"/>
      <c r="BE583" s="80"/>
      <c r="BF583" s="80"/>
      <c r="BG583" s="80"/>
      <c r="BH583" s="80"/>
      <c r="BI583" s="80"/>
      <c r="BJ583" s="80"/>
      <c r="BK583" s="80"/>
      <c r="BL583" s="80"/>
      <c r="BM583" s="80"/>
      <c r="BN583" s="80"/>
      <c r="BO583" s="80"/>
      <c r="BP583" s="80"/>
      <c r="BQ583" s="80"/>
      <c r="BR583" s="80"/>
      <c r="BS583" s="80"/>
      <c r="BT583" s="80"/>
    </row>
    <row r="584" spans="1:72" s="81" customFormat="1" ht="25.15" customHeight="1" outlineLevel="1" x14ac:dyDescent="0.25">
      <c r="A584" s="9" t="s">
        <v>202</v>
      </c>
      <c r="B584" s="80"/>
      <c r="C584" s="80"/>
      <c r="D584" s="89" t="s">
        <v>1758</v>
      </c>
      <c r="E584" s="80" t="s">
        <v>469</v>
      </c>
      <c r="F584" s="80" t="s">
        <v>478</v>
      </c>
      <c r="G584" s="80" t="s">
        <v>45</v>
      </c>
      <c r="H584" s="80"/>
      <c r="I584" s="80"/>
      <c r="J584" s="80"/>
      <c r="K584" s="80" t="s">
        <v>479</v>
      </c>
      <c r="L584" s="80"/>
      <c r="M584" s="80" t="s">
        <v>2631</v>
      </c>
      <c r="N584" s="80" t="s">
        <v>31</v>
      </c>
      <c r="O584" s="37"/>
      <c r="P584" s="37"/>
      <c r="Q584" s="37"/>
      <c r="R584" s="37"/>
      <c r="S584" s="37">
        <v>3924</v>
      </c>
      <c r="T584" s="37">
        <v>2534</v>
      </c>
      <c r="U584" s="37">
        <v>5990</v>
      </c>
      <c r="V584" s="37"/>
      <c r="W584" s="37">
        <v>3800</v>
      </c>
      <c r="X584" s="37">
        <v>825</v>
      </c>
      <c r="Y584" s="37"/>
      <c r="Z584" s="37"/>
      <c r="AA584" s="37" t="s">
        <v>480</v>
      </c>
      <c r="AB584" s="37">
        <v>19000</v>
      </c>
      <c r="AC584" s="37"/>
      <c r="AD584" s="37"/>
      <c r="AE584" s="37"/>
      <c r="AF584" s="37">
        <v>44000</v>
      </c>
      <c r="AG584" s="37"/>
      <c r="AH584" s="37"/>
      <c r="AI584" s="37" t="s">
        <v>2867</v>
      </c>
      <c r="AJ584" s="37" t="s">
        <v>2868</v>
      </c>
      <c r="AK584" s="37" t="s">
        <v>2714</v>
      </c>
      <c r="AL584" s="37" t="s">
        <v>2660</v>
      </c>
      <c r="AM584" s="37" t="s">
        <v>2922</v>
      </c>
      <c r="AN584" s="37" t="s">
        <v>2909</v>
      </c>
      <c r="AO584" s="80"/>
      <c r="AP584" s="80"/>
      <c r="AQ584" s="80"/>
      <c r="AR584" s="80"/>
      <c r="AS584" s="80"/>
      <c r="AT584" s="80"/>
      <c r="AU584" s="84" t="s">
        <v>3222</v>
      </c>
      <c r="AV584" s="199" t="s">
        <v>3188</v>
      </c>
      <c r="AW584" s="84" t="s">
        <v>3180</v>
      </c>
      <c r="AX584" s="80"/>
      <c r="AY584" s="80"/>
      <c r="AZ584" s="80"/>
      <c r="BA584" s="80"/>
      <c r="BB584" s="80"/>
      <c r="BC584" s="80"/>
      <c r="BD584" s="80"/>
      <c r="BE584" s="80"/>
      <c r="BF584" s="80"/>
      <c r="BG584" s="80"/>
      <c r="BH584" s="80"/>
      <c r="BI584" s="80"/>
      <c r="BJ584" s="80"/>
      <c r="BK584" s="80"/>
      <c r="BL584" s="80"/>
      <c r="BM584" s="80"/>
      <c r="BN584" s="80"/>
      <c r="BO584" s="80"/>
      <c r="BP584" s="80"/>
      <c r="BQ584" s="80"/>
      <c r="BR584" s="80"/>
      <c r="BS584" s="80"/>
      <c r="BT584" s="80"/>
    </row>
    <row r="585" spans="1:72" s="81" customFormat="1" ht="25.15" customHeight="1" outlineLevel="1" x14ac:dyDescent="0.25">
      <c r="A585" s="9" t="s">
        <v>202</v>
      </c>
      <c r="B585" s="80"/>
      <c r="C585" s="80"/>
      <c r="D585" s="89" t="s">
        <v>1758</v>
      </c>
      <c r="E585" s="80" t="s">
        <v>482</v>
      </c>
      <c r="F585" s="80" t="s">
        <v>483</v>
      </c>
      <c r="G585" s="80" t="s">
        <v>484</v>
      </c>
      <c r="H585" s="80" t="s">
        <v>3312</v>
      </c>
      <c r="I585" s="80"/>
      <c r="J585" s="80"/>
      <c r="K585" s="80" t="s">
        <v>482</v>
      </c>
      <c r="L585" s="80"/>
      <c r="M585" s="80" t="s">
        <v>1127</v>
      </c>
      <c r="N585" s="83" t="s">
        <v>31</v>
      </c>
      <c r="O585" s="37">
        <v>13389</v>
      </c>
      <c r="P585" s="37">
        <v>2453</v>
      </c>
      <c r="Q585" s="37">
        <v>2600</v>
      </c>
      <c r="R585" s="37"/>
      <c r="S585" s="37"/>
      <c r="T585" s="37"/>
      <c r="U585" s="37"/>
      <c r="V585" s="37"/>
      <c r="W585" s="37">
        <v>7450</v>
      </c>
      <c r="X585" s="37"/>
      <c r="Y585" s="37"/>
      <c r="Z585" s="37">
        <v>33</v>
      </c>
      <c r="AA585" s="37" t="s">
        <v>2632</v>
      </c>
      <c r="AB585" s="37">
        <v>38000</v>
      </c>
      <c r="AC585" s="37"/>
      <c r="AD585" s="37"/>
      <c r="AE585" s="37"/>
      <c r="AF585" s="37"/>
      <c r="AG585" s="37"/>
      <c r="AH585" s="37">
        <v>85</v>
      </c>
      <c r="AI585" s="80"/>
      <c r="AJ585" s="80"/>
      <c r="AK585" s="80"/>
      <c r="AL585" s="80"/>
      <c r="AM585" s="37" t="s">
        <v>2920</v>
      </c>
      <c r="AN585" s="37" t="s">
        <v>2902</v>
      </c>
      <c r="AO585" s="37" t="s">
        <v>3071</v>
      </c>
      <c r="AP585" s="37" t="s">
        <v>3072</v>
      </c>
      <c r="AQ585" s="80"/>
      <c r="AR585" s="80"/>
      <c r="AS585" s="80"/>
      <c r="AT585" s="80"/>
      <c r="AU585" s="84" t="s">
        <v>3286</v>
      </c>
      <c r="AV585" s="199" t="s">
        <v>3188</v>
      </c>
      <c r="AW585" s="84" t="s">
        <v>3183</v>
      </c>
      <c r="AX585" s="80"/>
      <c r="AY585" s="80"/>
      <c r="AZ585" s="80"/>
      <c r="BA585" s="80"/>
      <c r="BB585" s="80"/>
      <c r="BC585" s="80"/>
      <c r="BD585" s="80"/>
      <c r="BE585" s="80"/>
      <c r="BF585" s="80"/>
      <c r="BG585" s="80"/>
      <c r="BH585" s="80"/>
      <c r="BI585" s="80"/>
      <c r="BJ585" s="80"/>
      <c r="BK585" s="80"/>
      <c r="BL585" s="80"/>
      <c r="BM585" s="80"/>
      <c r="BN585" s="80"/>
      <c r="BO585" s="80"/>
      <c r="BP585" s="80"/>
      <c r="BQ585" s="80"/>
      <c r="BR585" s="80"/>
      <c r="BS585" s="80"/>
      <c r="BT585" s="80"/>
    </row>
    <row r="586" spans="1:72" s="81" customFormat="1" ht="25.15" customHeight="1" outlineLevel="1" x14ac:dyDescent="0.25">
      <c r="A586" s="9" t="s">
        <v>202</v>
      </c>
      <c r="B586" s="80"/>
      <c r="C586" s="80"/>
      <c r="D586" s="89" t="s">
        <v>1758</v>
      </c>
      <c r="E586" s="80" t="s">
        <v>482</v>
      </c>
      <c r="F586" s="80" t="s">
        <v>483</v>
      </c>
      <c r="G586" s="80" t="s">
        <v>4361</v>
      </c>
      <c r="H586" s="80" t="s">
        <v>3312</v>
      </c>
      <c r="I586" s="80"/>
      <c r="J586" s="80"/>
      <c r="K586" s="80" t="s">
        <v>482</v>
      </c>
      <c r="L586" s="80"/>
      <c r="M586" s="80" t="s">
        <v>1129</v>
      </c>
      <c r="N586" s="83" t="s">
        <v>31</v>
      </c>
      <c r="O586" s="37">
        <v>13389</v>
      </c>
      <c r="P586" s="37">
        <v>2453</v>
      </c>
      <c r="Q586" s="37">
        <v>2600</v>
      </c>
      <c r="R586" s="37"/>
      <c r="S586" s="37"/>
      <c r="T586" s="37"/>
      <c r="U586" s="37"/>
      <c r="V586" s="37"/>
      <c r="W586" s="37">
        <v>7450</v>
      </c>
      <c r="X586" s="37"/>
      <c r="Y586" s="37"/>
      <c r="Z586" s="37">
        <v>66</v>
      </c>
      <c r="AA586" s="37" t="s">
        <v>2633</v>
      </c>
      <c r="AB586" s="37">
        <v>38000</v>
      </c>
      <c r="AC586" s="37"/>
      <c r="AD586" s="37"/>
      <c r="AE586" s="37"/>
      <c r="AF586" s="37"/>
      <c r="AG586" s="37"/>
      <c r="AH586" s="37">
        <v>85</v>
      </c>
      <c r="AI586" s="80"/>
      <c r="AJ586" s="80"/>
      <c r="AK586" s="80"/>
      <c r="AL586" s="80"/>
      <c r="AM586" s="37" t="s">
        <v>2920</v>
      </c>
      <c r="AN586" s="37" t="s">
        <v>2902</v>
      </c>
      <c r="AO586" s="37" t="s">
        <v>3163</v>
      </c>
      <c r="AP586" s="37" t="s">
        <v>3164</v>
      </c>
      <c r="AQ586" s="80"/>
      <c r="AR586" s="80"/>
      <c r="AS586" s="80"/>
      <c r="AT586" s="80"/>
      <c r="AU586" s="84" t="s">
        <v>3287</v>
      </c>
      <c r="AV586" s="199" t="s">
        <v>3188</v>
      </c>
      <c r="AW586" s="84" t="s">
        <v>3183</v>
      </c>
      <c r="AX586" s="80"/>
      <c r="AY586" s="80"/>
      <c r="AZ586" s="80"/>
      <c r="BA586" s="80"/>
      <c r="BB586" s="80"/>
      <c r="BC586" s="80"/>
      <c r="BD586" s="80"/>
      <c r="BE586" s="80"/>
      <c r="BF586" s="80"/>
      <c r="BG586" s="80"/>
      <c r="BH586" s="80"/>
      <c r="BI586" s="80"/>
      <c r="BJ586" s="80"/>
      <c r="BK586" s="80"/>
      <c r="BL586" s="80"/>
      <c r="BM586" s="80"/>
      <c r="BN586" s="80"/>
      <c r="BO586" s="80"/>
      <c r="BP586" s="80"/>
      <c r="BQ586" s="80"/>
      <c r="BR586" s="80"/>
      <c r="BS586" s="80"/>
      <c r="BT586" s="80"/>
    </row>
    <row r="587" spans="1:72" s="81" customFormat="1" ht="25.15" customHeight="1" outlineLevel="1" x14ac:dyDescent="0.25">
      <c r="A587" s="9" t="s">
        <v>202</v>
      </c>
      <c r="B587" s="80"/>
      <c r="C587" s="80"/>
      <c r="D587" s="89" t="s">
        <v>1758</v>
      </c>
      <c r="E587" s="80" t="s">
        <v>482</v>
      </c>
      <c r="F587" s="80" t="s">
        <v>483</v>
      </c>
      <c r="G587" s="80" t="s">
        <v>484</v>
      </c>
      <c r="H587" s="80" t="s">
        <v>3312</v>
      </c>
      <c r="I587" s="80" t="s">
        <v>7</v>
      </c>
      <c r="J587" s="80"/>
      <c r="K587" s="80" t="s">
        <v>482</v>
      </c>
      <c r="L587" s="80"/>
      <c r="M587" s="80" t="s">
        <v>1128</v>
      </c>
      <c r="N587" s="83" t="s">
        <v>456</v>
      </c>
      <c r="O587" s="37">
        <v>13389</v>
      </c>
      <c r="P587" s="37">
        <v>2453</v>
      </c>
      <c r="Q587" s="37">
        <v>2600</v>
      </c>
      <c r="R587" s="37"/>
      <c r="S587" s="37"/>
      <c r="T587" s="37"/>
      <c r="U587" s="37"/>
      <c r="V587" s="37"/>
      <c r="W587" s="37">
        <v>7450</v>
      </c>
      <c r="X587" s="37"/>
      <c r="Y587" s="37"/>
      <c r="Z587" s="37">
        <v>33</v>
      </c>
      <c r="AA587" s="37" t="s">
        <v>2634</v>
      </c>
      <c r="AB587" s="37">
        <v>38000</v>
      </c>
      <c r="AC587" s="37"/>
      <c r="AD587" s="37"/>
      <c r="AE587" s="37"/>
      <c r="AF587" s="37"/>
      <c r="AG587" s="37"/>
      <c r="AH587" s="37">
        <v>85</v>
      </c>
      <c r="AI587" s="80"/>
      <c r="AJ587" s="80"/>
      <c r="AK587" s="80"/>
      <c r="AL587" s="80"/>
      <c r="AM587" s="37" t="s">
        <v>2920</v>
      </c>
      <c r="AN587" s="37" t="s">
        <v>2902</v>
      </c>
      <c r="AO587" s="37" t="s">
        <v>3073</v>
      </c>
      <c r="AP587" s="37" t="s">
        <v>3171</v>
      </c>
      <c r="AQ587" s="80"/>
      <c r="AR587" s="80"/>
      <c r="AS587" s="37" t="s">
        <v>2596</v>
      </c>
      <c r="AT587" s="37" t="s">
        <v>2581</v>
      </c>
      <c r="AU587" s="84" t="s">
        <v>3288</v>
      </c>
      <c r="AV587" s="199" t="s">
        <v>3188</v>
      </c>
      <c r="AW587" s="84" t="s">
        <v>3183</v>
      </c>
      <c r="AX587" s="80"/>
      <c r="AY587" s="80"/>
      <c r="AZ587" s="80"/>
      <c r="BA587" s="80"/>
      <c r="BB587" s="80"/>
      <c r="BC587" s="80"/>
      <c r="BD587" s="80"/>
      <c r="BE587" s="80"/>
      <c r="BF587" s="80"/>
      <c r="BG587" s="80"/>
      <c r="BH587" s="80"/>
      <c r="BI587" s="80"/>
      <c r="BJ587" s="80"/>
      <c r="BK587" s="80"/>
      <c r="BL587" s="80"/>
      <c r="BM587" s="80"/>
      <c r="BN587" s="80"/>
      <c r="BO587" s="80"/>
      <c r="BP587" s="80"/>
      <c r="BQ587" s="80"/>
      <c r="BR587" s="80"/>
      <c r="BS587" s="80"/>
      <c r="BT587" s="80"/>
    </row>
    <row r="588" spans="1:72" s="81" customFormat="1" ht="25.15" customHeight="1" outlineLevel="1" x14ac:dyDescent="0.25">
      <c r="A588" s="9" t="s">
        <v>202</v>
      </c>
      <c r="B588" s="80"/>
      <c r="C588" s="80"/>
      <c r="D588" s="89" t="s">
        <v>1758</v>
      </c>
      <c r="E588" s="80" t="s">
        <v>482</v>
      </c>
      <c r="F588" s="80" t="s">
        <v>483</v>
      </c>
      <c r="G588" s="80" t="s">
        <v>4361</v>
      </c>
      <c r="H588" s="80" t="s">
        <v>3312</v>
      </c>
      <c r="I588" s="80" t="s">
        <v>7</v>
      </c>
      <c r="J588" s="80"/>
      <c r="K588" s="80" t="s">
        <v>482</v>
      </c>
      <c r="L588" s="80"/>
      <c r="M588" s="80" t="s">
        <v>1125</v>
      </c>
      <c r="N588" s="83" t="s">
        <v>456</v>
      </c>
      <c r="O588" s="37">
        <v>13389</v>
      </c>
      <c r="P588" s="37">
        <v>2453</v>
      </c>
      <c r="Q588" s="37">
        <v>2600</v>
      </c>
      <c r="R588" s="37"/>
      <c r="S588" s="37"/>
      <c r="T588" s="37"/>
      <c r="U588" s="37"/>
      <c r="V588" s="37"/>
      <c r="W588" s="37">
        <v>7450</v>
      </c>
      <c r="X588" s="37"/>
      <c r="Y588" s="37"/>
      <c r="Z588" s="37">
        <v>66</v>
      </c>
      <c r="AA588" s="37" t="s">
        <v>2635</v>
      </c>
      <c r="AB588" s="37">
        <v>38000</v>
      </c>
      <c r="AC588" s="37"/>
      <c r="AD588" s="37"/>
      <c r="AE588" s="37"/>
      <c r="AF588" s="37"/>
      <c r="AG588" s="37"/>
      <c r="AH588" s="37">
        <v>85</v>
      </c>
      <c r="AI588" s="80"/>
      <c r="AJ588" s="80"/>
      <c r="AK588" s="80"/>
      <c r="AL588" s="80"/>
      <c r="AM588" s="37" t="s">
        <v>2920</v>
      </c>
      <c r="AN588" s="37" t="s">
        <v>2902</v>
      </c>
      <c r="AO588" s="37" t="s">
        <v>3162</v>
      </c>
      <c r="AP588" s="37" t="s">
        <v>3172</v>
      </c>
      <c r="AQ588" s="80"/>
      <c r="AR588" s="80"/>
      <c r="AS588" s="37" t="s">
        <v>2596</v>
      </c>
      <c r="AT588" s="37" t="s">
        <v>2581</v>
      </c>
      <c r="AU588" s="84" t="s">
        <v>3289</v>
      </c>
      <c r="AV588" s="199" t="s">
        <v>3188</v>
      </c>
      <c r="AW588" s="84" t="s">
        <v>3183</v>
      </c>
      <c r="AX588" s="80"/>
      <c r="AY588" s="80"/>
      <c r="AZ588" s="80"/>
      <c r="BA588" s="80"/>
      <c r="BB588" s="80"/>
      <c r="BC588" s="80"/>
      <c r="BD588" s="80"/>
      <c r="BE588" s="80"/>
      <c r="BF588" s="80"/>
      <c r="BG588" s="80"/>
      <c r="BH588" s="80"/>
      <c r="BI588" s="80"/>
      <c r="BJ588" s="80"/>
      <c r="BK588" s="80"/>
      <c r="BL588" s="80"/>
      <c r="BM588" s="80"/>
      <c r="BN588" s="80"/>
      <c r="BO588" s="80"/>
      <c r="BP588" s="80"/>
      <c r="BQ588" s="80"/>
      <c r="BR588" s="80"/>
      <c r="BS588" s="80"/>
      <c r="BT588" s="80"/>
    </row>
    <row r="590" spans="1:72" ht="25.15" customHeight="1" x14ac:dyDescent="0.25">
      <c r="AD590" s="48"/>
      <c r="AE590" s="48"/>
      <c r="AF590" s="48"/>
      <c r="AG590" s="48"/>
    </row>
    <row r="591" spans="1:72" ht="25.15" customHeight="1" x14ac:dyDescent="0.25">
      <c r="AD591" s="48"/>
      <c r="AE591" s="48"/>
      <c r="AF591" s="48"/>
      <c r="AG591" s="48"/>
    </row>
    <row r="596" spans="39:39" ht="25.15" customHeight="1" x14ac:dyDescent="0.25">
      <c r="AM596" s="77"/>
    </row>
  </sheetData>
  <autoFilter ref="A1:BZ588" xr:uid="{00000000-0001-0000-0100-000000000000}"/>
  <phoneticPr fontId="24" type="noConversion"/>
  <conditionalFormatting sqref="BS263:BS362 BY363:BY484">
    <cfRule type="cellIs" dxfId="31" priority="4" operator="equal">
      <formula>0</formula>
    </cfRule>
    <cfRule type="cellIs" dxfId="30" priority="5" operator="greaterThan">
      <formula>0</formula>
    </cfRule>
  </conditionalFormatting>
  <conditionalFormatting sqref="CA485:CA496">
    <cfRule type="cellIs" dxfId="29" priority="84" operator="equal">
      <formula>0</formula>
    </cfRule>
    <cfRule type="cellIs" dxfId="28" priority="85" operator="greaterThan">
      <formula>0</formula>
    </cfRule>
  </conditionalFormatting>
  <conditionalFormatting sqref="CF363:CF484 BZ273:BZ282">
    <cfRule type="duplicateValues" dxfId="27" priority="4797"/>
    <cfRule type="duplicateValues" dxfId="26" priority="4798"/>
  </conditionalFormatting>
  <hyperlinks>
    <hyperlink ref="AU98" r:id="rId1" xr:uid="{E84A68A1-3487-4B5F-9481-4AD98772AD05}"/>
    <hyperlink ref="AU354" r:id="rId2" xr:uid="{264B0EC0-40FB-4500-830B-5E7A6A3E7B8E}"/>
    <hyperlink ref="AU352" r:id="rId3" xr:uid="{876DB587-AB5A-4B2C-BF29-F730BAEA3A3C}"/>
    <hyperlink ref="AU349" r:id="rId4" xr:uid="{40EFE5B8-AE1C-4D08-A431-F90F264CD8FD}"/>
    <hyperlink ref="AU158" r:id="rId5" xr:uid="{7819C09C-EFDB-4BF5-AD7A-E64F698B3ED5}"/>
    <hyperlink ref="AU164" r:id="rId6" xr:uid="{90035B2E-F6E6-4719-9CC2-49F63243212D}"/>
    <hyperlink ref="AU351" r:id="rId7" xr:uid="{C696DD54-9D7A-488E-BBCC-B34C8AAE5356}"/>
    <hyperlink ref="AU151" r:id="rId8" xr:uid="{0BA8F8F0-A8FD-455D-BB0A-98FB484E6A2A}"/>
    <hyperlink ref="AU107" r:id="rId9" xr:uid="{8E4C3337-4962-473A-8E7E-2E9E7BC98ABE}"/>
    <hyperlink ref="AU156" r:id="rId10" xr:uid="{7EA9E702-8DD8-4D57-92AD-D088679C7D8B}"/>
    <hyperlink ref="AU157" r:id="rId11" xr:uid="{493FBFCA-919A-4052-BF26-EA2FA3F428AB}"/>
    <hyperlink ref="AU353" r:id="rId12" xr:uid="{78438135-7D3E-4E65-ABAF-B32EBA61F296}"/>
    <hyperlink ref="AU350" r:id="rId13" xr:uid="{03D0E90F-55A8-4502-A638-850428A44666}"/>
    <hyperlink ref="AU108" r:id="rId14" xr:uid="{43BC3654-852A-4497-9152-D5907114B171}"/>
    <hyperlink ref="AU163" r:id="rId15" xr:uid="{A89C4930-210D-452B-BE0C-D880797B9129}"/>
    <hyperlink ref="AU153" r:id="rId16" xr:uid="{5483BBED-0FCE-44E8-80A0-21D8BB00C18F}"/>
    <hyperlink ref="AU154" r:id="rId17" xr:uid="{554E9347-6B18-4C28-A588-E3C1F977D8A6}"/>
    <hyperlink ref="AU152" r:id="rId18" xr:uid="{94C4BD32-AC37-4F17-ACFA-4DCF5D27ABBD}"/>
    <hyperlink ref="AU155" r:id="rId19" xr:uid="{E22ECBE1-A661-4E42-8166-589AAE8A0634}"/>
    <hyperlink ref="AU162" r:id="rId20" xr:uid="{40CAE50B-689B-4AA4-BF62-CEB529B9056C}"/>
    <hyperlink ref="AU161" r:id="rId21" xr:uid="{CF21D144-040A-416D-81C5-A432594E73B7}"/>
    <hyperlink ref="AU43" r:id="rId22" xr:uid="{1CBD31AC-7D8B-48A2-A9EA-F8F1905071E0}"/>
    <hyperlink ref="AU159" r:id="rId23" xr:uid="{1F86388F-9E0E-4433-9F2D-45FC04AEC03A}"/>
    <hyperlink ref="AU160" r:id="rId24" xr:uid="{A9C7A913-B4AF-4C92-946B-D203B69377B1}"/>
    <hyperlink ref="AU74" r:id="rId25" xr:uid="{147C9439-5592-4DC9-8B0D-0C831C4AF3B4}"/>
    <hyperlink ref="AU76" r:id="rId26" xr:uid="{5F3DCD21-D00D-442C-91A9-D7280958B805}"/>
    <hyperlink ref="AU84" r:id="rId27" xr:uid="{76F58E69-6230-4C83-AB58-45D43FBDE67E}"/>
    <hyperlink ref="AU92" r:id="rId28" xr:uid="{64E3518A-D6DA-47E1-9101-124272B354F7}"/>
    <hyperlink ref="AU82" r:id="rId29" xr:uid="{7DEAE940-09E2-4EDA-8FF4-0078B194ABEF}"/>
    <hyperlink ref="AU90" r:id="rId30" xr:uid="{C8C9FB05-3E5D-494F-8DD4-A0D0CDF7DC15}"/>
    <hyperlink ref="AU81" r:id="rId31" xr:uid="{4F1AD290-A01C-4E99-8B1F-6CA1135297A3}"/>
    <hyperlink ref="AU89" r:id="rId32" xr:uid="{6603F549-1EBE-4B24-B801-F37F5BBC6DA3}"/>
    <hyperlink ref="AU97" r:id="rId33" xr:uid="{6B58507F-0DCF-49DA-8A43-910215DDC775}"/>
    <hyperlink ref="AU194" r:id="rId34" xr:uid="{6CC230E3-0FBF-470C-BA8B-69F7CF90DB8E}"/>
    <hyperlink ref="AU192" r:id="rId35" xr:uid="{030CC0D0-AC45-41A3-8375-B99353C95C24}"/>
    <hyperlink ref="AU190" r:id="rId36" xr:uid="{39043EFE-6516-41A4-92BC-1E91F14E507F}"/>
    <hyperlink ref="AU181" r:id="rId37" xr:uid="{50F9EAE6-9973-44B4-B1A5-1668DE664F88}"/>
    <hyperlink ref="AU184" r:id="rId38" xr:uid="{E230C7CB-671A-4EEF-9956-28F4584BED93}"/>
    <hyperlink ref="AU187" r:id="rId39" xr:uid="{1AEBE1A3-55B1-4EE4-A2DF-FD2B4281EB6F}"/>
    <hyperlink ref="AU172" r:id="rId40" xr:uid="{6753DA42-01A7-4CEF-9443-C99EB464E3E6}"/>
    <hyperlink ref="AU175" r:id="rId41" xr:uid="{7DDC1CB2-B41F-4D84-B5BB-ACB67391D204}"/>
    <hyperlink ref="AU178" r:id="rId42" xr:uid="{F8DF5F81-C53B-4A1F-9566-498D8F2FB131}"/>
    <hyperlink ref="AU135" r:id="rId43" xr:uid="{21A782B3-7FD5-4390-BD66-AC12905D2B53}"/>
    <hyperlink ref="AU137" r:id="rId44" xr:uid="{A4B12691-0347-4A42-AE3A-81E9F9ABDD7A}"/>
    <hyperlink ref="AU139" r:id="rId45" xr:uid="{25ACDD2C-D405-4BE9-8A30-0CF631D0DF9A}"/>
    <hyperlink ref="AU15" r:id="rId46" xr:uid="{6EBD548E-1287-4CC8-AB6A-5DC607A044FD}"/>
    <hyperlink ref="AU238" r:id="rId47" xr:uid="{24970626-C4AB-4D08-ADFF-DA099B4BAFBF}"/>
    <hyperlink ref="AU240" r:id="rId48" xr:uid="{3BBF0AE9-711A-4B74-BCCB-D24EC55E4303}"/>
    <hyperlink ref="AU249" r:id="rId49" xr:uid="{E98D4FFF-5B04-40A5-A26E-7D4D56A2E578}"/>
    <hyperlink ref="AU244" r:id="rId50" xr:uid="{A2CDD3A2-BA18-47EA-A4D6-EB8FCB8EB691}"/>
    <hyperlink ref="AU241" r:id="rId51" xr:uid="{25283827-2DE9-4174-885A-C1C85BAF4A5C}"/>
    <hyperlink ref="AU242" r:id="rId52" xr:uid="{B7B4D877-1A92-4BD1-8B9F-4297A5B842DB}"/>
    <hyperlink ref="AU243" r:id="rId53" xr:uid="{EA004F43-45AD-4EE0-A6AD-95980EC6C685}"/>
    <hyperlink ref="AU252" r:id="rId54" xr:uid="{1EA7B336-F82B-47DA-9C3C-10E48D2927C4}"/>
    <hyperlink ref="AU253" r:id="rId55" xr:uid="{5EB91CAF-3409-48E6-8C62-7661F0DFC369}"/>
    <hyperlink ref="AU254" r:id="rId56" xr:uid="{156C6E41-18E7-4DB5-8981-7571200A5255}"/>
    <hyperlink ref="AU255" r:id="rId57" xr:uid="{CAD4F4E4-D7EC-4076-93C7-4FFF319A941D}"/>
    <hyperlink ref="AU256" r:id="rId58" xr:uid="{A8F69E57-997A-422A-81DC-C34C5F2E927D}"/>
    <hyperlink ref="AU257" r:id="rId59" xr:uid="{84536D03-1FF3-4255-98D3-16DE80355F3F}"/>
    <hyperlink ref="AU258" r:id="rId60" xr:uid="{85AC2BD7-6A15-4203-90AB-996CEE50608B}"/>
    <hyperlink ref="AU259" r:id="rId61" xr:uid="{F7517161-D84E-4F73-AF88-BEDCEE59C247}"/>
    <hyperlink ref="AU260" r:id="rId62" xr:uid="{28C49CC9-0D5B-45E2-879B-F5EED525EF50}"/>
    <hyperlink ref="AU237" r:id="rId63" xr:uid="{9EB68980-FD01-4C45-9753-B676A8562BD0}"/>
    <hyperlink ref="AU230" r:id="rId64" xr:uid="{01BF3CEC-6703-4ED4-8429-600DFF809234}"/>
    <hyperlink ref="AU235" r:id="rId65" xr:uid="{0A56871C-BFEC-454E-A032-2D685542069D}"/>
    <hyperlink ref="AU236" r:id="rId66" xr:uid="{99E9A715-8313-4A85-8DC8-90FF311999DF}"/>
    <hyperlink ref="AU239" r:id="rId67" xr:uid="{46BAD11A-7B35-44B6-ACD3-6FF0D1D828C0}"/>
    <hyperlink ref="AU246" r:id="rId68" xr:uid="{157D7E9A-41F4-465B-903D-04446501D134}"/>
    <hyperlink ref="AU245" r:id="rId69" xr:uid="{6B9F1727-9BC3-4443-99E3-179748EBDE50}"/>
    <hyperlink ref="AU247" r:id="rId70" xr:uid="{C900F851-FF35-4A6A-86D4-1175B40F04F0}"/>
    <hyperlink ref="AU248" r:id="rId71" xr:uid="{C6F6E128-A59E-409D-A6DD-3B5730985C57}"/>
    <hyperlink ref="AU250" r:id="rId72" xr:uid="{E8999805-F124-4920-B4D6-5C517A3FC3C0}"/>
    <hyperlink ref="AU264" r:id="rId73" xr:uid="{7C3E4C87-BDED-4ABD-B4CA-BD7115EECA32}"/>
    <hyperlink ref="AU265" r:id="rId74" xr:uid="{9FE1B7F2-7F1D-45A4-A402-14C02B7455A4}"/>
    <hyperlink ref="AU266" r:id="rId75" xr:uid="{6561782E-495A-4E82-A2B5-E4563E148091}"/>
    <hyperlink ref="AU268" r:id="rId76" xr:uid="{E32EDAB4-5880-4842-BA6D-972C9D8B7F21}"/>
    <hyperlink ref="AU263" r:id="rId77" xr:uid="{0E24BF32-EB90-4B8B-B754-3AA5C5FC23B9}"/>
    <hyperlink ref="AU267" r:id="rId78" xr:uid="{FC811A74-2A3A-4722-BD8D-BAB5AD5F78C0}"/>
    <hyperlink ref="AU269" r:id="rId79" xr:uid="{7535E9DA-F2E7-40E5-B9B8-1B7929A08C76}"/>
    <hyperlink ref="AU270" r:id="rId80" xr:uid="{6CA1AA03-0E9F-456E-BC6C-4E0570F79C6F}"/>
    <hyperlink ref="AU271" r:id="rId81" xr:uid="{3D574776-943B-48FF-A79D-90ED4D904EFA}"/>
    <hyperlink ref="AU272" r:id="rId82" xr:uid="{35281CB2-2346-49F3-970E-5031DADC64AD}"/>
    <hyperlink ref="AU279" r:id="rId83" display="\\petitforestier.fr\siege\Applications\BaseProduits\Datas\Publipostage\Images\PUBLICATION - SEC - HYGIENE - EURO 6\\PLAN VEHICULES\\PLANS 2014\\DAF\\LF 180.12 CB 01.jpg" xr:uid="{F1D35DED-4166-4C5F-81A2-A0B284768C96}"/>
    <hyperlink ref="AU277" r:id="rId84" xr:uid="{F44C3C97-D20E-4A2D-BC80-02436C3A6605}"/>
    <hyperlink ref="AU278" r:id="rId85" display="\\petitforestier.fr\siege\Applications\BaseProduits\Datas\Publipostage\Images\PUBLICATION - SEC - HYGIENE - EURO 6\\PLAN VEHICULES\\PLANS 2014\\DAF\\LF 180.12 CB 01.jpg" xr:uid="{02D6DFE8-E9B5-411D-B084-8BA33090AC35}"/>
    <hyperlink ref="AU273" r:id="rId86" xr:uid="{F954A92F-00C4-4536-834D-551B25D3D181}"/>
    <hyperlink ref="AU274" r:id="rId87" xr:uid="{778A1E6A-EEEF-47D7-9BE5-09B5F37BF159}"/>
    <hyperlink ref="AU275" r:id="rId88" xr:uid="{533E6EBC-A293-4F71-A072-57C6E61DBFA1}"/>
    <hyperlink ref="AU276" r:id="rId89" xr:uid="{AF87F86C-E338-46B1-A3A6-5FC627ABEFB0}"/>
    <hyperlink ref="AU280" r:id="rId90" display="\\petitforestier.fr\siege\Applications\BaseProduits\Datas\Publipostage\Images\PUBLICATION - SEC - HYGIENE - EURO 6\\PLAN VEHICULES\\PLANS 2014\\DAF\\LF 180.12 CB 01.jpg" xr:uid="{5D836537-D308-46DB-B9B9-DEF9A0FF2723}"/>
    <hyperlink ref="AU281" r:id="rId91" display="\\petitforestier.fr\siege\Applications\BaseProduits\Datas\Publipostage\Images\PUBLICATION - SEC - HYGIENE - EURO 6\\PLAN VEHICULES\\PLANS 2014\\DAF\\LF 180.12 CB 01.jpg" xr:uid="{DF524205-6D8B-46C8-881D-979F40AEA5CC}"/>
    <hyperlink ref="AU282" r:id="rId92" display="\\petitforestier.fr\siege\Applications\BaseProduits\Datas\Publipostage\Images\PUBLICATION - SEC - HYGIENE - EURO 6\\PLAN VEHICULES\\PLANS 2014\\DAF\\LF 180.12 CB 01.jpg" xr:uid="{8892D488-FE73-42B8-9637-DB8A2F8C51CA}"/>
    <hyperlink ref="AU485" r:id="rId93" display="Z_Outil collaboratif Grand Compte\Image Vehicule\CG\POMONA\DELICE ET CREATION\35S14 CF - 5 PAL - DELICE ET CREATION.jpg" xr:uid="{B4D4BB08-F2EC-4F3B-9AE3-E8F78CAB81B8}"/>
    <hyperlink ref="AU486" r:id="rId94" xr:uid="{D1A8FE87-5CDE-4848-A2A6-1F21F7FC10C9}"/>
    <hyperlink ref="AV485" r:id="rId95" xr:uid="{E0F15C34-757A-4991-8A7A-BE0011CD88DB}"/>
    <hyperlink ref="AV486" r:id="rId96" xr:uid="{08DFE5FE-B1B3-4132-AD80-0C016A3F4519}"/>
    <hyperlink ref="AV487:AV496" r:id="rId97" display="Z_Outil collaboratif Grand Compte\Image Client\DELICE ET CREATION.jpg" xr:uid="{C9997FF0-D5CD-44AE-9671-A08E72478D4F}"/>
    <hyperlink ref="AW485" r:id="rId98" xr:uid="{B927686F-AF2E-4FD9-AC49-B8305EDE0615}"/>
    <hyperlink ref="AW486:AW496" r:id="rId99" display="Z_Outil collaboratif Grand Compte\Image Carburant\DIESEL.jpg" xr:uid="{1B3A4E3B-8EB0-4D6B-BBB8-BC9130946524}"/>
    <hyperlink ref="AW497:AW563" r:id="rId100" display="Z_Outil collaboratif Grand Compte\Image Carburant\DIESEL.jpg" xr:uid="{20693BCA-AC2B-432E-B763-717DA31771FD}"/>
    <hyperlink ref="AX497" r:id="rId101" xr:uid="{133E773B-1634-4CA3-8689-852C36484B52}"/>
    <hyperlink ref="AX498:AX519" r:id="rId102" display="Z_Outil collaboratif Grand Compte\Image Publicité\PASSION FROID-PUB.jpg" xr:uid="{93FCDA04-436E-498B-8D87-2DAD85CC278F}"/>
    <hyperlink ref="AV497" r:id="rId103" xr:uid="{DF2060E2-731D-40C9-BE14-6C44437D7C0D}"/>
    <hyperlink ref="AV498:AV519" r:id="rId104" display="Z_Outil collaboratif Grand Compte\Image Client\PASSION FROID.jpg" xr:uid="{49680905-B915-4FB2-89EF-AD6D78B61915}"/>
    <hyperlink ref="AU497" r:id="rId105" display="Z_Outil collaboratif Grand Compte\Image Vehicule\PASSION FROID\DCOCF - BVA- PASSION FROID.jpg" xr:uid="{A8C44C8C-F864-4812-923E-070634694A42}"/>
    <hyperlink ref="AU498" r:id="rId106" display="Z_Outil collaboratif Grand Compte\Image Vehicule\PASSION FROID\35S14 CF - 4 PAL - PASSION FROID.jpg" xr:uid="{0EAB9B90-88F6-4BBB-8E2E-DECEB1245AEA}"/>
    <hyperlink ref="AU499" r:id="rId107" display="Z_Outil collaboratif Grand Compte\Image Vehicule\PASSION FROID\35S14 CF - 5 PAL - PASSION FROID.jpg" xr:uid="{8F31A782-B666-460F-8EDF-2A660E7D76DE}"/>
    <hyperlink ref="AU500" r:id="rId108" display="Z_Outil collaboratif Grand Compte\Image Vehicule\PASSION FROID\72C18 CF - 7 PAL - PASSION FROID.jpg" xr:uid="{0C1CAE6D-8EEA-440C-9E52-7382DB611EE7}"/>
    <hyperlink ref="AU515" r:id="rId109" display="Z_Outil collaboratif Grand Compte\Image Vehicule\TRACTEUR\T19.440 TR.jpg" xr:uid="{0CB383E0-4BED-47FD-A5B4-00781693D597}"/>
    <hyperlink ref="AU531" r:id="rId110" display="Z_Outil collaboratif Grand Compte\Image Vehicule\TRACTEUR\T19.440 TR.jpg" xr:uid="{0980BC1E-C1A0-4205-A6AF-CDB7836B77B4}"/>
    <hyperlink ref="AU559" r:id="rId111" display="Z_Outil collaboratif Grand Compte\Image Vehicule\TRACTEUR\T19.440 TR.jpg" xr:uid="{CD2594B5-F19A-491B-A88E-B431B6D1FF1B}"/>
    <hyperlink ref="AU584" r:id="rId112" display="Z_Outil collaboratif Grand Compte\Image Vehicule\TRACTEUR\T19.440 TR.jpg" xr:uid="{D935415A-F0A4-442C-9DA2-29A22B76227E}"/>
    <hyperlink ref="AW584" r:id="rId113" xr:uid="{3C1DE0EE-26CF-48D6-BFC5-B634E12CBA2F}"/>
    <hyperlink ref="AU585" r:id="rId114" display="Z_Outil collaboratif Grand Compte\Image Vehicule\SEMI-REMORQUE\SEMCI01 - SANS HAYON - EPISAVEURS.jpg" xr:uid="{4AD171C4-7158-4BFF-883B-6A69DF18285B}"/>
    <hyperlink ref="AU586" r:id="rId115" display="Z_Outil collaboratif Grand Compte\Image Vehicule\SEMI-REMORQUE\SEMCI01 - DOUBLE PLANCHER - SANS HAYON - EPISAVEURS.jpg" xr:uid="{72C74F25-6B54-43F7-90DC-9363E817F7DD}"/>
    <hyperlink ref="AU587" r:id="rId116" display="Z_Outil collaboratif Grand Compte\Image Vehicule\SEMI-REMORQUE\SEMCI02 - HAYON - EPISAVEURS.jpg" xr:uid="{76ADBCAF-1030-464E-A3BD-F7D00BB55A51}"/>
    <hyperlink ref="AU588" r:id="rId117" display="Z_Outil collaboratif Grand Compte\Image Vehicule\SEMI-REMORQUE\SEMCI02 - DOUBLE PLANCHER - HAYON - EPISAVEURS.jpg" xr:uid="{B688CD29-288A-4D8B-A69D-EF31EB8282DD}"/>
    <hyperlink ref="AU516" r:id="rId118" display="Z_Outil collaboratif Grand Compte\Image Vehicule\SEMI-REMORQUE\SEMCF03- MULTI - SANS HAYON.jpg" xr:uid="{B387D080-ECFA-4F95-B1B5-A6CE3048090C}"/>
    <hyperlink ref="AU532" r:id="rId119" display="Z_Outil collaboratif Grand Compte\Image Vehicule\SEMI-REMORQUE\SEMCF03- MULTI - SANS HAYON.jpg" xr:uid="{FDFFBF5C-4C4F-418C-9FC3-6EC9C89A64E8}"/>
    <hyperlink ref="AU517" r:id="rId120" display="Z_Outil collaboratif Grand Compte\Image Vehicule\SEMI-REMORQUE\SEMCF03- MULTI - DOUBLE PLANCHER - SANS HAYON.jpg" xr:uid="{B24A3619-14EA-4231-AC90-026F821DA6E7}"/>
    <hyperlink ref="AU518" r:id="rId121" display="Z_Outil collaboratif Grand Compte\Image Vehicule\SEMI-REMORQUE\SEMCF04 - MULTI - HAYON.jpg" xr:uid="{354FDC58-19C0-4613-A7FF-3BC7E7763C2B}"/>
    <hyperlink ref="AU533" r:id="rId122" display="Z_Outil collaboratif Grand Compte\Image Vehicule\SEMI-REMORQUE\SEMCF04 - MULTI - HAYON.jpg" xr:uid="{6ADC57EB-B598-41F3-870F-718B7244D903}"/>
    <hyperlink ref="AU519" r:id="rId123" display="Z_Outil collaboratif Grand Compte\Image Vehicule\SEMI-REMORQUE\SEMCF04 - MULTI - DOUBLE PLANCHER - HAYON.jpg" xr:uid="{B10C3827-1A0D-4D2D-AE61-919FA815E0FD}"/>
    <hyperlink ref="AU534" r:id="rId124" display="Z_Outil collaboratif Grand Compte\Image Vehicule\SEMI-REMORQUE\SEMCF04 - MULTI - DOUBLE PLANCHER - HAYON.jpg" xr:uid="{A8BBB207-0C3D-44F0-9E13-6050D42B5D2F}"/>
    <hyperlink ref="AW585" r:id="rId125" xr:uid="{8A3921A5-55FD-43C8-AF4F-283868A9A714}"/>
    <hyperlink ref="AW586:AW588" r:id="rId126" display="Z_Outil collaboratif Grand Compte\Image Carburant\SANS CARBURANT.jpg" xr:uid="{B47E0856-EC59-4914-B40B-2526AB938FF1}"/>
    <hyperlink ref="AU560" r:id="rId127" display="Z_Outil collaboratif Grand Compte\Image Vehicule\SEMI-REMORQUE\SEMCF01 - MONO - SANS HAYON.jpg" xr:uid="{09E9E7E3-6AB0-4D61-A0AE-8599B091361A}"/>
    <hyperlink ref="AU561" r:id="rId128" display="Z_Outil collaboratif Grand Compte\Image Vehicule\SEMI-REMORQUE\SEMCF01 - MONO - DOUBLE PLANCHER - SANS HAYON.jpg" xr:uid="{DE487237-B6CE-4E3B-96DA-51F547BADC4D}"/>
    <hyperlink ref="AU562" r:id="rId129" display="Z_Outil collaboratif Grand Compte\Image Vehicule\SEMI-REMORQUE\SEMCF02 - MONO - HAYON.jpg" xr:uid="{D9CEE9A3-4154-48C0-BEB7-D1B4FEBD32FF}"/>
    <hyperlink ref="AU563" r:id="rId130" display="Z_Outil collaboratif Grand Compte\Image Vehicule\SEMI-REMORQUE\SEMCF02 - MONO - DOUBLE PLANCHER - HAYON.jpg" xr:uid="{65874D4C-6972-4764-B461-6E117D310CDD}"/>
    <hyperlink ref="AX544" r:id="rId131" xr:uid="{3A2594ED-9D5D-40BA-ABF3-AC045803A3E7}"/>
    <hyperlink ref="AX545:AX563" r:id="rId132" display="Z_Outil collaboratif Grand Compte\Image Publicité\TERRE AZUR-PUB.jpg" xr:uid="{DA575154-1F22-4160-A469-0EB79BD22503}"/>
    <hyperlink ref="AV520" r:id="rId133" xr:uid="{5F2F4C0B-FDCA-49D3-BECD-10BF0E92C9FD}"/>
    <hyperlink ref="AV521:AV534" r:id="rId134" display="Z_Outil collaboratif Grand Compte\Image Client\RELAIS D'OR.jpg" xr:uid="{41326ED6-5E1C-4B18-BC00-BD6728008B4B}"/>
    <hyperlink ref="AV535" r:id="rId135" xr:uid="{72EE963E-1798-4C3E-9666-B57B5D719CCB}"/>
    <hyperlink ref="AV536:AV543" r:id="rId136" display="Z_Outil collaboratif Grand Compte\Image Client\SAVEURS D'ANTOINE.jpg" xr:uid="{35FEAE94-6A6A-4469-820E-730EA611D3D6}"/>
    <hyperlink ref="AV544" r:id="rId137" xr:uid="{832CE379-C41C-4F52-82EF-0C003C9C2CE9}"/>
    <hyperlink ref="AV545:AV563" r:id="rId138" display="Z_Outil collaboratif Grand Compte\Image Client\TERRE AZUR.jpg" xr:uid="{EA0F2D2F-CCA3-49D5-A2EB-F0E22DAA705E}"/>
    <hyperlink ref="AV564" r:id="rId139" xr:uid="{753E9885-0AEE-49B9-A860-AFF74B502A83}"/>
    <hyperlink ref="AV565:AV588" r:id="rId140" display="Z_Outil collaboratif Grand Compte\Image Client\EPISAVEURS.jpg" xr:uid="{0CC6C9DE-0A4E-446F-964E-6C196FDC5E8C}"/>
    <hyperlink ref="AW564" r:id="rId141" xr:uid="{0C32D0F2-7269-49BB-B5FD-8CA9E73D1AD4}"/>
    <hyperlink ref="AW565:AW583" r:id="rId142" display="Z_Outil collaboratif Grand Compte\Image Carburant\DIESEL.jpg" xr:uid="{DCF55C56-8D4F-4813-B5E8-232221746F6E}"/>
    <hyperlink ref="AU564" r:id="rId143" display="Z_Outil collaboratif Grand Compte\Image Vehicule\EPISAVEURS\72C18 CS - 2 Portes arrière - EPISAVEURS.jpg" xr:uid="{F43699D9-46F5-4763-B5AD-A2811B6752DC}"/>
    <hyperlink ref="AU565" r:id="rId144" display="Z_Outil collaboratif Grand Compte\Image Vehicule\EPISAVEURS\72C18 CS - Fermeture totale - EPISAVEURS.jpg" xr:uid="{98C29AF3-C203-4BF2-8BE1-B876D77CA922}"/>
    <hyperlink ref="AU566" r:id="rId145" display="Z_Outil collaboratif Grand Compte\Image Vehicule\EPISAVEURS\160E21 CS - 15 PAL - EPISAVEURS.jpg" xr:uid="{6E49F04F-55E8-4E6F-A98D-C66260A8E0A3}"/>
    <hyperlink ref="AU568" r:id="rId146" display="Z_Outil collaboratif Grand Compte\Image Vehicule\EPISAVEURS\190EL28 CS - 18 PAL - EPISAVEURS.jpg" xr:uid="{85DD5F0D-D086-4856-9688-E2C77DD5D6F2}"/>
    <hyperlink ref="AU569" r:id="rId147" display="Z_Outil collaboratif Grand Compte\Image Vehicule\EPISAVEURS\190EL28 CS - 21 PAL - EPISAVEURS.jpg" xr:uid="{D6A18B0B-40DB-4A3B-9D1B-8BA1A9E13174}"/>
    <hyperlink ref="AU570" r:id="rId148" display="Z_Outil collaboratif Grand Compte\Image Vehicule\EPISAVEURS\D16.210 CS - 15 PAL - EPISAVEURS.jpg" xr:uid="{403BC528-9A28-43FF-AF74-CB9AE0A75F7D}"/>
    <hyperlink ref="AU571" r:id="rId149" display="Z_Outil collaboratif Grand Compte\Image Vehicule\EPISAVEURS\D16.210 CS - 18 PAL - EPISAVEURS.jpg" xr:uid="{B73B1C0F-28C0-4158-A3DF-B31DC652082C}"/>
    <hyperlink ref="AU572" r:id="rId150" display="Z_Outil collaboratif Grand Compte\Image Vehicule\EPISAVEURS\D19.280 CS - 18 PAL - EPISAVEURS.jpg" xr:uid="{75248FAF-0CF0-4D86-B9E3-B45027226C20}"/>
    <hyperlink ref="AU573" r:id="rId151" display="Z_Outil collaboratif Grand Compte\Image Vehicule\EPISAVEURS\D19.280 CS - 21 PAL - EPISAVEURS.jpg" xr:uid="{4F5C6B3D-0406-47EE-B0FC-13743DD01ACA}"/>
    <hyperlink ref="AU574" r:id="rId152" display="Z_Outil collaboratif Grand Compte\Image Vehicule\EPISAVEURS\72C18 CI - 2 Portes arrière - EPISAVEURS.jpg" xr:uid="{CE33CF09-A42B-40EB-B376-4435F17C6F17}"/>
    <hyperlink ref="AU575" r:id="rId153" display="Z_Outil collaboratif Grand Compte\Image Vehicule\EPISAVEURS\72C18 CI - Fermeture totale - EPISAVEURS.jpg" xr:uid="{88569958-41A3-485C-A903-02CA2AB0FD4D}"/>
    <hyperlink ref="AU576" r:id="rId154" display="Z_Outil collaboratif Grand Compte\Image Vehicule\EPISAVEURS\160E21 CI - 15 PAL - EPISAVEURS.jpg" xr:uid="{E0E748EF-13E1-46F5-B521-CCA2069D29B7}"/>
    <hyperlink ref="AU577" r:id="rId155" display="Z_Outil collaboratif Grand Compte\Image Vehicule\EPISAVEURS\160E21 CI - 18 PAL - EPISAVEURS.jpg" xr:uid="{B9209E1B-78CC-4144-9520-2364809AD5E5}"/>
    <hyperlink ref="AU578" r:id="rId156" display="Z_Outil collaboratif Grand Compte\Image Vehicule\EPISAVEURS\190EL28 CI - 18 PAL - EPISAVEURS.jpg" xr:uid="{5FB92177-B404-41B4-A5E7-F5DC2BAD64B7}"/>
    <hyperlink ref="AU579" r:id="rId157" display="Z_Outil collaboratif Grand Compte\Image Vehicule\EPISAVEURS\190EL28 CI - 21 PAL - EPISAVEURS.jpg" xr:uid="{0A5101FE-ED62-43E7-BA7A-4A4802D14024}"/>
    <hyperlink ref="AU580" r:id="rId158" display="Z_Outil collaboratif Grand Compte\Image Vehicule\EPISAVEURS\D16.210 CI - 15 PAL - EPISAVEURS.jpg" xr:uid="{F2300C3E-3CA6-4569-AB77-F645654B33B6}"/>
    <hyperlink ref="AU581" r:id="rId159" display="Z_Outil collaboratif Grand Compte\Image Vehicule\EPISAVEURS\D16.210 CI - 18 PAL - EPISAVEURS.jpg" xr:uid="{412B22C0-8379-482D-ACE1-EF5BB559D6B8}"/>
    <hyperlink ref="AU582" r:id="rId160" display="Z_Outil collaboratif Grand Compte\Image Vehicule\EPISAVEURS\D19.280 CI - 18 PAL - EPISAVEURS.jpg" xr:uid="{8C0324B8-2074-457D-91D8-9F42F12063F5}"/>
    <hyperlink ref="AU583" r:id="rId161" display="Z_Outil collaboratif Grand Compte\Image Vehicule\EPISAVEURS\D19.280 CI - 21 PAL - EPISAVEURS.jpg" xr:uid="{92F8D887-9748-4972-AA81-B64E4B495D6B}"/>
    <hyperlink ref="AU567" r:id="rId162" display="Z_Outil collaboratif Grand Compte\Image Vehicule\EPISAVEURS\160E21 CS - 18 PAL - EPISAVEURS.jpg" xr:uid="{750E3779-7DA5-477F-9A5D-FCE2BDBABE5B}"/>
    <hyperlink ref="AU502" r:id="rId163" display="Z_Outil collaboratif Grand Compte\Image Vehicule\PASSION FROID\160E21 CF - 15 PAL -  3 VTX - PASSION FROID.jpg" xr:uid="{F7C694FC-759D-47F0-A5D7-DBDBE005F970}"/>
    <hyperlink ref="AU503" r:id="rId164" display="Z_Outil collaboratif Grand Compte\Image Vehicule\PASSION FROID\160E21 CF - 15 PAL - EASY ACC'AIR - PASSION FROID.jpg" xr:uid="{AF137813-1DE1-4965-8A84-F0167CB96345}"/>
    <hyperlink ref="AU511" r:id="rId165" display="Z_Outil collaboratif Grand Compte\Image Vehicule\PASSION FROID\D16.210 CF - 18 PAL - 3 VTX - PASSION FROID.jpg" xr:uid="{A0DA6F02-5434-4075-BAF1-E2386E9666D0}"/>
    <hyperlink ref="AU512" r:id="rId166" display="Z_Outil collaboratif Grand Compte\Image Vehicule\PASSION FROID\D16.210 CF - 18 PAL - EASY ACC'AIR - PASSION FROID.jpg" xr:uid="{2776C616-19CB-4DF4-A3E4-DB7CCBC2FBAB}"/>
    <hyperlink ref="AU513" r:id="rId167" display="Z_Outil collaboratif Grand Compte\Image Vehicule\PASSION FROID\D19.280 CF - 21 PAL - 3 VTX - PASSION FROID.jpg" xr:uid="{6802C595-FE52-405E-A0CF-F28D2C5273D2}"/>
    <hyperlink ref="AU514" r:id="rId168" display="Z_Outil collaboratif Grand Compte\Image Vehicule\PASSION FROID\D19.280 CF - 21 PAL - EASY ACC'AIR - PASSION FROID.jpg" xr:uid="{A509B833-084D-4DE3-B6F2-AA86017769AB}"/>
    <hyperlink ref="AU520" r:id="rId169" display="Z_Outil collaboratif Grand Compte\Image Vehicule\RELAIS D'OR\35S14 CF - 4 PAL - RELAIS D'OR.jpg" xr:uid="{32A63282-E218-40C8-86C6-C5D7EBC3BF4F}"/>
    <hyperlink ref="AU521" r:id="rId170" display="Z_Outil collaboratif Grand Compte\Image Vehicule\RELAIS D'OR\35S14 CF  URBAN - 5 PAL-8 ROLLS - RELAIS D'OR.jpg" xr:uid="{43A22E35-093B-4267-86FA-1B3BF7D2F7E2}"/>
    <hyperlink ref="AU522" r:id="rId171" display="Z_Outil collaboratif Grand Compte\Image Vehicule\RELAIS D'OR\35S14 CF URBAN - 5 PAL-8 ROLLS - HAYON - RELAIS D'OR.jpg" xr:uid="{F937248F-2E09-4BDB-97BC-7E3389CAB7C6}"/>
    <hyperlink ref="AU523" r:id="rId172" display="Z_Outil collaboratif Grand Compte\Image Vehicule\RELAIS D'OR\72C18 CF - 8 PAL-15 ROLLS - HAYON RETRACTABLE - RELAIS D'OR.jpg" xr:uid="{C5BCF45E-E0CB-47C5-8E3E-CDCF8AF1B115}"/>
    <hyperlink ref="AU524" r:id="rId173" display="Z_Outil collaboratif Grand Compte\Image Vehicule\RELAIS D'OR\100E19 CF - 11 PAL-21 ROLLS - HAYON RETRACTABLE - RELAIS D'OR.jpg" xr:uid="{1B3AE273-EB16-40A9-AB41-F2C7A5EF6586}"/>
    <hyperlink ref="AU525" r:id="rId174" display="Z_Outil collaboratif Grand Compte\Image Vehicule\RELAIS D'OR\120E19 CF - 15 PAL-24 ROLLS - HAYON RETRACTABLE - RELAIS D'OR.jpg" xr:uid="{AEE11FE9-619C-4240-A3C6-D662FD4D3124}"/>
    <hyperlink ref="AU526" r:id="rId175" display="Z_Outil collaboratif Grand Compte\Image Vehicule\RELAIS D'OR\160E21 CF - 18 PALL-30 ROLLS - HAYON RETRACTABLE - RELAIS D'OR.jpg" xr:uid="{26B4B06D-A3C7-423C-84A2-993D8A8E56AE}"/>
    <hyperlink ref="AU527" r:id="rId176" display="Z_Outil collaboratif Grand Compte\Image Vehicule\RELAIS D'OR\D10.210 CF - 11 PAL-21 ROLLS - HAYON RETRACTABLE - RELAIS D'OR.jpg" xr:uid="{D38D6827-F5AF-4064-9CA2-2A35D9385DF3}"/>
    <hyperlink ref="AU528" r:id="rId177" display="Z_Outil collaboratif Grand Compte\Image Vehicule\RELAIS D'OR\D12.210 CF - 15 PAL-24 ROLLS - HAYON RETRACTABLE - RELAIS D'OR.jpg" xr:uid="{67A1F0A3-8820-495C-9FCE-1745EA5002B1}"/>
    <hyperlink ref="AU529" r:id="rId178" display="Z_Outil collaboratif Grand Compte\Image Vehicule\RELAIS D'OR\D16.210 CF - 18 PALL-30 ROLLS - HAYON RETRACTABLE - RELAIS D'OR.jpg" xr:uid="{1B802C58-89D4-4A54-9A99-93CEE900FD52}"/>
    <hyperlink ref="AU530" r:id="rId179" display="Z_Outil collaboratif Grand Compte\Image Vehicule\RELAIS D'OR\D19.280 CF - 21 PAL - HAYON RETRACTABLE - RELAIS D'OR.jpg" xr:uid="{9B94195E-3768-4314-BB9C-BC3A95CC4C33}"/>
    <hyperlink ref="AU535" r:id="rId180" display="Z_Outil collaboratif Grand Compte\Image Vehicule\SAVEURS D'ANTOINE\DCOCF - SAVEURS D'ANTOINE.jpg" xr:uid="{627359CF-ECBB-4492-8C7B-835B3F14A60A}"/>
    <hyperlink ref="AU536" r:id="rId181" display="Z_Outil collaboratif Grand Compte\Image Vehicule\SAVEURS D'ANTOINE\35S14 CF URBAN - 2 étagères - SAVEURS D'ANTOINE.jpg" xr:uid="{B46540F6-08EA-48D5-B17A-67BB08CB34BB}"/>
    <hyperlink ref="AU537" r:id="rId182" display="Z_Outil collaboratif Grand Compte\Image Vehicule\SAVEURS D'ANTOINE\35S14 CF URBAN - 5 PAL - Vrac - SAVEURS D'ANTOINE.jpg" xr:uid="{071F45B9-E28C-4BF7-B3D9-D580D79B975F}"/>
    <hyperlink ref="AU538" r:id="rId183" display="Z_Outil collaboratif Grand Compte\Image Vehicule\SAVEURS D'ANTOINE\35S14 CF URBAN - 6 PAL - Large - SAVEURS D'ANTOINE.jpg" xr:uid="{1EBB1C0F-97A1-445E-A343-32E436DDFE38}"/>
    <hyperlink ref="AU539" r:id="rId184" display="Z_Outil collaboratif Grand Compte\Image Vehicule\SAVEURS D'ANTOINE\35S14 CF URBAN - 8 Rolls - Large - SAVEURS D'ANTOINE.jpg" xr:uid="{F7D063CD-686E-41C3-8BD1-E2040CBF0A6C}"/>
    <hyperlink ref="AU540" r:id="rId185" display="Z_Outil collaboratif Grand Compte\Image Vehicule\SAVEURS D'ANTOINE\72C18 CF - 8 PAL - SAVEURS D'ANTOINE.jpg" xr:uid="{451F28A8-D97F-42EF-96E2-F337CF8B3D3B}"/>
    <hyperlink ref="AU541" r:id="rId186" display="Z_Outil collaboratif Grand Compte\Image Vehicule\SAVEURS D'ANTOINE\72C18 CF - 15 ROLLS - SAVEURS D'ANTOINE.jpg" xr:uid="{4B6194F0-0659-4135-8927-A18FA63B50F2}"/>
    <hyperlink ref="AU542" r:id="rId187" display="Z_Outil collaboratif Grand Compte\Image Vehicule\SAVEURS D'ANTOINE\100E19 CF - 10 PAL - SAVEURS D'ANTOINE.jpg" xr:uid="{A9B26D11-1400-4952-AC3E-0FD90C1CAE1E}"/>
    <hyperlink ref="AU543" r:id="rId188" display="Z_Outil collaboratif Grand Compte\Image Vehicule\SAVEURS D'ANTOINE\D10.210 CF - 10 PAL - SAVEURS D'ANTOINE.jpg" xr:uid="{8E5ABDA1-1D7B-4DC0-BF29-D8A24D40CB9A}"/>
    <hyperlink ref="AU544" r:id="rId189" display="Z_Outil collaboratif Grand Compte\Image Vehicule\TERRE AZUR\35S14 CF URBAN - 5 PAL - TERRE AZUR.jpg" xr:uid="{0F3ED6DE-9C81-414F-9A1A-8A554D854022}"/>
    <hyperlink ref="AU545" r:id="rId190" display="Z_Outil collaboratif Grand Compte\Image Vehicule\TERRE AZUR\35S14 CF URBAN - 6 PAL - Large - TERRE AZUR.jpg" xr:uid="{25AC33AB-69A0-4601-9E7E-E898E24E44BC}"/>
    <hyperlink ref="AU546" r:id="rId191" display="Z_Outil collaboratif Grand Compte\Image Vehicule\TERRE AZUR\35S14 CF URBAN - 6 PAL - Long - TERRE AZUR.jpg" xr:uid="{0175BFE4-4FD8-4C57-AEEF-858484B80149}"/>
    <hyperlink ref="AU547" r:id="rId192" display="Z_Outil collaboratif Grand Compte\Image Vehicule\TERRE AZUR\72C18 CF - HAYON RABATTABLE -  TERRE AZUR.jpg" xr:uid="{F8D2D841-8141-474E-9105-087CFF48284A}"/>
    <hyperlink ref="AU548" r:id="rId193" display="Z_Outil collaboratif Grand Compte\Image Vehicule\TERRE AZUR\72C18 CF - HAYON RETRACTABLE -  TERRE AZUR.jpg" xr:uid="{93E4015B-C8D3-4AAC-AB0B-AA0CCB258A99}"/>
    <hyperlink ref="AU549" r:id="rId194" display="Z_Outil collaboratif Grand Compte\Image Vehicule\TERRE AZUR\120E19 CF - 12 PAL - TERRE AZUR.jpg" xr:uid="{7B9479C1-5EEE-4B72-9C96-45FCBF9C1120}"/>
    <hyperlink ref="AU550" r:id="rId195" display="Z_Outil collaboratif Grand Compte\Image Vehicule\TERRE AZUR\160E21 CF - 15 PAL - TERRE AZUR.jpg" xr:uid="{F10ED5CF-809B-42CA-BA94-9E314855C512}"/>
    <hyperlink ref="AU551" r:id="rId196" display="Z_Outil collaboratif Grand Compte\Image Vehicule\TERRE AZUR\160E21 CF - 18 PAL - TERRE AZUR.jpg" xr:uid="{1E8A6351-BC4F-4557-A0C2-FF42596E4B25}"/>
    <hyperlink ref="AU552" r:id="rId197" display="Z_Outil collaboratif Grand Compte\Image Vehicule\TERRE AZUR\190EL28 CF - 21 PAL - TERRE AZUR.jpg" xr:uid="{2B163179-3C46-4BB3-9C72-E9A284A5A4DF}"/>
    <hyperlink ref="AU553" r:id="rId198" display="Z_Outil collaboratif Grand Compte\Image Vehicule\TERRE AZUR\190EL28 CF - 42 PAL - Double plancher - TERRE AZUR.jpg" xr:uid="{1F2FE060-3635-48F4-A767-88D1656D7492}"/>
    <hyperlink ref="AU554" r:id="rId199" display="Z_Outil collaboratif Grand Compte\Image Vehicule\TERRE AZUR\D12.210 CF - TERRE AZUR.jpg" xr:uid="{F96CFA7A-F664-47A1-8BB6-07B2C51CAC11}"/>
    <hyperlink ref="AU555" r:id="rId200" display="Z_Outil collaboratif Grand Compte\Image Vehicule\TERRE AZUR\D16.210 CF - 15 PAL - TERRE AZUR.jpg" xr:uid="{45775161-D845-4B90-BE37-1F1B0F131B90}"/>
    <hyperlink ref="AU556" r:id="rId201" display="Z_Outil collaboratif Grand Compte\Image Vehicule\TERRE AZUR\D16.210 CF - 18 PAL - TERRE AZUR.jpg" xr:uid="{02A4AABA-274B-4B05-B1EB-4CF9613A898F}"/>
    <hyperlink ref="AU557" r:id="rId202" display="Z_Outil collaboratif Grand Compte\Image Vehicule\TERRE AZUR\D19.280 CF WIDE - TERRE AZUR.jpg" xr:uid="{5852C306-684D-41AA-94C3-47AAC05E3610}"/>
    <hyperlink ref="AU558" r:id="rId203" display="Z_Outil collaboratif Grand Compte\Image Vehicule\TERRE AZUR\D19.280 CF WIDE - 42 PAL - TERRE AZUR.jpg" xr:uid="{485057F6-9842-48FC-A1B8-6A785F50C7F0}"/>
    <hyperlink ref="AU509" r:id="rId204" display="Z_Outil collaboratif Grand Compte\Image Vehicule\PASSION FROID\D16.210 CF - 15 PAL - 3 VTX - PASSION FROID.jpg" xr:uid="{D1E4974E-0940-4760-8D79-AC4178291EDD}"/>
    <hyperlink ref="AU510" r:id="rId205" display="Z_Outil collaboratif Grand Compte\Image Vehicule\PASSION FROID\D16.210 CF - 15 PAL - EASY ACC'AIR - PASSION FROID.jpg" xr:uid="{99226CA6-B510-4FA0-89B3-CFBA1D3D54FB}"/>
    <hyperlink ref="AU506" r:id="rId206" display="Z_Outil collaboratif Grand Compte\Image Vehicule\PASSION FROID\190EL28 CF - 21 PAL - 3 VTX - PASSION FROID.jpg" xr:uid="{DEB8E9A3-544A-450B-88FE-C460DB879092}"/>
    <hyperlink ref="AU507" r:id="rId207" display="Z_Outil collaboratif Grand Compte\Image Vehicule\PASSION FROID\190EL28 CF - 21 PAL - EASY ACC'AIR - PASSION FROID.jpg" xr:uid="{44434717-C5B8-4F7F-84F6-258AE864822D}"/>
    <hyperlink ref="AU504" r:id="rId208" display="Z_Outil collaboratif Grand Compte\Image Vehicule\PASSION FROID\160E21CF - 18 PAL - 3 VTX - PASSION FROID.jpg" xr:uid="{C29D8F4F-D249-4D22-9E6C-3893AA0BC12F}"/>
    <hyperlink ref="AU505" r:id="rId209" display="Z_Outil collaboratif Grand Compte\Image Vehicule\PASSION FROID\160E21CF - 18 PAL - EASY ACC'AIR - PASSION FROID.jpg" xr:uid="{C35DA8FF-FA82-47D4-B53E-16A8C6EE3B82}"/>
    <hyperlink ref="AU501" r:id="rId210" display="Z_Outil collaboratif Grand Compte\Image Vehicule\PASSION FROID\120E19 CF -  PASSION FROID.jpg" xr:uid="{0854030A-702E-4622-ADDD-6B7C28C0FC5F}"/>
    <hyperlink ref="AU508" r:id="rId211" display="Z_Outil collaboratif Grand Compte\Image Vehicule\PASSION FROID\D12.210 CF - PASSION FROID.jpg" xr:uid="{8B050C09-7F58-4A2B-A106-5FBE972F20B0}"/>
    <hyperlink ref="AU496" r:id="rId212" xr:uid="{140FB312-EC28-4758-875E-8E9E31C2A545}"/>
    <hyperlink ref="AU495" r:id="rId213" xr:uid="{86749AF2-9932-446D-962D-27E1CE250B5E}"/>
    <hyperlink ref="AU494" r:id="rId214" xr:uid="{784FEF6E-6FA8-48C9-8662-184AA97E6017}"/>
    <hyperlink ref="AU493" r:id="rId215" xr:uid="{6284BB40-00A6-4A36-8A0E-88F50AE1BD3D}"/>
    <hyperlink ref="AU492" r:id="rId216" xr:uid="{98C145E2-C785-43AC-AB8B-E3B67C850F53}"/>
    <hyperlink ref="AU491" r:id="rId217" xr:uid="{AFEBC888-2C2A-45D3-88B7-311540740B18}"/>
    <hyperlink ref="AU490" r:id="rId218" xr:uid="{7C9F22AA-3FF9-4464-AF31-CAA8C319238D}"/>
    <hyperlink ref="AU489" r:id="rId219" xr:uid="{3061E2D3-6EC0-4E6C-B9C9-82C0F5F233F8}"/>
    <hyperlink ref="AU488" r:id="rId220" xr:uid="{495BEDC6-6050-482F-B264-A6369D94BA38}"/>
    <hyperlink ref="AU487" r:id="rId221" xr:uid="{7584A7D5-0245-48BA-B951-1B82428344E0}"/>
    <hyperlink ref="AU345" r:id="rId222" xr:uid="{B0338E2D-CC09-43C8-9E54-FE4EE05A36BF}"/>
    <hyperlink ref="AU346" r:id="rId223" xr:uid="{A464ACD5-DE70-463E-AB03-E7508F92DC3C}"/>
    <hyperlink ref="AU344" r:id="rId224" xr:uid="{2F1616A6-5282-4AD0-81FC-2536322D5A32}"/>
    <hyperlink ref="AU347" r:id="rId225" xr:uid="{49D0F0E5-27D5-4DEC-906E-3C843217CD54}"/>
    <hyperlink ref="AU348" r:id="rId226" xr:uid="{96F31090-86CC-4B5D-9D31-17CFD567CF2D}"/>
    <hyperlink ref="AU355" r:id="rId227" xr:uid="{0F556C9D-3B47-4D43-9520-3EE0E9ADEC11}"/>
    <hyperlink ref="AU356" r:id="rId228" xr:uid="{BB39A062-00C4-448E-B743-C7C4C986CC2F}"/>
    <hyperlink ref="AU290" r:id="rId229" xr:uid="{8059916B-637A-4754-B2D6-929788FF2F15}"/>
    <hyperlink ref="AU291" r:id="rId230" xr:uid="{53BDED7C-D583-4A0E-AE0F-10E0368C41EF}"/>
    <hyperlink ref="AU289" r:id="rId231" xr:uid="{56C2FF90-A500-4DE4-A84C-3FA71E9EB4C5}"/>
    <hyperlink ref="AU292" r:id="rId232" xr:uid="{A1CCDCC1-D557-4BB6-B1AE-36E88C15C529}"/>
    <hyperlink ref="AU293" r:id="rId233" xr:uid="{A21B79FA-47F4-4BA5-999A-065B3935916D}"/>
    <hyperlink ref="AU294" r:id="rId234" xr:uid="{25661EA9-CABC-4F3B-B23C-14EA8CB3219C}"/>
    <hyperlink ref="AU295" r:id="rId235" xr:uid="{B698E55D-E833-435B-BA93-D5B56EFC965C}"/>
    <hyperlink ref="AU298" r:id="rId236" xr:uid="{78D6116D-8E92-4A75-A316-5FD19ED9FEE8}"/>
    <hyperlink ref="AU296" r:id="rId237" xr:uid="{6992F177-C128-4DF0-AD7D-3848AEB6C54B}"/>
    <hyperlink ref="AU297" r:id="rId238" xr:uid="{413F0099-FFBC-4DEC-B328-A9D30DB8367B}"/>
    <hyperlink ref="AU311" r:id="rId239" xr:uid="{B6C1F565-9275-4CC4-8EB7-60EEDEAF8F6F}"/>
    <hyperlink ref="AU305" r:id="rId240" xr:uid="{F68564FC-62CC-4118-91A3-1E1A439408BE}"/>
    <hyperlink ref="AU307" r:id="rId241" xr:uid="{16B0494B-6189-49A3-A3F9-3747946E8CF2}"/>
    <hyperlink ref="AU322" r:id="rId242" xr:uid="{E3E50B5E-AAD5-4823-9C66-F235BF7901C7}"/>
    <hyperlink ref="AU330" r:id="rId243" xr:uid="{2BA7C77A-22BC-47C0-A455-78C07386569E}"/>
    <hyperlink ref="AU332" r:id="rId244" xr:uid="{00983D31-7BBD-4213-BE57-95D94FC5315D}"/>
    <hyperlink ref="AU334" r:id="rId245" xr:uid="{9BD32060-5ADE-4614-BD68-D850BA1F0115}"/>
    <hyperlink ref="AW339" r:id="rId246" xr:uid="{E1DCC602-2D69-4B35-B9A6-15E1F69399C4}"/>
    <hyperlink ref="AW340:AW362" r:id="rId247" display="Z_Outil%20collaboratif%20Grand%20Compte\Image%20Carburant\ELECTRIQUE.jpg" xr:uid="{E9F1D281-3DA2-487F-B6D2-93022378796F}"/>
  </hyperlinks>
  <pageMargins left="0.70866141732283472" right="0.70866141732283472" top="0.74803149606299213" bottom="0.74803149606299213" header="0.31496062992125984" footer="0.31496062992125984"/>
  <pageSetup paperSize="8" fitToHeight="2" orientation="portrait" r:id="rId2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72F8-77DD-4122-B859-8DBE04F47333}">
  <dimension ref="A1:BH173"/>
  <sheetViews>
    <sheetView zoomScale="85" zoomScaleNormal="85" workbookViewId="0">
      <pane xSplit="1" ySplit="1" topLeftCell="B82" activePane="bottomRight" state="frozen"/>
      <selection pane="topRight" activeCell="C1" sqref="C1"/>
      <selection pane="bottomLeft" activeCell="A2" sqref="A2"/>
      <selection pane="bottomRight" activeCell="D190" sqref="D190"/>
    </sheetView>
  </sheetViews>
  <sheetFormatPr baseColWidth="10" defaultColWidth="11.42578125" defaultRowHeight="11.25" outlineLevelRow="1" outlineLevelCol="1" x14ac:dyDescent="0.25"/>
  <cols>
    <col min="1" max="1" width="26.5703125" style="68" customWidth="1"/>
    <col min="2" max="2" width="11.5703125" style="66" customWidth="1"/>
    <col min="3" max="3" width="20.7109375" style="67" customWidth="1"/>
    <col min="4" max="7" width="20.7109375" style="67" customWidth="1" outlineLevel="1"/>
    <col min="8" max="8" width="20.7109375" style="67" customWidth="1"/>
    <col min="9" max="9" width="28.28515625" style="67" customWidth="1"/>
    <col min="10" max="10" width="20.7109375" style="67" customWidth="1" outlineLevel="1"/>
    <col min="11" max="11" width="30.28515625" style="67" customWidth="1" outlineLevel="1"/>
    <col min="12" max="12" width="20.7109375" style="67" customWidth="1" outlineLevel="1"/>
    <col min="13" max="13" width="20.7109375" style="96" customWidth="1" outlineLevel="1"/>
    <col min="14" max="16" width="20.7109375" style="67" customWidth="1" outlineLevel="1"/>
    <col min="17" max="17" width="20.7109375" style="67" customWidth="1" outlineLevel="1" collapsed="1"/>
    <col min="18" max="20" width="20.7109375" style="67" customWidth="1" outlineLevel="1"/>
    <col min="21" max="21" width="21.85546875" style="67" customWidth="1" outlineLevel="1"/>
    <col min="22" max="23" width="20.7109375" style="67" customWidth="1" outlineLevel="1"/>
    <col min="24" max="24" width="27.7109375" style="67" customWidth="1"/>
    <col min="25" max="28" width="20.7109375" style="67" customWidth="1" outlineLevel="1"/>
    <col min="29" max="29" width="30.140625" style="67" customWidth="1"/>
    <col min="30" max="30" width="20.7109375" style="67" customWidth="1" outlineLevel="1"/>
    <col min="31" max="31" width="20.7109375" style="96" customWidth="1" outlineLevel="1"/>
    <col min="32" max="32" width="29.85546875" style="67" customWidth="1" outlineLevel="1"/>
    <col min="33" max="33" width="27" style="67" customWidth="1"/>
    <col min="34" max="34" width="20.7109375" style="96" customWidth="1" outlineLevel="1"/>
    <col min="35" max="44" width="20.7109375" style="67" customWidth="1" outlineLevel="1"/>
    <col min="45" max="45" width="20.7109375" style="67" customWidth="1" outlineLevel="1" collapsed="1"/>
    <col min="46" max="46" width="20.7109375" style="96" customWidth="1" outlineLevel="1"/>
    <col min="47" max="47" width="100.7109375" style="66" customWidth="1"/>
    <col min="48" max="16384" width="11.42578125" style="66"/>
  </cols>
  <sheetData>
    <row r="1" spans="1:47" s="181" customFormat="1" ht="49.9" customHeight="1" x14ac:dyDescent="0.25">
      <c r="A1" s="165" t="s">
        <v>2992</v>
      </c>
      <c r="B1" s="179" t="s">
        <v>2683</v>
      </c>
      <c r="C1" s="179" t="s">
        <v>2842</v>
      </c>
      <c r="D1" s="179" t="s">
        <v>2843</v>
      </c>
      <c r="E1" s="179" t="s">
        <v>2844</v>
      </c>
      <c r="F1" s="179" t="s">
        <v>2845</v>
      </c>
      <c r="G1" s="179" t="s">
        <v>2846</v>
      </c>
      <c r="H1" s="179" t="s">
        <v>2847</v>
      </c>
      <c r="I1" s="179" t="s">
        <v>2848</v>
      </c>
      <c r="J1" s="179" t="s">
        <v>2849</v>
      </c>
      <c r="K1" s="179" t="s">
        <v>2814</v>
      </c>
      <c r="L1" s="179" t="s">
        <v>2813</v>
      </c>
      <c r="M1" s="179" t="s">
        <v>2815</v>
      </c>
      <c r="N1" s="179" t="s">
        <v>2816</v>
      </c>
      <c r="O1" s="179" t="s">
        <v>2817</v>
      </c>
      <c r="P1" s="179" t="s">
        <v>2818</v>
      </c>
      <c r="Q1" s="179" t="s">
        <v>2819</v>
      </c>
      <c r="R1" s="179" t="s">
        <v>2820</v>
      </c>
      <c r="S1" s="179" t="s">
        <v>2821</v>
      </c>
      <c r="T1" s="179" t="s">
        <v>2822</v>
      </c>
      <c r="U1" s="179" t="s">
        <v>2823</v>
      </c>
      <c r="V1" s="179" t="s">
        <v>2824</v>
      </c>
      <c r="W1" s="179" t="s">
        <v>2825</v>
      </c>
      <c r="X1" s="179" t="s">
        <v>2826</v>
      </c>
      <c r="Y1" s="179" t="s">
        <v>2827</v>
      </c>
      <c r="Z1" s="167" t="s">
        <v>2828</v>
      </c>
      <c r="AA1" s="167" t="s">
        <v>2829</v>
      </c>
      <c r="AB1" s="167" t="s">
        <v>2830</v>
      </c>
      <c r="AC1" s="179" t="s">
        <v>2831</v>
      </c>
      <c r="AD1" s="179" t="s">
        <v>2832</v>
      </c>
      <c r="AE1" s="167" t="s">
        <v>2833</v>
      </c>
      <c r="AF1" s="167" t="s">
        <v>2886</v>
      </c>
      <c r="AG1" s="167" t="s">
        <v>2834</v>
      </c>
      <c r="AH1" s="167" t="s">
        <v>2835</v>
      </c>
      <c r="AI1" s="167" t="s">
        <v>2836</v>
      </c>
      <c r="AJ1" s="167" t="s">
        <v>2837</v>
      </c>
      <c r="AK1" s="167" t="s">
        <v>2838</v>
      </c>
      <c r="AL1" s="167" t="s">
        <v>2839</v>
      </c>
      <c r="AM1" s="167" t="s">
        <v>2752</v>
      </c>
      <c r="AN1" s="167" t="s">
        <v>2753</v>
      </c>
      <c r="AO1" s="167" t="s">
        <v>2754</v>
      </c>
      <c r="AP1" s="167" t="s">
        <v>2755</v>
      </c>
      <c r="AQ1" s="167" t="s">
        <v>2756</v>
      </c>
      <c r="AR1" s="167" t="s">
        <v>2757</v>
      </c>
      <c r="AS1" s="167" t="s">
        <v>2758</v>
      </c>
      <c r="AT1" s="167" t="s">
        <v>2840</v>
      </c>
      <c r="AU1" s="178" t="str">
        <f t="shared" ref="AU1:AU64" si="0">CONCATENATE(B1,C1,D1,E1,F1,G1,H1,I1,J1,K1,L1,M1,N1,O1,P1,Q1,R1,S1,T1,U1,V1,W1,X1,Y1,Z1,AA1,AB1,AC1,AD1,AE1,AF1,AG1,AH1,AI1,AJ1,AK1,AL1,AM1,AN1,AO1,AP1,AQ1,AR1,AS1,AT1)</f>
        <v>Produit (P)
Produit (P) 
/ Option (O)Nb places
CaB Nb places Couleur
Sans optionDirection assistée
Couchette
Radars avantVerrouillage cabine
Verrouillage centralisé
Phares avant antibrouillardVitres
Vitres électriques
Phares avant full LEDRétroviseurs
Airbags 
Frein de parc électriqueAirbag
Rétroviseurs 
Run LockRadio
Radio
GPSBluetooth
Volant 
ChronotachygrapheSiège conducteur
Siège conducteur
NARadars de recul
Banquette passagers
NACaméra de recul
Caméra de recul
NARégulateur
Radars de recul
NAVolant 
Régulateur de vitesse
NAPrise 12V - 24 V
Limiteur de vitesse
NAAntibrouillard Av
Climatisation 
NACouchette
Chronotachygraphe
NASuspension cabine
Allumage feux / essuies glace
NAChauffage autonome
Prise FMS
NAClimatisation
Coffre de rangement 
NADéflecteur
TPMS
NAPrise FMS
Phares avant 
NATunnel / Rang. Coffre sur tunnel mot.
Phares avant antibrouillard
NATrappe de toit
KEYOUT / Run Lock
NABoite de rangement
Chauffage autonome
NAElements de sécurité
Marteau brise vitre
NAExtincteur
Soufflette air comprimé
NAChronotachygraphe
Prises 12V et 24 V
NAKit fumeur
Extincteur
NATPMS
Porte vison côté passager
NAEssuie vitre av  / allumage auto feux
Pare chocs avant en acier
NAFrein stationnement électrique
Pare chocs avant angles en acier
NAPeinture
Déflecteur de toit
NATriangle de signalisation
Déflecteurs latéraux
NAzone libre 10
Suspension cabine
NAzone libre 11
Aérateur de pavillon
NAzone libre 12
Télématique SAMSARA 
NAzone libre 13
NA
NAzone libre 14
NA
NAzone libre 15
NA
NAzone libre 16
NA
NAzone libre 17
NA
NAzone libre 18
NA
NAzone libre 19
NA
NATélématique
NA
NA</v>
      </c>
    </row>
    <row r="2" spans="1:47" hidden="1" outlineLevel="1" x14ac:dyDescent="0.25">
      <c r="A2" s="64" t="s">
        <v>4323</v>
      </c>
      <c r="B2" s="64" t="s">
        <v>424</v>
      </c>
      <c r="C2" s="64" t="s">
        <v>1035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9" t="str">
        <f t="shared" si="0"/>
        <v>OSans option</v>
      </c>
    </row>
    <row r="3" spans="1:47" ht="33.75" hidden="1" outlineLevel="1" x14ac:dyDescent="0.25">
      <c r="A3" s="64" t="s">
        <v>3578</v>
      </c>
      <c r="B3" s="64" t="s">
        <v>32</v>
      </c>
      <c r="C3" s="64" t="s">
        <v>1759</v>
      </c>
      <c r="D3" s="64"/>
      <c r="E3" s="203" t="s">
        <v>3673</v>
      </c>
      <c r="F3" s="64" t="s">
        <v>3674</v>
      </c>
      <c r="G3" s="64" t="s">
        <v>3675</v>
      </c>
      <c r="H3" s="203" t="s">
        <v>3676</v>
      </c>
      <c r="I3" s="64" t="s">
        <v>3677</v>
      </c>
      <c r="J3" s="64"/>
      <c r="K3" s="64" t="s">
        <v>3678</v>
      </c>
      <c r="L3" s="203" t="s">
        <v>3679</v>
      </c>
      <c r="M3" s="64"/>
      <c r="N3" s="64"/>
      <c r="O3" s="203" t="s">
        <v>3680</v>
      </c>
      <c r="P3" s="203" t="s">
        <v>3681</v>
      </c>
      <c r="Q3" s="203" t="s">
        <v>3682</v>
      </c>
      <c r="R3" s="64"/>
      <c r="S3" s="64"/>
      <c r="T3" s="203" t="s">
        <v>2437</v>
      </c>
      <c r="U3" s="64"/>
      <c r="V3" s="64"/>
      <c r="W3" s="64"/>
      <c r="X3" s="64"/>
      <c r="Y3" s="64"/>
      <c r="Z3" s="64"/>
      <c r="AA3" s="203" t="s">
        <v>3683</v>
      </c>
      <c r="AB3" s="64"/>
      <c r="AC3" s="64"/>
      <c r="AD3" s="64"/>
      <c r="AE3" s="64"/>
      <c r="AF3" s="64"/>
      <c r="AG3" s="64"/>
      <c r="AH3" s="64" t="s">
        <v>3684</v>
      </c>
      <c r="AI3" s="64"/>
      <c r="AJ3" s="64"/>
      <c r="AK3" s="64"/>
      <c r="AL3" s="64"/>
      <c r="AM3" s="64"/>
      <c r="AN3" s="64"/>
      <c r="AO3" s="64"/>
      <c r="AP3" s="64"/>
      <c r="AQ3" s="64"/>
      <c r="AR3" s="64"/>
      <c r="AS3" s="64"/>
      <c r="AT3" s="64"/>
      <c r="AU3" s="69" t="str">
        <f t="shared" si="0"/>
        <v xml:space="preserve">P2 placesPortes rigides en verresVitres coulissantes manuellesRétroviseurs manuels Désivrage / Désembuage du pare-briseAutoradioSiège conducteur réglable avec appuie têteRadards de recul Afficheur LCDPrise 12 VFeux jour à LED Chauffage électriqueAvertisseur piétons Pré-équipement télématique </v>
      </c>
    </row>
    <row r="4" spans="1:47" ht="33.75" hidden="1" outlineLevel="1" x14ac:dyDescent="0.25">
      <c r="A4" s="64" t="s">
        <v>3585</v>
      </c>
      <c r="B4" s="64" t="s">
        <v>32</v>
      </c>
      <c r="C4" s="64" t="s">
        <v>1759</v>
      </c>
      <c r="D4" s="64"/>
      <c r="E4" s="64" t="s">
        <v>3673</v>
      </c>
      <c r="F4" s="64" t="s">
        <v>3674</v>
      </c>
      <c r="G4" s="64" t="s">
        <v>3675</v>
      </c>
      <c r="H4" s="64" t="s">
        <v>3676</v>
      </c>
      <c r="I4" s="64" t="s">
        <v>3677</v>
      </c>
      <c r="J4" s="64"/>
      <c r="K4" s="64" t="s">
        <v>3678</v>
      </c>
      <c r="L4" s="64" t="s">
        <v>3679</v>
      </c>
      <c r="M4" s="64"/>
      <c r="N4" s="64"/>
      <c r="O4" s="64" t="s">
        <v>3680</v>
      </c>
      <c r="P4" s="64" t="s">
        <v>3681</v>
      </c>
      <c r="Q4" s="64" t="s">
        <v>3682</v>
      </c>
      <c r="R4" s="64"/>
      <c r="S4" s="64"/>
      <c r="T4" s="64" t="s">
        <v>2437</v>
      </c>
      <c r="U4" s="64"/>
      <c r="V4" s="64"/>
      <c r="W4" s="64"/>
      <c r="X4" s="64"/>
      <c r="Y4" s="64"/>
      <c r="Z4" s="64"/>
      <c r="AA4" s="64" t="s">
        <v>3683</v>
      </c>
      <c r="AB4" s="64"/>
      <c r="AC4" s="64"/>
      <c r="AD4" s="64"/>
      <c r="AE4" s="64"/>
      <c r="AF4" s="64"/>
      <c r="AG4" s="64"/>
      <c r="AH4" s="64" t="s">
        <v>3684</v>
      </c>
      <c r="AI4" s="64"/>
      <c r="AJ4" s="64" t="s">
        <v>423</v>
      </c>
      <c r="AK4" s="64"/>
      <c r="AL4" s="64"/>
      <c r="AM4" s="64"/>
      <c r="AN4" s="70"/>
      <c r="AO4" s="64"/>
      <c r="AP4" s="64"/>
      <c r="AQ4" s="64"/>
      <c r="AR4" s="64"/>
      <c r="AS4" s="64"/>
      <c r="AT4" s="64"/>
      <c r="AU4" s="69" t="str">
        <f t="shared" si="0"/>
        <v>P2 placesPortes rigides en verresVitres coulissantes manuellesRétroviseurs manuels Désivrage / Désembuage du pare-briseAutoradioSiège conducteur réglable avec appuie têteRadards de recul Afficheur LCDPrise 12 VFeux jour à LED Chauffage électriqueAvertisseur piétons Pré-équipement télématique Triangle de signalisation</v>
      </c>
    </row>
    <row r="5" spans="1:47" hidden="1" outlineLevel="1" x14ac:dyDescent="0.25">
      <c r="A5" s="64" t="s">
        <v>4324</v>
      </c>
      <c r="B5" s="64" t="s">
        <v>424</v>
      </c>
      <c r="C5" s="64"/>
      <c r="D5" s="64"/>
      <c r="E5" s="64"/>
      <c r="F5" s="64"/>
      <c r="G5" s="64"/>
      <c r="H5" s="64"/>
      <c r="I5" s="64" t="s">
        <v>3879</v>
      </c>
      <c r="J5" s="64"/>
      <c r="K5" s="64" t="s">
        <v>400</v>
      </c>
      <c r="L5" s="64"/>
      <c r="M5" s="64"/>
      <c r="N5" s="64"/>
      <c r="O5" s="64"/>
      <c r="P5" s="64"/>
      <c r="Q5" s="64"/>
      <c r="R5" s="64"/>
      <c r="S5" s="64"/>
      <c r="T5" s="64"/>
      <c r="U5" s="64"/>
      <c r="V5" s="64"/>
      <c r="W5" s="64"/>
      <c r="X5" s="64"/>
      <c r="Y5" s="64" t="s">
        <v>3880</v>
      </c>
      <c r="Z5" s="64" t="s">
        <v>3881</v>
      </c>
      <c r="AA5" s="64"/>
      <c r="AB5" s="64" t="s">
        <v>3882</v>
      </c>
      <c r="AC5" s="64"/>
      <c r="AD5" s="64"/>
      <c r="AE5" s="64"/>
      <c r="AF5" s="64"/>
      <c r="AG5" s="64"/>
      <c r="AH5" s="64"/>
      <c r="AI5" s="64"/>
      <c r="AJ5" s="64"/>
      <c r="AK5" s="64"/>
      <c r="AL5" s="64"/>
      <c r="AM5" s="64"/>
      <c r="AN5" s="70"/>
      <c r="AO5" s="64"/>
      <c r="AP5" s="64"/>
      <c r="AQ5" s="64"/>
      <c r="AR5" s="64"/>
      <c r="AS5" s="64"/>
      <c r="AT5" s="64"/>
      <c r="AU5" s="69" t="str">
        <f t="shared" si="0"/>
        <v>OGPSCaméra de reculBoîte à clefsBoite à pharmacieExtincteur 1Kg</v>
      </c>
    </row>
    <row r="6" spans="1:47" ht="33.75" hidden="1" outlineLevel="1" x14ac:dyDescent="0.25">
      <c r="A6" s="64" t="s">
        <v>3427</v>
      </c>
      <c r="B6" s="64" t="s">
        <v>32</v>
      </c>
      <c r="C6" s="64" t="s">
        <v>1759</v>
      </c>
      <c r="D6" s="64" t="s">
        <v>405</v>
      </c>
      <c r="E6" s="64" t="s">
        <v>3685</v>
      </c>
      <c r="F6" s="64" t="s">
        <v>3674</v>
      </c>
      <c r="G6" s="64" t="s">
        <v>3686</v>
      </c>
      <c r="H6" s="64" t="s">
        <v>3687</v>
      </c>
      <c r="I6" s="64" t="s">
        <v>3688</v>
      </c>
      <c r="J6" s="64" t="s">
        <v>404</v>
      </c>
      <c r="K6" s="64" t="s">
        <v>3689</v>
      </c>
      <c r="L6" s="64" t="s">
        <v>401</v>
      </c>
      <c r="M6" s="64"/>
      <c r="N6" s="64" t="s">
        <v>3690</v>
      </c>
      <c r="O6" s="64" t="s">
        <v>3691</v>
      </c>
      <c r="P6" s="64"/>
      <c r="Q6" s="64" t="s">
        <v>3692</v>
      </c>
      <c r="R6" s="64"/>
      <c r="S6" s="64"/>
      <c r="T6" s="64" t="s">
        <v>2437</v>
      </c>
      <c r="U6" s="64"/>
      <c r="V6" s="64"/>
      <c r="W6" s="64"/>
      <c r="X6" s="64"/>
      <c r="Y6" s="64"/>
      <c r="Z6" s="64"/>
      <c r="AA6" s="64"/>
      <c r="AB6" s="64"/>
      <c r="AC6" s="64"/>
      <c r="AD6" s="64"/>
      <c r="AE6" s="64"/>
      <c r="AF6" s="64"/>
      <c r="AG6" s="64"/>
      <c r="AH6" s="64" t="s">
        <v>403</v>
      </c>
      <c r="AI6" s="64"/>
      <c r="AJ6" s="64"/>
      <c r="AK6" s="64"/>
      <c r="AL6" s="64"/>
      <c r="AM6" s="64"/>
      <c r="AN6" s="64"/>
      <c r="AO6" s="64"/>
      <c r="AP6" s="64"/>
      <c r="AQ6" s="64"/>
      <c r="AR6" s="64"/>
      <c r="AS6" s="64"/>
      <c r="AT6" s="64"/>
      <c r="AU6" s="69" t="str">
        <f t="shared" si="0"/>
        <v>P2 placesDirection assistéePortes à fermeture centraliséeVitres coulissantes manuellesRétroviseurs manuelsDégivrage / Désembuage du pare-briseAutoradio BluetoothSièges conforts réglables avec appuie têteRadars de reculCapteur de présence anti démarrage sur siège conducteurAfficheur LCD couleur haute-définitionFeux jour à LEDChauffage électriquePré-équipement télématique</v>
      </c>
    </row>
    <row r="7" spans="1:47" ht="22.5" hidden="1" outlineLevel="1" x14ac:dyDescent="0.25">
      <c r="A7" s="64" t="s">
        <v>4325</v>
      </c>
      <c r="B7" s="64" t="s">
        <v>424</v>
      </c>
      <c r="C7" s="64"/>
      <c r="D7" s="64"/>
      <c r="E7" s="64"/>
      <c r="F7" s="64"/>
      <c r="G7" s="64"/>
      <c r="H7" s="64"/>
      <c r="I7" s="64"/>
      <c r="J7" s="64"/>
      <c r="K7" s="64"/>
      <c r="L7" s="64" t="s">
        <v>3883</v>
      </c>
      <c r="M7" s="64"/>
      <c r="N7" s="64"/>
      <c r="O7" s="64"/>
      <c r="P7" s="64"/>
      <c r="Q7" s="64"/>
      <c r="R7" s="64"/>
      <c r="S7" s="64"/>
      <c r="T7" s="64"/>
      <c r="U7" s="64" t="s">
        <v>3884</v>
      </c>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9" t="str">
        <f t="shared" si="0"/>
        <v xml:space="preserve">OCaméra de recul (montage carrossier)Climatisation manuelle (CU : -10 Kg) </v>
      </c>
    </row>
    <row r="8" spans="1:47" ht="45" hidden="1" outlineLevel="1" x14ac:dyDescent="0.25">
      <c r="A8" s="64" t="s">
        <v>3369</v>
      </c>
      <c r="B8" s="64" t="s">
        <v>32</v>
      </c>
      <c r="C8" s="64" t="s">
        <v>1759</v>
      </c>
      <c r="D8" s="64" t="s">
        <v>405</v>
      </c>
      <c r="E8" s="64" t="s">
        <v>402</v>
      </c>
      <c r="F8" s="64" t="s">
        <v>1761</v>
      </c>
      <c r="G8" s="64" t="s">
        <v>1771</v>
      </c>
      <c r="H8" s="64" t="s">
        <v>555</v>
      </c>
      <c r="I8" s="64" t="s">
        <v>3693</v>
      </c>
      <c r="J8" s="64" t="s">
        <v>3694</v>
      </c>
      <c r="K8" s="64" t="s">
        <v>1772</v>
      </c>
      <c r="L8" s="64" t="s">
        <v>401</v>
      </c>
      <c r="M8" s="64" t="s">
        <v>400</v>
      </c>
      <c r="N8" s="64" t="s">
        <v>1765</v>
      </c>
      <c r="O8" s="64" t="s">
        <v>1781</v>
      </c>
      <c r="P8" s="64"/>
      <c r="Q8" s="64"/>
      <c r="R8" s="64"/>
      <c r="S8" s="64"/>
      <c r="T8" s="64"/>
      <c r="U8" s="64" t="s">
        <v>399</v>
      </c>
      <c r="V8" s="64"/>
      <c r="W8" s="64"/>
      <c r="X8" s="64"/>
      <c r="Y8" s="64"/>
      <c r="Z8" s="64"/>
      <c r="AA8" s="64"/>
      <c r="AB8" s="64"/>
      <c r="AC8" s="64"/>
      <c r="AD8" s="64"/>
      <c r="AE8" s="64" t="s">
        <v>1768</v>
      </c>
      <c r="AF8" s="64" t="s">
        <v>3695</v>
      </c>
      <c r="AG8" s="64" t="s">
        <v>410</v>
      </c>
      <c r="AH8" s="64" t="s">
        <v>3696</v>
      </c>
      <c r="AI8" s="64"/>
      <c r="AJ8" s="64"/>
      <c r="AK8" s="64"/>
      <c r="AL8" s="64"/>
      <c r="AM8" s="64"/>
      <c r="AN8" s="70"/>
      <c r="AO8" s="64"/>
      <c r="AP8" s="64"/>
      <c r="AQ8" s="64"/>
      <c r="AR8" s="64"/>
      <c r="AS8" s="64"/>
      <c r="AT8" s="64"/>
      <c r="AU8" s="69" t="str">
        <f t="shared" si="0"/>
        <v>P2 placesDirection assistéeVerrouillage centralisé à distanceVitres électriquesRétroviseurs extérieurs dégivrantsAirbag conducteurRadio numérique DAB / MP3 / USB Bluetooth (sans commande au volant)Siège conducteur avec réglage en longueur et dossier inclinableRadars de reculCaméra de reculRégulateur et limiteur de vitesseVolant réglable en hauteur et en profondeurClimatisation manuelleDétection de sous gonflage Allumage automatique des feux de croisement Frein stationnement électriquePré-équipement télématqiue</v>
      </c>
    </row>
    <row r="9" spans="1:47" ht="56.25" hidden="1" outlineLevel="1" x14ac:dyDescent="0.25">
      <c r="A9" s="64" t="s">
        <v>3372</v>
      </c>
      <c r="B9" s="64" t="s">
        <v>32</v>
      </c>
      <c r="C9" s="64" t="s">
        <v>1759</v>
      </c>
      <c r="D9" s="64" t="s">
        <v>405</v>
      </c>
      <c r="E9" s="64" t="s">
        <v>402</v>
      </c>
      <c r="F9" s="64" t="s">
        <v>1761</v>
      </c>
      <c r="G9" s="64" t="s">
        <v>1771</v>
      </c>
      <c r="H9" s="64" t="s">
        <v>555</v>
      </c>
      <c r="I9" s="64" t="s">
        <v>3693</v>
      </c>
      <c r="J9" s="64" t="s">
        <v>3694</v>
      </c>
      <c r="K9" s="64" t="s">
        <v>1772</v>
      </c>
      <c r="L9" s="64" t="s">
        <v>401</v>
      </c>
      <c r="M9" s="64" t="s">
        <v>400</v>
      </c>
      <c r="N9" s="64" t="s">
        <v>1765</v>
      </c>
      <c r="O9" s="64" t="s">
        <v>1781</v>
      </c>
      <c r="P9" s="64" t="s">
        <v>3681</v>
      </c>
      <c r="Q9" s="64"/>
      <c r="R9" s="64"/>
      <c r="S9" s="64"/>
      <c r="T9" s="64"/>
      <c r="U9" s="64" t="s">
        <v>399</v>
      </c>
      <c r="V9" s="64"/>
      <c r="W9" s="64"/>
      <c r="X9" s="64"/>
      <c r="Y9" s="64"/>
      <c r="Z9" s="64"/>
      <c r="AA9" s="64"/>
      <c r="AB9" s="64"/>
      <c r="AC9" s="64"/>
      <c r="AD9" s="64"/>
      <c r="AE9" s="64" t="s">
        <v>1768</v>
      </c>
      <c r="AF9" s="64" t="s">
        <v>3695</v>
      </c>
      <c r="AG9" s="64" t="s">
        <v>410</v>
      </c>
      <c r="AH9" s="64" t="s">
        <v>3696</v>
      </c>
      <c r="AI9" s="64"/>
      <c r="AJ9" s="64" t="s">
        <v>423</v>
      </c>
      <c r="AK9" s="64"/>
      <c r="AL9" s="64"/>
      <c r="AM9" s="64"/>
      <c r="AN9" s="70"/>
      <c r="AO9" s="64"/>
      <c r="AP9" s="64"/>
      <c r="AQ9" s="64"/>
      <c r="AR9" s="64"/>
      <c r="AS9" s="64"/>
      <c r="AT9" s="64"/>
      <c r="AU9" s="69" t="str">
        <f t="shared" si="0"/>
        <v>P2 placesDirection assistéeVerrouillage centralisé à distanceVitres électriquesRétroviseurs extérieurs dégivrantsAirbag conducteurRadio numérique DAB / MP3 / USB Bluetooth (sans commande au volant)Siège conducteur avec réglage en longueur et dossier inclinableRadars de reculCaméra de reculRégulateur et limiteur de vitesseVolant réglable en hauteur et en profondeurPrise 12 VClimatisation manuelleDétection de sous gonflage Allumage automatique des feux de croisement Frein stationnement électriquePré-équipement télématqiueTriangle de signalisation</v>
      </c>
    </row>
    <row r="10" spans="1:47" s="96" customFormat="1" ht="33.75" hidden="1" outlineLevel="1" x14ac:dyDescent="0.25">
      <c r="A10" s="64" t="s">
        <v>4326</v>
      </c>
      <c r="B10" s="64" t="s">
        <v>424</v>
      </c>
      <c r="C10" s="64"/>
      <c r="D10" s="64"/>
      <c r="E10" s="64"/>
      <c r="F10" s="64"/>
      <c r="G10" s="64"/>
      <c r="H10" s="64"/>
      <c r="I10" s="64"/>
      <c r="J10" s="64"/>
      <c r="K10" s="64"/>
      <c r="L10" s="64" t="s">
        <v>400</v>
      </c>
      <c r="M10" s="64"/>
      <c r="N10" s="64"/>
      <c r="O10" s="64"/>
      <c r="P10" s="64"/>
      <c r="Q10" s="64"/>
      <c r="R10" s="64"/>
      <c r="S10" s="64"/>
      <c r="T10" s="64"/>
      <c r="U10" s="64" t="s">
        <v>3885</v>
      </c>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9" t="str">
        <f t="shared" si="0"/>
        <v xml:space="preserve">OCaméra de reculClimatisation manuelle + Régulateur de vitesse (CU : -20 Kg) </v>
      </c>
    </row>
    <row r="11" spans="1:47" ht="45" hidden="1" outlineLevel="1" x14ac:dyDescent="0.25">
      <c r="A11" s="64" t="s">
        <v>3608</v>
      </c>
      <c r="B11" s="64" t="s">
        <v>32</v>
      </c>
      <c r="C11" s="64" t="s">
        <v>1759</v>
      </c>
      <c r="D11" s="64" t="s">
        <v>405</v>
      </c>
      <c r="E11" s="64" t="s">
        <v>402</v>
      </c>
      <c r="F11" s="64" t="s">
        <v>1761</v>
      </c>
      <c r="G11" s="64" t="s">
        <v>406</v>
      </c>
      <c r="H11" s="64" t="s">
        <v>555</v>
      </c>
      <c r="I11" s="64" t="s">
        <v>3697</v>
      </c>
      <c r="J11" s="64" t="s">
        <v>404</v>
      </c>
      <c r="K11" s="64" t="s">
        <v>1775</v>
      </c>
      <c r="L11" s="64" t="s">
        <v>401</v>
      </c>
      <c r="M11" s="64"/>
      <c r="N11" s="64" t="s">
        <v>1765</v>
      </c>
      <c r="O11" s="64"/>
      <c r="P11" s="64" t="s">
        <v>3698</v>
      </c>
      <c r="Q11" s="64"/>
      <c r="R11" s="64"/>
      <c r="S11" s="64"/>
      <c r="T11" s="64"/>
      <c r="U11" s="64" t="s">
        <v>399</v>
      </c>
      <c r="V11" s="64" t="s">
        <v>425</v>
      </c>
      <c r="W11" s="64"/>
      <c r="X11" s="64"/>
      <c r="Y11" s="64"/>
      <c r="Z11" s="64"/>
      <c r="AA11" s="64"/>
      <c r="AB11" s="64"/>
      <c r="AC11" s="64"/>
      <c r="AD11" s="64"/>
      <c r="AE11" s="64"/>
      <c r="AF11" s="64" t="s">
        <v>411</v>
      </c>
      <c r="AG11" s="64"/>
      <c r="AH11" s="64" t="s">
        <v>403</v>
      </c>
      <c r="AI11" s="64"/>
      <c r="AJ11" s="64"/>
      <c r="AK11" s="64"/>
      <c r="AL11" s="64"/>
      <c r="AM11" s="64"/>
      <c r="AN11" s="64"/>
      <c r="AO11" s="64"/>
      <c r="AP11" s="70"/>
      <c r="AQ11" s="64"/>
      <c r="AR11" s="69"/>
      <c r="AS11" s="64"/>
      <c r="AT11" s="64"/>
      <c r="AU11" s="69" t="str">
        <f t="shared" si="0"/>
        <v>P2 placesDirection assistéeVerrouillage centralisé à distanceVitres électriquesRétroviseurs électriques et dégivrantsAirbag conducteurRadio DABBluetoothSiège conducteur réglable en hauteur avec accoudoir Radars de reculRégulateur et limiteur de vitessePrise 12V + 2 prises USB dans rangement au dessus du volantClimatisation manuelleDéflecteur de cabineFeux et essuies vitres  automatiquesPré-équipement télématique</v>
      </c>
    </row>
    <row r="12" spans="1:47" ht="45" hidden="1" outlineLevel="1" x14ac:dyDescent="0.25">
      <c r="A12" s="64" t="s">
        <v>3403</v>
      </c>
      <c r="B12" s="64" t="s">
        <v>32</v>
      </c>
      <c r="C12" s="64" t="s">
        <v>1777</v>
      </c>
      <c r="D12" s="64" t="s">
        <v>405</v>
      </c>
      <c r="E12" s="64" t="s">
        <v>402</v>
      </c>
      <c r="F12" s="64" t="s">
        <v>1761</v>
      </c>
      <c r="G12" s="64" t="s">
        <v>406</v>
      </c>
      <c r="H12" s="64" t="s">
        <v>1778</v>
      </c>
      <c r="I12" s="64" t="s">
        <v>3699</v>
      </c>
      <c r="J12" s="64" t="s">
        <v>404</v>
      </c>
      <c r="K12" s="64" t="s">
        <v>3700</v>
      </c>
      <c r="L12" s="64" t="s">
        <v>401</v>
      </c>
      <c r="M12" s="64"/>
      <c r="N12" s="64" t="s">
        <v>1765</v>
      </c>
      <c r="O12" s="64" t="s">
        <v>1781</v>
      </c>
      <c r="P12" s="64"/>
      <c r="Q12" s="64"/>
      <c r="R12" s="64"/>
      <c r="S12" s="64"/>
      <c r="T12" s="64"/>
      <c r="U12" s="64" t="s">
        <v>399</v>
      </c>
      <c r="V12" s="64"/>
      <c r="W12" s="64"/>
      <c r="X12" s="64"/>
      <c r="Y12" s="64"/>
      <c r="Z12" s="64"/>
      <c r="AA12" s="64"/>
      <c r="AB12" s="64"/>
      <c r="AC12" s="64"/>
      <c r="AD12" s="64"/>
      <c r="AE12" s="64" t="s">
        <v>1768</v>
      </c>
      <c r="AF12" s="64"/>
      <c r="AG12" s="64"/>
      <c r="AH12" s="72" t="s">
        <v>403</v>
      </c>
      <c r="AI12" s="70"/>
      <c r="AJ12" s="64"/>
      <c r="AK12" s="64"/>
      <c r="AL12" s="64"/>
      <c r="AM12" s="64"/>
      <c r="AN12" s="70"/>
      <c r="AO12" s="64"/>
      <c r="AP12" s="64"/>
      <c r="AQ12" s="64"/>
      <c r="AR12" s="64"/>
      <c r="AS12" s="64"/>
      <c r="AT12" s="64"/>
      <c r="AU12" s="69" t="str">
        <f t="shared" si="0"/>
        <v>P3 placesDirection assistéeVerrouillage centralisé à distanceVitres électriquesRétroviseurs électriques et dégivrantsAirbags frontaux (conducteur et passager)Radio numérique DAB / MP3 / USB avec cmde au volantBluetoothSiège conducteur avec accoudoir, réhausse et réglage lombaireRadars de reculRégulateur et limiteur de vitesseVolant réglable en hauteur et en profondeurClimatisation manuelleDétection de sous gonflage Pré-équipement télématique</v>
      </c>
    </row>
    <row r="13" spans="1:47" ht="45" hidden="1" outlineLevel="1" x14ac:dyDescent="0.25">
      <c r="A13" s="64" t="s">
        <v>3409</v>
      </c>
      <c r="B13" s="64" t="s">
        <v>32</v>
      </c>
      <c r="C13" s="64" t="s">
        <v>1777</v>
      </c>
      <c r="D13" s="64" t="s">
        <v>405</v>
      </c>
      <c r="E13" s="64" t="s">
        <v>402</v>
      </c>
      <c r="F13" s="64" t="s">
        <v>1761</v>
      </c>
      <c r="G13" s="64" t="s">
        <v>1771</v>
      </c>
      <c r="H13" s="64" t="s">
        <v>1778</v>
      </c>
      <c r="I13" s="64" t="s">
        <v>3699</v>
      </c>
      <c r="J13" s="64" t="s">
        <v>404</v>
      </c>
      <c r="K13" s="64" t="s">
        <v>3700</v>
      </c>
      <c r="L13" s="64" t="s">
        <v>401</v>
      </c>
      <c r="M13" s="64"/>
      <c r="N13" s="64" t="s">
        <v>1765</v>
      </c>
      <c r="O13" s="64" t="s">
        <v>1781</v>
      </c>
      <c r="P13" s="64"/>
      <c r="Q13" s="64"/>
      <c r="R13" s="64"/>
      <c r="S13" s="64"/>
      <c r="T13" s="64"/>
      <c r="U13" s="64" t="s">
        <v>399</v>
      </c>
      <c r="V13" s="64"/>
      <c r="W13" s="64"/>
      <c r="X13" s="64"/>
      <c r="Y13" s="64"/>
      <c r="Z13" s="64"/>
      <c r="AA13" s="64"/>
      <c r="AB13" s="64"/>
      <c r="AC13" s="64"/>
      <c r="AD13" s="64"/>
      <c r="AE13" s="64" t="s">
        <v>1768</v>
      </c>
      <c r="AF13" s="64"/>
      <c r="AG13" s="64"/>
      <c r="AH13" s="64" t="s">
        <v>403</v>
      </c>
      <c r="AI13" s="64"/>
      <c r="AJ13" s="64"/>
      <c r="AK13" s="64"/>
      <c r="AL13" s="64"/>
      <c r="AM13" s="64"/>
      <c r="AN13" s="70"/>
      <c r="AO13" s="64"/>
      <c r="AP13" s="64"/>
      <c r="AQ13" s="64"/>
      <c r="AR13" s="64"/>
      <c r="AS13" s="64"/>
      <c r="AT13" s="64"/>
      <c r="AU13" s="69" t="str">
        <f t="shared" si="0"/>
        <v>P3 placesDirection assistéeVerrouillage centralisé à distanceVitres électriquesRétroviseurs extérieurs dégivrantsAirbags frontaux (conducteur et passager)Radio numérique DAB / MP3 / USB avec cmde au volantBluetoothSiège conducteur avec accoudoir, réhausse et réglage lombaireRadars de reculRégulateur et limiteur de vitesseVolant réglable en hauteur et en profondeurClimatisation manuelleDétection de sous gonflage Pré-équipement télématique</v>
      </c>
    </row>
    <row r="14" spans="1:47" ht="56.25" hidden="1" outlineLevel="1" x14ac:dyDescent="0.25">
      <c r="A14" s="64" t="s">
        <v>3393</v>
      </c>
      <c r="B14" s="64" t="s">
        <v>32</v>
      </c>
      <c r="C14" s="64" t="s">
        <v>1777</v>
      </c>
      <c r="D14" s="64" t="s">
        <v>405</v>
      </c>
      <c r="E14" s="64" t="s">
        <v>402</v>
      </c>
      <c r="F14" s="64" t="s">
        <v>1761</v>
      </c>
      <c r="G14" s="64" t="s">
        <v>406</v>
      </c>
      <c r="H14" s="64" t="s">
        <v>1778</v>
      </c>
      <c r="I14" s="64" t="s">
        <v>3699</v>
      </c>
      <c r="J14" s="64" t="s">
        <v>404</v>
      </c>
      <c r="K14" s="64" t="s">
        <v>3700</v>
      </c>
      <c r="L14" s="64" t="s">
        <v>401</v>
      </c>
      <c r="M14" s="64" t="s">
        <v>400</v>
      </c>
      <c r="N14" s="64" t="s">
        <v>1765</v>
      </c>
      <c r="O14" s="64" t="s">
        <v>1781</v>
      </c>
      <c r="P14" s="64"/>
      <c r="Q14" s="64"/>
      <c r="R14" s="64"/>
      <c r="S14" s="64"/>
      <c r="T14" s="64"/>
      <c r="U14" s="64" t="s">
        <v>399</v>
      </c>
      <c r="V14" s="64"/>
      <c r="W14" s="64"/>
      <c r="X14" s="64"/>
      <c r="Y14" s="64"/>
      <c r="Z14" s="64"/>
      <c r="AA14" s="64"/>
      <c r="AB14" s="64"/>
      <c r="AC14" s="64"/>
      <c r="AD14" s="64"/>
      <c r="AE14" s="64" t="s">
        <v>1768</v>
      </c>
      <c r="AF14" s="64" t="s">
        <v>3701</v>
      </c>
      <c r="AG14" s="64" t="s">
        <v>410</v>
      </c>
      <c r="AH14" s="64" t="s">
        <v>403</v>
      </c>
      <c r="AI14" s="64"/>
      <c r="AJ14" s="64"/>
      <c r="AK14" s="64"/>
      <c r="AL14" s="64"/>
      <c r="AM14" s="64"/>
      <c r="AN14" s="70"/>
      <c r="AO14" s="64"/>
      <c r="AP14" s="69"/>
      <c r="AQ14" s="64"/>
      <c r="AR14" s="64"/>
      <c r="AS14" s="64"/>
      <c r="AT14" s="64"/>
      <c r="AU14" s="69" t="str">
        <f t="shared" si="0"/>
        <v>P3 placesDirection assistéeVerrouillage centralisé à distanceVitres électriquesRétroviseurs électriques et dégivrantsAirbags frontaux (conducteur et passager)Radio numérique DAB / MP3 / USB avec cmde au volantBluetoothSiège conducteur avec accoudoir, réhausse et réglage lombaireRadars de reculCaméra de reculRégulateur et limiteur de vitesseVolant réglable en hauteur et en profondeurClimatisation manuelleDétection de sous gonflage Essuie vitre avant et allumage automatique des feux de croisement Frein stationnement électriquePré-équipement télématique</v>
      </c>
    </row>
    <row r="15" spans="1:47" ht="45" hidden="1" outlineLevel="1" x14ac:dyDescent="0.25">
      <c r="A15" s="64" t="s">
        <v>3387</v>
      </c>
      <c r="B15" s="64" t="s">
        <v>32</v>
      </c>
      <c r="C15" s="64" t="s">
        <v>1777</v>
      </c>
      <c r="D15" s="64" t="s">
        <v>405</v>
      </c>
      <c r="E15" s="64" t="s">
        <v>402</v>
      </c>
      <c r="F15" s="64" t="s">
        <v>1761</v>
      </c>
      <c r="G15" s="64" t="s">
        <v>406</v>
      </c>
      <c r="H15" s="64" t="s">
        <v>1778</v>
      </c>
      <c r="I15" s="64" t="s">
        <v>3699</v>
      </c>
      <c r="J15" s="64" t="s">
        <v>404</v>
      </c>
      <c r="K15" s="64" t="s">
        <v>3700</v>
      </c>
      <c r="L15" s="64" t="s">
        <v>401</v>
      </c>
      <c r="M15" s="64" t="s">
        <v>400</v>
      </c>
      <c r="N15" s="64" t="s">
        <v>1765</v>
      </c>
      <c r="O15" s="64" t="s">
        <v>1781</v>
      </c>
      <c r="P15" s="64"/>
      <c r="Q15" s="64"/>
      <c r="R15" s="64"/>
      <c r="S15" s="64"/>
      <c r="T15" s="64"/>
      <c r="U15" s="64" t="s">
        <v>399</v>
      </c>
      <c r="V15" s="64"/>
      <c r="W15" s="64"/>
      <c r="X15" s="64"/>
      <c r="Y15" s="64"/>
      <c r="Z15" s="64"/>
      <c r="AA15" s="64"/>
      <c r="AB15" s="64"/>
      <c r="AC15" s="64"/>
      <c r="AD15" s="64"/>
      <c r="AE15" s="64" t="s">
        <v>1768</v>
      </c>
      <c r="AF15" s="64"/>
      <c r="AG15" s="64" t="s">
        <v>410</v>
      </c>
      <c r="AH15" s="72" t="s">
        <v>403</v>
      </c>
      <c r="AI15" s="70"/>
      <c r="AJ15" s="70"/>
      <c r="AK15" s="64"/>
      <c r="AL15" s="64"/>
      <c r="AM15" s="64"/>
      <c r="AN15" s="70"/>
      <c r="AO15" s="64"/>
      <c r="AP15" s="64"/>
      <c r="AQ15" s="64"/>
      <c r="AR15" s="64"/>
      <c r="AS15" s="64"/>
      <c r="AT15" s="64"/>
      <c r="AU15" s="69" t="str">
        <f t="shared" si="0"/>
        <v>P3 placesDirection assistéeVerrouillage centralisé à distanceVitres électriquesRétroviseurs électriques et dégivrantsAirbags frontaux (conducteur et passager)Radio numérique DAB / MP3 / USB avec cmde au volantBluetoothSiège conducteur avec accoudoir, réhausse et réglage lombaireRadars de reculCaméra de reculRégulateur et limiteur de vitesseVolant réglable en hauteur et en profondeurClimatisation manuelleDétection de sous gonflage Frein stationnement électriquePré-équipement télématique</v>
      </c>
    </row>
    <row r="16" spans="1:47" ht="45" hidden="1" outlineLevel="1" x14ac:dyDescent="0.25">
      <c r="A16" s="64" t="s">
        <v>3328</v>
      </c>
      <c r="B16" s="64" t="s">
        <v>32</v>
      </c>
      <c r="C16" s="64" t="s">
        <v>1777</v>
      </c>
      <c r="D16" s="64" t="s">
        <v>405</v>
      </c>
      <c r="E16" s="64" t="s">
        <v>402</v>
      </c>
      <c r="F16" s="64" t="s">
        <v>1761</v>
      </c>
      <c r="G16" s="64" t="s">
        <v>406</v>
      </c>
      <c r="H16" s="64" t="s">
        <v>1784</v>
      </c>
      <c r="I16" s="64" t="s">
        <v>3702</v>
      </c>
      <c r="J16" s="64" t="s">
        <v>404</v>
      </c>
      <c r="K16" s="64" t="s">
        <v>1786</v>
      </c>
      <c r="L16" s="64" t="s">
        <v>401</v>
      </c>
      <c r="M16" s="64" t="s">
        <v>400</v>
      </c>
      <c r="N16" s="64" t="s">
        <v>1765</v>
      </c>
      <c r="O16" s="64"/>
      <c r="P16" s="64"/>
      <c r="Q16" s="64"/>
      <c r="R16" s="64"/>
      <c r="S16" s="64"/>
      <c r="T16" s="64"/>
      <c r="U16" s="64" t="s">
        <v>399</v>
      </c>
      <c r="V16" s="64"/>
      <c r="W16" s="64"/>
      <c r="X16" s="64"/>
      <c r="Y16" s="64"/>
      <c r="Z16" s="64"/>
      <c r="AA16" s="64"/>
      <c r="AB16" s="64"/>
      <c r="AC16" s="64"/>
      <c r="AD16" s="64"/>
      <c r="AE16" s="64" t="s">
        <v>1787</v>
      </c>
      <c r="AF16" s="64"/>
      <c r="AG16" s="64"/>
      <c r="AH16" s="64" t="s">
        <v>403</v>
      </c>
      <c r="AI16" s="70"/>
      <c r="AJ16" s="64"/>
      <c r="AK16" s="64"/>
      <c r="AL16" s="64"/>
      <c r="AM16" s="64"/>
      <c r="AN16" s="70"/>
      <c r="AO16" s="70"/>
      <c r="AP16" s="64"/>
      <c r="AQ16" s="64"/>
      <c r="AR16" s="64"/>
      <c r="AS16" s="64"/>
      <c r="AT16" s="64"/>
      <c r="AU16" s="69" t="str">
        <f t="shared" si="0"/>
        <v>P3 placesDirection assistéeVerrouillage centralisé à distanceVitres électriquesRétroviseurs électriques et dégivrantsAirbag conducteur / Double airbag passagerSystème audio 5'' avec radio numérique DAB + 1 port USBBluetoothSiège conducteur avec réglage en hauteur, réglagle lombaire et accoudoirRadars de reculCaméra de reculRégulateur et limiteur de vitesseClimatisation manuelleCapteur de pression des pneumatiques (TPMS indirect)Pré-équipement télématique</v>
      </c>
    </row>
    <row r="17" spans="1:47" s="96" customFormat="1" ht="45" hidden="1" outlineLevel="1" x14ac:dyDescent="0.25">
      <c r="A17" s="64" t="s">
        <v>3335</v>
      </c>
      <c r="B17" s="64" t="s">
        <v>32</v>
      </c>
      <c r="C17" s="64" t="s">
        <v>1777</v>
      </c>
      <c r="D17" s="64" t="s">
        <v>405</v>
      </c>
      <c r="E17" s="64" t="s">
        <v>402</v>
      </c>
      <c r="F17" s="64" t="s">
        <v>1761</v>
      </c>
      <c r="G17" s="64" t="s">
        <v>406</v>
      </c>
      <c r="H17" s="64" t="s">
        <v>1784</v>
      </c>
      <c r="I17" s="64" t="s">
        <v>3702</v>
      </c>
      <c r="J17" s="64" t="s">
        <v>404</v>
      </c>
      <c r="K17" s="64" t="s">
        <v>1786</v>
      </c>
      <c r="L17" s="64" t="s">
        <v>401</v>
      </c>
      <c r="M17" s="64" t="s">
        <v>400</v>
      </c>
      <c r="N17" s="64" t="s">
        <v>1765</v>
      </c>
      <c r="O17" s="64"/>
      <c r="P17" s="64"/>
      <c r="Q17" s="64"/>
      <c r="R17" s="64"/>
      <c r="S17" s="64"/>
      <c r="T17" s="64"/>
      <c r="U17" s="64" t="s">
        <v>399</v>
      </c>
      <c r="V17" s="64"/>
      <c r="W17" s="64"/>
      <c r="X17" s="64"/>
      <c r="Y17" s="64"/>
      <c r="Z17" s="64"/>
      <c r="AA17" s="64"/>
      <c r="AB17" s="64"/>
      <c r="AC17" s="64"/>
      <c r="AD17" s="64"/>
      <c r="AE17" s="64" t="s">
        <v>1787</v>
      </c>
      <c r="AF17" s="64"/>
      <c r="AG17" s="64"/>
      <c r="AH17" s="64" t="s">
        <v>403</v>
      </c>
      <c r="AI17" s="64"/>
      <c r="AJ17" s="64"/>
      <c r="AK17" s="64"/>
      <c r="AL17" s="64"/>
      <c r="AM17" s="64"/>
      <c r="AN17" s="64"/>
      <c r="AO17" s="64"/>
      <c r="AP17" s="64"/>
      <c r="AQ17" s="64"/>
      <c r="AR17" s="64"/>
      <c r="AS17" s="64"/>
      <c r="AT17" s="64"/>
      <c r="AU17" s="69" t="str">
        <f t="shared" si="0"/>
        <v>P3 placesDirection assistéeVerrouillage centralisé à distanceVitres électriquesRétroviseurs électriques et dégivrantsAirbag conducteur / Double airbag passagerSystème audio 5'' avec radio numérique DAB + 1 port USBBluetoothSiège conducteur avec réglage en hauteur, réglagle lombaire et accoudoirRadars de reculCaméra de reculRégulateur et limiteur de vitesseClimatisation manuelleCapteur de pression des pneumatiques (TPMS indirect)Pré-équipement télématique</v>
      </c>
    </row>
    <row r="18" spans="1:47" s="96" customFormat="1" ht="45" hidden="1" outlineLevel="1" x14ac:dyDescent="0.25">
      <c r="A18" s="64" t="s">
        <v>3350</v>
      </c>
      <c r="B18" s="64" t="s">
        <v>32</v>
      </c>
      <c r="C18" s="64" t="s">
        <v>1777</v>
      </c>
      <c r="D18" s="64" t="s">
        <v>405</v>
      </c>
      <c r="E18" s="64" t="s">
        <v>3703</v>
      </c>
      <c r="F18" s="64" t="s">
        <v>1761</v>
      </c>
      <c r="G18" s="64" t="s">
        <v>406</v>
      </c>
      <c r="H18" s="64" t="s">
        <v>1784</v>
      </c>
      <c r="I18" s="64" t="s">
        <v>3702</v>
      </c>
      <c r="J18" s="64" t="s">
        <v>404</v>
      </c>
      <c r="K18" s="64" t="s">
        <v>1786</v>
      </c>
      <c r="L18" s="64" t="s">
        <v>401</v>
      </c>
      <c r="M18" s="64" t="s">
        <v>400</v>
      </c>
      <c r="N18" s="64" t="s">
        <v>1765</v>
      </c>
      <c r="O18" s="64"/>
      <c r="P18" s="64"/>
      <c r="Q18" s="64"/>
      <c r="R18" s="64"/>
      <c r="S18" s="64"/>
      <c r="T18" s="64"/>
      <c r="U18" s="64" t="s">
        <v>399</v>
      </c>
      <c r="V18" s="64"/>
      <c r="W18" s="64"/>
      <c r="X18" s="64"/>
      <c r="Y18" s="64"/>
      <c r="Z18" s="64"/>
      <c r="AA18" s="64"/>
      <c r="AB18" s="64"/>
      <c r="AC18" s="64"/>
      <c r="AD18" s="64"/>
      <c r="AE18" s="64" t="s">
        <v>1787</v>
      </c>
      <c r="AF18" s="64"/>
      <c r="AG18" s="64"/>
      <c r="AH18" s="64" t="s">
        <v>403</v>
      </c>
      <c r="AI18" s="64"/>
      <c r="AJ18" s="64"/>
      <c r="AK18" s="64"/>
      <c r="AL18" s="64"/>
      <c r="AM18" s="64"/>
      <c r="AN18" s="64"/>
      <c r="AO18" s="64"/>
      <c r="AP18" s="64"/>
      <c r="AQ18" s="64"/>
      <c r="AR18" s="64"/>
      <c r="AS18" s="64"/>
      <c r="AT18" s="64"/>
      <c r="AU18" s="69" t="str">
        <f t="shared" si="0"/>
        <v>P3 placesDirection assistéeVerrouillage centralisé à distance (Uniquement Cabine)Vitres électriquesRétroviseurs électriques et dégivrantsAirbag conducteur / Double airbag passagerSystème audio 5'' avec radio numérique DAB + 1 port USBBluetoothSiège conducteur avec réglage en hauteur, réglagle lombaire et accoudoirRadars de reculCaméra de reculRégulateur et limiteur de vitesseClimatisation manuelleCapteur de pression des pneumatiques (TPMS indirect)Pré-équipement télématique</v>
      </c>
    </row>
    <row r="19" spans="1:47" ht="33.75" hidden="1" outlineLevel="1" x14ac:dyDescent="0.25">
      <c r="A19" s="64" t="s">
        <v>3588</v>
      </c>
      <c r="B19" s="64" t="s">
        <v>32</v>
      </c>
      <c r="C19" s="64" t="s">
        <v>1759</v>
      </c>
      <c r="D19" s="64" t="s">
        <v>405</v>
      </c>
      <c r="E19" s="64" t="s">
        <v>402</v>
      </c>
      <c r="F19" s="64" t="s">
        <v>1761</v>
      </c>
      <c r="G19" s="64" t="s">
        <v>406</v>
      </c>
      <c r="H19" s="64"/>
      <c r="I19" s="64" t="s">
        <v>1808</v>
      </c>
      <c r="J19" s="64" t="s">
        <v>404</v>
      </c>
      <c r="K19" s="64" t="s">
        <v>1789</v>
      </c>
      <c r="L19" s="64" t="s">
        <v>401</v>
      </c>
      <c r="M19" s="64" t="s">
        <v>400</v>
      </c>
      <c r="N19" s="64" t="s">
        <v>542</v>
      </c>
      <c r="O19" s="64"/>
      <c r="P19" s="64"/>
      <c r="Q19" s="64"/>
      <c r="R19" s="64"/>
      <c r="S19" s="64"/>
      <c r="T19" s="64"/>
      <c r="U19" s="64"/>
      <c r="V19" s="64"/>
      <c r="W19" s="64" t="s">
        <v>408</v>
      </c>
      <c r="X19" s="64" t="s">
        <v>1790</v>
      </c>
      <c r="Y19" s="64"/>
      <c r="Z19" s="64"/>
      <c r="AA19" s="64"/>
      <c r="AB19" s="64"/>
      <c r="AC19" s="64" t="s">
        <v>407</v>
      </c>
      <c r="AD19" s="64"/>
      <c r="AE19" s="64"/>
      <c r="AF19" s="64"/>
      <c r="AG19" s="64"/>
      <c r="AH19" s="64"/>
      <c r="AI19" s="64"/>
      <c r="AJ19" s="64"/>
      <c r="AK19" s="64"/>
      <c r="AL19" s="64"/>
      <c r="AM19" s="64"/>
      <c r="AN19" s="64"/>
      <c r="AO19" s="64"/>
      <c r="AP19" s="64"/>
      <c r="AQ19" s="64"/>
      <c r="AR19" s="64"/>
      <c r="AS19" s="64"/>
      <c r="AT19" s="64"/>
      <c r="AU19" s="69" t="str">
        <f t="shared" si="0"/>
        <v>P2 placesDirection assistéeVerrouillage centralisé à distanceVitres électriquesRétroviseurs électriques et dégivrantsRadio / USB avec cmde au volantBluetoothSiège conducteur suspendu pneumatiqueRadars de reculCaméra de reculRégulateur de vitessePrise FMSRangement ouvert ou coffre sur tunnel moteur Chronotachygraphe</v>
      </c>
    </row>
    <row r="20" spans="1:47" ht="33.75" hidden="1" outlineLevel="1" x14ac:dyDescent="0.25">
      <c r="A20" s="64" t="s">
        <v>3594</v>
      </c>
      <c r="B20" s="64" t="s">
        <v>32</v>
      </c>
      <c r="C20" s="64" t="s">
        <v>1759</v>
      </c>
      <c r="D20" s="64" t="s">
        <v>405</v>
      </c>
      <c r="E20" s="64" t="s">
        <v>402</v>
      </c>
      <c r="F20" s="64" t="s">
        <v>1761</v>
      </c>
      <c r="G20" s="64" t="s">
        <v>406</v>
      </c>
      <c r="H20" s="64"/>
      <c r="I20" s="64" t="s">
        <v>1808</v>
      </c>
      <c r="J20" s="64" t="s">
        <v>404</v>
      </c>
      <c r="K20" s="64" t="s">
        <v>1789</v>
      </c>
      <c r="L20" s="64" t="s">
        <v>401</v>
      </c>
      <c r="M20" s="64" t="s">
        <v>400</v>
      </c>
      <c r="N20" s="64" t="s">
        <v>542</v>
      </c>
      <c r="O20" s="64"/>
      <c r="P20" s="64"/>
      <c r="Q20" s="64"/>
      <c r="R20" s="64"/>
      <c r="S20" s="64"/>
      <c r="T20" s="64"/>
      <c r="U20" s="64" t="s">
        <v>399</v>
      </c>
      <c r="V20" s="64"/>
      <c r="W20" s="64" t="s">
        <v>408</v>
      </c>
      <c r="X20" s="64" t="s">
        <v>1790</v>
      </c>
      <c r="Y20" s="64"/>
      <c r="Z20" s="64"/>
      <c r="AA20" s="64"/>
      <c r="AB20" s="64"/>
      <c r="AC20" s="64" t="s">
        <v>407</v>
      </c>
      <c r="AD20" s="64"/>
      <c r="AE20" s="64"/>
      <c r="AF20" s="64"/>
      <c r="AG20" s="64"/>
      <c r="AH20" s="64"/>
      <c r="AI20" s="64"/>
      <c r="AJ20" s="64"/>
      <c r="AK20" s="64"/>
      <c r="AL20" s="64"/>
      <c r="AM20" s="64"/>
      <c r="AN20" s="64"/>
      <c r="AO20" s="64"/>
      <c r="AP20" s="64"/>
      <c r="AQ20" s="64"/>
      <c r="AR20" s="64"/>
      <c r="AS20" s="64"/>
      <c r="AT20" s="64"/>
      <c r="AU20" s="69" t="str">
        <f t="shared" si="0"/>
        <v>P2 placesDirection assistéeVerrouillage centralisé à distanceVitres électriquesRétroviseurs électriques et dégivrantsRadio / USB avec cmde au volantBluetoothSiège conducteur suspendu pneumatiqueRadars de reculCaméra de reculRégulateur de vitesseClimatisation manuellePrise FMSRangement ouvert ou coffre sur tunnel moteur Chronotachygraphe</v>
      </c>
    </row>
    <row r="21" spans="1:47" ht="33.75" hidden="1" outlineLevel="1" x14ac:dyDescent="0.25">
      <c r="A21" s="64" t="s">
        <v>3601</v>
      </c>
      <c r="B21" s="64" t="s">
        <v>32</v>
      </c>
      <c r="C21" s="64" t="s">
        <v>1759</v>
      </c>
      <c r="D21" s="64" t="s">
        <v>405</v>
      </c>
      <c r="E21" s="64" t="s">
        <v>402</v>
      </c>
      <c r="F21" s="64" t="s">
        <v>1761</v>
      </c>
      <c r="G21" s="64" t="s">
        <v>406</v>
      </c>
      <c r="H21" s="64" t="s">
        <v>1795</v>
      </c>
      <c r="I21" s="64" t="s">
        <v>1808</v>
      </c>
      <c r="J21" s="64" t="s">
        <v>404</v>
      </c>
      <c r="K21" s="64" t="s">
        <v>1789</v>
      </c>
      <c r="L21" s="64" t="s">
        <v>401</v>
      </c>
      <c r="M21" s="64" t="s">
        <v>400</v>
      </c>
      <c r="N21" s="64" t="s">
        <v>542</v>
      </c>
      <c r="O21" s="64"/>
      <c r="P21" s="64"/>
      <c r="Q21" s="64"/>
      <c r="R21" s="64"/>
      <c r="S21" s="64"/>
      <c r="T21" s="64"/>
      <c r="U21" s="64"/>
      <c r="V21" s="64"/>
      <c r="W21" s="64" t="s">
        <v>408</v>
      </c>
      <c r="X21" s="64"/>
      <c r="Y21" s="64"/>
      <c r="Z21" s="64"/>
      <c r="AA21" s="64"/>
      <c r="AB21" s="64"/>
      <c r="AC21" s="64" t="s">
        <v>407</v>
      </c>
      <c r="AD21" s="64"/>
      <c r="AE21" s="64"/>
      <c r="AF21" s="64"/>
      <c r="AG21" s="64"/>
      <c r="AH21" s="64"/>
      <c r="AI21" s="64"/>
      <c r="AJ21" s="64"/>
      <c r="AK21" s="64"/>
      <c r="AL21" s="64"/>
      <c r="AM21" s="64"/>
      <c r="AN21" s="64"/>
      <c r="AO21" s="64"/>
      <c r="AP21" s="64"/>
      <c r="AQ21" s="64"/>
      <c r="AR21" s="64"/>
      <c r="AS21" s="64"/>
      <c r="AT21" s="64"/>
      <c r="AU21" s="69" t="str">
        <f t="shared" si="0"/>
        <v>P2 placesDirection assistéeVerrouillage centralisé à distanceVitres électriquesRétroviseurs électriques et dégivrantsCoffre sur tunnel moteurRadio / USB avec cmde au volantBluetoothSiège conducteur suspendu pneumatiqueRadars de reculCaméra de reculRégulateur de vitessePrise FMSChronotachygraphe</v>
      </c>
    </row>
    <row r="22" spans="1:47" s="96" customFormat="1" ht="33.75" hidden="1" outlineLevel="1" x14ac:dyDescent="0.25">
      <c r="A22" s="64" t="s">
        <v>3605</v>
      </c>
      <c r="B22" s="64" t="s">
        <v>32</v>
      </c>
      <c r="C22" s="64" t="s">
        <v>1759</v>
      </c>
      <c r="D22" s="64" t="s">
        <v>405</v>
      </c>
      <c r="E22" s="64" t="s">
        <v>402</v>
      </c>
      <c r="F22" s="64" t="s">
        <v>1761</v>
      </c>
      <c r="G22" s="64" t="s">
        <v>406</v>
      </c>
      <c r="H22" s="64" t="s">
        <v>1795</v>
      </c>
      <c r="I22" s="64" t="s">
        <v>1808</v>
      </c>
      <c r="J22" s="64" t="s">
        <v>404</v>
      </c>
      <c r="K22" s="64" t="s">
        <v>1789</v>
      </c>
      <c r="L22" s="64" t="s">
        <v>401</v>
      </c>
      <c r="M22" s="64" t="s">
        <v>400</v>
      </c>
      <c r="N22" s="64" t="s">
        <v>542</v>
      </c>
      <c r="O22" s="64"/>
      <c r="P22" s="64"/>
      <c r="Q22" s="64"/>
      <c r="R22" s="64"/>
      <c r="S22" s="64"/>
      <c r="T22" s="64"/>
      <c r="U22" s="64" t="s">
        <v>399</v>
      </c>
      <c r="V22" s="64"/>
      <c r="W22" s="64" t="s">
        <v>408</v>
      </c>
      <c r="X22" s="64"/>
      <c r="Y22" s="64"/>
      <c r="Z22" s="64"/>
      <c r="AA22" s="64"/>
      <c r="AB22" s="64"/>
      <c r="AC22" s="64" t="s">
        <v>407</v>
      </c>
      <c r="AD22" s="64"/>
      <c r="AE22" s="64"/>
      <c r="AF22" s="64"/>
      <c r="AG22" s="64"/>
      <c r="AH22" s="64"/>
      <c r="AI22" s="64"/>
      <c r="AJ22" s="64"/>
      <c r="AK22" s="64"/>
      <c r="AL22" s="64"/>
      <c r="AM22" s="64"/>
      <c r="AN22" s="64"/>
      <c r="AO22" s="64"/>
      <c r="AP22" s="64"/>
      <c r="AQ22" s="64"/>
      <c r="AR22" s="64"/>
      <c r="AS22" s="64"/>
      <c r="AT22" s="64"/>
      <c r="AU22" s="69" t="str">
        <f t="shared" si="0"/>
        <v>P2 placesDirection assistéeVerrouillage centralisé à distanceVitres électriquesRétroviseurs électriques et dégivrantsCoffre sur tunnel moteurRadio / USB avec cmde au volantBluetoothSiège conducteur suspendu pneumatiqueRadars de reculCaméra de reculRégulateur de vitesseClimatisation manuellePrise FMSChronotachygraphe</v>
      </c>
    </row>
    <row r="23" spans="1:47" ht="22.5" hidden="1" outlineLevel="1" x14ac:dyDescent="0.25">
      <c r="A23" s="64" t="s">
        <v>3639</v>
      </c>
      <c r="B23" s="64" t="s">
        <v>32</v>
      </c>
      <c r="C23" s="64" t="s">
        <v>1777</v>
      </c>
      <c r="D23" s="64" t="s">
        <v>405</v>
      </c>
      <c r="E23" s="64" t="s">
        <v>402</v>
      </c>
      <c r="F23" s="64" t="s">
        <v>1761</v>
      </c>
      <c r="G23" s="64" t="s">
        <v>406</v>
      </c>
      <c r="H23" s="64" t="s">
        <v>555</v>
      </c>
      <c r="I23" s="64" t="s">
        <v>1803</v>
      </c>
      <c r="J23" s="64" t="s">
        <v>404</v>
      </c>
      <c r="K23" s="64" t="s">
        <v>1804</v>
      </c>
      <c r="L23" s="64" t="s">
        <v>401</v>
      </c>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9" t="str">
        <f t="shared" si="0"/>
        <v>P3 placesDirection assistéeVerrouillage centralisé à distanceVitres électriquesRétroviseurs électriques et dégivrantsAirbag conducteurRadio USB avec cmde au volantBluetoothSiège conducteur réglable aux lombaires avec accoudoirRadars de recul</v>
      </c>
    </row>
    <row r="24" spans="1:47" s="96" customFormat="1" ht="33.75" hidden="1" outlineLevel="1" x14ac:dyDescent="0.25">
      <c r="A24" s="64" t="s">
        <v>3635</v>
      </c>
      <c r="B24" s="64" t="s">
        <v>32</v>
      </c>
      <c r="C24" s="64" t="s">
        <v>1777</v>
      </c>
      <c r="D24" s="64" t="s">
        <v>405</v>
      </c>
      <c r="E24" s="64" t="s">
        <v>402</v>
      </c>
      <c r="F24" s="64" t="s">
        <v>1761</v>
      </c>
      <c r="G24" s="64" t="s">
        <v>406</v>
      </c>
      <c r="H24" s="64" t="s">
        <v>555</v>
      </c>
      <c r="I24" s="64" t="s">
        <v>1803</v>
      </c>
      <c r="J24" s="64" t="s">
        <v>404</v>
      </c>
      <c r="K24" s="64" t="s">
        <v>1804</v>
      </c>
      <c r="L24" s="64" t="s">
        <v>401</v>
      </c>
      <c r="M24" s="64"/>
      <c r="N24" s="64" t="s">
        <v>1765</v>
      </c>
      <c r="O24" s="64"/>
      <c r="P24" s="64"/>
      <c r="Q24" s="64"/>
      <c r="R24" s="64"/>
      <c r="S24" s="64"/>
      <c r="T24" s="64"/>
      <c r="U24" s="64" t="s">
        <v>399</v>
      </c>
      <c r="V24" s="64"/>
      <c r="W24" s="64"/>
      <c r="X24" s="64"/>
      <c r="Y24" s="64"/>
      <c r="Z24" s="64"/>
      <c r="AA24" s="64"/>
      <c r="AB24" s="64"/>
      <c r="AC24" s="64"/>
      <c r="AD24" s="64"/>
      <c r="AE24" s="64"/>
      <c r="AF24" s="64"/>
      <c r="AG24" s="64"/>
      <c r="AH24" s="70" t="s">
        <v>403</v>
      </c>
      <c r="AI24" s="64"/>
      <c r="AJ24" s="64"/>
      <c r="AK24" s="64"/>
      <c r="AL24" s="64"/>
      <c r="AM24" s="64"/>
      <c r="AN24" s="70"/>
      <c r="AO24" s="70"/>
      <c r="AP24" s="64"/>
      <c r="AQ24" s="64"/>
      <c r="AR24" s="64"/>
      <c r="AS24" s="64"/>
      <c r="AT24" s="64"/>
      <c r="AU24" s="69" t="str">
        <f t="shared" si="0"/>
        <v>P3 placesDirection assistéeVerrouillage centralisé à distanceVitres électriquesRétroviseurs électriques et dégivrantsAirbag conducteurRadio USB avec cmde au volantBluetoothSiège conducteur réglable aux lombaires avec accoudoirRadars de reculRégulateur et limiteur de vitesseClimatisation manuellePré-équipement télématique</v>
      </c>
    </row>
    <row r="25" spans="1:47" s="96" customFormat="1" ht="33.75" hidden="1" outlineLevel="1" x14ac:dyDescent="0.25">
      <c r="A25" s="68" t="s">
        <v>3613</v>
      </c>
      <c r="B25" s="64" t="s">
        <v>32</v>
      </c>
      <c r="C25" s="64" t="s">
        <v>1777</v>
      </c>
      <c r="D25" s="64" t="s">
        <v>405</v>
      </c>
      <c r="E25" s="64" t="s">
        <v>402</v>
      </c>
      <c r="F25" s="64" t="s">
        <v>1761</v>
      </c>
      <c r="G25" s="64" t="s">
        <v>406</v>
      </c>
      <c r="H25" s="64" t="s">
        <v>555</v>
      </c>
      <c r="I25" s="64" t="s">
        <v>1803</v>
      </c>
      <c r="J25" s="64" t="s">
        <v>404</v>
      </c>
      <c r="K25" s="64" t="s">
        <v>1809</v>
      </c>
      <c r="L25" s="64" t="s">
        <v>401</v>
      </c>
      <c r="M25" s="64" t="s">
        <v>400</v>
      </c>
      <c r="N25" s="64"/>
      <c r="O25" s="64"/>
      <c r="P25" s="64"/>
      <c r="Q25" s="64"/>
      <c r="R25" s="64"/>
      <c r="S25" s="64"/>
      <c r="T25" s="64"/>
      <c r="U25" s="64"/>
      <c r="V25" s="64"/>
      <c r="W25" s="64"/>
      <c r="X25" s="64"/>
      <c r="Y25" s="64"/>
      <c r="Z25" s="64"/>
      <c r="AA25" s="64" t="s">
        <v>1830</v>
      </c>
      <c r="AB25" s="64"/>
      <c r="AC25" s="64"/>
      <c r="AD25" s="64"/>
      <c r="AE25" s="64"/>
      <c r="AF25" s="64"/>
      <c r="AG25" s="64"/>
      <c r="AH25" s="64" t="s">
        <v>403</v>
      </c>
      <c r="AI25" s="64"/>
      <c r="AJ25" s="64"/>
      <c r="AK25" s="64"/>
      <c r="AL25" s="64"/>
      <c r="AM25" s="64"/>
      <c r="AN25" s="64"/>
      <c r="AO25" s="64"/>
      <c r="AP25" s="64"/>
      <c r="AQ25" s="64"/>
      <c r="AR25" s="64"/>
      <c r="AS25" s="64"/>
      <c r="AT25" s="64"/>
      <c r="AU25" s="69" t="str">
        <f t="shared" si="0"/>
        <v>P3 placesDirection assistéeVerrouillage centralisé à distanceVitres électriquesRétroviseurs électriques et dégivrantsAirbag conducteurRadio USB avec cmde au volantBluetoothSiège conducteur réglable en hauteurRadars de reculCaméra de reculAvertisseur sonore piétonsPré-équipement télématique</v>
      </c>
    </row>
    <row r="26" spans="1:47" ht="33.75" hidden="1" outlineLevel="1" x14ac:dyDescent="0.25">
      <c r="A26" s="64" t="s">
        <v>3620</v>
      </c>
      <c r="B26" s="64" t="s">
        <v>32</v>
      </c>
      <c r="C26" s="64" t="s">
        <v>1777</v>
      </c>
      <c r="D26" s="64" t="s">
        <v>405</v>
      </c>
      <c r="E26" s="64" t="s">
        <v>402</v>
      </c>
      <c r="F26" s="64" t="s">
        <v>1761</v>
      </c>
      <c r="G26" s="64" t="s">
        <v>3704</v>
      </c>
      <c r="H26" s="64" t="s">
        <v>555</v>
      </c>
      <c r="I26" s="64" t="s">
        <v>1808</v>
      </c>
      <c r="J26" s="64" t="s">
        <v>404</v>
      </c>
      <c r="K26" s="64" t="s">
        <v>1809</v>
      </c>
      <c r="L26" s="64" t="s">
        <v>401</v>
      </c>
      <c r="M26" s="64" t="s">
        <v>400</v>
      </c>
      <c r="N26" s="64"/>
      <c r="O26" s="64"/>
      <c r="P26" s="64"/>
      <c r="Q26" s="64"/>
      <c r="R26" s="64"/>
      <c r="S26" s="64"/>
      <c r="T26" s="64"/>
      <c r="U26" s="64" t="s">
        <v>399</v>
      </c>
      <c r="V26" s="64"/>
      <c r="W26" s="64"/>
      <c r="X26" s="64"/>
      <c r="Y26" s="64"/>
      <c r="Z26" s="64"/>
      <c r="AA26" s="64" t="s">
        <v>1830</v>
      </c>
      <c r="AB26" s="64"/>
      <c r="AC26" s="64"/>
      <c r="AD26" s="64"/>
      <c r="AE26" s="64"/>
      <c r="AF26" s="64"/>
      <c r="AG26" s="64"/>
      <c r="AH26" s="70" t="s">
        <v>403</v>
      </c>
      <c r="AI26" s="70"/>
      <c r="AJ26" s="64"/>
      <c r="AK26" s="64"/>
      <c r="AL26" s="64"/>
      <c r="AM26" s="64"/>
      <c r="AN26" s="64"/>
      <c r="AO26" s="64"/>
      <c r="AP26" s="64"/>
      <c r="AQ26" s="64"/>
      <c r="AR26" s="64"/>
      <c r="AS26" s="64"/>
      <c r="AT26" s="64"/>
      <c r="AU26" s="69" t="str">
        <f t="shared" si="0"/>
        <v>P3 placesDirection assistéeVerrouillage centralisé à distanceVitres électriquesRétroviseurs électriques et dégivrants (bras court)Airbag conducteurRadio / USB avec cmde au volantBluetoothSiège conducteur réglable en hauteurRadars de reculCaméra de reculClimatisation manuelleAvertisseur sonore piétonsPré-équipement télématique</v>
      </c>
    </row>
    <row r="27" spans="1:47" ht="33.75" hidden="1" outlineLevel="1" x14ac:dyDescent="0.25">
      <c r="A27" s="64" t="s">
        <v>3446</v>
      </c>
      <c r="B27" s="64" t="s">
        <v>32</v>
      </c>
      <c r="C27" s="64" t="s">
        <v>1777</v>
      </c>
      <c r="D27" s="64" t="s">
        <v>405</v>
      </c>
      <c r="E27" s="64" t="s">
        <v>402</v>
      </c>
      <c r="F27" s="64" t="s">
        <v>1761</v>
      </c>
      <c r="G27" s="64" t="s">
        <v>406</v>
      </c>
      <c r="H27" s="64" t="s">
        <v>555</v>
      </c>
      <c r="I27" s="64" t="s">
        <v>3705</v>
      </c>
      <c r="J27" s="64" t="s">
        <v>404</v>
      </c>
      <c r="K27" s="64" t="s">
        <v>1821</v>
      </c>
      <c r="L27" s="64" t="s">
        <v>401</v>
      </c>
      <c r="M27" s="71"/>
      <c r="N27" s="64" t="s">
        <v>1822</v>
      </c>
      <c r="O27" s="64"/>
      <c r="P27" s="64"/>
      <c r="Q27" s="64"/>
      <c r="R27" s="64"/>
      <c r="S27" s="64"/>
      <c r="T27" s="64"/>
      <c r="U27" s="64" t="s">
        <v>399</v>
      </c>
      <c r="V27" s="64"/>
      <c r="W27" s="64"/>
      <c r="X27" s="64"/>
      <c r="Y27" s="64"/>
      <c r="Z27" s="64"/>
      <c r="AA27" s="64"/>
      <c r="AB27" s="64"/>
      <c r="AC27" s="64"/>
      <c r="AD27" s="64"/>
      <c r="AE27" s="64"/>
      <c r="AF27" s="64"/>
      <c r="AG27" s="64"/>
      <c r="AH27" s="64" t="s">
        <v>403</v>
      </c>
      <c r="AI27" s="64"/>
      <c r="AJ27" s="64"/>
      <c r="AK27" s="64"/>
      <c r="AL27" s="64"/>
      <c r="AM27" s="64"/>
      <c r="AN27" s="64"/>
      <c r="AO27" s="70"/>
      <c r="AP27" s="64"/>
      <c r="AQ27" s="64"/>
      <c r="AR27" s="64"/>
      <c r="AS27" s="64"/>
      <c r="AT27" s="64"/>
      <c r="AU27" s="69" t="str">
        <f t="shared" si="0"/>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électroniqueClimatisation manuellePré-équipement télématique</v>
      </c>
    </row>
    <row r="28" spans="1:47" ht="33.75" hidden="1" outlineLevel="1" x14ac:dyDescent="0.25">
      <c r="A28" s="64" t="s">
        <v>3472</v>
      </c>
      <c r="B28" s="64" t="s">
        <v>32</v>
      </c>
      <c r="C28" s="64" t="s">
        <v>1777</v>
      </c>
      <c r="D28" s="64" t="s">
        <v>405</v>
      </c>
      <c r="E28" s="64" t="s">
        <v>1824</v>
      </c>
      <c r="F28" s="64" t="s">
        <v>1761</v>
      </c>
      <c r="G28" s="64" t="s">
        <v>406</v>
      </c>
      <c r="H28" s="64" t="s">
        <v>555</v>
      </c>
      <c r="I28" s="64" t="s">
        <v>3705</v>
      </c>
      <c r="J28" s="64" t="s">
        <v>404</v>
      </c>
      <c r="K28" s="64" t="s">
        <v>1821</v>
      </c>
      <c r="L28" s="64" t="s">
        <v>3706</v>
      </c>
      <c r="M28" s="71"/>
      <c r="N28" s="64" t="s">
        <v>1822</v>
      </c>
      <c r="O28" s="64"/>
      <c r="P28" s="64"/>
      <c r="Q28" s="64"/>
      <c r="R28" s="64"/>
      <c r="S28" s="64"/>
      <c r="T28" s="64"/>
      <c r="U28" s="64" t="s">
        <v>399</v>
      </c>
      <c r="V28" s="64" t="s">
        <v>1776</v>
      </c>
      <c r="W28" s="64"/>
      <c r="X28" s="64"/>
      <c r="Y28" s="64"/>
      <c r="Z28" s="64"/>
      <c r="AA28" s="64"/>
      <c r="AB28" s="64"/>
      <c r="AC28" s="64"/>
      <c r="AD28" s="64"/>
      <c r="AE28" s="64"/>
      <c r="AF28" s="64"/>
      <c r="AG28" s="64"/>
      <c r="AH28" s="64" t="s">
        <v>403</v>
      </c>
      <c r="AI28" s="64"/>
      <c r="AJ28" s="64"/>
      <c r="AK28" s="64"/>
      <c r="AL28" s="64"/>
      <c r="AM28" s="64"/>
      <c r="AN28" s="64"/>
      <c r="AO28" s="64"/>
      <c r="AP28" s="64"/>
      <c r="AQ28" s="64"/>
      <c r="AR28" s="64"/>
      <c r="AS28" s="64"/>
      <c r="AT28" s="64"/>
      <c r="AU28" s="69" t="str">
        <f t="shared" si="0"/>
        <v>P3 placesDirection assistéeVerrouillage centralisé à distance avec prédisposition pour carrosserie Vitres électriquesRétroviseurs électriques et dégivrantsAirbag conducteurRadio numérique (DAB) avec cmde au volantBluetoothSiège conducteur suspenduRadars et caméra de recul HD URBANRégulateur et Limiteur de vitesse réglable électroniqueClimatisation manuelleDéflecteur de cabine Pré-équipement télématique</v>
      </c>
    </row>
    <row r="29" spans="1:47" ht="45" hidden="1" outlineLevel="1" x14ac:dyDescent="0.25">
      <c r="A29" s="64" t="s">
        <v>3545</v>
      </c>
      <c r="B29" s="64" t="s">
        <v>32</v>
      </c>
      <c r="C29" s="64" t="s">
        <v>1777</v>
      </c>
      <c r="D29" s="64" t="s">
        <v>405</v>
      </c>
      <c r="E29" s="64" t="s">
        <v>1824</v>
      </c>
      <c r="F29" s="64" t="s">
        <v>1761</v>
      </c>
      <c r="G29" s="64" t="s">
        <v>406</v>
      </c>
      <c r="H29" s="64" t="s">
        <v>555</v>
      </c>
      <c r="I29" s="64" t="s">
        <v>3705</v>
      </c>
      <c r="J29" s="64" t="s">
        <v>404</v>
      </c>
      <c r="K29" s="64" t="s">
        <v>1821</v>
      </c>
      <c r="L29" s="64" t="s">
        <v>3706</v>
      </c>
      <c r="M29" s="71"/>
      <c r="N29" s="64" t="s">
        <v>1822</v>
      </c>
      <c r="O29" s="64"/>
      <c r="P29" s="64"/>
      <c r="Q29" s="64"/>
      <c r="R29" s="64"/>
      <c r="S29" s="64"/>
      <c r="T29" s="64"/>
      <c r="U29" s="64" t="s">
        <v>1801</v>
      </c>
      <c r="V29" s="64" t="s">
        <v>1776</v>
      </c>
      <c r="W29" s="64"/>
      <c r="X29" s="64"/>
      <c r="Y29" s="64"/>
      <c r="Z29" s="64"/>
      <c r="AA29" s="64"/>
      <c r="AB29" s="64"/>
      <c r="AC29" s="64"/>
      <c r="AD29" s="64"/>
      <c r="AE29" s="64"/>
      <c r="AF29" s="64"/>
      <c r="AG29" s="64" t="s">
        <v>410</v>
      </c>
      <c r="AH29" s="64" t="s">
        <v>403</v>
      </c>
      <c r="AI29" s="64"/>
      <c r="AJ29" s="64"/>
      <c r="AK29" s="64"/>
      <c r="AL29" s="64"/>
      <c r="AM29" s="64"/>
      <c r="AN29" s="64"/>
      <c r="AO29" s="64"/>
      <c r="AP29" s="64"/>
      <c r="AQ29" s="64"/>
      <c r="AR29" s="64"/>
      <c r="AS29" s="64"/>
      <c r="AT29" s="64"/>
      <c r="AU29" s="69" t="str">
        <f t="shared" si="0"/>
        <v>P3 placesDirection assistéeVerrouillage centralisé à distance avec prédisposition pour carrosserie Vitres électriquesRétroviseurs électriques et dégivrantsAirbag conducteurRadio numérique (DAB) avec cmde au volantBluetoothSiège conducteur suspenduRadars et caméra de recul HD URBANRégulateur et Limiteur de vitesse réglable électroniqueClimatisation automatiqueDéflecteur de cabine Frein stationnement électriquePré-équipement télématique</v>
      </c>
    </row>
    <row r="30" spans="1:47" ht="45" hidden="1" outlineLevel="1" x14ac:dyDescent="0.25">
      <c r="A30" s="64" t="s">
        <v>3551</v>
      </c>
      <c r="B30" s="64" t="s">
        <v>32</v>
      </c>
      <c r="C30" s="64" t="s">
        <v>1777</v>
      </c>
      <c r="D30" s="64" t="s">
        <v>405</v>
      </c>
      <c r="E30" s="64" t="s">
        <v>1824</v>
      </c>
      <c r="F30" s="64" t="s">
        <v>1761</v>
      </c>
      <c r="G30" s="64" t="s">
        <v>406</v>
      </c>
      <c r="H30" s="64" t="s">
        <v>555</v>
      </c>
      <c r="I30" s="64" t="s">
        <v>3705</v>
      </c>
      <c r="J30" s="64" t="s">
        <v>404</v>
      </c>
      <c r="K30" s="64" t="s">
        <v>1821</v>
      </c>
      <c r="L30" s="64" t="s">
        <v>3706</v>
      </c>
      <c r="M30" s="71"/>
      <c r="N30" s="64" t="s">
        <v>1822</v>
      </c>
      <c r="O30" s="64"/>
      <c r="P30" s="64" t="s">
        <v>3681</v>
      </c>
      <c r="Q30" s="64"/>
      <c r="R30" s="64"/>
      <c r="S30" s="64"/>
      <c r="T30" s="64"/>
      <c r="U30" s="64" t="s">
        <v>1801</v>
      </c>
      <c r="V30" s="64" t="s">
        <v>1776</v>
      </c>
      <c r="W30" s="64"/>
      <c r="X30" s="64"/>
      <c r="Y30" s="64"/>
      <c r="Z30" s="64"/>
      <c r="AA30" s="64"/>
      <c r="AB30" s="64"/>
      <c r="AC30" s="64"/>
      <c r="AD30" s="64"/>
      <c r="AE30" s="64"/>
      <c r="AF30" s="64"/>
      <c r="AG30" s="64" t="s">
        <v>410</v>
      </c>
      <c r="AH30" s="64" t="s">
        <v>403</v>
      </c>
      <c r="AI30" s="64"/>
      <c r="AJ30" s="64" t="s">
        <v>423</v>
      </c>
      <c r="AK30" s="64"/>
      <c r="AL30" s="64"/>
      <c r="AM30" s="64"/>
      <c r="AN30" s="64"/>
      <c r="AO30" s="64"/>
      <c r="AP30" s="64"/>
      <c r="AQ30" s="64"/>
      <c r="AR30" s="64"/>
      <c r="AS30" s="64"/>
      <c r="AT30" s="64"/>
      <c r="AU30" s="69" t="str">
        <f t="shared" si="0"/>
        <v>P3 placesDirection assistéeVerrouillage centralisé à distance avec prédisposition pour carrosserie Vitres électriquesRétroviseurs électriques et dégivrantsAirbag conducteurRadio numérique (DAB) avec cmde au volantBluetoothSiège conducteur suspenduRadars et caméra de recul HD URBANRégulateur et Limiteur de vitesse réglable électroniquePrise 12 VClimatisation automatiqueDéflecteur de cabine Frein stationnement électriquePré-équipement télématiqueTriangle de signalisation</v>
      </c>
    </row>
    <row r="31" spans="1:47" ht="33.75" hidden="1" outlineLevel="1" x14ac:dyDescent="0.25">
      <c r="A31" s="64" t="s">
        <v>4327</v>
      </c>
      <c r="B31" s="64" t="s">
        <v>424</v>
      </c>
      <c r="C31" s="64"/>
      <c r="D31" s="64" t="s">
        <v>3886</v>
      </c>
      <c r="E31" s="64" t="s">
        <v>3887</v>
      </c>
      <c r="F31" s="64" t="s">
        <v>3888</v>
      </c>
      <c r="G31" s="64"/>
      <c r="H31" s="64" t="s">
        <v>3889</v>
      </c>
      <c r="I31" s="64"/>
      <c r="J31" s="64"/>
      <c r="K31" s="64"/>
      <c r="L31" s="64"/>
      <c r="M31" s="64"/>
      <c r="N31" s="64" t="s">
        <v>3890</v>
      </c>
      <c r="O31" s="64"/>
      <c r="P31" s="64"/>
      <c r="Q31" s="64" t="s">
        <v>3891</v>
      </c>
      <c r="R31" s="64"/>
      <c r="S31" s="64"/>
      <c r="T31" s="64"/>
      <c r="U31" s="64"/>
      <c r="V31" s="64"/>
      <c r="W31" s="64"/>
      <c r="X31" s="64"/>
      <c r="Y31" s="64" t="s">
        <v>3880</v>
      </c>
      <c r="Z31" s="64" t="s">
        <v>3881</v>
      </c>
      <c r="AA31" s="64"/>
      <c r="AB31" s="64" t="s">
        <v>3882</v>
      </c>
      <c r="AC31" s="64"/>
      <c r="AD31" s="64"/>
      <c r="AE31" s="64" t="s">
        <v>3892</v>
      </c>
      <c r="AF31" s="64" t="s">
        <v>3893</v>
      </c>
      <c r="AG31" s="64"/>
      <c r="AH31" s="64"/>
      <c r="AI31" s="64"/>
      <c r="AJ31" s="64"/>
      <c r="AK31" s="64"/>
      <c r="AL31" s="64"/>
      <c r="AM31" s="64"/>
      <c r="AN31" s="64"/>
      <c r="AO31" s="64"/>
      <c r="AP31" s="64"/>
      <c r="AQ31" s="64"/>
      <c r="AR31" s="64"/>
      <c r="AS31" s="64"/>
      <c r="AT31" s="64"/>
      <c r="AU31" s="69" t="str">
        <f t="shared" si="0"/>
        <v>O2 places (CU : +10 Kg) Airbag passagersAirbag passager + Antibrouillard + Capteur de pression des pneusAirbag latéraux + Airbag passagersRégulateur de vitesse adaptatif (ACC)Feux antibrouillard AvantBoîte à clefsBoite à pharmacieExtincteur 1KgFeux &amp; Essui glaces AutomatiqueFeux &amp; Essui glaces Automatique &amp; feux de route automatiques</v>
      </c>
    </row>
    <row r="32" spans="1:47" ht="56.25" hidden="1" outlineLevel="1" x14ac:dyDescent="0.25">
      <c r="A32" s="64" t="s">
        <v>3498</v>
      </c>
      <c r="B32" s="64" t="s">
        <v>32</v>
      </c>
      <c r="C32" s="64" t="s">
        <v>1777</v>
      </c>
      <c r="D32" s="64" t="s">
        <v>405</v>
      </c>
      <c r="E32" s="64" t="s">
        <v>402</v>
      </c>
      <c r="F32" s="64" t="s">
        <v>1761</v>
      </c>
      <c r="G32" s="64" t="s">
        <v>406</v>
      </c>
      <c r="H32" s="64" t="s">
        <v>555</v>
      </c>
      <c r="I32" s="64" t="s">
        <v>3705</v>
      </c>
      <c r="J32" s="64" t="s">
        <v>404</v>
      </c>
      <c r="K32" s="64" t="s">
        <v>1821</v>
      </c>
      <c r="L32" s="64" t="s">
        <v>401</v>
      </c>
      <c r="M32" s="71"/>
      <c r="N32" s="64" t="s">
        <v>1822</v>
      </c>
      <c r="O32" s="64"/>
      <c r="P32" s="64"/>
      <c r="Q32" s="64"/>
      <c r="R32" s="64"/>
      <c r="S32" s="64"/>
      <c r="T32" s="64"/>
      <c r="U32" s="64"/>
      <c r="V32" s="64"/>
      <c r="W32" s="64"/>
      <c r="X32" s="64"/>
      <c r="Y32" s="64"/>
      <c r="Z32" s="64"/>
      <c r="AA32" s="64"/>
      <c r="AB32" s="64"/>
      <c r="AC32" s="64" t="s">
        <v>3707</v>
      </c>
      <c r="AD32" s="64"/>
      <c r="AF32" s="64"/>
      <c r="AG32" s="64"/>
      <c r="AH32" s="64" t="s">
        <v>403</v>
      </c>
      <c r="AI32" s="64"/>
      <c r="AJ32" s="64"/>
      <c r="AK32" s="64"/>
      <c r="AL32" s="64"/>
      <c r="AM32" s="64"/>
      <c r="AN32" s="64"/>
      <c r="AO32" s="64"/>
      <c r="AP32" s="64"/>
      <c r="AQ32" s="64"/>
      <c r="AR32" s="64"/>
      <c r="AS32" s="64"/>
      <c r="AT32" s="64"/>
      <c r="AU32" s="69" t="str">
        <f>CONCATENATE(B32,C32,D32,E32,F32,G32,H32,I32,J32,K32,L32,M32,N32,O32,P32,Q32,R32,S32,T32,U32,V32,W32,X32,Y32,Z32,AA32,AB32,AC32,AD32,AE33,AF32,AG32,AH32,AI32,AJ32,AK32,AL32,AM32,AN32,AO32,AP32,AQ32,AR32,AS32,AT32)</f>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électroniqueChronotachygraphe (Désactivation possible avec un engagement du client que le véhicule ne roule pas au-delà d’un rayon de 100 km autour du lieu d'établissement de l'entreprise)Pré-équipement télématique</v>
      </c>
    </row>
    <row r="33" spans="1:47" ht="33.75" hidden="1" outlineLevel="1" x14ac:dyDescent="0.25">
      <c r="A33" s="64" t="s">
        <v>3460</v>
      </c>
      <c r="B33" s="64" t="s">
        <v>32</v>
      </c>
      <c r="C33" s="64" t="s">
        <v>1759</v>
      </c>
      <c r="D33" s="64" t="s">
        <v>405</v>
      </c>
      <c r="E33" s="64" t="s">
        <v>402</v>
      </c>
      <c r="F33" s="64" t="s">
        <v>1761</v>
      </c>
      <c r="G33" s="64" t="s">
        <v>406</v>
      </c>
      <c r="H33" s="64" t="s">
        <v>555</v>
      </c>
      <c r="I33" s="64" t="s">
        <v>3705</v>
      </c>
      <c r="J33" s="64" t="s">
        <v>404</v>
      </c>
      <c r="K33" s="64" t="s">
        <v>1821</v>
      </c>
      <c r="L33" s="64" t="s">
        <v>401</v>
      </c>
      <c r="M33" s="71"/>
      <c r="N33" s="64" t="s">
        <v>1822</v>
      </c>
      <c r="O33" s="64"/>
      <c r="P33" s="64"/>
      <c r="Q33" s="64"/>
      <c r="R33" s="64"/>
      <c r="S33" s="64"/>
      <c r="T33" s="64"/>
      <c r="U33" s="64"/>
      <c r="V33" s="64"/>
      <c r="W33" s="64"/>
      <c r="X33" s="64"/>
      <c r="Y33" s="64"/>
      <c r="Z33" s="64"/>
      <c r="AA33" s="64"/>
      <c r="AB33" s="64"/>
      <c r="AC33" s="64"/>
      <c r="AD33" s="64"/>
      <c r="AE33" s="64"/>
      <c r="AF33" s="64"/>
      <c r="AG33" s="64"/>
      <c r="AH33" s="170" t="s">
        <v>403</v>
      </c>
      <c r="AI33" s="64"/>
      <c r="AJ33" s="64"/>
      <c r="AK33" s="64"/>
      <c r="AL33" s="64"/>
      <c r="AM33" s="64"/>
      <c r="AN33" s="64"/>
      <c r="AO33" s="64"/>
      <c r="AP33" s="64"/>
      <c r="AQ33" s="64"/>
      <c r="AR33" s="64"/>
      <c r="AS33" s="64"/>
      <c r="AT33" s="64"/>
      <c r="AU33" s="69" t="e">
        <f>CONCATENATE(B33,C33,D33,E33,F33,G33,H33,I33,J33,K33,L33,M33,N33,O33,P33,Q33,R33,S33,T33,U33,V33,W33,X33,Y33,Z33,AA33,AB33,AC33,AD33,#REF!,AF33,AG33,AH33,AI33,AJ33,AK33,AL33,AM33,AN33,AO33,AP33,AQ33,AR33,AS33,AT33)</f>
        <v>#REF!</v>
      </c>
    </row>
    <row r="34" spans="1:47" s="96" customFormat="1" ht="33.75" hidden="1" outlineLevel="1" x14ac:dyDescent="0.25">
      <c r="A34" s="64" t="s">
        <v>3509</v>
      </c>
      <c r="B34" s="64" t="s">
        <v>32</v>
      </c>
      <c r="C34" s="64" t="s">
        <v>1759</v>
      </c>
      <c r="D34" s="64" t="s">
        <v>405</v>
      </c>
      <c r="E34" s="64" t="s">
        <v>402</v>
      </c>
      <c r="F34" s="64" t="s">
        <v>1761</v>
      </c>
      <c r="G34" s="64" t="s">
        <v>406</v>
      </c>
      <c r="H34" s="64" t="s">
        <v>555</v>
      </c>
      <c r="I34" s="64" t="s">
        <v>3705</v>
      </c>
      <c r="J34" s="64" t="s">
        <v>404</v>
      </c>
      <c r="K34" s="64" t="s">
        <v>1821</v>
      </c>
      <c r="L34" s="64" t="s">
        <v>401</v>
      </c>
      <c r="M34" s="71"/>
      <c r="N34" s="64" t="s">
        <v>1822</v>
      </c>
      <c r="O34" s="64"/>
      <c r="P34" s="64"/>
      <c r="Q34" s="64"/>
      <c r="R34" s="64"/>
      <c r="S34" s="64"/>
      <c r="T34" s="64"/>
      <c r="U34" s="64"/>
      <c r="V34" s="64"/>
      <c r="W34" s="64"/>
      <c r="X34" s="64"/>
      <c r="Y34" s="64"/>
      <c r="Z34" s="64"/>
      <c r="AA34" s="64"/>
      <c r="AB34" s="64"/>
      <c r="AC34" s="64"/>
      <c r="AD34" s="64"/>
      <c r="AE34" s="64"/>
      <c r="AF34" s="64"/>
      <c r="AG34" s="64"/>
      <c r="AH34" s="64" t="s">
        <v>403</v>
      </c>
      <c r="AI34" s="64"/>
      <c r="AJ34" s="64"/>
      <c r="AK34" s="64"/>
      <c r="AL34" s="64"/>
      <c r="AM34" s="64"/>
      <c r="AN34" s="64"/>
      <c r="AO34" s="64"/>
      <c r="AP34" s="64"/>
      <c r="AQ34" s="64"/>
      <c r="AR34" s="64"/>
      <c r="AS34" s="64"/>
      <c r="AT34" s="64"/>
      <c r="AU34" s="69" t="str">
        <f t="shared" si="0"/>
        <v>P2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électroniquePré-équipement télématique</v>
      </c>
    </row>
    <row r="35" spans="1:47" ht="33.75" hidden="1" outlineLevel="1" x14ac:dyDescent="0.25">
      <c r="A35" s="64" t="s">
        <v>3452</v>
      </c>
      <c r="B35" s="64" t="s">
        <v>32</v>
      </c>
      <c r="C35" s="64" t="s">
        <v>1777</v>
      </c>
      <c r="D35" s="64" t="s">
        <v>405</v>
      </c>
      <c r="E35" s="64" t="s">
        <v>402</v>
      </c>
      <c r="F35" s="64" t="s">
        <v>1761</v>
      </c>
      <c r="G35" s="64" t="s">
        <v>406</v>
      </c>
      <c r="H35" s="64" t="s">
        <v>555</v>
      </c>
      <c r="I35" s="64" t="s">
        <v>3705</v>
      </c>
      <c r="J35" s="64" t="s">
        <v>404</v>
      </c>
      <c r="K35" s="64" t="s">
        <v>1821</v>
      </c>
      <c r="L35" s="64" t="s">
        <v>401</v>
      </c>
      <c r="M35" s="64" t="s">
        <v>400</v>
      </c>
      <c r="N35" s="64" t="s">
        <v>1822</v>
      </c>
      <c r="O35" s="64"/>
      <c r="P35" s="64"/>
      <c r="Q35" s="64"/>
      <c r="R35" s="64"/>
      <c r="S35" s="64"/>
      <c r="T35" s="64"/>
      <c r="U35" s="64"/>
      <c r="V35" s="64"/>
      <c r="W35" s="64"/>
      <c r="X35" s="64"/>
      <c r="Y35" s="64"/>
      <c r="Z35" s="64"/>
      <c r="AA35" s="64"/>
      <c r="AB35" s="64"/>
      <c r="AC35" s="64"/>
      <c r="AD35" s="64"/>
      <c r="AE35" s="64"/>
      <c r="AF35" s="64"/>
      <c r="AG35" s="64"/>
      <c r="AH35" s="64" t="s">
        <v>403</v>
      </c>
      <c r="AI35" s="64"/>
      <c r="AJ35" s="64"/>
      <c r="AK35" s="64"/>
      <c r="AL35" s="64"/>
      <c r="AM35" s="64"/>
      <c r="AN35" s="64"/>
      <c r="AO35" s="64"/>
      <c r="AP35" s="64"/>
      <c r="AQ35" s="64"/>
      <c r="AR35" s="64"/>
      <c r="AS35" s="64"/>
      <c r="AT35" s="64"/>
      <c r="AU35" s="69" t="str">
        <f t="shared" si="0"/>
        <v>P3 placesDirection assistéeVerrouillage centralisé à distanceVitres électriquesRétroviseurs électriques et dégivrantsAirbag conducteurRadio numérique (DAB) avec cmde au volantBluetoothSiège conducteur suspenduRadars de reculCaméra de reculRégulateur et Limiteur de vitesse réglable électroniquePré-équipement télématique</v>
      </c>
    </row>
    <row r="36" spans="1:47" ht="56.25" hidden="1" outlineLevel="1" x14ac:dyDescent="0.25">
      <c r="A36" s="64" t="s">
        <v>3503</v>
      </c>
      <c r="B36" s="64" t="s">
        <v>32</v>
      </c>
      <c r="C36" s="64" t="s">
        <v>1777</v>
      </c>
      <c r="D36" s="64" t="s">
        <v>405</v>
      </c>
      <c r="E36" s="64" t="s">
        <v>402</v>
      </c>
      <c r="F36" s="64" t="s">
        <v>1761</v>
      </c>
      <c r="G36" s="64" t="s">
        <v>406</v>
      </c>
      <c r="H36" s="64" t="s">
        <v>555</v>
      </c>
      <c r="I36" s="64" t="s">
        <v>3705</v>
      </c>
      <c r="J36" s="64" t="s">
        <v>404</v>
      </c>
      <c r="K36" s="64" t="s">
        <v>1821</v>
      </c>
      <c r="L36" s="64" t="s">
        <v>401</v>
      </c>
      <c r="M36" s="64" t="s">
        <v>400</v>
      </c>
      <c r="N36" s="64" t="s">
        <v>1822</v>
      </c>
      <c r="O36" s="64"/>
      <c r="P36" s="64"/>
      <c r="Q36" s="64"/>
      <c r="R36" s="64"/>
      <c r="S36" s="64"/>
      <c r="T36" s="64"/>
      <c r="U36" s="64"/>
      <c r="V36" s="64"/>
      <c r="W36" s="64"/>
      <c r="X36" s="64"/>
      <c r="Y36" s="64"/>
      <c r="Z36" s="64"/>
      <c r="AA36" s="64"/>
      <c r="AB36" s="64"/>
      <c r="AC36" s="64" t="s">
        <v>3707</v>
      </c>
      <c r="AD36" s="64"/>
      <c r="AE36" s="64"/>
      <c r="AF36" s="64"/>
      <c r="AG36" s="64"/>
      <c r="AH36" s="64" t="s">
        <v>403</v>
      </c>
      <c r="AI36" s="64"/>
      <c r="AJ36" s="64"/>
      <c r="AK36" s="64"/>
      <c r="AL36" s="64"/>
      <c r="AM36" s="64"/>
      <c r="AN36" s="64"/>
      <c r="AO36" s="64"/>
      <c r="AP36" s="64"/>
      <c r="AQ36" s="64"/>
      <c r="AR36" s="64"/>
      <c r="AS36" s="64"/>
      <c r="AT36" s="64"/>
      <c r="AU36" s="69" t="str">
        <f t="shared" si="0"/>
        <v>P3 placesDirection assistéeVerrouillage centralisé à distanceVitres électriquesRétroviseurs électriques et dégivrantsAirbag conducteurRadio numérique (DAB) avec cmde au volantBluetoothSiège conducteur suspenduRadars de reculCaméra de reculRégulateur et Limiteur de vitesse réglable électroniqueChronotachygraphe (Désactivation possible avec un engagement du client que le véhicule ne roule pas au-delà d’un rayon de 100 km autour du lieu d'établissement de l'entreprise)Pré-équipement télématique</v>
      </c>
    </row>
    <row r="37" spans="1:47" ht="33.75" hidden="1" outlineLevel="1" x14ac:dyDescent="0.25">
      <c r="A37" s="64" t="s">
        <v>3488</v>
      </c>
      <c r="B37" s="64" t="s">
        <v>32</v>
      </c>
      <c r="C37" s="64" t="s">
        <v>1777</v>
      </c>
      <c r="D37" s="64" t="s">
        <v>405</v>
      </c>
      <c r="E37" s="64" t="s">
        <v>402</v>
      </c>
      <c r="F37" s="64" t="s">
        <v>1761</v>
      </c>
      <c r="G37" s="64" t="s">
        <v>406</v>
      </c>
      <c r="H37" s="64" t="s">
        <v>555</v>
      </c>
      <c r="I37" s="64" t="s">
        <v>3705</v>
      </c>
      <c r="J37" s="64" t="s">
        <v>404</v>
      </c>
      <c r="K37" s="64" t="s">
        <v>1821</v>
      </c>
      <c r="L37" s="64" t="s">
        <v>401</v>
      </c>
      <c r="M37" s="64" t="s">
        <v>400</v>
      </c>
      <c r="N37" s="64" t="s">
        <v>1822</v>
      </c>
      <c r="O37" s="64"/>
      <c r="P37" s="64"/>
      <c r="Q37" s="64" t="s">
        <v>3708</v>
      </c>
      <c r="R37" s="64"/>
      <c r="S37" s="64"/>
      <c r="T37" s="64"/>
      <c r="U37" s="64"/>
      <c r="V37" s="64"/>
      <c r="W37" s="64"/>
      <c r="X37" s="64"/>
      <c r="Y37" s="64"/>
      <c r="Z37" s="64"/>
      <c r="AA37" s="64"/>
      <c r="AB37" s="64"/>
      <c r="AC37" s="64"/>
      <c r="AD37" s="64"/>
      <c r="AE37" s="64"/>
      <c r="AF37" s="64"/>
      <c r="AG37" s="64"/>
      <c r="AH37" s="64" t="s">
        <v>403</v>
      </c>
      <c r="AI37" s="64"/>
      <c r="AJ37" s="64"/>
      <c r="AK37" s="64"/>
      <c r="AL37" s="64"/>
      <c r="AM37" s="64"/>
      <c r="AN37" s="64"/>
      <c r="AO37" s="64"/>
      <c r="AP37" s="64"/>
      <c r="AQ37" s="64"/>
      <c r="AR37" s="64"/>
      <c r="AS37" s="64"/>
      <c r="AT37" s="64"/>
      <c r="AU37" s="69" t="str">
        <f t="shared" si="0"/>
        <v>P3 placesDirection assistéeVerrouillage centralisé à distanceVitres électriquesRétroviseurs électriques et dégivrantsAirbag conducteurRadio numérique (DAB) avec cmde au volantBluetoothSiège conducteur suspenduRadars de reculCaméra de reculRégulateur et Limiteur de vitesse réglable électroniquePhares anti-brouillard avantPré-équipement télématique</v>
      </c>
    </row>
    <row r="38" spans="1:47" ht="33.75" hidden="1" outlineLevel="1" x14ac:dyDescent="0.25">
      <c r="A38" s="64" t="s">
        <v>3437</v>
      </c>
      <c r="B38" s="64" t="s">
        <v>32</v>
      </c>
      <c r="C38" s="64" t="s">
        <v>1777</v>
      </c>
      <c r="D38" s="64" t="s">
        <v>405</v>
      </c>
      <c r="E38" s="64" t="s">
        <v>402</v>
      </c>
      <c r="F38" s="64" t="s">
        <v>1761</v>
      </c>
      <c r="G38" s="64" t="s">
        <v>406</v>
      </c>
      <c r="H38" s="64" t="s">
        <v>555</v>
      </c>
      <c r="I38" s="64" t="s">
        <v>3705</v>
      </c>
      <c r="J38" s="64" t="s">
        <v>404</v>
      </c>
      <c r="K38" s="64" t="s">
        <v>1821</v>
      </c>
      <c r="L38" s="64" t="s">
        <v>401</v>
      </c>
      <c r="M38" s="71"/>
      <c r="N38" s="64" t="s">
        <v>1822</v>
      </c>
      <c r="O38" s="64"/>
      <c r="P38" s="64"/>
      <c r="Q38" s="64"/>
      <c r="R38" s="64"/>
      <c r="S38" s="64"/>
      <c r="T38" s="64"/>
      <c r="U38" s="64"/>
      <c r="V38" s="64"/>
      <c r="W38" s="64"/>
      <c r="X38" s="64"/>
      <c r="Y38" s="64"/>
      <c r="Z38" s="64"/>
      <c r="AA38" s="64"/>
      <c r="AB38" s="64"/>
      <c r="AC38" s="64"/>
      <c r="AD38" s="64"/>
      <c r="AE38" s="64"/>
      <c r="AF38" s="64"/>
      <c r="AG38" s="64"/>
      <c r="AH38" s="64" t="s">
        <v>403</v>
      </c>
      <c r="AI38" s="64"/>
      <c r="AJ38" s="64"/>
      <c r="AK38" s="64"/>
      <c r="AL38" s="64"/>
      <c r="AM38" s="64"/>
      <c r="AN38" s="64"/>
      <c r="AO38" s="64"/>
      <c r="AP38" s="64"/>
      <c r="AQ38" s="64"/>
      <c r="AR38" s="64"/>
      <c r="AS38" s="64"/>
      <c r="AT38" s="64"/>
      <c r="AU38" s="69" t="str">
        <f t="shared" si="0"/>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électroniquePré-équipement télématique</v>
      </c>
    </row>
    <row r="39" spans="1:47" ht="33.75" hidden="1" outlineLevel="1" x14ac:dyDescent="0.25">
      <c r="A39" s="64" t="s">
        <v>3524</v>
      </c>
      <c r="B39" s="64" t="s">
        <v>32</v>
      </c>
      <c r="C39" s="64" t="s">
        <v>1777</v>
      </c>
      <c r="D39" s="64" t="s">
        <v>405</v>
      </c>
      <c r="E39" s="64" t="s">
        <v>402</v>
      </c>
      <c r="F39" s="64" t="s">
        <v>1761</v>
      </c>
      <c r="G39" s="64" t="s">
        <v>406</v>
      </c>
      <c r="H39" s="64" t="s">
        <v>555</v>
      </c>
      <c r="I39" s="64" t="s">
        <v>3705</v>
      </c>
      <c r="J39" s="64" t="s">
        <v>404</v>
      </c>
      <c r="K39" s="64" t="s">
        <v>1821</v>
      </c>
      <c r="L39" s="64" t="s">
        <v>401</v>
      </c>
      <c r="M39" s="71"/>
      <c r="N39" s="64" t="s">
        <v>1822</v>
      </c>
      <c r="O39" s="64"/>
      <c r="P39" s="64"/>
      <c r="Q39" s="64"/>
      <c r="R39" s="64"/>
      <c r="S39" s="64"/>
      <c r="T39" s="64"/>
      <c r="U39" s="64"/>
      <c r="V39" s="64"/>
      <c r="W39" s="64"/>
      <c r="X39" s="64"/>
      <c r="Y39" s="64"/>
      <c r="Z39" s="64"/>
      <c r="AA39" s="64"/>
      <c r="AB39" s="64"/>
      <c r="AC39" s="64" t="s">
        <v>407</v>
      </c>
      <c r="AD39" s="64"/>
      <c r="AE39" s="64"/>
      <c r="AF39" s="64"/>
      <c r="AG39" s="64"/>
      <c r="AH39" s="64" t="s">
        <v>403</v>
      </c>
      <c r="AI39" s="64"/>
      <c r="AJ39" s="64"/>
      <c r="AK39" s="64"/>
      <c r="AL39" s="64"/>
      <c r="AM39" s="64"/>
      <c r="AN39" s="64"/>
      <c r="AO39" s="64"/>
      <c r="AP39" s="64"/>
      <c r="AQ39" s="64"/>
      <c r="AR39" s="64"/>
      <c r="AS39" s="64"/>
      <c r="AT39" s="64"/>
      <c r="AU39" s="69" t="str">
        <f t="shared" si="0"/>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électroniqueChronotachygraphePré-équipement télématique</v>
      </c>
    </row>
    <row r="40" spans="1:47" ht="33.75" hidden="1" outlineLevel="1" x14ac:dyDescent="0.25">
      <c r="A40" s="64" t="s">
        <v>3519</v>
      </c>
      <c r="B40" s="64" t="s">
        <v>32</v>
      </c>
      <c r="C40" s="64" t="s">
        <v>1777</v>
      </c>
      <c r="D40" s="64" t="s">
        <v>405</v>
      </c>
      <c r="E40" s="64" t="s">
        <v>402</v>
      </c>
      <c r="F40" s="64" t="s">
        <v>1761</v>
      </c>
      <c r="G40" s="64" t="s">
        <v>406</v>
      </c>
      <c r="H40" s="64" t="s">
        <v>555</v>
      </c>
      <c r="I40" s="64" t="s">
        <v>3705</v>
      </c>
      <c r="J40" s="64" t="s">
        <v>404</v>
      </c>
      <c r="K40" s="64" t="s">
        <v>1821</v>
      </c>
      <c r="L40" s="64" t="s">
        <v>401</v>
      </c>
      <c r="M40" s="71"/>
      <c r="N40" s="64" t="s">
        <v>1822</v>
      </c>
      <c r="O40" s="64"/>
      <c r="P40" s="64"/>
      <c r="Q40" s="64" t="s">
        <v>3708</v>
      </c>
      <c r="R40" s="64"/>
      <c r="S40" s="64"/>
      <c r="T40" s="64"/>
      <c r="U40" s="64"/>
      <c r="V40" s="64"/>
      <c r="W40" s="64"/>
      <c r="X40" s="64"/>
      <c r="Y40" s="64"/>
      <c r="Z40" s="64"/>
      <c r="AA40" s="64"/>
      <c r="AB40" s="64"/>
      <c r="AC40" s="64" t="s">
        <v>407</v>
      </c>
      <c r="AD40" s="64"/>
      <c r="AE40" s="64"/>
      <c r="AF40" s="64"/>
      <c r="AG40" s="64"/>
      <c r="AH40" s="64"/>
      <c r="AI40" s="64"/>
      <c r="AJ40" s="64"/>
      <c r="AK40" s="64"/>
      <c r="AL40" s="64"/>
      <c r="AM40" s="64"/>
      <c r="AN40" s="64"/>
      <c r="AO40" s="64"/>
      <c r="AP40" s="64"/>
      <c r="AQ40" s="64"/>
      <c r="AR40" s="64"/>
      <c r="AS40" s="64"/>
      <c r="AT40" s="64"/>
      <c r="AU40" s="69" t="str">
        <f t="shared" si="0"/>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électroniquePhares anti-brouillard avantChronotachygraphe</v>
      </c>
    </row>
    <row r="41" spans="1:47" ht="33.75" hidden="1" outlineLevel="1" x14ac:dyDescent="0.25">
      <c r="A41" s="64" t="s">
        <v>4328</v>
      </c>
      <c r="B41" s="64" t="s">
        <v>424</v>
      </c>
      <c r="C41" s="64"/>
      <c r="D41" s="64"/>
      <c r="E41" s="64"/>
      <c r="F41" s="64"/>
      <c r="G41" s="64"/>
      <c r="H41" s="64"/>
      <c r="I41" s="64"/>
      <c r="J41" s="64"/>
      <c r="K41" s="64"/>
      <c r="L41" s="64" t="s">
        <v>400</v>
      </c>
      <c r="M41" s="64"/>
      <c r="N41" s="64"/>
      <c r="O41" s="64"/>
      <c r="P41" s="64"/>
      <c r="Q41" s="64"/>
      <c r="R41" s="64"/>
      <c r="S41" s="64"/>
      <c r="T41" s="64"/>
      <c r="U41" s="64" t="s">
        <v>3894</v>
      </c>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9" t="str">
        <f t="shared" si="0"/>
        <v xml:space="preserve">OCaméra de reculClimatisation manuelle + Régulateur et Limiteur de vitesse (CU : - 20 Kg) </v>
      </c>
    </row>
    <row r="42" spans="1:47" s="96" customFormat="1" ht="33.75" hidden="1" outlineLevel="1" x14ac:dyDescent="0.25">
      <c r="A42" s="64" t="s">
        <v>4329</v>
      </c>
      <c r="B42" s="64" t="s">
        <v>424</v>
      </c>
      <c r="C42" s="64"/>
      <c r="D42" s="64"/>
      <c r="E42" s="64"/>
      <c r="F42" s="64"/>
      <c r="G42" s="64"/>
      <c r="H42" s="64"/>
      <c r="I42" s="64"/>
      <c r="J42" s="64"/>
      <c r="K42" s="64"/>
      <c r="L42" s="64" t="s">
        <v>3883</v>
      </c>
      <c r="M42" s="64"/>
      <c r="N42" s="64"/>
      <c r="O42" s="64"/>
      <c r="P42" s="64"/>
      <c r="Q42" s="64"/>
      <c r="R42" s="64"/>
      <c r="S42" s="64"/>
      <c r="T42" s="64"/>
      <c r="U42" s="64" t="s">
        <v>3895</v>
      </c>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9" t="str">
        <f t="shared" si="0"/>
        <v xml:space="preserve">OCaméra de recul (montage carrossier)Climatisation manuelle + Régulateur et Limiteur de vitesse (CU : -20 Kg) </v>
      </c>
    </row>
    <row r="43" spans="1:47" ht="33.75" hidden="1" outlineLevel="1" x14ac:dyDescent="0.25">
      <c r="A43" s="64" t="s">
        <v>4330</v>
      </c>
      <c r="B43" s="64" t="s">
        <v>424</v>
      </c>
      <c r="C43" s="64"/>
      <c r="D43" s="64"/>
      <c r="E43" s="64"/>
      <c r="F43" s="64"/>
      <c r="G43" s="64"/>
      <c r="H43" s="64"/>
      <c r="I43" s="64"/>
      <c r="J43" s="64"/>
      <c r="K43" s="64"/>
      <c r="L43" s="64" t="s">
        <v>3883</v>
      </c>
      <c r="M43" s="64"/>
      <c r="N43" s="64"/>
      <c r="O43" s="64"/>
      <c r="P43" s="64"/>
      <c r="Q43" s="64"/>
      <c r="R43" s="64"/>
      <c r="S43" s="64"/>
      <c r="T43" s="64"/>
      <c r="U43" s="64" t="s">
        <v>3895</v>
      </c>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9" t="str">
        <f t="shared" si="0"/>
        <v xml:space="preserve">OCaméra de recul (montage carrossier)Climatisation manuelle + Régulateur et Limiteur de vitesse (CU : -20 Kg) </v>
      </c>
    </row>
    <row r="44" spans="1:47" ht="22.5" hidden="1" outlineLevel="1" x14ac:dyDescent="0.25">
      <c r="A44" s="64" t="s">
        <v>4331</v>
      </c>
      <c r="B44" s="64" t="s">
        <v>424</v>
      </c>
      <c r="C44" s="64"/>
      <c r="D44" s="64"/>
      <c r="E44" s="64"/>
      <c r="F44" s="64"/>
      <c r="G44" s="64"/>
      <c r="H44" s="64"/>
      <c r="I44" s="64"/>
      <c r="J44" s="64"/>
      <c r="K44" s="64"/>
      <c r="L44" s="64" t="s">
        <v>3883</v>
      </c>
      <c r="M44" s="64"/>
      <c r="N44" s="64"/>
      <c r="O44" s="64"/>
      <c r="P44" s="64"/>
      <c r="Q44" s="64"/>
      <c r="R44" s="64"/>
      <c r="S44" s="64"/>
      <c r="T44" s="64"/>
      <c r="U44" s="64" t="s">
        <v>3896</v>
      </c>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9" t="str">
        <f t="shared" si="0"/>
        <v xml:space="preserve">OCaméra de recul (montage carrossier)Climatisation manuelle (CU : -20 Kg) </v>
      </c>
    </row>
    <row r="45" spans="1:47" ht="22.5" hidden="1" outlineLevel="1" x14ac:dyDescent="0.25">
      <c r="A45" s="64" t="s">
        <v>4332</v>
      </c>
      <c r="B45" s="64" t="s">
        <v>424</v>
      </c>
      <c r="C45" s="64"/>
      <c r="D45" s="64"/>
      <c r="E45" s="64"/>
      <c r="F45" s="64"/>
      <c r="G45" s="64"/>
      <c r="H45" s="64"/>
      <c r="I45" s="64"/>
      <c r="J45" s="64"/>
      <c r="K45" s="64"/>
      <c r="L45" s="64"/>
      <c r="M45" s="64"/>
      <c r="N45" s="64"/>
      <c r="O45" s="64"/>
      <c r="P45" s="64"/>
      <c r="Q45" s="64"/>
      <c r="R45" s="64"/>
      <c r="S45" s="64"/>
      <c r="T45" s="64"/>
      <c r="U45" s="64" t="s">
        <v>3896</v>
      </c>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9" t="str">
        <f t="shared" si="0"/>
        <v xml:space="preserve">OClimatisation manuelle (CU : -20 Kg) </v>
      </c>
    </row>
    <row r="46" spans="1:47" ht="22.5" hidden="1" outlineLevel="1" x14ac:dyDescent="0.25">
      <c r="A46" s="64" t="s">
        <v>4333</v>
      </c>
      <c r="B46" s="64" t="s">
        <v>424</v>
      </c>
      <c r="C46" s="64"/>
      <c r="D46" s="64"/>
      <c r="E46" s="64"/>
      <c r="F46" s="64"/>
      <c r="G46" s="64"/>
      <c r="H46" s="64"/>
      <c r="I46" s="64"/>
      <c r="J46" s="64"/>
      <c r="K46" s="64"/>
      <c r="L46" s="64"/>
      <c r="M46" s="64"/>
      <c r="N46" s="64"/>
      <c r="O46" s="64"/>
      <c r="P46" s="64"/>
      <c r="Q46" s="64"/>
      <c r="R46" s="64"/>
      <c r="S46" s="64"/>
      <c r="T46" s="64"/>
      <c r="U46" s="64"/>
      <c r="V46" s="64" t="s">
        <v>3897</v>
      </c>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9" t="str">
        <f t="shared" si="0"/>
        <v>ODéflecteur de cabine (CU : -16 kg)</v>
      </c>
    </row>
    <row r="47" spans="1:47" ht="22.5" hidden="1" outlineLevel="1" x14ac:dyDescent="0.25">
      <c r="A47" s="64" t="s">
        <v>4334</v>
      </c>
      <c r="B47" s="64" t="s">
        <v>424</v>
      </c>
      <c r="C47" s="64"/>
      <c r="D47" s="64"/>
      <c r="E47" s="64"/>
      <c r="F47" s="64"/>
      <c r="G47" s="64"/>
      <c r="H47" s="64"/>
      <c r="I47" s="64"/>
      <c r="J47" s="64"/>
      <c r="K47" s="64"/>
      <c r="L47" s="64"/>
      <c r="M47" s="64"/>
      <c r="N47" s="64"/>
      <c r="O47" s="64"/>
      <c r="P47" s="64"/>
      <c r="Q47" s="64"/>
      <c r="R47" s="64"/>
      <c r="S47" s="64"/>
      <c r="T47" s="64"/>
      <c r="U47" s="64"/>
      <c r="V47" s="64" t="s">
        <v>3897</v>
      </c>
      <c r="W47" s="64"/>
      <c r="X47" s="64"/>
      <c r="Y47" s="64"/>
      <c r="Z47" s="64"/>
      <c r="AA47" s="64"/>
      <c r="AB47" s="64"/>
      <c r="AC47" s="64"/>
      <c r="AD47" s="64"/>
      <c r="AE47" s="64"/>
      <c r="AF47" s="64"/>
      <c r="AG47" s="64"/>
      <c r="AH47" s="64"/>
      <c r="AI47" s="70"/>
      <c r="AJ47" s="64"/>
      <c r="AK47" s="64"/>
      <c r="AL47" s="64"/>
      <c r="AM47" s="64"/>
      <c r="AN47" s="70"/>
      <c r="AO47" s="70"/>
      <c r="AP47" s="64"/>
      <c r="AQ47" s="64"/>
      <c r="AR47" s="64"/>
      <c r="AS47" s="64"/>
      <c r="AT47" s="64"/>
      <c r="AU47" s="69" t="str">
        <f t="shared" si="0"/>
        <v>ODéflecteur de cabine (CU : -16 kg)</v>
      </c>
    </row>
    <row r="48" spans="1:47" ht="45" hidden="1" outlineLevel="1" x14ac:dyDescent="0.25">
      <c r="A48" s="64" t="s">
        <v>3292</v>
      </c>
      <c r="B48" s="64" t="s">
        <v>32</v>
      </c>
      <c r="C48" s="64" t="s">
        <v>1759</v>
      </c>
      <c r="D48" s="64" t="s">
        <v>405</v>
      </c>
      <c r="E48" s="64" t="s">
        <v>402</v>
      </c>
      <c r="F48" s="64" t="s">
        <v>1761</v>
      </c>
      <c r="G48" s="64" t="s">
        <v>406</v>
      </c>
      <c r="H48" s="64" t="s">
        <v>555</v>
      </c>
      <c r="I48" s="64" t="s">
        <v>3693</v>
      </c>
      <c r="J48" s="64" t="s">
        <v>3694</v>
      </c>
      <c r="K48" s="64" t="s">
        <v>1772</v>
      </c>
      <c r="L48" s="64" t="s">
        <v>401</v>
      </c>
      <c r="M48" s="64"/>
      <c r="N48" s="64" t="s">
        <v>1765</v>
      </c>
      <c r="O48" s="64" t="s">
        <v>1781</v>
      </c>
      <c r="P48" s="64"/>
      <c r="Q48" s="64"/>
      <c r="R48" s="64"/>
      <c r="S48" s="64"/>
      <c r="T48" s="64"/>
      <c r="U48" s="64" t="s">
        <v>399</v>
      </c>
      <c r="V48" s="64"/>
      <c r="W48" s="64"/>
      <c r="X48" s="64"/>
      <c r="Y48" s="64"/>
      <c r="Z48" s="64"/>
      <c r="AA48" s="64"/>
      <c r="AB48" s="64"/>
      <c r="AC48" s="64"/>
      <c r="AD48" s="64"/>
      <c r="AE48" s="64" t="s">
        <v>1768</v>
      </c>
      <c r="AF48" s="64" t="s">
        <v>3695</v>
      </c>
      <c r="AG48" s="64"/>
      <c r="AH48" s="64" t="s">
        <v>403</v>
      </c>
      <c r="AI48" s="64"/>
      <c r="AJ48" s="64"/>
      <c r="AK48" s="64"/>
      <c r="AL48" s="64"/>
      <c r="AM48" s="64"/>
      <c r="AN48" s="64"/>
      <c r="AO48" s="64"/>
      <c r="AP48" s="64"/>
      <c r="AQ48" s="64"/>
      <c r="AR48" s="64"/>
      <c r="AS48" s="64"/>
      <c r="AT48" s="64"/>
      <c r="AU48" s="69" t="str">
        <f t="shared" si="0"/>
        <v>P2 placesDirection assistéeVerrouillage centralisé à distanceVitres électriquesRétroviseurs électriques et dégivrantsAirbag conducteurRadio numérique DAB / MP3 / USB Bluetooth (sans commande au volant)Siège conducteur avec réglage en longueur et dossier inclinableRadars de reculRégulateur et limiteur de vitesseVolant réglable en hauteur et en profondeurClimatisation manuelleDétection de sous gonflage Allumage automatique des feux de croisement Pré-équipement télématique</v>
      </c>
    </row>
    <row r="49" spans="1:47" ht="45" hidden="1" outlineLevel="1" x14ac:dyDescent="0.25">
      <c r="A49" s="64" t="s">
        <v>3306</v>
      </c>
      <c r="B49" s="64" t="s">
        <v>32</v>
      </c>
      <c r="C49" s="64" t="s">
        <v>1759</v>
      </c>
      <c r="D49" s="64" t="s">
        <v>405</v>
      </c>
      <c r="E49" s="64" t="s">
        <v>402</v>
      </c>
      <c r="F49" s="64" t="s">
        <v>1761</v>
      </c>
      <c r="G49" s="64" t="s">
        <v>406</v>
      </c>
      <c r="H49" s="64" t="s">
        <v>555</v>
      </c>
      <c r="I49" s="64" t="s">
        <v>3693</v>
      </c>
      <c r="J49" s="64" t="s">
        <v>3694</v>
      </c>
      <c r="K49" s="64" t="s">
        <v>1772</v>
      </c>
      <c r="L49" s="64" t="s">
        <v>401</v>
      </c>
      <c r="M49" s="64"/>
      <c r="N49" s="64" t="s">
        <v>1765</v>
      </c>
      <c r="O49" s="64" t="s">
        <v>1781</v>
      </c>
      <c r="P49" s="64" t="s">
        <v>3681</v>
      </c>
      <c r="Q49" s="64"/>
      <c r="R49" s="64"/>
      <c r="S49" s="64"/>
      <c r="T49" s="64"/>
      <c r="U49" s="64" t="s">
        <v>399</v>
      </c>
      <c r="V49" s="64"/>
      <c r="W49" s="64"/>
      <c r="X49" s="64"/>
      <c r="Y49" s="64"/>
      <c r="Z49" s="64"/>
      <c r="AA49" s="64"/>
      <c r="AB49" s="64"/>
      <c r="AC49" s="64"/>
      <c r="AD49" s="64"/>
      <c r="AE49" s="64" t="s">
        <v>1768</v>
      </c>
      <c r="AF49" s="64" t="s">
        <v>3695</v>
      </c>
      <c r="AG49" s="64"/>
      <c r="AH49" s="64" t="s">
        <v>403</v>
      </c>
      <c r="AI49" s="64"/>
      <c r="AJ49" s="64" t="s">
        <v>423</v>
      </c>
      <c r="AK49" s="64"/>
      <c r="AL49" s="64"/>
      <c r="AM49" s="64"/>
      <c r="AN49" s="64"/>
      <c r="AO49" s="64"/>
      <c r="AP49" s="64"/>
      <c r="AQ49" s="64"/>
      <c r="AR49" s="64"/>
      <c r="AS49" s="64"/>
      <c r="AT49" s="64"/>
      <c r="AU49" s="69" t="str">
        <f t="shared" si="0"/>
        <v>P2 placesDirection assistéeVerrouillage centralisé à distanceVitres électriquesRétroviseurs électriques et dégivrantsAirbag conducteurRadio numérique DAB / MP3 / USB Bluetooth (sans commande au volant)Siège conducteur avec réglage en longueur et dossier inclinableRadars de reculRégulateur et limiteur de vitesseVolant réglable en hauteur et en profondeurPrise 12 VClimatisation manuelleDétection de sous gonflage Allumage automatique des feux de croisement Pré-équipement télématiqueTriangle de signalisation</v>
      </c>
    </row>
    <row r="50" spans="1:47" ht="22.5" hidden="1" outlineLevel="1" x14ac:dyDescent="0.25">
      <c r="A50" s="64" t="s">
        <v>4335</v>
      </c>
      <c r="B50" s="64" t="s">
        <v>424</v>
      </c>
      <c r="C50" s="64"/>
      <c r="D50" s="64"/>
      <c r="E50" s="64"/>
      <c r="F50" s="64"/>
      <c r="G50" s="64"/>
      <c r="H50" s="64"/>
      <c r="I50" s="64"/>
      <c r="J50" s="64"/>
      <c r="K50" s="64"/>
      <c r="L50" s="64"/>
      <c r="M50" s="64"/>
      <c r="N50" s="64"/>
      <c r="O50" s="64"/>
      <c r="P50" s="64"/>
      <c r="Q50" s="64"/>
      <c r="R50" s="64"/>
      <c r="S50" s="64"/>
      <c r="T50" s="64"/>
      <c r="U50" s="64"/>
      <c r="V50" s="64" t="s">
        <v>3897</v>
      </c>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9" t="str">
        <f t="shared" si="0"/>
        <v>ODéflecteur de cabine (CU : -16 kg)</v>
      </c>
    </row>
    <row r="51" spans="1:47" ht="33.75" hidden="1" outlineLevel="1" x14ac:dyDescent="0.25">
      <c r="A51" s="64" t="s">
        <v>3623</v>
      </c>
      <c r="B51" s="64" t="s">
        <v>424</v>
      </c>
      <c r="C51" s="64"/>
      <c r="D51" s="64"/>
      <c r="E51" s="64"/>
      <c r="F51" s="64"/>
      <c r="G51" s="64"/>
      <c r="H51" s="64"/>
      <c r="I51" s="64"/>
      <c r="J51" s="64"/>
      <c r="K51" s="64"/>
      <c r="L51" s="64"/>
      <c r="M51" s="64"/>
      <c r="N51" s="64"/>
      <c r="O51" s="64"/>
      <c r="P51" s="64"/>
      <c r="Q51" s="64"/>
      <c r="R51" s="64"/>
      <c r="S51" s="64"/>
      <c r="T51" s="64"/>
      <c r="U51" s="64"/>
      <c r="V51" s="64" t="s">
        <v>3897</v>
      </c>
      <c r="W51" s="64"/>
      <c r="X51" s="64"/>
      <c r="Y51" s="64"/>
      <c r="Z51" s="64"/>
      <c r="AA51" s="64"/>
      <c r="AB51" s="64"/>
      <c r="AC51" s="64"/>
      <c r="AD51" s="64"/>
      <c r="AE51" s="64"/>
      <c r="AF51" s="64"/>
      <c r="AG51" s="64"/>
      <c r="AH51" s="70"/>
      <c r="AI51" s="70"/>
      <c r="AJ51" s="64"/>
      <c r="AK51" s="64"/>
      <c r="AL51" s="64"/>
      <c r="AM51" s="64"/>
      <c r="AN51" s="64"/>
      <c r="AO51" s="64"/>
      <c r="AP51" s="64"/>
      <c r="AQ51" s="64"/>
      <c r="AR51" s="64"/>
      <c r="AS51" s="64"/>
      <c r="AT51" s="64"/>
      <c r="AU51" s="69" t="str">
        <f t="shared" si="0"/>
        <v>ODéflecteur de cabine (CU : -16 kg)</v>
      </c>
    </row>
    <row r="52" spans="1:47" ht="45" hidden="1" outlineLevel="1" x14ac:dyDescent="0.25">
      <c r="A52" s="64" t="s">
        <v>3364</v>
      </c>
      <c r="B52" s="64" t="s">
        <v>32</v>
      </c>
      <c r="C52" s="64" t="s">
        <v>1777</v>
      </c>
      <c r="D52" s="64" t="s">
        <v>405</v>
      </c>
      <c r="E52" s="64" t="s">
        <v>3703</v>
      </c>
      <c r="F52" s="64" t="s">
        <v>1761</v>
      </c>
      <c r="G52" s="64" t="s">
        <v>406</v>
      </c>
      <c r="H52" s="64" t="s">
        <v>1784</v>
      </c>
      <c r="I52" s="64" t="s">
        <v>3702</v>
      </c>
      <c r="J52" s="64" t="s">
        <v>404</v>
      </c>
      <c r="K52" s="64" t="s">
        <v>1786</v>
      </c>
      <c r="L52" s="64" t="s">
        <v>401</v>
      </c>
      <c r="M52" s="64" t="s">
        <v>400</v>
      </c>
      <c r="N52" s="64" t="s">
        <v>1765</v>
      </c>
      <c r="O52" s="64"/>
      <c r="P52" s="64" t="s">
        <v>3681</v>
      </c>
      <c r="Q52" s="64"/>
      <c r="R52" s="64"/>
      <c r="S52" s="64"/>
      <c r="T52" s="64"/>
      <c r="U52" s="64" t="s">
        <v>399</v>
      </c>
      <c r="V52" s="64"/>
      <c r="W52" s="64"/>
      <c r="X52" s="64"/>
      <c r="Y52" s="64"/>
      <c r="Z52" s="64"/>
      <c r="AA52" s="64"/>
      <c r="AB52" s="64"/>
      <c r="AC52" s="64"/>
      <c r="AD52" s="64"/>
      <c r="AE52" s="64" t="s">
        <v>1787</v>
      </c>
      <c r="AF52" s="64"/>
      <c r="AG52" s="64"/>
      <c r="AH52" s="64" t="s">
        <v>403</v>
      </c>
      <c r="AI52" s="64"/>
      <c r="AJ52" s="64" t="s">
        <v>423</v>
      </c>
      <c r="AK52" s="64"/>
      <c r="AL52" s="64"/>
      <c r="AM52" s="64"/>
      <c r="AN52" s="64"/>
      <c r="AO52" s="64"/>
      <c r="AP52" s="64"/>
      <c r="AQ52" s="64"/>
      <c r="AR52" s="64"/>
      <c r="AS52" s="64"/>
      <c r="AT52" s="64"/>
      <c r="AU52" s="69" t="str">
        <f t="shared" si="0"/>
        <v>P3 placesDirection assistéeVerrouillage centralisé à distance (Uniquement Cabine)Vitres électriquesRétroviseurs électriques et dégivrantsAirbag conducteur / Double airbag passagerSystème audio 5'' avec radio numérique DAB + 1 port USBBluetoothSiège conducteur avec réglage en hauteur, réglagle lombaire et accoudoirRadars de reculCaméra de reculRégulateur et limiteur de vitessePrise 12 VClimatisation manuelleCapteur de pression des pneumatiques (TPMS indirect)Pré-équipement télématiqueTriangle de signalisation</v>
      </c>
    </row>
    <row r="53" spans="1:47" ht="45" hidden="1" outlineLevel="1" x14ac:dyDescent="0.25">
      <c r="A53" s="64" t="s">
        <v>3339</v>
      </c>
      <c r="B53" s="64" t="s">
        <v>32</v>
      </c>
      <c r="C53" s="64" t="s">
        <v>1777</v>
      </c>
      <c r="D53" s="64" t="s">
        <v>405</v>
      </c>
      <c r="E53" s="64" t="s">
        <v>402</v>
      </c>
      <c r="F53" s="64" t="s">
        <v>1761</v>
      </c>
      <c r="G53" s="64" t="s">
        <v>406</v>
      </c>
      <c r="H53" s="64" t="s">
        <v>1784</v>
      </c>
      <c r="I53" s="64" t="s">
        <v>3702</v>
      </c>
      <c r="J53" s="64" t="s">
        <v>404</v>
      </c>
      <c r="K53" s="64" t="s">
        <v>1786</v>
      </c>
      <c r="L53" s="64" t="s">
        <v>401</v>
      </c>
      <c r="M53" s="64" t="s">
        <v>400</v>
      </c>
      <c r="N53" s="64" t="s">
        <v>1765</v>
      </c>
      <c r="O53" s="64"/>
      <c r="P53" s="64" t="s">
        <v>3681</v>
      </c>
      <c r="Q53" s="64"/>
      <c r="R53" s="64"/>
      <c r="S53" s="64"/>
      <c r="T53" s="64"/>
      <c r="U53" s="64" t="s">
        <v>399</v>
      </c>
      <c r="V53" s="64"/>
      <c r="W53" s="64"/>
      <c r="X53" s="64"/>
      <c r="Y53" s="64"/>
      <c r="Z53" s="64"/>
      <c r="AA53" s="64"/>
      <c r="AB53" s="64"/>
      <c r="AC53" s="64"/>
      <c r="AD53" s="64"/>
      <c r="AE53" s="64" t="s">
        <v>1787</v>
      </c>
      <c r="AF53" s="64"/>
      <c r="AG53" s="64"/>
      <c r="AH53" s="64" t="s">
        <v>403</v>
      </c>
      <c r="AI53" s="70"/>
      <c r="AJ53" s="64" t="s">
        <v>423</v>
      </c>
      <c r="AK53" s="64"/>
      <c r="AL53" s="64"/>
      <c r="AM53" s="64"/>
      <c r="AN53" s="70"/>
      <c r="AO53" s="70"/>
      <c r="AP53" s="64"/>
      <c r="AQ53" s="64"/>
      <c r="AR53" s="64"/>
      <c r="AS53" s="64"/>
      <c r="AT53" s="64"/>
      <c r="AU53" s="69" t="str">
        <f t="shared" si="0"/>
        <v>P3 placesDirection assistéeVerrouillage centralisé à distanceVitres électriquesRétroviseurs électriques et dégivrantsAirbag conducteur / Double airbag passagerSystème audio 5'' avec radio numérique DAB + 1 port USBBluetoothSiège conducteur avec réglage en hauteur, réglagle lombaire et accoudoirRadars de reculCaméra de reculRégulateur et limiteur de vitessePrise 12 VClimatisation manuelleCapteur de pression des pneumatiques (TPMS indirect)Pré-équipement télématiqueTriangle de signalisation</v>
      </c>
    </row>
    <row r="54" spans="1:47" ht="78.75" hidden="1" outlineLevel="1" x14ac:dyDescent="0.25">
      <c r="A54" s="64" t="s">
        <v>4336</v>
      </c>
      <c r="B54" s="64" t="s">
        <v>424</v>
      </c>
      <c r="C54" s="64"/>
      <c r="D54" s="64"/>
      <c r="E54" s="64" t="s">
        <v>3898</v>
      </c>
      <c r="F54" s="64" t="s">
        <v>3899</v>
      </c>
      <c r="G54" s="64"/>
      <c r="H54" s="64" t="s">
        <v>3900</v>
      </c>
      <c r="I54" s="64" t="s">
        <v>3901</v>
      </c>
      <c r="J54" s="64"/>
      <c r="K54" s="64" t="s">
        <v>3902</v>
      </c>
      <c r="L54" s="64"/>
      <c r="M54" s="64"/>
      <c r="N54" s="64"/>
      <c r="O54" s="64"/>
      <c r="P54" s="64"/>
      <c r="Q54" s="64" t="s">
        <v>3903</v>
      </c>
      <c r="R54" s="64"/>
      <c r="S54" s="64"/>
      <c r="T54" s="64"/>
      <c r="U54" s="64"/>
      <c r="V54" s="64"/>
      <c r="W54" s="64"/>
      <c r="X54" s="64"/>
      <c r="Y54" s="64" t="s">
        <v>3880</v>
      </c>
      <c r="Z54" s="64" t="s">
        <v>3881</v>
      </c>
      <c r="AA54" s="64"/>
      <c r="AB54" s="64" t="s">
        <v>3882</v>
      </c>
      <c r="AC54" s="64"/>
      <c r="AD54" s="64"/>
      <c r="AE54" s="64"/>
      <c r="AF54" s="64"/>
      <c r="AG54" s="64" t="s">
        <v>3904</v>
      </c>
      <c r="AH54" s="64"/>
      <c r="AI54" s="64"/>
      <c r="AJ54" s="64"/>
      <c r="AK54" s="64"/>
      <c r="AL54" s="64"/>
      <c r="AM54" s="64"/>
      <c r="AN54" s="64"/>
      <c r="AO54" s="64"/>
      <c r="AP54" s="64"/>
      <c r="AQ54" s="64"/>
      <c r="AR54" s="64"/>
      <c r="AS54" s="64"/>
      <c r="AT54" s="64"/>
      <c r="AU54" s="69" t="str">
        <f t="shared" si="0"/>
        <v>OAirbag frontal passagerAirbag frontal passager + Airbag latéraux conducteur et passager (Thorax-Abdo)Airbag passager + Antibrouillard (induit Pack Basic : Essuie-vitre auto avec capteur de pluie, Allumage auto feux de croisement, Vitre cond. et passag. élec. séquentiels)GPS induit Navigation 3D sur tablette tactile 8" (induit : Mirror Screen , Volant multifonction, Essuie-vitre auto + capteur de pluie, Allumage auto feux de croisement, Antibrouillard)Caméra de recul : Aide au stationnement arrière avec Caméra de recul (restitution sur écran dédié 5" en zone rétroviseur ou écran tactile 8'' si équipement GPS)Antibrouillard (induit Pack Basic : Essuie-vitre auto avec capteur de pluie, Allumage auto feux de croisement, Vitre cond. et passag. élec. séquentiels)Boîte à clefsBoite à pharmacieExtincteur 1KgFrein à main électrique (induit : Essuie-vitre auto + capteur de pluie, Allumage auto feux de croisement, Airbag passager, Antibrouillard, Accès + démarrage mains-libres)</v>
      </c>
    </row>
    <row r="55" spans="1:47" ht="101.25" hidden="1" outlineLevel="1" x14ac:dyDescent="0.25">
      <c r="A55" s="64" t="s">
        <v>4337</v>
      </c>
      <c r="B55" s="64" t="s">
        <v>424</v>
      </c>
      <c r="C55" s="64"/>
      <c r="D55" s="64"/>
      <c r="E55" s="64" t="s">
        <v>3898</v>
      </c>
      <c r="F55" s="64" t="s">
        <v>3899</v>
      </c>
      <c r="G55" s="64"/>
      <c r="H55" s="64" t="s">
        <v>3905</v>
      </c>
      <c r="I55" s="64" t="s">
        <v>3901</v>
      </c>
      <c r="J55" s="64"/>
      <c r="K55" s="64" t="s">
        <v>3902</v>
      </c>
      <c r="L55" s="64"/>
      <c r="M55" s="64"/>
      <c r="N55" s="64"/>
      <c r="O55" s="64" t="s">
        <v>3906</v>
      </c>
      <c r="P55" s="64" t="s">
        <v>3907</v>
      </c>
      <c r="Q55" s="64" t="s">
        <v>3903</v>
      </c>
      <c r="R55" s="64"/>
      <c r="S55" s="64"/>
      <c r="T55" s="64"/>
      <c r="U55" s="64"/>
      <c r="V55" s="64"/>
      <c r="W55" s="64"/>
      <c r="X55" s="64"/>
      <c r="Y55" s="64" t="s">
        <v>3880</v>
      </c>
      <c r="Z55" s="64" t="s">
        <v>3881</v>
      </c>
      <c r="AA55" s="64"/>
      <c r="AB55" s="64" t="s">
        <v>3882</v>
      </c>
      <c r="AC55" s="64"/>
      <c r="AD55" s="64"/>
      <c r="AE55" s="64"/>
      <c r="AF55" s="64"/>
      <c r="AG55" s="64" t="s">
        <v>3904</v>
      </c>
      <c r="AH55" s="64"/>
      <c r="AI55" s="64"/>
      <c r="AJ55" s="64"/>
      <c r="AK55" s="64"/>
      <c r="AL55" s="64"/>
      <c r="AM55" s="64"/>
      <c r="AN55" s="64"/>
      <c r="AO55" s="64"/>
      <c r="AP55" s="64"/>
      <c r="AQ55" s="64"/>
      <c r="AR55" s="64"/>
      <c r="AS55" s="64"/>
      <c r="AT55" s="64"/>
      <c r="AU55" s="69" t="str">
        <f t="shared" si="0"/>
        <v>OAirbag frontal passagerAirbag frontal passager + Airbag latéraux conducteur et passager (Thorax-Abdo)Airbag passager + Antibrouillard (induit Pack Basic : Essuie-vitre auto avec capteur de pluie, Allumage auto feux de croisement, Vitre cond. et passag. élec. séquentiels, Volant multifonction)GPS induit Navigation 3D sur tablette tactile 8" (induit : Mirror Screen , Volant multifonction, Essuie-vitre auto + capteur de pluie, Allumage auto feux de croisement, Antibrouillard)Caméra de recul : Aide au stationnement arrière avec Caméra de recul (restitution sur écran dédié 5" en zone rétroviseur ou écran tactile 8'' si équipement GPS)Key OutKey-out + Caméra de recul : Aide au stationnement arrière avec Caméra de recul (restitution sur écran dédié 5" en zone rétroviseur ou écran tactile 8'' si équipement GPS)Antibrouillard (induit Pack Basic : Essuie-vitre auto avec capteur de pluie, Allumage auto feux de croisement, Vitre cond. et passag. élec. séquentiels)Boîte à clefsBoite à pharmacieExtincteur 1KgFrein à main électrique (induit : Essuie-vitre auto + capteur de pluie, Allumage auto feux de croisement, Airbag passager, Antibrouillard, Accès + démarrage mains-libres)</v>
      </c>
    </row>
    <row r="56" spans="1:47" ht="90" hidden="1" outlineLevel="1" x14ac:dyDescent="0.25">
      <c r="A56" s="64" t="s">
        <v>4338</v>
      </c>
      <c r="B56" s="64" t="s">
        <v>424</v>
      </c>
      <c r="C56" s="64"/>
      <c r="D56" s="64"/>
      <c r="E56" s="64" t="s">
        <v>3898</v>
      </c>
      <c r="F56" s="64" t="s">
        <v>3899</v>
      </c>
      <c r="G56" s="64"/>
      <c r="H56" s="64" t="s">
        <v>3905</v>
      </c>
      <c r="I56" s="64" t="s">
        <v>3901</v>
      </c>
      <c r="J56" s="64"/>
      <c r="K56" s="64"/>
      <c r="L56" s="64"/>
      <c r="M56" s="64"/>
      <c r="N56" s="64"/>
      <c r="O56" s="64"/>
      <c r="P56" s="64"/>
      <c r="Q56" s="64"/>
      <c r="R56" s="64"/>
      <c r="S56" s="64"/>
      <c r="T56" s="64"/>
      <c r="U56" s="64"/>
      <c r="V56" s="64"/>
      <c r="W56" s="64"/>
      <c r="X56" s="64"/>
      <c r="Y56" s="64" t="s">
        <v>3880</v>
      </c>
      <c r="Z56" s="64" t="s">
        <v>3881</v>
      </c>
      <c r="AA56" s="64"/>
      <c r="AB56" s="64" t="s">
        <v>3882</v>
      </c>
      <c r="AC56" s="64"/>
      <c r="AD56" s="64"/>
      <c r="AE56" s="64"/>
      <c r="AF56" s="64"/>
      <c r="AG56" s="64"/>
      <c r="AH56" s="64"/>
      <c r="AI56" s="64"/>
      <c r="AJ56" s="64"/>
      <c r="AK56" s="64"/>
      <c r="AL56" s="64"/>
      <c r="AM56" s="64"/>
      <c r="AN56" s="64"/>
      <c r="AO56" s="64"/>
      <c r="AP56" s="64"/>
      <c r="AQ56" s="64"/>
      <c r="AR56" s="64"/>
      <c r="AS56" s="64"/>
      <c r="AT56" s="64"/>
      <c r="AU56" s="69" t="str">
        <f t="shared" si="0"/>
        <v>OAirbag frontal passagerAirbag frontal passager + Airbag latéraux conducteur et passager (Thorax-Abdo)Airbag passager + Antibrouillard (induit Pack Basic : Essuie-vitre auto avec capteur de pluie, Allumage auto feux de croisement, Vitre cond. et passag. élec. séquentiels, Volant multifonction)GPS induit Navigation 3D sur tablette tactile 8" (induit : Mirror Screen , Volant multifonction, Essuie-vitre auto + capteur de pluie, Allumage auto feux de croisement, Antibrouillard)Boîte à clefsBoite à pharmacieExtincteur 1Kg</v>
      </c>
    </row>
    <row r="57" spans="1:47" ht="45" hidden="1" outlineLevel="1" x14ac:dyDescent="0.25">
      <c r="A57" s="64" t="s">
        <v>3414</v>
      </c>
      <c r="B57" s="64" t="s">
        <v>32</v>
      </c>
      <c r="C57" s="64" t="s">
        <v>1777</v>
      </c>
      <c r="D57" s="64" t="s">
        <v>405</v>
      </c>
      <c r="E57" s="64" t="s">
        <v>402</v>
      </c>
      <c r="F57" s="64" t="s">
        <v>1761</v>
      </c>
      <c r="G57" s="64" t="s">
        <v>3709</v>
      </c>
      <c r="H57" s="64" t="s">
        <v>1778</v>
      </c>
      <c r="I57" s="64" t="s">
        <v>3699</v>
      </c>
      <c r="J57" s="64" t="s">
        <v>404</v>
      </c>
      <c r="K57" s="64" t="s">
        <v>3700</v>
      </c>
      <c r="L57" s="64" t="s">
        <v>401</v>
      </c>
      <c r="M57" s="64"/>
      <c r="N57" s="64" t="s">
        <v>1765</v>
      </c>
      <c r="O57" s="64" t="s">
        <v>1781</v>
      </c>
      <c r="P57" s="64" t="s">
        <v>3681</v>
      </c>
      <c r="Q57" s="64"/>
      <c r="R57" s="64"/>
      <c r="S57" s="64"/>
      <c r="T57" s="64"/>
      <c r="U57" s="64" t="s">
        <v>399</v>
      </c>
      <c r="V57" s="64"/>
      <c r="W57" s="64"/>
      <c r="X57" s="64"/>
      <c r="Y57" s="64"/>
      <c r="Z57" s="64"/>
      <c r="AA57" s="64"/>
      <c r="AB57" s="64"/>
      <c r="AC57" s="64"/>
      <c r="AD57" s="64"/>
      <c r="AE57" s="64" t="s">
        <v>1768</v>
      </c>
      <c r="AF57" s="64"/>
      <c r="AG57" s="64"/>
      <c r="AH57" s="64" t="s">
        <v>403</v>
      </c>
      <c r="AI57" s="64"/>
      <c r="AJ57" s="64" t="s">
        <v>423</v>
      </c>
      <c r="AK57" s="64"/>
      <c r="AL57" s="64"/>
      <c r="AM57" s="64"/>
      <c r="AN57" s="70"/>
      <c r="AO57" s="64"/>
      <c r="AP57" s="64"/>
      <c r="AQ57" s="64"/>
      <c r="AR57" s="64"/>
      <c r="AS57" s="64"/>
      <c r="AT57" s="64"/>
      <c r="AU57" s="69" t="str">
        <f t="shared" si="0"/>
        <v>P3 placesDirection assistéeVerrouillage centralisé à distanceVitres électriquesRétroviseurs extérieur dégivrantsAirbags frontaux (conducteur et passager)Radio numérique DAB / MP3 / USB avec cmde au volantBluetoothSiège conducteur avec accoudoir, réhausse et réglage lombaireRadars de reculRégulateur et limiteur de vitesseVolant réglable en hauteur et en profondeurPrise 12 VClimatisation manuelleDétection de sous gonflage Pré-équipement télématiqueTriangle de signalisation</v>
      </c>
    </row>
    <row r="58" spans="1:47" ht="45" hidden="1" outlineLevel="1" x14ac:dyDescent="0.25">
      <c r="A58" s="64" t="s">
        <v>3399</v>
      </c>
      <c r="B58" s="64" t="s">
        <v>32</v>
      </c>
      <c r="C58" s="64" t="s">
        <v>1777</v>
      </c>
      <c r="D58" s="64" t="s">
        <v>405</v>
      </c>
      <c r="E58" s="64" t="s">
        <v>402</v>
      </c>
      <c r="F58" s="64" t="s">
        <v>1761</v>
      </c>
      <c r="G58" s="64" t="s">
        <v>406</v>
      </c>
      <c r="H58" s="64" t="s">
        <v>1778</v>
      </c>
      <c r="I58" s="64" t="s">
        <v>3710</v>
      </c>
      <c r="J58" s="64" t="s">
        <v>404</v>
      </c>
      <c r="K58" s="64" t="s">
        <v>3711</v>
      </c>
      <c r="L58" s="64" t="s">
        <v>401</v>
      </c>
      <c r="M58" s="64"/>
      <c r="N58" s="64" t="s">
        <v>1765</v>
      </c>
      <c r="O58" s="64" t="s">
        <v>1781</v>
      </c>
      <c r="P58" s="64" t="s">
        <v>3681</v>
      </c>
      <c r="Q58" s="64"/>
      <c r="R58" s="64"/>
      <c r="S58" s="64"/>
      <c r="T58" s="64"/>
      <c r="U58" s="64" t="s">
        <v>399</v>
      </c>
      <c r="V58" s="64"/>
      <c r="W58" s="64"/>
      <c r="X58" s="64"/>
      <c r="Y58" s="64"/>
      <c r="Z58" s="64"/>
      <c r="AA58" s="64"/>
      <c r="AB58" s="64"/>
      <c r="AC58" s="64"/>
      <c r="AD58" s="64"/>
      <c r="AE58" s="64" t="s">
        <v>1768</v>
      </c>
      <c r="AF58" s="64"/>
      <c r="AG58" s="64"/>
      <c r="AH58" s="64" t="s">
        <v>403</v>
      </c>
      <c r="AI58" s="64"/>
      <c r="AJ58" s="64" t="s">
        <v>423</v>
      </c>
      <c r="AK58" s="64"/>
      <c r="AL58" s="64"/>
      <c r="AM58" s="64"/>
      <c r="AN58" s="64"/>
      <c r="AO58" s="64"/>
      <c r="AP58" s="64"/>
      <c r="AQ58" s="64"/>
      <c r="AR58" s="64"/>
      <c r="AS58" s="64"/>
      <c r="AT58" s="64"/>
      <c r="AU58" s="69" t="str">
        <f t="shared" si="0"/>
        <v>P3 placesDirection assistéeVerrouillage centralisé à distanceVitres électriquesRétroviseurs électriques et dégivrantsAirbags frontaux (conducteur et passager)Radio MP3 / USB avec cmde au volantBluetoothSiège conducteur avec réhausse et réglage lombaireRadars de reculRégulateur et limiteur de vitesseVolant réglable en hauteur et en profondeurPrise 12 VClimatisation manuelleDétection de sous gonflage Pré-équipement télématiqueTriangle de signalisation</v>
      </c>
    </row>
    <row r="59" spans="1:47" ht="78.75" hidden="1" outlineLevel="1" x14ac:dyDescent="0.25">
      <c r="A59" s="64" t="s">
        <v>4339</v>
      </c>
      <c r="B59" s="64" t="s">
        <v>424</v>
      </c>
      <c r="C59" s="64"/>
      <c r="D59" s="64" t="s">
        <v>3908</v>
      </c>
      <c r="E59" s="64" t="s">
        <v>3887</v>
      </c>
      <c r="F59" s="64" t="s">
        <v>3909</v>
      </c>
      <c r="G59" s="64"/>
      <c r="H59" s="64" t="s">
        <v>3910</v>
      </c>
      <c r="I59" s="64" t="s">
        <v>3911</v>
      </c>
      <c r="J59" s="64"/>
      <c r="K59" s="64" t="s">
        <v>3912</v>
      </c>
      <c r="L59" s="64"/>
      <c r="M59" s="64"/>
      <c r="N59" s="64" t="s">
        <v>3913</v>
      </c>
      <c r="O59" s="64"/>
      <c r="P59" s="64"/>
      <c r="Q59" s="64" t="s">
        <v>3914</v>
      </c>
      <c r="R59" s="64"/>
      <c r="S59" s="64"/>
      <c r="T59" s="64"/>
      <c r="U59" s="64"/>
      <c r="V59" s="64"/>
      <c r="W59" s="64"/>
      <c r="X59" s="64"/>
      <c r="Y59" s="64" t="s">
        <v>3880</v>
      </c>
      <c r="Z59" s="64" t="s">
        <v>3881</v>
      </c>
      <c r="AA59" s="64"/>
      <c r="AB59" s="64" t="s">
        <v>3882</v>
      </c>
      <c r="AC59" s="64"/>
      <c r="AD59" s="64"/>
      <c r="AE59" s="64"/>
      <c r="AF59" s="64"/>
      <c r="AG59" s="64"/>
      <c r="AH59" s="64"/>
      <c r="AI59" s="64"/>
      <c r="AJ59" s="64"/>
      <c r="AK59" s="64"/>
      <c r="AL59" s="64"/>
      <c r="AM59" s="64"/>
      <c r="AN59" s="64"/>
      <c r="AO59" s="64"/>
      <c r="AP59" s="64"/>
      <c r="AQ59" s="64"/>
      <c r="AR59" s="64"/>
      <c r="AS59" s="64"/>
      <c r="AT59" s="64"/>
      <c r="AU59" s="69" t="str">
        <f t="shared" si="0"/>
        <v>O2 places (CU : -7g) Airbag passagersAirbag latéraux induit Cabine 2 places  (CU : -7g) Airbag passager + Antibrouillard + 
capteur de pression des pneusGPS induit Pack Techno Premium : Climatisation auto, Cockpit 100% numérique, Double port USB et Système multimédia écran tactile 10'' avec Apple CarPlay® et Android Auto™ sans fil + NavigationCaméra de recul induit suppression des radar de reculRégulateur de vitesse adaptatif induit Pack Easy Driving : Adaptation intelligente de la vitesse, Détecteur de fatigue ou d'inattention, Régulateur de vitesse adaptatifFeux antibrouillardBoîte à clefsBoite à pharmacieExtincteur 1Kg</v>
      </c>
    </row>
    <row r="60" spans="1:47" ht="78.75" hidden="1" outlineLevel="1" x14ac:dyDescent="0.25">
      <c r="A60" s="64" t="s">
        <v>4340</v>
      </c>
      <c r="B60" s="64" t="s">
        <v>424</v>
      </c>
      <c r="C60" s="64"/>
      <c r="D60" s="64" t="s">
        <v>3908</v>
      </c>
      <c r="E60" s="64" t="s">
        <v>3887</v>
      </c>
      <c r="F60" s="64" t="s">
        <v>3909</v>
      </c>
      <c r="G60" s="64"/>
      <c r="H60" s="64" t="s">
        <v>3915</v>
      </c>
      <c r="I60" s="64" t="s">
        <v>3911</v>
      </c>
      <c r="J60" s="64"/>
      <c r="K60" s="64" t="s">
        <v>3883</v>
      </c>
      <c r="L60" s="64"/>
      <c r="M60" s="64"/>
      <c r="N60" s="64" t="s">
        <v>3913</v>
      </c>
      <c r="O60" s="64" t="s">
        <v>3906</v>
      </c>
      <c r="P60" s="64" t="s">
        <v>3916</v>
      </c>
      <c r="Q60" s="64" t="s">
        <v>3914</v>
      </c>
      <c r="R60" s="64"/>
      <c r="S60" s="64"/>
      <c r="T60" s="64"/>
      <c r="U60" s="64"/>
      <c r="V60" s="64"/>
      <c r="W60" s="64"/>
      <c r="X60" s="64"/>
      <c r="Y60" s="64" t="s">
        <v>3880</v>
      </c>
      <c r="Z60" s="64" t="s">
        <v>3881</v>
      </c>
      <c r="AA60" s="64"/>
      <c r="AB60" s="64" t="s">
        <v>3882</v>
      </c>
      <c r="AC60" s="64"/>
      <c r="AD60" s="64"/>
      <c r="AE60" s="64"/>
      <c r="AF60" s="64"/>
      <c r="AG60" s="64"/>
      <c r="AH60" s="64"/>
      <c r="AI60" s="64"/>
      <c r="AJ60" s="64"/>
      <c r="AK60" s="64"/>
      <c r="AL60" s="64"/>
      <c r="AM60" s="64"/>
      <c r="AN60" s="64"/>
      <c r="AO60" s="64"/>
      <c r="AP60" s="64"/>
      <c r="AQ60" s="64"/>
      <c r="AR60" s="64"/>
      <c r="AS60" s="64"/>
      <c r="AT60" s="64"/>
      <c r="AU60" s="69" t="str">
        <f t="shared" si="0"/>
        <v>O2 places (CU : -7g) Airbag passagersAirbag latéraux induit Cabine 2 places  (CU : -7g) Airbag passager + Antibrouillard + Capteur de pression des pneus GPS induit Pack Techno Premium : Climatisation auto, Cockpit 100% numérique, Double port USB et Système multimédia écran tactile 10'' avec Apple CarPlay® et Android Auto™ sans fil + NavigationCaméra de recul (montage carrossier)Régulateur de vitesse adaptatif induit Pack Easy Driving : Adaptation intelligente de la vitesse, Détecteur de fatigue ou d'inattention, Régulateur de vitesse adaptatifKey OutKey Out + Caméra de recul induit suppression des radar de reculFeux antibrouillardBoîte à clefsBoite à pharmacieExtincteur 1Kg</v>
      </c>
    </row>
    <row r="61" spans="1:47" ht="56.25" hidden="1" outlineLevel="1" x14ac:dyDescent="0.25">
      <c r="A61" s="64" t="s">
        <v>3395</v>
      </c>
      <c r="B61" s="64" t="s">
        <v>32</v>
      </c>
      <c r="C61" s="64" t="s">
        <v>1777</v>
      </c>
      <c r="D61" s="64" t="s">
        <v>405</v>
      </c>
      <c r="E61" s="64" t="s">
        <v>402</v>
      </c>
      <c r="F61" s="64" t="s">
        <v>1761</v>
      </c>
      <c r="G61" s="64" t="s">
        <v>406</v>
      </c>
      <c r="H61" s="64" t="s">
        <v>1778</v>
      </c>
      <c r="I61" s="64" t="s">
        <v>3699</v>
      </c>
      <c r="J61" s="64" t="s">
        <v>404</v>
      </c>
      <c r="K61" s="64" t="s">
        <v>3700</v>
      </c>
      <c r="L61" s="64" t="s">
        <v>401</v>
      </c>
      <c r="M61" s="64" t="s">
        <v>400</v>
      </c>
      <c r="N61" s="64" t="s">
        <v>1765</v>
      </c>
      <c r="O61" s="64" t="s">
        <v>1781</v>
      </c>
      <c r="P61" s="64" t="s">
        <v>3681</v>
      </c>
      <c r="Q61" s="64"/>
      <c r="R61" s="64"/>
      <c r="S61" s="64"/>
      <c r="T61" s="64"/>
      <c r="U61" s="64" t="s">
        <v>399</v>
      </c>
      <c r="V61" s="64"/>
      <c r="W61" s="64"/>
      <c r="X61" s="64"/>
      <c r="Y61" s="64"/>
      <c r="Z61" s="64"/>
      <c r="AA61" s="64"/>
      <c r="AB61" s="64"/>
      <c r="AC61" s="64"/>
      <c r="AD61" s="64"/>
      <c r="AE61" s="64" t="s">
        <v>1768</v>
      </c>
      <c r="AF61" s="64" t="s">
        <v>3701</v>
      </c>
      <c r="AG61" s="64" t="s">
        <v>410</v>
      </c>
      <c r="AH61" s="64" t="s">
        <v>403</v>
      </c>
      <c r="AI61" s="64"/>
      <c r="AJ61" s="64" t="s">
        <v>423</v>
      </c>
      <c r="AK61" s="64"/>
      <c r="AL61" s="64"/>
      <c r="AM61" s="64"/>
      <c r="AN61" s="70"/>
      <c r="AO61" s="64"/>
      <c r="AP61" s="69"/>
      <c r="AQ61" s="64"/>
      <c r="AR61" s="64"/>
      <c r="AS61" s="64"/>
      <c r="AT61" s="64"/>
      <c r="AU61" s="69" t="str">
        <f t="shared" si="0"/>
        <v>P3 placesDirection assistéeVerrouillage centralisé à distanceVitres électriquesRétroviseurs électriques et dégivrantsAirbags frontaux (conducteur et passager)Radio numérique DAB / MP3 / USB avec cmde au volantBluetoothSiège conducteur avec accoudoir, réhausse et réglage lombaireRadars de reculCaméra de reculRégulateur et limiteur de vitesseVolant réglable en hauteur et en profondeurPrise 12 VClimatisation manuelleDétection de sous gonflage Essuie vitre avant et allumage automatique des feux de croisement Frein stationnement électriquePré-équipement télématiqueTriangle de signalisation</v>
      </c>
    </row>
    <row r="62" spans="1:47" ht="45" hidden="1" outlineLevel="1" x14ac:dyDescent="0.25">
      <c r="A62" s="64" t="s">
        <v>3382</v>
      </c>
      <c r="B62" s="64" t="s">
        <v>32</v>
      </c>
      <c r="C62" s="64" t="s">
        <v>1777</v>
      </c>
      <c r="D62" s="64" t="s">
        <v>405</v>
      </c>
      <c r="E62" s="64" t="s">
        <v>402</v>
      </c>
      <c r="F62" s="64" t="s">
        <v>1761</v>
      </c>
      <c r="G62" s="64" t="s">
        <v>406</v>
      </c>
      <c r="H62" s="64" t="s">
        <v>1778</v>
      </c>
      <c r="I62" s="64" t="s">
        <v>3699</v>
      </c>
      <c r="J62" s="64" t="s">
        <v>404</v>
      </c>
      <c r="K62" s="64" t="s">
        <v>3700</v>
      </c>
      <c r="L62" s="64" t="s">
        <v>401</v>
      </c>
      <c r="M62" s="64" t="s">
        <v>400</v>
      </c>
      <c r="N62" s="64" t="s">
        <v>1765</v>
      </c>
      <c r="O62" s="64" t="s">
        <v>1781</v>
      </c>
      <c r="P62" s="64" t="s">
        <v>3681</v>
      </c>
      <c r="Q62" s="64"/>
      <c r="R62" s="64"/>
      <c r="S62" s="64"/>
      <c r="T62" s="64"/>
      <c r="U62" s="64" t="s">
        <v>399</v>
      </c>
      <c r="V62" s="64"/>
      <c r="W62" s="64"/>
      <c r="X62" s="64"/>
      <c r="Y62" s="64"/>
      <c r="Z62" s="64"/>
      <c r="AA62" s="64"/>
      <c r="AB62" s="64"/>
      <c r="AC62" s="64"/>
      <c r="AD62" s="64"/>
      <c r="AE62" s="64" t="s">
        <v>1768</v>
      </c>
      <c r="AF62" s="64"/>
      <c r="AG62" s="64" t="s">
        <v>410</v>
      </c>
      <c r="AH62" s="64" t="s">
        <v>403</v>
      </c>
      <c r="AI62" s="64"/>
      <c r="AJ62" s="64" t="s">
        <v>423</v>
      </c>
      <c r="AK62" s="64"/>
      <c r="AL62" s="64"/>
      <c r="AM62" s="64"/>
      <c r="AN62" s="70"/>
      <c r="AO62" s="64"/>
      <c r="AP62" s="64"/>
      <c r="AQ62" s="64"/>
      <c r="AR62" s="64"/>
      <c r="AS62" s="64"/>
      <c r="AT62" s="64"/>
      <c r="AU62" s="69" t="str">
        <f t="shared" si="0"/>
        <v>P3 placesDirection assistéeVerrouillage centralisé à distanceVitres électriquesRétroviseurs électriques et dégivrantsAirbags frontaux (conducteur et passager)Radio numérique DAB / MP3 / USB avec cmde au volantBluetoothSiège conducteur avec accoudoir, réhausse et réglage lombaireRadars de reculCaméra de reculRégulateur et limiteur de vitesseVolant réglable en hauteur et en profondeurPrise 12 VClimatisation manuelleDétection de sous gonflage Frein stationnement électriquePré-équipement télématiqueTriangle de signalisation</v>
      </c>
    </row>
    <row r="63" spans="1:47" ht="90" hidden="1" outlineLevel="1" x14ac:dyDescent="0.25">
      <c r="A63" s="64" t="s">
        <v>4341</v>
      </c>
      <c r="B63" s="64" t="s">
        <v>424</v>
      </c>
      <c r="C63" s="64"/>
      <c r="D63" s="64"/>
      <c r="E63" s="64"/>
      <c r="F63" s="64" t="s">
        <v>3917</v>
      </c>
      <c r="G63" s="64"/>
      <c r="H63" s="64"/>
      <c r="I63" s="64" t="s">
        <v>3918</v>
      </c>
      <c r="J63" s="64"/>
      <c r="K63" s="64" t="s">
        <v>3883</v>
      </c>
      <c r="L63" s="64"/>
      <c r="M63" s="64"/>
      <c r="N63" s="64"/>
      <c r="O63" s="64"/>
      <c r="P63" s="64"/>
      <c r="Q63" s="64" t="s">
        <v>3919</v>
      </c>
      <c r="R63" s="64" t="s">
        <v>3920</v>
      </c>
      <c r="S63" s="64"/>
      <c r="T63" s="64"/>
      <c r="U63" s="64"/>
      <c r="V63" s="64"/>
      <c r="W63" s="64"/>
      <c r="X63" s="64"/>
      <c r="Y63" s="64" t="s">
        <v>3880</v>
      </c>
      <c r="Z63" s="64" t="s">
        <v>3881</v>
      </c>
      <c r="AA63" s="64"/>
      <c r="AB63" s="64" t="s">
        <v>3882</v>
      </c>
      <c r="AC63" s="64"/>
      <c r="AD63" s="64"/>
      <c r="AE63" s="64"/>
      <c r="AF63" s="64"/>
      <c r="AG63" s="64"/>
      <c r="AH63" s="64"/>
      <c r="AI63" s="64"/>
      <c r="AJ63" s="64"/>
      <c r="AK63" s="64"/>
      <c r="AL63" s="64"/>
      <c r="AM63" s="64"/>
      <c r="AN63" s="64"/>
      <c r="AO63" s="64"/>
      <c r="AP63" s="64"/>
      <c r="AQ63" s="64"/>
      <c r="AR63" s="64"/>
      <c r="AS63" s="64"/>
      <c r="AT63" s="64"/>
      <c r="AU63" s="69" t="str">
        <f t="shared" si="0"/>
        <v>OAirbag latéraux : induit Sièges avant chauffantsGPS induit Navigation 3D avec reconnaissance vocale, écran tactile 7'' + Mirror Screen, Coffee Break Alert, Pack Visibilité (Antibrouillard et Rétroviseurs extérieurs rabattables électrique)Caméra de recul (montage carrossier)Antibrouillard (induit Pack Visibilité : Allumage automatique des feux de croisement et des essuie-vitres avant et Rétroviseurs extérieurs rabattables électrique)Feux &amp; Essui glaces Auto induit Pack Visibilité : Allumage automatique des feux de croisement et des essuie-vitres avant, Antibroulard et Rétroviseurs extérieurs rabattables électriquement)Boîte à clefsBoite à pharmacieExtincteur 1Kg</v>
      </c>
    </row>
    <row r="64" spans="1:47" ht="90" hidden="1" outlineLevel="1" x14ac:dyDescent="0.25">
      <c r="A64" s="64" t="s">
        <v>4342</v>
      </c>
      <c r="B64" s="64" t="s">
        <v>424</v>
      </c>
      <c r="C64" s="64"/>
      <c r="D64" s="64"/>
      <c r="E64" s="64"/>
      <c r="F64" s="64" t="s">
        <v>3917</v>
      </c>
      <c r="G64" s="64"/>
      <c r="H64" s="64"/>
      <c r="I64" s="64" t="s">
        <v>3918</v>
      </c>
      <c r="J64" s="64"/>
      <c r="K64" s="64" t="s">
        <v>3883</v>
      </c>
      <c r="L64" s="64"/>
      <c r="M64" s="64"/>
      <c r="N64" s="64"/>
      <c r="O64" s="64" t="s">
        <v>3906</v>
      </c>
      <c r="P64" s="64" t="s">
        <v>3921</v>
      </c>
      <c r="Q64" s="64" t="s">
        <v>3919</v>
      </c>
      <c r="R64" s="64" t="s">
        <v>3920</v>
      </c>
      <c r="S64" s="64"/>
      <c r="T64" s="64"/>
      <c r="U64" s="64"/>
      <c r="V64" s="64"/>
      <c r="W64" s="64"/>
      <c r="X64" s="64"/>
      <c r="Y64" s="64" t="s">
        <v>3880</v>
      </c>
      <c r="Z64" s="64" t="s">
        <v>3881</v>
      </c>
      <c r="AA64" s="64"/>
      <c r="AB64" s="64" t="s">
        <v>3882</v>
      </c>
      <c r="AC64" s="64"/>
      <c r="AD64" s="64"/>
      <c r="AE64" s="64"/>
      <c r="AF64" s="64"/>
      <c r="AG64" s="64"/>
      <c r="AH64" s="64"/>
      <c r="AI64" s="64"/>
      <c r="AJ64" s="64"/>
      <c r="AK64" s="64"/>
      <c r="AL64" s="64"/>
      <c r="AM64" s="64"/>
      <c r="AN64" s="64"/>
      <c r="AO64" s="64"/>
      <c r="AP64" s="64"/>
      <c r="AQ64" s="64"/>
      <c r="AR64" s="64"/>
      <c r="AS64" s="64"/>
      <c r="AT64" s="64"/>
      <c r="AU64" s="69" t="str">
        <f t="shared" si="0"/>
        <v>OAirbag latéraux : induit Sièges avant chauffantsGPS induit Navigation 3D avec reconnaissance vocale, écran tactile 7'' + Mirror Screen, Coffee Break Alert, Pack Visibilité (Antibrouillard et Rétroviseurs extérieurs rabattables électrique)Caméra de recul (montage carrossier)Key OutKey-out + caméra de recul (montage carrossier) Antibrouillard (induit Pack Visibilité : Allumage automatique des feux de croisement et des essuie-vitres avant et Rétroviseurs extérieurs rabattables électrique)Feux &amp; Essui glaces Auto induit Pack Visibilité : Allumage automatique des feux de croisement et des essuie-vitres avant, Antibroulard et Rétroviseurs extérieurs rabattables électriquement)Boîte à clefsBoite à pharmacieExtincteur 1Kg</v>
      </c>
    </row>
    <row r="65" spans="1:47" ht="90" hidden="1" outlineLevel="1" x14ac:dyDescent="0.25">
      <c r="A65" s="64" t="s">
        <v>4343</v>
      </c>
      <c r="B65" s="64" t="s">
        <v>424</v>
      </c>
      <c r="C65" s="64"/>
      <c r="D65" s="64"/>
      <c r="E65" s="64"/>
      <c r="F65" s="64" t="s">
        <v>3917</v>
      </c>
      <c r="G65" s="64"/>
      <c r="H65" s="64"/>
      <c r="I65" s="64" t="s">
        <v>3922</v>
      </c>
      <c r="J65" s="64"/>
      <c r="K65" s="64" t="s">
        <v>3923</v>
      </c>
      <c r="L65" s="64"/>
      <c r="M65" s="64"/>
      <c r="N65" s="64"/>
      <c r="O65" s="64"/>
      <c r="P65" s="64"/>
      <c r="Q65" s="64" t="s">
        <v>3919</v>
      </c>
      <c r="R65" s="64" t="s">
        <v>3920</v>
      </c>
      <c r="S65" s="64" t="s">
        <v>3712</v>
      </c>
      <c r="T65" s="64"/>
      <c r="U65" s="64"/>
      <c r="V65" s="64"/>
      <c r="W65" s="64"/>
      <c r="X65" s="64"/>
      <c r="Y65" s="64" t="s">
        <v>3880</v>
      </c>
      <c r="Z65" s="64" t="s">
        <v>3881</v>
      </c>
      <c r="AA65" s="64"/>
      <c r="AB65" s="64" t="s">
        <v>3882</v>
      </c>
      <c r="AC65" s="64"/>
      <c r="AD65" s="64"/>
      <c r="AE65" s="64"/>
      <c r="AF65" s="64"/>
      <c r="AG65" s="64"/>
      <c r="AH65" s="64"/>
      <c r="AI65" s="64"/>
      <c r="AJ65" s="64"/>
      <c r="AK65" s="64"/>
      <c r="AL65" s="64"/>
      <c r="AM65" s="64"/>
      <c r="AN65" s="70"/>
      <c r="AO65" s="64"/>
      <c r="AP65" s="64"/>
      <c r="AQ65" s="64"/>
      <c r="AR65" s="64"/>
      <c r="AS65" s="64"/>
      <c r="AT65" s="64"/>
      <c r="AU65" s="69" t="str">
        <f t="shared" ref="AU65:AU81" si="1">CONCATENATE(B65,C65,D65,E65,F65,G65,H65,I65,J65,K65,L65,M65,N65,O65,P65,Q65,R65,S65,T65,U65,V65,W65,X65,Y65,Z65,AA65,AB65,AC65,AD65,AE65,AF65,AG65,AH65,AI65,AJ65,AK65,AL65,AM65,AN65,AO65,AP65,AQ65,AR65,AS65,AT65)</f>
        <v>OAirbag latéraux : induit Sièges avant chauffantsGPS induit Finition PRO LOUNGE CONNECT (Navigation 3D + reconnaissance vocale, écran tactile 7'' + Mirror Screen, Pack Visibilité (Antibrouillard), Pack Rétrovision (Caméra), Pack Sécurité)Caméra de recul  induit Finition PRO LOUNGE CONNECT (Navigation 3D + reconnaissance vocale, écran tactile 7'' + Mirror Screen, Pack Visibilité (Antibrouillard), Pack Sécurité)Antibrouillard (induit Pack Visibilité : Allumage automatique des feux de croisement et des essuie-vitres avant et Rétroviseurs extérieurs rabattables électrique)Feux &amp; Essui glaces Auto induit Pack Visibilité : Allumage automatique des feux de croisement et des essuie-vitres avant, Antibroulard et Rétroviseurs extérieurs rabattables électriquement)Feux &amp; Essui glaces Auto &amp; feux de route Auto induit Finition PRO LOUNGE CONNECT (Navigation 3D, écran tactile 7'', Pack Visibilité (Antibrouillard), Pack Rétrovision (Caméra), Pack Sécurité)Boîte à clefsBoite à pharmacieExtincteur 1Kg</v>
      </c>
    </row>
    <row r="66" spans="1:47" ht="101.25" hidden="1" outlineLevel="1" x14ac:dyDescent="0.25">
      <c r="A66" s="64" t="s">
        <v>4344</v>
      </c>
      <c r="B66" s="64" t="s">
        <v>424</v>
      </c>
      <c r="C66" s="64"/>
      <c r="D66" s="64"/>
      <c r="E66" s="64"/>
      <c r="F66" s="64" t="s">
        <v>3917</v>
      </c>
      <c r="G66" s="64"/>
      <c r="H66" s="64"/>
      <c r="I66" s="64" t="s">
        <v>3922</v>
      </c>
      <c r="J66" s="64"/>
      <c r="K66" s="64" t="s">
        <v>3923</v>
      </c>
      <c r="L66" s="64"/>
      <c r="M66" s="64"/>
      <c r="N66" s="64"/>
      <c r="O66" s="64" t="s">
        <v>3906</v>
      </c>
      <c r="P66" s="64" t="s">
        <v>3924</v>
      </c>
      <c r="Q66" s="64" t="s">
        <v>3919</v>
      </c>
      <c r="R66" s="64" t="s">
        <v>3920</v>
      </c>
      <c r="S66" s="64" t="s">
        <v>3712</v>
      </c>
      <c r="T66" s="64"/>
      <c r="U66" s="64"/>
      <c r="V66" s="64"/>
      <c r="W66" s="64"/>
      <c r="X66" s="64"/>
      <c r="Y66" s="64" t="s">
        <v>3880</v>
      </c>
      <c r="Z66" s="64" t="s">
        <v>3881</v>
      </c>
      <c r="AA66" s="64"/>
      <c r="AB66" s="64" t="s">
        <v>3882</v>
      </c>
      <c r="AC66" s="64"/>
      <c r="AD66" s="64"/>
      <c r="AE66" s="64"/>
      <c r="AF66" s="64"/>
      <c r="AG66" s="64"/>
      <c r="AH66" s="64"/>
      <c r="AI66" s="64"/>
      <c r="AJ66" s="64"/>
      <c r="AK66" s="64"/>
      <c r="AL66" s="64"/>
      <c r="AM66" s="64"/>
      <c r="AN66" s="70"/>
      <c r="AO66" s="64"/>
      <c r="AP66" s="64"/>
      <c r="AQ66" s="64"/>
      <c r="AR66" s="64"/>
      <c r="AS66" s="64"/>
      <c r="AT66" s="64"/>
      <c r="AU66" s="69" t="str">
        <f t="shared" si="1"/>
        <v>OAirbag latéraux : induit Sièges avant chauffantsGPS induit Finition PRO LOUNGE CONNECT (Navigation 3D + reconnaissance vocale, écran tactile 7'' + Mirror Screen, Pack Visibilité (Antibrouillard), Pack Rétrovision (Caméra), Pack Sécurité)Caméra de recul  induit Finition PRO LOUNGE CONNECT (Navigation 3D + reconnaissance vocale, écran tactile 7'' + Mirror Screen, Pack Visibilité (Antibrouillard), Pack Sécurité)Key OutKey-out + Caméra de recul  induit Finition PRO LOUNGE CONNECT (Navigation 3D + reconnaissance vocale, écran tactile 7'' + Mirror Screen, Pack Visibilité (Antibrouillard), Pack Sécurité)Antibrouillard (induit Pack Visibilité : Allumage automatique des feux de croisement et des essuie-vitres avant et Rétroviseurs extérieurs rabattables électrique)Feux &amp; Essui glaces Auto induit Pack Visibilité : Allumage automatique des feux de croisement et des essuie-vitres avant, Antibroulard et Rétroviseurs extérieurs rabattables électriquement)Feux &amp; Essui glaces Auto &amp; feux de route Auto induit Finition PRO LOUNGE CONNECT (Navigation 3D, écran tactile 7'', Pack Visibilité (Antibrouillard), Pack Rétrovision (Caméra), Pack Sécurité)Boîte à clefsBoite à pharmacieExtincteur 1Kg</v>
      </c>
    </row>
    <row r="67" spans="1:47" ht="67.5" hidden="1" outlineLevel="1" x14ac:dyDescent="0.25">
      <c r="A67" s="64" t="s">
        <v>4345</v>
      </c>
      <c r="B67" s="64" t="s">
        <v>424</v>
      </c>
      <c r="C67" s="64"/>
      <c r="D67" s="64"/>
      <c r="E67" s="64"/>
      <c r="F67" s="64" t="s">
        <v>3917</v>
      </c>
      <c r="G67" s="64"/>
      <c r="H67" s="64"/>
      <c r="I67" s="64" t="s">
        <v>3922</v>
      </c>
      <c r="J67" s="64"/>
      <c r="K67" s="64"/>
      <c r="L67" s="64"/>
      <c r="M67" s="64"/>
      <c r="N67" s="64"/>
      <c r="O67" s="64"/>
      <c r="P67" s="64"/>
      <c r="Q67" s="64"/>
      <c r="R67" s="64"/>
      <c r="S67" s="64"/>
      <c r="T67" s="64"/>
      <c r="U67" s="64"/>
      <c r="V67" s="64"/>
      <c r="W67" s="64"/>
      <c r="X67" s="64"/>
      <c r="Y67" s="64" t="s">
        <v>3880</v>
      </c>
      <c r="Z67" s="64" t="s">
        <v>3881</v>
      </c>
      <c r="AA67" s="64"/>
      <c r="AB67" s="64" t="s">
        <v>3882</v>
      </c>
      <c r="AC67" s="64"/>
      <c r="AD67" s="64"/>
      <c r="AE67" s="64"/>
      <c r="AF67" s="64"/>
      <c r="AG67" s="64"/>
      <c r="AH67" s="64"/>
      <c r="AI67" s="64"/>
      <c r="AJ67" s="64"/>
      <c r="AK67" s="64"/>
      <c r="AL67" s="64"/>
      <c r="AM67" s="64"/>
      <c r="AN67" s="70"/>
      <c r="AO67" s="64"/>
      <c r="AP67" s="64"/>
      <c r="AQ67" s="64"/>
      <c r="AR67" s="64"/>
      <c r="AS67" s="64"/>
      <c r="AT67" s="64"/>
      <c r="AU67" s="69" t="str">
        <f t="shared" si="1"/>
        <v>OAirbag latéraux : induit Sièges avant chauffantsGPS induit Finition PRO LOUNGE CONNECT (Navigation 3D + reconnaissance vocale, écran tactile 7'' + Mirror Screen, Pack Visibilité (Antibrouillard), Pack Rétrovision (Caméra), Pack Sécurité)Boîte à clefsBoite à pharmacieExtincteur 1Kg</v>
      </c>
    </row>
    <row r="68" spans="1:47" ht="22.5" hidden="1" outlineLevel="1" x14ac:dyDescent="0.25">
      <c r="A68" s="64" t="s">
        <v>4346</v>
      </c>
      <c r="B68" s="64" t="s">
        <v>424</v>
      </c>
      <c r="C68" s="64"/>
      <c r="D68" s="64"/>
      <c r="E68" s="64"/>
      <c r="F68" s="64"/>
      <c r="G68" s="64"/>
      <c r="H68" s="64"/>
      <c r="I68" s="64"/>
      <c r="J68" s="64"/>
      <c r="K68" s="64"/>
      <c r="L68" s="64" t="s">
        <v>3925</v>
      </c>
      <c r="M68" s="64"/>
      <c r="N68" s="64"/>
      <c r="O68" s="64"/>
      <c r="P68" s="64"/>
      <c r="Q68" s="64"/>
      <c r="R68" s="64"/>
      <c r="S68" s="64"/>
      <c r="T68" s="64"/>
      <c r="U68" s="64"/>
      <c r="V68" s="64"/>
      <c r="W68" s="64"/>
      <c r="X68" s="64"/>
      <c r="Y68" s="64" t="s">
        <v>3880</v>
      </c>
      <c r="Z68" s="64" t="s">
        <v>3881</v>
      </c>
      <c r="AA68" s="64"/>
      <c r="AB68" s="64" t="s">
        <v>3882</v>
      </c>
      <c r="AC68" s="64"/>
      <c r="AD68" s="71"/>
      <c r="AE68" s="71"/>
      <c r="AF68" s="71"/>
      <c r="AG68" s="71"/>
      <c r="AH68" s="69" t="s">
        <v>3926</v>
      </c>
      <c r="AI68" s="71"/>
      <c r="AJ68" s="71"/>
      <c r="AK68" s="71"/>
      <c r="AL68" s="71"/>
      <c r="AM68" s="71"/>
      <c r="AN68" s="71"/>
      <c r="AO68" s="71"/>
      <c r="AP68" s="69"/>
      <c r="AQ68" s="71"/>
      <c r="AR68" s="71"/>
      <c r="AS68" s="71"/>
      <c r="AT68" s="64"/>
      <c r="AU68" s="69" t="str">
        <f t="shared" si="1"/>
        <v>ORadar de reculBoîte à clefsBoite à pharmacieExtincteur 1KgGéolocalisation Pack Pro SAMSARA</v>
      </c>
    </row>
    <row r="69" spans="1:47" ht="33.75" hidden="1" outlineLevel="1" x14ac:dyDescent="0.25">
      <c r="A69" s="64" t="s">
        <v>3651</v>
      </c>
      <c r="B69" s="64" t="s">
        <v>32</v>
      </c>
      <c r="C69" s="64" t="s">
        <v>1777</v>
      </c>
      <c r="D69" s="64" t="s">
        <v>405</v>
      </c>
      <c r="E69" s="64" t="s">
        <v>402</v>
      </c>
      <c r="F69" s="64" t="s">
        <v>1761</v>
      </c>
      <c r="G69" s="64" t="s">
        <v>1807</v>
      </c>
      <c r="H69" s="64" t="s">
        <v>555</v>
      </c>
      <c r="I69" s="64" t="s">
        <v>1803</v>
      </c>
      <c r="J69" s="64" t="s">
        <v>404</v>
      </c>
      <c r="K69" s="64" t="s">
        <v>1804</v>
      </c>
      <c r="L69" s="64" t="s">
        <v>401</v>
      </c>
      <c r="M69" s="64"/>
      <c r="N69" s="64" t="s">
        <v>1765</v>
      </c>
      <c r="O69" s="64"/>
      <c r="P69" s="64" t="s">
        <v>3681</v>
      </c>
      <c r="Q69" s="64"/>
      <c r="R69" s="64"/>
      <c r="S69" s="64"/>
      <c r="T69" s="64"/>
      <c r="U69" s="64" t="s">
        <v>399</v>
      </c>
      <c r="V69" s="64"/>
      <c r="W69" s="64"/>
      <c r="X69" s="64"/>
      <c r="Y69" s="64"/>
      <c r="Z69" s="64"/>
      <c r="AA69" s="64"/>
      <c r="AB69" s="64"/>
      <c r="AC69" s="64"/>
      <c r="AD69" s="64"/>
      <c r="AE69" s="64"/>
      <c r="AF69" s="64"/>
      <c r="AG69" s="64"/>
      <c r="AH69" s="64" t="s">
        <v>403</v>
      </c>
      <c r="AI69" s="64"/>
      <c r="AJ69" s="64" t="s">
        <v>423</v>
      </c>
      <c r="AK69" s="64"/>
      <c r="AL69" s="64"/>
      <c r="AM69" s="64"/>
      <c r="AN69" s="70"/>
      <c r="AO69" s="64"/>
      <c r="AP69" s="64"/>
      <c r="AQ69" s="64"/>
      <c r="AR69" s="64"/>
      <c r="AS69" s="64"/>
      <c r="AT69" s="64"/>
      <c r="AU69" s="69" t="str">
        <f t="shared" si="1"/>
        <v>P3 placesDirection assistéeVerrouillage centralisé à distanceVitres électriquesRétroviseurs électriques et dégivrants (bras long)Airbag conducteurRadio USB avec cmde au volantBluetoothSiège conducteur réglable aux lombaires avec accoudoirRadars de reculRégulateur et limiteur de vitessePrise 12 VClimatisation manuellePré-équipement télématiqueTriangle de signalisation</v>
      </c>
    </row>
    <row r="70" spans="1:47" ht="90" hidden="1" outlineLevel="1" x14ac:dyDescent="0.25">
      <c r="A70" s="64" t="s">
        <v>4347</v>
      </c>
      <c r="B70" s="64" t="s">
        <v>424</v>
      </c>
      <c r="C70" s="64"/>
      <c r="D70" s="64"/>
      <c r="E70" s="64"/>
      <c r="F70" s="64" t="s">
        <v>3917</v>
      </c>
      <c r="G70" s="64"/>
      <c r="H70" s="64"/>
      <c r="I70" s="64" t="s">
        <v>3918</v>
      </c>
      <c r="J70" s="64"/>
      <c r="K70" s="64"/>
      <c r="L70" s="64"/>
      <c r="M70" s="64"/>
      <c r="N70" s="64"/>
      <c r="O70" s="64"/>
      <c r="P70" s="64"/>
      <c r="Q70" s="64" t="s">
        <v>3919</v>
      </c>
      <c r="R70" s="64" t="s">
        <v>3920</v>
      </c>
      <c r="S70" s="64"/>
      <c r="T70" s="64"/>
      <c r="U70" s="64"/>
      <c r="V70" s="64"/>
      <c r="W70" s="64"/>
      <c r="X70" s="64"/>
      <c r="Y70" s="64" t="s">
        <v>3880</v>
      </c>
      <c r="Z70" s="64" t="s">
        <v>3881</v>
      </c>
      <c r="AA70" s="64"/>
      <c r="AB70" s="64" t="s">
        <v>3882</v>
      </c>
      <c r="AC70" s="64"/>
      <c r="AD70" s="64"/>
      <c r="AE70" s="64"/>
      <c r="AF70" s="64"/>
      <c r="AG70" s="64"/>
      <c r="AH70" s="64"/>
      <c r="AI70" s="64"/>
      <c r="AJ70" s="64"/>
      <c r="AK70" s="64"/>
      <c r="AL70" s="64"/>
      <c r="AM70" s="64"/>
      <c r="AN70" s="64"/>
      <c r="AO70" s="64"/>
      <c r="AP70" s="64"/>
      <c r="AQ70" s="64"/>
      <c r="AR70" s="64"/>
      <c r="AS70" s="64"/>
      <c r="AT70" s="64"/>
      <c r="AU70" s="69" t="str">
        <f t="shared" si="1"/>
        <v>OAirbag latéraux : induit Sièges avant chauffantsGPS induit Navigation 3D avec reconnaissance vocale, écran tactile 7'' + Mirror Screen, Coffee Break Alert, Pack Visibilité (Antibrouillard et Rétroviseurs extérieurs rabattables électrique)Antibrouillard (induit Pack Visibilité : Allumage automatique des feux de croisement et des essuie-vitres avant et Rétroviseurs extérieurs rabattables électrique)Feux &amp; Essui glaces Auto induit Pack Visibilité : Allumage automatique des feux de croisement et des essuie-vitres avant, Antibroulard et Rétroviseurs extérieurs rabattables électriquement)Boîte à clefsBoite à pharmacieExtincteur 1Kg</v>
      </c>
    </row>
    <row r="71" spans="1:47" ht="33.75" hidden="1" outlineLevel="1" x14ac:dyDescent="0.25">
      <c r="A71" s="64" t="s">
        <v>3659</v>
      </c>
      <c r="B71" s="64" t="s">
        <v>32</v>
      </c>
      <c r="C71" s="64" t="s">
        <v>1777</v>
      </c>
      <c r="D71" s="64" t="s">
        <v>405</v>
      </c>
      <c r="E71" s="64" t="s">
        <v>402</v>
      </c>
      <c r="F71" s="64" t="s">
        <v>1761</v>
      </c>
      <c r="G71" s="64" t="s">
        <v>406</v>
      </c>
      <c r="H71" s="64" t="s">
        <v>555</v>
      </c>
      <c r="I71" s="64" t="s">
        <v>1803</v>
      </c>
      <c r="J71" s="64" t="s">
        <v>404</v>
      </c>
      <c r="K71" s="64" t="s">
        <v>1804</v>
      </c>
      <c r="L71" s="64" t="s">
        <v>401</v>
      </c>
      <c r="M71" s="64"/>
      <c r="N71" s="64" t="s">
        <v>1765</v>
      </c>
      <c r="O71" s="64"/>
      <c r="P71" s="64" t="s">
        <v>3681</v>
      </c>
      <c r="Q71" s="64"/>
      <c r="R71" s="64"/>
      <c r="S71" s="64"/>
      <c r="T71" s="64"/>
      <c r="U71" s="64" t="s">
        <v>399</v>
      </c>
      <c r="V71" s="64"/>
      <c r="W71" s="64"/>
      <c r="X71" s="64"/>
      <c r="Y71" s="64"/>
      <c r="Z71" s="64"/>
      <c r="AA71" s="64"/>
      <c r="AB71" s="64"/>
      <c r="AC71" s="64"/>
      <c r="AD71" s="64"/>
      <c r="AE71" s="64"/>
      <c r="AF71" s="64"/>
      <c r="AG71" s="64"/>
      <c r="AH71" s="64" t="s">
        <v>403</v>
      </c>
      <c r="AI71" s="64"/>
      <c r="AJ71" s="64" t="s">
        <v>423</v>
      </c>
      <c r="AK71" s="64"/>
      <c r="AL71" s="64"/>
      <c r="AM71" s="64"/>
      <c r="AN71" s="70"/>
      <c r="AO71" s="70"/>
      <c r="AP71" s="64"/>
      <c r="AQ71" s="64"/>
      <c r="AR71" s="64"/>
      <c r="AS71" s="64"/>
      <c r="AT71" s="64"/>
      <c r="AU71" s="69" t="str">
        <f t="shared" si="1"/>
        <v>P3 placesDirection assistéeVerrouillage centralisé à distanceVitres électriquesRétroviseurs électriques et dégivrantsAirbag conducteurRadio USB avec cmde au volantBluetoothSiège conducteur réglable aux lombaires avec accoudoirRadars de reculRégulateur et limiteur de vitessePrise 12 VClimatisation manuellePré-équipement télématiqueTriangle de signalisation</v>
      </c>
    </row>
    <row r="72" spans="1:47" ht="78.75" hidden="1" outlineLevel="1" x14ac:dyDescent="0.25">
      <c r="A72" s="64" t="s">
        <v>4348</v>
      </c>
      <c r="B72" s="64" t="s">
        <v>424</v>
      </c>
      <c r="C72" s="64"/>
      <c r="D72" s="64" t="s">
        <v>3927</v>
      </c>
      <c r="E72" s="64" t="s">
        <v>3887</v>
      </c>
      <c r="F72" s="64" t="s">
        <v>3928</v>
      </c>
      <c r="G72" s="64"/>
      <c r="H72" s="64" t="s">
        <v>3929</v>
      </c>
      <c r="I72" s="64" t="s">
        <v>3930</v>
      </c>
      <c r="J72" s="64"/>
      <c r="K72" s="64" t="s">
        <v>400</v>
      </c>
      <c r="L72" s="64"/>
      <c r="M72" s="64"/>
      <c r="N72" s="64"/>
      <c r="O72" s="64"/>
      <c r="P72" s="64"/>
      <c r="Q72" s="64" t="s">
        <v>3931</v>
      </c>
      <c r="R72" s="64" t="s">
        <v>3932</v>
      </c>
      <c r="S72" s="64"/>
      <c r="T72" s="64"/>
      <c r="U72" s="64"/>
      <c r="V72" s="64"/>
      <c r="W72" s="64"/>
      <c r="X72" s="64"/>
      <c r="Y72" s="64" t="s">
        <v>3880</v>
      </c>
      <c r="Z72" s="64" t="s">
        <v>3881</v>
      </c>
      <c r="AA72" s="64"/>
      <c r="AB72" s="64" t="s">
        <v>3882</v>
      </c>
      <c r="AC72" s="64"/>
      <c r="AD72" s="64"/>
      <c r="AE72" s="64"/>
      <c r="AF72" s="64"/>
      <c r="AG72" s="64"/>
      <c r="AH72" s="64"/>
      <c r="AI72" s="64"/>
      <c r="AJ72" s="64"/>
      <c r="AK72" s="64"/>
      <c r="AL72" s="64"/>
      <c r="AM72" s="64"/>
      <c r="AN72" s="70"/>
      <c r="AO72" s="70"/>
      <c r="AP72" s="64"/>
      <c r="AQ72" s="64"/>
      <c r="AR72" s="64"/>
      <c r="AS72" s="64"/>
      <c r="AT72" s="64"/>
      <c r="AU72" s="69" t="str">
        <f t="shared" si="1"/>
        <v>OCabine 2 places Airbag passagersAirbag passager  + Antibrouillard +  Capteur de pression des pneus induit Pack Safety (Airbag cond. + pass. + lat.) + Cabine 2 places + Pack Visibilité ( Feux et essuie vitres auto)Airbags latéraux induit Pack Safety (Airbag cond. et passager frontal + latéraux et rideaux + Capteur de pression des pneus) - (incompatible banquette passager) + Cabine 2 places GPS induit Système multimédia Easy Link écran 8" avec navigationCaméra de reculAnti-brouillard induit Pack Visibilité (Projecteurs anti-brouillard + Feux et essuie vitres automatiques)Feux et essuie vitres automatiques induit Pack Visibilité (Projecteurs anti-brouillard + Feux et essuie vitres automatiques)Boîte à clefsBoite à pharmacieExtincteur 1Kg</v>
      </c>
    </row>
    <row r="73" spans="1:47" ht="78.75" hidden="1" outlineLevel="1" x14ac:dyDescent="0.25">
      <c r="A73" s="64" t="s">
        <v>4349</v>
      </c>
      <c r="B73" s="64" t="s">
        <v>424</v>
      </c>
      <c r="C73" s="64"/>
      <c r="D73" s="64" t="s">
        <v>3927</v>
      </c>
      <c r="E73" s="64" t="s">
        <v>3887</v>
      </c>
      <c r="F73" s="64" t="s">
        <v>3928</v>
      </c>
      <c r="G73" s="64"/>
      <c r="H73" s="64" t="s">
        <v>3929</v>
      </c>
      <c r="I73" s="64" t="s">
        <v>3930</v>
      </c>
      <c r="J73" s="64"/>
      <c r="K73" s="64" t="s">
        <v>400</v>
      </c>
      <c r="L73" s="64"/>
      <c r="M73" s="64"/>
      <c r="N73" s="64"/>
      <c r="O73" s="64" t="s">
        <v>3906</v>
      </c>
      <c r="P73" s="64" t="s">
        <v>3933</v>
      </c>
      <c r="Q73" s="64" t="s">
        <v>3931</v>
      </c>
      <c r="R73" s="64" t="s">
        <v>3932</v>
      </c>
      <c r="S73" s="64"/>
      <c r="T73" s="64"/>
      <c r="U73" s="64"/>
      <c r="V73" s="64"/>
      <c r="W73" s="64"/>
      <c r="X73" s="64"/>
      <c r="Y73" s="64" t="s">
        <v>3880</v>
      </c>
      <c r="Z73" s="64" t="s">
        <v>3881</v>
      </c>
      <c r="AA73" s="64"/>
      <c r="AB73" s="64" t="s">
        <v>3882</v>
      </c>
      <c r="AC73" s="64"/>
      <c r="AD73" s="64"/>
      <c r="AE73" s="64"/>
      <c r="AF73" s="64"/>
      <c r="AG73" s="64"/>
      <c r="AH73" s="64"/>
      <c r="AI73" s="64"/>
      <c r="AJ73" s="64"/>
      <c r="AK73" s="64"/>
      <c r="AL73" s="64"/>
      <c r="AM73" s="64"/>
      <c r="AN73" s="70"/>
      <c r="AO73" s="70"/>
      <c r="AP73" s="64"/>
      <c r="AQ73" s="64"/>
      <c r="AR73" s="64"/>
      <c r="AS73" s="64"/>
      <c r="AT73" s="64"/>
      <c r="AU73" s="69" t="str">
        <f t="shared" si="1"/>
        <v>OCabine 2 places Airbag passagersAirbag passager  + Antibrouillard +  Capteur de pression des pneus induit Pack Safety (Airbag cond. + pass. + lat.) + Cabine 2 places + Pack Visibilité ( Feux et essuie vitres auto)Airbags latéraux induit Pack Safety (Airbag cond. et passager frontal + latéraux et rideaux + Capteur de pression des pneus) - (incompatible banquette passager) + Cabine 2 places GPS induit Système multimédia Easy Link écran 8" avec navigationCaméra de reculKey OutKey Out + caméra de recul Anti-brouillard induit Pack Visibilité (Projecteurs anti-brouillard + Feux et essuie vitres automatiques)Feux et essuie vitres automatiques induit Pack Visibilité (Projecteurs anti-brouillard + Feux et essuie vitres automatiques)Boîte à clefsBoite à pharmacieExtincteur 1Kg</v>
      </c>
    </row>
    <row r="74" spans="1:47" ht="78.75" hidden="1" outlineLevel="1" x14ac:dyDescent="0.25">
      <c r="A74" s="64" t="s">
        <v>4350</v>
      </c>
      <c r="B74" s="64" t="s">
        <v>424</v>
      </c>
      <c r="C74" s="64"/>
      <c r="D74" s="64" t="s">
        <v>3934</v>
      </c>
      <c r="E74" s="64" t="s">
        <v>3887</v>
      </c>
      <c r="F74" s="64" t="s">
        <v>3928</v>
      </c>
      <c r="G74" s="64"/>
      <c r="H74" s="64" t="s">
        <v>3929</v>
      </c>
      <c r="I74" s="64" t="s">
        <v>3935</v>
      </c>
      <c r="J74" s="64"/>
      <c r="K74" s="64" t="s">
        <v>3883</v>
      </c>
      <c r="L74" s="64"/>
      <c r="M74" s="64"/>
      <c r="N74" s="64"/>
      <c r="O74" s="64" t="s">
        <v>3906</v>
      </c>
      <c r="P74" s="64" t="s">
        <v>3936</v>
      </c>
      <c r="Q74" s="64" t="s">
        <v>3931</v>
      </c>
      <c r="R74" s="64" t="s">
        <v>3932</v>
      </c>
      <c r="S74" s="64"/>
      <c r="T74" s="64"/>
      <c r="U74" s="64"/>
      <c r="V74" s="64"/>
      <c r="W74" s="64"/>
      <c r="X74" s="64"/>
      <c r="Y74" s="64" t="s">
        <v>3880</v>
      </c>
      <c r="Z74" s="64" t="s">
        <v>3881</v>
      </c>
      <c r="AA74" s="64"/>
      <c r="AB74" s="64" t="s">
        <v>3882</v>
      </c>
      <c r="AC74" s="64"/>
      <c r="AD74" s="64"/>
      <c r="AE74" s="64"/>
      <c r="AF74" s="64"/>
      <c r="AG74" s="64"/>
      <c r="AH74" s="64"/>
      <c r="AI74" s="64"/>
      <c r="AJ74" s="64"/>
      <c r="AK74" s="64"/>
      <c r="AL74" s="64"/>
      <c r="AM74" s="64"/>
      <c r="AN74" s="70"/>
      <c r="AO74" s="70"/>
      <c r="AP74" s="64"/>
      <c r="AQ74" s="64"/>
      <c r="AR74" s="64"/>
      <c r="AS74" s="64"/>
      <c r="AT74" s="64"/>
      <c r="AU74" s="69" t="str">
        <f t="shared" si="1"/>
        <v>OCabine 2 places  Airbag passagersAirbag passager  + Antibrouillard +  Capteur de pression des pneus induit Pack Safety (Airbag cond. + pass. + lat.) + Cabine 2 places + Pack Visibilité ( Feux et essuie vitres auto)Airbags latéraux induit Pack Safety (Airbag cond. et passager frontal + latéraux et rideaux + Capteur de pression des pneus) - (incompatible banquette passager) + Cabine 2 places GPS induit Pack Easy Link Plus (gestion de la vitesse osp, easy link écran 8" avec navigation,tableau de bord analogique couleur 4"2)Caméra de recul (montage carrossier)Key OutKey Out + Caméra de recul (montage carrossier)Anti-brouillard induit Pack Visibilité (Projecteurs anti-brouillard + Feux et essuie vitres automatiques)Feux et essuie vitres automatiques induit Pack Visibilité (Projecteurs anti-brouillard + Feux et essuie vitres automatiques)Boîte à clefsBoite à pharmacieExtincteur 1Kg</v>
      </c>
    </row>
    <row r="75" spans="1:47" ht="33.75" hidden="1" outlineLevel="1" x14ac:dyDescent="0.25">
      <c r="A75" s="64" t="s">
        <v>3626</v>
      </c>
      <c r="B75" s="64" t="s">
        <v>32</v>
      </c>
      <c r="C75" s="64" t="s">
        <v>1777</v>
      </c>
      <c r="D75" s="64" t="s">
        <v>405</v>
      </c>
      <c r="E75" s="64" t="s">
        <v>402</v>
      </c>
      <c r="F75" s="64" t="s">
        <v>1761</v>
      </c>
      <c r="G75" s="64" t="s">
        <v>3704</v>
      </c>
      <c r="H75" s="64" t="s">
        <v>555</v>
      </c>
      <c r="I75" s="64" t="s">
        <v>1808</v>
      </c>
      <c r="J75" s="64" t="s">
        <v>404</v>
      </c>
      <c r="K75" s="64" t="s">
        <v>1809</v>
      </c>
      <c r="L75" s="64" t="s">
        <v>401</v>
      </c>
      <c r="M75" s="64" t="s">
        <v>400</v>
      </c>
      <c r="N75" s="64"/>
      <c r="O75" s="64"/>
      <c r="P75" s="64" t="s">
        <v>3681</v>
      </c>
      <c r="Q75" s="64"/>
      <c r="R75" s="64"/>
      <c r="S75" s="64"/>
      <c r="T75" s="64"/>
      <c r="U75" s="64" t="s">
        <v>399</v>
      </c>
      <c r="V75" s="64"/>
      <c r="W75" s="64"/>
      <c r="X75" s="64"/>
      <c r="Y75" s="64"/>
      <c r="Z75" s="64"/>
      <c r="AA75" s="64" t="s">
        <v>1830</v>
      </c>
      <c r="AB75" s="64"/>
      <c r="AC75" s="64"/>
      <c r="AD75" s="64"/>
      <c r="AE75" s="64"/>
      <c r="AF75" s="64"/>
      <c r="AG75" s="64"/>
      <c r="AH75" s="64" t="s">
        <v>403</v>
      </c>
      <c r="AI75" s="64"/>
      <c r="AJ75" s="64" t="s">
        <v>423</v>
      </c>
      <c r="AK75" s="64"/>
      <c r="AL75" s="64"/>
      <c r="AM75" s="64"/>
      <c r="AN75" s="64"/>
      <c r="AO75" s="64"/>
      <c r="AP75" s="64"/>
      <c r="AQ75" s="64"/>
      <c r="AR75" s="64"/>
      <c r="AS75" s="64"/>
      <c r="AT75" s="64"/>
      <c r="AU75" s="69" t="str">
        <f t="shared" si="1"/>
        <v>P3 placesDirection assistéeVerrouillage centralisé à distanceVitres électriquesRétroviseurs électriques et dégivrants (bras court)Airbag conducteurRadio / USB avec cmde au volantBluetoothSiège conducteur réglable en hauteurRadars de reculCaméra de reculPrise 12 VClimatisation manuelleAvertisseur sonore piétonsPré-équipement télématiqueTriangle de signalisation</v>
      </c>
    </row>
    <row r="76" spans="1:47" ht="45" hidden="1" outlineLevel="1" x14ac:dyDescent="0.25">
      <c r="A76" s="64" t="s">
        <v>4351</v>
      </c>
      <c r="B76" s="64" t="s">
        <v>424</v>
      </c>
      <c r="C76" s="64"/>
      <c r="D76" s="64" t="s">
        <v>3937</v>
      </c>
      <c r="E76" s="64" t="s">
        <v>3887</v>
      </c>
      <c r="F76" s="64"/>
      <c r="G76" s="64"/>
      <c r="H76" s="64" t="s">
        <v>3938</v>
      </c>
      <c r="I76" s="64"/>
      <c r="J76" s="64"/>
      <c r="K76" s="64"/>
      <c r="L76" s="64"/>
      <c r="M76" s="64"/>
      <c r="N76" s="64"/>
      <c r="O76" s="64"/>
      <c r="P76" s="64"/>
      <c r="Q76" s="64" t="s">
        <v>3891</v>
      </c>
      <c r="R76" s="64"/>
      <c r="S76" s="64"/>
      <c r="T76" s="64"/>
      <c r="U76" s="64"/>
      <c r="V76" s="64"/>
      <c r="W76" s="64"/>
      <c r="X76" s="64"/>
      <c r="Y76" s="64" t="s">
        <v>3880</v>
      </c>
      <c r="Z76" s="64" t="s">
        <v>3881</v>
      </c>
      <c r="AA76" s="64"/>
      <c r="AB76" s="64" t="s">
        <v>3882</v>
      </c>
      <c r="AC76" s="64"/>
      <c r="AD76" s="64"/>
      <c r="AE76" s="64"/>
      <c r="AF76" s="64"/>
      <c r="AG76" s="64"/>
      <c r="AH76" s="64"/>
      <c r="AI76" s="64"/>
      <c r="AJ76" s="64"/>
      <c r="AK76" s="64"/>
      <c r="AL76" s="64"/>
      <c r="AM76" s="64"/>
      <c r="AN76" s="64"/>
      <c r="AO76" s="64"/>
      <c r="AP76" s="64"/>
      <c r="AQ76" s="64"/>
      <c r="AR76" s="64"/>
      <c r="AS76" s="64"/>
      <c r="AT76" s="64"/>
      <c r="AU76" s="69" t="str">
        <f t="shared" si="1"/>
        <v>OCabine 2 placesAirbag passagersAirbag latéraux + Airbag passager (incompatible avec banquette passager Biplace) + Cabine 2 places Feux antibrouillard AvantBoîte à clefsBoite à pharmacieExtincteur 1Kg</v>
      </c>
    </row>
    <row r="77" spans="1:47" ht="33.75" hidden="1" outlineLevel="1" x14ac:dyDescent="0.25">
      <c r="A77" s="64" t="s">
        <v>3454</v>
      </c>
      <c r="B77" s="64" t="s">
        <v>32</v>
      </c>
      <c r="C77" s="64" t="s">
        <v>1777</v>
      </c>
      <c r="D77" s="64" t="s">
        <v>405</v>
      </c>
      <c r="E77" s="64" t="s">
        <v>402</v>
      </c>
      <c r="F77" s="64" t="s">
        <v>1761</v>
      </c>
      <c r="G77" s="64" t="s">
        <v>406</v>
      </c>
      <c r="H77" s="64" t="s">
        <v>555</v>
      </c>
      <c r="I77" s="64" t="s">
        <v>3705</v>
      </c>
      <c r="J77" s="64" t="s">
        <v>404</v>
      </c>
      <c r="K77" s="64" t="s">
        <v>1821</v>
      </c>
      <c r="L77" s="64" t="s">
        <v>401</v>
      </c>
      <c r="M77" s="71"/>
      <c r="N77" s="64" t="s">
        <v>1822</v>
      </c>
      <c r="O77" s="64"/>
      <c r="P77" s="64" t="s">
        <v>3681</v>
      </c>
      <c r="Q77" s="64"/>
      <c r="R77" s="64"/>
      <c r="S77" s="64"/>
      <c r="T77" s="64"/>
      <c r="U77" s="64" t="s">
        <v>399</v>
      </c>
      <c r="V77" s="64"/>
      <c r="W77" s="64"/>
      <c r="X77" s="64"/>
      <c r="Y77" s="64"/>
      <c r="Z77" s="64"/>
      <c r="AA77" s="64"/>
      <c r="AB77" s="64"/>
      <c r="AC77" s="64"/>
      <c r="AD77" s="64"/>
      <c r="AE77" s="64"/>
      <c r="AF77" s="64"/>
      <c r="AG77" s="64"/>
      <c r="AH77" s="64" t="s">
        <v>403</v>
      </c>
      <c r="AI77" s="64"/>
      <c r="AJ77" s="64" t="s">
        <v>423</v>
      </c>
      <c r="AK77" s="64"/>
      <c r="AL77" s="64"/>
      <c r="AM77" s="64"/>
      <c r="AN77" s="64"/>
      <c r="AO77" s="64"/>
      <c r="AP77" s="64"/>
      <c r="AQ77" s="64"/>
      <c r="AR77" s="64"/>
      <c r="AS77" s="64"/>
      <c r="AT77" s="64"/>
      <c r="AU77" s="69" t="str">
        <f t="shared" si="1"/>
        <v>P3 placesDirection assistéeVerrouillage centralisé à distanceVitres électriquesRétroviseurs électriques et dégivrantsAirbag conducteurRadio numérique (DAB) avec cmde au volantBluetoothSiège conducteur suspenduRadars de reculRégulateur et Limiteur de vitesse réglable électroniquePrise 12 VClimatisation manuellePré-équipement télématiqueTriangle de signalisation</v>
      </c>
    </row>
    <row r="78" spans="1:47" ht="33.75" hidden="1" outlineLevel="1" x14ac:dyDescent="0.25">
      <c r="A78" s="64" t="s">
        <v>3555</v>
      </c>
      <c r="B78" s="64" t="s">
        <v>32</v>
      </c>
      <c r="C78" s="64" t="s">
        <v>1759</v>
      </c>
      <c r="D78" s="64" t="s">
        <v>405</v>
      </c>
      <c r="E78" s="64" t="s">
        <v>402</v>
      </c>
      <c r="F78" s="64" t="s">
        <v>1761</v>
      </c>
      <c r="G78" s="64" t="s">
        <v>406</v>
      </c>
      <c r="H78" s="64"/>
      <c r="I78" s="64" t="s">
        <v>3713</v>
      </c>
      <c r="J78" s="64" t="s">
        <v>404</v>
      </c>
      <c r="K78" s="64" t="s">
        <v>1789</v>
      </c>
      <c r="L78" s="64"/>
      <c r="M78" s="64" t="s">
        <v>400</v>
      </c>
      <c r="N78" s="64" t="s">
        <v>542</v>
      </c>
      <c r="O78" s="64"/>
      <c r="P78" s="64"/>
      <c r="Q78" s="64"/>
      <c r="R78" s="64"/>
      <c r="S78" s="64"/>
      <c r="T78" s="64"/>
      <c r="U78" s="64" t="s">
        <v>399</v>
      </c>
      <c r="V78" s="64"/>
      <c r="W78" s="64" t="s">
        <v>408</v>
      </c>
      <c r="X78" s="64" t="s">
        <v>1790</v>
      </c>
      <c r="Y78" s="64"/>
      <c r="Z78" s="64"/>
      <c r="AA78" s="64"/>
      <c r="AB78" s="64"/>
      <c r="AC78" s="64" t="s">
        <v>407</v>
      </c>
      <c r="AD78" s="71"/>
      <c r="AE78" s="71"/>
      <c r="AF78" s="71"/>
      <c r="AG78" s="71" t="s">
        <v>403</v>
      </c>
      <c r="AH78" s="71"/>
      <c r="AI78" s="71"/>
      <c r="AJ78" s="71" t="s">
        <v>423</v>
      </c>
      <c r="AK78" s="71"/>
      <c r="AL78" s="71"/>
      <c r="AM78" s="71"/>
      <c r="AN78" s="71"/>
      <c r="AO78" s="71"/>
      <c r="AP78" s="69"/>
      <c r="AQ78" s="71"/>
      <c r="AR78" s="71"/>
      <c r="AS78" s="71"/>
      <c r="AT78" s="64"/>
      <c r="AU78" s="69" t="str">
        <f t="shared" si="1"/>
        <v>P2 placesDirection assistéeVerrouillage centralisé à distanceVitres électriquesRétroviseurs électriques et dégivrantsAutoradio DAB avec cmde au volantBluetoothSiège conducteur suspendu pneumatiqueCaméra de reculRégulateur de vitesseClimatisation manuellePrise FMSRangement ouvert ou coffre sur tunnel moteur ChronotachygraphePré-équipement télématiqueTriangle de signalisation</v>
      </c>
    </row>
    <row r="79" spans="1:47" ht="45" hidden="1" outlineLevel="1" x14ac:dyDescent="0.25">
      <c r="A79" s="64" t="s">
        <v>4352</v>
      </c>
      <c r="B79" s="64" t="s">
        <v>424</v>
      </c>
      <c r="C79" s="64"/>
      <c r="D79" s="64" t="s">
        <v>3886</v>
      </c>
      <c r="E79" s="64" t="s">
        <v>3887</v>
      </c>
      <c r="F79" s="64" t="s">
        <v>3888</v>
      </c>
      <c r="G79" s="64"/>
      <c r="H79" s="64" t="s">
        <v>3889</v>
      </c>
      <c r="I79" s="64" t="s">
        <v>3879</v>
      </c>
      <c r="J79" s="64"/>
      <c r="K79" s="64" t="s">
        <v>3939</v>
      </c>
      <c r="L79" s="64"/>
      <c r="M79" s="64"/>
      <c r="N79" s="64" t="s">
        <v>3890</v>
      </c>
      <c r="O79" s="64"/>
      <c r="P79" s="64" t="s">
        <v>3940</v>
      </c>
      <c r="Q79" s="64" t="s">
        <v>3891</v>
      </c>
      <c r="R79" s="64"/>
      <c r="S79" s="64"/>
      <c r="T79" s="64"/>
      <c r="U79" s="64"/>
      <c r="V79" s="64"/>
      <c r="W79" s="64"/>
      <c r="X79" s="64"/>
      <c r="Y79" s="64" t="s">
        <v>3880</v>
      </c>
      <c r="Z79" s="64" t="s">
        <v>3881</v>
      </c>
      <c r="AA79" s="64"/>
      <c r="AB79" s="64" t="s">
        <v>3882</v>
      </c>
      <c r="AC79" s="64"/>
      <c r="AD79" s="64"/>
      <c r="AE79" s="64" t="s">
        <v>3892</v>
      </c>
      <c r="AF79" s="64" t="s">
        <v>3893</v>
      </c>
      <c r="AG79" s="64" t="s">
        <v>3941</v>
      </c>
      <c r="AH79" s="64"/>
      <c r="AI79" s="64"/>
      <c r="AJ79" s="64"/>
      <c r="AK79" s="64"/>
      <c r="AL79" s="64"/>
      <c r="AM79" s="64"/>
      <c r="AN79" s="64"/>
      <c r="AO79" s="64"/>
      <c r="AP79" s="64"/>
      <c r="AQ79" s="64"/>
      <c r="AR79" s="64"/>
      <c r="AS79" s="64"/>
      <c r="AT79" s="64"/>
      <c r="AU79" s="69" t="str">
        <f t="shared" si="1"/>
        <v>O2 places (CU : +10 Kg) Airbag passagersAirbag passager + Antibrouillard + Capteur de pression des pneusAirbag latéraux + Airbag passagersGPSCaméra de recul Régulateur de vitesse adaptatif (ACC)RUNLOCK (Key-out) + Caméra de recul Feux antibrouillard AvantBoîte à clefsBoite à pharmacieExtincteur 1KgFeux &amp; Essui glaces AutomatiqueFeux &amp; Essui glaces Automatique &amp; feux de route automatiquesFrein à main électrique</v>
      </c>
    </row>
    <row r="80" spans="1:47" ht="33.75" hidden="1" outlineLevel="1" x14ac:dyDescent="0.25">
      <c r="A80" s="64" t="s">
        <v>4353</v>
      </c>
      <c r="B80" s="64" t="s">
        <v>424</v>
      </c>
      <c r="C80" s="64"/>
      <c r="D80" s="64" t="s">
        <v>3886</v>
      </c>
      <c r="E80" s="64" t="s">
        <v>3887</v>
      </c>
      <c r="F80" s="64" t="s">
        <v>3888</v>
      </c>
      <c r="G80" s="64"/>
      <c r="H80" s="64" t="s">
        <v>3889</v>
      </c>
      <c r="I80" s="64" t="s">
        <v>3879</v>
      </c>
      <c r="J80" s="64"/>
      <c r="K80" s="64"/>
      <c r="L80" s="64"/>
      <c r="M80" s="64"/>
      <c r="N80" s="64" t="s">
        <v>3890</v>
      </c>
      <c r="O80" s="64"/>
      <c r="P80" s="64" t="s">
        <v>3940</v>
      </c>
      <c r="Q80" s="64" t="s">
        <v>3891</v>
      </c>
      <c r="R80" s="64"/>
      <c r="S80" s="64"/>
      <c r="T80" s="64"/>
      <c r="U80" s="64"/>
      <c r="V80" s="64"/>
      <c r="W80" s="64"/>
      <c r="X80" s="64"/>
      <c r="Y80" s="64" t="s">
        <v>3880</v>
      </c>
      <c r="Z80" s="64" t="s">
        <v>3881</v>
      </c>
      <c r="AA80" s="64"/>
      <c r="AB80" s="64" t="s">
        <v>3882</v>
      </c>
      <c r="AC80" s="64"/>
      <c r="AD80" s="64"/>
      <c r="AE80" s="64" t="s">
        <v>3892</v>
      </c>
      <c r="AF80" s="64" t="s">
        <v>3893</v>
      </c>
      <c r="AG80" s="64" t="s">
        <v>3941</v>
      </c>
      <c r="AH80" s="64"/>
      <c r="AI80" s="64"/>
      <c r="AJ80" s="64"/>
      <c r="AK80" s="64"/>
      <c r="AL80" s="64"/>
      <c r="AM80" s="64"/>
      <c r="AN80" s="64"/>
      <c r="AO80" s="64"/>
      <c r="AP80" s="64"/>
      <c r="AQ80" s="64"/>
      <c r="AR80" s="64"/>
      <c r="AS80" s="64"/>
      <c r="AT80" s="64"/>
      <c r="AU80" s="69" t="str">
        <f t="shared" si="1"/>
        <v>O2 places (CU : +10 Kg) Airbag passagersAirbag passager + Antibrouillard + Capteur de pression des pneusAirbag latéraux + Airbag passagersGPSRégulateur de vitesse adaptatif (ACC)RUNLOCK (Key-out) + Caméra de recul Feux antibrouillard AvantBoîte à clefsBoite à pharmacieExtincteur 1KgFeux &amp; Essui glaces AutomatiqueFeux &amp; Essui glaces Automatique &amp; feux de route automatiquesFrein à main électrique</v>
      </c>
    </row>
    <row r="81" spans="1:60" ht="45" hidden="1" outlineLevel="1" x14ac:dyDescent="0.25">
      <c r="A81" s="64" t="s">
        <v>3476</v>
      </c>
      <c r="B81" s="64" t="s">
        <v>32</v>
      </c>
      <c r="C81" s="64" t="s">
        <v>1777</v>
      </c>
      <c r="D81" s="64" t="s">
        <v>405</v>
      </c>
      <c r="E81" s="64" t="s">
        <v>1824</v>
      </c>
      <c r="F81" s="64" t="s">
        <v>1761</v>
      </c>
      <c r="G81" s="64" t="s">
        <v>406</v>
      </c>
      <c r="H81" s="64" t="s">
        <v>555</v>
      </c>
      <c r="I81" s="64" t="s">
        <v>3705</v>
      </c>
      <c r="J81" s="64" t="s">
        <v>404</v>
      </c>
      <c r="K81" s="64" t="s">
        <v>1821</v>
      </c>
      <c r="L81" s="64" t="s">
        <v>3706</v>
      </c>
      <c r="M81" s="71"/>
      <c r="N81" s="64" t="s">
        <v>1822</v>
      </c>
      <c r="O81" s="64"/>
      <c r="P81" s="64" t="s">
        <v>3681</v>
      </c>
      <c r="Q81" s="64"/>
      <c r="R81" s="64"/>
      <c r="S81" s="64"/>
      <c r="T81" s="64"/>
      <c r="U81" s="64" t="s">
        <v>399</v>
      </c>
      <c r="V81" s="64" t="s">
        <v>1776</v>
      </c>
      <c r="W81" s="64"/>
      <c r="X81" s="64"/>
      <c r="Y81" s="64"/>
      <c r="Z81" s="64"/>
      <c r="AA81" s="64"/>
      <c r="AB81" s="64"/>
      <c r="AC81" s="64"/>
      <c r="AD81" s="64"/>
      <c r="AE81" s="64"/>
      <c r="AF81" s="64"/>
      <c r="AG81" s="64"/>
      <c r="AH81" s="64" t="s">
        <v>3684</v>
      </c>
      <c r="AI81" s="64"/>
      <c r="AJ81" s="64" t="s">
        <v>423</v>
      </c>
      <c r="AK81" s="64"/>
      <c r="AL81" s="64"/>
      <c r="AM81" s="64"/>
      <c r="AN81" s="64"/>
      <c r="AO81" s="64"/>
      <c r="AP81" s="64"/>
      <c r="AQ81" s="64"/>
      <c r="AR81" s="64"/>
      <c r="AS81" s="64"/>
      <c r="AT81" s="64"/>
      <c r="AU81" s="69" t="str">
        <f t="shared" si="1"/>
        <v>P3 placesDirection assistéeVerrouillage centralisé à distance avec prédisposition pour carrosserie Vitres électriquesRétroviseurs électriques et dégivrantsAirbag conducteurRadio numérique (DAB) avec cmde au volantBluetoothSiège conducteur suspenduRadars et caméra de recul HD URBANRégulateur et Limiteur de vitesse réglable électroniquePrise 12 VClimatisation manuelleDéflecteur de cabine Pré-équipement télématique Triangle de signalisation</v>
      </c>
    </row>
    <row r="82" spans="1:60" collapsed="1" x14ac:dyDescent="0.25">
      <c r="A82" s="64" t="s">
        <v>1144</v>
      </c>
      <c r="B82" s="64" t="s">
        <v>32</v>
      </c>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9" t="str">
        <f t="shared" ref="AU82:AU145" si="2">CONCATENATE(B82,C82,D82,E82,F82,G82,H82,I82,J82,K82,L82,M82,N82,O82,P82,Q82,R82,S82,T82,U82,V82,W82,X82,Y82,Z82,AA82,AB82,AC82,AD82,AE82,AF82,AG82,AH82,AI82,AJ82,AK82,AL82,AM82,AN82,AO82,AP82,AQ82,AR82,AS82,AT82)</f>
        <v>P</v>
      </c>
      <c r="AV82" s="96"/>
      <c r="AW82" s="96"/>
      <c r="AX82" s="96"/>
      <c r="AY82" s="96"/>
      <c r="AZ82" s="96"/>
      <c r="BA82" s="96"/>
      <c r="BB82" s="96"/>
      <c r="BC82" s="96"/>
      <c r="BD82" s="96"/>
      <c r="BE82" s="96"/>
      <c r="BF82" s="96"/>
      <c r="BG82" s="96"/>
      <c r="BH82" s="96"/>
    </row>
    <row r="83" spans="1:60" ht="67.5" outlineLevel="1" x14ac:dyDescent="0.25">
      <c r="A83" s="64" t="s">
        <v>1635</v>
      </c>
      <c r="B83" s="64" t="s">
        <v>32</v>
      </c>
      <c r="C83" s="64" t="s">
        <v>1759</v>
      </c>
      <c r="D83" s="64" t="s">
        <v>1760</v>
      </c>
      <c r="E83" s="64" t="s">
        <v>402</v>
      </c>
      <c r="F83" s="64" t="s">
        <v>1761</v>
      </c>
      <c r="G83" s="64" t="s">
        <v>406</v>
      </c>
      <c r="H83" s="64" t="s">
        <v>1762</v>
      </c>
      <c r="I83" s="64" t="s">
        <v>1763</v>
      </c>
      <c r="J83" s="64"/>
      <c r="K83" s="64" t="s">
        <v>1764</v>
      </c>
      <c r="L83" s="64" t="s">
        <v>401</v>
      </c>
      <c r="M83" s="69" t="s">
        <v>400</v>
      </c>
      <c r="N83" s="64" t="s">
        <v>1765</v>
      </c>
      <c r="O83" s="64" t="s">
        <v>1766</v>
      </c>
      <c r="P83" s="64" t="s">
        <v>1767</v>
      </c>
      <c r="Q83" s="64"/>
      <c r="R83" s="64"/>
      <c r="S83" s="64"/>
      <c r="T83" s="64"/>
      <c r="U83" s="64" t="s">
        <v>399</v>
      </c>
      <c r="V83" s="64"/>
      <c r="W83" s="64"/>
      <c r="X83" s="64"/>
      <c r="Y83" s="64"/>
      <c r="Z83" s="64"/>
      <c r="AA83" s="64"/>
      <c r="AB83" s="64"/>
      <c r="AC83" s="64"/>
      <c r="AD83" s="64"/>
      <c r="AE83" s="64" t="s">
        <v>1768</v>
      </c>
      <c r="AF83" s="64" t="s">
        <v>1769</v>
      </c>
      <c r="AG83" s="64"/>
      <c r="AH83" s="64"/>
      <c r="AI83" s="64"/>
      <c r="AJ83" s="64"/>
      <c r="AK83" s="64"/>
      <c r="AL83" s="64"/>
      <c r="AM83" s="64"/>
      <c r="AN83" s="64"/>
      <c r="AO83" s="64"/>
      <c r="AP83" s="64"/>
      <c r="AQ83" s="64"/>
      <c r="AR83" s="64"/>
      <c r="AS83" s="64"/>
      <c r="AT83" s="64" t="s">
        <v>1770</v>
      </c>
      <c r="AU83" s="69" t="str">
        <f t="shared" si="2"/>
        <v>P2 placesPack Hiver : Pare-brise chauffantVerrouillage centralisé à distanceVitres électriquesRétroviseurs électriques et dégivrantsAirbags Conducteur et Passager : Frontaux, Latéraux, RideauxRadio numérique DAB sur tablette tactile 10" couleur avec Android Auto™ et Apple CarPlay®Pack Hiver : Siège conducteur chauffant confort avec accoudoir (réglage en hauteur et réglage lombaire) et siège passager chauffantRadars de reculCaméra de reculRégulateur et limiteur de vitessePack Hiver : Volant cuir multifonctions réglable en hauteur et en profondeurPrise 12V sur planche de bordClimatisation manuelleDétection de sous gonflage Allumage automatique des feux de croisement et CommutationPack Access SAMSARA</v>
      </c>
      <c r="AV83" s="96"/>
      <c r="AW83" s="96"/>
      <c r="AX83" s="96"/>
      <c r="AY83" s="96"/>
      <c r="AZ83" s="96"/>
      <c r="BA83" s="96"/>
      <c r="BB83" s="96"/>
      <c r="BC83" s="96"/>
      <c r="BD83" s="96"/>
      <c r="BE83" s="96"/>
      <c r="BF83" s="96"/>
      <c r="BG83" s="96"/>
      <c r="BH83" s="96"/>
    </row>
    <row r="84" spans="1:60" ht="56.25" outlineLevel="1" x14ac:dyDescent="0.25">
      <c r="A84" s="64" t="s">
        <v>1175</v>
      </c>
      <c r="B84" s="64" t="s">
        <v>32</v>
      </c>
      <c r="C84" s="64" t="s">
        <v>1759</v>
      </c>
      <c r="D84" s="64"/>
      <c r="E84" s="64" t="s">
        <v>402</v>
      </c>
      <c r="F84" s="64" t="s">
        <v>1761</v>
      </c>
      <c r="G84" s="64" t="s">
        <v>1771</v>
      </c>
      <c r="H84" s="64" t="s">
        <v>1762</v>
      </c>
      <c r="I84" s="64" t="s">
        <v>1763</v>
      </c>
      <c r="J84" s="64"/>
      <c r="K84" s="64" t="s">
        <v>1772</v>
      </c>
      <c r="L84" s="64" t="s">
        <v>401</v>
      </c>
      <c r="M84" s="69" t="s">
        <v>400</v>
      </c>
      <c r="N84" s="64" t="s">
        <v>1765</v>
      </c>
      <c r="O84" s="64" t="s">
        <v>409</v>
      </c>
      <c r="P84" s="64" t="s">
        <v>1767</v>
      </c>
      <c r="Q84" s="64"/>
      <c r="R84" s="64"/>
      <c r="S84" s="64"/>
      <c r="T84" s="64"/>
      <c r="U84" s="64" t="s">
        <v>399</v>
      </c>
      <c r="V84" s="64"/>
      <c r="W84" s="64"/>
      <c r="X84" s="64"/>
      <c r="Y84" s="64"/>
      <c r="Z84" s="64"/>
      <c r="AA84" s="64"/>
      <c r="AB84" s="64"/>
      <c r="AC84" s="64"/>
      <c r="AD84" s="64"/>
      <c r="AE84" s="64" t="s">
        <v>1768</v>
      </c>
      <c r="AF84" s="64" t="s">
        <v>1769</v>
      </c>
      <c r="AG84" s="64" t="s">
        <v>410</v>
      </c>
      <c r="AH84" s="64"/>
      <c r="AI84" s="64"/>
      <c r="AJ84" s="64"/>
      <c r="AK84" s="64"/>
      <c r="AL84" s="64"/>
      <c r="AM84" s="64"/>
      <c r="AN84" s="70"/>
      <c r="AO84" s="64"/>
      <c r="AP84" s="64"/>
      <c r="AQ84" s="64"/>
      <c r="AR84" s="64"/>
      <c r="AS84" s="64"/>
      <c r="AT84" s="64" t="s">
        <v>403</v>
      </c>
      <c r="AU84" s="69" t="str">
        <f t="shared" si="2"/>
        <v>P2 placesVerrouillage centralisé à distanceVitres électriquesRétroviseurs extérieurs dégivrantsAirbags Conducteur et Passager : Frontaux, Latéraux, RideauxRadio numérique DAB sur tablette tactile 10" couleur avec Android Auto™ et Apple CarPlay®Siège conducteur avec réglage en longueur et dossier inclinableRadars de reculCaméra de reculRégulateur et limiteur de vitesseVolant multifonctions réglable en hauteur et en profondeurPrise 12V sur planche de bordClimatisation manuelleDétection de sous gonflage Allumage automatique des feux de croisement et CommutationFrein stationnement électriquePré-équipement télématique</v>
      </c>
      <c r="AV84" s="96"/>
      <c r="AW84" s="96"/>
      <c r="AX84" s="96"/>
      <c r="AY84" s="96"/>
      <c r="AZ84" s="96"/>
      <c r="BA84" s="96"/>
      <c r="BB84" s="96"/>
      <c r="BC84" s="96"/>
      <c r="BD84" s="96"/>
      <c r="BE84" s="96"/>
      <c r="BF84" s="96"/>
      <c r="BG84" s="96"/>
      <c r="BH84" s="96"/>
    </row>
    <row r="85" spans="1:60" ht="33.75" outlineLevel="1" x14ac:dyDescent="0.25">
      <c r="A85" s="64" t="s">
        <v>1472</v>
      </c>
      <c r="B85" s="64" t="s">
        <v>32</v>
      </c>
      <c r="C85" s="64" t="s">
        <v>1759</v>
      </c>
      <c r="D85" s="64"/>
      <c r="E85" s="64" t="s">
        <v>402</v>
      </c>
      <c r="F85" s="64" t="s">
        <v>1761</v>
      </c>
      <c r="G85" s="64" t="s">
        <v>406</v>
      </c>
      <c r="H85" s="64" t="s">
        <v>1773</v>
      </c>
      <c r="I85" s="64" t="s">
        <v>1774</v>
      </c>
      <c r="J85" s="64"/>
      <c r="K85" s="64" t="s">
        <v>1775</v>
      </c>
      <c r="L85" s="64" t="s">
        <v>401</v>
      </c>
      <c r="M85" s="69" t="s">
        <v>400</v>
      </c>
      <c r="N85" s="64" t="s">
        <v>1765</v>
      </c>
      <c r="O85" s="64"/>
      <c r="P85" s="64"/>
      <c r="Q85" s="64"/>
      <c r="R85" s="64"/>
      <c r="S85" s="64"/>
      <c r="T85" s="64"/>
      <c r="U85" s="64" t="s">
        <v>399</v>
      </c>
      <c r="V85" s="64"/>
      <c r="W85" s="64"/>
      <c r="X85" s="64"/>
      <c r="Y85" s="64"/>
      <c r="Z85" s="64"/>
      <c r="AA85" s="64"/>
      <c r="AB85" s="64"/>
      <c r="AC85" s="64"/>
      <c r="AD85" s="64"/>
      <c r="AE85" s="64"/>
      <c r="AF85" s="64" t="s">
        <v>411</v>
      </c>
      <c r="AG85" s="64"/>
      <c r="AH85" s="64"/>
      <c r="AI85" s="64"/>
      <c r="AJ85" s="64"/>
      <c r="AK85" s="64"/>
      <c r="AL85" s="64"/>
      <c r="AM85" s="64"/>
      <c r="AN85" s="64"/>
      <c r="AO85" s="64"/>
      <c r="AP85" s="70"/>
      <c r="AQ85" s="64"/>
      <c r="AR85" s="69"/>
      <c r="AS85" s="64"/>
      <c r="AT85" s="64" t="s">
        <v>403</v>
      </c>
      <c r="AU85" s="69" t="str">
        <f t="shared" si="2"/>
        <v>P2 placesVerrouillage centralisé à distanceVitres électriquesRétroviseurs électriques et dégivrantsAirbags frontaux conducteur et passagerEasy link avec écran 8" sans navigationSiège conducteur réglable en hauteur avec accoudoir Radars de reculCaméra de reculRégulateur et limiteur de vitesseClimatisation manuelleFeux et essuies vitres  automatiquesPré-équipement télématique</v>
      </c>
      <c r="AV85" s="96"/>
      <c r="AW85" s="96"/>
      <c r="AX85" s="96"/>
      <c r="AY85" s="96"/>
      <c r="AZ85" s="96"/>
      <c r="BA85" s="96"/>
      <c r="BB85" s="96"/>
      <c r="BC85" s="96"/>
      <c r="BD85" s="96"/>
      <c r="BE85" s="96"/>
      <c r="BF85" s="96"/>
      <c r="BG85" s="96"/>
      <c r="BH85" s="96"/>
    </row>
    <row r="86" spans="1:60" ht="33.75" outlineLevel="1" x14ac:dyDescent="0.25">
      <c r="A86" s="64" t="s">
        <v>1480</v>
      </c>
      <c r="B86" s="64" t="s">
        <v>32</v>
      </c>
      <c r="C86" s="64" t="s">
        <v>1759</v>
      </c>
      <c r="D86" s="64"/>
      <c r="E86" s="64" t="s">
        <v>402</v>
      </c>
      <c r="F86" s="64" t="s">
        <v>1761</v>
      </c>
      <c r="G86" s="64" t="s">
        <v>406</v>
      </c>
      <c r="H86" s="64" t="s">
        <v>1773</v>
      </c>
      <c r="I86" s="64" t="s">
        <v>1774</v>
      </c>
      <c r="J86" s="64"/>
      <c r="K86" s="64" t="s">
        <v>1775</v>
      </c>
      <c r="L86" s="64" t="s">
        <v>401</v>
      </c>
      <c r="M86" s="69" t="s">
        <v>400</v>
      </c>
      <c r="N86" s="64" t="s">
        <v>1765</v>
      </c>
      <c r="O86" s="64"/>
      <c r="P86" s="64"/>
      <c r="Q86" s="64"/>
      <c r="R86" s="64"/>
      <c r="S86" s="64"/>
      <c r="T86" s="64"/>
      <c r="U86" s="64" t="s">
        <v>399</v>
      </c>
      <c r="V86" s="64" t="s">
        <v>1776</v>
      </c>
      <c r="W86" s="64"/>
      <c r="X86" s="64"/>
      <c r="Y86" s="64"/>
      <c r="Z86" s="64"/>
      <c r="AA86" s="64"/>
      <c r="AB86" s="64"/>
      <c r="AC86" s="64"/>
      <c r="AD86" s="64"/>
      <c r="AE86" s="64"/>
      <c r="AF86" s="64" t="s">
        <v>411</v>
      </c>
      <c r="AG86" s="64"/>
      <c r="AH86" s="64"/>
      <c r="AI86" s="64"/>
      <c r="AJ86" s="64"/>
      <c r="AK86" s="64"/>
      <c r="AL86" s="64"/>
      <c r="AM86" s="64"/>
      <c r="AN86" s="64"/>
      <c r="AO86" s="64"/>
      <c r="AP86" s="70"/>
      <c r="AQ86" s="64"/>
      <c r="AR86" s="69"/>
      <c r="AS86" s="64"/>
      <c r="AT86" s="64" t="s">
        <v>403</v>
      </c>
      <c r="AU86" s="69" t="str">
        <f t="shared" si="2"/>
        <v>P2 placesVerrouillage centralisé à distanceVitres électriquesRétroviseurs électriques et dégivrantsAirbags frontaux conducteur et passagerEasy link avec écran 8" sans navigationSiège conducteur réglable en hauteur avec accoudoir Radars de reculCaméra de reculRégulateur et limiteur de vitesseClimatisation manuelleDéflecteur de cabine Feux et essuies vitres  automatiquesPré-équipement télématique</v>
      </c>
      <c r="AV86" s="96"/>
      <c r="AW86" s="96"/>
      <c r="AX86" s="96"/>
      <c r="AY86" s="96"/>
      <c r="AZ86" s="96"/>
      <c r="BA86" s="96"/>
      <c r="BB86" s="96"/>
      <c r="BC86" s="96"/>
      <c r="BD86" s="96"/>
      <c r="BE86" s="96"/>
      <c r="BF86" s="96"/>
      <c r="BG86" s="96"/>
      <c r="BH86" s="96"/>
    </row>
    <row r="87" spans="1:60" ht="56.25" outlineLevel="1" x14ac:dyDescent="0.25">
      <c r="A87" s="64" t="s">
        <v>1202</v>
      </c>
      <c r="B87" s="64" t="s">
        <v>32</v>
      </c>
      <c r="C87" s="64" t="s">
        <v>1777</v>
      </c>
      <c r="D87" s="64"/>
      <c r="E87" s="64" t="s">
        <v>402</v>
      </c>
      <c r="F87" s="64" t="s">
        <v>1761</v>
      </c>
      <c r="G87" s="64" t="s">
        <v>406</v>
      </c>
      <c r="H87" s="64" t="s">
        <v>1778</v>
      </c>
      <c r="I87" s="64" t="s">
        <v>1779</v>
      </c>
      <c r="J87" s="64"/>
      <c r="K87" s="64" t="s">
        <v>1780</v>
      </c>
      <c r="L87" s="64" t="s">
        <v>401</v>
      </c>
      <c r="M87" s="69" t="s">
        <v>400</v>
      </c>
      <c r="N87" s="64" t="s">
        <v>1765</v>
      </c>
      <c r="O87" s="64" t="s">
        <v>1781</v>
      </c>
      <c r="P87" s="64"/>
      <c r="Q87" s="64"/>
      <c r="R87" s="64"/>
      <c r="S87" s="64"/>
      <c r="T87" s="64"/>
      <c r="U87" s="64" t="s">
        <v>399</v>
      </c>
      <c r="V87" s="64"/>
      <c r="W87" s="64"/>
      <c r="X87" s="64"/>
      <c r="Y87" s="64"/>
      <c r="Z87" s="64"/>
      <c r="AA87" s="64"/>
      <c r="AB87" s="64"/>
      <c r="AC87" s="64"/>
      <c r="AD87" s="64"/>
      <c r="AE87" s="64" t="s">
        <v>1768</v>
      </c>
      <c r="AF87" s="64" t="s">
        <v>1782</v>
      </c>
      <c r="AG87" s="64"/>
      <c r="AH87" s="72"/>
      <c r="AI87" s="70"/>
      <c r="AJ87" s="64"/>
      <c r="AK87" s="64"/>
      <c r="AL87" s="64"/>
      <c r="AM87" s="64"/>
      <c r="AN87" s="70"/>
      <c r="AO87" s="64"/>
      <c r="AP87" s="64"/>
      <c r="AQ87" s="64"/>
      <c r="AR87" s="64"/>
      <c r="AS87" s="64"/>
      <c r="AT87" s="64" t="s">
        <v>403</v>
      </c>
      <c r="AU87" s="69" t="str">
        <f t="shared" si="2"/>
        <v>P3 placesVerrouillage centralisé à distanceVitres électriquesRétroviseurs électriques et dégivrantsAirbags frontaux (conducteur et passager)Radio DAB Bluetooth® avec écran tactile 5'' monochrome + 4 HP (2 tweeters + 2 woofers) + 1 prise USB-ASiège conducteur individuel avec appui-tête réglable en hauteur et avec accoudoir / Réglages : longueur, inclinaison, réhausse et lombaireRadars de reculCaméra de reculRégulateur et limiteur de vitesseVolant réglable en hauteur et en profondeurClimatisation manuelleDétection de sous gonflage Allumage automatique des feux de croisement et des essuie-vitres avantPré-équipement télématique</v>
      </c>
      <c r="AV87" s="96"/>
      <c r="AW87" s="96"/>
      <c r="AX87" s="96"/>
      <c r="AY87" s="96"/>
      <c r="AZ87" s="96"/>
      <c r="BA87" s="96"/>
      <c r="BB87" s="96"/>
      <c r="BC87" s="96"/>
      <c r="BD87" s="96"/>
      <c r="BE87" s="96"/>
      <c r="BF87" s="96"/>
      <c r="BG87" s="96"/>
      <c r="BH87" s="96"/>
    </row>
    <row r="88" spans="1:60" ht="56.25" outlineLevel="1" x14ac:dyDescent="0.25">
      <c r="A88" s="64" t="s">
        <v>1640</v>
      </c>
      <c r="B88" s="64" t="s">
        <v>32</v>
      </c>
      <c r="C88" s="64" t="s">
        <v>1777</v>
      </c>
      <c r="D88" s="64"/>
      <c r="E88" s="64" t="s">
        <v>402</v>
      </c>
      <c r="F88" s="64" t="s">
        <v>1761</v>
      </c>
      <c r="G88" s="64" t="s">
        <v>1771</v>
      </c>
      <c r="H88" s="64" t="s">
        <v>1778</v>
      </c>
      <c r="I88" s="64" t="s">
        <v>1783</v>
      </c>
      <c r="J88" s="64"/>
      <c r="K88" s="64" t="s">
        <v>1780</v>
      </c>
      <c r="L88" s="64" t="s">
        <v>401</v>
      </c>
      <c r="M88" s="69" t="s">
        <v>400</v>
      </c>
      <c r="N88" s="64" t="s">
        <v>1765</v>
      </c>
      <c r="O88" s="64" t="s">
        <v>1781</v>
      </c>
      <c r="P88" s="64"/>
      <c r="Q88" s="64"/>
      <c r="R88" s="64"/>
      <c r="S88" s="64"/>
      <c r="T88" s="64"/>
      <c r="U88" s="64" t="s">
        <v>399</v>
      </c>
      <c r="V88" s="64"/>
      <c r="W88" s="64"/>
      <c r="X88" s="64"/>
      <c r="Y88" s="64"/>
      <c r="Z88" s="64"/>
      <c r="AA88" s="64"/>
      <c r="AB88" s="64"/>
      <c r="AC88" s="64"/>
      <c r="AD88" s="64"/>
      <c r="AE88" s="64" t="s">
        <v>1768</v>
      </c>
      <c r="AF88" s="64" t="s">
        <v>1782</v>
      </c>
      <c r="AG88" s="64"/>
      <c r="AH88" s="64"/>
      <c r="AI88" s="64"/>
      <c r="AJ88" s="64"/>
      <c r="AK88" s="64"/>
      <c r="AL88" s="64"/>
      <c r="AM88" s="64"/>
      <c r="AN88" s="70"/>
      <c r="AO88" s="64"/>
      <c r="AP88" s="64"/>
      <c r="AQ88" s="64"/>
      <c r="AR88" s="64"/>
      <c r="AS88" s="64"/>
      <c r="AT88" s="64" t="s">
        <v>1770</v>
      </c>
      <c r="AU88" s="69" t="str">
        <f t="shared" si="2"/>
        <v>P3 placesVerrouillage centralisé à distanceVitres électriquesRétroviseurs extérieurs dégivrantsAirbags frontaux (conducteur et passager)Ecran tactile 10''HD couleur avec Apple CarPlay® et Android auto™ sans filSiège conducteur individuel avec appui-tête réglable en hauteur et avec accoudoir / Réglages : longueur, inclinaison, réhausse et lombaireRadars de reculCaméra de reculRégulateur et limiteur de vitesseVolant réglable en hauteur et en profondeurClimatisation manuelleDétection de sous gonflage Allumage automatique des feux de croisement et des essuie-vitres avantPack Access SAMSARA</v>
      </c>
      <c r="AV88" s="96"/>
      <c r="AW88" s="96"/>
      <c r="AX88" s="96"/>
      <c r="AY88" s="96"/>
      <c r="AZ88" s="96"/>
      <c r="BA88" s="96"/>
      <c r="BB88" s="96"/>
      <c r="BC88" s="96"/>
      <c r="BD88" s="96"/>
      <c r="BE88" s="96"/>
      <c r="BF88" s="96"/>
      <c r="BG88" s="96"/>
      <c r="BH88" s="96"/>
    </row>
    <row r="89" spans="1:60" ht="56.25" outlineLevel="1" x14ac:dyDescent="0.25">
      <c r="A89" s="64" t="s">
        <v>1188</v>
      </c>
      <c r="B89" s="64" t="s">
        <v>32</v>
      </c>
      <c r="C89" s="64" t="s">
        <v>1777</v>
      </c>
      <c r="D89" s="64"/>
      <c r="E89" s="64" t="s">
        <v>402</v>
      </c>
      <c r="F89" s="64" t="s">
        <v>1761</v>
      </c>
      <c r="G89" s="64" t="s">
        <v>1771</v>
      </c>
      <c r="H89" s="64" t="s">
        <v>1778</v>
      </c>
      <c r="I89" s="64" t="s">
        <v>1783</v>
      </c>
      <c r="J89" s="64"/>
      <c r="K89" s="64" t="s">
        <v>1780</v>
      </c>
      <c r="L89" s="64" t="s">
        <v>401</v>
      </c>
      <c r="M89" s="69" t="s">
        <v>400</v>
      </c>
      <c r="N89" s="64" t="s">
        <v>1765</v>
      </c>
      <c r="O89" s="64" t="s">
        <v>1781</v>
      </c>
      <c r="P89" s="64"/>
      <c r="Q89" s="64"/>
      <c r="R89" s="64"/>
      <c r="S89" s="64"/>
      <c r="T89" s="64"/>
      <c r="U89" s="64" t="s">
        <v>399</v>
      </c>
      <c r="V89" s="64"/>
      <c r="W89" s="64"/>
      <c r="X89" s="64"/>
      <c r="Y89" s="64"/>
      <c r="Z89" s="64"/>
      <c r="AA89" s="64"/>
      <c r="AB89" s="64"/>
      <c r="AC89" s="64"/>
      <c r="AD89" s="64"/>
      <c r="AE89" s="64" t="s">
        <v>1768</v>
      </c>
      <c r="AF89" s="64" t="s">
        <v>1782</v>
      </c>
      <c r="AG89" s="64"/>
      <c r="AH89" s="64"/>
      <c r="AI89" s="64"/>
      <c r="AJ89" s="64"/>
      <c r="AK89" s="64"/>
      <c r="AL89" s="64"/>
      <c r="AM89" s="64"/>
      <c r="AN89" s="70"/>
      <c r="AO89" s="64"/>
      <c r="AP89" s="64"/>
      <c r="AQ89" s="64"/>
      <c r="AR89" s="64"/>
      <c r="AS89" s="64"/>
      <c r="AT89" s="64" t="s">
        <v>403</v>
      </c>
      <c r="AU89" s="69" t="str">
        <f t="shared" si="2"/>
        <v>P3 placesVerrouillage centralisé à distanceVitres électriquesRétroviseurs extérieurs dégivrantsAirbags frontaux (conducteur et passager)Ecran tactile 10''HD couleur avec Apple CarPlay® et Android auto™ sans filSiège conducteur individuel avec appui-tête réglable en hauteur et avec accoudoir / Réglages : longueur, inclinaison, réhausse et lombaireRadars de reculCaméra de reculRégulateur et limiteur de vitesseVolant réglable en hauteur et en profondeurClimatisation manuelleDétection de sous gonflage Allumage automatique des feux de croisement et des essuie-vitres avantPré-équipement télématique</v>
      </c>
      <c r="AV89" s="96"/>
      <c r="AW89" s="96"/>
      <c r="AX89" s="96"/>
      <c r="AY89" s="96"/>
      <c r="AZ89" s="96"/>
      <c r="BA89" s="96"/>
      <c r="BB89" s="96"/>
      <c r="BC89" s="96"/>
      <c r="BD89" s="96"/>
      <c r="BE89" s="96"/>
      <c r="BF89" s="96"/>
      <c r="BG89" s="96"/>
      <c r="BH89" s="96"/>
    </row>
    <row r="90" spans="1:60" ht="56.25" outlineLevel="1" x14ac:dyDescent="0.25">
      <c r="A90" s="64" t="s">
        <v>1210</v>
      </c>
      <c r="B90" s="64" t="s">
        <v>32</v>
      </c>
      <c r="C90" s="64" t="s">
        <v>1777</v>
      </c>
      <c r="D90" s="64"/>
      <c r="E90" s="64" t="s">
        <v>402</v>
      </c>
      <c r="F90" s="64" t="s">
        <v>1761</v>
      </c>
      <c r="G90" s="64" t="s">
        <v>406</v>
      </c>
      <c r="H90" s="64" t="s">
        <v>1778</v>
      </c>
      <c r="I90" s="64" t="s">
        <v>1783</v>
      </c>
      <c r="J90" s="64"/>
      <c r="K90" s="64" t="s">
        <v>1780</v>
      </c>
      <c r="L90" s="64" t="s">
        <v>401</v>
      </c>
      <c r="M90" s="69" t="s">
        <v>400</v>
      </c>
      <c r="N90" s="64" t="s">
        <v>1765</v>
      </c>
      <c r="O90" s="64" t="s">
        <v>1781</v>
      </c>
      <c r="P90" s="64"/>
      <c r="Q90" s="64"/>
      <c r="R90" s="64"/>
      <c r="S90" s="64"/>
      <c r="T90" s="64"/>
      <c r="U90" s="64" t="s">
        <v>399</v>
      </c>
      <c r="V90" s="64"/>
      <c r="W90" s="64"/>
      <c r="X90" s="64"/>
      <c r="Y90" s="64"/>
      <c r="Z90" s="64"/>
      <c r="AA90" s="64"/>
      <c r="AB90" s="64"/>
      <c r="AC90" s="64"/>
      <c r="AD90" s="64"/>
      <c r="AE90" s="64" t="s">
        <v>1768</v>
      </c>
      <c r="AF90" s="64" t="s">
        <v>1782</v>
      </c>
      <c r="AG90" s="64" t="s">
        <v>410</v>
      </c>
      <c r="AH90" s="64"/>
      <c r="AI90" s="64"/>
      <c r="AJ90" s="64"/>
      <c r="AK90" s="64"/>
      <c r="AL90" s="64"/>
      <c r="AM90" s="64"/>
      <c r="AN90" s="70"/>
      <c r="AO90" s="64"/>
      <c r="AP90" s="69"/>
      <c r="AQ90" s="64"/>
      <c r="AR90" s="64"/>
      <c r="AS90" s="64"/>
      <c r="AT90" s="64" t="s">
        <v>403</v>
      </c>
      <c r="AU90" s="69" t="str">
        <f t="shared" si="2"/>
        <v>P3 placesVerrouillage centralisé à distanceVitres électriquesRétroviseurs électriques et dégivrantsAirbags frontaux (conducteur et passager)Ecran tactile 10''HD couleur avec Apple CarPlay® et Android auto™ sans filSiège conducteur individuel avec appui-tête réglable en hauteur et avec accoudoir / Réglages : longueur, inclinaison, réhausse et lombaireRadars de reculCaméra de reculRégulateur et limiteur de vitesseVolant réglable en hauteur et en profondeurClimatisation manuelleDétection de sous gonflage Allumage automatique des feux de croisement et des essuie-vitres avantFrein stationnement électriquePré-équipement télématique</v>
      </c>
      <c r="AV90" s="96"/>
      <c r="AW90" s="96"/>
      <c r="AX90" s="96"/>
      <c r="AY90" s="96"/>
      <c r="AZ90" s="96"/>
      <c r="BA90" s="96"/>
      <c r="BB90" s="96"/>
      <c r="BC90" s="96"/>
      <c r="BD90" s="96"/>
      <c r="BE90" s="96"/>
      <c r="BF90" s="96"/>
      <c r="BG90" s="96"/>
      <c r="BH90" s="96"/>
    </row>
    <row r="91" spans="1:60" ht="56.25" outlineLevel="1" x14ac:dyDescent="0.25">
      <c r="A91" s="64" t="s">
        <v>1220</v>
      </c>
      <c r="B91" s="64" t="s">
        <v>32</v>
      </c>
      <c r="C91" s="64" t="s">
        <v>1777</v>
      </c>
      <c r="D91" s="64"/>
      <c r="E91" s="64" t="s">
        <v>402</v>
      </c>
      <c r="F91" s="64" t="s">
        <v>1761</v>
      </c>
      <c r="G91" s="64" t="s">
        <v>406</v>
      </c>
      <c r="H91" s="64" t="s">
        <v>1778</v>
      </c>
      <c r="I91" s="64" t="s">
        <v>1779</v>
      </c>
      <c r="J91" s="64"/>
      <c r="K91" s="64" t="s">
        <v>1780</v>
      </c>
      <c r="L91" s="64" t="s">
        <v>401</v>
      </c>
      <c r="M91" s="69" t="s">
        <v>400</v>
      </c>
      <c r="N91" s="64" t="s">
        <v>1765</v>
      </c>
      <c r="O91" s="64" t="s">
        <v>1781</v>
      </c>
      <c r="P91" s="64"/>
      <c r="Q91" s="64"/>
      <c r="R91" s="64"/>
      <c r="S91" s="64"/>
      <c r="T91" s="64"/>
      <c r="U91" s="64" t="s">
        <v>399</v>
      </c>
      <c r="V91" s="64"/>
      <c r="W91" s="64"/>
      <c r="X91" s="64"/>
      <c r="Y91" s="64"/>
      <c r="Z91" s="64"/>
      <c r="AA91" s="64"/>
      <c r="AB91" s="64"/>
      <c r="AC91" s="64"/>
      <c r="AD91" s="64"/>
      <c r="AE91" s="64" t="s">
        <v>1768</v>
      </c>
      <c r="AF91" s="64" t="s">
        <v>1782</v>
      </c>
      <c r="AG91" s="64" t="s">
        <v>410</v>
      </c>
      <c r="AH91" s="72"/>
      <c r="AI91" s="70"/>
      <c r="AJ91" s="70"/>
      <c r="AK91" s="64"/>
      <c r="AL91" s="64"/>
      <c r="AM91" s="64"/>
      <c r="AN91" s="70"/>
      <c r="AO91" s="64"/>
      <c r="AP91" s="64"/>
      <c r="AQ91" s="64"/>
      <c r="AR91" s="64"/>
      <c r="AS91" s="64"/>
      <c r="AT91" s="64" t="s">
        <v>403</v>
      </c>
      <c r="AU91" s="69" t="str">
        <f t="shared" si="2"/>
        <v>P3 placesVerrouillage centralisé à distanceVitres électriquesRétroviseurs électriques et dégivrantsAirbags frontaux (conducteur et passager)Radio DAB Bluetooth® avec écran tactile 5'' monochrome + 4 HP (2 tweeters + 2 woofers) + 1 prise USB-ASiège conducteur individuel avec appui-tête réglable en hauteur et avec accoudoir / Réglages : longueur, inclinaison, réhausse et lombaireRadars de reculCaméra de reculRégulateur et limiteur de vitesseVolant réglable en hauteur et en profondeurClimatisation manuelleDétection de sous gonflage Allumage automatique des feux de croisement et des essuie-vitres avantFrein stationnement électriquePré-équipement télématique</v>
      </c>
      <c r="AV91" s="96"/>
      <c r="AW91" s="96"/>
      <c r="AX91" s="96"/>
      <c r="AY91" s="96"/>
      <c r="AZ91" s="96"/>
      <c r="BA91" s="96"/>
      <c r="BB91" s="96"/>
      <c r="BC91" s="96"/>
      <c r="BD91" s="96"/>
      <c r="BE91" s="96"/>
      <c r="BF91" s="96"/>
      <c r="BG91" s="96"/>
      <c r="BH91" s="96"/>
    </row>
    <row r="92" spans="1:60" ht="45" outlineLevel="1" x14ac:dyDescent="0.25">
      <c r="A92" s="64" t="s">
        <v>1645</v>
      </c>
      <c r="B92" s="64" t="s">
        <v>32</v>
      </c>
      <c r="C92" s="64" t="s">
        <v>1777</v>
      </c>
      <c r="D92" s="64"/>
      <c r="E92" s="64" t="s">
        <v>402</v>
      </c>
      <c r="F92" s="64" t="s">
        <v>1761</v>
      </c>
      <c r="G92" s="64" t="s">
        <v>406</v>
      </c>
      <c r="H92" s="64" t="s">
        <v>1784</v>
      </c>
      <c r="I92" s="64" t="s">
        <v>1785</v>
      </c>
      <c r="J92" s="64" t="s">
        <v>404</v>
      </c>
      <c r="K92" s="64" t="s">
        <v>1786</v>
      </c>
      <c r="L92" s="64" t="s">
        <v>401</v>
      </c>
      <c r="M92" s="69" t="s">
        <v>400</v>
      </c>
      <c r="N92" s="64" t="s">
        <v>1765</v>
      </c>
      <c r="O92" s="64"/>
      <c r="P92" s="64"/>
      <c r="Q92" s="64"/>
      <c r="R92" s="64"/>
      <c r="S92" s="64"/>
      <c r="T92" s="64"/>
      <c r="U92" s="64" t="s">
        <v>399</v>
      </c>
      <c r="V92" s="64"/>
      <c r="W92" s="64"/>
      <c r="X92" s="64"/>
      <c r="Y92" s="64"/>
      <c r="Z92" s="64"/>
      <c r="AA92" s="64"/>
      <c r="AB92" s="64"/>
      <c r="AC92" s="64"/>
      <c r="AD92" s="64"/>
      <c r="AE92" s="64" t="s">
        <v>1787</v>
      </c>
      <c r="AF92" s="64"/>
      <c r="AG92" s="64"/>
      <c r="AH92" s="64"/>
      <c r="AI92" s="70"/>
      <c r="AJ92" s="64"/>
      <c r="AK92" s="64"/>
      <c r="AL92" s="64"/>
      <c r="AM92" s="64"/>
      <c r="AN92" s="70"/>
      <c r="AO92" s="70"/>
      <c r="AP92" s="64"/>
      <c r="AQ92" s="64"/>
      <c r="AR92" s="64"/>
      <c r="AS92" s="64"/>
      <c r="AT92" s="64" t="s">
        <v>1770</v>
      </c>
      <c r="AU92" s="69" t="str">
        <f t="shared" si="2"/>
        <v>P3 placesVerrouillage centralisé à distanceVitres électriquesRétroviseurs électriques et dégivrantsAirbag conducteur / Double airbag passagerPack Techno 7'' (C7D) : Ecran 7'' couleur avec Apple CarPlay® et Android Auto™ sans fil - Double port USBBluetoothSiège conducteur avec réglage en hauteur, réglagle lombaire et accoudoirRadars de reculCaméra de reculRégulateur et limiteur de vitesseClimatisation manuelleCapteur de pression des pneumatiques (TPMS indirect)Pack Access SAMSARA</v>
      </c>
      <c r="AV92" s="96"/>
      <c r="AW92" s="96"/>
      <c r="AX92" s="96"/>
      <c r="AY92" s="96"/>
      <c r="AZ92" s="96"/>
      <c r="BA92" s="96"/>
      <c r="BB92" s="96"/>
      <c r="BC92" s="96"/>
      <c r="BD92" s="96"/>
      <c r="BE92" s="96"/>
      <c r="BF92" s="96"/>
      <c r="BG92" s="96"/>
      <c r="BH92" s="96"/>
    </row>
    <row r="93" spans="1:60" ht="45" outlineLevel="1" x14ac:dyDescent="0.25">
      <c r="A93" s="64" t="s">
        <v>2244</v>
      </c>
      <c r="B93" s="64" t="s">
        <v>32</v>
      </c>
      <c r="C93" s="64" t="s">
        <v>1777</v>
      </c>
      <c r="D93" s="64"/>
      <c r="E93" s="64" t="s">
        <v>402</v>
      </c>
      <c r="F93" s="64" t="s">
        <v>1761</v>
      </c>
      <c r="G93" s="64" t="s">
        <v>406</v>
      </c>
      <c r="H93" s="64" t="s">
        <v>1784</v>
      </c>
      <c r="I93" s="64" t="s">
        <v>1785</v>
      </c>
      <c r="J93" s="64" t="s">
        <v>404</v>
      </c>
      <c r="K93" s="64" t="s">
        <v>1786</v>
      </c>
      <c r="L93" s="64"/>
      <c r="M93" s="69" t="s">
        <v>400</v>
      </c>
      <c r="N93" s="64" t="s">
        <v>1765</v>
      </c>
      <c r="O93" s="64"/>
      <c r="P93" s="64"/>
      <c r="Q93" s="64"/>
      <c r="R93" s="64"/>
      <c r="S93" s="64"/>
      <c r="T93" s="64"/>
      <c r="U93" s="64" t="s">
        <v>399</v>
      </c>
      <c r="V93" s="64"/>
      <c r="W93" s="64"/>
      <c r="X93" s="64"/>
      <c r="Y93" s="64"/>
      <c r="Z93" s="64"/>
      <c r="AA93" s="64"/>
      <c r="AB93" s="64"/>
      <c r="AC93" s="64"/>
      <c r="AD93" s="64"/>
      <c r="AE93" s="64" t="s">
        <v>1787</v>
      </c>
      <c r="AF93" s="64"/>
      <c r="AG93" s="64"/>
      <c r="AH93" s="64"/>
      <c r="AI93" s="70"/>
      <c r="AJ93" s="64"/>
      <c r="AK93" s="64"/>
      <c r="AL93" s="64"/>
      <c r="AM93" s="64"/>
      <c r="AN93" s="70"/>
      <c r="AO93" s="70"/>
      <c r="AP93" s="64"/>
      <c r="AQ93" s="64"/>
      <c r="AR93" s="64"/>
      <c r="AS93" s="64"/>
      <c r="AT93" s="64" t="s">
        <v>1770</v>
      </c>
      <c r="AU93" s="69" t="str">
        <f t="shared" si="2"/>
        <v>P3 placesVerrouillage centralisé à distanceVitres électriquesRétroviseurs électriques et dégivrantsAirbag conducteur / Double airbag passagerPack Techno 7'' (C7D) : Ecran 7'' couleur avec Apple CarPlay® et Android Auto™ sans fil - Double port USBBluetoothSiège conducteur avec réglage en hauteur, réglagle lombaire et accoudoirCaméra de reculRégulateur et limiteur de vitesseClimatisation manuelleCapteur de pression des pneumatiques (TPMS indirect)Pack Access SAMSARA</v>
      </c>
      <c r="AV93" s="96"/>
      <c r="AW93" s="96"/>
      <c r="AX93" s="96"/>
      <c r="AY93" s="96"/>
      <c r="AZ93" s="96"/>
      <c r="BA93" s="96"/>
      <c r="BB93" s="96"/>
      <c r="BC93" s="96"/>
      <c r="BD93" s="96"/>
      <c r="BE93" s="96"/>
      <c r="BF93" s="96"/>
      <c r="BG93" s="96"/>
      <c r="BH93" s="96"/>
    </row>
    <row r="94" spans="1:60" s="96" customFormat="1" ht="45" outlineLevel="1" x14ac:dyDescent="0.25">
      <c r="A94" s="64" t="s">
        <v>1229</v>
      </c>
      <c r="B94" s="64" t="s">
        <v>32</v>
      </c>
      <c r="C94" s="64" t="s">
        <v>1777</v>
      </c>
      <c r="D94" s="64"/>
      <c r="E94" s="64" t="s">
        <v>402</v>
      </c>
      <c r="F94" s="64" t="s">
        <v>1761</v>
      </c>
      <c r="G94" s="64" t="s">
        <v>406</v>
      </c>
      <c r="H94" s="64" t="s">
        <v>1784</v>
      </c>
      <c r="I94" s="64" t="s">
        <v>1785</v>
      </c>
      <c r="J94" s="64" t="s">
        <v>404</v>
      </c>
      <c r="K94" s="64" t="s">
        <v>1786</v>
      </c>
      <c r="L94" s="64" t="s">
        <v>401</v>
      </c>
      <c r="M94" s="69" t="s">
        <v>400</v>
      </c>
      <c r="N94" s="64" t="s">
        <v>1765</v>
      </c>
      <c r="O94" s="64"/>
      <c r="P94" s="64"/>
      <c r="Q94" s="64"/>
      <c r="R94" s="64"/>
      <c r="S94" s="64"/>
      <c r="T94" s="64"/>
      <c r="U94" s="64" t="s">
        <v>399</v>
      </c>
      <c r="V94" s="64"/>
      <c r="W94" s="64"/>
      <c r="X94" s="64"/>
      <c r="Y94" s="64"/>
      <c r="Z94" s="64"/>
      <c r="AA94" s="64"/>
      <c r="AB94" s="64"/>
      <c r="AC94" s="64"/>
      <c r="AD94" s="64"/>
      <c r="AE94" s="64" t="s">
        <v>1787</v>
      </c>
      <c r="AF94" s="64"/>
      <c r="AG94" s="64"/>
      <c r="AH94" s="64"/>
      <c r="AI94" s="70"/>
      <c r="AJ94" s="64"/>
      <c r="AK94" s="64"/>
      <c r="AL94" s="64"/>
      <c r="AM94" s="64"/>
      <c r="AN94" s="70"/>
      <c r="AO94" s="70"/>
      <c r="AP94" s="64"/>
      <c r="AQ94" s="64"/>
      <c r="AR94" s="64"/>
      <c r="AS94" s="64"/>
      <c r="AT94" s="64" t="s">
        <v>403</v>
      </c>
      <c r="AU94" s="69" t="str">
        <f t="shared" si="2"/>
        <v>P3 placesVerrouillage centralisé à distanceVitres électriquesRétroviseurs électriques et dégivrantsAirbag conducteur / Double airbag passagerPack Techno 7'' (C7D) : Ecran 7'' couleur avec Apple CarPlay® et Android Auto™ sans fil - Double port USBBluetoothSiège conducteur avec réglage en hauteur, réglagle lombaire et accoudoirRadars de reculCaméra de reculRégulateur et limiteur de vitesseClimatisation manuelleCapteur de pression des pneumatiques (TPMS indirect)Pré-équipement télématique</v>
      </c>
    </row>
    <row r="95" spans="1:60" s="96" customFormat="1" ht="45" outlineLevel="1" x14ac:dyDescent="0.25">
      <c r="A95" s="64" t="s">
        <v>1245</v>
      </c>
      <c r="B95" s="64" t="s">
        <v>32</v>
      </c>
      <c r="C95" s="64" t="s">
        <v>1777</v>
      </c>
      <c r="D95" s="64"/>
      <c r="E95" s="64" t="s">
        <v>402</v>
      </c>
      <c r="F95" s="64" t="s">
        <v>1761</v>
      </c>
      <c r="G95" s="64" t="s">
        <v>406</v>
      </c>
      <c r="H95" s="64" t="s">
        <v>1784</v>
      </c>
      <c r="I95" s="64" t="s">
        <v>1785</v>
      </c>
      <c r="J95" s="64" t="s">
        <v>404</v>
      </c>
      <c r="K95" s="64" t="s">
        <v>1786</v>
      </c>
      <c r="L95" s="64" t="s">
        <v>401</v>
      </c>
      <c r="M95" s="69" t="s">
        <v>400</v>
      </c>
      <c r="N95" s="64" t="s">
        <v>1765</v>
      </c>
      <c r="O95" s="64"/>
      <c r="P95" s="64"/>
      <c r="Q95" s="64"/>
      <c r="R95" s="64"/>
      <c r="S95" s="64"/>
      <c r="T95" s="64"/>
      <c r="U95" s="64" t="s">
        <v>399</v>
      </c>
      <c r="V95" s="64"/>
      <c r="W95" s="64"/>
      <c r="X95" s="64"/>
      <c r="Y95" s="64"/>
      <c r="Z95" s="64"/>
      <c r="AA95" s="64"/>
      <c r="AB95" s="64"/>
      <c r="AC95" s="64"/>
      <c r="AD95" s="64"/>
      <c r="AE95" s="64" t="s">
        <v>1787</v>
      </c>
      <c r="AF95" s="64"/>
      <c r="AG95" s="64"/>
      <c r="AH95" s="64"/>
      <c r="AI95" s="70"/>
      <c r="AJ95" s="64"/>
      <c r="AK95" s="64"/>
      <c r="AL95" s="64"/>
      <c r="AM95" s="64"/>
      <c r="AN95" s="70"/>
      <c r="AO95" s="70"/>
      <c r="AP95" s="64"/>
      <c r="AQ95" s="64"/>
      <c r="AR95" s="64"/>
      <c r="AS95" s="64"/>
      <c r="AT95" s="64" t="s">
        <v>403</v>
      </c>
      <c r="AU95" s="69" t="str">
        <f t="shared" si="2"/>
        <v>P3 placesVerrouillage centralisé à distanceVitres électriquesRétroviseurs électriques et dégivrantsAirbag conducteur / Double airbag passagerPack Techno 7'' (C7D) : Ecran 7'' couleur avec Apple CarPlay® et Android Auto™ sans fil - Double port USBBluetoothSiège conducteur avec réglage en hauteur, réglagle lombaire et accoudoirRadars de reculCaméra de reculRégulateur et limiteur de vitesseClimatisation manuelleCapteur de pression des pneumatiques (TPMS indirect)Pré-équipement télématique</v>
      </c>
    </row>
    <row r="96" spans="1:60" s="96" customFormat="1" ht="45" outlineLevel="1" x14ac:dyDescent="0.25">
      <c r="A96" s="64" t="s">
        <v>1253</v>
      </c>
      <c r="B96" s="64" t="s">
        <v>32</v>
      </c>
      <c r="C96" s="64" t="s">
        <v>1777</v>
      </c>
      <c r="D96" s="64"/>
      <c r="E96" s="64" t="s">
        <v>402</v>
      </c>
      <c r="F96" s="64" t="s">
        <v>1761</v>
      </c>
      <c r="G96" s="64" t="s">
        <v>406</v>
      </c>
      <c r="H96" s="64" t="s">
        <v>1784</v>
      </c>
      <c r="I96" s="64" t="s">
        <v>1785</v>
      </c>
      <c r="J96" s="64" t="s">
        <v>404</v>
      </c>
      <c r="K96" s="64" t="s">
        <v>1786</v>
      </c>
      <c r="L96" s="64" t="s">
        <v>401</v>
      </c>
      <c r="M96" s="69" t="s">
        <v>400</v>
      </c>
      <c r="N96" s="64" t="s">
        <v>1765</v>
      </c>
      <c r="O96" s="64"/>
      <c r="P96" s="64"/>
      <c r="Q96" s="64"/>
      <c r="R96" s="64"/>
      <c r="S96" s="64"/>
      <c r="T96" s="64"/>
      <c r="U96" s="64" t="s">
        <v>399</v>
      </c>
      <c r="V96" s="64" t="s">
        <v>1776</v>
      </c>
      <c r="W96" s="64"/>
      <c r="X96" s="64"/>
      <c r="Y96" s="64"/>
      <c r="Z96" s="64"/>
      <c r="AA96" s="64"/>
      <c r="AB96" s="64"/>
      <c r="AC96" s="64"/>
      <c r="AD96" s="64"/>
      <c r="AE96" s="64" t="s">
        <v>1787</v>
      </c>
      <c r="AF96" s="64"/>
      <c r="AG96" s="64"/>
      <c r="AH96" s="64"/>
      <c r="AI96" s="64"/>
      <c r="AJ96" s="64"/>
      <c r="AK96" s="64"/>
      <c r="AL96" s="64"/>
      <c r="AM96" s="64"/>
      <c r="AN96" s="70"/>
      <c r="AO96" s="64"/>
      <c r="AP96" s="64"/>
      <c r="AQ96" s="64"/>
      <c r="AR96" s="64"/>
      <c r="AS96" s="64"/>
      <c r="AT96" s="64" t="s">
        <v>403</v>
      </c>
      <c r="AU96" s="69" t="str">
        <f t="shared" si="2"/>
        <v>P3 placesVerrouillage centralisé à distanceVitres électriquesRétroviseurs électriques et dégivrantsAirbag conducteur / Double airbag passagerPack Techno 7'' (C7D) : Ecran 7'' couleur avec Apple CarPlay® et Android Auto™ sans fil - Double port USBBluetoothSiège conducteur avec réglage en hauteur, réglagle lombaire et accoudoirRadars de reculCaméra de reculRégulateur et limiteur de vitesseClimatisation manuelleDéflecteur de cabine Capteur de pression des pneumatiques (TPMS indirect)Pré-équipement télématique</v>
      </c>
    </row>
    <row r="97" spans="1:60" s="96" customFormat="1" ht="33.75" outlineLevel="1" x14ac:dyDescent="0.25">
      <c r="A97" s="64" t="s">
        <v>1714</v>
      </c>
      <c r="B97" s="64" t="s">
        <v>32</v>
      </c>
      <c r="C97" s="64" t="s">
        <v>1759</v>
      </c>
      <c r="D97" s="64"/>
      <c r="E97" s="64" t="s">
        <v>402</v>
      </c>
      <c r="F97" s="64" t="s">
        <v>1761</v>
      </c>
      <c r="G97" s="64" t="s">
        <v>406</v>
      </c>
      <c r="H97" s="64"/>
      <c r="I97" s="64" t="s">
        <v>1788</v>
      </c>
      <c r="J97" s="64" t="s">
        <v>404</v>
      </c>
      <c r="K97" s="64" t="s">
        <v>1789</v>
      </c>
      <c r="L97" s="64"/>
      <c r="M97" s="69" t="s">
        <v>400</v>
      </c>
      <c r="N97" s="64" t="s">
        <v>542</v>
      </c>
      <c r="O97" s="64"/>
      <c r="P97" s="64"/>
      <c r="Q97" s="64"/>
      <c r="R97" s="64"/>
      <c r="S97" s="64"/>
      <c r="T97" s="64"/>
      <c r="U97" s="64" t="s">
        <v>399</v>
      </c>
      <c r="V97" s="64"/>
      <c r="W97" s="64" t="s">
        <v>408</v>
      </c>
      <c r="X97" s="64" t="s">
        <v>1790</v>
      </c>
      <c r="Y97" s="64"/>
      <c r="Z97" s="64"/>
      <c r="AA97" s="64"/>
      <c r="AB97" s="64"/>
      <c r="AC97" s="64" t="s">
        <v>407</v>
      </c>
      <c r="AD97" s="71"/>
      <c r="AE97" s="71"/>
      <c r="AF97" s="71"/>
      <c r="AG97" s="71"/>
      <c r="AH97" s="64"/>
      <c r="AI97" s="71"/>
      <c r="AJ97" s="71"/>
      <c r="AK97" s="71"/>
      <c r="AL97" s="71"/>
      <c r="AM97" s="71"/>
      <c r="AN97" s="71"/>
      <c r="AO97" s="71"/>
      <c r="AP97" s="69"/>
      <c r="AQ97" s="71"/>
      <c r="AR97" s="71"/>
      <c r="AS97" s="71"/>
      <c r="AT97" s="64" t="s">
        <v>1770</v>
      </c>
      <c r="AU97" s="69" t="str">
        <f t="shared" si="2"/>
        <v>P2 placesVerrouillage centralisé à distanceVitres électriquesRétroviseurs électriques et dégivrantsEcran tactile 7 pouces multimédia avec radio DABBluetoothSiège conducteur suspendu pneumatiqueCaméra de reculRégulateur de vitesseClimatisation manuellePrise FMSRangement ouvert ou coffre sur tunnel moteur ChronotachygraphePack Access SAMSARA</v>
      </c>
    </row>
    <row r="98" spans="1:60" s="96" customFormat="1" ht="33.75" outlineLevel="1" x14ac:dyDescent="0.25">
      <c r="A98" s="64" t="s">
        <v>1401</v>
      </c>
      <c r="B98" s="64" t="s">
        <v>32</v>
      </c>
      <c r="C98" s="64" t="s">
        <v>1759</v>
      </c>
      <c r="D98" s="64"/>
      <c r="E98" s="64" t="s">
        <v>402</v>
      </c>
      <c r="F98" s="64" t="s">
        <v>1761</v>
      </c>
      <c r="G98" s="64" t="s">
        <v>406</v>
      </c>
      <c r="H98" s="64"/>
      <c r="I98" s="64" t="s">
        <v>1788</v>
      </c>
      <c r="J98" s="64" t="s">
        <v>404</v>
      </c>
      <c r="K98" s="64" t="s">
        <v>1789</v>
      </c>
      <c r="L98" s="64"/>
      <c r="M98" s="69" t="s">
        <v>400</v>
      </c>
      <c r="N98" s="64" t="s">
        <v>542</v>
      </c>
      <c r="O98" s="64"/>
      <c r="P98" s="64"/>
      <c r="Q98" s="64"/>
      <c r="R98" s="64"/>
      <c r="S98" s="64"/>
      <c r="T98" s="64"/>
      <c r="U98" s="64" t="s">
        <v>399</v>
      </c>
      <c r="V98" s="64"/>
      <c r="W98" s="64" t="s">
        <v>408</v>
      </c>
      <c r="X98" s="64" t="s">
        <v>1790</v>
      </c>
      <c r="Y98" s="64"/>
      <c r="Z98" s="64"/>
      <c r="AA98" s="64"/>
      <c r="AB98" s="64"/>
      <c r="AC98" s="64" t="s">
        <v>407</v>
      </c>
      <c r="AD98" s="71"/>
      <c r="AE98" s="71"/>
      <c r="AF98" s="71"/>
      <c r="AG98" s="71"/>
      <c r="AH98" s="71"/>
      <c r="AI98" s="71"/>
      <c r="AJ98" s="71"/>
      <c r="AK98" s="71"/>
      <c r="AL98" s="71"/>
      <c r="AM98" s="71"/>
      <c r="AN98" s="71"/>
      <c r="AO98" s="71"/>
      <c r="AP98" s="69"/>
      <c r="AQ98" s="71"/>
      <c r="AR98" s="71"/>
      <c r="AS98" s="71"/>
      <c r="AT98" s="64" t="s">
        <v>403</v>
      </c>
      <c r="AU98" s="69" t="str">
        <f t="shared" si="2"/>
        <v>P2 placesVerrouillage centralisé à distanceVitres électriquesRétroviseurs électriques et dégivrantsEcran tactile 7 pouces multimédia avec radio DABBluetoothSiège conducteur suspendu pneumatiqueCaméra de reculRégulateur de vitesseClimatisation manuellePrise FMSRangement ouvert ou coffre sur tunnel moteur ChronotachygraphePré-équipement télématique</v>
      </c>
    </row>
    <row r="99" spans="1:60" ht="33.75" outlineLevel="1" x14ac:dyDescent="0.25">
      <c r="A99" s="64" t="s">
        <v>1454</v>
      </c>
      <c r="B99" s="64" t="s">
        <v>32</v>
      </c>
      <c r="C99" s="64" t="s">
        <v>1759</v>
      </c>
      <c r="D99" s="64"/>
      <c r="E99" s="64" t="s">
        <v>402</v>
      </c>
      <c r="F99" s="64" t="s">
        <v>1761</v>
      </c>
      <c r="G99" s="64" t="s">
        <v>406</v>
      </c>
      <c r="H99" s="64"/>
      <c r="I99" s="64" t="s">
        <v>1788</v>
      </c>
      <c r="J99" s="64" t="s">
        <v>404</v>
      </c>
      <c r="K99" s="64" t="s">
        <v>1789</v>
      </c>
      <c r="L99" s="64"/>
      <c r="M99" s="69" t="s">
        <v>400</v>
      </c>
      <c r="N99" s="64" t="s">
        <v>1791</v>
      </c>
      <c r="O99" s="64"/>
      <c r="P99" s="64"/>
      <c r="Q99" s="64"/>
      <c r="R99" s="64"/>
      <c r="S99" s="64"/>
      <c r="T99" s="64"/>
      <c r="U99" s="64" t="s">
        <v>399</v>
      </c>
      <c r="V99" s="64"/>
      <c r="W99" s="64" t="s">
        <v>408</v>
      </c>
      <c r="X99" s="64" t="s">
        <v>1790</v>
      </c>
      <c r="Y99" s="64"/>
      <c r="Z99" s="64"/>
      <c r="AA99" s="64"/>
      <c r="AB99" s="64"/>
      <c r="AC99" s="64" t="s">
        <v>407</v>
      </c>
      <c r="AD99" s="71"/>
      <c r="AE99" s="71"/>
      <c r="AF99" s="71"/>
      <c r="AG99" s="71"/>
      <c r="AH99" s="71"/>
      <c r="AI99" s="71"/>
      <c r="AJ99" s="71"/>
      <c r="AK99" s="71"/>
      <c r="AL99" s="71"/>
      <c r="AM99" s="71"/>
      <c r="AN99" s="71"/>
      <c r="AO99" s="71"/>
      <c r="AP99" s="69"/>
      <c r="AQ99" s="71"/>
      <c r="AR99" s="71"/>
      <c r="AS99" s="64"/>
      <c r="AT99" s="64" t="s">
        <v>403</v>
      </c>
      <c r="AU99" s="69" t="str">
        <f t="shared" si="2"/>
        <v>P2 placesVerrouillage centralisé à distanceVitres électriquesRétroviseurs électriques et dégivrantsEcran tactile 7 pouces multimédia avec radio DABBluetoothSiège conducteur suspendu pneumatiqueCaméra de reculRégulateur de vitesse adaptatifClimatisation manuellePrise FMSRangement ouvert ou coffre sur tunnel moteur ChronotachygraphePré-équipement télématique</v>
      </c>
      <c r="AV99" s="96"/>
      <c r="AW99" s="96"/>
      <c r="AX99" s="96"/>
      <c r="AY99" s="96"/>
      <c r="AZ99" s="96"/>
      <c r="BA99" s="96"/>
      <c r="BB99" s="96"/>
      <c r="BC99" s="96"/>
      <c r="BD99" s="96"/>
      <c r="BE99" s="96"/>
      <c r="BF99" s="96"/>
      <c r="BG99" s="96"/>
      <c r="BH99" s="96"/>
    </row>
    <row r="100" spans="1:60" ht="33.75" outlineLevel="1" x14ac:dyDescent="0.25">
      <c r="A100" s="64" t="s">
        <v>1720</v>
      </c>
      <c r="B100" s="64" t="s">
        <v>32</v>
      </c>
      <c r="C100" s="64" t="s">
        <v>1777</v>
      </c>
      <c r="D100" s="64"/>
      <c r="E100" s="64" t="s">
        <v>402</v>
      </c>
      <c r="F100" s="64" t="s">
        <v>1761</v>
      </c>
      <c r="G100" s="64" t="s">
        <v>406</v>
      </c>
      <c r="H100" s="64"/>
      <c r="I100" s="64" t="s">
        <v>1788</v>
      </c>
      <c r="J100" s="64" t="s">
        <v>404</v>
      </c>
      <c r="K100" s="64" t="s">
        <v>1789</v>
      </c>
      <c r="L100" s="64"/>
      <c r="M100" s="69" t="s">
        <v>400</v>
      </c>
      <c r="N100" s="64" t="s">
        <v>542</v>
      </c>
      <c r="O100" s="64"/>
      <c r="P100" s="64"/>
      <c r="Q100" s="64"/>
      <c r="R100" s="64"/>
      <c r="S100" s="64"/>
      <c r="T100" s="64"/>
      <c r="U100" s="64" t="s">
        <v>399</v>
      </c>
      <c r="V100" s="64"/>
      <c r="W100" s="64" t="s">
        <v>408</v>
      </c>
      <c r="X100" s="64" t="s">
        <v>1790</v>
      </c>
      <c r="Y100" s="64"/>
      <c r="Z100" s="64"/>
      <c r="AA100" s="64"/>
      <c r="AB100" s="64"/>
      <c r="AC100" s="64" t="s">
        <v>407</v>
      </c>
      <c r="AD100" s="71"/>
      <c r="AE100" s="71"/>
      <c r="AF100" s="71"/>
      <c r="AG100" s="71"/>
      <c r="AH100" s="64"/>
      <c r="AI100" s="71"/>
      <c r="AJ100" s="71"/>
      <c r="AK100" s="71"/>
      <c r="AL100" s="71"/>
      <c r="AM100" s="64"/>
      <c r="AN100" s="70"/>
      <c r="AO100" s="70"/>
      <c r="AP100" s="71"/>
      <c r="AQ100" s="71"/>
      <c r="AR100" s="71"/>
      <c r="AS100" s="71"/>
      <c r="AT100" s="64" t="s">
        <v>1770</v>
      </c>
      <c r="AU100" s="69" t="str">
        <f t="shared" si="2"/>
        <v>P3 placesVerrouillage centralisé à distanceVitres électriquesRétroviseurs électriques et dégivrantsEcran tactile 7 pouces multimédia avec radio DABBluetoothSiège conducteur suspendu pneumatiqueCaméra de reculRégulateur de vitesseClimatisation manuellePrise FMSRangement ouvert ou coffre sur tunnel moteur ChronotachygraphePack Access SAMSARA</v>
      </c>
      <c r="AV100" s="96"/>
      <c r="AW100" s="96"/>
      <c r="AX100" s="96"/>
      <c r="AY100" s="96"/>
      <c r="AZ100" s="96"/>
      <c r="BA100" s="96"/>
      <c r="BB100" s="96"/>
      <c r="BC100" s="96"/>
      <c r="BD100" s="96"/>
      <c r="BE100" s="96"/>
      <c r="BF100" s="96"/>
      <c r="BG100" s="96"/>
      <c r="BH100" s="96"/>
    </row>
    <row r="101" spans="1:60" ht="33.75" outlineLevel="1" x14ac:dyDescent="0.25">
      <c r="A101" s="64" t="s">
        <v>1731</v>
      </c>
      <c r="B101" s="64" t="s">
        <v>32</v>
      </c>
      <c r="C101" s="64" t="s">
        <v>1759</v>
      </c>
      <c r="D101" s="64"/>
      <c r="E101" s="64" t="s">
        <v>402</v>
      </c>
      <c r="F101" s="64" t="s">
        <v>1761</v>
      </c>
      <c r="G101" s="64" t="s">
        <v>406</v>
      </c>
      <c r="H101" s="64"/>
      <c r="I101" s="64" t="s">
        <v>412</v>
      </c>
      <c r="J101" s="64" t="s">
        <v>404</v>
      </c>
      <c r="K101" s="64" t="s">
        <v>1789</v>
      </c>
      <c r="L101" s="64"/>
      <c r="M101" s="69" t="s">
        <v>400</v>
      </c>
      <c r="N101" s="64" t="s">
        <v>542</v>
      </c>
      <c r="O101" s="64"/>
      <c r="P101" s="64"/>
      <c r="Q101" s="64"/>
      <c r="R101" s="64"/>
      <c r="S101" s="64"/>
      <c r="T101" s="64"/>
      <c r="U101" s="64" t="s">
        <v>399</v>
      </c>
      <c r="V101" s="64"/>
      <c r="W101" s="64" t="s">
        <v>408</v>
      </c>
      <c r="X101" s="64" t="s">
        <v>1790</v>
      </c>
      <c r="Y101" s="64"/>
      <c r="Z101" s="64"/>
      <c r="AA101" s="64"/>
      <c r="AB101" s="64"/>
      <c r="AC101" s="64" t="s">
        <v>407</v>
      </c>
      <c r="AD101" s="71"/>
      <c r="AE101" s="71"/>
      <c r="AF101" s="71"/>
      <c r="AG101" s="71"/>
      <c r="AH101" s="64"/>
      <c r="AI101" s="71"/>
      <c r="AJ101" s="71"/>
      <c r="AK101" s="71"/>
      <c r="AL101" s="71"/>
      <c r="AM101" s="71"/>
      <c r="AN101" s="71"/>
      <c r="AO101" s="71"/>
      <c r="AP101" s="69"/>
      <c r="AQ101" s="71"/>
      <c r="AR101" s="71"/>
      <c r="AS101" s="71"/>
      <c r="AT101" s="64" t="s">
        <v>1770</v>
      </c>
      <c r="AU101" s="69" t="str">
        <f t="shared" si="2"/>
        <v>P2 placesVerrouillage centralisé à distanceVitres électriquesRétroviseurs électriques et dégivrantsRadioBluetoothSiège conducteur suspendu pneumatiqueCaméra de reculRégulateur de vitesseClimatisation manuellePrise FMSRangement ouvert ou coffre sur tunnel moteur ChronotachygraphePack Access SAMSARA</v>
      </c>
      <c r="AV101" s="96"/>
      <c r="AW101" s="96"/>
      <c r="AX101" s="96"/>
      <c r="AY101" s="96"/>
      <c r="AZ101" s="96"/>
      <c r="BA101" s="96"/>
      <c r="BB101" s="96"/>
      <c r="BC101" s="96"/>
      <c r="BD101" s="96"/>
      <c r="BE101" s="96"/>
      <c r="BF101" s="96"/>
      <c r="BG101" s="96"/>
      <c r="BH101" s="96"/>
    </row>
    <row r="102" spans="1:60" ht="33.75" outlineLevel="1" x14ac:dyDescent="0.25">
      <c r="A102" s="64" t="s">
        <v>1546</v>
      </c>
      <c r="B102" s="64" t="s">
        <v>32</v>
      </c>
      <c r="C102" s="64" t="s">
        <v>1759</v>
      </c>
      <c r="D102" s="64"/>
      <c r="E102" s="64" t="s">
        <v>402</v>
      </c>
      <c r="F102" s="64" t="s">
        <v>1761</v>
      </c>
      <c r="G102" s="64" t="s">
        <v>406</v>
      </c>
      <c r="H102" s="64"/>
      <c r="I102" s="64" t="s">
        <v>412</v>
      </c>
      <c r="J102" s="64" t="s">
        <v>404</v>
      </c>
      <c r="K102" s="64" t="s">
        <v>1789</v>
      </c>
      <c r="L102" s="64"/>
      <c r="M102" s="69" t="s">
        <v>400</v>
      </c>
      <c r="N102" s="64" t="s">
        <v>542</v>
      </c>
      <c r="O102" s="64"/>
      <c r="P102" s="64"/>
      <c r="Q102" s="64"/>
      <c r="R102" s="64"/>
      <c r="S102" s="64"/>
      <c r="T102" s="64"/>
      <c r="U102" s="64" t="s">
        <v>399</v>
      </c>
      <c r="V102" s="64"/>
      <c r="W102" s="64" t="s">
        <v>408</v>
      </c>
      <c r="X102" s="64" t="s">
        <v>1790</v>
      </c>
      <c r="Y102" s="64"/>
      <c r="Z102" s="64"/>
      <c r="AA102" s="64"/>
      <c r="AB102" s="64"/>
      <c r="AC102" s="64" t="s">
        <v>407</v>
      </c>
      <c r="AD102" s="71"/>
      <c r="AE102" s="71"/>
      <c r="AF102" s="71"/>
      <c r="AG102" s="71"/>
      <c r="AH102" s="71"/>
      <c r="AI102" s="71"/>
      <c r="AJ102" s="71"/>
      <c r="AK102" s="71"/>
      <c r="AL102" s="71"/>
      <c r="AM102" s="71"/>
      <c r="AN102" s="71"/>
      <c r="AO102" s="71"/>
      <c r="AP102" s="69"/>
      <c r="AQ102" s="71"/>
      <c r="AR102" s="71"/>
      <c r="AS102" s="71"/>
      <c r="AT102" s="64" t="s">
        <v>403</v>
      </c>
      <c r="AU102" s="69" t="str">
        <f t="shared" si="2"/>
        <v>P2 placesVerrouillage centralisé à distanceVitres électriquesRétroviseurs électriques et dégivrantsRadioBluetoothSiège conducteur suspendu pneumatiqueCaméra de reculRégulateur de vitesseClimatisation manuellePrise FMSRangement ouvert ou coffre sur tunnel moteur ChronotachygraphePré-équipement télématique</v>
      </c>
      <c r="AV102" s="96"/>
      <c r="AW102" s="96"/>
      <c r="AX102" s="96"/>
      <c r="AY102" s="96"/>
      <c r="AZ102" s="96"/>
      <c r="BA102" s="96"/>
      <c r="BB102" s="96"/>
      <c r="BC102" s="96"/>
      <c r="BD102" s="96"/>
      <c r="BE102" s="96"/>
      <c r="BF102" s="96"/>
      <c r="BG102" s="96"/>
      <c r="BH102" s="96"/>
    </row>
    <row r="103" spans="1:60" ht="33.75" outlineLevel="1" x14ac:dyDescent="0.25">
      <c r="A103" s="64" t="s">
        <v>1581</v>
      </c>
      <c r="B103" s="64" t="s">
        <v>32</v>
      </c>
      <c r="C103" s="64" t="s">
        <v>1759</v>
      </c>
      <c r="D103" s="64"/>
      <c r="E103" s="64" t="s">
        <v>402</v>
      </c>
      <c r="F103" s="64" t="s">
        <v>1761</v>
      </c>
      <c r="G103" s="64" t="s">
        <v>1792</v>
      </c>
      <c r="H103" s="64"/>
      <c r="I103" s="64" t="s">
        <v>412</v>
      </c>
      <c r="J103" s="64" t="s">
        <v>404</v>
      </c>
      <c r="K103" s="64" t="s">
        <v>1793</v>
      </c>
      <c r="L103" s="64"/>
      <c r="M103" s="69" t="s">
        <v>400</v>
      </c>
      <c r="N103" s="64" t="s">
        <v>1791</v>
      </c>
      <c r="O103" s="64"/>
      <c r="P103" s="64"/>
      <c r="Q103" s="64"/>
      <c r="R103" s="64"/>
      <c r="S103" s="64"/>
      <c r="T103" s="64"/>
      <c r="U103" s="64" t="s">
        <v>399</v>
      </c>
      <c r="V103" s="64"/>
      <c r="W103" s="64" t="s">
        <v>408</v>
      </c>
      <c r="X103" s="64" t="s">
        <v>1790</v>
      </c>
      <c r="Y103" s="64"/>
      <c r="Z103" s="64"/>
      <c r="AA103" s="64"/>
      <c r="AB103" s="64"/>
      <c r="AC103" s="64" t="s">
        <v>407</v>
      </c>
      <c r="AD103" s="71"/>
      <c r="AE103" s="71" t="s">
        <v>1794</v>
      </c>
      <c r="AF103" s="71"/>
      <c r="AG103" s="71"/>
      <c r="AH103" s="71"/>
      <c r="AI103" s="71"/>
      <c r="AJ103" s="71"/>
      <c r="AK103" s="71"/>
      <c r="AL103" s="71"/>
      <c r="AM103" s="71"/>
      <c r="AN103" s="71"/>
      <c r="AO103" s="71"/>
      <c r="AP103" s="71"/>
      <c r="AQ103" s="71"/>
      <c r="AR103" s="71"/>
      <c r="AS103" s="71"/>
      <c r="AT103" s="64" t="s">
        <v>403</v>
      </c>
      <c r="AU103" s="69" t="str">
        <f t="shared" si="2"/>
        <v>P2 placesVerrouillage centralisé à distanceVitres électriquesRétroviseurs électriques et dégivrants / Pare-brise chauffantRadioBluetoothSiège conducteur suspendu pneumatique et chauffantCaméra de reculRégulateur de vitesse adaptatifClimatisation manuellePrise FMSRangement ouvert ou coffre sur tunnel moteur ChronotachygraphePorte vision côté passagerPré-équipement télématique</v>
      </c>
      <c r="AV103" s="96"/>
      <c r="AW103" s="96"/>
      <c r="AX103" s="96"/>
      <c r="AY103" s="96"/>
      <c r="AZ103" s="96"/>
      <c r="BA103" s="96"/>
      <c r="BB103" s="96"/>
      <c r="BC103" s="96"/>
      <c r="BD103" s="96"/>
      <c r="BE103" s="96"/>
      <c r="BF103" s="96"/>
      <c r="BG103" s="96"/>
      <c r="BH103" s="96"/>
    </row>
    <row r="104" spans="1:60" ht="33.75" outlineLevel="1" x14ac:dyDescent="0.25">
      <c r="A104" s="64" t="s">
        <v>1736</v>
      </c>
      <c r="B104" s="64" t="s">
        <v>32</v>
      </c>
      <c r="C104" s="64" t="s">
        <v>1777</v>
      </c>
      <c r="D104" s="64"/>
      <c r="E104" s="64" t="s">
        <v>402</v>
      </c>
      <c r="F104" s="64" t="s">
        <v>1761</v>
      </c>
      <c r="G104" s="64" t="s">
        <v>406</v>
      </c>
      <c r="H104" s="64"/>
      <c r="I104" s="64" t="s">
        <v>412</v>
      </c>
      <c r="J104" s="64" t="s">
        <v>404</v>
      </c>
      <c r="K104" s="64" t="s">
        <v>1789</v>
      </c>
      <c r="L104" s="64"/>
      <c r="M104" s="69" t="s">
        <v>400</v>
      </c>
      <c r="N104" s="64" t="s">
        <v>542</v>
      </c>
      <c r="O104" s="64"/>
      <c r="P104" s="64"/>
      <c r="Q104" s="64"/>
      <c r="R104" s="64"/>
      <c r="S104" s="64"/>
      <c r="T104" s="64"/>
      <c r="U104" s="64" t="s">
        <v>399</v>
      </c>
      <c r="V104" s="64"/>
      <c r="W104" s="64" t="s">
        <v>408</v>
      </c>
      <c r="X104" s="64" t="s">
        <v>1790</v>
      </c>
      <c r="Y104" s="64"/>
      <c r="Z104" s="64"/>
      <c r="AA104" s="64"/>
      <c r="AB104" s="64"/>
      <c r="AC104" s="64" t="s">
        <v>407</v>
      </c>
      <c r="AD104" s="71"/>
      <c r="AE104" s="71"/>
      <c r="AF104" s="71"/>
      <c r="AG104" s="71"/>
      <c r="AH104" s="64"/>
      <c r="AI104" s="71"/>
      <c r="AJ104" s="71"/>
      <c r="AK104" s="71"/>
      <c r="AL104" s="71"/>
      <c r="AM104" s="64"/>
      <c r="AN104" s="71"/>
      <c r="AO104" s="70"/>
      <c r="AP104" s="71"/>
      <c r="AQ104" s="71"/>
      <c r="AR104" s="71"/>
      <c r="AS104" s="71"/>
      <c r="AT104" s="64" t="s">
        <v>1770</v>
      </c>
      <c r="AU104" s="69" t="str">
        <f t="shared" si="2"/>
        <v>P3 placesVerrouillage centralisé à distanceVitres électriquesRétroviseurs électriques et dégivrantsRadioBluetoothSiège conducteur suspendu pneumatiqueCaméra de reculRégulateur de vitesseClimatisation manuellePrise FMSRangement ouvert ou coffre sur tunnel moteur ChronotachygraphePack Access SAMSARA</v>
      </c>
      <c r="AV104" s="96"/>
      <c r="AW104" s="96"/>
      <c r="AX104" s="96"/>
      <c r="AY104" s="96"/>
      <c r="AZ104" s="96"/>
      <c r="BA104" s="96"/>
      <c r="BB104" s="96"/>
      <c r="BC104" s="96"/>
      <c r="BD104" s="96"/>
      <c r="BE104" s="96"/>
      <c r="BF104" s="96"/>
      <c r="BG104" s="96"/>
      <c r="BH104" s="96"/>
    </row>
    <row r="105" spans="1:60" ht="33.75" outlineLevel="1" x14ac:dyDescent="0.25">
      <c r="A105" s="64" t="s">
        <v>1745</v>
      </c>
      <c r="B105" s="64" t="s">
        <v>32</v>
      </c>
      <c r="C105" s="64" t="s">
        <v>1759</v>
      </c>
      <c r="D105" s="64"/>
      <c r="E105" s="64" t="s">
        <v>402</v>
      </c>
      <c r="F105" s="64" t="s">
        <v>1761</v>
      </c>
      <c r="G105" s="64" t="s">
        <v>406</v>
      </c>
      <c r="H105" s="64"/>
      <c r="I105" s="64" t="s">
        <v>412</v>
      </c>
      <c r="J105" s="64" t="s">
        <v>404</v>
      </c>
      <c r="K105" s="64" t="s">
        <v>1789</v>
      </c>
      <c r="L105" s="64"/>
      <c r="M105" s="69" t="s">
        <v>400</v>
      </c>
      <c r="N105" s="64" t="s">
        <v>542</v>
      </c>
      <c r="O105" s="64"/>
      <c r="P105" s="64"/>
      <c r="Q105" s="64"/>
      <c r="R105" s="64"/>
      <c r="S105" s="64"/>
      <c r="T105" s="64"/>
      <c r="U105" s="64" t="s">
        <v>399</v>
      </c>
      <c r="V105" s="64"/>
      <c r="W105" s="64" t="s">
        <v>408</v>
      </c>
      <c r="X105" s="64" t="s">
        <v>1795</v>
      </c>
      <c r="Y105" s="64"/>
      <c r="Z105" s="64"/>
      <c r="AA105" s="64"/>
      <c r="AB105" s="64"/>
      <c r="AC105" s="64" t="s">
        <v>407</v>
      </c>
      <c r="AD105" s="64"/>
      <c r="AE105" s="64"/>
      <c r="AF105" s="64"/>
      <c r="AG105" s="64"/>
      <c r="AH105" s="64"/>
      <c r="AI105" s="64"/>
      <c r="AJ105" s="64"/>
      <c r="AK105" s="64"/>
      <c r="AL105" s="64"/>
      <c r="AM105" s="64"/>
      <c r="AN105" s="64"/>
      <c r="AO105" s="64"/>
      <c r="AP105" s="69"/>
      <c r="AQ105" s="64"/>
      <c r="AR105" s="64"/>
      <c r="AS105" s="64"/>
      <c r="AT105" s="64" t="s">
        <v>1770</v>
      </c>
      <c r="AU105" s="69" t="str">
        <f t="shared" si="2"/>
        <v>P2 placesVerrouillage centralisé à distanceVitres électriquesRétroviseurs électriques et dégivrantsRadioBluetoothSiège conducteur suspendu pneumatiqueCaméra de reculRégulateur de vitesseClimatisation manuellePrise FMSCoffre sur tunnel moteurChronotachygraphePack Access SAMSARA</v>
      </c>
      <c r="AV105" s="96"/>
      <c r="AW105" s="96"/>
      <c r="AX105" s="96"/>
      <c r="AY105" s="96"/>
      <c r="AZ105" s="96"/>
      <c r="BA105" s="96"/>
      <c r="BB105" s="96"/>
      <c r="BC105" s="96"/>
      <c r="BD105" s="96"/>
      <c r="BE105" s="96"/>
      <c r="BF105" s="96"/>
      <c r="BG105" s="96"/>
      <c r="BH105" s="96"/>
    </row>
    <row r="106" spans="1:60" ht="33.75" outlineLevel="1" x14ac:dyDescent="0.25">
      <c r="A106" s="64" t="s">
        <v>1591</v>
      </c>
      <c r="B106" s="64" t="s">
        <v>32</v>
      </c>
      <c r="C106" s="64" t="s">
        <v>1759</v>
      </c>
      <c r="D106" s="64"/>
      <c r="E106" s="64" t="s">
        <v>402</v>
      </c>
      <c r="F106" s="64" t="s">
        <v>1761</v>
      </c>
      <c r="G106" s="64" t="s">
        <v>406</v>
      </c>
      <c r="H106" s="64"/>
      <c r="I106" s="64" t="s">
        <v>412</v>
      </c>
      <c r="J106" s="64" t="s">
        <v>404</v>
      </c>
      <c r="K106" s="64" t="s">
        <v>1789</v>
      </c>
      <c r="L106" s="64"/>
      <c r="M106" s="69" t="s">
        <v>400</v>
      </c>
      <c r="N106" s="64" t="s">
        <v>542</v>
      </c>
      <c r="O106" s="64"/>
      <c r="P106" s="64"/>
      <c r="Q106" s="64"/>
      <c r="R106" s="64"/>
      <c r="S106" s="64"/>
      <c r="T106" s="64"/>
      <c r="U106" s="64" t="s">
        <v>399</v>
      </c>
      <c r="V106" s="64"/>
      <c r="W106" s="64" t="s">
        <v>408</v>
      </c>
      <c r="X106" s="64" t="s">
        <v>1795</v>
      </c>
      <c r="Y106" s="64"/>
      <c r="Z106" s="64"/>
      <c r="AA106" s="64"/>
      <c r="AB106" s="64"/>
      <c r="AC106" s="64" t="s">
        <v>407</v>
      </c>
      <c r="AD106" s="64"/>
      <c r="AE106" s="64"/>
      <c r="AF106" s="64"/>
      <c r="AG106" s="64"/>
      <c r="AH106" s="64"/>
      <c r="AI106" s="64"/>
      <c r="AJ106" s="64"/>
      <c r="AK106" s="64"/>
      <c r="AL106" s="64"/>
      <c r="AM106" s="64"/>
      <c r="AN106" s="64"/>
      <c r="AO106" s="64"/>
      <c r="AP106" s="69"/>
      <c r="AQ106" s="64"/>
      <c r="AR106" s="64"/>
      <c r="AS106" s="64"/>
      <c r="AT106" s="64" t="s">
        <v>403</v>
      </c>
      <c r="AU106" s="69" t="str">
        <f t="shared" si="2"/>
        <v>P2 placesVerrouillage centralisé à distanceVitres électriquesRétroviseurs électriques et dégivrantsRadioBluetoothSiège conducteur suspendu pneumatiqueCaméra de reculRégulateur de vitesseClimatisation manuellePrise FMSCoffre sur tunnel moteurChronotachygraphePré-équipement télématique</v>
      </c>
      <c r="AV106" s="96"/>
      <c r="AW106" s="96"/>
      <c r="AX106" s="96"/>
      <c r="AY106" s="96"/>
      <c r="AZ106" s="96"/>
      <c r="BA106" s="96"/>
      <c r="BB106" s="96"/>
      <c r="BC106" s="96"/>
      <c r="BD106" s="96"/>
      <c r="BE106" s="96"/>
      <c r="BF106" s="96"/>
      <c r="BG106" s="96"/>
      <c r="BH106" s="96"/>
    </row>
    <row r="107" spans="1:60" ht="33.75" outlineLevel="1" x14ac:dyDescent="0.25">
      <c r="A107" s="64" t="s">
        <v>1749</v>
      </c>
      <c r="B107" s="64" t="s">
        <v>32</v>
      </c>
      <c r="C107" s="64" t="s">
        <v>1777</v>
      </c>
      <c r="D107" s="64"/>
      <c r="E107" s="64" t="s">
        <v>402</v>
      </c>
      <c r="F107" s="64" t="s">
        <v>1761</v>
      </c>
      <c r="G107" s="64" t="s">
        <v>406</v>
      </c>
      <c r="H107" s="64"/>
      <c r="I107" s="64" t="s">
        <v>412</v>
      </c>
      <c r="J107" s="64" t="s">
        <v>404</v>
      </c>
      <c r="K107" s="64" t="s">
        <v>1789</v>
      </c>
      <c r="L107" s="64"/>
      <c r="M107" s="69" t="s">
        <v>400</v>
      </c>
      <c r="N107" s="64" t="s">
        <v>542</v>
      </c>
      <c r="O107" s="64"/>
      <c r="P107" s="64"/>
      <c r="Q107" s="64"/>
      <c r="R107" s="64"/>
      <c r="S107" s="64"/>
      <c r="T107" s="64"/>
      <c r="U107" s="64" t="s">
        <v>399</v>
      </c>
      <c r="V107" s="64"/>
      <c r="W107" s="64" t="s">
        <v>408</v>
      </c>
      <c r="X107" s="64" t="s">
        <v>1795</v>
      </c>
      <c r="Y107" s="64"/>
      <c r="Z107" s="64"/>
      <c r="AA107" s="64"/>
      <c r="AB107" s="64"/>
      <c r="AC107" s="64" t="s">
        <v>407</v>
      </c>
      <c r="AD107" s="71"/>
      <c r="AE107" s="71"/>
      <c r="AF107" s="71"/>
      <c r="AG107" s="71"/>
      <c r="AH107" s="64"/>
      <c r="AI107" s="71"/>
      <c r="AJ107" s="71"/>
      <c r="AK107" s="71"/>
      <c r="AL107" s="71"/>
      <c r="AM107" s="64"/>
      <c r="AN107" s="70"/>
      <c r="AO107" s="70"/>
      <c r="AP107" s="71"/>
      <c r="AQ107" s="71"/>
      <c r="AR107" s="71"/>
      <c r="AS107" s="71"/>
      <c r="AT107" s="64" t="s">
        <v>1770</v>
      </c>
      <c r="AU107" s="69" t="str">
        <f t="shared" si="2"/>
        <v>P3 placesVerrouillage centralisé à distanceVitres électriquesRétroviseurs électriques et dégivrantsRadioBluetoothSiège conducteur suspendu pneumatiqueCaméra de reculRégulateur de vitesseClimatisation manuellePrise FMSCoffre sur tunnel moteurChronotachygraphePack Access SAMSARA</v>
      </c>
      <c r="AV107" s="96"/>
      <c r="AW107" s="96"/>
      <c r="AX107" s="96"/>
      <c r="AY107" s="96"/>
      <c r="AZ107" s="96"/>
      <c r="BA107" s="96"/>
      <c r="BB107" s="96"/>
      <c r="BC107" s="96"/>
      <c r="BD107" s="96"/>
      <c r="BE107" s="96"/>
      <c r="BF107" s="96"/>
      <c r="BG107" s="96"/>
      <c r="BH107" s="96"/>
    </row>
    <row r="108" spans="1:60" ht="45" outlineLevel="1" x14ac:dyDescent="0.25">
      <c r="A108" s="64" t="s">
        <v>1753</v>
      </c>
      <c r="B108" s="64" t="s">
        <v>32</v>
      </c>
      <c r="C108" s="64" t="s">
        <v>1759</v>
      </c>
      <c r="D108" s="64"/>
      <c r="E108" s="64" t="s">
        <v>402</v>
      </c>
      <c r="F108" s="64" t="s">
        <v>1761</v>
      </c>
      <c r="G108" s="64" t="s">
        <v>406</v>
      </c>
      <c r="H108" s="64"/>
      <c r="I108" s="64" t="s">
        <v>1796</v>
      </c>
      <c r="J108" s="64" t="s">
        <v>404</v>
      </c>
      <c r="K108" s="64" t="s">
        <v>1789</v>
      </c>
      <c r="L108" s="64"/>
      <c r="M108" s="71"/>
      <c r="N108" s="64" t="s">
        <v>542</v>
      </c>
      <c r="O108" s="64"/>
      <c r="P108" s="64" t="s">
        <v>1797</v>
      </c>
      <c r="Q108" s="64" t="s">
        <v>1798</v>
      </c>
      <c r="R108" s="64" t="s">
        <v>830</v>
      </c>
      <c r="S108" s="64" t="s">
        <v>1799</v>
      </c>
      <c r="T108" s="64" t="s">
        <v>1800</v>
      </c>
      <c r="U108" s="64" t="s">
        <v>1801</v>
      </c>
      <c r="V108" s="64" t="s">
        <v>1802</v>
      </c>
      <c r="W108" s="64" t="s">
        <v>408</v>
      </c>
      <c r="X108" s="64"/>
      <c r="Y108" s="64"/>
      <c r="Z108" s="64"/>
      <c r="AA108" s="64"/>
      <c r="AB108" s="64"/>
      <c r="AC108" s="64" t="s">
        <v>407</v>
      </c>
      <c r="AD108" s="64"/>
      <c r="AE108" s="64"/>
      <c r="AF108" s="64"/>
      <c r="AG108" s="64"/>
      <c r="AH108" s="64"/>
      <c r="AI108" s="64"/>
      <c r="AJ108" s="64"/>
      <c r="AK108" s="64"/>
      <c r="AL108" s="64"/>
      <c r="AM108" s="64"/>
      <c r="AN108" s="64"/>
      <c r="AO108" s="64"/>
      <c r="AP108" s="64"/>
      <c r="AQ108" s="64"/>
      <c r="AR108" s="64"/>
      <c r="AS108" s="64"/>
      <c r="AT108" s="64" t="s">
        <v>1770</v>
      </c>
      <c r="AU108" s="69" t="str">
        <f t="shared" si="2"/>
        <v>P2 placesVerrouillage centralisé à distanceVitres électriquesRétroviseurs électriques et dégivrantsRadio CD/MP3 / USB avec cmde au volantBluetoothSiège conducteur suspendu pneumatiqueRégulateur de vitessePrises 12V et 24VPhares antibrouillard1 couchetteCabine profonde Sleeper CabChauffage autonome air/airClimatisation automatiqueDéflecteurs de toit réglable et latéraux ouvrantsPrise FMSChronotachygraphePack Access SAMSARA</v>
      </c>
      <c r="AV108" s="96"/>
      <c r="AW108" s="96"/>
      <c r="AX108" s="96"/>
      <c r="AY108" s="96"/>
      <c r="AZ108" s="96"/>
      <c r="BA108" s="96"/>
      <c r="BB108" s="96"/>
      <c r="BC108" s="96"/>
      <c r="BD108" s="96"/>
      <c r="BE108" s="96"/>
      <c r="BF108" s="96"/>
      <c r="BG108" s="96"/>
      <c r="BH108" s="96"/>
    </row>
    <row r="109" spans="1:60" ht="45" outlineLevel="1" x14ac:dyDescent="0.25">
      <c r="A109" s="64" t="s">
        <v>1617</v>
      </c>
      <c r="B109" s="64" t="s">
        <v>32</v>
      </c>
      <c r="C109" s="64" t="s">
        <v>1759</v>
      </c>
      <c r="D109" s="64"/>
      <c r="E109" s="64" t="s">
        <v>402</v>
      </c>
      <c r="F109" s="64" t="s">
        <v>1761</v>
      </c>
      <c r="G109" s="64" t="s">
        <v>406</v>
      </c>
      <c r="H109" s="64"/>
      <c r="I109" s="64" t="s">
        <v>1796</v>
      </c>
      <c r="J109" s="64" t="s">
        <v>404</v>
      </c>
      <c r="K109" s="64" t="s">
        <v>1789</v>
      </c>
      <c r="L109" s="64"/>
      <c r="M109" s="64"/>
      <c r="N109" s="64" t="s">
        <v>542</v>
      </c>
      <c r="O109" s="64"/>
      <c r="P109" s="64" t="s">
        <v>1797</v>
      </c>
      <c r="Q109" s="64" t="s">
        <v>1798</v>
      </c>
      <c r="R109" s="64" t="s">
        <v>830</v>
      </c>
      <c r="S109" s="64" t="s">
        <v>1799</v>
      </c>
      <c r="T109" s="64" t="s">
        <v>1800</v>
      </c>
      <c r="U109" s="64" t="s">
        <v>1801</v>
      </c>
      <c r="V109" s="64" t="s">
        <v>1802</v>
      </c>
      <c r="W109" s="64" t="s">
        <v>408</v>
      </c>
      <c r="X109" s="64"/>
      <c r="Y109" s="64"/>
      <c r="Z109" s="64"/>
      <c r="AA109" s="64"/>
      <c r="AB109" s="64"/>
      <c r="AC109" s="64" t="s">
        <v>407</v>
      </c>
      <c r="AD109" s="64"/>
      <c r="AE109" s="64"/>
      <c r="AF109" s="64"/>
      <c r="AG109" s="64"/>
      <c r="AH109" s="64"/>
      <c r="AI109" s="64"/>
      <c r="AJ109" s="64"/>
      <c r="AK109" s="64"/>
      <c r="AL109" s="64"/>
      <c r="AM109" s="64"/>
      <c r="AN109" s="64"/>
      <c r="AO109" s="64"/>
      <c r="AP109" s="64"/>
      <c r="AQ109" s="64"/>
      <c r="AR109" s="64"/>
      <c r="AS109" s="64"/>
      <c r="AT109" s="64" t="s">
        <v>403</v>
      </c>
      <c r="AU109" s="69" t="str">
        <f t="shared" si="2"/>
        <v>P2 placesVerrouillage centralisé à distanceVitres électriquesRétroviseurs électriques et dégivrantsRadio CD/MP3 / USB avec cmde au volantBluetoothSiège conducteur suspendu pneumatiqueRégulateur de vitessePrises 12V et 24VPhares antibrouillard1 couchetteCabine profonde Sleeper CabChauffage autonome air/airClimatisation automatiqueDéflecteurs de toit réglable et latéraux ouvrantsPrise FMSChronotachygraphePré-équipement télématique</v>
      </c>
      <c r="AV109" s="96"/>
      <c r="AW109" s="96"/>
      <c r="AX109" s="96"/>
      <c r="AY109" s="96"/>
      <c r="AZ109" s="96"/>
      <c r="BA109" s="96"/>
      <c r="BB109" s="96"/>
      <c r="BC109" s="96"/>
      <c r="BD109" s="96"/>
      <c r="BE109" s="96"/>
      <c r="BF109" s="96"/>
      <c r="BG109" s="96"/>
      <c r="BH109" s="96"/>
    </row>
    <row r="110" spans="1:60" ht="33.75" outlineLevel="1" x14ac:dyDescent="0.25">
      <c r="A110" s="64" t="s">
        <v>2304</v>
      </c>
      <c r="B110" s="64" t="s">
        <v>32</v>
      </c>
      <c r="C110" s="64" t="s">
        <v>1759</v>
      </c>
      <c r="D110" s="64"/>
      <c r="E110" s="64" t="s">
        <v>402</v>
      </c>
      <c r="F110" s="64" t="s">
        <v>1761</v>
      </c>
      <c r="G110" s="64" t="s">
        <v>406</v>
      </c>
      <c r="H110" s="64"/>
      <c r="I110" s="64" t="s">
        <v>412</v>
      </c>
      <c r="J110" s="64" t="s">
        <v>404</v>
      </c>
      <c r="K110" s="64" t="s">
        <v>1789</v>
      </c>
      <c r="L110" s="64"/>
      <c r="M110" s="69" t="s">
        <v>400</v>
      </c>
      <c r="N110" s="64" t="s">
        <v>1791</v>
      </c>
      <c r="O110" s="64"/>
      <c r="P110" s="64"/>
      <c r="Q110" s="64"/>
      <c r="R110" s="64"/>
      <c r="S110" s="64"/>
      <c r="T110" s="64"/>
      <c r="U110" s="64" t="s">
        <v>399</v>
      </c>
      <c r="V110" s="64"/>
      <c r="W110" s="64" t="s">
        <v>408</v>
      </c>
      <c r="X110" s="64" t="s">
        <v>1790</v>
      </c>
      <c r="Y110" s="64"/>
      <c r="Z110" s="64"/>
      <c r="AA110" s="64"/>
      <c r="AB110" s="64"/>
      <c r="AC110" s="64" t="s">
        <v>407</v>
      </c>
      <c r="AD110" s="71"/>
      <c r="AE110" s="71"/>
      <c r="AF110" s="71"/>
      <c r="AG110" s="71"/>
      <c r="AH110" s="64"/>
      <c r="AI110" s="71"/>
      <c r="AJ110" s="71"/>
      <c r="AK110" s="71"/>
      <c r="AL110" s="71"/>
      <c r="AM110" s="71"/>
      <c r="AN110" s="71"/>
      <c r="AO110" s="71"/>
      <c r="AP110" s="71"/>
      <c r="AQ110" s="71"/>
      <c r="AR110" s="71"/>
      <c r="AS110" s="71"/>
      <c r="AT110" s="64" t="s">
        <v>1770</v>
      </c>
      <c r="AU110" s="69" t="str">
        <f t="shared" si="2"/>
        <v>P2 placesVerrouillage centralisé à distanceVitres électriquesRétroviseurs électriques et dégivrantsRadioBluetoothSiège conducteur suspendu pneumatiqueCaméra de reculRégulateur de vitesse adaptatifClimatisation manuellePrise FMSRangement ouvert ou coffre sur tunnel moteur ChronotachygraphePack Access SAMSARA</v>
      </c>
      <c r="AV110" s="96"/>
      <c r="AW110" s="96"/>
      <c r="AX110" s="96"/>
      <c r="AY110" s="96"/>
      <c r="AZ110" s="96"/>
      <c r="BA110" s="96"/>
      <c r="BB110" s="96"/>
      <c r="BC110" s="96"/>
      <c r="BD110" s="96"/>
      <c r="BE110" s="96"/>
      <c r="BF110" s="96"/>
      <c r="BG110" s="96"/>
      <c r="BH110" s="96"/>
    </row>
    <row r="111" spans="1:60" ht="33.75" outlineLevel="1" x14ac:dyDescent="0.25">
      <c r="A111" s="64" t="s">
        <v>1652</v>
      </c>
      <c r="B111" s="64" t="s">
        <v>32</v>
      </c>
      <c r="C111" s="64" t="s">
        <v>1777</v>
      </c>
      <c r="D111" s="64"/>
      <c r="E111" s="64" t="s">
        <v>402</v>
      </c>
      <c r="F111" s="64" t="s">
        <v>1761</v>
      </c>
      <c r="G111" s="64" t="s">
        <v>406</v>
      </c>
      <c r="H111" s="64" t="s">
        <v>555</v>
      </c>
      <c r="I111" s="64" t="s">
        <v>1803</v>
      </c>
      <c r="J111" s="64" t="s">
        <v>404</v>
      </c>
      <c r="K111" s="64" t="s">
        <v>1804</v>
      </c>
      <c r="L111" s="64" t="s">
        <v>401</v>
      </c>
      <c r="M111" s="64"/>
      <c r="N111" s="64" t="s">
        <v>1765</v>
      </c>
      <c r="O111" s="64"/>
      <c r="P111" s="64"/>
      <c r="Q111" s="64"/>
      <c r="R111" s="64"/>
      <c r="S111" s="64"/>
      <c r="T111" s="64"/>
      <c r="U111" s="64" t="s">
        <v>399</v>
      </c>
      <c r="V111" s="64"/>
      <c r="W111" s="64"/>
      <c r="X111" s="64"/>
      <c r="Y111" s="64"/>
      <c r="Z111" s="64"/>
      <c r="AA111" s="64"/>
      <c r="AB111" s="64"/>
      <c r="AC111" s="64"/>
      <c r="AD111" s="64"/>
      <c r="AE111" s="64"/>
      <c r="AF111" s="64"/>
      <c r="AG111" s="64"/>
      <c r="AH111" s="64"/>
      <c r="AI111" s="64"/>
      <c r="AJ111" s="64"/>
      <c r="AK111" s="64"/>
      <c r="AL111" s="64"/>
      <c r="AM111" s="64"/>
      <c r="AN111" s="70"/>
      <c r="AO111" s="70"/>
      <c r="AP111" s="64"/>
      <c r="AQ111" s="64"/>
      <c r="AR111" s="64"/>
      <c r="AS111" s="64"/>
      <c r="AT111" s="64" t="s">
        <v>1770</v>
      </c>
      <c r="AU111" s="69" t="str">
        <f t="shared" si="2"/>
        <v>P3 placesVerrouillage centralisé à distanceVitres électriquesRétroviseurs électriques et dégivrantsAirbag conducteurRadio USB avec cmde au volantBluetoothSiège conducteur réglable aux lombaires avec accoudoirRadars de reculRégulateur et limiteur de vitesseClimatisation manuellePack Access SAMSARA</v>
      </c>
      <c r="AV111" s="96"/>
      <c r="AW111" s="96"/>
      <c r="AX111" s="96"/>
      <c r="AY111" s="96"/>
      <c r="AZ111" s="96"/>
      <c r="BA111" s="96"/>
      <c r="BB111" s="96"/>
      <c r="BC111" s="96"/>
      <c r="BD111" s="96"/>
      <c r="BE111" s="96"/>
      <c r="BF111" s="96"/>
      <c r="BG111" s="96"/>
      <c r="BH111" s="96"/>
    </row>
    <row r="112" spans="1:60" ht="33.75" outlineLevel="1" x14ac:dyDescent="0.25">
      <c r="A112" s="64" t="s">
        <v>1509</v>
      </c>
      <c r="B112" s="64" t="s">
        <v>32</v>
      </c>
      <c r="C112" s="64" t="s">
        <v>1777</v>
      </c>
      <c r="D112" s="64"/>
      <c r="E112" s="64" t="s">
        <v>402</v>
      </c>
      <c r="F112" s="64" t="s">
        <v>1761</v>
      </c>
      <c r="G112" s="64" t="s">
        <v>406</v>
      </c>
      <c r="H112" s="64" t="s">
        <v>1805</v>
      </c>
      <c r="I112" s="64" t="s">
        <v>1806</v>
      </c>
      <c r="J112" s="64" t="s">
        <v>404</v>
      </c>
      <c r="K112" s="64" t="s">
        <v>1804</v>
      </c>
      <c r="L112" s="64" t="s">
        <v>401</v>
      </c>
      <c r="M112" s="69" t="s">
        <v>400</v>
      </c>
      <c r="N112" s="64" t="s">
        <v>1765</v>
      </c>
      <c r="O112" s="64"/>
      <c r="P112" s="64"/>
      <c r="Q112" s="64"/>
      <c r="R112" s="64"/>
      <c r="S112" s="64"/>
      <c r="T112" s="64"/>
      <c r="U112" s="64" t="s">
        <v>399</v>
      </c>
      <c r="V112" s="64"/>
      <c r="W112" s="64"/>
      <c r="X112" s="64"/>
      <c r="Y112" s="64"/>
      <c r="Z112" s="64"/>
      <c r="AA112" s="64"/>
      <c r="AB112" s="64"/>
      <c r="AC112" s="64"/>
      <c r="AD112" s="64"/>
      <c r="AE112" s="64"/>
      <c r="AF112" s="64"/>
      <c r="AG112" s="64"/>
      <c r="AH112" s="72"/>
      <c r="AI112" s="64"/>
      <c r="AJ112" s="64"/>
      <c r="AK112" s="64"/>
      <c r="AL112" s="64"/>
      <c r="AM112" s="64"/>
      <c r="AN112" s="70"/>
      <c r="AO112" s="70"/>
      <c r="AP112" s="64"/>
      <c r="AQ112" s="64"/>
      <c r="AR112" s="64"/>
      <c r="AS112" s="64"/>
      <c r="AT112" s="64" t="s">
        <v>403</v>
      </c>
      <c r="AU112" s="69" t="str">
        <f t="shared" si="2"/>
        <v>P3 placesVerrouillage centralisé à distanceVitres électriquesRétroviseurs électriques et dégivrantsAirbags conducteur et passagerRadio Open R link écran 8 pouces  BluetoothSiège conducteur réglable aux lombaires avec accoudoirRadars de reculCaméra de reculRégulateur et limiteur de vitesseClimatisation manuellePré-équipement télématique</v>
      </c>
      <c r="AV112" s="96"/>
      <c r="AW112" s="96"/>
      <c r="AX112" s="96"/>
      <c r="AY112" s="96"/>
      <c r="AZ112" s="96"/>
      <c r="BA112" s="96"/>
      <c r="BB112" s="96"/>
      <c r="BC112" s="96"/>
      <c r="BD112" s="96"/>
      <c r="BE112" s="96"/>
      <c r="BF112" s="96"/>
      <c r="BG112" s="96"/>
      <c r="BH112" s="96"/>
    </row>
    <row r="113" spans="1:60" ht="33.75" outlineLevel="1" x14ac:dyDescent="0.25">
      <c r="A113" s="64" t="s">
        <v>1520</v>
      </c>
      <c r="B113" s="64" t="s">
        <v>32</v>
      </c>
      <c r="C113" s="64" t="s">
        <v>1777</v>
      </c>
      <c r="D113" s="64"/>
      <c r="E113" s="64" t="s">
        <v>402</v>
      </c>
      <c r="F113" s="64" t="s">
        <v>1761</v>
      </c>
      <c r="G113" s="64" t="s">
        <v>1807</v>
      </c>
      <c r="H113" s="64" t="s">
        <v>555</v>
      </c>
      <c r="I113" s="64" t="s">
        <v>1803</v>
      </c>
      <c r="J113" s="64" t="s">
        <v>404</v>
      </c>
      <c r="K113" s="64" t="s">
        <v>1804</v>
      </c>
      <c r="L113" s="64" t="s">
        <v>401</v>
      </c>
      <c r="M113" s="69" t="s">
        <v>400</v>
      </c>
      <c r="N113" s="64" t="s">
        <v>1765</v>
      </c>
      <c r="O113" s="64"/>
      <c r="P113" s="64"/>
      <c r="Q113" s="64"/>
      <c r="R113" s="64"/>
      <c r="S113" s="64"/>
      <c r="T113" s="64"/>
      <c r="U113" s="64" t="s">
        <v>399</v>
      </c>
      <c r="V113" s="64"/>
      <c r="W113" s="64"/>
      <c r="X113" s="64"/>
      <c r="Y113" s="64"/>
      <c r="Z113" s="64"/>
      <c r="AA113" s="64"/>
      <c r="AB113" s="64"/>
      <c r="AC113" s="64"/>
      <c r="AD113" s="64"/>
      <c r="AE113" s="64"/>
      <c r="AF113" s="64"/>
      <c r="AG113" s="64"/>
      <c r="AH113" s="72"/>
      <c r="AI113" s="70"/>
      <c r="AJ113" s="64"/>
      <c r="AK113" s="64"/>
      <c r="AL113" s="64"/>
      <c r="AM113" s="64"/>
      <c r="AN113" s="70"/>
      <c r="AO113" s="64"/>
      <c r="AP113" s="64"/>
      <c r="AQ113" s="64"/>
      <c r="AR113" s="64"/>
      <c r="AS113" s="64"/>
      <c r="AT113" s="64" t="s">
        <v>403</v>
      </c>
      <c r="AU113" s="69" t="str">
        <f t="shared" si="2"/>
        <v>P3 placesVerrouillage centralisé à distanceVitres électriquesRétroviseurs électriques et dégivrants (bras long)Airbag conducteurRadio USB avec cmde au volantBluetoothSiège conducteur réglable aux lombaires avec accoudoirRadars de reculCaméra de reculRégulateur et limiteur de vitesseClimatisation manuellePré-équipement télématique</v>
      </c>
      <c r="AV113" s="96"/>
      <c r="AW113" s="96"/>
      <c r="AX113" s="96"/>
      <c r="AY113" s="96"/>
      <c r="AZ113" s="96"/>
      <c r="BA113" s="96"/>
      <c r="BB113" s="96"/>
      <c r="BC113" s="96"/>
      <c r="BD113" s="96"/>
      <c r="BE113" s="96"/>
      <c r="BF113" s="96"/>
      <c r="BG113" s="96"/>
      <c r="BH113" s="96"/>
    </row>
    <row r="114" spans="1:60" ht="33.75" outlineLevel="1" x14ac:dyDescent="0.25">
      <c r="A114" s="64" t="s">
        <v>1658</v>
      </c>
      <c r="B114" s="64" t="s">
        <v>32</v>
      </c>
      <c r="C114" s="64" t="s">
        <v>1777</v>
      </c>
      <c r="D114" s="64"/>
      <c r="E114" s="64" t="s">
        <v>402</v>
      </c>
      <c r="F114" s="64" t="s">
        <v>1761</v>
      </c>
      <c r="G114" s="64" t="s">
        <v>406</v>
      </c>
      <c r="H114" s="64" t="s">
        <v>555</v>
      </c>
      <c r="I114" s="64" t="s">
        <v>1808</v>
      </c>
      <c r="J114" s="64" t="s">
        <v>404</v>
      </c>
      <c r="K114" s="64" t="s">
        <v>1809</v>
      </c>
      <c r="L114" s="64" t="s">
        <v>401</v>
      </c>
      <c r="M114" s="64"/>
      <c r="N114" s="64" t="s">
        <v>1765</v>
      </c>
      <c r="O114" s="64"/>
      <c r="P114" s="64"/>
      <c r="Q114" s="64"/>
      <c r="R114" s="64"/>
      <c r="S114" s="64"/>
      <c r="T114" s="64"/>
      <c r="U114" s="64" t="s">
        <v>399</v>
      </c>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t="s">
        <v>1770</v>
      </c>
      <c r="AU114" s="69" t="str">
        <f t="shared" si="2"/>
        <v>P3 placesVerrouillage centralisé à distanceVitres électriquesRétroviseurs électriques et dégivrantsAirbag conducteurRadio / USB avec cmde au volantBluetoothSiège conducteur réglable en hauteurRadars de reculRégulateur et limiteur de vitesseClimatisation manuellePack Access SAMSARA</v>
      </c>
      <c r="AV114" s="96"/>
      <c r="AW114" s="96"/>
      <c r="AX114" s="96"/>
      <c r="AY114" s="96"/>
      <c r="AZ114" s="96"/>
      <c r="BA114" s="96"/>
      <c r="BB114" s="96"/>
      <c r="BC114" s="96"/>
      <c r="BD114" s="96"/>
      <c r="BE114" s="96"/>
      <c r="BF114" s="96"/>
      <c r="BG114" s="96"/>
      <c r="BH114" s="96"/>
    </row>
    <row r="115" spans="1:60" ht="33.75" outlineLevel="1" x14ac:dyDescent="0.25">
      <c r="A115" s="64" t="s">
        <v>1668</v>
      </c>
      <c r="B115" s="64" t="s">
        <v>32</v>
      </c>
      <c r="C115" s="64" t="s">
        <v>1777</v>
      </c>
      <c r="D115" s="64"/>
      <c r="E115" s="64" t="s">
        <v>402</v>
      </c>
      <c r="F115" s="64" t="s">
        <v>1761</v>
      </c>
      <c r="G115" s="64" t="s">
        <v>406</v>
      </c>
      <c r="H115" s="64" t="s">
        <v>555</v>
      </c>
      <c r="I115" s="64" t="s">
        <v>1810</v>
      </c>
      <c r="J115" s="64"/>
      <c r="K115" s="64" t="s">
        <v>1811</v>
      </c>
      <c r="L115" s="64"/>
      <c r="M115" s="69" t="s">
        <v>400</v>
      </c>
      <c r="N115" s="64" t="s">
        <v>1765</v>
      </c>
      <c r="O115" s="64"/>
      <c r="P115" s="64"/>
      <c r="Q115" s="64"/>
      <c r="R115" s="64"/>
      <c r="S115" s="64"/>
      <c r="T115" s="64"/>
      <c r="U115" s="64" t="s">
        <v>399</v>
      </c>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t="s">
        <v>1770</v>
      </c>
      <c r="AU115" s="69" t="str">
        <f t="shared" si="2"/>
        <v>P3 placesVerrouillage centralisé à distanceVitres électriquesRétroviseurs électriques et dégivrantsAirbag conducteurEcran multimedia 10,1" avec réplication Smartphone sans fil.Siège conducteur réglable en profondeur, hauteur et inclinaison, avec appuie-tête et accoudoirsCaméra de reculRégulateur et limiteur de vitesseClimatisation manuellePack Access SAMSARA</v>
      </c>
      <c r="AV115" s="96"/>
      <c r="AW115" s="96"/>
      <c r="AX115" s="96"/>
      <c r="AY115" s="96"/>
      <c r="AZ115" s="96"/>
      <c r="BA115" s="96"/>
      <c r="BB115" s="96"/>
      <c r="BC115" s="96"/>
      <c r="BD115" s="96"/>
      <c r="BE115" s="96"/>
      <c r="BF115" s="96"/>
      <c r="BG115" s="96"/>
      <c r="BH115" s="96"/>
    </row>
    <row r="116" spans="1:60" s="96" customFormat="1" ht="56.25" outlineLevel="1" x14ac:dyDescent="0.25">
      <c r="A116" s="64" t="s">
        <v>1535</v>
      </c>
      <c r="B116" s="64" t="s">
        <v>32</v>
      </c>
      <c r="C116" s="64" t="s">
        <v>1777</v>
      </c>
      <c r="D116" s="64"/>
      <c r="E116" s="64" t="s">
        <v>402</v>
      </c>
      <c r="F116" s="64" t="s">
        <v>1761</v>
      </c>
      <c r="G116" s="64" t="s">
        <v>1812</v>
      </c>
      <c r="H116" s="64" t="s">
        <v>555</v>
      </c>
      <c r="I116" s="64" t="s">
        <v>1813</v>
      </c>
      <c r="J116" s="64" t="s">
        <v>404</v>
      </c>
      <c r="K116" s="64" t="s">
        <v>1811</v>
      </c>
      <c r="L116" s="64" t="s">
        <v>1814</v>
      </c>
      <c r="M116" s="69" t="s">
        <v>400</v>
      </c>
      <c r="N116" s="64" t="s">
        <v>1765</v>
      </c>
      <c r="O116" s="64"/>
      <c r="P116" s="64" t="s">
        <v>1815</v>
      </c>
      <c r="Q116" s="64"/>
      <c r="R116" s="64"/>
      <c r="S116" s="64"/>
      <c r="T116" s="64"/>
      <c r="U116" s="64" t="s">
        <v>399</v>
      </c>
      <c r="V116" s="64"/>
      <c r="W116" s="64"/>
      <c r="X116" s="64"/>
      <c r="Y116" s="64"/>
      <c r="Z116" s="64"/>
      <c r="AA116" s="64"/>
      <c r="AB116" s="64" t="s">
        <v>1816</v>
      </c>
      <c r="AC116" s="64" t="s">
        <v>1817</v>
      </c>
      <c r="AD116" s="64" t="s">
        <v>1818</v>
      </c>
      <c r="AE116" s="64" t="s">
        <v>1819</v>
      </c>
      <c r="AF116" s="64" t="s">
        <v>411</v>
      </c>
      <c r="AG116" s="64"/>
      <c r="AH116" s="72"/>
      <c r="AI116" s="70"/>
      <c r="AJ116" s="64"/>
      <c r="AK116" s="64"/>
      <c r="AL116" s="64"/>
      <c r="AM116" s="64"/>
      <c r="AN116" s="64"/>
      <c r="AO116" s="64"/>
      <c r="AP116" s="64"/>
      <c r="AQ116" s="64"/>
      <c r="AR116" s="64"/>
      <c r="AS116" s="64"/>
      <c r="AT116" s="64" t="s">
        <v>403</v>
      </c>
      <c r="AU116" s="69" t="str">
        <f t="shared" si="2"/>
        <v>P3 placesVerrouillage centralisé à distanceVitres électriquesRétroviseurs électriques et dégivrants Airbag conducteurRadio multimédia avec écran de 10,1 pouces/avec cmde au volantBluetoothSiège conducteur réglable en profondeur, hauteur et inclinaison, avec appuie-tête et accoudoirsRadar de recul Caméra de reculRégulateur et limiteur de vitessePrise 12V + 2 prises USB dans rangement au-dessus du volantClimatisation manuelle1 extincteur de 2 kg en cabine Système d'adaptation de la vitesse (Lecture des panneaux) Système d'assistance de maintien dans la voieCapteurs de pression des pneumatiques TPMSFeux et essuies vitres  automatiquesPré-équipement télématique</v>
      </c>
    </row>
    <row r="117" spans="1:60" ht="45" outlineLevel="1" x14ac:dyDescent="0.25">
      <c r="A117" s="64" t="s">
        <v>1345</v>
      </c>
      <c r="B117" s="64" t="s">
        <v>32</v>
      </c>
      <c r="C117" s="64" t="s">
        <v>1777</v>
      </c>
      <c r="D117" s="64"/>
      <c r="E117" s="64" t="s">
        <v>402</v>
      </c>
      <c r="F117" s="64" t="s">
        <v>1761</v>
      </c>
      <c r="G117" s="64" t="s">
        <v>406</v>
      </c>
      <c r="H117" s="64" t="s">
        <v>555</v>
      </c>
      <c r="I117" s="64" t="s">
        <v>1820</v>
      </c>
      <c r="J117" s="64" t="s">
        <v>404</v>
      </c>
      <c r="K117" s="64" t="s">
        <v>1821</v>
      </c>
      <c r="L117" s="64" t="s">
        <v>401</v>
      </c>
      <c r="M117" s="69" t="s">
        <v>400</v>
      </c>
      <c r="N117" s="64" t="s">
        <v>1822</v>
      </c>
      <c r="O117" s="64"/>
      <c r="P117" s="64"/>
      <c r="Q117" s="64"/>
      <c r="R117" s="64"/>
      <c r="S117" s="64"/>
      <c r="T117" s="64"/>
      <c r="U117" s="64" t="s">
        <v>1801</v>
      </c>
      <c r="V117" s="64"/>
      <c r="W117" s="64"/>
      <c r="X117" s="64"/>
      <c r="Y117" s="64"/>
      <c r="Z117" s="64"/>
      <c r="AA117" s="64"/>
      <c r="AB117" s="64"/>
      <c r="AC117" s="64" t="s">
        <v>1823</v>
      </c>
      <c r="AD117" s="64"/>
      <c r="AE117" s="64"/>
      <c r="AF117" s="64"/>
      <c r="AG117" s="64" t="s">
        <v>410</v>
      </c>
      <c r="AH117" s="64"/>
      <c r="AI117" s="64"/>
      <c r="AJ117" s="64"/>
      <c r="AK117" s="64"/>
      <c r="AL117" s="64"/>
      <c r="AM117" s="64"/>
      <c r="AN117" s="64"/>
      <c r="AO117" s="70"/>
      <c r="AP117" s="64"/>
      <c r="AQ117" s="64"/>
      <c r="AR117" s="64"/>
      <c r="AS117" s="64"/>
      <c r="AT117" s="64" t="s">
        <v>403</v>
      </c>
      <c r="AU117"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automatiqueSans Chronotachygraphe (Chronotachygraphe obligatoire si le client roule au-delà d’un rayon de 100 km autour du lieu d'établissement de l'entreprise)Frein stationnement électriquePré-équipement télématique</v>
      </c>
      <c r="AV117" s="96"/>
      <c r="AW117" s="96"/>
      <c r="AX117" s="96"/>
      <c r="AY117" s="96"/>
      <c r="AZ117" s="96"/>
      <c r="BA117" s="96"/>
      <c r="BB117" s="96"/>
      <c r="BC117" s="96"/>
      <c r="BD117" s="96"/>
      <c r="BE117" s="96"/>
      <c r="BF117" s="96"/>
      <c r="BG117" s="96"/>
      <c r="BH117" s="96"/>
    </row>
    <row r="118" spans="1:60" ht="33.75" outlineLevel="1" x14ac:dyDescent="0.25">
      <c r="A118" s="64" t="s">
        <v>1675</v>
      </c>
      <c r="B118" s="64" t="s">
        <v>32</v>
      </c>
      <c r="C118" s="64" t="s">
        <v>1777</v>
      </c>
      <c r="D118" s="64"/>
      <c r="E118" s="64" t="s">
        <v>402</v>
      </c>
      <c r="F118" s="64" t="s">
        <v>1761</v>
      </c>
      <c r="G118" s="64" t="s">
        <v>406</v>
      </c>
      <c r="H118" s="64" t="s">
        <v>1805</v>
      </c>
      <c r="I118" s="64" t="s">
        <v>1820</v>
      </c>
      <c r="J118" s="64" t="s">
        <v>404</v>
      </c>
      <c r="K118" s="64" t="s">
        <v>1821</v>
      </c>
      <c r="L118" s="64" t="s">
        <v>401</v>
      </c>
      <c r="M118" s="71"/>
      <c r="N118" s="64" t="s">
        <v>1822</v>
      </c>
      <c r="O118" s="64"/>
      <c r="P118" s="64"/>
      <c r="Q118" s="64"/>
      <c r="R118" s="64"/>
      <c r="S118" s="64"/>
      <c r="T118" s="64"/>
      <c r="U118" s="64" t="s">
        <v>399</v>
      </c>
      <c r="V118" s="64"/>
      <c r="W118" s="64"/>
      <c r="X118" s="64"/>
      <c r="Y118" s="64"/>
      <c r="Z118" s="64"/>
      <c r="AA118" s="64"/>
      <c r="AB118" s="64"/>
      <c r="AC118" s="64"/>
      <c r="AD118" s="64"/>
      <c r="AE118" s="64"/>
      <c r="AF118" s="64"/>
      <c r="AG118" s="64"/>
      <c r="AH118" s="64"/>
      <c r="AI118" s="64"/>
      <c r="AJ118" s="64"/>
      <c r="AK118" s="64"/>
      <c r="AL118" s="64"/>
      <c r="AM118" s="64"/>
      <c r="AN118" s="64"/>
      <c r="AO118" s="70"/>
      <c r="AP118" s="64"/>
      <c r="AQ118" s="64"/>
      <c r="AR118" s="64"/>
      <c r="AS118" s="64"/>
      <c r="AT118" s="64" t="s">
        <v>1770</v>
      </c>
      <c r="AU118" s="69" t="str">
        <f t="shared" si="2"/>
        <v>P3 placesVerrouillage centralisé à distanceVitres électriquesRétroviseurs électriques et dégivrantsAirbags conducteur et passagerMy Iveco radio tactile 7 poucesBluetoothSiège conducteur suspenduRadars de reculRégulateur et Limiteur de vitesse réglable électroniqueClimatisation manuellePack Access SAMSARA</v>
      </c>
      <c r="AV118" s="96"/>
      <c r="AW118" s="96"/>
      <c r="AX118" s="96"/>
      <c r="AY118" s="96"/>
      <c r="AZ118" s="96"/>
      <c r="BA118" s="96"/>
      <c r="BB118" s="96"/>
      <c r="BC118" s="96"/>
      <c r="BD118" s="96"/>
      <c r="BE118" s="96"/>
      <c r="BF118" s="96"/>
      <c r="BG118" s="96"/>
      <c r="BH118" s="96"/>
    </row>
    <row r="119" spans="1:60" ht="33.75" outlineLevel="1" x14ac:dyDescent="0.25">
      <c r="A119" s="64" t="s">
        <v>2253</v>
      </c>
      <c r="B119" s="64" t="s">
        <v>32</v>
      </c>
      <c r="C119" s="64" t="s">
        <v>1777</v>
      </c>
      <c r="D119" s="64"/>
      <c r="E119" s="64" t="s">
        <v>402</v>
      </c>
      <c r="F119" s="64" t="s">
        <v>1761</v>
      </c>
      <c r="G119" s="64" t="s">
        <v>406</v>
      </c>
      <c r="H119" s="64" t="s">
        <v>1805</v>
      </c>
      <c r="I119" s="64" t="s">
        <v>1820</v>
      </c>
      <c r="J119" s="64" t="s">
        <v>404</v>
      </c>
      <c r="K119" s="64" t="s">
        <v>1821</v>
      </c>
      <c r="L119" s="64" t="s">
        <v>401</v>
      </c>
      <c r="M119" s="69" t="s">
        <v>400</v>
      </c>
      <c r="N119" s="64" t="s">
        <v>1822</v>
      </c>
      <c r="O119" s="64"/>
      <c r="P119" s="64"/>
      <c r="Q119" s="64"/>
      <c r="R119" s="64"/>
      <c r="S119" s="64"/>
      <c r="T119" s="64"/>
      <c r="U119" s="64" t="s">
        <v>399</v>
      </c>
      <c r="V119" s="64"/>
      <c r="W119" s="64"/>
      <c r="X119" s="64"/>
      <c r="Y119" s="64"/>
      <c r="Z119" s="64"/>
      <c r="AA119" s="64"/>
      <c r="AB119" s="64"/>
      <c r="AC119" s="64"/>
      <c r="AD119" s="64"/>
      <c r="AE119" s="64"/>
      <c r="AF119" s="64"/>
      <c r="AG119" s="64"/>
      <c r="AH119" s="64"/>
      <c r="AI119" s="64"/>
      <c r="AJ119" s="64"/>
      <c r="AK119" s="64"/>
      <c r="AL119" s="64"/>
      <c r="AM119" s="64"/>
      <c r="AN119" s="64"/>
      <c r="AO119" s="70"/>
      <c r="AP119" s="64"/>
      <c r="AQ119" s="64"/>
      <c r="AR119" s="64"/>
      <c r="AS119" s="64"/>
      <c r="AT119" s="64" t="s">
        <v>1770</v>
      </c>
      <c r="AU119" s="69" t="str">
        <f t="shared" si="2"/>
        <v>P3 placesVerrouillage centralisé à distanceVitres électriquesRétroviseurs électriques et dégivrantsAirbags conducteur et passagerMy Iveco radio tactile 7 poucesBluetoothSiège conducteur suspenduRadars de reculCaméra de reculRégulateur et Limiteur de vitesse réglable électroniqueClimatisation manuellePack Access SAMSARA</v>
      </c>
      <c r="AV119" s="96"/>
      <c r="AW119" s="96"/>
      <c r="AX119" s="96"/>
      <c r="AY119" s="96"/>
      <c r="AZ119" s="96"/>
      <c r="BA119" s="96"/>
      <c r="BB119" s="96"/>
      <c r="BC119" s="96"/>
      <c r="BD119" s="96"/>
      <c r="BE119" s="96"/>
      <c r="BF119" s="96"/>
      <c r="BG119" s="96"/>
      <c r="BH119" s="96"/>
    </row>
    <row r="120" spans="1:60" ht="33.75" outlineLevel="1" x14ac:dyDescent="0.25">
      <c r="A120" s="64" t="s">
        <v>1274</v>
      </c>
      <c r="B120" s="64" t="s">
        <v>32</v>
      </c>
      <c r="C120" s="64" t="s">
        <v>1777</v>
      </c>
      <c r="D120" s="64"/>
      <c r="E120" s="64" t="s">
        <v>402</v>
      </c>
      <c r="F120" s="64" t="s">
        <v>1761</v>
      </c>
      <c r="G120" s="64" t="s">
        <v>406</v>
      </c>
      <c r="H120" s="64" t="s">
        <v>1805</v>
      </c>
      <c r="I120" s="64" t="s">
        <v>1820</v>
      </c>
      <c r="J120" s="64" t="s">
        <v>404</v>
      </c>
      <c r="K120" s="64" t="s">
        <v>1821</v>
      </c>
      <c r="L120" s="64" t="s">
        <v>401</v>
      </c>
      <c r="M120" s="69" t="s">
        <v>400</v>
      </c>
      <c r="N120" s="64" t="s">
        <v>1822</v>
      </c>
      <c r="O120" s="64"/>
      <c r="P120" s="64"/>
      <c r="Q120" s="64"/>
      <c r="R120" s="64"/>
      <c r="S120" s="64"/>
      <c r="T120" s="64"/>
      <c r="U120" s="64" t="s">
        <v>399</v>
      </c>
      <c r="V120" s="64"/>
      <c r="W120" s="64"/>
      <c r="X120" s="64"/>
      <c r="Y120" s="64"/>
      <c r="Z120" s="64"/>
      <c r="AA120" s="64"/>
      <c r="AB120" s="64"/>
      <c r="AC120" s="64"/>
      <c r="AD120" s="64"/>
      <c r="AE120" s="64"/>
      <c r="AF120" s="64"/>
      <c r="AG120" s="64"/>
      <c r="AH120" s="64"/>
      <c r="AI120" s="64"/>
      <c r="AJ120" s="64"/>
      <c r="AK120" s="64"/>
      <c r="AL120" s="64"/>
      <c r="AM120" s="64"/>
      <c r="AN120" s="64"/>
      <c r="AO120" s="70"/>
      <c r="AP120" s="64"/>
      <c r="AQ120" s="64"/>
      <c r="AR120" s="64"/>
      <c r="AS120" s="64"/>
      <c r="AT120" s="64" t="s">
        <v>403</v>
      </c>
      <c r="AU120" s="69" t="str">
        <f t="shared" si="2"/>
        <v>P3 placesVerrouillage centralisé à distanceVitres électriquesRétroviseurs électriques et dégivrantsAirbags conducteur et passagerMy Iveco radio tactile 7 poucesBluetoothSiège conducteur suspenduRadars de reculCaméra de reculRégulateur et Limiteur de vitesse réglable électroniqueClimatisation manuellePré-équipement télématique</v>
      </c>
      <c r="AV120" s="96"/>
      <c r="AW120" s="96"/>
      <c r="AX120" s="96"/>
      <c r="AY120" s="96"/>
      <c r="AZ120" s="96"/>
      <c r="BA120" s="96"/>
      <c r="BB120" s="96"/>
      <c r="BC120" s="96"/>
      <c r="BD120" s="96"/>
      <c r="BE120" s="96"/>
      <c r="BF120" s="96"/>
      <c r="BG120" s="96"/>
      <c r="BH120" s="96"/>
    </row>
    <row r="121" spans="1:60" ht="33.75" outlineLevel="1" x14ac:dyDescent="0.25">
      <c r="A121" s="64" t="s">
        <v>2287</v>
      </c>
      <c r="B121" s="64" t="s">
        <v>32</v>
      </c>
      <c r="C121" s="64" t="s">
        <v>1777</v>
      </c>
      <c r="D121" s="64"/>
      <c r="E121" s="64" t="s">
        <v>402</v>
      </c>
      <c r="F121" s="64" t="s">
        <v>1761</v>
      </c>
      <c r="G121" s="64" t="s">
        <v>406</v>
      </c>
      <c r="H121" s="64" t="s">
        <v>1805</v>
      </c>
      <c r="I121" s="64" t="s">
        <v>1820</v>
      </c>
      <c r="J121" s="64" t="s">
        <v>404</v>
      </c>
      <c r="K121" s="64" t="s">
        <v>1821</v>
      </c>
      <c r="L121" s="64"/>
      <c r="M121" s="69" t="s">
        <v>400</v>
      </c>
      <c r="N121" s="64" t="s">
        <v>1822</v>
      </c>
      <c r="O121" s="64"/>
      <c r="P121" s="64"/>
      <c r="Q121" s="64"/>
      <c r="R121" s="64"/>
      <c r="S121" s="64"/>
      <c r="T121" s="64"/>
      <c r="U121" s="64" t="s">
        <v>399</v>
      </c>
      <c r="V121" s="64"/>
      <c r="W121" s="64"/>
      <c r="X121" s="64"/>
      <c r="Y121" s="64"/>
      <c r="Z121" s="64"/>
      <c r="AA121" s="64"/>
      <c r="AB121" s="64"/>
      <c r="AC121" s="64"/>
      <c r="AD121" s="64"/>
      <c r="AE121" s="64"/>
      <c r="AF121" s="64"/>
      <c r="AG121" s="64"/>
      <c r="AH121" s="64"/>
      <c r="AI121" s="64"/>
      <c r="AJ121" s="64"/>
      <c r="AK121" s="64"/>
      <c r="AL121" s="64"/>
      <c r="AM121" s="64"/>
      <c r="AN121" s="64"/>
      <c r="AO121" s="70"/>
      <c r="AP121" s="64"/>
      <c r="AQ121" s="64"/>
      <c r="AR121" s="64"/>
      <c r="AS121" s="64"/>
      <c r="AT121" s="64" t="s">
        <v>1770</v>
      </c>
      <c r="AU121" s="69" t="str">
        <f t="shared" si="2"/>
        <v>P3 placesVerrouillage centralisé à distanceVitres électriquesRétroviseurs électriques et dégivrantsAirbags conducteur et passagerMy Iveco radio tactile 7 poucesBluetoothSiège conducteur suspenduCaméra de reculRégulateur et Limiteur de vitesse réglable électroniqueClimatisation manuellePack Access SAMSARA</v>
      </c>
      <c r="AV121" s="96"/>
      <c r="AW121" s="96"/>
      <c r="AX121" s="96"/>
      <c r="AY121" s="96"/>
      <c r="AZ121" s="96"/>
      <c r="BA121" s="96"/>
      <c r="BB121" s="96"/>
      <c r="BC121" s="96"/>
      <c r="BD121" s="96"/>
      <c r="BE121" s="96"/>
      <c r="BF121" s="96"/>
      <c r="BG121" s="96"/>
      <c r="BH121" s="96"/>
    </row>
    <row r="122" spans="1:60" ht="45" outlineLevel="1" x14ac:dyDescent="0.25">
      <c r="A122" s="64" t="s">
        <v>1692</v>
      </c>
      <c r="B122" s="64" t="s">
        <v>32</v>
      </c>
      <c r="C122" s="64" t="s">
        <v>1777</v>
      </c>
      <c r="D122" s="64"/>
      <c r="E122" s="64" t="s">
        <v>402</v>
      </c>
      <c r="F122" s="64" t="s">
        <v>1761</v>
      </c>
      <c r="G122" s="64" t="s">
        <v>406</v>
      </c>
      <c r="H122" s="64" t="s">
        <v>555</v>
      </c>
      <c r="I122" s="64" t="s">
        <v>1820</v>
      </c>
      <c r="J122" s="64" t="s">
        <v>404</v>
      </c>
      <c r="K122" s="64" t="s">
        <v>1821</v>
      </c>
      <c r="L122" s="64" t="s">
        <v>401</v>
      </c>
      <c r="M122" s="69" t="s">
        <v>400</v>
      </c>
      <c r="N122" s="64" t="s">
        <v>1822</v>
      </c>
      <c r="O122" s="64"/>
      <c r="P122" s="64"/>
      <c r="Q122" s="64"/>
      <c r="R122" s="64"/>
      <c r="S122" s="64"/>
      <c r="T122" s="64"/>
      <c r="U122" s="64" t="s">
        <v>1801</v>
      </c>
      <c r="V122" s="64"/>
      <c r="W122" s="64"/>
      <c r="X122" s="64"/>
      <c r="Y122" s="64"/>
      <c r="Z122" s="64"/>
      <c r="AA122" s="64"/>
      <c r="AB122" s="64"/>
      <c r="AC122" s="64" t="s">
        <v>1823</v>
      </c>
      <c r="AD122" s="64"/>
      <c r="AE122" s="69"/>
      <c r="AF122" s="64"/>
      <c r="AG122" s="64" t="s">
        <v>410</v>
      </c>
      <c r="AH122" s="64"/>
      <c r="AI122" s="64"/>
      <c r="AJ122" s="64"/>
      <c r="AK122" s="64"/>
      <c r="AL122" s="64"/>
      <c r="AM122" s="64"/>
      <c r="AN122" s="64"/>
      <c r="AO122" s="70"/>
      <c r="AP122" s="64"/>
      <c r="AQ122" s="64"/>
      <c r="AR122" s="64"/>
      <c r="AS122" s="64"/>
      <c r="AT122" s="64" t="s">
        <v>1770</v>
      </c>
      <c r="AU122"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automatiqueSans Chronotachygraphe (Chronotachygraphe obligatoire si le client roule au-delà d’un rayon de 100 km autour du lieu d'établissement de l'entreprise)Frein stationnement électriquePack Access SAMSARA</v>
      </c>
      <c r="AV122" s="96"/>
      <c r="AW122" s="96"/>
      <c r="AX122" s="96"/>
      <c r="AY122" s="96"/>
      <c r="AZ122" s="96"/>
      <c r="BA122" s="96"/>
      <c r="BB122" s="96"/>
      <c r="BC122" s="96"/>
      <c r="BD122" s="96"/>
      <c r="BE122" s="96"/>
      <c r="BF122" s="96"/>
      <c r="BG122" s="96"/>
      <c r="BH122" s="96"/>
    </row>
    <row r="123" spans="1:60" ht="45" outlineLevel="1" x14ac:dyDescent="0.25">
      <c r="A123" s="64" t="s">
        <v>2262</v>
      </c>
      <c r="B123" s="64" t="s">
        <v>32</v>
      </c>
      <c r="C123" s="64" t="s">
        <v>1777</v>
      </c>
      <c r="D123" s="64"/>
      <c r="E123" s="64" t="s">
        <v>402</v>
      </c>
      <c r="F123" s="64" t="s">
        <v>1761</v>
      </c>
      <c r="G123" s="64" t="s">
        <v>406</v>
      </c>
      <c r="H123" s="64" t="s">
        <v>555</v>
      </c>
      <c r="I123" s="64" t="s">
        <v>1820</v>
      </c>
      <c r="J123" s="64" t="s">
        <v>404</v>
      </c>
      <c r="K123" s="64" t="s">
        <v>1821</v>
      </c>
      <c r="L123" s="64" t="s">
        <v>401</v>
      </c>
      <c r="M123" s="69" t="s">
        <v>400</v>
      </c>
      <c r="N123" s="64" t="s">
        <v>1822</v>
      </c>
      <c r="O123" s="64"/>
      <c r="P123" s="64"/>
      <c r="Q123" s="64"/>
      <c r="R123" s="64"/>
      <c r="S123" s="64"/>
      <c r="T123" s="64"/>
      <c r="U123" s="64" t="s">
        <v>1801</v>
      </c>
      <c r="V123" s="64"/>
      <c r="W123" s="64"/>
      <c r="X123" s="64"/>
      <c r="Y123" s="64"/>
      <c r="Z123" s="64"/>
      <c r="AA123" s="64"/>
      <c r="AB123" s="64"/>
      <c r="AC123" s="64" t="s">
        <v>1823</v>
      </c>
      <c r="AD123" s="64"/>
      <c r="AE123" s="69"/>
      <c r="AF123" s="64"/>
      <c r="AG123" s="64" t="s">
        <v>410</v>
      </c>
      <c r="AH123" s="64"/>
      <c r="AI123" s="64"/>
      <c r="AJ123" s="64"/>
      <c r="AK123" s="64"/>
      <c r="AL123" s="64"/>
      <c r="AM123" s="64"/>
      <c r="AN123" s="64"/>
      <c r="AO123" s="70"/>
      <c r="AP123" s="64"/>
      <c r="AQ123" s="64"/>
      <c r="AR123" s="64"/>
      <c r="AS123" s="64"/>
      <c r="AT123" s="64" t="s">
        <v>1770</v>
      </c>
      <c r="AU123"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automatiqueSans Chronotachygraphe (Chronotachygraphe obligatoire si le client roule au-delà d’un rayon de 100 km autour du lieu d'établissement de l'entreprise)Frein stationnement électriquePack Access SAMSARA</v>
      </c>
      <c r="AV123" s="96"/>
      <c r="AW123" s="96"/>
      <c r="AX123" s="96"/>
      <c r="AY123" s="96"/>
      <c r="AZ123" s="96"/>
      <c r="BA123" s="96"/>
      <c r="BB123" s="96"/>
      <c r="BC123" s="96"/>
      <c r="BD123" s="96"/>
      <c r="BE123" s="96"/>
      <c r="BF123" s="96"/>
      <c r="BG123" s="96"/>
      <c r="BH123" s="96"/>
    </row>
    <row r="124" spans="1:60" ht="45" outlineLevel="1" x14ac:dyDescent="0.25">
      <c r="A124" s="64" t="s">
        <v>1688</v>
      </c>
      <c r="B124" s="64" t="s">
        <v>32</v>
      </c>
      <c r="C124" s="64" t="s">
        <v>1777</v>
      </c>
      <c r="D124" s="64"/>
      <c r="E124" s="64" t="s">
        <v>402</v>
      </c>
      <c r="F124" s="64" t="s">
        <v>1761</v>
      </c>
      <c r="G124" s="64" t="s">
        <v>406</v>
      </c>
      <c r="H124" s="64" t="s">
        <v>555</v>
      </c>
      <c r="I124" s="64" t="s">
        <v>1820</v>
      </c>
      <c r="J124" s="64" t="s">
        <v>404</v>
      </c>
      <c r="K124" s="64" t="s">
        <v>1821</v>
      </c>
      <c r="L124" s="64" t="s">
        <v>401</v>
      </c>
      <c r="M124" s="69" t="s">
        <v>400</v>
      </c>
      <c r="N124" s="64" t="s">
        <v>1822</v>
      </c>
      <c r="O124" s="64"/>
      <c r="P124" s="64"/>
      <c r="Q124" s="64"/>
      <c r="R124" s="64"/>
      <c r="S124" s="64"/>
      <c r="T124" s="64"/>
      <c r="U124" s="64" t="s">
        <v>1801</v>
      </c>
      <c r="V124" s="64" t="s">
        <v>1776</v>
      </c>
      <c r="W124" s="64"/>
      <c r="X124" s="64"/>
      <c r="Y124" s="64"/>
      <c r="Z124" s="64"/>
      <c r="AA124" s="64"/>
      <c r="AB124" s="64"/>
      <c r="AC124" s="64" t="s">
        <v>1823</v>
      </c>
      <c r="AD124" s="64"/>
      <c r="AE124" s="69"/>
      <c r="AF124" s="64"/>
      <c r="AG124" s="64" t="s">
        <v>410</v>
      </c>
      <c r="AH124" s="64"/>
      <c r="AI124" s="64"/>
      <c r="AJ124" s="64"/>
      <c r="AK124" s="64"/>
      <c r="AL124" s="64"/>
      <c r="AM124" s="64"/>
      <c r="AN124" s="64"/>
      <c r="AO124" s="70"/>
      <c r="AP124" s="64"/>
      <c r="AQ124" s="64"/>
      <c r="AR124" s="64"/>
      <c r="AS124" s="64"/>
      <c r="AT124" s="64" t="s">
        <v>1770</v>
      </c>
      <c r="AU124"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automatiqueDéflecteur de cabine Sans Chronotachygraphe (Chronotachygraphe obligatoire si le client roule au-delà d’un rayon de 100 km autour du lieu d'établissement de l'entreprise)Frein stationnement électriquePack Access SAMSARA</v>
      </c>
      <c r="AV124" s="96"/>
      <c r="AW124" s="96"/>
      <c r="AX124" s="96"/>
      <c r="AY124" s="96"/>
      <c r="AZ124" s="96"/>
      <c r="BA124" s="96"/>
      <c r="BB124" s="96"/>
      <c r="BC124" s="96"/>
      <c r="BD124" s="96"/>
      <c r="BE124" s="96"/>
      <c r="BF124" s="96"/>
      <c r="BG124" s="96"/>
      <c r="BH124" s="96"/>
    </row>
    <row r="125" spans="1:60" ht="45" outlineLevel="1" x14ac:dyDescent="0.25">
      <c r="A125" s="64" t="s">
        <v>2298</v>
      </c>
      <c r="B125" s="64" t="s">
        <v>32</v>
      </c>
      <c r="C125" s="64" t="s">
        <v>1777</v>
      </c>
      <c r="D125" s="64"/>
      <c r="E125" s="64" t="s">
        <v>402</v>
      </c>
      <c r="F125" s="64" t="s">
        <v>1761</v>
      </c>
      <c r="G125" s="64" t="s">
        <v>406</v>
      </c>
      <c r="H125" s="64" t="s">
        <v>555</v>
      </c>
      <c r="I125" s="64" t="s">
        <v>1820</v>
      </c>
      <c r="J125" s="64" t="s">
        <v>404</v>
      </c>
      <c r="K125" s="64" t="s">
        <v>1821</v>
      </c>
      <c r="L125" s="64"/>
      <c r="M125" s="69" t="s">
        <v>400</v>
      </c>
      <c r="N125" s="64" t="s">
        <v>1822</v>
      </c>
      <c r="O125" s="64"/>
      <c r="P125" s="64"/>
      <c r="Q125" s="64"/>
      <c r="R125" s="64"/>
      <c r="S125" s="64"/>
      <c r="T125" s="64"/>
      <c r="U125" s="64" t="s">
        <v>1801</v>
      </c>
      <c r="V125" s="64"/>
      <c r="W125" s="64"/>
      <c r="X125" s="64"/>
      <c r="Y125" s="64"/>
      <c r="Z125" s="64"/>
      <c r="AA125" s="64"/>
      <c r="AB125" s="64"/>
      <c r="AC125" s="64" t="s">
        <v>1823</v>
      </c>
      <c r="AD125" s="64"/>
      <c r="AE125" s="69"/>
      <c r="AF125" s="64"/>
      <c r="AG125" s="64" t="s">
        <v>410</v>
      </c>
      <c r="AH125" s="64"/>
      <c r="AI125" s="64"/>
      <c r="AJ125" s="64"/>
      <c r="AK125" s="64"/>
      <c r="AL125" s="64"/>
      <c r="AM125" s="64"/>
      <c r="AN125" s="64"/>
      <c r="AO125" s="70"/>
      <c r="AP125" s="64"/>
      <c r="AQ125" s="64"/>
      <c r="AR125" s="64"/>
      <c r="AS125" s="64"/>
      <c r="AT125" s="64" t="s">
        <v>1770</v>
      </c>
      <c r="AU125" s="69" t="str">
        <f t="shared" si="2"/>
        <v>P3 placesVerrouillage centralisé à distanceVitres électriquesRétroviseurs électriques et dégivrantsAirbag conducteurMy Iveco radio tactile 7 poucesBluetoothSiège conducteur suspenduCaméra de reculRégulateur et Limiteur de vitesse réglable électroniqueClimatisation automatiqueSans Chronotachygraphe (Chronotachygraphe obligatoire si le client roule au-delà d’un rayon de 100 km autour du lieu d'établissement de l'entreprise)Frein stationnement électriquePack Access SAMSARA</v>
      </c>
      <c r="AV125" s="96"/>
      <c r="AW125" s="96"/>
      <c r="AX125" s="96"/>
      <c r="AY125" s="96"/>
      <c r="AZ125" s="96"/>
      <c r="BA125" s="96"/>
      <c r="BB125" s="96"/>
      <c r="BC125" s="96"/>
      <c r="BD125" s="96"/>
      <c r="BE125" s="96"/>
      <c r="BF125" s="96"/>
      <c r="BG125" s="96"/>
      <c r="BH125" s="96"/>
    </row>
    <row r="126" spans="1:60" ht="33.75" outlineLevel="1" x14ac:dyDescent="0.25">
      <c r="A126" s="64" t="s">
        <v>1300</v>
      </c>
      <c r="B126" s="64" t="s">
        <v>32</v>
      </c>
      <c r="C126" s="64" t="s">
        <v>1777</v>
      </c>
      <c r="D126" s="64"/>
      <c r="E126" s="64" t="s">
        <v>1824</v>
      </c>
      <c r="F126" s="64" t="s">
        <v>1761</v>
      </c>
      <c r="G126" s="64" t="s">
        <v>406</v>
      </c>
      <c r="H126" s="64" t="s">
        <v>555</v>
      </c>
      <c r="I126" s="64" t="s">
        <v>1820</v>
      </c>
      <c r="J126" s="64" t="s">
        <v>404</v>
      </c>
      <c r="K126" s="64" t="s">
        <v>1821</v>
      </c>
      <c r="L126" s="64" t="s">
        <v>401</v>
      </c>
      <c r="M126" s="69" t="s">
        <v>400</v>
      </c>
      <c r="N126" s="64" t="s">
        <v>1822</v>
      </c>
      <c r="O126" s="64"/>
      <c r="P126" s="64"/>
      <c r="Q126" s="64"/>
      <c r="R126" s="64"/>
      <c r="S126" s="64"/>
      <c r="T126" s="64"/>
      <c r="U126" s="64" t="s">
        <v>399</v>
      </c>
      <c r="V126" s="64" t="s">
        <v>1776</v>
      </c>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t="s">
        <v>403</v>
      </c>
      <c r="AU126" s="69" t="str">
        <f t="shared" si="2"/>
        <v>P3 placesVerrouillage centralisé à distance avec prédisposition pour carrosserie Vitres électriquesRétroviseurs électriques et dégivrantsAirbag conducteurMy Iveco radio tactile 7 poucesBluetoothSiège conducteur suspenduRadars de reculCaméra de reculRégulateur et Limiteur de vitesse réglable électroniqueClimatisation manuelleDéflecteur de cabine Pré-équipement télématique</v>
      </c>
      <c r="AV126" s="96"/>
      <c r="AW126" s="96"/>
      <c r="AX126" s="96"/>
      <c r="AY126" s="96"/>
      <c r="AZ126" s="96"/>
      <c r="BA126" s="96"/>
      <c r="BB126" s="96"/>
      <c r="BC126" s="96"/>
      <c r="BD126" s="96"/>
      <c r="BE126" s="96"/>
      <c r="BF126" s="96"/>
      <c r="BG126" s="96"/>
      <c r="BH126" s="96"/>
    </row>
    <row r="127" spans="1:60" ht="56.25" outlineLevel="1" x14ac:dyDescent="0.25">
      <c r="A127" s="64" t="s">
        <v>1353</v>
      </c>
      <c r="B127" s="64" t="s">
        <v>32</v>
      </c>
      <c r="C127" s="64" t="s">
        <v>1777</v>
      </c>
      <c r="D127" s="64"/>
      <c r="E127" s="64" t="s">
        <v>1824</v>
      </c>
      <c r="F127" s="64" t="s">
        <v>1761</v>
      </c>
      <c r="G127" s="64" t="s">
        <v>406</v>
      </c>
      <c r="H127" s="64" t="s">
        <v>1825</v>
      </c>
      <c r="I127" s="64" t="s">
        <v>1820</v>
      </c>
      <c r="J127" s="64" t="s">
        <v>404</v>
      </c>
      <c r="K127" s="64" t="s">
        <v>1821</v>
      </c>
      <c r="L127" s="64" t="s">
        <v>401</v>
      </c>
      <c r="M127" s="69" t="s">
        <v>400</v>
      </c>
      <c r="N127" s="64" t="s">
        <v>1822</v>
      </c>
      <c r="O127" s="64"/>
      <c r="P127" s="64"/>
      <c r="Q127" s="64"/>
      <c r="R127" s="64"/>
      <c r="S127" s="64"/>
      <c r="T127" s="64"/>
      <c r="U127" s="64" t="s">
        <v>1801</v>
      </c>
      <c r="V127" s="64" t="s">
        <v>1776</v>
      </c>
      <c r="W127" s="64"/>
      <c r="X127" s="64"/>
      <c r="Y127" s="64"/>
      <c r="Z127" s="64"/>
      <c r="AA127" s="64"/>
      <c r="AB127" s="64"/>
      <c r="AC127" s="64" t="s">
        <v>1823</v>
      </c>
      <c r="AD127" s="64"/>
      <c r="AE127" s="64"/>
      <c r="AF127" s="64"/>
      <c r="AG127" s="64" t="s">
        <v>410</v>
      </c>
      <c r="AH127" s="64"/>
      <c r="AI127" s="64"/>
      <c r="AJ127" s="64"/>
      <c r="AK127" s="64"/>
      <c r="AL127" s="64"/>
      <c r="AM127" s="64"/>
      <c r="AN127" s="64"/>
      <c r="AO127" s="64"/>
      <c r="AP127" s="64"/>
      <c r="AQ127" s="64"/>
      <c r="AR127" s="64"/>
      <c r="AS127" s="64"/>
      <c r="AT127" s="64" t="s">
        <v>403</v>
      </c>
      <c r="AU127" s="69" t="str">
        <f t="shared" si="2"/>
        <v>P3 placesVerrouillage centralisé à distance avec prédisposition pour carrosserie Vitres électriquesRétroviseurs électriques et dégivrantsAirbags conducteurMy Iveco radio tactile 7 poucesBluetoothSiège conducteur suspenduRadars de reculCaméra de reculRégulateur et Limiteur de vitesse réglable électroniqueClimatisation automatiqueDéflecteur de cabine Sans Chronotachygraphe (Chronotachygraphe obligatoire si le client roule au-delà d’un rayon de 100 km autour du lieu d'établissement de l'entreprise)Frein stationnement électriquePré-équipement télématique</v>
      </c>
      <c r="AV127" s="96"/>
      <c r="AW127" s="96"/>
      <c r="AX127" s="96"/>
      <c r="AY127" s="96"/>
      <c r="AZ127" s="96"/>
      <c r="BA127" s="96"/>
      <c r="BB127" s="96"/>
      <c r="BC127" s="96"/>
      <c r="BD127" s="96"/>
      <c r="BE127" s="96"/>
      <c r="BF127" s="96"/>
      <c r="BG127" s="96"/>
      <c r="BH127" s="96"/>
    </row>
    <row r="128" spans="1:60" s="96" customFormat="1" ht="33.75" outlineLevel="1" x14ac:dyDescent="0.25">
      <c r="A128" s="64" t="s">
        <v>1679</v>
      </c>
      <c r="B128" s="64" t="s">
        <v>32</v>
      </c>
      <c r="C128" s="64" t="s">
        <v>1777</v>
      </c>
      <c r="D128" s="64"/>
      <c r="E128" s="64" t="s">
        <v>402</v>
      </c>
      <c r="F128" s="64" t="s">
        <v>1761</v>
      </c>
      <c r="G128" s="64" t="s">
        <v>406</v>
      </c>
      <c r="H128" s="64" t="s">
        <v>1805</v>
      </c>
      <c r="I128" s="64" t="s">
        <v>1820</v>
      </c>
      <c r="J128" s="64" t="s">
        <v>404</v>
      </c>
      <c r="K128" s="64" t="s">
        <v>1821</v>
      </c>
      <c r="L128" s="64" t="s">
        <v>401</v>
      </c>
      <c r="M128" s="69" t="s">
        <v>400</v>
      </c>
      <c r="N128" s="64" t="s">
        <v>1822</v>
      </c>
      <c r="O128" s="64"/>
      <c r="P128" s="64"/>
      <c r="Q128" s="64"/>
      <c r="R128" s="64"/>
      <c r="S128" s="64"/>
      <c r="T128" s="64"/>
      <c r="U128" s="64" t="s">
        <v>399</v>
      </c>
      <c r="V128" s="64" t="s">
        <v>1776</v>
      </c>
      <c r="W128" s="64"/>
      <c r="X128" s="64"/>
      <c r="Y128" s="64"/>
      <c r="Z128" s="64"/>
      <c r="AA128" s="64"/>
      <c r="AB128" s="64"/>
      <c r="AC128" s="64"/>
      <c r="AD128" s="64"/>
      <c r="AE128" s="64"/>
      <c r="AF128" s="64"/>
      <c r="AG128" s="64"/>
      <c r="AH128" s="64"/>
      <c r="AI128" s="64"/>
      <c r="AJ128" s="64"/>
      <c r="AK128" s="64"/>
      <c r="AL128" s="64"/>
      <c r="AM128" s="64"/>
      <c r="AN128" s="70"/>
      <c r="AO128" s="70"/>
      <c r="AP128" s="64"/>
      <c r="AQ128" s="64"/>
      <c r="AR128" s="64"/>
      <c r="AS128" s="64"/>
      <c r="AT128" s="64" t="s">
        <v>1770</v>
      </c>
      <c r="AU128" s="69" t="str">
        <f t="shared" si="2"/>
        <v>P3 placesVerrouillage centralisé à distanceVitres électriquesRétroviseurs électriques et dégivrantsAirbags conducteur et passagerMy Iveco radio tactile 7 poucesBluetoothSiège conducteur suspenduRadars de reculCaméra de reculRégulateur et Limiteur de vitesse réglable électroniqueClimatisation manuelleDéflecteur de cabine Pack Access SAMSARA</v>
      </c>
    </row>
    <row r="129" spans="1:60" ht="33.75" outlineLevel="1" x14ac:dyDescent="0.25">
      <c r="A129" s="64" t="s">
        <v>1711</v>
      </c>
      <c r="B129" s="64" t="s">
        <v>32</v>
      </c>
      <c r="C129" s="64" t="s">
        <v>1777</v>
      </c>
      <c r="D129" s="64"/>
      <c r="E129" s="64" t="s">
        <v>402</v>
      </c>
      <c r="F129" s="64" t="s">
        <v>1761</v>
      </c>
      <c r="G129" s="64" t="s">
        <v>406</v>
      </c>
      <c r="H129" s="64" t="s">
        <v>555</v>
      </c>
      <c r="I129" s="64" t="s">
        <v>1820</v>
      </c>
      <c r="J129" s="64" t="s">
        <v>404</v>
      </c>
      <c r="K129" s="64" t="s">
        <v>1821</v>
      </c>
      <c r="L129" s="64" t="s">
        <v>401</v>
      </c>
      <c r="M129" s="69" t="s">
        <v>400</v>
      </c>
      <c r="N129" s="64" t="s">
        <v>1822</v>
      </c>
      <c r="O129" s="64"/>
      <c r="P129" s="64"/>
      <c r="Q129" s="64"/>
      <c r="R129" s="64"/>
      <c r="S129" s="64"/>
      <c r="T129" s="64"/>
      <c r="U129" s="64" t="s">
        <v>399</v>
      </c>
      <c r="V129" s="64"/>
      <c r="W129" s="64"/>
      <c r="X129" s="64"/>
      <c r="Y129" s="64"/>
      <c r="Z129" s="64"/>
      <c r="AA129" s="64"/>
      <c r="AB129" s="64"/>
      <c r="AC129" s="64" t="s">
        <v>407</v>
      </c>
      <c r="AD129" s="64"/>
      <c r="AE129" s="64"/>
      <c r="AF129" s="64"/>
      <c r="AG129" s="64"/>
      <c r="AH129" s="64"/>
      <c r="AI129" s="64"/>
      <c r="AJ129" s="64"/>
      <c r="AK129" s="64"/>
      <c r="AL129" s="64"/>
      <c r="AM129" s="64"/>
      <c r="AN129" s="70"/>
      <c r="AO129" s="64"/>
      <c r="AP129" s="64"/>
      <c r="AQ129" s="64"/>
      <c r="AR129" s="64"/>
      <c r="AS129" s="64"/>
      <c r="AT129" s="64" t="s">
        <v>1770</v>
      </c>
      <c r="AU129"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manuelleChronotachygraphePack Access SAMSARA</v>
      </c>
      <c r="AV129" s="96"/>
      <c r="AW129" s="96"/>
      <c r="AX129" s="96"/>
      <c r="AY129" s="96"/>
      <c r="AZ129" s="96"/>
      <c r="BA129" s="96"/>
      <c r="BB129" s="96"/>
      <c r="BC129" s="96"/>
      <c r="BD129" s="96"/>
      <c r="BE129" s="96"/>
      <c r="BF129" s="96"/>
      <c r="BG129" s="96"/>
      <c r="BH129" s="96"/>
    </row>
    <row r="130" spans="1:60" ht="33.75" outlineLevel="1" x14ac:dyDescent="0.25">
      <c r="A130" s="64" t="s">
        <v>1374</v>
      </c>
      <c r="B130" s="64" t="s">
        <v>32</v>
      </c>
      <c r="C130" s="64" t="s">
        <v>1777</v>
      </c>
      <c r="D130" s="64"/>
      <c r="E130" s="64" t="s">
        <v>402</v>
      </c>
      <c r="F130" s="64" t="s">
        <v>1761</v>
      </c>
      <c r="G130" s="64" t="s">
        <v>406</v>
      </c>
      <c r="H130" s="64" t="s">
        <v>555</v>
      </c>
      <c r="I130" s="64" t="s">
        <v>1820</v>
      </c>
      <c r="J130" s="64" t="s">
        <v>404</v>
      </c>
      <c r="K130" s="64" t="s">
        <v>1821</v>
      </c>
      <c r="L130" s="64" t="s">
        <v>401</v>
      </c>
      <c r="M130" s="69" t="s">
        <v>400</v>
      </c>
      <c r="N130" s="64" t="s">
        <v>1822</v>
      </c>
      <c r="O130" s="64"/>
      <c r="P130" s="64"/>
      <c r="Q130" s="64"/>
      <c r="R130" s="64"/>
      <c r="S130" s="64"/>
      <c r="T130" s="64"/>
      <c r="U130" s="64" t="s">
        <v>399</v>
      </c>
      <c r="V130" s="64"/>
      <c r="W130" s="64"/>
      <c r="X130" s="64"/>
      <c r="Y130" s="64"/>
      <c r="Z130" s="64"/>
      <c r="AA130" s="64"/>
      <c r="AB130" s="64"/>
      <c r="AC130" s="64" t="s">
        <v>407</v>
      </c>
      <c r="AD130" s="64"/>
      <c r="AE130" s="64"/>
      <c r="AF130" s="64"/>
      <c r="AG130" s="64"/>
      <c r="AH130" s="64"/>
      <c r="AI130" s="64"/>
      <c r="AJ130" s="64"/>
      <c r="AK130" s="64"/>
      <c r="AL130" s="64"/>
      <c r="AM130" s="64"/>
      <c r="AN130" s="70"/>
      <c r="AO130" s="64"/>
      <c r="AP130" s="64"/>
      <c r="AQ130" s="64"/>
      <c r="AR130" s="64"/>
      <c r="AS130" s="64"/>
      <c r="AT130" s="64" t="s">
        <v>403</v>
      </c>
      <c r="AU130"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manuelleChronotachygraphePré-équipement télématique</v>
      </c>
      <c r="AV130" s="96"/>
      <c r="AW130" s="96"/>
      <c r="AX130" s="96"/>
      <c r="AY130" s="96"/>
      <c r="AZ130" s="96"/>
      <c r="BA130" s="96"/>
      <c r="BB130" s="96"/>
      <c r="BC130" s="96"/>
      <c r="BD130" s="96"/>
      <c r="BE130" s="96"/>
      <c r="BF130" s="96"/>
      <c r="BG130" s="96"/>
      <c r="BH130" s="96"/>
    </row>
    <row r="131" spans="1:60" ht="33.75" outlineLevel="1" x14ac:dyDescent="0.25">
      <c r="A131" s="64" t="s">
        <v>1390</v>
      </c>
      <c r="B131" s="64" t="s">
        <v>32</v>
      </c>
      <c r="C131" s="64" t="s">
        <v>1777</v>
      </c>
      <c r="D131" s="64"/>
      <c r="E131" s="64" t="s">
        <v>402</v>
      </c>
      <c r="F131" s="64" t="s">
        <v>1761</v>
      </c>
      <c r="G131" s="64" t="s">
        <v>406</v>
      </c>
      <c r="H131" s="64" t="s">
        <v>555</v>
      </c>
      <c r="I131" s="64" t="s">
        <v>1820</v>
      </c>
      <c r="J131" s="64" t="s">
        <v>404</v>
      </c>
      <c r="K131" s="64" t="s">
        <v>1821</v>
      </c>
      <c r="L131" s="64" t="s">
        <v>401</v>
      </c>
      <c r="M131" s="69" t="s">
        <v>400</v>
      </c>
      <c r="N131" s="64" t="s">
        <v>1822</v>
      </c>
      <c r="O131" s="64"/>
      <c r="P131" s="64"/>
      <c r="Q131" s="64"/>
      <c r="R131" s="64"/>
      <c r="S131" s="64"/>
      <c r="T131" s="64"/>
      <c r="U131" s="64" t="s">
        <v>1801</v>
      </c>
      <c r="V131" s="64" t="s">
        <v>1776</v>
      </c>
      <c r="W131" s="64"/>
      <c r="X131" s="64"/>
      <c r="Y131" s="64"/>
      <c r="Z131" s="64"/>
      <c r="AA131" s="64"/>
      <c r="AB131" s="64"/>
      <c r="AC131" s="64" t="s">
        <v>407</v>
      </c>
      <c r="AD131" s="64"/>
      <c r="AE131" s="64"/>
      <c r="AF131" s="64"/>
      <c r="AG131" s="64" t="s">
        <v>410</v>
      </c>
      <c r="AH131" s="64"/>
      <c r="AI131" s="64"/>
      <c r="AJ131" s="64"/>
      <c r="AK131" s="64"/>
      <c r="AL131" s="64"/>
      <c r="AM131" s="64"/>
      <c r="AN131" s="64"/>
      <c r="AO131" s="64"/>
      <c r="AP131" s="64"/>
      <c r="AQ131" s="64"/>
      <c r="AR131" s="64"/>
      <c r="AS131" s="64"/>
      <c r="AT131" s="64" t="s">
        <v>403</v>
      </c>
      <c r="AU131"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automatiqueDéflecteur de cabine ChronotachygrapheFrein stationnement électriquePré-équipement télématique</v>
      </c>
      <c r="AV131" s="96"/>
      <c r="AW131" s="96"/>
      <c r="AX131" s="96"/>
      <c r="AY131" s="96"/>
      <c r="AZ131" s="96"/>
      <c r="BA131" s="96"/>
      <c r="BB131" s="96"/>
      <c r="BC131" s="96"/>
      <c r="BD131" s="96"/>
      <c r="BE131" s="96"/>
      <c r="BF131" s="96"/>
      <c r="BG131" s="96"/>
      <c r="BH131" s="96"/>
    </row>
    <row r="132" spans="1:60" ht="33.75" outlineLevel="1" x14ac:dyDescent="0.25">
      <c r="A132" s="64" t="s">
        <v>1701</v>
      </c>
      <c r="B132" s="64" t="s">
        <v>32</v>
      </c>
      <c r="C132" s="64" t="s">
        <v>1777</v>
      </c>
      <c r="D132" s="64"/>
      <c r="E132" s="64" t="s">
        <v>402</v>
      </c>
      <c r="F132" s="64" t="s">
        <v>1761</v>
      </c>
      <c r="G132" s="64" t="s">
        <v>406</v>
      </c>
      <c r="H132" s="64" t="s">
        <v>555</v>
      </c>
      <c r="I132" s="64" t="s">
        <v>1820</v>
      </c>
      <c r="J132" s="64" t="s">
        <v>404</v>
      </c>
      <c r="K132" s="64" t="s">
        <v>1821</v>
      </c>
      <c r="L132" s="64" t="s">
        <v>401</v>
      </c>
      <c r="M132" s="69" t="s">
        <v>400</v>
      </c>
      <c r="N132" s="64" t="s">
        <v>1822</v>
      </c>
      <c r="O132" s="64"/>
      <c r="P132" s="64"/>
      <c r="Q132" s="64"/>
      <c r="R132" s="64"/>
      <c r="S132" s="64"/>
      <c r="T132" s="64"/>
      <c r="U132" s="64" t="s">
        <v>1801</v>
      </c>
      <c r="V132" s="64"/>
      <c r="W132" s="64"/>
      <c r="X132" s="64"/>
      <c r="Y132" s="64"/>
      <c r="Z132" s="64"/>
      <c r="AA132" s="64"/>
      <c r="AB132" s="64"/>
      <c r="AC132" s="64" t="s">
        <v>407</v>
      </c>
      <c r="AD132" s="64"/>
      <c r="AE132" s="64"/>
      <c r="AF132" s="64"/>
      <c r="AG132" s="64" t="s">
        <v>410</v>
      </c>
      <c r="AH132" s="64"/>
      <c r="AI132" s="64"/>
      <c r="AJ132" s="64"/>
      <c r="AK132" s="64"/>
      <c r="AL132" s="64"/>
      <c r="AM132" s="64"/>
      <c r="AN132" s="64"/>
      <c r="AO132" s="64"/>
      <c r="AP132" s="64"/>
      <c r="AQ132" s="64"/>
      <c r="AR132" s="64"/>
      <c r="AS132" s="64"/>
      <c r="AT132" s="64" t="s">
        <v>1770</v>
      </c>
      <c r="AU132"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automatiqueChronotachygrapheFrein stationnement électriquePack Access SAMSARA</v>
      </c>
      <c r="AV132" s="96"/>
      <c r="AW132" s="96"/>
      <c r="AX132" s="96"/>
      <c r="AY132" s="96"/>
      <c r="AZ132" s="96"/>
      <c r="BA132" s="96"/>
      <c r="BB132" s="96"/>
      <c r="BC132" s="96"/>
      <c r="BD132" s="96"/>
      <c r="BE132" s="96"/>
      <c r="BF132" s="96"/>
      <c r="BG132" s="96"/>
      <c r="BH132" s="96"/>
    </row>
    <row r="133" spans="1:60" ht="33.75" outlineLevel="1" x14ac:dyDescent="0.25">
      <c r="A133" s="64" t="s">
        <v>1706</v>
      </c>
      <c r="B133" s="64" t="s">
        <v>32</v>
      </c>
      <c r="C133" s="64" t="s">
        <v>1777</v>
      </c>
      <c r="D133" s="64"/>
      <c r="E133" s="64" t="s">
        <v>402</v>
      </c>
      <c r="F133" s="64" t="s">
        <v>1761</v>
      </c>
      <c r="G133" s="64" t="s">
        <v>406</v>
      </c>
      <c r="H133" s="64" t="s">
        <v>555</v>
      </c>
      <c r="I133" s="64" t="s">
        <v>1820</v>
      </c>
      <c r="J133" s="64" t="s">
        <v>404</v>
      </c>
      <c r="K133" s="64" t="s">
        <v>1821</v>
      </c>
      <c r="L133" s="64" t="s">
        <v>401</v>
      </c>
      <c r="M133" s="69" t="s">
        <v>400</v>
      </c>
      <c r="N133" s="64" t="s">
        <v>1822</v>
      </c>
      <c r="O133" s="64"/>
      <c r="P133" s="64"/>
      <c r="Q133" s="64"/>
      <c r="R133" s="64"/>
      <c r="S133" s="64"/>
      <c r="T133" s="64"/>
      <c r="U133" s="64" t="s">
        <v>1801</v>
      </c>
      <c r="V133" s="64" t="s">
        <v>1776</v>
      </c>
      <c r="W133" s="64"/>
      <c r="X133" s="64"/>
      <c r="Y133" s="64"/>
      <c r="Z133" s="64"/>
      <c r="AA133" s="64"/>
      <c r="AB133" s="64"/>
      <c r="AC133" s="64" t="s">
        <v>407</v>
      </c>
      <c r="AD133" s="64"/>
      <c r="AE133" s="64"/>
      <c r="AF133" s="64"/>
      <c r="AG133" s="64"/>
      <c r="AH133" s="64"/>
      <c r="AI133" s="64"/>
      <c r="AJ133" s="64"/>
      <c r="AK133" s="64"/>
      <c r="AL133" s="64"/>
      <c r="AM133" s="64"/>
      <c r="AN133" s="64"/>
      <c r="AO133" s="64"/>
      <c r="AP133" s="64"/>
      <c r="AQ133" s="64"/>
      <c r="AR133" s="64"/>
      <c r="AS133" s="64"/>
      <c r="AT133" s="64" t="s">
        <v>1770</v>
      </c>
      <c r="AU133" s="69" t="str">
        <f t="shared" si="2"/>
        <v>P3 placesVerrouillage centralisé à distanceVitres électriquesRétroviseurs électriques et dégivrantsAirbag conducteurMy Iveco radio tactile 7 poucesBluetoothSiège conducteur suspenduRadars de reculCaméra de reculRégulateur et Limiteur de vitesse réglable électroniqueClimatisation automatiqueDéflecteur de cabine ChronotachygraphePack Access SAMSARA</v>
      </c>
      <c r="AV133" s="96"/>
      <c r="AW133" s="96"/>
      <c r="AX133" s="96"/>
      <c r="AY133" s="96"/>
      <c r="AZ133" s="96"/>
      <c r="BA133" s="96"/>
      <c r="BB133" s="96"/>
      <c r="BC133" s="96"/>
      <c r="BD133" s="96"/>
      <c r="BE133" s="96"/>
      <c r="BF133" s="96"/>
      <c r="BG133" s="96"/>
      <c r="BH133" s="96"/>
    </row>
    <row r="134" spans="1:60" ht="33.75" outlineLevel="1" x14ac:dyDescent="0.25">
      <c r="A134" s="64" t="s">
        <v>1527</v>
      </c>
      <c r="B134" s="64" t="s">
        <v>32</v>
      </c>
      <c r="C134" s="64" t="s">
        <v>1777</v>
      </c>
      <c r="D134" s="64"/>
      <c r="E134" s="64" t="s">
        <v>402</v>
      </c>
      <c r="F134" s="64" t="s">
        <v>1761</v>
      </c>
      <c r="G134" s="64" t="s">
        <v>1807</v>
      </c>
      <c r="H134" s="64" t="s">
        <v>555</v>
      </c>
      <c r="I134" s="64" t="s">
        <v>1803</v>
      </c>
      <c r="J134" s="64" t="s">
        <v>404</v>
      </c>
      <c r="K134" s="64" t="s">
        <v>1804</v>
      </c>
      <c r="L134" s="64" t="s">
        <v>401</v>
      </c>
      <c r="M134" s="69" t="s">
        <v>400</v>
      </c>
      <c r="N134" s="64" t="s">
        <v>1765</v>
      </c>
      <c r="O134" s="64"/>
      <c r="P134" s="64"/>
      <c r="Q134" s="64"/>
      <c r="R134" s="64"/>
      <c r="S134" s="64"/>
      <c r="T134" s="64"/>
      <c r="U134" s="64" t="s">
        <v>399</v>
      </c>
      <c r="V134" s="64" t="s">
        <v>1776</v>
      </c>
      <c r="W134" s="64"/>
      <c r="X134" s="64"/>
      <c r="Y134" s="64"/>
      <c r="Z134" s="64"/>
      <c r="AA134" s="64"/>
      <c r="AB134" s="64"/>
      <c r="AC134" s="64"/>
      <c r="AD134" s="64"/>
      <c r="AE134" s="64"/>
      <c r="AF134" s="64"/>
      <c r="AG134" s="64"/>
      <c r="AH134" s="64"/>
      <c r="AI134" s="70"/>
      <c r="AJ134" s="64"/>
      <c r="AK134" s="64"/>
      <c r="AL134" s="64"/>
      <c r="AM134" s="64"/>
      <c r="AN134" s="70"/>
      <c r="AO134" s="64"/>
      <c r="AP134" s="64"/>
      <c r="AQ134" s="64"/>
      <c r="AR134" s="64"/>
      <c r="AS134" s="64"/>
      <c r="AT134" s="64" t="s">
        <v>403</v>
      </c>
      <c r="AU134" s="69" t="str">
        <f t="shared" si="2"/>
        <v>P3 placesVerrouillage centralisé à distanceVitres électriquesRétroviseurs électriques et dégivrants (bras long)Airbag conducteurRadio USB avec cmde au volantBluetoothSiège conducteur réglable aux lombaires avec accoudoirRadars de reculCaméra de reculRégulateur et limiteur de vitesseClimatisation manuelleDéflecteur de cabine Pré-équipement télématique</v>
      </c>
      <c r="AV134" s="96"/>
      <c r="AW134" s="96"/>
      <c r="AX134" s="96"/>
      <c r="AY134" s="96"/>
      <c r="AZ134" s="96"/>
      <c r="BA134" s="96"/>
      <c r="BB134" s="96"/>
      <c r="BC134" s="96"/>
      <c r="BD134" s="96"/>
      <c r="BE134" s="96"/>
      <c r="BF134" s="96"/>
      <c r="BG134" s="96"/>
      <c r="BH134" s="96"/>
    </row>
    <row r="135" spans="1:60" ht="45" outlineLevel="1" x14ac:dyDescent="0.25">
      <c r="A135" s="64" t="s">
        <v>1494</v>
      </c>
      <c r="B135" s="64" t="s">
        <v>32</v>
      </c>
      <c r="C135" s="64" t="s">
        <v>1759</v>
      </c>
      <c r="D135" s="64"/>
      <c r="E135" s="64" t="s">
        <v>402</v>
      </c>
      <c r="F135" s="64" t="s">
        <v>1761</v>
      </c>
      <c r="G135" s="64" t="s">
        <v>406</v>
      </c>
      <c r="H135" s="64" t="s">
        <v>555</v>
      </c>
      <c r="I135" s="64" t="s">
        <v>1826</v>
      </c>
      <c r="J135" s="64" t="s">
        <v>404</v>
      </c>
      <c r="K135" s="64" t="s">
        <v>1827</v>
      </c>
      <c r="L135" s="64" t="s">
        <v>1828</v>
      </c>
      <c r="M135" s="69" t="s">
        <v>400</v>
      </c>
      <c r="N135" s="64" t="s">
        <v>1829</v>
      </c>
      <c r="O135" s="64" t="s">
        <v>1830</v>
      </c>
      <c r="P135" s="64"/>
      <c r="Q135" s="64"/>
      <c r="R135" s="64"/>
      <c r="S135" s="64"/>
      <c r="T135" s="64"/>
      <c r="U135" s="64" t="s">
        <v>399</v>
      </c>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t="s">
        <v>403</v>
      </c>
      <c r="AU135" s="69" t="str">
        <f t="shared" si="2"/>
        <v>P2 placesVerrouillage centralisé à distanceVitres électriquesRétroviseurs électriques et dégivrantsAirbag conducteurMultimédia : Easy link avec écran 8”BluetoothSiège conducteur réglable en HauteurPack Easy Park (aide au parking avant et arrièreCaméra de reculRégulateur / limitateur de vitesse (avec freinage en
descente)Avertisseur sonore piétonsClimatisation manuellePré-équipement télématique</v>
      </c>
      <c r="AV135" s="96"/>
      <c r="AW135" s="96"/>
      <c r="AX135" s="96"/>
      <c r="AY135" s="96"/>
      <c r="AZ135" s="96"/>
      <c r="BA135" s="96"/>
      <c r="BB135" s="96"/>
      <c r="BC135" s="96"/>
      <c r="BD135" s="96"/>
      <c r="BE135" s="96"/>
      <c r="BF135" s="96"/>
      <c r="BG135" s="96"/>
      <c r="BH135" s="96"/>
    </row>
    <row r="136" spans="1:60" ht="33.75" outlineLevel="1" x14ac:dyDescent="0.25">
      <c r="A136" s="64" t="s">
        <v>1501</v>
      </c>
      <c r="B136" s="64" t="s">
        <v>32</v>
      </c>
      <c r="C136" s="64" t="s">
        <v>1759</v>
      </c>
      <c r="D136" s="64"/>
      <c r="E136" s="64" t="s">
        <v>402</v>
      </c>
      <c r="F136" s="64" t="s">
        <v>1761</v>
      </c>
      <c r="G136" s="64" t="s">
        <v>406</v>
      </c>
      <c r="H136" s="64" t="s">
        <v>555</v>
      </c>
      <c r="I136" s="64" t="s">
        <v>1826</v>
      </c>
      <c r="J136" s="64" t="s">
        <v>404</v>
      </c>
      <c r="K136" s="64" t="s">
        <v>1827</v>
      </c>
      <c r="L136" s="64" t="s">
        <v>401</v>
      </c>
      <c r="M136" s="69" t="s">
        <v>400</v>
      </c>
      <c r="N136" s="64" t="s">
        <v>1829</v>
      </c>
      <c r="O136" s="64" t="s">
        <v>1830</v>
      </c>
      <c r="P136" s="64"/>
      <c r="Q136" s="64"/>
      <c r="R136" s="64"/>
      <c r="S136" s="64"/>
      <c r="T136" s="64"/>
      <c r="U136" s="64" t="s">
        <v>399</v>
      </c>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t="s">
        <v>403</v>
      </c>
      <c r="AU136" s="69" t="str">
        <f t="shared" si="2"/>
        <v>P2 placesVerrouillage centralisé à distanceVitres électriquesRétroviseurs électriques et dégivrantsAirbag conducteurMultimédia : Easy link avec écran 8”BluetoothSiège conducteur réglable en HauteurRadars de reculCaméra de reculRégulateur / limitateur de vitesse (avec freinage en
descente)Avertisseur sonore piétonsClimatisation manuellePré-équipement télématique</v>
      </c>
      <c r="AV136" s="96"/>
      <c r="AW136" s="96"/>
      <c r="AX136" s="96"/>
      <c r="AY136" s="96"/>
      <c r="AZ136" s="96"/>
      <c r="BA136" s="96"/>
      <c r="BB136" s="96"/>
      <c r="BC136" s="96"/>
      <c r="BD136" s="96"/>
      <c r="BE136" s="96"/>
      <c r="BF136" s="96"/>
      <c r="BG136" s="96"/>
      <c r="BH136" s="96"/>
    </row>
    <row r="137" spans="1:60" ht="67.5" outlineLevel="1" x14ac:dyDescent="0.25">
      <c r="A137" s="64" t="s">
        <v>1156</v>
      </c>
      <c r="B137" s="64" t="s">
        <v>32</v>
      </c>
      <c r="C137" s="64" t="s">
        <v>1759</v>
      </c>
      <c r="D137" s="64" t="s">
        <v>1760</v>
      </c>
      <c r="E137" s="64" t="s">
        <v>402</v>
      </c>
      <c r="F137" s="64" t="s">
        <v>1761</v>
      </c>
      <c r="G137" s="64" t="s">
        <v>406</v>
      </c>
      <c r="H137" s="64" t="s">
        <v>1762</v>
      </c>
      <c r="I137" s="64" t="s">
        <v>1763</v>
      </c>
      <c r="J137" s="64"/>
      <c r="K137" s="64" t="s">
        <v>1764</v>
      </c>
      <c r="L137" s="64" t="s">
        <v>401</v>
      </c>
      <c r="M137" s="69" t="s">
        <v>400</v>
      </c>
      <c r="N137" s="64" t="s">
        <v>1765</v>
      </c>
      <c r="O137" s="64" t="s">
        <v>1766</v>
      </c>
      <c r="P137" s="64" t="s">
        <v>1767</v>
      </c>
      <c r="Q137" s="64"/>
      <c r="R137" s="64"/>
      <c r="S137" s="64"/>
      <c r="T137" s="64"/>
      <c r="U137" s="64" t="s">
        <v>399</v>
      </c>
      <c r="V137" s="64"/>
      <c r="W137" s="64"/>
      <c r="X137" s="64"/>
      <c r="Y137" s="64"/>
      <c r="Z137" s="64"/>
      <c r="AA137" s="64"/>
      <c r="AB137" s="64"/>
      <c r="AC137" s="64"/>
      <c r="AD137" s="64"/>
      <c r="AE137" s="64" t="s">
        <v>1768</v>
      </c>
      <c r="AF137" s="64" t="s">
        <v>1769</v>
      </c>
      <c r="AG137" s="64"/>
      <c r="AH137" s="64"/>
      <c r="AI137" s="64"/>
      <c r="AJ137" s="64"/>
      <c r="AK137" s="64"/>
      <c r="AL137" s="64"/>
      <c r="AM137" s="64"/>
      <c r="AN137" s="64"/>
      <c r="AO137" s="64"/>
      <c r="AP137" s="64"/>
      <c r="AQ137" s="64"/>
      <c r="AR137" s="64"/>
      <c r="AS137" s="64"/>
      <c r="AT137" s="64" t="s">
        <v>403</v>
      </c>
      <c r="AU137" s="69" t="str">
        <f>CONCATENATE(B137,C137,D137,E137,F137,G137,H137,I137,J137,K137,L137,M137,N137,O137,P137,Q137,R137,S137,T137,U137,V137,W137,X137,Y137,Z137,AA137,AB137,AC137,AD137,AE137,AF137,AG137,AH137,AI137,AJ137,AK137,AL137,AM137,AN137,AO137,AP137,AQ137,AR137,AS137,AT137)</f>
        <v>P2 placesPack Hiver : Pare-brise chauffantVerrouillage centralisé à distanceVitres électriquesRétroviseurs électriques et dégivrantsAirbags Conducteur et Passager : Frontaux, Latéraux, RideauxRadio numérique DAB sur tablette tactile 10" couleur avec Android Auto™ et Apple CarPlay®Pack Hiver : Siège conducteur chauffant confort avec accoudoir (réglage en hauteur et réglage lombaire) et siège passager chauffantRadars de reculCaméra de reculRégulateur et limiteur de vitessePack Hiver : Volant cuir multifonctions réglable en hauteur et en profondeurPrise 12V sur planche de bordClimatisation manuelleDétection de sous gonflage Allumage automatique des feux de croisement et CommutationPré-équipement télématique</v>
      </c>
      <c r="AV137" s="96"/>
      <c r="AW137" s="96"/>
      <c r="AX137" s="96"/>
      <c r="AY137" s="96"/>
      <c r="AZ137" s="96"/>
      <c r="BA137" s="96"/>
      <c r="BB137" s="96"/>
      <c r="BC137" s="96"/>
      <c r="BD137" s="96"/>
      <c r="BE137" s="96"/>
      <c r="BF137" s="96"/>
      <c r="BG137" s="96"/>
      <c r="BH137" s="96"/>
    </row>
    <row r="138" spans="1:60" s="96" customFormat="1" ht="22.5" outlineLevel="1" x14ac:dyDescent="0.25">
      <c r="A138" s="64" t="s">
        <v>4391</v>
      </c>
      <c r="B138" s="64" t="s">
        <v>32</v>
      </c>
      <c r="C138" s="64" t="s">
        <v>1777</v>
      </c>
      <c r="D138" s="64"/>
      <c r="E138" s="64" t="s">
        <v>402</v>
      </c>
      <c r="F138" s="64" t="s">
        <v>1761</v>
      </c>
      <c r="G138" s="64" t="s">
        <v>406</v>
      </c>
      <c r="H138" s="64" t="s">
        <v>555</v>
      </c>
      <c r="I138" s="64" t="s">
        <v>1808</v>
      </c>
      <c r="J138" s="64" t="s">
        <v>404</v>
      </c>
      <c r="K138" s="64" t="s">
        <v>1809</v>
      </c>
      <c r="L138" s="64" t="s">
        <v>401</v>
      </c>
      <c r="M138" s="64"/>
      <c r="N138" s="64" t="s">
        <v>1765</v>
      </c>
      <c r="O138" s="64"/>
      <c r="P138" s="64"/>
      <c r="Q138" s="64"/>
      <c r="R138" s="64"/>
      <c r="S138" s="64"/>
      <c r="T138" s="64"/>
      <c r="U138" s="64" t="s">
        <v>399</v>
      </c>
      <c r="V138" s="64"/>
      <c r="W138" s="64"/>
      <c r="X138" s="64"/>
      <c r="Y138" s="64"/>
      <c r="Z138" s="64"/>
      <c r="AA138" s="64"/>
      <c r="AB138" s="64"/>
      <c r="AC138" s="64"/>
      <c r="AD138" s="64"/>
      <c r="AE138" s="64"/>
      <c r="AF138" s="64"/>
      <c r="AG138" s="64"/>
      <c r="AH138" s="64"/>
      <c r="AI138" s="64"/>
      <c r="AJ138" s="64"/>
      <c r="AK138" s="64"/>
      <c r="AL138" s="64"/>
      <c r="AM138" s="64"/>
      <c r="AN138" s="64"/>
      <c r="AO138" s="64"/>
      <c r="AP138" s="69"/>
      <c r="AQ138" s="64"/>
      <c r="AR138" s="64"/>
      <c r="AS138" s="64"/>
      <c r="AT138" s="64"/>
    </row>
    <row r="139" spans="1:60" s="96" customFormat="1" ht="22.5" outlineLevel="1" x14ac:dyDescent="0.25">
      <c r="A139" s="64" t="s">
        <v>4369</v>
      </c>
      <c r="B139" s="64" t="s">
        <v>32</v>
      </c>
      <c r="C139" s="64" t="s">
        <v>1777</v>
      </c>
      <c r="D139" s="64" t="s">
        <v>405</v>
      </c>
      <c r="E139" s="64" t="s">
        <v>402</v>
      </c>
      <c r="F139" s="64" t="s">
        <v>1761</v>
      </c>
      <c r="G139" s="64" t="s">
        <v>3704</v>
      </c>
      <c r="H139" s="64" t="s">
        <v>555</v>
      </c>
      <c r="I139" s="64" t="s">
        <v>1808</v>
      </c>
      <c r="J139" s="64" t="s">
        <v>404</v>
      </c>
      <c r="K139" s="64" t="s">
        <v>1809</v>
      </c>
      <c r="L139" s="64" t="s">
        <v>401</v>
      </c>
      <c r="M139" s="64"/>
      <c r="N139" s="64" t="s">
        <v>1765</v>
      </c>
      <c r="O139" s="64"/>
      <c r="P139" s="64"/>
      <c r="Q139" s="64"/>
      <c r="R139" s="64"/>
      <c r="S139" s="64"/>
      <c r="T139" s="64"/>
      <c r="U139" s="64" t="s">
        <v>399</v>
      </c>
      <c r="V139" s="64"/>
      <c r="W139" s="64"/>
      <c r="X139" s="64"/>
      <c r="Y139" s="64"/>
      <c r="Z139" s="64"/>
      <c r="AA139" s="64"/>
      <c r="AB139" s="64"/>
      <c r="AC139" s="64"/>
      <c r="AD139" s="64"/>
      <c r="AE139" s="64"/>
      <c r="AF139" s="64"/>
      <c r="AG139" s="64"/>
      <c r="AH139" s="64"/>
      <c r="AI139" s="70"/>
      <c r="AJ139" s="64"/>
      <c r="AK139" s="64"/>
      <c r="AL139" s="64"/>
      <c r="AM139" s="64"/>
      <c r="AN139" s="64"/>
      <c r="AO139" s="64"/>
      <c r="AP139" s="64"/>
      <c r="AQ139" s="64"/>
      <c r="AR139" s="64"/>
      <c r="AS139" s="64"/>
      <c r="AT139" s="64"/>
    </row>
    <row r="140" spans="1:60" ht="67.5" x14ac:dyDescent="0.25">
      <c r="A140" s="64" t="s">
        <v>2855</v>
      </c>
      <c r="B140" s="64" t="s">
        <v>32</v>
      </c>
      <c r="C140" s="74" t="s">
        <v>537</v>
      </c>
      <c r="D140" s="74"/>
      <c r="E140" s="74" t="s">
        <v>402</v>
      </c>
      <c r="F140" s="74" t="s">
        <v>538</v>
      </c>
      <c r="G140" s="74" t="s">
        <v>539</v>
      </c>
      <c r="H140" s="74" t="s">
        <v>406</v>
      </c>
      <c r="I140" s="74" t="s">
        <v>551</v>
      </c>
      <c r="J140" s="74" t="s">
        <v>409</v>
      </c>
      <c r="K140" s="74" t="s">
        <v>552</v>
      </c>
      <c r="L140" s="74" t="s">
        <v>553</v>
      </c>
      <c r="M140" s="74" t="s">
        <v>400</v>
      </c>
      <c r="N140" s="74" t="s">
        <v>401</v>
      </c>
      <c r="O140" s="74" t="s">
        <v>542</v>
      </c>
      <c r="P140" s="74" t="s">
        <v>543</v>
      </c>
      <c r="Q140" s="74" t="s">
        <v>399</v>
      </c>
      <c r="R140" s="74"/>
      <c r="S140" s="74" t="s">
        <v>544</v>
      </c>
      <c r="T140" s="74"/>
      <c r="U140" s="74"/>
      <c r="V140" s="74" t="s">
        <v>545</v>
      </c>
      <c r="W140" s="74" t="s">
        <v>546</v>
      </c>
      <c r="X140" s="74"/>
      <c r="Y140" s="74" t="s">
        <v>746</v>
      </c>
      <c r="Z140" s="74"/>
      <c r="AA140" s="74" t="s">
        <v>547</v>
      </c>
      <c r="AB140" s="74"/>
      <c r="AC140" s="74"/>
      <c r="AD140" s="74"/>
      <c r="AE140" s="74"/>
      <c r="AF140" s="74"/>
      <c r="AG140" s="74"/>
      <c r="AH140" s="74"/>
      <c r="AI140" s="74"/>
      <c r="AJ140" s="74"/>
      <c r="AK140" s="74"/>
      <c r="AL140" s="74"/>
      <c r="AM140" s="74"/>
      <c r="AN140" s="74"/>
      <c r="AO140" s="74"/>
      <c r="AP140" s="74"/>
      <c r="AQ140" s="74"/>
      <c r="AR140" s="74"/>
      <c r="AS140" s="74"/>
      <c r="AT140" s="74"/>
      <c r="AU140" s="69" t="str">
        <f t="shared" si="2"/>
        <v>PCabine courte 3 places (couleur blanc)Verrouillage centralisé à distanceVitres électriques teintéesAirbags conducteur et passagersRétroviseurs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manuelleAllumage des feux et essuies glace automatiquesMesure de pression des pneumatiquesPhares avant HALOGENESRun LockMarteau brise vitre avec coupe ceinture de sécurité</v>
      </c>
      <c r="AV140" s="96"/>
      <c r="AW140" s="96"/>
      <c r="AX140" s="96"/>
      <c r="AY140" s="96"/>
      <c r="AZ140" s="96"/>
      <c r="BA140" s="96"/>
      <c r="BB140" s="96"/>
      <c r="BC140" s="96"/>
      <c r="BD140" s="96"/>
      <c r="BE140" s="96"/>
      <c r="BF140" s="96"/>
      <c r="BG140" s="96"/>
      <c r="BH140" s="96"/>
    </row>
    <row r="141" spans="1:60" ht="22.5" hidden="1" outlineLevel="1" x14ac:dyDescent="0.25">
      <c r="A141" s="64" t="s">
        <v>2862</v>
      </c>
      <c r="B141" s="64" t="s">
        <v>424</v>
      </c>
      <c r="C141" s="64"/>
      <c r="D141" s="64"/>
      <c r="E141" s="74" t="s">
        <v>548</v>
      </c>
      <c r="F141" s="74" t="s">
        <v>549</v>
      </c>
      <c r="G141" s="74" t="s">
        <v>747</v>
      </c>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69" t="str">
        <f t="shared" si="2"/>
        <v>OPhares avant antibrouillardPhares avant full LEDFrein de parc électrique</v>
      </c>
      <c r="AV141" s="96"/>
      <c r="AW141" s="96"/>
      <c r="AX141" s="96"/>
      <c r="AY141" s="96"/>
      <c r="AZ141" s="96"/>
      <c r="BA141" s="96"/>
      <c r="BB141" s="96"/>
      <c r="BC141" s="96"/>
      <c r="BD141" s="96"/>
      <c r="BE141" s="96"/>
      <c r="BF141" s="96"/>
      <c r="BG141" s="96"/>
      <c r="BH141" s="96"/>
    </row>
    <row r="142" spans="1:60" ht="67.5" hidden="1" outlineLevel="1" x14ac:dyDescent="0.25">
      <c r="A142" s="64" t="s">
        <v>2861</v>
      </c>
      <c r="B142" s="64" t="s">
        <v>32</v>
      </c>
      <c r="C142" s="74" t="s">
        <v>537</v>
      </c>
      <c r="D142" s="74"/>
      <c r="E142" s="74" t="s">
        <v>402</v>
      </c>
      <c r="F142" s="74" t="s">
        <v>538</v>
      </c>
      <c r="G142" s="74" t="s">
        <v>555</v>
      </c>
      <c r="H142" s="74" t="s">
        <v>406</v>
      </c>
      <c r="I142" s="74" t="s">
        <v>551</v>
      </c>
      <c r="J142" s="74" t="s">
        <v>409</v>
      </c>
      <c r="K142" s="74" t="s">
        <v>552</v>
      </c>
      <c r="L142" s="74" t="s">
        <v>553</v>
      </c>
      <c r="M142" s="74" t="s">
        <v>400</v>
      </c>
      <c r="N142" s="74" t="s">
        <v>401</v>
      </c>
      <c r="O142" s="74" t="s">
        <v>542</v>
      </c>
      <c r="P142" s="74" t="s">
        <v>543</v>
      </c>
      <c r="Q142" s="74" t="s">
        <v>399</v>
      </c>
      <c r="R142" s="74" t="s">
        <v>748</v>
      </c>
      <c r="S142" s="74" t="s">
        <v>544</v>
      </c>
      <c r="T142" s="74"/>
      <c r="U142" s="74"/>
      <c r="V142" s="74" t="s">
        <v>545</v>
      </c>
      <c r="W142" s="74" t="s">
        <v>546</v>
      </c>
      <c r="X142" s="74"/>
      <c r="Y142" s="74"/>
      <c r="Z142" s="74"/>
      <c r="AA142" s="74" t="s">
        <v>547</v>
      </c>
      <c r="AB142" s="74"/>
      <c r="AC142" s="74"/>
      <c r="AD142" s="74" t="s">
        <v>749</v>
      </c>
      <c r="AE142" s="74"/>
      <c r="AF142" s="74"/>
      <c r="AG142" s="74"/>
      <c r="AH142" s="74"/>
      <c r="AI142" s="74"/>
      <c r="AJ142" s="74"/>
      <c r="AK142" s="74"/>
      <c r="AL142" s="74"/>
      <c r="AM142" s="74"/>
      <c r="AN142" s="74"/>
      <c r="AO142" s="74"/>
      <c r="AP142" s="74"/>
      <c r="AQ142" s="74"/>
      <c r="AR142" s="74"/>
      <c r="AS142" s="74"/>
      <c r="AT142" s="74"/>
      <c r="AU142" s="69" t="str">
        <f t="shared" si="2"/>
        <v>PCabine courte 3 places (couleur blanc)Verrouillage centralisé à distanceVitres électriques teintéesAirbag conducteurRétroviseurs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manuelleChronotachygraphe avec paramétrage distribution travail actifAllumage des feux et essuies glace automatiquesMesure de pression des pneumatiquesPhares avant HALOGENESMarteau brise vitre avec coupe ceinture de sécuritéExtincteur 2 kg en cabine</v>
      </c>
      <c r="AV142" s="96"/>
      <c r="AW142" s="96"/>
      <c r="AX142" s="96"/>
      <c r="AY142" s="96"/>
      <c r="AZ142" s="96"/>
      <c r="BA142" s="96"/>
      <c r="BB142" s="96"/>
      <c r="BC142" s="96"/>
      <c r="BD142" s="96"/>
      <c r="BE142" s="96"/>
      <c r="BF142" s="96"/>
      <c r="BG142" s="96"/>
      <c r="BH142" s="96"/>
    </row>
    <row r="143" spans="1:60" hidden="1" outlineLevel="1" x14ac:dyDescent="0.25">
      <c r="A143" s="64" t="s">
        <v>2881</v>
      </c>
      <c r="B143" s="64" t="s">
        <v>424</v>
      </c>
      <c r="C143" s="64"/>
      <c r="D143" s="64"/>
      <c r="E143" s="74" t="s">
        <v>548</v>
      </c>
      <c r="F143" s="74" t="s">
        <v>549</v>
      </c>
      <c r="G143" s="74" t="s">
        <v>747</v>
      </c>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69" t="str">
        <f t="shared" si="2"/>
        <v>OPhares avant antibrouillardPhares avant full LEDFrein de parc électrique</v>
      </c>
      <c r="AV143" s="96"/>
      <c r="AW143" s="96"/>
      <c r="AX143" s="96"/>
      <c r="AY143" s="96"/>
      <c r="AZ143" s="96"/>
      <c r="BA143" s="96"/>
      <c r="BB143" s="96"/>
      <c r="BC143" s="96"/>
      <c r="BD143" s="96"/>
      <c r="BE143" s="96"/>
      <c r="BF143" s="96"/>
      <c r="BG143" s="96"/>
      <c r="BH143" s="96"/>
    </row>
    <row r="144" spans="1:60" ht="67.5" hidden="1" outlineLevel="1" x14ac:dyDescent="0.25">
      <c r="A144" s="64" t="s">
        <v>2875</v>
      </c>
      <c r="B144" s="64" t="s">
        <v>32</v>
      </c>
      <c r="C144" s="74" t="s">
        <v>559</v>
      </c>
      <c r="D144" s="74"/>
      <c r="E144" s="74" t="s">
        <v>402</v>
      </c>
      <c r="F144" s="74" t="s">
        <v>538</v>
      </c>
      <c r="G144" s="74"/>
      <c r="H144" s="74" t="s">
        <v>406</v>
      </c>
      <c r="I144" s="74" t="s">
        <v>551</v>
      </c>
      <c r="J144" s="74" t="s">
        <v>409</v>
      </c>
      <c r="K144" s="74" t="s">
        <v>552</v>
      </c>
      <c r="L144" s="74"/>
      <c r="M144" s="74" t="s">
        <v>400</v>
      </c>
      <c r="N144" s="74" t="s">
        <v>561</v>
      </c>
      <c r="O144" s="74" t="s">
        <v>542</v>
      </c>
      <c r="P144" s="74"/>
      <c r="Q144" s="74" t="s">
        <v>399</v>
      </c>
      <c r="R144" s="74" t="s">
        <v>748</v>
      </c>
      <c r="S144" s="74"/>
      <c r="T144" s="74" t="s">
        <v>408</v>
      </c>
      <c r="U144" s="74" t="s">
        <v>562</v>
      </c>
      <c r="V144" s="74"/>
      <c r="W144" s="74" t="s">
        <v>546</v>
      </c>
      <c r="X144" s="74" t="s">
        <v>548</v>
      </c>
      <c r="Y144" s="74"/>
      <c r="Z144" s="74"/>
      <c r="AA144" s="74" t="s">
        <v>547</v>
      </c>
      <c r="AB144" s="74" t="s">
        <v>564</v>
      </c>
      <c r="AC144" s="74"/>
      <c r="AD144" s="74"/>
      <c r="AE144" s="74"/>
      <c r="AF144" s="74" t="s">
        <v>568</v>
      </c>
      <c r="AG144" s="74"/>
      <c r="AH144" s="74"/>
      <c r="AI144" s="74"/>
      <c r="AJ144" s="74"/>
      <c r="AK144" s="74"/>
      <c r="AL144" s="74"/>
      <c r="AM144" s="74"/>
      <c r="AN144" s="74"/>
      <c r="AO144" s="74"/>
      <c r="AP144" s="74"/>
      <c r="AQ144" s="74"/>
      <c r="AR144" s="74"/>
      <c r="AS144" s="74"/>
      <c r="AT144" s="74"/>
      <c r="AU144" s="69" t="str">
        <f t="shared" si="2"/>
        <v>PCabine courte 2 places (couleur blanc)Verrouillage centralisé à distanceVitres électriques teintéesRétroviseurs électriques et dégivrantsRadio Bluetooth avec écran tactile 7'' et réplication smartphone compatible Android Auto / Apple CarPlay / USBVolant multifonctions réglable en hauteur et en profondeurSiège conducteur suspendu pneumatique avec accoudoirCaméra de reculSans radars de reculRégulateur de vitesseClimatisation manuelleChronotachygraphe avec paramétrage distribution travail actifPrise FMSCoffre de rangement sur tunnel moteurPhares avant HALOGENESPhares avant antibrouillardMarteau brise vitre avec coupe ceinture de sécuritéSoufflette air compriméPare chocs avant en acier</v>
      </c>
      <c r="AV144" s="96"/>
      <c r="AW144" s="96"/>
      <c r="AX144" s="96"/>
      <c r="AY144" s="96"/>
      <c r="AZ144" s="96"/>
      <c r="BA144" s="96"/>
      <c r="BB144" s="96"/>
      <c r="BC144" s="96"/>
      <c r="BD144" s="96"/>
      <c r="BE144" s="96"/>
      <c r="BF144" s="96"/>
      <c r="BG144" s="96"/>
      <c r="BH144" s="96"/>
    </row>
    <row r="145" spans="1:60" hidden="1" outlineLevel="1" x14ac:dyDescent="0.25">
      <c r="A145" s="64" t="s">
        <v>2873</v>
      </c>
      <c r="B145" s="64" t="s">
        <v>424</v>
      </c>
      <c r="C145" s="64"/>
      <c r="D145" s="74" t="s">
        <v>554</v>
      </c>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69" t="str">
        <f t="shared" si="2"/>
        <v>ORadars avant</v>
      </c>
      <c r="AV145" s="96"/>
      <c r="AW145" s="96"/>
      <c r="AX145" s="96"/>
      <c r="AY145" s="96"/>
      <c r="AZ145" s="96"/>
      <c r="BA145" s="96"/>
      <c r="BB145" s="96"/>
      <c r="BC145" s="96"/>
      <c r="BD145" s="96"/>
      <c r="BE145" s="96"/>
      <c r="BF145" s="96"/>
      <c r="BG145" s="96"/>
      <c r="BH145" s="96"/>
    </row>
    <row r="146" spans="1:60" ht="56.25" hidden="1" outlineLevel="1" x14ac:dyDescent="0.25">
      <c r="A146" s="64" t="s">
        <v>2877</v>
      </c>
      <c r="B146" s="64" t="s">
        <v>32</v>
      </c>
      <c r="C146" s="74" t="s">
        <v>559</v>
      </c>
      <c r="D146" s="74"/>
      <c r="E146" s="74" t="s">
        <v>402</v>
      </c>
      <c r="F146" s="74" t="s">
        <v>538</v>
      </c>
      <c r="G146" s="74"/>
      <c r="H146" s="74" t="s">
        <v>406</v>
      </c>
      <c r="I146" s="74" t="s">
        <v>560</v>
      </c>
      <c r="J146" s="74" t="s">
        <v>409</v>
      </c>
      <c r="K146" s="74" t="s">
        <v>552</v>
      </c>
      <c r="L146" s="74"/>
      <c r="M146" s="74" t="s">
        <v>400</v>
      </c>
      <c r="N146" s="74" t="s">
        <v>561</v>
      </c>
      <c r="O146" s="74" t="s">
        <v>542</v>
      </c>
      <c r="P146" s="74"/>
      <c r="Q146" s="74" t="s">
        <v>399</v>
      </c>
      <c r="R146" s="74" t="s">
        <v>748</v>
      </c>
      <c r="S146" s="74"/>
      <c r="T146" s="74" t="s">
        <v>408</v>
      </c>
      <c r="U146" s="74" t="s">
        <v>562</v>
      </c>
      <c r="V146" s="74"/>
      <c r="W146" s="74" t="s">
        <v>563</v>
      </c>
      <c r="X146" s="74" t="s">
        <v>548</v>
      </c>
      <c r="Y146" s="74"/>
      <c r="Z146" s="74"/>
      <c r="AA146" s="74" t="s">
        <v>547</v>
      </c>
      <c r="AB146" s="74" t="s">
        <v>564</v>
      </c>
      <c r="AC146" s="74"/>
      <c r="AD146" s="74"/>
      <c r="AE146" s="74" t="s">
        <v>565</v>
      </c>
      <c r="AF146" s="74"/>
      <c r="AG146" s="74" t="s">
        <v>566</v>
      </c>
      <c r="AH146" s="74"/>
      <c r="AI146" s="74"/>
      <c r="AJ146" s="74"/>
      <c r="AK146" s="74"/>
      <c r="AL146" s="74"/>
      <c r="AM146" s="74"/>
      <c r="AN146" s="74"/>
      <c r="AO146" s="74"/>
      <c r="AP146" s="74"/>
      <c r="AQ146" s="74"/>
      <c r="AR146" s="74"/>
      <c r="AS146" s="74"/>
      <c r="AT146" s="74"/>
      <c r="AU146" s="69" t="str">
        <f t="shared" ref="AU146:AU152" si="3">CONCATENATE(B146,C146,D146,E146,F146,G146,H146,I146,J146,K146,L146,M146,N146,O146,P146,Q146,R146,S146,T146,U146,V146,W146,X146,Y146,Z146,AA146,AB146,AC146,AD146,AE146,AF146,AG146,AH146,AI146,AJ146,AK146,AL146,AM146,AN146,AO146,AP146,AQ146,AR146,AS146,AT146)</f>
        <v>PCabine courte 2 places (couleur blanc)Verrouillage centralisé à distanceVitres électriques teintéesRétroviseurs électriques et dégivrantsRadio Bluetooth / USB sans réplication smartphoneVolant multifonctions réglable en hauteur et en profondeurSiège conducteur suspendu pneumatique avec accoudoirCaméra de reculSans radars de reculRégulateur de vitesseClimatisation manuelleChronotachygraphe avec paramétrage distribution travail actifPrise FMSCoffre de rangement sur tunnel moteurPhares avant LEDPhares avant antibrouillardMarteau brise vitre avec coupe ceinture de sécuritéSoufflette air compriméPorte vison côté passagerPare chocs avant avec angles en acier</v>
      </c>
      <c r="AV146" s="96"/>
      <c r="AW146" s="96"/>
      <c r="AX146" s="96"/>
      <c r="AY146" s="96"/>
      <c r="AZ146" s="96"/>
      <c r="BA146" s="96"/>
      <c r="BB146" s="96"/>
      <c r="BC146" s="96"/>
      <c r="BD146" s="96"/>
      <c r="BE146" s="96"/>
      <c r="BF146" s="96"/>
      <c r="BG146" s="96"/>
      <c r="BH146" s="96"/>
    </row>
    <row r="147" spans="1:60" hidden="1" outlineLevel="1" x14ac:dyDescent="0.25">
      <c r="A147" s="64" t="s">
        <v>2869</v>
      </c>
      <c r="B147" s="64" t="s">
        <v>424</v>
      </c>
      <c r="C147" s="64"/>
      <c r="D147" s="74" t="s">
        <v>554</v>
      </c>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69" t="str">
        <f t="shared" si="3"/>
        <v>ORadars avant</v>
      </c>
      <c r="AV147" s="96"/>
      <c r="AW147" s="96"/>
      <c r="AX147" s="96"/>
      <c r="AY147" s="96"/>
      <c r="AZ147" s="96"/>
      <c r="BA147" s="96"/>
      <c r="BB147" s="96"/>
      <c r="BC147" s="96"/>
      <c r="BD147" s="96"/>
      <c r="BE147" s="96"/>
      <c r="BF147" s="96"/>
      <c r="BG147" s="96"/>
      <c r="BH147" s="96"/>
    </row>
    <row r="148" spans="1:60" ht="67.5" hidden="1" outlineLevel="1" x14ac:dyDescent="0.25">
      <c r="A148" s="64" t="s">
        <v>2850</v>
      </c>
      <c r="B148" s="64" t="s">
        <v>32</v>
      </c>
      <c r="C148" s="74" t="s">
        <v>537</v>
      </c>
      <c r="D148" s="74"/>
      <c r="E148" s="74" t="s">
        <v>402</v>
      </c>
      <c r="F148" s="74" t="s">
        <v>538</v>
      </c>
      <c r="G148" s="74" t="s">
        <v>539</v>
      </c>
      <c r="H148" s="74" t="s">
        <v>406</v>
      </c>
      <c r="I148" s="74" t="s">
        <v>540</v>
      </c>
      <c r="J148" s="74" t="s">
        <v>409</v>
      </c>
      <c r="K148" s="74" t="s">
        <v>827</v>
      </c>
      <c r="L148" s="74" t="s">
        <v>553</v>
      </c>
      <c r="M148" s="74" t="s">
        <v>400</v>
      </c>
      <c r="N148" s="74" t="s">
        <v>401</v>
      </c>
      <c r="O148" s="74" t="s">
        <v>542</v>
      </c>
      <c r="P148" s="74" t="s">
        <v>543</v>
      </c>
      <c r="Q148" s="74" t="s">
        <v>399</v>
      </c>
      <c r="R148" s="74"/>
      <c r="S148" s="74" t="s">
        <v>544</v>
      </c>
      <c r="T148" s="74"/>
      <c r="U148" s="74"/>
      <c r="V148" s="74" t="s">
        <v>545</v>
      </c>
      <c r="W148" s="74" t="s">
        <v>546</v>
      </c>
      <c r="X148" s="74"/>
      <c r="Y148" s="74" t="s">
        <v>828</v>
      </c>
      <c r="Z148" s="74"/>
      <c r="AA148" s="74" t="s">
        <v>547</v>
      </c>
      <c r="AB148" s="74"/>
      <c r="AC148" s="74"/>
      <c r="AD148" s="74"/>
      <c r="AE148" s="74"/>
      <c r="AF148" s="74"/>
      <c r="AG148" s="74"/>
      <c r="AH148" s="74"/>
      <c r="AI148" s="74"/>
      <c r="AJ148" s="74"/>
      <c r="AK148" s="74"/>
      <c r="AL148" s="74"/>
      <c r="AM148" s="74"/>
      <c r="AN148" s="74"/>
      <c r="AO148" s="74"/>
      <c r="AP148" s="74"/>
      <c r="AQ148" s="74"/>
      <c r="AR148" s="74"/>
      <c r="AS148" s="74"/>
      <c r="AT148" s="74"/>
      <c r="AU148" s="69" t="str">
        <f t="shared" si="3"/>
        <v>PCabine courte 3 places (couleur blanc)Verrouillage centralisé à distanceVitres électriques teintéesAirbags conducteur et passagersRétroviseurs électriques et dégivrantsRadio Bluetooth avec écran 7'' couleur avec Android Auto / Apple CarPlay / double ports USBVolant multifonctions réglable en hauteur et en profondeurSiège conducteur non suspendu avec accoudoirBanquette passagers avec tablette écritoire dans le dossierCaméra de reculRadars de reculRégulateur de vitesseLimiteur de vitesse réglableClimatisation manuelleAllumage des feux et essuies glace automatiquesMesure de pression des pneumatiquesPhares avant HALOGENESKEYOUTMarteau brise vitre avec coupe ceinture de sécurité</v>
      </c>
      <c r="AV148" s="96"/>
      <c r="AW148" s="96"/>
      <c r="AX148" s="96"/>
      <c r="AY148" s="96"/>
      <c r="AZ148" s="96"/>
      <c r="BA148" s="96"/>
      <c r="BB148" s="96"/>
      <c r="BC148" s="96"/>
      <c r="BD148" s="96"/>
      <c r="BE148" s="96"/>
      <c r="BF148" s="96"/>
      <c r="BG148" s="96"/>
      <c r="BH148" s="96"/>
    </row>
    <row r="149" spans="1:60" ht="24.6" hidden="1" customHeight="1" outlineLevel="1" x14ac:dyDescent="0.25">
      <c r="A149" s="64" t="s">
        <v>2852</v>
      </c>
      <c r="B149" s="64" t="s">
        <v>424</v>
      </c>
      <c r="C149" s="64"/>
      <c r="D149" s="64"/>
      <c r="E149" s="74" t="s">
        <v>548</v>
      </c>
      <c r="F149" s="74" t="s">
        <v>549</v>
      </c>
      <c r="G149" s="74" t="s">
        <v>747</v>
      </c>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69" t="str">
        <f t="shared" si="3"/>
        <v>OPhares avant antibrouillardPhares avant full LEDFrein de parc électrique</v>
      </c>
      <c r="AV149" s="96"/>
      <c r="AW149" s="96"/>
      <c r="AX149" s="96"/>
      <c r="AY149" s="96"/>
      <c r="AZ149" s="96"/>
      <c r="BA149" s="96"/>
      <c r="BB149" s="96"/>
      <c r="BC149" s="96"/>
      <c r="BD149" s="96"/>
      <c r="BE149" s="96"/>
      <c r="BF149" s="96"/>
      <c r="BG149" s="96"/>
      <c r="BH149" s="96"/>
    </row>
    <row r="150" spans="1:60" ht="90" hidden="1" outlineLevel="1" x14ac:dyDescent="0.25">
      <c r="A150" s="64" t="s">
        <v>2867</v>
      </c>
      <c r="B150" s="64" t="s">
        <v>32</v>
      </c>
      <c r="C150" s="74" t="s">
        <v>829</v>
      </c>
      <c r="D150" s="74" t="s">
        <v>830</v>
      </c>
      <c r="E150" s="74" t="s">
        <v>402</v>
      </c>
      <c r="F150" s="74" t="s">
        <v>538</v>
      </c>
      <c r="G150" s="74"/>
      <c r="H150" s="74" t="s">
        <v>406</v>
      </c>
      <c r="I150" s="74" t="s">
        <v>560</v>
      </c>
      <c r="J150" s="74" t="s">
        <v>409</v>
      </c>
      <c r="K150" s="74" t="s">
        <v>831</v>
      </c>
      <c r="L150" s="74"/>
      <c r="M150" s="74" t="s">
        <v>400</v>
      </c>
      <c r="N150" s="74" t="s">
        <v>561</v>
      </c>
      <c r="O150" s="74" t="s">
        <v>542</v>
      </c>
      <c r="P150" s="74"/>
      <c r="Q150" s="74" t="s">
        <v>832</v>
      </c>
      <c r="R150" s="74" t="s">
        <v>748</v>
      </c>
      <c r="S150" s="74"/>
      <c r="T150" s="74" t="s">
        <v>408</v>
      </c>
      <c r="U150" s="74" t="s">
        <v>835</v>
      </c>
      <c r="V150" s="74"/>
      <c r="W150" s="74" t="s">
        <v>563</v>
      </c>
      <c r="X150" s="74" t="s">
        <v>548</v>
      </c>
      <c r="Y150" s="74"/>
      <c r="Z150" s="74" t="s">
        <v>833</v>
      </c>
      <c r="AA150" s="74" t="s">
        <v>547</v>
      </c>
      <c r="AB150" s="74" t="s">
        <v>564</v>
      </c>
      <c r="AC150" s="74" t="s">
        <v>834</v>
      </c>
      <c r="AD150" s="74"/>
      <c r="AE150" s="74"/>
      <c r="AF150" s="74"/>
      <c r="AG150" s="74"/>
      <c r="AH150" s="74" t="s">
        <v>836</v>
      </c>
      <c r="AI150" s="74" t="s">
        <v>837</v>
      </c>
      <c r="AJ150" s="74" t="s">
        <v>838</v>
      </c>
      <c r="AK150" s="74" t="s">
        <v>839</v>
      </c>
      <c r="AL150" s="74" t="s">
        <v>840</v>
      </c>
      <c r="AM150" s="74"/>
      <c r="AN150" s="74"/>
      <c r="AO150" s="74"/>
      <c r="AP150" s="74"/>
      <c r="AQ150" s="74"/>
      <c r="AR150" s="74"/>
      <c r="AS150" s="74"/>
      <c r="AT150" s="74"/>
      <c r="AU150" s="69" t="str">
        <f t="shared" si="3"/>
        <v>PCabine profonde Sleeper Cab (couleur blanc EKLA)1 couchetteVerrouillage centralisé à distanceVitres électriques teintéesRétroviseurs électriques et dégivrantsRadio Bluetooth / USB sans réplication smartphoneVolant multifonctions réglable en hauteur et en profondeurSiège conducteur confort suspendu pneumatique avec réglage lombaire et 2 accoudoirsCaméra de reculSans radars de reculRégulateur de vitesseClimatisation à régulation électronique (sans fonctionnement à l'arrêt)Chronotachygraphe avec paramétrage distribution travail actifPrise FMSCoffre de rangement central sous couchettePhares avant LEDPhares avant antibrouillardChauffage autonome air / air 2 kWMarteau brise vitre avec coupe ceinture de sécuritéSoufflette air compriméPrises 12V et 24 V au tableau de bord pour accessoiresDéflecteur de toit réglable en hauteurDéflecteurs latéraux verticaux ouvrants des 2 côtésSuspension cabine 4 coussins d'air avec correcteur d'assietteAérateur de pavillon électriqueTélématique SAMSARA pack ACCESS</v>
      </c>
      <c r="AV150" s="96"/>
      <c r="AW150" s="96"/>
      <c r="AX150" s="96"/>
      <c r="AY150" s="96"/>
      <c r="AZ150" s="96"/>
      <c r="BA150" s="96"/>
      <c r="BB150" s="96"/>
      <c r="BC150" s="96"/>
      <c r="BD150" s="96"/>
      <c r="BE150" s="96"/>
      <c r="BF150" s="96"/>
      <c r="BG150" s="96"/>
      <c r="BH150" s="96"/>
    </row>
    <row r="151" spans="1:60" hidden="1" outlineLevel="1" x14ac:dyDescent="0.25">
      <c r="A151" s="64" t="s">
        <v>2868</v>
      </c>
      <c r="B151" s="64" t="s">
        <v>424</v>
      </c>
      <c r="C151" s="74" t="s">
        <v>1035</v>
      </c>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69" t="str">
        <f t="shared" si="3"/>
        <v>OSans option</v>
      </c>
      <c r="AV151" s="96"/>
      <c r="AW151" s="96"/>
      <c r="AX151" s="96"/>
      <c r="AY151" s="96"/>
      <c r="AZ151" s="96"/>
      <c r="BA151" s="96"/>
      <c r="BB151" s="96"/>
      <c r="BC151" s="96"/>
      <c r="BD151" s="96"/>
      <c r="BE151" s="96"/>
      <c r="BF151" s="96"/>
      <c r="BG151" s="96"/>
      <c r="BH151" s="96"/>
    </row>
    <row r="152" spans="1:60" hidden="1" outlineLevel="1" x14ac:dyDescent="0.25">
      <c r="A152" s="64" t="s">
        <v>2882</v>
      </c>
      <c r="B152" s="64" t="s">
        <v>32</v>
      </c>
      <c r="C152" s="74" t="s">
        <v>1040</v>
      </c>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69" t="str">
        <f t="shared" si="3"/>
        <v>PSans cabine</v>
      </c>
      <c r="AV152" s="96"/>
      <c r="AW152" s="96"/>
      <c r="AX152" s="96"/>
      <c r="AY152" s="96"/>
      <c r="AZ152" s="96"/>
      <c r="BA152" s="96"/>
      <c r="BB152" s="96"/>
      <c r="BC152" s="96"/>
      <c r="BD152" s="96"/>
      <c r="BE152" s="96"/>
      <c r="BF152" s="96"/>
      <c r="BG152" s="96"/>
      <c r="BH152" s="96"/>
    </row>
    <row r="153" spans="1:60" ht="33.75" hidden="1" outlineLevel="1" x14ac:dyDescent="0.25">
      <c r="A153" s="64" t="s">
        <v>2859</v>
      </c>
      <c r="B153" s="64" t="s">
        <v>424</v>
      </c>
      <c r="C153" s="64"/>
      <c r="D153" s="64"/>
      <c r="E153" s="74" t="s">
        <v>548</v>
      </c>
      <c r="F153" s="74" t="s">
        <v>549</v>
      </c>
      <c r="G153" s="74" t="s">
        <v>747</v>
      </c>
      <c r="H153" s="74"/>
      <c r="I153" s="74"/>
      <c r="J153" s="74" t="s">
        <v>748</v>
      </c>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69" t="str">
        <f t="shared" ref="AU153:AU167" si="4">CONCATENATE(B153,C153,D153,E153,F153,G153,H153,I153,J153,K153,L153,M153,N153,O153,P153,Q153,R153,S153,T153,U153,V153,W153,X153,Y153,Z153,AA153,AB153,AC153,AD153,AE153,AF153,AG153,AH153,AI153,AJ153,AK153,AL153,AM153,AN153,AO153,AP153,AQ153,AR153,AS153,AT153)</f>
        <v>OPhares avant antibrouillardPhares avant full LEDFrein de parc électriqueChronotachygraphe avec paramétrage distribution travail actif</v>
      </c>
      <c r="AV153" s="96"/>
      <c r="AW153" s="96"/>
      <c r="AX153" s="96"/>
      <c r="AY153" s="96"/>
      <c r="AZ153" s="96"/>
      <c r="BA153" s="96"/>
      <c r="BB153" s="96"/>
      <c r="BC153" s="96"/>
      <c r="BD153" s="96"/>
      <c r="BE153" s="96"/>
      <c r="BF153" s="96"/>
      <c r="BG153" s="96"/>
      <c r="BH153" s="96"/>
    </row>
    <row r="154" spans="1:60" ht="78.75" hidden="1" outlineLevel="1" x14ac:dyDescent="0.25">
      <c r="A154" s="64" t="s">
        <v>2856</v>
      </c>
      <c r="B154" s="64" t="s">
        <v>32</v>
      </c>
      <c r="C154" s="74" t="s">
        <v>537</v>
      </c>
      <c r="D154" s="74"/>
      <c r="E154" s="74" t="s">
        <v>402</v>
      </c>
      <c r="F154" s="74" t="s">
        <v>538</v>
      </c>
      <c r="G154" s="74" t="s">
        <v>539</v>
      </c>
      <c r="H154" s="74" t="s">
        <v>406</v>
      </c>
      <c r="I154" s="74" t="s">
        <v>551</v>
      </c>
      <c r="J154" s="74" t="s">
        <v>409</v>
      </c>
      <c r="K154" s="74" t="s">
        <v>552</v>
      </c>
      <c r="L154" s="74" t="s">
        <v>553</v>
      </c>
      <c r="M154" s="74" t="s">
        <v>400</v>
      </c>
      <c r="N154" s="74" t="s">
        <v>401</v>
      </c>
      <c r="O154" s="74" t="s">
        <v>542</v>
      </c>
      <c r="P154" s="74" t="s">
        <v>543</v>
      </c>
      <c r="Q154" s="74" t="s">
        <v>399</v>
      </c>
      <c r="R154" s="74" t="s">
        <v>748</v>
      </c>
      <c r="S154" s="74" t="s">
        <v>544</v>
      </c>
      <c r="T154" s="74"/>
      <c r="U154" s="74"/>
      <c r="V154" s="74" t="s">
        <v>545</v>
      </c>
      <c r="W154" s="74" t="s">
        <v>546</v>
      </c>
      <c r="X154" s="74" t="s">
        <v>548</v>
      </c>
      <c r="Y154" s="74"/>
      <c r="Z154" s="74"/>
      <c r="AA154" s="74" t="s">
        <v>547</v>
      </c>
      <c r="AB154" s="74"/>
      <c r="AC154" s="74"/>
      <c r="AD154" s="74"/>
      <c r="AE154" s="74"/>
      <c r="AF154" s="74"/>
      <c r="AG154" s="74"/>
      <c r="AH154" s="74"/>
      <c r="AI154" s="74"/>
      <c r="AJ154" s="74"/>
      <c r="AK154" s="74"/>
      <c r="AL154" s="74"/>
      <c r="AM154" s="74"/>
      <c r="AN154" s="74"/>
      <c r="AO154" s="74"/>
      <c r="AP154" s="74"/>
      <c r="AQ154" s="74"/>
      <c r="AR154" s="74"/>
      <c r="AS154" s="74"/>
      <c r="AT154" s="74"/>
      <c r="AU154" s="69" t="str">
        <f t="shared" si="4"/>
        <v>PCabine courte 3 places (couleur blanc)Verrouillage centralisé à distanceVitres électriques teintéesAirbags conducteur et passagersRétroviseurs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manuelleChronotachygraphe avec paramétrage distribution travail actifAllumage des feux et essuies glace automatiquesMesure de pression des pneumatiquesPhares avant HALOGENESPhares avant antibrouillardMarteau brise vitre avec coupe ceinture de sécurité</v>
      </c>
      <c r="AV154" s="96"/>
      <c r="AW154" s="96"/>
      <c r="AX154" s="96"/>
      <c r="AY154" s="96"/>
      <c r="AZ154" s="96"/>
      <c r="BA154" s="96"/>
      <c r="BB154" s="96"/>
      <c r="BC154" s="96"/>
      <c r="BD154" s="96"/>
      <c r="BE154" s="96"/>
      <c r="BF154" s="96"/>
      <c r="BG154" s="96"/>
      <c r="BH154" s="96"/>
    </row>
    <row r="155" spans="1:60" ht="33.75" hidden="1" outlineLevel="1" x14ac:dyDescent="0.25">
      <c r="A155" s="64" t="s">
        <v>2860</v>
      </c>
      <c r="B155" s="64" t="s">
        <v>424</v>
      </c>
      <c r="C155" s="64"/>
      <c r="D155" s="74" t="s">
        <v>554</v>
      </c>
      <c r="E155" s="74"/>
      <c r="F155" s="74" t="s">
        <v>549</v>
      </c>
      <c r="G155" s="74"/>
      <c r="H155" s="74" t="s">
        <v>550</v>
      </c>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69" t="str">
        <f t="shared" si="4"/>
        <v>ORadars avantPhares avant full LEDRun Lock avec contacts de coupure ventilation groupe frigorifique</v>
      </c>
      <c r="AV155" s="96"/>
      <c r="AW155" s="96"/>
      <c r="AX155" s="96"/>
      <c r="AY155" s="96"/>
      <c r="AZ155" s="96"/>
      <c r="BA155" s="96"/>
      <c r="BB155" s="96"/>
      <c r="BC155" s="96"/>
      <c r="BD155" s="96"/>
      <c r="BE155" s="96"/>
      <c r="BF155" s="96"/>
      <c r="BG155" s="96"/>
      <c r="BH155" s="96"/>
    </row>
    <row r="156" spans="1:60" ht="67.5" hidden="1" outlineLevel="1" x14ac:dyDescent="0.25">
      <c r="A156" s="64" t="s">
        <v>2863</v>
      </c>
      <c r="B156" s="64" t="s">
        <v>32</v>
      </c>
      <c r="C156" s="74" t="s">
        <v>537</v>
      </c>
      <c r="D156" s="74"/>
      <c r="E156" s="74" t="s">
        <v>402</v>
      </c>
      <c r="F156" s="74" t="s">
        <v>538</v>
      </c>
      <c r="G156" s="74" t="s">
        <v>555</v>
      </c>
      <c r="H156" s="74" t="s">
        <v>406</v>
      </c>
      <c r="I156" s="74" t="s">
        <v>551</v>
      </c>
      <c r="J156" s="74" t="s">
        <v>409</v>
      </c>
      <c r="K156" s="74" t="s">
        <v>552</v>
      </c>
      <c r="L156" s="74" t="s">
        <v>553</v>
      </c>
      <c r="M156" s="74" t="s">
        <v>400</v>
      </c>
      <c r="N156" s="74" t="s">
        <v>401</v>
      </c>
      <c r="O156" s="74" t="s">
        <v>542</v>
      </c>
      <c r="P156" s="74" t="s">
        <v>543</v>
      </c>
      <c r="Q156" s="74" t="s">
        <v>399</v>
      </c>
      <c r="R156" s="74" t="s">
        <v>748</v>
      </c>
      <c r="S156" s="74" t="s">
        <v>544</v>
      </c>
      <c r="T156" s="74"/>
      <c r="U156" s="74"/>
      <c r="V156" s="74" t="s">
        <v>545</v>
      </c>
      <c r="W156" s="74" t="s">
        <v>546</v>
      </c>
      <c r="X156" s="74" t="s">
        <v>548</v>
      </c>
      <c r="Y156" s="74"/>
      <c r="Z156" s="74"/>
      <c r="AA156" s="74" t="s">
        <v>547</v>
      </c>
      <c r="AB156" s="74"/>
      <c r="AC156" s="74"/>
      <c r="AD156" s="74" t="s">
        <v>557</v>
      </c>
      <c r="AE156" s="74"/>
      <c r="AF156" s="74"/>
      <c r="AG156" s="74"/>
      <c r="AH156" s="74"/>
      <c r="AI156" s="74"/>
      <c r="AJ156" s="74"/>
      <c r="AK156" s="74"/>
      <c r="AL156" s="74"/>
      <c r="AM156" s="74"/>
      <c r="AN156" s="74"/>
      <c r="AO156" s="74"/>
      <c r="AP156" s="74"/>
      <c r="AQ156" s="74"/>
      <c r="AR156" s="74"/>
      <c r="AS156" s="74"/>
      <c r="AT156" s="74"/>
      <c r="AU156" s="69" t="str">
        <f>CONCATENATE(B156,C156,D156,E156,F156,G156,H156,I156,J156,K156,L156,M156,N156,O156,P156,Q156,R156,S156,T156,U156,V156,W156,X156,Y156,Z156,AA156,AB156,AC156,AD156,AE156,AF156,AG156,AH156,AI156,AJ156,AK156,AL156,AM156,AN156,AO156,AP156,AQ156,AR156,AS156,AT156)</f>
        <v>PCabine courte 3 places (couleur blanc)Verrouillage centralisé à distanceVitres électriques teintéesAirbag conducteurRétroviseurs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manuelleChronotachygraphe avec paramétrage distribution travail actifAllumage des feux et essuies glace automatiquesMesure de pression des pneumatiquesPhares avant HALOGENESPhares avant antibrouillardMarteau brise vitre avec coupe ceinture de sécuritéExtincteur 2 kg</v>
      </c>
      <c r="AV156" s="96"/>
      <c r="AW156" s="96"/>
      <c r="AX156" s="96"/>
      <c r="AY156" s="96"/>
      <c r="AZ156" s="96"/>
      <c r="BA156" s="96"/>
      <c r="BB156" s="96"/>
      <c r="BC156" s="96"/>
      <c r="BD156" s="96"/>
      <c r="BE156" s="96"/>
      <c r="BF156" s="96"/>
      <c r="BG156" s="96"/>
      <c r="BH156" s="96"/>
    </row>
    <row r="157" spans="1:60" ht="22.5" hidden="1" outlineLevel="1" x14ac:dyDescent="0.25">
      <c r="A157" s="64" t="s">
        <v>2879</v>
      </c>
      <c r="B157" s="64" t="s">
        <v>424</v>
      </c>
      <c r="C157" s="64"/>
      <c r="D157" s="74" t="s">
        <v>554</v>
      </c>
      <c r="E157" s="74"/>
      <c r="F157" s="74" t="s">
        <v>549</v>
      </c>
      <c r="G157" s="74"/>
      <c r="H157" s="74"/>
      <c r="I157" s="74" t="s">
        <v>558</v>
      </c>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69" t="str">
        <f t="shared" si="4"/>
        <v>ORadars avantPhares avant full LEDGPS Poids lourds IVECO</v>
      </c>
      <c r="AV157" s="96"/>
      <c r="AW157" s="96"/>
      <c r="AX157" s="96"/>
      <c r="AY157" s="96"/>
      <c r="AZ157" s="96"/>
      <c r="BA157" s="96"/>
      <c r="BB157" s="96"/>
      <c r="BC157" s="96"/>
      <c r="BD157" s="96"/>
      <c r="BE157" s="96"/>
      <c r="BF157" s="96"/>
      <c r="BG157" s="96"/>
      <c r="BH157" s="96"/>
    </row>
    <row r="158" spans="1:60" ht="67.5" hidden="1" outlineLevel="1" x14ac:dyDescent="0.25">
      <c r="A158" s="64" t="s">
        <v>2851</v>
      </c>
      <c r="B158" s="64" t="s">
        <v>32</v>
      </c>
      <c r="C158" s="74" t="s">
        <v>537</v>
      </c>
      <c r="D158" s="74"/>
      <c r="E158" s="74" t="s">
        <v>402</v>
      </c>
      <c r="F158" s="74" t="s">
        <v>538</v>
      </c>
      <c r="G158" s="74" t="s">
        <v>539</v>
      </c>
      <c r="H158" s="74" t="s">
        <v>406</v>
      </c>
      <c r="I158" s="74" t="s">
        <v>540</v>
      </c>
      <c r="J158" s="74" t="s">
        <v>409</v>
      </c>
      <c r="K158" s="74" t="s">
        <v>827</v>
      </c>
      <c r="L158" s="74" t="s">
        <v>541</v>
      </c>
      <c r="M158" s="74" t="s">
        <v>400</v>
      </c>
      <c r="N158" s="74" t="s">
        <v>401</v>
      </c>
      <c r="O158" s="74" t="s">
        <v>542</v>
      </c>
      <c r="P158" s="74" t="s">
        <v>543</v>
      </c>
      <c r="Q158" s="74" t="s">
        <v>399</v>
      </c>
      <c r="R158" s="74"/>
      <c r="S158" s="74" t="s">
        <v>544</v>
      </c>
      <c r="T158" s="74"/>
      <c r="U158" s="74"/>
      <c r="V158" s="74" t="s">
        <v>545</v>
      </c>
      <c r="W158" s="74" t="s">
        <v>546</v>
      </c>
      <c r="X158" s="74"/>
      <c r="Y158" s="74"/>
      <c r="Z158" s="74"/>
      <c r="AA158" s="74" t="s">
        <v>547</v>
      </c>
      <c r="AB158" s="74"/>
      <c r="AC158" s="74"/>
      <c r="AD158" s="74"/>
      <c r="AE158" s="74" t="s">
        <v>444</v>
      </c>
      <c r="AF158" s="74" t="s">
        <v>411</v>
      </c>
      <c r="AG158" s="74"/>
      <c r="AH158" s="74"/>
      <c r="AI158" s="74"/>
      <c r="AJ158" s="74"/>
      <c r="AK158" s="74"/>
      <c r="AL158" s="74"/>
      <c r="AM158" s="74"/>
      <c r="AN158" s="74"/>
      <c r="AO158" s="74"/>
      <c r="AP158" s="74"/>
      <c r="AQ158" s="74"/>
      <c r="AR158" s="74"/>
      <c r="AS158" s="74"/>
      <c r="AT158" s="74"/>
      <c r="AU158" s="69" t="str">
        <f t="shared" si="4"/>
        <v>PCabine courte 3 places (couleur blanc)Verrouillage centralisé à distanceVitres électriques teintéesAirbags conducteur et passagersRétroviseurs électriques et dégivrantsRadio Bluetooth avec écran 7'' couleur avec Android Auto / Apple CarPlay / double ports USBVolant multifonctions réglable en hauteur et en profondeurSiège conducteur non suspendu avec accoudoirBanquette passagers avec tablette écritoire Eat and Work dans le dossierCaméra de reculRadars de reculRégulateur de vitesseLimiteur de vitesse réglableClimatisation manuelleAllumage des feux et essuies glace automatiquesMesure de pression des pneumatiquesPhares avant HALOGENESMarteau brise vitre avec coupe ceinture de sécuritéSystème de surveillance de la pression des pneus  Feux et essuies vitres  automatiques</v>
      </c>
      <c r="AV158" s="96"/>
      <c r="AW158" s="96"/>
      <c r="AX158" s="96"/>
      <c r="AY158" s="96"/>
      <c r="AZ158" s="96"/>
      <c r="BA158" s="96"/>
      <c r="BB158" s="96"/>
      <c r="BC158" s="96"/>
      <c r="BD158" s="96"/>
      <c r="BE158" s="96"/>
      <c r="BF158" s="96"/>
      <c r="BG158" s="96"/>
      <c r="BH158" s="96"/>
    </row>
    <row r="159" spans="1:60" ht="33.75" hidden="1" outlineLevel="1" x14ac:dyDescent="0.25">
      <c r="A159" s="64" t="s">
        <v>2853</v>
      </c>
      <c r="B159" s="64" t="s">
        <v>424</v>
      </c>
      <c r="C159" s="64"/>
      <c r="D159" s="64"/>
      <c r="E159" s="74" t="s">
        <v>548</v>
      </c>
      <c r="F159" s="74" t="s">
        <v>549</v>
      </c>
      <c r="G159" s="74"/>
      <c r="H159" s="74" t="s">
        <v>550</v>
      </c>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69" t="str">
        <f t="shared" si="4"/>
        <v>OPhares avant antibrouillardPhares avant full LEDRun Lock avec contacts de coupure ventilation groupe frigorifique</v>
      </c>
      <c r="AV159" s="96"/>
      <c r="AW159" s="96"/>
      <c r="AX159" s="96"/>
      <c r="AY159" s="96"/>
      <c r="AZ159" s="96"/>
      <c r="BA159" s="96"/>
      <c r="BB159" s="96"/>
      <c r="BC159" s="96"/>
      <c r="BD159" s="96"/>
      <c r="BE159" s="96"/>
      <c r="BF159" s="96"/>
      <c r="BG159" s="96"/>
      <c r="BH159" s="96"/>
    </row>
    <row r="160" spans="1:60" ht="67.5" hidden="1" outlineLevel="1" x14ac:dyDescent="0.25">
      <c r="A160" s="64" t="s">
        <v>2854</v>
      </c>
      <c r="B160" s="64" t="s">
        <v>32</v>
      </c>
      <c r="C160" s="74" t="s">
        <v>537</v>
      </c>
      <c r="D160" s="74"/>
      <c r="E160" s="74" t="s">
        <v>402</v>
      </c>
      <c r="F160" s="74" t="s">
        <v>538</v>
      </c>
      <c r="G160" s="74" t="s">
        <v>539</v>
      </c>
      <c r="H160" s="74" t="s">
        <v>406</v>
      </c>
      <c r="I160" s="74" t="s">
        <v>551</v>
      </c>
      <c r="J160" s="74" t="s">
        <v>409</v>
      </c>
      <c r="K160" s="74" t="s">
        <v>552</v>
      </c>
      <c r="L160" s="74" t="s">
        <v>553</v>
      </c>
      <c r="M160" s="74" t="s">
        <v>400</v>
      </c>
      <c r="N160" s="74" t="s">
        <v>401</v>
      </c>
      <c r="O160" s="74" t="s">
        <v>542</v>
      </c>
      <c r="P160" s="74" t="s">
        <v>543</v>
      </c>
      <c r="Q160" s="74" t="s">
        <v>399</v>
      </c>
      <c r="R160" s="74"/>
      <c r="S160" s="74" t="s">
        <v>544</v>
      </c>
      <c r="T160" s="74"/>
      <c r="U160" s="74"/>
      <c r="V160" s="74" t="s">
        <v>545</v>
      </c>
      <c r="W160" s="74" t="s">
        <v>546</v>
      </c>
      <c r="X160" s="74"/>
      <c r="Y160" s="74"/>
      <c r="Z160" s="74"/>
      <c r="AA160" s="74" t="s">
        <v>547</v>
      </c>
      <c r="AB160" s="74"/>
      <c r="AC160" s="74"/>
      <c r="AD160" s="74"/>
      <c r="AE160" s="74"/>
      <c r="AF160" s="74"/>
      <c r="AG160" s="74"/>
      <c r="AH160" s="74"/>
      <c r="AI160" s="74"/>
      <c r="AJ160" s="74"/>
      <c r="AK160" s="74"/>
      <c r="AL160" s="74"/>
      <c r="AM160" s="74"/>
      <c r="AN160" s="74"/>
      <c r="AO160" s="74"/>
      <c r="AP160" s="74"/>
      <c r="AQ160" s="74"/>
      <c r="AR160" s="74"/>
      <c r="AS160" s="74"/>
      <c r="AT160" s="74"/>
      <c r="AU160" s="69" t="str">
        <f t="shared" si="4"/>
        <v>PCabine courte 3 places (couleur blanc)Verrouillage centralisé à distanceVitres électriques teintéesAirbags conducteur et passagersRétroviseurs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manuelleAllumage des feux et essuies glace automatiquesMesure de pression des pneumatiquesPhares avant HALOGENESMarteau brise vitre avec coupe ceinture de sécurité</v>
      </c>
      <c r="AV160" s="96"/>
      <c r="AW160" s="96"/>
      <c r="AX160" s="96"/>
      <c r="AY160" s="96"/>
      <c r="AZ160" s="96"/>
      <c r="BA160" s="96"/>
      <c r="BB160" s="96"/>
      <c r="BC160" s="96"/>
      <c r="BD160" s="96"/>
      <c r="BE160" s="96"/>
      <c r="BF160" s="96"/>
      <c r="BG160" s="96"/>
      <c r="BH160" s="96"/>
    </row>
    <row r="161" spans="1:60" ht="33.75" hidden="1" outlineLevel="1" x14ac:dyDescent="0.25">
      <c r="A161" s="64" t="s">
        <v>2858</v>
      </c>
      <c r="B161" s="64" t="s">
        <v>424</v>
      </c>
      <c r="C161" s="64"/>
      <c r="D161" s="74" t="s">
        <v>554</v>
      </c>
      <c r="E161" s="74" t="s">
        <v>548</v>
      </c>
      <c r="F161" s="74" t="s">
        <v>549</v>
      </c>
      <c r="G161" s="74"/>
      <c r="H161" s="74" t="s">
        <v>550</v>
      </c>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69" t="str">
        <f t="shared" si="4"/>
        <v>ORadars avantPhares avant antibrouillardPhares avant full LEDRun Lock avec contacts de coupure ventilation groupe frigorifique</v>
      </c>
      <c r="AV161" s="96"/>
      <c r="AW161" s="96"/>
      <c r="AX161" s="96"/>
      <c r="AY161" s="96"/>
      <c r="AZ161" s="96"/>
      <c r="BA161" s="96"/>
      <c r="BB161" s="96"/>
      <c r="BC161" s="96"/>
      <c r="BD161" s="96"/>
      <c r="BE161" s="96"/>
      <c r="BF161" s="96"/>
      <c r="BG161" s="96"/>
      <c r="BH161" s="96"/>
    </row>
    <row r="162" spans="1:60" ht="67.5" hidden="1" outlineLevel="1" x14ac:dyDescent="0.25">
      <c r="A162" s="64" t="s">
        <v>2864</v>
      </c>
      <c r="B162" s="64" t="s">
        <v>32</v>
      </c>
      <c r="C162" s="74" t="s">
        <v>537</v>
      </c>
      <c r="D162" s="74"/>
      <c r="E162" s="74" t="s">
        <v>402</v>
      </c>
      <c r="F162" s="74" t="s">
        <v>538</v>
      </c>
      <c r="G162" s="74" t="s">
        <v>555</v>
      </c>
      <c r="H162" s="74" t="s">
        <v>406</v>
      </c>
      <c r="I162" s="74" t="s">
        <v>551</v>
      </c>
      <c r="J162" s="74" t="s">
        <v>409</v>
      </c>
      <c r="K162" s="74" t="s">
        <v>552</v>
      </c>
      <c r="L162" s="74" t="s">
        <v>553</v>
      </c>
      <c r="M162" s="74" t="s">
        <v>400</v>
      </c>
      <c r="N162" s="74" t="s">
        <v>401</v>
      </c>
      <c r="O162" s="74" t="s">
        <v>542</v>
      </c>
      <c r="P162" s="74" t="s">
        <v>543</v>
      </c>
      <c r="Q162" s="74" t="s">
        <v>399</v>
      </c>
      <c r="R162" s="74" t="s">
        <v>556</v>
      </c>
      <c r="S162" s="74" t="s">
        <v>544</v>
      </c>
      <c r="T162" s="74"/>
      <c r="U162" s="74"/>
      <c r="V162" s="74" t="s">
        <v>545</v>
      </c>
      <c r="W162" s="74" t="s">
        <v>546</v>
      </c>
      <c r="X162" s="74"/>
      <c r="Y162" s="74"/>
      <c r="Z162" s="74"/>
      <c r="AA162" s="74" t="s">
        <v>547</v>
      </c>
      <c r="AB162" s="74"/>
      <c r="AC162" s="74"/>
      <c r="AD162" s="74" t="s">
        <v>557</v>
      </c>
      <c r="AE162" s="74"/>
      <c r="AF162" s="74"/>
      <c r="AG162" s="74"/>
      <c r="AH162" s="74"/>
      <c r="AI162" s="74"/>
      <c r="AJ162" s="74"/>
      <c r="AK162" s="74"/>
      <c r="AL162" s="74"/>
      <c r="AM162" s="74"/>
      <c r="AN162" s="74"/>
      <c r="AO162" s="74"/>
      <c r="AP162" s="74"/>
      <c r="AQ162" s="74"/>
      <c r="AR162" s="74"/>
      <c r="AS162" s="74"/>
      <c r="AT162" s="74"/>
      <c r="AU162" s="69" t="str">
        <f t="shared" si="4"/>
        <v>PCabine courte 3 places (couleur blanc)Verrouillage centralisé à distanceVitres électriques teintéesAirbag conducteurRétroviseurs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manuelleChronotachygraphe paramétré distribution (Travail actif)Allumage des feux et essuies glace automatiquesMesure de pression des pneumatiquesPhares avant HALOGENESMarteau brise vitre avec coupe ceinture de sécuritéExtincteur 2 kg</v>
      </c>
      <c r="AV162" s="96"/>
      <c r="AW162" s="96"/>
      <c r="AX162" s="96"/>
      <c r="AY162" s="96"/>
      <c r="AZ162" s="96"/>
      <c r="BA162" s="96"/>
      <c r="BB162" s="96"/>
      <c r="BC162" s="96"/>
      <c r="BD162" s="96"/>
      <c r="BE162" s="96"/>
      <c r="BF162" s="96"/>
      <c r="BG162" s="96"/>
      <c r="BH162" s="96"/>
    </row>
    <row r="163" spans="1:60" ht="22.5" hidden="1" outlineLevel="1" x14ac:dyDescent="0.25">
      <c r="A163" s="64" t="s">
        <v>2880</v>
      </c>
      <c r="B163" s="64" t="s">
        <v>424</v>
      </c>
      <c r="C163" s="64"/>
      <c r="D163" s="74" t="s">
        <v>554</v>
      </c>
      <c r="E163" s="74" t="s">
        <v>548</v>
      </c>
      <c r="F163" s="74" t="s">
        <v>549</v>
      </c>
      <c r="G163" s="74"/>
      <c r="H163" s="74"/>
      <c r="I163" s="74" t="s">
        <v>558</v>
      </c>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69" t="str">
        <f t="shared" si="4"/>
        <v>ORadars avantPhares avant antibrouillardPhares avant full LEDGPS Poids lourds IVECO</v>
      </c>
      <c r="AV163" s="96"/>
      <c r="AW163" s="96"/>
      <c r="AX163" s="96"/>
      <c r="AY163" s="96"/>
      <c r="AZ163" s="96"/>
      <c r="BA163" s="96"/>
      <c r="BB163" s="96"/>
      <c r="BC163" s="96"/>
      <c r="BD163" s="96"/>
      <c r="BE163" s="96"/>
      <c r="BF163" s="96"/>
      <c r="BG163" s="96"/>
      <c r="BH163" s="96"/>
    </row>
    <row r="164" spans="1:60" hidden="1" outlineLevel="1" x14ac:dyDescent="0.25">
      <c r="A164" s="64" t="s">
        <v>2870</v>
      </c>
      <c r="B164" s="64" t="s">
        <v>424</v>
      </c>
      <c r="C164" s="64"/>
      <c r="D164" s="74" t="s">
        <v>554</v>
      </c>
      <c r="E164" s="74"/>
      <c r="F164" s="74"/>
      <c r="G164" s="74"/>
      <c r="H164" s="74"/>
      <c r="I164" s="74" t="s">
        <v>567</v>
      </c>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69" t="str">
        <f t="shared" si="4"/>
        <v>ORadars avantGPS Poids lourds Snooper</v>
      </c>
      <c r="AV164" s="96"/>
      <c r="AW164" s="96"/>
      <c r="AX164" s="96"/>
      <c r="AY164" s="96"/>
      <c r="AZ164" s="96"/>
      <c r="BA164" s="96"/>
      <c r="BB164" s="96"/>
      <c r="BC164" s="96"/>
      <c r="BD164" s="96"/>
      <c r="BE164" s="96"/>
      <c r="BF164" s="96"/>
      <c r="BG164" s="96"/>
      <c r="BH164" s="96"/>
    </row>
    <row r="165" spans="1:60" hidden="1" outlineLevel="1" x14ac:dyDescent="0.25">
      <c r="A165" s="64" t="s">
        <v>2872</v>
      </c>
      <c r="B165" s="64" t="s">
        <v>424</v>
      </c>
      <c r="C165" s="64"/>
      <c r="D165" s="74" t="s">
        <v>554</v>
      </c>
      <c r="E165" s="74"/>
      <c r="F165" s="74"/>
      <c r="G165" s="74"/>
      <c r="H165" s="74"/>
      <c r="I165" s="74" t="s">
        <v>567</v>
      </c>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69" t="str">
        <f t="shared" si="4"/>
        <v>ORadars avantGPS Poids lourds Snooper</v>
      </c>
      <c r="AV165" s="96"/>
      <c r="AW165" s="96"/>
      <c r="AX165" s="96"/>
      <c r="AY165" s="96"/>
      <c r="AZ165" s="96"/>
      <c r="BA165" s="96"/>
      <c r="BB165" s="96"/>
      <c r="BC165" s="96"/>
      <c r="BD165" s="96"/>
      <c r="BE165" s="96"/>
      <c r="BF165" s="96"/>
      <c r="BG165" s="96"/>
      <c r="BH165" s="96"/>
    </row>
    <row r="166" spans="1:60" ht="33.75" hidden="1" outlineLevel="1" x14ac:dyDescent="0.25">
      <c r="A166" s="64" t="s">
        <v>2857</v>
      </c>
      <c r="B166" s="64" t="s">
        <v>424</v>
      </c>
      <c r="C166" s="64"/>
      <c r="D166" s="64"/>
      <c r="E166" s="74" t="s">
        <v>548</v>
      </c>
      <c r="F166" s="74" t="s">
        <v>549</v>
      </c>
      <c r="G166" s="74" t="s">
        <v>747</v>
      </c>
      <c r="H166" s="74" t="s">
        <v>550</v>
      </c>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69" t="str">
        <f t="shared" si="4"/>
        <v>OPhares avant antibrouillardPhares avant full LEDFrein de parc électriqueRun Lock avec contacts de coupure ventilation groupe frigorifique</v>
      </c>
      <c r="AV166" s="96"/>
      <c r="AW166" s="96"/>
      <c r="AX166" s="96"/>
      <c r="AY166" s="96"/>
      <c r="AZ166" s="96"/>
      <c r="BA166" s="96"/>
      <c r="BB166" s="96"/>
      <c r="BC166" s="96"/>
      <c r="BD166" s="96"/>
      <c r="BE166" s="96"/>
      <c r="BF166" s="96"/>
      <c r="BG166" s="96"/>
      <c r="BH166" s="96"/>
    </row>
    <row r="167" spans="1:60" ht="67.5" hidden="1" outlineLevel="1" x14ac:dyDescent="0.25">
      <c r="A167" s="64" t="s">
        <v>2865</v>
      </c>
      <c r="B167" s="64" t="s">
        <v>32</v>
      </c>
      <c r="C167" s="74" t="s">
        <v>537</v>
      </c>
      <c r="D167" s="74"/>
      <c r="E167" s="74" t="s">
        <v>402</v>
      </c>
      <c r="F167" s="74" t="s">
        <v>538</v>
      </c>
      <c r="G167" s="74" t="s">
        <v>555</v>
      </c>
      <c r="H167" s="74" t="s">
        <v>406</v>
      </c>
      <c r="I167" s="74" t="s">
        <v>551</v>
      </c>
      <c r="J167" s="74" t="s">
        <v>409</v>
      </c>
      <c r="K167" s="74" t="s">
        <v>552</v>
      </c>
      <c r="L167" s="74" t="s">
        <v>553</v>
      </c>
      <c r="M167" s="74" t="s">
        <v>400</v>
      </c>
      <c r="N167" s="74" t="s">
        <v>401</v>
      </c>
      <c r="O167" s="74" t="s">
        <v>542</v>
      </c>
      <c r="P167" s="74" t="s">
        <v>543</v>
      </c>
      <c r="Q167" s="74" t="s">
        <v>399</v>
      </c>
      <c r="R167" s="74" t="s">
        <v>556</v>
      </c>
      <c r="S167" s="74" t="s">
        <v>544</v>
      </c>
      <c r="T167" s="74"/>
      <c r="U167" s="74"/>
      <c r="V167" s="74" t="s">
        <v>545</v>
      </c>
      <c r="W167" s="74" t="s">
        <v>546</v>
      </c>
      <c r="X167" s="74"/>
      <c r="Y167" s="74"/>
      <c r="Z167" s="74"/>
      <c r="AA167" s="74" t="s">
        <v>547</v>
      </c>
      <c r="AB167" s="74"/>
      <c r="AC167" s="74"/>
      <c r="AD167" s="74"/>
      <c r="AE167" s="74"/>
      <c r="AF167" s="74"/>
      <c r="AG167" s="74"/>
      <c r="AH167" s="74"/>
      <c r="AI167" s="74"/>
      <c r="AJ167" s="74"/>
      <c r="AK167" s="74"/>
      <c r="AL167" s="74"/>
      <c r="AM167" s="74"/>
      <c r="AN167" s="74"/>
      <c r="AO167" s="74"/>
      <c r="AP167" s="74"/>
      <c r="AQ167" s="74"/>
      <c r="AR167" s="74"/>
      <c r="AS167" s="74"/>
      <c r="AT167" s="74"/>
      <c r="AU167" s="69" t="str">
        <f t="shared" si="4"/>
        <v>PCabine courte 3 places (couleur blanc)Verrouillage centralisé à distanceVitres électriques teintéesAirbag conducteurRétroviseurs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reculRadars de reculRégulateur de vitesseLimiteur de vitesse réglableClimatisation manuelleChronotachygraphe paramétré distribution (Travail actif)Allumage des feux et essuies glace automatiquesMesure de pression des pneumatiquesPhares avant HALOGENESMarteau brise vitre avec coupe ceinture de sécurité</v>
      </c>
      <c r="AV167" s="96"/>
      <c r="AW167" s="96"/>
      <c r="AX167" s="96"/>
      <c r="AY167" s="96"/>
      <c r="AZ167" s="96"/>
      <c r="BA167" s="96"/>
      <c r="BB167" s="96"/>
      <c r="BC167" s="96"/>
      <c r="BD167" s="96"/>
      <c r="BE167" s="96"/>
      <c r="BF167" s="96"/>
      <c r="BG167" s="96"/>
      <c r="BH167" s="96"/>
    </row>
    <row r="168" spans="1:60" ht="67.5" hidden="1" outlineLevel="1" x14ac:dyDescent="0.25">
      <c r="A168" s="64" t="s">
        <v>2866</v>
      </c>
      <c r="B168" s="64" t="s">
        <v>32</v>
      </c>
      <c r="C168" s="74" t="s">
        <v>537</v>
      </c>
      <c r="D168" s="74"/>
      <c r="E168" s="74" t="s">
        <v>402</v>
      </c>
      <c r="F168" s="74" t="s">
        <v>538</v>
      </c>
      <c r="G168" s="74" t="s">
        <v>555</v>
      </c>
      <c r="H168" s="74" t="s">
        <v>406</v>
      </c>
      <c r="I168" s="74" t="s">
        <v>551</v>
      </c>
      <c r="J168" s="74" t="s">
        <v>409</v>
      </c>
      <c r="K168" s="74" t="s">
        <v>552</v>
      </c>
      <c r="L168" s="74" t="s">
        <v>553</v>
      </c>
      <c r="M168" s="74" t="s">
        <v>1031</v>
      </c>
      <c r="N168" s="74" t="s">
        <v>1032</v>
      </c>
      <c r="O168" s="74" t="s">
        <v>542</v>
      </c>
      <c r="P168" s="74" t="s">
        <v>543</v>
      </c>
      <c r="Q168" s="74" t="s">
        <v>399</v>
      </c>
      <c r="R168" s="74" t="s">
        <v>1033</v>
      </c>
      <c r="S168" s="74" t="s">
        <v>544</v>
      </c>
      <c r="T168" s="74"/>
      <c r="U168" s="74"/>
      <c r="V168" s="74" t="s">
        <v>545</v>
      </c>
      <c r="W168" s="74" t="s">
        <v>546</v>
      </c>
      <c r="X168" s="74"/>
      <c r="Y168" s="74"/>
      <c r="Z168" s="74"/>
      <c r="AA168" s="74" t="s">
        <v>547</v>
      </c>
      <c r="AB168" s="74"/>
      <c r="AC168" s="74"/>
      <c r="AD168" s="74"/>
      <c r="AE168" s="74"/>
      <c r="AF168" s="74"/>
      <c r="AG168" s="74"/>
      <c r="AH168" s="74"/>
      <c r="AI168" s="74"/>
      <c r="AJ168" s="74"/>
      <c r="AK168" s="74"/>
      <c r="AL168" s="74"/>
      <c r="AM168" s="74"/>
      <c r="AN168" s="74"/>
      <c r="AO168" s="74"/>
      <c r="AP168" s="74"/>
      <c r="AQ168" s="74"/>
      <c r="AR168" s="74"/>
      <c r="AS168" s="74"/>
      <c r="AT168" s="74"/>
      <c r="AU168" s="69" t="str">
        <f t="shared" ref="AU168:AU172" si="5">CONCATENATE(B168,C168,D168,E168,F168,G168,H168,I168,J168,K168,L168,M168,N168,O168,P168,Q168,R168,S168,T168,U168,V168,W168,X168,Y168,Z168,AA168,AB168,AC168,AD168,AE168,AF168,AG168,AH168,AI168,AJ168,AK168,AL168,AM168,AN168,AO168,AP168,AQ168,AR168,AS168,AT168)</f>
        <v>PCabine courte 3 places (couleur blanc)Verrouillage centralisé à distanceVitres électriques teintéesAirbag conducteurRétroviseurs électriques et dégivrantsRadio Bluetooth avec écran tactile 7'' et réplication smartphone compatible Android Auto / Apple CarPlay / USBVolant multifonctions réglable en hauteur et en profondeurSiège conducteur suspendu pneumatique avec accoudoirBanquette passagers avec tablette écritoire dans le dossierCaméra de recul IVECORadars de recul (fourniture carrossier)Régulateur de vitesseLimiteur de vitesse réglableClimatisation manuelleChronotachygraphe paramétré distribution travail actifAllumage des feux et essuies glace automatiquesMesure de pression des pneumatiquesPhares avant HALOGENESMarteau brise vitre avec coupe ceinture de sécurité</v>
      </c>
      <c r="AV168" s="96"/>
      <c r="AW168" s="96"/>
      <c r="AX168" s="96"/>
      <c r="AY168" s="96"/>
      <c r="AZ168" s="96"/>
      <c r="BA168" s="96"/>
      <c r="BB168" s="96"/>
      <c r="BC168" s="96"/>
      <c r="BD168" s="96"/>
      <c r="BE168" s="96"/>
      <c r="BF168" s="96"/>
      <c r="BG168" s="96"/>
      <c r="BH168" s="96"/>
    </row>
    <row r="169" spans="1:60" ht="67.5" hidden="1" outlineLevel="1" x14ac:dyDescent="0.25">
      <c r="A169" s="64" t="s">
        <v>2874</v>
      </c>
      <c r="B169" s="64" t="s">
        <v>32</v>
      </c>
      <c r="C169" s="74" t="s">
        <v>559</v>
      </c>
      <c r="D169" s="74"/>
      <c r="E169" s="74" t="s">
        <v>402</v>
      </c>
      <c r="F169" s="74" t="s">
        <v>538</v>
      </c>
      <c r="G169" s="74"/>
      <c r="H169" s="74" t="s">
        <v>406</v>
      </c>
      <c r="I169" s="74" t="s">
        <v>551</v>
      </c>
      <c r="J169" s="74" t="s">
        <v>409</v>
      </c>
      <c r="K169" s="74" t="s">
        <v>552</v>
      </c>
      <c r="L169" s="74"/>
      <c r="M169" s="74" t="s">
        <v>1031</v>
      </c>
      <c r="N169" s="74" t="s">
        <v>561</v>
      </c>
      <c r="O169" s="74" t="s">
        <v>542</v>
      </c>
      <c r="P169" s="74"/>
      <c r="Q169" s="74" t="s">
        <v>399</v>
      </c>
      <c r="R169" s="74" t="s">
        <v>748</v>
      </c>
      <c r="S169" s="74"/>
      <c r="T169" s="74" t="s">
        <v>408</v>
      </c>
      <c r="U169" s="74" t="s">
        <v>562</v>
      </c>
      <c r="V169" s="74"/>
      <c r="W169" s="74" t="s">
        <v>546</v>
      </c>
      <c r="X169" s="74" t="s">
        <v>548</v>
      </c>
      <c r="Y169" s="74"/>
      <c r="Z169" s="74"/>
      <c r="AA169" s="74" t="s">
        <v>547</v>
      </c>
      <c r="AB169" s="74" t="s">
        <v>564</v>
      </c>
      <c r="AC169" s="74"/>
      <c r="AD169" s="74"/>
      <c r="AE169" s="74"/>
      <c r="AF169" s="74" t="s">
        <v>568</v>
      </c>
      <c r="AG169" s="74"/>
      <c r="AH169" s="74"/>
      <c r="AI169" s="74"/>
      <c r="AJ169" s="74"/>
      <c r="AK169" s="74"/>
      <c r="AL169" s="74"/>
      <c r="AM169" s="74"/>
      <c r="AN169" s="74"/>
      <c r="AO169" s="74"/>
      <c r="AP169" s="74"/>
      <c r="AQ169" s="74"/>
      <c r="AR169" s="74"/>
      <c r="AS169" s="74"/>
      <c r="AT169" s="74"/>
      <c r="AU169" s="69" t="str">
        <f t="shared" si="5"/>
        <v>PCabine courte 2 places (couleur blanc)Verrouillage centralisé à distanceVitres électriques teintéesRétroviseurs électriques et dégivrantsRadio Bluetooth avec écran tactile 7'' et réplication smartphone compatible Android Auto / Apple CarPlay / USBVolant multifonctions réglable en hauteur et en profondeurSiège conducteur suspendu pneumatique avec accoudoirCaméra de recul IVECOSans radars de reculRégulateur de vitesseClimatisation manuelleChronotachygraphe avec paramétrage distribution travail actifPrise FMSCoffre de rangement sur tunnel moteurPhares avant HALOGENESPhares avant antibrouillardMarteau brise vitre avec coupe ceinture de sécuritéSoufflette air compriméPare chocs avant en acier</v>
      </c>
      <c r="AV169" s="96"/>
      <c r="AW169" s="96"/>
      <c r="AX169" s="96"/>
      <c r="AY169" s="96"/>
      <c r="AZ169" s="96"/>
      <c r="BA169" s="96"/>
      <c r="BB169" s="96"/>
      <c r="BC169" s="96"/>
      <c r="BD169" s="96"/>
      <c r="BE169" s="96"/>
      <c r="BF169" s="96"/>
      <c r="BG169" s="96"/>
      <c r="BH169" s="96"/>
    </row>
    <row r="170" spans="1:60" ht="67.5" hidden="1" outlineLevel="1" x14ac:dyDescent="0.25">
      <c r="A170" s="64" t="s">
        <v>2878</v>
      </c>
      <c r="B170" s="64" t="s">
        <v>32</v>
      </c>
      <c r="C170" s="74" t="s">
        <v>559</v>
      </c>
      <c r="D170" s="74"/>
      <c r="E170" s="74" t="s">
        <v>402</v>
      </c>
      <c r="F170" s="74" t="s">
        <v>538</v>
      </c>
      <c r="G170" s="74"/>
      <c r="H170" s="74" t="s">
        <v>406</v>
      </c>
      <c r="I170" s="74" t="s">
        <v>560</v>
      </c>
      <c r="J170" s="74" t="s">
        <v>409</v>
      </c>
      <c r="K170" s="74" t="s">
        <v>552</v>
      </c>
      <c r="L170" s="74"/>
      <c r="M170" s="74" t="s">
        <v>1034</v>
      </c>
      <c r="N170" s="74" t="s">
        <v>561</v>
      </c>
      <c r="O170" s="74" t="s">
        <v>542</v>
      </c>
      <c r="P170" s="74"/>
      <c r="Q170" s="74" t="s">
        <v>399</v>
      </c>
      <c r="R170" s="74" t="s">
        <v>748</v>
      </c>
      <c r="S170" s="74"/>
      <c r="T170" s="74" t="s">
        <v>408</v>
      </c>
      <c r="U170" s="74" t="s">
        <v>562</v>
      </c>
      <c r="V170" s="74"/>
      <c r="W170" s="74" t="s">
        <v>563</v>
      </c>
      <c r="X170" s="74" t="s">
        <v>548</v>
      </c>
      <c r="Y170" s="74"/>
      <c r="Z170" s="74"/>
      <c r="AA170" s="74" t="s">
        <v>547</v>
      </c>
      <c r="AB170" s="74" t="s">
        <v>564</v>
      </c>
      <c r="AC170" s="74"/>
      <c r="AD170" s="74"/>
      <c r="AE170" s="74" t="s">
        <v>565</v>
      </c>
      <c r="AF170" s="74"/>
      <c r="AG170" s="74" t="s">
        <v>566</v>
      </c>
      <c r="AH170" s="74"/>
      <c r="AI170" s="74"/>
      <c r="AJ170" s="74"/>
      <c r="AK170" s="74"/>
      <c r="AL170" s="74"/>
      <c r="AM170" s="74"/>
      <c r="AN170" s="74"/>
      <c r="AO170" s="74"/>
      <c r="AP170" s="74"/>
      <c r="AQ170" s="74"/>
      <c r="AR170" s="74"/>
      <c r="AS170" s="74"/>
      <c r="AT170" s="74"/>
      <c r="AU170" s="69" t="str">
        <f t="shared" si="5"/>
        <v>PCabine courte 2 places (couleur blanc)Verrouillage centralisé à distanceVitres électriques teintéesRétroviseurs électriques et dégivrantsRadio Bluetooth / USB sans réplication smartphoneVolant multifonctions réglable en hauteur et en profondeurSiège conducteur suspendu pneumatique avec accoudoirCaméra de recul RENAULT TrucksSans radars de reculRégulateur de vitesseClimatisation manuelleChronotachygraphe avec paramétrage distribution travail actifPrise FMSCoffre de rangement sur tunnel moteurPhares avant LEDPhares avant antibrouillardMarteau brise vitre avec coupe ceinture de sécuritéSoufflette air compriméPorte vison côté passagerPare chocs avant avec angles en acier</v>
      </c>
      <c r="AV170" s="96"/>
      <c r="AW170" s="67"/>
      <c r="AX170" s="96"/>
      <c r="AY170" s="96"/>
      <c r="AZ170" s="96"/>
      <c r="BA170" s="96"/>
      <c r="BB170" s="96"/>
      <c r="BC170" s="96"/>
      <c r="BD170" s="96"/>
      <c r="BE170" s="96"/>
      <c r="BF170" s="96"/>
      <c r="BG170" s="96"/>
      <c r="BH170" s="96"/>
    </row>
    <row r="171" spans="1:60" ht="67.5" hidden="1" outlineLevel="1" x14ac:dyDescent="0.25">
      <c r="A171" s="64" t="s">
        <v>2876</v>
      </c>
      <c r="B171" s="64" t="s">
        <v>32</v>
      </c>
      <c r="C171" s="74" t="s">
        <v>559</v>
      </c>
      <c r="D171" s="74"/>
      <c r="E171" s="74" t="s">
        <v>402</v>
      </c>
      <c r="F171" s="74" t="s">
        <v>538</v>
      </c>
      <c r="G171" s="74"/>
      <c r="H171" s="74" t="s">
        <v>406</v>
      </c>
      <c r="I171" s="74" t="s">
        <v>551</v>
      </c>
      <c r="J171" s="74" t="s">
        <v>409</v>
      </c>
      <c r="K171" s="74" t="s">
        <v>552</v>
      </c>
      <c r="L171" s="74"/>
      <c r="M171" s="74" t="s">
        <v>1031</v>
      </c>
      <c r="N171" s="74" t="s">
        <v>561</v>
      </c>
      <c r="O171" s="74" t="s">
        <v>542</v>
      </c>
      <c r="P171" s="74"/>
      <c r="Q171" s="74" t="s">
        <v>399</v>
      </c>
      <c r="R171" s="74" t="s">
        <v>748</v>
      </c>
      <c r="S171" s="74"/>
      <c r="T171" s="74" t="s">
        <v>408</v>
      </c>
      <c r="U171" s="74" t="s">
        <v>562</v>
      </c>
      <c r="V171" s="74"/>
      <c r="W171" s="74" t="s">
        <v>563</v>
      </c>
      <c r="X171" s="74" t="s">
        <v>548</v>
      </c>
      <c r="Y171" s="74"/>
      <c r="Z171" s="74"/>
      <c r="AA171" s="74" t="s">
        <v>547</v>
      </c>
      <c r="AB171" s="74" t="s">
        <v>564</v>
      </c>
      <c r="AC171" s="74"/>
      <c r="AD171" s="74"/>
      <c r="AE171" s="74"/>
      <c r="AF171" s="74" t="s">
        <v>568</v>
      </c>
      <c r="AG171" s="74"/>
      <c r="AH171" s="74"/>
      <c r="AI171" s="74"/>
      <c r="AJ171" s="74"/>
      <c r="AK171" s="74"/>
      <c r="AL171" s="74"/>
      <c r="AM171" s="74"/>
      <c r="AN171" s="74"/>
      <c r="AO171" s="74"/>
      <c r="AP171" s="74"/>
      <c r="AQ171" s="74"/>
      <c r="AR171" s="74"/>
      <c r="AS171" s="74"/>
      <c r="AT171" s="74"/>
      <c r="AU171" s="69" t="str">
        <f t="shared" si="5"/>
        <v>PCabine courte 2 places (couleur blanc)Verrouillage centralisé à distanceVitres électriques teintéesRétroviseurs électriques et dégivrantsRadio Bluetooth avec écran tactile 7'' et réplication smartphone compatible Android Auto / Apple CarPlay / USBVolant multifonctions réglable en hauteur et en profondeurSiège conducteur suspendu pneumatique avec accoudoirCaméra de recul IVECOSans radars de reculRégulateur de vitesseClimatisation manuelleChronotachygraphe avec paramétrage distribution travail actifPrise FMSCoffre de rangement sur tunnel moteurPhares avant LEDPhares avant antibrouillardMarteau brise vitre avec coupe ceinture de sécuritéSoufflette air compriméPare chocs avant en acier</v>
      </c>
      <c r="AV171" s="96"/>
      <c r="AW171" s="96"/>
      <c r="AX171" s="96"/>
      <c r="AY171" s="96"/>
      <c r="AZ171" s="96"/>
      <c r="BA171" s="96"/>
      <c r="BB171" s="96"/>
      <c r="BC171" s="96"/>
      <c r="BD171" s="96"/>
      <c r="BE171" s="96"/>
      <c r="BF171" s="96"/>
      <c r="BG171" s="96"/>
      <c r="BH171" s="96"/>
    </row>
    <row r="172" spans="1:60" ht="67.5" hidden="1" outlineLevel="1" x14ac:dyDescent="0.25">
      <c r="A172" s="64" t="s">
        <v>2871</v>
      </c>
      <c r="B172" s="64" t="s">
        <v>32</v>
      </c>
      <c r="C172" s="74" t="s">
        <v>559</v>
      </c>
      <c r="D172" s="74"/>
      <c r="E172" s="74" t="s">
        <v>402</v>
      </c>
      <c r="F172" s="74" t="s">
        <v>538</v>
      </c>
      <c r="G172" s="74"/>
      <c r="H172" s="74" t="s">
        <v>406</v>
      </c>
      <c r="I172" s="74" t="s">
        <v>560</v>
      </c>
      <c r="J172" s="74" t="s">
        <v>409</v>
      </c>
      <c r="K172" s="74" t="s">
        <v>552</v>
      </c>
      <c r="L172" s="74"/>
      <c r="M172" s="74" t="s">
        <v>1034</v>
      </c>
      <c r="N172" s="74" t="s">
        <v>561</v>
      </c>
      <c r="O172" s="74" t="s">
        <v>542</v>
      </c>
      <c r="P172" s="74"/>
      <c r="Q172" s="74" t="s">
        <v>399</v>
      </c>
      <c r="R172" s="74" t="s">
        <v>748</v>
      </c>
      <c r="S172" s="74"/>
      <c r="T172" s="74" t="s">
        <v>408</v>
      </c>
      <c r="U172" s="74" t="s">
        <v>562</v>
      </c>
      <c r="V172" s="74"/>
      <c r="W172" s="74" t="s">
        <v>546</v>
      </c>
      <c r="X172" s="74" t="s">
        <v>548</v>
      </c>
      <c r="Y172" s="74"/>
      <c r="Z172" s="74"/>
      <c r="AA172" s="74" t="s">
        <v>547</v>
      </c>
      <c r="AB172" s="74" t="s">
        <v>564</v>
      </c>
      <c r="AC172" s="74"/>
      <c r="AD172" s="74"/>
      <c r="AE172" s="74" t="s">
        <v>565</v>
      </c>
      <c r="AF172" s="74"/>
      <c r="AG172" s="74" t="s">
        <v>566</v>
      </c>
      <c r="AH172" s="74"/>
      <c r="AI172" s="74"/>
      <c r="AJ172" s="74"/>
      <c r="AK172" s="74"/>
      <c r="AL172" s="74"/>
      <c r="AM172" s="74"/>
      <c r="AN172" s="74"/>
      <c r="AO172" s="74"/>
      <c r="AP172" s="74"/>
      <c r="AQ172" s="74"/>
      <c r="AR172" s="74"/>
      <c r="AS172" s="74"/>
      <c r="AT172" s="74"/>
      <c r="AU172" s="69" t="str">
        <f t="shared" si="5"/>
        <v>PCabine courte 2 places (couleur blanc)Verrouillage centralisé à distanceVitres électriques teintéesRétroviseurs électriques et dégivrantsRadio Bluetooth / USB sans réplication smartphoneVolant multifonctions réglable en hauteur et en profondeurSiège conducteur suspendu pneumatique avec accoudoirCaméra de recul RENAULT TrucksSans radars de reculRégulateur de vitesseClimatisation manuelleChronotachygraphe avec paramétrage distribution travail actifPrise FMSCoffre de rangement sur tunnel moteurPhares avant HALOGENESPhares avant antibrouillardMarteau brise vitre avec coupe ceinture de sécuritéSoufflette air compriméPorte vison côté passagerPare chocs avant avec angles en acier</v>
      </c>
      <c r="AV172" s="96"/>
      <c r="AW172" s="67"/>
      <c r="AX172" s="96"/>
      <c r="AY172" s="96"/>
      <c r="AZ172" s="96"/>
      <c r="BA172" s="96"/>
      <c r="BB172" s="96"/>
      <c r="BC172" s="96"/>
      <c r="BD172" s="96"/>
      <c r="BE172" s="96"/>
      <c r="BF172" s="96"/>
      <c r="BG172" s="96"/>
      <c r="BH172" s="96"/>
    </row>
    <row r="173" spans="1:60" collapsed="1" x14ac:dyDescent="0.25">
      <c r="A173" s="66"/>
      <c r="B173" s="67"/>
      <c r="L173" s="96"/>
      <c r="M173" s="67"/>
      <c r="AD173" s="96"/>
      <c r="AE173" s="67"/>
      <c r="AG173" s="96"/>
      <c r="AH173" s="67"/>
      <c r="AS173" s="96"/>
      <c r="AT173" s="66"/>
    </row>
  </sheetData>
  <autoFilter ref="A1:BE172" xr:uid="{B2AB72F8-77DD-4122-B859-8DBE04F47333}"/>
  <phoneticPr fontId="24" type="noConversion"/>
  <conditionalFormatting sqref="A138">
    <cfRule type="duplicateValues" dxfId="25" priority="3"/>
    <cfRule type="duplicateValues" dxfId="24" priority="4"/>
  </conditionalFormatting>
  <conditionalFormatting sqref="A139">
    <cfRule type="duplicateValues" dxfId="23" priority="1"/>
    <cfRule type="duplicateValues" dxfId="22" priority="2"/>
  </conditionalFormatting>
  <conditionalFormatting sqref="A140:A1048576 A1:A137">
    <cfRule type="duplicateValues" dxfId="21" priority="4799"/>
  </conditionalFormatting>
  <conditionalFormatting sqref="AU140:AU1048576 AU1:AU137">
    <cfRule type="duplicateValues" dxfId="20" priority="4802"/>
  </conditionalFormatting>
  <pageMargins left="0" right="0" top="0.74803149606299213" bottom="0.74803149606299213" header="0.31496062992125984" footer="0.31496062992125984"/>
  <pageSetup paperSize="8" scale="65" fitToWidth="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A7FF-74D6-4AEA-A40B-7424E6175D23}">
  <sheetPr filterMode="1">
    <pageSetUpPr fitToPage="1"/>
  </sheetPr>
  <dimension ref="A1:AQ140"/>
  <sheetViews>
    <sheetView showGridLines="0" zoomScaleNormal="100" workbookViewId="0">
      <pane ySplit="1" topLeftCell="A4" activePane="bottomLeft" state="frozen"/>
      <selection pane="bottomLeft" activeCell="C149" sqref="C149"/>
    </sheetView>
  </sheetViews>
  <sheetFormatPr baseColWidth="10" defaultColWidth="20.7109375" defaultRowHeight="11.25" outlineLevelRow="1" outlineLevelCol="2" x14ac:dyDescent="0.25"/>
  <cols>
    <col min="1" max="1" width="30.7109375" style="68" customWidth="1"/>
    <col min="2" max="2" width="10" style="68" customWidth="1"/>
    <col min="3" max="7" width="20.7109375" style="68"/>
    <col min="8" max="8" width="20.7109375" style="68" customWidth="1" outlineLevel="1"/>
    <col min="9" max="9" width="20.7109375" style="68" customWidth="1" outlineLevel="2"/>
    <col min="10" max="11" width="20.7109375" style="68" customWidth="1"/>
    <col min="12" max="12" width="20.7109375" style="68" customWidth="1" outlineLevel="1"/>
    <col min="13" max="13" width="20.7109375" style="68" customWidth="1"/>
    <col min="14" max="21" width="20.7109375" style="68" customWidth="1" outlineLevel="1"/>
    <col min="22" max="29" width="20.7109375" style="68" customWidth="1"/>
    <col min="30" max="38" width="20.7109375" style="68"/>
    <col min="39" max="39" width="100.7109375" style="68" customWidth="1"/>
    <col min="40" max="42" width="20.7109375" style="68"/>
    <col min="43" max="43" width="20.7109375" style="66"/>
    <col min="44" max="16384" width="20.7109375" style="68"/>
  </cols>
  <sheetData>
    <row r="1" spans="1:43" s="172" customFormat="1" ht="48.75" customHeight="1" x14ac:dyDescent="0.25">
      <c r="A1" s="165" t="s">
        <v>2991</v>
      </c>
      <c r="B1" s="165" t="s">
        <v>2683</v>
      </c>
      <c r="C1" s="165" t="s">
        <v>2708</v>
      </c>
      <c r="D1" s="165" t="s">
        <v>2707</v>
      </c>
      <c r="E1" s="165" t="s">
        <v>2706</v>
      </c>
      <c r="F1" s="165" t="s">
        <v>2709</v>
      </c>
      <c r="G1" s="165" t="s">
        <v>2710</v>
      </c>
      <c r="H1" s="165" t="s">
        <v>2711</v>
      </c>
      <c r="I1" s="165" t="s">
        <v>2684</v>
      </c>
      <c r="J1" s="165" t="s">
        <v>2685</v>
      </c>
      <c r="K1" s="165" t="s">
        <v>2686</v>
      </c>
      <c r="L1" s="165" t="s">
        <v>2687</v>
      </c>
      <c r="M1" s="165" t="s">
        <v>2688</v>
      </c>
      <c r="N1" s="165" t="s">
        <v>427</v>
      </c>
      <c r="O1" s="165" t="s">
        <v>2689</v>
      </c>
      <c r="P1" s="165" t="s">
        <v>2690</v>
      </c>
      <c r="Q1" s="165" t="s">
        <v>2691</v>
      </c>
      <c r="R1" s="165" t="s">
        <v>2692</v>
      </c>
      <c r="S1" s="166" t="s">
        <v>2693</v>
      </c>
      <c r="T1" s="166" t="s">
        <v>2694</v>
      </c>
      <c r="U1" s="166" t="s">
        <v>2695</v>
      </c>
      <c r="V1" s="167" t="s">
        <v>2696</v>
      </c>
      <c r="W1" s="165" t="s">
        <v>2697</v>
      </c>
      <c r="X1" s="167" t="s">
        <v>2698</v>
      </c>
      <c r="Y1" s="167" t="s">
        <v>2699</v>
      </c>
      <c r="Z1" s="167" t="s">
        <v>2700</v>
      </c>
      <c r="AA1" s="167" t="s">
        <v>2701</v>
      </c>
      <c r="AB1" s="167" t="s">
        <v>2702</v>
      </c>
      <c r="AC1" s="167" t="s">
        <v>2703</v>
      </c>
      <c r="AD1" s="167" t="s">
        <v>2704</v>
      </c>
      <c r="AE1" s="167" t="s">
        <v>2705</v>
      </c>
      <c r="AF1" s="167" t="s">
        <v>419</v>
      </c>
      <c r="AG1" s="167" t="s">
        <v>418</v>
      </c>
      <c r="AH1" s="167" t="s">
        <v>417</v>
      </c>
      <c r="AI1" s="167" t="s">
        <v>416</v>
      </c>
      <c r="AJ1" s="167" t="s">
        <v>415</v>
      </c>
      <c r="AK1" s="167" t="s">
        <v>414</v>
      </c>
      <c r="AL1" s="167" t="s">
        <v>413</v>
      </c>
      <c r="AM1" s="178" t="str">
        <f>CONCATENATE(B1,C1,D1,E1,F1,G1,H1,I1,J1,K1,L1,M1,N1,O1,P1,Q1,R1,S1,T1,U1,V1,W1,X1,Y1,Z1,AA1,AB1,AC1,AD1,AE1,AF1,AG1,AH1,AI1,AJ1,AK1,AL1)</f>
        <v>Produit (P)
Produit (P) 
/ Option (O)Norme pollution
Norme pollution
Sans optionType moteur
Type moteur - Puissance
Bridage 1Cylindrée en Litres
Nb cylindre - cm3 / Litres
Bridage 2Principe fonctionnement
NA
Motorisation 1Puissance
NA
Motorisation 2Nb cylindre
NA
Motorisation 3Cylindrée en cm3
NA
NAType de boite
Type de boite
NABatterie
Batterie et Alternateur
NAAlternateur
Vitesse maxi / Bridage
NAFrein échappement  / moteur
NA
NACouple moteurRapport de pont
Rapport de pont
NAEGR
NA
NASCR
NA
NAFAP
NA
NABaterie électrique
NA
NARechargement
NA
NARécupération énergie
NA
NAVitesse maxi 
NA
NAAutonimie 1
NA
NAAutonimie 2
NA
NANiv Sonore
NA
NA_
NA
NACable 1 
NA
NAet
NA
NACable 2
NA
NAKey Out
NA
NAzone libre 13
NA
Radars avantzone libre 14zone libre 15zone libre 16zone libre 17zone libre 18zone libre 19zone libre 20</v>
      </c>
      <c r="AQ1" s="127"/>
    </row>
    <row r="2" spans="1:43" s="67" customFormat="1" hidden="1" x14ac:dyDescent="0.25">
      <c r="A2" s="64" t="s">
        <v>4296</v>
      </c>
      <c r="B2" s="64" t="s">
        <v>424</v>
      </c>
      <c r="C2" s="64" t="s">
        <v>1035</v>
      </c>
      <c r="D2" s="64"/>
      <c r="E2" s="64"/>
      <c r="F2" s="64"/>
      <c r="G2" s="64"/>
      <c r="H2" s="64"/>
      <c r="I2" s="64"/>
      <c r="J2" s="64"/>
      <c r="K2" s="64"/>
      <c r="L2" s="64"/>
      <c r="M2" s="64"/>
      <c r="N2" s="64"/>
      <c r="O2" s="64"/>
      <c r="P2" s="64"/>
      <c r="Q2" s="64"/>
      <c r="R2" s="64"/>
      <c r="S2" s="64"/>
      <c r="T2" s="64"/>
      <c r="U2" s="64"/>
      <c r="V2" s="64"/>
      <c r="W2" s="64"/>
      <c r="X2" s="64"/>
      <c r="Y2" s="64"/>
      <c r="Z2" s="71"/>
      <c r="AA2" s="64"/>
      <c r="AB2" s="64"/>
      <c r="AC2" s="64"/>
      <c r="AD2" s="71"/>
      <c r="AE2" s="71"/>
      <c r="AF2" s="71"/>
      <c r="AG2" s="71"/>
      <c r="AH2" s="71"/>
      <c r="AI2" s="71"/>
      <c r="AJ2" s="71"/>
      <c r="AK2" s="71"/>
      <c r="AL2" s="71"/>
      <c r="AM2" s="69" t="str">
        <f t="shared" ref="AM2:AM58" si="0">CONCATENATE(B2,C2,D2,E2,F2,G2,H2,I2,J2,K2,L2,M2,N2,O2,P2,Q2,R2,S2,T2,U2,V2,W2,X2,Y2,Z2,AA2,AB2,AC2,AD2,AE2,AF2,AG2,AH2,AI2,AJ2,AK2,AL2)</f>
        <v>OSans option</v>
      </c>
    </row>
    <row r="3" spans="1:43" s="66" customFormat="1" ht="22.5" hidden="1" outlineLevel="1" x14ac:dyDescent="0.25">
      <c r="A3" s="64" t="s">
        <v>3579</v>
      </c>
      <c r="B3" s="64" t="s">
        <v>32</v>
      </c>
      <c r="C3" s="64"/>
      <c r="D3" s="64" t="s">
        <v>3729</v>
      </c>
      <c r="E3" s="64"/>
      <c r="F3" s="64" t="s">
        <v>3730</v>
      </c>
      <c r="G3" s="64"/>
      <c r="H3" s="64"/>
      <c r="I3" s="64"/>
      <c r="J3" s="64" t="s">
        <v>2140</v>
      </c>
      <c r="K3" s="64"/>
      <c r="L3" s="64"/>
      <c r="M3" s="64"/>
      <c r="N3" s="64"/>
      <c r="O3" s="64"/>
      <c r="P3" s="64"/>
      <c r="Q3" s="64"/>
      <c r="R3" s="64"/>
      <c r="S3" s="64" t="s">
        <v>3731</v>
      </c>
      <c r="T3" s="64" t="s">
        <v>3732</v>
      </c>
      <c r="U3" s="64" t="s">
        <v>3733</v>
      </c>
      <c r="V3" s="64" t="s">
        <v>3734</v>
      </c>
      <c r="W3" s="64" t="s">
        <v>3735</v>
      </c>
      <c r="X3" s="64"/>
      <c r="Y3" s="64"/>
      <c r="Z3" s="70"/>
      <c r="AA3" s="70"/>
      <c r="AB3" s="71"/>
      <c r="AC3" s="64"/>
      <c r="AD3" s="175"/>
      <c r="AE3" s="71"/>
      <c r="AF3" s="70"/>
      <c r="AG3" s="71"/>
      <c r="AH3" s="71"/>
      <c r="AI3" s="71"/>
      <c r="AJ3" s="69"/>
      <c r="AK3" s="71"/>
      <c r="AL3" s="71"/>
      <c r="AM3" s="69" t="str">
        <f t="shared" si="0"/>
        <v>PElectrique asynchrone 8 kWB.V. automatique à 1 rapport Av. + 1 Ar.Batterie Lithium 9.6 kWhChargeur intégré avec prise 220v – 16A MonophaséDurée de recharge environ 7 h Vitesse maxi : 50km/hAutonomie : 40 km environ</v>
      </c>
    </row>
    <row r="4" spans="1:43" s="66" customFormat="1" ht="45" outlineLevel="1" x14ac:dyDescent="0.25">
      <c r="A4" s="64" t="s">
        <v>3621</v>
      </c>
      <c r="B4" s="64" t="s">
        <v>32</v>
      </c>
      <c r="C4" s="64"/>
      <c r="D4" s="64" t="s">
        <v>3720</v>
      </c>
      <c r="E4" s="64"/>
      <c r="F4" s="64" t="s">
        <v>3721</v>
      </c>
      <c r="G4" s="64" t="s">
        <v>3722</v>
      </c>
      <c r="H4" s="64"/>
      <c r="I4" s="64"/>
      <c r="J4" s="64" t="s">
        <v>2140</v>
      </c>
      <c r="K4" s="64"/>
      <c r="L4" s="64"/>
      <c r="M4" s="64"/>
      <c r="N4" s="64"/>
      <c r="O4" s="64"/>
      <c r="P4" s="64"/>
      <c r="Q4" s="64"/>
      <c r="R4" s="64"/>
      <c r="S4" s="64" t="s">
        <v>3736</v>
      </c>
      <c r="T4" s="64" t="s">
        <v>3737</v>
      </c>
      <c r="U4" s="64" t="s">
        <v>2143</v>
      </c>
      <c r="V4" s="64" t="s">
        <v>3738</v>
      </c>
      <c r="W4" s="64" t="s">
        <v>3739</v>
      </c>
      <c r="X4" s="64"/>
      <c r="Y4" s="64"/>
      <c r="Z4" s="70" t="s">
        <v>430</v>
      </c>
      <c r="AA4" s="70" t="s">
        <v>3740</v>
      </c>
      <c r="AB4" s="71" t="s">
        <v>431</v>
      </c>
      <c r="AC4" s="64" t="s">
        <v>3741</v>
      </c>
      <c r="AD4" s="175"/>
      <c r="AE4" s="71"/>
      <c r="AF4" s="70"/>
      <c r="AG4" s="71"/>
      <c r="AH4" s="71"/>
      <c r="AI4" s="71"/>
      <c r="AJ4" s="69"/>
      <c r="AK4" s="71"/>
      <c r="AL4" s="71"/>
      <c r="AM4" s="69" t="str">
        <f t="shared" si="0"/>
        <v>PElectrique asynchrone57 kW(76ch)B.V. automatique à 1 rapport Av. + 1 Ar.Batterie LiFePO4 (Lithium ion Phosphate de fer) 52 kWhChargeur AC 7,4kW / DC 22kW embarqué avec prise type 2Freinage à récupération d'énergieVitesse limitée à 80 Km/hAutonomie : 100 - 120 km environ
_1 câble à usage occasionnel pour recharge lente à 100% sur prise domestique 2,3 kW (32h) ou sur prise Green'Up 3,7 kW (19h)et1 câble T2-T2 de longueur 6m pour recharge rapide à 100% sur borne type WALLBOX 7,4kW (9h30)</v>
      </c>
    </row>
    <row r="5" spans="1:43" s="66" customFormat="1" ht="33.75" hidden="1" outlineLevel="1" x14ac:dyDescent="0.25">
      <c r="A5" s="64" t="s">
        <v>1145</v>
      </c>
      <c r="B5" s="64" t="s">
        <v>32</v>
      </c>
      <c r="C5" s="64"/>
      <c r="D5" s="64" t="s">
        <v>2231</v>
      </c>
      <c r="E5" s="64"/>
      <c r="F5" s="64"/>
      <c r="G5" s="64"/>
      <c r="H5" s="64"/>
      <c r="I5" s="64"/>
      <c r="J5" s="64"/>
      <c r="K5" s="64"/>
      <c r="L5" s="64"/>
      <c r="M5" s="64" t="s">
        <v>2232</v>
      </c>
      <c r="N5" s="64" t="s">
        <v>2233</v>
      </c>
      <c r="O5" s="64"/>
      <c r="P5" s="64"/>
      <c r="Q5" s="64"/>
      <c r="R5" s="64"/>
      <c r="S5" s="64"/>
      <c r="T5" s="64"/>
      <c r="U5" s="64"/>
      <c r="V5" s="64" t="s">
        <v>2234</v>
      </c>
      <c r="W5" s="71"/>
      <c r="X5" s="175"/>
      <c r="Y5" s="175"/>
      <c r="Z5" s="71"/>
      <c r="AA5" s="70"/>
      <c r="AB5" s="175"/>
      <c r="AC5" s="71"/>
      <c r="AD5" s="71"/>
      <c r="AE5" s="71"/>
      <c r="AF5" s="71"/>
      <c r="AG5" s="71"/>
      <c r="AH5" s="71"/>
      <c r="AI5" s="71"/>
      <c r="AJ5" s="71"/>
      <c r="AK5" s="71"/>
      <c r="AL5" s="71"/>
      <c r="AM5" s="69" t="str">
        <f t="shared" si="0"/>
        <v>PMoteurs : Roues motrices 2 x 1500 WFreinage : Dynamique (courant inversé) &amp; Hydraulique (parking)Freinage à récupération d’énergieVitesse maxi. : 25 km/h à vélo, 7 km/h à la main</v>
      </c>
    </row>
    <row r="6" spans="1:43" s="66" customFormat="1" ht="33.75" hidden="1" outlineLevel="1" x14ac:dyDescent="0.25">
      <c r="A6" s="64" t="s">
        <v>3428</v>
      </c>
      <c r="B6" s="64" t="s">
        <v>32</v>
      </c>
      <c r="C6" s="64"/>
      <c r="D6" s="64" t="s">
        <v>3720</v>
      </c>
      <c r="E6" s="64"/>
      <c r="F6" s="64" t="s">
        <v>3742</v>
      </c>
      <c r="G6" s="64" t="s">
        <v>3743</v>
      </c>
      <c r="H6" s="64"/>
      <c r="I6" s="64"/>
      <c r="J6" s="64" t="s">
        <v>2140</v>
      </c>
      <c r="K6" s="64"/>
      <c r="L6" s="64"/>
      <c r="M6" s="64"/>
      <c r="N6" s="64"/>
      <c r="O6" s="64"/>
      <c r="P6" s="64"/>
      <c r="Q6" s="64"/>
      <c r="R6" s="64"/>
      <c r="S6" s="64" t="s">
        <v>3744</v>
      </c>
      <c r="T6" s="64" t="s">
        <v>3745</v>
      </c>
      <c r="U6" s="64" t="s">
        <v>3746</v>
      </c>
      <c r="V6" s="64" t="s">
        <v>3747</v>
      </c>
      <c r="W6" s="64" t="s">
        <v>3748</v>
      </c>
      <c r="X6" s="175"/>
      <c r="Y6" s="175"/>
      <c r="Z6" s="71" t="s">
        <v>430</v>
      </c>
      <c r="AA6" s="70" t="s">
        <v>3749</v>
      </c>
      <c r="AB6" s="175"/>
      <c r="AC6" s="71"/>
      <c r="AD6" s="71"/>
      <c r="AE6" s="71"/>
      <c r="AF6" s="71"/>
      <c r="AG6" s="71"/>
      <c r="AH6" s="71"/>
      <c r="AI6" s="71"/>
      <c r="AJ6" s="71"/>
      <c r="AK6" s="71"/>
      <c r="AL6" s="71"/>
      <c r="AM6" s="69" t="str">
        <f t="shared" si="0"/>
        <v xml:space="preserve">PElectrique asynchrone10 kW(13ch)B.V. automatique à 1 rapport Av. + 1 Ar.Batteries Lithium (LiFePo4) 14 kWhChargeur 2kW embarqué avec prise P17 - 2P+TFrein à main avec capteur de limitation de coupleVitesse maxi : 50 km/hAutonomie : 20 km
_1 Câble de recharge avec prise mâle 220V-16A pour recharge des batteries (temps de charge : 6h) </v>
      </c>
    </row>
    <row r="7" spans="1:43" s="96" customFormat="1" ht="33.75" hidden="1" outlineLevel="1" x14ac:dyDescent="0.25">
      <c r="A7" s="64" t="s">
        <v>3370</v>
      </c>
      <c r="B7" s="64" t="s">
        <v>32</v>
      </c>
      <c r="C7" s="64"/>
      <c r="D7" s="64" t="s">
        <v>2137</v>
      </c>
      <c r="E7" s="64"/>
      <c r="F7" s="64" t="s">
        <v>2138</v>
      </c>
      <c r="G7" s="64" t="s">
        <v>2139</v>
      </c>
      <c r="H7" s="64"/>
      <c r="I7" s="64"/>
      <c r="J7" s="64" t="s">
        <v>2140</v>
      </c>
      <c r="K7" s="64"/>
      <c r="L7" s="64"/>
      <c r="M7" s="64"/>
      <c r="N7" s="64"/>
      <c r="O7" s="64"/>
      <c r="P7" s="64"/>
      <c r="Q7" s="64"/>
      <c r="R7" s="64"/>
      <c r="S7" s="64" t="s">
        <v>3750</v>
      </c>
      <c r="T7" s="64" t="s">
        <v>2142</v>
      </c>
      <c r="U7" s="64" t="s">
        <v>2143</v>
      </c>
      <c r="V7" s="64" t="s">
        <v>2144</v>
      </c>
      <c r="W7" s="64" t="s">
        <v>3751</v>
      </c>
      <c r="X7" s="71"/>
      <c r="Y7" s="71"/>
      <c r="Z7" s="71"/>
      <c r="AA7" s="64"/>
      <c r="AB7" s="64"/>
      <c r="AC7" s="64" t="s">
        <v>3752</v>
      </c>
      <c r="AD7" s="71" t="s">
        <v>431</v>
      </c>
      <c r="AE7" s="64" t="s">
        <v>3753</v>
      </c>
      <c r="AF7" s="70"/>
      <c r="AG7" s="71"/>
      <c r="AH7" s="71"/>
      <c r="AI7" s="71"/>
      <c r="AJ7" s="69"/>
      <c r="AK7" s="71"/>
      <c r="AL7" s="71"/>
      <c r="AM7" s="69" t="str">
        <f t="shared" si="0"/>
        <v>PElectrique100 kW(136 ch)B.V. automatique à 1 rapport Av. + 1 Ar.Batterie Lithium-ion 50 kWhChargeur 11 kW AC et 100 kW en DC embarqué avec prise type 2Freinage à récupération d'énergieVitesse maxi : 130 km/hAutonomie selon utilisation : 100 à 120 km environ1 câble T2-T2 pour recharge sur borne type WALLBOX 11 kW ou équivalentet1 câble domestiques 8A (1.8 kW) et 16 A (3.7 kW) 230 V</v>
      </c>
    </row>
    <row r="8" spans="1:43" s="66" customFormat="1" ht="33.75" hidden="1" outlineLevel="1" x14ac:dyDescent="0.25">
      <c r="A8" s="64" t="s">
        <v>3383</v>
      </c>
      <c r="B8" s="64" t="s">
        <v>32</v>
      </c>
      <c r="C8" s="64"/>
      <c r="D8" s="64" t="s">
        <v>2137</v>
      </c>
      <c r="E8" s="64"/>
      <c r="F8" s="64" t="s">
        <v>2138</v>
      </c>
      <c r="G8" s="64" t="s">
        <v>2139</v>
      </c>
      <c r="H8" s="64"/>
      <c r="I8" s="64"/>
      <c r="J8" s="64" t="s">
        <v>2140</v>
      </c>
      <c r="K8" s="64"/>
      <c r="L8" s="64"/>
      <c r="M8" s="64"/>
      <c r="N8" s="64"/>
      <c r="O8" s="64"/>
      <c r="P8" s="64"/>
      <c r="Q8" s="64"/>
      <c r="R8" s="64"/>
      <c r="S8" s="64" t="s">
        <v>2150</v>
      </c>
      <c r="T8" s="64" t="s">
        <v>2142</v>
      </c>
      <c r="U8" s="64" t="s">
        <v>2143</v>
      </c>
      <c r="V8" s="64" t="s">
        <v>2144</v>
      </c>
      <c r="W8" s="64" t="s">
        <v>3754</v>
      </c>
      <c r="X8" s="71"/>
      <c r="Y8" s="71"/>
      <c r="Z8" s="70"/>
      <c r="AA8" s="72"/>
      <c r="AB8" s="64"/>
      <c r="AC8" s="64" t="s">
        <v>3752</v>
      </c>
      <c r="AD8" s="71" t="s">
        <v>431</v>
      </c>
      <c r="AE8" s="64" t="s">
        <v>3753</v>
      </c>
      <c r="AF8" s="70"/>
      <c r="AG8" s="71"/>
      <c r="AH8" s="71"/>
      <c r="AI8" s="71"/>
      <c r="AJ8" s="69"/>
      <c r="AK8" s="71"/>
      <c r="AL8" s="71"/>
      <c r="AM8" s="69" t="str">
        <f t="shared" si="0"/>
        <v>PElectrique100 kW(136 ch)B.V. automatique à 1 rapport Av. + 1 Ar.Batterie Lithium-ion 75 kWhChargeur 11 kW AC et 100 kW en DC embarqué avec prise type 2Freinage à récupération d'énergieVitesse maxi : 130 km/hAutonomie selon utilisation : 120 à 150 km environ1 câble T2-T2 pour recharge sur borne type WALLBOX 11 kW ou équivalentet1 câble domestiques 8A (1.8 kW) et 16 A (3.7 kW) 230 V</v>
      </c>
    </row>
    <row r="9" spans="1:43" s="66" customFormat="1" ht="22.5" hidden="1" outlineLevel="1" x14ac:dyDescent="0.25">
      <c r="A9" s="64" t="s">
        <v>4297</v>
      </c>
      <c r="B9" s="64" t="s">
        <v>424</v>
      </c>
      <c r="C9" s="64" t="s">
        <v>3714</v>
      </c>
      <c r="D9" s="64"/>
      <c r="E9" s="64"/>
      <c r="F9" s="64"/>
      <c r="G9" s="64"/>
      <c r="H9" s="64"/>
      <c r="I9" s="64"/>
      <c r="J9" s="64"/>
      <c r="K9" s="64"/>
      <c r="L9" s="64"/>
      <c r="M9" s="64"/>
      <c r="N9" s="64"/>
      <c r="O9" s="64" t="s">
        <v>3715</v>
      </c>
      <c r="P9" s="64"/>
      <c r="Q9" s="64"/>
      <c r="R9" s="64"/>
      <c r="S9" s="71"/>
      <c r="T9" s="71"/>
      <c r="U9" s="71"/>
      <c r="V9" s="64"/>
      <c r="W9" s="64"/>
      <c r="X9" s="64"/>
      <c r="Y9" s="64"/>
      <c r="Z9" s="70"/>
      <c r="AA9" s="64"/>
      <c r="AB9" s="64"/>
      <c r="AC9" s="64"/>
      <c r="AD9" s="71"/>
      <c r="AE9" s="71"/>
      <c r="AF9" s="71"/>
      <c r="AG9" s="71"/>
      <c r="AH9" s="71"/>
      <c r="AI9" s="71"/>
      <c r="AJ9" s="71"/>
      <c r="AK9" s="71"/>
      <c r="AL9" s="71"/>
      <c r="AM9" s="69" t="str">
        <f t="shared" si="0"/>
        <v>OOptions :(    ) : KEY-OUT</v>
      </c>
    </row>
    <row r="10" spans="1:43" s="66" customFormat="1" ht="22.5" hidden="1" outlineLevel="1" x14ac:dyDescent="0.25">
      <c r="A10" s="69" t="s">
        <v>3351</v>
      </c>
      <c r="B10" s="64" t="s">
        <v>32</v>
      </c>
      <c r="C10" s="69" t="s">
        <v>2126</v>
      </c>
      <c r="D10" s="69" t="s">
        <v>2127</v>
      </c>
      <c r="E10" s="69" t="s">
        <v>3755</v>
      </c>
      <c r="F10" s="69" t="s">
        <v>3756</v>
      </c>
      <c r="G10" s="69" t="s">
        <v>3757</v>
      </c>
      <c r="H10" s="69" t="s">
        <v>2131</v>
      </c>
      <c r="I10" s="69"/>
      <c r="J10" s="69" t="s">
        <v>2132</v>
      </c>
      <c r="K10" s="69" t="s">
        <v>2153</v>
      </c>
      <c r="L10" s="69" t="s">
        <v>2134</v>
      </c>
      <c r="M10" s="69"/>
      <c r="N10" s="69"/>
      <c r="O10" s="69"/>
      <c r="P10" s="69"/>
      <c r="Q10" s="69"/>
      <c r="R10" s="69"/>
      <c r="S10" s="170"/>
      <c r="T10" s="170"/>
      <c r="U10" s="170"/>
      <c r="V10" s="170"/>
      <c r="W10" s="170"/>
      <c r="X10" s="170"/>
      <c r="Y10" s="170"/>
      <c r="Z10" s="70"/>
      <c r="AA10" s="72"/>
      <c r="AB10" s="69"/>
      <c r="AC10" s="64"/>
      <c r="AD10" s="170"/>
      <c r="AE10" s="170"/>
      <c r="AF10" s="70"/>
      <c r="AG10" s="70"/>
      <c r="AH10" s="170"/>
      <c r="AI10" s="170"/>
      <c r="AJ10" s="69"/>
      <c r="AK10" s="170"/>
      <c r="AL10" s="71"/>
      <c r="AM10" s="69" t="str">
        <f t="shared" si="0"/>
        <v>PEuro 6eTurbo Diesel2.2L MultiJet 120 ch4 cylindresB.V. manuelle à 6 rapports Av. + 1 Ar.Batterie : 105 AhAlternateur : 220 A</v>
      </c>
    </row>
    <row r="11" spans="1:43" s="96" customFormat="1" ht="22.5" hidden="1" outlineLevel="1" x14ac:dyDescent="0.25">
      <c r="A11" s="69" t="s">
        <v>4298</v>
      </c>
      <c r="B11" s="64" t="s">
        <v>424</v>
      </c>
      <c r="C11" s="64"/>
      <c r="D11" s="64"/>
      <c r="E11" s="64"/>
      <c r="F11" s="64"/>
      <c r="G11" s="64"/>
      <c r="H11" s="64"/>
      <c r="I11" s="64"/>
      <c r="J11" s="64"/>
      <c r="K11" s="64"/>
      <c r="L11" s="64"/>
      <c r="M11" s="64"/>
      <c r="N11" s="64"/>
      <c r="O11" s="64" t="s">
        <v>3715</v>
      </c>
      <c r="P11" s="64"/>
      <c r="Q11" s="64"/>
      <c r="R11" s="64"/>
      <c r="S11" s="71"/>
      <c r="T11" s="71"/>
      <c r="U11" s="71"/>
      <c r="V11" s="64"/>
      <c r="W11" s="64"/>
      <c r="X11" s="64"/>
      <c r="Y11" s="64"/>
      <c r="Z11" s="70"/>
      <c r="AA11" s="72"/>
      <c r="AB11" s="64"/>
      <c r="AC11" s="64"/>
      <c r="AD11" s="71"/>
      <c r="AE11" s="71"/>
      <c r="AF11" s="71"/>
      <c r="AG11" s="71"/>
      <c r="AH11" s="71"/>
      <c r="AI11" s="71"/>
      <c r="AJ11" s="71"/>
      <c r="AK11" s="170"/>
      <c r="AL11" s="170"/>
      <c r="AM11" s="69" t="str">
        <f t="shared" si="0"/>
        <v>O(    ) : KEY-OUT</v>
      </c>
    </row>
    <row r="12" spans="1:43" s="96" customFormat="1" ht="22.5" hidden="1" outlineLevel="1" x14ac:dyDescent="0.25">
      <c r="A12" s="69" t="s">
        <v>4299</v>
      </c>
      <c r="B12" s="64" t="s">
        <v>424</v>
      </c>
      <c r="C12" s="64"/>
      <c r="D12" s="64"/>
      <c r="E12" s="64"/>
      <c r="F12" s="64"/>
      <c r="G12" s="64"/>
      <c r="H12" s="64"/>
      <c r="I12" s="64"/>
      <c r="J12" s="64"/>
      <c r="K12" s="64"/>
      <c r="L12" s="64"/>
      <c r="M12" s="64"/>
      <c r="N12" s="64"/>
      <c r="O12" s="64" t="s">
        <v>3715</v>
      </c>
      <c r="P12" s="64"/>
      <c r="Q12" s="64"/>
      <c r="R12" s="64"/>
      <c r="S12" s="71"/>
      <c r="T12" s="71"/>
      <c r="U12" s="71"/>
      <c r="V12" s="64"/>
      <c r="W12" s="64"/>
      <c r="X12" s="64"/>
      <c r="Y12" s="64"/>
      <c r="Z12" s="70"/>
      <c r="AA12" s="72"/>
      <c r="AB12" s="64"/>
      <c r="AC12" s="64"/>
      <c r="AD12" s="71"/>
      <c r="AE12" s="71"/>
      <c r="AF12" s="71"/>
      <c r="AG12" s="71"/>
      <c r="AH12" s="71"/>
      <c r="AI12" s="71"/>
      <c r="AJ12" s="71"/>
      <c r="AK12" s="170"/>
      <c r="AL12" s="170"/>
      <c r="AM12" s="69" t="str">
        <f t="shared" si="0"/>
        <v>O(    ) : KEY-OUT</v>
      </c>
    </row>
    <row r="13" spans="1:43" s="204" customFormat="1" ht="22.5" hidden="1" outlineLevel="1" x14ac:dyDescent="0.25">
      <c r="A13" s="64" t="s">
        <v>3470</v>
      </c>
      <c r="B13" s="64" t="s">
        <v>32</v>
      </c>
      <c r="C13" s="69" t="s">
        <v>2159</v>
      </c>
      <c r="D13" s="64" t="s">
        <v>2127</v>
      </c>
      <c r="E13" s="64" t="s">
        <v>3758</v>
      </c>
      <c r="F13" s="64" t="s">
        <v>2167</v>
      </c>
      <c r="G13" s="64" t="s">
        <v>2165</v>
      </c>
      <c r="H13" s="64" t="s">
        <v>2131</v>
      </c>
      <c r="I13" s="64"/>
      <c r="J13" s="64" t="s">
        <v>2162</v>
      </c>
      <c r="K13" s="64" t="s">
        <v>2153</v>
      </c>
      <c r="L13" s="64" t="s">
        <v>2134</v>
      </c>
      <c r="M13" s="64"/>
      <c r="N13" s="64" t="s">
        <v>3759</v>
      </c>
      <c r="O13" s="64" t="s">
        <v>3760</v>
      </c>
      <c r="P13" s="64"/>
      <c r="Q13" s="64"/>
      <c r="R13" s="64"/>
      <c r="S13" s="64"/>
      <c r="T13" s="71"/>
      <c r="U13" s="71"/>
      <c r="V13" s="71"/>
      <c r="W13" s="71"/>
      <c r="X13" s="71"/>
      <c r="Y13" s="71"/>
      <c r="Z13" s="70"/>
      <c r="AA13" s="72"/>
      <c r="AB13" s="64"/>
      <c r="AC13" s="64"/>
      <c r="AD13" s="71"/>
      <c r="AE13" s="71"/>
      <c r="AF13" s="71"/>
      <c r="AG13" s="71"/>
      <c r="AH13" s="71"/>
      <c r="AI13" s="71"/>
      <c r="AJ13" s="71"/>
      <c r="AK13" s="71"/>
      <c r="AL13" s="71"/>
      <c r="AM13" s="69" t="str">
        <f t="shared" si="0"/>
        <v>PEURO VI-ETurbo Diesel2.3L-HDHPI 136 ch4 cylindresB.V. Hi-Matic (auto) à 8 rapports Av. + 1 Ar.Batterie : 105 AhAlternateur : 220 ACouple moteur 350 NmSystème Antivol RUNLOCK</v>
      </c>
    </row>
    <row r="14" spans="1:43" s="66" customFormat="1" ht="22.5" hidden="1" outlineLevel="1" x14ac:dyDescent="0.25">
      <c r="A14" s="64" t="s">
        <v>3478</v>
      </c>
      <c r="B14" s="64" t="s">
        <v>32</v>
      </c>
      <c r="C14" s="69" t="s">
        <v>2159</v>
      </c>
      <c r="D14" s="64" t="s">
        <v>2127</v>
      </c>
      <c r="E14" s="64" t="s">
        <v>3758</v>
      </c>
      <c r="F14" s="64" t="s">
        <v>2167</v>
      </c>
      <c r="G14" s="64" t="s">
        <v>2165</v>
      </c>
      <c r="H14" s="64" t="s">
        <v>2131</v>
      </c>
      <c r="I14" s="64"/>
      <c r="J14" s="64" t="s">
        <v>2162</v>
      </c>
      <c r="K14" s="64" t="s">
        <v>2153</v>
      </c>
      <c r="L14" s="64" t="s">
        <v>2134</v>
      </c>
      <c r="M14" s="64"/>
      <c r="N14" s="64" t="s">
        <v>3759</v>
      </c>
      <c r="O14" s="64"/>
      <c r="P14" s="64"/>
      <c r="Q14" s="64"/>
      <c r="R14" s="64"/>
      <c r="S14" s="71"/>
      <c r="T14" s="71"/>
      <c r="U14" s="71"/>
      <c r="V14" s="71"/>
      <c r="W14" s="71"/>
      <c r="X14" s="71"/>
      <c r="Y14" s="71"/>
      <c r="Z14" s="70"/>
      <c r="AA14" s="72"/>
      <c r="AB14" s="64"/>
      <c r="AC14" s="64"/>
      <c r="AD14" s="71"/>
      <c r="AE14" s="71"/>
      <c r="AF14" s="71"/>
      <c r="AG14" s="71"/>
      <c r="AH14" s="71"/>
      <c r="AI14" s="71"/>
      <c r="AJ14" s="71"/>
      <c r="AK14" s="71"/>
      <c r="AL14" s="71"/>
      <c r="AM14" s="69" t="str">
        <f t="shared" si="0"/>
        <v>PEURO VI-ETurbo Diesel2.3L-HDHPI 136 ch4 cylindresB.V. Hi-Matic (auto) à 8 rapports Av. + 1 Ar.Batterie : 105 AhAlternateur : 220 ACouple moteur 350 Nm</v>
      </c>
    </row>
    <row r="15" spans="1:43" s="66" customFormat="1" ht="22.5" hidden="1" outlineLevel="1" x14ac:dyDescent="0.25">
      <c r="A15" s="64" t="s">
        <v>3480</v>
      </c>
      <c r="B15" s="64" t="s">
        <v>32</v>
      </c>
      <c r="C15" s="69" t="s">
        <v>2159</v>
      </c>
      <c r="D15" s="64" t="s">
        <v>2127</v>
      </c>
      <c r="E15" s="64" t="s">
        <v>3758</v>
      </c>
      <c r="F15" s="64" t="s">
        <v>2167</v>
      </c>
      <c r="G15" s="64" t="s">
        <v>2165</v>
      </c>
      <c r="H15" s="64" t="s">
        <v>2131</v>
      </c>
      <c r="I15" s="64"/>
      <c r="J15" s="64" t="s">
        <v>2132</v>
      </c>
      <c r="K15" s="64" t="s">
        <v>2153</v>
      </c>
      <c r="L15" s="64" t="s">
        <v>2134</v>
      </c>
      <c r="M15" s="64"/>
      <c r="N15" s="64" t="s">
        <v>3759</v>
      </c>
      <c r="O15" s="64"/>
      <c r="P15" s="64"/>
      <c r="Q15" s="64"/>
      <c r="R15" s="64"/>
      <c r="S15" s="71"/>
      <c r="T15" s="71"/>
      <c r="U15" s="71"/>
      <c r="V15" s="71"/>
      <c r="W15" s="71"/>
      <c r="X15" s="71"/>
      <c r="Y15" s="71"/>
      <c r="Z15" s="70"/>
      <c r="AA15" s="72"/>
      <c r="AB15" s="64"/>
      <c r="AC15" s="64"/>
      <c r="AD15" s="71"/>
      <c r="AE15" s="71"/>
      <c r="AF15" s="71"/>
      <c r="AG15" s="71"/>
      <c r="AH15" s="71"/>
      <c r="AI15" s="71"/>
      <c r="AJ15" s="71"/>
      <c r="AK15" s="71"/>
      <c r="AL15" s="71"/>
      <c r="AM15" s="69" t="str">
        <f t="shared" si="0"/>
        <v>PEURO VI-ETurbo Diesel2.3L-HDHPI 136 ch4 cylindresB.V. manuelle à 6 rapports Av. + 1 Ar.Batterie : 105 AhAlternateur : 220 ACouple moteur 350 Nm</v>
      </c>
    </row>
    <row r="16" spans="1:43" s="66" customFormat="1" ht="22.5" hidden="1" outlineLevel="1" x14ac:dyDescent="0.25">
      <c r="A16" s="64" t="s">
        <v>3444</v>
      </c>
      <c r="B16" s="64" t="s">
        <v>32</v>
      </c>
      <c r="C16" s="69" t="s">
        <v>2159</v>
      </c>
      <c r="D16" s="64" t="s">
        <v>2127</v>
      </c>
      <c r="E16" s="64" t="s">
        <v>3758</v>
      </c>
      <c r="F16" s="64" t="s">
        <v>2167</v>
      </c>
      <c r="G16" s="64" t="s">
        <v>2165</v>
      </c>
      <c r="H16" s="64" t="s">
        <v>2131</v>
      </c>
      <c r="I16" s="64"/>
      <c r="J16" s="64" t="s">
        <v>2162</v>
      </c>
      <c r="K16" s="64" t="s">
        <v>2153</v>
      </c>
      <c r="L16" s="64" t="s">
        <v>2134</v>
      </c>
      <c r="M16" s="64"/>
      <c r="N16" s="64" t="s">
        <v>3759</v>
      </c>
      <c r="O16" s="64"/>
      <c r="P16" s="64"/>
      <c r="Q16" s="64"/>
      <c r="R16" s="64"/>
      <c r="S16" s="71"/>
      <c r="T16" s="71"/>
      <c r="U16" s="71"/>
      <c r="V16" s="71"/>
      <c r="W16" s="71"/>
      <c r="X16" s="71"/>
      <c r="Y16" s="71"/>
      <c r="Z16" s="70"/>
      <c r="AA16" s="72"/>
      <c r="AB16" s="64"/>
      <c r="AC16" s="64"/>
      <c r="AD16" s="71"/>
      <c r="AE16" s="71"/>
      <c r="AF16" s="71"/>
      <c r="AG16" s="71"/>
      <c r="AH16" s="71"/>
      <c r="AI16" s="71"/>
      <c r="AJ16" s="71"/>
      <c r="AK16" s="71"/>
      <c r="AL16" s="71"/>
      <c r="AM16" s="69" t="str">
        <f t="shared" si="0"/>
        <v>PEURO VI-ETurbo Diesel2.3L-HDHPI 136 ch4 cylindresB.V. Hi-Matic (auto) à 8 rapports Av. + 1 Ar.Batterie : 105 AhAlternateur : 220 ACouple moteur 350 Nm</v>
      </c>
    </row>
    <row r="17" spans="1:43" s="204" customFormat="1" ht="22.5" hidden="1" outlineLevel="1" x14ac:dyDescent="0.25">
      <c r="A17" s="64" t="s">
        <v>3530</v>
      </c>
      <c r="B17" s="64" t="s">
        <v>32</v>
      </c>
      <c r="C17" s="69" t="s">
        <v>2159</v>
      </c>
      <c r="D17" s="64" t="s">
        <v>2127</v>
      </c>
      <c r="E17" s="64" t="s">
        <v>3761</v>
      </c>
      <c r="F17" s="64" t="s">
        <v>2167</v>
      </c>
      <c r="G17" s="64" t="s">
        <v>2168</v>
      </c>
      <c r="H17" s="64" t="s">
        <v>2131</v>
      </c>
      <c r="I17" s="64"/>
      <c r="J17" s="64" t="s">
        <v>2162</v>
      </c>
      <c r="K17" s="64" t="s">
        <v>3762</v>
      </c>
      <c r="L17" s="64" t="s">
        <v>2134</v>
      </c>
      <c r="M17" s="64"/>
      <c r="N17" s="64"/>
      <c r="O17" s="64" t="s">
        <v>3760</v>
      </c>
      <c r="P17" s="64"/>
      <c r="Q17" s="64"/>
      <c r="R17" s="64"/>
      <c r="S17" s="64"/>
      <c r="T17" s="71"/>
      <c r="U17" s="71"/>
      <c r="V17" s="71"/>
      <c r="W17" s="71"/>
      <c r="X17" s="71"/>
      <c r="Y17" s="71"/>
      <c r="Z17" s="70"/>
      <c r="AA17" s="72"/>
      <c r="AB17" s="64"/>
      <c r="AC17" s="64"/>
      <c r="AD17" s="71"/>
      <c r="AE17" s="71"/>
      <c r="AF17" s="71"/>
      <c r="AG17" s="71"/>
      <c r="AH17" s="71"/>
      <c r="AI17" s="71"/>
      <c r="AJ17" s="71"/>
      <c r="AK17" s="71"/>
      <c r="AL17" s="71"/>
      <c r="AM17" s="69" t="str">
        <f t="shared" si="0"/>
        <v>PEURO VI-ETurbo Diesel3.0L-HDHPI 160 ch4 cylindresB.V. Hi-Matic (auto) à 8 rapports Av. + 1 Ar.Batterie : 110 AhAlternateur : 220 ASystème Antivol RUNLOCK</v>
      </c>
    </row>
    <row r="18" spans="1:43" s="204" customFormat="1" ht="22.5" hidden="1" outlineLevel="1" x14ac:dyDescent="0.25">
      <c r="A18" s="64" t="s">
        <v>3520</v>
      </c>
      <c r="B18" s="64" t="s">
        <v>32</v>
      </c>
      <c r="C18" s="69" t="s">
        <v>2159</v>
      </c>
      <c r="D18" s="64" t="s">
        <v>2127</v>
      </c>
      <c r="E18" s="64" t="s">
        <v>3761</v>
      </c>
      <c r="F18" s="64" t="s">
        <v>2167</v>
      </c>
      <c r="G18" s="64" t="s">
        <v>2168</v>
      </c>
      <c r="H18" s="64" t="s">
        <v>2131</v>
      </c>
      <c r="I18" s="64"/>
      <c r="J18" s="64" t="s">
        <v>2132</v>
      </c>
      <c r="K18" s="64" t="s">
        <v>3762</v>
      </c>
      <c r="L18" s="64" t="s">
        <v>2134</v>
      </c>
      <c r="M18" s="64"/>
      <c r="N18" s="64"/>
      <c r="O18" s="64"/>
      <c r="P18" s="64"/>
      <c r="Q18" s="64"/>
      <c r="R18" s="64"/>
      <c r="S18" s="71"/>
      <c r="T18" s="71"/>
      <c r="U18" s="71"/>
      <c r="V18" s="71"/>
      <c r="W18" s="71"/>
      <c r="X18" s="71"/>
      <c r="Y18" s="71"/>
      <c r="Z18" s="70"/>
      <c r="AA18" s="72"/>
      <c r="AB18" s="64"/>
      <c r="AC18" s="64"/>
      <c r="AD18" s="71"/>
      <c r="AE18" s="71"/>
      <c r="AF18" s="71"/>
      <c r="AG18" s="71"/>
      <c r="AH18" s="71"/>
      <c r="AI18" s="71"/>
      <c r="AJ18" s="71"/>
      <c r="AK18" s="71"/>
      <c r="AL18" s="71"/>
      <c r="AM18" s="69" t="str">
        <f t="shared" si="0"/>
        <v>PEURO VI-ETurbo Diesel3.0L-HDHPI 160 ch4 cylindresB.V. manuelle à 6 rapports Av. + 1 Ar.Batterie : 110 AhAlternateur : 220 A</v>
      </c>
    </row>
    <row r="19" spans="1:43" s="204" customFormat="1" ht="22.5" hidden="1" outlineLevel="1" x14ac:dyDescent="0.25">
      <c r="A19" s="64" t="s">
        <v>3532</v>
      </c>
      <c r="B19" s="64" t="s">
        <v>32</v>
      </c>
      <c r="C19" s="69" t="s">
        <v>2159</v>
      </c>
      <c r="D19" s="64" t="s">
        <v>2127</v>
      </c>
      <c r="E19" s="64" t="s">
        <v>3761</v>
      </c>
      <c r="F19" s="64" t="s">
        <v>2167</v>
      </c>
      <c r="G19" s="64" t="s">
        <v>2168</v>
      </c>
      <c r="H19" s="64" t="s">
        <v>2131</v>
      </c>
      <c r="I19" s="64"/>
      <c r="J19" s="64" t="s">
        <v>2162</v>
      </c>
      <c r="K19" s="64" t="s">
        <v>3762</v>
      </c>
      <c r="L19" s="64" t="s">
        <v>2134</v>
      </c>
      <c r="M19" s="64"/>
      <c r="N19" s="64"/>
      <c r="O19" s="64"/>
      <c r="P19" s="64"/>
      <c r="Q19" s="64"/>
      <c r="R19" s="64"/>
      <c r="S19" s="71"/>
      <c r="T19" s="71"/>
      <c r="U19" s="71"/>
      <c r="V19" s="71"/>
      <c r="W19" s="71"/>
      <c r="X19" s="71"/>
      <c r="Y19" s="71"/>
      <c r="Z19" s="70"/>
      <c r="AA19" s="72"/>
      <c r="AB19" s="64"/>
      <c r="AC19" s="64"/>
      <c r="AD19" s="71"/>
      <c r="AE19" s="71"/>
      <c r="AF19" s="71"/>
      <c r="AG19" s="71"/>
      <c r="AH19" s="71"/>
      <c r="AI19" s="71"/>
      <c r="AJ19" s="71"/>
      <c r="AK19" s="71"/>
      <c r="AL19" s="71"/>
      <c r="AM19" s="69" t="str">
        <f t="shared" si="0"/>
        <v>PEURO VI-ETurbo Diesel3.0L-HDHPI 160 ch4 cylindresB.V. Hi-Matic (auto) à 8 rapports Av. + 1 Ar.Batterie : 110 AhAlternateur : 220 A</v>
      </c>
    </row>
    <row r="20" spans="1:43" s="66" customFormat="1" ht="22.5" hidden="1" outlineLevel="1" x14ac:dyDescent="0.25">
      <c r="A20" s="64" t="s">
        <v>3535</v>
      </c>
      <c r="B20" s="64" t="s">
        <v>32</v>
      </c>
      <c r="C20" s="69" t="s">
        <v>2159</v>
      </c>
      <c r="D20" s="64" t="s">
        <v>2127</v>
      </c>
      <c r="E20" s="64" t="s">
        <v>3761</v>
      </c>
      <c r="F20" s="64" t="s">
        <v>2167</v>
      </c>
      <c r="G20" s="64" t="s">
        <v>2154</v>
      </c>
      <c r="H20" s="64" t="s">
        <v>2131</v>
      </c>
      <c r="I20" s="64"/>
      <c r="J20" s="64" t="s">
        <v>2162</v>
      </c>
      <c r="K20" s="64" t="s">
        <v>3762</v>
      </c>
      <c r="L20" s="64" t="s">
        <v>2134</v>
      </c>
      <c r="M20" s="64"/>
      <c r="N20" s="64"/>
      <c r="O20" s="64" t="s">
        <v>3760</v>
      </c>
      <c r="P20" s="64"/>
      <c r="Q20" s="64"/>
      <c r="R20" s="64"/>
      <c r="S20" s="64"/>
      <c r="T20" s="71"/>
      <c r="U20" s="71"/>
      <c r="V20" s="71"/>
      <c r="W20" s="71"/>
      <c r="X20" s="71"/>
      <c r="Y20" s="71"/>
      <c r="Z20" s="70"/>
      <c r="AA20" s="72"/>
      <c r="AB20" s="64"/>
      <c r="AC20" s="64"/>
      <c r="AD20" s="71"/>
      <c r="AE20" s="71"/>
      <c r="AF20" s="71"/>
      <c r="AG20" s="71"/>
      <c r="AH20" s="71"/>
      <c r="AI20" s="71"/>
      <c r="AJ20" s="71"/>
      <c r="AK20" s="71"/>
      <c r="AL20" s="71"/>
      <c r="AM20" s="69" t="str">
        <f t="shared" si="0"/>
        <v>PEURO VI-ETurbo Diesel3.0L-HDHPI 180 ch4 cylindresB.V. Hi-Matic (auto) à 8 rapports Av. + 1 Ar.Batterie : 110 AhAlternateur : 220 ASystème Antivol RUNLOCK</v>
      </c>
    </row>
    <row r="21" spans="1:43" s="66" customFormat="1" ht="22.5" hidden="1" outlineLevel="1" x14ac:dyDescent="0.25">
      <c r="A21" s="64" t="s">
        <v>3516</v>
      </c>
      <c r="B21" s="64" t="s">
        <v>32</v>
      </c>
      <c r="C21" s="69" t="s">
        <v>2159</v>
      </c>
      <c r="D21" s="64" t="s">
        <v>3763</v>
      </c>
      <c r="E21" s="64" t="s">
        <v>3761</v>
      </c>
      <c r="F21" s="64" t="s">
        <v>2161</v>
      </c>
      <c r="G21" s="64" t="s">
        <v>2165</v>
      </c>
      <c r="H21" s="64" t="s">
        <v>2131</v>
      </c>
      <c r="I21" s="64"/>
      <c r="J21" s="64" t="s">
        <v>2132</v>
      </c>
      <c r="K21" s="64" t="s">
        <v>3762</v>
      </c>
      <c r="L21" s="64" t="s">
        <v>2240</v>
      </c>
      <c r="M21" s="64"/>
      <c r="N21" s="64"/>
      <c r="O21" s="64"/>
      <c r="P21" s="64"/>
      <c r="Q21" s="64"/>
      <c r="R21" s="64"/>
      <c r="S21" s="71"/>
      <c r="T21" s="71"/>
      <c r="U21" s="71"/>
      <c r="V21" s="64" t="s">
        <v>2215</v>
      </c>
      <c r="W21" s="71"/>
      <c r="X21" s="71"/>
      <c r="Y21" s="71"/>
      <c r="Z21" s="70"/>
      <c r="AA21" s="72"/>
      <c r="AB21" s="64"/>
      <c r="AC21" s="64"/>
      <c r="AD21" s="71"/>
      <c r="AE21" s="71"/>
      <c r="AF21" s="71"/>
      <c r="AG21" s="71"/>
      <c r="AH21" s="71"/>
      <c r="AI21" s="71"/>
      <c r="AJ21" s="71"/>
      <c r="AK21" s="71"/>
      <c r="AL21" s="71"/>
      <c r="AM21" s="69" t="str">
        <f t="shared" si="0"/>
        <v>PEURO VI-EGNC3.0L-HDMPI 136 ch4 cylindresB.V. manuelle à 6 rapports Av. + 1 Ar.Batterie : 110 AhAlternateur : 180 AVitesse limitée à 90 km/h</v>
      </c>
    </row>
    <row r="22" spans="1:43" s="66" customFormat="1" ht="22.5" hidden="1" outlineLevel="1" x14ac:dyDescent="0.25">
      <c r="A22" s="64" t="s">
        <v>3501</v>
      </c>
      <c r="B22" s="64" t="s">
        <v>32</v>
      </c>
      <c r="C22" s="69" t="s">
        <v>2159</v>
      </c>
      <c r="D22" s="64" t="s">
        <v>3763</v>
      </c>
      <c r="E22" s="64" t="s">
        <v>3761</v>
      </c>
      <c r="F22" s="64" t="s">
        <v>2161</v>
      </c>
      <c r="G22" s="64" t="s">
        <v>2165</v>
      </c>
      <c r="H22" s="64" t="s">
        <v>2131</v>
      </c>
      <c r="I22" s="64"/>
      <c r="J22" s="64" t="s">
        <v>2162</v>
      </c>
      <c r="K22" s="64" t="s">
        <v>3762</v>
      </c>
      <c r="L22" s="64" t="s">
        <v>2240</v>
      </c>
      <c r="M22" s="64"/>
      <c r="N22" s="64"/>
      <c r="O22" s="64"/>
      <c r="P22" s="64"/>
      <c r="Q22" s="64"/>
      <c r="R22" s="64"/>
      <c r="S22" s="71"/>
      <c r="T22" s="71"/>
      <c r="U22" s="71"/>
      <c r="V22" s="64" t="s">
        <v>2215</v>
      </c>
      <c r="W22" s="71"/>
      <c r="X22" s="71"/>
      <c r="Y22" s="71"/>
      <c r="Z22" s="70"/>
      <c r="AA22" s="72"/>
      <c r="AB22" s="64"/>
      <c r="AC22" s="64"/>
      <c r="AD22" s="71"/>
      <c r="AE22" s="71"/>
      <c r="AF22" s="71"/>
      <c r="AG22" s="71"/>
      <c r="AH22" s="71"/>
      <c r="AI22" s="71"/>
      <c r="AJ22" s="71"/>
      <c r="AK22" s="71"/>
      <c r="AL22" s="71"/>
      <c r="AM22" s="69" t="str">
        <f t="shared" si="0"/>
        <v>PEURO VI-EGNC3.0L-HDMPI 136 ch4 cylindresB.V. Hi-Matic (auto) à 8 rapports Av. + 1 Ar.Batterie : 110 AhAlternateur : 180 AVitesse limitée à 90 km/h</v>
      </c>
    </row>
    <row r="23" spans="1:43" s="66" customFormat="1" ht="22.5" hidden="1" outlineLevel="1" x14ac:dyDescent="0.25">
      <c r="A23" s="64" t="s">
        <v>3513</v>
      </c>
      <c r="B23" s="64" t="s">
        <v>32</v>
      </c>
      <c r="C23" s="69" t="s">
        <v>2159</v>
      </c>
      <c r="D23" s="64" t="s">
        <v>3763</v>
      </c>
      <c r="E23" s="64" t="s">
        <v>3761</v>
      </c>
      <c r="F23" s="64" t="s">
        <v>2161</v>
      </c>
      <c r="G23" s="64" t="s">
        <v>2165</v>
      </c>
      <c r="H23" s="64" t="s">
        <v>2131</v>
      </c>
      <c r="I23" s="64"/>
      <c r="J23" s="64" t="s">
        <v>2162</v>
      </c>
      <c r="K23" s="64" t="s">
        <v>3762</v>
      </c>
      <c r="L23" s="64" t="s">
        <v>2240</v>
      </c>
      <c r="M23" s="64"/>
      <c r="N23" s="64" t="s">
        <v>3759</v>
      </c>
      <c r="O23" s="64" t="s">
        <v>3760</v>
      </c>
      <c r="P23" s="64"/>
      <c r="Q23" s="64"/>
      <c r="R23" s="64"/>
      <c r="S23" s="64"/>
      <c r="T23" s="71"/>
      <c r="U23" s="71"/>
      <c r="V23" s="64" t="s">
        <v>2215</v>
      </c>
      <c r="W23" s="71"/>
      <c r="X23" s="71"/>
      <c r="Y23" s="71"/>
      <c r="Z23" s="70"/>
      <c r="AA23" s="72"/>
      <c r="AB23" s="64"/>
      <c r="AC23" s="64"/>
      <c r="AD23" s="71"/>
      <c r="AE23" s="71"/>
      <c r="AF23" s="71"/>
      <c r="AG23" s="71"/>
      <c r="AH23" s="71"/>
      <c r="AI23" s="71"/>
      <c r="AJ23" s="71"/>
      <c r="AK23" s="71"/>
      <c r="AL23" s="71"/>
      <c r="AM23" s="69" t="str">
        <f t="shared" si="0"/>
        <v>PEURO VI-EGNC3.0L-HDMPI 136 ch4 cylindresB.V. Hi-Matic (auto) à 8 rapports Av. + 1 Ar.Batterie : 110 AhAlternateur : 180 ACouple moteur 350 NmSystème Antivol RUNLOCKVitesse limitée à 90 km/h</v>
      </c>
    </row>
    <row r="24" spans="1:43" s="66" customFormat="1" ht="22.5" hidden="1" outlineLevel="1" x14ac:dyDescent="0.25">
      <c r="A24" s="64" t="s">
        <v>3514</v>
      </c>
      <c r="B24" s="64" t="s">
        <v>32</v>
      </c>
      <c r="C24" s="69" t="s">
        <v>2159</v>
      </c>
      <c r="D24" s="64" t="s">
        <v>3763</v>
      </c>
      <c r="E24" s="64" t="s">
        <v>3761</v>
      </c>
      <c r="F24" s="64" t="s">
        <v>2161</v>
      </c>
      <c r="G24" s="64" t="s">
        <v>2165</v>
      </c>
      <c r="H24" s="64" t="s">
        <v>2131</v>
      </c>
      <c r="I24" s="64"/>
      <c r="J24" s="64" t="s">
        <v>2162</v>
      </c>
      <c r="K24" s="64" t="s">
        <v>3762</v>
      </c>
      <c r="L24" s="64" t="s">
        <v>2240</v>
      </c>
      <c r="M24" s="64"/>
      <c r="N24" s="64" t="s">
        <v>3759</v>
      </c>
      <c r="O24" s="64"/>
      <c r="P24" s="64"/>
      <c r="Q24" s="64"/>
      <c r="R24" s="64"/>
      <c r="S24" s="71"/>
      <c r="T24" s="71"/>
      <c r="U24" s="71"/>
      <c r="V24" s="64" t="s">
        <v>2215</v>
      </c>
      <c r="W24" s="71"/>
      <c r="X24" s="71"/>
      <c r="Y24" s="71"/>
      <c r="Z24" s="70"/>
      <c r="AA24" s="72"/>
      <c r="AB24" s="64"/>
      <c r="AC24" s="64"/>
      <c r="AD24" s="71"/>
      <c r="AE24" s="71"/>
      <c r="AF24" s="71"/>
      <c r="AG24" s="71"/>
      <c r="AH24" s="71"/>
      <c r="AI24" s="71"/>
      <c r="AJ24" s="71"/>
      <c r="AK24" s="71"/>
      <c r="AL24" s="71"/>
      <c r="AM24" s="69" t="str">
        <f t="shared" si="0"/>
        <v>PEURO VI-EGNC3.0L-HDMPI 136 ch4 cylindresB.V. Hi-Matic (auto) à 8 rapports Av. + 1 Ar.Batterie : 110 AhAlternateur : 180 ACouple moteur 350 NmVitesse limitée à 90 km/h</v>
      </c>
    </row>
    <row r="25" spans="1:43" s="66" customFormat="1" ht="22.5" hidden="1" outlineLevel="1" x14ac:dyDescent="0.25">
      <c r="A25" s="64" t="s">
        <v>3566</v>
      </c>
      <c r="B25" s="64" t="s">
        <v>32</v>
      </c>
      <c r="C25" s="69" t="s">
        <v>2159</v>
      </c>
      <c r="D25" s="64" t="s">
        <v>2127</v>
      </c>
      <c r="E25" s="64"/>
      <c r="F25" s="64"/>
      <c r="G25" s="64" t="s">
        <v>2168</v>
      </c>
      <c r="H25" s="64" t="s">
        <v>2131</v>
      </c>
      <c r="I25" s="64" t="s">
        <v>2170</v>
      </c>
      <c r="J25" s="64" t="s">
        <v>2132</v>
      </c>
      <c r="K25" s="64" t="s">
        <v>2172</v>
      </c>
      <c r="L25" s="64" t="s">
        <v>2173</v>
      </c>
      <c r="M25" s="64" t="s">
        <v>426</v>
      </c>
      <c r="N25" s="64"/>
      <c r="O25" s="64"/>
      <c r="P25" s="64"/>
      <c r="Q25" s="64" t="s">
        <v>51</v>
      </c>
      <c r="R25" s="64" t="s">
        <v>2174</v>
      </c>
      <c r="S25" s="64"/>
      <c r="T25" s="64"/>
      <c r="U25" s="64"/>
      <c r="V25" s="64"/>
      <c r="W25" s="64"/>
      <c r="X25" s="64"/>
      <c r="Y25" s="64"/>
      <c r="Z25" s="70"/>
      <c r="AA25" s="72"/>
      <c r="AB25" s="64"/>
      <c r="AC25" s="64"/>
      <c r="AD25" s="64"/>
      <c r="AE25" s="64"/>
      <c r="AF25" s="70"/>
      <c r="AG25" s="70"/>
      <c r="AH25" s="64"/>
      <c r="AI25" s="64"/>
      <c r="AJ25" s="64"/>
      <c r="AK25" s="64"/>
      <c r="AL25" s="64"/>
      <c r="AM25" s="69" t="str">
        <f t="shared" si="0"/>
        <v>PEURO VI-ETurbo Diesel160 ch4 cylindres4485 cm3B.V. manuelle à 6 rapports Av. + 1 Ar.Batterie : 143 AhAlternateur : 90 AFrein sur échappementSCRFAP à régénération continue</v>
      </c>
    </row>
    <row r="26" spans="1:43" s="66" customFormat="1" ht="22.5" hidden="1" outlineLevel="1" x14ac:dyDescent="0.25">
      <c r="A26" s="64" t="s">
        <v>3556</v>
      </c>
      <c r="B26" s="64" t="s">
        <v>32</v>
      </c>
      <c r="C26" s="69" t="s">
        <v>2159</v>
      </c>
      <c r="D26" s="64" t="s">
        <v>2127</v>
      </c>
      <c r="E26" s="64"/>
      <c r="F26" s="64"/>
      <c r="G26" s="64" t="s">
        <v>2169</v>
      </c>
      <c r="H26" s="64" t="s">
        <v>2131</v>
      </c>
      <c r="I26" s="64" t="s">
        <v>2170</v>
      </c>
      <c r="J26" s="64" t="s">
        <v>2132</v>
      </c>
      <c r="K26" s="64" t="s">
        <v>2172</v>
      </c>
      <c r="L26" s="64" t="s">
        <v>2173</v>
      </c>
      <c r="M26" s="64" t="s">
        <v>426</v>
      </c>
      <c r="N26" s="64"/>
      <c r="O26" s="64"/>
      <c r="P26" s="64"/>
      <c r="Q26" s="64" t="s">
        <v>51</v>
      </c>
      <c r="R26" s="64" t="s">
        <v>2174</v>
      </c>
      <c r="S26" s="64"/>
      <c r="T26" s="64"/>
      <c r="U26" s="64"/>
      <c r="V26" s="64"/>
      <c r="W26" s="64"/>
      <c r="X26" s="64"/>
      <c r="Y26" s="64"/>
      <c r="Z26" s="70"/>
      <c r="AA26" s="72"/>
      <c r="AB26" s="64"/>
      <c r="AC26" s="64"/>
      <c r="AD26" s="64"/>
      <c r="AE26" s="64"/>
      <c r="AF26" s="64"/>
      <c r="AG26" s="64"/>
      <c r="AH26" s="64"/>
      <c r="AI26" s="64"/>
      <c r="AJ26" s="64"/>
      <c r="AK26" s="64"/>
      <c r="AL26" s="64"/>
      <c r="AM26" s="69" t="str">
        <f t="shared" si="0"/>
        <v>PEURO VI-ETurbo Diesel190 ch4 cylindres4485 cm3B.V. manuelle à 6 rapports Av. + 1 Ar.Batterie : 143 AhAlternateur : 90 AFrein sur échappementSCRFAP à régénération continue</v>
      </c>
    </row>
    <row r="27" spans="1:43" s="66" customFormat="1" ht="22.5" hidden="1" outlineLevel="1" x14ac:dyDescent="0.25">
      <c r="A27" s="64" t="s">
        <v>3562</v>
      </c>
      <c r="B27" s="64" t="s">
        <v>32</v>
      </c>
      <c r="C27" s="69" t="s">
        <v>2159</v>
      </c>
      <c r="D27" s="64" t="s">
        <v>2127</v>
      </c>
      <c r="E27" s="64"/>
      <c r="F27" s="64"/>
      <c r="G27" s="64" t="s">
        <v>2169</v>
      </c>
      <c r="H27" s="64" t="s">
        <v>2131</v>
      </c>
      <c r="I27" s="64" t="s">
        <v>2170</v>
      </c>
      <c r="J27" s="64" t="s">
        <v>2132</v>
      </c>
      <c r="K27" s="64" t="s">
        <v>2175</v>
      </c>
      <c r="L27" s="64" t="s">
        <v>2173</v>
      </c>
      <c r="M27" s="64" t="s">
        <v>426</v>
      </c>
      <c r="N27" s="64"/>
      <c r="O27" s="64"/>
      <c r="P27" s="64"/>
      <c r="Q27" s="64" t="s">
        <v>51</v>
      </c>
      <c r="R27" s="64" t="s">
        <v>2174</v>
      </c>
      <c r="S27" s="71"/>
      <c r="T27" s="71"/>
      <c r="U27" s="71"/>
      <c r="V27" s="71"/>
      <c r="W27" s="71"/>
      <c r="X27" s="71"/>
      <c r="Y27" s="71"/>
      <c r="Z27" s="70"/>
      <c r="AA27" s="72"/>
      <c r="AB27" s="64"/>
      <c r="AC27" s="64"/>
      <c r="AD27" s="71"/>
      <c r="AE27" s="71"/>
      <c r="AF27" s="71"/>
      <c r="AG27" s="71"/>
      <c r="AH27" s="71"/>
      <c r="AI27" s="71"/>
      <c r="AJ27" s="71"/>
      <c r="AK27" s="71"/>
      <c r="AL27" s="71"/>
      <c r="AM27" s="69" t="str">
        <f t="shared" si="0"/>
        <v>PEURO VI-ETurbo Diesel190 ch4 cylindres4485 cm3B.V. manuelle à 6 rapports Av. + 1 Ar.Batterie : 170 AhAlternateur : 90 AFrein sur échappementSCRFAP à régénération continue</v>
      </c>
    </row>
    <row r="28" spans="1:43" s="66" customFormat="1" ht="22.5" hidden="1" outlineLevel="1" x14ac:dyDescent="0.25">
      <c r="A28" s="64" t="s">
        <v>3589</v>
      </c>
      <c r="B28" s="64" t="s">
        <v>32</v>
      </c>
      <c r="C28" s="69" t="s">
        <v>3764</v>
      </c>
      <c r="D28" s="64" t="s">
        <v>2127</v>
      </c>
      <c r="E28" s="64"/>
      <c r="F28" s="64"/>
      <c r="G28" s="64" t="s">
        <v>2163</v>
      </c>
      <c r="H28" s="64" t="s">
        <v>2131</v>
      </c>
      <c r="I28" s="64" t="s">
        <v>2182</v>
      </c>
      <c r="J28" s="64" t="s">
        <v>2132</v>
      </c>
      <c r="K28" s="64" t="s">
        <v>2175</v>
      </c>
      <c r="L28" s="64" t="s">
        <v>2184</v>
      </c>
      <c r="M28" s="64" t="s">
        <v>426</v>
      </c>
      <c r="N28" s="64"/>
      <c r="O28" s="64"/>
      <c r="P28" s="64"/>
      <c r="Q28" s="64" t="s">
        <v>51</v>
      </c>
      <c r="R28" s="64" t="s">
        <v>429</v>
      </c>
      <c r="S28" s="71"/>
      <c r="T28" s="71"/>
      <c r="U28" s="71"/>
      <c r="V28" s="71"/>
      <c r="W28" s="71"/>
      <c r="X28" s="71"/>
      <c r="Y28" s="71"/>
      <c r="Z28" s="70"/>
      <c r="AA28" s="72"/>
      <c r="AB28" s="64"/>
      <c r="AC28" s="64"/>
      <c r="AD28" s="71"/>
      <c r="AE28" s="71"/>
      <c r="AF28" s="71"/>
      <c r="AG28" s="71"/>
      <c r="AH28" s="71"/>
      <c r="AI28" s="71"/>
      <c r="AJ28" s="71"/>
      <c r="AK28" s="71"/>
      <c r="AL28" s="71"/>
      <c r="AM28" s="69" t="str">
        <f t="shared" si="0"/>
        <v>PEURO VI-DTurbo Diesel210 ch4 cylindres5100 cm3B.V. manuelle à 6 rapports Av. + 1 Ar.Batterie : 170 AhAlternateur : 130 AFrein sur échappementSCRFAP</v>
      </c>
    </row>
    <row r="29" spans="1:43" s="66" customFormat="1" ht="22.5" hidden="1" outlineLevel="1" x14ac:dyDescent="0.25">
      <c r="A29" s="64" t="s">
        <v>3602</v>
      </c>
      <c r="B29" s="64" t="s">
        <v>32</v>
      </c>
      <c r="C29" s="69" t="s">
        <v>3764</v>
      </c>
      <c r="D29" s="64" t="s">
        <v>2127</v>
      </c>
      <c r="E29" s="64"/>
      <c r="F29" s="64"/>
      <c r="G29" s="64" t="s">
        <v>2180</v>
      </c>
      <c r="H29" s="64" t="s">
        <v>2177</v>
      </c>
      <c r="I29" s="64" t="s">
        <v>2186</v>
      </c>
      <c r="J29" s="64" t="s">
        <v>2187</v>
      </c>
      <c r="K29" s="64" t="s">
        <v>2188</v>
      </c>
      <c r="L29" s="64" t="s">
        <v>2189</v>
      </c>
      <c r="M29" s="64" t="s">
        <v>426</v>
      </c>
      <c r="N29" s="64"/>
      <c r="O29" s="64"/>
      <c r="P29" s="64"/>
      <c r="Q29" s="64" t="s">
        <v>51</v>
      </c>
      <c r="R29" s="64" t="s">
        <v>429</v>
      </c>
      <c r="S29" s="71"/>
      <c r="T29" s="71"/>
      <c r="U29" s="71"/>
      <c r="V29" s="71"/>
      <c r="W29" s="71"/>
      <c r="X29" s="71"/>
      <c r="Y29" s="71"/>
      <c r="Z29" s="70"/>
      <c r="AA29" s="72"/>
      <c r="AB29" s="64"/>
      <c r="AC29" s="64"/>
      <c r="AD29" s="71"/>
      <c r="AE29" s="71"/>
      <c r="AF29" s="71"/>
      <c r="AG29" s="71"/>
      <c r="AH29" s="71"/>
      <c r="AI29" s="71"/>
      <c r="AJ29" s="71"/>
      <c r="AK29" s="71"/>
      <c r="AL29" s="71"/>
      <c r="AM29" s="69" t="str">
        <f t="shared" si="0"/>
        <v>PEURO VI-DTurbo Diesel280 ch6 cylindres7700 cm3B.V. robotisée à 12 rapports Av. + 3 Ar.Batterie : 185 AhAlternateur : 110 AFrein sur échappementSCRFAP</v>
      </c>
    </row>
    <row r="30" spans="1:43" s="66" customFormat="1" ht="45" hidden="1" outlineLevel="1" x14ac:dyDescent="0.25">
      <c r="A30" s="71" t="s">
        <v>3552</v>
      </c>
      <c r="B30" s="64" t="s">
        <v>32</v>
      </c>
      <c r="C30" s="64"/>
      <c r="D30" s="64" t="s">
        <v>2209</v>
      </c>
      <c r="E30" s="64"/>
      <c r="F30" s="64" t="s">
        <v>2210</v>
      </c>
      <c r="G30" s="64" t="s">
        <v>2211</v>
      </c>
      <c r="H30" s="64"/>
      <c r="I30" s="64"/>
      <c r="J30" s="64" t="s">
        <v>2212</v>
      </c>
      <c r="K30" s="64"/>
      <c r="L30" s="64"/>
      <c r="M30" s="64"/>
      <c r="N30" s="64"/>
      <c r="O30" s="64"/>
      <c r="P30" s="64"/>
      <c r="Q30" s="64"/>
      <c r="R30" s="64"/>
      <c r="S30" s="64" t="s">
        <v>2213</v>
      </c>
      <c r="T30" s="64" t="s">
        <v>2214</v>
      </c>
      <c r="U30" s="64"/>
      <c r="V30" s="64" t="s">
        <v>2215</v>
      </c>
      <c r="W30" s="64" t="s">
        <v>3716</v>
      </c>
      <c r="X30" s="64" t="s">
        <v>2216</v>
      </c>
      <c r="Y30" s="64" t="s">
        <v>2217</v>
      </c>
      <c r="Z30" s="70" t="s">
        <v>430</v>
      </c>
      <c r="AA30" s="72" t="s">
        <v>3717</v>
      </c>
      <c r="AB30" s="64" t="s">
        <v>431</v>
      </c>
      <c r="AC30" s="72" t="s">
        <v>3718</v>
      </c>
      <c r="AD30" s="175"/>
      <c r="AE30" s="71"/>
      <c r="AF30" s="71"/>
      <c r="AG30" s="71"/>
      <c r="AH30" s="71"/>
      <c r="AI30" s="71"/>
      <c r="AJ30" s="71"/>
      <c r="AK30" s="71"/>
      <c r="AL30" s="71"/>
      <c r="AM30" s="69" t="str">
        <f t="shared" si="0"/>
        <v xml:space="preserve">PElectrique 140 kW(190 ch.)B.V automatique à 1 rapport Av. + 1 Ar.2 batteries Lithium – Ion. Total 74 kWh (70 kWh utile)Chargeur embarqué AC 22 kW avec prise type 2 et DC 80 kW avec prise CCS ComboVitesse limitée à 90 km/hAutonomie: 100 à 130 km selon utilisation (à valider après tests)E-PTO : 400 V - 15 kWE-PTO : 12 V - 190 A_1 Câble de recharge mode 3 avec prises type 2 / Longueur 5 m. et1 Câble de recharge mode 2 avec 1 prise type 2 et 1 prise 16A - 220V monophasée / Longueur 5 m. </v>
      </c>
    </row>
    <row r="31" spans="1:43" ht="24.95" hidden="1" customHeight="1" outlineLevel="1" x14ac:dyDescent="0.25">
      <c r="A31" s="71" t="s">
        <v>3546</v>
      </c>
      <c r="B31" s="64" t="s">
        <v>32</v>
      </c>
      <c r="C31" s="64"/>
      <c r="D31" s="64" t="s">
        <v>2209</v>
      </c>
      <c r="E31" s="64"/>
      <c r="F31" s="64" t="s">
        <v>2210</v>
      </c>
      <c r="G31" s="64" t="s">
        <v>2211</v>
      </c>
      <c r="H31" s="64"/>
      <c r="I31" s="64"/>
      <c r="J31" s="64" t="s">
        <v>2212</v>
      </c>
      <c r="K31" s="64"/>
      <c r="L31" s="64"/>
      <c r="M31" s="64"/>
      <c r="N31" s="64"/>
      <c r="O31" s="64"/>
      <c r="P31" s="64"/>
      <c r="Q31" s="64"/>
      <c r="R31" s="64"/>
      <c r="S31" s="64" t="s">
        <v>2213</v>
      </c>
      <c r="T31" s="64" t="s">
        <v>2214</v>
      </c>
      <c r="U31" s="64"/>
      <c r="V31" s="64" t="s">
        <v>2215</v>
      </c>
      <c r="W31" s="64" t="s">
        <v>3719</v>
      </c>
      <c r="X31" s="64" t="s">
        <v>2216</v>
      </c>
      <c r="Y31" s="64" t="s">
        <v>2217</v>
      </c>
      <c r="Z31" s="70" t="s">
        <v>430</v>
      </c>
      <c r="AA31" s="72" t="s">
        <v>3717</v>
      </c>
      <c r="AB31" s="64" t="s">
        <v>431</v>
      </c>
      <c r="AC31" s="72" t="s">
        <v>3718</v>
      </c>
      <c r="AD31" s="175"/>
      <c r="AE31" s="71"/>
      <c r="AF31" s="71"/>
      <c r="AG31" s="71"/>
      <c r="AH31" s="71"/>
      <c r="AI31" s="71"/>
      <c r="AJ31" s="71"/>
      <c r="AK31" s="71"/>
      <c r="AL31" s="71"/>
      <c r="AM31" s="69" t="str">
        <f t="shared" si="0"/>
        <v xml:space="preserve">PElectrique 140 kW(190 ch.)B.V automatique à 1 rapport Av. + 1 Ar.2 batteries Lithium – Ion. Total 74 kWh (70 kWh utile)Chargeur embarqué AC 22 kW avec prise type 2 et DC 80 kW avec prise CCS ComboVitesse limitée à 90 km/hAutonomie: 110 à 140 km selon utilisation (à valider après tests)E-PTO : 400 V - 15 kWE-PTO : 12 V - 190 A_1 Câble de recharge mode 3 avec prises type 2 / Longueur 5 m. et1 Câble de recharge mode 2 avec 1 prise type 2 et 1 prise 16A - 220V monophasée / Longueur 5 m. </v>
      </c>
      <c r="AQ31" s="68"/>
    </row>
    <row r="32" spans="1:43" s="66" customFormat="1" ht="56.25" outlineLevel="1" x14ac:dyDescent="0.25">
      <c r="A32" s="64" t="s">
        <v>3614</v>
      </c>
      <c r="B32" s="64" t="s">
        <v>32</v>
      </c>
      <c r="C32" s="64"/>
      <c r="D32" s="64" t="s">
        <v>3720</v>
      </c>
      <c r="E32" s="64"/>
      <c r="F32" s="64" t="s">
        <v>3721</v>
      </c>
      <c r="G32" s="64" t="s">
        <v>3722</v>
      </c>
      <c r="H32" s="64"/>
      <c r="I32" s="64"/>
      <c r="J32" s="64" t="s">
        <v>2140</v>
      </c>
      <c r="K32" s="64"/>
      <c r="L32" s="64"/>
      <c r="M32" s="64"/>
      <c r="N32" s="64"/>
      <c r="O32" s="64"/>
      <c r="P32" s="64"/>
      <c r="Q32" s="64"/>
      <c r="R32" s="64"/>
      <c r="S32" s="64" t="s">
        <v>3723</v>
      </c>
      <c r="T32" s="64" t="s">
        <v>3724</v>
      </c>
      <c r="U32" s="64" t="s">
        <v>2143</v>
      </c>
      <c r="V32" s="64" t="s">
        <v>3725</v>
      </c>
      <c r="W32" s="64" t="s">
        <v>3726</v>
      </c>
      <c r="X32" s="64"/>
      <c r="Y32" s="64"/>
      <c r="Z32" s="70" t="s">
        <v>430</v>
      </c>
      <c r="AA32" s="72" t="s">
        <v>3727</v>
      </c>
      <c r="AB32" s="64" t="s">
        <v>431</v>
      </c>
      <c r="AC32" s="64" t="s">
        <v>3728</v>
      </c>
      <c r="AD32" s="175"/>
      <c r="AE32" s="71"/>
      <c r="AF32" s="71"/>
      <c r="AG32" s="71"/>
      <c r="AH32" s="71"/>
      <c r="AI32" s="71"/>
      <c r="AJ32" s="71"/>
      <c r="AK32" s="71"/>
      <c r="AL32" s="71"/>
      <c r="AM32" s="69" t="str">
        <f t="shared" si="0"/>
        <v>PElectrique asynchrone57 kW(76ch)B.V. automatique à 1 rapport Av. + 1 Ar.Batterie LiFePO4 (Lithium ion Phosphate de fer) 33 kWhChargeur 7kW embarqué avec prise type 2Freinage à récupération d'énergieVéhicule bridé à 80 Km/hAutonomie :  100 -120 km environ
_1 câble à usage occasionnel pour recharge lente (17h) sur prise domestique en 220V-10A ou sur prise Green'Up (12h) en 220V-14Aet1 câble T2-T2 pour recharge rapide (6h) sur borne type WALLBOX 7kW ou équivalent</v>
      </c>
    </row>
    <row r="33" spans="1:39" s="96" customFormat="1" ht="22.5" hidden="1" outlineLevel="1" x14ac:dyDescent="0.25">
      <c r="A33" s="64" t="s">
        <v>3640</v>
      </c>
      <c r="B33" s="64" t="s">
        <v>32</v>
      </c>
      <c r="C33" s="64" t="s">
        <v>2126</v>
      </c>
      <c r="D33" s="64" t="s">
        <v>2127</v>
      </c>
      <c r="E33" s="64" t="s">
        <v>3765</v>
      </c>
      <c r="F33" s="64" t="s">
        <v>2227</v>
      </c>
      <c r="G33" s="64" t="s">
        <v>2149</v>
      </c>
      <c r="H33" s="64" t="s">
        <v>2131</v>
      </c>
      <c r="I33" s="64"/>
      <c r="J33" s="64" t="s">
        <v>2132</v>
      </c>
      <c r="K33" s="64"/>
      <c r="L33" s="64" t="s">
        <v>2203</v>
      </c>
      <c r="M33" s="64"/>
      <c r="N33" s="64"/>
      <c r="O33" s="69"/>
      <c r="P33" s="64"/>
      <c r="Q33" s="64"/>
      <c r="R33" s="64"/>
      <c r="S33" s="64"/>
      <c r="T33" s="64"/>
      <c r="U33" s="64"/>
      <c r="V33" s="69" t="s">
        <v>2228</v>
      </c>
      <c r="W33" s="64"/>
      <c r="X33" s="71"/>
      <c r="Y33" s="64"/>
      <c r="Z33" s="70"/>
      <c r="AA33" s="72"/>
      <c r="AB33" s="64"/>
      <c r="AC33" s="64"/>
      <c r="AD33" s="64"/>
      <c r="AE33" s="64"/>
      <c r="AF33" s="64"/>
      <c r="AG33" s="64"/>
      <c r="AH33" s="64"/>
      <c r="AI33" s="64"/>
      <c r="AJ33" s="64"/>
      <c r="AK33" s="64"/>
      <c r="AL33" s="64"/>
      <c r="AM33" s="69" t="str">
        <f t="shared" si="0"/>
        <v>PEuro 6eTurbo Diesel2.0L dCi150 ch4 cylindresB.V. manuelle à 6 rapports Av. + 1 Ar.Alternateur : 230 AVitesse limitée à 110 km/h</v>
      </c>
    </row>
    <row r="34" spans="1:39" s="66" customFormat="1" ht="22.5" hidden="1" outlineLevel="1" x14ac:dyDescent="0.25">
      <c r="A34" s="72" t="s">
        <v>4300</v>
      </c>
      <c r="B34" s="64" t="s">
        <v>424</v>
      </c>
      <c r="C34" s="64"/>
      <c r="D34" s="64"/>
      <c r="E34" s="64"/>
      <c r="F34" s="64"/>
      <c r="G34" s="64"/>
      <c r="H34" s="64"/>
      <c r="I34" s="64"/>
      <c r="J34" s="64" t="s">
        <v>3942</v>
      </c>
      <c r="K34" s="64"/>
      <c r="L34" s="64"/>
      <c r="M34" s="64"/>
      <c r="N34" s="64"/>
      <c r="O34" s="64"/>
      <c r="P34" s="64"/>
      <c r="Q34" s="64"/>
      <c r="R34" s="64"/>
      <c r="S34" s="71"/>
      <c r="T34" s="71"/>
      <c r="U34" s="71"/>
      <c r="V34" s="64"/>
      <c r="W34" s="64"/>
      <c r="X34" s="64"/>
      <c r="Y34" s="64"/>
      <c r="Z34" s="71"/>
      <c r="AA34" s="64"/>
      <c r="AB34" s="64"/>
      <c r="AC34" s="64"/>
      <c r="AD34" s="71"/>
      <c r="AE34" s="71"/>
      <c r="AF34" s="71"/>
      <c r="AG34" s="71"/>
      <c r="AH34" s="71"/>
      <c r="AI34" s="71"/>
      <c r="AJ34" s="71"/>
      <c r="AK34" s="71"/>
      <c r="AL34" s="71"/>
      <c r="AM34" s="69" t="str">
        <f t="shared" si="0"/>
        <v>OBV Automatique (CU: -20 kg)</v>
      </c>
    </row>
    <row r="35" spans="1:39" s="66" customFormat="1" ht="22.5" hidden="1" outlineLevel="1" x14ac:dyDescent="0.25">
      <c r="A35" s="64" t="s">
        <v>4301</v>
      </c>
      <c r="B35" s="64" t="s">
        <v>424</v>
      </c>
      <c r="C35" s="64"/>
      <c r="D35" s="64"/>
      <c r="E35" s="64"/>
      <c r="F35" s="64"/>
      <c r="G35" s="64"/>
      <c r="H35" s="64"/>
      <c r="I35" s="64"/>
      <c r="J35" s="64"/>
      <c r="K35" s="64"/>
      <c r="L35" s="64"/>
      <c r="M35" s="64"/>
      <c r="N35" s="64"/>
      <c r="O35" s="64"/>
      <c r="P35" s="64"/>
      <c r="Q35" s="64"/>
      <c r="R35" s="64"/>
      <c r="S35" s="64"/>
      <c r="T35" s="64"/>
      <c r="U35" s="64"/>
      <c r="V35" s="69"/>
      <c r="W35" s="64"/>
      <c r="X35" s="64"/>
      <c r="Y35" s="64"/>
      <c r="Z35" s="64"/>
      <c r="AA35" s="64"/>
      <c r="AB35" s="64"/>
      <c r="AC35" s="64"/>
      <c r="AD35" s="64" t="s">
        <v>3715</v>
      </c>
      <c r="AE35" s="64"/>
      <c r="AF35" s="64"/>
      <c r="AG35" s="64"/>
      <c r="AH35" s="64"/>
      <c r="AI35" s="64"/>
      <c r="AJ35" s="64"/>
      <c r="AK35" s="64"/>
      <c r="AL35" s="64"/>
      <c r="AM35" s="69" t="str">
        <f t="shared" si="0"/>
        <v>O(    ) : KEY-OUT</v>
      </c>
    </row>
    <row r="36" spans="1:39" s="66" customFormat="1" ht="22.5" hidden="1" outlineLevel="1" x14ac:dyDescent="0.25">
      <c r="A36" s="64" t="s">
        <v>4302</v>
      </c>
      <c r="B36" s="64" t="s">
        <v>424</v>
      </c>
      <c r="C36" s="64"/>
      <c r="D36" s="64"/>
      <c r="E36" s="64"/>
      <c r="F36" s="64"/>
      <c r="G36" s="64"/>
      <c r="H36" s="64"/>
      <c r="I36" s="64"/>
      <c r="J36" s="64"/>
      <c r="K36" s="64"/>
      <c r="L36" s="64"/>
      <c r="M36" s="71"/>
      <c r="N36" s="64"/>
      <c r="O36" s="64"/>
      <c r="P36" s="64"/>
      <c r="Q36" s="64"/>
      <c r="R36" s="64"/>
      <c r="S36" s="64"/>
      <c r="T36" s="64"/>
      <c r="U36" s="64"/>
      <c r="V36" s="64"/>
      <c r="W36" s="64"/>
      <c r="X36" s="64"/>
      <c r="Y36" s="64"/>
      <c r="Z36" s="64"/>
      <c r="AA36" s="64"/>
      <c r="AB36" s="64"/>
      <c r="AC36" s="64"/>
      <c r="AD36" s="64" t="s">
        <v>3715</v>
      </c>
      <c r="AE36" s="64"/>
      <c r="AF36" s="64"/>
      <c r="AG36" s="64"/>
      <c r="AH36" s="64"/>
      <c r="AI36" s="64"/>
      <c r="AJ36" s="64"/>
      <c r="AK36" s="64"/>
      <c r="AL36" s="64"/>
      <c r="AM36" s="69" t="str">
        <f t="shared" si="0"/>
        <v>O(    ) : KEY-OUT</v>
      </c>
    </row>
    <row r="37" spans="1:39" s="66" customFormat="1" ht="33.75" hidden="1" outlineLevel="1" x14ac:dyDescent="0.25">
      <c r="A37" s="72" t="s">
        <v>4303</v>
      </c>
      <c r="B37" s="64" t="s">
        <v>424</v>
      </c>
      <c r="C37" s="64"/>
      <c r="D37" s="64"/>
      <c r="E37" s="64"/>
      <c r="F37" s="64"/>
      <c r="G37" s="64"/>
      <c r="H37" s="64"/>
      <c r="I37" s="64"/>
      <c r="J37" s="64" t="s">
        <v>3943</v>
      </c>
      <c r="K37" s="64"/>
      <c r="L37" s="64"/>
      <c r="M37" s="64"/>
      <c r="N37" s="64"/>
      <c r="O37" s="64"/>
      <c r="P37" s="64"/>
      <c r="Q37" s="64"/>
      <c r="R37" s="64"/>
      <c r="S37" s="71"/>
      <c r="T37" s="71"/>
      <c r="U37" s="71"/>
      <c r="V37" s="64"/>
      <c r="W37" s="64"/>
      <c r="X37" s="64"/>
      <c r="Y37" s="64"/>
      <c r="Z37" s="71"/>
      <c r="AA37" s="64"/>
      <c r="AB37" s="64"/>
      <c r="AC37" s="64"/>
      <c r="AD37" s="64" t="s">
        <v>3715</v>
      </c>
      <c r="AE37" s="71"/>
      <c r="AF37" s="71"/>
      <c r="AG37" s="71"/>
      <c r="AH37" s="71"/>
      <c r="AI37" s="71"/>
      <c r="AJ37" s="71"/>
      <c r="AK37" s="71"/>
      <c r="AL37" s="71"/>
      <c r="AM37" s="69" t="str">
        <f t="shared" si="0"/>
        <v>OBV Automatique - Implique groupe Frigorifique Neos HE 200S (CU : -10 kg)(    ) : KEY-OUT</v>
      </c>
    </row>
    <row r="38" spans="1:39" s="67" customFormat="1" ht="22.5" hidden="1" outlineLevel="1" x14ac:dyDescent="0.25">
      <c r="A38" s="72" t="s">
        <v>4304</v>
      </c>
      <c r="B38" s="64" t="s">
        <v>424</v>
      </c>
      <c r="C38" s="64"/>
      <c r="D38" s="64"/>
      <c r="E38" s="64"/>
      <c r="F38" s="64"/>
      <c r="G38" s="64"/>
      <c r="H38" s="64"/>
      <c r="I38" s="64"/>
      <c r="J38" s="64"/>
      <c r="K38" s="64"/>
      <c r="L38" s="64"/>
      <c r="M38" s="64"/>
      <c r="N38" s="64"/>
      <c r="O38" s="64"/>
      <c r="P38" s="64"/>
      <c r="Q38" s="64"/>
      <c r="R38" s="64"/>
      <c r="S38" s="71"/>
      <c r="T38" s="71"/>
      <c r="U38" s="71"/>
      <c r="V38" s="64"/>
      <c r="W38" s="64"/>
      <c r="X38" s="64"/>
      <c r="Y38" s="64"/>
      <c r="Z38" s="71"/>
      <c r="AA38" s="64"/>
      <c r="AB38" s="64"/>
      <c r="AC38" s="64"/>
      <c r="AD38" s="64" t="s">
        <v>3715</v>
      </c>
      <c r="AE38" s="71"/>
      <c r="AF38" s="71"/>
      <c r="AG38" s="71"/>
      <c r="AH38" s="71"/>
      <c r="AI38" s="71"/>
      <c r="AJ38" s="71"/>
      <c r="AK38" s="71"/>
      <c r="AL38" s="71"/>
      <c r="AM38" s="69" t="str">
        <f t="shared" si="0"/>
        <v>O(    ) : KEY-OUT</v>
      </c>
    </row>
    <row r="39" spans="1:39" s="66" customFormat="1" ht="22.5" hidden="1" outlineLevel="1" x14ac:dyDescent="0.25">
      <c r="A39" s="69" t="s">
        <v>4305</v>
      </c>
      <c r="B39" s="64" t="s">
        <v>424</v>
      </c>
      <c r="C39" s="64"/>
      <c r="D39" s="64"/>
      <c r="E39" s="64"/>
      <c r="F39" s="64"/>
      <c r="G39" s="64"/>
      <c r="H39" s="64"/>
      <c r="I39" s="64"/>
      <c r="J39" s="64" t="s">
        <v>3766</v>
      </c>
      <c r="K39" s="64"/>
      <c r="L39" s="64"/>
      <c r="M39" s="64"/>
      <c r="N39" s="64"/>
      <c r="O39" s="64"/>
      <c r="P39" s="64"/>
      <c r="Q39" s="64"/>
      <c r="R39" s="64"/>
      <c r="S39" s="71"/>
      <c r="T39" s="71"/>
      <c r="U39" s="71"/>
      <c r="V39" s="64"/>
      <c r="W39" s="64"/>
      <c r="X39" s="64"/>
      <c r="Y39" s="64"/>
      <c r="Z39" s="71"/>
      <c r="AA39" s="64"/>
      <c r="AB39" s="64"/>
      <c r="AC39" s="64"/>
      <c r="AD39" s="71"/>
      <c r="AE39" s="71"/>
      <c r="AF39" s="71"/>
      <c r="AG39" s="71"/>
      <c r="AH39" s="71"/>
      <c r="AI39" s="71"/>
      <c r="AJ39" s="71"/>
      <c r="AK39" s="71"/>
      <c r="AL39" s="71"/>
      <c r="AM39" s="69" t="str">
        <f t="shared" si="0"/>
        <v>OB.V. Automatique AT9 ==&gt; Non disponible</v>
      </c>
    </row>
    <row r="40" spans="1:39" s="66" customFormat="1" ht="22.5" hidden="1" outlineLevel="1" x14ac:dyDescent="0.25">
      <c r="A40" s="69" t="s">
        <v>4306</v>
      </c>
      <c r="B40" s="64" t="s">
        <v>424</v>
      </c>
      <c r="C40" s="64"/>
      <c r="D40" s="64"/>
      <c r="E40" s="64"/>
      <c r="F40" s="64"/>
      <c r="G40" s="64"/>
      <c r="H40" s="64"/>
      <c r="I40" s="64"/>
      <c r="J40" s="64" t="s">
        <v>3766</v>
      </c>
      <c r="K40" s="64"/>
      <c r="L40" s="64"/>
      <c r="M40" s="64"/>
      <c r="N40" s="64"/>
      <c r="O40" s="64"/>
      <c r="P40" s="64"/>
      <c r="Q40" s="64"/>
      <c r="R40" s="64"/>
      <c r="S40" s="71"/>
      <c r="T40" s="71"/>
      <c r="U40" s="71"/>
      <c r="V40" s="64"/>
      <c r="W40" s="64"/>
      <c r="X40" s="64"/>
      <c r="Y40" s="64"/>
      <c r="Z40" s="71"/>
      <c r="AA40" s="64"/>
      <c r="AB40" s="64"/>
      <c r="AC40" s="64"/>
      <c r="AD40" s="64" t="s">
        <v>3715</v>
      </c>
      <c r="AE40" s="71"/>
      <c r="AF40" s="71"/>
      <c r="AG40" s="71"/>
      <c r="AH40" s="71"/>
      <c r="AI40" s="71"/>
      <c r="AJ40" s="71"/>
      <c r="AK40" s="71"/>
      <c r="AL40" s="71"/>
      <c r="AM40" s="69" t="str">
        <f t="shared" si="0"/>
        <v>OB.V. Automatique AT9 ==&gt; Non disponible(    ) : KEY-OUT</v>
      </c>
    </row>
    <row r="41" spans="1:39" s="66" customFormat="1" ht="22.5" hidden="1" outlineLevel="1" x14ac:dyDescent="0.25">
      <c r="A41" s="69" t="s">
        <v>4307</v>
      </c>
      <c r="B41" s="64" t="s">
        <v>424</v>
      </c>
      <c r="C41" s="64"/>
      <c r="D41" s="64"/>
      <c r="E41" s="64"/>
      <c r="F41" s="64"/>
      <c r="G41" s="64"/>
      <c r="H41" s="64"/>
      <c r="I41" s="64"/>
      <c r="J41" s="64" t="s">
        <v>3766</v>
      </c>
      <c r="K41" s="64"/>
      <c r="L41" s="64"/>
      <c r="M41" s="64"/>
      <c r="N41" s="64"/>
      <c r="O41" s="64"/>
      <c r="P41" s="64"/>
      <c r="Q41" s="64"/>
      <c r="R41" s="64"/>
      <c r="S41" s="71"/>
      <c r="T41" s="71"/>
      <c r="U41" s="71"/>
      <c r="V41" s="64"/>
      <c r="W41" s="64"/>
      <c r="X41" s="64"/>
      <c r="Y41" s="64"/>
      <c r="Z41" s="71"/>
      <c r="AA41" s="64"/>
      <c r="AB41" s="64"/>
      <c r="AC41" s="64"/>
      <c r="AD41" s="64" t="s">
        <v>3715</v>
      </c>
      <c r="AE41" s="71"/>
      <c r="AF41" s="71"/>
      <c r="AG41" s="71"/>
      <c r="AH41" s="71"/>
      <c r="AI41" s="71"/>
      <c r="AJ41" s="71"/>
      <c r="AK41" s="71"/>
      <c r="AL41" s="71"/>
      <c r="AM41" s="69" t="str">
        <f t="shared" si="0"/>
        <v>OB.V. Automatique AT9 ==&gt; Non disponible(    ) : KEY-OUT</v>
      </c>
    </row>
    <row r="42" spans="1:39" s="66" customFormat="1" ht="22.5" hidden="1" outlineLevel="1" x14ac:dyDescent="0.25">
      <c r="A42" s="64" t="s">
        <v>4308</v>
      </c>
      <c r="B42" s="64" t="s">
        <v>424</v>
      </c>
      <c r="C42" s="64"/>
      <c r="D42" s="64"/>
      <c r="E42" s="64"/>
      <c r="F42" s="64"/>
      <c r="G42" s="64"/>
      <c r="H42" s="64"/>
      <c r="I42" s="64"/>
      <c r="J42" s="64"/>
      <c r="K42" s="64"/>
      <c r="L42" s="64"/>
      <c r="M42" s="64"/>
      <c r="N42" s="64"/>
      <c r="O42" s="64"/>
      <c r="P42" s="64"/>
      <c r="Q42" s="64"/>
      <c r="R42" s="64"/>
      <c r="S42" s="71"/>
      <c r="T42" s="71"/>
      <c r="U42" s="71"/>
      <c r="V42" s="64"/>
      <c r="W42" s="64"/>
      <c r="X42" s="64"/>
      <c r="Y42" s="64"/>
      <c r="Z42" s="71"/>
      <c r="AA42" s="64"/>
      <c r="AB42" s="64"/>
      <c r="AC42" s="64"/>
      <c r="AD42" s="64" t="s">
        <v>3715</v>
      </c>
      <c r="AE42" s="71"/>
      <c r="AF42" s="71"/>
      <c r="AG42" s="71"/>
      <c r="AH42" s="71"/>
      <c r="AI42" s="71"/>
      <c r="AJ42" s="71"/>
      <c r="AK42" s="71"/>
      <c r="AL42" s="71"/>
      <c r="AM42" s="69" t="str">
        <f t="shared" si="0"/>
        <v>O(    ) : KEY-OUT</v>
      </c>
    </row>
    <row r="43" spans="1:39" s="66" customFormat="1" ht="33.75" hidden="1" outlineLevel="1" x14ac:dyDescent="0.25">
      <c r="A43" s="64" t="s">
        <v>4309</v>
      </c>
      <c r="B43" s="64" t="s">
        <v>424</v>
      </c>
      <c r="C43" s="64"/>
      <c r="D43" s="64"/>
      <c r="E43" s="64"/>
      <c r="F43" s="64"/>
      <c r="G43" s="64"/>
      <c r="H43" s="64"/>
      <c r="I43" s="64"/>
      <c r="J43" s="64"/>
      <c r="K43" s="64"/>
      <c r="L43" s="64"/>
      <c r="M43" s="64"/>
      <c r="N43" s="64"/>
      <c r="O43" s="64"/>
      <c r="P43" s="64"/>
      <c r="Q43" s="64"/>
      <c r="R43" s="64"/>
      <c r="S43" s="71"/>
      <c r="T43" s="71"/>
      <c r="U43" s="71"/>
      <c r="V43" s="64"/>
      <c r="W43" s="64"/>
      <c r="X43" s="64"/>
      <c r="Y43" s="64"/>
      <c r="Z43" s="71"/>
      <c r="AA43" s="64"/>
      <c r="AB43" s="64"/>
      <c r="AC43" s="64"/>
      <c r="AD43" s="64" t="s">
        <v>3767</v>
      </c>
      <c r="AE43" s="71"/>
      <c r="AF43" s="71"/>
      <c r="AG43" s="71"/>
      <c r="AH43" s="71"/>
      <c r="AI43" s="71"/>
      <c r="AJ43" s="71"/>
      <c r="AK43" s="71"/>
      <c r="AL43" s="71"/>
      <c r="AM43" s="69" t="str">
        <f t="shared" si="0"/>
        <v>ORUNLOCK (KEY-OUT) ==&gt; Indisponible en véhicule électrique</v>
      </c>
    </row>
    <row r="44" spans="1:39" s="66" customFormat="1" ht="22.5" hidden="1" outlineLevel="1" x14ac:dyDescent="0.25">
      <c r="A44" s="64" t="s">
        <v>4310</v>
      </c>
      <c r="B44" s="64" t="s">
        <v>424</v>
      </c>
      <c r="C44" s="64"/>
      <c r="D44" s="64"/>
      <c r="E44" s="64"/>
      <c r="F44" s="64"/>
      <c r="G44" s="64"/>
      <c r="H44" s="64"/>
      <c r="I44" s="64"/>
      <c r="J44" s="64"/>
      <c r="K44" s="64"/>
      <c r="L44" s="64"/>
      <c r="M44" s="64"/>
      <c r="N44" s="64"/>
      <c r="O44" s="64"/>
      <c r="P44" s="64"/>
      <c r="Q44" s="64"/>
      <c r="R44" s="64"/>
      <c r="S44" s="71"/>
      <c r="T44" s="71"/>
      <c r="U44" s="71"/>
      <c r="V44" s="64"/>
      <c r="W44" s="64"/>
      <c r="X44" s="64"/>
      <c r="Y44" s="64"/>
      <c r="Z44" s="71"/>
      <c r="AA44" s="64"/>
      <c r="AB44" s="64"/>
      <c r="AC44" s="64"/>
      <c r="AD44" s="64" t="s">
        <v>3768</v>
      </c>
      <c r="AE44" s="71"/>
      <c r="AF44" s="71"/>
      <c r="AG44" s="71"/>
      <c r="AH44" s="71"/>
      <c r="AI44" s="71"/>
      <c r="AJ44" s="71"/>
      <c r="AK44" s="71"/>
      <c r="AL44" s="71"/>
      <c r="AM44" s="69" t="str">
        <f t="shared" si="0"/>
        <v>O(    ) : RUNLOCK (KEY-OUT)</v>
      </c>
    </row>
    <row r="45" spans="1:39" s="66" customFormat="1" ht="22.5" hidden="1" outlineLevel="1" x14ac:dyDescent="0.25">
      <c r="A45" s="64" t="s">
        <v>4311</v>
      </c>
      <c r="B45" s="64" t="s">
        <v>424</v>
      </c>
      <c r="C45" s="64"/>
      <c r="D45" s="64"/>
      <c r="E45" s="64"/>
      <c r="F45" s="64"/>
      <c r="G45" s="64"/>
      <c r="H45" s="64"/>
      <c r="I45" s="64"/>
      <c r="J45" s="64"/>
      <c r="K45" s="64"/>
      <c r="L45" s="64"/>
      <c r="M45" s="64"/>
      <c r="N45" s="64"/>
      <c r="O45" s="64"/>
      <c r="P45" s="64"/>
      <c r="Q45" s="64"/>
      <c r="R45" s="64"/>
      <c r="S45" s="71"/>
      <c r="T45" s="71"/>
      <c r="U45" s="71"/>
      <c r="V45" s="64"/>
      <c r="W45" s="64"/>
      <c r="X45" s="64"/>
      <c r="Y45" s="64"/>
      <c r="Z45" s="71"/>
      <c r="AA45" s="64"/>
      <c r="AB45" s="64"/>
      <c r="AC45" s="64"/>
      <c r="AD45" s="64" t="s">
        <v>3715</v>
      </c>
      <c r="AE45" s="71"/>
      <c r="AF45" s="71"/>
      <c r="AG45" s="71"/>
      <c r="AH45" s="71"/>
      <c r="AI45" s="71"/>
      <c r="AJ45" s="71"/>
      <c r="AK45" s="71"/>
      <c r="AL45" s="71"/>
      <c r="AM45" s="69" t="str">
        <f>CONCATENATE(B45,C45,D45,E45,F45,G45,H45,I45,J45,K45,L45,M45,N45,O45,P45,Q45,R45,S45,T45,U45,V45,W45,X45,Y45,Z45,AA45,AB45,AC45,AD45,AE45,AF45,AG45,AH45,AI45,AJ45,AK45,AL45)</f>
        <v>O(    ) : KEY-OUT</v>
      </c>
    </row>
    <row r="46" spans="1:39" s="66" customFormat="1" ht="33.75" hidden="1" outlineLevel="1" x14ac:dyDescent="0.25">
      <c r="A46" s="64" t="s">
        <v>4312</v>
      </c>
      <c r="B46" s="64" t="s">
        <v>424</v>
      </c>
      <c r="C46" s="64"/>
      <c r="D46" s="64"/>
      <c r="E46" s="64"/>
      <c r="F46" s="64"/>
      <c r="G46" s="64"/>
      <c r="H46" s="64"/>
      <c r="I46" s="64"/>
      <c r="J46" s="64"/>
      <c r="K46" s="64"/>
      <c r="L46" s="64"/>
      <c r="M46" s="64"/>
      <c r="N46" s="64"/>
      <c r="O46" s="64"/>
      <c r="P46" s="64"/>
      <c r="Q46" s="64"/>
      <c r="R46" s="64"/>
      <c r="S46" s="71"/>
      <c r="T46" s="71"/>
      <c r="U46" s="71"/>
      <c r="V46" s="64" t="s">
        <v>3769</v>
      </c>
      <c r="W46" s="64"/>
      <c r="X46" s="64"/>
      <c r="Y46" s="64"/>
      <c r="Z46" s="71"/>
      <c r="AA46" s="64"/>
      <c r="AB46" s="64"/>
      <c r="AC46" s="64"/>
      <c r="AD46" s="64"/>
      <c r="AE46" s="71"/>
      <c r="AF46" s="71"/>
      <c r="AG46" s="71"/>
      <c r="AH46" s="71"/>
      <c r="AI46" s="71"/>
      <c r="AJ46" s="71"/>
      <c r="AK46" s="71"/>
      <c r="AL46" s="71"/>
      <c r="AM46" s="69" t="str">
        <f t="shared" si="0"/>
        <v>O(    ) : Bridage 110 km/h</v>
      </c>
    </row>
    <row r="47" spans="1:39" s="66" customFormat="1" ht="38.25" hidden="1" customHeight="1" outlineLevel="1" x14ac:dyDescent="0.25">
      <c r="A47" s="64" t="s">
        <v>4313</v>
      </c>
      <c r="B47" s="64" t="s">
        <v>424</v>
      </c>
      <c r="C47" s="64"/>
      <c r="D47" s="64"/>
      <c r="E47" s="64"/>
      <c r="F47" s="64"/>
      <c r="G47" s="64"/>
      <c r="H47" s="64"/>
      <c r="I47" s="64"/>
      <c r="J47" s="64"/>
      <c r="K47" s="64"/>
      <c r="L47" s="64"/>
      <c r="M47" s="64"/>
      <c r="N47" s="64"/>
      <c r="O47" s="64"/>
      <c r="P47" s="64"/>
      <c r="Q47" s="64"/>
      <c r="R47" s="64"/>
      <c r="S47" s="71"/>
      <c r="T47" s="71"/>
      <c r="U47" s="71"/>
      <c r="V47" s="64" t="s">
        <v>3769</v>
      </c>
      <c r="W47" s="64"/>
      <c r="X47" s="64"/>
      <c r="Y47" s="64"/>
      <c r="Z47" s="71"/>
      <c r="AA47" s="64"/>
      <c r="AB47" s="64"/>
      <c r="AC47" s="64"/>
      <c r="AD47" s="71"/>
      <c r="AE47" s="71"/>
      <c r="AF47" s="71"/>
      <c r="AG47" s="71"/>
      <c r="AH47" s="71"/>
      <c r="AI47" s="71"/>
      <c r="AJ47" s="71"/>
      <c r="AK47" s="71"/>
      <c r="AL47" s="71"/>
      <c r="AM47" s="69" t="str">
        <f t="shared" si="0"/>
        <v>O(    ) : Bridage 110 km/h</v>
      </c>
    </row>
    <row r="48" spans="1:39" s="66" customFormat="1" ht="38.25" hidden="1" customHeight="1" outlineLevel="1" x14ac:dyDescent="0.25">
      <c r="A48" s="64" t="s">
        <v>4314</v>
      </c>
      <c r="B48" s="64" t="s">
        <v>424</v>
      </c>
      <c r="C48" s="64"/>
      <c r="D48" s="64"/>
      <c r="E48" s="64"/>
      <c r="F48" s="64"/>
      <c r="G48" s="64"/>
      <c r="H48" s="64"/>
      <c r="I48" s="64"/>
      <c r="J48" s="64"/>
      <c r="K48" s="64"/>
      <c r="L48" s="64"/>
      <c r="M48" s="64"/>
      <c r="N48" s="64"/>
      <c r="O48" s="64"/>
      <c r="P48" s="64"/>
      <c r="Q48" s="64"/>
      <c r="R48" s="64"/>
      <c r="S48" s="71"/>
      <c r="T48" s="71"/>
      <c r="U48" s="71"/>
      <c r="V48" s="64" t="s">
        <v>3769</v>
      </c>
      <c r="W48" s="64"/>
      <c r="X48" s="64"/>
      <c r="Y48" s="64"/>
      <c r="Z48" s="71"/>
      <c r="AA48" s="64"/>
      <c r="AB48" s="64"/>
      <c r="AC48" s="64"/>
      <c r="AD48" s="71"/>
      <c r="AE48" s="71"/>
      <c r="AF48" s="71"/>
      <c r="AG48" s="71"/>
      <c r="AH48" s="71"/>
      <c r="AI48" s="71"/>
      <c r="AJ48" s="71"/>
      <c r="AK48" s="71"/>
      <c r="AL48" s="71"/>
      <c r="AM48" s="69" t="str">
        <f t="shared" si="0"/>
        <v>O(    ) : Bridage 110 km/h</v>
      </c>
    </row>
    <row r="49" spans="1:43" s="66" customFormat="1" ht="22.5" hidden="1" outlineLevel="1" x14ac:dyDescent="0.25">
      <c r="A49" s="64" t="s">
        <v>4315</v>
      </c>
      <c r="B49" s="64" t="s">
        <v>424</v>
      </c>
      <c r="C49" s="64"/>
      <c r="D49" s="64"/>
      <c r="E49" s="64"/>
      <c r="F49" s="64"/>
      <c r="G49" s="64"/>
      <c r="H49" s="64"/>
      <c r="I49" s="64"/>
      <c r="J49" s="64"/>
      <c r="K49" s="64"/>
      <c r="L49" s="64"/>
      <c r="M49" s="64"/>
      <c r="N49" s="64"/>
      <c r="O49" s="69"/>
      <c r="P49" s="64"/>
      <c r="Q49" s="64"/>
      <c r="R49" s="64"/>
      <c r="S49" s="64"/>
      <c r="T49" s="64"/>
      <c r="U49" s="64"/>
      <c r="V49" s="64" t="s">
        <v>3769</v>
      </c>
      <c r="W49" s="64"/>
      <c r="X49" s="64"/>
      <c r="Y49" s="64"/>
      <c r="Z49" s="64"/>
      <c r="AA49" s="64"/>
      <c r="AB49" s="64"/>
      <c r="AC49" s="64"/>
      <c r="AD49" s="64"/>
      <c r="AE49" s="64"/>
      <c r="AF49" s="70"/>
      <c r="AG49" s="64"/>
      <c r="AH49" s="64"/>
      <c r="AI49" s="64"/>
      <c r="AJ49" s="69"/>
      <c r="AK49" s="64"/>
      <c r="AL49" s="71"/>
      <c r="AM49" s="69" t="str">
        <f t="shared" si="0"/>
        <v>O(    ) : Bridage 110 km/h</v>
      </c>
    </row>
    <row r="50" spans="1:43" s="66" customFormat="1" ht="22.5" hidden="1" outlineLevel="1" x14ac:dyDescent="0.25">
      <c r="A50" s="64" t="s">
        <v>4316</v>
      </c>
      <c r="B50" s="64" t="s">
        <v>424</v>
      </c>
      <c r="C50" s="64"/>
      <c r="D50" s="64"/>
      <c r="E50" s="64"/>
      <c r="F50" s="64"/>
      <c r="G50" s="64"/>
      <c r="H50" s="64"/>
      <c r="I50" s="64"/>
      <c r="J50" s="64"/>
      <c r="K50" s="64"/>
      <c r="L50" s="64"/>
      <c r="M50" s="64"/>
      <c r="N50" s="64"/>
      <c r="O50" s="64"/>
      <c r="P50" s="64"/>
      <c r="Q50" s="64"/>
      <c r="R50" s="64"/>
      <c r="S50" s="64"/>
      <c r="T50" s="64"/>
      <c r="U50" s="64"/>
      <c r="V50" s="64" t="s">
        <v>3769</v>
      </c>
      <c r="W50" s="64"/>
      <c r="X50" s="64"/>
      <c r="Y50" s="64"/>
      <c r="Z50" s="64"/>
      <c r="AA50" s="64"/>
      <c r="AB50" s="64"/>
      <c r="AC50" s="64"/>
      <c r="AD50" s="64" t="s">
        <v>3715</v>
      </c>
      <c r="AE50" s="64"/>
      <c r="AF50" s="70"/>
      <c r="AG50" s="64"/>
      <c r="AH50" s="64"/>
      <c r="AI50" s="64"/>
      <c r="AJ50" s="69"/>
      <c r="AK50" s="64"/>
      <c r="AL50" s="71"/>
      <c r="AM50" s="69" t="str">
        <f t="shared" si="0"/>
        <v>O(    ) : Bridage 110 km/h(    ) : KEY-OUT</v>
      </c>
    </row>
    <row r="51" spans="1:43" s="66" customFormat="1" ht="22.5" hidden="1" outlineLevel="1" x14ac:dyDescent="0.25">
      <c r="A51" s="64" t="s">
        <v>4317</v>
      </c>
      <c r="B51" s="64" t="s">
        <v>424</v>
      </c>
      <c r="C51" s="64"/>
      <c r="D51" s="64"/>
      <c r="E51" s="64"/>
      <c r="F51" s="64"/>
      <c r="G51" s="64"/>
      <c r="H51" s="64"/>
      <c r="I51" s="64"/>
      <c r="J51" s="64"/>
      <c r="K51" s="64"/>
      <c r="L51" s="64"/>
      <c r="M51" s="64"/>
      <c r="N51" s="64"/>
      <c r="O51" s="64"/>
      <c r="P51" s="64"/>
      <c r="Q51" s="64"/>
      <c r="R51" s="64"/>
      <c r="S51" s="64"/>
      <c r="T51" s="64"/>
      <c r="U51" s="64"/>
      <c r="V51" s="64" t="s">
        <v>3769</v>
      </c>
      <c r="W51" s="64"/>
      <c r="X51" s="64"/>
      <c r="Y51" s="64"/>
      <c r="Z51" s="64"/>
      <c r="AA51" s="64"/>
      <c r="AB51" s="64"/>
      <c r="AC51" s="64"/>
      <c r="AD51" s="64" t="s">
        <v>3715</v>
      </c>
      <c r="AE51" s="64"/>
      <c r="AF51" s="70"/>
      <c r="AG51" s="64"/>
      <c r="AH51" s="64"/>
      <c r="AI51" s="64"/>
      <c r="AJ51" s="69"/>
      <c r="AK51" s="64"/>
      <c r="AL51" s="71"/>
      <c r="AM51" s="69" t="str">
        <f t="shared" si="0"/>
        <v>O(    ) : Bridage 110 km/h(    ) : KEY-OUT</v>
      </c>
    </row>
    <row r="52" spans="1:43" s="67" customFormat="1" ht="22.5" hidden="1" outlineLevel="1" x14ac:dyDescent="0.25">
      <c r="A52" s="69" t="s">
        <v>4318</v>
      </c>
      <c r="B52" s="64" t="s">
        <v>424</v>
      </c>
      <c r="C52" s="64"/>
      <c r="D52" s="64"/>
      <c r="E52" s="64"/>
      <c r="F52" s="64"/>
      <c r="G52" s="64"/>
      <c r="H52" s="64"/>
      <c r="I52" s="64"/>
      <c r="J52" s="64"/>
      <c r="K52" s="64"/>
      <c r="L52" s="64"/>
      <c r="M52" s="64"/>
      <c r="N52" s="64"/>
      <c r="O52" s="64"/>
      <c r="P52" s="64"/>
      <c r="Q52" s="64"/>
      <c r="R52" s="64"/>
      <c r="S52" s="71"/>
      <c r="T52" s="71"/>
      <c r="U52" s="71"/>
      <c r="V52" s="64" t="s">
        <v>3769</v>
      </c>
      <c r="W52" s="64"/>
      <c r="X52" s="64"/>
      <c r="Y52" s="64"/>
      <c r="Z52" s="71"/>
      <c r="AA52" s="64"/>
      <c r="AB52" s="64"/>
      <c r="AC52" s="64"/>
      <c r="AD52" s="64" t="s">
        <v>3715</v>
      </c>
      <c r="AE52" s="64" t="s">
        <v>3770</v>
      </c>
      <c r="AF52" s="71"/>
      <c r="AG52" s="71"/>
      <c r="AH52" s="71"/>
      <c r="AI52" s="71"/>
      <c r="AJ52" s="71"/>
      <c r="AK52" s="170"/>
      <c r="AL52" s="170"/>
      <c r="AM52" s="69" t="str">
        <f t="shared" si="0"/>
        <v xml:space="preserve">O(    ) : Bridage 110 km/h(    ) : KEY-OUT(    ) : Coupe circuit / parflame </v>
      </c>
    </row>
    <row r="53" spans="1:43" s="66" customFormat="1" ht="61.5" hidden="1" customHeight="1" outlineLevel="1" x14ac:dyDescent="0.25">
      <c r="A53" s="64" t="s">
        <v>4319</v>
      </c>
      <c r="B53" s="64" t="s">
        <v>424</v>
      </c>
      <c r="C53" s="64"/>
      <c r="D53" s="64"/>
      <c r="E53" s="64"/>
      <c r="F53" s="64"/>
      <c r="G53" s="64"/>
      <c r="H53" s="64"/>
      <c r="I53" s="64"/>
      <c r="J53" s="64"/>
      <c r="K53" s="64"/>
      <c r="L53" s="64"/>
      <c r="M53" s="64"/>
      <c r="N53" s="64"/>
      <c r="O53" s="64"/>
      <c r="P53" s="64"/>
      <c r="Q53" s="64"/>
      <c r="R53" s="64"/>
      <c r="S53" s="71"/>
      <c r="T53" s="71"/>
      <c r="U53" s="71"/>
      <c r="V53" s="64" t="s">
        <v>3769</v>
      </c>
      <c r="W53" s="64"/>
      <c r="X53" s="64"/>
      <c r="Y53" s="64"/>
      <c r="Z53" s="71"/>
      <c r="AA53" s="64"/>
      <c r="AB53" s="64"/>
      <c r="AC53" s="64"/>
      <c r="AD53" s="64" t="s">
        <v>3715</v>
      </c>
      <c r="AE53" s="71"/>
      <c r="AF53" s="71"/>
      <c r="AG53" s="71"/>
      <c r="AH53" s="71"/>
      <c r="AI53" s="71"/>
      <c r="AJ53" s="71"/>
      <c r="AK53" s="71"/>
      <c r="AL53" s="71"/>
      <c r="AM53" s="69" t="str">
        <f t="shared" si="0"/>
        <v>O(    ) : Bridage 110 km/h(    ) : KEY-OUT</v>
      </c>
    </row>
    <row r="54" spans="1:43" s="67" customFormat="1" ht="40.5" hidden="1" customHeight="1" outlineLevel="1" x14ac:dyDescent="0.25">
      <c r="A54" s="69" t="s">
        <v>4320</v>
      </c>
      <c r="B54" s="64" t="s">
        <v>424</v>
      </c>
      <c r="C54" s="64"/>
      <c r="D54" s="64"/>
      <c r="E54" s="64"/>
      <c r="F54" s="64"/>
      <c r="G54" s="64"/>
      <c r="H54" s="64"/>
      <c r="I54" s="64"/>
      <c r="J54" s="64"/>
      <c r="K54" s="64"/>
      <c r="L54" s="64"/>
      <c r="M54" s="64"/>
      <c r="N54" s="64"/>
      <c r="O54" s="64"/>
      <c r="P54" s="64"/>
      <c r="Q54" s="64"/>
      <c r="R54" s="64"/>
      <c r="S54" s="71"/>
      <c r="T54" s="71"/>
      <c r="U54" s="71"/>
      <c r="V54" s="64"/>
      <c r="W54" s="64"/>
      <c r="X54" s="64"/>
      <c r="Y54" s="64"/>
      <c r="Z54" s="71"/>
      <c r="AA54" s="64"/>
      <c r="AB54" s="64"/>
      <c r="AC54" s="64"/>
      <c r="AD54" s="71"/>
      <c r="AE54" s="64" t="s">
        <v>3770</v>
      </c>
      <c r="AF54" s="71"/>
      <c r="AG54" s="71"/>
      <c r="AH54" s="71"/>
      <c r="AI54" s="71"/>
      <c r="AJ54" s="71"/>
      <c r="AK54" s="170"/>
      <c r="AL54" s="170"/>
      <c r="AM54" s="69" t="str">
        <f t="shared" si="0"/>
        <v xml:space="preserve">O(    ) : Coupe circuit / parflame </v>
      </c>
    </row>
    <row r="55" spans="1:43" s="67" customFormat="1" ht="40.5" hidden="1" customHeight="1" outlineLevel="1" x14ac:dyDescent="0.25">
      <c r="A55" s="64" t="s">
        <v>4321</v>
      </c>
      <c r="B55" s="64" t="s">
        <v>424</v>
      </c>
      <c r="C55" s="64"/>
      <c r="D55" s="64"/>
      <c r="E55" s="64"/>
      <c r="F55" s="64"/>
      <c r="G55" s="64"/>
      <c r="H55" s="64"/>
      <c r="I55" s="64"/>
      <c r="J55" s="64"/>
      <c r="K55" s="64"/>
      <c r="L55" s="64"/>
      <c r="M55" s="64"/>
      <c r="N55" s="64"/>
      <c r="O55" s="64"/>
      <c r="P55" s="64"/>
      <c r="Q55" s="64"/>
      <c r="R55" s="64"/>
      <c r="S55" s="71"/>
      <c r="T55" s="71"/>
      <c r="U55" s="71"/>
      <c r="V55" s="64" t="s">
        <v>3769</v>
      </c>
      <c r="W55" s="64"/>
      <c r="X55" s="64"/>
      <c r="Y55" s="64"/>
      <c r="Z55" s="71"/>
      <c r="AA55" s="64"/>
      <c r="AB55" s="64"/>
      <c r="AC55" s="64"/>
      <c r="AD55" s="64" t="s">
        <v>3768</v>
      </c>
      <c r="AE55" s="64" t="s">
        <v>3771</v>
      </c>
      <c r="AF55" s="71"/>
      <c r="AG55" s="71"/>
      <c r="AH55" s="71"/>
      <c r="AI55" s="71"/>
      <c r="AJ55" s="71"/>
      <c r="AK55" s="71"/>
      <c r="AL55" s="71"/>
      <c r="AM55" s="69" t="str">
        <f t="shared" si="0"/>
        <v>O(    ) : Bridage 110 km/h(    ) : RUNLOCK (KEY-OUT)(    ) : Coupe circuit / parflame</v>
      </c>
    </row>
    <row r="56" spans="1:43" s="66" customFormat="1" ht="25.5" hidden="1" customHeight="1" outlineLevel="1" x14ac:dyDescent="0.25">
      <c r="A56" s="64" t="s">
        <v>4322</v>
      </c>
      <c r="B56" s="64" t="s">
        <v>424</v>
      </c>
      <c r="C56" s="64"/>
      <c r="D56" s="64" t="s">
        <v>3944</v>
      </c>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9" t="str">
        <f t="shared" si="0"/>
        <v xml:space="preserve">OMotorisation 210 cv </v>
      </c>
    </row>
    <row r="57" spans="1:43" s="66" customFormat="1" ht="22.5" hidden="1" outlineLevel="1" x14ac:dyDescent="0.25">
      <c r="A57" s="69" t="s">
        <v>3329</v>
      </c>
      <c r="B57" s="69" t="s">
        <v>32</v>
      </c>
      <c r="C57" s="69" t="s">
        <v>2126</v>
      </c>
      <c r="D57" s="69" t="s">
        <v>2127</v>
      </c>
      <c r="E57" s="69" t="s">
        <v>3755</v>
      </c>
      <c r="F57" s="69" t="s">
        <v>3756</v>
      </c>
      <c r="G57" s="69" t="s">
        <v>2152</v>
      </c>
      <c r="H57" s="69" t="s">
        <v>2131</v>
      </c>
      <c r="I57" s="69"/>
      <c r="J57" s="69" t="s">
        <v>2132</v>
      </c>
      <c r="K57" s="69" t="s">
        <v>2153</v>
      </c>
      <c r="L57" s="69" t="s">
        <v>2134</v>
      </c>
      <c r="M57" s="69"/>
      <c r="N57" s="69"/>
      <c r="O57" s="69"/>
      <c r="P57" s="69"/>
      <c r="Q57" s="69"/>
      <c r="R57" s="69"/>
      <c r="S57" s="170"/>
      <c r="T57" s="170"/>
      <c r="U57" s="170"/>
      <c r="V57" s="170"/>
      <c r="W57" s="170"/>
      <c r="X57" s="170"/>
      <c r="Y57" s="170"/>
      <c r="Z57" s="70"/>
      <c r="AA57" s="69"/>
      <c r="AB57" s="69"/>
      <c r="AC57" s="64"/>
      <c r="AD57" s="170"/>
      <c r="AE57" s="170"/>
      <c r="AF57" s="70"/>
      <c r="AG57" s="70"/>
      <c r="AH57" s="170"/>
      <c r="AI57" s="170"/>
      <c r="AJ57" s="170"/>
      <c r="AK57" s="170"/>
      <c r="AL57" s="71"/>
      <c r="AM57" s="69" t="str">
        <f t="shared" si="0"/>
        <v>PEuro 6eTurbo Diesel2.2L MultiJet 140 ch4 cylindresB.V. manuelle à 6 rapports Av. + 1 Ar.Batterie : 105 AhAlternateur : 220 A</v>
      </c>
    </row>
    <row r="58" spans="1:43" s="66" customFormat="1" ht="22.5" hidden="1" outlineLevel="1" x14ac:dyDescent="0.25">
      <c r="A58" s="64" t="s">
        <v>3609</v>
      </c>
      <c r="B58" s="64" t="s">
        <v>32</v>
      </c>
      <c r="C58" s="64" t="s">
        <v>3772</v>
      </c>
      <c r="D58" s="64" t="s">
        <v>2127</v>
      </c>
      <c r="E58" s="64" t="s">
        <v>3773</v>
      </c>
      <c r="F58" s="64" t="s">
        <v>2227</v>
      </c>
      <c r="G58" s="64" t="s">
        <v>2202</v>
      </c>
      <c r="H58" s="64" t="s">
        <v>2131</v>
      </c>
      <c r="I58" s="64"/>
      <c r="J58" s="64" t="s">
        <v>2132</v>
      </c>
      <c r="K58" s="64" t="s">
        <v>2133</v>
      </c>
      <c r="L58" s="64" t="s">
        <v>2203</v>
      </c>
      <c r="M58" s="64"/>
      <c r="N58" s="64"/>
      <c r="O58" s="64"/>
      <c r="P58" s="64"/>
      <c r="Q58" s="64"/>
      <c r="R58" s="64"/>
      <c r="S58" s="64"/>
      <c r="T58" s="64"/>
      <c r="U58" s="64"/>
      <c r="V58" s="64" t="s">
        <v>3774</v>
      </c>
      <c r="W58" s="71"/>
      <c r="X58" s="71"/>
      <c r="Y58" s="71"/>
      <c r="Z58" s="70"/>
      <c r="AA58" s="72"/>
      <c r="AB58" s="64"/>
      <c r="AC58" s="64"/>
      <c r="AD58" s="175"/>
      <c r="AE58" s="71"/>
      <c r="AF58" s="71"/>
      <c r="AG58" s="71"/>
      <c r="AH58" s="71"/>
      <c r="AI58" s="71"/>
      <c r="AJ58" s="69"/>
      <c r="AK58" s="71"/>
      <c r="AL58" s="71"/>
      <c r="AM58" s="69" t="str">
        <f t="shared" si="0"/>
        <v>PEuro 6d-FullTurbo Diesel1.5L dCi115 ch4 cylindresB.V. manuelle à 6 rapports Av. + 1 Ar.Batterie : 70 AhAlternateur : 230 AVehicule non bridée - PREM03</v>
      </c>
    </row>
    <row r="59" spans="1:43" ht="22.5" hidden="1" outlineLevel="1" x14ac:dyDescent="0.25">
      <c r="A59" s="64" t="s">
        <v>1157</v>
      </c>
      <c r="B59" s="64" t="s">
        <v>32</v>
      </c>
      <c r="C59" s="64" t="s">
        <v>2126</v>
      </c>
      <c r="D59" s="64" t="s">
        <v>2127</v>
      </c>
      <c r="E59" s="64" t="s">
        <v>2128</v>
      </c>
      <c r="F59" s="64" t="s">
        <v>2129</v>
      </c>
      <c r="G59" s="64" t="s">
        <v>2130</v>
      </c>
      <c r="H59" s="64" t="s">
        <v>2131</v>
      </c>
      <c r="I59" s="64"/>
      <c r="J59" s="64" t="s">
        <v>2132</v>
      </c>
      <c r="K59" s="64" t="s">
        <v>2133</v>
      </c>
      <c r="L59" s="64" t="s">
        <v>2134</v>
      </c>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9" t="str">
        <f t="shared" ref="AM59:AM120" si="1">CONCATENATE(B59,C59,D59,E59,F59,G59,H59,I59,J59,K59,L59,M59,N59,O59,P59,Q59,R59,S59,T59,U59,V59,W59,X59,Y59,Z59,AA59,AB59,AC59,AD59,AE59,AF59,AG59,AH59,AI59,AJ59,AK59,AL59)</f>
        <v>PEuro 6eTurbo Diesel1,5L HDI100 ch4 cylindresB.V. manuelle à 6 rapports Av. + 1 Ar.Batterie : 70 AhAlternateur : 220 A</v>
      </c>
    </row>
    <row r="60" spans="1:43" ht="22.5" hidden="1" outlineLevel="1" x14ac:dyDescent="0.25">
      <c r="A60" s="64" t="s">
        <v>1163</v>
      </c>
      <c r="B60" s="64" t="s">
        <v>32</v>
      </c>
      <c r="C60" s="64" t="s">
        <v>2126</v>
      </c>
      <c r="D60" s="64" t="s">
        <v>2127</v>
      </c>
      <c r="E60" s="64" t="s">
        <v>2128</v>
      </c>
      <c r="F60" s="64" t="s">
        <v>2129</v>
      </c>
      <c r="G60" s="64" t="s">
        <v>2135</v>
      </c>
      <c r="H60" s="64" t="s">
        <v>2131</v>
      </c>
      <c r="I60" s="64"/>
      <c r="J60" s="64" t="s">
        <v>2132</v>
      </c>
      <c r="K60" s="64" t="s">
        <v>2133</v>
      </c>
      <c r="L60" s="64" t="s">
        <v>2134</v>
      </c>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9" t="str">
        <f t="shared" si="1"/>
        <v>PEuro 6eTurbo Diesel1,5L HDI130 ch4 cylindresB.V. manuelle à 6 rapports Av. + 1 Ar.Batterie : 70 AhAlternateur : 220 A</v>
      </c>
    </row>
    <row r="61" spans="1:43" ht="22.5" hidden="1" outlineLevel="1" x14ac:dyDescent="0.25">
      <c r="A61" s="64" t="s">
        <v>1165</v>
      </c>
      <c r="B61" s="64" t="s">
        <v>32</v>
      </c>
      <c r="C61" s="64" t="s">
        <v>2126</v>
      </c>
      <c r="D61" s="64" t="s">
        <v>2127</v>
      </c>
      <c r="E61" s="64" t="s">
        <v>2128</v>
      </c>
      <c r="F61" s="64" t="s">
        <v>2129</v>
      </c>
      <c r="G61" s="64" t="s">
        <v>2135</v>
      </c>
      <c r="H61" s="64" t="s">
        <v>2131</v>
      </c>
      <c r="I61" s="64"/>
      <c r="J61" s="64" t="s">
        <v>2136</v>
      </c>
      <c r="K61" s="64" t="s">
        <v>2133</v>
      </c>
      <c r="L61" s="64" t="s">
        <v>2134</v>
      </c>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9" t="str">
        <f t="shared" si="1"/>
        <v>PEuro 6eTurbo Diesel1,5L HDI130 ch4 cylindresB.V. Automatique EAT8 à 8 rapports Av. + 1 Ar.Batterie : 70 AhAlternateur : 220 A</v>
      </c>
    </row>
    <row r="62" spans="1:43" ht="33.75" hidden="1" outlineLevel="1" x14ac:dyDescent="0.25">
      <c r="A62" s="64" t="s">
        <v>1176</v>
      </c>
      <c r="B62" s="64" t="s">
        <v>32</v>
      </c>
      <c r="C62" s="64"/>
      <c r="D62" s="64" t="s">
        <v>2137</v>
      </c>
      <c r="E62" s="64"/>
      <c r="F62" s="64" t="s">
        <v>2138</v>
      </c>
      <c r="G62" s="64" t="s">
        <v>2139</v>
      </c>
      <c r="H62" s="64"/>
      <c r="I62" s="64"/>
      <c r="J62" s="64" t="s">
        <v>2140</v>
      </c>
      <c r="K62" s="64"/>
      <c r="L62" s="64"/>
      <c r="M62" s="64"/>
      <c r="N62" s="64"/>
      <c r="O62" s="64"/>
      <c r="P62" s="64"/>
      <c r="Q62" s="64"/>
      <c r="R62" s="64"/>
      <c r="S62" s="64" t="s">
        <v>2141</v>
      </c>
      <c r="T62" s="64" t="s">
        <v>2142</v>
      </c>
      <c r="U62" s="64" t="s">
        <v>2143</v>
      </c>
      <c r="V62" s="64" t="s">
        <v>2144</v>
      </c>
      <c r="W62" s="64"/>
      <c r="X62" s="64"/>
      <c r="Y62" s="64"/>
      <c r="Z62" s="72" t="s">
        <v>430</v>
      </c>
      <c r="AA62" s="72" t="s">
        <v>2145</v>
      </c>
      <c r="AB62" s="64"/>
      <c r="AC62" s="64"/>
      <c r="AD62" s="175"/>
      <c r="AE62" s="64"/>
      <c r="AF62" s="64"/>
      <c r="AG62" s="64"/>
      <c r="AH62" s="64"/>
      <c r="AI62" s="64"/>
      <c r="AJ62" s="69"/>
      <c r="AK62" s="64"/>
      <c r="AL62" s="64"/>
      <c r="AM62" s="69" t="str">
        <f t="shared" si="1"/>
        <v xml:space="preserve">PElectrique100 kW(136 ch)B.V. automatique à 1 rapport Av. + 1 Ar.Batterie 54 kWhChargeur 11 kW AC et 100 kW en DC embarqué avec prise type 2Freinage à récupération d'énergieVitesse maxi : 130 km/h_1 Câble de charge « Smart Câble » </v>
      </c>
    </row>
    <row r="63" spans="1:43" s="96" customFormat="1" ht="22.5" hidden="1" outlineLevel="1" x14ac:dyDescent="0.25">
      <c r="A63" s="64" t="s">
        <v>1189</v>
      </c>
      <c r="B63" s="64" t="s">
        <v>32</v>
      </c>
      <c r="C63" s="64" t="s">
        <v>2146</v>
      </c>
      <c r="D63" s="64" t="s">
        <v>2127</v>
      </c>
      <c r="E63" s="64" t="s">
        <v>2147</v>
      </c>
      <c r="F63" s="64" t="s">
        <v>2148</v>
      </c>
      <c r="G63" s="64" t="s">
        <v>2149</v>
      </c>
      <c r="H63" s="64" t="s">
        <v>2131</v>
      </c>
      <c r="I63" s="64"/>
      <c r="J63" s="64" t="s">
        <v>2132</v>
      </c>
      <c r="K63" s="64"/>
      <c r="L63" s="64"/>
      <c r="M63" s="64"/>
      <c r="N63" s="64"/>
      <c r="O63" s="64"/>
      <c r="P63" s="64"/>
      <c r="Q63" s="64"/>
      <c r="R63" s="64"/>
      <c r="S63" s="64"/>
      <c r="T63" s="64"/>
      <c r="U63" s="64"/>
      <c r="V63" s="64"/>
      <c r="W63" s="64"/>
      <c r="X63" s="64"/>
      <c r="Y63" s="64"/>
      <c r="Z63" s="72"/>
      <c r="AA63" s="64"/>
      <c r="AB63" s="64"/>
      <c r="AC63" s="64"/>
      <c r="AD63" s="64"/>
      <c r="AE63" s="64"/>
      <c r="AF63" s="72"/>
      <c r="AG63" s="64"/>
      <c r="AH63" s="64"/>
      <c r="AI63" s="64"/>
      <c r="AJ63" s="69"/>
      <c r="AK63" s="64"/>
      <c r="AL63" s="64"/>
      <c r="AM63" s="69" t="str">
        <f t="shared" si="1"/>
        <v>PEuro 6e-bisTurbo Diesel2,2L Multijet150 ch4 cylindresB.V. manuelle à 6 rapports Av. + 1 Ar.</v>
      </c>
      <c r="AQ63" s="67"/>
    </row>
    <row r="64" spans="1:43" ht="22.5" hidden="1" outlineLevel="1" x14ac:dyDescent="0.25">
      <c r="A64" s="64" t="s">
        <v>1198</v>
      </c>
      <c r="B64" s="64" t="s">
        <v>32</v>
      </c>
      <c r="C64" s="64" t="s">
        <v>2146</v>
      </c>
      <c r="D64" s="64" t="s">
        <v>2127</v>
      </c>
      <c r="E64" s="64" t="s">
        <v>2147</v>
      </c>
      <c r="F64" s="64" t="s">
        <v>2148</v>
      </c>
      <c r="G64" s="64" t="s">
        <v>2149</v>
      </c>
      <c r="H64" s="64" t="s">
        <v>2131</v>
      </c>
      <c r="I64" s="64"/>
      <c r="J64" s="64" t="s">
        <v>2136</v>
      </c>
      <c r="K64" s="64"/>
      <c r="L64" s="64"/>
      <c r="M64" s="64"/>
      <c r="N64" s="64"/>
      <c r="O64" s="64"/>
      <c r="P64" s="64"/>
      <c r="Q64" s="64"/>
      <c r="R64" s="64"/>
      <c r="S64" s="64"/>
      <c r="T64" s="64"/>
      <c r="U64" s="64"/>
      <c r="V64" s="64"/>
      <c r="W64" s="64"/>
      <c r="X64" s="64"/>
      <c r="Y64" s="64"/>
      <c r="Z64" s="72"/>
      <c r="AA64" s="64"/>
      <c r="AB64" s="64"/>
      <c r="AC64" s="64"/>
      <c r="AD64" s="64"/>
      <c r="AE64" s="64"/>
      <c r="AF64" s="72"/>
      <c r="AG64" s="64"/>
      <c r="AH64" s="64"/>
      <c r="AI64" s="64"/>
      <c r="AJ64" s="69"/>
      <c r="AK64" s="64"/>
      <c r="AL64" s="64"/>
      <c r="AM64" s="69" t="str">
        <f t="shared" si="1"/>
        <v>PEuro 6e-bisTurbo Diesel2,2L Multijet150 ch4 cylindresB.V. Automatique EAT8 à 8 rapports Av. + 1 Ar.</v>
      </c>
    </row>
    <row r="65" spans="1:43" ht="33.75" hidden="1" outlineLevel="1" x14ac:dyDescent="0.25">
      <c r="A65" s="64" t="s">
        <v>1211</v>
      </c>
      <c r="B65" s="64" t="s">
        <v>32</v>
      </c>
      <c r="C65" s="64"/>
      <c r="D65" s="64" t="s">
        <v>2137</v>
      </c>
      <c r="E65" s="64"/>
      <c r="F65" s="64" t="s">
        <v>2138</v>
      </c>
      <c r="G65" s="64" t="s">
        <v>2139</v>
      </c>
      <c r="H65" s="64"/>
      <c r="I65" s="64"/>
      <c r="J65" s="64" t="s">
        <v>2140</v>
      </c>
      <c r="K65" s="64"/>
      <c r="L65" s="64"/>
      <c r="M65" s="64"/>
      <c r="N65" s="64"/>
      <c r="O65" s="64"/>
      <c r="P65" s="64"/>
      <c r="Q65" s="64"/>
      <c r="R65" s="64"/>
      <c r="S65" s="64" t="s">
        <v>2150</v>
      </c>
      <c r="T65" s="64" t="s">
        <v>2142</v>
      </c>
      <c r="U65" s="64" t="s">
        <v>2143</v>
      </c>
      <c r="V65" s="64" t="s">
        <v>2144</v>
      </c>
      <c r="W65" s="64"/>
      <c r="X65" s="64"/>
      <c r="Y65" s="64"/>
      <c r="Z65" s="72" t="s">
        <v>430</v>
      </c>
      <c r="AA65" s="72" t="s">
        <v>2145</v>
      </c>
      <c r="AB65" s="64"/>
      <c r="AC65" s="64"/>
      <c r="AD65" s="175"/>
      <c r="AE65" s="64"/>
      <c r="AF65" s="72"/>
      <c r="AG65" s="64"/>
      <c r="AH65" s="64"/>
      <c r="AI65" s="64"/>
      <c r="AJ65" s="69"/>
      <c r="AK65" s="64"/>
      <c r="AL65" s="64"/>
      <c r="AM65" s="69" t="str">
        <f t="shared" si="1"/>
        <v xml:space="preserve">PElectrique100 kW(136 ch)B.V. automatique à 1 rapport Av. + 1 Ar.Batterie Lithium-ion 75 kWhChargeur 11 kW AC et 100 kW en DC embarqué avec prise type 2Freinage à récupération d'énergieVitesse maxi : 130 km/h_1 Câble de charge « Smart Câble » </v>
      </c>
    </row>
    <row r="66" spans="1:43" ht="22.5" hidden="1" outlineLevel="1" x14ac:dyDescent="0.25">
      <c r="A66" s="69" t="s">
        <v>1230</v>
      </c>
      <c r="B66" s="69" t="s">
        <v>32</v>
      </c>
      <c r="C66" s="69" t="s">
        <v>2126</v>
      </c>
      <c r="D66" s="69" t="s">
        <v>2127</v>
      </c>
      <c r="E66" s="69" t="s">
        <v>2147</v>
      </c>
      <c r="F66" s="69" t="s">
        <v>2151</v>
      </c>
      <c r="G66" s="69" t="s">
        <v>2152</v>
      </c>
      <c r="H66" s="69" t="s">
        <v>2131</v>
      </c>
      <c r="I66" s="69"/>
      <c r="J66" s="69" t="s">
        <v>2132</v>
      </c>
      <c r="K66" s="69" t="s">
        <v>2153</v>
      </c>
      <c r="L66" s="69" t="s">
        <v>2134</v>
      </c>
      <c r="M66" s="69"/>
      <c r="N66" s="69"/>
      <c r="O66" s="69"/>
      <c r="P66" s="69"/>
      <c r="Q66" s="69"/>
      <c r="R66" s="69"/>
      <c r="S66" s="69"/>
      <c r="T66" s="69"/>
      <c r="U66" s="69"/>
      <c r="V66" s="69"/>
      <c r="W66" s="69"/>
      <c r="X66" s="69"/>
      <c r="Y66" s="69"/>
      <c r="Z66" s="72"/>
      <c r="AA66" s="69"/>
      <c r="AB66" s="69"/>
      <c r="AC66" s="64"/>
      <c r="AD66" s="69"/>
      <c r="AE66" s="69"/>
      <c r="AF66" s="72"/>
      <c r="AG66" s="72"/>
      <c r="AH66" s="69"/>
      <c r="AI66" s="69"/>
      <c r="AJ66" s="69"/>
      <c r="AK66" s="69"/>
      <c r="AL66" s="64"/>
      <c r="AM66" s="69" t="str">
        <f t="shared" si="1"/>
        <v>PEuro 6eTurbo Diesel2,2L H3-POWER140 ch4 cylindresB.V. manuelle à 6 rapports Av. + 1 Ar.Batterie : 105 AhAlternateur : 220 A</v>
      </c>
    </row>
    <row r="67" spans="1:43" s="96" customFormat="1" ht="22.5" hidden="1" outlineLevel="1" x14ac:dyDescent="0.25">
      <c r="A67" s="69" t="s">
        <v>1241</v>
      </c>
      <c r="B67" s="69" t="s">
        <v>32</v>
      </c>
      <c r="C67" s="69" t="s">
        <v>2126</v>
      </c>
      <c r="D67" s="69" t="s">
        <v>2127</v>
      </c>
      <c r="E67" s="69" t="s">
        <v>2147</v>
      </c>
      <c r="F67" s="69" t="s">
        <v>2151</v>
      </c>
      <c r="G67" s="69" t="s">
        <v>2154</v>
      </c>
      <c r="H67" s="69" t="s">
        <v>2131</v>
      </c>
      <c r="I67" s="69"/>
      <c r="J67" s="69" t="s">
        <v>2132</v>
      </c>
      <c r="K67" s="69" t="s">
        <v>2153</v>
      </c>
      <c r="L67" s="69" t="s">
        <v>2134</v>
      </c>
      <c r="M67" s="69"/>
      <c r="N67" s="69"/>
      <c r="O67" s="69"/>
      <c r="P67" s="69"/>
      <c r="Q67" s="69"/>
      <c r="R67" s="69"/>
      <c r="S67" s="69"/>
      <c r="T67" s="69"/>
      <c r="U67" s="69"/>
      <c r="V67" s="69"/>
      <c r="W67" s="69"/>
      <c r="X67" s="69"/>
      <c r="Y67" s="69"/>
      <c r="Z67" s="72"/>
      <c r="AA67" s="69"/>
      <c r="AB67" s="69"/>
      <c r="AC67" s="64"/>
      <c r="AD67" s="69"/>
      <c r="AE67" s="69"/>
      <c r="AF67" s="72"/>
      <c r="AG67" s="72"/>
      <c r="AH67" s="69"/>
      <c r="AI67" s="69"/>
      <c r="AJ67" s="69"/>
      <c r="AK67" s="69"/>
      <c r="AL67" s="64"/>
      <c r="AM67" s="69" t="str">
        <f t="shared" si="1"/>
        <v>PEuro 6eTurbo Diesel2,2L H3-POWER180 ch4 cylindresB.V. manuelle à 6 rapports Av. + 1 Ar.Batterie : 105 AhAlternateur : 220 A</v>
      </c>
      <c r="AQ67" s="67"/>
    </row>
    <row r="68" spans="1:43" s="96" customFormat="1" ht="22.5" hidden="1" outlineLevel="1" x14ac:dyDescent="0.25">
      <c r="A68" s="69" t="s">
        <v>1264</v>
      </c>
      <c r="B68" s="69" t="s">
        <v>32</v>
      </c>
      <c r="C68" s="69" t="s">
        <v>2155</v>
      </c>
      <c r="D68" s="69" t="s">
        <v>2127</v>
      </c>
      <c r="E68" s="69" t="s">
        <v>2147</v>
      </c>
      <c r="F68" s="69" t="s">
        <v>2151</v>
      </c>
      <c r="G68" s="69" t="s">
        <v>2156</v>
      </c>
      <c r="H68" s="69" t="s">
        <v>2131</v>
      </c>
      <c r="I68" s="69"/>
      <c r="J68" s="69" t="s">
        <v>2132</v>
      </c>
      <c r="K68" s="69" t="s">
        <v>2153</v>
      </c>
      <c r="L68" s="69" t="s">
        <v>2134</v>
      </c>
      <c r="M68" s="69"/>
      <c r="N68" s="69"/>
      <c r="O68" s="69"/>
      <c r="P68" s="69"/>
      <c r="Q68" s="69"/>
      <c r="R68" s="69"/>
      <c r="S68" s="69"/>
      <c r="T68" s="69"/>
      <c r="U68" s="69"/>
      <c r="V68" s="69"/>
      <c r="W68" s="69"/>
      <c r="X68" s="69"/>
      <c r="Y68" s="69"/>
      <c r="Z68" s="72"/>
      <c r="AA68" s="69"/>
      <c r="AB68" s="69"/>
      <c r="AC68" s="64"/>
      <c r="AD68" s="69"/>
      <c r="AE68" s="69"/>
      <c r="AF68" s="72"/>
      <c r="AG68" s="72"/>
      <c r="AH68" s="69"/>
      <c r="AI68" s="69"/>
      <c r="AJ68" s="69"/>
      <c r="AK68" s="69"/>
      <c r="AL68" s="64"/>
      <c r="AM68" s="69" t="str">
        <f t="shared" si="1"/>
        <v>PEuro 6e MaxiTurbo Diesel2,2L H3-POWER180 ch Maxi4 cylindresB.V. manuelle à 6 rapports Av. + 1 Ar.Batterie : 105 AhAlternateur : 220 A</v>
      </c>
      <c r="AQ68" s="67"/>
    </row>
    <row r="69" spans="1:43" ht="22.5" hidden="1" outlineLevel="1" x14ac:dyDescent="0.25">
      <c r="A69" s="69" t="s">
        <v>1239</v>
      </c>
      <c r="B69" s="64" t="s">
        <v>32</v>
      </c>
      <c r="C69" s="69" t="s">
        <v>2126</v>
      </c>
      <c r="D69" s="69" t="s">
        <v>2127</v>
      </c>
      <c r="E69" s="69" t="s">
        <v>2147</v>
      </c>
      <c r="F69" s="69" t="s">
        <v>2151</v>
      </c>
      <c r="G69" s="69" t="s">
        <v>2152</v>
      </c>
      <c r="H69" s="69" t="s">
        <v>2131</v>
      </c>
      <c r="I69" s="69"/>
      <c r="J69" s="69" t="s">
        <v>2157</v>
      </c>
      <c r="K69" s="69" t="s">
        <v>2153</v>
      </c>
      <c r="L69" s="69" t="s">
        <v>2134</v>
      </c>
      <c r="M69" s="69"/>
      <c r="N69" s="69"/>
      <c r="O69" s="69"/>
      <c r="P69" s="69"/>
      <c r="Q69" s="69"/>
      <c r="R69" s="69"/>
      <c r="S69" s="69"/>
      <c r="T69" s="69"/>
      <c r="U69" s="69"/>
      <c r="V69" s="69"/>
      <c r="W69" s="69"/>
      <c r="X69" s="69"/>
      <c r="Y69" s="69"/>
      <c r="Z69" s="72"/>
      <c r="AA69" s="69"/>
      <c r="AB69" s="69"/>
      <c r="AC69" s="64"/>
      <c r="AD69" s="69"/>
      <c r="AE69" s="69"/>
      <c r="AF69" s="69"/>
      <c r="AG69" s="69"/>
      <c r="AH69" s="69"/>
      <c r="AI69" s="69"/>
      <c r="AJ69" s="69"/>
      <c r="AK69" s="64"/>
      <c r="AL69" s="69"/>
      <c r="AM69" s="69" t="str">
        <f t="shared" si="1"/>
        <v>PEuro 6eTurbo Diesel2,2L H3-POWER140 ch4 cylindresB.V. automatique AT8 à 8 rapports Av. + 1 Ar.Batterie : 105 AhAlternateur : 220 A</v>
      </c>
    </row>
    <row r="70" spans="1:43" s="96" customFormat="1" ht="22.5" hidden="1" outlineLevel="1" x14ac:dyDescent="0.25">
      <c r="A70" s="69" t="s">
        <v>1243</v>
      </c>
      <c r="B70" s="64" t="s">
        <v>32</v>
      </c>
      <c r="C70" s="69" t="s">
        <v>2126</v>
      </c>
      <c r="D70" s="69" t="s">
        <v>2127</v>
      </c>
      <c r="E70" s="69" t="s">
        <v>2147</v>
      </c>
      <c r="F70" s="69" t="s">
        <v>2151</v>
      </c>
      <c r="G70" s="69" t="s">
        <v>2158</v>
      </c>
      <c r="H70" s="69" t="s">
        <v>2131</v>
      </c>
      <c r="I70" s="69"/>
      <c r="J70" s="69" t="s">
        <v>2157</v>
      </c>
      <c r="K70" s="69" t="s">
        <v>2153</v>
      </c>
      <c r="L70" s="69" t="s">
        <v>2134</v>
      </c>
      <c r="M70" s="69"/>
      <c r="N70" s="69"/>
      <c r="O70" s="69"/>
      <c r="P70" s="69"/>
      <c r="Q70" s="69"/>
      <c r="R70" s="69"/>
      <c r="S70" s="69"/>
      <c r="T70" s="69"/>
      <c r="U70" s="69"/>
      <c r="V70" s="69"/>
      <c r="W70" s="69"/>
      <c r="X70" s="69"/>
      <c r="Y70" s="69"/>
      <c r="Z70" s="72"/>
      <c r="AA70" s="69"/>
      <c r="AB70" s="69"/>
      <c r="AC70" s="64"/>
      <c r="AD70" s="69"/>
      <c r="AE70" s="69"/>
      <c r="AF70" s="69"/>
      <c r="AG70" s="69"/>
      <c r="AH70" s="69"/>
      <c r="AI70" s="69"/>
      <c r="AJ70" s="69"/>
      <c r="AK70" s="64"/>
      <c r="AL70" s="69"/>
      <c r="AM70" s="69" t="str">
        <f t="shared" si="1"/>
        <v>PEuro 6eTurbo Diesel2,2L H3-POWER180 ch 4 cylindresB.V. automatique AT8 à 8 rapports Av. + 1 Ar.Batterie : 105 AhAlternateur : 220 A</v>
      </c>
      <c r="AQ70" s="67"/>
    </row>
    <row r="71" spans="1:43" s="96" customFormat="1" ht="22.5" hidden="1" outlineLevel="1" x14ac:dyDescent="0.25">
      <c r="A71" s="69" t="s">
        <v>1266</v>
      </c>
      <c r="B71" s="64" t="s">
        <v>32</v>
      </c>
      <c r="C71" s="69" t="s">
        <v>2155</v>
      </c>
      <c r="D71" s="69" t="s">
        <v>2127</v>
      </c>
      <c r="E71" s="69" t="s">
        <v>2147</v>
      </c>
      <c r="F71" s="69" t="s">
        <v>2151</v>
      </c>
      <c r="G71" s="69" t="s">
        <v>2156</v>
      </c>
      <c r="H71" s="69" t="s">
        <v>2131</v>
      </c>
      <c r="I71" s="69"/>
      <c r="J71" s="69" t="s">
        <v>2157</v>
      </c>
      <c r="K71" s="69" t="s">
        <v>2153</v>
      </c>
      <c r="L71" s="69" t="s">
        <v>2134</v>
      </c>
      <c r="M71" s="69"/>
      <c r="N71" s="69"/>
      <c r="O71" s="69"/>
      <c r="P71" s="69"/>
      <c r="Q71" s="69"/>
      <c r="R71" s="69"/>
      <c r="S71" s="69"/>
      <c r="T71" s="69"/>
      <c r="U71" s="69"/>
      <c r="V71" s="69"/>
      <c r="W71" s="69"/>
      <c r="X71" s="69"/>
      <c r="Y71" s="69"/>
      <c r="Z71" s="72"/>
      <c r="AA71" s="69"/>
      <c r="AB71" s="69"/>
      <c r="AC71" s="64"/>
      <c r="AD71" s="69"/>
      <c r="AE71" s="69"/>
      <c r="AF71" s="69"/>
      <c r="AG71" s="69"/>
      <c r="AH71" s="69"/>
      <c r="AI71" s="69"/>
      <c r="AJ71" s="69"/>
      <c r="AK71" s="64"/>
      <c r="AL71" s="69"/>
      <c r="AM71" s="69" t="str">
        <f t="shared" si="1"/>
        <v>PEuro 6e MaxiTurbo Diesel2,2L H3-POWER180 ch Maxi4 cylindresB.V. automatique AT8 à 8 rapports Av. + 1 Ar.Batterie : 105 AhAlternateur : 220 A</v>
      </c>
      <c r="AQ71" s="67"/>
    </row>
    <row r="72" spans="1:43" ht="56.25" hidden="1" outlineLevel="1" x14ac:dyDescent="0.25">
      <c r="A72" s="64" t="s">
        <v>1322</v>
      </c>
      <c r="B72" s="64" t="s">
        <v>32</v>
      </c>
      <c r="C72" s="176" t="s">
        <v>2159</v>
      </c>
      <c r="D72" s="64" t="s">
        <v>2127</v>
      </c>
      <c r="E72" s="64" t="s">
        <v>2164</v>
      </c>
      <c r="F72" s="64" t="s">
        <v>2161</v>
      </c>
      <c r="G72" s="64" t="s">
        <v>2165</v>
      </c>
      <c r="H72" s="64" t="s">
        <v>2131</v>
      </c>
      <c r="I72" s="64"/>
      <c r="J72" s="64" t="s">
        <v>2162</v>
      </c>
      <c r="K72" s="64" t="s">
        <v>2153</v>
      </c>
      <c r="L72" s="64" t="s">
        <v>2134</v>
      </c>
      <c r="M72" s="64"/>
      <c r="N72" s="64"/>
      <c r="O72" s="64"/>
      <c r="P72" s="64"/>
      <c r="Q72" s="64"/>
      <c r="R72" s="64"/>
      <c r="S72" s="64"/>
      <c r="T72" s="64"/>
      <c r="U72" s="64"/>
      <c r="V72" s="64" t="s">
        <v>578</v>
      </c>
      <c r="W72" s="64"/>
      <c r="X72" s="64"/>
      <c r="Y72" s="64"/>
      <c r="Z72" s="72"/>
      <c r="AA72" s="72"/>
      <c r="AB72" s="64"/>
      <c r="AC72" s="64"/>
      <c r="AD72" s="64"/>
      <c r="AE72" s="64"/>
      <c r="AF72" s="72"/>
      <c r="AG72" s="72"/>
      <c r="AH72" s="64"/>
      <c r="AI72" s="64"/>
      <c r="AJ72" s="64"/>
      <c r="AK72" s="64"/>
      <c r="AL72" s="64"/>
      <c r="AM72" s="69" t="str">
        <f t="shared" si="1"/>
        <v>PEURO VI-ETurbo Diesel2,3L-HDMPI 136 ch4 cylindresB.V. Hi-Matic (auto) à 8 rapports Av. + 1 Ar.Batterie : 105 AhAlternateur : 220 AAttention : Vitesse limitée à 90 km/h en mode ECO à la mise en route du moteur (désactivable sur le levier de vitesse)</v>
      </c>
    </row>
    <row r="73" spans="1:43" ht="56.25" hidden="1" outlineLevel="1" x14ac:dyDescent="0.25">
      <c r="A73" s="64" t="s">
        <v>1337</v>
      </c>
      <c r="B73" s="64" t="s">
        <v>32</v>
      </c>
      <c r="C73" s="69" t="s">
        <v>2159</v>
      </c>
      <c r="D73" s="64" t="s">
        <v>2127</v>
      </c>
      <c r="E73" s="64" t="s">
        <v>2164</v>
      </c>
      <c r="F73" s="64" t="s">
        <v>2167</v>
      </c>
      <c r="G73" s="64" t="s">
        <v>2166</v>
      </c>
      <c r="H73" s="64" t="s">
        <v>2131</v>
      </c>
      <c r="I73" s="64"/>
      <c r="J73" s="64" t="s">
        <v>2162</v>
      </c>
      <c r="K73" s="64" t="s">
        <v>2153</v>
      </c>
      <c r="L73" s="64" t="s">
        <v>2134</v>
      </c>
      <c r="M73" s="64"/>
      <c r="N73" s="64"/>
      <c r="O73" s="64"/>
      <c r="P73" s="64"/>
      <c r="Q73" s="64"/>
      <c r="R73" s="64"/>
      <c r="S73" s="64"/>
      <c r="T73" s="64"/>
      <c r="U73" s="64"/>
      <c r="V73" s="64" t="s">
        <v>578</v>
      </c>
      <c r="W73" s="64"/>
      <c r="X73" s="64"/>
      <c r="Y73" s="64"/>
      <c r="Z73" s="72"/>
      <c r="AA73" s="72"/>
      <c r="AB73" s="64"/>
      <c r="AC73" s="64"/>
      <c r="AD73" s="64"/>
      <c r="AE73" s="64"/>
      <c r="AF73" s="64"/>
      <c r="AG73" s="64"/>
      <c r="AH73" s="64"/>
      <c r="AI73" s="64"/>
      <c r="AJ73" s="64"/>
      <c r="AK73" s="64"/>
      <c r="AL73" s="64"/>
      <c r="AM73" s="69" t="str">
        <f>CONCATENATE(B73,C73,D73,E73,F73,G73,H73,I73,J73,K73,L73,M73,N73,O73,P73,Q73,R73,S73,T73,U73,V73,W73,X73,Y73,Z73,AA73,AB73,AC73,AD73,AE73,AF73,AG73,AH73,AI73,AJ73,AK73,AL73)</f>
        <v>PEURO VI-ETurbo Diesel2,3L-HDHPI 156 ch4 cylindresB.V. Hi-Matic (auto) à 8 rapports Av. + 1 Ar.Batterie : 105 AhAlternateur : 220 AAttention : Vitesse limitée à 90 km/h en mode ECO à la mise en route du moteur (désactivable sur le levier de vitesse)</v>
      </c>
    </row>
    <row r="74" spans="1:43" ht="22.5" hidden="1" outlineLevel="1" x14ac:dyDescent="0.25">
      <c r="A74" s="64" t="s">
        <v>1275</v>
      </c>
      <c r="B74" s="64" t="s">
        <v>32</v>
      </c>
      <c r="C74" s="69" t="s">
        <v>2159</v>
      </c>
      <c r="D74" s="64" t="s">
        <v>2127</v>
      </c>
      <c r="E74" s="64" t="s">
        <v>2164</v>
      </c>
      <c r="F74" s="64" t="s">
        <v>2161</v>
      </c>
      <c r="G74" s="64" t="s">
        <v>2165</v>
      </c>
      <c r="H74" s="64" t="s">
        <v>2131</v>
      </c>
      <c r="I74" s="64"/>
      <c r="J74" s="64" t="s">
        <v>2162</v>
      </c>
      <c r="K74" s="64" t="s">
        <v>2153</v>
      </c>
      <c r="L74" s="64" t="s">
        <v>2134</v>
      </c>
      <c r="M74" s="64"/>
      <c r="N74" s="64"/>
      <c r="O74" s="64"/>
      <c r="P74" s="64"/>
      <c r="Q74" s="64"/>
      <c r="R74" s="64"/>
      <c r="S74" s="64"/>
      <c r="T74" s="64"/>
      <c r="U74" s="64"/>
      <c r="V74" s="64"/>
      <c r="W74" s="64"/>
      <c r="X74" s="64"/>
      <c r="Y74" s="64"/>
      <c r="Z74" s="72"/>
      <c r="AA74" s="72"/>
      <c r="AB74" s="64"/>
      <c r="AC74" s="64"/>
      <c r="AD74" s="64"/>
      <c r="AE74" s="64"/>
      <c r="AF74" s="72"/>
      <c r="AG74" s="72"/>
      <c r="AH74" s="64"/>
      <c r="AI74" s="64"/>
      <c r="AJ74" s="69"/>
      <c r="AK74" s="64"/>
      <c r="AL74" s="64"/>
      <c r="AM74" s="69" t="str">
        <f>CONCATENATE(B74,C74,D74,E74,F74,G74,H74,I74,J74,K74,L74,M74,N74,O74,P74,Q74,R74,S74,T74,U74,V74,W74,X74,Y74,Z74,AA74,AB74,AC74,AD74,AE74,AF74,AG74,AH74,AI74,AJ74,AK74,AL74)</f>
        <v>PEURO VI-ETurbo Diesel2,3L-HDMPI 136 ch4 cylindresB.V. Hi-Matic (auto) à 8 rapports Av. + 1 Ar.Batterie : 105 AhAlternateur : 220 A</v>
      </c>
    </row>
    <row r="75" spans="1:43" ht="22.5" hidden="1" outlineLevel="1" x14ac:dyDescent="0.25">
      <c r="A75" s="64" t="s">
        <v>1315</v>
      </c>
      <c r="B75" s="64" t="s">
        <v>32</v>
      </c>
      <c r="C75" s="69" t="s">
        <v>2159</v>
      </c>
      <c r="D75" s="64" t="s">
        <v>2127</v>
      </c>
      <c r="E75" s="64" t="s">
        <v>2164</v>
      </c>
      <c r="F75" s="64" t="s">
        <v>2161</v>
      </c>
      <c r="G75" s="64" t="s">
        <v>2166</v>
      </c>
      <c r="H75" s="64" t="s">
        <v>2131</v>
      </c>
      <c r="I75" s="64"/>
      <c r="J75" s="64" t="s">
        <v>2162</v>
      </c>
      <c r="K75" s="64" t="s">
        <v>2153</v>
      </c>
      <c r="L75" s="64" t="s">
        <v>2134</v>
      </c>
      <c r="M75" s="64"/>
      <c r="N75" s="64"/>
      <c r="O75" s="64"/>
      <c r="P75" s="64"/>
      <c r="Q75" s="64"/>
      <c r="R75" s="64"/>
      <c r="S75" s="64"/>
      <c r="T75" s="64"/>
      <c r="U75" s="64"/>
      <c r="V75" s="64"/>
      <c r="W75" s="64"/>
      <c r="X75" s="64"/>
      <c r="Y75" s="64"/>
      <c r="Z75" s="72"/>
      <c r="AA75" s="72"/>
      <c r="AB75" s="64"/>
      <c r="AC75" s="64"/>
      <c r="AD75" s="64"/>
      <c r="AE75" s="64"/>
      <c r="AF75" s="64"/>
      <c r="AG75" s="64"/>
      <c r="AH75" s="64"/>
      <c r="AI75" s="64"/>
      <c r="AJ75" s="64"/>
      <c r="AK75" s="64"/>
      <c r="AL75" s="64"/>
      <c r="AM75" s="69" t="str">
        <f t="shared" si="1"/>
        <v>PEURO VI-ETurbo Diesel2,3L-HDMPI 156 ch4 cylindresB.V. Hi-Matic (auto) à 8 rapports Av. + 1 Ar.Batterie : 105 AhAlternateur : 220 A</v>
      </c>
    </row>
    <row r="76" spans="1:43" ht="22.5" hidden="1" outlineLevel="1" x14ac:dyDescent="0.25">
      <c r="A76" s="64" t="s">
        <v>1319</v>
      </c>
      <c r="B76" s="64" t="s">
        <v>32</v>
      </c>
      <c r="C76" s="69" t="s">
        <v>2159</v>
      </c>
      <c r="D76" s="64" t="s">
        <v>2127</v>
      </c>
      <c r="E76" s="64" t="s">
        <v>2160</v>
      </c>
      <c r="F76" s="64" t="s">
        <v>2161</v>
      </c>
      <c r="G76" s="64" t="s">
        <v>2168</v>
      </c>
      <c r="H76" s="64" t="s">
        <v>2131</v>
      </c>
      <c r="I76" s="64"/>
      <c r="J76" s="64" t="s">
        <v>2162</v>
      </c>
      <c r="K76" s="64" t="s">
        <v>2153</v>
      </c>
      <c r="L76" s="64" t="s">
        <v>2134</v>
      </c>
      <c r="M76" s="64"/>
      <c r="N76" s="64"/>
      <c r="O76" s="64"/>
      <c r="P76" s="64"/>
      <c r="Q76" s="64"/>
      <c r="R76" s="64"/>
      <c r="S76" s="64"/>
      <c r="T76" s="64"/>
      <c r="U76" s="64"/>
      <c r="V76" s="64"/>
      <c r="W76" s="64"/>
      <c r="X76" s="64"/>
      <c r="Y76" s="64"/>
      <c r="Z76" s="72"/>
      <c r="AA76" s="72"/>
      <c r="AB76" s="64"/>
      <c r="AC76" s="64"/>
      <c r="AD76" s="64"/>
      <c r="AE76" s="64"/>
      <c r="AF76" s="64"/>
      <c r="AG76" s="64"/>
      <c r="AH76" s="64"/>
      <c r="AI76" s="64"/>
      <c r="AJ76" s="64"/>
      <c r="AK76" s="64"/>
      <c r="AL76" s="64"/>
      <c r="AM76" s="69" t="str">
        <f t="shared" si="1"/>
        <v>PEURO VI-ETurbo Diesel3,0L-HDMPI 160 ch4 cylindresB.V. Hi-Matic (auto) à 8 rapports Av. + 1 Ar.Batterie : 105 AhAlternateur : 220 A</v>
      </c>
    </row>
    <row r="77" spans="1:43" ht="22.5" hidden="1" outlineLevel="1" x14ac:dyDescent="0.25">
      <c r="A77" s="64" t="s">
        <v>1375</v>
      </c>
      <c r="B77" s="64" t="s">
        <v>32</v>
      </c>
      <c r="C77" s="69" t="s">
        <v>2159</v>
      </c>
      <c r="D77" s="64" t="s">
        <v>2127</v>
      </c>
      <c r="E77" s="64" t="s">
        <v>2160</v>
      </c>
      <c r="F77" s="64" t="s">
        <v>2161</v>
      </c>
      <c r="G77" s="64" t="s">
        <v>2154</v>
      </c>
      <c r="H77" s="64" t="s">
        <v>2131</v>
      </c>
      <c r="I77" s="64"/>
      <c r="J77" s="64" t="s">
        <v>2162</v>
      </c>
      <c r="K77" s="64" t="s">
        <v>2153</v>
      </c>
      <c r="L77" s="64" t="s">
        <v>2134</v>
      </c>
      <c r="M77" s="64"/>
      <c r="N77" s="64"/>
      <c r="O77" s="64"/>
      <c r="P77" s="64"/>
      <c r="Q77" s="64"/>
      <c r="R77" s="64"/>
      <c r="S77" s="64"/>
      <c r="T77" s="64"/>
      <c r="U77" s="64"/>
      <c r="V77" s="64"/>
      <c r="W77" s="64"/>
      <c r="X77" s="64"/>
      <c r="Y77" s="64"/>
      <c r="Z77" s="72"/>
      <c r="AA77" s="72"/>
      <c r="AB77" s="64"/>
      <c r="AC77" s="64"/>
      <c r="AD77" s="64"/>
      <c r="AE77" s="64"/>
      <c r="AF77" s="64"/>
      <c r="AG77" s="64"/>
      <c r="AH77" s="64"/>
      <c r="AI77" s="64"/>
      <c r="AJ77" s="64"/>
      <c r="AK77" s="64"/>
      <c r="AL77" s="64"/>
      <c r="AM77" s="69" t="str">
        <f>CONCATENATE(B77,C77,D77,E77,F77,G77,H77,I77,J77,K77,L77,M77,N77,O77,P77,Q77,R77,S77,T77,U77,V77,W77,X77,Y77,Z77,AA77,AB77,AC77,AD77,AE77,AF77,AG77,AH77,AI77,AJ77,AK77,AL77)</f>
        <v>PEURO VI-ETurbo Diesel3,0L-HDMPI 180 ch4 cylindresB.V. Hi-Matic (auto) à 8 rapports Av. + 1 Ar.Batterie : 105 AhAlternateur : 220 A</v>
      </c>
    </row>
    <row r="78" spans="1:43" ht="22.5" hidden="1" outlineLevel="1" x14ac:dyDescent="0.25">
      <c r="A78" s="64" t="s">
        <v>1387</v>
      </c>
      <c r="B78" s="64" t="s">
        <v>32</v>
      </c>
      <c r="C78" s="69" t="s">
        <v>2159</v>
      </c>
      <c r="D78" s="64" t="s">
        <v>2127</v>
      </c>
      <c r="E78" s="64" t="s">
        <v>2160</v>
      </c>
      <c r="F78" s="64" t="s">
        <v>2161</v>
      </c>
      <c r="G78" s="64" t="s">
        <v>2163</v>
      </c>
      <c r="H78" s="64" t="s">
        <v>2131</v>
      </c>
      <c r="I78" s="64"/>
      <c r="J78" s="64" t="s">
        <v>2162</v>
      </c>
      <c r="K78" s="64" t="s">
        <v>2153</v>
      </c>
      <c r="L78" s="64" t="s">
        <v>2134</v>
      </c>
      <c r="M78" s="64"/>
      <c r="N78" s="64"/>
      <c r="O78" s="64"/>
      <c r="P78" s="64"/>
      <c r="Q78" s="64"/>
      <c r="R78" s="64"/>
      <c r="S78" s="64"/>
      <c r="T78" s="64"/>
      <c r="U78" s="64"/>
      <c r="V78" s="64"/>
      <c r="W78" s="64"/>
      <c r="X78" s="64"/>
      <c r="Y78" s="64"/>
      <c r="Z78" s="72"/>
      <c r="AA78" s="72"/>
      <c r="AB78" s="64"/>
      <c r="AC78" s="64"/>
      <c r="AD78" s="64"/>
      <c r="AE78" s="64"/>
      <c r="AF78" s="64"/>
      <c r="AG78" s="64"/>
      <c r="AH78" s="64"/>
      <c r="AI78" s="64"/>
      <c r="AJ78" s="64"/>
      <c r="AK78" s="64"/>
      <c r="AL78" s="64"/>
      <c r="AM78" s="69" t="str">
        <f>CONCATENATE(B78,C78,D78,E78,F78,G78,H78,I78,J78,K78,L78,M78,N78,O78,P78,Q78,R78,S78,T78,U78,V78,W78,X78,Y78,Z78,AA78,AB78,AC78,AD78,AE78,AF78,AG78,AH78,AI78,AJ78,AK78,AL78)</f>
        <v>PEURO VI-ETurbo Diesel3,0L-HDMPI 210 ch4 cylindresB.V. Hi-Matic (auto) à 8 rapports Av. + 1 Ar.Batterie : 105 AhAlternateur : 220 A</v>
      </c>
    </row>
    <row r="79" spans="1:43" ht="22.5" hidden="1" outlineLevel="1" x14ac:dyDescent="0.25">
      <c r="A79" s="64" t="s">
        <v>1402</v>
      </c>
      <c r="B79" s="64" t="s">
        <v>32</v>
      </c>
      <c r="C79" s="69" t="s">
        <v>2159</v>
      </c>
      <c r="D79" s="64" t="s">
        <v>2127</v>
      </c>
      <c r="E79" s="64"/>
      <c r="F79" s="64"/>
      <c r="G79" s="64" t="s">
        <v>2169</v>
      </c>
      <c r="H79" s="64" t="s">
        <v>2131</v>
      </c>
      <c r="I79" s="64" t="s">
        <v>2170</v>
      </c>
      <c r="J79" s="64" t="s">
        <v>2171</v>
      </c>
      <c r="K79" s="64" t="s">
        <v>2172</v>
      </c>
      <c r="L79" s="64" t="s">
        <v>2173</v>
      </c>
      <c r="M79" s="64" t="s">
        <v>426</v>
      </c>
      <c r="N79" s="64"/>
      <c r="O79" s="64"/>
      <c r="P79" s="64"/>
      <c r="Q79" s="64" t="s">
        <v>51</v>
      </c>
      <c r="R79" s="64" t="s">
        <v>2174</v>
      </c>
      <c r="S79" s="64"/>
      <c r="T79" s="64"/>
      <c r="U79" s="64"/>
      <c r="V79" s="64"/>
      <c r="W79" s="64"/>
      <c r="X79" s="64"/>
      <c r="Y79" s="64"/>
      <c r="Z79" s="72"/>
      <c r="AA79" s="72"/>
      <c r="AB79" s="64"/>
      <c r="AC79" s="64"/>
      <c r="AD79" s="64"/>
      <c r="AE79" s="64"/>
      <c r="AF79" s="64"/>
      <c r="AG79" s="64"/>
      <c r="AH79" s="64"/>
      <c r="AI79" s="64"/>
      <c r="AJ79" s="69"/>
      <c r="AK79" s="64"/>
      <c r="AL79" s="64"/>
      <c r="AM79" s="69" t="str">
        <f t="shared" si="1"/>
        <v>PEURO VI-ETurbo Diesel190 ch4 cylindres4485 cm3B.V. automatique à 8 rapports Av. + 1 Ar.Batterie : 143 AhAlternateur : 90 AFrein sur échappementSCRFAP à régénération continue</v>
      </c>
    </row>
    <row r="80" spans="1:43" ht="22.5" hidden="1" outlineLevel="1" x14ac:dyDescent="0.25">
      <c r="A80" s="64" t="s">
        <v>1419</v>
      </c>
      <c r="B80" s="64" t="s">
        <v>32</v>
      </c>
      <c r="C80" s="69" t="s">
        <v>2159</v>
      </c>
      <c r="D80" s="64" t="s">
        <v>2127</v>
      </c>
      <c r="E80" s="64"/>
      <c r="F80" s="64"/>
      <c r="G80" s="64" t="s">
        <v>2169</v>
      </c>
      <c r="H80" s="64" t="s">
        <v>2131</v>
      </c>
      <c r="I80" s="64" t="s">
        <v>2170</v>
      </c>
      <c r="J80" s="64" t="s">
        <v>2171</v>
      </c>
      <c r="K80" s="64" t="s">
        <v>2175</v>
      </c>
      <c r="L80" s="64" t="s">
        <v>2173</v>
      </c>
      <c r="M80" s="64" t="s">
        <v>426</v>
      </c>
      <c r="N80" s="64"/>
      <c r="O80" s="64"/>
      <c r="P80" s="64"/>
      <c r="Q80" s="64" t="s">
        <v>51</v>
      </c>
      <c r="R80" s="64" t="s">
        <v>2174</v>
      </c>
      <c r="S80" s="64"/>
      <c r="T80" s="64"/>
      <c r="U80" s="64"/>
      <c r="V80" s="64"/>
      <c r="W80" s="64"/>
      <c r="X80" s="64"/>
      <c r="Y80" s="64"/>
      <c r="Z80" s="72"/>
      <c r="AA80" s="72"/>
      <c r="AB80" s="64"/>
      <c r="AC80" s="64"/>
      <c r="AD80" s="64"/>
      <c r="AE80" s="64"/>
      <c r="AF80" s="64"/>
      <c r="AG80" s="64"/>
      <c r="AH80" s="64"/>
      <c r="AI80" s="64"/>
      <c r="AJ80" s="69"/>
      <c r="AK80" s="64"/>
      <c r="AL80" s="64"/>
      <c r="AM80" s="69" t="str">
        <f t="shared" si="1"/>
        <v>PEURO VI-ETurbo Diesel190 ch4 cylindres4485 cm3B.V. automatique à 8 rapports Av. + 1 Ar.Batterie : 170 AhAlternateur : 90 AFrein sur échappementSCRFAP à régénération continue</v>
      </c>
    </row>
    <row r="81" spans="1:43" ht="22.5" hidden="1" outlineLevel="1" x14ac:dyDescent="0.25">
      <c r="A81" s="64" t="s">
        <v>1410</v>
      </c>
      <c r="B81" s="64" t="s">
        <v>32</v>
      </c>
      <c r="C81" s="69" t="s">
        <v>2159</v>
      </c>
      <c r="D81" s="64" t="s">
        <v>2127</v>
      </c>
      <c r="E81" s="64"/>
      <c r="F81" s="64"/>
      <c r="G81" s="64" t="s">
        <v>2163</v>
      </c>
      <c r="H81" s="64" t="s">
        <v>2131</v>
      </c>
      <c r="I81" s="64" t="s">
        <v>2170</v>
      </c>
      <c r="J81" s="64" t="s">
        <v>2171</v>
      </c>
      <c r="K81" s="64" t="s">
        <v>2172</v>
      </c>
      <c r="L81" s="64" t="s">
        <v>2173</v>
      </c>
      <c r="M81" s="64" t="s">
        <v>426</v>
      </c>
      <c r="N81" s="64"/>
      <c r="O81" s="64"/>
      <c r="P81" s="64"/>
      <c r="Q81" s="64" t="s">
        <v>51</v>
      </c>
      <c r="R81" s="64" t="s">
        <v>2174</v>
      </c>
      <c r="S81" s="64"/>
      <c r="T81" s="64"/>
      <c r="U81" s="64"/>
      <c r="V81" s="64"/>
      <c r="W81" s="64"/>
      <c r="X81" s="64"/>
      <c r="Y81" s="64"/>
      <c r="Z81" s="72"/>
      <c r="AA81" s="72"/>
      <c r="AB81" s="64"/>
      <c r="AC81" s="64"/>
      <c r="AD81" s="64"/>
      <c r="AE81" s="64"/>
      <c r="AF81" s="64"/>
      <c r="AG81" s="64"/>
      <c r="AH81" s="64"/>
      <c r="AI81" s="64"/>
      <c r="AJ81" s="64"/>
      <c r="AK81" s="64"/>
      <c r="AL81" s="64"/>
      <c r="AM81" s="69" t="str">
        <f t="shared" si="1"/>
        <v>PEURO VI-ETurbo Diesel210 ch4 cylindres4485 cm3B.V. automatique à 8 rapports Av. + 1 Ar.Batterie : 143 AhAlternateur : 90 AFrein sur échappementSCRFAP à régénération continue</v>
      </c>
    </row>
    <row r="82" spans="1:43" ht="22.5" hidden="1" outlineLevel="1" x14ac:dyDescent="0.25">
      <c r="A82" s="64" t="s">
        <v>1417</v>
      </c>
      <c r="B82" s="64" t="s">
        <v>32</v>
      </c>
      <c r="C82" s="69" t="s">
        <v>2159</v>
      </c>
      <c r="D82" s="64" t="s">
        <v>2127</v>
      </c>
      <c r="E82" s="64"/>
      <c r="F82" s="64"/>
      <c r="G82" s="64" t="s">
        <v>2176</v>
      </c>
      <c r="H82" s="64" t="s">
        <v>2177</v>
      </c>
      <c r="I82" s="64" t="s">
        <v>2178</v>
      </c>
      <c r="J82" s="64" t="s">
        <v>2171</v>
      </c>
      <c r="K82" s="64" t="s">
        <v>2172</v>
      </c>
      <c r="L82" s="64" t="s">
        <v>2173</v>
      </c>
      <c r="M82" s="64" t="s">
        <v>426</v>
      </c>
      <c r="N82" s="64"/>
      <c r="O82" s="64"/>
      <c r="P82" s="64"/>
      <c r="Q82" s="64" t="s">
        <v>51</v>
      </c>
      <c r="R82" s="64" t="s">
        <v>2174</v>
      </c>
      <c r="S82" s="64"/>
      <c r="T82" s="64"/>
      <c r="U82" s="64"/>
      <c r="V82" s="64"/>
      <c r="W82" s="64"/>
      <c r="X82" s="64"/>
      <c r="Y82" s="64"/>
      <c r="Z82" s="72"/>
      <c r="AA82" s="72"/>
      <c r="AB82" s="64"/>
      <c r="AC82" s="64"/>
      <c r="AD82" s="64"/>
      <c r="AE82" s="64"/>
      <c r="AF82" s="64"/>
      <c r="AG82" s="64"/>
      <c r="AH82" s="64"/>
      <c r="AI82" s="64"/>
      <c r="AJ82" s="64"/>
      <c r="AK82" s="64"/>
      <c r="AL82" s="64"/>
      <c r="AM82" s="69" t="str">
        <f t="shared" si="1"/>
        <v>PEURO VI-ETurbo Diesel220 ch6 cylindres6728 cm3B.V. automatique à 8 rapports Av. + 1 Ar.Batterie : 143 AhAlternateur : 90 AFrein sur échappementSCRFAP à régénération continue</v>
      </c>
    </row>
    <row r="83" spans="1:43" s="96" customFormat="1" ht="22.5" hidden="1" outlineLevel="1" x14ac:dyDescent="0.25">
      <c r="A83" s="64" t="s">
        <v>1431</v>
      </c>
      <c r="B83" s="64" t="s">
        <v>32</v>
      </c>
      <c r="C83" s="69" t="s">
        <v>2159</v>
      </c>
      <c r="D83" s="64" t="s">
        <v>2127</v>
      </c>
      <c r="E83" s="64"/>
      <c r="F83" s="64"/>
      <c r="G83" s="64" t="s">
        <v>2176</v>
      </c>
      <c r="H83" s="64" t="s">
        <v>2177</v>
      </c>
      <c r="I83" s="64" t="s">
        <v>2178</v>
      </c>
      <c r="J83" s="64" t="s">
        <v>2171</v>
      </c>
      <c r="K83" s="64" t="s">
        <v>2175</v>
      </c>
      <c r="L83" s="64" t="s">
        <v>2173</v>
      </c>
      <c r="M83" s="64" t="s">
        <v>426</v>
      </c>
      <c r="N83" s="64"/>
      <c r="O83" s="64"/>
      <c r="P83" s="64"/>
      <c r="Q83" s="64" t="s">
        <v>51</v>
      </c>
      <c r="R83" s="64" t="s">
        <v>2174</v>
      </c>
      <c r="S83" s="64"/>
      <c r="T83" s="64"/>
      <c r="U83" s="64"/>
      <c r="V83" s="64"/>
      <c r="W83" s="64"/>
      <c r="X83" s="64"/>
      <c r="Y83" s="64"/>
      <c r="Z83" s="72"/>
      <c r="AA83" s="72"/>
      <c r="AB83" s="64"/>
      <c r="AC83" s="64"/>
      <c r="AD83" s="64"/>
      <c r="AE83" s="64"/>
      <c r="AF83" s="64"/>
      <c r="AG83" s="64"/>
      <c r="AH83" s="64"/>
      <c r="AI83" s="64"/>
      <c r="AJ83" s="64"/>
      <c r="AK83" s="64"/>
      <c r="AL83" s="64"/>
      <c r="AM83" s="69" t="str">
        <f t="shared" si="1"/>
        <v>PEURO VI-ETurbo Diesel220 ch6 cylindres6728 cm3B.V. automatique à 8 rapports Av. + 1 Ar.Batterie : 170 AhAlternateur : 90 AFrein sur échappementSCRFAP à régénération continue</v>
      </c>
      <c r="AQ83" s="67"/>
    </row>
    <row r="84" spans="1:43" ht="22.5" hidden="1" outlineLevel="1" x14ac:dyDescent="0.25">
      <c r="A84" s="64" t="s">
        <v>1427</v>
      </c>
      <c r="B84" s="64" t="s">
        <v>32</v>
      </c>
      <c r="C84" s="69" t="s">
        <v>2159</v>
      </c>
      <c r="D84" s="64" t="s">
        <v>2127</v>
      </c>
      <c r="E84" s="64"/>
      <c r="F84" s="64"/>
      <c r="G84" s="64" t="s">
        <v>2163</v>
      </c>
      <c r="H84" s="64" t="s">
        <v>2131</v>
      </c>
      <c r="I84" s="64" t="s">
        <v>2170</v>
      </c>
      <c r="J84" s="64" t="s">
        <v>2171</v>
      </c>
      <c r="K84" s="64" t="s">
        <v>2175</v>
      </c>
      <c r="L84" s="64" t="s">
        <v>2173</v>
      </c>
      <c r="M84" s="64" t="s">
        <v>426</v>
      </c>
      <c r="N84" s="64"/>
      <c r="O84" s="64"/>
      <c r="P84" s="64"/>
      <c r="Q84" s="64" t="s">
        <v>51</v>
      </c>
      <c r="R84" s="64" t="s">
        <v>2174</v>
      </c>
      <c r="S84" s="64"/>
      <c r="T84" s="64"/>
      <c r="U84" s="64"/>
      <c r="V84" s="64"/>
      <c r="W84" s="64"/>
      <c r="X84" s="64"/>
      <c r="Y84" s="64"/>
      <c r="Z84" s="72"/>
      <c r="AA84" s="72"/>
      <c r="AB84" s="64"/>
      <c r="AC84" s="64"/>
      <c r="AD84" s="64"/>
      <c r="AE84" s="64"/>
      <c r="AF84" s="64"/>
      <c r="AG84" s="64"/>
      <c r="AH84" s="64"/>
      <c r="AI84" s="64"/>
      <c r="AJ84" s="69"/>
      <c r="AK84" s="64"/>
      <c r="AL84" s="64"/>
      <c r="AM84" s="69" t="str">
        <f t="shared" si="1"/>
        <v>PEURO VI-ETurbo Diesel210 ch4 cylindres4485 cm3B.V. automatique à 8 rapports Av. + 1 Ar.Batterie : 170 AhAlternateur : 90 AFrein sur échappementSCRFAP à régénération continue</v>
      </c>
    </row>
    <row r="85" spans="1:43" s="96" customFormat="1" ht="22.5" hidden="1" outlineLevel="1" x14ac:dyDescent="0.25">
      <c r="A85" s="64" t="s">
        <v>1440</v>
      </c>
      <c r="B85" s="64" t="s">
        <v>32</v>
      </c>
      <c r="C85" s="69" t="s">
        <v>2159</v>
      </c>
      <c r="D85" s="64" t="s">
        <v>2127</v>
      </c>
      <c r="E85" s="64"/>
      <c r="F85" s="64"/>
      <c r="G85" s="64" t="s">
        <v>2179</v>
      </c>
      <c r="H85" s="64" t="s">
        <v>2177</v>
      </c>
      <c r="I85" s="64" t="s">
        <v>2178</v>
      </c>
      <c r="J85" s="64" t="s">
        <v>2171</v>
      </c>
      <c r="K85" s="64" t="s">
        <v>2175</v>
      </c>
      <c r="L85" s="64" t="s">
        <v>2173</v>
      </c>
      <c r="M85" s="64" t="s">
        <v>426</v>
      </c>
      <c r="N85" s="64"/>
      <c r="O85" s="64"/>
      <c r="P85" s="64"/>
      <c r="Q85" s="64" t="s">
        <v>51</v>
      </c>
      <c r="R85" s="64" t="s">
        <v>2174</v>
      </c>
      <c r="S85" s="64"/>
      <c r="T85" s="64"/>
      <c r="U85" s="64"/>
      <c r="V85" s="64"/>
      <c r="W85" s="64"/>
      <c r="X85" s="64"/>
      <c r="Y85" s="64"/>
      <c r="Z85" s="72"/>
      <c r="AA85" s="72"/>
      <c r="AB85" s="64"/>
      <c r="AC85" s="64"/>
      <c r="AD85" s="64"/>
      <c r="AE85" s="64"/>
      <c r="AF85" s="64"/>
      <c r="AG85" s="64"/>
      <c r="AH85" s="64"/>
      <c r="AI85" s="64"/>
      <c r="AJ85" s="69"/>
      <c r="AK85" s="64"/>
      <c r="AL85" s="64"/>
      <c r="AM85" s="69" t="str">
        <f t="shared" si="1"/>
        <v>PEURO VI-ETurbo Diesel250 ch6 cylindres6728 cm3B.V. automatique à 8 rapports Av. + 1 Ar.Batterie : 170 AhAlternateur : 90 AFrein sur échappementSCRFAP à régénération continue</v>
      </c>
      <c r="AQ85" s="67"/>
    </row>
    <row r="86" spans="1:43" ht="22.5" hidden="1" outlineLevel="1" x14ac:dyDescent="0.25">
      <c r="A86" s="64" t="s">
        <v>1455</v>
      </c>
      <c r="B86" s="64" t="s">
        <v>32</v>
      </c>
      <c r="C86" s="69" t="s">
        <v>2159</v>
      </c>
      <c r="D86" s="64" t="s">
        <v>2127</v>
      </c>
      <c r="E86" s="64"/>
      <c r="F86" s="64"/>
      <c r="G86" s="64" t="s">
        <v>2180</v>
      </c>
      <c r="H86" s="64" t="s">
        <v>2177</v>
      </c>
      <c r="I86" s="64" t="s">
        <v>2178</v>
      </c>
      <c r="J86" s="64" t="s">
        <v>2171</v>
      </c>
      <c r="K86" s="64" t="s">
        <v>2175</v>
      </c>
      <c r="L86" s="64" t="s">
        <v>2173</v>
      </c>
      <c r="M86" s="64" t="s">
        <v>426</v>
      </c>
      <c r="N86" s="64"/>
      <c r="O86" s="64"/>
      <c r="P86" s="64"/>
      <c r="Q86" s="64" t="s">
        <v>51</v>
      </c>
      <c r="R86" s="64" t="s">
        <v>2174</v>
      </c>
      <c r="S86" s="64"/>
      <c r="T86" s="64"/>
      <c r="U86" s="64"/>
      <c r="V86" s="64"/>
      <c r="W86" s="64"/>
      <c r="X86" s="64"/>
      <c r="Y86" s="64"/>
      <c r="Z86" s="72"/>
      <c r="AA86" s="72"/>
      <c r="AB86" s="64"/>
      <c r="AC86" s="64"/>
      <c r="AD86" s="64"/>
      <c r="AE86" s="64"/>
      <c r="AF86" s="64"/>
      <c r="AG86" s="64"/>
      <c r="AH86" s="64"/>
      <c r="AI86" s="64"/>
      <c r="AJ86" s="69"/>
      <c r="AK86" s="64"/>
      <c r="AL86" s="64"/>
      <c r="AM86" s="69" t="str">
        <f t="shared" si="1"/>
        <v>PEURO VI-ETurbo Diesel280 ch6 cylindres6728 cm3B.V. automatique à 8 rapports Av. + 1 Ar.Batterie : 170 AhAlternateur : 90 AFrein sur échappementSCRFAP à régénération continue</v>
      </c>
    </row>
    <row r="87" spans="1:43" ht="22.5" hidden="1" outlineLevel="1" x14ac:dyDescent="0.25">
      <c r="A87" s="64" t="s">
        <v>1450</v>
      </c>
      <c r="B87" s="64" t="s">
        <v>32</v>
      </c>
      <c r="C87" s="69" t="s">
        <v>2159</v>
      </c>
      <c r="D87" s="64" t="s">
        <v>2127</v>
      </c>
      <c r="E87" s="64"/>
      <c r="F87" s="64"/>
      <c r="G87" s="64" t="s">
        <v>2181</v>
      </c>
      <c r="H87" s="64" t="s">
        <v>2177</v>
      </c>
      <c r="I87" s="64" t="s">
        <v>2178</v>
      </c>
      <c r="J87" s="64" t="s">
        <v>2171</v>
      </c>
      <c r="K87" s="64" t="s">
        <v>2175</v>
      </c>
      <c r="L87" s="64" t="s">
        <v>2173</v>
      </c>
      <c r="M87" s="64" t="s">
        <v>426</v>
      </c>
      <c r="N87" s="64"/>
      <c r="O87" s="64"/>
      <c r="P87" s="64"/>
      <c r="Q87" s="64" t="s">
        <v>51</v>
      </c>
      <c r="R87" s="64" t="s">
        <v>2174</v>
      </c>
      <c r="S87" s="64"/>
      <c r="T87" s="64"/>
      <c r="U87" s="64"/>
      <c r="V87" s="64"/>
      <c r="W87" s="64"/>
      <c r="X87" s="64"/>
      <c r="Y87" s="64"/>
      <c r="Z87" s="72"/>
      <c r="AA87" s="72"/>
      <c r="AB87" s="64"/>
      <c r="AC87" s="64"/>
      <c r="AD87" s="64"/>
      <c r="AE87" s="64"/>
      <c r="AF87" s="64"/>
      <c r="AG87" s="64"/>
      <c r="AH87" s="64"/>
      <c r="AI87" s="64"/>
      <c r="AJ87" s="64"/>
      <c r="AK87" s="64"/>
      <c r="AL87" s="64"/>
      <c r="AM87" s="69" t="str">
        <f t="shared" si="1"/>
        <v>PEURO VI-ETurbo Diesel320 ch6 cylindres6728 cm3B.V. automatique à 8 rapports Av. + 1 Ar.Batterie : 170 AhAlternateur : 90 AFrein sur échappementSCRFAP à régénération continue</v>
      </c>
    </row>
    <row r="88" spans="1:43" ht="22.5" hidden="1" outlineLevel="1" x14ac:dyDescent="0.25">
      <c r="A88" s="64" t="s">
        <v>1547</v>
      </c>
      <c r="B88" s="64" t="s">
        <v>32</v>
      </c>
      <c r="C88" s="69" t="s">
        <v>2159</v>
      </c>
      <c r="D88" s="64" t="s">
        <v>2127</v>
      </c>
      <c r="E88" s="64"/>
      <c r="F88" s="64"/>
      <c r="G88" s="64" t="s">
        <v>2163</v>
      </c>
      <c r="H88" s="64" t="s">
        <v>2131</v>
      </c>
      <c r="I88" s="64" t="s">
        <v>2182</v>
      </c>
      <c r="J88" s="64" t="s">
        <v>2183</v>
      </c>
      <c r="K88" s="64" t="s">
        <v>2175</v>
      </c>
      <c r="L88" s="64" t="s">
        <v>2184</v>
      </c>
      <c r="M88" s="64" t="s">
        <v>426</v>
      </c>
      <c r="N88" s="64"/>
      <c r="O88" s="64"/>
      <c r="P88" s="64"/>
      <c r="Q88" s="64" t="s">
        <v>51</v>
      </c>
      <c r="R88" s="64" t="s">
        <v>429</v>
      </c>
      <c r="S88" s="64"/>
      <c r="T88" s="64"/>
      <c r="U88" s="64"/>
      <c r="V88" s="64"/>
      <c r="W88" s="64"/>
      <c r="X88" s="64"/>
      <c r="Y88" s="64"/>
      <c r="Z88" s="72"/>
      <c r="AA88" s="72"/>
      <c r="AB88" s="64"/>
      <c r="AC88" s="64"/>
      <c r="AD88" s="64"/>
      <c r="AE88" s="64"/>
      <c r="AF88" s="72"/>
      <c r="AG88" s="72"/>
      <c r="AH88" s="64"/>
      <c r="AI88" s="64"/>
      <c r="AJ88" s="69"/>
      <c r="AK88" s="64"/>
      <c r="AL88" s="64"/>
      <c r="AM88" s="69" t="str">
        <f t="shared" si="1"/>
        <v>PEURO VI-ETurbo Diesel210 ch4 cylindres5100 cm3B.V. automatique OPTISHIFT à 8 rapports Av. + 1 Ar.Batterie : 170 AhAlternateur : 130 AFrein sur échappementSCRFAP</v>
      </c>
    </row>
    <row r="89" spans="1:43" ht="22.5" hidden="1" outlineLevel="1" x14ac:dyDescent="0.25">
      <c r="A89" s="64" t="s">
        <v>1552</v>
      </c>
      <c r="B89" s="64" t="s">
        <v>32</v>
      </c>
      <c r="C89" s="69" t="s">
        <v>2159</v>
      </c>
      <c r="D89" s="64" t="s">
        <v>2127</v>
      </c>
      <c r="E89" s="64"/>
      <c r="F89" s="64"/>
      <c r="G89" s="64" t="s">
        <v>2185</v>
      </c>
      <c r="H89" s="64" t="s">
        <v>2131</v>
      </c>
      <c r="I89" s="64" t="s">
        <v>2182</v>
      </c>
      <c r="J89" s="64" t="s">
        <v>2183</v>
      </c>
      <c r="K89" s="64" t="s">
        <v>2175</v>
      </c>
      <c r="L89" s="64" t="s">
        <v>2184</v>
      </c>
      <c r="M89" s="64" t="s">
        <v>426</v>
      </c>
      <c r="N89" s="64"/>
      <c r="O89" s="64"/>
      <c r="P89" s="64"/>
      <c r="Q89" s="64" t="s">
        <v>51</v>
      </c>
      <c r="R89" s="64" t="s">
        <v>429</v>
      </c>
      <c r="S89" s="64"/>
      <c r="T89" s="64"/>
      <c r="U89" s="64"/>
      <c r="V89" s="64"/>
      <c r="W89" s="64"/>
      <c r="X89" s="64"/>
      <c r="Y89" s="64"/>
      <c r="Z89" s="72"/>
      <c r="AA89" s="72"/>
      <c r="AB89" s="64"/>
      <c r="AC89" s="64"/>
      <c r="AD89" s="64"/>
      <c r="AE89" s="64"/>
      <c r="AF89" s="64"/>
      <c r="AG89" s="64"/>
      <c r="AH89" s="64"/>
      <c r="AI89" s="64"/>
      <c r="AJ89" s="64"/>
      <c r="AK89" s="64"/>
      <c r="AL89" s="64"/>
      <c r="AM89" s="69" t="str">
        <f t="shared" si="1"/>
        <v>PEURO VI-ETurbo Diesel240 ch4 cylindres5100 cm3B.V. automatique OPTISHIFT à 8 rapports Av. + 1 Ar.Batterie : 170 AhAlternateur : 130 AFrein sur échappementSCRFAP</v>
      </c>
    </row>
    <row r="90" spans="1:43" ht="22.5" hidden="1" outlineLevel="1" x14ac:dyDescent="0.25">
      <c r="A90" s="64" t="s">
        <v>1560</v>
      </c>
      <c r="B90" s="64" t="s">
        <v>32</v>
      </c>
      <c r="C90" s="69" t="s">
        <v>2159</v>
      </c>
      <c r="D90" s="64" t="s">
        <v>2127</v>
      </c>
      <c r="E90" s="64"/>
      <c r="F90" s="64"/>
      <c r="G90" s="64" t="s">
        <v>2179</v>
      </c>
      <c r="H90" s="64" t="s">
        <v>2177</v>
      </c>
      <c r="I90" s="64" t="s">
        <v>2186</v>
      </c>
      <c r="J90" s="64" t="s">
        <v>2183</v>
      </c>
      <c r="K90" s="64" t="s">
        <v>2175</v>
      </c>
      <c r="L90" s="64" t="s">
        <v>2184</v>
      </c>
      <c r="M90" s="64" t="s">
        <v>426</v>
      </c>
      <c r="N90" s="64"/>
      <c r="O90" s="64"/>
      <c r="P90" s="64"/>
      <c r="Q90" s="64" t="s">
        <v>51</v>
      </c>
      <c r="R90" s="64" t="s">
        <v>429</v>
      </c>
      <c r="S90" s="64"/>
      <c r="T90" s="64"/>
      <c r="U90" s="64"/>
      <c r="V90" s="64"/>
      <c r="W90" s="64"/>
      <c r="X90" s="64"/>
      <c r="Y90" s="64"/>
      <c r="Z90" s="72"/>
      <c r="AA90" s="72"/>
      <c r="AB90" s="64"/>
      <c r="AC90" s="64"/>
      <c r="AD90" s="64"/>
      <c r="AE90" s="64"/>
      <c r="AF90" s="64"/>
      <c r="AG90" s="64"/>
      <c r="AH90" s="64"/>
      <c r="AI90" s="64"/>
      <c r="AJ90" s="69"/>
      <c r="AK90" s="64"/>
      <c r="AL90" s="64"/>
      <c r="AM90" s="69" t="str">
        <f t="shared" si="1"/>
        <v>PEURO VI-ETurbo Diesel250 ch6 cylindres7700 cm3B.V. automatique OPTISHIFT à 8 rapports Av. + 1 Ar.Batterie : 170 AhAlternateur : 130 AFrein sur échappementSCRFAP</v>
      </c>
    </row>
    <row r="91" spans="1:43" ht="22.5" hidden="1" outlineLevel="1" x14ac:dyDescent="0.25">
      <c r="A91" s="64" t="s">
        <v>1746</v>
      </c>
      <c r="B91" s="64" t="s">
        <v>32</v>
      </c>
      <c r="C91" s="69" t="s">
        <v>2159</v>
      </c>
      <c r="D91" s="64" t="s">
        <v>2127</v>
      </c>
      <c r="E91" s="64"/>
      <c r="F91" s="64"/>
      <c r="G91" s="64" t="s">
        <v>2180</v>
      </c>
      <c r="H91" s="64" t="s">
        <v>2177</v>
      </c>
      <c r="I91" s="64" t="s">
        <v>2186</v>
      </c>
      <c r="J91" s="64" t="s">
        <v>2187</v>
      </c>
      <c r="K91" s="64" t="s">
        <v>2188</v>
      </c>
      <c r="L91" s="64" t="s">
        <v>2189</v>
      </c>
      <c r="M91" s="64" t="s">
        <v>426</v>
      </c>
      <c r="N91" s="64"/>
      <c r="O91" s="64"/>
      <c r="P91" s="64"/>
      <c r="Q91" s="64" t="s">
        <v>51</v>
      </c>
      <c r="R91" s="64" t="s">
        <v>429</v>
      </c>
      <c r="S91" s="64"/>
      <c r="T91" s="64"/>
      <c r="U91" s="64"/>
      <c r="V91" s="64"/>
      <c r="W91" s="64"/>
      <c r="X91" s="64"/>
      <c r="Y91" s="64"/>
      <c r="Z91" s="72"/>
      <c r="AA91" s="72"/>
      <c r="AB91" s="64"/>
      <c r="AC91" s="64"/>
      <c r="AD91" s="64"/>
      <c r="AE91" s="64"/>
      <c r="AF91" s="72"/>
      <c r="AG91" s="64"/>
      <c r="AH91" s="64"/>
      <c r="AI91" s="64"/>
      <c r="AJ91" s="69"/>
      <c r="AK91" s="64"/>
      <c r="AL91" s="64"/>
      <c r="AM91" s="69" t="str">
        <f t="shared" si="1"/>
        <v>PEURO VI-ETurbo Diesel280 ch6 cylindres7700 cm3B.V. robotisée à 12 rapports Av. + 3 Ar.Batterie : 185 AhAlternateur : 110 AFrein sur échappementSCRFAP</v>
      </c>
    </row>
    <row r="92" spans="1:43" ht="22.5" hidden="1" outlineLevel="1" x14ac:dyDescent="0.25">
      <c r="A92" s="64" t="s">
        <v>1592</v>
      </c>
      <c r="B92" s="64" t="s">
        <v>32</v>
      </c>
      <c r="C92" s="69" t="s">
        <v>2159</v>
      </c>
      <c r="D92" s="64" t="s">
        <v>2127</v>
      </c>
      <c r="E92" s="64"/>
      <c r="F92" s="64"/>
      <c r="G92" s="64" t="s">
        <v>2180</v>
      </c>
      <c r="H92" s="64" t="s">
        <v>2177</v>
      </c>
      <c r="I92" s="64" t="s">
        <v>2186</v>
      </c>
      <c r="J92" s="64" t="s">
        <v>2190</v>
      </c>
      <c r="K92" s="64" t="s">
        <v>2188</v>
      </c>
      <c r="L92" s="64" t="s">
        <v>2189</v>
      </c>
      <c r="M92" s="64" t="s">
        <v>426</v>
      </c>
      <c r="N92" s="64"/>
      <c r="O92" s="64"/>
      <c r="P92" s="64"/>
      <c r="Q92" s="64" t="s">
        <v>51</v>
      </c>
      <c r="R92" s="64" t="s">
        <v>429</v>
      </c>
      <c r="S92" s="64"/>
      <c r="T92" s="64"/>
      <c r="U92" s="64"/>
      <c r="V92" s="64"/>
      <c r="W92" s="64"/>
      <c r="X92" s="64"/>
      <c r="Y92" s="64"/>
      <c r="Z92" s="72"/>
      <c r="AA92" s="72"/>
      <c r="AB92" s="64"/>
      <c r="AC92" s="64"/>
      <c r="AD92" s="64"/>
      <c r="AE92" s="64"/>
      <c r="AF92" s="72"/>
      <c r="AG92" s="64"/>
      <c r="AH92" s="64"/>
      <c r="AI92" s="64"/>
      <c r="AJ92" s="69"/>
      <c r="AK92" s="64"/>
      <c r="AL92" s="64"/>
      <c r="AM92" s="69" t="str">
        <f t="shared" si="1"/>
        <v>PEURO VI-ETurbo Diesel280 ch6 cylindres7700 cm3B.V. robotisée OPTIDRIVER à 12 rapports Av. + 3 Ar.Batterie : 185 AhAlternateur : 110 AFrein sur échappementSCRFAP</v>
      </c>
    </row>
    <row r="93" spans="1:43" ht="22.5" hidden="1" outlineLevel="1" x14ac:dyDescent="0.25">
      <c r="A93" s="64" t="s">
        <v>1575</v>
      </c>
      <c r="B93" s="64" t="s">
        <v>32</v>
      </c>
      <c r="C93" s="69" t="s">
        <v>2159</v>
      </c>
      <c r="D93" s="64" t="s">
        <v>2127</v>
      </c>
      <c r="E93" s="64"/>
      <c r="F93" s="64"/>
      <c r="G93" s="64" t="s">
        <v>2180</v>
      </c>
      <c r="H93" s="64" t="s">
        <v>2177</v>
      </c>
      <c r="I93" s="64" t="s">
        <v>2186</v>
      </c>
      <c r="J93" s="64" t="s">
        <v>2183</v>
      </c>
      <c r="K93" s="64" t="s">
        <v>2188</v>
      </c>
      <c r="L93" s="64" t="s">
        <v>2189</v>
      </c>
      <c r="M93" s="64" t="s">
        <v>426</v>
      </c>
      <c r="N93" s="64"/>
      <c r="O93" s="64"/>
      <c r="P93" s="64"/>
      <c r="Q93" s="64" t="s">
        <v>51</v>
      </c>
      <c r="R93" s="64" t="s">
        <v>429</v>
      </c>
      <c r="S93" s="64"/>
      <c r="T93" s="64"/>
      <c r="U93" s="64"/>
      <c r="V93" s="64"/>
      <c r="W93" s="64"/>
      <c r="X93" s="64"/>
      <c r="Y93" s="64"/>
      <c r="Z93" s="72"/>
      <c r="AA93" s="72"/>
      <c r="AB93" s="64"/>
      <c r="AC93" s="64"/>
      <c r="AD93" s="64"/>
      <c r="AE93" s="64"/>
      <c r="AF93" s="72"/>
      <c r="AG93" s="64"/>
      <c r="AH93" s="64"/>
      <c r="AI93" s="64"/>
      <c r="AJ93" s="69"/>
      <c r="AK93" s="64"/>
      <c r="AL93" s="64"/>
      <c r="AM93" s="69" t="str">
        <f t="shared" si="1"/>
        <v>PEURO VI-ETurbo Diesel280 ch6 cylindres7700 cm3B.V. automatique OPTISHIFT à 8 rapports Av. + 1 Ar.Batterie : 185 AhAlternateur : 110 AFrein sur échappementSCRFAP</v>
      </c>
    </row>
    <row r="94" spans="1:43" ht="22.5" hidden="1" outlineLevel="1" x14ac:dyDescent="0.25">
      <c r="A94" s="64" t="s">
        <v>1577</v>
      </c>
      <c r="B94" s="64" t="s">
        <v>32</v>
      </c>
      <c r="C94" s="69" t="s">
        <v>2159</v>
      </c>
      <c r="D94" s="64" t="s">
        <v>2127</v>
      </c>
      <c r="E94" s="64"/>
      <c r="F94" s="64"/>
      <c r="G94" s="64" t="s">
        <v>2181</v>
      </c>
      <c r="H94" s="64" t="s">
        <v>2177</v>
      </c>
      <c r="I94" s="64" t="s">
        <v>2186</v>
      </c>
      <c r="J94" s="64" t="s">
        <v>2183</v>
      </c>
      <c r="K94" s="64" t="s">
        <v>2188</v>
      </c>
      <c r="L94" s="64" t="s">
        <v>2189</v>
      </c>
      <c r="M94" s="64" t="s">
        <v>426</v>
      </c>
      <c r="N94" s="64"/>
      <c r="O94" s="64"/>
      <c r="P94" s="64"/>
      <c r="Q94" s="64" t="s">
        <v>51</v>
      </c>
      <c r="R94" s="64" t="s">
        <v>429</v>
      </c>
      <c r="S94" s="64"/>
      <c r="T94" s="64"/>
      <c r="U94" s="64"/>
      <c r="V94" s="64"/>
      <c r="W94" s="64"/>
      <c r="X94" s="64"/>
      <c r="Y94" s="64"/>
      <c r="Z94" s="72"/>
      <c r="AA94" s="72"/>
      <c r="AB94" s="64"/>
      <c r="AC94" s="64"/>
      <c r="AD94" s="64"/>
      <c r="AE94" s="64"/>
      <c r="AF94" s="72"/>
      <c r="AG94" s="64"/>
      <c r="AH94" s="64"/>
      <c r="AI94" s="64"/>
      <c r="AJ94" s="69"/>
      <c r="AK94" s="64"/>
      <c r="AL94" s="64"/>
      <c r="AM94" s="69" t="str">
        <f t="shared" si="1"/>
        <v>PEURO VI-ETurbo Diesel320 ch6 cylindres7700 cm3B.V. automatique OPTISHIFT à 8 rapports Av. + 1 Ar.Batterie : 185 AhAlternateur : 110 AFrein sur échappementSCRFAP</v>
      </c>
    </row>
    <row r="95" spans="1:43" ht="22.5" hidden="1" outlineLevel="1" x14ac:dyDescent="0.25">
      <c r="A95" s="64" t="s">
        <v>1600</v>
      </c>
      <c r="B95" s="64" t="s">
        <v>32</v>
      </c>
      <c r="C95" s="69" t="s">
        <v>2159</v>
      </c>
      <c r="D95" s="64" t="s">
        <v>2127</v>
      </c>
      <c r="E95" s="64"/>
      <c r="F95" s="64"/>
      <c r="G95" s="64" t="s">
        <v>2181</v>
      </c>
      <c r="H95" s="64" t="s">
        <v>2177</v>
      </c>
      <c r="I95" s="64" t="s">
        <v>2186</v>
      </c>
      <c r="J95" s="64" t="s">
        <v>2190</v>
      </c>
      <c r="K95" s="64" t="s">
        <v>2188</v>
      </c>
      <c r="L95" s="64" t="s">
        <v>2189</v>
      </c>
      <c r="M95" s="64" t="s">
        <v>426</v>
      </c>
      <c r="N95" s="64"/>
      <c r="O95" s="64"/>
      <c r="P95" s="64"/>
      <c r="Q95" s="64" t="s">
        <v>51</v>
      </c>
      <c r="R95" s="64" t="s">
        <v>429</v>
      </c>
      <c r="S95" s="64"/>
      <c r="T95" s="64"/>
      <c r="U95" s="64"/>
      <c r="V95" s="64"/>
      <c r="W95" s="64"/>
      <c r="X95" s="64"/>
      <c r="Y95" s="64"/>
      <c r="Z95" s="72"/>
      <c r="AA95" s="72"/>
      <c r="AB95" s="64"/>
      <c r="AC95" s="64"/>
      <c r="AD95" s="64"/>
      <c r="AE95" s="64"/>
      <c r="AF95" s="64"/>
      <c r="AG95" s="64"/>
      <c r="AH95" s="64"/>
      <c r="AI95" s="64"/>
      <c r="AJ95" s="64"/>
      <c r="AK95" s="64"/>
      <c r="AL95" s="64"/>
      <c r="AM95" s="69" t="str">
        <f t="shared" si="1"/>
        <v>PEURO VI-ETurbo Diesel320 ch6 cylindres7700 cm3B.V. robotisée OPTIDRIVER à 12 rapports Av. + 3 Ar.Batterie : 185 AhAlternateur : 110 AFrein sur échappementSCRFAP</v>
      </c>
    </row>
    <row r="96" spans="1:43" ht="22.5" hidden="1" outlineLevel="1" x14ac:dyDescent="0.25">
      <c r="A96" s="64" t="s">
        <v>1603</v>
      </c>
      <c r="B96" s="64" t="s">
        <v>32</v>
      </c>
      <c r="C96" s="69" t="s">
        <v>2159</v>
      </c>
      <c r="D96" s="64" t="s">
        <v>2127</v>
      </c>
      <c r="E96" s="64"/>
      <c r="F96" s="64"/>
      <c r="G96" s="64" t="s">
        <v>2191</v>
      </c>
      <c r="H96" s="64" t="s">
        <v>2177</v>
      </c>
      <c r="I96" s="64" t="s">
        <v>2192</v>
      </c>
      <c r="J96" s="64" t="s">
        <v>2190</v>
      </c>
      <c r="K96" s="64" t="s">
        <v>2188</v>
      </c>
      <c r="L96" s="64" t="s">
        <v>2189</v>
      </c>
      <c r="M96" s="64" t="s">
        <v>426</v>
      </c>
      <c r="N96" s="64"/>
      <c r="O96" s="64"/>
      <c r="P96" s="64"/>
      <c r="Q96" s="64" t="s">
        <v>51</v>
      </c>
      <c r="R96" s="64" t="s">
        <v>429</v>
      </c>
      <c r="S96" s="64"/>
      <c r="T96" s="64"/>
      <c r="U96" s="64"/>
      <c r="V96" s="64"/>
      <c r="W96" s="64"/>
      <c r="X96" s="64"/>
      <c r="Y96" s="64"/>
      <c r="Z96" s="72"/>
      <c r="AA96" s="72"/>
      <c r="AB96" s="64"/>
      <c r="AC96" s="64"/>
      <c r="AD96" s="64"/>
      <c r="AE96" s="64"/>
      <c r="AF96" s="64"/>
      <c r="AG96" s="64"/>
      <c r="AH96" s="64"/>
      <c r="AI96" s="64"/>
      <c r="AJ96" s="64"/>
      <c r="AK96" s="64"/>
      <c r="AL96" s="64"/>
      <c r="AM96" s="69" t="str">
        <f t="shared" si="1"/>
        <v>PEURO VI-ETurbo Diesel380 ch6 cylindres10 800 cm3B.V. robotisée OPTIDRIVER à 12 rapports Av. + 3 Ar.Batterie : 185 AhAlternateur : 110 AFrein sur échappementSCRFAP</v>
      </c>
    </row>
    <row r="97" spans="1:43" ht="22.5" hidden="1" outlineLevel="1" x14ac:dyDescent="0.25">
      <c r="A97" s="64" t="s">
        <v>1615</v>
      </c>
      <c r="B97" s="64" t="s">
        <v>32</v>
      </c>
      <c r="C97" s="69" t="s">
        <v>2159</v>
      </c>
      <c r="D97" s="64" t="s">
        <v>2127</v>
      </c>
      <c r="E97" s="64"/>
      <c r="F97" s="64"/>
      <c r="G97" s="64" t="s">
        <v>2193</v>
      </c>
      <c r="H97" s="64" t="s">
        <v>2177</v>
      </c>
      <c r="I97" s="64" t="s">
        <v>2192</v>
      </c>
      <c r="J97" s="64" t="s">
        <v>2190</v>
      </c>
      <c r="K97" s="64" t="s">
        <v>2188</v>
      </c>
      <c r="L97" s="64" t="s">
        <v>2189</v>
      </c>
      <c r="M97" s="64" t="s">
        <v>426</v>
      </c>
      <c r="N97" s="64"/>
      <c r="O97" s="64"/>
      <c r="P97" s="64"/>
      <c r="Q97" s="64" t="s">
        <v>51</v>
      </c>
      <c r="R97" s="64" t="s">
        <v>429</v>
      </c>
      <c r="S97" s="64"/>
      <c r="T97" s="64"/>
      <c r="U97" s="64"/>
      <c r="V97" s="64"/>
      <c r="W97" s="64"/>
      <c r="X97" s="64"/>
      <c r="Y97" s="64"/>
      <c r="Z97" s="72"/>
      <c r="AA97" s="72"/>
      <c r="AB97" s="64"/>
      <c r="AC97" s="64"/>
      <c r="AD97" s="64"/>
      <c r="AE97" s="64"/>
      <c r="AF97" s="64"/>
      <c r="AG97" s="64"/>
      <c r="AH97" s="64"/>
      <c r="AI97" s="64"/>
      <c r="AJ97" s="64"/>
      <c r="AK97" s="64"/>
      <c r="AL97" s="64"/>
      <c r="AM97" s="69" t="str">
        <f t="shared" si="1"/>
        <v>PEURO VI-ETurbo Diesel430 ch6 cylindres10 800 cm3B.V. robotisée OPTIDRIVER à 12 rapports Av. + 3 Ar.Batterie : 185 AhAlternateur : 110 AFrein sur échappementSCRFAP</v>
      </c>
    </row>
    <row r="98" spans="1:43" ht="22.5" hidden="1" outlineLevel="1" x14ac:dyDescent="0.25">
      <c r="A98" s="64" t="s">
        <v>1754</v>
      </c>
      <c r="B98" s="64" t="s">
        <v>32</v>
      </c>
      <c r="C98" s="69" t="s">
        <v>2159</v>
      </c>
      <c r="D98" s="64" t="s">
        <v>2127</v>
      </c>
      <c r="E98" s="64"/>
      <c r="F98" s="64"/>
      <c r="G98" s="64" t="s">
        <v>2193</v>
      </c>
      <c r="H98" s="64" t="s">
        <v>2177</v>
      </c>
      <c r="I98" s="64" t="s">
        <v>2194</v>
      </c>
      <c r="J98" s="64" t="s">
        <v>2187</v>
      </c>
      <c r="K98" s="64" t="s">
        <v>2195</v>
      </c>
      <c r="L98" s="64" t="s">
        <v>2189</v>
      </c>
      <c r="M98" s="64" t="s">
        <v>2196</v>
      </c>
      <c r="N98" s="64" t="s">
        <v>2197</v>
      </c>
      <c r="O98" s="64" t="s">
        <v>2198</v>
      </c>
      <c r="P98" s="64"/>
      <c r="Q98" s="64" t="s">
        <v>51</v>
      </c>
      <c r="R98" s="64" t="s">
        <v>429</v>
      </c>
      <c r="S98" s="64"/>
      <c r="T98" s="64"/>
      <c r="U98" s="64"/>
      <c r="V98" s="64"/>
      <c r="W98" s="64"/>
      <c r="X98" s="64"/>
      <c r="Y98" s="64"/>
      <c r="Z98" s="72"/>
      <c r="AA98" s="72"/>
      <c r="AB98" s="64"/>
      <c r="AC98" s="64"/>
      <c r="AD98" s="64"/>
      <c r="AE98" s="64"/>
      <c r="AF98" s="64"/>
      <c r="AG98" s="64"/>
      <c r="AH98" s="64"/>
      <c r="AI98" s="64"/>
      <c r="AJ98" s="64"/>
      <c r="AK98" s="64"/>
      <c r="AL98" s="64"/>
      <c r="AM98" s="69" t="str">
        <f t="shared" si="1"/>
        <v>PEURO VI-ETurbo Diesel430 ch6 cylindres10800 cm3B.V. robotisée à 12 rapports Av. + 3 Ar.Batterie : 225 AhAlternateur : 110 AFrein moteur OPTIBRAKE 303 kW à 2300 tr/minCouple : 2040 Nm de 950 à 1400 tr/minRapport de pont 2,64SCRFAP</v>
      </c>
    </row>
    <row r="99" spans="1:43" ht="22.5" hidden="1" outlineLevel="1" x14ac:dyDescent="0.25">
      <c r="A99" s="64" t="s">
        <v>1618</v>
      </c>
      <c r="B99" s="64" t="s">
        <v>32</v>
      </c>
      <c r="C99" s="69" t="s">
        <v>2159</v>
      </c>
      <c r="D99" s="64" t="s">
        <v>2127</v>
      </c>
      <c r="E99" s="64"/>
      <c r="F99" s="64"/>
      <c r="G99" s="64" t="s">
        <v>2193</v>
      </c>
      <c r="H99" s="64" t="s">
        <v>2177</v>
      </c>
      <c r="I99" s="64" t="s">
        <v>2194</v>
      </c>
      <c r="J99" s="64" t="s">
        <v>2190</v>
      </c>
      <c r="K99" s="64" t="s">
        <v>2195</v>
      </c>
      <c r="L99" s="64" t="s">
        <v>2189</v>
      </c>
      <c r="M99" s="64" t="s">
        <v>2196</v>
      </c>
      <c r="N99" s="64" t="s">
        <v>2197</v>
      </c>
      <c r="O99" s="64" t="s">
        <v>2198</v>
      </c>
      <c r="P99" s="64"/>
      <c r="Q99" s="64" t="s">
        <v>51</v>
      </c>
      <c r="R99" s="64" t="s">
        <v>429</v>
      </c>
      <c r="S99" s="64"/>
      <c r="T99" s="64"/>
      <c r="U99" s="64"/>
      <c r="V99" s="64"/>
      <c r="W99" s="64"/>
      <c r="X99" s="64"/>
      <c r="Y99" s="64"/>
      <c r="Z99" s="72"/>
      <c r="AA99" s="72"/>
      <c r="AB99" s="64"/>
      <c r="AC99" s="64"/>
      <c r="AD99" s="64"/>
      <c r="AE99" s="64"/>
      <c r="AF99" s="64"/>
      <c r="AG99" s="64"/>
      <c r="AH99" s="64"/>
      <c r="AI99" s="64"/>
      <c r="AJ99" s="64"/>
      <c r="AK99" s="64"/>
      <c r="AL99" s="64"/>
      <c r="AM99" s="69" t="str">
        <f t="shared" si="1"/>
        <v>PEURO VI-ETurbo Diesel430 ch6 cylindres10800 cm3B.V. robotisée OPTIDRIVER à 12 rapports Av. + 3 Ar.Batterie : 225 AhAlternateur : 110 AFrein moteur OPTIBRAKE 303 kW à 2300 tr/minCouple : 2040 Nm de 950 à 1400 tr/minRapport de pont 2,64SCRFAP</v>
      </c>
    </row>
    <row r="100" spans="1:43" ht="22.5" hidden="1" outlineLevel="1" x14ac:dyDescent="0.25">
      <c r="A100" s="64" t="s">
        <v>1621</v>
      </c>
      <c r="B100" s="64" t="s">
        <v>32</v>
      </c>
      <c r="C100" s="69" t="s">
        <v>2159</v>
      </c>
      <c r="D100" s="64" t="s">
        <v>2127</v>
      </c>
      <c r="E100" s="64"/>
      <c r="F100" s="64"/>
      <c r="G100" s="64" t="s">
        <v>2199</v>
      </c>
      <c r="H100" s="64" t="s">
        <v>2177</v>
      </c>
      <c r="I100" s="64" t="s">
        <v>2194</v>
      </c>
      <c r="J100" s="64" t="s">
        <v>2187</v>
      </c>
      <c r="K100" s="64" t="s">
        <v>2195</v>
      </c>
      <c r="L100" s="64" t="s">
        <v>2189</v>
      </c>
      <c r="M100" s="64" t="s">
        <v>2196</v>
      </c>
      <c r="N100" s="64" t="s">
        <v>2200</v>
      </c>
      <c r="O100" s="64" t="s">
        <v>2198</v>
      </c>
      <c r="P100" s="64"/>
      <c r="Q100" s="64" t="s">
        <v>51</v>
      </c>
      <c r="R100" s="64" t="s">
        <v>429</v>
      </c>
      <c r="S100" s="64"/>
      <c r="T100" s="64"/>
      <c r="U100" s="64"/>
      <c r="V100" s="64"/>
      <c r="W100" s="64"/>
      <c r="X100" s="64"/>
      <c r="Y100" s="64"/>
      <c r="Z100" s="72"/>
      <c r="AA100" s="72"/>
      <c r="AB100" s="64"/>
      <c r="AC100" s="64"/>
      <c r="AD100" s="64"/>
      <c r="AE100" s="64"/>
      <c r="AF100" s="64"/>
      <c r="AG100" s="64"/>
      <c r="AH100" s="64"/>
      <c r="AI100" s="64"/>
      <c r="AJ100" s="64"/>
      <c r="AK100" s="64"/>
      <c r="AL100" s="64"/>
      <c r="AM100" s="69" t="str">
        <f t="shared" si="1"/>
        <v>PEURO VI-ETurbo Diesel460 ch6 cylindres10800 cm3B.V. robotisée à 12 rapports Av. + 3 Ar.Batterie : 225 AhAlternateur : 110 AFrein moteur OPTIBRAKE 303 kW à 2300 tr/minCouple : 2200 Nm de 950 à 1400 tr/minRapport de pont 2,64SCRFAP</v>
      </c>
    </row>
    <row r="101" spans="1:43" ht="22.5" hidden="1" outlineLevel="1" x14ac:dyDescent="0.25">
      <c r="A101" s="64" t="s">
        <v>2305</v>
      </c>
      <c r="B101" s="64" t="s">
        <v>32</v>
      </c>
      <c r="C101" s="69" t="s">
        <v>2159</v>
      </c>
      <c r="D101" s="64" t="s">
        <v>2127</v>
      </c>
      <c r="E101" s="64"/>
      <c r="F101" s="64"/>
      <c r="G101" s="64" t="s">
        <v>2322</v>
      </c>
      <c r="H101" s="64" t="s">
        <v>2131</v>
      </c>
      <c r="I101" s="64" t="s">
        <v>2323</v>
      </c>
      <c r="J101" s="64" t="s">
        <v>2324</v>
      </c>
      <c r="K101" s="64" t="s">
        <v>2325</v>
      </c>
      <c r="L101" s="64" t="s">
        <v>2326</v>
      </c>
      <c r="M101" s="64" t="s">
        <v>426</v>
      </c>
      <c r="N101" s="64"/>
      <c r="O101" s="64"/>
      <c r="P101" s="64" t="s">
        <v>428</v>
      </c>
      <c r="Q101" s="64" t="s">
        <v>51</v>
      </c>
      <c r="R101" s="64" t="s">
        <v>429</v>
      </c>
      <c r="S101" s="64"/>
      <c r="T101" s="64"/>
      <c r="U101" s="64"/>
      <c r="V101" s="64"/>
      <c r="W101" s="64"/>
      <c r="X101" s="64"/>
      <c r="Y101" s="64"/>
      <c r="Z101" s="72"/>
      <c r="AA101" s="72"/>
      <c r="AB101" s="64"/>
      <c r="AC101" s="64"/>
      <c r="AD101" s="64"/>
      <c r="AE101" s="64"/>
      <c r="AF101" s="64"/>
      <c r="AG101" s="64"/>
      <c r="AH101" s="64"/>
      <c r="AI101" s="64"/>
      <c r="AJ101" s="64"/>
      <c r="AK101" s="64"/>
      <c r="AL101" s="64"/>
      <c r="AM101" s="69" t="str">
        <f t="shared" si="1"/>
        <v>PEURO VI-ETurbo Diesel208 ch4 cylindres4500 cm3B.V. automatique Power Line 8 rapports Av. + 1 Ar. Batterie : 175 AhAlternateur : 100 AFrein sur échappementEGRSCRFAP</v>
      </c>
    </row>
    <row r="102" spans="1:43" s="96" customFormat="1" ht="22.5" hidden="1" outlineLevel="1" x14ac:dyDescent="0.25">
      <c r="A102" s="64" t="s">
        <v>1473</v>
      </c>
      <c r="B102" s="64" t="s">
        <v>32</v>
      </c>
      <c r="C102" s="64" t="s">
        <v>2126</v>
      </c>
      <c r="D102" s="64" t="s">
        <v>2127</v>
      </c>
      <c r="E102" s="64" t="s">
        <v>2128</v>
      </c>
      <c r="F102" s="64" t="s">
        <v>2201</v>
      </c>
      <c r="G102" s="64" t="s">
        <v>2202</v>
      </c>
      <c r="H102" s="64" t="s">
        <v>2131</v>
      </c>
      <c r="I102" s="64"/>
      <c r="J102" s="64" t="s">
        <v>2132</v>
      </c>
      <c r="K102" s="64" t="s">
        <v>2133</v>
      </c>
      <c r="L102" s="64" t="s">
        <v>2203</v>
      </c>
      <c r="M102" s="64"/>
      <c r="N102" s="64"/>
      <c r="O102" s="64"/>
      <c r="P102" s="64"/>
      <c r="Q102" s="64"/>
      <c r="R102" s="64"/>
      <c r="S102" s="64"/>
      <c r="T102" s="64"/>
      <c r="U102" s="64"/>
      <c r="V102" s="64"/>
      <c r="W102" s="64"/>
      <c r="X102" s="64"/>
      <c r="Y102" s="64"/>
      <c r="Z102" s="72"/>
      <c r="AA102" s="72"/>
      <c r="AB102" s="64"/>
      <c r="AC102" s="64"/>
      <c r="AD102" s="175"/>
      <c r="AE102" s="64"/>
      <c r="AF102" s="64"/>
      <c r="AG102" s="64"/>
      <c r="AH102" s="64"/>
      <c r="AI102" s="64"/>
      <c r="AJ102" s="69"/>
      <c r="AK102" s="64"/>
      <c r="AL102" s="64"/>
      <c r="AM102" s="69" t="str">
        <f t="shared" si="1"/>
        <v>PEuro 6eTurbo Diesel1,5L Blue dCi115 ch4 cylindresB.V. manuelle à 6 rapports Av. + 1 Ar.Batterie : 70 AhAlternateur : 230 A</v>
      </c>
      <c r="AQ102" s="67"/>
    </row>
    <row r="103" spans="1:43" ht="22.5" hidden="1" outlineLevel="1" x14ac:dyDescent="0.25">
      <c r="A103" s="64" t="s">
        <v>1481</v>
      </c>
      <c r="B103" s="64" t="s">
        <v>32</v>
      </c>
      <c r="C103" s="64" t="s">
        <v>2126</v>
      </c>
      <c r="D103" s="64" t="s">
        <v>2127</v>
      </c>
      <c r="E103" s="64" t="s">
        <v>2128</v>
      </c>
      <c r="F103" s="64" t="s">
        <v>2201</v>
      </c>
      <c r="G103" s="64" t="s">
        <v>2202</v>
      </c>
      <c r="H103" s="64" t="s">
        <v>2131</v>
      </c>
      <c r="I103" s="64"/>
      <c r="J103" s="64" t="s">
        <v>2132</v>
      </c>
      <c r="K103" s="64" t="s">
        <v>2133</v>
      </c>
      <c r="L103" s="64" t="s">
        <v>2203</v>
      </c>
      <c r="M103" s="64"/>
      <c r="N103" s="64"/>
      <c r="O103" s="64"/>
      <c r="P103" s="64"/>
      <c r="Q103" s="64"/>
      <c r="R103" s="64"/>
      <c r="S103" s="64"/>
      <c r="T103" s="64"/>
      <c r="U103" s="64"/>
      <c r="V103" s="64" t="s">
        <v>2204</v>
      </c>
      <c r="W103" s="64"/>
      <c r="X103" s="64"/>
      <c r="Y103" s="64"/>
      <c r="Z103" s="72"/>
      <c r="AA103" s="72"/>
      <c r="AB103" s="64"/>
      <c r="AC103" s="64"/>
      <c r="AD103" s="175"/>
      <c r="AE103" s="64"/>
      <c r="AF103" s="64"/>
      <c r="AG103" s="64"/>
      <c r="AH103" s="64"/>
      <c r="AI103" s="64"/>
      <c r="AJ103" s="69"/>
      <c r="AK103" s="64"/>
      <c r="AL103" s="64"/>
      <c r="AM103" s="69" t="str">
        <f t="shared" si="1"/>
        <v>PEuro 6eTurbo Diesel1,5L Blue dCi115 ch4 cylindresB.V. manuelle à 6 rapports Av. + 1 Ar.Batterie : 70 AhAlternateur : 230 AVehicule bridé 110 Km/h - PREM04</v>
      </c>
    </row>
    <row r="104" spans="1:43" ht="33.75" hidden="1" outlineLevel="1" x14ac:dyDescent="0.25">
      <c r="A104" s="64" t="s">
        <v>1495</v>
      </c>
      <c r="B104" s="64" t="s">
        <v>32</v>
      </c>
      <c r="C104" s="64"/>
      <c r="D104" s="64" t="s">
        <v>2137</v>
      </c>
      <c r="E104" s="64"/>
      <c r="F104" s="64" t="s">
        <v>2205</v>
      </c>
      <c r="G104" s="64" t="s">
        <v>2206</v>
      </c>
      <c r="H104" s="64"/>
      <c r="I104" s="64"/>
      <c r="J104" s="64" t="s">
        <v>2140</v>
      </c>
      <c r="K104" s="64"/>
      <c r="L104" s="64"/>
      <c r="M104" s="64"/>
      <c r="N104" s="64"/>
      <c r="O104" s="64"/>
      <c r="P104" s="64"/>
      <c r="Q104" s="64"/>
      <c r="R104" s="64"/>
      <c r="S104" s="64" t="s">
        <v>2207</v>
      </c>
      <c r="T104" s="64" t="s">
        <v>2208</v>
      </c>
      <c r="U104" s="64" t="s">
        <v>2143</v>
      </c>
      <c r="V104" s="64" t="s">
        <v>2144</v>
      </c>
      <c r="W104" s="64"/>
      <c r="X104" s="64"/>
      <c r="Y104" s="64"/>
      <c r="Z104" s="72" t="s">
        <v>430</v>
      </c>
      <c r="AA104" s="72" t="s">
        <v>2145</v>
      </c>
      <c r="AB104" s="64"/>
      <c r="AC104" s="64"/>
      <c r="AD104" s="175"/>
      <c r="AE104" s="64"/>
      <c r="AF104" s="64"/>
      <c r="AG104" s="64"/>
      <c r="AH104" s="64"/>
      <c r="AI104" s="64"/>
      <c r="AJ104" s="64"/>
      <c r="AK104" s="64"/>
      <c r="AL104" s="64"/>
      <c r="AM104" s="69" t="str">
        <f t="shared" si="1"/>
        <v xml:space="preserve">PElectrique90 kW(120ch)B.V. automatique à 1 rapport Av. + 1 Ar.Batterie Lithium-ion 45 kWhChargeur  embarqué AC jusqu'à 22kW / DC jusqu'à 80kW avec prise type 2Freinage à récupération d'énergieVitesse maxi : 130 km/h_1 Câble de charge « Smart Câble » </v>
      </c>
    </row>
    <row r="105" spans="1:43" ht="33.75" hidden="1" outlineLevel="1" x14ac:dyDescent="0.25">
      <c r="A105" s="64" t="s">
        <v>1346</v>
      </c>
      <c r="B105" s="64" t="s">
        <v>32</v>
      </c>
      <c r="C105" s="64"/>
      <c r="D105" s="64" t="s">
        <v>2209</v>
      </c>
      <c r="E105" s="64"/>
      <c r="F105" s="64" t="s">
        <v>2210</v>
      </c>
      <c r="G105" s="64" t="s">
        <v>2211</v>
      </c>
      <c r="H105" s="64"/>
      <c r="I105" s="64"/>
      <c r="J105" s="64" t="s">
        <v>2212</v>
      </c>
      <c r="K105" s="64"/>
      <c r="L105" s="64"/>
      <c r="M105" s="64"/>
      <c r="N105" s="64"/>
      <c r="O105" s="64"/>
      <c r="P105" s="64"/>
      <c r="Q105" s="64"/>
      <c r="R105" s="64"/>
      <c r="S105" s="64" t="s">
        <v>2213</v>
      </c>
      <c r="T105" s="64" t="s">
        <v>2214</v>
      </c>
      <c r="U105" s="64"/>
      <c r="V105" s="64" t="s">
        <v>2215</v>
      </c>
      <c r="W105" s="64"/>
      <c r="X105" s="64" t="s">
        <v>2216</v>
      </c>
      <c r="Y105" s="64"/>
      <c r="Z105" s="72" t="s">
        <v>430</v>
      </c>
      <c r="AA105" s="72" t="s">
        <v>2145</v>
      </c>
      <c r="AB105" s="64"/>
      <c r="AC105" s="64"/>
      <c r="AD105" s="175"/>
      <c r="AE105" s="64"/>
      <c r="AF105" s="64"/>
      <c r="AG105" s="64"/>
      <c r="AH105" s="64"/>
      <c r="AI105" s="64"/>
      <c r="AJ105" s="64"/>
      <c r="AK105" s="64"/>
      <c r="AL105" s="64"/>
      <c r="AM105" s="69" t="str">
        <f t="shared" si="1"/>
        <v xml:space="preserve">PElectrique 140 kW(190 ch.)B.V automatique à 1 rapport Av. + 1 Ar.2 batteries Lithium – Ion. Total 74 kWh (70 kWh utile)Chargeur embarqué AC 22 kW avec prise type 2 et DC 80 kW avec prise CCS ComboVitesse limitée à 90 km/hE-PTO : 400 V - 15 kW_1 Câble de charge « Smart Câble » </v>
      </c>
    </row>
    <row r="106" spans="1:43" ht="33.75" hidden="1" outlineLevel="1" x14ac:dyDescent="0.25">
      <c r="A106" s="64" t="s">
        <v>1354</v>
      </c>
      <c r="B106" s="64" t="s">
        <v>32</v>
      </c>
      <c r="C106" s="64"/>
      <c r="D106" s="64" t="s">
        <v>2209</v>
      </c>
      <c r="E106" s="64"/>
      <c r="F106" s="64" t="s">
        <v>2210</v>
      </c>
      <c r="G106" s="64" t="s">
        <v>2211</v>
      </c>
      <c r="H106" s="64"/>
      <c r="I106" s="64"/>
      <c r="J106" s="64" t="s">
        <v>2212</v>
      </c>
      <c r="K106" s="64"/>
      <c r="L106" s="64"/>
      <c r="M106" s="64"/>
      <c r="N106" s="64"/>
      <c r="O106" s="64"/>
      <c r="P106" s="64"/>
      <c r="Q106" s="64"/>
      <c r="R106" s="64"/>
      <c r="S106" s="64" t="s">
        <v>2213</v>
      </c>
      <c r="T106" s="64" t="s">
        <v>2214</v>
      </c>
      <c r="U106" s="64"/>
      <c r="V106" s="64" t="s">
        <v>2215</v>
      </c>
      <c r="W106" s="64"/>
      <c r="X106" s="64" t="s">
        <v>2216</v>
      </c>
      <c r="Y106" s="64" t="s">
        <v>2217</v>
      </c>
      <c r="Z106" s="72" t="s">
        <v>430</v>
      </c>
      <c r="AA106" s="72" t="s">
        <v>2145</v>
      </c>
      <c r="AB106" s="64"/>
      <c r="AC106" s="64"/>
      <c r="AD106" s="175"/>
      <c r="AE106" s="64"/>
      <c r="AF106" s="64"/>
      <c r="AG106" s="64"/>
      <c r="AH106" s="64"/>
      <c r="AI106" s="64"/>
      <c r="AJ106" s="64"/>
      <c r="AK106" s="64"/>
      <c r="AL106" s="64"/>
      <c r="AM106" s="69" t="str">
        <f t="shared" si="1"/>
        <v xml:space="preserve">PElectrique 140 kW(190 ch.)B.V automatique à 1 rapport Av. + 1 Ar.2 batteries Lithium – Ion. Total 74 kWh (70 kWh utile)Chargeur embarqué AC 22 kW avec prise type 2 et DC 80 kW avec prise CCS ComboVitesse limitée à 90 km/hE-PTO : 400 V - 15 kWE-PTO : 12 V - 190 A_1 Câble de charge « Smart Câble » </v>
      </c>
    </row>
    <row r="107" spans="1:43" ht="33.75" hidden="1" outlineLevel="1" x14ac:dyDescent="0.25">
      <c r="A107" s="64" t="s">
        <v>1391</v>
      </c>
      <c r="B107" s="64" t="s">
        <v>32</v>
      </c>
      <c r="D107" s="64" t="s">
        <v>2209</v>
      </c>
      <c r="E107" s="64"/>
      <c r="F107" s="64" t="s">
        <v>2210</v>
      </c>
      <c r="G107" s="64" t="s">
        <v>2211</v>
      </c>
      <c r="H107" s="64"/>
      <c r="I107" s="64"/>
      <c r="J107" s="64" t="s">
        <v>2212</v>
      </c>
      <c r="K107" s="64"/>
      <c r="L107" s="64"/>
      <c r="M107" s="64"/>
      <c r="N107" s="64"/>
      <c r="O107" s="64"/>
      <c r="P107" s="64"/>
      <c r="Q107" s="64"/>
      <c r="R107" s="64"/>
      <c r="S107" s="64" t="s">
        <v>2218</v>
      </c>
      <c r="T107" s="64" t="s">
        <v>2214</v>
      </c>
      <c r="U107" s="64"/>
      <c r="V107" s="64" t="s">
        <v>2215</v>
      </c>
      <c r="W107" s="64"/>
      <c r="X107" s="64" t="s">
        <v>2216</v>
      </c>
      <c r="Y107" s="64" t="s">
        <v>2217</v>
      </c>
      <c r="Z107" s="72" t="s">
        <v>430</v>
      </c>
      <c r="AA107" s="72" t="s">
        <v>2145</v>
      </c>
      <c r="AB107" s="64"/>
      <c r="AC107" s="64"/>
      <c r="AD107" s="175"/>
      <c r="AE107" s="64"/>
      <c r="AF107" s="64"/>
      <c r="AG107" s="64"/>
      <c r="AH107" s="64"/>
      <c r="AI107" s="64"/>
      <c r="AJ107" s="64"/>
      <c r="AK107" s="64"/>
      <c r="AL107" s="64"/>
      <c r="AM107" s="69" t="str">
        <f t="shared" si="1"/>
        <v xml:space="preserve">PElectrique 140 kW(190 ch.)B.V automatique à 1 rapport Av. + 1 Ar.3 batteries Lithium – Ion. Total 111 kWh (105 kWh utile)Chargeur embarqué AC 22 kW avec prise type 2 et DC 80 kW avec prise CCS ComboVitesse limitée à 90 km/hE-PTO : 400 V - 15 kWE-PTO : 12 V - 190 A_1 Câble de charge « Smart Câble » </v>
      </c>
    </row>
    <row r="108" spans="1:43" ht="33.75" hidden="1" outlineLevel="1" x14ac:dyDescent="0.25">
      <c r="A108" s="64" t="s">
        <v>1702</v>
      </c>
      <c r="B108" s="64" t="s">
        <v>32</v>
      </c>
      <c r="C108" s="64"/>
      <c r="D108" s="64" t="s">
        <v>2209</v>
      </c>
      <c r="E108" s="64"/>
      <c r="F108" s="64" t="s">
        <v>2210</v>
      </c>
      <c r="G108" s="64" t="s">
        <v>2211</v>
      </c>
      <c r="H108" s="64"/>
      <c r="I108" s="64"/>
      <c r="J108" s="64" t="s">
        <v>2212</v>
      </c>
      <c r="K108" s="64"/>
      <c r="L108" s="64"/>
      <c r="M108" s="64"/>
      <c r="N108" s="64"/>
      <c r="O108" s="64"/>
      <c r="P108" s="64"/>
      <c r="Q108" s="64"/>
      <c r="R108" s="64"/>
      <c r="S108" s="64" t="s">
        <v>2218</v>
      </c>
      <c r="T108" s="64" t="s">
        <v>2214</v>
      </c>
      <c r="U108" s="64"/>
      <c r="V108" s="64" t="s">
        <v>2215</v>
      </c>
      <c r="W108" s="64"/>
      <c r="X108" s="64" t="s">
        <v>2216</v>
      </c>
      <c r="Y108" s="64" t="s">
        <v>2217</v>
      </c>
      <c r="Z108" s="72"/>
      <c r="AA108" s="72"/>
      <c r="AB108" s="64"/>
      <c r="AC108" s="64"/>
      <c r="AD108" s="175"/>
      <c r="AE108" s="64"/>
      <c r="AF108" s="64"/>
      <c r="AG108" s="64"/>
      <c r="AH108" s="64"/>
      <c r="AI108" s="64"/>
      <c r="AJ108" s="64"/>
      <c r="AK108" s="64"/>
      <c r="AL108" s="64"/>
      <c r="AM108" s="69" t="str">
        <f t="shared" si="1"/>
        <v>PElectrique 140 kW(190 ch.)B.V automatique à 1 rapport Av. + 1 Ar.3 batteries Lithium – Ion. Total 111 kWh (105 kWh utile)Chargeur embarqué AC 22 kW avec prise type 2 et DC 80 kW avec prise CCS ComboVitesse limitée à 90 km/hE-PTO : 400 V - 15 kWE-PTO : 12 V - 190 A</v>
      </c>
    </row>
    <row r="109" spans="1:43" ht="45" outlineLevel="1" x14ac:dyDescent="0.25">
      <c r="A109" s="64" t="s">
        <v>1536</v>
      </c>
      <c r="B109" s="64" t="s">
        <v>32</v>
      </c>
      <c r="C109" s="64"/>
      <c r="D109" s="64" t="s">
        <v>2219</v>
      </c>
      <c r="E109" s="64"/>
      <c r="F109" s="64" t="s">
        <v>2220</v>
      </c>
      <c r="G109" s="64" t="s">
        <v>2221</v>
      </c>
      <c r="H109" s="64"/>
      <c r="I109" s="64"/>
      <c r="J109" s="64" t="s">
        <v>2140</v>
      </c>
      <c r="K109" s="64"/>
      <c r="L109" s="64"/>
      <c r="M109" s="64"/>
      <c r="N109" s="64"/>
      <c r="O109" s="64"/>
      <c r="P109" s="64"/>
      <c r="Q109" s="64"/>
      <c r="R109" s="64"/>
      <c r="S109" s="64" t="s">
        <v>2222</v>
      </c>
      <c r="T109" s="64" t="s">
        <v>2223</v>
      </c>
      <c r="U109" s="64" t="s">
        <v>2143</v>
      </c>
      <c r="V109" s="64" t="s">
        <v>2224</v>
      </c>
      <c r="W109" s="64"/>
      <c r="X109" s="64"/>
      <c r="Y109" s="64"/>
      <c r="Z109" s="72" t="s">
        <v>430</v>
      </c>
      <c r="AA109" s="72" t="s">
        <v>2225</v>
      </c>
      <c r="AB109" s="175"/>
      <c r="AC109" s="175"/>
      <c r="AD109" s="175"/>
      <c r="AE109" s="64"/>
      <c r="AF109" s="72"/>
      <c r="AG109" s="64"/>
      <c r="AH109" s="64"/>
      <c r="AI109" s="64"/>
      <c r="AJ109" s="69"/>
      <c r="AK109" s="64"/>
      <c r="AL109" s="64"/>
      <c r="AM109" s="69" t="str">
        <f t="shared" si="1"/>
        <v xml:space="preserve">PElectrique synchrone105 kW(145ch)B.V. automatique à 1 rapport Av. + 1 Ar.Batterie de traction E-TECH lithium-ion, 87 kWh, 400 V Cellules NMC (Nickel Manganèse Cobalt)Capacité de recharge du véhicule de 22kW en courant AC et 130kW en courant DC embarqué avec prise type 2Freinage à récupération d'énergieVitesse limitée 90 KM/H _1 câble de charge smart câble </v>
      </c>
    </row>
    <row r="110" spans="1:43" ht="22.5" hidden="1" outlineLevel="1" x14ac:dyDescent="0.25">
      <c r="A110" s="64" t="s">
        <v>1510</v>
      </c>
      <c r="B110" s="64" t="s">
        <v>32</v>
      </c>
      <c r="C110" s="64" t="s">
        <v>2126</v>
      </c>
      <c r="D110" s="64" t="s">
        <v>2127</v>
      </c>
      <c r="E110" s="64" t="s">
        <v>2226</v>
      </c>
      <c r="F110" s="64" t="s">
        <v>2227</v>
      </c>
      <c r="G110" s="64" t="s">
        <v>2149</v>
      </c>
      <c r="H110" s="64" t="s">
        <v>2131</v>
      </c>
      <c r="I110" s="64"/>
      <c r="J110" s="64" t="s">
        <v>2132</v>
      </c>
      <c r="K110" s="64"/>
      <c r="L110" s="64" t="s">
        <v>2203</v>
      </c>
      <c r="M110" s="64"/>
      <c r="N110" s="64"/>
      <c r="O110" s="64"/>
      <c r="P110" s="64"/>
      <c r="Q110" s="64"/>
      <c r="R110" s="64"/>
      <c r="S110" s="64"/>
      <c r="T110" s="64"/>
      <c r="U110" s="64"/>
      <c r="V110" s="64"/>
      <c r="W110" s="64"/>
      <c r="X110" s="64"/>
      <c r="Y110" s="64"/>
      <c r="Z110" s="72"/>
      <c r="AA110" s="72"/>
      <c r="AB110" s="64"/>
      <c r="AC110" s="64"/>
      <c r="AD110" s="64"/>
      <c r="AE110" s="64"/>
      <c r="AF110" s="72"/>
      <c r="AG110" s="72"/>
      <c r="AH110" s="64"/>
      <c r="AI110" s="64"/>
      <c r="AJ110" s="69"/>
      <c r="AK110" s="64"/>
      <c r="AL110" s="64"/>
      <c r="AM110" s="69" t="str">
        <f t="shared" si="1"/>
        <v>PEuro 6eTurbo Diesel2,0L dCi150 ch4 cylindresB.V. manuelle à 6 rapports Av. + 1 Ar.Alternateur : 230 A</v>
      </c>
    </row>
    <row r="111" spans="1:43" ht="22.5" hidden="1" outlineLevel="1" x14ac:dyDescent="0.25">
      <c r="A111" s="64" t="s">
        <v>1521</v>
      </c>
      <c r="B111" s="64" t="s">
        <v>32</v>
      </c>
      <c r="C111" s="64" t="s">
        <v>2126</v>
      </c>
      <c r="D111" s="64" t="s">
        <v>2127</v>
      </c>
      <c r="E111" s="64" t="s">
        <v>2226</v>
      </c>
      <c r="F111" s="64" t="s">
        <v>2227</v>
      </c>
      <c r="G111" s="64" t="s">
        <v>2149</v>
      </c>
      <c r="H111" s="64" t="s">
        <v>2131</v>
      </c>
      <c r="I111" s="64"/>
      <c r="J111" s="64" t="s">
        <v>2132</v>
      </c>
      <c r="K111" s="64"/>
      <c r="L111" s="64" t="s">
        <v>2203</v>
      </c>
      <c r="M111" s="64"/>
      <c r="N111" s="64"/>
      <c r="O111" s="69"/>
      <c r="P111" s="64"/>
      <c r="Q111" s="64"/>
      <c r="R111" s="64"/>
      <c r="S111" s="64"/>
      <c r="T111" s="64"/>
      <c r="U111" s="64"/>
      <c r="V111" s="69" t="s">
        <v>2228</v>
      </c>
      <c r="W111" s="64"/>
      <c r="X111" s="64"/>
      <c r="Y111" s="64"/>
      <c r="Z111" s="72"/>
      <c r="AA111" s="72"/>
      <c r="AB111" s="64"/>
      <c r="AC111" s="64"/>
      <c r="AD111" s="64"/>
      <c r="AE111" s="64"/>
      <c r="AF111" s="72"/>
      <c r="AG111" s="64"/>
      <c r="AH111" s="64"/>
      <c r="AI111" s="64"/>
      <c r="AJ111" s="69"/>
      <c r="AK111" s="64"/>
      <c r="AL111" s="64"/>
      <c r="AM111" s="69" t="str">
        <f t="shared" si="1"/>
        <v>PEuro 6eTurbo Diesel2,0L dCi150 ch4 cylindresB.V. manuelle à 6 rapports Av. + 1 Ar.Alternateur : 230 AVitesse limitée à 110 km/h</v>
      </c>
    </row>
    <row r="112" spans="1:43" ht="22.5" hidden="1" outlineLevel="1" x14ac:dyDescent="0.25">
      <c r="A112" s="64" t="s">
        <v>1528</v>
      </c>
      <c r="B112" s="64" t="s">
        <v>32</v>
      </c>
      <c r="C112" s="64" t="s">
        <v>2126</v>
      </c>
      <c r="D112" s="64" t="s">
        <v>2127</v>
      </c>
      <c r="E112" s="64" t="s">
        <v>2226</v>
      </c>
      <c r="F112" s="64" t="s">
        <v>2227</v>
      </c>
      <c r="G112" s="64" t="s">
        <v>2149</v>
      </c>
      <c r="H112" s="64" t="s">
        <v>2131</v>
      </c>
      <c r="I112" s="64"/>
      <c r="J112" s="64" t="s">
        <v>2132</v>
      </c>
      <c r="K112" s="64"/>
      <c r="L112" s="64" t="s">
        <v>2203</v>
      </c>
      <c r="M112" s="64"/>
      <c r="N112" s="64"/>
      <c r="O112" s="69"/>
      <c r="P112" s="64"/>
      <c r="Q112" s="64"/>
      <c r="R112" s="64"/>
      <c r="S112" s="64"/>
      <c r="T112" s="64"/>
      <c r="U112" s="64"/>
      <c r="V112" s="69" t="s">
        <v>2229</v>
      </c>
      <c r="W112" s="64"/>
      <c r="X112" s="64"/>
      <c r="Y112" s="64"/>
      <c r="Z112" s="72"/>
      <c r="AA112" s="72"/>
      <c r="AB112" s="64"/>
      <c r="AC112" s="64"/>
      <c r="AD112" s="64"/>
      <c r="AE112" s="64"/>
      <c r="AF112" s="72"/>
      <c r="AG112" s="64"/>
      <c r="AH112" s="64"/>
      <c r="AI112" s="64"/>
      <c r="AJ112" s="69"/>
      <c r="AK112" s="64"/>
      <c r="AL112" s="64"/>
      <c r="AM112" s="69" t="str">
        <f t="shared" si="1"/>
        <v>PEuro 6eTurbo Diesel2,0L dCi150 ch4 cylindresB.V. manuelle à 6 rapports Av. + 1 Ar.Alternateur : 230 ASans limitation de vitesse (PREM05)</v>
      </c>
    </row>
    <row r="113" spans="1:43" ht="22.5" outlineLevel="1" x14ac:dyDescent="0.25">
      <c r="A113" s="64" t="s">
        <v>1669</v>
      </c>
      <c r="B113" s="64" t="s">
        <v>32</v>
      </c>
      <c r="C113" s="69" t="s">
        <v>2159</v>
      </c>
      <c r="D113" s="64" t="s">
        <v>2127</v>
      </c>
      <c r="E113" s="64" t="s">
        <v>2226</v>
      </c>
      <c r="F113" s="64" t="s">
        <v>2201</v>
      </c>
      <c r="G113" s="64" t="s">
        <v>2149</v>
      </c>
      <c r="H113" s="69" t="s">
        <v>2131</v>
      </c>
      <c r="I113" s="64"/>
      <c r="J113" s="64" t="s">
        <v>2132</v>
      </c>
      <c r="K113" s="69" t="s">
        <v>2230</v>
      </c>
      <c r="L113" s="69" t="s">
        <v>2203</v>
      </c>
      <c r="M113" s="64"/>
      <c r="N113" s="64"/>
      <c r="O113" s="64"/>
      <c r="P113" s="64"/>
      <c r="Q113" s="64"/>
      <c r="R113" s="64"/>
      <c r="S113" s="64"/>
      <c r="T113" s="64"/>
      <c r="U113" s="64"/>
      <c r="V113" s="64"/>
      <c r="W113" s="64"/>
      <c r="X113" s="64"/>
      <c r="Y113" s="64"/>
      <c r="Z113" s="72"/>
      <c r="AA113" s="72"/>
      <c r="AB113" s="64"/>
      <c r="AC113" s="64"/>
      <c r="AD113" s="64"/>
      <c r="AE113" s="64"/>
      <c r="AF113" s="72"/>
      <c r="AG113" s="64"/>
      <c r="AH113" s="64"/>
      <c r="AI113" s="64"/>
      <c r="AJ113" s="69"/>
      <c r="AK113" s="64"/>
      <c r="AL113" s="64"/>
      <c r="AM113" s="69" t="str">
        <f t="shared" si="1"/>
        <v>PEURO VI-ETurbo Diesel2,0L Blue dCi150 ch4 cylindresB.V. manuelle à 6 rapports Av. + 1 Ar.Batterie : 95 AhAlternateur : 230 A</v>
      </c>
    </row>
    <row r="114" spans="1:43" ht="56.25" hidden="1" outlineLevel="1" x14ac:dyDescent="0.25">
      <c r="A114" s="69" t="s">
        <v>1582</v>
      </c>
      <c r="B114" s="64" t="s">
        <v>32</v>
      </c>
      <c r="C114" s="177"/>
      <c r="D114" s="177" t="s">
        <v>2137</v>
      </c>
      <c r="E114" s="177"/>
      <c r="F114" s="177" t="s">
        <v>2235</v>
      </c>
      <c r="G114" s="177"/>
      <c r="H114" s="177"/>
      <c r="I114" s="177"/>
      <c r="J114" s="64" t="s">
        <v>2236</v>
      </c>
      <c r="K114" s="177"/>
      <c r="L114" s="177"/>
      <c r="M114" s="177"/>
      <c r="N114" s="177"/>
      <c r="O114" s="177"/>
      <c r="P114" s="177"/>
      <c r="Q114" s="177"/>
      <c r="R114" s="177"/>
      <c r="S114" s="177" t="s">
        <v>2237</v>
      </c>
      <c r="T114" s="177" t="s">
        <v>2238</v>
      </c>
      <c r="U114" s="64" t="s">
        <v>2143</v>
      </c>
      <c r="V114" s="64"/>
      <c r="W114" s="64"/>
      <c r="X114" s="64"/>
      <c r="Y114" s="64"/>
      <c r="Z114" s="64"/>
      <c r="AA114" s="72" t="s">
        <v>2239</v>
      </c>
      <c r="AB114" s="64"/>
      <c r="AC114" s="64"/>
      <c r="AD114" s="64"/>
      <c r="AE114" s="64"/>
      <c r="AF114" s="64"/>
      <c r="AG114" s="64"/>
      <c r="AH114" s="64"/>
      <c r="AI114" s="64"/>
      <c r="AJ114" s="64"/>
      <c r="AK114" s="64"/>
      <c r="AL114" s="64"/>
      <c r="AM114" s="69" t="str">
        <f t="shared" si="1"/>
        <v xml:space="preserve">PElectrique130 kW (185 kW en pic)B.V. automatique à 2 rapports Av. + 1 Ar.Batteries Lithium-ion 282 kWh (3 x 94 kWh)Chargeur 22 kW embarqué avec prise type 2 en courant alternatif ou 150 kW avec prise CCS COMBO 2 en courant continuFreinage à récupération d'énergie1 Cable de recarga  « Smart Câble » </v>
      </c>
    </row>
    <row r="115" spans="1:43" ht="22.5" outlineLevel="1" x14ac:dyDescent="0.25">
      <c r="A115" s="64" t="s">
        <v>1659</v>
      </c>
      <c r="B115" s="64" t="s">
        <v>32</v>
      </c>
      <c r="C115" s="69" t="s">
        <v>2159</v>
      </c>
      <c r="D115" s="64" t="s">
        <v>2127</v>
      </c>
      <c r="E115" s="69" t="s">
        <v>2226</v>
      </c>
      <c r="F115" s="64" t="s">
        <v>2201</v>
      </c>
      <c r="G115" s="64" t="s">
        <v>2149</v>
      </c>
      <c r="H115" s="64" t="s">
        <v>2131</v>
      </c>
      <c r="I115" s="64"/>
      <c r="J115" s="64" t="s">
        <v>2132</v>
      </c>
      <c r="K115" s="64" t="s">
        <v>2133</v>
      </c>
      <c r="L115" s="64" t="s">
        <v>2240</v>
      </c>
      <c r="M115" s="64"/>
      <c r="N115" s="64"/>
      <c r="O115" s="64"/>
      <c r="P115" s="64"/>
      <c r="Q115" s="64"/>
      <c r="R115" s="64"/>
      <c r="S115" s="64"/>
      <c r="T115" s="64"/>
      <c r="U115" s="64"/>
      <c r="V115" s="64"/>
      <c r="W115" s="64"/>
      <c r="X115" s="64"/>
      <c r="Y115" s="64"/>
      <c r="Z115" s="72"/>
      <c r="AA115" s="72"/>
      <c r="AB115" s="64"/>
      <c r="AC115" s="64"/>
      <c r="AD115" s="64"/>
      <c r="AE115" s="64"/>
      <c r="AF115" s="72"/>
      <c r="AG115" s="64"/>
      <c r="AH115" s="64"/>
      <c r="AI115" s="64"/>
      <c r="AJ115" s="69"/>
      <c r="AK115" s="64"/>
      <c r="AL115" s="64"/>
      <c r="AM115" s="69" t="str">
        <f t="shared" si="1"/>
        <v>PEURO VI-ETurbo Diesel2,0L Blue dCi150 ch4 cylindresB.V. manuelle à 6 rapports Av. + 1 Ar.Batterie : 70 AhAlternateur : 180 A</v>
      </c>
    </row>
    <row r="116" spans="1:43" s="66" customFormat="1" ht="22.5" x14ac:dyDescent="0.25">
      <c r="A116" s="64" t="s">
        <v>4376</v>
      </c>
      <c r="B116" s="64" t="s">
        <v>32</v>
      </c>
      <c r="C116" s="64" t="s">
        <v>2126</v>
      </c>
      <c r="D116" s="64" t="s">
        <v>2127</v>
      </c>
      <c r="E116" s="64" t="s">
        <v>4392</v>
      </c>
      <c r="F116" s="64" t="s">
        <v>2201</v>
      </c>
      <c r="G116" s="64" t="s">
        <v>4393</v>
      </c>
      <c r="H116" s="64" t="s">
        <v>2131</v>
      </c>
      <c r="I116" s="64"/>
      <c r="J116" s="64" t="s">
        <v>2132</v>
      </c>
      <c r="K116" s="64"/>
      <c r="L116" s="64"/>
      <c r="M116" s="64"/>
      <c r="N116" s="64"/>
      <c r="O116" s="64"/>
      <c r="P116" s="64"/>
      <c r="Q116" s="64"/>
      <c r="R116" s="64" t="s">
        <v>429</v>
      </c>
      <c r="S116" s="64"/>
      <c r="T116" s="64"/>
      <c r="U116" s="64"/>
      <c r="V116" s="64"/>
      <c r="W116" s="64"/>
      <c r="X116" s="64"/>
      <c r="Y116" s="64"/>
      <c r="Z116" s="70"/>
      <c r="AA116" s="72"/>
      <c r="AB116" s="64"/>
      <c r="AC116" s="64"/>
      <c r="AD116" s="64"/>
      <c r="AE116" s="64"/>
      <c r="AF116" s="70"/>
      <c r="AG116" s="70"/>
      <c r="AH116" s="64"/>
      <c r="AI116" s="64"/>
      <c r="AJ116" s="69"/>
      <c r="AK116" s="64"/>
      <c r="AL116" s="71"/>
    </row>
    <row r="117" spans="1:43" s="66" customFormat="1" ht="22.5" x14ac:dyDescent="0.25">
      <c r="A117" s="64" t="s">
        <v>4370</v>
      </c>
      <c r="B117" s="64" t="s">
        <v>32</v>
      </c>
      <c r="C117" s="69" t="s">
        <v>2159</v>
      </c>
      <c r="D117" s="64" t="s">
        <v>2127</v>
      </c>
      <c r="E117" s="64" t="s">
        <v>4392</v>
      </c>
      <c r="F117" s="64" t="s">
        <v>2201</v>
      </c>
      <c r="G117" s="64" t="s">
        <v>4394</v>
      </c>
      <c r="H117" s="64" t="s">
        <v>2131</v>
      </c>
      <c r="I117" s="64"/>
      <c r="J117" s="64" t="s">
        <v>2132</v>
      </c>
      <c r="K117" s="64"/>
      <c r="L117" s="64"/>
      <c r="M117" s="64"/>
      <c r="N117" s="64"/>
      <c r="O117" s="64"/>
      <c r="P117" s="64"/>
      <c r="Q117" s="64"/>
      <c r="R117" s="64" t="s">
        <v>429</v>
      </c>
      <c r="S117" s="64"/>
      <c r="T117" s="64"/>
      <c r="U117" s="64"/>
      <c r="V117" s="64"/>
      <c r="W117" s="64"/>
      <c r="X117" s="64"/>
      <c r="Y117" s="64"/>
      <c r="Z117" s="70"/>
      <c r="AA117" s="72"/>
      <c r="AB117" s="64"/>
      <c r="AC117" s="64"/>
      <c r="AD117" s="71"/>
      <c r="AE117" s="71"/>
      <c r="AF117" s="70"/>
      <c r="AG117" s="71"/>
      <c r="AH117" s="71"/>
      <c r="AI117" s="71"/>
      <c r="AJ117" s="69"/>
      <c r="AK117" s="71"/>
      <c r="AL117" s="71"/>
    </row>
    <row r="118" spans="1:43" ht="56.25" hidden="1" x14ac:dyDescent="0.25">
      <c r="A118" s="64" t="s">
        <v>2712</v>
      </c>
      <c r="B118" s="64" t="s">
        <v>32</v>
      </c>
      <c r="C118" s="74" t="s">
        <v>574</v>
      </c>
      <c r="D118" s="74" t="s">
        <v>575</v>
      </c>
      <c r="E118" s="74" t="s">
        <v>576</v>
      </c>
      <c r="F118" s="74"/>
      <c r="G118" s="74"/>
      <c r="H118" s="74"/>
      <c r="I118" s="74"/>
      <c r="J118" s="74" t="s">
        <v>577</v>
      </c>
      <c r="K118" s="74" t="s">
        <v>573</v>
      </c>
      <c r="L118" s="74" t="s">
        <v>578</v>
      </c>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69" t="str">
        <f t="shared" si="1"/>
        <v>PNorme EURO VI ETurbo Diesel 136 ch.4 cylindres 2287 cm3Boîte de vitesses automatique HI-MATIC 8 rapports avant et 1 arrièreBatterie 105 Ah et alternateur 220 AAttention : Vitesse limitée à 90 km/h en mode ECO à la mise en route du moteur (désactivable sur le levier de vitesse)</v>
      </c>
      <c r="AQ118" s="68"/>
    </row>
    <row r="119" spans="1:43" hidden="1" outlineLevel="1" x14ac:dyDescent="0.25">
      <c r="A119" s="64" t="s">
        <v>2658</v>
      </c>
      <c r="B119" s="64" t="s">
        <v>424</v>
      </c>
      <c r="C119" s="74" t="s">
        <v>1035</v>
      </c>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69" t="str">
        <f t="shared" si="1"/>
        <v>OSans option</v>
      </c>
      <c r="AQ119" s="68"/>
    </row>
    <row r="120" spans="1:43" ht="33.75" hidden="1" outlineLevel="1" x14ac:dyDescent="0.25">
      <c r="A120" s="64" t="s">
        <v>2713</v>
      </c>
      <c r="B120" s="64" t="s">
        <v>32</v>
      </c>
      <c r="C120" s="74" t="s">
        <v>574</v>
      </c>
      <c r="D120" s="74" t="s">
        <v>579</v>
      </c>
      <c r="E120" s="74" t="s">
        <v>580</v>
      </c>
      <c r="F120" s="74"/>
      <c r="G120" s="74"/>
      <c r="H120" s="74"/>
      <c r="I120" s="74"/>
      <c r="J120" s="74" t="s">
        <v>577</v>
      </c>
      <c r="K120" s="74" t="s">
        <v>573</v>
      </c>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69" t="str">
        <f t="shared" si="1"/>
        <v>PNorme EURO VI ETurbo Diesel 180 ch.4 cylindres 2998 cm3Boîte de vitesses automatique HI-MATIC 8 rapports avant et 1 arrièreBatterie 105 Ah et alternateur 220 A</v>
      </c>
      <c r="AQ120" s="68"/>
    </row>
    <row r="121" spans="1:43" ht="22.5" hidden="1" outlineLevel="1" x14ac:dyDescent="0.25">
      <c r="A121" s="64" t="s">
        <v>2661</v>
      </c>
      <c r="B121" s="64" t="s">
        <v>424</v>
      </c>
      <c r="C121" s="74"/>
      <c r="D121" s="74" t="s">
        <v>581</v>
      </c>
      <c r="E121" s="74" t="s">
        <v>582</v>
      </c>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69" t="str">
        <f t="shared" ref="AM121:AM135" si="2">CONCATENATE(B121,C121,D121,E121,F121,G121,H121,I121,J121,K121,L121,M121,N121,O121,P121,Q121,R121,S121,T121,U121,V121,W121,X121,Y121,Z121,AA121,AB121,AC121,AD121,AE121,AF121,AG121,AH121,AI121,AJ121,AK121,AL121)</f>
        <v>OBridage 80 km/hBridage 85 km/h</v>
      </c>
      <c r="AQ121" s="68"/>
    </row>
    <row r="122" spans="1:43" ht="33.75" hidden="1" outlineLevel="1" x14ac:dyDescent="0.25">
      <c r="A122" s="64" t="s">
        <v>2717</v>
      </c>
      <c r="B122" s="64" t="s">
        <v>32</v>
      </c>
      <c r="C122" s="74" t="s">
        <v>574</v>
      </c>
      <c r="D122" s="74" t="s">
        <v>590</v>
      </c>
      <c r="E122" s="74" t="s">
        <v>591</v>
      </c>
      <c r="F122" s="74"/>
      <c r="G122" s="74"/>
      <c r="H122" s="74"/>
      <c r="I122" s="74"/>
      <c r="J122" s="74" t="s">
        <v>592</v>
      </c>
      <c r="K122" s="74" t="s">
        <v>593</v>
      </c>
      <c r="L122" s="74"/>
      <c r="M122" s="74" t="s">
        <v>426</v>
      </c>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69" t="str">
        <f t="shared" si="2"/>
        <v>PNorme EURO VI ETurbo Diesel 190 ch.4 cylindres 4485 cm3Boîte de vitesses automatique ZF8AP 8 rapports avant et 1 arrièreBatterie 170 Ah et alternateur 90 AFrein sur échappement</v>
      </c>
      <c r="AQ122" s="68"/>
    </row>
    <row r="123" spans="1:43" ht="33.75" hidden="1" outlineLevel="1" x14ac:dyDescent="0.25">
      <c r="A123" s="64" t="s">
        <v>2719</v>
      </c>
      <c r="B123" s="64" t="s">
        <v>424</v>
      </c>
      <c r="C123" s="74"/>
      <c r="D123" s="74" t="s">
        <v>581</v>
      </c>
      <c r="E123" s="74" t="s">
        <v>582</v>
      </c>
      <c r="F123" s="74" t="s">
        <v>594</v>
      </c>
      <c r="G123" s="74" t="s">
        <v>595</v>
      </c>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69" t="str">
        <f t="shared" si="2"/>
        <v>OBridage 80 km/hBridage 85 km/hMotorisation 4 cylindres 4485 cm3 - 210 ch.Motorisation 6 cylindres 6728 cm3 - 250 ch. (-150 kg CU)</v>
      </c>
      <c r="AQ123" s="68"/>
    </row>
    <row r="124" spans="1:43" ht="33.75" hidden="1" outlineLevel="1" x14ac:dyDescent="0.25">
      <c r="A124" s="64" t="s">
        <v>2720</v>
      </c>
      <c r="B124" s="64" t="s">
        <v>32</v>
      </c>
      <c r="C124" s="74" t="s">
        <v>574</v>
      </c>
      <c r="D124" s="74" t="s">
        <v>583</v>
      </c>
      <c r="E124" s="74" t="s">
        <v>591</v>
      </c>
      <c r="F124" s="74"/>
      <c r="G124" s="74"/>
      <c r="H124" s="74"/>
      <c r="I124" s="74"/>
      <c r="J124" s="74" t="s">
        <v>592</v>
      </c>
      <c r="K124" s="74" t="s">
        <v>593</v>
      </c>
      <c r="L124" s="74"/>
      <c r="M124" s="74" t="s">
        <v>426</v>
      </c>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69" t="str">
        <f t="shared" si="2"/>
        <v>PNorme EURO VI ETurbo Diesel 210 ch.4 cylindres 4485 cm3Boîte de vitesses automatique ZF8AP 8 rapports avant et 1 arrièreBatterie 170 Ah et alternateur 90 AFrein sur échappement</v>
      </c>
      <c r="AQ124" s="68"/>
    </row>
    <row r="125" spans="1:43" ht="33.75" hidden="1" outlineLevel="1" x14ac:dyDescent="0.25">
      <c r="A125" s="64" t="s">
        <v>2728</v>
      </c>
      <c r="B125" s="64" t="s">
        <v>424</v>
      </c>
      <c r="C125" s="74"/>
      <c r="D125" s="74" t="s">
        <v>581</v>
      </c>
      <c r="E125" s="74" t="s">
        <v>582</v>
      </c>
      <c r="F125" s="173" t="s">
        <v>595</v>
      </c>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69" t="str">
        <f t="shared" si="2"/>
        <v>OBridage 80 km/hBridage 85 km/hMotorisation 6 cylindres 6728 cm3 - 250 ch. (-150 kg CU)</v>
      </c>
      <c r="AQ125" s="68"/>
    </row>
    <row r="126" spans="1:43" ht="33.75" hidden="1" outlineLevel="1" x14ac:dyDescent="0.25">
      <c r="A126" s="64" t="s">
        <v>2724</v>
      </c>
      <c r="B126" s="64" t="s">
        <v>32</v>
      </c>
      <c r="C126" s="74" t="s">
        <v>574</v>
      </c>
      <c r="D126" s="74" t="s">
        <v>583</v>
      </c>
      <c r="E126" s="74" t="s">
        <v>584</v>
      </c>
      <c r="F126" s="74"/>
      <c r="G126" s="74"/>
      <c r="H126" s="74"/>
      <c r="I126" s="74"/>
      <c r="J126" s="74" t="s">
        <v>585</v>
      </c>
      <c r="K126" s="74" t="s">
        <v>586</v>
      </c>
      <c r="L126" s="74"/>
      <c r="M126" s="74" t="s">
        <v>587</v>
      </c>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69" t="str">
        <f t="shared" si="2"/>
        <v>PNorme EURO VI ETurbo Diesel 210 ch.4 cylindres 5100 cm3Boîte de vitesses automatique Optishift 8 rapports avant et 1 arrièreBatterie 170 Ah et alternateur 130 ARalentisseur sur échappement</v>
      </c>
      <c r="AQ126" s="68"/>
    </row>
    <row r="127" spans="1:43" ht="33.75" hidden="1" outlineLevel="1" x14ac:dyDescent="0.25">
      <c r="A127" s="64" t="s">
        <v>2726</v>
      </c>
      <c r="B127" s="64" t="s">
        <v>424</v>
      </c>
      <c r="C127" s="74"/>
      <c r="D127" s="74" t="s">
        <v>581</v>
      </c>
      <c r="E127" s="74" t="s">
        <v>582</v>
      </c>
      <c r="F127" s="74" t="s">
        <v>588</v>
      </c>
      <c r="G127" s="74" t="s">
        <v>589</v>
      </c>
      <c r="H127" s="74" t="s">
        <v>751</v>
      </c>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69" t="str">
        <f t="shared" si="2"/>
        <v>OBridage 80 km/hBridage 85 km/hMotorisation 4 cylindres 5100 cm3 - 240 ch.Motorisation 4 cylindres 5100 cm3 - 240 ch. B100 ExclusifMotorisation 6 cylindres 7700 cm3 - 250 ch. (-195 kg CU)</v>
      </c>
      <c r="AQ127" s="68"/>
    </row>
    <row r="128" spans="1:43" ht="33.75" hidden="1" outlineLevel="1" x14ac:dyDescent="0.25">
      <c r="A128" s="64" t="s">
        <v>2716</v>
      </c>
      <c r="B128" s="64" t="s">
        <v>32</v>
      </c>
      <c r="C128" s="74" t="s">
        <v>569</v>
      </c>
      <c r="D128" s="74" t="s">
        <v>570</v>
      </c>
      <c r="E128" s="74" t="s">
        <v>571</v>
      </c>
      <c r="F128" s="74"/>
      <c r="G128" s="74"/>
      <c r="H128" s="74"/>
      <c r="I128" s="74"/>
      <c r="J128" s="74" t="s">
        <v>572</v>
      </c>
      <c r="K128" s="74" t="s">
        <v>573</v>
      </c>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69" t="str">
        <f t="shared" si="2"/>
        <v>PNorme Euro 6eTurbo Diesel 140 ch.4 cylindres 2184 cm3Boîte de vitesses automatique 8 rapports avant et 1 arrièreBatterie 105 Ah et alternateur 220 A</v>
      </c>
      <c r="AQ128" s="68"/>
    </row>
    <row r="129" spans="1:43" ht="33.75" hidden="1" outlineLevel="1" x14ac:dyDescent="0.25">
      <c r="A129" s="64" t="s">
        <v>2721</v>
      </c>
      <c r="B129" s="64" t="s">
        <v>32</v>
      </c>
      <c r="C129" s="74" t="s">
        <v>574</v>
      </c>
      <c r="D129" s="74" t="s">
        <v>851</v>
      </c>
      <c r="E129" s="74" t="s">
        <v>852</v>
      </c>
      <c r="F129" s="74"/>
      <c r="G129" s="74"/>
      <c r="H129" s="74"/>
      <c r="I129" s="74"/>
      <c r="J129" s="74" t="s">
        <v>592</v>
      </c>
      <c r="K129" s="74" t="s">
        <v>593</v>
      </c>
      <c r="L129" s="74"/>
      <c r="M129" s="74" t="s">
        <v>426</v>
      </c>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69" t="str">
        <f t="shared" si="2"/>
        <v>PNorme EURO VI ETurbo Diesel 280 ch.6 cylindres 6728 cm3Boîte de vitesses automatique ZF8AP 8 rapports avant et 1 arrièreBatterie 170 Ah et alternateur 90 AFrein sur échappement</v>
      </c>
      <c r="AQ129" s="68"/>
    </row>
    <row r="130" spans="1:43" ht="37.5" hidden="1" outlineLevel="1" x14ac:dyDescent="0.25">
      <c r="A130" s="64" t="s">
        <v>2723</v>
      </c>
      <c r="B130" s="64" t="s">
        <v>424</v>
      </c>
      <c r="C130" s="74"/>
      <c r="D130" s="74" t="s">
        <v>581</v>
      </c>
      <c r="E130" s="74" t="s">
        <v>582</v>
      </c>
      <c r="F130" s="174" t="s">
        <v>2731</v>
      </c>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69" t="str">
        <f t="shared" si="2"/>
        <v>OBridage 80 km/hBridage 85 km/hMotorisation 6 cylindres 6728 cm3 - 320 ch. (- 40 kg CU)</v>
      </c>
      <c r="AQ130" s="68"/>
    </row>
    <row r="131" spans="1:43" ht="33.75" hidden="1" outlineLevel="1" x14ac:dyDescent="0.25">
      <c r="A131" s="64" t="s">
        <v>2725</v>
      </c>
      <c r="B131" s="64" t="s">
        <v>32</v>
      </c>
      <c r="C131" s="74" t="s">
        <v>574</v>
      </c>
      <c r="D131" s="74" t="s">
        <v>851</v>
      </c>
      <c r="E131" s="74" t="s">
        <v>853</v>
      </c>
      <c r="F131" s="74"/>
      <c r="G131" s="74"/>
      <c r="H131" s="74"/>
      <c r="I131" s="74"/>
      <c r="J131" s="74" t="s">
        <v>854</v>
      </c>
      <c r="K131" s="74" t="s">
        <v>855</v>
      </c>
      <c r="L131" s="74"/>
      <c r="M131" s="74" t="s">
        <v>587</v>
      </c>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69" t="str">
        <f t="shared" si="2"/>
        <v>PNorme EURO VI ETurbo Diesel 280 ch.6 cylindres 7700 cm3Boîte de vitesses robotisée Optidriver 12 rapports avant et 3 arrièreBatterie 185 Ah et alternateur 110 ARalentisseur sur échappement</v>
      </c>
      <c r="AQ131" s="68"/>
    </row>
    <row r="132" spans="1:43" ht="33.75" hidden="1" outlineLevel="1" x14ac:dyDescent="0.25">
      <c r="A132" s="64" t="s">
        <v>2727</v>
      </c>
      <c r="B132" s="64" t="s">
        <v>424</v>
      </c>
      <c r="C132" s="74"/>
      <c r="D132" s="74" t="s">
        <v>581</v>
      </c>
      <c r="E132" s="74" t="s">
        <v>582</v>
      </c>
      <c r="F132" s="74" t="s">
        <v>856</v>
      </c>
      <c r="G132" s="74" t="s">
        <v>857</v>
      </c>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69" t="str">
        <f t="shared" si="2"/>
        <v>OBridage 80 km/hBridage 85 km/hMotorisation 6 cylindres 7700 cm3 - 320 ch.Motorisation 6 cylindres 7700 cm3 - 320 ch. B100 Exclusif</v>
      </c>
      <c r="AQ132" s="68"/>
    </row>
    <row r="133" spans="1:43" ht="33.75" hidden="1" outlineLevel="1" x14ac:dyDescent="0.25">
      <c r="A133" s="64" t="s">
        <v>2714</v>
      </c>
      <c r="B133" s="64" t="s">
        <v>32</v>
      </c>
      <c r="C133" s="74" t="s">
        <v>574</v>
      </c>
      <c r="D133" s="74" t="s">
        <v>858</v>
      </c>
      <c r="E133" s="74" t="s">
        <v>859</v>
      </c>
      <c r="F133" s="74"/>
      <c r="G133" s="74"/>
      <c r="H133" s="74"/>
      <c r="I133" s="74"/>
      <c r="J133" s="74" t="s">
        <v>854</v>
      </c>
      <c r="K133" s="74" t="s">
        <v>860</v>
      </c>
      <c r="L133" s="74"/>
      <c r="M133" s="74" t="s">
        <v>861</v>
      </c>
      <c r="N133" s="74"/>
      <c r="O133" s="74" t="s">
        <v>862</v>
      </c>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69" t="str">
        <f t="shared" si="2"/>
        <v>PNorme EURO VI ETurbo Diesel 440 ch.6 cylindres 12800 cm3Boîte de vitesses robotisée Optidriver 12 rapports avant et 3 arrièreBatterie 225 Ah et alternateur 110 ARalentisseur OPTIBRAKE 340 kWRapport de pont 2,47</v>
      </c>
      <c r="AQ133" s="68"/>
    </row>
    <row r="134" spans="1:43" ht="33.75" hidden="1" outlineLevel="1" x14ac:dyDescent="0.25">
      <c r="A134" s="64" t="s">
        <v>2660</v>
      </c>
      <c r="B134" s="64" t="s">
        <v>424</v>
      </c>
      <c r="C134" s="74"/>
      <c r="D134" s="74" t="s">
        <v>581</v>
      </c>
      <c r="E134" s="74" t="s">
        <v>582</v>
      </c>
      <c r="F134" s="74" t="s">
        <v>863</v>
      </c>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69" t="str">
        <f t="shared" si="2"/>
        <v>OBridage 80 km/hBridage 85 km/hMotorisation 6 cylindres 12800 cm3 - 440 ch. B100 Exclusif</v>
      </c>
      <c r="AQ134" s="68"/>
    </row>
    <row r="135" spans="1:43" hidden="1" outlineLevel="1" x14ac:dyDescent="0.25">
      <c r="A135" s="64" t="s">
        <v>2659</v>
      </c>
      <c r="B135" s="64" t="s">
        <v>32</v>
      </c>
      <c r="C135" s="74" t="s">
        <v>1039</v>
      </c>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69" t="str">
        <f t="shared" si="2"/>
        <v>PSans moteur</v>
      </c>
      <c r="AQ135" s="68"/>
    </row>
    <row r="136" spans="1:43" ht="33.75" hidden="1" outlineLevel="1" x14ac:dyDescent="0.25">
      <c r="A136" s="64" t="s">
        <v>2718</v>
      </c>
      <c r="B136" s="64" t="s">
        <v>424</v>
      </c>
      <c r="C136" s="74"/>
      <c r="D136" s="74" t="s">
        <v>581</v>
      </c>
      <c r="E136" s="74" t="s">
        <v>582</v>
      </c>
      <c r="F136" s="74" t="s">
        <v>594</v>
      </c>
      <c r="G136" s="74" t="s">
        <v>935</v>
      </c>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69" t="str">
        <f t="shared" ref="AM136:AM137" si="3">CONCATENATE(B136,C136,D136,E136,F136,G136,H136,I136,J136,K136,L136,M136,N136,O136,P136,Q136,R136,S136,T136,U136,V136,W136,X136,Y136,Z136,AA136,AB136,AC136,AD136,AE136,AF136,AG136,AH136,AI136,AJ136,AK136,AL136)</f>
        <v>OBridage 80 km/hBridage 85 km/hMotorisation 4 cylindres 4485 cm3 - 210 ch.Motorisation 6 cylindres 6728 cm3 - 220 ch. (-150 kg CU)</v>
      </c>
      <c r="AQ136" s="68"/>
    </row>
    <row r="137" spans="1:43" hidden="1" outlineLevel="1" x14ac:dyDescent="0.25">
      <c r="A137" s="64" t="s">
        <v>2715</v>
      </c>
      <c r="B137" s="64" t="s">
        <v>424</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t="s">
        <v>554</v>
      </c>
      <c r="AF137" s="74"/>
      <c r="AG137" s="74"/>
      <c r="AH137" s="74"/>
      <c r="AI137" s="74"/>
      <c r="AJ137" s="74"/>
      <c r="AK137" s="74"/>
      <c r="AL137" s="74"/>
      <c r="AM137" s="69" t="str">
        <f t="shared" si="3"/>
        <v>ORadars avant</v>
      </c>
      <c r="AQ137" s="68"/>
    </row>
    <row r="138" spans="1:43" ht="22.5" hidden="1" outlineLevel="1" x14ac:dyDescent="0.25">
      <c r="A138" s="64" t="s">
        <v>2722</v>
      </c>
      <c r="B138" s="64" t="s">
        <v>424</v>
      </c>
      <c r="C138" s="74"/>
      <c r="D138" s="74" t="s">
        <v>581</v>
      </c>
      <c r="E138" s="74" t="s">
        <v>582</v>
      </c>
      <c r="F138" s="168" t="s">
        <v>970</v>
      </c>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69" t="str">
        <f t="shared" ref="AM138:AM139" si="4">CONCATENATE(B138,C138,D138,E138,F138,G138,H138,I138,J138,K138,L138,M138,N138,O138,P138,Q138,R138,S138,T138,U138,V138,W138,X138,Y138,Z138,AA138,AB138,AC138,AD138,AE138,AF138,AG138,AH138,AI138,AJ138,AK138,AL138)</f>
        <v>OBridage 80 km/hBridage 85 km/hMotorisation 6 cylindres 6728 cm3 - 320 ch.</v>
      </c>
      <c r="AQ138" s="68"/>
    </row>
    <row r="139" spans="1:43" ht="33.75" hidden="1" outlineLevel="1" x14ac:dyDescent="0.25">
      <c r="A139" s="64" t="s">
        <v>2729</v>
      </c>
      <c r="B139" s="64" t="s">
        <v>424</v>
      </c>
      <c r="C139" s="74"/>
      <c r="D139" s="74" t="s">
        <v>581</v>
      </c>
      <c r="E139" s="74" t="s">
        <v>582</v>
      </c>
      <c r="F139" s="168" t="s">
        <v>1061</v>
      </c>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69" t="str">
        <f t="shared" si="4"/>
        <v>OBridage 80 km/hBridage 85 km/hMotorisation 6 cylindres 6728 cm3 - 250 ch. (-240 kg CU)</v>
      </c>
      <c r="AQ139" s="68"/>
    </row>
    <row r="140" spans="1:43" collapsed="1" x14ac:dyDescent="0.25"/>
  </sheetData>
  <autoFilter ref="A1:AQ139" xr:uid="{F34CA7FF-74D6-4AEA-A40B-7424E6175D23}">
    <filterColumn colId="0">
      <filters>
        <filter val="M_MASTER_2,0_150-€VI-E"/>
        <filter val="M_MASTER_2,3_135-€ 6e"/>
        <filter val="M_MASTER_2,3_145-€VI-E"/>
        <filter val="M_MASTER-E.Tech_Batt87kWh-90Km/h"/>
        <filter val="M_MASTER-RED_2,0_150_230A_Bat95-€VI-E"/>
        <filter val="M_MASTER-ZE_Batt52kWh-80Km/h"/>
        <filter val="M_MASTER-ZE-€ 6d-80Km/h"/>
      </filters>
    </filterColumn>
  </autoFilter>
  <phoneticPr fontId="24" type="noConversion"/>
  <conditionalFormatting sqref="A116">
    <cfRule type="duplicateValues" dxfId="19" priority="2"/>
  </conditionalFormatting>
  <conditionalFormatting sqref="A117">
    <cfRule type="duplicateValues" dxfId="18" priority="1"/>
  </conditionalFormatting>
  <conditionalFormatting sqref="A118:A1048576 A1:A115">
    <cfRule type="duplicateValues" dxfId="17" priority="4063"/>
  </conditionalFormatting>
  <conditionalFormatting sqref="AM118:AM1048576 AM1:AM115">
    <cfRule type="duplicateValues" dxfId="16" priority="7"/>
  </conditionalFormatting>
  <pageMargins left="0" right="0" top="0.74803149606299213" bottom="0.74803149606299213" header="0.31496062992125984" footer="0.31496062992125984"/>
  <pageSetup paperSize="8" scale="70" fitToWidth="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D9C9-2734-4086-8A91-8189F9B44FDB}">
  <sheetPr>
    <pageSetUpPr fitToPage="1"/>
  </sheetPr>
  <dimension ref="A1:AS151"/>
  <sheetViews>
    <sheetView showGridLines="0" zoomScaleNormal="100" workbookViewId="0">
      <pane xSplit="2" ySplit="1" topLeftCell="C119" activePane="bottomRight" state="frozen"/>
      <selection pane="topRight" activeCell="C1" sqref="C1"/>
      <selection pane="bottomLeft" activeCell="A2" sqref="A2"/>
      <selection pane="bottomRight" activeCell="A123" sqref="A123"/>
    </sheetView>
  </sheetViews>
  <sheetFormatPr baseColWidth="10" defaultColWidth="20.7109375" defaultRowHeight="11.25" outlineLevelRow="1" outlineLevelCol="1" x14ac:dyDescent="0.25"/>
  <cols>
    <col min="1" max="1" width="30.7109375" style="68" customWidth="1"/>
    <col min="2" max="2" width="10.85546875" style="68" customWidth="1"/>
    <col min="3" max="3" width="24.7109375" style="68" customWidth="1"/>
    <col min="4" max="5" width="18.42578125" style="68" customWidth="1"/>
    <col min="6" max="6" width="12.85546875" style="68" customWidth="1"/>
    <col min="7" max="7" width="15.140625" style="68" customWidth="1"/>
    <col min="8" max="8" width="15" style="68" customWidth="1"/>
    <col min="9" max="9" width="17.7109375" style="68" customWidth="1"/>
    <col min="10" max="11" width="20.7109375" style="68" customWidth="1"/>
    <col min="12" max="12" width="19.7109375" style="68" customWidth="1"/>
    <col min="13" max="13" width="18.140625" style="68" customWidth="1"/>
    <col min="14" max="14" width="16.7109375" style="68" customWidth="1"/>
    <col min="15" max="15" width="16.5703125" style="68" customWidth="1"/>
    <col min="16" max="16" width="18.28515625" style="68" customWidth="1"/>
    <col min="17" max="21" width="20.7109375" style="68" customWidth="1" outlineLevel="1"/>
    <col min="22" max="22" width="22.7109375" style="68" customWidth="1" outlineLevel="1"/>
    <col min="23" max="23" width="20.7109375" style="68" customWidth="1" outlineLevel="1"/>
    <col min="24" max="24" width="28.42578125" style="68" customWidth="1" outlineLevel="1"/>
    <col min="25" max="35" width="20.7109375" style="68" customWidth="1" outlineLevel="1"/>
    <col min="36" max="36" width="20.7109375" style="68" customWidth="1" outlineLevel="1" collapsed="1"/>
    <col min="37" max="39" width="20.7109375" style="68" customWidth="1" outlineLevel="1"/>
    <col min="40" max="40" width="23.7109375" style="68" customWidth="1" outlineLevel="1"/>
    <col min="41" max="41" width="22.5703125" style="68" customWidth="1" outlineLevel="1"/>
    <col min="42" max="42" width="19" style="68" customWidth="1" outlineLevel="1"/>
    <col min="43" max="43" width="20.7109375" style="68" customWidth="1" outlineLevel="1" collapsed="1"/>
    <col min="44" max="44" width="27" style="68" customWidth="1" outlineLevel="1"/>
    <col min="45" max="45" width="100.7109375" style="68" customWidth="1"/>
    <col min="46" max="16384" width="20.7109375" style="68"/>
  </cols>
  <sheetData>
    <row r="1" spans="1:45" s="172" customFormat="1" ht="49.9" customHeight="1" x14ac:dyDescent="0.25">
      <c r="A1" s="165" t="s">
        <v>2990</v>
      </c>
      <c r="B1" s="165" t="s">
        <v>2683</v>
      </c>
      <c r="C1" s="165" t="s">
        <v>2921</v>
      </c>
      <c r="D1" s="165" t="s">
        <v>2923</v>
      </c>
      <c r="E1" s="165" t="s">
        <v>2924</v>
      </c>
      <c r="F1" s="165" t="s">
        <v>2925</v>
      </c>
      <c r="G1" s="165" t="s">
        <v>2926</v>
      </c>
      <c r="H1" s="165" t="s">
        <v>2927</v>
      </c>
      <c r="I1" s="165" t="s">
        <v>2928</v>
      </c>
      <c r="J1" s="165" t="s">
        <v>2929</v>
      </c>
      <c r="K1" s="165" t="s">
        <v>2930</v>
      </c>
      <c r="L1" s="165" t="s">
        <v>2932</v>
      </c>
      <c r="M1" s="165" t="s">
        <v>2933</v>
      </c>
      <c r="N1" s="165" t="s">
        <v>2935</v>
      </c>
      <c r="O1" s="165" t="s">
        <v>2934</v>
      </c>
      <c r="P1" s="165" t="s">
        <v>2936</v>
      </c>
      <c r="Q1" s="165" t="s">
        <v>2937</v>
      </c>
      <c r="R1" s="165" t="s">
        <v>2938</v>
      </c>
      <c r="S1" s="165" t="s">
        <v>2939</v>
      </c>
      <c r="T1" s="165" t="s">
        <v>2940</v>
      </c>
      <c r="U1" s="165" t="s">
        <v>2941</v>
      </c>
      <c r="V1" s="165" t="s">
        <v>2942</v>
      </c>
      <c r="W1" s="165" t="s">
        <v>2887</v>
      </c>
      <c r="X1" s="165" t="s">
        <v>2888</v>
      </c>
      <c r="Y1" s="166" t="s">
        <v>2889</v>
      </c>
      <c r="Z1" s="166" t="s">
        <v>2890</v>
      </c>
      <c r="AA1" s="166" t="s">
        <v>2891</v>
      </c>
      <c r="AB1" s="166" t="s">
        <v>2892</v>
      </c>
      <c r="AC1" s="166" t="s">
        <v>2893</v>
      </c>
      <c r="AD1" s="166" t="s">
        <v>2894</v>
      </c>
      <c r="AE1" s="167" t="s">
        <v>2895</v>
      </c>
      <c r="AF1" s="167" t="s">
        <v>2896</v>
      </c>
      <c r="AG1" s="167" t="s">
        <v>2897</v>
      </c>
      <c r="AH1" s="167" t="s">
        <v>2898</v>
      </c>
      <c r="AI1" s="167" t="s">
        <v>2899</v>
      </c>
      <c r="AJ1" s="167" t="s">
        <v>2900</v>
      </c>
      <c r="AK1" s="167" t="s">
        <v>2752</v>
      </c>
      <c r="AL1" s="167" t="s">
        <v>2753</v>
      </c>
      <c r="AM1" s="167" t="s">
        <v>2754</v>
      </c>
      <c r="AN1" s="167" t="s">
        <v>2901</v>
      </c>
      <c r="AO1" s="167" t="s">
        <v>2756</v>
      </c>
      <c r="AP1" s="167" t="s">
        <v>2757</v>
      </c>
      <c r="AQ1" s="167" t="s">
        <v>2758</v>
      </c>
      <c r="AR1" s="167" t="s">
        <v>2759</v>
      </c>
      <c r="AS1" s="178" t="str">
        <f>CONCATENATE(B1,C1,D1,E1,F1,G1,H1,I1,J1,K1,L1,M1,N1,O1,P1,Q1,R1,S1,T1,U1,V1,W1,X1,Y1,Z1,AA1,AB1,AC1,AD1,AE1,AF1,AG1,AH1,AI1,AJ1,AK1,AL1,AM1,AN1,AO1,AP1,AQ1,AR1)</f>
        <v>Produit (P)
Produit (P) 
/ Option (O)Dimensions PNEUMATIQUES
Dimensions PNEUMATIQUES
Sans optionRéservoir à carburant
Réservoir à carburant
Blocage de différentiel Type suspension arrière
Réservoir AdBlue
RalentisseurType freinage
3 essieux 
NABuzzer de marche Ar
Freins à disques 
Pneu. montagne AVRéservoir AdBlue
Suspension arrière
Pneu. montagne ARRoue de secours
Freinage EBS
Pneu. montagne AV/ARAdaptateur prise remorque
GSR II
Suspension arrièreHauteur attelage
Témoins de desserage
Bridage 80 km/hAide au démarrage en côte
Roue de secours
Bridage 85 km/hSREM - Finition châssis
Panier roues de secours
Motorisation 1 :  4 cyl.SREM - Type Essieux
Bruiteur de marche
Motorisation 2 :  4 cyl.SREM - Nb Odomètre
Blocage de différentiel
Motorisation 1 :  6 cyl.SREM - Type béquille
8 anneaux Ferry
Motorisation 2 :  6 cyl.SREM - Nb anneaux
Cales de roues 
NASREM - Détails Frein
Hauteur d'attelage
NASREM - Sécurité Travagem 1
Potence
NASREM - Sécurité Travagem 2
Odomètre
NASREM - Système mise à quai
Radars de recul 
NASREM - Système position route
Peinture
NABlocage de différentiel
NA
NAESP / GSRII (General Safety Regulation)
NA
NALDWS
NA
NAAEBS
NA
NAVitesse Maxi
NA
NAAutonomie 1
NA
NAAutonomie 2
NA
NAGrilles de protection feux AR
NA
NAPoids en ordre de marche ±5%
NA
NAPrise 13 broches
NA
NAExtincteur 6 Kg + coffre
NA
NALampe portable de détresse
NA
NAPré-équipement télématique
NA
NACoffre à ouitils
NA
NAzone libre 13
NA
NAzone libre 14
NA
NAzone libre 15
NA
NAFourgon tôlé / Transmission
NA
NAzone libre 17
NA
NAzone libre 18
NA
NAzone libre 19
NA
NAzone libre 20
NA
NA</v>
      </c>
    </row>
    <row r="2" spans="1:45" x14ac:dyDescent="0.25">
      <c r="A2" s="64" t="s">
        <v>4267</v>
      </c>
      <c r="B2" s="64" t="s">
        <v>424</v>
      </c>
      <c r="C2" s="64" t="s">
        <v>1035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row>
    <row r="3" spans="1:45" ht="56.25" hidden="1" outlineLevel="1" x14ac:dyDescent="0.25">
      <c r="A3" s="64" t="s">
        <v>4268</v>
      </c>
      <c r="B3" s="69" t="s">
        <v>424</v>
      </c>
      <c r="C3" s="64"/>
      <c r="D3" s="64"/>
      <c r="E3" s="64"/>
      <c r="F3" s="64"/>
      <c r="G3" s="64"/>
      <c r="H3" s="64"/>
      <c r="I3" s="64" t="s">
        <v>3945</v>
      </c>
      <c r="J3" s="64" t="s">
        <v>3775</v>
      </c>
      <c r="K3" s="64" t="s">
        <v>3776</v>
      </c>
      <c r="L3" s="64" t="s">
        <v>3777</v>
      </c>
      <c r="M3" s="64"/>
      <c r="N3" s="64"/>
      <c r="O3" s="64"/>
      <c r="P3" s="64"/>
      <c r="Q3" s="64"/>
      <c r="R3" s="64"/>
      <c r="S3" s="64"/>
      <c r="T3" s="64"/>
      <c r="U3" s="64"/>
      <c r="V3" s="64"/>
      <c r="W3" s="64"/>
      <c r="X3" s="64"/>
      <c r="Y3" s="64"/>
      <c r="Z3" s="64"/>
      <c r="AA3" s="64"/>
      <c r="AB3" s="64" t="s">
        <v>46</v>
      </c>
      <c r="AC3" s="64"/>
      <c r="AD3" s="64"/>
      <c r="AE3" s="64"/>
      <c r="AF3" s="64"/>
      <c r="AG3" s="64"/>
      <c r="AH3" s="64"/>
      <c r="AI3" s="64"/>
      <c r="AJ3" s="64"/>
      <c r="AK3" s="64"/>
      <c r="AL3" s="64"/>
      <c r="AM3" s="64"/>
      <c r="AN3" s="64" t="s">
        <v>46</v>
      </c>
      <c r="AO3" s="64"/>
      <c r="AP3" s="64"/>
      <c r="AQ3" s="64"/>
      <c r="AR3" s="64"/>
      <c r="AS3" s="69" t="str">
        <f t="shared" ref="AS3:AS59" si="0">CONCATENATE(B3,C3,D3,E3,F3,G3,H3,I3,J3,K3,L3,M3,N3,O3,P3,Q3,R3,S3,T3,U3,V3,W3,X3,Y3,Z3,AA3,AB3,AC3,AD3,AE3,AF3,AG3,AH3,AI3,AJ3,AK3,AL3,AM3,AN3,AO3,AP3,AQ3,AR3)</f>
        <v>OPneux neigeCette option doit être prisse à la signature du contrat individuel ou au plus tard avant le 12ème mois de la location échue. Elle ne pourra pas être dénoncée durant toute la durée du contrat.Au-delà de cette période, les pneumatiques d'hiver seront facturés aux tarifs en vigueur.</v>
      </c>
    </row>
    <row r="4" spans="1:45" ht="56.25" hidden="1" outlineLevel="1" x14ac:dyDescent="0.25">
      <c r="A4" s="64" t="s">
        <v>4269</v>
      </c>
      <c r="B4" s="69" t="s">
        <v>424</v>
      </c>
      <c r="C4" s="64"/>
      <c r="D4" s="64"/>
      <c r="E4" s="64"/>
      <c r="F4" s="64"/>
      <c r="G4" s="64"/>
      <c r="H4" s="64"/>
      <c r="I4" s="64" t="s">
        <v>3945</v>
      </c>
      <c r="J4" s="64" t="s">
        <v>3775</v>
      </c>
      <c r="K4" s="64" t="s">
        <v>3776</v>
      </c>
      <c r="L4" s="64" t="s">
        <v>3777</v>
      </c>
      <c r="M4" s="64"/>
      <c r="N4" s="64"/>
      <c r="O4" s="64"/>
      <c r="P4" s="64"/>
      <c r="Q4" s="64"/>
      <c r="R4" s="64"/>
      <c r="S4" s="64"/>
      <c r="T4" s="64"/>
      <c r="U4" s="64"/>
      <c r="V4" s="64"/>
      <c r="W4" s="64"/>
      <c r="X4" s="64"/>
      <c r="Y4" s="64"/>
      <c r="Z4" s="64"/>
      <c r="AA4" s="64"/>
      <c r="AB4" s="64" t="s">
        <v>46</v>
      </c>
      <c r="AC4" s="64"/>
      <c r="AD4" s="64"/>
      <c r="AE4" s="64"/>
      <c r="AF4" s="64"/>
      <c r="AG4" s="64"/>
      <c r="AH4" s="64"/>
      <c r="AI4" s="64"/>
      <c r="AJ4" s="64"/>
      <c r="AK4" s="64"/>
      <c r="AL4" s="64"/>
      <c r="AM4" s="64"/>
      <c r="AN4" s="64" t="s">
        <v>46</v>
      </c>
      <c r="AO4" s="64"/>
      <c r="AP4" s="64"/>
      <c r="AQ4" s="64"/>
      <c r="AR4" s="64"/>
      <c r="AS4" s="69" t="str">
        <f t="shared" si="0"/>
        <v>OPneux neigeCette option doit être prisse à la signature du contrat individuel ou au plus tard avant le 12ème mois de la location échue. Elle ne pourra pas être dénoncée durant toute la durée du contrat.Au-delà de cette période, les pneumatiques d'hiver seront facturés aux tarifs en vigueur.</v>
      </c>
    </row>
    <row r="5" spans="1:45" ht="33.75" hidden="1" outlineLevel="1" x14ac:dyDescent="0.25">
      <c r="A5" s="64" t="s">
        <v>3461</v>
      </c>
      <c r="B5" s="64" t="s">
        <v>32</v>
      </c>
      <c r="C5" s="64" t="s">
        <v>2054</v>
      </c>
      <c r="D5" s="64" t="s">
        <v>2059</v>
      </c>
      <c r="E5" s="64" t="s">
        <v>2029</v>
      </c>
      <c r="F5" s="64" t="s">
        <v>2030</v>
      </c>
      <c r="G5" s="64" t="s">
        <v>432</v>
      </c>
      <c r="H5" s="64" t="s">
        <v>2056</v>
      </c>
      <c r="I5" s="64" t="s">
        <v>433</v>
      </c>
      <c r="J5" s="64"/>
      <c r="K5" s="64"/>
      <c r="L5" s="64"/>
      <c r="M5" s="64"/>
      <c r="N5" s="64"/>
      <c r="O5" s="64"/>
      <c r="P5" s="64"/>
      <c r="Q5" s="64"/>
      <c r="R5" s="64"/>
      <c r="S5" s="64"/>
      <c r="T5" s="64"/>
      <c r="U5" s="64"/>
      <c r="V5" s="64"/>
      <c r="W5" s="64"/>
      <c r="X5" s="64" t="s">
        <v>2033</v>
      </c>
      <c r="Y5" s="64"/>
      <c r="Z5" s="64"/>
      <c r="AA5" s="64"/>
      <c r="AB5" s="64" t="s">
        <v>46</v>
      </c>
      <c r="AC5" s="64"/>
      <c r="AD5" s="64"/>
      <c r="AE5" s="64"/>
      <c r="AF5" s="70"/>
      <c r="AG5" s="70"/>
      <c r="AH5" s="64"/>
      <c r="AI5" s="64"/>
      <c r="AJ5" s="64"/>
      <c r="AK5" s="64"/>
      <c r="AL5" s="64"/>
      <c r="AM5" s="64"/>
      <c r="AN5" s="64" t="s">
        <v>2058</v>
      </c>
      <c r="AO5" s="64" t="s">
        <v>3778</v>
      </c>
      <c r="AP5" s="64"/>
      <c r="AQ5" s="64"/>
      <c r="AR5" s="64"/>
      <c r="AS5" s="69" t="str">
        <f t="shared" si="0"/>
        <v>PPneumatiques : 195/75 R16Réservoir à carburant de 86 LSuspension arrière mécaniqueFreinage avec ABSBuzzer de marche arrièreRéservoir AdBlue de 20 L Sans support roue de secours et sans roue de secoursGSRII (General Safety Regulation)Châssis cabine / Transmission : Propulsion arrière / Roues arrière jumelées_  Vignette Crit'air : 2</v>
      </c>
    </row>
    <row r="6" spans="1:45" ht="33.75" hidden="1" outlineLevel="1" x14ac:dyDescent="0.25">
      <c r="A6" s="64" t="s">
        <v>3494</v>
      </c>
      <c r="B6" s="64" t="s">
        <v>32</v>
      </c>
      <c r="C6" s="64" t="s">
        <v>2073</v>
      </c>
      <c r="D6" s="64" t="s">
        <v>2059</v>
      </c>
      <c r="E6" s="64" t="s">
        <v>2029</v>
      </c>
      <c r="F6" s="64" t="s">
        <v>2030</v>
      </c>
      <c r="G6" s="64" t="s">
        <v>432</v>
      </c>
      <c r="H6" s="64" t="s">
        <v>2056</v>
      </c>
      <c r="I6" s="64" t="s">
        <v>3779</v>
      </c>
      <c r="J6" s="64"/>
      <c r="K6" s="64"/>
      <c r="L6" s="64"/>
      <c r="M6" s="64"/>
      <c r="N6" s="64"/>
      <c r="O6" s="64"/>
      <c r="P6" s="64"/>
      <c r="Q6" s="64"/>
      <c r="R6" s="64"/>
      <c r="S6" s="64"/>
      <c r="T6" s="64"/>
      <c r="U6" s="64"/>
      <c r="V6" s="64"/>
      <c r="W6" s="64"/>
      <c r="X6" s="64" t="s">
        <v>2033</v>
      </c>
      <c r="Y6" s="64"/>
      <c r="Z6" s="64"/>
      <c r="AA6" s="64"/>
      <c r="AB6" s="64" t="s">
        <v>46</v>
      </c>
      <c r="AC6" s="64"/>
      <c r="AD6" s="64"/>
      <c r="AE6" s="64"/>
      <c r="AF6" s="70"/>
      <c r="AG6" s="70"/>
      <c r="AH6" s="64"/>
      <c r="AI6" s="64"/>
      <c r="AJ6" s="64"/>
      <c r="AK6" s="64"/>
      <c r="AL6" s="64"/>
      <c r="AM6" s="64"/>
      <c r="AN6" s="64" t="s">
        <v>2068</v>
      </c>
      <c r="AO6" s="64" t="s">
        <v>3778</v>
      </c>
      <c r="AP6" s="64"/>
      <c r="AQ6" s="64"/>
      <c r="AR6" s="64"/>
      <c r="AS6" s="69" t="str">
        <f t="shared" si="0"/>
        <v>PPneumatiques : 225/65 R16Réservoir à carburant de 86 LSuspension arrière mécaniqueFreinage avec ABSBuzzer de marche arrièreRéservoir AdBlue de 20 L Avec support roue de secours et avec roue de secoursGSRII (General Safety Regulation)Châssis cabine / Transmission : Propulsion arrière / Roues arrière simples_  Vignette Crit'air : 2</v>
      </c>
    </row>
    <row r="7" spans="1:45" ht="33.75" hidden="1" outlineLevel="1" x14ac:dyDescent="0.25">
      <c r="A7" s="64" t="s">
        <v>3525</v>
      </c>
      <c r="B7" s="64" t="s">
        <v>32</v>
      </c>
      <c r="C7" s="64" t="s">
        <v>2054</v>
      </c>
      <c r="D7" s="64" t="s">
        <v>3780</v>
      </c>
      <c r="E7" s="64" t="s">
        <v>2029</v>
      </c>
      <c r="F7" s="64" t="s">
        <v>2030</v>
      </c>
      <c r="G7" s="64" t="s">
        <v>432</v>
      </c>
      <c r="H7" s="64" t="s">
        <v>2056</v>
      </c>
      <c r="I7" s="64"/>
      <c r="J7" s="64"/>
      <c r="K7" s="64"/>
      <c r="L7" s="64"/>
      <c r="M7" s="64"/>
      <c r="N7" s="64"/>
      <c r="O7" s="64"/>
      <c r="P7" s="64"/>
      <c r="Q7" s="64"/>
      <c r="R7" s="64"/>
      <c r="S7" s="64"/>
      <c r="T7" s="64"/>
      <c r="U7" s="64"/>
      <c r="V7" s="64"/>
      <c r="W7" s="64"/>
      <c r="X7" s="64" t="s">
        <v>2033</v>
      </c>
      <c r="Y7" s="64" t="s">
        <v>2064</v>
      </c>
      <c r="Z7" s="64" t="s">
        <v>2065</v>
      </c>
      <c r="AA7" s="64"/>
      <c r="AB7" s="64" t="s">
        <v>46</v>
      </c>
      <c r="AC7" s="64"/>
      <c r="AD7" s="64"/>
      <c r="AE7" s="64"/>
      <c r="AF7" s="70"/>
      <c r="AG7" s="70"/>
      <c r="AH7" s="64"/>
      <c r="AI7" s="64"/>
      <c r="AJ7" s="64"/>
      <c r="AK7" s="64"/>
      <c r="AL7" s="64"/>
      <c r="AM7" s="64"/>
      <c r="AN7" s="64" t="s">
        <v>2058</v>
      </c>
      <c r="AO7" s="64" t="s">
        <v>3778</v>
      </c>
      <c r="AP7" s="64"/>
      <c r="AQ7" s="64"/>
      <c r="AR7" s="64"/>
      <c r="AS7" s="69" t="str">
        <f t="shared" si="0"/>
        <v>PPneumatiques : 195/75 R16Réservoir à carburant de 100 LSuspension arrière mécaniqueFreinage avec ABSBuzzer de marche arrièreRéservoir AdBlue de 20 L GSRII (General Safety Regulation)LDWS : Avertisseur de franchissement de ligneAEBS : Système de freinage automatique d'urgenceChâssis cabine / Transmission : Propulsion arrière / Roues arrière jumelées_  Vignette Crit'air : 2</v>
      </c>
    </row>
    <row r="8" spans="1:45" ht="33.75" hidden="1" outlineLevel="1" x14ac:dyDescent="0.25">
      <c r="A8" s="64" t="s">
        <v>3536</v>
      </c>
      <c r="B8" s="64" t="s">
        <v>32</v>
      </c>
      <c r="C8" s="64" t="s">
        <v>2049</v>
      </c>
      <c r="D8" s="64" t="s">
        <v>2074</v>
      </c>
      <c r="E8" s="64" t="s">
        <v>2029</v>
      </c>
      <c r="F8" s="64" t="s">
        <v>2030</v>
      </c>
      <c r="G8" s="64" t="s">
        <v>432</v>
      </c>
      <c r="H8" s="64" t="s">
        <v>2056</v>
      </c>
      <c r="I8" s="64"/>
      <c r="J8" s="64"/>
      <c r="K8" s="64"/>
      <c r="L8" s="64"/>
      <c r="M8" s="64"/>
      <c r="N8" s="64"/>
      <c r="O8" s="64"/>
      <c r="P8" s="64"/>
      <c r="Q8" s="64"/>
      <c r="R8" s="64"/>
      <c r="S8" s="64"/>
      <c r="T8" s="64"/>
      <c r="U8" s="64"/>
      <c r="V8" s="64"/>
      <c r="W8" s="64"/>
      <c r="X8" s="64" t="s">
        <v>2033</v>
      </c>
      <c r="Y8" s="64" t="s">
        <v>2064</v>
      </c>
      <c r="Z8" s="64" t="s">
        <v>2065</v>
      </c>
      <c r="AA8" s="64"/>
      <c r="AB8" s="64" t="s">
        <v>46</v>
      </c>
      <c r="AC8" s="64"/>
      <c r="AD8" s="64"/>
      <c r="AE8" s="64"/>
      <c r="AF8" s="70"/>
      <c r="AG8" s="70"/>
      <c r="AH8" s="64"/>
      <c r="AI8" s="64"/>
      <c r="AJ8" s="64"/>
      <c r="AK8" s="64"/>
      <c r="AL8" s="64"/>
      <c r="AM8" s="64"/>
      <c r="AN8" s="64" t="s">
        <v>2058</v>
      </c>
      <c r="AO8" s="64" t="s">
        <v>3778</v>
      </c>
      <c r="AP8" s="64"/>
      <c r="AQ8" s="64"/>
      <c r="AR8" s="64"/>
      <c r="AS8" s="69" t="str">
        <f t="shared" si="0"/>
        <v>PPneumatiques : 225/75 R16Réservoir à carburant de 120 LSuspension arrière mécaniqueFreinage avec ABSBuzzer de marche arrièreRéservoir AdBlue de 20 L GSRII (General Safety Regulation)LDWS : Avertisseur de franchissement de ligneAEBS : Système de freinage automatique d'urgenceChâssis cabine / Transmission : Propulsion arrière / Roues arrière jumelées_  Vignette Crit'air : 2</v>
      </c>
    </row>
    <row r="9" spans="1:45" ht="45" hidden="1" outlineLevel="1" x14ac:dyDescent="0.25">
      <c r="A9" s="64" t="s">
        <v>3510</v>
      </c>
      <c r="B9" s="64" t="s">
        <v>32</v>
      </c>
      <c r="C9" s="64" t="s">
        <v>2054</v>
      </c>
      <c r="D9" s="64" t="s">
        <v>3781</v>
      </c>
      <c r="E9" s="64" t="s">
        <v>2061</v>
      </c>
      <c r="F9" s="64" t="s">
        <v>2030</v>
      </c>
      <c r="G9" s="64" t="s">
        <v>432</v>
      </c>
      <c r="H9" s="64"/>
      <c r="I9" s="64" t="s">
        <v>433</v>
      </c>
      <c r="J9" s="64"/>
      <c r="K9" s="64"/>
      <c r="L9" s="64"/>
      <c r="M9" s="64"/>
      <c r="N9" s="64"/>
      <c r="O9" s="64"/>
      <c r="P9" s="64"/>
      <c r="Q9" s="64"/>
      <c r="R9" s="64"/>
      <c r="S9" s="64"/>
      <c r="T9" s="64"/>
      <c r="U9" s="64"/>
      <c r="V9" s="64"/>
      <c r="W9" s="64"/>
      <c r="X9" s="64" t="s">
        <v>2033</v>
      </c>
      <c r="Y9" s="64" t="s">
        <v>2064</v>
      </c>
      <c r="Z9" s="64" t="s">
        <v>2065</v>
      </c>
      <c r="AA9" s="64"/>
      <c r="AB9" s="64" t="s">
        <v>3782</v>
      </c>
      <c r="AC9" s="64"/>
      <c r="AD9" s="64"/>
      <c r="AE9" s="64"/>
      <c r="AF9" s="70"/>
      <c r="AG9" s="70"/>
      <c r="AH9" s="64"/>
      <c r="AI9" s="64"/>
      <c r="AJ9" s="64"/>
      <c r="AK9" s="64"/>
      <c r="AL9" s="64"/>
      <c r="AM9" s="64"/>
      <c r="AN9" s="64" t="s">
        <v>2058</v>
      </c>
      <c r="AO9" s="64" t="s">
        <v>3783</v>
      </c>
      <c r="AP9" s="64"/>
      <c r="AQ9" s="64"/>
      <c r="AR9" s="64"/>
      <c r="AS9" s="69" t="str">
        <f t="shared" si="0"/>
        <v>PPneumatiques : 195/75 R16Réservoir GNC : 6 bouteilles de méthane 224 L (37kg) / Réservoir essence : 14 LSuspension arrière mécanique avec HELPERFreinage avec ABSBuzzer de marche arrièreSans support roue de secours et sans roue de secoursGSRII (General Safety Regulation)LDWS : Avertisseur de franchissement de ligneAEBS : Système de freinage automatique d'urgenceAutonomie GNC : 200 à 230 km environ / Autonomie essence : 70km environChâssis cabine / Transmission : Propulsion arrière / Roues arrière jumelées_  Vignette Crit'air : 1</v>
      </c>
    </row>
    <row r="10" spans="1:45" s="79" customFormat="1" ht="24.95" hidden="1" customHeight="1" outlineLevel="1" x14ac:dyDescent="0.25">
      <c r="A10" s="64" t="s">
        <v>3543</v>
      </c>
      <c r="B10" s="64" t="s">
        <v>32</v>
      </c>
      <c r="C10" s="64" t="s">
        <v>2049</v>
      </c>
      <c r="D10" s="64" t="s">
        <v>3784</v>
      </c>
      <c r="E10" s="64" t="s">
        <v>2061</v>
      </c>
      <c r="F10" s="64" t="s">
        <v>2030</v>
      </c>
      <c r="G10" s="64" t="s">
        <v>432</v>
      </c>
      <c r="H10" s="64"/>
      <c r="I10" s="64"/>
      <c r="J10" s="64"/>
      <c r="K10" s="64"/>
      <c r="L10" s="64"/>
      <c r="M10" s="64"/>
      <c r="N10" s="64"/>
      <c r="O10" s="64"/>
      <c r="P10" s="64"/>
      <c r="Q10" s="64"/>
      <c r="R10" s="64"/>
      <c r="S10" s="64"/>
      <c r="T10" s="64"/>
      <c r="U10" s="64"/>
      <c r="V10" s="64"/>
      <c r="W10" s="64"/>
      <c r="X10" s="64" t="s">
        <v>2033</v>
      </c>
      <c r="Y10" s="64" t="s">
        <v>2064</v>
      </c>
      <c r="Z10" s="64" t="s">
        <v>2065</v>
      </c>
      <c r="AA10" s="64"/>
      <c r="AB10" s="64" t="s">
        <v>3785</v>
      </c>
      <c r="AC10" s="64"/>
      <c r="AD10" s="64"/>
      <c r="AE10" s="64"/>
      <c r="AF10" s="70"/>
      <c r="AG10" s="70"/>
      <c r="AH10" s="64"/>
      <c r="AI10" s="64"/>
      <c r="AJ10" s="64"/>
      <c r="AK10" s="64"/>
      <c r="AL10" s="64"/>
      <c r="AM10" s="64"/>
      <c r="AN10" s="64" t="s">
        <v>2058</v>
      </c>
      <c r="AO10" s="64" t="s">
        <v>3783</v>
      </c>
      <c r="AP10" s="64"/>
      <c r="AQ10" s="64"/>
      <c r="AR10" s="64"/>
      <c r="AS10" s="69" t="str">
        <f t="shared" si="0"/>
        <v>PPneumatiques : 225/75 R16Réservoir GNC : 302 L (49kg) / Pas de réservoir EssenceSuspension arrière mécanique avec HELPERFreinage avec ABSBuzzer de marche arrièreGSRII (General Safety Regulation)LDWS : Avertisseur de franchissement de ligneAEBS : Système de freinage automatique d'urgenceAutonomie GNC : 250 à 280 km environChâssis cabine / Transmission : Propulsion arrière / Roues arrière jumelées_  Vignette Crit'air : 1</v>
      </c>
    </row>
    <row r="11" spans="1:45" ht="33.75" hidden="1" outlineLevel="1" x14ac:dyDescent="0.25">
      <c r="A11" s="64" t="s">
        <v>3633</v>
      </c>
      <c r="B11" s="64" t="s">
        <v>32</v>
      </c>
      <c r="C11" s="64" t="s">
        <v>2063</v>
      </c>
      <c r="D11" s="64"/>
      <c r="E11" s="64" t="s">
        <v>2029</v>
      </c>
      <c r="F11" s="64" t="s">
        <v>2030</v>
      </c>
      <c r="G11" s="64" t="s">
        <v>432</v>
      </c>
      <c r="H11" s="64"/>
      <c r="I11" s="64"/>
      <c r="J11" s="64"/>
      <c r="K11" s="64"/>
      <c r="L11" s="64"/>
      <c r="M11" s="64"/>
      <c r="N11" s="64"/>
      <c r="O11" s="64"/>
      <c r="P11" s="64"/>
      <c r="Q11" s="64"/>
      <c r="R11" s="64"/>
      <c r="S11" s="64"/>
      <c r="T11" s="64"/>
      <c r="U11" s="64"/>
      <c r="V11" s="64"/>
      <c r="W11" s="64"/>
      <c r="X11" s="69" t="s">
        <v>2033</v>
      </c>
      <c r="Y11" s="64"/>
      <c r="Z11" s="64"/>
      <c r="AA11" s="64"/>
      <c r="AB11" s="64" t="s">
        <v>46</v>
      </c>
      <c r="AC11" s="64"/>
      <c r="AD11" s="64"/>
      <c r="AE11" s="64"/>
      <c r="AF11" s="70"/>
      <c r="AG11" s="70"/>
      <c r="AH11" s="64"/>
      <c r="AI11" s="64"/>
      <c r="AJ11" s="64"/>
      <c r="AK11" s="64"/>
      <c r="AL11" s="64"/>
      <c r="AM11" s="64"/>
      <c r="AN11" s="64" t="s">
        <v>2048</v>
      </c>
      <c r="AO11" s="64" t="s">
        <v>3786</v>
      </c>
      <c r="AP11" s="64"/>
      <c r="AQ11" s="64"/>
      <c r="AR11" s="64"/>
      <c r="AS11" s="69" t="str">
        <f t="shared" si="0"/>
        <v>PPneumatiques : 235/65 R16Suspension arrière mécaniqueFreinage avec ABSBuzzer de marche arrièreGSRII (General Safety Regulation)Plancher cabine / Transmission : Traction avant / Roues arrière simples_  Vignette Crit'air : 0</v>
      </c>
    </row>
    <row r="12" spans="1:45" ht="33.75" hidden="1" outlineLevel="1" x14ac:dyDescent="0.25">
      <c r="A12" s="64" t="s">
        <v>3435</v>
      </c>
      <c r="B12" s="64" t="s">
        <v>3787</v>
      </c>
      <c r="C12" s="64" t="s">
        <v>3788</v>
      </c>
      <c r="D12" s="64"/>
      <c r="E12" s="64" t="s">
        <v>2029</v>
      </c>
      <c r="F12" s="64"/>
      <c r="G12" s="64" t="s">
        <v>432</v>
      </c>
      <c r="H12" s="64"/>
      <c r="I12" s="64" t="s">
        <v>433</v>
      </c>
      <c r="J12" s="64"/>
      <c r="K12" s="64"/>
      <c r="L12" s="64"/>
      <c r="M12" s="64"/>
      <c r="N12" s="64"/>
      <c r="O12" s="64"/>
      <c r="P12" s="64"/>
      <c r="Q12" s="64"/>
      <c r="R12" s="64"/>
      <c r="S12" s="64"/>
      <c r="T12" s="64"/>
      <c r="U12" s="64"/>
      <c r="V12" s="64"/>
      <c r="W12" s="64"/>
      <c r="X12" s="64"/>
      <c r="Y12" s="64"/>
      <c r="Z12" s="64"/>
      <c r="AA12" s="64"/>
      <c r="AB12" s="64" t="s">
        <v>46</v>
      </c>
      <c r="AC12" s="64"/>
      <c r="AD12" s="64"/>
      <c r="AE12" s="64"/>
      <c r="AF12" s="70"/>
      <c r="AG12" s="70"/>
      <c r="AH12" s="64"/>
      <c r="AI12" s="64"/>
      <c r="AJ12" s="64"/>
      <c r="AK12" s="64"/>
      <c r="AL12" s="64"/>
      <c r="AM12" s="64"/>
      <c r="AN12" s="64" t="s">
        <v>46</v>
      </c>
      <c r="AO12" s="64" t="s">
        <v>3786</v>
      </c>
      <c r="AP12" s="64"/>
      <c r="AQ12" s="64"/>
      <c r="AR12" s="64"/>
      <c r="AS12" s="69" t="str">
        <f t="shared" si="0"/>
        <v>pPneumatiques : 155/R13CSuspension arrière mécaniqueBuzzer de marche arrièreSans support roue de secours et sans roue de secours_  Vignette Crit'air : 0</v>
      </c>
    </row>
    <row r="13" spans="1:45" ht="90" hidden="1" outlineLevel="1" x14ac:dyDescent="0.25">
      <c r="A13" s="64" t="s">
        <v>3311</v>
      </c>
      <c r="B13" s="64" t="s">
        <v>32</v>
      </c>
      <c r="C13" s="64" t="s">
        <v>2035</v>
      </c>
      <c r="D13" s="64" t="s">
        <v>2028</v>
      </c>
      <c r="E13" s="64" t="s">
        <v>2029</v>
      </c>
      <c r="F13" s="64" t="s">
        <v>2030</v>
      </c>
      <c r="G13" s="64" t="s">
        <v>432</v>
      </c>
      <c r="H13" s="64" t="s">
        <v>2031</v>
      </c>
      <c r="I13" s="64"/>
      <c r="J13" s="64"/>
      <c r="K13" s="64"/>
      <c r="L13" s="64"/>
      <c r="M13" s="64"/>
      <c r="N13" s="64"/>
      <c r="O13" s="64"/>
      <c r="P13" s="64"/>
      <c r="Q13" s="64"/>
      <c r="R13" s="64"/>
      <c r="S13" s="64"/>
      <c r="T13" s="64"/>
      <c r="U13" s="64"/>
      <c r="V13" s="64"/>
      <c r="W13" s="64"/>
      <c r="X13" s="64" t="s">
        <v>2033</v>
      </c>
      <c r="Y13" s="64" t="s">
        <v>3789</v>
      </c>
      <c r="Z13" s="64"/>
      <c r="AA13" s="64"/>
      <c r="AB13" s="64" t="s">
        <v>46</v>
      </c>
      <c r="AC13" s="64"/>
      <c r="AD13" s="64"/>
      <c r="AE13" s="64"/>
      <c r="AF13" s="70"/>
      <c r="AG13" s="70"/>
      <c r="AH13" s="64"/>
      <c r="AI13" s="64"/>
      <c r="AJ13" s="64"/>
      <c r="AK13" s="64"/>
      <c r="AL13" s="64"/>
      <c r="AM13" s="64"/>
      <c r="AN13" s="64" t="s">
        <v>2124</v>
      </c>
      <c r="AO13" s="64" t="s">
        <v>3778</v>
      </c>
      <c r="AP13" s="64"/>
      <c r="AQ13" s="64"/>
      <c r="AR13" s="64"/>
      <c r="AS13" s="69" t="str">
        <f t="shared" si="0"/>
        <v>PPneumatiques : 195/65 R15Réservoir à carburant de 50 LSuspension arrière mécaniqueFreinage avec ABSBuzzer de marche arrièreRéservoir AdBlue de 17 LGSRII (General Safety Regulation)Pack Safety : Alerte risque collision &amp; Freinage d'urgence, Lecture des panneaux de vitesse, Détection &amp; Alerte somnolence, Alerte franchissement de ligne avec correctionFourgon Tôlé / Transmission : Traction avant / Roues arrière simples_  Vignette Crit'air : 2</v>
      </c>
    </row>
    <row r="14" spans="1:45" ht="33.75" hidden="1" outlineLevel="1" x14ac:dyDescent="0.25">
      <c r="A14" s="64" t="s">
        <v>3359</v>
      </c>
      <c r="B14" s="64" t="s">
        <v>32</v>
      </c>
      <c r="C14" s="64" t="s">
        <v>3790</v>
      </c>
      <c r="D14" s="64" t="s">
        <v>2050</v>
      </c>
      <c r="E14" s="64" t="s">
        <v>2029</v>
      </c>
      <c r="F14" s="64" t="s">
        <v>2030</v>
      </c>
      <c r="G14" s="64" t="s">
        <v>2051</v>
      </c>
      <c r="H14" s="64" t="s">
        <v>2052</v>
      </c>
      <c r="I14" s="64"/>
      <c r="J14" s="64"/>
      <c r="K14" s="64"/>
      <c r="L14" s="64"/>
      <c r="M14" s="64"/>
      <c r="N14" s="64"/>
      <c r="O14" s="64"/>
      <c r="P14" s="64"/>
      <c r="Q14" s="64"/>
      <c r="R14" s="64"/>
      <c r="S14" s="64"/>
      <c r="T14" s="64"/>
      <c r="U14" s="64"/>
      <c r="V14" s="64"/>
      <c r="W14" s="64"/>
      <c r="X14" s="64" t="s">
        <v>2033</v>
      </c>
      <c r="Y14" s="64"/>
      <c r="Z14" s="64"/>
      <c r="AA14" s="64"/>
      <c r="AB14" s="64" t="s">
        <v>46</v>
      </c>
      <c r="AC14" s="64"/>
      <c r="AD14" s="64"/>
      <c r="AE14" s="64"/>
      <c r="AF14" s="70"/>
      <c r="AG14" s="70"/>
      <c r="AH14" s="64"/>
      <c r="AI14" s="64"/>
      <c r="AJ14" s="64"/>
      <c r="AK14" s="64"/>
      <c r="AL14" s="64"/>
      <c r="AM14" s="64"/>
      <c r="AN14" s="64" t="s">
        <v>2124</v>
      </c>
      <c r="AO14" s="64" t="s">
        <v>3778</v>
      </c>
      <c r="AP14" s="64"/>
      <c r="AQ14" s="64"/>
      <c r="AR14" s="64"/>
      <c r="AS14" s="69" t="str">
        <f t="shared" si="0"/>
        <v>PPneumatiques : 215/70 R15C classe CRéservoir à carburant de 90 LSuspension arrière mécaniqueFreinage avec ABSAvertisseur de marche arrièreRéservoir AdBlue de 19 L GSRII (General Safety Regulation)Fourgon Tôlé / Transmission : Traction avant / Roues arrière simples_  Vignette Crit'air : 2</v>
      </c>
    </row>
    <row r="15" spans="1:45" ht="33.75" hidden="1" outlineLevel="1" x14ac:dyDescent="0.25">
      <c r="A15" s="64" t="s">
        <v>3343</v>
      </c>
      <c r="B15" s="64" t="s">
        <v>32</v>
      </c>
      <c r="C15" s="64" t="s">
        <v>3790</v>
      </c>
      <c r="D15" s="64" t="s">
        <v>2050</v>
      </c>
      <c r="E15" s="64" t="s">
        <v>2029</v>
      </c>
      <c r="F15" s="64" t="s">
        <v>2030</v>
      </c>
      <c r="G15" s="64" t="s">
        <v>432</v>
      </c>
      <c r="H15" s="64" t="s">
        <v>2052</v>
      </c>
      <c r="I15" s="64"/>
      <c r="J15" s="64"/>
      <c r="K15" s="64"/>
      <c r="L15" s="64"/>
      <c r="M15" s="64"/>
      <c r="N15" s="64"/>
      <c r="O15" s="64"/>
      <c r="P15" s="64"/>
      <c r="Q15" s="64"/>
      <c r="R15" s="64"/>
      <c r="S15" s="64"/>
      <c r="T15" s="64"/>
      <c r="U15" s="64"/>
      <c r="V15" s="64"/>
      <c r="W15" s="64"/>
      <c r="X15" s="64" t="s">
        <v>2033</v>
      </c>
      <c r="Y15" s="64"/>
      <c r="Z15" s="64"/>
      <c r="AA15" s="64"/>
      <c r="AB15" s="64" t="s">
        <v>46</v>
      </c>
      <c r="AC15" s="64"/>
      <c r="AD15" s="64"/>
      <c r="AE15" s="64"/>
      <c r="AF15" s="70"/>
      <c r="AG15" s="70"/>
      <c r="AH15" s="64"/>
      <c r="AI15" s="64"/>
      <c r="AJ15" s="64"/>
      <c r="AK15" s="64"/>
      <c r="AL15" s="64"/>
      <c r="AM15" s="64"/>
      <c r="AN15" s="64" t="s">
        <v>2048</v>
      </c>
      <c r="AO15" s="64" t="s">
        <v>3778</v>
      </c>
      <c r="AP15" s="64"/>
      <c r="AQ15" s="64"/>
      <c r="AR15" s="64"/>
      <c r="AS15" s="69" t="str">
        <f t="shared" si="0"/>
        <v>PPneumatiques : 215/70 R15C classe CRéservoir à carburant de 90 LSuspension arrière mécaniqueFreinage avec ABSBuzzer de marche arrièreRéservoir AdBlue de 19 L GSRII (General Safety Regulation)Plancher cabine / Transmission : Traction avant / Roues arrière simples_  Vignette Crit'air : 2</v>
      </c>
    </row>
    <row r="16" spans="1:45" ht="22.5" hidden="1" outlineLevel="1" x14ac:dyDescent="0.25">
      <c r="A16" s="64" t="s">
        <v>4270</v>
      </c>
      <c r="B16" s="64" t="s">
        <v>424</v>
      </c>
      <c r="C16" s="64"/>
      <c r="D16" s="64" t="s">
        <v>3946</v>
      </c>
      <c r="E16" s="64"/>
      <c r="F16" s="64"/>
      <c r="G16" s="64"/>
      <c r="H16" s="64"/>
      <c r="I16" s="64" t="s">
        <v>3947</v>
      </c>
      <c r="J16" s="64"/>
      <c r="K16" s="64"/>
      <c r="L16" s="64"/>
      <c r="M16" s="64"/>
      <c r="N16" s="64"/>
      <c r="O16" s="64"/>
      <c r="P16" s="64"/>
      <c r="Q16" s="64" t="s">
        <v>3948</v>
      </c>
      <c r="R16" s="64"/>
      <c r="S16" s="64"/>
      <c r="T16" s="64"/>
      <c r="U16" s="64"/>
      <c r="V16" s="64"/>
      <c r="W16" s="64"/>
      <c r="X16" s="64"/>
      <c r="Y16" s="64"/>
      <c r="Z16" s="64"/>
      <c r="AA16" s="64"/>
      <c r="AB16" s="64"/>
      <c r="AC16" s="64"/>
      <c r="AD16" s="64"/>
      <c r="AE16" s="64"/>
      <c r="AF16" s="64"/>
      <c r="AG16" s="64"/>
      <c r="AH16" s="64"/>
      <c r="AI16" s="64"/>
      <c r="AJ16" s="64"/>
      <c r="AK16" s="64"/>
      <c r="AL16" s="70"/>
      <c r="AM16" s="70"/>
      <c r="AN16" s="70"/>
      <c r="AO16" s="64"/>
      <c r="AP16" s="69"/>
      <c r="AQ16" s="64"/>
      <c r="AR16" s="64"/>
      <c r="AS16" s="69" t="str">
        <f t="shared" si="0"/>
        <v>O1 Paire Pneus neigeSans support et sans roue de secoursSabot de DENVER (CU : -25 Kg)</v>
      </c>
    </row>
    <row r="17" spans="1:45" s="96" customFormat="1" ht="90" hidden="1" outlineLevel="1" x14ac:dyDescent="0.25">
      <c r="A17" s="64" t="s">
        <v>4271</v>
      </c>
      <c r="B17" s="64" t="s">
        <v>424</v>
      </c>
      <c r="C17" s="64"/>
      <c r="D17" s="64" t="s">
        <v>3949</v>
      </c>
      <c r="E17" s="64"/>
      <c r="F17" s="64"/>
      <c r="G17" s="64" t="s">
        <v>432</v>
      </c>
      <c r="H17" s="64"/>
      <c r="I17" s="64" t="s">
        <v>3950</v>
      </c>
      <c r="J17" s="64"/>
      <c r="K17" s="64"/>
      <c r="L17" s="64"/>
      <c r="M17" s="64"/>
      <c r="N17" s="64"/>
      <c r="O17" s="64"/>
      <c r="P17" s="64"/>
      <c r="Q17" s="64" t="s">
        <v>3948</v>
      </c>
      <c r="R17" s="64"/>
      <c r="S17" s="64"/>
      <c r="T17" s="64"/>
      <c r="U17" s="64"/>
      <c r="V17" s="64"/>
      <c r="W17" s="64"/>
      <c r="X17" s="64"/>
      <c r="Y17" s="64" t="s">
        <v>3951</v>
      </c>
      <c r="Z17" s="64"/>
      <c r="AA17" s="64"/>
      <c r="AB17" s="64" t="s">
        <v>46</v>
      </c>
      <c r="AC17" s="64"/>
      <c r="AD17" s="64"/>
      <c r="AE17" s="64"/>
      <c r="AF17" s="64"/>
      <c r="AG17" s="64"/>
      <c r="AH17" s="64"/>
      <c r="AI17" s="64"/>
      <c r="AJ17" s="64"/>
      <c r="AK17" s="64"/>
      <c r="AL17" s="64"/>
      <c r="AM17" s="64"/>
      <c r="AN17" s="205" t="s">
        <v>46</v>
      </c>
      <c r="AO17" s="64"/>
      <c r="AP17" s="64"/>
      <c r="AQ17" s="64"/>
      <c r="AR17" s="64"/>
      <c r="AS17" s="69" t="str">
        <f t="shared" si="0"/>
        <v>OPneus neige  1 essieuBuzzer de marche arrièreSans support et sans roue de secours (CU : +24 Kg)Sabot de DENVER (CU : -25 Kg)Alerte franchissement de ligne / Reconnaissance de panneaux (Pack Sécurité) / feux adaptatifs induit Finition PRO LOUNGE CONNECT (Navigation 3D , Pack Visibilité, Pack Rétrovision)</v>
      </c>
    </row>
    <row r="18" spans="1:45" s="96" customFormat="1" ht="33.75" hidden="1" outlineLevel="1" x14ac:dyDescent="0.25">
      <c r="A18" s="64" t="s">
        <v>4272</v>
      </c>
      <c r="B18" s="64" t="s">
        <v>424</v>
      </c>
      <c r="C18" s="64"/>
      <c r="D18" s="64" t="s">
        <v>3949</v>
      </c>
      <c r="E18" s="64"/>
      <c r="F18" s="64"/>
      <c r="G18" s="64" t="s">
        <v>432</v>
      </c>
      <c r="H18" s="64"/>
      <c r="I18" s="64" t="s">
        <v>3950</v>
      </c>
      <c r="J18" s="64"/>
      <c r="K18" s="64"/>
      <c r="L18" s="64"/>
      <c r="M18" s="64"/>
      <c r="N18" s="64"/>
      <c r="O18" s="64"/>
      <c r="P18" s="64"/>
      <c r="Q18" s="64" t="s">
        <v>3948</v>
      </c>
      <c r="R18" s="64"/>
      <c r="S18" s="64"/>
      <c r="T18" s="64"/>
      <c r="U18" s="64"/>
      <c r="V18" s="64"/>
      <c r="W18" s="64"/>
      <c r="X18" s="64"/>
      <c r="Y18" s="64"/>
      <c r="Z18" s="64"/>
      <c r="AA18" s="64"/>
      <c r="AB18" s="64" t="s">
        <v>46</v>
      </c>
      <c r="AC18" s="64"/>
      <c r="AD18" s="64"/>
      <c r="AE18" s="64"/>
      <c r="AF18" s="64"/>
      <c r="AG18" s="64"/>
      <c r="AH18" s="64"/>
      <c r="AI18" s="64"/>
      <c r="AJ18" s="64"/>
      <c r="AK18" s="64"/>
      <c r="AL18" s="64"/>
      <c r="AM18" s="64"/>
      <c r="AN18" s="205" t="s">
        <v>46</v>
      </c>
      <c r="AO18" s="64"/>
      <c r="AP18" s="64"/>
      <c r="AQ18" s="64"/>
      <c r="AR18" s="64"/>
      <c r="AS18" s="69" t="str">
        <f t="shared" si="0"/>
        <v>OPneus neige  1 essieuBuzzer de marche arrièreSans support et sans roue de secours (CU : +24 Kg)Sabot de DENVER (CU : -25 Kg)</v>
      </c>
    </row>
    <row r="19" spans="1:45" ht="33.75" hidden="1" outlineLevel="1" x14ac:dyDescent="0.25">
      <c r="A19" s="64" t="s">
        <v>4273</v>
      </c>
      <c r="B19" s="64" t="s">
        <v>424</v>
      </c>
      <c r="C19" s="64"/>
      <c r="D19" s="64" t="s">
        <v>3952</v>
      </c>
      <c r="E19" s="64"/>
      <c r="F19" s="64"/>
      <c r="G19" s="64" t="s">
        <v>432</v>
      </c>
      <c r="H19" s="64"/>
      <c r="I19" s="64" t="s">
        <v>3950</v>
      </c>
      <c r="J19" s="64"/>
      <c r="K19" s="64"/>
      <c r="L19" s="64"/>
      <c r="M19" s="64"/>
      <c r="N19" s="64"/>
      <c r="O19" s="64"/>
      <c r="P19" s="64"/>
      <c r="Q19" s="64" t="s">
        <v>3948</v>
      </c>
      <c r="R19" s="64"/>
      <c r="S19" s="64"/>
      <c r="T19" s="64"/>
      <c r="U19" s="64"/>
      <c r="V19" s="64"/>
      <c r="W19" s="64"/>
      <c r="X19" s="64"/>
      <c r="Y19" s="64"/>
      <c r="Z19" s="64"/>
      <c r="AA19" s="64"/>
      <c r="AB19" s="64" t="s">
        <v>46</v>
      </c>
      <c r="AC19" s="64"/>
      <c r="AD19" s="64"/>
      <c r="AE19" s="64"/>
      <c r="AF19" s="64"/>
      <c r="AG19" s="64"/>
      <c r="AH19" s="64"/>
      <c r="AI19" s="64"/>
      <c r="AJ19" s="64"/>
      <c r="AK19" s="64"/>
      <c r="AL19" s="64"/>
      <c r="AM19" s="64"/>
      <c r="AN19" s="205" t="s">
        <v>46</v>
      </c>
      <c r="AO19" s="64"/>
      <c r="AP19" s="64"/>
      <c r="AQ19" s="64"/>
      <c r="AR19" s="64"/>
      <c r="AS19" s="69" t="str">
        <f t="shared" si="0"/>
        <v>OPneus neige  Buzzer de marche arrièreSans support et sans roue de secours (CU : +24 Kg)Sabot de DENVER (CU : -25 Kg)</v>
      </c>
    </row>
    <row r="20" spans="1:45" ht="33.75" hidden="1" outlineLevel="1" x14ac:dyDescent="0.25">
      <c r="A20" s="64" t="s">
        <v>4274</v>
      </c>
      <c r="B20" s="64" t="s">
        <v>424</v>
      </c>
      <c r="C20" s="64"/>
      <c r="D20" s="64" t="s">
        <v>3952</v>
      </c>
      <c r="E20" s="64"/>
      <c r="F20" s="64"/>
      <c r="G20" s="64" t="s">
        <v>432</v>
      </c>
      <c r="H20" s="64"/>
      <c r="I20" s="64" t="s">
        <v>3950</v>
      </c>
      <c r="J20" s="64"/>
      <c r="K20" s="64"/>
      <c r="L20" s="64"/>
      <c r="M20" s="64"/>
      <c r="N20" s="64"/>
      <c r="O20" s="64"/>
      <c r="P20" s="64"/>
      <c r="Q20" s="64" t="s">
        <v>3948</v>
      </c>
      <c r="R20" s="64"/>
      <c r="S20" s="64"/>
      <c r="T20" s="64"/>
      <c r="U20" s="64"/>
      <c r="V20" s="64"/>
      <c r="W20" s="64"/>
      <c r="X20" s="64"/>
      <c r="Y20" s="64"/>
      <c r="Z20" s="64"/>
      <c r="AA20" s="64"/>
      <c r="AB20" s="64" t="s">
        <v>46</v>
      </c>
      <c r="AC20" s="64"/>
      <c r="AD20" s="64"/>
      <c r="AE20" s="64"/>
      <c r="AF20" s="64"/>
      <c r="AG20" s="64"/>
      <c r="AH20" s="64"/>
      <c r="AI20" s="64"/>
      <c r="AJ20" s="64"/>
      <c r="AK20" s="64"/>
      <c r="AL20" s="64"/>
      <c r="AM20" s="64"/>
      <c r="AN20" s="205" t="s">
        <v>46</v>
      </c>
      <c r="AO20" s="64"/>
      <c r="AP20" s="64"/>
      <c r="AQ20" s="64"/>
      <c r="AR20" s="64"/>
      <c r="AS20" s="69" t="str">
        <f t="shared" si="0"/>
        <v>OPneus neige  Buzzer de marche arrièreSans support et sans roue de secours (CU : +24 Kg)Sabot de DENVER (CU : -25 Kg)</v>
      </c>
    </row>
    <row r="21" spans="1:45" ht="22.5" hidden="1" outlineLevel="1" x14ac:dyDescent="0.25">
      <c r="A21" s="64" t="s">
        <v>4275</v>
      </c>
      <c r="B21" s="64" t="s">
        <v>424</v>
      </c>
      <c r="C21" s="64"/>
      <c r="D21" s="64" t="s">
        <v>3952</v>
      </c>
      <c r="E21" s="64"/>
      <c r="F21" s="64"/>
      <c r="G21" s="64" t="s">
        <v>432</v>
      </c>
      <c r="H21" s="64"/>
      <c r="I21" s="64"/>
      <c r="J21" s="64"/>
      <c r="K21" s="64"/>
      <c r="L21" s="64"/>
      <c r="M21" s="64"/>
      <c r="N21" s="64"/>
      <c r="O21" s="64"/>
      <c r="P21" s="64"/>
      <c r="Q21" s="64" t="s">
        <v>3948</v>
      </c>
      <c r="R21" s="64"/>
      <c r="S21" s="64"/>
      <c r="T21" s="64"/>
      <c r="U21" s="64"/>
      <c r="V21" s="64"/>
      <c r="W21" s="64"/>
      <c r="X21" s="64"/>
      <c r="Y21" s="64"/>
      <c r="Z21" s="64"/>
      <c r="AA21" s="64"/>
      <c r="AB21" s="64" t="s">
        <v>46</v>
      </c>
      <c r="AC21" s="64"/>
      <c r="AD21" s="64"/>
      <c r="AE21" s="64"/>
      <c r="AF21" s="64"/>
      <c r="AG21" s="64"/>
      <c r="AH21" s="64"/>
      <c r="AI21" s="64"/>
      <c r="AJ21" s="64"/>
      <c r="AK21" s="64"/>
      <c r="AL21" s="64"/>
      <c r="AM21" s="64"/>
      <c r="AN21" s="205" t="s">
        <v>46</v>
      </c>
      <c r="AO21" s="64"/>
      <c r="AP21" s="64"/>
      <c r="AQ21" s="64"/>
      <c r="AR21" s="64"/>
      <c r="AS21" s="69" t="str">
        <f t="shared" si="0"/>
        <v>OPneus neige  Buzzer de marche arrièreSabot de DENVER (CU : -25 Kg)</v>
      </c>
    </row>
    <row r="22" spans="1:45" s="79" customFormat="1" ht="24.95" hidden="1" customHeight="1" outlineLevel="1" x14ac:dyDescent="0.25">
      <c r="A22" s="64" t="s">
        <v>4276</v>
      </c>
      <c r="B22" s="64" t="s">
        <v>424</v>
      </c>
      <c r="C22" s="64"/>
      <c r="D22" s="64" t="s">
        <v>3949</v>
      </c>
      <c r="E22" s="64"/>
      <c r="F22" s="64"/>
      <c r="G22" s="64"/>
      <c r="H22" s="64"/>
      <c r="I22" s="64"/>
      <c r="J22" s="64"/>
      <c r="K22" s="64"/>
      <c r="L22" s="64"/>
      <c r="M22" s="64"/>
      <c r="N22" s="64"/>
      <c r="O22" s="64"/>
      <c r="P22" s="64"/>
      <c r="Q22" s="64" t="s">
        <v>3948</v>
      </c>
      <c r="R22" s="64"/>
      <c r="S22" s="64"/>
      <c r="T22" s="64"/>
      <c r="U22" s="64"/>
      <c r="V22" s="64"/>
      <c r="W22" s="64"/>
      <c r="X22" s="64"/>
      <c r="Y22" s="64"/>
      <c r="Z22" s="64"/>
      <c r="AA22" s="64"/>
      <c r="AB22" s="64" t="s">
        <v>46</v>
      </c>
      <c r="AC22" s="64"/>
      <c r="AD22" s="64"/>
      <c r="AE22" s="64"/>
      <c r="AF22" s="64"/>
      <c r="AG22" s="64"/>
      <c r="AH22" s="64"/>
      <c r="AI22" s="64"/>
      <c r="AJ22" s="64"/>
      <c r="AK22" s="64"/>
      <c r="AL22" s="70"/>
      <c r="AM22" s="64"/>
      <c r="AN22" s="64"/>
      <c r="AO22" s="72"/>
      <c r="AP22" s="64"/>
      <c r="AQ22" s="64"/>
      <c r="AR22" s="64"/>
      <c r="AS22" s="69" t="str">
        <f t="shared" si="0"/>
        <v>OPneus neige  1 essieuSabot de DENVER (CU : -25 Kg)</v>
      </c>
    </row>
    <row r="23" spans="1:45" s="79" customFormat="1" ht="24.95" hidden="1" customHeight="1" outlineLevel="1" x14ac:dyDescent="0.25">
      <c r="A23" s="64" t="s">
        <v>4277</v>
      </c>
      <c r="B23" s="64" t="s">
        <v>424</v>
      </c>
      <c r="C23" s="64"/>
      <c r="D23" s="64" t="s">
        <v>3949</v>
      </c>
      <c r="E23" s="64"/>
      <c r="F23" s="64"/>
      <c r="G23" s="64"/>
      <c r="H23" s="64"/>
      <c r="I23" s="64" t="s">
        <v>3950</v>
      </c>
      <c r="J23" s="64"/>
      <c r="K23" s="64"/>
      <c r="L23" s="64"/>
      <c r="M23" s="64"/>
      <c r="N23" s="64"/>
      <c r="O23" s="64"/>
      <c r="P23" s="64"/>
      <c r="Q23" s="64" t="s">
        <v>3948</v>
      </c>
      <c r="R23" s="64"/>
      <c r="S23" s="64"/>
      <c r="T23" s="64"/>
      <c r="U23" s="64"/>
      <c r="V23" s="64"/>
      <c r="W23" s="64"/>
      <c r="X23" s="64"/>
      <c r="Y23" s="64"/>
      <c r="Z23" s="64"/>
      <c r="AA23" s="64"/>
      <c r="AB23" s="64" t="s">
        <v>46</v>
      </c>
      <c r="AC23" s="64"/>
      <c r="AD23" s="64"/>
      <c r="AE23" s="64"/>
      <c r="AF23" s="64"/>
      <c r="AG23" s="64"/>
      <c r="AH23" s="64"/>
      <c r="AI23" s="64"/>
      <c r="AJ23" s="64"/>
      <c r="AK23" s="64"/>
      <c r="AL23" s="64"/>
      <c r="AM23" s="64"/>
      <c r="AN23" s="205" t="s">
        <v>46</v>
      </c>
      <c r="AO23" s="64"/>
      <c r="AP23" s="64"/>
      <c r="AQ23" s="64"/>
      <c r="AR23" s="64"/>
      <c r="AS23" s="69" t="str">
        <f t="shared" si="0"/>
        <v>OPneus neige  1 essieuSans support et sans roue de secours (CU : +24 Kg)Sabot de DENVER (CU : -25 Kg)</v>
      </c>
    </row>
    <row r="24" spans="1:45" s="96" customFormat="1" ht="90" hidden="1" outlineLevel="1" x14ac:dyDescent="0.25">
      <c r="A24" s="64" t="s">
        <v>4278</v>
      </c>
      <c r="B24" s="64" t="s">
        <v>424</v>
      </c>
      <c r="C24" s="64"/>
      <c r="D24" s="64" t="s">
        <v>3952</v>
      </c>
      <c r="E24" s="64"/>
      <c r="F24" s="64"/>
      <c r="G24" s="64"/>
      <c r="H24" s="64"/>
      <c r="I24" s="64" t="s">
        <v>3950</v>
      </c>
      <c r="J24" s="64"/>
      <c r="K24" s="64"/>
      <c r="L24" s="64"/>
      <c r="M24" s="64"/>
      <c r="N24" s="64"/>
      <c r="O24" s="64"/>
      <c r="P24" s="64" t="s">
        <v>3953</v>
      </c>
      <c r="Q24" s="64" t="s">
        <v>3948</v>
      </c>
      <c r="R24" s="64"/>
      <c r="S24" s="64"/>
      <c r="T24" s="64"/>
      <c r="U24" s="64"/>
      <c r="V24" s="64"/>
      <c r="W24" s="64"/>
      <c r="X24" s="64"/>
      <c r="Y24" s="64" t="s">
        <v>3954</v>
      </c>
      <c r="Z24" s="64"/>
      <c r="AA24" s="64" t="s">
        <v>3955</v>
      </c>
      <c r="AB24" s="64" t="s">
        <v>46</v>
      </c>
      <c r="AC24" s="64"/>
      <c r="AD24" s="64"/>
      <c r="AE24" s="64"/>
      <c r="AF24" s="64"/>
      <c r="AG24" s="64"/>
      <c r="AH24" s="64"/>
      <c r="AI24" s="64"/>
      <c r="AJ24" s="64"/>
      <c r="AK24" s="64"/>
      <c r="AL24" s="64"/>
      <c r="AM24" s="64"/>
      <c r="AN24" s="205" t="s">
        <v>46</v>
      </c>
      <c r="AO24" s="64"/>
      <c r="AP24" s="64"/>
      <c r="AQ24" s="64"/>
      <c r="AR24" s="64"/>
      <c r="AS24" s="69" t="str">
        <f t="shared" si="0"/>
        <v>OPneus neige  Sans support et sans roue de secours (CU : +24 Kg)Capteurs de pression des pneumatiquesSabot de DENVER (CU : -25 Kg)Pack Sécurité : Alerte de Franchisssement de Ligne (LDWS), Capteurs de pluie et luminosité, Commutation automatique des feux de route,  Freinage d'urgence (AEBS),  Reconnaissance des panneauxAide à la descente (HDC)</v>
      </c>
    </row>
    <row r="25" spans="1:45" ht="90" hidden="1" outlineLevel="1" x14ac:dyDescent="0.25">
      <c r="A25" s="64" t="s">
        <v>4279</v>
      </c>
      <c r="B25" s="64" t="s">
        <v>424</v>
      </c>
      <c r="C25" s="64"/>
      <c r="D25" s="64" t="s">
        <v>3952</v>
      </c>
      <c r="E25" s="64"/>
      <c r="F25" s="64"/>
      <c r="G25" s="64" t="s">
        <v>432</v>
      </c>
      <c r="H25" s="64"/>
      <c r="I25" s="64" t="s">
        <v>3950</v>
      </c>
      <c r="J25" s="64"/>
      <c r="K25" s="64"/>
      <c r="L25" s="64"/>
      <c r="M25" s="64"/>
      <c r="N25" s="64"/>
      <c r="O25" s="64"/>
      <c r="P25" s="64" t="s">
        <v>3953</v>
      </c>
      <c r="Q25" s="64" t="s">
        <v>3948</v>
      </c>
      <c r="R25" s="64"/>
      <c r="S25" s="64"/>
      <c r="T25" s="64"/>
      <c r="U25" s="64"/>
      <c r="V25" s="64"/>
      <c r="W25" s="64"/>
      <c r="X25" s="64"/>
      <c r="Y25" s="64" t="s">
        <v>3954</v>
      </c>
      <c r="Z25" s="64"/>
      <c r="AA25" s="64" t="s">
        <v>3955</v>
      </c>
      <c r="AB25" s="64" t="s">
        <v>46</v>
      </c>
      <c r="AC25" s="64"/>
      <c r="AD25" s="64"/>
      <c r="AE25" s="64"/>
      <c r="AF25" s="64"/>
      <c r="AG25" s="64"/>
      <c r="AH25" s="64"/>
      <c r="AI25" s="64"/>
      <c r="AJ25" s="64"/>
      <c r="AK25" s="64"/>
      <c r="AL25" s="64"/>
      <c r="AM25" s="64"/>
      <c r="AN25" s="205" t="s">
        <v>46</v>
      </c>
      <c r="AO25" s="64"/>
      <c r="AP25" s="64"/>
      <c r="AQ25" s="64"/>
      <c r="AR25" s="64"/>
      <c r="AS25" s="69" t="str">
        <f t="shared" si="0"/>
        <v>OPneus neige  Buzzer de marche arrièreSans support et sans roue de secours (CU : +24 Kg)Capteurs de pression des pneumatiquesSabot de DENVER (CU : -25 Kg)Pack Sécurité : Alerte de Franchisssement de Ligne (LDWS), Capteurs de pluie et luminosité, Commutation automatique des feux de route,  Freinage d'urgence (AEBS),  Reconnaissance des panneauxAide à la descente (HDC)</v>
      </c>
    </row>
    <row r="26" spans="1:45" ht="101.25" hidden="1" outlineLevel="1" x14ac:dyDescent="0.25">
      <c r="A26" s="64" t="s">
        <v>4280</v>
      </c>
      <c r="B26" s="64" t="s">
        <v>424</v>
      </c>
      <c r="C26" s="64"/>
      <c r="D26" s="64" t="s">
        <v>3956</v>
      </c>
      <c r="E26" s="64"/>
      <c r="F26" s="64"/>
      <c r="G26" s="64" t="s">
        <v>432</v>
      </c>
      <c r="H26" s="64"/>
      <c r="I26" s="64" t="s">
        <v>3957</v>
      </c>
      <c r="J26" s="64"/>
      <c r="K26" s="64"/>
      <c r="L26" s="64"/>
      <c r="M26" s="64"/>
      <c r="N26" s="64"/>
      <c r="O26" s="64"/>
      <c r="P26" s="64" t="s">
        <v>3958</v>
      </c>
      <c r="Q26" s="64" t="s">
        <v>3959</v>
      </c>
      <c r="R26" s="64"/>
      <c r="S26" s="64"/>
      <c r="T26" s="64"/>
      <c r="U26" s="64"/>
      <c r="V26" s="64"/>
      <c r="W26" s="64"/>
      <c r="X26" s="64"/>
      <c r="Y26" s="64"/>
      <c r="Z26" s="64"/>
      <c r="AA26" s="64"/>
      <c r="AB26" s="64" t="s">
        <v>46</v>
      </c>
      <c r="AC26" s="64"/>
      <c r="AD26" s="64"/>
      <c r="AE26" s="64"/>
      <c r="AF26" s="64"/>
      <c r="AG26" s="64"/>
      <c r="AH26" s="64"/>
      <c r="AI26" s="64"/>
      <c r="AJ26" s="64"/>
      <c r="AK26" s="64"/>
      <c r="AL26" s="70"/>
      <c r="AM26" s="70"/>
      <c r="AN26" s="64"/>
      <c r="AO26" s="64"/>
      <c r="AP26" s="69"/>
      <c r="AQ26" s="64"/>
      <c r="AR26" s="64"/>
      <c r="AS26" s="69" t="str">
        <f t="shared" si="0"/>
        <v>OPneus neigeBuzzer de marche arrièreSans support et sans roue de secours (CU : +25 Kg)Capteur de pression des pneus induit Pack Safety (Airbag cond. et passager frontal + latéraux et rideaux + Capteur de pression des pneus) - (incompatible banquette passager) + Cabine 2 places  Sabot de DENVER (CU : -25 Kg)</v>
      </c>
    </row>
    <row r="27" spans="1:45" ht="101.25" hidden="1" outlineLevel="1" x14ac:dyDescent="0.25">
      <c r="A27" s="64" t="s">
        <v>4281</v>
      </c>
      <c r="B27" s="64" t="s">
        <v>424</v>
      </c>
      <c r="C27" s="64"/>
      <c r="D27" s="64" t="s">
        <v>3956</v>
      </c>
      <c r="E27" s="64"/>
      <c r="F27" s="64"/>
      <c r="G27" s="64" t="s">
        <v>432</v>
      </c>
      <c r="H27" s="64"/>
      <c r="I27" s="64" t="s">
        <v>3957</v>
      </c>
      <c r="J27" s="64"/>
      <c r="K27" s="64"/>
      <c r="L27" s="64"/>
      <c r="M27" s="64"/>
      <c r="N27" s="64"/>
      <c r="O27" s="64"/>
      <c r="P27" s="64" t="s">
        <v>3958</v>
      </c>
      <c r="Q27" s="64" t="s">
        <v>3948</v>
      </c>
      <c r="R27" s="64"/>
      <c r="S27" s="64"/>
      <c r="T27" s="64"/>
      <c r="U27" s="64"/>
      <c r="V27" s="64"/>
      <c r="W27" s="64"/>
      <c r="X27" s="64"/>
      <c r="Y27" s="64"/>
      <c r="Z27" s="64"/>
      <c r="AA27" s="64"/>
      <c r="AB27" s="64" t="s">
        <v>46</v>
      </c>
      <c r="AC27" s="64"/>
      <c r="AD27" s="64"/>
      <c r="AE27" s="64"/>
      <c r="AF27" s="64"/>
      <c r="AG27" s="64"/>
      <c r="AH27" s="64"/>
      <c r="AI27" s="64"/>
      <c r="AJ27" s="64"/>
      <c r="AK27" s="64"/>
      <c r="AL27" s="70"/>
      <c r="AM27" s="70"/>
      <c r="AN27" s="64"/>
      <c r="AO27" s="64"/>
      <c r="AP27" s="69"/>
      <c r="AQ27" s="64"/>
      <c r="AR27" s="64"/>
      <c r="AS27" s="69" t="str">
        <f t="shared" si="0"/>
        <v>OPneus neigeBuzzer de marche arrièreSans support et sans roue de secours (CU : +25 Kg)Capteur de pression des pneus induit Pack Safety (Airbag cond. et passager frontal + latéraux et rideaux + Capteur de pression des pneus) - (incompatible banquette passager) + Cabine 2 places Sabot de DENVER (CU : -25 Kg)</v>
      </c>
    </row>
    <row r="28" spans="1:45" s="79" customFormat="1" ht="24.95" hidden="1" customHeight="1" outlineLevel="1" x14ac:dyDescent="0.25">
      <c r="A28" s="64" t="s">
        <v>4282</v>
      </c>
      <c r="B28" s="64" t="s">
        <v>424</v>
      </c>
      <c r="C28" s="64"/>
      <c r="D28" s="64" t="s">
        <v>3949</v>
      </c>
      <c r="E28" s="64"/>
      <c r="F28" s="64"/>
      <c r="G28" s="64"/>
      <c r="H28" s="64"/>
      <c r="I28" s="64" t="s">
        <v>3957</v>
      </c>
      <c r="J28" s="64"/>
      <c r="K28" s="64"/>
      <c r="L28" s="64"/>
      <c r="M28" s="64"/>
      <c r="N28" s="64"/>
      <c r="O28" s="64"/>
      <c r="P28" s="64"/>
      <c r="Q28" s="64" t="s">
        <v>3948</v>
      </c>
      <c r="R28" s="64"/>
      <c r="S28" s="64"/>
      <c r="T28" s="64"/>
      <c r="U28" s="64"/>
      <c r="V28" s="64"/>
      <c r="W28" s="64"/>
      <c r="X28" s="64"/>
      <c r="Y28" s="64"/>
      <c r="Z28" s="64"/>
      <c r="AA28" s="64"/>
      <c r="AB28" s="64" t="s">
        <v>46</v>
      </c>
      <c r="AC28" s="64"/>
      <c r="AD28" s="64"/>
      <c r="AE28" s="64"/>
      <c r="AF28" s="64"/>
      <c r="AG28" s="64"/>
      <c r="AH28" s="64"/>
      <c r="AI28" s="64"/>
      <c r="AJ28" s="64"/>
      <c r="AK28" s="64"/>
      <c r="AL28" s="64"/>
      <c r="AM28" s="64"/>
      <c r="AN28" s="205" t="s">
        <v>46</v>
      </c>
      <c r="AO28" s="64"/>
      <c r="AP28" s="64"/>
      <c r="AQ28" s="64"/>
      <c r="AR28" s="64"/>
      <c r="AS28" s="69" t="str">
        <f t="shared" si="0"/>
        <v>OPneus neige  1 essieuSans support et sans roue de secours (CU : +25 Kg)Sabot de DENVER (CU : -25 Kg)</v>
      </c>
    </row>
    <row r="29" spans="1:45" s="79" customFormat="1" ht="24.95" hidden="1" customHeight="1" outlineLevel="1" x14ac:dyDescent="0.25">
      <c r="A29" s="64" t="s">
        <v>4283</v>
      </c>
      <c r="B29" s="64" t="s">
        <v>424</v>
      </c>
      <c r="C29" s="64"/>
      <c r="D29" s="64" t="s">
        <v>3952</v>
      </c>
      <c r="E29" s="64"/>
      <c r="F29" s="64"/>
      <c r="G29" s="64"/>
      <c r="H29" s="64"/>
      <c r="I29" s="64" t="s">
        <v>3960</v>
      </c>
      <c r="J29" s="64"/>
      <c r="K29" s="64"/>
      <c r="L29" s="64"/>
      <c r="M29" s="64"/>
      <c r="N29" s="64"/>
      <c r="O29" s="64"/>
      <c r="P29" s="64" t="s">
        <v>3953</v>
      </c>
      <c r="Q29" s="64" t="s">
        <v>3948</v>
      </c>
      <c r="R29" s="64"/>
      <c r="S29" s="64"/>
      <c r="T29" s="64"/>
      <c r="U29" s="64"/>
      <c r="V29" s="64"/>
      <c r="W29" s="64"/>
      <c r="X29" s="64"/>
      <c r="Y29" s="64" t="s">
        <v>2069</v>
      </c>
      <c r="Z29" s="64" t="s">
        <v>3961</v>
      </c>
      <c r="AA29" s="64" t="s">
        <v>3962</v>
      </c>
      <c r="AB29" s="64" t="s">
        <v>3963</v>
      </c>
      <c r="AC29" s="64"/>
      <c r="AD29" s="64"/>
      <c r="AE29" s="64"/>
      <c r="AF29" s="64"/>
      <c r="AG29" s="64"/>
      <c r="AH29" s="64"/>
      <c r="AI29" s="64"/>
      <c r="AJ29" s="64"/>
      <c r="AK29" s="64"/>
      <c r="AL29" s="64"/>
      <c r="AM29" s="64"/>
      <c r="AN29" s="205" t="s">
        <v>46</v>
      </c>
      <c r="AO29" s="64"/>
      <c r="AP29" s="64"/>
      <c r="AQ29" s="64"/>
      <c r="AR29" s="64"/>
      <c r="AS29" s="69" t="str">
        <f t="shared" si="0"/>
        <v>OPneus neige  Sans support et sans roue de secours (CU : +33 Kg)Capteurs de pression des pneumatiquesSabot de DENVER (CU : -25 Kg)Assistance de maintien dans la voie (LDWS + MAINTIEN DANS LA VOIE)Freinage automatique d'urgence (ADVANCED ELECTRONIC BRAKING SYSTEM + CITY BRAKE)Aide à la descente (HILL-DESCENT)Stabilité en cas de vent latéral (ESP + CROSSWIND)</v>
      </c>
    </row>
    <row r="30" spans="1:45" s="96" customFormat="1" ht="45" hidden="1" outlineLevel="1" x14ac:dyDescent="0.25">
      <c r="A30" s="64" t="s">
        <v>4284</v>
      </c>
      <c r="B30" s="64" t="s">
        <v>424</v>
      </c>
      <c r="C30" s="64"/>
      <c r="D30" s="64" t="s">
        <v>3952</v>
      </c>
      <c r="E30" s="64"/>
      <c r="F30" s="64"/>
      <c r="G30" s="64"/>
      <c r="H30" s="64"/>
      <c r="I30" s="64"/>
      <c r="J30" s="64"/>
      <c r="K30" s="64"/>
      <c r="L30" s="64"/>
      <c r="M30" s="64"/>
      <c r="N30" s="64"/>
      <c r="O30" s="64"/>
      <c r="P30" s="64" t="s">
        <v>3953</v>
      </c>
      <c r="Q30" s="64" t="s">
        <v>3948</v>
      </c>
      <c r="R30" s="64"/>
      <c r="S30" s="64"/>
      <c r="T30" s="64"/>
      <c r="U30" s="64"/>
      <c r="V30" s="64"/>
      <c r="W30" s="64"/>
      <c r="X30" s="64"/>
      <c r="Y30" s="64" t="s">
        <v>2069</v>
      </c>
      <c r="Z30" s="64" t="s">
        <v>3961</v>
      </c>
      <c r="AA30" s="64" t="s">
        <v>3962</v>
      </c>
      <c r="AB30" s="64" t="s">
        <v>3963</v>
      </c>
      <c r="AC30" s="64"/>
      <c r="AD30" s="64"/>
      <c r="AE30" s="64"/>
      <c r="AF30" s="64"/>
      <c r="AG30" s="64"/>
      <c r="AH30" s="64"/>
      <c r="AI30" s="64"/>
      <c r="AJ30" s="64"/>
      <c r="AK30" s="64"/>
      <c r="AL30" s="64"/>
      <c r="AM30" s="64"/>
      <c r="AN30" s="205" t="s">
        <v>46</v>
      </c>
      <c r="AO30" s="64"/>
      <c r="AP30" s="64"/>
      <c r="AQ30" s="64"/>
      <c r="AR30" s="64"/>
      <c r="AS30" s="69" t="str">
        <f t="shared" si="0"/>
        <v>OPneus neige  Capteurs de pression des pneumatiquesSabot de DENVER (CU : -25 Kg)Assistance de maintien dans la voie (LDWS + MAINTIEN DANS LA VOIE)Freinage automatique d'urgence (ADVANCED ELECTRONIC BRAKING SYSTEM + CITY BRAKE)Aide à la descente (HILL-DESCENT)Stabilité en cas de vent latéral (ESP + CROSSWIND)</v>
      </c>
    </row>
    <row r="31" spans="1:45" ht="45" hidden="1" outlineLevel="1" x14ac:dyDescent="0.25">
      <c r="A31" s="64" t="s">
        <v>4285</v>
      </c>
      <c r="B31" s="64" t="s">
        <v>424</v>
      </c>
      <c r="C31" s="64"/>
      <c r="D31" s="64" t="s">
        <v>3952</v>
      </c>
      <c r="E31" s="64" t="s">
        <v>3964</v>
      </c>
      <c r="F31" s="64"/>
      <c r="G31" s="64"/>
      <c r="H31" s="64"/>
      <c r="I31" s="64" t="s">
        <v>3960</v>
      </c>
      <c r="J31" s="64"/>
      <c r="K31" s="64"/>
      <c r="L31" s="64"/>
      <c r="M31" s="64"/>
      <c r="N31" s="64"/>
      <c r="O31" s="64"/>
      <c r="P31" s="64" t="s">
        <v>3953</v>
      </c>
      <c r="Q31" s="64" t="s">
        <v>3948</v>
      </c>
      <c r="R31" s="64"/>
      <c r="S31" s="64"/>
      <c r="T31" s="64"/>
      <c r="U31" s="64"/>
      <c r="V31" s="64"/>
      <c r="W31" s="64"/>
      <c r="X31" s="64"/>
      <c r="Y31" s="64" t="s">
        <v>2069</v>
      </c>
      <c r="Z31" s="64" t="s">
        <v>3961</v>
      </c>
      <c r="AA31" s="64" t="s">
        <v>3962</v>
      </c>
      <c r="AB31" s="64" t="s">
        <v>3963</v>
      </c>
      <c r="AC31" s="64"/>
      <c r="AD31" s="64"/>
      <c r="AE31" s="64"/>
      <c r="AF31" s="64"/>
      <c r="AG31" s="64"/>
      <c r="AH31" s="64"/>
      <c r="AI31" s="64"/>
      <c r="AJ31" s="64"/>
      <c r="AK31" s="64"/>
      <c r="AL31" s="64"/>
      <c r="AM31" s="64"/>
      <c r="AN31" s="205" t="s">
        <v>46</v>
      </c>
      <c r="AO31" s="64"/>
      <c r="AP31" s="64"/>
      <c r="AQ31" s="64"/>
      <c r="AR31" s="64"/>
      <c r="AS31" s="69" t="str">
        <f t="shared" si="0"/>
        <v>OPneus neige  Suspension Ar HELPER - Hauteur de seuil et hauteur hors tout + 70 mm  (CU : -17 Kg)Sans support et sans roue de secours (CU : +33 Kg)Capteurs de pression des pneumatiquesSabot de DENVER (CU : -25 Kg)Assistance de maintien dans la voie (LDWS + MAINTIEN DANS LA VOIE)Freinage automatique d'urgence (ADVANCED ELECTRONIC BRAKING SYSTEM + CITY BRAKE)Aide à la descente (HILL-DESCENT)Stabilité en cas de vent latéral (ESP + CROSSWIND)</v>
      </c>
    </row>
    <row r="32" spans="1:45" ht="45" hidden="1" outlineLevel="1" x14ac:dyDescent="0.25">
      <c r="A32" s="64" t="s">
        <v>4286</v>
      </c>
      <c r="B32" s="64" t="s">
        <v>424</v>
      </c>
      <c r="C32" s="64"/>
      <c r="D32" s="64" t="s">
        <v>3945</v>
      </c>
      <c r="E32" s="64" t="s">
        <v>3964</v>
      </c>
      <c r="F32" s="64"/>
      <c r="G32" s="64"/>
      <c r="H32" s="64"/>
      <c r="I32" s="64"/>
      <c r="J32" s="64"/>
      <c r="K32" s="64"/>
      <c r="L32" s="64"/>
      <c r="M32" s="64"/>
      <c r="N32" s="64"/>
      <c r="O32" s="64"/>
      <c r="P32" s="64" t="s">
        <v>3953</v>
      </c>
      <c r="Q32" s="64" t="s">
        <v>3948</v>
      </c>
      <c r="R32" s="64"/>
      <c r="S32" s="64"/>
      <c r="T32" s="64"/>
      <c r="U32" s="64"/>
      <c r="V32" s="64"/>
      <c r="W32" s="64"/>
      <c r="X32" s="64"/>
      <c r="Y32" s="64" t="s">
        <v>2069</v>
      </c>
      <c r="Z32" s="64" t="s">
        <v>3961</v>
      </c>
      <c r="AA32" s="64" t="s">
        <v>3962</v>
      </c>
      <c r="AB32" s="64" t="s">
        <v>3963</v>
      </c>
      <c r="AC32" s="64"/>
      <c r="AD32" s="64"/>
      <c r="AE32" s="64"/>
      <c r="AF32" s="64"/>
      <c r="AG32" s="64"/>
      <c r="AH32" s="64"/>
      <c r="AI32" s="64"/>
      <c r="AJ32" s="64"/>
      <c r="AK32" s="64"/>
      <c r="AL32" s="64"/>
      <c r="AM32" s="64"/>
      <c r="AN32" s="205" t="s">
        <v>46</v>
      </c>
      <c r="AO32" s="64"/>
      <c r="AP32" s="64"/>
      <c r="AQ32" s="64"/>
      <c r="AR32" s="64"/>
      <c r="AS32" s="69" t="str">
        <f t="shared" si="0"/>
        <v>OPneux neigeSuspension Ar HELPER - Hauteur de seuil et hauteur hors tout + 70 mm  (CU : -17 Kg)Capteurs de pression des pneumatiquesSabot de DENVER (CU : -25 Kg)Assistance de maintien dans la voie (LDWS + MAINTIEN DANS LA VOIE)Freinage automatique d'urgence (ADVANCED ELECTRONIC BRAKING SYSTEM + CITY BRAKE)Aide à la descente (HILL-DESCENT)Stabilité en cas de vent latéral (ESP + CROSSWIND)</v>
      </c>
    </row>
    <row r="33" spans="1:45" ht="22.5" hidden="1" outlineLevel="1" x14ac:dyDescent="0.25">
      <c r="A33" s="64" t="s">
        <v>4287</v>
      </c>
      <c r="B33" s="64" t="s">
        <v>424</v>
      </c>
      <c r="C33" s="64"/>
      <c r="D33" s="64" t="s">
        <v>3945</v>
      </c>
      <c r="E33" s="64"/>
      <c r="F33" s="64"/>
      <c r="G33" s="64"/>
      <c r="H33" s="64"/>
      <c r="I33" s="64"/>
      <c r="J33" s="64"/>
      <c r="K33" s="64"/>
      <c r="L33" s="64"/>
      <c r="M33" s="64"/>
      <c r="N33" s="64"/>
      <c r="O33" s="64"/>
      <c r="P33" s="64" t="s">
        <v>3953</v>
      </c>
      <c r="Q33" s="64" t="s">
        <v>3948</v>
      </c>
      <c r="R33" s="64"/>
      <c r="S33" s="64"/>
      <c r="T33" s="64"/>
      <c r="U33" s="64"/>
      <c r="V33" s="64"/>
      <c r="W33" s="64"/>
      <c r="X33" s="64"/>
      <c r="Y33" s="64"/>
      <c r="Z33" s="64"/>
      <c r="AA33" s="64"/>
      <c r="AB33" s="64"/>
      <c r="AC33" s="64"/>
      <c r="AD33" s="64"/>
      <c r="AE33" s="64"/>
      <c r="AF33" s="64"/>
      <c r="AG33" s="64"/>
      <c r="AH33" s="64"/>
      <c r="AI33" s="64"/>
      <c r="AJ33" s="64"/>
      <c r="AK33" s="64"/>
      <c r="AL33" s="64"/>
      <c r="AM33" s="64"/>
      <c r="AN33" s="205" t="s">
        <v>46</v>
      </c>
      <c r="AO33" s="64"/>
      <c r="AP33" s="64"/>
      <c r="AQ33" s="64"/>
      <c r="AR33" s="64"/>
      <c r="AS33" s="69" t="str">
        <f t="shared" si="0"/>
        <v>OPneux neigeCapteurs de pression des pneumatiquesSabot de DENVER (CU : -25 Kg)</v>
      </c>
    </row>
    <row r="34" spans="1:45" ht="22.5" hidden="1" outlineLevel="1" x14ac:dyDescent="0.25">
      <c r="A34" s="64" t="s">
        <v>4288</v>
      </c>
      <c r="B34" s="64" t="s">
        <v>424</v>
      </c>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t="s">
        <v>3965</v>
      </c>
      <c r="AK34" s="64"/>
      <c r="AL34" s="64"/>
      <c r="AM34" s="64"/>
      <c r="AN34" s="64"/>
      <c r="AO34" s="64"/>
      <c r="AP34" s="64"/>
      <c r="AQ34" s="64"/>
      <c r="AR34" s="64"/>
      <c r="AS34" s="69" t="str">
        <f t="shared" si="0"/>
        <v>OFeux antibrouillard avant</v>
      </c>
    </row>
    <row r="35" spans="1:45" ht="22.5" hidden="1" outlineLevel="1" x14ac:dyDescent="0.25">
      <c r="A35" s="64" t="s">
        <v>4289</v>
      </c>
      <c r="B35" s="64" t="s">
        <v>424</v>
      </c>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t="s">
        <v>3965</v>
      </c>
      <c r="AK35" s="64"/>
      <c r="AL35" s="64"/>
      <c r="AM35" s="64"/>
      <c r="AN35" s="64"/>
      <c r="AO35" s="64"/>
      <c r="AP35" s="64"/>
      <c r="AQ35" s="64"/>
      <c r="AR35" s="64"/>
      <c r="AS35" s="69" t="str">
        <f t="shared" si="0"/>
        <v>OFeux antibrouillard avant</v>
      </c>
    </row>
    <row r="36" spans="1:45" ht="22.5" hidden="1" outlineLevel="1" x14ac:dyDescent="0.25">
      <c r="A36" s="64" t="s">
        <v>4290</v>
      </c>
      <c r="B36" s="64" t="s">
        <v>424</v>
      </c>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t="s">
        <v>3965</v>
      </c>
      <c r="AK36" s="64"/>
      <c r="AL36" s="64"/>
      <c r="AM36" s="64"/>
      <c r="AN36" s="64"/>
      <c r="AO36" s="64"/>
      <c r="AP36" s="64"/>
      <c r="AQ36" s="64"/>
      <c r="AR36" s="64"/>
      <c r="AS36" s="69" t="str">
        <f t="shared" si="0"/>
        <v>OFeux antibrouillard avant</v>
      </c>
    </row>
    <row r="37" spans="1:45" ht="33.75" hidden="1" outlineLevel="1" x14ac:dyDescent="0.25">
      <c r="A37" s="64" t="s">
        <v>3624</v>
      </c>
      <c r="B37" s="64" t="s">
        <v>424</v>
      </c>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t="s">
        <v>3965</v>
      </c>
      <c r="AK37" s="64"/>
      <c r="AL37" s="64"/>
      <c r="AM37" s="64"/>
      <c r="AN37" s="64"/>
      <c r="AO37" s="64"/>
      <c r="AP37" s="64"/>
      <c r="AQ37" s="64"/>
      <c r="AR37" s="64"/>
      <c r="AS37" s="69" t="str">
        <f t="shared" si="0"/>
        <v>OFeux antibrouillard avant</v>
      </c>
    </row>
    <row r="38" spans="1:45" ht="22.5" hidden="1" outlineLevel="1" x14ac:dyDescent="0.25">
      <c r="A38" s="64" t="s">
        <v>3657</v>
      </c>
      <c r="B38" s="64" t="s">
        <v>424</v>
      </c>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t="s">
        <v>46</v>
      </c>
      <c r="AC38" s="64"/>
      <c r="AD38" s="64"/>
      <c r="AE38" s="64"/>
      <c r="AF38" s="64"/>
      <c r="AG38" s="64"/>
      <c r="AH38" s="64"/>
      <c r="AI38" s="64"/>
      <c r="AJ38" s="64" t="s">
        <v>3965</v>
      </c>
      <c r="AK38" s="64"/>
      <c r="AL38" s="64"/>
      <c r="AM38" s="64"/>
      <c r="AN38" s="64"/>
      <c r="AO38" s="64"/>
      <c r="AP38" s="64"/>
      <c r="AQ38" s="64"/>
      <c r="AR38" s="64"/>
      <c r="AS38" s="69" t="str">
        <f t="shared" si="0"/>
        <v>OFeux antibrouillard avant</v>
      </c>
    </row>
    <row r="39" spans="1:45" ht="22.5" hidden="1" outlineLevel="1" x14ac:dyDescent="0.25">
      <c r="A39" s="64" t="s">
        <v>4291</v>
      </c>
      <c r="B39" s="64" t="s">
        <v>424</v>
      </c>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t="s">
        <v>3965</v>
      </c>
      <c r="AK39" s="64"/>
      <c r="AL39" s="64"/>
      <c r="AM39" s="64"/>
      <c r="AN39" s="64"/>
      <c r="AO39" s="64"/>
      <c r="AP39" s="64"/>
      <c r="AQ39" s="64"/>
      <c r="AR39" s="64"/>
      <c r="AS39" s="69" t="str">
        <f t="shared" si="0"/>
        <v>OFeux antibrouillard avant</v>
      </c>
    </row>
    <row r="40" spans="1:45" ht="22.5" hidden="1" outlineLevel="1" x14ac:dyDescent="0.25">
      <c r="A40" s="64" t="s">
        <v>4292</v>
      </c>
      <c r="B40" s="64" t="s">
        <v>424</v>
      </c>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t="s">
        <v>3965</v>
      </c>
      <c r="AK40" s="64"/>
      <c r="AL40" s="64"/>
      <c r="AM40" s="64"/>
      <c r="AN40" s="64"/>
      <c r="AO40" s="64"/>
      <c r="AP40" s="64"/>
      <c r="AQ40" s="64"/>
      <c r="AR40" s="64"/>
      <c r="AS40" s="69" t="str">
        <f t="shared" si="0"/>
        <v>OFeux antibrouillard avant</v>
      </c>
    </row>
    <row r="41" spans="1:45" ht="22.5" hidden="1" outlineLevel="1" x14ac:dyDescent="0.25">
      <c r="A41" s="64" t="s">
        <v>4293</v>
      </c>
      <c r="B41" s="64" t="s">
        <v>424</v>
      </c>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t="s">
        <v>46</v>
      </c>
      <c r="AC41" s="64"/>
      <c r="AD41" s="64"/>
      <c r="AE41" s="64"/>
      <c r="AF41" s="64"/>
      <c r="AG41" s="64"/>
      <c r="AH41" s="64"/>
      <c r="AI41" s="64"/>
      <c r="AJ41" s="64" t="s">
        <v>3965</v>
      </c>
      <c r="AK41" s="64"/>
      <c r="AL41" s="64"/>
      <c r="AM41" s="64"/>
      <c r="AN41" s="64"/>
      <c r="AO41" s="64"/>
      <c r="AP41" s="64"/>
      <c r="AQ41" s="64"/>
      <c r="AR41" s="64"/>
      <c r="AS41" s="69" t="str">
        <f t="shared" si="0"/>
        <v>OFeux antibrouillard avant</v>
      </c>
    </row>
    <row r="42" spans="1:45" ht="22.5" hidden="1" outlineLevel="1" x14ac:dyDescent="0.25">
      <c r="A42" s="64" t="s">
        <v>4294</v>
      </c>
      <c r="B42" s="64" t="s">
        <v>424</v>
      </c>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t="s">
        <v>3965</v>
      </c>
      <c r="AK42" s="64"/>
      <c r="AL42" s="64"/>
      <c r="AM42" s="64"/>
      <c r="AN42" s="64"/>
      <c r="AO42" s="64"/>
      <c r="AP42" s="64"/>
      <c r="AQ42" s="64"/>
      <c r="AR42" s="64"/>
      <c r="AS42" s="69" t="str">
        <f t="shared" si="0"/>
        <v>OFeux antibrouillard avant</v>
      </c>
    </row>
    <row r="43" spans="1:45" ht="22.5" hidden="1" outlineLevel="1" x14ac:dyDescent="0.25">
      <c r="A43" s="64" t="s">
        <v>3298</v>
      </c>
      <c r="B43" s="64" t="s">
        <v>424</v>
      </c>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t="s">
        <v>46</v>
      </c>
      <c r="AC43" s="64"/>
      <c r="AD43" s="64"/>
      <c r="AE43" s="64"/>
      <c r="AF43" s="64"/>
      <c r="AG43" s="64"/>
      <c r="AH43" s="64"/>
      <c r="AI43" s="64"/>
      <c r="AJ43" s="64" t="s">
        <v>3965</v>
      </c>
      <c r="AK43" s="64"/>
      <c r="AL43" s="64"/>
      <c r="AM43" s="64"/>
      <c r="AN43" s="64"/>
      <c r="AO43" s="64"/>
      <c r="AP43" s="64"/>
      <c r="AQ43" s="64"/>
      <c r="AR43" s="64"/>
      <c r="AS43" s="69" t="str">
        <f t="shared" si="0"/>
        <v>OFeux antibrouillard avant</v>
      </c>
    </row>
    <row r="44" spans="1:45" ht="22.5" hidden="1" outlineLevel="1" x14ac:dyDescent="0.25">
      <c r="A44" s="64" t="s">
        <v>4295</v>
      </c>
      <c r="B44" s="64" t="s">
        <v>424</v>
      </c>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t="s">
        <v>3965</v>
      </c>
      <c r="AK44" s="64"/>
      <c r="AL44" s="64"/>
      <c r="AM44" s="64"/>
      <c r="AN44" s="64"/>
      <c r="AO44" s="64"/>
      <c r="AP44" s="64"/>
      <c r="AQ44" s="64"/>
      <c r="AR44" s="64"/>
      <c r="AS44" s="69" t="str">
        <f t="shared" si="0"/>
        <v>OFeux antibrouillard avant</v>
      </c>
    </row>
    <row r="45" spans="1:45" ht="22.5" hidden="1" outlineLevel="1" x14ac:dyDescent="0.25">
      <c r="A45" s="64" t="s">
        <v>3580</v>
      </c>
      <c r="B45" s="64" t="s">
        <v>32</v>
      </c>
      <c r="C45" s="64"/>
      <c r="D45" s="64"/>
      <c r="E45" s="64" t="s">
        <v>2029</v>
      </c>
      <c r="F45" s="64"/>
      <c r="G45" s="64" t="s">
        <v>432</v>
      </c>
      <c r="H45" s="64"/>
      <c r="I45" s="64"/>
      <c r="J45" s="64"/>
      <c r="K45" s="64"/>
      <c r="L45" s="64"/>
      <c r="M45" s="64"/>
      <c r="N45" s="64"/>
      <c r="O45" s="64"/>
      <c r="P45" s="64"/>
      <c r="Q45" s="64"/>
      <c r="R45" s="64"/>
      <c r="S45" s="64"/>
      <c r="T45" s="64"/>
      <c r="U45" s="64"/>
      <c r="V45" s="64"/>
      <c r="W45" s="64"/>
      <c r="X45" s="64"/>
      <c r="Y45" s="64"/>
      <c r="Z45" s="64"/>
      <c r="AA45" s="64"/>
      <c r="AB45" s="64" t="s">
        <v>46</v>
      </c>
      <c r="AC45" s="64"/>
      <c r="AD45" s="64"/>
      <c r="AE45" s="64"/>
      <c r="AF45" s="70"/>
      <c r="AG45" s="70"/>
      <c r="AH45" s="64"/>
      <c r="AI45" s="64"/>
      <c r="AJ45" s="64"/>
      <c r="AK45" s="64"/>
      <c r="AL45" s="70"/>
      <c r="AM45" s="64"/>
      <c r="AN45" s="64"/>
      <c r="AO45" s="64"/>
      <c r="AP45" s="64"/>
      <c r="AQ45" s="64"/>
      <c r="AR45" s="64"/>
      <c r="AS45" s="69" t="str">
        <f t="shared" si="0"/>
        <v>PSuspension arrière mécaniqueBuzzer de marche arrière</v>
      </c>
    </row>
    <row r="46" spans="1:45" s="96" customFormat="1" ht="33.75" hidden="1" outlineLevel="1" x14ac:dyDescent="0.25">
      <c r="A46" s="64" t="s">
        <v>3352</v>
      </c>
      <c r="B46" s="64" t="s">
        <v>32</v>
      </c>
      <c r="C46" s="64" t="s">
        <v>3790</v>
      </c>
      <c r="D46" s="64" t="s">
        <v>2050</v>
      </c>
      <c r="E46" s="64" t="s">
        <v>2029</v>
      </c>
      <c r="F46" s="64" t="s">
        <v>2030</v>
      </c>
      <c r="G46" s="64" t="s">
        <v>2051</v>
      </c>
      <c r="H46" s="64" t="s">
        <v>2052</v>
      </c>
      <c r="I46" s="64"/>
      <c r="J46" s="64"/>
      <c r="K46" s="64"/>
      <c r="L46" s="64"/>
      <c r="M46" s="64"/>
      <c r="N46" s="64"/>
      <c r="O46" s="64"/>
      <c r="P46" s="64"/>
      <c r="Q46" s="64"/>
      <c r="R46" s="64"/>
      <c r="S46" s="64"/>
      <c r="T46" s="64"/>
      <c r="U46" s="64"/>
      <c r="V46" s="64"/>
      <c r="W46" s="64"/>
      <c r="X46" s="64" t="s">
        <v>2033</v>
      </c>
      <c r="Y46" s="64"/>
      <c r="Z46" s="64"/>
      <c r="AA46" s="64"/>
      <c r="AB46" s="64" t="s">
        <v>46</v>
      </c>
      <c r="AC46" s="64"/>
      <c r="AD46" s="64"/>
      <c r="AE46" s="64"/>
      <c r="AF46" s="70"/>
      <c r="AG46" s="64"/>
      <c r="AH46" s="64"/>
      <c r="AI46" s="64"/>
      <c r="AJ46" s="64"/>
      <c r="AK46" s="64"/>
      <c r="AL46" s="70"/>
      <c r="AM46" s="70"/>
      <c r="AN46" s="64" t="s">
        <v>2124</v>
      </c>
      <c r="AO46" s="64"/>
      <c r="AP46" s="64"/>
      <c r="AQ46" s="64"/>
      <c r="AR46" s="64"/>
      <c r="AS46" s="69" t="str">
        <f t="shared" si="0"/>
        <v>PPneumatiques : 215/70 R15C classe CRéservoir à carburant de 90 LSuspension arrière mécaniqueFreinage avec ABSAvertisseur de marche arrièreRéservoir AdBlue de 19 L GSRII (General Safety Regulation)Fourgon Tôlé / Transmission : Traction avant / Roues arrière simples</v>
      </c>
    </row>
    <row r="47" spans="1:45" ht="33.75" hidden="1" outlineLevel="1" x14ac:dyDescent="0.25">
      <c r="A47" s="64" t="s">
        <v>3330</v>
      </c>
      <c r="B47" s="64" t="s">
        <v>32</v>
      </c>
      <c r="C47" s="64" t="s">
        <v>3790</v>
      </c>
      <c r="D47" s="64" t="s">
        <v>2050</v>
      </c>
      <c r="E47" s="64" t="s">
        <v>2029</v>
      </c>
      <c r="F47" s="64" t="s">
        <v>2030</v>
      </c>
      <c r="G47" s="64"/>
      <c r="H47" s="64" t="s">
        <v>2052</v>
      </c>
      <c r="I47" s="64"/>
      <c r="J47" s="64"/>
      <c r="K47" s="64"/>
      <c r="L47" s="64"/>
      <c r="M47" s="64"/>
      <c r="N47" s="64"/>
      <c r="O47" s="64"/>
      <c r="P47" s="64"/>
      <c r="Q47" s="64"/>
      <c r="R47" s="64"/>
      <c r="S47" s="64"/>
      <c r="T47" s="64"/>
      <c r="U47" s="64"/>
      <c r="V47" s="64"/>
      <c r="W47" s="64"/>
      <c r="X47" s="64" t="s">
        <v>2033</v>
      </c>
      <c r="Y47" s="64"/>
      <c r="Z47" s="64"/>
      <c r="AA47" s="64"/>
      <c r="AB47" s="64" t="s">
        <v>46</v>
      </c>
      <c r="AC47" s="64"/>
      <c r="AD47" s="64"/>
      <c r="AE47" s="64"/>
      <c r="AF47" s="70"/>
      <c r="AG47" s="64"/>
      <c r="AH47" s="64"/>
      <c r="AI47" s="64"/>
      <c r="AJ47" s="64"/>
      <c r="AK47" s="64"/>
      <c r="AL47" s="70"/>
      <c r="AM47" s="70"/>
      <c r="AN47" s="64" t="s">
        <v>2048</v>
      </c>
      <c r="AO47" s="64"/>
      <c r="AP47" s="64"/>
      <c r="AQ47" s="64"/>
      <c r="AR47" s="64"/>
      <c r="AS47" s="69" t="str">
        <f t="shared" si="0"/>
        <v>PPneumatiques : 215/70 R15C classe CRéservoir à carburant de 90 LSuspension arrière mécaniqueFreinage avec ABSRéservoir AdBlue de 19 L GSRII (General Safety Regulation)Plancher cabine / Transmission : Traction avant / Roues arrière simples</v>
      </c>
    </row>
    <row r="48" spans="1:45" ht="33.75" hidden="1" outlineLevel="1" x14ac:dyDescent="0.25">
      <c r="A48" s="64" t="s">
        <v>3521</v>
      </c>
      <c r="B48" s="64" t="s">
        <v>32</v>
      </c>
      <c r="C48" s="64" t="s">
        <v>2054</v>
      </c>
      <c r="D48" s="64" t="s">
        <v>3780</v>
      </c>
      <c r="E48" s="64" t="s">
        <v>2029</v>
      </c>
      <c r="F48" s="64" t="s">
        <v>2030</v>
      </c>
      <c r="G48" s="64" t="s">
        <v>432</v>
      </c>
      <c r="H48" s="64" t="s">
        <v>2056</v>
      </c>
      <c r="I48" s="64"/>
      <c r="J48" s="64"/>
      <c r="K48" s="64"/>
      <c r="L48" s="64"/>
      <c r="M48" s="64"/>
      <c r="N48" s="64"/>
      <c r="O48" s="64"/>
      <c r="P48" s="64"/>
      <c r="Q48" s="64"/>
      <c r="R48" s="64"/>
      <c r="S48" s="64"/>
      <c r="T48" s="64"/>
      <c r="U48" s="64"/>
      <c r="V48" s="64"/>
      <c r="W48" s="64"/>
      <c r="X48" s="64" t="s">
        <v>2033</v>
      </c>
      <c r="Y48" s="64" t="s">
        <v>2064</v>
      </c>
      <c r="Z48" s="64" t="s">
        <v>2065</v>
      </c>
      <c r="AA48" s="64"/>
      <c r="AB48" s="64" t="s">
        <v>46</v>
      </c>
      <c r="AC48" s="64"/>
      <c r="AD48" s="64"/>
      <c r="AE48" s="64"/>
      <c r="AF48" s="70"/>
      <c r="AG48" s="70"/>
      <c r="AH48" s="64"/>
      <c r="AI48" s="64"/>
      <c r="AJ48" s="64"/>
      <c r="AK48" s="64"/>
      <c r="AL48" s="64"/>
      <c r="AM48" s="64"/>
      <c r="AN48" s="64" t="s">
        <v>2058</v>
      </c>
      <c r="AO48" s="64"/>
      <c r="AP48" s="64"/>
      <c r="AQ48" s="64"/>
      <c r="AR48" s="64"/>
      <c r="AS48" s="69" t="str">
        <f t="shared" si="0"/>
        <v>PPneumatiques : 195/75 R16Réservoir à carburant de 100 LSuspension arrière mécaniqueFreinage avec ABSBuzzer de marche arrièreRéservoir AdBlue de 20 L GSRII (General Safety Regulation)LDWS : Avertisseur de franchissement de ligneAEBS : Système de freinage automatique d'urgenceChâssis cabine / Transmission : Propulsion arrière / Roues arrière jumelées</v>
      </c>
    </row>
    <row r="49" spans="1:45" ht="45" hidden="1" outlineLevel="1" x14ac:dyDescent="0.25">
      <c r="A49" s="64" t="s">
        <v>3504</v>
      </c>
      <c r="B49" s="64" t="s">
        <v>32</v>
      </c>
      <c r="C49" s="64" t="s">
        <v>2054</v>
      </c>
      <c r="D49" s="64" t="s">
        <v>3781</v>
      </c>
      <c r="E49" s="64" t="s">
        <v>2061</v>
      </c>
      <c r="F49" s="64" t="s">
        <v>2030</v>
      </c>
      <c r="G49" s="64" t="s">
        <v>432</v>
      </c>
      <c r="H49" s="64"/>
      <c r="I49" s="64" t="s">
        <v>433</v>
      </c>
      <c r="J49" s="64"/>
      <c r="K49" s="64"/>
      <c r="L49" s="64"/>
      <c r="M49" s="64"/>
      <c r="N49" s="64"/>
      <c r="O49" s="64"/>
      <c r="P49" s="64"/>
      <c r="Q49" s="64"/>
      <c r="R49" s="64"/>
      <c r="S49" s="64"/>
      <c r="T49" s="64"/>
      <c r="U49" s="64"/>
      <c r="V49" s="64"/>
      <c r="W49" s="64"/>
      <c r="X49" s="64" t="s">
        <v>2033</v>
      </c>
      <c r="Y49" s="64" t="s">
        <v>2064</v>
      </c>
      <c r="Z49" s="64" t="s">
        <v>2065</v>
      </c>
      <c r="AA49" s="64"/>
      <c r="AB49" s="64" t="s">
        <v>3782</v>
      </c>
      <c r="AC49" s="64"/>
      <c r="AD49" s="64"/>
      <c r="AE49" s="64"/>
      <c r="AF49" s="70"/>
      <c r="AG49" s="70"/>
      <c r="AH49" s="64"/>
      <c r="AI49" s="64"/>
      <c r="AJ49" s="64"/>
      <c r="AK49" s="64"/>
      <c r="AL49" s="64"/>
      <c r="AM49" s="64"/>
      <c r="AN49" s="64" t="s">
        <v>2058</v>
      </c>
      <c r="AO49" s="64"/>
      <c r="AP49" s="64"/>
      <c r="AQ49" s="64"/>
      <c r="AR49" s="64"/>
      <c r="AS49" s="69" t="str">
        <f t="shared" si="0"/>
        <v>PPneumatiques : 195/75 R16Réservoir GNC : 6 bouteilles de méthane 224 L (37kg) / Réservoir essence : 14 LSuspension arrière mécanique avec HELPERFreinage avec ABSBuzzer de marche arrièreSans support roue de secours et sans roue de secoursGSRII (General Safety Regulation)LDWS : Avertisseur de franchissement de ligneAEBS : Système de freinage automatique d'urgenceAutonomie GNC : 200 à 230 km environ / Autonomie essence : 70km environChâssis cabine / Transmission : Propulsion arrière / Roues arrière jumelées</v>
      </c>
    </row>
    <row r="50" spans="1:45" ht="45" hidden="1" outlineLevel="1" x14ac:dyDescent="0.25">
      <c r="A50" s="64" t="s">
        <v>3499</v>
      </c>
      <c r="B50" s="64" t="s">
        <v>32</v>
      </c>
      <c r="C50" s="64" t="s">
        <v>2054</v>
      </c>
      <c r="D50" s="64" t="s">
        <v>3781</v>
      </c>
      <c r="E50" s="64" t="s">
        <v>2061</v>
      </c>
      <c r="F50" s="64" t="s">
        <v>2030</v>
      </c>
      <c r="G50" s="64" t="s">
        <v>432</v>
      </c>
      <c r="H50" s="64"/>
      <c r="I50" s="64" t="s">
        <v>433</v>
      </c>
      <c r="J50" s="64"/>
      <c r="K50" s="64"/>
      <c r="L50" s="64"/>
      <c r="M50" s="64"/>
      <c r="N50" s="64"/>
      <c r="O50" s="64"/>
      <c r="P50" s="64"/>
      <c r="Q50" s="64"/>
      <c r="R50" s="64"/>
      <c r="S50" s="64"/>
      <c r="T50" s="64"/>
      <c r="U50" s="64"/>
      <c r="V50" s="64"/>
      <c r="W50" s="64"/>
      <c r="X50" s="64" t="s">
        <v>2033</v>
      </c>
      <c r="Y50" s="64" t="s">
        <v>2064</v>
      </c>
      <c r="Z50" s="64" t="s">
        <v>2065</v>
      </c>
      <c r="AA50" s="64"/>
      <c r="AB50" s="64" t="s">
        <v>3782</v>
      </c>
      <c r="AC50" s="64"/>
      <c r="AD50" s="64"/>
      <c r="AE50" s="64"/>
      <c r="AF50" s="70"/>
      <c r="AG50" s="70"/>
      <c r="AH50" s="64"/>
      <c r="AI50" s="64"/>
      <c r="AJ50" s="64"/>
      <c r="AK50" s="64"/>
      <c r="AL50" s="64"/>
      <c r="AM50" s="64"/>
      <c r="AN50" s="64" t="s">
        <v>2058</v>
      </c>
      <c r="AO50" s="64"/>
      <c r="AP50" s="64"/>
      <c r="AQ50" s="64"/>
      <c r="AR50" s="64"/>
      <c r="AS50" s="69" t="str">
        <f t="shared" si="0"/>
        <v>PPneumatiques : 195/75 R16Réservoir GNC : 6 bouteilles de méthane 224 L (37kg) / Réservoir essence : 14 LSuspension arrière mécanique avec HELPERFreinage avec ABSBuzzer de marche arrièreSans support roue de secours et sans roue de secoursGSRII (General Safety Regulation)LDWS : Avertisseur de franchissement de ligneAEBS : Système de freinage automatique d'urgenceAutonomie GNC : 200 à 230 km environ / Autonomie essence : 70km environChâssis cabine / Transmission : Propulsion arrière / Roues arrière jumelées</v>
      </c>
    </row>
    <row r="51" spans="1:45" ht="22.5" hidden="1" outlineLevel="1" x14ac:dyDescent="0.25">
      <c r="A51" s="64" t="s">
        <v>3567</v>
      </c>
      <c r="B51" s="64" t="s">
        <v>32</v>
      </c>
      <c r="C51" s="64" t="s">
        <v>2075</v>
      </c>
      <c r="D51" s="64" t="s">
        <v>2074</v>
      </c>
      <c r="E51" s="64" t="s">
        <v>2029</v>
      </c>
      <c r="F51" s="64" t="s">
        <v>2030</v>
      </c>
      <c r="G51" s="64"/>
      <c r="H51" s="64" t="s">
        <v>2076</v>
      </c>
      <c r="I51" s="64"/>
      <c r="J51" s="64"/>
      <c r="K51" s="64"/>
      <c r="L51" s="64"/>
      <c r="M51" s="64"/>
      <c r="N51" s="64"/>
      <c r="O51" s="64"/>
      <c r="P51" s="64"/>
      <c r="Q51" s="64"/>
      <c r="R51" s="64"/>
      <c r="S51" s="64"/>
      <c r="T51" s="64"/>
      <c r="U51" s="64"/>
      <c r="V51" s="64"/>
      <c r="W51" s="64"/>
      <c r="X51" s="64" t="s">
        <v>2033</v>
      </c>
      <c r="Y51" s="64" t="s">
        <v>2064</v>
      </c>
      <c r="Z51" s="64" t="s">
        <v>2065</v>
      </c>
      <c r="AA51" s="64"/>
      <c r="AB51" s="64" t="s">
        <v>46</v>
      </c>
      <c r="AC51" s="64"/>
      <c r="AD51" s="64"/>
      <c r="AE51" s="64"/>
      <c r="AF51" s="70"/>
      <c r="AG51" s="70"/>
      <c r="AH51" s="64"/>
      <c r="AI51" s="64"/>
      <c r="AJ51" s="64"/>
      <c r="AK51" s="64"/>
      <c r="AL51" s="70"/>
      <c r="AM51" s="70"/>
      <c r="AN51" s="64" t="s">
        <v>46</v>
      </c>
      <c r="AO51" s="64"/>
      <c r="AP51" s="64"/>
      <c r="AQ51" s="64"/>
      <c r="AR51" s="64"/>
      <c r="AS51" s="69" t="str">
        <f t="shared" si="0"/>
        <v>PPneumatiques : 215/75 R17,5Réservoir à carburant de 120 LSuspension arrière mécaniqueFreinage avec ABSRéservoir AdBlue 30 L avec réchauffeurGSRII (General Safety Regulation)LDWS : Avertisseur de franchissement de ligneAEBS : Système de freinage automatique d'urgence</v>
      </c>
    </row>
    <row r="52" spans="1:45" ht="22.5" hidden="1" outlineLevel="1" x14ac:dyDescent="0.25">
      <c r="A52" s="64" t="s">
        <v>3557</v>
      </c>
      <c r="B52" s="64" t="s">
        <v>32</v>
      </c>
      <c r="C52" s="64" t="s">
        <v>2077</v>
      </c>
      <c r="D52" s="64" t="s">
        <v>2078</v>
      </c>
      <c r="E52" s="64" t="s">
        <v>2029</v>
      </c>
      <c r="F52" s="64" t="s">
        <v>2030</v>
      </c>
      <c r="G52" s="64"/>
      <c r="H52" s="64" t="s">
        <v>2076</v>
      </c>
      <c r="I52" s="64"/>
      <c r="J52" s="64"/>
      <c r="K52" s="64"/>
      <c r="L52" s="64"/>
      <c r="M52" s="64"/>
      <c r="N52" s="64"/>
      <c r="O52" s="64"/>
      <c r="P52" s="64"/>
      <c r="Q52" s="64"/>
      <c r="R52" s="64"/>
      <c r="S52" s="64"/>
      <c r="T52" s="64"/>
      <c r="U52" s="64"/>
      <c r="V52" s="64"/>
      <c r="W52" s="64"/>
      <c r="X52" s="64" t="s">
        <v>2033</v>
      </c>
      <c r="Y52" s="64" t="s">
        <v>2064</v>
      </c>
      <c r="Z52" s="64" t="s">
        <v>2065</v>
      </c>
      <c r="AA52" s="64"/>
      <c r="AB52" s="64" t="s">
        <v>46</v>
      </c>
      <c r="AC52" s="64"/>
      <c r="AD52" s="64"/>
      <c r="AE52" s="64"/>
      <c r="AF52" s="70"/>
      <c r="AG52" s="70"/>
      <c r="AH52" s="64"/>
      <c r="AI52" s="64"/>
      <c r="AJ52" s="64"/>
      <c r="AK52" s="64"/>
      <c r="AL52" s="64"/>
      <c r="AM52" s="64"/>
      <c r="AN52" s="64" t="s">
        <v>46</v>
      </c>
      <c r="AO52" s="64"/>
      <c r="AP52" s="64"/>
      <c r="AQ52" s="64"/>
      <c r="AR52" s="64"/>
      <c r="AS52" s="69" t="str">
        <f t="shared" si="0"/>
        <v>PPneumatiques : 225/75 R17,5Réservoir à carburant de 200 LSuspension arrière mécaniqueFreinage avec ABSRéservoir AdBlue 30 L avec réchauffeurGSRII (General Safety Regulation)LDWS : Avertisseur de franchissement de ligneAEBS : Système de freinage automatique d'urgence</v>
      </c>
    </row>
    <row r="53" spans="1:45" ht="33.75" hidden="1" outlineLevel="1" x14ac:dyDescent="0.25">
      <c r="A53" s="64" t="s">
        <v>3622</v>
      </c>
      <c r="B53" s="64" t="s">
        <v>32</v>
      </c>
      <c r="C53" s="64" t="s">
        <v>2063</v>
      </c>
      <c r="D53" s="64"/>
      <c r="E53" s="64" t="s">
        <v>2029</v>
      </c>
      <c r="F53" s="64" t="s">
        <v>2030</v>
      </c>
      <c r="G53" s="64" t="s">
        <v>432</v>
      </c>
      <c r="H53" s="64"/>
      <c r="I53" s="64"/>
      <c r="J53" s="64"/>
      <c r="K53" s="64"/>
      <c r="L53" s="64"/>
      <c r="M53" s="64"/>
      <c r="N53" s="64"/>
      <c r="O53" s="64"/>
      <c r="P53" s="64"/>
      <c r="Q53" s="64"/>
      <c r="R53" s="64"/>
      <c r="S53" s="64"/>
      <c r="T53" s="64"/>
      <c r="U53" s="64"/>
      <c r="V53" s="64"/>
      <c r="W53" s="64"/>
      <c r="X53" s="69" t="s">
        <v>2033</v>
      </c>
      <c r="Y53" s="64"/>
      <c r="Z53" s="64"/>
      <c r="AA53" s="64"/>
      <c r="AB53" s="64" t="s">
        <v>46</v>
      </c>
      <c r="AC53" s="64"/>
      <c r="AD53" s="64"/>
      <c r="AE53" s="64"/>
      <c r="AF53" s="70"/>
      <c r="AG53" s="70"/>
      <c r="AH53" s="64"/>
      <c r="AI53" s="64"/>
      <c r="AJ53" s="64"/>
      <c r="AK53" s="64"/>
      <c r="AL53" s="70"/>
      <c r="AM53" s="64"/>
      <c r="AN53" s="64" t="s">
        <v>2048</v>
      </c>
      <c r="AO53" s="64"/>
      <c r="AP53" s="64"/>
      <c r="AQ53" s="64"/>
      <c r="AR53" s="64"/>
      <c r="AS53" s="69" t="str">
        <f t="shared" si="0"/>
        <v>PPneumatiques : 235/65 R16Suspension arrière mécaniqueFreinage avec ABSBuzzer de marche arrièreGSRII (General Safety Regulation)Plancher cabine / Transmission : Traction avant / Roues arrière simples</v>
      </c>
    </row>
    <row r="54" spans="1:45" ht="33.75" hidden="1" outlineLevel="1" x14ac:dyDescent="0.25">
      <c r="A54" s="64" t="s">
        <v>3615</v>
      </c>
      <c r="B54" s="64" t="s">
        <v>32</v>
      </c>
      <c r="C54" s="64" t="s">
        <v>2063</v>
      </c>
      <c r="D54" s="64"/>
      <c r="E54" s="64" t="s">
        <v>2029</v>
      </c>
      <c r="F54" s="64" t="s">
        <v>2030</v>
      </c>
      <c r="G54" s="64" t="s">
        <v>432</v>
      </c>
      <c r="H54" s="64"/>
      <c r="I54" s="64"/>
      <c r="J54" s="64"/>
      <c r="K54" s="64"/>
      <c r="L54" s="64"/>
      <c r="M54" s="64"/>
      <c r="N54" s="64"/>
      <c r="O54" s="64"/>
      <c r="P54" s="64"/>
      <c r="Q54" s="64"/>
      <c r="R54" s="64"/>
      <c r="S54" s="64"/>
      <c r="T54" s="64"/>
      <c r="U54" s="64"/>
      <c r="V54" s="64"/>
      <c r="W54" s="64"/>
      <c r="X54" s="69" t="s">
        <v>2033</v>
      </c>
      <c r="Y54" s="64"/>
      <c r="Z54" s="64"/>
      <c r="AA54" s="64"/>
      <c r="AB54" s="64" t="s">
        <v>46</v>
      </c>
      <c r="AC54" s="64"/>
      <c r="AD54" s="64"/>
      <c r="AE54" s="64"/>
      <c r="AF54" s="70"/>
      <c r="AG54" s="70"/>
      <c r="AH54" s="64"/>
      <c r="AI54" s="64"/>
      <c r="AJ54" s="64"/>
      <c r="AK54" s="64"/>
      <c r="AL54" s="64"/>
      <c r="AM54" s="64"/>
      <c r="AN54" s="64" t="s">
        <v>2048</v>
      </c>
      <c r="AO54" s="64"/>
      <c r="AP54" s="64"/>
      <c r="AQ54" s="64"/>
      <c r="AR54" s="64"/>
      <c r="AS54" s="69" t="str">
        <f t="shared" si="0"/>
        <v>PPneumatiques : 235/65 R16Suspension arrière mécaniqueFreinage avec ABSBuzzer de marche arrièreGSRII (General Safety Regulation)Plancher cabine / Transmission : Traction avant / Roues arrière simples</v>
      </c>
    </row>
    <row r="55" spans="1:45" ht="33.75" hidden="1" outlineLevel="1" x14ac:dyDescent="0.25">
      <c r="A55" s="64" t="s">
        <v>3653</v>
      </c>
      <c r="B55" s="64" t="s">
        <v>32</v>
      </c>
      <c r="C55" s="64" t="s">
        <v>3791</v>
      </c>
      <c r="D55" s="64" t="s">
        <v>2120</v>
      </c>
      <c r="E55" s="64" t="s">
        <v>2029</v>
      </c>
      <c r="F55" s="64" t="s">
        <v>2030</v>
      </c>
      <c r="G55" s="64"/>
      <c r="H55" s="64" t="s">
        <v>2056</v>
      </c>
      <c r="I55" s="64"/>
      <c r="J55" s="64"/>
      <c r="K55" s="64"/>
      <c r="L55" s="64"/>
      <c r="M55" s="64"/>
      <c r="N55" s="64"/>
      <c r="O55" s="64"/>
      <c r="P55" s="64"/>
      <c r="Q55" s="64"/>
      <c r="R55" s="64"/>
      <c r="S55" s="64"/>
      <c r="T55" s="64"/>
      <c r="U55" s="64"/>
      <c r="V55" s="64"/>
      <c r="W55" s="64"/>
      <c r="X55" s="69" t="s">
        <v>2033</v>
      </c>
      <c r="Y55" s="64"/>
      <c r="Z55" s="64"/>
      <c r="AA55" s="64"/>
      <c r="AB55" s="64" t="s">
        <v>46</v>
      </c>
      <c r="AC55" s="64"/>
      <c r="AD55" s="64"/>
      <c r="AE55" s="64"/>
      <c r="AF55" s="70"/>
      <c r="AG55" s="70"/>
      <c r="AH55" s="64"/>
      <c r="AI55" s="64"/>
      <c r="AJ55" s="64"/>
      <c r="AK55" s="64"/>
      <c r="AL55" s="70"/>
      <c r="AM55" s="70"/>
      <c r="AN55" s="64" t="s">
        <v>2124</v>
      </c>
      <c r="AO55" s="64"/>
      <c r="AP55" s="69"/>
      <c r="AQ55" s="64"/>
      <c r="AR55" s="64"/>
      <c r="AS55" s="69" t="str">
        <f t="shared" si="0"/>
        <v>PPneumatiques : 205/65 R16Réservoir à carburant de 80 LSuspension arrière mécaniqueFreinage avec ABSRéservoir AdBlue de 20 L GSRII (General Safety Regulation)Fourgon Tôlé / Transmission : Traction avant / Roues arrière simples</v>
      </c>
    </row>
    <row r="56" spans="1:45" ht="33.75" hidden="1" outlineLevel="1" x14ac:dyDescent="0.25">
      <c r="A56" s="64" t="s">
        <v>3641</v>
      </c>
      <c r="B56" s="64" t="s">
        <v>32</v>
      </c>
      <c r="C56" s="64" t="s">
        <v>3791</v>
      </c>
      <c r="D56" s="64" t="s">
        <v>2120</v>
      </c>
      <c r="E56" s="64" t="s">
        <v>2029</v>
      </c>
      <c r="F56" s="64" t="s">
        <v>2030</v>
      </c>
      <c r="G56" s="64" t="s">
        <v>432</v>
      </c>
      <c r="H56" s="64" t="s">
        <v>2056</v>
      </c>
      <c r="I56" s="64"/>
      <c r="J56" s="64"/>
      <c r="K56" s="64"/>
      <c r="L56" s="64"/>
      <c r="M56" s="64"/>
      <c r="N56" s="64"/>
      <c r="O56" s="64"/>
      <c r="P56" s="64"/>
      <c r="Q56" s="64"/>
      <c r="R56" s="64"/>
      <c r="S56" s="64"/>
      <c r="T56" s="64"/>
      <c r="U56" s="64"/>
      <c r="V56" s="64"/>
      <c r="W56" s="64"/>
      <c r="X56" s="69" t="s">
        <v>2033</v>
      </c>
      <c r="Y56" s="64"/>
      <c r="Z56" s="64"/>
      <c r="AA56" s="64"/>
      <c r="AB56" s="64" t="s">
        <v>46</v>
      </c>
      <c r="AC56" s="64"/>
      <c r="AD56" s="64"/>
      <c r="AE56" s="64"/>
      <c r="AF56" s="70"/>
      <c r="AG56" s="70"/>
      <c r="AH56" s="64"/>
      <c r="AI56" s="64"/>
      <c r="AJ56" s="64"/>
      <c r="AK56" s="64"/>
      <c r="AL56" s="64"/>
      <c r="AM56" s="64"/>
      <c r="AN56" s="64" t="s">
        <v>2048</v>
      </c>
      <c r="AO56" s="64"/>
      <c r="AP56" s="64"/>
      <c r="AQ56" s="64"/>
      <c r="AR56" s="64"/>
      <c r="AS56" s="69" t="str">
        <f t="shared" si="0"/>
        <v>PPneumatiques : 205/65 R16Réservoir à carburant de 80 LSuspension arrière mécaniqueFreinage avec ABSBuzzer de marche arrièreRéservoir AdBlue de 20 L GSRII (General Safety Regulation)Plancher cabine / Transmission : Traction avant / Roues arrière simples</v>
      </c>
    </row>
    <row r="57" spans="1:45" ht="33.75" hidden="1" outlineLevel="1" x14ac:dyDescent="0.25">
      <c r="A57" s="64" t="s">
        <v>3429</v>
      </c>
      <c r="B57" s="64" t="s">
        <v>3787</v>
      </c>
      <c r="C57" s="64" t="s">
        <v>3788</v>
      </c>
      <c r="D57" s="64"/>
      <c r="E57" s="64" t="s">
        <v>2029</v>
      </c>
      <c r="F57" s="64"/>
      <c r="G57" s="64" t="s">
        <v>432</v>
      </c>
      <c r="H57" s="64"/>
      <c r="I57" s="64" t="s">
        <v>433</v>
      </c>
      <c r="J57" s="64"/>
      <c r="K57" s="64"/>
      <c r="L57" s="64"/>
      <c r="M57" s="64"/>
      <c r="N57" s="64"/>
      <c r="O57" s="64"/>
      <c r="P57" s="64"/>
      <c r="Q57" s="64"/>
      <c r="R57" s="64"/>
      <c r="S57" s="64"/>
      <c r="T57" s="64"/>
      <c r="U57" s="64"/>
      <c r="V57" s="64"/>
      <c r="W57" s="64"/>
      <c r="X57" s="64"/>
      <c r="Y57" s="64"/>
      <c r="Z57" s="64"/>
      <c r="AA57" s="64"/>
      <c r="AB57" s="64" t="s">
        <v>46</v>
      </c>
      <c r="AC57" s="64"/>
      <c r="AD57" s="64"/>
      <c r="AE57" s="64"/>
      <c r="AF57" s="70"/>
      <c r="AG57" s="70"/>
      <c r="AH57" s="64"/>
      <c r="AI57" s="64"/>
      <c r="AJ57" s="64"/>
      <c r="AK57" s="64"/>
      <c r="AL57" s="64"/>
      <c r="AM57" s="64"/>
      <c r="AN57" s="64" t="s">
        <v>46</v>
      </c>
      <c r="AO57" s="64"/>
      <c r="AP57" s="64"/>
      <c r="AQ57" s="64"/>
      <c r="AR57" s="64"/>
      <c r="AS57" s="69" t="str">
        <f t="shared" si="0"/>
        <v>pPneumatiques : 155/R13CSuspension arrière mécaniqueBuzzer de marche arrièreSans support roue de secours et sans roue de secours</v>
      </c>
    </row>
    <row r="58" spans="1:45" ht="90" hidden="1" outlineLevel="1" x14ac:dyDescent="0.25">
      <c r="A58" s="64" t="s">
        <v>3302</v>
      </c>
      <c r="B58" s="64" t="s">
        <v>32</v>
      </c>
      <c r="C58" s="64" t="s">
        <v>2035</v>
      </c>
      <c r="D58" s="64" t="s">
        <v>2028</v>
      </c>
      <c r="E58" s="64" t="s">
        <v>2029</v>
      </c>
      <c r="F58" s="64" t="s">
        <v>2030</v>
      </c>
      <c r="G58" s="64" t="s">
        <v>432</v>
      </c>
      <c r="H58" s="64" t="s">
        <v>2031</v>
      </c>
      <c r="I58" s="64"/>
      <c r="J58" s="64"/>
      <c r="K58" s="64"/>
      <c r="L58" s="64"/>
      <c r="M58" s="64"/>
      <c r="N58" s="64"/>
      <c r="O58" s="64"/>
      <c r="P58" s="64"/>
      <c r="Q58" s="64"/>
      <c r="R58" s="64"/>
      <c r="S58" s="64"/>
      <c r="T58" s="64"/>
      <c r="U58" s="64"/>
      <c r="V58" s="64"/>
      <c r="W58" s="64"/>
      <c r="X58" s="64" t="s">
        <v>2033</v>
      </c>
      <c r="Y58" s="64" t="s">
        <v>3789</v>
      </c>
      <c r="Z58" s="64"/>
      <c r="AA58" s="64"/>
      <c r="AB58" s="64" t="s">
        <v>46</v>
      </c>
      <c r="AC58" s="64"/>
      <c r="AD58" s="64"/>
      <c r="AE58" s="64"/>
      <c r="AF58" s="70"/>
      <c r="AG58" s="70"/>
      <c r="AH58" s="64"/>
      <c r="AI58" s="64"/>
      <c r="AJ58" s="64"/>
      <c r="AK58" s="64"/>
      <c r="AL58" s="64"/>
      <c r="AM58" s="64"/>
      <c r="AN58" s="64" t="s">
        <v>2124</v>
      </c>
      <c r="AO58" s="64"/>
      <c r="AP58" s="64"/>
      <c r="AQ58" s="64"/>
      <c r="AR58" s="64"/>
      <c r="AS58" s="69" t="str">
        <f t="shared" si="0"/>
        <v>PPneumatiques : 195/65 R15Réservoir à carburant de 50 LSuspension arrière mécaniqueFreinage avec ABSBuzzer de marche arrièreRéservoir AdBlue de 17 LGSRII (General Safety Regulation)Pack Safety : Alerte risque collision &amp; Freinage d'urgence, Lecture des panneaux de vitesse, Détection &amp; Alerte somnolence, Alerte franchissement de ligne avec correctionFourgon Tôlé / Transmission : Traction avant / Roues arrière simples</v>
      </c>
    </row>
    <row r="59" spans="1:45" ht="33.75" hidden="1" outlineLevel="1" x14ac:dyDescent="0.25">
      <c r="A59" s="64" t="s">
        <v>3336</v>
      </c>
      <c r="B59" s="64" t="s">
        <v>32</v>
      </c>
      <c r="C59" s="64" t="s">
        <v>3790</v>
      </c>
      <c r="D59" s="64" t="s">
        <v>2050</v>
      </c>
      <c r="E59" s="64" t="s">
        <v>2029</v>
      </c>
      <c r="F59" s="64" t="s">
        <v>2030</v>
      </c>
      <c r="G59" s="64" t="s">
        <v>432</v>
      </c>
      <c r="H59" s="64" t="s">
        <v>2052</v>
      </c>
      <c r="I59" s="64"/>
      <c r="J59" s="64"/>
      <c r="K59" s="64"/>
      <c r="L59" s="64"/>
      <c r="M59" s="64"/>
      <c r="N59" s="64"/>
      <c r="O59" s="64"/>
      <c r="P59" s="64"/>
      <c r="Q59" s="64"/>
      <c r="R59" s="64"/>
      <c r="S59" s="64"/>
      <c r="T59" s="64"/>
      <c r="U59" s="64"/>
      <c r="V59" s="64"/>
      <c r="W59" s="64"/>
      <c r="X59" s="64" t="s">
        <v>2033</v>
      </c>
      <c r="Y59" s="64"/>
      <c r="Z59" s="64"/>
      <c r="AA59" s="64"/>
      <c r="AB59" s="64" t="s">
        <v>46</v>
      </c>
      <c r="AC59" s="64"/>
      <c r="AD59" s="64"/>
      <c r="AE59" s="64"/>
      <c r="AF59" s="70"/>
      <c r="AG59" s="70"/>
      <c r="AH59" s="64"/>
      <c r="AI59" s="64"/>
      <c r="AJ59" s="64"/>
      <c r="AK59" s="64"/>
      <c r="AL59" s="64"/>
      <c r="AM59" s="64"/>
      <c r="AN59" s="64" t="s">
        <v>2048</v>
      </c>
      <c r="AO59" s="64"/>
      <c r="AP59" s="64"/>
      <c r="AQ59" s="64"/>
      <c r="AR59" s="64"/>
      <c r="AS59" s="69" t="str">
        <f t="shared" si="0"/>
        <v>PPneumatiques : 215/70 R15C classe CRéservoir à carburant de 90 LSuspension arrière mécaniqueFreinage avec ABSBuzzer de marche arrièreRéservoir AdBlue de 19 L GSRII (General Safety Regulation)Plancher cabine / Transmission : Traction avant / Roues arrière simples</v>
      </c>
    </row>
    <row r="60" spans="1:45" ht="33.75" hidden="1" outlineLevel="1" x14ac:dyDescent="0.25">
      <c r="A60" s="64" t="s">
        <v>1168</v>
      </c>
      <c r="B60" s="64" t="s">
        <v>32</v>
      </c>
      <c r="C60" s="64" t="s">
        <v>2027</v>
      </c>
      <c r="D60" s="64" t="s">
        <v>2028</v>
      </c>
      <c r="E60" s="64" t="s">
        <v>2029</v>
      </c>
      <c r="F60" s="64" t="s">
        <v>2030</v>
      </c>
      <c r="G60" s="64"/>
      <c r="H60" s="64" t="s">
        <v>2031</v>
      </c>
      <c r="I60" s="64"/>
      <c r="J60" s="64"/>
      <c r="K60" s="64"/>
      <c r="L60" s="64" t="s">
        <v>2032</v>
      </c>
      <c r="M60" s="64"/>
      <c r="N60" s="64"/>
      <c r="O60" s="64"/>
      <c r="P60" s="64"/>
      <c r="Q60" s="64"/>
      <c r="R60" s="64"/>
      <c r="S60" s="64"/>
      <c r="T60" s="64"/>
      <c r="U60" s="64"/>
      <c r="V60" s="64"/>
      <c r="W60" s="64"/>
      <c r="X60" s="64" t="s">
        <v>2033</v>
      </c>
      <c r="Y60" s="64"/>
      <c r="Z60" s="64"/>
      <c r="AA60" s="64"/>
      <c r="AB60" s="64" t="s">
        <v>46</v>
      </c>
      <c r="AC60" s="64"/>
      <c r="AD60" s="64"/>
      <c r="AE60" s="64"/>
      <c r="AF60" s="64"/>
      <c r="AG60" s="64"/>
      <c r="AH60" s="64"/>
      <c r="AI60" s="64"/>
      <c r="AJ60" s="64"/>
      <c r="AK60" s="64"/>
      <c r="AL60" s="64"/>
      <c r="AM60" s="64"/>
      <c r="AN60" s="64" t="s">
        <v>2034</v>
      </c>
      <c r="AO60" s="64"/>
      <c r="AP60" s="64"/>
      <c r="AQ60" s="64"/>
      <c r="AR60" s="64"/>
      <c r="AS60" s="69" t="str">
        <f t="shared" ref="AS60:AS122" si="1">CONCATENATE(B60,C60,D60,E60,F60,G60,H60,I60,J60,K60,L60,M60,N60,O60,P60,Q60,R60,S60,T60,U60,V60,W60,X60,Y60,Z60,AA60,AB60,AC60,AD60,AE60,AF60,AG60,AH60,AI60,AJ60,AK60,AL60,AM60,AN60,AO60,AP60,AQ60,AR60)</f>
        <v>PPneumatiques : 205/60 R16Réservoir à carburant de 50 LSuspension arrière mécaniqueFreinage avec ABSRéservoir AdBlue de 17 LAide au démarrage en pente GSRII (General Safety Regulation)Fourgon tôlé / Transmission : Traction avant / Roues arrière simples</v>
      </c>
    </row>
    <row r="61" spans="1:45" ht="33.75" hidden="1" outlineLevel="1" x14ac:dyDescent="0.25">
      <c r="A61" s="64" t="s">
        <v>1158</v>
      </c>
      <c r="B61" s="64" t="s">
        <v>32</v>
      </c>
      <c r="C61" s="64" t="s">
        <v>2035</v>
      </c>
      <c r="D61" s="64" t="s">
        <v>2028</v>
      </c>
      <c r="E61" s="64" t="s">
        <v>2029</v>
      </c>
      <c r="F61" s="64" t="s">
        <v>2030</v>
      </c>
      <c r="G61" s="64"/>
      <c r="H61" s="64" t="s">
        <v>2031</v>
      </c>
      <c r="I61" s="64"/>
      <c r="J61" s="64"/>
      <c r="K61" s="64"/>
      <c r="L61" s="64" t="s">
        <v>2032</v>
      </c>
      <c r="M61" s="64"/>
      <c r="N61" s="64"/>
      <c r="O61" s="64"/>
      <c r="P61" s="64"/>
      <c r="Q61" s="64"/>
      <c r="R61" s="64"/>
      <c r="S61" s="64"/>
      <c r="T61" s="64"/>
      <c r="U61" s="64"/>
      <c r="V61" s="64"/>
      <c r="W61" s="64"/>
      <c r="X61" s="64" t="s">
        <v>2033</v>
      </c>
      <c r="Y61" s="64"/>
      <c r="Z61" s="64"/>
      <c r="AA61" s="64"/>
      <c r="AB61" s="64" t="s">
        <v>46</v>
      </c>
      <c r="AC61" s="64"/>
      <c r="AD61" s="64"/>
      <c r="AE61" s="64"/>
      <c r="AF61" s="64"/>
      <c r="AG61" s="64"/>
      <c r="AH61" s="64"/>
      <c r="AI61" s="64"/>
      <c r="AJ61" s="64"/>
      <c r="AK61" s="64"/>
      <c r="AL61" s="64"/>
      <c r="AM61" s="64"/>
      <c r="AN61" s="64" t="s">
        <v>2034</v>
      </c>
      <c r="AO61" s="64"/>
      <c r="AP61" s="64"/>
      <c r="AQ61" s="64"/>
      <c r="AR61" s="64"/>
      <c r="AS61" s="69" t="str">
        <f t="shared" si="1"/>
        <v>PPneumatiques : 195/65 R15Réservoir à carburant de 50 LSuspension arrière mécaniqueFreinage avec ABSRéservoir AdBlue de 17 LAide au démarrage en pente GSRII (General Safety Regulation)Fourgon tôlé / Transmission : Traction avant / Roues arrière simples</v>
      </c>
    </row>
    <row r="62" spans="1:45" ht="33.75" hidden="1" outlineLevel="1" x14ac:dyDescent="0.25">
      <c r="A62" s="64" t="s">
        <v>1182</v>
      </c>
      <c r="B62" s="64" t="s">
        <v>32</v>
      </c>
      <c r="C62" s="64" t="s">
        <v>2036</v>
      </c>
      <c r="D62" s="64"/>
      <c r="E62" s="64" t="s">
        <v>2029</v>
      </c>
      <c r="F62" s="64" t="s">
        <v>2030</v>
      </c>
      <c r="G62" s="64" t="s">
        <v>432</v>
      </c>
      <c r="H62" s="64"/>
      <c r="I62" s="64" t="s">
        <v>601</v>
      </c>
      <c r="J62" s="64"/>
      <c r="K62" s="64"/>
      <c r="L62" s="64" t="s">
        <v>2032</v>
      </c>
      <c r="M62" s="64"/>
      <c r="N62" s="64"/>
      <c r="O62" s="64"/>
      <c r="P62" s="64"/>
      <c r="Q62" s="64"/>
      <c r="R62" s="64"/>
      <c r="S62" s="64"/>
      <c r="T62" s="64"/>
      <c r="U62" s="64"/>
      <c r="V62" s="64"/>
      <c r="W62" s="64"/>
      <c r="X62" s="64" t="s">
        <v>2033</v>
      </c>
      <c r="Y62" s="64"/>
      <c r="Z62" s="64"/>
      <c r="AA62" s="64"/>
      <c r="AB62" s="64" t="s">
        <v>46</v>
      </c>
      <c r="AC62" s="64"/>
      <c r="AD62" s="64"/>
      <c r="AE62" s="64"/>
      <c r="AF62" s="64"/>
      <c r="AG62" s="64"/>
      <c r="AH62" s="64"/>
      <c r="AI62" s="64"/>
      <c r="AJ62" s="64"/>
      <c r="AK62" s="64"/>
      <c r="AL62" s="70"/>
      <c r="AM62" s="64"/>
      <c r="AN62" s="64" t="s">
        <v>2034</v>
      </c>
      <c r="AO62" s="64"/>
      <c r="AP62" s="69"/>
      <c r="AQ62" s="64"/>
      <c r="AR62" s="64"/>
      <c r="AS62" s="69" t="str">
        <f t="shared" si="1"/>
        <v>PPneumatiques : 215/65 R16Suspension arrière mécaniqueFreinage avec ABSBuzzer de marche arrièreRoue de secoursAide au démarrage en pente GSRII (General Safety Regulation)Fourgon tôlé / Transmission : Traction avant / Roues arrière simples</v>
      </c>
    </row>
    <row r="63" spans="1:45" ht="56.25" hidden="1" outlineLevel="1" x14ac:dyDescent="0.25">
      <c r="A63" s="64" t="s">
        <v>1146</v>
      </c>
      <c r="B63" s="64" t="s">
        <v>32</v>
      </c>
      <c r="C63" s="64" t="s">
        <v>2037</v>
      </c>
      <c r="D63" s="64" t="s">
        <v>2038</v>
      </c>
      <c r="E63" s="64" t="s">
        <v>2039</v>
      </c>
      <c r="F63" s="64" t="s">
        <v>2040</v>
      </c>
      <c r="G63" s="64"/>
      <c r="H63" s="64"/>
      <c r="I63" s="64" t="s">
        <v>609</v>
      </c>
      <c r="J63" s="64" t="s">
        <v>2041</v>
      </c>
      <c r="K63" s="64" t="s">
        <v>2042</v>
      </c>
      <c r="L63" s="64" t="s">
        <v>2043</v>
      </c>
      <c r="M63" s="64" t="s">
        <v>2044</v>
      </c>
      <c r="N63" s="64"/>
      <c r="O63" s="64"/>
      <c r="P63" s="64"/>
      <c r="Q63" s="64"/>
      <c r="R63" s="64"/>
      <c r="S63" s="64"/>
      <c r="T63" s="64"/>
      <c r="U63" s="64"/>
      <c r="V63" s="64"/>
      <c r="W63" s="64"/>
      <c r="X63" s="64"/>
      <c r="Y63" s="64"/>
      <c r="Z63" s="64"/>
      <c r="AA63" s="64"/>
      <c r="AB63" s="64" t="s">
        <v>46</v>
      </c>
      <c r="AC63" s="64"/>
      <c r="AD63" s="64"/>
      <c r="AE63" s="64"/>
      <c r="AF63" s="64"/>
      <c r="AG63" s="64"/>
      <c r="AH63" s="64"/>
      <c r="AI63" s="64"/>
      <c r="AJ63" s="64"/>
      <c r="AK63" s="64"/>
      <c r="AL63" s="70"/>
      <c r="AM63" s="64"/>
      <c r="AN63" s="64"/>
      <c r="AO63" s="64"/>
      <c r="AP63" s="64"/>
      <c r="AQ63" s="64"/>
      <c r="AR63" s="64"/>
      <c r="AS63" s="69" t="str">
        <f t="shared" si="1"/>
        <v>PPneumatiques : (AV) CIND 3.5 - 8
Pneumatiques : (AR) Bridgestone HOOP B01 100/90 – 10    Batterie Lithium-ion interchangeable : 32 Ah / 48 VFeux de position et de freinageSans roue de secours1 pièce avec boule d’attelage à fixer sur le tube de selle du vélo1 câble avec 1 fiche mâle en 220V/16A et chargeur indépendant sur prise secteur pour recharger la batterie de tractionAutonomie : 35 km environTemps de recharge : 5 heures max.</v>
      </c>
    </row>
    <row r="64" spans="1:45" ht="33.75" hidden="1" outlineLevel="1" x14ac:dyDescent="0.25">
      <c r="A64" s="64" t="s">
        <v>1177</v>
      </c>
      <c r="B64" s="64" t="s">
        <v>32</v>
      </c>
      <c r="C64" s="64" t="s">
        <v>2036</v>
      </c>
      <c r="D64" s="64"/>
      <c r="E64" s="64" t="s">
        <v>2029</v>
      </c>
      <c r="F64" s="64" t="s">
        <v>2030</v>
      </c>
      <c r="G64" s="64" t="s">
        <v>432</v>
      </c>
      <c r="H64" s="64"/>
      <c r="I64" s="64" t="s">
        <v>609</v>
      </c>
      <c r="J64" s="64"/>
      <c r="K64" s="64"/>
      <c r="L64" s="64" t="s">
        <v>2032</v>
      </c>
      <c r="M64" s="64"/>
      <c r="N64" s="64"/>
      <c r="O64" s="64"/>
      <c r="P64" s="64"/>
      <c r="Q64" s="64"/>
      <c r="R64" s="64"/>
      <c r="S64" s="64"/>
      <c r="T64" s="64"/>
      <c r="U64" s="64"/>
      <c r="V64" s="64"/>
      <c r="W64" s="64"/>
      <c r="X64" s="64" t="s">
        <v>2033</v>
      </c>
      <c r="Y64" s="64"/>
      <c r="Z64" s="64"/>
      <c r="AA64" s="64"/>
      <c r="AB64" s="64" t="s">
        <v>46</v>
      </c>
      <c r="AC64" s="64"/>
      <c r="AD64" s="64"/>
      <c r="AE64" s="64"/>
      <c r="AF64" s="64"/>
      <c r="AG64" s="64"/>
      <c r="AH64" s="64"/>
      <c r="AI64" s="64"/>
      <c r="AJ64" s="64"/>
      <c r="AK64" s="64"/>
      <c r="AL64" s="64"/>
      <c r="AM64" s="64"/>
      <c r="AN64" s="64" t="s">
        <v>2034</v>
      </c>
      <c r="AO64" s="64"/>
      <c r="AP64" s="64"/>
      <c r="AQ64" s="64"/>
      <c r="AR64" s="64"/>
      <c r="AS64" s="69" t="str">
        <f t="shared" si="1"/>
        <v>PPneumatiques : 215/65 R16Suspension arrière mécaniqueFreinage avec ABSBuzzer de marche arrièreSans roue de secoursAide au démarrage en pente GSRII (General Safety Regulation)Fourgon tôlé / Transmission : Traction avant / Roues arrière simples</v>
      </c>
    </row>
    <row r="65" spans="1:45" ht="33.75" hidden="1" outlineLevel="1" x14ac:dyDescent="0.25">
      <c r="A65" s="64" t="s">
        <v>1203</v>
      </c>
      <c r="B65" s="64" t="s">
        <v>32</v>
      </c>
      <c r="C65" s="64" t="s">
        <v>2045</v>
      </c>
      <c r="D65" s="64" t="s">
        <v>2046</v>
      </c>
      <c r="E65" s="64" t="s">
        <v>2029</v>
      </c>
      <c r="F65" s="64" t="s">
        <v>2030</v>
      </c>
      <c r="G65" s="64"/>
      <c r="H65" s="64" t="s">
        <v>2047</v>
      </c>
      <c r="I65" s="64"/>
      <c r="J65" s="64"/>
      <c r="K65" s="64"/>
      <c r="L65" s="64" t="s">
        <v>2032</v>
      </c>
      <c r="M65" s="64"/>
      <c r="N65" s="64"/>
      <c r="O65" s="64"/>
      <c r="P65" s="64"/>
      <c r="Q65" s="64"/>
      <c r="R65" s="64"/>
      <c r="S65" s="64"/>
      <c r="T65" s="64"/>
      <c r="U65" s="64"/>
      <c r="V65" s="64"/>
      <c r="W65" s="64"/>
      <c r="X65" s="64" t="s">
        <v>2033</v>
      </c>
      <c r="Y65" s="64"/>
      <c r="Z65" s="64"/>
      <c r="AA65" s="64"/>
      <c r="AB65" s="64" t="s">
        <v>46</v>
      </c>
      <c r="AC65" s="64"/>
      <c r="AD65" s="64"/>
      <c r="AE65" s="64"/>
      <c r="AF65" s="70"/>
      <c r="AG65" s="70"/>
      <c r="AH65" s="64"/>
      <c r="AI65" s="64"/>
      <c r="AJ65" s="64"/>
      <c r="AK65" s="64"/>
      <c r="AL65" s="70"/>
      <c r="AM65" s="64"/>
      <c r="AN65" s="64" t="s">
        <v>2048</v>
      </c>
      <c r="AO65" s="64"/>
      <c r="AP65" s="64"/>
      <c r="AQ65" s="64"/>
      <c r="AR65" s="64"/>
      <c r="AS65" s="69" t="str">
        <f t="shared" si="1"/>
        <v>PPneumatiques : 215/65 R16CRéservoir à carburant de 70 LSuspension arrière mécaniqueFreinage avec ABSRéservoir AdBlue de 20,6 LAide au démarrage en pente GSRII (General Safety Regulation)Plancher cabine / Transmission : Traction avant / Roues arrière simples</v>
      </c>
    </row>
    <row r="66" spans="1:45" ht="33.75" hidden="1" outlineLevel="1" x14ac:dyDescent="0.25">
      <c r="A66" s="64" t="s">
        <v>1221</v>
      </c>
      <c r="B66" s="64" t="s">
        <v>32</v>
      </c>
      <c r="C66" s="64" t="s">
        <v>2045</v>
      </c>
      <c r="D66" s="64"/>
      <c r="E66" s="64" t="s">
        <v>2029</v>
      </c>
      <c r="F66" s="64" t="s">
        <v>2030</v>
      </c>
      <c r="G66" s="64" t="s">
        <v>432</v>
      </c>
      <c r="H66" s="64"/>
      <c r="I66" s="64" t="s">
        <v>601</v>
      </c>
      <c r="J66" s="64"/>
      <c r="K66" s="64"/>
      <c r="L66" s="64" t="s">
        <v>2032</v>
      </c>
      <c r="M66" s="64"/>
      <c r="N66" s="64"/>
      <c r="O66" s="64"/>
      <c r="P66" s="64"/>
      <c r="Q66" s="64"/>
      <c r="R66" s="64"/>
      <c r="S66" s="64"/>
      <c r="T66" s="64"/>
      <c r="U66" s="64"/>
      <c r="V66" s="64"/>
      <c r="W66" s="64"/>
      <c r="X66" s="64" t="s">
        <v>2033</v>
      </c>
      <c r="Y66" s="64"/>
      <c r="Z66" s="64"/>
      <c r="AA66" s="64"/>
      <c r="AB66" s="64" t="s">
        <v>46</v>
      </c>
      <c r="AC66" s="64"/>
      <c r="AD66" s="64"/>
      <c r="AE66" s="64"/>
      <c r="AF66" s="70"/>
      <c r="AG66" s="70"/>
      <c r="AH66" s="64"/>
      <c r="AI66" s="64"/>
      <c r="AJ66" s="64"/>
      <c r="AK66" s="64"/>
      <c r="AL66" s="70"/>
      <c r="AM66" s="64"/>
      <c r="AN66" s="64" t="s">
        <v>2048</v>
      </c>
      <c r="AO66" s="72"/>
      <c r="AP66" s="64"/>
      <c r="AQ66" s="64"/>
      <c r="AR66" s="64"/>
      <c r="AS66" s="69" t="str">
        <f t="shared" si="1"/>
        <v>PPneumatiques : 215/65 R16CSuspension arrière mécaniqueFreinage avec ABSBuzzer de marche arrièreRoue de secoursAide au démarrage en pente GSRII (General Safety Regulation)Plancher cabine / Transmission : Traction avant / Roues arrière simples</v>
      </c>
    </row>
    <row r="67" spans="1:45" ht="33.75" hidden="1" outlineLevel="1" x14ac:dyDescent="0.25">
      <c r="A67" s="64" t="s">
        <v>1190</v>
      </c>
      <c r="B67" s="64" t="s">
        <v>32</v>
      </c>
      <c r="C67" s="64" t="s">
        <v>2045</v>
      </c>
      <c r="D67" s="64" t="s">
        <v>2046</v>
      </c>
      <c r="E67" s="64" t="s">
        <v>2029</v>
      </c>
      <c r="F67" s="64" t="s">
        <v>2030</v>
      </c>
      <c r="G67" s="64"/>
      <c r="H67" s="64" t="s">
        <v>2047</v>
      </c>
      <c r="I67" s="64"/>
      <c r="J67" s="64"/>
      <c r="K67" s="64"/>
      <c r="L67" s="64" t="s">
        <v>2032</v>
      </c>
      <c r="M67" s="64"/>
      <c r="N67" s="64"/>
      <c r="O67" s="64"/>
      <c r="P67" s="64"/>
      <c r="Q67" s="64"/>
      <c r="R67" s="64"/>
      <c r="S67" s="64"/>
      <c r="T67" s="64"/>
      <c r="U67" s="64"/>
      <c r="V67" s="64"/>
      <c r="W67" s="64"/>
      <c r="X67" s="64" t="s">
        <v>2033</v>
      </c>
      <c r="Y67" s="64"/>
      <c r="Z67" s="64"/>
      <c r="AA67" s="64"/>
      <c r="AB67" s="64" t="s">
        <v>46</v>
      </c>
      <c r="AC67" s="64"/>
      <c r="AD67" s="64"/>
      <c r="AE67" s="64"/>
      <c r="AF67" s="70"/>
      <c r="AG67" s="64"/>
      <c r="AH67" s="64"/>
      <c r="AI67" s="64"/>
      <c r="AJ67" s="64"/>
      <c r="AK67" s="64"/>
      <c r="AL67" s="70"/>
      <c r="AM67" s="64"/>
      <c r="AN67" s="64" t="s">
        <v>2034</v>
      </c>
      <c r="AO67" s="64"/>
      <c r="AP67" s="64"/>
      <c r="AQ67" s="64"/>
      <c r="AR67" s="64"/>
      <c r="AS67" s="69" t="str">
        <f t="shared" si="1"/>
        <v>PPneumatiques : 215/65 R16CRéservoir à carburant de 70 LSuspension arrière mécaniqueFreinage avec ABSRéservoir AdBlue de 20,6 LAide au démarrage en pente GSRII (General Safety Regulation)Fourgon tôlé / Transmission : Traction avant / Roues arrière simples</v>
      </c>
    </row>
    <row r="68" spans="1:45" ht="33.75" hidden="1" outlineLevel="1" x14ac:dyDescent="0.25">
      <c r="A68" s="64" t="s">
        <v>1212</v>
      </c>
      <c r="B68" s="64" t="s">
        <v>32</v>
      </c>
      <c r="C68" s="64" t="s">
        <v>2045</v>
      </c>
      <c r="D68" s="64"/>
      <c r="E68" s="64" t="s">
        <v>2029</v>
      </c>
      <c r="F68" s="64" t="s">
        <v>2030</v>
      </c>
      <c r="G68" s="64" t="s">
        <v>432</v>
      </c>
      <c r="H68" s="64"/>
      <c r="I68" s="64" t="s">
        <v>609</v>
      </c>
      <c r="J68" s="64"/>
      <c r="K68" s="64"/>
      <c r="L68" s="64" t="s">
        <v>2032</v>
      </c>
      <c r="M68" s="64"/>
      <c r="N68" s="64"/>
      <c r="O68" s="64"/>
      <c r="P68" s="64"/>
      <c r="Q68" s="64"/>
      <c r="R68" s="64"/>
      <c r="S68" s="64"/>
      <c r="T68" s="64"/>
      <c r="U68" s="64"/>
      <c r="V68" s="64"/>
      <c r="W68" s="64"/>
      <c r="X68" s="64" t="s">
        <v>2033</v>
      </c>
      <c r="Y68" s="64"/>
      <c r="Z68" s="64"/>
      <c r="AA68" s="64"/>
      <c r="AB68" s="64" t="s">
        <v>46</v>
      </c>
      <c r="AC68" s="64"/>
      <c r="AD68" s="64"/>
      <c r="AE68" s="64"/>
      <c r="AF68" s="70"/>
      <c r="AG68" s="64"/>
      <c r="AH68" s="64"/>
      <c r="AI68" s="64"/>
      <c r="AJ68" s="64"/>
      <c r="AK68" s="64"/>
      <c r="AL68" s="70"/>
      <c r="AM68" s="64"/>
      <c r="AN68" s="64" t="s">
        <v>2034</v>
      </c>
      <c r="AO68" s="72"/>
      <c r="AP68" s="64"/>
      <c r="AQ68" s="64"/>
      <c r="AR68" s="64"/>
      <c r="AS68" s="69" t="str">
        <f t="shared" si="1"/>
        <v>PPneumatiques : 215/65 R16CSuspension arrière mécaniqueFreinage avec ABSBuzzer de marche arrièreSans roue de secoursAide au démarrage en pente GSRII (General Safety Regulation)Fourgon tôlé / Transmission : Traction avant / Roues arrière simples</v>
      </c>
    </row>
    <row r="69" spans="1:45" ht="33.75" hidden="1" outlineLevel="1" x14ac:dyDescent="0.25">
      <c r="A69" s="64" t="s">
        <v>1231</v>
      </c>
      <c r="B69" s="64" t="s">
        <v>32</v>
      </c>
      <c r="C69" s="64" t="s">
        <v>2049</v>
      </c>
      <c r="D69" s="64" t="s">
        <v>2050</v>
      </c>
      <c r="E69" s="64" t="s">
        <v>2029</v>
      </c>
      <c r="F69" s="64" t="s">
        <v>2030</v>
      </c>
      <c r="G69" s="64" t="s">
        <v>2051</v>
      </c>
      <c r="H69" s="64" t="s">
        <v>2052</v>
      </c>
      <c r="I69" s="64"/>
      <c r="J69" s="64"/>
      <c r="K69" s="64"/>
      <c r="L69" s="64"/>
      <c r="M69" s="64"/>
      <c r="N69" s="64"/>
      <c r="O69" s="64"/>
      <c r="P69" s="64"/>
      <c r="Q69" s="64"/>
      <c r="R69" s="64"/>
      <c r="S69" s="64"/>
      <c r="T69" s="64"/>
      <c r="U69" s="64"/>
      <c r="V69" s="64"/>
      <c r="W69" s="64"/>
      <c r="X69" s="64" t="s">
        <v>2033</v>
      </c>
      <c r="Y69" s="64"/>
      <c r="Z69" s="64"/>
      <c r="AA69" s="64"/>
      <c r="AB69" s="64" t="s">
        <v>46</v>
      </c>
      <c r="AC69" s="64"/>
      <c r="AD69" s="64"/>
      <c r="AE69" s="64"/>
      <c r="AF69" s="70"/>
      <c r="AG69" s="64"/>
      <c r="AH69" s="64"/>
      <c r="AI69" s="64"/>
      <c r="AJ69" s="64"/>
      <c r="AK69" s="64"/>
      <c r="AL69" s="70"/>
      <c r="AM69" s="70"/>
      <c r="AN69" s="64" t="s">
        <v>2034</v>
      </c>
      <c r="AO69" s="64"/>
      <c r="AP69" s="64"/>
      <c r="AQ69" s="64"/>
      <c r="AR69" s="64"/>
      <c r="AS69" s="69" t="str">
        <f t="shared" si="1"/>
        <v>PPneumatiques : 225/75 R16Réservoir à carburant de 90 LSuspension arrière mécaniqueFreinage avec ABSAvertisseur de marche arrièreRéservoir AdBlue de 19 L GSRII (General Safety Regulation)Fourgon tôlé / Transmission : Traction avant / Roues arrière simples</v>
      </c>
    </row>
    <row r="70" spans="1:45" s="96" customFormat="1" ht="33.75" hidden="1" outlineLevel="1" x14ac:dyDescent="0.25">
      <c r="A70" s="64" t="s">
        <v>1246</v>
      </c>
      <c r="B70" s="64" t="s">
        <v>32</v>
      </c>
      <c r="C70" s="64" t="s">
        <v>2049</v>
      </c>
      <c r="D70" s="64" t="s">
        <v>2050</v>
      </c>
      <c r="E70" s="64" t="s">
        <v>2053</v>
      </c>
      <c r="F70" s="64" t="s">
        <v>2030</v>
      </c>
      <c r="G70" s="64"/>
      <c r="H70" s="64" t="s">
        <v>2052</v>
      </c>
      <c r="I70" s="64"/>
      <c r="J70" s="64"/>
      <c r="K70" s="64"/>
      <c r="L70" s="64"/>
      <c r="M70" s="64"/>
      <c r="N70" s="64"/>
      <c r="O70" s="64"/>
      <c r="P70" s="64"/>
      <c r="Q70" s="64"/>
      <c r="R70" s="64"/>
      <c r="S70" s="64"/>
      <c r="T70" s="64"/>
      <c r="U70" s="64"/>
      <c r="V70" s="64"/>
      <c r="W70" s="64"/>
      <c r="X70" s="64" t="s">
        <v>2033</v>
      </c>
      <c r="Y70" s="64"/>
      <c r="Z70" s="64"/>
      <c r="AA70" s="64"/>
      <c r="AB70" s="64" t="s">
        <v>46</v>
      </c>
      <c r="AC70" s="64"/>
      <c r="AD70" s="64"/>
      <c r="AE70" s="64"/>
      <c r="AF70" s="70"/>
      <c r="AG70" s="64"/>
      <c r="AH70" s="64"/>
      <c r="AI70" s="64"/>
      <c r="AJ70" s="64"/>
      <c r="AK70" s="64"/>
      <c r="AL70" s="70"/>
      <c r="AM70" s="70"/>
      <c r="AN70" s="64" t="s">
        <v>2048</v>
      </c>
      <c r="AO70" s="64"/>
      <c r="AP70" s="64"/>
      <c r="AQ70" s="64"/>
      <c r="AR70" s="64"/>
      <c r="AS70" s="69" t="str">
        <f t="shared" si="1"/>
        <v>PPneumatiques : 225/75 R16Réservoir à carburant de 90 LSuspension arrière mécanique renforcée 4GMFreinage avec ABSRéservoir AdBlue de 19 L GSRII (General Safety Regulation)Plancher cabine / Transmission : Traction avant / Roues arrière simples</v>
      </c>
    </row>
    <row r="71" spans="1:45" ht="33.75" hidden="1" outlineLevel="1" x14ac:dyDescent="0.25">
      <c r="A71" s="64" t="s">
        <v>1254</v>
      </c>
      <c r="B71" s="64" t="s">
        <v>32</v>
      </c>
      <c r="C71" s="64" t="s">
        <v>2049</v>
      </c>
      <c r="D71" s="64" t="s">
        <v>2050</v>
      </c>
      <c r="E71" s="64" t="s">
        <v>2053</v>
      </c>
      <c r="F71" s="64" t="s">
        <v>2030</v>
      </c>
      <c r="G71" s="64"/>
      <c r="H71" s="64" t="s">
        <v>2052</v>
      </c>
      <c r="I71" s="64" t="s">
        <v>433</v>
      </c>
      <c r="J71" s="64"/>
      <c r="K71" s="64"/>
      <c r="L71" s="64"/>
      <c r="M71" s="64"/>
      <c r="N71" s="64"/>
      <c r="O71" s="64"/>
      <c r="P71" s="64"/>
      <c r="Q71" s="64"/>
      <c r="R71" s="64"/>
      <c r="S71" s="64"/>
      <c r="T71" s="64"/>
      <c r="U71" s="64"/>
      <c r="V71" s="64"/>
      <c r="W71" s="64"/>
      <c r="X71" s="64" t="s">
        <v>2033</v>
      </c>
      <c r="Y71" s="64"/>
      <c r="Z71" s="64"/>
      <c r="AA71" s="64"/>
      <c r="AB71" s="64" t="s">
        <v>46</v>
      </c>
      <c r="AC71" s="64"/>
      <c r="AD71" s="64"/>
      <c r="AE71" s="64"/>
      <c r="AF71" s="70"/>
      <c r="AG71" s="70"/>
      <c r="AH71" s="64"/>
      <c r="AI71" s="64"/>
      <c r="AJ71" s="64"/>
      <c r="AK71" s="64"/>
      <c r="AL71" s="64"/>
      <c r="AM71" s="64"/>
      <c r="AN71" s="64" t="s">
        <v>2048</v>
      </c>
      <c r="AO71" s="64"/>
      <c r="AP71" s="64"/>
      <c r="AQ71" s="64"/>
      <c r="AR71" s="64"/>
      <c r="AS71" s="69" t="str">
        <f t="shared" si="1"/>
        <v>PPneumatiques : 225/75 R16Réservoir à carburant de 90 LSuspension arrière mécanique renforcée 4GMFreinage avec ABSRéservoir AdBlue de 19 L Sans support roue de secours et sans roue de secoursGSRII (General Safety Regulation)Plancher cabine / Transmission : Traction avant / Roues arrière simples</v>
      </c>
    </row>
    <row r="72" spans="1:45" ht="33.75" hidden="1" outlineLevel="1" x14ac:dyDescent="0.25">
      <c r="A72" s="64" t="s">
        <v>1296</v>
      </c>
      <c r="B72" s="64" t="s">
        <v>32</v>
      </c>
      <c r="C72" s="64" t="s">
        <v>2054</v>
      </c>
      <c r="D72" s="64" t="s">
        <v>2055</v>
      </c>
      <c r="E72" s="64" t="s">
        <v>2029</v>
      </c>
      <c r="F72" s="64" t="s">
        <v>2030</v>
      </c>
      <c r="G72" s="64" t="s">
        <v>432</v>
      </c>
      <c r="H72" s="64" t="s">
        <v>2056</v>
      </c>
      <c r="I72" s="64" t="s">
        <v>2057</v>
      </c>
      <c r="J72" s="64"/>
      <c r="K72" s="64"/>
      <c r="L72" s="64"/>
      <c r="M72" s="64"/>
      <c r="N72" s="64"/>
      <c r="O72" s="64"/>
      <c r="P72" s="64"/>
      <c r="Q72" s="64"/>
      <c r="R72" s="64"/>
      <c r="S72" s="64"/>
      <c r="T72" s="64"/>
      <c r="U72" s="64"/>
      <c r="V72" s="64"/>
      <c r="W72" s="64"/>
      <c r="X72" s="64" t="s">
        <v>2033</v>
      </c>
      <c r="Y72" s="64"/>
      <c r="Z72" s="64"/>
      <c r="AA72" s="64"/>
      <c r="AB72" s="64" t="s">
        <v>46</v>
      </c>
      <c r="AC72" s="64"/>
      <c r="AD72" s="64"/>
      <c r="AE72" s="64"/>
      <c r="AF72" s="70"/>
      <c r="AG72" s="70"/>
      <c r="AH72" s="64"/>
      <c r="AI72" s="64"/>
      <c r="AJ72" s="64"/>
      <c r="AK72" s="64"/>
      <c r="AL72" s="64"/>
      <c r="AM72" s="64"/>
      <c r="AN72" s="64" t="s">
        <v>2058</v>
      </c>
      <c r="AO72" s="64"/>
      <c r="AP72" s="64"/>
      <c r="AQ72" s="64"/>
      <c r="AR72" s="64"/>
      <c r="AS72" s="69" t="str">
        <f t="shared" si="1"/>
        <v>PPneumatiques : 195/75 R16Réservoir à carburant de 63 LSuspension arrière mécaniqueFreinage avec ABSBuzzer de marche arrièreRéservoir AdBlue de 20 L Roue de secours avec supportGSRII (General Safety Regulation)Châssis cabine / Transmission : Propulsion arrière / Roues arrière jumelées</v>
      </c>
    </row>
    <row r="73" spans="1:45" ht="33.75" hidden="1" outlineLevel="1" x14ac:dyDescent="0.25">
      <c r="A73" s="64" t="s">
        <v>1276</v>
      </c>
      <c r="B73" s="64" t="s">
        <v>32</v>
      </c>
      <c r="C73" s="64" t="s">
        <v>2054</v>
      </c>
      <c r="D73" s="64" t="s">
        <v>2059</v>
      </c>
      <c r="E73" s="64" t="s">
        <v>2029</v>
      </c>
      <c r="F73" s="64" t="s">
        <v>2030</v>
      </c>
      <c r="G73" s="64" t="s">
        <v>432</v>
      </c>
      <c r="H73" s="64" t="s">
        <v>2056</v>
      </c>
      <c r="I73" s="64" t="s">
        <v>2057</v>
      </c>
      <c r="J73" s="64"/>
      <c r="K73" s="64"/>
      <c r="L73" s="64"/>
      <c r="M73" s="64"/>
      <c r="N73" s="64"/>
      <c r="O73" s="64"/>
      <c r="P73" s="64"/>
      <c r="Q73" s="64"/>
      <c r="R73" s="64"/>
      <c r="S73" s="64"/>
      <c r="T73" s="64"/>
      <c r="U73" s="64"/>
      <c r="V73" s="64"/>
      <c r="W73" s="64"/>
      <c r="X73" s="64" t="s">
        <v>2033</v>
      </c>
      <c r="Y73" s="64"/>
      <c r="Z73" s="64"/>
      <c r="AA73" s="64"/>
      <c r="AB73" s="64" t="s">
        <v>46</v>
      </c>
      <c r="AC73" s="64"/>
      <c r="AD73" s="64"/>
      <c r="AE73" s="64"/>
      <c r="AF73" s="70"/>
      <c r="AG73" s="70"/>
      <c r="AH73" s="64"/>
      <c r="AI73" s="64"/>
      <c r="AJ73" s="64"/>
      <c r="AK73" s="64"/>
      <c r="AL73" s="70"/>
      <c r="AM73" s="64"/>
      <c r="AN73" s="64" t="s">
        <v>2058</v>
      </c>
      <c r="AO73" s="64"/>
      <c r="AP73" s="64"/>
      <c r="AQ73" s="64"/>
      <c r="AR73" s="64"/>
      <c r="AS73" s="69" t="str">
        <f t="shared" si="1"/>
        <v>PPneumatiques : 195/75 R16Réservoir à carburant de 86 LSuspension arrière mécaniqueFreinage avec ABSBuzzer de marche arrièreRéservoir AdBlue de 20 L Roue de secours avec supportGSRII (General Safety Regulation)Châssis cabine / Transmission : Propulsion arrière / Roues arrière jumelées</v>
      </c>
    </row>
    <row r="74" spans="1:45" ht="33.75" hidden="1" outlineLevel="1" x14ac:dyDescent="0.25">
      <c r="A74" s="64" t="s">
        <v>1301</v>
      </c>
      <c r="B74" s="64" t="s">
        <v>32</v>
      </c>
      <c r="C74" s="64" t="s">
        <v>2054</v>
      </c>
      <c r="D74" s="64" t="s">
        <v>2059</v>
      </c>
      <c r="E74" s="64" t="s">
        <v>2029</v>
      </c>
      <c r="F74" s="64" t="s">
        <v>2030</v>
      </c>
      <c r="G74" s="64" t="s">
        <v>432</v>
      </c>
      <c r="H74" s="64" t="s">
        <v>2056</v>
      </c>
      <c r="I74" s="64" t="s">
        <v>433</v>
      </c>
      <c r="J74" s="64"/>
      <c r="K74" s="64"/>
      <c r="L74" s="64"/>
      <c r="M74" s="64"/>
      <c r="N74" s="64"/>
      <c r="O74" s="64"/>
      <c r="P74" s="64"/>
      <c r="Q74" s="64"/>
      <c r="R74" s="64"/>
      <c r="S74" s="64"/>
      <c r="T74" s="64"/>
      <c r="U74" s="64"/>
      <c r="V74" s="64"/>
      <c r="W74" s="64"/>
      <c r="X74" s="64" t="s">
        <v>2033</v>
      </c>
      <c r="Y74" s="64"/>
      <c r="Z74" s="64"/>
      <c r="AA74" s="64"/>
      <c r="AB74" s="64" t="s">
        <v>46</v>
      </c>
      <c r="AC74" s="64"/>
      <c r="AD74" s="64"/>
      <c r="AE74" s="64"/>
      <c r="AF74" s="70"/>
      <c r="AG74" s="70"/>
      <c r="AH74" s="64"/>
      <c r="AI74" s="64"/>
      <c r="AJ74" s="64"/>
      <c r="AK74" s="64"/>
      <c r="AL74" s="70"/>
      <c r="AM74" s="64" t="s">
        <v>2060</v>
      </c>
      <c r="AN74" s="64" t="s">
        <v>2058</v>
      </c>
      <c r="AO74" s="64"/>
      <c r="AP74" s="64"/>
      <c r="AQ74" s="64"/>
      <c r="AR74" s="64"/>
      <c r="AS74" s="69" t="str">
        <f t="shared" si="1"/>
        <v>PPneumatiques : 195/75 R16Réservoir à carburant de 86 LSuspension arrière mécaniqueFreinage avec ABSBuzzer de marche arrièreRéservoir AdBlue de 20 L Sans support roue de secours et sans roue de secoursGSRII (General Safety Regulation)Interface carrossier Châssis cabine / Transmission : Propulsion arrière / Roues arrière jumelées</v>
      </c>
    </row>
    <row r="75" spans="1:45" ht="33.75" hidden="1" outlineLevel="1" x14ac:dyDescent="0.25">
      <c r="A75" s="64" t="s">
        <v>2258</v>
      </c>
      <c r="B75" s="64" t="s">
        <v>32</v>
      </c>
      <c r="C75" s="64" t="s">
        <v>2054</v>
      </c>
      <c r="D75" s="64" t="s">
        <v>2059</v>
      </c>
      <c r="E75" s="64" t="s">
        <v>2061</v>
      </c>
      <c r="F75" s="64" t="s">
        <v>2030</v>
      </c>
      <c r="G75" s="64" t="s">
        <v>432</v>
      </c>
      <c r="H75" s="64" t="s">
        <v>2062</v>
      </c>
      <c r="I75" s="64"/>
      <c r="J75" s="64"/>
      <c r="K75" s="64"/>
      <c r="L75" s="64"/>
      <c r="M75" s="64"/>
      <c r="N75" s="64"/>
      <c r="O75" s="64"/>
      <c r="P75" s="64"/>
      <c r="Q75" s="64"/>
      <c r="R75" s="64"/>
      <c r="S75" s="64"/>
      <c r="T75" s="64"/>
      <c r="U75" s="64"/>
      <c r="V75" s="64"/>
      <c r="W75" s="64"/>
      <c r="X75" s="64" t="s">
        <v>2033</v>
      </c>
      <c r="Y75" s="64"/>
      <c r="Z75" s="64"/>
      <c r="AA75" s="64"/>
      <c r="AB75" s="64" t="s">
        <v>46</v>
      </c>
      <c r="AC75" s="64"/>
      <c r="AD75" s="64"/>
      <c r="AE75" s="64"/>
      <c r="AF75" s="70"/>
      <c r="AG75" s="70"/>
      <c r="AH75" s="64"/>
      <c r="AI75" s="64"/>
      <c r="AJ75" s="64"/>
      <c r="AK75" s="64"/>
      <c r="AL75" s="70"/>
      <c r="AM75" s="70"/>
      <c r="AN75" s="64" t="s">
        <v>2058</v>
      </c>
      <c r="AO75" s="64"/>
      <c r="AP75" s="69"/>
      <c r="AQ75" s="64"/>
      <c r="AR75" s="64"/>
      <c r="AS75" s="69" t="str">
        <f t="shared" si="1"/>
        <v>PPneumatiques : 195/75 R16Réservoir à carburant de 86 LSuspension arrière mécanique avec HELPERFreinage avec ABSBuzzer de marche arrièreRéservoir AdBlue 20LGSRII (General Safety Regulation)Châssis cabine / Transmission : Propulsion arrière / Roues arrière jumelées</v>
      </c>
    </row>
    <row r="76" spans="1:45" ht="33.75" hidden="1" outlineLevel="1" x14ac:dyDescent="0.25">
      <c r="A76" s="64" t="s">
        <v>1676</v>
      </c>
      <c r="B76" s="64" t="s">
        <v>32</v>
      </c>
      <c r="C76" s="64" t="s">
        <v>2054</v>
      </c>
      <c r="D76" s="64" t="s">
        <v>2059</v>
      </c>
      <c r="E76" s="64" t="s">
        <v>2061</v>
      </c>
      <c r="F76" s="64" t="s">
        <v>2030</v>
      </c>
      <c r="G76" s="64" t="s">
        <v>432</v>
      </c>
      <c r="H76" s="64" t="s">
        <v>2062</v>
      </c>
      <c r="I76" s="64" t="s">
        <v>433</v>
      </c>
      <c r="J76" s="64"/>
      <c r="K76" s="64"/>
      <c r="L76" s="64"/>
      <c r="M76" s="64"/>
      <c r="N76" s="64"/>
      <c r="O76" s="64"/>
      <c r="P76" s="64"/>
      <c r="Q76" s="64"/>
      <c r="R76" s="64"/>
      <c r="S76" s="64"/>
      <c r="T76" s="64"/>
      <c r="U76" s="64"/>
      <c r="V76" s="64"/>
      <c r="W76" s="64"/>
      <c r="X76" s="64" t="s">
        <v>2033</v>
      </c>
      <c r="Y76" s="64"/>
      <c r="Z76" s="64"/>
      <c r="AA76" s="64"/>
      <c r="AB76" s="64" t="s">
        <v>46</v>
      </c>
      <c r="AC76" s="64"/>
      <c r="AD76" s="64"/>
      <c r="AE76" s="64"/>
      <c r="AF76" s="70"/>
      <c r="AG76" s="70"/>
      <c r="AH76" s="64"/>
      <c r="AI76" s="64"/>
      <c r="AJ76" s="64"/>
      <c r="AK76" s="64"/>
      <c r="AL76" s="70"/>
      <c r="AM76" s="70"/>
      <c r="AN76" s="64" t="s">
        <v>2058</v>
      </c>
      <c r="AO76" s="64"/>
      <c r="AP76" s="69"/>
      <c r="AQ76" s="64"/>
      <c r="AR76" s="64"/>
      <c r="AS76" s="69" t="str">
        <f t="shared" si="1"/>
        <v>PPneumatiques : 195/75 R16Réservoir à carburant de 86 LSuspension arrière mécanique avec HELPERFreinage avec ABSBuzzer de marche arrièreRéservoir AdBlue 20LSans support roue de secours et sans roue de secoursGSRII (General Safety Regulation)Châssis cabine / Transmission : Propulsion arrière / Roues arrière jumelées</v>
      </c>
    </row>
    <row r="77" spans="1:45" ht="33.75" hidden="1" outlineLevel="1" x14ac:dyDescent="0.25">
      <c r="A77" s="72" t="s">
        <v>1347</v>
      </c>
      <c r="B77" s="64" t="s">
        <v>32</v>
      </c>
      <c r="C77" s="64" t="s">
        <v>2063</v>
      </c>
      <c r="D77" s="64"/>
      <c r="E77" s="64" t="s">
        <v>2029</v>
      </c>
      <c r="F77" s="64" t="s">
        <v>2030</v>
      </c>
      <c r="G77" s="64" t="s">
        <v>432</v>
      </c>
      <c r="H77" s="64"/>
      <c r="I77" s="64" t="s">
        <v>2057</v>
      </c>
      <c r="J77" s="64"/>
      <c r="K77" s="64"/>
      <c r="L77" s="64"/>
      <c r="M77" s="64"/>
      <c r="N77" s="64"/>
      <c r="O77" s="64"/>
      <c r="P77" s="64"/>
      <c r="Q77" s="64"/>
      <c r="R77" s="64"/>
      <c r="S77" s="64"/>
      <c r="T77" s="64"/>
      <c r="U77" s="64"/>
      <c r="V77" s="64"/>
      <c r="W77" s="64"/>
      <c r="X77" s="64" t="s">
        <v>2033</v>
      </c>
      <c r="Y77" s="64" t="s">
        <v>2064</v>
      </c>
      <c r="Z77" s="64" t="s">
        <v>2065</v>
      </c>
      <c r="AA77" s="64"/>
      <c r="AB77" s="64" t="s">
        <v>46</v>
      </c>
      <c r="AC77" s="64"/>
      <c r="AD77" s="64"/>
      <c r="AE77" s="64"/>
      <c r="AF77" s="70"/>
      <c r="AG77" s="70"/>
      <c r="AH77" s="64"/>
      <c r="AI77" s="64"/>
      <c r="AJ77" s="64"/>
      <c r="AK77" s="64"/>
      <c r="AL77" s="64"/>
      <c r="AM77" s="64"/>
      <c r="AN77" s="64" t="s">
        <v>2066</v>
      </c>
      <c r="AO77" s="64"/>
      <c r="AP77" s="64"/>
      <c r="AQ77" s="64"/>
      <c r="AR77" s="72"/>
      <c r="AS77" s="69" t="str">
        <f t="shared" si="1"/>
        <v>PPneumatiques : 235/65 R16Suspension arrière mécaniqueFreinage avec ABSBuzzer de marche arrièreRoue de secours avec supportGSRII (General Safety Regulation)LDWS : Avertisseur de franchissement de ligneAEBS : Système de freinage automatique d'urgenceFourgon tôlé / Transmission : Propulsion arrière / Roues arrière simples</v>
      </c>
    </row>
    <row r="78" spans="1:45" ht="33.75" hidden="1" outlineLevel="1" x14ac:dyDescent="0.25">
      <c r="A78" s="72" t="s">
        <v>1368</v>
      </c>
      <c r="B78" s="64" t="s">
        <v>32</v>
      </c>
      <c r="C78" s="64" t="s">
        <v>2063</v>
      </c>
      <c r="D78" s="64"/>
      <c r="E78" s="64" t="s">
        <v>2029</v>
      </c>
      <c r="F78" s="64" t="s">
        <v>2030</v>
      </c>
      <c r="G78" s="64" t="s">
        <v>432</v>
      </c>
      <c r="H78" s="64"/>
      <c r="I78" s="64" t="s">
        <v>433</v>
      </c>
      <c r="J78" s="64"/>
      <c r="K78" s="64"/>
      <c r="L78" s="64"/>
      <c r="M78" s="64"/>
      <c r="N78" s="64"/>
      <c r="O78" s="64"/>
      <c r="P78" s="64"/>
      <c r="Q78" s="64"/>
      <c r="R78" s="64"/>
      <c r="S78" s="64"/>
      <c r="T78" s="64"/>
      <c r="U78" s="64"/>
      <c r="V78" s="64"/>
      <c r="W78" s="64"/>
      <c r="X78" s="64" t="s">
        <v>2033</v>
      </c>
      <c r="Y78" s="64" t="s">
        <v>2064</v>
      </c>
      <c r="Z78" s="64" t="s">
        <v>2067</v>
      </c>
      <c r="AA78" s="64"/>
      <c r="AB78" s="64" t="s">
        <v>46</v>
      </c>
      <c r="AC78" s="64"/>
      <c r="AD78" s="64"/>
      <c r="AE78" s="64"/>
      <c r="AF78" s="70"/>
      <c r="AG78" s="70"/>
      <c r="AH78" s="64"/>
      <c r="AI78" s="64"/>
      <c r="AJ78" s="64"/>
      <c r="AK78" s="64"/>
      <c r="AL78" s="64"/>
      <c r="AM78" s="64"/>
      <c r="AN78" s="64" t="s">
        <v>2068</v>
      </c>
      <c r="AO78" s="64"/>
      <c r="AP78" s="64"/>
      <c r="AQ78" s="64"/>
      <c r="AR78" s="72"/>
      <c r="AS78" s="69" t="str">
        <f t="shared" si="1"/>
        <v>PPneumatiques : 235/65 R16Suspension arrière mécaniqueFreinage avec ABSBuzzer de marche arrièreSans support roue de secours et sans roue de secoursGSRII (General Safety Regulation)LDWS : Avertisseur de franchissement de ligneAEBS : Freinage automatique d'urgence Châssis cabine / Transmission : Propulsion arrière / Roues arrière simples</v>
      </c>
    </row>
    <row r="79" spans="1:45" ht="33.75" hidden="1" outlineLevel="1" x14ac:dyDescent="0.25">
      <c r="A79" s="72" t="s">
        <v>1689</v>
      </c>
      <c r="B79" s="64" t="s">
        <v>32</v>
      </c>
      <c r="C79" s="64" t="s">
        <v>2063</v>
      </c>
      <c r="D79" s="64"/>
      <c r="E79" s="64" t="s">
        <v>2029</v>
      </c>
      <c r="F79" s="64" t="s">
        <v>2030</v>
      </c>
      <c r="G79" s="64" t="s">
        <v>432</v>
      </c>
      <c r="H79" s="64"/>
      <c r="I79" s="64" t="s">
        <v>2057</v>
      </c>
      <c r="J79" s="64"/>
      <c r="K79" s="64"/>
      <c r="L79" s="64"/>
      <c r="M79" s="64"/>
      <c r="N79" s="64"/>
      <c r="O79" s="64"/>
      <c r="P79" s="64"/>
      <c r="Q79" s="64"/>
      <c r="R79" s="64"/>
      <c r="S79" s="64"/>
      <c r="T79" s="64"/>
      <c r="U79" s="64"/>
      <c r="V79" s="64"/>
      <c r="W79" s="64"/>
      <c r="X79" s="64" t="s">
        <v>2033</v>
      </c>
      <c r="Y79" s="64" t="s">
        <v>2069</v>
      </c>
      <c r="Z79" s="64" t="s">
        <v>2070</v>
      </c>
      <c r="AA79" s="64"/>
      <c r="AB79" s="64" t="s">
        <v>46</v>
      </c>
      <c r="AC79" s="64"/>
      <c r="AD79" s="64"/>
      <c r="AE79" s="64"/>
      <c r="AF79" s="70"/>
      <c r="AG79" s="70"/>
      <c r="AH79" s="64"/>
      <c r="AI79" s="64"/>
      <c r="AJ79" s="64"/>
      <c r="AK79" s="64"/>
      <c r="AL79" s="64"/>
      <c r="AM79" s="64"/>
      <c r="AN79" s="64" t="s">
        <v>2068</v>
      </c>
      <c r="AO79" s="64"/>
      <c r="AP79" s="64"/>
      <c r="AQ79" s="64"/>
      <c r="AR79" s="72"/>
      <c r="AS79" s="69" t="str">
        <f t="shared" si="1"/>
        <v>PPneumatiques : 235/65 R16Suspension arrière mécaniqueFreinage avec ABSBuzzer de marche arrièreRoue de secours avec supportGSRII (General Safety Regulation)Assistance de maintien dans la voie (LDWS + MAINTIEN DANS LA VOIE)Freinage automatique d'urgence (AEBS + CITY BRAKE)Châssis cabine / Transmission : Propulsion arrière / Roues arrière simples</v>
      </c>
    </row>
    <row r="80" spans="1:45" s="96" customFormat="1" ht="33.75" hidden="1" outlineLevel="1" x14ac:dyDescent="0.25">
      <c r="A80" s="72" t="s">
        <v>1355</v>
      </c>
      <c r="B80" s="64" t="s">
        <v>32</v>
      </c>
      <c r="C80" s="64" t="s">
        <v>2054</v>
      </c>
      <c r="D80" s="64"/>
      <c r="E80" s="64" t="s">
        <v>2029</v>
      </c>
      <c r="F80" s="64" t="s">
        <v>2030</v>
      </c>
      <c r="G80" s="64" t="s">
        <v>432</v>
      </c>
      <c r="H80" s="64"/>
      <c r="I80" s="64" t="s">
        <v>433</v>
      </c>
      <c r="J80" s="64"/>
      <c r="K80" s="64"/>
      <c r="L80" s="64"/>
      <c r="M80" s="64"/>
      <c r="N80" s="64"/>
      <c r="O80" s="64"/>
      <c r="P80" s="64"/>
      <c r="Q80" s="64"/>
      <c r="R80" s="64"/>
      <c r="S80" s="64"/>
      <c r="T80" s="64"/>
      <c r="U80" s="64"/>
      <c r="V80" s="64"/>
      <c r="W80" s="64"/>
      <c r="X80" s="64" t="s">
        <v>2033</v>
      </c>
      <c r="Y80" s="64" t="s">
        <v>2064</v>
      </c>
      <c r="Z80" s="64" t="s">
        <v>2065</v>
      </c>
      <c r="AA80" s="64"/>
      <c r="AB80" s="64" t="s">
        <v>46</v>
      </c>
      <c r="AC80" s="64"/>
      <c r="AD80" s="64"/>
      <c r="AE80" s="64"/>
      <c r="AF80" s="70"/>
      <c r="AG80" s="70"/>
      <c r="AH80" s="64"/>
      <c r="AI80" s="64"/>
      <c r="AJ80" s="64"/>
      <c r="AK80" s="64"/>
      <c r="AL80" s="64"/>
      <c r="AM80" s="64"/>
      <c r="AN80" s="64" t="s">
        <v>2058</v>
      </c>
      <c r="AO80" s="64"/>
      <c r="AP80" s="64"/>
      <c r="AQ80" s="64"/>
      <c r="AR80" s="72"/>
      <c r="AS80" s="69" t="str">
        <f t="shared" si="1"/>
        <v>PPneumatiques : 195/75 R16Suspension arrière mécaniqueFreinage avec ABSBuzzer de marche arrièreSans support roue de secours et sans roue de secoursGSRII (General Safety Regulation)LDWS : Avertisseur de franchissement de ligneAEBS : Système de freinage automatique d'urgenceChâssis cabine / Transmission : Propulsion arrière / Roues arrière jumelées</v>
      </c>
    </row>
    <row r="81" spans="1:45" ht="33.75" hidden="1" outlineLevel="1" x14ac:dyDescent="0.25">
      <c r="A81" s="72" t="s">
        <v>1696</v>
      </c>
      <c r="B81" s="64" t="s">
        <v>32</v>
      </c>
      <c r="C81" s="64" t="s">
        <v>2071</v>
      </c>
      <c r="D81" s="64"/>
      <c r="E81" s="64" t="s">
        <v>2061</v>
      </c>
      <c r="F81" s="64" t="s">
        <v>2030</v>
      </c>
      <c r="G81" s="64" t="s">
        <v>432</v>
      </c>
      <c r="H81" s="64"/>
      <c r="I81" s="64" t="s">
        <v>2057</v>
      </c>
      <c r="J81" s="64"/>
      <c r="K81" s="64"/>
      <c r="L81" s="64"/>
      <c r="M81" s="64"/>
      <c r="N81" s="64"/>
      <c r="O81" s="64"/>
      <c r="P81" s="64"/>
      <c r="Q81" s="64"/>
      <c r="R81" s="64"/>
      <c r="S81" s="64"/>
      <c r="T81" s="64"/>
      <c r="U81" s="64"/>
      <c r="V81" s="64"/>
      <c r="W81" s="64"/>
      <c r="X81" s="64" t="s">
        <v>2072</v>
      </c>
      <c r="Y81" s="64" t="s">
        <v>2069</v>
      </c>
      <c r="Z81" s="64" t="s">
        <v>2070</v>
      </c>
      <c r="AA81" s="64"/>
      <c r="AB81" s="64" t="s">
        <v>46</v>
      </c>
      <c r="AC81" s="64"/>
      <c r="AD81" s="64"/>
      <c r="AE81" s="64"/>
      <c r="AF81" s="70"/>
      <c r="AG81" s="70"/>
      <c r="AH81" s="64"/>
      <c r="AI81" s="64"/>
      <c r="AJ81" s="64"/>
      <c r="AK81" s="64"/>
      <c r="AL81" s="64"/>
      <c r="AM81" s="64"/>
      <c r="AN81" s="64" t="s">
        <v>2058</v>
      </c>
      <c r="AO81" s="64"/>
      <c r="AP81" s="64"/>
      <c r="AQ81" s="64"/>
      <c r="AR81" s="72"/>
      <c r="AS81" s="69" t="str">
        <f t="shared" si="1"/>
        <v>PPneumatiques : 195/75 R 16Suspension arrière mécanique avec HELPERFreinage avec ABSBuzzer de marche arrièreRoue de secours avec supportESPAssistance de maintien dans la voie (LDWS + MAINTIEN DANS LA VOIE)Freinage automatique d'urgence (AEBS + CITY BRAKE)Châssis cabine / Transmission : Propulsion arrière / Roues arrière jumelées</v>
      </c>
    </row>
    <row r="82" spans="1:45" ht="33.75" hidden="1" outlineLevel="1" x14ac:dyDescent="0.25">
      <c r="A82" s="64" t="s">
        <v>2254</v>
      </c>
      <c r="B82" s="64" t="s">
        <v>32</v>
      </c>
      <c r="C82" s="64" t="s">
        <v>2073</v>
      </c>
      <c r="D82" s="64" t="s">
        <v>2059</v>
      </c>
      <c r="E82" s="64" t="s">
        <v>2029</v>
      </c>
      <c r="F82" s="64" t="s">
        <v>2030</v>
      </c>
      <c r="G82" s="64" t="s">
        <v>432</v>
      </c>
      <c r="H82" s="64" t="s">
        <v>2056</v>
      </c>
      <c r="I82" s="64"/>
      <c r="J82" s="64"/>
      <c r="K82" s="64"/>
      <c r="L82" s="64"/>
      <c r="M82" s="64"/>
      <c r="N82" s="64"/>
      <c r="O82" s="64"/>
      <c r="P82" s="64"/>
      <c r="Q82" s="64"/>
      <c r="R82" s="64"/>
      <c r="S82" s="64"/>
      <c r="T82" s="64"/>
      <c r="U82" s="64"/>
      <c r="V82" s="64"/>
      <c r="W82" s="64"/>
      <c r="X82" s="64" t="s">
        <v>2033</v>
      </c>
      <c r="Y82" s="64"/>
      <c r="Z82" s="64"/>
      <c r="AA82" s="64"/>
      <c r="AB82" s="64" t="s">
        <v>46</v>
      </c>
      <c r="AC82" s="64"/>
      <c r="AD82" s="64"/>
      <c r="AE82" s="64"/>
      <c r="AF82" s="70"/>
      <c r="AG82" s="70"/>
      <c r="AH82" s="64"/>
      <c r="AI82" s="64"/>
      <c r="AJ82" s="64"/>
      <c r="AK82" s="64"/>
      <c r="AL82" s="70"/>
      <c r="AM82" s="64"/>
      <c r="AN82" s="64" t="s">
        <v>2068</v>
      </c>
      <c r="AO82" s="64"/>
      <c r="AP82" s="64"/>
      <c r="AQ82" s="64"/>
      <c r="AR82" s="64"/>
      <c r="AS82" s="69" t="str">
        <f t="shared" si="1"/>
        <v>PPneumatiques : 225/65 R16Réservoir à carburant de 86 LSuspension arrière mécaniqueFreinage avec ABSBuzzer de marche arrièreRéservoir AdBlue de 20 L GSRII (General Safety Regulation)Châssis cabine / Transmission : Propulsion arrière / Roues arrière simples</v>
      </c>
    </row>
    <row r="83" spans="1:45" ht="33.75" hidden="1" outlineLevel="1" x14ac:dyDescent="0.25">
      <c r="A83" s="64" t="s">
        <v>1323</v>
      </c>
      <c r="B83" s="64" t="s">
        <v>32</v>
      </c>
      <c r="C83" s="64" t="s">
        <v>2073</v>
      </c>
      <c r="D83" s="64" t="s">
        <v>2059</v>
      </c>
      <c r="E83" s="64" t="s">
        <v>2029</v>
      </c>
      <c r="F83" s="64" t="s">
        <v>2030</v>
      </c>
      <c r="G83" s="64" t="s">
        <v>432</v>
      </c>
      <c r="H83" s="64" t="s">
        <v>2056</v>
      </c>
      <c r="I83" s="64" t="s">
        <v>2057</v>
      </c>
      <c r="J83" s="64"/>
      <c r="K83" s="64"/>
      <c r="L83" s="64"/>
      <c r="M83" s="64"/>
      <c r="N83" s="64"/>
      <c r="O83" s="64"/>
      <c r="P83" s="64"/>
      <c r="Q83" s="64"/>
      <c r="R83" s="64"/>
      <c r="S83" s="64"/>
      <c r="T83" s="64"/>
      <c r="U83" s="64"/>
      <c r="V83" s="64"/>
      <c r="W83" s="64"/>
      <c r="X83" s="64" t="s">
        <v>2033</v>
      </c>
      <c r="Y83" s="64"/>
      <c r="Z83" s="64"/>
      <c r="AA83" s="64"/>
      <c r="AB83" s="64" t="s">
        <v>46</v>
      </c>
      <c r="AC83" s="64"/>
      <c r="AD83" s="64"/>
      <c r="AE83" s="64"/>
      <c r="AF83" s="70"/>
      <c r="AG83" s="70"/>
      <c r="AH83" s="64"/>
      <c r="AI83" s="64"/>
      <c r="AJ83" s="64"/>
      <c r="AK83" s="64"/>
      <c r="AL83" s="70"/>
      <c r="AM83" s="64"/>
      <c r="AN83" s="64" t="s">
        <v>2068</v>
      </c>
      <c r="AO83" s="64"/>
      <c r="AP83" s="64"/>
      <c r="AQ83" s="64"/>
      <c r="AR83" s="64"/>
      <c r="AS83" s="69" t="str">
        <f t="shared" si="1"/>
        <v>PPneumatiques : 225/65 R16Réservoir à carburant de 86 LSuspension arrière mécaniqueFreinage avec ABSBuzzer de marche arrièreRéservoir AdBlue de 20 L Roue de secours avec supportGSRII (General Safety Regulation)Châssis cabine / Transmission : Propulsion arrière / Roues arrière simples</v>
      </c>
    </row>
    <row r="84" spans="1:45" ht="33.75" hidden="1" outlineLevel="1" x14ac:dyDescent="0.25">
      <c r="A84" s="64" t="s">
        <v>1327</v>
      </c>
      <c r="B84" s="64" t="s">
        <v>32</v>
      </c>
      <c r="C84" s="64" t="s">
        <v>2073</v>
      </c>
      <c r="D84" s="64" t="s">
        <v>2059</v>
      </c>
      <c r="E84" s="64" t="s">
        <v>2029</v>
      </c>
      <c r="F84" s="64" t="s">
        <v>2030</v>
      </c>
      <c r="G84" s="64" t="s">
        <v>432</v>
      </c>
      <c r="H84" s="64" t="s">
        <v>2056</v>
      </c>
      <c r="I84" s="64" t="s">
        <v>433</v>
      </c>
      <c r="J84" s="64"/>
      <c r="K84" s="64"/>
      <c r="L84" s="64"/>
      <c r="M84" s="64"/>
      <c r="N84" s="64"/>
      <c r="O84" s="64"/>
      <c r="P84" s="64"/>
      <c r="Q84" s="64"/>
      <c r="R84" s="64"/>
      <c r="S84" s="64"/>
      <c r="T84" s="64"/>
      <c r="U84" s="64"/>
      <c r="V84" s="64"/>
      <c r="W84" s="64"/>
      <c r="X84" s="64" t="s">
        <v>2033</v>
      </c>
      <c r="Y84" s="64"/>
      <c r="Z84" s="64"/>
      <c r="AA84" s="64"/>
      <c r="AB84" s="64" t="s">
        <v>46</v>
      </c>
      <c r="AC84" s="64"/>
      <c r="AD84" s="64"/>
      <c r="AE84" s="64"/>
      <c r="AF84" s="70"/>
      <c r="AG84" s="70"/>
      <c r="AH84" s="64"/>
      <c r="AI84" s="64"/>
      <c r="AJ84" s="64"/>
      <c r="AK84" s="64"/>
      <c r="AL84" s="70"/>
      <c r="AM84" s="64"/>
      <c r="AN84" s="64" t="s">
        <v>2068</v>
      </c>
      <c r="AO84" s="64"/>
      <c r="AP84" s="64"/>
      <c r="AQ84" s="64"/>
      <c r="AR84" s="64"/>
      <c r="AS84" s="69" t="str">
        <f t="shared" si="1"/>
        <v>PPneumatiques : 225/65 R16Réservoir à carburant de 86 LSuspension arrière mécaniqueFreinage avec ABSBuzzer de marche arrièreRéservoir AdBlue de 20 L Sans support roue de secours et sans roue de secoursGSRII (General Safety Regulation)Châssis cabine / Transmission : Propulsion arrière / Roues arrière simples</v>
      </c>
    </row>
    <row r="85" spans="1:45" ht="33.75" hidden="1" outlineLevel="1" x14ac:dyDescent="0.25">
      <c r="A85" s="64" t="s">
        <v>1332</v>
      </c>
      <c r="B85" s="64" t="s">
        <v>32</v>
      </c>
      <c r="C85" s="64" t="s">
        <v>2073</v>
      </c>
      <c r="D85" s="64" t="s">
        <v>2059</v>
      </c>
      <c r="E85" s="64" t="s">
        <v>2029</v>
      </c>
      <c r="F85" s="64" t="s">
        <v>2030</v>
      </c>
      <c r="G85" s="64" t="s">
        <v>432</v>
      </c>
      <c r="H85" s="64" t="s">
        <v>2056</v>
      </c>
      <c r="I85" s="64" t="s">
        <v>433</v>
      </c>
      <c r="J85" s="64"/>
      <c r="K85" s="64"/>
      <c r="L85" s="64"/>
      <c r="M85" s="64"/>
      <c r="N85" s="64"/>
      <c r="O85" s="64"/>
      <c r="P85" s="64"/>
      <c r="Q85" s="64"/>
      <c r="R85" s="64"/>
      <c r="S85" s="64"/>
      <c r="T85" s="64"/>
      <c r="U85" s="64"/>
      <c r="V85" s="64"/>
      <c r="W85" s="64"/>
      <c r="X85" s="64" t="s">
        <v>2033</v>
      </c>
      <c r="Y85" s="64" t="s">
        <v>2064</v>
      </c>
      <c r="Z85" s="64" t="s">
        <v>2065</v>
      </c>
      <c r="AA85" s="64"/>
      <c r="AB85" s="64" t="s">
        <v>46</v>
      </c>
      <c r="AC85" s="64"/>
      <c r="AD85" s="64"/>
      <c r="AE85" s="64"/>
      <c r="AF85" s="70"/>
      <c r="AG85" s="70"/>
      <c r="AH85" s="64"/>
      <c r="AI85" s="64"/>
      <c r="AJ85" s="64"/>
      <c r="AK85" s="64"/>
      <c r="AL85" s="70"/>
      <c r="AM85" s="64"/>
      <c r="AN85" s="64" t="s">
        <v>2068</v>
      </c>
      <c r="AO85" s="64"/>
      <c r="AP85" s="64"/>
      <c r="AQ85" s="64"/>
      <c r="AR85" s="64"/>
      <c r="AS85" s="69" t="str">
        <f t="shared" si="1"/>
        <v>PPneumatiques : 225/65 R16Réservoir à carburant de 86 LSuspension arrière mécaniqueFreinage avec ABSBuzzer de marche arrièreRéservoir AdBlue de 20 L Sans support roue de secours et sans roue de secoursGSRII (General Safety Regulation)LDWS : Avertisseur de franchissement de ligneAEBS : Système de freinage automatique d'urgenceChâssis cabine / Transmission : Propulsion arrière / Roues arrière simples</v>
      </c>
    </row>
    <row r="86" spans="1:45" ht="33.75" hidden="1" outlineLevel="1" x14ac:dyDescent="0.25">
      <c r="A86" s="64" t="s">
        <v>1376</v>
      </c>
      <c r="B86" s="64" t="s">
        <v>32</v>
      </c>
      <c r="C86" s="64" t="s">
        <v>2049</v>
      </c>
      <c r="D86" s="64" t="s">
        <v>2074</v>
      </c>
      <c r="E86" s="64" t="s">
        <v>2029</v>
      </c>
      <c r="F86" s="64" t="s">
        <v>2030</v>
      </c>
      <c r="G86" s="64" t="s">
        <v>432</v>
      </c>
      <c r="H86" s="64" t="s">
        <v>2056</v>
      </c>
      <c r="I86" s="64"/>
      <c r="J86" s="64"/>
      <c r="K86" s="64"/>
      <c r="L86" s="64"/>
      <c r="M86" s="64"/>
      <c r="N86" s="64"/>
      <c r="O86" s="64"/>
      <c r="P86" s="64"/>
      <c r="Q86" s="64"/>
      <c r="R86" s="64"/>
      <c r="S86" s="64"/>
      <c r="T86" s="64"/>
      <c r="U86" s="64"/>
      <c r="V86" s="64"/>
      <c r="W86" s="64"/>
      <c r="X86" s="64" t="s">
        <v>2033</v>
      </c>
      <c r="Y86" s="64" t="s">
        <v>2064</v>
      </c>
      <c r="Z86" s="64" t="s">
        <v>2065</v>
      </c>
      <c r="AA86" s="64"/>
      <c r="AB86" s="64" t="s">
        <v>46</v>
      </c>
      <c r="AC86" s="64"/>
      <c r="AD86" s="64"/>
      <c r="AE86" s="64"/>
      <c r="AF86" s="70"/>
      <c r="AG86" s="70"/>
      <c r="AH86" s="64"/>
      <c r="AI86" s="64"/>
      <c r="AJ86" s="64"/>
      <c r="AK86" s="64"/>
      <c r="AL86" s="64"/>
      <c r="AM86" s="64"/>
      <c r="AN86" s="64" t="s">
        <v>2058</v>
      </c>
      <c r="AO86" s="64"/>
      <c r="AP86" s="64"/>
      <c r="AQ86" s="64"/>
      <c r="AR86" s="64"/>
      <c r="AS86" s="69" t="str">
        <f t="shared" si="1"/>
        <v>PPneumatiques : 225/75 R16Réservoir à carburant de 120 LSuspension arrière mécaniqueFreinage avec ABSBuzzer de marche arrièreRéservoir AdBlue de 20 L GSRII (General Safety Regulation)LDWS : Avertisseur de franchissement de ligneAEBS : Système de freinage automatique d'urgenceChâssis cabine / Transmission : Propulsion arrière / Roues arrière jumelées</v>
      </c>
    </row>
    <row r="87" spans="1:45" ht="33.75" hidden="1" outlineLevel="1" x14ac:dyDescent="0.25">
      <c r="A87" s="64" t="s">
        <v>1712</v>
      </c>
      <c r="B87" s="72" t="s">
        <v>32</v>
      </c>
      <c r="C87" s="64" t="s">
        <v>2049</v>
      </c>
      <c r="D87" s="64" t="s">
        <v>2074</v>
      </c>
      <c r="E87" s="64" t="s">
        <v>2061</v>
      </c>
      <c r="F87" s="64" t="s">
        <v>2030</v>
      </c>
      <c r="G87" s="64" t="s">
        <v>432</v>
      </c>
      <c r="H87" s="64" t="s">
        <v>2062</v>
      </c>
      <c r="I87" s="64"/>
      <c r="J87" s="64"/>
      <c r="K87" s="64"/>
      <c r="L87" s="64"/>
      <c r="M87" s="64"/>
      <c r="N87" s="64"/>
      <c r="O87" s="64"/>
      <c r="P87" s="64"/>
      <c r="Q87" s="64"/>
      <c r="R87" s="64"/>
      <c r="S87" s="64"/>
      <c r="T87" s="64"/>
      <c r="U87" s="64"/>
      <c r="V87" s="64"/>
      <c r="W87" s="64"/>
      <c r="X87" s="64" t="s">
        <v>2033</v>
      </c>
      <c r="Y87" s="64" t="s">
        <v>2064</v>
      </c>
      <c r="Z87" s="64" t="s">
        <v>2065</v>
      </c>
      <c r="AA87" s="64"/>
      <c r="AB87" s="64" t="s">
        <v>46</v>
      </c>
      <c r="AC87" s="64"/>
      <c r="AD87" s="64"/>
      <c r="AE87" s="64"/>
      <c r="AF87" s="70"/>
      <c r="AG87" s="70"/>
      <c r="AH87" s="64"/>
      <c r="AI87" s="64"/>
      <c r="AJ87" s="64"/>
      <c r="AK87" s="64"/>
      <c r="AL87" s="70"/>
      <c r="AM87" s="70"/>
      <c r="AN87" s="64" t="s">
        <v>2058</v>
      </c>
      <c r="AO87" s="64"/>
      <c r="AP87" s="64"/>
      <c r="AQ87" s="64"/>
      <c r="AR87" s="64"/>
      <c r="AS87" s="69" t="str">
        <f t="shared" si="1"/>
        <v>PPneumatiques : 225/75 R16Réservoir à carburant de 120 LSuspension arrière mécanique avec HELPERFreinage avec ABSBuzzer de marche arrièreRéservoir AdBlue 20LGSRII (General Safety Regulation)LDWS : Avertisseur de franchissement de ligneAEBS : Système de freinage automatique d'urgenceChâssis cabine / Transmission : Propulsion arrière / Roues arrière jumelées</v>
      </c>
    </row>
    <row r="88" spans="1:45" ht="33.75" hidden="1" outlineLevel="1" x14ac:dyDescent="0.25">
      <c r="A88" s="64" t="s">
        <v>1392</v>
      </c>
      <c r="B88" s="72" t="s">
        <v>32</v>
      </c>
      <c r="C88" s="64" t="s">
        <v>2049</v>
      </c>
      <c r="D88" s="64"/>
      <c r="E88" s="64" t="s">
        <v>2061</v>
      </c>
      <c r="F88" s="64" t="s">
        <v>2030</v>
      </c>
      <c r="G88" s="64" t="s">
        <v>432</v>
      </c>
      <c r="H88" s="64"/>
      <c r="I88" s="64" t="s">
        <v>2057</v>
      </c>
      <c r="J88" s="64"/>
      <c r="K88" s="64"/>
      <c r="L88" s="64"/>
      <c r="M88" s="64"/>
      <c r="N88" s="64"/>
      <c r="O88" s="64"/>
      <c r="P88" s="64"/>
      <c r="Q88" s="64"/>
      <c r="R88" s="64"/>
      <c r="S88" s="64"/>
      <c r="T88" s="64"/>
      <c r="U88" s="64"/>
      <c r="V88" s="64"/>
      <c r="W88" s="64"/>
      <c r="X88" s="64" t="s">
        <v>2033</v>
      </c>
      <c r="Y88" s="64" t="s">
        <v>2064</v>
      </c>
      <c r="Z88" s="64" t="s">
        <v>2065</v>
      </c>
      <c r="AA88" s="64"/>
      <c r="AB88" s="64" t="s">
        <v>46</v>
      </c>
      <c r="AC88" s="64"/>
      <c r="AD88" s="64"/>
      <c r="AE88" s="64"/>
      <c r="AF88" s="70"/>
      <c r="AG88" s="70"/>
      <c r="AH88" s="64"/>
      <c r="AI88" s="64"/>
      <c r="AJ88" s="64"/>
      <c r="AK88" s="64"/>
      <c r="AL88" s="70"/>
      <c r="AM88" s="70"/>
      <c r="AN88" s="64" t="s">
        <v>2058</v>
      </c>
      <c r="AO88" s="64"/>
      <c r="AP88" s="64"/>
      <c r="AQ88" s="64"/>
      <c r="AR88" s="64"/>
      <c r="AS88" s="69" t="str">
        <f t="shared" si="1"/>
        <v>PPneumatiques : 225/75 R16Suspension arrière mécanique avec HELPERFreinage avec ABSBuzzer de marche arrièreRoue de secours avec supportGSRII (General Safety Regulation)LDWS : Avertisseur de franchissement de ligneAEBS : Système de freinage automatique d'urgenceChâssis cabine / Transmission : Propulsion arrière / Roues arrière jumelées</v>
      </c>
    </row>
    <row r="89" spans="1:45" ht="22.5" hidden="1" outlineLevel="1" x14ac:dyDescent="0.25">
      <c r="A89" s="64" t="s">
        <v>1715</v>
      </c>
      <c r="B89" s="64" t="s">
        <v>32</v>
      </c>
      <c r="C89" s="64" t="s">
        <v>2075</v>
      </c>
      <c r="D89" s="64" t="s">
        <v>2074</v>
      </c>
      <c r="E89" s="64" t="s">
        <v>619</v>
      </c>
      <c r="F89" s="64" t="s">
        <v>2030</v>
      </c>
      <c r="G89" s="64"/>
      <c r="H89" s="64" t="s">
        <v>2076</v>
      </c>
      <c r="I89" s="64"/>
      <c r="J89" s="64"/>
      <c r="K89" s="64"/>
      <c r="L89" s="64"/>
      <c r="M89" s="64"/>
      <c r="N89" s="64"/>
      <c r="O89" s="64"/>
      <c r="P89" s="64"/>
      <c r="Q89" s="64"/>
      <c r="R89" s="64"/>
      <c r="S89" s="64"/>
      <c r="T89" s="64"/>
      <c r="U89" s="64"/>
      <c r="V89" s="64"/>
      <c r="W89" s="64"/>
      <c r="X89" s="64" t="s">
        <v>2033</v>
      </c>
      <c r="Y89" s="64" t="s">
        <v>2064</v>
      </c>
      <c r="Z89" s="64" t="s">
        <v>2065</v>
      </c>
      <c r="AA89" s="64"/>
      <c r="AB89" s="64" t="s">
        <v>46</v>
      </c>
      <c r="AC89" s="64"/>
      <c r="AD89" s="64"/>
      <c r="AE89" s="64"/>
      <c r="AF89" s="70"/>
      <c r="AG89" s="70"/>
      <c r="AH89" s="64"/>
      <c r="AI89" s="64"/>
      <c r="AJ89" s="64"/>
      <c r="AK89" s="64"/>
      <c r="AL89" s="70"/>
      <c r="AM89" s="70"/>
      <c r="AN89" s="64" t="s">
        <v>46</v>
      </c>
      <c r="AO89" s="64"/>
      <c r="AP89" s="64"/>
      <c r="AQ89" s="64"/>
      <c r="AR89" s="64"/>
      <c r="AS89" s="69" t="str">
        <f t="shared" si="1"/>
        <v>PPneumatiques : 215/75 R17,5Réservoir à carburant de 120 LSuspension arrière pneumatiqueFreinage avec ABSRéservoir AdBlue 30 L avec réchauffeurGSRII (General Safety Regulation)LDWS : Avertisseur de franchissement de ligneAEBS : Système de freinage automatique d'urgence</v>
      </c>
    </row>
    <row r="90" spans="1:45" ht="33.75" hidden="1" outlineLevel="1" x14ac:dyDescent="0.25">
      <c r="A90" s="64" t="s">
        <v>1724</v>
      </c>
      <c r="B90" s="64" t="s">
        <v>32</v>
      </c>
      <c r="C90" s="64" t="s">
        <v>2077</v>
      </c>
      <c r="D90" s="64" t="s">
        <v>2078</v>
      </c>
      <c r="E90" s="64" t="s">
        <v>619</v>
      </c>
      <c r="F90" s="64" t="s">
        <v>2079</v>
      </c>
      <c r="G90" s="64"/>
      <c r="H90" s="64" t="s">
        <v>2080</v>
      </c>
      <c r="I90" s="64"/>
      <c r="J90" s="64"/>
      <c r="K90" s="64"/>
      <c r="L90" s="64"/>
      <c r="M90" s="64"/>
      <c r="N90" s="64"/>
      <c r="O90" s="64"/>
      <c r="P90" s="64"/>
      <c r="Q90" s="64"/>
      <c r="R90" s="64"/>
      <c r="S90" s="64"/>
      <c r="T90" s="64"/>
      <c r="U90" s="64"/>
      <c r="V90" s="64"/>
      <c r="W90" s="64"/>
      <c r="X90" s="64" t="s">
        <v>2033</v>
      </c>
      <c r="Y90" s="64" t="s">
        <v>2064</v>
      </c>
      <c r="Z90" s="64" t="s">
        <v>2065</v>
      </c>
      <c r="AA90" s="64"/>
      <c r="AB90" s="64" t="s">
        <v>46</v>
      </c>
      <c r="AC90" s="64"/>
      <c r="AD90" s="64"/>
      <c r="AE90" s="64"/>
      <c r="AF90" s="70"/>
      <c r="AG90" s="70"/>
      <c r="AH90" s="64"/>
      <c r="AI90" s="64"/>
      <c r="AJ90" s="64"/>
      <c r="AK90" s="64"/>
      <c r="AL90" s="64"/>
      <c r="AM90" s="64"/>
      <c r="AN90" s="64" t="s">
        <v>46</v>
      </c>
      <c r="AO90" s="64"/>
      <c r="AP90" s="64"/>
      <c r="AQ90" s="64"/>
      <c r="AR90" s="64"/>
      <c r="AS90" s="69" t="str">
        <f t="shared" si="1"/>
        <v>PPneumatiques : 225/75 R17,5Réservoir à carburant de 200 LSuspension arrière pneumatiqueFreinage ABSRéservoir AdBlue de 30 L avec réchauffeurGSRII (General Safety Regulation)LDWS : Avertisseur de franchissement de ligneAEBS : Système de freinage automatique d'urgence</v>
      </c>
    </row>
    <row r="91" spans="1:45" ht="22.5" hidden="1" outlineLevel="1" x14ac:dyDescent="0.25">
      <c r="A91" s="64" t="s">
        <v>1403</v>
      </c>
      <c r="B91" s="64" t="s">
        <v>32</v>
      </c>
      <c r="C91" s="64" t="s">
        <v>2077</v>
      </c>
      <c r="D91" s="64" t="s">
        <v>2078</v>
      </c>
      <c r="E91" s="64" t="s">
        <v>619</v>
      </c>
      <c r="F91" s="64" t="s">
        <v>2030</v>
      </c>
      <c r="G91" s="64"/>
      <c r="H91" s="64" t="s">
        <v>2076</v>
      </c>
      <c r="I91" s="64"/>
      <c r="J91" s="64"/>
      <c r="K91" s="64"/>
      <c r="L91" s="64"/>
      <c r="M91" s="64"/>
      <c r="N91" s="64"/>
      <c r="O91" s="64"/>
      <c r="P91" s="64"/>
      <c r="Q91" s="64"/>
      <c r="R91" s="64"/>
      <c r="S91" s="64"/>
      <c r="T91" s="64"/>
      <c r="U91" s="64"/>
      <c r="V91" s="64"/>
      <c r="W91" s="64"/>
      <c r="X91" s="64" t="s">
        <v>2033</v>
      </c>
      <c r="Y91" s="64" t="s">
        <v>2064</v>
      </c>
      <c r="Z91" s="64" t="s">
        <v>2065</v>
      </c>
      <c r="AA91" s="64"/>
      <c r="AB91" s="64" t="s">
        <v>46</v>
      </c>
      <c r="AC91" s="64"/>
      <c r="AD91" s="64"/>
      <c r="AE91" s="64"/>
      <c r="AF91" s="70"/>
      <c r="AG91" s="70"/>
      <c r="AH91" s="64"/>
      <c r="AI91" s="64"/>
      <c r="AJ91" s="64"/>
      <c r="AK91" s="64"/>
      <c r="AL91" s="64"/>
      <c r="AM91" s="64"/>
      <c r="AN91" s="64" t="s">
        <v>46</v>
      </c>
      <c r="AO91" s="64"/>
      <c r="AP91" s="64"/>
      <c r="AQ91" s="64"/>
      <c r="AR91" s="64"/>
      <c r="AS91" s="69" t="str">
        <f t="shared" si="1"/>
        <v>PPneumatiques : 225/75 R17,5Réservoir à carburant de 200 LSuspension arrière pneumatiqueFreinage avec ABSRéservoir AdBlue 30 L avec réchauffeurGSRII (General Safety Regulation)LDWS : Avertisseur de franchissement de ligneAEBS : Système de freinage automatique d'urgence</v>
      </c>
    </row>
    <row r="92" spans="1:45" ht="22.5" hidden="1" outlineLevel="1" x14ac:dyDescent="0.25">
      <c r="A92" s="64" t="s">
        <v>1420</v>
      </c>
      <c r="B92" s="64" t="s">
        <v>32</v>
      </c>
      <c r="C92" s="64" t="s">
        <v>2081</v>
      </c>
      <c r="D92" s="64" t="s">
        <v>2078</v>
      </c>
      <c r="E92" s="64" t="s">
        <v>619</v>
      </c>
      <c r="F92" s="64" t="s">
        <v>2030</v>
      </c>
      <c r="G92" s="64"/>
      <c r="H92" s="64" t="s">
        <v>2076</v>
      </c>
      <c r="I92" s="64"/>
      <c r="J92" s="64"/>
      <c r="K92" s="64"/>
      <c r="L92" s="64"/>
      <c r="M92" s="64"/>
      <c r="N92" s="64"/>
      <c r="O92" s="64"/>
      <c r="P92" s="64"/>
      <c r="Q92" s="64"/>
      <c r="R92" s="64"/>
      <c r="S92" s="64"/>
      <c r="T92" s="64"/>
      <c r="U92" s="64"/>
      <c r="V92" s="64"/>
      <c r="W92" s="64"/>
      <c r="X92" s="64" t="s">
        <v>2033</v>
      </c>
      <c r="Y92" s="64" t="s">
        <v>2064</v>
      </c>
      <c r="Z92" s="64" t="s">
        <v>2065</v>
      </c>
      <c r="AA92" s="64"/>
      <c r="AB92" s="64" t="s">
        <v>46</v>
      </c>
      <c r="AC92" s="64"/>
      <c r="AD92" s="64"/>
      <c r="AE92" s="64"/>
      <c r="AF92" s="70"/>
      <c r="AG92" s="70"/>
      <c r="AH92" s="64"/>
      <c r="AI92" s="64"/>
      <c r="AJ92" s="64"/>
      <c r="AK92" s="64"/>
      <c r="AL92" s="64"/>
      <c r="AM92" s="64"/>
      <c r="AN92" s="64" t="s">
        <v>46</v>
      </c>
      <c r="AO92" s="64"/>
      <c r="AP92" s="64"/>
      <c r="AQ92" s="64"/>
      <c r="AR92" s="64"/>
      <c r="AS92" s="69" t="str">
        <f t="shared" si="1"/>
        <v>PPneumatiques : 245/70 R19,5Réservoir à carburant de 200 LSuspension arrière pneumatiqueFreinage avec ABSRéservoir AdBlue 30 L avec réchauffeurGSRII (General Safety Regulation)LDWS : Avertisseur de franchissement de ligneAEBS : Système de freinage automatique d'urgence</v>
      </c>
    </row>
    <row r="93" spans="1:45" ht="22.5" hidden="1" outlineLevel="1" x14ac:dyDescent="0.25">
      <c r="A93" s="64" t="s">
        <v>1433</v>
      </c>
      <c r="B93" s="64" t="s">
        <v>32</v>
      </c>
      <c r="C93" s="64" t="s">
        <v>2082</v>
      </c>
      <c r="D93" s="64" t="s">
        <v>2078</v>
      </c>
      <c r="E93" s="64" t="s">
        <v>619</v>
      </c>
      <c r="F93" s="64" t="s">
        <v>2030</v>
      </c>
      <c r="G93" s="64"/>
      <c r="H93" s="64" t="s">
        <v>2076</v>
      </c>
      <c r="I93" s="64"/>
      <c r="J93" s="64"/>
      <c r="K93" s="64"/>
      <c r="L93" s="64"/>
      <c r="M93" s="64"/>
      <c r="N93" s="64"/>
      <c r="O93" s="64"/>
      <c r="P93" s="64"/>
      <c r="Q93" s="64"/>
      <c r="R93" s="64"/>
      <c r="S93" s="64"/>
      <c r="T93" s="64"/>
      <c r="U93" s="64"/>
      <c r="V93" s="64"/>
      <c r="W93" s="64"/>
      <c r="X93" s="64" t="s">
        <v>2033</v>
      </c>
      <c r="Y93" s="64" t="s">
        <v>2064</v>
      </c>
      <c r="Z93" s="64" t="s">
        <v>2065</v>
      </c>
      <c r="AA93" s="64"/>
      <c r="AB93" s="64" t="s">
        <v>46</v>
      </c>
      <c r="AC93" s="64"/>
      <c r="AD93" s="64"/>
      <c r="AE93" s="64"/>
      <c r="AF93" s="70"/>
      <c r="AG93" s="70"/>
      <c r="AH93" s="64"/>
      <c r="AI93" s="64"/>
      <c r="AJ93" s="64"/>
      <c r="AK93" s="64"/>
      <c r="AL93" s="64"/>
      <c r="AM93" s="64"/>
      <c r="AN93" s="64" t="s">
        <v>46</v>
      </c>
      <c r="AO93" s="64"/>
      <c r="AP93" s="64"/>
      <c r="AQ93" s="64"/>
      <c r="AR93" s="64"/>
      <c r="AS93" s="69" t="str">
        <f t="shared" si="1"/>
        <v>PPneumatiques : 285/70 R19,5Réservoir à carburant de 200 LSuspension arrière pneumatiqueFreinage avec ABSRéservoir AdBlue 30 L avec réchauffeurGSRII (General Safety Regulation)LDWS : Avertisseur de franchissement de ligneAEBS : Système de freinage automatique d'urgence</v>
      </c>
    </row>
    <row r="94" spans="1:45" ht="22.5" hidden="1" outlineLevel="1" x14ac:dyDescent="0.25">
      <c r="A94" s="64" t="s">
        <v>1456</v>
      </c>
      <c r="B94" s="64" t="s">
        <v>32</v>
      </c>
      <c r="C94" s="64" t="s">
        <v>2083</v>
      </c>
      <c r="D94" s="64" t="s">
        <v>2078</v>
      </c>
      <c r="E94" s="64" t="s">
        <v>619</v>
      </c>
      <c r="F94" s="64" t="s">
        <v>2030</v>
      </c>
      <c r="G94" s="64"/>
      <c r="H94" s="64" t="s">
        <v>2076</v>
      </c>
      <c r="I94" s="64"/>
      <c r="J94" s="64"/>
      <c r="K94" s="64"/>
      <c r="L94" s="64"/>
      <c r="M94" s="64"/>
      <c r="N94" s="64"/>
      <c r="O94" s="64"/>
      <c r="P94" s="64"/>
      <c r="Q94" s="64"/>
      <c r="R94" s="64"/>
      <c r="S94" s="64"/>
      <c r="T94" s="64"/>
      <c r="U94" s="64"/>
      <c r="V94" s="64"/>
      <c r="W94" s="64"/>
      <c r="X94" s="64" t="s">
        <v>2033</v>
      </c>
      <c r="Y94" s="64" t="s">
        <v>2064</v>
      </c>
      <c r="Z94" s="64" t="s">
        <v>2065</v>
      </c>
      <c r="AA94" s="64"/>
      <c r="AB94" s="64" t="s">
        <v>46</v>
      </c>
      <c r="AC94" s="64"/>
      <c r="AD94" s="64"/>
      <c r="AE94" s="64"/>
      <c r="AF94" s="70"/>
      <c r="AG94" s="70"/>
      <c r="AH94" s="64"/>
      <c r="AI94" s="64"/>
      <c r="AJ94" s="64"/>
      <c r="AK94" s="64"/>
      <c r="AL94" s="64"/>
      <c r="AM94" s="64"/>
      <c r="AN94" s="64" t="s">
        <v>46</v>
      </c>
      <c r="AO94" s="64"/>
      <c r="AP94" s="64"/>
      <c r="AQ94" s="64"/>
      <c r="AR94" s="64"/>
      <c r="AS94" s="69" t="str">
        <f t="shared" si="1"/>
        <v>PPneumatiques : 315/70 R22,5Réservoir à carburant de 200 LSuspension arrière pneumatiqueFreinage avec ABSRéservoir AdBlue 30 L avec réchauffeurGSRII (General Safety Regulation)LDWS : Avertisseur de franchissement de ligneAEBS : Système de freinage automatique d'urgence</v>
      </c>
    </row>
    <row r="95" spans="1:45" ht="33.75" hidden="1" outlineLevel="1" x14ac:dyDescent="0.25">
      <c r="A95" s="64" t="s">
        <v>1554</v>
      </c>
      <c r="B95" s="64" t="s">
        <v>32</v>
      </c>
      <c r="C95" s="64" t="s">
        <v>2081</v>
      </c>
      <c r="D95" s="64" t="s">
        <v>2084</v>
      </c>
      <c r="E95" s="64" t="s">
        <v>619</v>
      </c>
      <c r="F95" s="64" t="s">
        <v>2085</v>
      </c>
      <c r="G95" s="64"/>
      <c r="H95" s="64" t="s">
        <v>2086</v>
      </c>
      <c r="I95" s="64"/>
      <c r="J95" s="64"/>
      <c r="K95" s="64"/>
      <c r="L95" s="64"/>
      <c r="M95" s="64" t="s">
        <v>2087</v>
      </c>
      <c r="N95" s="64"/>
      <c r="O95" s="64"/>
      <c r="P95" s="64"/>
      <c r="Q95" s="64"/>
      <c r="R95" s="64"/>
      <c r="S95" s="64"/>
      <c r="T95" s="64"/>
      <c r="U95" s="64"/>
      <c r="V95" s="64"/>
      <c r="W95" s="64"/>
      <c r="X95" s="64" t="s">
        <v>2033</v>
      </c>
      <c r="Y95" s="64" t="s">
        <v>2064</v>
      </c>
      <c r="Z95" s="64" t="s">
        <v>2065</v>
      </c>
      <c r="AA95" s="64"/>
      <c r="AB95" s="64" t="s">
        <v>46</v>
      </c>
      <c r="AC95" s="64"/>
      <c r="AD95" s="64"/>
      <c r="AE95" s="64"/>
      <c r="AF95" s="70"/>
      <c r="AG95" s="70"/>
      <c r="AH95" s="64"/>
      <c r="AI95" s="64"/>
      <c r="AJ95" s="64"/>
      <c r="AK95" s="64"/>
      <c r="AL95" s="70"/>
      <c r="AM95" s="64"/>
      <c r="AN95" s="70"/>
      <c r="AO95" s="64"/>
      <c r="AP95" s="64"/>
      <c r="AQ95" s="64"/>
      <c r="AR95" s="64"/>
      <c r="AS95" s="69" t="str">
        <f t="shared" si="1"/>
        <v>PPneumatiques : 245/70 R19,5Réservoir à carburant de 130 LSuspension arrière pneumatiqueFreinage EBS (ABS inclus)Réservoir AdBlue 32 LRéchauffeur GasoilGSRII (General Safety Regulation)LDWS : Avertisseur de franchissement de ligneAEBS : Système de freinage automatique d'urgence</v>
      </c>
    </row>
    <row r="96" spans="1:45" ht="33.75" hidden="1" outlineLevel="1" x14ac:dyDescent="0.25">
      <c r="A96" s="64" t="s">
        <v>1548</v>
      </c>
      <c r="B96" s="64" t="s">
        <v>32</v>
      </c>
      <c r="C96" s="64" t="s">
        <v>2088</v>
      </c>
      <c r="D96" s="64" t="s">
        <v>2084</v>
      </c>
      <c r="E96" s="64" t="s">
        <v>619</v>
      </c>
      <c r="F96" s="64" t="s">
        <v>2085</v>
      </c>
      <c r="G96" s="64"/>
      <c r="H96" s="64" t="s">
        <v>2086</v>
      </c>
      <c r="I96" s="64"/>
      <c r="J96" s="64"/>
      <c r="K96" s="64"/>
      <c r="L96" s="64"/>
      <c r="M96" s="64" t="s">
        <v>2087</v>
      </c>
      <c r="N96" s="64"/>
      <c r="O96" s="64"/>
      <c r="P96" s="64"/>
      <c r="Q96" s="64"/>
      <c r="R96" s="64"/>
      <c r="S96" s="64"/>
      <c r="T96" s="64"/>
      <c r="U96" s="64"/>
      <c r="V96" s="64"/>
      <c r="W96" s="64"/>
      <c r="X96" s="64" t="s">
        <v>2033</v>
      </c>
      <c r="Y96" s="64" t="s">
        <v>2064</v>
      </c>
      <c r="Z96" s="64" t="s">
        <v>2065</v>
      </c>
      <c r="AA96" s="64"/>
      <c r="AB96" s="64" t="s">
        <v>46</v>
      </c>
      <c r="AC96" s="64"/>
      <c r="AD96" s="64"/>
      <c r="AE96" s="64"/>
      <c r="AF96" s="70"/>
      <c r="AG96" s="70"/>
      <c r="AH96" s="64"/>
      <c r="AI96" s="64"/>
      <c r="AJ96" s="64"/>
      <c r="AK96" s="64"/>
      <c r="AL96" s="70"/>
      <c r="AM96" s="64"/>
      <c r="AN96" s="64" t="s">
        <v>46</v>
      </c>
      <c r="AO96" s="64"/>
      <c r="AP96" s="64"/>
      <c r="AQ96" s="64"/>
      <c r="AR96" s="64"/>
      <c r="AS96" s="69" t="str">
        <f t="shared" si="1"/>
        <v>PPneumatiques : 235/75 R17,5Réservoir à carburant de 130 LSuspension arrière pneumatiqueFreinage EBS (ABS inclus)Réservoir AdBlue 32 LRéchauffeur GasoilGSRII (General Safety Regulation)LDWS : Avertisseur de franchissement de ligneAEBS : Système de freinage automatique d'urgence</v>
      </c>
    </row>
    <row r="97" spans="1:45" ht="33.75" hidden="1" outlineLevel="1" x14ac:dyDescent="0.25">
      <c r="A97" s="64" t="s">
        <v>1562</v>
      </c>
      <c r="B97" s="64" t="s">
        <v>32</v>
      </c>
      <c r="C97" s="64" t="s">
        <v>2082</v>
      </c>
      <c r="D97" s="64" t="s">
        <v>2089</v>
      </c>
      <c r="E97" s="64" t="s">
        <v>619</v>
      </c>
      <c r="F97" s="64" t="s">
        <v>2085</v>
      </c>
      <c r="G97" s="64"/>
      <c r="H97" s="64" t="s">
        <v>2090</v>
      </c>
      <c r="I97" s="64"/>
      <c r="J97" s="64"/>
      <c r="K97" s="64"/>
      <c r="L97" s="64"/>
      <c r="M97" s="64"/>
      <c r="N97" s="64"/>
      <c r="O97" s="64"/>
      <c r="P97" s="64"/>
      <c r="Q97" s="64"/>
      <c r="R97" s="64"/>
      <c r="S97" s="64"/>
      <c r="T97" s="64"/>
      <c r="U97" s="64"/>
      <c r="V97" s="64"/>
      <c r="W97" s="64"/>
      <c r="X97" s="64" t="s">
        <v>2033</v>
      </c>
      <c r="Y97" s="64" t="s">
        <v>2064</v>
      </c>
      <c r="Z97" s="64" t="s">
        <v>2065</v>
      </c>
      <c r="AA97" s="64"/>
      <c r="AB97" s="64" t="s">
        <v>46</v>
      </c>
      <c r="AC97" s="64"/>
      <c r="AD97" s="64"/>
      <c r="AE97" s="64"/>
      <c r="AF97" s="70"/>
      <c r="AG97" s="70"/>
      <c r="AH97" s="64"/>
      <c r="AI97" s="64"/>
      <c r="AJ97" s="64"/>
      <c r="AK97" s="64"/>
      <c r="AL97" s="70"/>
      <c r="AM97" s="70"/>
      <c r="AN97" s="70"/>
      <c r="AO97" s="64"/>
      <c r="AP97" s="69"/>
      <c r="AQ97" s="64"/>
      <c r="AR97" s="64"/>
      <c r="AS97" s="69" t="str">
        <f t="shared" si="1"/>
        <v>PPneumatiques : 285/70 R19,5Réservoir à carburant de 215 LSuspension arrière pneumatiqueFreinage EBS (ABS inclus)Réservoir AdBlue 32 L avec réchauffeurGSRII (General Safety Regulation)LDWS : Avertisseur de franchissement de ligneAEBS : Système de freinage automatique d'urgence</v>
      </c>
    </row>
    <row r="98" spans="1:45" ht="33.75" hidden="1" outlineLevel="1" x14ac:dyDescent="0.25">
      <c r="A98" s="64" t="s">
        <v>1583</v>
      </c>
      <c r="B98" s="64" t="s">
        <v>32</v>
      </c>
      <c r="C98" s="64" t="s">
        <v>2082</v>
      </c>
      <c r="D98" s="64"/>
      <c r="E98" s="64" t="s">
        <v>2091</v>
      </c>
      <c r="F98" s="64" t="s">
        <v>2085</v>
      </c>
      <c r="G98" s="64" t="s">
        <v>2092</v>
      </c>
      <c r="H98" s="64"/>
      <c r="I98" s="64"/>
      <c r="J98" s="64"/>
      <c r="K98" s="64"/>
      <c r="L98" s="64"/>
      <c r="M98" s="64"/>
      <c r="N98" s="64"/>
      <c r="O98" s="64"/>
      <c r="P98" s="64"/>
      <c r="Q98" s="64"/>
      <c r="R98" s="64"/>
      <c r="S98" s="64"/>
      <c r="T98" s="64"/>
      <c r="U98" s="64"/>
      <c r="V98" s="64"/>
      <c r="W98" s="64"/>
      <c r="X98" s="64" t="s">
        <v>2033</v>
      </c>
      <c r="Y98" s="64" t="s">
        <v>2064</v>
      </c>
      <c r="Z98" s="64" t="s">
        <v>2065</v>
      </c>
      <c r="AA98" s="64"/>
      <c r="AB98" s="64" t="s">
        <v>2093</v>
      </c>
      <c r="AC98" s="64"/>
      <c r="AD98" s="64"/>
      <c r="AE98" s="64"/>
      <c r="AF98" s="70"/>
      <c r="AG98" s="70"/>
      <c r="AH98" s="64"/>
      <c r="AI98" s="64"/>
      <c r="AJ98" s="64"/>
      <c r="AK98" s="64"/>
      <c r="AL98" s="64"/>
      <c r="AM98" s="64"/>
      <c r="AN98" s="64" t="s">
        <v>46</v>
      </c>
      <c r="AO98" s="64"/>
      <c r="AP98" s="64"/>
      <c r="AQ98" s="64"/>
      <c r="AR98" s="64"/>
      <c r="AS98" s="69" t="str">
        <f t="shared" si="1"/>
        <v>PPneumatiques : 285/70 R19,5Suspensions avant et arrière pneumatiquesFreinage EBS (ABS inclus)Bruiteur de marche arrièreGSRII (General Safety Regulation)LDWS : Avertisseur de franchissement de ligneAEBS : Système de freinage automatique d'urgenceAlimentation directe 600 V groupe frigorifique</v>
      </c>
    </row>
    <row r="99" spans="1:45" ht="33.75" hidden="1" outlineLevel="1" x14ac:dyDescent="0.25">
      <c r="A99" s="64" t="s">
        <v>1593</v>
      </c>
      <c r="B99" s="64" t="s">
        <v>32</v>
      </c>
      <c r="C99" s="64" t="s">
        <v>2094</v>
      </c>
      <c r="D99" s="64" t="s">
        <v>2095</v>
      </c>
      <c r="E99" s="64" t="s">
        <v>619</v>
      </c>
      <c r="F99" s="64" t="s">
        <v>2085</v>
      </c>
      <c r="G99" s="64"/>
      <c r="H99" s="64" t="s">
        <v>2086</v>
      </c>
      <c r="I99" s="64"/>
      <c r="J99" s="64"/>
      <c r="K99" s="64"/>
      <c r="L99" s="64"/>
      <c r="M99" s="64" t="s">
        <v>2087</v>
      </c>
      <c r="N99" s="64"/>
      <c r="O99" s="64"/>
      <c r="P99" s="64"/>
      <c r="Q99" s="64"/>
      <c r="R99" s="64"/>
      <c r="S99" s="64"/>
      <c r="T99" s="64"/>
      <c r="U99" s="64"/>
      <c r="V99" s="64"/>
      <c r="W99" s="64"/>
      <c r="X99" s="64" t="s">
        <v>2033</v>
      </c>
      <c r="Y99" s="64" t="s">
        <v>2064</v>
      </c>
      <c r="Z99" s="64" t="s">
        <v>2065</v>
      </c>
      <c r="AA99" s="64"/>
      <c r="AB99" s="64" t="s">
        <v>46</v>
      </c>
      <c r="AC99" s="64"/>
      <c r="AD99" s="64"/>
      <c r="AE99" s="64"/>
      <c r="AF99" s="70"/>
      <c r="AG99" s="70"/>
      <c r="AH99" s="64"/>
      <c r="AI99" s="64"/>
      <c r="AJ99" s="64"/>
      <c r="AK99" s="64"/>
      <c r="AL99" s="70"/>
      <c r="AM99" s="70"/>
      <c r="AN99" s="70"/>
      <c r="AO99" s="64"/>
      <c r="AP99" s="69"/>
      <c r="AQ99" s="64"/>
      <c r="AR99" s="64"/>
      <c r="AS99" s="69" t="str">
        <f t="shared" si="1"/>
        <v>PPneumatiques : 315/80 R22,5Réservoir à carburant de 255 LSuspension arrière pneumatiqueFreinage EBS (ABS inclus)Réservoir AdBlue 32 LRéchauffeur GasoilGSRII (General Safety Regulation)LDWS : Avertisseur de franchissement de ligneAEBS : Système de freinage automatique d'urgence</v>
      </c>
    </row>
    <row r="100" spans="1:45" ht="33.75" hidden="1" outlineLevel="1" x14ac:dyDescent="0.25">
      <c r="A100" s="64" t="s">
        <v>1606</v>
      </c>
      <c r="B100" s="64" t="s">
        <v>32</v>
      </c>
      <c r="C100" s="64" t="s">
        <v>2094</v>
      </c>
      <c r="D100" s="64" t="s">
        <v>2095</v>
      </c>
      <c r="E100" s="64" t="s">
        <v>619</v>
      </c>
      <c r="F100" s="64" t="s">
        <v>2085</v>
      </c>
      <c r="G100" s="64"/>
      <c r="H100" s="64" t="s">
        <v>2096</v>
      </c>
      <c r="I100" s="64"/>
      <c r="J100" s="64"/>
      <c r="K100" s="64" t="s">
        <v>2097</v>
      </c>
      <c r="L100" s="64"/>
      <c r="M100" s="64" t="s">
        <v>2087</v>
      </c>
      <c r="N100" s="64"/>
      <c r="O100" s="64"/>
      <c r="P100" s="64"/>
      <c r="Q100" s="64"/>
      <c r="R100" s="64"/>
      <c r="S100" s="64"/>
      <c r="T100" s="64"/>
      <c r="U100" s="64"/>
      <c r="V100" s="64"/>
      <c r="W100" s="64"/>
      <c r="X100" s="64" t="s">
        <v>2033</v>
      </c>
      <c r="Y100" s="64" t="s">
        <v>2064</v>
      </c>
      <c r="Z100" s="64" t="s">
        <v>2065</v>
      </c>
      <c r="AA100" s="64"/>
      <c r="AB100" s="64" t="s">
        <v>46</v>
      </c>
      <c r="AC100" s="64"/>
      <c r="AD100" s="64"/>
      <c r="AE100" s="64"/>
      <c r="AF100" s="70"/>
      <c r="AG100" s="70"/>
      <c r="AH100" s="64"/>
      <c r="AI100" s="64"/>
      <c r="AJ100" s="64"/>
      <c r="AK100" s="64"/>
      <c r="AL100" s="64"/>
      <c r="AM100" s="64"/>
      <c r="AN100" s="64" t="s">
        <v>46</v>
      </c>
      <c r="AO100" s="64"/>
      <c r="AP100" s="64"/>
      <c r="AQ100" s="64"/>
      <c r="AR100" s="64"/>
      <c r="AS100" s="69" t="str">
        <f t="shared" si="1"/>
        <v>PPneumatiques : 315/80 R22,5Réservoir à carburant de 255 LSuspension arrière pneumatiqueFreinage EBS (ABS inclus)Réservoir AdBlue de 32 L3ème essieu arrière monte simple relevable et directionnel Réchauffeur GasoilGSRII (General Safety Regulation)LDWS : Avertisseur de franchissement de ligneAEBS : Système de freinage automatique d'urgence</v>
      </c>
    </row>
    <row r="101" spans="1:45" ht="45" hidden="1" outlineLevel="1" x14ac:dyDescent="0.25">
      <c r="A101" s="64" t="s">
        <v>1619</v>
      </c>
      <c r="B101" s="64" t="s">
        <v>32</v>
      </c>
      <c r="C101" s="64" t="s">
        <v>2083</v>
      </c>
      <c r="D101" s="64" t="s">
        <v>2098</v>
      </c>
      <c r="E101" s="64" t="s">
        <v>619</v>
      </c>
      <c r="F101" s="64" t="s">
        <v>2085</v>
      </c>
      <c r="G101" s="64"/>
      <c r="H101" s="64" t="s">
        <v>2099</v>
      </c>
      <c r="I101" s="64" t="s">
        <v>2100</v>
      </c>
      <c r="J101" s="64" t="s">
        <v>2101</v>
      </c>
      <c r="K101" s="64" t="s">
        <v>2102</v>
      </c>
      <c r="L101" s="64" t="s">
        <v>434</v>
      </c>
      <c r="M101" s="64" t="s">
        <v>2087</v>
      </c>
      <c r="N101" s="64"/>
      <c r="O101" s="64"/>
      <c r="P101" s="64"/>
      <c r="Q101" s="64"/>
      <c r="R101" s="64"/>
      <c r="S101" s="64"/>
      <c r="T101" s="64"/>
      <c r="U101" s="64"/>
      <c r="V101" s="64"/>
      <c r="W101" s="64"/>
      <c r="X101" s="64" t="s">
        <v>2033</v>
      </c>
      <c r="Y101" s="64" t="s">
        <v>2064</v>
      </c>
      <c r="Z101" s="64" t="s">
        <v>2065</v>
      </c>
      <c r="AA101" s="64"/>
      <c r="AB101" s="64" t="s">
        <v>46</v>
      </c>
      <c r="AC101" s="64"/>
      <c r="AD101" s="64"/>
      <c r="AE101" s="64" t="s">
        <v>2103</v>
      </c>
      <c r="AF101" s="70"/>
      <c r="AG101" s="70"/>
      <c r="AH101" s="64"/>
      <c r="AI101" s="64"/>
      <c r="AJ101" s="64"/>
      <c r="AK101" s="64"/>
      <c r="AL101" s="64"/>
      <c r="AM101" s="64"/>
      <c r="AN101" s="64" t="s">
        <v>46</v>
      </c>
      <c r="AO101" s="64"/>
      <c r="AP101" s="64"/>
      <c r="AQ101" s="64"/>
      <c r="AR101" s="64"/>
      <c r="AS101" s="69" t="str">
        <f t="shared" si="1"/>
        <v>PPneumatiques : 315/70 R22,5Réservoir à carburant de 610 LSuspension arrière pneumatiqueFreinage EBS (ABS inclus)Réservoir AdBlue de 64 LPorte roue de secours et roue de secours dans l'empattement à droiteAdaptateur prise 15b en 2x7 brochesHauteur attelage : 1150mmAide au démarrage en côteRéchauffeur GasoilGSRII (General Safety Regulation)LDWS : Avertisseur de franchissement de ligneAEBS : Système de freinage automatique d'urgencePoids en ordre de marche ± 5% : 7221 Kg</v>
      </c>
    </row>
    <row r="102" spans="1:45" ht="78.75" hidden="1" outlineLevel="1" x14ac:dyDescent="0.25">
      <c r="A102" s="69" t="s">
        <v>1622</v>
      </c>
      <c r="B102" s="69" t="s">
        <v>32</v>
      </c>
      <c r="C102" s="69" t="s">
        <v>2104</v>
      </c>
      <c r="D102" s="69"/>
      <c r="E102" s="69" t="s">
        <v>2105</v>
      </c>
      <c r="F102" s="69" t="s">
        <v>2085</v>
      </c>
      <c r="G102" s="69"/>
      <c r="H102" s="69"/>
      <c r="I102" s="69" t="s">
        <v>2106</v>
      </c>
      <c r="J102" s="69"/>
      <c r="K102" s="69"/>
      <c r="L102" s="69"/>
      <c r="M102" s="69" t="s">
        <v>2107</v>
      </c>
      <c r="N102" s="69" t="s">
        <v>2108</v>
      </c>
      <c r="O102" s="69" t="s">
        <v>2109</v>
      </c>
      <c r="P102" s="69" t="s">
        <v>2110</v>
      </c>
      <c r="Q102" s="69" t="s">
        <v>2111</v>
      </c>
      <c r="R102" s="69" t="s">
        <v>2112</v>
      </c>
      <c r="S102" s="69" t="s">
        <v>2113</v>
      </c>
      <c r="T102" s="69"/>
      <c r="U102" s="69" t="s">
        <v>2114</v>
      </c>
      <c r="V102" s="69" t="s">
        <v>2115</v>
      </c>
      <c r="W102" s="69"/>
      <c r="X102" s="69" t="s">
        <v>2033</v>
      </c>
      <c r="Y102" s="69"/>
      <c r="Z102" s="69"/>
      <c r="AA102" s="69"/>
      <c r="AB102" s="69" t="s">
        <v>46</v>
      </c>
      <c r="AC102" s="69"/>
      <c r="AD102" s="69"/>
      <c r="AE102" s="69"/>
      <c r="AF102" s="70"/>
      <c r="AG102" s="70"/>
      <c r="AH102" s="69"/>
      <c r="AI102" s="64" t="s">
        <v>403</v>
      </c>
      <c r="AJ102" s="69"/>
      <c r="AK102" s="69"/>
      <c r="AL102" s="69"/>
      <c r="AM102" s="69"/>
      <c r="AN102" s="69" t="s">
        <v>46</v>
      </c>
      <c r="AO102" s="69"/>
      <c r="AP102" s="69"/>
      <c r="AQ102" s="69"/>
      <c r="AR102" s="64"/>
      <c r="AS102" s="69" t="str">
        <f t="shared" si="1"/>
        <v>PPneumatiques : 385/65 R22,5Suspension pneumatiqueFreinage EBS (ABS inclus)Porte roue de secoursChâssis peint3 essieux monte simple dont le premier relevable automatiquement ou avec commande manuelle à l'arrière du châssis 2 odomètresBéquilles à sabots8 anneaux FERRYFreins à disqueSystème d'aide à la stabilité (ESP)Système RCP (Protection anti-collision au recul)Remise en position route automatique (RTR)GSRII (General Safety Regulation)Pré-équipement télématique</v>
      </c>
    </row>
    <row r="103" spans="1:45" ht="22.5" hidden="1" outlineLevel="1" x14ac:dyDescent="0.25">
      <c r="A103" s="64" t="s">
        <v>2306</v>
      </c>
      <c r="B103" s="64" t="s">
        <v>32</v>
      </c>
      <c r="C103" s="64" t="s">
        <v>2327</v>
      </c>
      <c r="D103" s="64" t="s">
        <v>2328</v>
      </c>
      <c r="E103" s="64" t="s">
        <v>619</v>
      </c>
      <c r="F103" s="64" t="s">
        <v>2030</v>
      </c>
      <c r="G103" s="64"/>
      <c r="H103" s="64" t="s">
        <v>2329</v>
      </c>
      <c r="I103" s="64"/>
      <c r="J103" s="64"/>
      <c r="K103" s="64"/>
      <c r="L103" s="64"/>
      <c r="M103" s="64"/>
      <c r="N103" s="64"/>
      <c r="O103" s="64"/>
      <c r="P103" s="64"/>
      <c r="Q103" s="64"/>
      <c r="R103" s="64"/>
      <c r="S103" s="64"/>
      <c r="T103" s="64"/>
      <c r="U103" s="64"/>
      <c r="V103" s="64"/>
      <c r="W103" s="64"/>
      <c r="X103" s="64" t="s">
        <v>2033</v>
      </c>
      <c r="Y103" s="64" t="s">
        <v>2064</v>
      </c>
      <c r="Z103" s="64" t="s">
        <v>2065</v>
      </c>
      <c r="AA103" s="64"/>
      <c r="AB103" s="64" t="s">
        <v>46</v>
      </c>
      <c r="AC103" s="64"/>
      <c r="AD103" s="64"/>
      <c r="AE103" s="64"/>
      <c r="AF103" s="70"/>
      <c r="AG103" s="70"/>
      <c r="AH103" s="64"/>
      <c r="AI103" s="64"/>
      <c r="AJ103" s="64"/>
      <c r="AK103" s="64"/>
      <c r="AL103" s="64"/>
      <c r="AM103" s="64"/>
      <c r="AN103" s="64" t="s">
        <v>46</v>
      </c>
      <c r="AO103" s="64"/>
      <c r="AP103" s="64"/>
      <c r="AQ103" s="64"/>
      <c r="AR103" s="64"/>
      <c r="AS103" s="69" t="str">
        <f t="shared" si="1"/>
        <v>PPneumatiques : 245/70 R17,5Réservoir à carburant de 110 LSuspension arrière pneumatiqueFreinage avec ABSRéservoir AdBlue de 30 LGSRII (General Safety Regulation)LDWS : Avertisseur de franchissement de ligneAEBS : Système de freinage automatique d'urgence</v>
      </c>
    </row>
    <row r="104" spans="1:45" s="96" customFormat="1" ht="22.5" hidden="1" outlineLevel="1" x14ac:dyDescent="0.25">
      <c r="A104" s="64" t="s">
        <v>2313</v>
      </c>
      <c r="B104" s="64" t="s">
        <v>32</v>
      </c>
      <c r="C104" s="64" t="s">
        <v>2082</v>
      </c>
      <c r="D104" s="64" t="s">
        <v>2330</v>
      </c>
      <c r="E104" s="64" t="s">
        <v>619</v>
      </c>
      <c r="F104" s="64" t="s">
        <v>2079</v>
      </c>
      <c r="G104" s="64"/>
      <c r="H104" s="64" t="s">
        <v>2329</v>
      </c>
      <c r="I104" s="64"/>
      <c r="J104" s="64"/>
      <c r="K104" s="64"/>
      <c r="L104" s="64"/>
      <c r="M104" s="64"/>
      <c r="N104" s="64"/>
      <c r="O104" s="64"/>
      <c r="P104" s="64"/>
      <c r="Q104" s="64"/>
      <c r="R104" s="64"/>
      <c r="S104" s="64"/>
      <c r="T104" s="64"/>
      <c r="U104" s="64"/>
      <c r="V104" s="64"/>
      <c r="W104" s="64"/>
      <c r="X104" s="64" t="s">
        <v>2033</v>
      </c>
      <c r="Y104" s="64" t="s">
        <v>2064</v>
      </c>
      <c r="Z104" s="64" t="s">
        <v>2065</v>
      </c>
      <c r="AA104" s="64"/>
      <c r="AB104" s="64" t="s">
        <v>46</v>
      </c>
      <c r="AC104" s="64"/>
      <c r="AD104" s="64"/>
      <c r="AE104" s="64"/>
      <c r="AF104" s="70"/>
      <c r="AG104" s="70"/>
      <c r="AH104" s="64"/>
      <c r="AI104" s="64"/>
      <c r="AJ104" s="64"/>
      <c r="AK104" s="64"/>
      <c r="AL104" s="64"/>
      <c r="AM104" s="64"/>
      <c r="AN104" s="64" t="s">
        <v>46</v>
      </c>
      <c r="AO104" s="64"/>
      <c r="AP104" s="64"/>
      <c r="AQ104" s="64"/>
      <c r="AR104" s="64"/>
      <c r="AS104" s="69" t="str">
        <f t="shared" si="1"/>
        <v>PPneumatiques : 285/70 R19,5Réservoir à carburant de 170 LSuspension arrière pneumatiqueFreinage ABSRéservoir AdBlue de 30 LGSRII (General Safety Regulation)LDWS : Avertisseur de franchissement de ligneAEBS : Système de freinage automatique d'urgence</v>
      </c>
    </row>
    <row r="105" spans="1:45" ht="33.75" hidden="1" outlineLevel="1" x14ac:dyDescent="0.25">
      <c r="A105" s="64" t="s">
        <v>1474</v>
      </c>
      <c r="B105" s="64" t="s">
        <v>32</v>
      </c>
      <c r="C105" s="64" t="s">
        <v>2027</v>
      </c>
      <c r="D105" s="64" t="s">
        <v>2116</v>
      </c>
      <c r="E105" s="64" t="s">
        <v>2029</v>
      </c>
      <c r="F105" s="64" t="s">
        <v>2030</v>
      </c>
      <c r="G105" s="64"/>
      <c r="H105" s="64" t="s">
        <v>2117</v>
      </c>
      <c r="I105" s="64"/>
      <c r="J105" s="64"/>
      <c r="K105" s="64"/>
      <c r="L105" s="64"/>
      <c r="M105" s="64"/>
      <c r="N105" s="64"/>
      <c r="O105" s="64"/>
      <c r="P105" s="64"/>
      <c r="Q105" s="64"/>
      <c r="R105" s="64"/>
      <c r="S105" s="64"/>
      <c r="T105" s="64"/>
      <c r="U105" s="64"/>
      <c r="V105" s="64"/>
      <c r="W105" s="64"/>
      <c r="X105" s="64" t="s">
        <v>2033</v>
      </c>
      <c r="Y105" s="64"/>
      <c r="Z105" s="64"/>
      <c r="AA105" s="64"/>
      <c r="AB105" s="64" t="s">
        <v>46</v>
      </c>
      <c r="AC105" s="64"/>
      <c r="AD105" s="64"/>
      <c r="AE105" s="64"/>
      <c r="AF105" s="70"/>
      <c r="AG105" s="70"/>
      <c r="AH105" s="64"/>
      <c r="AI105" s="64"/>
      <c r="AJ105" s="64"/>
      <c r="AK105" s="64"/>
      <c r="AL105" s="64"/>
      <c r="AM105" s="64"/>
      <c r="AN105" s="64" t="s">
        <v>2034</v>
      </c>
      <c r="AO105" s="64"/>
      <c r="AP105" s="69"/>
      <c r="AQ105" s="64"/>
      <c r="AR105" s="64"/>
      <c r="AS105" s="69" t="str">
        <f t="shared" si="1"/>
        <v>PPneumatiques : 205/60 R16Réservoir à carburant de 54 LSuspension arrière mécaniqueFreinage avec ABSRéservoir AdBlue 18 LGSRII (General Safety Regulation)Fourgon tôlé / Transmission : Traction avant / Roues arrière simples</v>
      </c>
    </row>
    <row r="106" spans="1:45" ht="33.75" hidden="1" outlineLevel="1" x14ac:dyDescent="0.25">
      <c r="A106" s="64" t="s">
        <v>1482</v>
      </c>
      <c r="B106" s="64" t="s">
        <v>32</v>
      </c>
      <c r="C106" s="64" t="s">
        <v>2027</v>
      </c>
      <c r="D106" s="64" t="s">
        <v>2116</v>
      </c>
      <c r="E106" s="64" t="s">
        <v>2029</v>
      </c>
      <c r="F106" s="64" t="s">
        <v>2030</v>
      </c>
      <c r="G106" s="64"/>
      <c r="H106" s="64" t="s">
        <v>2117</v>
      </c>
      <c r="I106" s="64"/>
      <c r="J106" s="64"/>
      <c r="K106" s="64"/>
      <c r="L106" s="64"/>
      <c r="M106" s="64"/>
      <c r="N106" s="64"/>
      <c r="O106" s="64"/>
      <c r="P106" s="64"/>
      <c r="Q106" s="64"/>
      <c r="R106" s="64"/>
      <c r="S106" s="64"/>
      <c r="T106" s="64"/>
      <c r="U106" s="64"/>
      <c r="V106" s="64"/>
      <c r="W106" s="64"/>
      <c r="X106" s="64" t="s">
        <v>2033</v>
      </c>
      <c r="Y106" s="64"/>
      <c r="Z106" s="64"/>
      <c r="AA106" s="64"/>
      <c r="AB106" s="64" t="s">
        <v>46</v>
      </c>
      <c r="AC106" s="64"/>
      <c r="AD106" s="64"/>
      <c r="AE106" s="64"/>
      <c r="AF106" s="70"/>
      <c r="AG106" s="70"/>
      <c r="AH106" s="64"/>
      <c r="AI106" s="64"/>
      <c r="AJ106" s="64"/>
      <c r="AK106" s="64"/>
      <c r="AL106" s="64"/>
      <c r="AM106" s="64"/>
      <c r="AN106" s="64" t="s">
        <v>2048</v>
      </c>
      <c r="AO106" s="64"/>
      <c r="AP106" s="69"/>
      <c r="AQ106" s="64"/>
      <c r="AR106" s="64"/>
      <c r="AS106" s="69" t="str">
        <f t="shared" si="1"/>
        <v>PPneumatiques : 205/60 R16Réservoir à carburant de 54 LSuspension arrière mécaniqueFreinage avec ABSRéservoir AdBlue 18 LGSRII (General Safety Regulation)Plancher cabine / Transmission : Traction avant / Roues arrière simples</v>
      </c>
    </row>
    <row r="107" spans="1:45" ht="45" hidden="1" outlineLevel="1" x14ac:dyDescent="0.25">
      <c r="A107" s="64" t="s">
        <v>1537</v>
      </c>
      <c r="B107" s="64" t="s">
        <v>32</v>
      </c>
      <c r="C107" s="64" t="s">
        <v>2125</v>
      </c>
      <c r="D107" s="64"/>
      <c r="E107" s="64" t="s">
        <v>2029</v>
      </c>
      <c r="F107" s="64" t="s">
        <v>2118</v>
      </c>
      <c r="G107" s="64" t="s">
        <v>432</v>
      </c>
      <c r="H107" s="64"/>
      <c r="I107" s="64"/>
      <c r="J107" s="64"/>
      <c r="K107" s="64"/>
      <c r="L107" s="64"/>
      <c r="M107" s="64"/>
      <c r="N107" s="64"/>
      <c r="O107" s="64"/>
      <c r="P107" s="64"/>
      <c r="Q107" s="64"/>
      <c r="R107" s="64"/>
      <c r="S107" s="64"/>
      <c r="T107" s="64"/>
      <c r="U107" s="64"/>
      <c r="V107" s="64"/>
      <c r="W107" s="64"/>
      <c r="X107" s="69" t="s">
        <v>2033</v>
      </c>
      <c r="Y107" s="64" t="s">
        <v>2072</v>
      </c>
      <c r="Z107" s="64"/>
      <c r="AA107" s="64"/>
      <c r="AB107" s="64"/>
      <c r="AC107" s="64"/>
      <c r="AD107" s="64"/>
      <c r="AE107" s="64"/>
      <c r="AF107" s="70"/>
      <c r="AG107" s="70"/>
      <c r="AH107" s="64"/>
      <c r="AI107" s="64"/>
      <c r="AJ107" s="64"/>
      <c r="AK107" s="64"/>
      <c r="AL107" s="70"/>
      <c r="AM107" s="64"/>
      <c r="AN107" s="64" t="s">
        <v>2119</v>
      </c>
      <c r="AO107" s="64"/>
      <c r="AP107" s="64"/>
      <c r="AQ107" s="64"/>
      <c r="AR107" s="64"/>
      <c r="AS107" s="69" t="str">
        <f t="shared" si="1"/>
        <v>PPneumatiques : 215/75 R16Suspension arrière mécaniqueFreinage avec ABS avec aide au freinage d'urgence (AFU).Buzzer de marche arrièreGSRII (General Safety Regulation)ESPPlancher cabine 4T000 détaré en 3T500 / Transmission : Traction avant / Roues arrière simples</v>
      </c>
    </row>
    <row r="108" spans="1:45" ht="33.75" hidden="1" outlineLevel="1" x14ac:dyDescent="0.25">
      <c r="A108" s="64" t="s">
        <v>1496</v>
      </c>
      <c r="B108" s="64" t="s">
        <v>32</v>
      </c>
      <c r="C108" s="64" t="s">
        <v>2027</v>
      </c>
      <c r="D108" s="64"/>
      <c r="E108" s="64" t="s">
        <v>2029</v>
      </c>
      <c r="F108" s="64" t="s">
        <v>2030</v>
      </c>
      <c r="G108" s="64" t="s">
        <v>432</v>
      </c>
      <c r="H108" s="64"/>
      <c r="I108" s="64"/>
      <c r="J108" s="64"/>
      <c r="K108" s="64"/>
      <c r="L108" s="64"/>
      <c r="M108" s="64"/>
      <c r="N108" s="64"/>
      <c r="O108" s="64"/>
      <c r="P108" s="64"/>
      <c r="Q108" s="64"/>
      <c r="R108" s="64"/>
      <c r="S108" s="64"/>
      <c r="T108" s="64"/>
      <c r="U108" s="64"/>
      <c r="V108" s="64"/>
      <c r="W108" s="64"/>
      <c r="X108" s="64" t="s">
        <v>2072</v>
      </c>
      <c r="Y108" s="64"/>
      <c r="Z108" s="64"/>
      <c r="AA108" s="64"/>
      <c r="AB108" s="64" t="s">
        <v>46</v>
      </c>
      <c r="AC108" s="64"/>
      <c r="AD108" s="64"/>
      <c r="AE108" s="64"/>
      <c r="AF108" s="70"/>
      <c r="AG108" s="70"/>
      <c r="AH108" s="64"/>
      <c r="AI108" s="64"/>
      <c r="AJ108" s="64"/>
      <c r="AK108" s="64"/>
      <c r="AL108" s="64"/>
      <c r="AM108" s="64"/>
      <c r="AN108" s="64" t="s">
        <v>2034</v>
      </c>
      <c r="AO108" s="64"/>
      <c r="AP108" s="64"/>
      <c r="AQ108" s="64"/>
      <c r="AR108" s="64"/>
      <c r="AS108" s="69" t="str">
        <f t="shared" si="1"/>
        <v>PPneumatiques : 205/60 R16Suspension arrière mécaniqueFreinage avec ABSBuzzer de marche arrièreESPFourgon tôlé / Transmission : Traction avant / Roues arrière simples</v>
      </c>
    </row>
    <row r="109" spans="1:45" ht="33.75" hidden="1" outlineLevel="1" x14ac:dyDescent="0.25">
      <c r="A109" s="64" t="s">
        <v>1502</v>
      </c>
      <c r="B109" s="64" t="s">
        <v>32</v>
      </c>
      <c r="C109" s="64" t="s">
        <v>2027</v>
      </c>
      <c r="D109" s="64"/>
      <c r="E109" s="64" t="s">
        <v>2029</v>
      </c>
      <c r="F109" s="64" t="s">
        <v>2030</v>
      </c>
      <c r="G109" s="64" t="s">
        <v>432</v>
      </c>
      <c r="H109" s="64"/>
      <c r="I109" s="64"/>
      <c r="J109" s="64"/>
      <c r="K109" s="64"/>
      <c r="L109" s="64"/>
      <c r="M109" s="64"/>
      <c r="N109" s="64"/>
      <c r="O109" s="64"/>
      <c r="P109" s="64"/>
      <c r="Q109" s="64"/>
      <c r="R109" s="64"/>
      <c r="S109" s="64"/>
      <c r="T109" s="64"/>
      <c r="U109" s="64"/>
      <c r="V109" s="64"/>
      <c r="W109" s="64"/>
      <c r="X109" s="64" t="s">
        <v>2033</v>
      </c>
      <c r="Y109" s="64"/>
      <c r="Z109" s="64"/>
      <c r="AA109" s="64"/>
      <c r="AB109" s="64" t="s">
        <v>46</v>
      </c>
      <c r="AC109" s="64"/>
      <c r="AD109" s="64"/>
      <c r="AE109" s="64"/>
      <c r="AF109" s="70"/>
      <c r="AG109" s="70"/>
      <c r="AH109" s="64"/>
      <c r="AI109" s="64"/>
      <c r="AJ109" s="64"/>
      <c r="AK109" s="64"/>
      <c r="AL109" s="64"/>
      <c r="AM109" s="64"/>
      <c r="AN109" s="64" t="s">
        <v>2048</v>
      </c>
      <c r="AO109" s="64"/>
      <c r="AP109" s="64"/>
      <c r="AQ109" s="64"/>
      <c r="AR109" s="64"/>
      <c r="AS109" s="69" t="str">
        <f t="shared" si="1"/>
        <v>PPneumatiques : 205/60 R16Suspension arrière mécaniqueFreinage avec ABSBuzzer de marche arrièreGSRII (General Safety Regulation)Plancher cabine / Transmission : Traction avant / Roues arrière simples</v>
      </c>
    </row>
    <row r="110" spans="1:45" ht="33.75" hidden="1" outlineLevel="1" x14ac:dyDescent="0.25">
      <c r="A110" s="64" t="s">
        <v>1511</v>
      </c>
      <c r="B110" s="64" t="s">
        <v>32</v>
      </c>
      <c r="C110" s="64" t="s">
        <v>2036</v>
      </c>
      <c r="D110" s="64" t="s">
        <v>2120</v>
      </c>
      <c r="E110" s="64" t="s">
        <v>2029</v>
      </c>
      <c r="F110" s="64" t="s">
        <v>2030</v>
      </c>
      <c r="G110" s="64"/>
      <c r="H110" s="64" t="s">
        <v>2121</v>
      </c>
      <c r="I110" s="64"/>
      <c r="J110" s="64"/>
      <c r="K110" s="64"/>
      <c r="L110" s="64"/>
      <c r="M110" s="64"/>
      <c r="N110" s="64"/>
      <c r="O110" s="64"/>
      <c r="P110" s="64"/>
      <c r="Q110" s="64"/>
      <c r="R110" s="64"/>
      <c r="S110" s="64"/>
      <c r="T110" s="64"/>
      <c r="U110" s="64"/>
      <c r="V110" s="64"/>
      <c r="W110" s="64"/>
      <c r="X110" s="69" t="s">
        <v>2033</v>
      </c>
      <c r="Y110" s="64"/>
      <c r="Z110" s="64"/>
      <c r="AA110" s="64"/>
      <c r="AB110" s="64" t="s">
        <v>46</v>
      </c>
      <c r="AC110" s="64"/>
      <c r="AD110" s="64"/>
      <c r="AE110" s="64"/>
      <c r="AF110" s="70"/>
      <c r="AG110" s="70"/>
      <c r="AH110" s="64"/>
      <c r="AI110" s="64"/>
      <c r="AJ110" s="64"/>
      <c r="AK110" s="64"/>
      <c r="AL110" s="70"/>
      <c r="AM110" s="70"/>
      <c r="AN110" s="64" t="s">
        <v>2034</v>
      </c>
      <c r="AO110" s="64"/>
      <c r="AP110" s="69"/>
      <c r="AQ110" s="64"/>
      <c r="AR110" s="64"/>
      <c r="AS110" s="69" t="str">
        <f t="shared" si="1"/>
        <v>PPneumatiques : 215/65 R16Réservoir à carburant de 80 LSuspension arrière mécaniqueFreinage avec ABSRéservoir AdBlue de 24 L GSRII (General Safety Regulation)Fourgon tôlé / Transmission : Traction avant / Roues arrière simples</v>
      </c>
    </row>
    <row r="111" spans="1:45" ht="33.75" hidden="1" outlineLevel="1" x14ac:dyDescent="0.25">
      <c r="A111" s="64" t="s">
        <v>1522</v>
      </c>
      <c r="B111" s="64" t="s">
        <v>32</v>
      </c>
      <c r="C111" s="64" t="s">
        <v>2036</v>
      </c>
      <c r="D111" s="64" t="s">
        <v>2120</v>
      </c>
      <c r="E111" s="64" t="s">
        <v>2029</v>
      </c>
      <c r="F111" s="64" t="s">
        <v>2030</v>
      </c>
      <c r="G111" s="64"/>
      <c r="H111" s="64" t="s">
        <v>2056</v>
      </c>
      <c r="I111" s="64"/>
      <c r="J111" s="64"/>
      <c r="K111" s="64"/>
      <c r="L111" s="64"/>
      <c r="M111" s="64"/>
      <c r="N111" s="64"/>
      <c r="O111" s="64"/>
      <c r="P111" s="64"/>
      <c r="Q111" s="64"/>
      <c r="R111" s="64"/>
      <c r="S111" s="64"/>
      <c r="T111" s="64"/>
      <c r="U111" s="64"/>
      <c r="V111" s="64"/>
      <c r="W111" s="64"/>
      <c r="X111" s="69" t="s">
        <v>2033</v>
      </c>
      <c r="Y111" s="64"/>
      <c r="Z111" s="64"/>
      <c r="AA111" s="64"/>
      <c r="AB111" s="64" t="s">
        <v>46</v>
      </c>
      <c r="AC111" s="64"/>
      <c r="AD111" s="64"/>
      <c r="AE111" s="64"/>
      <c r="AF111" s="70"/>
      <c r="AG111" s="70"/>
      <c r="AH111" s="64"/>
      <c r="AI111" s="64"/>
      <c r="AJ111" s="64"/>
      <c r="AK111" s="64"/>
      <c r="AL111" s="64"/>
      <c r="AM111" s="64"/>
      <c r="AN111" s="64" t="s">
        <v>2048</v>
      </c>
      <c r="AO111" s="64"/>
      <c r="AP111" s="64"/>
      <c r="AQ111" s="64"/>
      <c r="AR111" s="64"/>
      <c r="AS111" s="69" t="str">
        <f t="shared" si="1"/>
        <v>PPneumatiques : 215/65 R16Réservoir à carburant de 80 LSuspension arrière mécaniqueFreinage avec ABSRéservoir AdBlue de 20 L GSRII (General Safety Regulation)Plancher cabine / Transmission : Traction avant / Roues arrière simples</v>
      </c>
    </row>
    <row r="112" spans="1:45" ht="56.25" hidden="1" outlineLevel="1" x14ac:dyDescent="0.25">
      <c r="A112" s="64" t="s">
        <v>1660</v>
      </c>
      <c r="B112" s="64" t="s">
        <v>32</v>
      </c>
      <c r="C112" s="64" t="s">
        <v>2036</v>
      </c>
      <c r="D112" s="64" t="s">
        <v>2120</v>
      </c>
      <c r="E112" s="64" t="s">
        <v>2029</v>
      </c>
      <c r="F112" s="64" t="s">
        <v>2122</v>
      </c>
      <c r="G112" s="64"/>
      <c r="H112" s="64" t="s">
        <v>2123</v>
      </c>
      <c r="I112" s="64"/>
      <c r="J112" s="64"/>
      <c r="K112" s="64"/>
      <c r="L112" s="64"/>
      <c r="M112" s="64"/>
      <c r="N112" s="64"/>
      <c r="O112" s="64"/>
      <c r="P112" s="64"/>
      <c r="Q112" s="64"/>
      <c r="R112" s="64"/>
      <c r="S112" s="64"/>
      <c r="T112" s="64"/>
      <c r="U112" s="64"/>
      <c r="V112" s="64"/>
      <c r="W112" s="64"/>
      <c r="X112" s="64" t="s">
        <v>2033</v>
      </c>
      <c r="Y112" s="64"/>
      <c r="Z112" s="64"/>
      <c r="AA112" s="64"/>
      <c r="AB112" s="64" t="s">
        <v>46</v>
      </c>
      <c r="AC112" s="64"/>
      <c r="AD112" s="64"/>
      <c r="AE112" s="64"/>
      <c r="AF112" s="70"/>
      <c r="AG112" s="70"/>
      <c r="AH112" s="64"/>
      <c r="AI112" s="64"/>
      <c r="AJ112" s="64"/>
      <c r="AK112" s="64"/>
      <c r="AL112" s="64"/>
      <c r="AM112" s="64"/>
      <c r="AN112" s="64" t="s">
        <v>2124</v>
      </c>
      <c r="AO112" s="64"/>
      <c r="AP112" s="64"/>
      <c r="AQ112" s="64"/>
      <c r="AR112" s="64"/>
      <c r="AS112" s="69" t="str">
        <f t="shared" si="1"/>
        <v>PPneumatiques : 215/65 R16Réservoir à carburant de 80 LSuspension arrière mécaniqueFreinage antiblocage (ABS) avec assistance au freinage d'urgence (EBA).Réservoir AdBlue 25,5LGSRII (General Safety Regulation)Fourgon Tôlé / Transmission : Traction avant / Roues arrière simples</v>
      </c>
    </row>
    <row r="113" spans="1:45" ht="45" hidden="1" outlineLevel="1" x14ac:dyDescent="0.25">
      <c r="A113" s="64" t="s">
        <v>1670</v>
      </c>
      <c r="B113" s="64" t="s">
        <v>32</v>
      </c>
      <c r="C113" s="64" t="s">
        <v>2125</v>
      </c>
      <c r="D113" s="64" t="s">
        <v>2120</v>
      </c>
      <c r="E113" s="64" t="s">
        <v>2029</v>
      </c>
      <c r="F113" s="64" t="s">
        <v>2118</v>
      </c>
      <c r="G113" s="64"/>
      <c r="H113" s="64" t="s">
        <v>2123</v>
      </c>
      <c r="I113" s="64"/>
      <c r="J113" s="64"/>
      <c r="K113" s="64"/>
      <c r="L113" s="64"/>
      <c r="M113" s="64"/>
      <c r="N113" s="64"/>
      <c r="O113" s="64"/>
      <c r="P113" s="64"/>
      <c r="Q113" s="64"/>
      <c r="R113" s="64"/>
      <c r="S113" s="64"/>
      <c r="T113" s="64"/>
      <c r="U113" s="64"/>
      <c r="V113" s="64"/>
      <c r="W113" s="64"/>
      <c r="X113" s="64" t="s">
        <v>2033</v>
      </c>
      <c r="Y113" s="64"/>
      <c r="Z113" s="64"/>
      <c r="AA113" s="64"/>
      <c r="AB113" s="64" t="s">
        <v>46</v>
      </c>
      <c r="AC113" s="64"/>
      <c r="AD113" s="64"/>
      <c r="AE113" s="64"/>
      <c r="AF113" s="70"/>
      <c r="AG113" s="70"/>
      <c r="AH113" s="64"/>
      <c r="AI113" s="64"/>
      <c r="AJ113" s="64"/>
      <c r="AK113" s="64"/>
      <c r="AL113" s="70"/>
      <c r="AM113" s="70"/>
      <c r="AN113" s="64" t="s">
        <v>2048</v>
      </c>
      <c r="AO113" s="64"/>
      <c r="AP113" s="69"/>
      <c r="AQ113" s="64"/>
      <c r="AR113" s="64"/>
      <c r="AS113" s="69" t="str">
        <f t="shared" si="1"/>
        <v>PPneumatiques : 215/75 R16Réservoir à carburant de 80 LSuspension arrière mécaniqueFreinage avec ABS avec aide au freinage d'urgence (AFU).Réservoir AdBlue 25,5LGSRII (General Safety Regulation)Plancher cabine / Transmission : Traction avant / Roues arrière simples</v>
      </c>
    </row>
    <row r="114" spans="1:45" ht="33.75" hidden="1" outlineLevel="1" x14ac:dyDescent="0.25">
      <c r="A114" s="64" t="s">
        <v>4377</v>
      </c>
      <c r="B114" s="64" t="s">
        <v>32</v>
      </c>
      <c r="C114" s="64" t="s">
        <v>2073</v>
      </c>
      <c r="D114" s="64" t="s">
        <v>2120</v>
      </c>
      <c r="E114" s="64" t="s">
        <v>2029</v>
      </c>
      <c r="F114" s="64" t="s">
        <v>2030</v>
      </c>
      <c r="G114" s="64"/>
      <c r="H114" s="64" t="s">
        <v>4395</v>
      </c>
      <c r="I114" s="64"/>
      <c r="J114" s="64"/>
      <c r="K114" s="64"/>
      <c r="L114" s="64"/>
      <c r="M114" s="64"/>
      <c r="N114" s="64"/>
      <c r="O114" s="64"/>
      <c r="P114" s="64"/>
      <c r="Q114" s="64"/>
      <c r="R114" s="64"/>
      <c r="S114" s="64"/>
      <c r="T114" s="64"/>
      <c r="U114" s="64"/>
      <c r="V114" s="64"/>
      <c r="W114" s="64"/>
      <c r="X114" s="64" t="s">
        <v>2033</v>
      </c>
      <c r="Y114" s="64"/>
      <c r="Z114" s="64"/>
      <c r="AA114" s="64"/>
      <c r="AB114" s="64" t="s">
        <v>46</v>
      </c>
      <c r="AC114" s="64"/>
      <c r="AD114" s="64"/>
      <c r="AE114" s="64"/>
      <c r="AF114" s="70"/>
      <c r="AG114" s="70"/>
      <c r="AH114" s="64"/>
      <c r="AI114" s="64"/>
      <c r="AJ114" s="64"/>
      <c r="AK114" s="64"/>
      <c r="AL114" s="64"/>
      <c r="AM114" s="64"/>
      <c r="AN114" s="64" t="s">
        <v>2124</v>
      </c>
      <c r="AO114" s="64"/>
      <c r="AP114" s="64"/>
      <c r="AQ114" s="64"/>
      <c r="AR114" s="64"/>
    </row>
    <row r="115" spans="1:45" ht="33.75" hidden="1" outlineLevel="1" x14ac:dyDescent="0.25">
      <c r="A115" s="64" t="s">
        <v>4396</v>
      </c>
      <c r="B115" s="64" t="s">
        <v>32</v>
      </c>
      <c r="C115" s="64" t="s">
        <v>2073</v>
      </c>
      <c r="D115" s="64" t="s">
        <v>2120</v>
      </c>
      <c r="E115" s="64" t="s">
        <v>2029</v>
      </c>
      <c r="F115" s="64" t="s">
        <v>2030</v>
      </c>
      <c r="G115" s="64" t="s">
        <v>432</v>
      </c>
      <c r="H115" s="64" t="s">
        <v>2062</v>
      </c>
      <c r="I115" s="64"/>
      <c r="J115" s="64"/>
      <c r="K115" s="64"/>
      <c r="L115" s="64"/>
      <c r="M115" s="64"/>
      <c r="N115" s="64"/>
      <c r="O115" s="64"/>
      <c r="P115" s="64"/>
      <c r="Q115" s="64"/>
      <c r="R115" s="64"/>
      <c r="S115" s="64"/>
      <c r="T115" s="64"/>
      <c r="U115" s="64"/>
      <c r="V115" s="64"/>
      <c r="W115" s="64"/>
      <c r="X115" s="64" t="s">
        <v>2033</v>
      </c>
      <c r="Y115" s="64"/>
      <c r="Z115" s="64"/>
      <c r="AA115" s="64"/>
      <c r="AB115" s="64" t="s">
        <v>46</v>
      </c>
      <c r="AC115" s="64"/>
      <c r="AD115" s="64"/>
      <c r="AE115" s="64"/>
      <c r="AF115" s="70"/>
      <c r="AG115" s="70"/>
      <c r="AH115" s="64"/>
      <c r="AI115" s="64"/>
      <c r="AJ115" s="64"/>
      <c r="AK115" s="64"/>
      <c r="AL115" s="64"/>
      <c r="AM115" s="64"/>
      <c r="AN115" s="64" t="s">
        <v>2048</v>
      </c>
      <c r="AO115" s="64"/>
      <c r="AP115" s="64"/>
      <c r="AQ115" s="64"/>
      <c r="AR115" s="64"/>
    </row>
    <row r="116" spans="1:45" ht="33.75" collapsed="1" x14ac:dyDescent="0.25">
      <c r="A116" s="64" t="s">
        <v>2950</v>
      </c>
      <c r="B116" s="64" t="s">
        <v>32</v>
      </c>
      <c r="C116" s="74" t="s">
        <v>605</v>
      </c>
      <c r="D116" s="74" t="s">
        <v>606</v>
      </c>
      <c r="E116" s="74" t="s">
        <v>607</v>
      </c>
      <c r="F116" s="74"/>
      <c r="G116" s="74"/>
      <c r="H116" s="74" t="s">
        <v>608</v>
      </c>
      <c r="I116" s="74"/>
      <c r="J116" s="74" t="s">
        <v>600</v>
      </c>
      <c r="K116" s="74"/>
      <c r="L116" s="74" t="s">
        <v>609</v>
      </c>
      <c r="M116" s="74" t="s">
        <v>602</v>
      </c>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69" t="str">
        <f t="shared" si="1"/>
        <v>PPneumatiques 225/65R16Réservoir carburant 86 litres remplissage côté gaucheRéservoir AdBlue 20 litres remplissage côté gaucheSuspension arrière renforcéeGSR II (General Safety Regulation)Sans roue de secoursBruiteur de marche arrière cri du lynx non déconnectable</v>
      </c>
    </row>
    <row r="117" spans="1:45" ht="33.75" outlineLevel="1" x14ac:dyDescent="0.25">
      <c r="A117" s="64" t="s">
        <v>2910</v>
      </c>
      <c r="B117" s="64" t="s">
        <v>424</v>
      </c>
      <c r="C117" s="74"/>
      <c r="D117" s="74"/>
      <c r="E117" s="74"/>
      <c r="F117" s="74"/>
      <c r="G117" s="74"/>
      <c r="H117" s="74" t="s">
        <v>610</v>
      </c>
      <c r="I117" s="74" t="s">
        <v>604</v>
      </c>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69" t="str">
        <f t="shared" si="1"/>
        <v>OPneumatiques montagne train arrièrePneumatiques montagne trains avant et arrière</v>
      </c>
    </row>
    <row r="118" spans="1:45" ht="33.75" outlineLevel="1" x14ac:dyDescent="0.25">
      <c r="A118" s="64" t="s">
        <v>2951</v>
      </c>
      <c r="B118" s="64" t="s">
        <v>32</v>
      </c>
      <c r="C118" s="74" t="s">
        <v>611</v>
      </c>
      <c r="D118" s="74" t="s">
        <v>612</v>
      </c>
      <c r="E118" s="74" t="s">
        <v>607</v>
      </c>
      <c r="F118" s="74"/>
      <c r="G118" s="74"/>
      <c r="H118" s="74" t="s">
        <v>936</v>
      </c>
      <c r="I118" s="74"/>
      <c r="J118" s="74" t="s">
        <v>600</v>
      </c>
      <c r="K118" s="74" t="s">
        <v>613</v>
      </c>
      <c r="L118" s="74" t="s">
        <v>614</v>
      </c>
      <c r="M118" s="74"/>
      <c r="N118" s="74" t="s">
        <v>602</v>
      </c>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69" t="str">
        <f t="shared" si="1"/>
        <v>PPneumatiques 225/75R16Réservoir carburant 120 litres remplissage côté gaucheRéservoir AdBlue 20 litres remplissage côté gaucheSuspension arrière à lames + HELPERGSR II (General Safety Regulation)Témoins de desserage des rouesAvec roue de secoursBruiteur de marche arrière cri du lynx non déconnectable</v>
      </c>
    </row>
    <row r="119" spans="1:45" ht="33.75" outlineLevel="1" x14ac:dyDescent="0.25">
      <c r="A119" s="64" t="s">
        <v>2911</v>
      </c>
      <c r="B119" s="64" t="s">
        <v>424</v>
      </c>
      <c r="C119" s="74"/>
      <c r="D119" s="74"/>
      <c r="E119" s="74"/>
      <c r="F119" s="74"/>
      <c r="G119" s="74"/>
      <c r="H119" s="74" t="s">
        <v>610</v>
      </c>
      <c r="I119" s="74" t="s">
        <v>604</v>
      </c>
      <c r="J119" s="74" t="s">
        <v>937</v>
      </c>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69" t="str">
        <f t="shared" si="1"/>
        <v>OPneumatiques montagne train arrièrePneumatiques montagne trains avant et arrièreSuspension arrière pneumatique (-13 kg CU)</v>
      </c>
    </row>
    <row r="120" spans="1:45" ht="33.75" outlineLevel="1" x14ac:dyDescent="0.25">
      <c r="A120" s="64" t="s">
        <v>2946</v>
      </c>
      <c r="B120" s="64" t="s">
        <v>32</v>
      </c>
      <c r="C120" s="74" t="s">
        <v>752</v>
      </c>
      <c r="D120" s="74" t="s">
        <v>623</v>
      </c>
      <c r="E120" s="74" t="s">
        <v>624</v>
      </c>
      <c r="F120" s="74"/>
      <c r="G120" s="74"/>
      <c r="H120" s="74" t="s">
        <v>619</v>
      </c>
      <c r="I120" s="74" t="s">
        <v>620</v>
      </c>
      <c r="J120" s="74" t="s">
        <v>600</v>
      </c>
      <c r="K120" s="74" t="s">
        <v>613</v>
      </c>
      <c r="L120" s="74" t="s">
        <v>614</v>
      </c>
      <c r="M120" s="74"/>
      <c r="N120" s="74" t="s">
        <v>602</v>
      </c>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69" t="str">
        <f t="shared" si="1"/>
        <v>PPneumatiques 245/70R19,5Réservoir carburant 200 litres côté droit avec réchauffeurRéservoir AdBlue 30 litres côté droitSuspension arrière pneumatiqueFreinage EBSGSR II (General Safety Regulation)Témoins de desserage des rouesAvec roue de secoursBruiteur de marche arrière cri du lynx non déconnectable</v>
      </c>
    </row>
    <row r="121" spans="1:45" ht="33.75" outlineLevel="1" x14ac:dyDescent="0.25">
      <c r="A121" s="64" t="s">
        <v>2915</v>
      </c>
      <c r="B121" s="64" t="s">
        <v>424</v>
      </c>
      <c r="C121" s="74"/>
      <c r="D121" s="74" t="s">
        <v>625</v>
      </c>
      <c r="E121" s="74" t="s">
        <v>753</v>
      </c>
      <c r="F121" s="74" t="s">
        <v>2903</v>
      </c>
      <c r="G121" s="74"/>
      <c r="H121" s="74" t="s">
        <v>610</v>
      </c>
      <c r="I121" s="74" t="s">
        <v>604</v>
      </c>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69" t="str">
        <f t="shared" si="1"/>
        <v>OBlocage de différentiel (-7 kg CU)Chaînage automatique (-40 kg CU)Ralentisseur TELMA (-240  kg CU)Pneumatiques montagne train arrièrePneumatiques montagne trains avant et arrière</v>
      </c>
    </row>
    <row r="122" spans="1:45" ht="33.75" outlineLevel="1" x14ac:dyDescent="0.25">
      <c r="A122" s="64" t="s">
        <v>2947</v>
      </c>
      <c r="B122" s="64" t="s">
        <v>32</v>
      </c>
      <c r="C122" s="74" t="s">
        <v>755</v>
      </c>
      <c r="D122" s="74" t="s">
        <v>623</v>
      </c>
      <c r="E122" s="74" t="s">
        <v>624</v>
      </c>
      <c r="F122" s="74"/>
      <c r="G122" s="74"/>
      <c r="H122" s="74" t="s">
        <v>619</v>
      </c>
      <c r="I122" s="74" t="s">
        <v>620</v>
      </c>
      <c r="J122" s="74" t="s">
        <v>600</v>
      </c>
      <c r="K122" s="74" t="s">
        <v>613</v>
      </c>
      <c r="L122" s="74" t="s">
        <v>614</v>
      </c>
      <c r="M122" s="74"/>
      <c r="N122" s="74" t="s">
        <v>602</v>
      </c>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69" t="str">
        <f t="shared" si="1"/>
        <v>PPneumatiques 285/70R19,5Réservoir carburant 200 litres côté droit avec réchauffeurRéservoir AdBlue 30 litres côté droitSuspension arrière pneumatiqueFreinage EBSGSR II (General Safety Regulation)Témoins de desserage des rouesAvec roue de secoursBruiteur de marche arrière cri du lynx non déconnectable</v>
      </c>
    </row>
    <row r="123" spans="1:45" ht="33.75" outlineLevel="1" x14ac:dyDescent="0.25">
      <c r="A123" s="64" t="s">
        <v>2957</v>
      </c>
      <c r="B123" s="64" t="s">
        <v>32</v>
      </c>
      <c r="C123" s="74" t="s">
        <v>752</v>
      </c>
      <c r="D123" s="74" t="s">
        <v>617</v>
      </c>
      <c r="E123" s="74" t="s">
        <v>618</v>
      </c>
      <c r="F123" s="74"/>
      <c r="G123" s="74"/>
      <c r="H123" s="74" t="s">
        <v>619</v>
      </c>
      <c r="I123" s="74" t="s">
        <v>620</v>
      </c>
      <c r="J123" s="74" t="s">
        <v>600</v>
      </c>
      <c r="K123" s="74" t="s">
        <v>613</v>
      </c>
      <c r="L123" s="74" t="s">
        <v>614</v>
      </c>
      <c r="M123" s="74"/>
      <c r="N123" s="74" t="s">
        <v>602</v>
      </c>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69" t="str">
        <f t="shared" ref="AS123:AS132" si="2">CONCATENATE(B123,C123,D123,E123,F123,G123,H123,I123,J123,K123,L123,M123,N123,O123,P123,Q123,R123,S123,T123,U123,V123,W123,X123,Y123,Z123,AA123,AB123,AC123,AD123,AE123,AF123,AG123,AH123,AI123,AJ123,AK123,AL123,AM123,AN123,AO123,AP123,AQ123,AR123)</f>
        <v>PPneumatiques 245/70R19,5Réservoir carburant 215 litres côté droit avec réchauffeurRéservoir AdBlue 32 litres côté droitSuspension arrière pneumatiqueFreinage EBSGSR II (General Safety Regulation)Témoins de desserage des rouesAvec roue de secoursBruiteur de marche arrière cri du lynx non déconnectable</v>
      </c>
    </row>
    <row r="124" spans="1:45" ht="33.75" outlineLevel="1" x14ac:dyDescent="0.25">
      <c r="A124" s="64" t="s">
        <v>2914</v>
      </c>
      <c r="B124" s="64" t="s">
        <v>424</v>
      </c>
      <c r="C124" s="74"/>
      <c r="D124" s="74" t="s">
        <v>621</v>
      </c>
      <c r="E124" s="74" t="s">
        <v>753</v>
      </c>
      <c r="F124" s="74" t="s">
        <v>754</v>
      </c>
      <c r="G124" s="74"/>
      <c r="H124" s="74" t="s">
        <v>610</v>
      </c>
      <c r="I124" s="74" t="s">
        <v>604</v>
      </c>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69" t="str">
        <f t="shared" si="2"/>
        <v>OBlocage de différentiel (-3 kg CU)Chaînage automatique (-40 kg CU)Ralentisseur TELMA (-236 kg CU)Pneumatiques montagne train arrièrePneumatiques montagne trains avant et arrière</v>
      </c>
    </row>
    <row r="125" spans="1:45" ht="33.75" outlineLevel="1" x14ac:dyDescent="0.25">
      <c r="A125" s="64" t="s">
        <v>2944</v>
      </c>
      <c r="B125" s="64" t="s">
        <v>32</v>
      </c>
      <c r="C125" s="74" t="s">
        <v>755</v>
      </c>
      <c r="D125" s="74" t="s">
        <v>617</v>
      </c>
      <c r="E125" s="74" t="s">
        <v>618</v>
      </c>
      <c r="F125" s="74"/>
      <c r="G125" s="74"/>
      <c r="H125" s="74" t="s">
        <v>619</v>
      </c>
      <c r="I125" s="74" t="s">
        <v>620</v>
      </c>
      <c r="J125" s="74" t="s">
        <v>600</v>
      </c>
      <c r="K125" s="74" t="s">
        <v>613</v>
      </c>
      <c r="L125" s="74" t="s">
        <v>614</v>
      </c>
      <c r="M125" s="74"/>
      <c r="N125" s="74" t="s">
        <v>602</v>
      </c>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69" t="str">
        <f t="shared" si="2"/>
        <v>PPneumatiques 285/70R19,5Réservoir carburant 215 litres côté droit avec réchauffeurRéservoir AdBlue 32 litres côté droitSuspension arrière pneumatiqueFreinage EBSGSR II (General Safety Regulation)Témoins de desserage des rouesAvec roue de secoursBruiteur de marche arrière cri du lynx non déconnectable</v>
      </c>
    </row>
    <row r="126" spans="1:45" ht="33.75" outlineLevel="1" x14ac:dyDescent="0.25">
      <c r="A126" s="64" t="s">
        <v>2952</v>
      </c>
      <c r="B126" s="64" t="s">
        <v>32</v>
      </c>
      <c r="C126" s="74" t="s">
        <v>596</v>
      </c>
      <c r="D126" s="74" t="s">
        <v>597</v>
      </c>
      <c r="E126" s="74" t="s">
        <v>598</v>
      </c>
      <c r="F126" s="74"/>
      <c r="G126" s="74"/>
      <c r="H126" s="182" t="s">
        <v>608</v>
      </c>
      <c r="I126" s="74"/>
      <c r="J126" s="74" t="s">
        <v>600</v>
      </c>
      <c r="K126" s="74"/>
      <c r="L126" s="74" t="s">
        <v>601</v>
      </c>
      <c r="M126" s="74"/>
      <c r="N126" s="74" t="s">
        <v>602</v>
      </c>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69" t="str">
        <f t="shared" si="2"/>
        <v>PPneumatiques 215/75R16Réservoir carburant 90 litres remplissage côté gaucheRéservoir AdBlue 19 litres remplissage côté gaucheSuspension arrière renforcéeGSR II (General Safety Regulation)Roue de secoursBruiteur de marche arrière cri du lynx non déconnectable</v>
      </c>
    </row>
    <row r="127" spans="1:45" ht="33.75" outlineLevel="1" x14ac:dyDescent="0.25">
      <c r="A127" s="64" t="s">
        <v>2948</v>
      </c>
      <c r="B127" s="64" t="s">
        <v>32</v>
      </c>
      <c r="C127" s="74" t="s">
        <v>866</v>
      </c>
      <c r="D127" s="74" t="s">
        <v>623</v>
      </c>
      <c r="E127" s="74" t="s">
        <v>624</v>
      </c>
      <c r="F127" s="74"/>
      <c r="G127" s="74"/>
      <c r="H127" s="74" t="s">
        <v>619</v>
      </c>
      <c r="I127" s="74" t="s">
        <v>620</v>
      </c>
      <c r="J127" s="74" t="s">
        <v>600</v>
      </c>
      <c r="K127" s="74" t="s">
        <v>613</v>
      </c>
      <c r="L127" s="74" t="s">
        <v>614</v>
      </c>
      <c r="M127" s="74"/>
      <c r="N127" s="74" t="s">
        <v>602</v>
      </c>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69" t="str">
        <f t="shared" si="2"/>
        <v>PPneumatiques 315/70R22,5Réservoir carburant 200 litres côté droit avec réchauffeurRéservoir AdBlue 30 litres côté droitSuspension arrière pneumatiqueFreinage EBSGSR II (General Safety Regulation)Témoins de desserage des rouesAvec roue de secoursBruiteur de marche arrière cri du lynx non déconnectable</v>
      </c>
    </row>
    <row r="128" spans="1:45" ht="33.75" outlineLevel="1" x14ac:dyDescent="0.25">
      <c r="A128" s="64" t="s">
        <v>2945</v>
      </c>
      <c r="B128" s="64" t="s">
        <v>32</v>
      </c>
      <c r="C128" s="74" t="s">
        <v>864</v>
      </c>
      <c r="D128" s="74" t="s">
        <v>865</v>
      </c>
      <c r="E128" s="74" t="s">
        <v>618</v>
      </c>
      <c r="F128" s="74"/>
      <c r="G128" s="74"/>
      <c r="H128" s="74" t="s">
        <v>619</v>
      </c>
      <c r="I128" s="74" t="s">
        <v>620</v>
      </c>
      <c r="J128" s="74" t="s">
        <v>600</v>
      </c>
      <c r="K128" s="74" t="s">
        <v>613</v>
      </c>
      <c r="L128" s="74" t="s">
        <v>614</v>
      </c>
      <c r="M128" s="74"/>
      <c r="N128" s="74" t="s">
        <v>602</v>
      </c>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69" t="str">
        <f t="shared" si="2"/>
        <v>PPneumatiques 315/80R22,5Réservoir carburant 255 litres côté droit avec réchauffeurRéservoir AdBlue 32 litres côté droitSuspension arrière pneumatiqueFreinage EBSGSR II (General Safety Regulation)Témoins de desserage des rouesAvec roue de secoursBruiteur de marche arrière cri du lynx non déconnectable</v>
      </c>
    </row>
    <row r="129" spans="1:45" ht="33.75" outlineLevel="1" x14ac:dyDescent="0.25">
      <c r="A129" s="64" t="s">
        <v>2922</v>
      </c>
      <c r="B129" s="64" t="s">
        <v>32</v>
      </c>
      <c r="C129" s="74" t="s">
        <v>866</v>
      </c>
      <c r="D129" s="74" t="s">
        <v>867</v>
      </c>
      <c r="E129" s="74" t="s">
        <v>868</v>
      </c>
      <c r="F129" s="74"/>
      <c r="G129" s="74"/>
      <c r="H129" s="74" t="s">
        <v>619</v>
      </c>
      <c r="I129" s="74" t="s">
        <v>620</v>
      </c>
      <c r="J129" s="74" t="s">
        <v>600</v>
      </c>
      <c r="K129" s="74" t="s">
        <v>613</v>
      </c>
      <c r="L129" s="74" t="s">
        <v>2931</v>
      </c>
      <c r="M129" s="74"/>
      <c r="N129" s="74" t="s">
        <v>602</v>
      </c>
      <c r="O129" s="74" t="s">
        <v>435</v>
      </c>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69" t="str">
        <f t="shared" si="2"/>
        <v>PPneumatiques 315/70R22,5Réservoir carburant 610 litres côté gauche avec réchauffeurRéservoir AdBlue 64 litres côté droitSuspension arrière pneumatiqueFreinage EBSGSR II (General Safety Regulation)Témoins de desserage des rouesAvec Roue de secours dans l'empattement droitBruiteur de marche arrière cri du lynx non déconnectableBlocage de différentiel</v>
      </c>
    </row>
    <row r="130" spans="1:45" ht="67.5" outlineLevel="1" x14ac:dyDescent="0.25">
      <c r="A130" s="64" t="s">
        <v>2909</v>
      </c>
      <c r="B130" s="64" t="s">
        <v>424</v>
      </c>
      <c r="C130" s="74"/>
      <c r="D130" s="74"/>
      <c r="E130" s="74"/>
      <c r="F130" s="74" t="s">
        <v>869</v>
      </c>
      <c r="G130" s="74"/>
      <c r="H130" s="74" t="s">
        <v>610</v>
      </c>
      <c r="I130" s="74" t="s">
        <v>604</v>
      </c>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69" t="str">
        <f t="shared" si="2"/>
        <v>ORalentisseur hydraulique VOITH 450 kW en plus de l'OptiBrake (-118 kg CU)Pneumatiques montagne train arrièrePneumatiques montagne trains avant et arrière</v>
      </c>
    </row>
    <row r="131" spans="1:45" ht="67.5" outlineLevel="1" x14ac:dyDescent="0.25">
      <c r="A131" s="64" t="s">
        <v>2920</v>
      </c>
      <c r="B131" s="64" t="s">
        <v>32</v>
      </c>
      <c r="C131" s="74" t="s">
        <v>841</v>
      </c>
      <c r="D131" s="74"/>
      <c r="E131" s="74"/>
      <c r="F131" s="74" t="s">
        <v>842</v>
      </c>
      <c r="G131" s="74" t="s">
        <v>843</v>
      </c>
      <c r="H131" s="74" t="s">
        <v>619</v>
      </c>
      <c r="I131" s="74" t="s">
        <v>620</v>
      </c>
      <c r="J131" s="74" t="s">
        <v>600</v>
      </c>
      <c r="K131" s="74" t="s">
        <v>613</v>
      </c>
      <c r="L131" s="74" t="s">
        <v>614</v>
      </c>
      <c r="M131" s="74" t="s">
        <v>844</v>
      </c>
      <c r="N131" s="74"/>
      <c r="O131" s="74"/>
      <c r="P131" s="74" t="s">
        <v>845</v>
      </c>
      <c r="Q131" s="74" t="s">
        <v>846</v>
      </c>
      <c r="R131" s="74" t="s">
        <v>847</v>
      </c>
      <c r="S131" s="74" t="s">
        <v>848</v>
      </c>
      <c r="T131" s="74" t="s">
        <v>971</v>
      </c>
      <c r="U131" s="74" t="s">
        <v>849</v>
      </c>
      <c r="V131" s="74" t="s">
        <v>850</v>
      </c>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69" t="str">
        <f t="shared" si="2"/>
        <v>PPneumatiques 385/65R22,53 essieux monte simple avec premier essieu relevable automatiquementFreins à disques Suspension arrière pneumatiqueFreinage EBSGSR II (General Safety Regulation)Témoins de desserage des rouesAvec roue de secoursPanier double pour roues de secours dans l'empattement8 anneaux Ferry2 cales de roues dans l'empattement (1 à droite et 1 à gauche)Hauteur d'attelage 1150 mm (Hauteur hors tout 4020 mm)Potence avant coulissante1 odomètre électronique + 1 odomètre mécaniqueRadars de recul Soft DockingPeinture gris foncé CHEREAU Exclusive Grey</v>
      </c>
    </row>
    <row r="132" spans="1:45" ht="33.75" outlineLevel="1" x14ac:dyDescent="0.25">
      <c r="A132" s="64" t="s">
        <v>2949</v>
      </c>
      <c r="B132" s="64" t="s">
        <v>32</v>
      </c>
      <c r="C132" s="74" t="s">
        <v>605</v>
      </c>
      <c r="D132" s="74" t="s">
        <v>606</v>
      </c>
      <c r="E132" s="74" t="s">
        <v>607</v>
      </c>
      <c r="F132" s="74"/>
      <c r="G132" s="74"/>
      <c r="H132" s="74" t="s">
        <v>608</v>
      </c>
      <c r="I132" s="74"/>
      <c r="J132" s="74" t="s">
        <v>600</v>
      </c>
      <c r="K132" s="74"/>
      <c r="L132" s="74" t="s">
        <v>614</v>
      </c>
      <c r="M132" s="74" t="s">
        <v>602</v>
      </c>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69" t="str">
        <f t="shared" si="2"/>
        <v>PPneumatiques 225/65R16Réservoir carburant 86 litres remplissage côté gaucheRéservoir AdBlue 20 litres remplissage côté gaucheSuspension arrière renforcéeGSR II (General Safety Regulation)Avec roue de secoursBruiteur de marche arrière cri du lynx non déconnectable</v>
      </c>
    </row>
    <row r="133" spans="1:45" ht="33.75" outlineLevel="1" x14ac:dyDescent="0.25">
      <c r="A133" s="64" t="s">
        <v>2958</v>
      </c>
      <c r="B133" s="64" t="s">
        <v>32</v>
      </c>
      <c r="C133" s="74" t="s">
        <v>622</v>
      </c>
      <c r="D133" s="74" t="s">
        <v>938</v>
      </c>
      <c r="E133" s="74" t="s">
        <v>624</v>
      </c>
      <c r="F133" s="74"/>
      <c r="G133" s="74"/>
      <c r="H133" s="74" t="s">
        <v>619</v>
      </c>
      <c r="I133" s="74" t="s">
        <v>620</v>
      </c>
      <c r="J133" s="74" t="s">
        <v>600</v>
      </c>
      <c r="K133" s="74" t="s">
        <v>613</v>
      </c>
      <c r="L133" s="74" t="s">
        <v>614</v>
      </c>
      <c r="M133" s="74"/>
      <c r="N133" s="74" t="s">
        <v>602</v>
      </c>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69" t="str">
        <f t="shared" ref="AS133:AS146" si="3">CONCATENATE(B133,C133,D133,E133,F133,G133,H133,I133,J133,K133,L133,M133,N133,O133,P133,Q133,R133,S133,T133,U133,V133,W133,X133,Y133,Z133,AA133,AB133,AC133,AD133,AE133,AF133,AG133,AH133,AI133,AJ133,AK133,AL133,AM133,AN133,AO133,AP133,AQ133,AR133)</f>
        <v>PPneumatiques 225/75R17,5Réservoir carburant 120 litres côté droit avec réchauffeurRéservoir AdBlue 30 litres côté droitSuspension arrière pneumatiqueFreinage EBSGSR II (General Safety Regulation)Témoins de desserage des rouesAvec roue de secoursBruiteur de marche arrière cri du lynx non déconnectable</v>
      </c>
    </row>
    <row r="134" spans="1:45" ht="33.75" outlineLevel="1" x14ac:dyDescent="0.25">
      <c r="A134" s="64" t="s">
        <v>2954</v>
      </c>
      <c r="B134" s="64" t="s">
        <v>32</v>
      </c>
      <c r="C134" s="74" t="s">
        <v>616</v>
      </c>
      <c r="D134" s="74" t="s">
        <v>939</v>
      </c>
      <c r="E134" s="74" t="s">
        <v>618</v>
      </c>
      <c r="F134" s="74"/>
      <c r="G134" s="74"/>
      <c r="H134" s="74" t="s">
        <v>619</v>
      </c>
      <c r="I134" s="74" t="s">
        <v>620</v>
      </c>
      <c r="J134" s="74" t="s">
        <v>600</v>
      </c>
      <c r="K134" s="74" t="s">
        <v>613</v>
      </c>
      <c r="L134" s="74" t="s">
        <v>609</v>
      </c>
      <c r="M134" s="74"/>
      <c r="N134" s="74" t="s">
        <v>602</v>
      </c>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69" t="str">
        <f t="shared" si="3"/>
        <v>PPneumatiques 235/75R17,5Réservoir carburant 130 litres côté droit avec réchauffeurRéservoir AdBlue 32 litres côté droitSuspension arrière pneumatiqueFreinage EBSGSR II (General Safety Regulation)Témoins de desserage des rouesSans roue de secoursBruiteur de marche arrière cri du lynx non déconnectable</v>
      </c>
    </row>
    <row r="135" spans="1:45" ht="33.75" outlineLevel="1" x14ac:dyDescent="0.25">
      <c r="A135" s="64" t="s">
        <v>2916</v>
      </c>
      <c r="B135" s="64" t="s">
        <v>424</v>
      </c>
      <c r="C135" s="74"/>
      <c r="D135" s="74" t="s">
        <v>1063</v>
      </c>
      <c r="E135" s="74" t="s">
        <v>753</v>
      </c>
      <c r="F135" s="74" t="s">
        <v>754</v>
      </c>
      <c r="G135" s="74"/>
      <c r="H135" s="74" t="s">
        <v>610</v>
      </c>
      <c r="I135" s="74" t="s">
        <v>604</v>
      </c>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69" t="str">
        <f t="shared" si="3"/>
        <v>OBlocage de différentiel (-8 kg CU)Chaînage automatique (-40 kg CU)Ralentisseur TELMA (-236 kg CU)Pneumatiques montagne train arrièrePneumatiques montagne trains avant et arrière</v>
      </c>
    </row>
    <row r="136" spans="1:45" ht="33.75" outlineLevel="1" x14ac:dyDescent="0.25">
      <c r="A136" s="64" t="s">
        <v>2953</v>
      </c>
      <c r="B136" s="64" t="s">
        <v>32</v>
      </c>
      <c r="C136" s="74" t="s">
        <v>596</v>
      </c>
      <c r="D136" s="74" t="s">
        <v>597</v>
      </c>
      <c r="E136" s="74" t="s">
        <v>598</v>
      </c>
      <c r="F136" s="74"/>
      <c r="G136" s="74"/>
      <c r="H136" s="182" t="s">
        <v>599</v>
      </c>
      <c r="I136" s="74"/>
      <c r="J136" s="74" t="s">
        <v>600</v>
      </c>
      <c r="K136" s="74"/>
      <c r="L136" s="74" t="s">
        <v>601</v>
      </c>
      <c r="M136" s="74"/>
      <c r="N136" s="74" t="s">
        <v>602</v>
      </c>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69" t="str">
        <f t="shared" si="3"/>
        <v>PPneumatiques 215/75R16Réservoir carburant 90 litres remplissage côté gaucheRéservoir AdBlue 19 litres remplissage côté gaucheSuspension arrière renforcée 4GMGSR II (General Safety Regulation)Roue de secoursBruiteur de marche arrière cri du lynx non déconnectable</v>
      </c>
    </row>
    <row r="137" spans="1:45" ht="33.75" outlineLevel="1" x14ac:dyDescent="0.25">
      <c r="A137" s="64" t="s">
        <v>2904</v>
      </c>
      <c r="B137" s="64" t="s">
        <v>424</v>
      </c>
      <c r="C137" s="74"/>
      <c r="D137" s="74"/>
      <c r="E137" s="74"/>
      <c r="F137" s="74"/>
      <c r="G137" s="74" t="s">
        <v>603</v>
      </c>
      <c r="H137" s="74"/>
      <c r="I137" s="74" t="s">
        <v>604</v>
      </c>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69" t="str">
        <f t="shared" si="3"/>
        <v>OPneumatiques montagne train avantPneumatiques montagne trains avant et arrière</v>
      </c>
    </row>
    <row r="138" spans="1:45" ht="33.75" outlineLevel="1" x14ac:dyDescent="0.25">
      <c r="A138" s="64" t="s">
        <v>2912</v>
      </c>
      <c r="B138" s="64" t="s">
        <v>424</v>
      </c>
      <c r="C138" s="74"/>
      <c r="D138" s="74"/>
      <c r="E138" s="74"/>
      <c r="F138" s="74"/>
      <c r="G138" s="74"/>
      <c r="H138" s="74" t="s">
        <v>610</v>
      </c>
      <c r="I138" s="74" t="s">
        <v>604</v>
      </c>
      <c r="J138" s="74" t="s">
        <v>615</v>
      </c>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69" t="str">
        <f t="shared" si="3"/>
        <v>OPneumatiques montagne train arrièrePneumatiques montagne trains avant et arrièreSuspension arrière pneumatique (-30 kg CU)</v>
      </c>
    </row>
    <row r="139" spans="1:45" ht="33.75" outlineLevel="1" x14ac:dyDescent="0.25">
      <c r="A139" s="64" t="s">
        <v>2955</v>
      </c>
      <c r="B139" s="64" t="s">
        <v>32</v>
      </c>
      <c r="C139" s="74" t="s">
        <v>616</v>
      </c>
      <c r="D139" s="74" t="s">
        <v>617</v>
      </c>
      <c r="E139" s="74" t="s">
        <v>618</v>
      </c>
      <c r="F139" s="74"/>
      <c r="G139" s="74"/>
      <c r="H139" s="74" t="s">
        <v>619</v>
      </c>
      <c r="I139" s="74" t="s">
        <v>620</v>
      </c>
      <c r="J139" s="74" t="s">
        <v>600</v>
      </c>
      <c r="K139" s="74" t="s">
        <v>613</v>
      </c>
      <c r="L139" s="74" t="s">
        <v>609</v>
      </c>
      <c r="M139" s="74"/>
      <c r="N139" s="74" t="s">
        <v>602</v>
      </c>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69" t="str">
        <f t="shared" si="3"/>
        <v>PPneumatiques 235/75R17,5Réservoir carburant 215 litres côté droit avec réchauffeurRéservoir AdBlue 32 litres côté droitSuspension arrière pneumatiqueFreinage EBSGSR II (General Safety Regulation)Témoins de desserage des rouesSans roue de secoursBruiteur de marche arrière cri du lynx non déconnectable</v>
      </c>
    </row>
    <row r="140" spans="1:45" ht="33.75" outlineLevel="1" x14ac:dyDescent="0.25">
      <c r="A140" s="64" t="s">
        <v>2959</v>
      </c>
      <c r="B140" s="64" t="s">
        <v>32</v>
      </c>
      <c r="C140" s="74" t="s">
        <v>622</v>
      </c>
      <c r="D140" s="74" t="s">
        <v>623</v>
      </c>
      <c r="E140" s="74" t="s">
        <v>624</v>
      </c>
      <c r="F140" s="74"/>
      <c r="G140" s="74"/>
      <c r="H140" s="74" t="s">
        <v>619</v>
      </c>
      <c r="I140" s="74" t="s">
        <v>620</v>
      </c>
      <c r="J140" s="74" t="s">
        <v>600</v>
      </c>
      <c r="K140" s="74" t="s">
        <v>613</v>
      </c>
      <c r="L140" s="74" t="s">
        <v>614</v>
      </c>
      <c r="M140" s="74"/>
      <c r="N140" s="74" t="s">
        <v>602</v>
      </c>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69" t="str">
        <f t="shared" si="3"/>
        <v>PPneumatiques 225/75R17,5Réservoir carburant 200 litres côté droit avec réchauffeurRéservoir AdBlue 30 litres côté droitSuspension arrière pneumatiqueFreinage EBSGSR II (General Safety Regulation)Témoins de desserage des rouesAvec roue de secoursBruiteur de marche arrière cri du lynx non déconnectable</v>
      </c>
    </row>
    <row r="141" spans="1:45" outlineLevel="1" x14ac:dyDescent="0.25">
      <c r="A141" s="64" t="s">
        <v>2902</v>
      </c>
      <c r="B141" s="64" t="s">
        <v>424</v>
      </c>
      <c r="C141" s="74" t="s">
        <v>1035</v>
      </c>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69" t="str">
        <f t="shared" si="3"/>
        <v>OSans option</v>
      </c>
    </row>
    <row r="142" spans="1:45" ht="33.75" outlineLevel="1" x14ac:dyDescent="0.25">
      <c r="A142" s="64" t="s">
        <v>2943</v>
      </c>
      <c r="B142" s="64" t="s">
        <v>32</v>
      </c>
      <c r="C142" s="74" t="s">
        <v>611</v>
      </c>
      <c r="D142" s="74" t="s">
        <v>612</v>
      </c>
      <c r="E142" s="74" t="s">
        <v>607</v>
      </c>
      <c r="F142" s="74"/>
      <c r="G142" s="74"/>
      <c r="H142" s="74" t="s">
        <v>1062</v>
      </c>
      <c r="I142" s="74"/>
      <c r="J142" s="74" t="s">
        <v>600</v>
      </c>
      <c r="K142" s="74" t="s">
        <v>613</v>
      </c>
      <c r="L142" s="74" t="s">
        <v>614</v>
      </c>
      <c r="M142" s="74"/>
      <c r="N142" s="74" t="s">
        <v>602</v>
      </c>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69" t="str">
        <f t="shared" si="3"/>
        <v>PPneumatiques 225/75R16Réservoir carburant 120 litres remplissage côté gaucheRéservoir AdBlue 20 litres remplissage côté gaucheSuspension arrière lamesGSR II (General Safety Regulation)Témoins de desserage des rouesAvec roue de secoursBruiteur de marche arrière cri du lynx non déconnectable</v>
      </c>
    </row>
    <row r="143" spans="1:45" outlineLevel="1" x14ac:dyDescent="0.25">
      <c r="A143" s="64" t="s">
        <v>2905</v>
      </c>
      <c r="B143" s="64" t="s">
        <v>424</v>
      </c>
      <c r="C143" s="74"/>
      <c r="D143" s="74"/>
      <c r="E143" s="74"/>
      <c r="F143" s="74"/>
      <c r="G143" s="74"/>
      <c r="H143" s="74"/>
      <c r="I143" s="74"/>
      <c r="J143" s="74"/>
      <c r="K143" s="74" t="s">
        <v>581</v>
      </c>
      <c r="L143" s="74" t="s">
        <v>582</v>
      </c>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69" t="str">
        <f t="shared" si="3"/>
        <v>OBridage 80 km/hBridage 85 km/h</v>
      </c>
    </row>
    <row r="144" spans="1:45" ht="33.75" outlineLevel="1" x14ac:dyDescent="0.25">
      <c r="A144" s="64" t="s">
        <v>2906</v>
      </c>
      <c r="B144" s="64" t="s">
        <v>424</v>
      </c>
      <c r="C144" s="74"/>
      <c r="D144" s="74"/>
      <c r="E144" s="74"/>
      <c r="F144" s="74"/>
      <c r="G144" s="74"/>
      <c r="H144" s="74"/>
      <c r="I144" s="74"/>
      <c r="J144" s="74"/>
      <c r="K144" s="74" t="s">
        <v>581</v>
      </c>
      <c r="L144" s="74" t="s">
        <v>582</v>
      </c>
      <c r="M144" s="74" t="s">
        <v>594</v>
      </c>
      <c r="N144" s="74"/>
      <c r="O144" s="74" t="s">
        <v>595</v>
      </c>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69" t="str">
        <f t="shared" si="3"/>
        <v>OBridage 80 km/hBridage 85 km/hMotorisation 4 cylindres 4485 cm3 - 210 ch.Motorisation 6 cylindres 6728 cm3 - 250 ch. (-150 kg CU)</v>
      </c>
    </row>
    <row r="145" spans="1:45" ht="33.75" outlineLevel="1" x14ac:dyDescent="0.25">
      <c r="A145" s="64" t="s">
        <v>2919</v>
      </c>
      <c r="B145" s="64" t="s">
        <v>424</v>
      </c>
      <c r="C145" s="74"/>
      <c r="D145" s="74"/>
      <c r="E145" s="74"/>
      <c r="F145" s="74"/>
      <c r="G145" s="74"/>
      <c r="H145" s="74"/>
      <c r="I145" s="74"/>
      <c r="J145" s="74"/>
      <c r="K145" s="74" t="s">
        <v>581</v>
      </c>
      <c r="L145" s="74" t="s">
        <v>582</v>
      </c>
      <c r="M145" s="74"/>
      <c r="N145" s="74"/>
      <c r="O145" s="74" t="s">
        <v>595</v>
      </c>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69" t="str">
        <f t="shared" si="3"/>
        <v>OBridage 80 km/hBridage 85 km/hMotorisation 6 cylindres 6728 cm3 - 250 ch. (-150 kg CU)</v>
      </c>
    </row>
    <row r="146" spans="1:45" ht="33.75" outlineLevel="1" x14ac:dyDescent="0.25">
      <c r="A146" s="64" t="s">
        <v>2908</v>
      </c>
      <c r="B146" s="64" t="s">
        <v>424</v>
      </c>
      <c r="C146" s="74"/>
      <c r="D146" s="74"/>
      <c r="E146" s="74"/>
      <c r="F146" s="74"/>
      <c r="G146" s="74"/>
      <c r="H146" s="74"/>
      <c r="I146" s="74"/>
      <c r="J146" s="74"/>
      <c r="K146" s="74" t="s">
        <v>581</v>
      </c>
      <c r="L146" s="74" t="s">
        <v>582</v>
      </c>
      <c r="M146" s="74"/>
      <c r="N146" s="74"/>
      <c r="O146" s="74" t="s">
        <v>970</v>
      </c>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69" t="str">
        <f t="shared" si="3"/>
        <v>OBridage 80 km/hBridage 85 km/hMotorisation 6 cylindres 6728 cm3 - 320 ch.</v>
      </c>
    </row>
    <row r="147" spans="1:45" ht="33.75" outlineLevel="1" x14ac:dyDescent="0.25">
      <c r="A147" s="64" t="s">
        <v>2956</v>
      </c>
      <c r="B147" s="64" t="s">
        <v>32</v>
      </c>
      <c r="C147" s="74" t="s">
        <v>752</v>
      </c>
      <c r="D147" s="74" t="s">
        <v>617</v>
      </c>
      <c r="E147" s="74" t="s">
        <v>618</v>
      </c>
      <c r="F147" s="74"/>
      <c r="G147" s="74"/>
      <c r="H147" s="74" t="s">
        <v>619</v>
      </c>
      <c r="I147" s="74" t="s">
        <v>620</v>
      </c>
      <c r="J147" s="74" t="s">
        <v>600</v>
      </c>
      <c r="K147" s="74" t="s">
        <v>613</v>
      </c>
      <c r="L147" s="74" t="s">
        <v>609</v>
      </c>
      <c r="M147" s="74"/>
      <c r="N147" s="74" t="s">
        <v>602</v>
      </c>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69" t="str">
        <f t="shared" ref="AS147:AS151" si="4">CONCATENATE(B147,C147,D147,E147,F147,G147,H147,I147,J147,K147,L147,M147,N147,O147,P147,Q147,R147,S147,T147,U147,V147,W147,X147,Y147,Z147,AA147,AB147,AC147,AD147,AE147,AF147,AG147,AH147,AI147,AJ147,AK147,AL147,AM147,AN147,AO147,AP147,AQ147,AR147)</f>
        <v>PPneumatiques 245/70R19,5Réservoir carburant 215 litres côté droit avec réchauffeurRéservoir AdBlue 32 litres côté droitSuspension arrière pneumatiqueFreinage EBSGSR II (General Safety Regulation)Témoins de desserage des rouesSans roue de secoursBruiteur de marche arrière cri du lynx non déconnectable</v>
      </c>
    </row>
    <row r="148" spans="1:45" ht="33.75" outlineLevel="1" x14ac:dyDescent="0.25">
      <c r="A148" s="64" t="s">
        <v>2918</v>
      </c>
      <c r="B148" s="64" t="s">
        <v>424</v>
      </c>
      <c r="C148" s="74"/>
      <c r="D148" s="74"/>
      <c r="E148" s="74"/>
      <c r="F148" s="74"/>
      <c r="G148" s="74"/>
      <c r="H148" s="74"/>
      <c r="I148" s="74"/>
      <c r="J148" s="74"/>
      <c r="K148" s="74" t="s">
        <v>581</v>
      </c>
      <c r="L148" s="74" t="s">
        <v>582</v>
      </c>
      <c r="M148" s="74" t="s">
        <v>588</v>
      </c>
      <c r="N148" s="74" t="s">
        <v>589</v>
      </c>
      <c r="O148" s="74" t="s">
        <v>751</v>
      </c>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69" t="str">
        <f t="shared" si="4"/>
        <v>OBridage 80 km/hBridage 85 km/hMotorisation 4 cylindres 5100 cm3 - 240 ch.Motorisation 4 cylindres 5100 cm3 - 240 ch. B100 ExclusifMotorisation 6 cylindres 7700 cm3 - 250 ch. (-195 kg CU)</v>
      </c>
    </row>
    <row r="149" spans="1:45" ht="33.75" outlineLevel="1" x14ac:dyDescent="0.25">
      <c r="A149" s="64" t="s">
        <v>2907</v>
      </c>
      <c r="B149" s="64" t="s">
        <v>424</v>
      </c>
      <c r="C149" s="74"/>
      <c r="D149" s="74"/>
      <c r="E149" s="74"/>
      <c r="F149" s="74"/>
      <c r="G149" s="74"/>
      <c r="H149" s="74"/>
      <c r="I149" s="74"/>
      <c r="J149" s="74"/>
      <c r="K149" s="74" t="s">
        <v>581</v>
      </c>
      <c r="L149" s="74" t="s">
        <v>582</v>
      </c>
      <c r="M149" s="74"/>
      <c r="N149" s="74"/>
      <c r="O149" s="74" t="s">
        <v>856</v>
      </c>
      <c r="P149" s="74" t="s">
        <v>857</v>
      </c>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69" t="str">
        <f t="shared" si="4"/>
        <v>OBridage 80 km/hBridage 85 km/hMotorisation 6 cylindres 7700 cm3 - 320 ch.Motorisation 6 cylindres 7700 cm3 - 320 ch. B100 Exclusif</v>
      </c>
    </row>
    <row r="150" spans="1:45" ht="33.75" outlineLevel="1" x14ac:dyDescent="0.25">
      <c r="A150" s="64" t="s">
        <v>2913</v>
      </c>
      <c r="B150" s="64" t="s">
        <v>424</v>
      </c>
      <c r="C150" s="74"/>
      <c r="D150" s="74"/>
      <c r="E150" s="74"/>
      <c r="F150" s="74"/>
      <c r="G150" s="74"/>
      <c r="H150" s="74" t="s">
        <v>610</v>
      </c>
      <c r="I150" s="74" t="s">
        <v>604</v>
      </c>
      <c r="J150" s="74" t="s">
        <v>619</v>
      </c>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69" t="str">
        <f t="shared" si="4"/>
        <v>OPneumatiques montagne train arrièrePneumatiques montagne trains avant et arrièreSuspension arrière pneumatique</v>
      </c>
    </row>
    <row r="151" spans="1:45" ht="33.75" outlineLevel="1" x14ac:dyDescent="0.25">
      <c r="A151" s="64" t="s">
        <v>2917</v>
      </c>
      <c r="B151" s="64" t="s">
        <v>424</v>
      </c>
      <c r="C151" s="74"/>
      <c r="D151" s="74" t="s">
        <v>1063</v>
      </c>
      <c r="E151" s="74" t="s">
        <v>753</v>
      </c>
      <c r="F151" s="74" t="s">
        <v>1064</v>
      </c>
      <c r="G151" s="74"/>
      <c r="H151" s="74" t="s">
        <v>610</v>
      </c>
      <c r="I151" s="74" t="s">
        <v>604</v>
      </c>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69" t="str">
        <f t="shared" si="4"/>
        <v>OBlocage de différentiel (-8 kg CU)Chaînage automatique (-40 kg CU)Ralentisseur TELMA (-270 kg CU)Pneumatiques montagne train arrièrePneumatiques montagne trains avant et arrière</v>
      </c>
    </row>
  </sheetData>
  <autoFilter ref="A1:AW151" xr:uid="{F2B8D9C9-2734-4086-8A91-8189F9B44FDB}"/>
  <conditionalFormatting sqref="A114">
    <cfRule type="duplicateValues" dxfId="15" priority="2"/>
  </conditionalFormatting>
  <conditionalFormatting sqref="A115">
    <cfRule type="duplicateValues" dxfId="14" priority="1"/>
  </conditionalFormatting>
  <conditionalFormatting sqref="A116:A1048576 A1:A113">
    <cfRule type="duplicateValues" dxfId="13" priority="4072"/>
  </conditionalFormatting>
  <conditionalFormatting sqref="AS116:AS1048576 AS1:AS113">
    <cfRule type="duplicateValues" dxfId="12" priority="32"/>
  </conditionalFormatting>
  <pageMargins left="0.70866141732283472" right="0.70866141732283472" top="0.74803149606299213" bottom="0.74803149606299213" header="0.31496062992125984" footer="0.31496062992125984"/>
  <pageSetup paperSize="9" scale="1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0F2A-2FE3-48A7-89C2-811C9FA06292}">
  <sheetPr>
    <pageSetUpPr fitToPage="1"/>
  </sheetPr>
  <dimension ref="A1:DW325"/>
  <sheetViews>
    <sheetView showGridLines="0" zoomScale="85" zoomScaleNormal="85" workbookViewId="0">
      <pane xSplit="2" ySplit="1" topLeftCell="C185" activePane="bottomRight" state="frozen"/>
      <selection pane="topRight" activeCell="C1" sqref="C1"/>
      <selection pane="bottomLeft" activeCell="A2" sqref="A2"/>
      <selection pane="bottomRight" activeCell="A214" sqref="A214:XFD214"/>
    </sheetView>
  </sheetViews>
  <sheetFormatPr baseColWidth="10" defaultColWidth="20.7109375" defaultRowHeight="11.25" outlineLevelRow="1" outlineLevelCol="1" x14ac:dyDescent="0.25"/>
  <cols>
    <col min="1" max="1" width="30.7109375" style="139" customWidth="1"/>
    <col min="2" max="2" width="17" style="139" customWidth="1"/>
    <col min="3" max="3" width="29.42578125" style="139" customWidth="1"/>
    <col min="4" max="4" width="28.5703125" style="139" customWidth="1"/>
    <col min="5" max="5" width="32.7109375" style="139" customWidth="1"/>
    <col min="6" max="6" width="30.28515625" style="139" customWidth="1" outlineLevel="1"/>
    <col min="7" max="7" width="25.28515625" style="139" customWidth="1" outlineLevel="1"/>
    <col min="8" max="8" width="27.5703125" style="139" customWidth="1"/>
    <col min="9" max="9" width="24.85546875" style="139" customWidth="1" outlineLevel="1"/>
    <col min="10" max="10" width="33.28515625" style="139" customWidth="1"/>
    <col min="11" max="11" width="26.7109375" style="139" customWidth="1"/>
    <col min="12" max="12" width="31.7109375" style="139" customWidth="1"/>
    <col min="13" max="13" width="32.7109375" style="139" customWidth="1" outlineLevel="1"/>
    <col min="14" max="14" width="25.42578125" style="139" customWidth="1"/>
    <col min="15" max="15" width="20.7109375" style="139" customWidth="1" outlineLevel="1"/>
    <col min="16" max="16" width="28.5703125" style="139" customWidth="1" outlineLevel="1"/>
    <col min="17" max="17" width="25.7109375" style="139" customWidth="1" outlineLevel="1"/>
    <col min="18" max="18" width="22.5703125" style="139" customWidth="1" outlineLevel="1"/>
    <col min="19" max="19" width="30.5703125" style="139" customWidth="1" outlineLevel="1"/>
    <col min="20" max="20" width="27" style="139" customWidth="1" outlineLevel="1"/>
    <col min="21" max="21" width="20.7109375" style="139" customWidth="1" outlineLevel="1"/>
    <col min="22" max="22" width="23.28515625" style="139" customWidth="1" outlineLevel="1"/>
    <col min="23" max="30" width="20.7109375" style="139" customWidth="1" outlineLevel="1"/>
    <col min="31" max="31" width="31.42578125" style="139" customWidth="1"/>
    <col min="32" max="32" width="29.28515625" style="139" customWidth="1"/>
    <col min="33" max="33" width="20.7109375" style="139" customWidth="1"/>
    <col min="34" max="35" width="28.5703125" style="139" customWidth="1"/>
    <col min="36" max="36" width="27.7109375" style="139" customWidth="1"/>
    <col min="37" max="37" width="20.7109375" style="139" customWidth="1"/>
    <col min="38" max="42" width="20.7109375" style="139" customWidth="1" outlineLevel="1"/>
    <col min="43" max="43" width="22.85546875" style="139" customWidth="1" outlineLevel="1"/>
    <col min="44" max="49" width="20.7109375" style="139" customWidth="1" outlineLevel="1"/>
    <col min="50" max="50" width="20.7109375" style="139"/>
    <col min="51" max="51" width="20.7109375" style="139" customWidth="1" outlineLevel="1"/>
    <col min="52" max="52" width="24.28515625" style="139" customWidth="1"/>
    <col min="53" max="53" width="20.7109375" style="139"/>
    <col min="54" max="54" width="31.28515625" style="139" customWidth="1" outlineLevel="1"/>
    <col min="55" max="55" width="21" style="125" customWidth="1"/>
    <col min="56" max="56" width="26.7109375" style="125" customWidth="1"/>
    <col min="57" max="74" width="20.7109375" style="125"/>
    <col min="75" max="75" width="95.140625" style="139" customWidth="1"/>
    <col min="76" max="83" width="20.7109375" style="125"/>
    <col min="84" max="16384" width="20.7109375" style="139"/>
  </cols>
  <sheetData>
    <row r="1" spans="1:75" s="169" customFormat="1" ht="49.9" customHeight="1" x14ac:dyDescent="0.25">
      <c r="A1" s="140" t="s">
        <v>2995</v>
      </c>
      <c r="B1" s="140" t="s">
        <v>2683</v>
      </c>
      <c r="C1" s="140" t="s">
        <v>3000</v>
      </c>
      <c r="D1" s="140" t="s">
        <v>3001</v>
      </c>
      <c r="E1" s="140" t="s">
        <v>3002</v>
      </c>
      <c r="F1" s="140" t="s">
        <v>3003</v>
      </c>
      <c r="G1" s="140" t="s">
        <v>3004</v>
      </c>
      <c r="H1" s="140" t="s">
        <v>3005</v>
      </c>
      <c r="I1" s="140" t="s">
        <v>3006</v>
      </c>
      <c r="J1" s="140" t="s">
        <v>3009</v>
      </c>
      <c r="K1" s="140" t="s">
        <v>3008</v>
      </c>
      <c r="L1" s="140" t="s">
        <v>3007</v>
      </c>
      <c r="M1" s="140" t="s">
        <v>3010</v>
      </c>
      <c r="N1" s="140" t="s">
        <v>3011</v>
      </c>
      <c r="O1" s="140" t="s">
        <v>3012</v>
      </c>
      <c r="P1" s="140" t="s">
        <v>3013</v>
      </c>
      <c r="Q1" s="140" t="s">
        <v>3014</v>
      </c>
      <c r="R1" s="140" t="s">
        <v>3015</v>
      </c>
      <c r="S1" s="140" t="s">
        <v>3016</v>
      </c>
      <c r="T1" s="140" t="s">
        <v>3017</v>
      </c>
      <c r="U1" s="140" t="s">
        <v>3018</v>
      </c>
      <c r="V1" s="140" t="s">
        <v>3020</v>
      </c>
      <c r="W1" s="140" t="s">
        <v>3021</v>
      </c>
      <c r="X1" s="140" t="s">
        <v>3022</v>
      </c>
      <c r="Y1" s="140" t="s">
        <v>3023</v>
      </c>
      <c r="Z1" s="140" t="s">
        <v>3019</v>
      </c>
      <c r="AA1" s="140" t="s">
        <v>3025</v>
      </c>
      <c r="AB1" s="140" t="s">
        <v>3024</v>
      </c>
      <c r="AC1" s="140" t="s">
        <v>3027</v>
      </c>
      <c r="AD1" s="140" t="s">
        <v>3028</v>
      </c>
      <c r="AE1" s="140" t="s">
        <v>3029</v>
      </c>
      <c r="AF1" s="140" t="s">
        <v>3030</v>
      </c>
      <c r="AG1" s="140" t="s">
        <v>3031</v>
      </c>
      <c r="AH1" s="130" t="s">
        <v>3032</v>
      </c>
      <c r="AI1" s="130" t="s">
        <v>3034</v>
      </c>
      <c r="AJ1" s="130" t="s">
        <v>3033</v>
      </c>
      <c r="AK1" s="130" t="s">
        <v>3035</v>
      </c>
      <c r="AL1" s="130" t="s">
        <v>3036</v>
      </c>
      <c r="AM1" s="130" t="s">
        <v>3037</v>
      </c>
      <c r="AN1" s="130" t="s">
        <v>3038</v>
      </c>
      <c r="AO1" s="129" t="s">
        <v>3039</v>
      </c>
      <c r="AP1" s="129" t="s">
        <v>3040</v>
      </c>
      <c r="AQ1" s="129" t="s">
        <v>3041</v>
      </c>
      <c r="AR1" s="129" t="s">
        <v>3042</v>
      </c>
      <c r="AS1" s="129" t="s">
        <v>3043</v>
      </c>
      <c r="AT1" s="129" t="s">
        <v>3044</v>
      </c>
      <c r="AU1" s="129" t="s">
        <v>3045</v>
      </c>
      <c r="AV1" s="129" t="s">
        <v>3046</v>
      </c>
      <c r="AW1" s="129" t="s">
        <v>3047</v>
      </c>
      <c r="AX1" s="129" t="s">
        <v>3048</v>
      </c>
      <c r="AY1" s="129" t="s">
        <v>3049</v>
      </c>
      <c r="AZ1" s="129" t="s">
        <v>3050</v>
      </c>
      <c r="BA1" s="129" t="s">
        <v>3051</v>
      </c>
      <c r="BB1" s="140" t="s">
        <v>3052</v>
      </c>
      <c r="BC1" s="129" t="s">
        <v>3053</v>
      </c>
      <c r="BD1" s="129" t="s">
        <v>3054</v>
      </c>
      <c r="BE1" s="129" t="s">
        <v>3055</v>
      </c>
      <c r="BF1" s="129" t="s">
        <v>3056</v>
      </c>
      <c r="BG1" s="129" t="s">
        <v>3057</v>
      </c>
      <c r="BH1" s="129" t="s">
        <v>3058</v>
      </c>
      <c r="BI1" s="129" t="s">
        <v>3059</v>
      </c>
      <c r="BJ1" s="129" t="s">
        <v>3060</v>
      </c>
      <c r="BK1" s="129" t="s">
        <v>3061</v>
      </c>
      <c r="BL1" s="129" t="s">
        <v>3062</v>
      </c>
      <c r="BM1" s="129" t="s">
        <v>3063</v>
      </c>
      <c r="BN1" s="129" t="s">
        <v>3064</v>
      </c>
      <c r="BO1" s="129" t="s">
        <v>3165</v>
      </c>
      <c r="BP1" s="129" t="s">
        <v>3190</v>
      </c>
      <c r="BQ1" s="129" t="s">
        <v>3189</v>
      </c>
      <c r="BR1" s="129" t="s">
        <v>3065</v>
      </c>
      <c r="BS1" s="129" t="s">
        <v>3066</v>
      </c>
      <c r="BT1" s="129" t="s">
        <v>3067</v>
      </c>
      <c r="BU1" s="129" t="s">
        <v>3068</v>
      </c>
      <c r="BV1" s="129" t="s">
        <v>3069</v>
      </c>
      <c r="BW1" s="128" t="str">
        <f>CONCATENATE(B1,C1,D1,E1,F1,G1,H1,I1,J1,K1,L1,M1,N1,O1,P1,Q1,R1,S1,T1,U1,V1,W1,X1,Y1,Z1,AA1,AB1,AC1,AD1,AE1,AF1,AG1,AH1,AI1,AJ1,AK1,AL1,AM1,AN1,AO1,AP1,AQ1,AR1,AS1,AT1,AU1,AV1,AW1,AX1,AY1,AZ1,BA1,BC1,BD1,BE1,BF1,BG1,BH1,BI1,BJ1,BK1,BL1,BM1,BN1,BO1,BP1,BQ1,BR1,BS1,BT1,BU1,BV1,)</f>
        <v>Produit (P)
Produit (P) 
/ Option (O)Type isolation / parois
Type isolation / parois
Sans optionNb et dimensions portes arrières
Cadre arrière
Cadre arrièreNb et dimensions portes latérales
Nbre crémone
Rideau Ar relevableAccès arrière
Type Fermeture
Label PIEKAccès latéral
Arrêts de portes arrière 1
Porte latérale coulissanteType plancher
Arrêts de portes arrière 2
Porte latérale double battantsNb siphons  / faux chassis
Déverrouillage interne
Plancher contreplaquéNb plafonniers
Poignée montoire
niveau de rail d'arrimagePlancher supplémentaire
Rideau d'air arrière
rail d'arrimage spécial rollsNb et position rail d'arrimage
Accès arrière
Poignée spécial rollsSystème de penderie à viande
Plaque acier galvanisée 150 mm x 150
Phares de travail (Easy Acc'Air / hayon)Type cloison
Porte latérale AV droit
Phares de travail (porte arrière)Type rideau
Porte latérale AV gauche
Coffre rallonge Protection portes
Rideaux portes latérales
1 niveau d'étagèreDoublage parois
Etrier latéral
3 niveaux d'étagèresDoublage passage de roues
Arrêts de portes latéraux
Hauteur intérieure 2700 mmProtection parois
Sangles montoire porte lat
Hauteur intérieure 2800 mmProtection parois supplémentaires
Profil face avant aérodynamique
Cloison mobile 1/2 - 1/2Protection évaporateur
Déflecteur de cabine
Cloison mobile 1/3 DR - 2/3 GAProtection entrée arrière
Hauteur de passage
Cloison mobile 1/3 GA - 2/3 DRType cadre arrière
Traverse de renfort
NAExtincteur
Tôles acier verticales
NANB gaines de ventilation
Type Pavillon
NACoffre à outils
Faux châssis
NABoite à documents
-
NATubes
AMENAGEMENTS : 
NACapitons
Revêtement ext. et int. parois
NACapucine
Renfort ext. face avant 
NAPavillon
Cloison longitudinale
NAAérateurs
Cloison tranversale
NAGrilles d'aération
Nbre Palette
NACarénage de groupe
Porte pivotante dans cloison
NADéflecteur de cabine
Protections bas de parois acier / alu
NAzone libre 2
Protection bas de parois contreplaqué
NAzone libre 3
Niveaux de rails 1
NAzone libre 4
Niveaux de rails 2
NAzone libre 5
Poignée arrimage rolls
NAzone libre 6
Sangles d'arrimage
NAzone libre 7
Poutres alu
NAzone libre 8
Type Plancher
NAzone libre 9
Plancher 2
NAzone libre 10
Nbr Siphon
NAzone libre 11
Platelage
NAzone libre 12
Rails verticaux
NAzone libre 13
Nbre poutre
NAzone libre 14
Buse de diffusion d'air 
NAzone libre 15
Nbre plafonnier
NAzone libre 16
Traverse arrière renforcée
NAzone libre 17
Coffre à outils
NAzone libre 18
Coffre ral. électrique / document
NAzone libre 19
Extincteur
NAzone libre 21
Protection évaporateur AR
NAzone libre 22
Plage et échelle
NAzone libre 23
Ailes plastiques
NAzone libre 24
Pares cyclistes
NAzone libre 25
Feu stop en haut de cadre
NAzone libre 26
Feux de gabarits
NAzone libre 27
Phares de travail
NAzone libre 28
Feux de recul supplémentaires
NAzone libre 29
Caméra de recul
NAzone libre 30
Déflecteur de cabine
NAzone libre 31
Guides lat. protection hayon
NAzone libre 32
Flèche de couleur rouge
NAzone libre 33
Rails encastrés verticaux
NAzone libre 34
Poutres alu double plancher
NAzone libre 35
Télématique
NAzone libre 36
NA
NAzone libre 37
NA
NAzone libre 38
NA
NAzone libre 39
NA
NAzone libre 40
NA
NA</v>
      </c>
    </row>
    <row r="2" spans="1:75" s="68" customFormat="1" x14ac:dyDescent="0.25">
      <c r="A2" s="64" t="s">
        <v>4196</v>
      </c>
      <c r="B2" s="64" t="s">
        <v>424</v>
      </c>
      <c r="C2" s="64" t="s">
        <v>1035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134"/>
      <c r="BD2" s="134"/>
      <c r="BE2" s="134"/>
      <c r="BF2" s="134"/>
      <c r="BG2" s="134"/>
      <c r="BH2" s="134"/>
      <c r="BI2" s="134"/>
      <c r="BJ2" s="134"/>
      <c r="BK2" s="134"/>
      <c r="BL2" s="134"/>
      <c r="BM2" s="134"/>
      <c r="BN2" s="134"/>
      <c r="BO2" s="134"/>
      <c r="BP2" s="134"/>
      <c r="BQ2" s="134"/>
      <c r="BR2" s="134"/>
      <c r="BS2" s="134"/>
      <c r="BT2" s="134"/>
      <c r="BU2" s="134"/>
      <c r="BV2" s="134"/>
      <c r="BW2" s="131" t="str">
        <f t="shared" ref="BW2:BW65" si="0">CONCATENATE(B2,C2,D2,E2,F2,G2,H2,I2,J2,K2,L2,M2,N2,O2,P2,Q2,R2,S2,T2,U2,V2,W2,X2,Y2,Z2,AA2,AB2,AC2,AD2,AE2,AF2,AG2,AH2,AI2,AJ2,AK2,AL2,AM2,AN2,AO2,AP2,AQ2,AR2,AS2,AT2,AU2,AV2,AW2,AX2,AY2,AZ2,BA2,BC2,BD2,BE2,BF2,BG2,BH2,BI2,BJ2,BK2,BL2,BM2,BN2,BO2,BP2,BQ2,BR2,BS2,BT2,BU2,BV2,)</f>
        <v>OSans option</v>
      </c>
    </row>
    <row r="3" spans="1:75" s="68" customFormat="1" ht="33.75" outlineLevel="1" x14ac:dyDescent="0.25">
      <c r="A3" s="69" t="s">
        <v>39</v>
      </c>
      <c r="B3" s="64" t="s">
        <v>32</v>
      </c>
      <c r="C3" s="64" t="s">
        <v>1831</v>
      </c>
      <c r="D3" s="64" t="s">
        <v>1832</v>
      </c>
      <c r="E3" s="64"/>
      <c r="F3" s="64" t="s">
        <v>1833</v>
      </c>
      <c r="G3" s="64"/>
      <c r="H3" s="64" t="s">
        <v>1834</v>
      </c>
      <c r="I3" s="64"/>
      <c r="J3" s="64" t="s">
        <v>1835</v>
      </c>
      <c r="K3" s="64"/>
      <c r="L3" s="64" t="s">
        <v>3792</v>
      </c>
      <c r="M3" s="64"/>
      <c r="N3" s="64"/>
      <c r="O3" s="64"/>
      <c r="P3" s="64"/>
      <c r="Q3" s="64"/>
      <c r="R3" s="64"/>
      <c r="S3" s="64" t="s">
        <v>1837</v>
      </c>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9"/>
      <c r="BA3" s="64"/>
      <c r="BB3" s="64"/>
      <c r="BC3" s="134"/>
      <c r="BD3" s="134"/>
      <c r="BE3" s="134"/>
      <c r="BF3" s="134"/>
      <c r="BG3" s="134"/>
      <c r="BH3" s="134"/>
      <c r="BI3" s="134"/>
      <c r="BJ3" s="134"/>
      <c r="BK3" s="134"/>
      <c r="BL3" s="134"/>
      <c r="BM3" s="134"/>
      <c r="BN3" s="134"/>
      <c r="BO3" s="134"/>
      <c r="BP3" s="134"/>
      <c r="BQ3" s="134"/>
      <c r="BR3" s="134"/>
      <c r="BS3" s="134"/>
      <c r="BT3" s="134"/>
      <c r="BU3" s="134"/>
      <c r="BV3" s="134"/>
      <c r="BW3" s="131" t="str">
        <f t="shared" si="0"/>
        <v>PIsolation renforcée LECAPITAINE2 portes arrière ouverture totale (porte droite prioritaire)Escabeau arrière coulissant 3 marchesPlancher : Antidérapant sans passages de roues avec 2 siphons d'évacuation2 plafonniers à LED avec temporisation1 niveau de rail d'arrimage en acier galvanisé D + G à 1100 mm du plancher (-14 mm de largeur utile) Protection bas de parois sur 445 mm de haut</v>
      </c>
    </row>
    <row r="4" spans="1:75" s="68" customFormat="1" ht="56.25" outlineLevel="1" x14ac:dyDescent="0.25">
      <c r="A4" s="69" t="s">
        <v>150</v>
      </c>
      <c r="B4" s="64" t="s">
        <v>32</v>
      </c>
      <c r="C4" s="64" t="s">
        <v>1831</v>
      </c>
      <c r="D4" s="64" t="s">
        <v>1832</v>
      </c>
      <c r="E4" s="64" t="s">
        <v>1839</v>
      </c>
      <c r="F4" s="64" t="s">
        <v>1833</v>
      </c>
      <c r="G4" s="64" t="s">
        <v>1840</v>
      </c>
      <c r="H4" s="64" t="s">
        <v>1834</v>
      </c>
      <c r="I4" s="64"/>
      <c r="J4" s="64" t="s">
        <v>1835</v>
      </c>
      <c r="K4" s="64"/>
      <c r="L4" s="64" t="s">
        <v>3792</v>
      </c>
      <c r="M4" s="64"/>
      <c r="N4" s="64"/>
      <c r="O4" s="64"/>
      <c r="P4" s="64"/>
      <c r="Q4" s="64"/>
      <c r="R4" s="64"/>
      <c r="S4" s="64" t="s">
        <v>1845</v>
      </c>
      <c r="T4" s="64"/>
      <c r="U4" s="64"/>
      <c r="V4" s="64"/>
      <c r="W4" s="64" t="s">
        <v>1846</v>
      </c>
      <c r="X4" s="64"/>
      <c r="Y4" s="64"/>
      <c r="Z4" s="64"/>
      <c r="AA4" s="64"/>
      <c r="AB4" s="64"/>
      <c r="AC4" s="64"/>
      <c r="AD4" s="64"/>
      <c r="AE4" s="64"/>
      <c r="AF4" s="64"/>
      <c r="AG4" s="64"/>
      <c r="AH4" s="64"/>
      <c r="AI4" s="64"/>
      <c r="AJ4" s="64"/>
      <c r="AK4" s="64"/>
      <c r="AL4" s="64"/>
      <c r="AM4" s="64"/>
      <c r="AN4" s="64"/>
      <c r="AO4" s="64"/>
      <c r="AP4" s="64"/>
      <c r="AQ4" s="64"/>
      <c r="AR4" s="64"/>
      <c r="AS4" s="64"/>
      <c r="AT4" s="64"/>
      <c r="AU4" s="64"/>
      <c r="AV4" s="70"/>
      <c r="AW4" s="64"/>
      <c r="AX4" s="64"/>
      <c r="AY4" s="64"/>
      <c r="AZ4" s="64"/>
      <c r="BA4" s="64"/>
      <c r="BB4" s="64"/>
      <c r="BC4" s="134"/>
      <c r="BD4" s="134"/>
      <c r="BE4" s="134"/>
      <c r="BF4" s="134"/>
      <c r="BG4" s="134"/>
      <c r="BH4" s="134"/>
      <c r="BI4" s="134"/>
      <c r="BJ4" s="134"/>
      <c r="BK4" s="134"/>
      <c r="BL4" s="134"/>
      <c r="BM4" s="134"/>
      <c r="BN4" s="134"/>
      <c r="BO4" s="134"/>
      <c r="BP4" s="134"/>
      <c r="BQ4" s="134"/>
      <c r="BR4" s="134"/>
      <c r="BS4" s="134"/>
      <c r="BT4" s="134"/>
      <c r="BU4" s="134"/>
      <c r="BV4" s="134"/>
      <c r="BW4" s="131" t="str">
        <f t="shared" si="0"/>
        <v>PIsolation renforcée LECAPITAINE2 portes arrière ouverture totale (porte droite prioritaire)Porte latérale battante 1000 mm x 1950 mm à 105 mm à l'avant droitEscabeau arrière coulissant 3 marchesEtrier latéral escamotable 3 marches avec buzzer en cabinePlancher : Antidérapant sans passages de roues avec 2 siphons d'évacuation2 plafonniers à LED avec temporisation1 niveau de rail d'arrimage en acier galvanisé D + G à 1100 mm du plancher (-14 mm de largeur utile) Protection bas de parois latérale en inox de 450 mm de haut et face avant en inox de 455 mm de hautCadre arrière renforcé avec butoirs à rouleaux</v>
      </c>
    </row>
    <row r="5" spans="1:75" s="68" customFormat="1" ht="67.5" outlineLevel="1" x14ac:dyDescent="0.25">
      <c r="A5" s="69" t="s">
        <v>153</v>
      </c>
      <c r="B5" s="64" t="s">
        <v>32</v>
      </c>
      <c r="C5" s="64" t="s">
        <v>1831</v>
      </c>
      <c r="D5" s="64" t="s">
        <v>1832</v>
      </c>
      <c r="E5" s="64" t="s">
        <v>1839</v>
      </c>
      <c r="F5" s="64" t="s">
        <v>1833</v>
      </c>
      <c r="G5" s="64" t="s">
        <v>1840</v>
      </c>
      <c r="H5" s="64" t="s">
        <v>1834</v>
      </c>
      <c r="I5" s="64"/>
      <c r="J5" s="64" t="s">
        <v>1835</v>
      </c>
      <c r="K5" s="64"/>
      <c r="L5" s="64" t="s">
        <v>3792</v>
      </c>
      <c r="M5" s="64"/>
      <c r="N5" s="64" t="s">
        <v>1841</v>
      </c>
      <c r="O5" s="64" t="s">
        <v>1842</v>
      </c>
      <c r="P5" s="64"/>
      <c r="Q5" s="64"/>
      <c r="R5" s="64"/>
      <c r="S5" s="64" t="s">
        <v>1845</v>
      </c>
      <c r="T5" s="64"/>
      <c r="U5" s="64" t="s">
        <v>1843</v>
      </c>
      <c r="V5" s="64"/>
      <c r="W5" s="64" t="s">
        <v>1846</v>
      </c>
      <c r="X5" s="64"/>
      <c r="Y5" s="64"/>
      <c r="Z5" s="64"/>
      <c r="AA5" s="64"/>
      <c r="AB5" s="64"/>
      <c r="AC5" s="64"/>
      <c r="AD5" s="64"/>
      <c r="AE5" s="64"/>
      <c r="AF5" s="64"/>
      <c r="AG5" s="64"/>
      <c r="AH5" s="64"/>
      <c r="AI5" s="64"/>
      <c r="AJ5" s="64"/>
      <c r="AK5" s="64"/>
      <c r="AL5" s="64"/>
      <c r="AM5" s="64"/>
      <c r="AN5" s="64"/>
      <c r="AO5" s="64"/>
      <c r="AP5" s="64"/>
      <c r="AQ5" s="70"/>
      <c r="AR5" s="64"/>
      <c r="AS5" s="64"/>
      <c r="AT5" s="64"/>
      <c r="AU5" s="64"/>
      <c r="AV5" s="64"/>
      <c r="AW5" s="64"/>
      <c r="AX5" s="64"/>
      <c r="AY5" s="64"/>
      <c r="AZ5" s="64"/>
      <c r="BA5" s="64"/>
      <c r="BB5" s="64"/>
      <c r="BC5" s="134"/>
      <c r="BD5" s="134"/>
      <c r="BE5" s="134"/>
      <c r="BF5" s="134"/>
      <c r="BG5" s="134"/>
      <c r="BH5" s="134"/>
      <c r="BI5" s="134"/>
      <c r="BJ5" s="134"/>
      <c r="BK5" s="134"/>
      <c r="BL5" s="134"/>
      <c r="BM5" s="134"/>
      <c r="BN5" s="134"/>
      <c r="BO5" s="134"/>
      <c r="BP5" s="134"/>
      <c r="BQ5" s="134"/>
      <c r="BR5" s="134"/>
      <c r="BS5" s="134"/>
      <c r="BT5" s="134"/>
      <c r="BU5" s="134"/>
      <c r="BV5" s="134"/>
      <c r="BW5" s="131" t="str">
        <f t="shared" si="0"/>
        <v>PIsolation renforcée LECAPITAINE2 portes arrière ouverture totale (porte droite prioritaire)Porte latérale battante 1000 mm x 1950 mm à 105 mm à l'avant droitEscabeau arrière coulissant 3 marchesEtrier latéral escamotable 3 marches avec buzzer en cabinePlancher : Antidérapant sans passages de roues avec 2 siphons d'évacuation2 plafonniers à LED avec temporisation1 niveau de rail d'arrimage en acier galvanisé D + G à 1100 mm du plancher (-14 mm de largeur utile) Cloison mobile relevable1 Rideau coulissant à lanières aux portes arrières et 1 rideau fixe à lanières à la porte latéraleProtection bas de parois latérale en inox de 450 mm de haut et face avant en inox de 455 mm de hautProtection évaporateur Av et ArCadre arrière renforcé avec butoirs à rouleaux</v>
      </c>
    </row>
    <row r="6" spans="1:75" s="96" customFormat="1" ht="67.5" outlineLevel="1" x14ac:dyDescent="0.25">
      <c r="A6" s="69" t="s">
        <v>155</v>
      </c>
      <c r="B6" s="64" t="s">
        <v>32</v>
      </c>
      <c r="C6" s="64" t="s">
        <v>1831</v>
      </c>
      <c r="D6" s="64" t="s">
        <v>1832</v>
      </c>
      <c r="E6" s="64" t="s">
        <v>1839</v>
      </c>
      <c r="F6" s="64" t="s">
        <v>1849</v>
      </c>
      <c r="G6" s="64" t="s">
        <v>1840</v>
      </c>
      <c r="H6" s="64" t="s">
        <v>1834</v>
      </c>
      <c r="I6" s="64"/>
      <c r="J6" s="64" t="s">
        <v>1848</v>
      </c>
      <c r="K6" s="64"/>
      <c r="L6" s="64" t="s">
        <v>3792</v>
      </c>
      <c r="M6" s="64"/>
      <c r="N6" s="64" t="s">
        <v>1841</v>
      </c>
      <c r="O6" s="64" t="s">
        <v>1842</v>
      </c>
      <c r="P6" s="64"/>
      <c r="Q6" s="64"/>
      <c r="R6" s="64"/>
      <c r="S6" s="64" t="s">
        <v>1845</v>
      </c>
      <c r="T6" s="64"/>
      <c r="U6" s="64" t="s">
        <v>1843</v>
      </c>
      <c r="V6" s="64"/>
      <c r="W6" s="64" t="s">
        <v>1846</v>
      </c>
      <c r="X6" s="64"/>
      <c r="Y6" s="64"/>
      <c r="Z6" s="64"/>
      <c r="AA6" s="64"/>
      <c r="AB6" s="64"/>
      <c r="AC6" s="64"/>
      <c r="AD6" s="64"/>
      <c r="AE6" s="64"/>
      <c r="AF6" s="64"/>
      <c r="AG6" s="64"/>
      <c r="AH6" s="64"/>
      <c r="AI6" s="64"/>
      <c r="AJ6" s="64"/>
      <c r="AK6" s="64"/>
      <c r="AL6" s="64"/>
      <c r="AM6" s="64"/>
      <c r="AN6" s="64"/>
      <c r="AO6" s="64"/>
      <c r="AP6" s="64"/>
      <c r="AQ6" s="70"/>
      <c r="AR6" s="64"/>
      <c r="AS6" s="64"/>
      <c r="AT6" s="64"/>
      <c r="AU6" s="64"/>
      <c r="AV6" s="70"/>
      <c r="AW6" s="64"/>
      <c r="AX6" s="64"/>
      <c r="AY6" s="64"/>
      <c r="AZ6" s="64"/>
      <c r="BA6" s="64"/>
      <c r="BB6" s="64"/>
      <c r="BC6" s="134"/>
      <c r="BD6" s="134"/>
      <c r="BE6" s="134"/>
      <c r="BF6" s="134"/>
      <c r="BG6" s="134"/>
      <c r="BH6" s="134"/>
      <c r="BI6" s="134"/>
      <c r="BJ6" s="134"/>
      <c r="BK6" s="134"/>
      <c r="BL6" s="134"/>
      <c r="BM6" s="134"/>
      <c r="BN6" s="134"/>
      <c r="BO6" s="134"/>
      <c r="BP6" s="134"/>
      <c r="BQ6" s="134"/>
      <c r="BR6" s="134"/>
      <c r="BS6" s="134"/>
      <c r="BT6" s="134"/>
      <c r="BU6" s="134"/>
      <c r="BV6" s="134"/>
      <c r="BW6" s="131" t="str">
        <f t="shared" si="0"/>
        <v>PIsolation renforcée LECAPITAINE2 portes arrière ouverture totale (porte droite prioritaire)Porte latérale battante 1000 mm x 1950 mm à 105 mm à l'avant droitEscabeau arrière coulissant 4 marchesEtrier latéral escamotable 3 marches avec buzzer en cabinePlancher : Antidérapant sans passages de roues avec 2 siphons d'évacuation3 plafonniers à LED avec temporisation1 niveau de rail d'arrimage en acier galvanisé D + G à 1100 mm du plancher (-14 mm de largeur utile) Cloison mobile relevable1 Rideau coulissant à lanières aux portes arrières et 1 rideau fixe à lanières à la porte latéraleProtection bas de parois latérale en inox de 450 mm de haut et face avant en inox de 455 mm de hautProtection évaporateur Av et ArCadre arrière renforcé avec butoirs à rouleaux</v>
      </c>
    </row>
    <row r="7" spans="1:75" s="68" customFormat="1" ht="45" outlineLevel="1" x14ac:dyDescent="0.25">
      <c r="A7" s="69" t="s">
        <v>3568</v>
      </c>
      <c r="B7" s="64" t="s">
        <v>32</v>
      </c>
      <c r="C7" s="64" t="s">
        <v>1831</v>
      </c>
      <c r="D7" s="64" t="s">
        <v>1832</v>
      </c>
      <c r="E7" s="64" t="s">
        <v>1839</v>
      </c>
      <c r="F7" s="64"/>
      <c r="G7" s="64" t="s">
        <v>1840</v>
      </c>
      <c r="H7" s="64" t="s">
        <v>1834</v>
      </c>
      <c r="I7" s="64"/>
      <c r="J7" s="64" t="s">
        <v>1853</v>
      </c>
      <c r="K7" s="64"/>
      <c r="L7" s="64" t="s">
        <v>3792</v>
      </c>
      <c r="M7" s="64"/>
      <c r="N7" s="64"/>
      <c r="O7" s="64"/>
      <c r="P7" s="64"/>
      <c r="Q7" s="64"/>
      <c r="R7" s="64"/>
      <c r="S7" s="64" t="s">
        <v>1837</v>
      </c>
      <c r="T7" s="64"/>
      <c r="U7" s="64"/>
      <c r="V7" s="64"/>
      <c r="W7" s="64"/>
      <c r="X7" s="64"/>
      <c r="Y7" s="64"/>
      <c r="Z7" s="64" t="s">
        <v>437</v>
      </c>
      <c r="AA7" s="64"/>
      <c r="AB7" s="64"/>
      <c r="AC7" s="64"/>
      <c r="AD7" s="64"/>
      <c r="AE7" s="64"/>
      <c r="AF7" s="64"/>
      <c r="AG7" s="64"/>
      <c r="AH7" s="64"/>
      <c r="AI7" s="64"/>
      <c r="AJ7" s="64"/>
      <c r="AK7" s="64"/>
      <c r="AL7" s="64"/>
      <c r="AM7" s="64"/>
      <c r="AN7" s="64"/>
      <c r="AO7" s="64"/>
      <c r="AP7" s="64"/>
      <c r="AQ7" s="70"/>
      <c r="AR7" s="64"/>
      <c r="AS7" s="64"/>
      <c r="AT7" s="64"/>
      <c r="AU7" s="64"/>
      <c r="AV7" s="64"/>
      <c r="AW7" s="64"/>
      <c r="AX7" s="64"/>
      <c r="AY7" s="64"/>
      <c r="AZ7" s="64"/>
      <c r="BA7" s="64"/>
      <c r="BB7" s="64"/>
      <c r="BC7" s="134"/>
      <c r="BD7" s="134"/>
      <c r="BE7" s="134"/>
      <c r="BF7" s="134"/>
      <c r="BG7" s="134"/>
      <c r="BH7" s="134"/>
      <c r="BI7" s="134"/>
      <c r="BJ7" s="134"/>
      <c r="BK7" s="134"/>
      <c r="BL7" s="134"/>
      <c r="BM7" s="134"/>
      <c r="BN7" s="134"/>
      <c r="BO7" s="134"/>
      <c r="BP7" s="134"/>
      <c r="BQ7" s="134"/>
      <c r="BR7" s="134"/>
      <c r="BS7" s="134"/>
      <c r="BT7" s="134"/>
      <c r="BU7" s="134"/>
      <c r="BV7" s="134"/>
      <c r="BW7" s="131" t="str">
        <f t="shared" si="0"/>
        <v>PIsolation renforcée LECAPITAINE2 portes arrière ouverture totale (porte droite prioritaire)Porte latérale battante 1000 mm x 1950 mm à 105 mm à l'avant droitEtrier latéral escamotable 3 marches avec buzzer en cabinePlancher : Antidérapant sans passages de roues avec 2 siphons d'évacuation1 plafonnier à LED avec temporisation1 niveau de rail d'arrimage en acier galvanisé D + G à 1100 mm du plancher (-14 mm de largeur utile) Protection bas de parois sur 445 mm de hautCoffre à outils</v>
      </c>
    </row>
    <row r="8" spans="1:75" s="96" customFormat="1" ht="11.25" customHeight="1" outlineLevel="1" x14ac:dyDescent="0.25">
      <c r="A8" s="69" t="s">
        <v>3642</v>
      </c>
      <c r="B8" s="64" t="s">
        <v>32</v>
      </c>
      <c r="C8" s="64" t="s">
        <v>1831</v>
      </c>
      <c r="D8" s="64" t="s">
        <v>1850</v>
      </c>
      <c r="E8" s="64"/>
      <c r="F8" s="64" t="s">
        <v>1851</v>
      </c>
      <c r="G8" s="64"/>
      <c r="H8" s="64" t="s">
        <v>3793</v>
      </c>
      <c r="I8" s="64"/>
      <c r="J8" s="64" t="s">
        <v>1853</v>
      </c>
      <c r="K8" s="64"/>
      <c r="L8" s="64" t="s">
        <v>3794</v>
      </c>
      <c r="M8" s="64"/>
      <c r="N8" s="64"/>
      <c r="O8" s="64" t="s">
        <v>3795</v>
      </c>
      <c r="P8" s="64"/>
      <c r="Q8" s="64"/>
      <c r="R8" s="64"/>
      <c r="S8" s="64" t="s">
        <v>3796</v>
      </c>
      <c r="T8" s="64"/>
      <c r="U8" s="64"/>
      <c r="V8" s="64"/>
      <c r="W8" s="64"/>
      <c r="X8" s="64"/>
      <c r="Y8" s="64"/>
      <c r="Z8" s="64"/>
      <c r="AA8" s="64"/>
      <c r="AB8" s="64"/>
      <c r="AC8" s="64"/>
      <c r="AD8" s="64"/>
      <c r="AE8" s="64"/>
      <c r="AF8" s="64"/>
      <c r="AG8" s="64"/>
      <c r="AH8" s="64"/>
      <c r="AI8" s="64"/>
      <c r="AJ8" s="64"/>
      <c r="AK8" s="64"/>
      <c r="AL8" s="64"/>
      <c r="AM8" s="64"/>
      <c r="AN8" s="64"/>
      <c r="AO8" s="64"/>
      <c r="AP8" s="64"/>
      <c r="AQ8" s="70"/>
      <c r="AR8" s="64"/>
      <c r="AS8" s="64"/>
      <c r="AT8" s="64"/>
      <c r="AU8" s="64"/>
      <c r="AV8" s="64"/>
      <c r="AW8" s="64"/>
      <c r="AX8" s="64"/>
      <c r="AY8" s="64"/>
      <c r="AZ8" s="64"/>
      <c r="BA8" s="64"/>
      <c r="BB8" s="64"/>
      <c r="BC8" s="134"/>
      <c r="BD8" s="134"/>
      <c r="BE8" s="134"/>
      <c r="BF8" s="134"/>
      <c r="BG8" s="134"/>
      <c r="BH8" s="134"/>
      <c r="BI8" s="134"/>
      <c r="BJ8" s="134"/>
      <c r="BK8" s="134"/>
      <c r="BL8" s="134"/>
      <c r="BM8" s="134"/>
      <c r="BN8" s="134"/>
      <c r="BO8" s="134"/>
      <c r="BP8" s="134"/>
      <c r="BQ8" s="134"/>
      <c r="BR8" s="134"/>
      <c r="BS8" s="134"/>
      <c r="BT8" s="134"/>
      <c r="BU8" s="134"/>
      <c r="BV8" s="134"/>
      <c r="BW8" s="131" t="str">
        <f t="shared" si="0"/>
        <v>PIsolation renforcée LECAPITAINE1 Porte arrière 900 mm x 1500 mmMarchepied fixe 1 marchePlancher : Antidérapant avec passages de roues (largeur entre passages de roues : 1022 mm) avec 1 siphon d'évacuation1 plafonnier à LED avec temporisation1 niveau de rail d'arrimage en acier galvanisé D + G (-18 mm de largeur utile)1 Rideau fixe à lanières porte ARProtection bas de parois sur 240 mm de haut</v>
      </c>
    </row>
    <row r="9" spans="1:75" s="68" customFormat="1" ht="45" outlineLevel="1" x14ac:dyDescent="0.25">
      <c r="A9" s="69" t="s">
        <v>3647</v>
      </c>
      <c r="B9" s="64" t="s">
        <v>32</v>
      </c>
      <c r="C9" s="64" t="s">
        <v>1831</v>
      </c>
      <c r="D9" s="64" t="s">
        <v>3797</v>
      </c>
      <c r="E9" s="64"/>
      <c r="F9" s="64" t="s">
        <v>1851</v>
      </c>
      <c r="G9" s="64"/>
      <c r="H9" s="64" t="s">
        <v>3793</v>
      </c>
      <c r="I9" s="64"/>
      <c r="J9" s="64" t="s">
        <v>1853</v>
      </c>
      <c r="K9" s="64"/>
      <c r="L9" s="64" t="s">
        <v>3794</v>
      </c>
      <c r="M9" s="64"/>
      <c r="N9" s="64"/>
      <c r="O9" s="64" t="s">
        <v>3798</v>
      </c>
      <c r="P9" s="64"/>
      <c r="Q9" s="64"/>
      <c r="R9" s="64"/>
      <c r="S9" s="64" t="s">
        <v>3796</v>
      </c>
      <c r="T9" s="64"/>
      <c r="U9" s="64"/>
      <c r="V9" s="64"/>
      <c r="W9" s="64"/>
      <c r="X9" s="64"/>
      <c r="Y9" s="64"/>
      <c r="Z9" s="64"/>
      <c r="AA9" s="64"/>
      <c r="AB9" s="64"/>
      <c r="AC9" s="64"/>
      <c r="AD9" s="64"/>
      <c r="AE9" s="64"/>
      <c r="AF9" s="64"/>
      <c r="AG9" s="64"/>
      <c r="AH9" s="64"/>
      <c r="AI9" s="64"/>
      <c r="AJ9" s="64"/>
      <c r="AK9" s="64"/>
      <c r="AL9" s="64"/>
      <c r="AM9" s="64"/>
      <c r="AN9" s="64"/>
      <c r="AO9" s="64"/>
      <c r="AP9" s="64"/>
      <c r="AQ9" s="70"/>
      <c r="AR9" s="64"/>
      <c r="AS9" s="64"/>
      <c r="AT9" s="64"/>
      <c r="AU9" s="64"/>
      <c r="AV9" s="64"/>
      <c r="AW9" s="64"/>
      <c r="AX9" s="64"/>
      <c r="AY9" s="64"/>
      <c r="AZ9" s="64"/>
      <c r="BA9" s="64"/>
      <c r="BB9" s="64"/>
      <c r="BC9" s="134"/>
      <c r="BD9" s="134"/>
      <c r="BE9" s="134"/>
      <c r="BF9" s="134"/>
      <c r="BG9" s="134"/>
      <c r="BH9" s="134"/>
      <c r="BI9" s="134"/>
      <c r="BJ9" s="134"/>
      <c r="BK9" s="134"/>
      <c r="BL9" s="134"/>
      <c r="BM9" s="134"/>
      <c r="BN9" s="134"/>
      <c r="BO9" s="134"/>
      <c r="BP9" s="134"/>
      <c r="BQ9" s="134"/>
      <c r="BR9" s="134"/>
      <c r="BS9" s="134"/>
      <c r="BT9" s="134"/>
      <c r="BU9" s="134"/>
      <c r="BV9" s="134"/>
      <c r="BW9" s="131" t="str">
        <f t="shared" si="0"/>
        <v>PIsolation renforcée LECAPITAINE2 Portes arrière 1100 mm x 1640 mmMarchepied fixe 1 marchePlancher : Antidérapant avec passages de roues (largeur entre passages de roues : 1022 mm) avec 1 siphon d'évacuation1 plafonnier à LED avec temporisation1 niveau de rail d'arrimage en acier galvanisé D + G (-18 mm de largeur utile)1 rideau fixe à lanières aux portes arrièresProtection bas de parois sur 240 mm de haut</v>
      </c>
    </row>
    <row r="10" spans="1:75" s="68" customFormat="1" ht="33.75" outlineLevel="1" x14ac:dyDescent="0.25">
      <c r="A10" s="69" t="s">
        <v>3799</v>
      </c>
      <c r="B10" s="64" t="s">
        <v>32</v>
      </c>
      <c r="C10" s="64" t="s">
        <v>1831</v>
      </c>
      <c r="D10" s="64" t="s">
        <v>1832</v>
      </c>
      <c r="E10" s="64"/>
      <c r="F10" s="64" t="s">
        <v>3800</v>
      </c>
      <c r="G10" s="64"/>
      <c r="H10" s="64" t="s">
        <v>1856</v>
      </c>
      <c r="I10" s="64"/>
      <c r="J10" s="64" t="s">
        <v>1853</v>
      </c>
      <c r="K10" s="64"/>
      <c r="L10" s="64"/>
      <c r="M10" s="64"/>
      <c r="N10" s="64"/>
      <c r="O10" s="64" t="s">
        <v>3801</v>
      </c>
      <c r="P10" s="64"/>
      <c r="Q10" s="64"/>
      <c r="R10" s="64"/>
      <c r="S10" s="64" t="s">
        <v>1857</v>
      </c>
      <c r="T10" s="64"/>
      <c r="U10" s="64"/>
      <c r="V10" s="64"/>
      <c r="W10" s="64"/>
      <c r="X10" s="64"/>
      <c r="Y10" s="64"/>
      <c r="Z10" s="64"/>
      <c r="AA10" s="64"/>
      <c r="AB10" s="64"/>
      <c r="AC10" s="64"/>
      <c r="AD10" s="64"/>
      <c r="AE10" s="64"/>
      <c r="AF10" s="64"/>
      <c r="AG10" s="64"/>
      <c r="AH10" s="64"/>
      <c r="AI10" s="64"/>
      <c r="AJ10" s="64"/>
      <c r="AK10" s="64"/>
      <c r="AL10" s="64"/>
      <c r="AM10" s="64"/>
      <c r="AN10" s="64"/>
      <c r="AO10" s="64"/>
      <c r="AP10" s="64"/>
      <c r="AQ10" s="70"/>
      <c r="AR10" s="64"/>
      <c r="AS10" s="64"/>
      <c r="AT10" s="64"/>
      <c r="AU10" s="64"/>
      <c r="AV10" s="64"/>
      <c r="AW10" s="64"/>
      <c r="AX10" s="64"/>
      <c r="AY10" s="64"/>
      <c r="AZ10" s="64"/>
      <c r="BA10" s="64"/>
      <c r="BB10" s="64"/>
      <c r="BC10" s="134"/>
      <c r="BD10" s="134"/>
      <c r="BE10" s="134"/>
      <c r="BF10" s="134"/>
      <c r="BG10" s="134"/>
      <c r="BH10" s="134"/>
      <c r="BI10" s="134"/>
      <c r="BJ10" s="134"/>
      <c r="BK10" s="134"/>
      <c r="BL10" s="134"/>
      <c r="BM10" s="134"/>
      <c r="BN10" s="134"/>
      <c r="BO10" s="134"/>
      <c r="BP10" s="134"/>
      <c r="BQ10" s="134"/>
      <c r="BR10" s="134"/>
      <c r="BS10" s="134"/>
      <c r="BT10" s="134"/>
      <c r="BU10" s="134"/>
      <c r="BV10" s="134"/>
      <c r="BW10" s="131" t="str">
        <f t="shared" si="0"/>
        <v>PIsolation renforcée LECAPITAINE2 portes arrière ouverture totale (porte droite prioritaire)Escabeau arrière coulissant 2 marches largesPlancher : Antidérapant sans passages de roues avec 1 siphon d'évacuation1 plafonnier à LED avec temporisation1 Rideau coulissant à lanières aux portes ARProtection bas de parois sur 245 mm de haut</v>
      </c>
    </row>
    <row r="11" spans="1:75" s="68" customFormat="1" ht="45" outlineLevel="1" x14ac:dyDescent="0.25">
      <c r="A11" s="69" t="s">
        <v>3522</v>
      </c>
      <c r="B11" s="64" t="s">
        <v>32</v>
      </c>
      <c r="C11" s="64" t="s">
        <v>1831</v>
      </c>
      <c r="D11" s="64" t="s">
        <v>3802</v>
      </c>
      <c r="E11" s="64"/>
      <c r="F11" s="64" t="s">
        <v>1861</v>
      </c>
      <c r="G11" s="64"/>
      <c r="H11" s="64" t="s">
        <v>1856</v>
      </c>
      <c r="I11" s="64"/>
      <c r="J11" s="64" t="s">
        <v>1853</v>
      </c>
      <c r="K11" s="64"/>
      <c r="L11" s="64"/>
      <c r="M11" s="64"/>
      <c r="N11" s="64"/>
      <c r="O11" s="64" t="s">
        <v>3803</v>
      </c>
      <c r="P11" s="64"/>
      <c r="Q11" s="64"/>
      <c r="R11" s="64"/>
      <c r="S11" s="64" t="s">
        <v>1857</v>
      </c>
      <c r="T11" s="64" t="s">
        <v>3804</v>
      </c>
      <c r="U11" s="64" t="s">
        <v>3805</v>
      </c>
      <c r="V11" s="64"/>
      <c r="W11" s="64"/>
      <c r="X11" s="64"/>
      <c r="Y11" s="64"/>
      <c r="Z11" s="64"/>
      <c r="AA11" s="64"/>
      <c r="AB11" s="64"/>
      <c r="AC11" s="64"/>
      <c r="AD11" s="64"/>
      <c r="AE11" s="64"/>
      <c r="AF11" s="64"/>
      <c r="AG11" s="64"/>
      <c r="AH11" s="64"/>
      <c r="AI11" s="64"/>
      <c r="AJ11" s="64"/>
      <c r="AK11" s="64"/>
      <c r="AL11" s="64"/>
      <c r="AM11" s="64"/>
      <c r="AN11" s="64"/>
      <c r="AO11" s="64"/>
      <c r="AP11" s="64"/>
      <c r="AQ11" s="70"/>
      <c r="AR11" s="64"/>
      <c r="AS11" s="64"/>
      <c r="AT11" s="64"/>
      <c r="AU11" s="64"/>
      <c r="AV11" s="64"/>
      <c r="AW11" s="64"/>
      <c r="AX11" s="64"/>
      <c r="AY11" s="64"/>
      <c r="AZ11" s="64"/>
      <c r="BA11" s="64"/>
      <c r="BB11" s="64"/>
      <c r="BC11" s="134"/>
      <c r="BD11" s="134"/>
      <c r="BE11" s="134"/>
      <c r="BF11" s="134"/>
      <c r="BG11" s="134"/>
      <c r="BH11" s="134"/>
      <c r="BI11" s="134"/>
      <c r="BJ11" s="134"/>
      <c r="BK11" s="134"/>
      <c r="BL11" s="134"/>
      <c r="BM11" s="134"/>
      <c r="BN11" s="134"/>
      <c r="BO11" s="134"/>
      <c r="BP11" s="134"/>
      <c r="BQ11" s="134"/>
      <c r="BR11" s="134"/>
      <c r="BS11" s="134"/>
      <c r="BT11" s="134"/>
      <c r="BU11" s="134"/>
      <c r="BV11" s="134"/>
      <c r="BW11" s="131" t="str">
        <f t="shared" si="0"/>
        <v>PIsolation renforcée LECAPITAINEOuverture arrière totale 3 vantaux avec  crémonesEscabeau arrière coulissant 2 marchesPlancher : Antidérapant sans passages de roues avec 1 siphon d'évacuation1 plafonnier à LED avec temporisation1 Rideau coulissant à lanières 3 vantaux aux portes ARProtection bas de parois sur 245 mm de haut1 étagère relevable à droite profondeur 500 mm2 étagères relevables à gauche profondeur 500 mm</v>
      </c>
    </row>
    <row r="12" spans="1:75" s="68" customFormat="1" ht="45" outlineLevel="1" x14ac:dyDescent="0.25">
      <c r="A12" s="69" t="s">
        <v>3528</v>
      </c>
      <c r="B12" s="64" t="s">
        <v>32</v>
      </c>
      <c r="C12" s="64" t="s">
        <v>1831</v>
      </c>
      <c r="D12" s="64" t="s">
        <v>1832</v>
      </c>
      <c r="E12" s="64" t="s">
        <v>1876</v>
      </c>
      <c r="F12" s="64"/>
      <c r="G12" s="64"/>
      <c r="H12" s="64" t="s">
        <v>1856</v>
      </c>
      <c r="I12" s="64"/>
      <c r="J12" s="64" t="s">
        <v>1853</v>
      </c>
      <c r="K12" s="64"/>
      <c r="L12" s="64" t="s">
        <v>3806</v>
      </c>
      <c r="M12" s="64"/>
      <c r="N12" s="64"/>
      <c r="O12" s="64" t="s">
        <v>3801</v>
      </c>
      <c r="P12" s="64"/>
      <c r="Q12" s="64"/>
      <c r="R12" s="64"/>
      <c r="S12" s="64" t="s">
        <v>1857</v>
      </c>
      <c r="T12" s="64"/>
      <c r="U12" s="64"/>
      <c r="V12" s="64"/>
      <c r="W12" s="64"/>
      <c r="X12" s="64"/>
      <c r="Y12" s="64"/>
      <c r="Z12" s="64"/>
      <c r="AA12" s="64"/>
      <c r="AB12" s="64"/>
      <c r="AC12" s="64"/>
      <c r="AD12" s="64"/>
      <c r="AE12" s="64"/>
      <c r="AF12" s="64"/>
      <c r="AG12" s="64"/>
      <c r="AH12" s="64"/>
      <c r="AI12" s="64"/>
      <c r="AJ12" s="64"/>
      <c r="AK12" s="64"/>
      <c r="AL12" s="64"/>
      <c r="AM12" s="64"/>
      <c r="AN12" s="64"/>
      <c r="AO12" s="64"/>
      <c r="AP12" s="64"/>
      <c r="AQ12" s="70"/>
      <c r="AR12" s="64"/>
      <c r="AS12" s="64"/>
      <c r="AT12" s="64"/>
      <c r="AU12" s="64"/>
      <c r="AV12" s="64"/>
      <c r="AW12" s="64"/>
      <c r="AX12" s="64"/>
      <c r="AY12" s="64"/>
      <c r="AZ12" s="64"/>
      <c r="BA12" s="64"/>
      <c r="BB12" s="64"/>
      <c r="BC12" s="134"/>
      <c r="BD12" s="134"/>
      <c r="BE12" s="134"/>
      <c r="BF12" s="134"/>
      <c r="BG12" s="134"/>
      <c r="BH12" s="134"/>
      <c r="BI12" s="134"/>
      <c r="BJ12" s="134"/>
      <c r="BK12" s="134"/>
      <c r="BL12" s="134"/>
      <c r="BM12" s="134"/>
      <c r="BN12" s="134"/>
      <c r="BO12" s="134"/>
      <c r="BP12" s="134"/>
      <c r="BQ12" s="134"/>
      <c r="BR12" s="134"/>
      <c r="BS12" s="134"/>
      <c r="BT12" s="134"/>
      <c r="BU12" s="134"/>
      <c r="BV12" s="134"/>
      <c r="BW12" s="131" t="str">
        <f t="shared" si="0"/>
        <v>PIsolation renforcée LECAPITAINE2 portes arrière ouverture totale (porte droite prioritaire)Porte latérale battante 1000 mm x 1850 mm à 105 mm à l'avant droitPlancher : Antidérapant sans passages de roues avec 1 siphon d'évacuation1 plafonnier à LED avec temporisation1 niveau de rail d'arrimage en acier galvanisé D + G à 900 mm du plancher (-18 mm de largeur utile)1 Rideau coulissant à lanières aux portes ARProtection bas de parois sur 245 mm de haut</v>
      </c>
    </row>
    <row r="13" spans="1:75" s="68" customFormat="1" ht="33.75" outlineLevel="1" x14ac:dyDescent="0.25">
      <c r="A13" s="69" t="s">
        <v>3807</v>
      </c>
      <c r="B13" s="64" t="s">
        <v>32</v>
      </c>
      <c r="C13" s="64" t="s">
        <v>1831</v>
      </c>
      <c r="D13" s="64" t="s">
        <v>1832</v>
      </c>
      <c r="E13" s="64"/>
      <c r="F13" s="64" t="s">
        <v>1849</v>
      </c>
      <c r="G13" s="64"/>
      <c r="H13" s="64" t="s">
        <v>1856</v>
      </c>
      <c r="I13" s="64"/>
      <c r="J13" s="64" t="s">
        <v>1853</v>
      </c>
      <c r="K13" s="64"/>
      <c r="L13" s="64"/>
      <c r="M13" s="64"/>
      <c r="N13" s="64"/>
      <c r="O13" s="64" t="s">
        <v>3801</v>
      </c>
      <c r="P13" s="64"/>
      <c r="Q13" s="64"/>
      <c r="R13" s="64"/>
      <c r="S13" s="64" t="s">
        <v>1857</v>
      </c>
      <c r="T13" s="64"/>
      <c r="U13" s="64"/>
      <c r="V13" s="64"/>
      <c r="W13" s="64"/>
      <c r="X13" s="64"/>
      <c r="Y13" s="64"/>
      <c r="Z13" s="64"/>
      <c r="AA13" s="64"/>
      <c r="AB13" s="64"/>
      <c r="AC13" s="64"/>
      <c r="AD13" s="64"/>
      <c r="AE13" s="64"/>
      <c r="AF13" s="64"/>
      <c r="AG13" s="64"/>
      <c r="AH13" s="64"/>
      <c r="AI13" s="64"/>
      <c r="AJ13" s="64"/>
      <c r="AK13" s="64"/>
      <c r="AL13" s="64"/>
      <c r="AM13" s="64"/>
      <c r="AN13" s="64"/>
      <c r="AO13" s="64"/>
      <c r="AP13" s="64"/>
      <c r="AQ13" s="70"/>
      <c r="AR13" s="64"/>
      <c r="AS13" s="64"/>
      <c r="AT13" s="64"/>
      <c r="AU13" s="64"/>
      <c r="AV13" s="64"/>
      <c r="AW13" s="64"/>
      <c r="AX13" s="64"/>
      <c r="AY13" s="64"/>
      <c r="AZ13" s="64"/>
      <c r="BA13" s="64"/>
      <c r="BB13" s="64"/>
      <c r="BC13" s="134"/>
      <c r="BD13" s="134"/>
      <c r="BE13" s="134"/>
      <c r="BF13" s="134"/>
      <c r="BG13" s="134"/>
      <c r="BH13" s="134"/>
      <c r="BI13" s="134"/>
      <c r="BJ13" s="134"/>
      <c r="BK13" s="134"/>
      <c r="BL13" s="134"/>
      <c r="BM13" s="134"/>
      <c r="BN13" s="134"/>
      <c r="BO13" s="134"/>
      <c r="BP13" s="134"/>
      <c r="BQ13" s="134"/>
      <c r="BR13" s="134"/>
      <c r="BS13" s="134"/>
      <c r="BT13" s="134"/>
      <c r="BU13" s="134"/>
      <c r="BV13" s="134"/>
      <c r="BW13" s="131" t="str">
        <f t="shared" si="0"/>
        <v>PIsolation renforcée LECAPITAINE2 portes arrière ouverture totale (porte droite prioritaire)Escabeau arrière coulissant 4 marchesPlancher : Antidérapant sans passages de roues avec 1 siphon d'évacuation1 plafonnier à LED avec temporisation1 Rideau coulissant à lanières aux portes ARProtection bas de parois sur 245 mm de haut</v>
      </c>
    </row>
    <row r="14" spans="1:75" s="68" customFormat="1" ht="45" outlineLevel="1" x14ac:dyDescent="0.25">
      <c r="A14" s="69" t="s">
        <v>3808</v>
      </c>
      <c r="B14" s="64" t="s">
        <v>32</v>
      </c>
      <c r="C14" s="64" t="s">
        <v>1831</v>
      </c>
      <c r="D14" s="64" t="s">
        <v>1832</v>
      </c>
      <c r="E14" s="64" t="s">
        <v>1839</v>
      </c>
      <c r="F14" s="64"/>
      <c r="G14" s="64"/>
      <c r="H14" s="64" t="s">
        <v>1856</v>
      </c>
      <c r="I14" s="64"/>
      <c r="J14" s="64" t="s">
        <v>1853</v>
      </c>
      <c r="K14" s="64"/>
      <c r="L14" s="64" t="s">
        <v>3806</v>
      </c>
      <c r="M14" s="64"/>
      <c r="N14" s="64"/>
      <c r="O14" s="64" t="s">
        <v>3801</v>
      </c>
      <c r="P14" s="64"/>
      <c r="Q14" s="64"/>
      <c r="R14" s="64"/>
      <c r="S14" s="64" t="s">
        <v>1857</v>
      </c>
      <c r="T14" s="64"/>
      <c r="U14" s="64"/>
      <c r="V14" s="64"/>
      <c r="W14" s="64"/>
      <c r="X14" s="64"/>
      <c r="Y14" s="64"/>
      <c r="Z14" s="64"/>
      <c r="AA14" s="64"/>
      <c r="AB14" s="64"/>
      <c r="AC14" s="64"/>
      <c r="AD14" s="64"/>
      <c r="AE14" s="64"/>
      <c r="AF14" s="64"/>
      <c r="AG14" s="64"/>
      <c r="AH14" s="64"/>
      <c r="AI14" s="64"/>
      <c r="AJ14" s="64"/>
      <c r="AK14" s="64"/>
      <c r="AL14" s="64"/>
      <c r="AM14" s="64"/>
      <c r="AN14" s="64"/>
      <c r="AO14" s="64"/>
      <c r="AP14" s="64"/>
      <c r="AQ14" s="70"/>
      <c r="AR14" s="64"/>
      <c r="AS14" s="64"/>
      <c r="AT14" s="64"/>
      <c r="AU14" s="64"/>
      <c r="AV14" s="64"/>
      <c r="AW14" s="64"/>
      <c r="AX14" s="64"/>
      <c r="AY14" s="64"/>
      <c r="AZ14" s="64"/>
      <c r="BA14" s="64"/>
      <c r="BB14" s="64"/>
      <c r="BC14" s="134"/>
      <c r="BD14" s="134"/>
      <c r="BE14" s="134"/>
      <c r="BF14" s="134"/>
      <c r="BG14" s="134"/>
      <c r="BH14" s="134"/>
      <c r="BI14" s="134"/>
      <c r="BJ14" s="134"/>
      <c r="BK14" s="134"/>
      <c r="BL14" s="134"/>
      <c r="BM14" s="134"/>
      <c r="BN14" s="134"/>
      <c r="BO14" s="134"/>
      <c r="BP14" s="134"/>
      <c r="BQ14" s="134"/>
      <c r="BR14" s="134"/>
      <c r="BS14" s="134"/>
      <c r="BT14" s="134"/>
      <c r="BU14" s="134"/>
      <c r="BV14" s="134"/>
      <c r="BW14" s="131" t="str">
        <f t="shared" si="0"/>
        <v>PIsolation renforcée LECAPITAINE2 portes arrière ouverture totale (porte droite prioritaire)Porte latérale battante 1000 mm x 1950 mm à 105 mm à l'avant droitPlancher : Antidérapant sans passages de roues avec 1 siphon d'évacuation1 plafonnier à LED avec temporisation1 niveau de rail d'arrimage en acier galvanisé D + G à 900 mm du plancher (-18 mm de largeur utile)1 Rideau coulissant à lanières aux portes ARProtection bas de parois sur 245 mm de haut</v>
      </c>
    </row>
    <row r="15" spans="1:75" s="68" customFormat="1" ht="56.25" outlineLevel="1" x14ac:dyDescent="0.25">
      <c r="A15" s="69" t="s">
        <v>3547</v>
      </c>
      <c r="B15" s="64" t="s">
        <v>32</v>
      </c>
      <c r="C15" s="64" t="s">
        <v>1868</v>
      </c>
      <c r="D15" s="64" t="s">
        <v>1869</v>
      </c>
      <c r="E15" s="64"/>
      <c r="F15" s="64" t="s">
        <v>758</v>
      </c>
      <c r="G15" s="64"/>
      <c r="H15" s="64" t="s">
        <v>1856</v>
      </c>
      <c r="I15" s="64" t="s">
        <v>1862</v>
      </c>
      <c r="J15" s="64" t="s">
        <v>1870</v>
      </c>
      <c r="K15" s="64"/>
      <c r="L15" s="64"/>
      <c r="M15" s="64"/>
      <c r="N15" s="64"/>
      <c r="O15" s="64" t="s">
        <v>1859</v>
      </c>
      <c r="P15" s="64"/>
      <c r="Q15" s="64"/>
      <c r="R15" s="64"/>
      <c r="S15" s="64" t="s">
        <v>1857</v>
      </c>
      <c r="T15" s="64"/>
      <c r="U15" s="64"/>
      <c r="V15" s="64"/>
      <c r="W15" s="64"/>
      <c r="X15" s="64"/>
      <c r="Y15" s="64"/>
      <c r="Z15" s="64"/>
      <c r="AA15" s="64"/>
      <c r="AB15" s="64"/>
      <c r="AC15" s="64"/>
      <c r="AD15" s="64"/>
      <c r="AE15" s="64"/>
      <c r="AF15" s="64"/>
      <c r="AG15" s="64"/>
      <c r="AH15" s="64"/>
      <c r="AI15" s="64" t="s">
        <v>1871</v>
      </c>
      <c r="AJ15" s="64" t="s">
        <v>1872</v>
      </c>
      <c r="AK15" s="64"/>
      <c r="AL15" s="64"/>
      <c r="AM15" s="64"/>
      <c r="AN15" s="64"/>
      <c r="AO15" s="64"/>
      <c r="AP15" s="64"/>
      <c r="AQ15" s="70"/>
      <c r="AR15" s="64"/>
      <c r="AS15" s="64"/>
      <c r="AT15" s="64"/>
      <c r="AU15" s="64"/>
      <c r="AV15" s="70"/>
      <c r="AW15" s="64"/>
      <c r="AX15" s="64"/>
      <c r="AY15" s="64"/>
      <c r="AZ15" s="64"/>
      <c r="BA15" s="64"/>
      <c r="BB15" s="64"/>
      <c r="BC15" s="134"/>
      <c r="BD15" s="134"/>
      <c r="BE15" s="134"/>
      <c r="BF15" s="134"/>
      <c r="BG15" s="134"/>
      <c r="BH15" s="134"/>
      <c r="BI15" s="134"/>
      <c r="BJ15" s="134"/>
      <c r="BK15" s="134"/>
      <c r="BL15" s="134"/>
      <c r="BM15" s="134"/>
      <c r="BN15" s="134"/>
      <c r="BO15" s="134"/>
      <c r="BP15" s="134"/>
      <c r="BQ15" s="134"/>
      <c r="BR15" s="134"/>
      <c r="BS15" s="134"/>
      <c r="BT15" s="134"/>
      <c r="BU15" s="134"/>
      <c r="BV15" s="134"/>
      <c r="BW15" s="131" t="str">
        <f t="shared" si="0"/>
        <v>PIsolation renforcée caisse URBAN LECAPITAINE2 portes arrière ouverture totale (porte droite prioritaire) avec fermeture centralisée et blocage à 270° aimanté SIMPLE LOCKMarchepied arrière basculant 2 marches en aluminiumPlancher : Antidérapant sans passages de roues avec 1 siphon d'évacuationFaux châssis allégé RigidLink1 plafonnier à LED avec détecteur de présence 1 Rideau coulissant à lanières aux portes arrièresProtection bas de parois sur 245 mm de hautProfil de caisse Aéro URBAN Phare de travail par bandeau arrière lumineux pour éclairage de la zone de travail (commandé à l’ouverture de porte)</v>
      </c>
    </row>
    <row r="16" spans="1:75" s="68" customFormat="1" ht="45" outlineLevel="1" x14ac:dyDescent="0.25">
      <c r="A16" s="69" t="s">
        <v>3438</v>
      </c>
      <c r="B16" s="64" t="s">
        <v>32</v>
      </c>
      <c r="C16" s="64" t="s">
        <v>1831</v>
      </c>
      <c r="D16" s="64" t="s">
        <v>1950</v>
      </c>
      <c r="E16" s="64"/>
      <c r="F16" s="64" t="s">
        <v>3809</v>
      </c>
      <c r="G16" s="64"/>
      <c r="H16" s="64" t="s">
        <v>1856</v>
      </c>
      <c r="I16" s="64"/>
      <c r="J16" s="64" t="s">
        <v>1853</v>
      </c>
      <c r="K16" s="64"/>
      <c r="L16" s="64" t="s">
        <v>3810</v>
      </c>
      <c r="M16" s="64"/>
      <c r="N16" s="64"/>
      <c r="O16" s="64"/>
      <c r="P16" s="64" t="s">
        <v>3811</v>
      </c>
      <c r="Q16" s="64"/>
      <c r="R16" s="64"/>
      <c r="S16" s="64" t="s">
        <v>1857</v>
      </c>
      <c r="T16" s="64"/>
      <c r="U16" s="64"/>
      <c r="V16" s="64"/>
      <c r="W16" s="64"/>
      <c r="X16" s="64"/>
      <c r="Y16" s="64"/>
      <c r="Z16" s="64"/>
      <c r="AA16" s="64"/>
      <c r="AB16" s="64"/>
      <c r="AC16" s="64"/>
      <c r="AD16" s="64"/>
      <c r="AE16" s="64"/>
      <c r="AF16" s="64"/>
      <c r="AG16" s="64"/>
      <c r="AH16" s="64"/>
      <c r="AI16" s="64"/>
      <c r="AJ16" s="64"/>
      <c r="AK16" s="64"/>
      <c r="AL16" s="64"/>
      <c r="AM16" s="64"/>
      <c r="AN16" s="64"/>
      <c r="AO16" s="64"/>
      <c r="AP16" s="64"/>
      <c r="AQ16" s="70"/>
      <c r="AR16" s="64"/>
      <c r="AS16" s="64"/>
      <c r="AT16" s="64"/>
      <c r="AU16" s="64"/>
      <c r="AV16" s="64"/>
      <c r="AW16" s="64"/>
      <c r="AX16" s="64"/>
      <c r="AY16" s="64"/>
      <c r="AZ16" s="64"/>
      <c r="BA16" s="64"/>
      <c r="BB16" s="64"/>
      <c r="BC16" s="134"/>
      <c r="BD16" s="134"/>
      <c r="BE16" s="134"/>
      <c r="BF16" s="134"/>
      <c r="BG16" s="134"/>
      <c r="BH16" s="134"/>
      <c r="BI16" s="134"/>
      <c r="BJ16" s="134"/>
      <c r="BK16" s="134"/>
      <c r="BL16" s="134"/>
      <c r="BM16" s="134"/>
      <c r="BN16" s="134"/>
      <c r="BO16" s="134"/>
      <c r="BP16" s="134"/>
      <c r="BQ16" s="134"/>
      <c r="BR16" s="134"/>
      <c r="BS16" s="134"/>
      <c r="BT16" s="134"/>
      <c r="BU16" s="134"/>
      <c r="BV16" s="134"/>
      <c r="BW16" s="131" t="str">
        <f t="shared" si="0"/>
        <v>PIsolation renforcée LECAPITAINE2 portes arrière ouverture totaleMarchepied AR basculant 2 marchesPlancher : Antidérapant sans passages de roues avec 1 siphon d'évacuation1 plafonnier à LED avec temporisation2 niveaux de rail d'arrimage en acier galvanisé à 800 et 1200 du plancher côté droit/gauche et en fond de caisse (~18 mm de largeur utile)Arrêt de porte à ressortsProtection bas de parois sur 245 mm de haut</v>
      </c>
    </row>
    <row r="17" spans="1:75" s="68" customFormat="1" ht="45" outlineLevel="1" x14ac:dyDescent="0.25">
      <c r="A17" s="69" t="s">
        <v>3500</v>
      </c>
      <c r="B17" s="64" t="s">
        <v>32</v>
      </c>
      <c r="C17" s="64" t="s">
        <v>1831</v>
      </c>
      <c r="D17" s="64" t="s">
        <v>1950</v>
      </c>
      <c r="E17" s="64"/>
      <c r="F17" s="64" t="s">
        <v>1861</v>
      </c>
      <c r="G17" s="64"/>
      <c r="H17" s="64" t="s">
        <v>1856</v>
      </c>
      <c r="I17" s="64"/>
      <c r="J17" s="64" t="s">
        <v>1853</v>
      </c>
      <c r="K17" s="64"/>
      <c r="L17" s="64" t="s">
        <v>3810</v>
      </c>
      <c r="M17" s="64"/>
      <c r="N17" s="64"/>
      <c r="O17" s="64"/>
      <c r="P17" s="64" t="s">
        <v>3811</v>
      </c>
      <c r="Q17" s="64"/>
      <c r="R17" s="64"/>
      <c r="S17" s="64" t="s">
        <v>1857</v>
      </c>
      <c r="T17" s="64"/>
      <c r="U17" s="64"/>
      <c r="V17" s="64"/>
      <c r="W17" s="64"/>
      <c r="X17" s="64"/>
      <c r="Y17" s="64"/>
      <c r="Z17" s="64"/>
      <c r="AA17" s="64"/>
      <c r="AB17" s="64"/>
      <c r="AC17" s="64"/>
      <c r="AD17" s="64"/>
      <c r="AE17" s="64"/>
      <c r="AF17" s="64"/>
      <c r="AG17" s="64"/>
      <c r="AH17" s="64"/>
      <c r="AI17" s="64"/>
      <c r="AJ17" s="64"/>
      <c r="AK17" s="64"/>
      <c r="AL17" s="64"/>
      <c r="AM17" s="64"/>
      <c r="AN17" s="64"/>
      <c r="AO17" s="64"/>
      <c r="AP17" s="64"/>
      <c r="AQ17" s="70"/>
      <c r="AR17" s="64"/>
      <c r="AS17" s="64"/>
      <c r="AT17" s="64"/>
      <c r="AU17" s="64"/>
      <c r="AV17" s="64"/>
      <c r="AW17" s="64"/>
      <c r="AX17" s="64"/>
      <c r="AY17" s="64"/>
      <c r="AZ17" s="64"/>
      <c r="BA17" s="64"/>
      <c r="BB17" s="64"/>
      <c r="BC17" s="134"/>
      <c r="BD17" s="134"/>
      <c r="BE17" s="134"/>
      <c r="BF17" s="134"/>
      <c r="BG17" s="134"/>
      <c r="BH17" s="134"/>
      <c r="BI17" s="134"/>
      <c r="BJ17" s="134"/>
      <c r="BK17" s="134"/>
      <c r="BL17" s="134"/>
      <c r="BM17" s="134"/>
      <c r="BN17" s="134"/>
      <c r="BO17" s="134"/>
      <c r="BP17" s="134"/>
      <c r="BQ17" s="134"/>
      <c r="BR17" s="134"/>
      <c r="BS17" s="134"/>
      <c r="BT17" s="134"/>
      <c r="BU17" s="134"/>
      <c r="BV17" s="134"/>
      <c r="BW17" s="131" t="str">
        <f t="shared" si="0"/>
        <v>PIsolation renforcée LECAPITAINE2 portes arrière ouverture totaleEscabeau arrière coulissant 2 marchesPlancher : Antidérapant sans passages de roues avec 1 siphon d'évacuation1 plafonnier à LED avec temporisation2 niveaux de rail d'arrimage en acier galvanisé à 800 et 1200 du plancher côté droit/gauche et en fond de caisse (~18 mm de largeur utile)Arrêt de porte à ressortsProtection bas de parois sur 245 mm de haut</v>
      </c>
    </row>
    <row r="18" spans="1:75" s="96" customFormat="1" ht="45" outlineLevel="1" x14ac:dyDescent="0.25">
      <c r="A18" s="69" t="s">
        <v>3449</v>
      </c>
      <c r="B18" s="64" t="s">
        <v>32</v>
      </c>
      <c r="C18" s="64" t="s">
        <v>1831</v>
      </c>
      <c r="D18" s="64" t="s">
        <v>1832</v>
      </c>
      <c r="E18" s="64"/>
      <c r="F18" s="64" t="s">
        <v>3800</v>
      </c>
      <c r="G18" s="64"/>
      <c r="H18" s="64" t="s">
        <v>1856</v>
      </c>
      <c r="I18" s="64"/>
      <c r="J18" s="64" t="s">
        <v>1853</v>
      </c>
      <c r="K18" s="64"/>
      <c r="L18" s="64" t="s">
        <v>3812</v>
      </c>
      <c r="M18" s="64"/>
      <c r="N18" s="64"/>
      <c r="O18" s="64" t="s">
        <v>3801</v>
      </c>
      <c r="P18" s="64"/>
      <c r="Q18" s="64"/>
      <c r="R18" s="64"/>
      <c r="S18" s="64" t="s">
        <v>1857</v>
      </c>
      <c r="T18" s="64"/>
      <c r="U18" s="64"/>
      <c r="V18" s="64"/>
      <c r="W18" s="64"/>
      <c r="X18" s="64"/>
      <c r="Y18" s="64"/>
      <c r="Z18" s="64"/>
      <c r="AA18" s="64"/>
      <c r="AB18" s="64"/>
      <c r="AC18" s="64"/>
      <c r="AD18" s="64"/>
      <c r="AE18" s="64"/>
      <c r="AF18" s="64"/>
      <c r="AG18" s="64"/>
      <c r="AH18" s="64"/>
      <c r="AI18" s="64"/>
      <c r="AJ18" s="64"/>
      <c r="AK18" s="64"/>
      <c r="AL18" s="64"/>
      <c r="AM18" s="64"/>
      <c r="AN18" s="64"/>
      <c r="AO18" s="64"/>
      <c r="AP18" s="64"/>
      <c r="AQ18" s="70"/>
      <c r="AR18" s="64"/>
      <c r="AS18" s="64"/>
      <c r="AT18" s="64"/>
      <c r="AU18" s="64"/>
      <c r="AV18" s="64"/>
      <c r="AW18" s="64"/>
      <c r="AX18" s="64"/>
      <c r="AY18" s="64"/>
      <c r="AZ18" s="64"/>
      <c r="BA18" s="64"/>
      <c r="BB18" s="64"/>
      <c r="BC18" s="134"/>
      <c r="BD18" s="134"/>
      <c r="BE18" s="134"/>
      <c r="BF18" s="134"/>
      <c r="BG18" s="134"/>
      <c r="BH18" s="134"/>
      <c r="BI18" s="134"/>
      <c r="BJ18" s="134"/>
      <c r="BK18" s="134"/>
      <c r="BL18" s="134"/>
      <c r="BM18" s="134"/>
      <c r="BN18" s="134"/>
      <c r="BO18" s="134"/>
      <c r="BP18" s="134"/>
      <c r="BQ18" s="134"/>
      <c r="BR18" s="134"/>
      <c r="BS18" s="134"/>
      <c r="BT18" s="134"/>
      <c r="BU18" s="134"/>
      <c r="BV18" s="134"/>
      <c r="BW18" s="131" t="str">
        <f t="shared" si="0"/>
        <v>PIsolation renforcée LECAPITAINE2 portes arrière ouverture totale (porte droite prioritaire)Escabeau arrière coulissant 2 marches largesPlancher : Antidérapant sans passages de roues avec 1 siphon d'évacuation1 plafonnier à LED avec temporisation1 niveau de rail d'arrimage en acier galvanisé D + G à 900 mm du plancher (~18 mm de largeur utile)1 Rideau coulissant à lanières aux portes ARProtection bas de parois sur 245 mm de haut</v>
      </c>
    </row>
    <row r="19" spans="1:75" s="68" customFormat="1" ht="45" outlineLevel="1" x14ac:dyDescent="0.25">
      <c r="A19" s="64" t="s">
        <v>4197</v>
      </c>
      <c r="B19" s="64" t="s">
        <v>424</v>
      </c>
      <c r="C19" s="64"/>
      <c r="D19" s="64" t="s">
        <v>3966</v>
      </c>
      <c r="E19" s="64" t="s">
        <v>3967</v>
      </c>
      <c r="F19" s="64"/>
      <c r="G19" s="64"/>
      <c r="H19" s="64"/>
      <c r="I19" s="64"/>
      <c r="J19" s="64"/>
      <c r="K19" s="64"/>
      <c r="L19" s="64" t="s">
        <v>3968</v>
      </c>
      <c r="M19" s="64"/>
      <c r="N19" s="64" t="s">
        <v>3969</v>
      </c>
      <c r="O19" s="64"/>
      <c r="P19" s="64"/>
      <c r="Q19" s="64"/>
      <c r="R19" s="64" t="s">
        <v>3970</v>
      </c>
      <c r="S19" s="64" t="s">
        <v>3971</v>
      </c>
      <c r="T19" s="64"/>
      <c r="U19" s="64"/>
      <c r="V19" s="64"/>
      <c r="W19" s="64"/>
      <c r="X19" s="64"/>
      <c r="Y19" s="64"/>
      <c r="Z19" s="64"/>
      <c r="AA19" s="64"/>
      <c r="AB19" s="64"/>
      <c r="AC19" s="64"/>
      <c r="AD19" s="64"/>
      <c r="AE19" s="64"/>
      <c r="AF19" s="64"/>
      <c r="AG19" s="64"/>
      <c r="AH19" s="64"/>
      <c r="AI19" s="64"/>
      <c r="AJ19" s="64"/>
      <c r="AK19" s="64"/>
      <c r="AL19" s="64"/>
      <c r="AM19" s="64"/>
      <c r="AN19" s="64"/>
      <c r="AO19" s="64"/>
      <c r="AP19" s="64"/>
      <c r="AQ19" s="70"/>
      <c r="AR19" s="64"/>
      <c r="AS19" s="64"/>
      <c r="AT19" s="64"/>
      <c r="AU19" s="64"/>
      <c r="AV19" s="64"/>
      <c r="AW19" s="64"/>
      <c r="AX19" s="64"/>
      <c r="AY19" s="64"/>
      <c r="AZ19" s="64"/>
      <c r="BA19" s="64"/>
      <c r="BB19" s="64"/>
      <c r="BC19" s="134"/>
      <c r="BD19" s="134"/>
      <c r="BE19" s="134"/>
      <c r="BF19" s="134"/>
      <c r="BG19" s="134"/>
      <c r="BH19" s="134"/>
      <c r="BI19" s="134"/>
      <c r="BJ19" s="134"/>
      <c r="BK19" s="134"/>
      <c r="BL19" s="134"/>
      <c r="BM19" s="134"/>
      <c r="BN19" s="134"/>
      <c r="BO19" s="134"/>
      <c r="BP19" s="134"/>
      <c r="BQ19" s="134"/>
      <c r="BR19" s="134"/>
      <c r="BS19" s="134"/>
      <c r="BT19" s="134"/>
      <c r="BU19" s="134"/>
      <c r="BV19" s="134"/>
      <c r="BW19" s="131" t="str">
        <f t="shared" si="0"/>
        <v>OLongueur 3.63 m (CU : -73 kg)Porte latérale battante 1000 mm à l'avant droit + Marche pied (CU : -57 kg)1 niveau de rail d'arrimage DR + GA axé à 900 mm du plancher (-18 mm de largeur utile) avec sangle (CU : -16 kg)2 Barre étais avec 1 niveau de rail d'arrimage DR + GA axé à 900 mm du plancher (-18 mm de largeur utile) - (CU : -34 kg)1 étagère D + G profondeur 500 mm à 1000 mm du plancher (CU : -38 kg)2 étagères D + G profondeur 500 mm à 1000 mm et 1300 mm du plancher (CU : -70 kg)</v>
      </c>
    </row>
    <row r="20" spans="1:75" s="68" customFormat="1" ht="33.75" outlineLevel="1" x14ac:dyDescent="0.25">
      <c r="A20" s="64" t="s">
        <v>4198</v>
      </c>
      <c r="B20" s="64" t="s">
        <v>424</v>
      </c>
      <c r="C20" s="64"/>
      <c r="D20" s="64" t="s">
        <v>3966</v>
      </c>
      <c r="E20" s="64"/>
      <c r="F20" s="64"/>
      <c r="G20" s="64"/>
      <c r="H20" s="64"/>
      <c r="I20" s="64"/>
      <c r="J20" s="64"/>
      <c r="K20" s="64"/>
      <c r="L20" s="64"/>
      <c r="M20" s="64"/>
      <c r="N20" s="64" t="s">
        <v>3972</v>
      </c>
      <c r="O20" s="64"/>
      <c r="P20" s="64"/>
      <c r="Q20" s="64"/>
      <c r="R20" s="64" t="s">
        <v>3970</v>
      </c>
      <c r="S20" s="64" t="s">
        <v>3971</v>
      </c>
      <c r="T20" s="64"/>
      <c r="U20" s="64"/>
      <c r="V20" s="64"/>
      <c r="W20" s="64"/>
      <c r="X20" s="64"/>
      <c r="Y20" s="64"/>
      <c r="Z20" s="64"/>
      <c r="AA20" s="64"/>
      <c r="AB20" s="64"/>
      <c r="AC20" s="64"/>
      <c r="AD20" s="64"/>
      <c r="AE20" s="64"/>
      <c r="AF20" s="64"/>
      <c r="AG20" s="64"/>
      <c r="AH20" s="64"/>
      <c r="AI20" s="64"/>
      <c r="AJ20" s="64"/>
      <c r="AK20" s="64"/>
      <c r="AL20" s="64"/>
      <c r="AM20" s="64"/>
      <c r="AN20" s="64"/>
      <c r="AO20" s="64"/>
      <c r="AP20" s="64"/>
      <c r="AQ20" s="70"/>
      <c r="AR20" s="64"/>
      <c r="AS20" s="64"/>
      <c r="AT20" s="64"/>
      <c r="AU20" s="64"/>
      <c r="AV20" s="64"/>
      <c r="AW20" s="64"/>
      <c r="AX20" s="64"/>
      <c r="AY20" s="64"/>
      <c r="AZ20" s="64"/>
      <c r="BA20" s="64"/>
      <c r="BB20" s="64"/>
      <c r="BC20" s="134"/>
      <c r="BD20" s="134"/>
      <c r="BE20" s="134"/>
      <c r="BF20" s="134"/>
      <c r="BG20" s="134"/>
      <c r="BH20" s="134"/>
      <c r="BI20" s="134"/>
      <c r="BJ20" s="134"/>
      <c r="BK20" s="134"/>
      <c r="BL20" s="134"/>
      <c r="BM20" s="134"/>
      <c r="BN20" s="134"/>
      <c r="BO20" s="134"/>
      <c r="BP20" s="134"/>
      <c r="BQ20" s="134"/>
      <c r="BR20" s="134"/>
      <c r="BS20" s="134"/>
      <c r="BT20" s="134"/>
      <c r="BU20" s="134"/>
      <c r="BV20" s="134"/>
      <c r="BW20" s="131" t="str">
        <f t="shared" si="0"/>
        <v>OLongueur 3.63 m (CU : -73 kg)2 Barre étais (CU : -18 kg)1 étagère D + G profondeur 500 mm à 1000 mm du plancher (CU : -38 kg)2 étagères D + G profondeur 500 mm à 1000 mm et 1300 mm du plancher (CU : -70 kg)</v>
      </c>
    </row>
    <row r="21" spans="1:75" s="68" customFormat="1" ht="45" outlineLevel="1" x14ac:dyDescent="0.25">
      <c r="A21" s="64" t="s">
        <v>4199</v>
      </c>
      <c r="B21" s="64" t="s">
        <v>424</v>
      </c>
      <c r="C21" s="64"/>
      <c r="D21" s="64" t="s">
        <v>3966</v>
      </c>
      <c r="E21" s="64" t="s">
        <v>3967</v>
      </c>
      <c r="F21" s="64"/>
      <c r="G21" s="64"/>
      <c r="H21" s="64"/>
      <c r="I21" s="64"/>
      <c r="J21" s="64"/>
      <c r="K21" s="64"/>
      <c r="L21" s="64" t="s">
        <v>3968</v>
      </c>
      <c r="M21" s="64"/>
      <c r="N21" s="64" t="s">
        <v>3969</v>
      </c>
      <c r="O21" s="64"/>
      <c r="P21" s="64"/>
      <c r="Q21" s="64"/>
      <c r="R21" s="64" t="s">
        <v>3970</v>
      </c>
      <c r="S21" s="64" t="s">
        <v>3971</v>
      </c>
      <c r="T21" s="64"/>
      <c r="U21" s="64"/>
      <c r="V21" s="64"/>
      <c r="W21" s="64"/>
      <c r="X21" s="64"/>
      <c r="Y21" s="64"/>
      <c r="Z21" s="64"/>
      <c r="AA21" s="64"/>
      <c r="AB21" s="64"/>
      <c r="AC21" s="64"/>
      <c r="AD21" s="64"/>
      <c r="AE21" s="64"/>
      <c r="AF21" s="64"/>
      <c r="AG21" s="64"/>
      <c r="AH21" s="64"/>
      <c r="AI21" s="64"/>
      <c r="AJ21" s="64"/>
      <c r="AK21" s="64"/>
      <c r="AL21" s="64"/>
      <c r="AM21" s="64"/>
      <c r="AN21" s="64"/>
      <c r="AO21" s="64"/>
      <c r="AP21" s="64"/>
      <c r="AQ21" s="70"/>
      <c r="AR21" s="64"/>
      <c r="AS21" s="64"/>
      <c r="AT21" s="64"/>
      <c r="AU21" s="64"/>
      <c r="AV21" s="64"/>
      <c r="AW21" s="64"/>
      <c r="AX21" s="64"/>
      <c r="AY21" s="64"/>
      <c r="AZ21" s="64"/>
      <c r="BA21" s="64"/>
      <c r="BB21" s="64"/>
      <c r="BC21" s="134"/>
      <c r="BD21" s="134"/>
      <c r="BE21" s="134"/>
      <c r="BF21" s="134"/>
      <c r="BG21" s="134"/>
      <c r="BH21" s="134"/>
      <c r="BI21" s="134"/>
      <c r="BJ21" s="134"/>
      <c r="BK21" s="134"/>
      <c r="BL21" s="134"/>
      <c r="BM21" s="134"/>
      <c r="BN21" s="134"/>
      <c r="BO21" s="134"/>
      <c r="BP21" s="134"/>
      <c r="BQ21" s="134"/>
      <c r="BR21" s="134"/>
      <c r="BS21" s="134"/>
      <c r="BT21" s="134"/>
      <c r="BU21" s="134"/>
      <c r="BV21" s="134"/>
      <c r="BW21" s="131" t="str">
        <f t="shared" si="0"/>
        <v>OLongueur 3.63 m (CU : -73 kg)Porte latérale battante 1000 mm à l'avant droit + Marche pied (CU : -57 kg)1 niveau de rail d'arrimage DR + GA axé à 900 mm du plancher (-18 mm de largeur utile) avec sangle (CU : -16 kg)2 Barre étais avec 1 niveau de rail d'arrimage DR + GA axé à 900 mm du plancher (-18 mm de largeur utile) - (CU : -34 kg)1 étagère D + G profondeur 500 mm à 1000 mm du plancher (CU : -38 kg)2 étagères D + G profondeur 500 mm à 1000 mm et 1300 mm du plancher (CU : -70 kg)</v>
      </c>
    </row>
    <row r="22" spans="1:75" s="68" customFormat="1" ht="33.75" outlineLevel="1" x14ac:dyDescent="0.25">
      <c r="A22" s="64" t="s">
        <v>4200</v>
      </c>
      <c r="B22" s="64" t="s">
        <v>424</v>
      </c>
      <c r="C22" s="64"/>
      <c r="D22" s="64"/>
      <c r="E22" s="64"/>
      <c r="F22" s="64"/>
      <c r="G22" s="64"/>
      <c r="H22" s="64"/>
      <c r="I22" s="64"/>
      <c r="J22" s="64"/>
      <c r="K22" s="64"/>
      <c r="L22" s="64" t="s">
        <v>3968</v>
      </c>
      <c r="M22" s="64"/>
      <c r="N22" s="64"/>
      <c r="O22" s="64"/>
      <c r="P22" s="64"/>
      <c r="Q22" s="64"/>
      <c r="R22" s="64" t="s">
        <v>3970</v>
      </c>
      <c r="S22" s="64" t="s">
        <v>3971</v>
      </c>
      <c r="T22" s="64"/>
      <c r="U22" s="64"/>
      <c r="V22" s="64"/>
      <c r="W22" s="64"/>
      <c r="X22" s="64"/>
      <c r="Y22" s="64"/>
      <c r="Z22" s="64"/>
      <c r="AA22" s="64"/>
      <c r="AB22" s="64"/>
      <c r="AC22" s="64"/>
      <c r="AD22" s="64"/>
      <c r="AE22" s="64"/>
      <c r="AF22" s="64"/>
      <c r="AG22" s="64"/>
      <c r="AH22" s="64"/>
      <c r="AI22" s="64"/>
      <c r="AJ22" s="64"/>
      <c r="AK22" s="64"/>
      <c r="AL22" s="64"/>
      <c r="AM22" s="64"/>
      <c r="AN22" s="64"/>
      <c r="AO22" s="64"/>
      <c r="AP22" s="64"/>
      <c r="AQ22" s="70"/>
      <c r="AR22" s="64"/>
      <c r="AS22" s="64"/>
      <c r="AT22" s="64"/>
      <c r="AU22" s="64"/>
      <c r="AV22" s="64"/>
      <c r="AW22" s="64"/>
      <c r="AX22" s="64"/>
      <c r="AY22" s="64"/>
      <c r="AZ22" s="64"/>
      <c r="BA22" s="64"/>
      <c r="BB22" s="64"/>
      <c r="BC22" s="134"/>
      <c r="BD22" s="134"/>
      <c r="BE22" s="134"/>
      <c r="BF22" s="134"/>
      <c r="BG22" s="134"/>
      <c r="BH22" s="134"/>
      <c r="BI22" s="134"/>
      <c r="BJ22" s="134"/>
      <c r="BK22" s="134"/>
      <c r="BL22" s="134"/>
      <c r="BM22" s="134"/>
      <c r="BN22" s="134"/>
      <c r="BO22" s="134"/>
      <c r="BP22" s="134"/>
      <c r="BQ22" s="134"/>
      <c r="BR22" s="134"/>
      <c r="BS22" s="134"/>
      <c r="BT22" s="134"/>
      <c r="BU22" s="134"/>
      <c r="BV22" s="134"/>
      <c r="BW22" s="131" t="str">
        <f t="shared" si="0"/>
        <v>O1 niveau de rail d'arrimage DR + GA axé à 900 mm du plancher (-18 mm de largeur utile) avec sangle (CU : -16 kg)1 étagère D + G profondeur 500 mm à 1000 mm du plancher (CU : -38 kg)2 étagères D + G profondeur 500 mm à 1000 mm et 1300 mm du plancher (CU : -70 kg)</v>
      </c>
    </row>
    <row r="23" spans="1:75" s="68" customFormat="1" ht="33.75" outlineLevel="1" x14ac:dyDescent="0.25">
      <c r="A23" s="64" t="s">
        <v>4201</v>
      </c>
      <c r="B23" s="64" t="s">
        <v>424</v>
      </c>
      <c r="C23" s="64"/>
      <c r="D23" s="64"/>
      <c r="E23" s="64"/>
      <c r="F23" s="64"/>
      <c r="G23" s="64"/>
      <c r="H23" s="64"/>
      <c r="I23" s="64"/>
      <c r="J23" s="64"/>
      <c r="K23" s="64"/>
      <c r="L23" s="64"/>
      <c r="M23" s="64"/>
      <c r="N23" s="64"/>
      <c r="O23" s="64"/>
      <c r="P23" s="64"/>
      <c r="Q23" s="64"/>
      <c r="R23" s="64" t="s">
        <v>3970</v>
      </c>
      <c r="S23" s="64" t="s">
        <v>3971</v>
      </c>
      <c r="T23" s="64"/>
      <c r="U23" s="64"/>
      <c r="V23" s="64"/>
      <c r="W23" s="64"/>
      <c r="X23" s="64"/>
      <c r="Y23" s="64"/>
      <c r="Z23" s="64"/>
      <c r="AA23" s="64"/>
      <c r="AB23" s="64"/>
      <c r="AC23" s="64"/>
      <c r="AD23" s="64"/>
      <c r="AE23" s="64"/>
      <c r="AF23" s="64"/>
      <c r="AG23" s="64"/>
      <c r="AH23" s="64"/>
      <c r="AI23" s="64"/>
      <c r="AJ23" s="64"/>
      <c r="AK23" s="64"/>
      <c r="AL23" s="64"/>
      <c r="AM23" s="64"/>
      <c r="AN23" s="64"/>
      <c r="AO23" s="64"/>
      <c r="AP23" s="64"/>
      <c r="AQ23" s="70"/>
      <c r="AR23" s="64"/>
      <c r="AS23" s="64"/>
      <c r="AT23" s="64"/>
      <c r="AU23" s="64"/>
      <c r="AV23" s="64"/>
      <c r="AW23" s="64"/>
      <c r="AX23" s="64"/>
      <c r="AY23" s="64"/>
      <c r="AZ23" s="64"/>
      <c r="BA23" s="64"/>
      <c r="BB23" s="64"/>
      <c r="BC23" s="134"/>
      <c r="BD23" s="134"/>
      <c r="BE23" s="134"/>
      <c r="BF23" s="134"/>
      <c r="BG23" s="134"/>
      <c r="BH23" s="134"/>
      <c r="BI23" s="134"/>
      <c r="BJ23" s="134"/>
      <c r="BK23" s="134"/>
      <c r="BL23" s="134"/>
      <c r="BM23" s="134"/>
      <c r="BN23" s="134"/>
      <c r="BO23" s="134"/>
      <c r="BP23" s="134"/>
      <c r="BQ23" s="134"/>
      <c r="BR23" s="134"/>
      <c r="BS23" s="134"/>
      <c r="BT23" s="134"/>
      <c r="BU23" s="134"/>
      <c r="BV23" s="134"/>
      <c r="BW23" s="131" t="str">
        <f t="shared" si="0"/>
        <v>O1 étagère D + G profondeur 500 mm à 1000 mm du plancher (CU : -38 kg)2 étagères D + G profondeur 500 mm à 1000 mm et 1300 mm du plancher (CU : -70 kg)</v>
      </c>
    </row>
    <row r="24" spans="1:75" s="68" customFormat="1" ht="33.75" outlineLevel="1" x14ac:dyDescent="0.25">
      <c r="A24" s="64" t="s">
        <v>4202</v>
      </c>
      <c r="B24" s="64" t="s">
        <v>424</v>
      </c>
      <c r="C24" s="64"/>
      <c r="D24" s="64"/>
      <c r="E24" s="64"/>
      <c r="F24" s="64"/>
      <c r="G24" s="64"/>
      <c r="H24" s="64"/>
      <c r="I24" s="64"/>
      <c r="J24" s="64"/>
      <c r="K24" s="64"/>
      <c r="L24" s="64" t="s">
        <v>3973</v>
      </c>
      <c r="M24" s="64"/>
      <c r="N24" s="64"/>
      <c r="O24" s="64"/>
      <c r="P24" s="64"/>
      <c r="Q24" s="64"/>
      <c r="R24" s="64" t="s">
        <v>3974</v>
      </c>
      <c r="S24" s="64" t="s">
        <v>3975</v>
      </c>
      <c r="T24" s="64"/>
      <c r="U24" s="64"/>
      <c r="V24" s="64"/>
      <c r="W24" s="64"/>
      <c r="X24" s="64"/>
      <c r="Y24" s="64"/>
      <c r="Z24" s="64"/>
      <c r="AA24" s="64"/>
      <c r="AB24" s="64"/>
      <c r="AC24" s="64"/>
      <c r="AD24" s="64"/>
      <c r="AE24" s="64"/>
      <c r="AF24" s="64"/>
      <c r="AG24" s="64"/>
      <c r="AH24" s="64"/>
      <c r="AI24" s="64"/>
      <c r="AJ24" s="64"/>
      <c r="AK24" s="64"/>
      <c r="AL24" s="64"/>
      <c r="AM24" s="64"/>
      <c r="AN24" s="64"/>
      <c r="AO24" s="64"/>
      <c r="AP24" s="64"/>
      <c r="AQ24" s="70"/>
      <c r="AR24" s="64"/>
      <c r="AS24" s="64"/>
      <c r="AT24" s="64"/>
      <c r="AU24" s="64"/>
      <c r="AV24" s="64"/>
      <c r="AW24" s="64"/>
      <c r="AX24" s="64"/>
      <c r="AY24" s="64"/>
      <c r="AZ24" s="64"/>
      <c r="BA24" s="64"/>
      <c r="BB24" s="64"/>
      <c r="BC24" s="134"/>
      <c r="BD24" s="134"/>
      <c r="BE24" s="134"/>
      <c r="BF24" s="134"/>
      <c r="BG24" s="134"/>
      <c r="BH24" s="134"/>
      <c r="BI24" s="134"/>
      <c r="BJ24" s="134"/>
      <c r="BK24" s="134"/>
      <c r="BL24" s="134"/>
      <c r="BM24" s="134"/>
      <c r="BN24" s="134"/>
      <c r="BO24" s="134"/>
      <c r="BP24" s="134"/>
      <c r="BQ24" s="134"/>
      <c r="BR24" s="134"/>
      <c r="BS24" s="134"/>
      <c r="BT24" s="134"/>
      <c r="BU24" s="134"/>
      <c r="BV24" s="134"/>
      <c r="BW24" s="131" t="str">
        <f t="shared" si="0"/>
        <v>O1 niveau de rail d'arrimage DR + GA axé à 900 mm du plancher (-18 mm de largeur utile) avec sangle (CU : -20 kg)1 étagère D + G profondeur 500 mm à 1000 mm du plancher (CU : -50 kg)2 étagères D + G profondeur 500 mm à 1000 mm et 1300 mm du plancher (CU : -90 kg)</v>
      </c>
    </row>
    <row r="25" spans="1:75" s="68" customFormat="1" ht="33.75" outlineLevel="1" x14ac:dyDescent="0.25">
      <c r="A25" s="64" t="s">
        <v>4203</v>
      </c>
      <c r="B25" s="64" t="s">
        <v>424</v>
      </c>
      <c r="C25" s="64"/>
      <c r="D25" s="64"/>
      <c r="E25" s="64"/>
      <c r="F25" s="64"/>
      <c r="G25" s="64"/>
      <c r="H25" s="64"/>
      <c r="I25" s="64"/>
      <c r="J25" s="64"/>
      <c r="K25" s="64"/>
      <c r="L25" s="64"/>
      <c r="M25" s="64"/>
      <c r="N25" s="64"/>
      <c r="O25" s="64"/>
      <c r="P25" s="64"/>
      <c r="Q25" s="64"/>
      <c r="R25" s="64" t="s">
        <v>3974</v>
      </c>
      <c r="S25" s="64" t="s">
        <v>3975</v>
      </c>
      <c r="T25" s="64"/>
      <c r="U25" s="64"/>
      <c r="V25" s="64"/>
      <c r="W25" s="64"/>
      <c r="X25" s="64"/>
      <c r="Y25" s="64"/>
      <c r="Z25" s="64"/>
      <c r="AA25" s="64"/>
      <c r="AB25" s="64"/>
      <c r="AC25" s="64"/>
      <c r="AD25" s="64"/>
      <c r="AE25" s="64"/>
      <c r="AF25" s="64"/>
      <c r="AG25" s="64"/>
      <c r="AH25" s="64"/>
      <c r="AI25" s="64"/>
      <c r="AJ25" s="64"/>
      <c r="AK25" s="64"/>
      <c r="AL25" s="64"/>
      <c r="AM25" s="64"/>
      <c r="AN25" s="64"/>
      <c r="AO25" s="64"/>
      <c r="AP25" s="64"/>
      <c r="AQ25" s="70"/>
      <c r="AR25" s="64"/>
      <c r="AS25" s="64"/>
      <c r="AT25" s="64"/>
      <c r="AU25" s="64"/>
      <c r="AV25" s="64"/>
      <c r="AW25" s="64"/>
      <c r="AX25" s="64"/>
      <c r="AY25" s="64"/>
      <c r="AZ25" s="64"/>
      <c r="BA25" s="64"/>
      <c r="BB25" s="64"/>
      <c r="BC25" s="134"/>
      <c r="BD25" s="134"/>
      <c r="BE25" s="134"/>
      <c r="BF25" s="134"/>
      <c r="BG25" s="134"/>
      <c r="BH25" s="134"/>
      <c r="BI25" s="134"/>
      <c r="BJ25" s="134"/>
      <c r="BK25" s="134"/>
      <c r="BL25" s="134"/>
      <c r="BM25" s="134"/>
      <c r="BN25" s="134"/>
      <c r="BO25" s="134"/>
      <c r="BP25" s="134"/>
      <c r="BQ25" s="134"/>
      <c r="BR25" s="134"/>
      <c r="BS25" s="134"/>
      <c r="BT25" s="134"/>
      <c r="BU25" s="134"/>
      <c r="BV25" s="134"/>
      <c r="BW25" s="131" t="str">
        <f t="shared" si="0"/>
        <v>O1 étagère D + G profondeur 500 mm à 1000 mm du plancher (CU : -50 kg)2 étagères D + G profondeur 500 mm à 1000 mm et 1300 mm du plancher (CU : -90 kg)</v>
      </c>
    </row>
    <row r="26" spans="1:75" s="68" customFormat="1" ht="33.75" outlineLevel="1" x14ac:dyDescent="0.25">
      <c r="A26" s="69" t="s">
        <v>3813</v>
      </c>
      <c r="B26" s="64" t="s">
        <v>32</v>
      </c>
      <c r="C26" s="64" t="s">
        <v>1831</v>
      </c>
      <c r="D26" s="64" t="s">
        <v>1832</v>
      </c>
      <c r="E26" s="64"/>
      <c r="F26" s="64" t="s">
        <v>3800</v>
      </c>
      <c r="G26" s="64"/>
      <c r="H26" s="64" t="s">
        <v>1856</v>
      </c>
      <c r="I26" s="64"/>
      <c r="J26" s="64" t="s">
        <v>1853</v>
      </c>
      <c r="K26" s="64"/>
      <c r="L26" s="64"/>
      <c r="M26" s="64"/>
      <c r="N26" s="64"/>
      <c r="O26" s="64" t="s">
        <v>3801</v>
      </c>
      <c r="P26" s="64"/>
      <c r="Q26" s="64"/>
      <c r="R26" s="64"/>
      <c r="S26" s="64" t="s">
        <v>1857</v>
      </c>
      <c r="T26" s="64"/>
      <c r="U26" s="64"/>
      <c r="V26" s="64"/>
      <c r="W26" s="64"/>
      <c r="X26" s="64"/>
      <c r="Y26" s="64"/>
      <c r="Z26" s="64"/>
      <c r="AA26" s="64"/>
      <c r="AB26" s="64"/>
      <c r="AC26" s="64"/>
      <c r="AD26" s="64"/>
      <c r="AE26" s="64"/>
      <c r="AF26" s="64"/>
      <c r="AG26" s="64"/>
      <c r="AH26" s="64"/>
      <c r="AI26" s="64"/>
      <c r="AJ26" s="64"/>
      <c r="AK26" s="64"/>
      <c r="AL26" s="64"/>
      <c r="AM26" s="64"/>
      <c r="AN26" s="64"/>
      <c r="AO26" s="64"/>
      <c r="AP26" s="64"/>
      <c r="AQ26" s="70"/>
      <c r="AR26" s="64"/>
      <c r="AS26" s="64"/>
      <c r="AT26" s="64"/>
      <c r="AU26" s="64"/>
      <c r="AV26" s="64"/>
      <c r="AW26" s="64"/>
      <c r="AX26" s="64"/>
      <c r="AY26" s="64"/>
      <c r="AZ26" s="64"/>
      <c r="BA26" s="64"/>
      <c r="BB26" s="64"/>
      <c r="BC26" s="134"/>
      <c r="BD26" s="134"/>
      <c r="BE26" s="134"/>
      <c r="BF26" s="134"/>
      <c r="BG26" s="134"/>
      <c r="BH26" s="134"/>
      <c r="BI26" s="134"/>
      <c r="BJ26" s="134"/>
      <c r="BK26" s="134"/>
      <c r="BL26" s="134"/>
      <c r="BM26" s="134"/>
      <c r="BN26" s="134"/>
      <c r="BO26" s="134"/>
      <c r="BP26" s="134"/>
      <c r="BQ26" s="134"/>
      <c r="BR26" s="134"/>
      <c r="BS26" s="134"/>
      <c r="BT26" s="134"/>
      <c r="BU26" s="134"/>
      <c r="BV26" s="134"/>
      <c r="BW26" s="131" t="str">
        <f t="shared" si="0"/>
        <v>PIsolation renforcée LECAPITAINE2 portes arrière ouverture totale (porte droite prioritaire)Escabeau arrière coulissant 2 marches largesPlancher : Antidérapant sans passages de roues avec 1 siphon d'évacuation1 plafonnier à LED avec temporisation1 Rideau coulissant à lanières aux portes ARProtection bas de parois sur 245 mm de haut</v>
      </c>
    </row>
    <row r="27" spans="1:75" s="68" customFormat="1" ht="33.75" outlineLevel="1" x14ac:dyDescent="0.25">
      <c r="A27" s="69" t="s">
        <v>3462</v>
      </c>
      <c r="B27" s="64" t="s">
        <v>32</v>
      </c>
      <c r="C27" s="64" t="s">
        <v>1831</v>
      </c>
      <c r="D27" s="64" t="s">
        <v>1832</v>
      </c>
      <c r="E27" s="64"/>
      <c r="F27" s="64" t="s">
        <v>3800</v>
      </c>
      <c r="G27" s="64"/>
      <c r="H27" s="64" t="s">
        <v>1856</v>
      </c>
      <c r="I27" s="64" t="s">
        <v>1862</v>
      </c>
      <c r="J27" s="64" t="s">
        <v>1853</v>
      </c>
      <c r="K27" s="64"/>
      <c r="L27" s="64"/>
      <c r="M27" s="64"/>
      <c r="N27" s="64"/>
      <c r="O27" s="64" t="s">
        <v>3801</v>
      </c>
      <c r="P27" s="64"/>
      <c r="Q27" s="64"/>
      <c r="R27" s="64"/>
      <c r="S27" s="64" t="s">
        <v>1857</v>
      </c>
      <c r="T27" s="64"/>
      <c r="U27" s="64"/>
      <c r="V27" s="64"/>
      <c r="W27" s="64"/>
      <c r="X27" s="64"/>
      <c r="Y27" s="64"/>
      <c r="Z27" s="64"/>
      <c r="AA27" s="64"/>
      <c r="AB27" s="64"/>
      <c r="AC27" s="64"/>
      <c r="AD27" s="64"/>
      <c r="AE27" s="64"/>
      <c r="AF27" s="64"/>
      <c r="AG27" s="64"/>
      <c r="AH27" s="64"/>
      <c r="AI27" s="64"/>
      <c r="AJ27" s="64"/>
      <c r="AK27" s="64"/>
      <c r="AL27" s="64"/>
      <c r="AM27" s="64"/>
      <c r="AN27" s="64"/>
      <c r="AO27" s="64"/>
      <c r="AP27" s="64"/>
      <c r="AQ27" s="70"/>
      <c r="AR27" s="64"/>
      <c r="AS27" s="64"/>
      <c r="AT27" s="64"/>
      <c r="AU27" s="64"/>
      <c r="AV27" s="64"/>
      <c r="AW27" s="64"/>
      <c r="AX27" s="64"/>
      <c r="AY27" s="64"/>
      <c r="AZ27" s="64"/>
      <c r="BA27" s="64"/>
      <c r="BB27" s="64"/>
      <c r="BC27" s="134"/>
      <c r="BD27" s="134"/>
      <c r="BE27" s="134"/>
      <c r="BF27" s="134"/>
      <c r="BG27" s="134"/>
      <c r="BH27" s="134"/>
      <c r="BI27" s="134"/>
      <c r="BJ27" s="134"/>
      <c r="BK27" s="134"/>
      <c r="BL27" s="134"/>
      <c r="BM27" s="134"/>
      <c r="BN27" s="134"/>
      <c r="BO27" s="134"/>
      <c r="BP27" s="134"/>
      <c r="BQ27" s="134"/>
      <c r="BR27" s="134"/>
      <c r="BS27" s="134"/>
      <c r="BT27" s="134"/>
      <c r="BU27" s="134"/>
      <c r="BV27" s="134"/>
      <c r="BW27" s="131" t="str">
        <f t="shared" si="0"/>
        <v>PIsolation renforcée LECAPITAINE2 portes arrière ouverture totale (porte droite prioritaire)Escabeau arrière coulissant 2 marches largesPlancher : Antidérapant sans passages de roues avec 1 siphon d'évacuationFaux châssis allégé RigidLink1 plafonnier à LED avec temporisation1 Rideau coulissant à lanières aux portes ARProtection bas de parois sur 245 mm de haut</v>
      </c>
    </row>
    <row r="28" spans="1:75" s="68" customFormat="1" ht="45" outlineLevel="1" x14ac:dyDescent="0.25">
      <c r="A28" s="69" t="s">
        <v>3439</v>
      </c>
      <c r="B28" s="64" t="s">
        <v>32</v>
      </c>
      <c r="C28" s="64" t="s">
        <v>1831</v>
      </c>
      <c r="D28" s="64" t="s">
        <v>3814</v>
      </c>
      <c r="E28" s="64"/>
      <c r="F28" s="64" t="s">
        <v>3809</v>
      </c>
      <c r="G28" s="64"/>
      <c r="H28" s="64" t="s">
        <v>1856</v>
      </c>
      <c r="I28" s="64"/>
      <c r="J28" s="64" t="s">
        <v>1853</v>
      </c>
      <c r="K28" s="64"/>
      <c r="L28" s="64" t="s">
        <v>3815</v>
      </c>
      <c r="M28" s="64"/>
      <c r="N28" s="64"/>
      <c r="O28" s="64"/>
      <c r="P28" s="64" t="s">
        <v>3811</v>
      </c>
      <c r="Q28" s="64"/>
      <c r="R28" s="64"/>
      <c r="S28" s="64" t="s">
        <v>1857</v>
      </c>
      <c r="T28" s="64"/>
      <c r="U28" s="64"/>
      <c r="V28" s="64"/>
      <c r="W28" s="64"/>
      <c r="X28" s="64"/>
      <c r="Y28" s="64"/>
      <c r="Z28" s="64"/>
      <c r="AA28" s="64"/>
      <c r="AB28" s="64"/>
      <c r="AC28" s="64"/>
      <c r="AD28" s="64"/>
      <c r="AE28" s="64"/>
      <c r="AF28" s="64"/>
      <c r="AG28" s="64"/>
      <c r="AH28" s="64"/>
      <c r="AI28" s="64"/>
      <c r="AJ28" s="64"/>
      <c r="AK28" s="64"/>
      <c r="AL28" s="64"/>
      <c r="AM28" s="64"/>
      <c r="AN28" s="64"/>
      <c r="AO28" s="64"/>
      <c r="AP28" s="64"/>
      <c r="AQ28" s="70"/>
      <c r="AR28" s="64"/>
      <c r="AS28" s="64"/>
      <c r="AT28" s="64"/>
      <c r="AU28" s="64"/>
      <c r="AV28" s="64"/>
      <c r="AW28" s="64"/>
      <c r="AX28" s="64"/>
      <c r="AY28" s="64"/>
      <c r="AZ28" s="64"/>
      <c r="BA28" s="64"/>
      <c r="BB28" s="64"/>
      <c r="BC28" s="134"/>
      <c r="BD28" s="134"/>
      <c r="BE28" s="134"/>
      <c r="BF28" s="134"/>
      <c r="BG28" s="134"/>
      <c r="BH28" s="134"/>
      <c r="BI28" s="134"/>
      <c r="BJ28" s="134"/>
      <c r="BK28" s="134"/>
      <c r="BL28" s="134"/>
      <c r="BM28" s="134"/>
      <c r="BN28" s="134"/>
      <c r="BO28" s="134"/>
      <c r="BP28" s="134"/>
      <c r="BQ28" s="134"/>
      <c r="BR28" s="134"/>
      <c r="BS28" s="134"/>
      <c r="BT28" s="134"/>
      <c r="BU28" s="134"/>
      <c r="BV28" s="134"/>
      <c r="BW28" s="131" t="str">
        <f t="shared" si="0"/>
        <v>PIsolation renforcée LECAPITAINEOuverture arrière totale 3 vantaux avec vantail central de 1m de large et arrêts de portes à ressorts Marchepied AR basculant 2 marchesPlancher : Antidérapant sans passages de roues avec 1 siphon d'évacuation1 plafonnier à LED avec temporisation2 niveaux de rail d'arrimage en acier galvanisé à 800 et 1200 du plancher côté droit/gauche et en fond de caisseArrêt de porte à ressortsProtection bas de parois sur 245 mm de haut</v>
      </c>
    </row>
    <row r="29" spans="1:75" s="68" customFormat="1" ht="45" outlineLevel="1" x14ac:dyDescent="0.25">
      <c r="A29" s="69" t="s">
        <v>3487</v>
      </c>
      <c r="B29" s="64" t="s">
        <v>32</v>
      </c>
      <c r="C29" s="64" t="s">
        <v>1831</v>
      </c>
      <c r="D29" s="64" t="s">
        <v>3816</v>
      </c>
      <c r="E29" s="64"/>
      <c r="F29" s="64" t="s">
        <v>1861</v>
      </c>
      <c r="G29" s="64"/>
      <c r="H29" s="64" t="s">
        <v>1856</v>
      </c>
      <c r="I29" s="64"/>
      <c r="J29" s="64" t="s">
        <v>1853</v>
      </c>
      <c r="K29" s="64"/>
      <c r="L29" s="64"/>
      <c r="M29" s="64"/>
      <c r="N29" s="64"/>
      <c r="O29" s="64" t="s">
        <v>3803</v>
      </c>
      <c r="P29" s="64"/>
      <c r="Q29" s="64"/>
      <c r="R29" s="64"/>
      <c r="S29" s="64" t="s">
        <v>1857</v>
      </c>
      <c r="T29" s="64" t="s">
        <v>3804</v>
      </c>
      <c r="U29" s="64" t="s">
        <v>3805</v>
      </c>
      <c r="V29" s="64"/>
      <c r="W29" s="64"/>
      <c r="X29" s="64"/>
      <c r="Y29" s="64"/>
      <c r="Z29" s="64"/>
      <c r="AA29" s="64"/>
      <c r="AB29" s="64"/>
      <c r="AC29" s="64"/>
      <c r="AD29" s="64"/>
      <c r="AE29" s="64"/>
      <c r="AF29" s="64"/>
      <c r="AG29" s="64"/>
      <c r="AH29" s="64"/>
      <c r="AI29" s="64"/>
      <c r="AJ29" s="64"/>
      <c r="AK29" s="64"/>
      <c r="AL29" s="64"/>
      <c r="AM29" s="64"/>
      <c r="AN29" s="64"/>
      <c r="AO29" s="64"/>
      <c r="AP29" s="64"/>
      <c r="AQ29" s="70"/>
      <c r="AR29" s="64"/>
      <c r="AS29" s="64"/>
      <c r="AT29" s="64"/>
      <c r="AU29" s="64"/>
      <c r="AV29" s="64"/>
      <c r="AW29" s="64"/>
      <c r="AX29" s="64"/>
      <c r="AY29" s="64"/>
      <c r="AZ29" s="64"/>
      <c r="BA29" s="64"/>
      <c r="BB29" s="64"/>
      <c r="BC29" s="134"/>
      <c r="BD29" s="134"/>
      <c r="BE29" s="134"/>
      <c r="BF29" s="134"/>
      <c r="BG29" s="134"/>
      <c r="BH29" s="134"/>
      <c r="BI29" s="134"/>
      <c r="BJ29" s="134"/>
      <c r="BK29" s="134"/>
      <c r="BL29" s="134"/>
      <c r="BM29" s="134"/>
      <c r="BN29" s="134"/>
      <c r="BO29" s="134"/>
      <c r="BP29" s="134"/>
      <c r="BQ29" s="134"/>
      <c r="BR29" s="134"/>
      <c r="BS29" s="134"/>
      <c r="BT29" s="134"/>
      <c r="BU29" s="134"/>
      <c r="BV29" s="134"/>
      <c r="BW29" s="131" t="str">
        <f t="shared" si="0"/>
        <v>PIsolation renforcée LECAPITAINEOuverture arrière totale 3 vantaux avec 1 crémoneEscabeau arrière coulissant 2 marchesPlancher : Antidérapant sans passages de roues avec 1 siphon d'évacuation1 plafonnier à LED avec temporisation1 Rideau coulissant à lanières 3 vantaux aux portes ARProtection bas de parois sur 245 mm de haut1 étagère relevable à droite profondeur 500 mm2 étagères relevables à gauche profondeur 500 mm</v>
      </c>
    </row>
    <row r="30" spans="1:75" s="68" customFormat="1" ht="45" outlineLevel="1" x14ac:dyDescent="0.25">
      <c r="A30" s="69" t="s">
        <v>3440</v>
      </c>
      <c r="B30" s="64" t="s">
        <v>32</v>
      </c>
      <c r="C30" s="64" t="s">
        <v>1831</v>
      </c>
      <c r="D30" s="64" t="s">
        <v>1832</v>
      </c>
      <c r="E30" s="64" t="s">
        <v>1876</v>
      </c>
      <c r="F30" s="64"/>
      <c r="G30" s="64"/>
      <c r="H30" s="64" t="s">
        <v>1856</v>
      </c>
      <c r="I30" s="64"/>
      <c r="J30" s="64" t="s">
        <v>1853</v>
      </c>
      <c r="K30" s="64"/>
      <c r="L30" s="64" t="s">
        <v>3806</v>
      </c>
      <c r="M30" s="64"/>
      <c r="N30" s="64"/>
      <c r="O30" s="64"/>
      <c r="P30" s="64"/>
      <c r="Q30" s="64"/>
      <c r="R30" s="64"/>
      <c r="S30" s="64" t="s">
        <v>1857</v>
      </c>
      <c r="T30" s="64"/>
      <c r="U30" s="64"/>
      <c r="V30" s="64"/>
      <c r="W30" s="64"/>
      <c r="X30" s="64"/>
      <c r="Y30" s="64"/>
      <c r="Z30" s="64"/>
      <c r="AA30" s="64"/>
      <c r="AB30" s="64"/>
      <c r="AC30" s="64"/>
      <c r="AD30" s="64"/>
      <c r="AE30" s="64"/>
      <c r="AF30" s="64"/>
      <c r="AG30" s="64"/>
      <c r="AH30" s="64"/>
      <c r="AI30" s="64"/>
      <c r="AJ30" s="64"/>
      <c r="AK30" s="64"/>
      <c r="AL30" s="64"/>
      <c r="AM30" s="64"/>
      <c r="AN30" s="64"/>
      <c r="AO30" s="64"/>
      <c r="AP30" s="64"/>
      <c r="AQ30" s="70"/>
      <c r="AR30" s="64"/>
      <c r="AS30" s="64"/>
      <c r="AT30" s="64"/>
      <c r="AU30" s="64"/>
      <c r="AV30" s="64"/>
      <c r="AW30" s="64"/>
      <c r="AX30" s="64"/>
      <c r="AY30" s="64"/>
      <c r="AZ30" s="64"/>
      <c r="BA30" s="64"/>
      <c r="BB30" s="64"/>
      <c r="BC30" s="134"/>
      <c r="BD30" s="134"/>
      <c r="BE30" s="134"/>
      <c r="BF30" s="134"/>
      <c r="BG30" s="134"/>
      <c r="BH30" s="134"/>
      <c r="BI30" s="134"/>
      <c r="BJ30" s="134"/>
      <c r="BK30" s="134"/>
      <c r="BL30" s="134"/>
      <c r="BM30" s="134"/>
      <c r="BN30" s="134"/>
      <c r="BO30" s="134"/>
      <c r="BP30" s="134"/>
      <c r="BQ30" s="134"/>
      <c r="BR30" s="134"/>
      <c r="BS30" s="134"/>
      <c r="BT30" s="134"/>
      <c r="BU30" s="134"/>
      <c r="BV30" s="134"/>
      <c r="BW30" s="131" t="str">
        <f t="shared" si="0"/>
        <v>PIsolation renforcée LECAPITAINE2 portes arrière ouverture totale (porte droite prioritaire)Porte latérale battante 1000 mm x 1850 mm à 105 mm à l'avant droitPlancher : Antidérapant sans passages de roues avec 1 siphon d'évacuation1 plafonnier à LED avec temporisation1 niveau de rail d'arrimage en acier galvanisé D + G à 900 mm du plancher (-18 mm de largeur utile)Protection bas de parois sur 245 mm de haut</v>
      </c>
    </row>
    <row r="31" spans="1:75" s="68" customFormat="1" ht="45" outlineLevel="1" x14ac:dyDescent="0.25">
      <c r="A31" s="69" t="s">
        <v>3447</v>
      </c>
      <c r="B31" s="64" t="s">
        <v>32</v>
      </c>
      <c r="C31" s="64" t="s">
        <v>1831</v>
      </c>
      <c r="D31" s="64" t="s">
        <v>1832</v>
      </c>
      <c r="E31" s="64" t="s">
        <v>1876</v>
      </c>
      <c r="F31" s="64"/>
      <c r="G31" s="64"/>
      <c r="H31" s="64" t="s">
        <v>1856</v>
      </c>
      <c r="I31" s="64" t="s">
        <v>1862</v>
      </c>
      <c r="J31" s="64" t="s">
        <v>1853</v>
      </c>
      <c r="K31" s="64"/>
      <c r="L31" s="64" t="s">
        <v>3817</v>
      </c>
      <c r="M31" s="64"/>
      <c r="N31" s="64"/>
      <c r="O31" s="64"/>
      <c r="P31" s="64"/>
      <c r="Q31" s="64"/>
      <c r="R31" s="64"/>
      <c r="S31" s="64" t="s">
        <v>1857</v>
      </c>
      <c r="T31" s="64"/>
      <c r="U31" s="64"/>
      <c r="V31" s="64"/>
      <c r="W31" s="64"/>
      <c r="X31" s="64"/>
      <c r="Y31" s="64"/>
      <c r="Z31" s="64"/>
      <c r="AA31" s="64"/>
      <c r="AB31" s="64"/>
      <c r="AC31" s="64"/>
      <c r="AD31" s="64"/>
      <c r="AE31" s="64"/>
      <c r="AF31" s="64"/>
      <c r="AG31" s="64"/>
      <c r="AH31" s="64"/>
      <c r="AI31" s="64"/>
      <c r="AJ31" s="64"/>
      <c r="AK31" s="64"/>
      <c r="AL31" s="64"/>
      <c r="AM31" s="64"/>
      <c r="AN31" s="64"/>
      <c r="AO31" s="64"/>
      <c r="AP31" s="64"/>
      <c r="AQ31" s="70"/>
      <c r="AR31" s="64"/>
      <c r="AS31" s="64"/>
      <c r="AT31" s="64"/>
      <c r="AU31" s="64"/>
      <c r="AV31" s="70"/>
      <c r="AW31" s="64"/>
      <c r="AX31" s="64"/>
      <c r="AY31" s="64"/>
      <c r="AZ31" s="64"/>
      <c r="BA31" s="64"/>
      <c r="BB31" s="64"/>
      <c r="BC31" s="134"/>
      <c r="BD31" s="134"/>
      <c r="BE31" s="134"/>
      <c r="BF31" s="134"/>
      <c r="BG31" s="134"/>
      <c r="BH31" s="134"/>
      <c r="BI31" s="134"/>
      <c r="BJ31" s="134"/>
      <c r="BK31" s="134"/>
      <c r="BL31" s="134"/>
      <c r="BM31" s="134"/>
      <c r="BN31" s="134"/>
      <c r="BO31" s="134"/>
      <c r="BP31" s="134"/>
      <c r="BQ31" s="134"/>
      <c r="BR31" s="134"/>
      <c r="BS31" s="134"/>
      <c r="BT31" s="134"/>
      <c r="BU31" s="134"/>
      <c r="BV31" s="134"/>
      <c r="BW31" s="131" t="str">
        <f t="shared" si="0"/>
        <v>PIsolation renforcée LECAPITAINE2 portes arrière ouverture totale (porte droite prioritaire)Porte latérale battante 1000 mm x 1850 mm à 105 mm à l'avant droitPlancher : Antidérapant sans passages de roues avec 1 siphon d'évacuationFaux châssis allégé RigidLink1 plafonnier à LED avec temporisation1 niveau de rail d'arrimage en acier galvanisé D + G axé à 900 mm du plancher (-18 mm de largeur utile)Protection bas de parois sur 245 mm de haut</v>
      </c>
    </row>
    <row r="32" spans="1:75" s="68" customFormat="1" ht="67.5" outlineLevel="1" x14ac:dyDescent="0.25">
      <c r="A32" s="69" t="s">
        <v>3548</v>
      </c>
      <c r="B32" s="64" t="s">
        <v>32</v>
      </c>
      <c r="C32" s="64" t="s">
        <v>1868</v>
      </c>
      <c r="D32" s="64" t="s">
        <v>1869</v>
      </c>
      <c r="E32" s="64" t="s">
        <v>1879</v>
      </c>
      <c r="F32" s="64"/>
      <c r="G32" s="64"/>
      <c r="H32" s="64" t="s">
        <v>1856</v>
      </c>
      <c r="I32" s="64" t="s">
        <v>1862</v>
      </c>
      <c r="J32" s="64" t="s">
        <v>1870</v>
      </c>
      <c r="K32" s="64"/>
      <c r="L32" s="64" t="s">
        <v>3818</v>
      </c>
      <c r="M32" s="64"/>
      <c r="N32" s="64"/>
      <c r="O32" s="64" t="s">
        <v>1842</v>
      </c>
      <c r="P32" s="64"/>
      <c r="Q32" s="64"/>
      <c r="R32" s="64"/>
      <c r="S32" s="64" t="s">
        <v>1857</v>
      </c>
      <c r="T32" s="64"/>
      <c r="U32" s="64"/>
      <c r="V32" s="64"/>
      <c r="W32" s="64"/>
      <c r="X32" s="64"/>
      <c r="Y32" s="64"/>
      <c r="Z32" s="64"/>
      <c r="AA32" s="64"/>
      <c r="AB32" s="64"/>
      <c r="AC32" s="64"/>
      <c r="AD32" s="64"/>
      <c r="AE32" s="64"/>
      <c r="AF32" s="64"/>
      <c r="AG32" s="64"/>
      <c r="AH32" s="64"/>
      <c r="AI32" s="64" t="s">
        <v>1871</v>
      </c>
      <c r="AJ32" s="64" t="s">
        <v>1872</v>
      </c>
      <c r="AK32" s="64"/>
      <c r="AL32" s="64"/>
      <c r="AM32" s="64"/>
      <c r="AN32" s="64"/>
      <c r="AO32" s="64"/>
      <c r="AP32" s="64"/>
      <c r="AQ32" s="70"/>
      <c r="AR32" s="64"/>
      <c r="AS32" s="64"/>
      <c r="AT32" s="64"/>
      <c r="AU32" s="64"/>
      <c r="AV32" s="70"/>
      <c r="AW32" s="64"/>
      <c r="AX32" s="64"/>
      <c r="AY32" s="64"/>
      <c r="AZ32" s="64"/>
      <c r="BA32" s="64"/>
      <c r="BB32" s="64"/>
      <c r="BC32" s="134"/>
      <c r="BD32" s="134"/>
      <c r="BE32" s="134"/>
      <c r="BF32" s="134"/>
      <c r="BG32" s="134"/>
      <c r="BH32" s="134"/>
      <c r="BI32" s="134"/>
      <c r="BJ32" s="134"/>
      <c r="BK32" s="134"/>
      <c r="BL32" s="134"/>
      <c r="BM32" s="134"/>
      <c r="BN32" s="134"/>
      <c r="BO32" s="134"/>
      <c r="BP32" s="134"/>
      <c r="BQ32" s="134"/>
      <c r="BR32" s="134"/>
      <c r="BS32" s="134"/>
      <c r="BT32" s="134"/>
      <c r="BU32" s="134"/>
      <c r="BV32" s="134"/>
      <c r="BW32" s="131" t="str">
        <f t="shared" si="0"/>
        <v>PIsolation renforcée caisse URBAN LECAPITAINE2 portes arrière ouverture totale (porte droite prioritaire) avec fermeture centralisée et blocage à 270° aimanté SIMPLE LOCKPorte latérale battante 1000 mm x 1850 mm à 450 mm de l'avant droitPlancher : Antidérapant sans passages de roues avec 1 siphon d'évacuationFaux châssis allégé RigidLink1 plafonnier à LED avec détecteur de présence 1 niveau de rail d'arrimage en aluminium D + G axé à 900 mm du plancher (-20 mm de largeur utile)1 Rideau coulissant à lanières aux portes arrières et 1 rideau fixe à lanières à la porte latéraleProtection bas de parois sur 245 mm de hautProfil de caisse Aéro URBAN Phare de travail par bandeau arrière lumineux pour éclairage de la zone de travail (commandé à l’ouverture de porte)</v>
      </c>
    </row>
    <row r="33" spans="1:75" s="68" customFormat="1" ht="45" outlineLevel="1" x14ac:dyDescent="0.25">
      <c r="A33" s="69" t="s">
        <v>3451</v>
      </c>
      <c r="B33" s="64" t="s">
        <v>32</v>
      </c>
      <c r="C33" s="64" t="s">
        <v>1831</v>
      </c>
      <c r="D33" s="64" t="s">
        <v>1832</v>
      </c>
      <c r="E33" s="64" t="s">
        <v>1876</v>
      </c>
      <c r="F33" s="64"/>
      <c r="G33" s="64"/>
      <c r="H33" s="64" t="s">
        <v>1856</v>
      </c>
      <c r="I33" s="64"/>
      <c r="J33" s="64" t="s">
        <v>1853</v>
      </c>
      <c r="K33" s="64"/>
      <c r="L33" s="64" t="s">
        <v>3806</v>
      </c>
      <c r="M33" s="64"/>
      <c r="N33" s="64"/>
      <c r="O33" s="64" t="s">
        <v>3801</v>
      </c>
      <c r="P33" s="64"/>
      <c r="Q33" s="64"/>
      <c r="R33" s="64"/>
      <c r="S33" s="64" t="s">
        <v>1857</v>
      </c>
      <c r="T33" s="64"/>
      <c r="U33" s="64"/>
      <c r="V33" s="64"/>
      <c r="W33" s="64"/>
      <c r="X33" s="64"/>
      <c r="Y33" s="64"/>
      <c r="Z33" s="64"/>
      <c r="AA33" s="64"/>
      <c r="AB33" s="64"/>
      <c r="AC33" s="64"/>
      <c r="AD33" s="64"/>
      <c r="AE33" s="64"/>
      <c r="AF33" s="64"/>
      <c r="AG33" s="64"/>
      <c r="AH33" s="64"/>
      <c r="AI33" s="64"/>
      <c r="AJ33" s="64"/>
      <c r="AK33" s="64"/>
      <c r="AL33" s="64"/>
      <c r="AM33" s="64"/>
      <c r="AN33" s="64"/>
      <c r="AO33" s="64"/>
      <c r="AP33" s="64"/>
      <c r="AQ33" s="70"/>
      <c r="AR33" s="64"/>
      <c r="AS33" s="64"/>
      <c r="AT33" s="64"/>
      <c r="AU33" s="64"/>
      <c r="AV33" s="64"/>
      <c r="AW33" s="64"/>
      <c r="AX33" s="64"/>
      <c r="AY33" s="64"/>
      <c r="AZ33" s="64"/>
      <c r="BA33" s="64"/>
      <c r="BB33" s="64"/>
      <c r="BC33" s="134"/>
      <c r="BD33" s="134"/>
      <c r="BE33" s="134"/>
      <c r="BF33" s="134"/>
      <c r="BG33" s="134"/>
      <c r="BH33" s="134"/>
      <c r="BI33" s="134"/>
      <c r="BJ33" s="134"/>
      <c r="BK33" s="134"/>
      <c r="BL33" s="134"/>
      <c r="BM33" s="134"/>
      <c r="BN33" s="134"/>
      <c r="BO33" s="134"/>
      <c r="BP33" s="134"/>
      <c r="BQ33" s="134"/>
      <c r="BR33" s="134"/>
      <c r="BS33" s="134"/>
      <c r="BT33" s="134"/>
      <c r="BU33" s="134"/>
      <c r="BV33" s="134"/>
      <c r="BW33" s="131" t="str">
        <f t="shared" si="0"/>
        <v>PIsolation renforcée LECAPITAINE2 portes arrière ouverture totale (porte droite prioritaire)Porte latérale battante 1000 mm x 1850 mm à 105 mm à l'avant droitPlancher : Antidérapant sans passages de roues avec 1 siphon d'évacuation1 plafonnier à LED avec temporisation1 niveau de rail d'arrimage en acier galvanisé D + G à 900 mm du plancher (-18 mm de largeur utile)1 Rideau coulissant à lanières aux portes ARProtection bas de parois sur 245 mm de haut</v>
      </c>
    </row>
    <row r="34" spans="1:75" s="68" customFormat="1" ht="45" outlineLevel="1" x14ac:dyDescent="0.25">
      <c r="A34" s="69" t="s">
        <v>3465</v>
      </c>
      <c r="B34" s="64" t="s">
        <v>32</v>
      </c>
      <c r="C34" s="64" t="s">
        <v>1831</v>
      </c>
      <c r="D34" s="64" t="s">
        <v>1832</v>
      </c>
      <c r="E34" s="64" t="s">
        <v>1876</v>
      </c>
      <c r="F34" s="64"/>
      <c r="G34" s="64"/>
      <c r="H34" s="64" t="s">
        <v>1856</v>
      </c>
      <c r="I34" s="64" t="s">
        <v>1862</v>
      </c>
      <c r="J34" s="64" t="s">
        <v>1853</v>
      </c>
      <c r="K34" s="64"/>
      <c r="L34" s="64" t="s">
        <v>3806</v>
      </c>
      <c r="M34" s="64"/>
      <c r="N34" s="64"/>
      <c r="O34" s="64" t="s">
        <v>3801</v>
      </c>
      <c r="P34" s="64"/>
      <c r="Q34" s="64"/>
      <c r="R34" s="64"/>
      <c r="S34" s="64" t="s">
        <v>1857</v>
      </c>
      <c r="T34" s="64"/>
      <c r="U34" s="64"/>
      <c r="V34" s="64"/>
      <c r="W34" s="64"/>
      <c r="X34" s="64"/>
      <c r="Y34" s="64"/>
      <c r="Z34" s="64"/>
      <c r="AA34" s="64"/>
      <c r="AB34" s="64"/>
      <c r="AC34" s="64"/>
      <c r="AD34" s="64"/>
      <c r="AE34" s="64"/>
      <c r="AF34" s="64"/>
      <c r="AG34" s="64"/>
      <c r="AH34" s="64"/>
      <c r="AI34" s="64"/>
      <c r="AJ34" s="64"/>
      <c r="AK34" s="64"/>
      <c r="AL34" s="64"/>
      <c r="AM34" s="64"/>
      <c r="AN34" s="64"/>
      <c r="AO34" s="64"/>
      <c r="AP34" s="64"/>
      <c r="AQ34" s="70"/>
      <c r="AR34" s="64"/>
      <c r="AS34" s="64"/>
      <c r="AT34" s="64"/>
      <c r="AU34" s="64"/>
      <c r="AV34" s="64"/>
      <c r="AW34" s="64"/>
      <c r="AX34" s="64"/>
      <c r="AY34" s="64"/>
      <c r="AZ34" s="64"/>
      <c r="BA34" s="64"/>
      <c r="BB34" s="64"/>
      <c r="BC34" s="134"/>
      <c r="BD34" s="134"/>
      <c r="BE34" s="134"/>
      <c r="BF34" s="134"/>
      <c r="BG34" s="134"/>
      <c r="BH34" s="134"/>
      <c r="BI34" s="134"/>
      <c r="BJ34" s="134"/>
      <c r="BK34" s="134"/>
      <c r="BL34" s="134"/>
      <c r="BM34" s="134"/>
      <c r="BN34" s="134"/>
      <c r="BO34" s="134"/>
      <c r="BP34" s="134"/>
      <c r="BQ34" s="134"/>
      <c r="BR34" s="134"/>
      <c r="BS34" s="134"/>
      <c r="BT34" s="134"/>
      <c r="BU34" s="134"/>
      <c r="BV34" s="134"/>
      <c r="BW34" s="131" t="str">
        <f t="shared" si="0"/>
        <v>PIsolation renforcée LECAPITAINE2 portes arrière ouverture totale (porte droite prioritaire)Porte latérale battante 1000 mm x 1850 mm à 105 mm à l'avant droitPlancher : Antidérapant sans passages de roues avec 1 siphon d'évacuationFaux châssis allégé RigidLink1 plafonnier à LED avec temporisation1 niveau de rail d'arrimage en acier galvanisé D + G à 900 mm du plancher (-18 mm de largeur utile)1 Rideau coulissant à lanières aux portes ARProtection bas de parois sur 245 mm de haut</v>
      </c>
    </row>
    <row r="35" spans="1:75" s="68" customFormat="1" ht="56.25" outlineLevel="1" x14ac:dyDescent="0.25">
      <c r="A35" s="69" t="s">
        <v>3443</v>
      </c>
      <c r="B35" s="64" t="s">
        <v>32</v>
      </c>
      <c r="C35" s="64" t="s">
        <v>1831</v>
      </c>
      <c r="D35" s="64" t="s">
        <v>1832</v>
      </c>
      <c r="E35" s="64" t="s">
        <v>1839</v>
      </c>
      <c r="F35" s="64" t="s">
        <v>3809</v>
      </c>
      <c r="G35" s="64"/>
      <c r="H35" s="64" t="s">
        <v>1856</v>
      </c>
      <c r="I35" s="64"/>
      <c r="J35" s="64" t="s">
        <v>1835</v>
      </c>
      <c r="K35" s="64"/>
      <c r="L35" s="64" t="s">
        <v>3806</v>
      </c>
      <c r="M35" s="64"/>
      <c r="N35" s="64" t="s">
        <v>3819</v>
      </c>
      <c r="O35" s="64" t="s">
        <v>1842</v>
      </c>
      <c r="P35" s="64"/>
      <c r="Q35" s="64"/>
      <c r="R35" s="64"/>
      <c r="S35" s="64" t="s">
        <v>1857</v>
      </c>
      <c r="T35" s="64"/>
      <c r="U35" s="64"/>
      <c r="V35" s="64"/>
      <c r="W35" s="64"/>
      <c r="X35" s="64"/>
      <c r="Y35" s="64"/>
      <c r="Z35" s="64"/>
      <c r="AA35" s="64"/>
      <c r="AB35" s="64"/>
      <c r="AC35" s="64"/>
      <c r="AD35" s="64"/>
      <c r="AE35" s="64"/>
      <c r="AF35" s="64"/>
      <c r="AG35" s="64"/>
      <c r="AH35" s="64"/>
      <c r="AI35" s="64"/>
      <c r="AJ35" s="64"/>
      <c r="AK35" s="64"/>
      <c r="AL35" s="64"/>
      <c r="AM35" s="64"/>
      <c r="AN35" s="64"/>
      <c r="AO35" s="64"/>
      <c r="AP35" s="64"/>
      <c r="AQ35" s="70"/>
      <c r="AR35" s="64"/>
      <c r="AS35" s="64"/>
      <c r="AT35" s="64"/>
      <c r="AU35" s="64"/>
      <c r="AV35" s="64"/>
      <c r="AW35" s="64"/>
      <c r="AX35" s="64"/>
      <c r="AY35" s="64"/>
      <c r="AZ35" s="64"/>
      <c r="BA35" s="64"/>
      <c r="BB35" s="64"/>
      <c r="BC35" s="134"/>
      <c r="BD35" s="134"/>
      <c r="BE35" s="134"/>
      <c r="BF35" s="134"/>
      <c r="BG35" s="134"/>
      <c r="BH35" s="134"/>
      <c r="BI35" s="134"/>
      <c r="BJ35" s="134"/>
      <c r="BK35" s="134"/>
      <c r="BL35" s="134"/>
      <c r="BM35" s="134"/>
      <c r="BN35" s="134"/>
      <c r="BO35" s="134"/>
      <c r="BP35" s="134"/>
      <c r="BQ35" s="134"/>
      <c r="BR35" s="134"/>
      <c r="BS35" s="134"/>
      <c r="BT35" s="134"/>
      <c r="BU35" s="134"/>
      <c r="BV35" s="134"/>
      <c r="BW35" s="131" t="str">
        <f t="shared" si="0"/>
        <v>PIsolation renforcée LECAPITAINE2 portes arrière ouverture totale (porte droite prioritaire)Porte latérale battante 1000 mm x 1950 mm à 105 mm à l'avant droitMarchepied AR basculant 2 marchesPlancher : Antidérapant sans passages de roues avec 1 siphon d'évacuation2 plafonniers à LED avec temporisation1 niveau de rail d'arrimage en acier galvanisé D + G à 900 mm du plancher (-18 mm de largeur utile)Cloison mobile relevable (1780 mm ± 20 sous cloison relevée)1 Rideau coulissant à lanières aux portes arrières et 1 rideau fixe à lanières à la porte latéraleProtection bas de parois sur 245 mm de haut</v>
      </c>
    </row>
    <row r="36" spans="1:75" s="68" customFormat="1" ht="56.25" outlineLevel="1" x14ac:dyDescent="0.25">
      <c r="A36" s="69" t="s">
        <v>3467</v>
      </c>
      <c r="B36" s="64" t="s">
        <v>32</v>
      </c>
      <c r="C36" s="64" t="s">
        <v>1831</v>
      </c>
      <c r="D36" s="64" t="s">
        <v>1832</v>
      </c>
      <c r="E36" s="64" t="s">
        <v>1839</v>
      </c>
      <c r="F36" s="64" t="s">
        <v>3800</v>
      </c>
      <c r="G36" s="64"/>
      <c r="H36" s="64" t="s">
        <v>1856</v>
      </c>
      <c r="I36" s="64" t="s">
        <v>1862</v>
      </c>
      <c r="J36" s="64" t="s">
        <v>1835</v>
      </c>
      <c r="K36" s="64"/>
      <c r="L36" s="64" t="s">
        <v>3806</v>
      </c>
      <c r="M36" s="64"/>
      <c r="N36" s="64" t="s">
        <v>3819</v>
      </c>
      <c r="O36" s="64" t="s">
        <v>1842</v>
      </c>
      <c r="P36" s="64"/>
      <c r="Q36" s="64"/>
      <c r="R36" s="64"/>
      <c r="S36" s="64" t="s">
        <v>1857</v>
      </c>
      <c r="T36" s="64"/>
      <c r="U36" s="64"/>
      <c r="V36" s="64"/>
      <c r="W36" s="64"/>
      <c r="X36" s="64"/>
      <c r="Y36" s="64"/>
      <c r="Z36" s="64"/>
      <c r="AA36" s="64"/>
      <c r="AB36" s="64"/>
      <c r="AC36" s="64"/>
      <c r="AD36" s="64"/>
      <c r="AE36" s="64"/>
      <c r="AF36" s="64"/>
      <c r="AG36" s="64"/>
      <c r="AH36" s="64"/>
      <c r="AI36" s="64"/>
      <c r="AJ36" s="64"/>
      <c r="AK36" s="64"/>
      <c r="AL36" s="64"/>
      <c r="AM36" s="64"/>
      <c r="AN36" s="64"/>
      <c r="AO36" s="64"/>
      <c r="AP36" s="64"/>
      <c r="AQ36" s="70"/>
      <c r="AR36" s="64"/>
      <c r="AS36" s="64"/>
      <c r="AT36" s="64"/>
      <c r="AU36" s="64"/>
      <c r="AV36" s="64"/>
      <c r="AW36" s="64"/>
      <c r="AX36" s="64"/>
      <c r="AY36" s="64"/>
      <c r="AZ36" s="64"/>
      <c r="BA36" s="64"/>
      <c r="BB36" s="64"/>
      <c r="BC36" s="134"/>
      <c r="BD36" s="134"/>
      <c r="BE36" s="134"/>
      <c r="BF36" s="134"/>
      <c r="BG36" s="134"/>
      <c r="BH36" s="134"/>
      <c r="BI36" s="134"/>
      <c r="BJ36" s="134"/>
      <c r="BK36" s="134"/>
      <c r="BL36" s="134"/>
      <c r="BM36" s="134"/>
      <c r="BN36" s="134"/>
      <c r="BO36" s="134"/>
      <c r="BP36" s="134"/>
      <c r="BQ36" s="134"/>
      <c r="BR36" s="134"/>
      <c r="BS36" s="134"/>
      <c r="BT36" s="134"/>
      <c r="BU36" s="134"/>
      <c r="BV36" s="134"/>
      <c r="BW36" s="131" t="str">
        <f t="shared" si="0"/>
        <v>PIsolation renforcée LECAPITAINE2 portes arrière ouverture totale (porte droite prioritaire)Porte latérale battante 1000 mm x 1950 mm à 105 mm à l'avant droitEscabeau arrière coulissant 2 marches largesPlancher : Antidérapant sans passages de roues avec 1 siphon d'évacuationFaux châssis allégé RigidLink2 plafonniers à LED avec temporisation1 niveau de rail d'arrimage en acier galvanisé D + G à 900 mm du plancher (-18 mm de largeur utile)Cloison mobile relevable (1780 mm ± 20 sous cloison relevée)1 Rideau coulissant à lanières aux portes arrières et 1 rideau fixe à lanières à la porte latéraleProtection bas de parois sur 245 mm de haut</v>
      </c>
    </row>
    <row r="37" spans="1:75" s="68" customFormat="1" ht="45" outlineLevel="1" x14ac:dyDescent="0.25">
      <c r="A37" s="69" t="s">
        <v>3331</v>
      </c>
      <c r="B37" s="64" t="s">
        <v>32</v>
      </c>
      <c r="C37" s="64" t="s">
        <v>1831</v>
      </c>
      <c r="D37" s="64" t="s">
        <v>1863</v>
      </c>
      <c r="E37" s="64"/>
      <c r="F37" s="64" t="s">
        <v>1851</v>
      </c>
      <c r="G37" s="64"/>
      <c r="H37" s="64" t="s">
        <v>1864</v>
      </c>
      <c r="I37" s="64"/>
      <c r="J37" s="64" t="s">
        <v>1853</v>
      </c>
      <c r="K37" s="64"/>
      <c r="L37" s="64"/>
      <c r="M37" s="64"/>
      <c r="N37" s="64"/>
      <c r="O37" s="64"/>
      <c r="P37" s="64"/>
      <c r="Q37" s="64"/>
      <c r="R37" s="64"/>
      <c r="S37" s="64" t="s">
        <v>3796</v>
      </c>
      <c r="T37" s="64"/>
      <c r="U37" s="64"/>
      <c r="V37" s="64"/>
      <c r="W37" s="64"/>
      <c r="X37" s="64"/>
      <c r="Y37" s="64"/>
      <c r="Z37" s="64"/>
      <c r="AA37" s="64"/>
      <c r="AB37" s="64"/>
      <c r="AC37" s="64"/>
      <c r="AD37" s="64"/>
      <c r="AE37" s="64"/>
      <c r="AF37" s="64"/>
      <c r="AG37" s="64"/>
      <c r="AH37" s="64"/>
      <c r="AI37" s="64"/>
      <c r="AJ37" s="64"/>
      <c r="AK37" s="64"/>
      <c r="AL37" s="64"/>
      <c r="AM37" s="64"/>
      <c r="AN37" s="64"/>
      <c r="AO37" s="64"/>
      <c r="AP37" s="64"/>
      <c r="AQ37" s="70"/>
      <c r="AR37" s="64"/>
      <c r="AS37" s="64"/>
      <c r="AT37" s="64"/>
      <c r="AU37" s="64"/>
      <c r="AV37" s="64"/>
      <c r="AW37" s="64"/>
      <c r="AX37" s="64"/>
      <c r="AY37" s="64"/>
      <c r="AZ37" s="64"/>
      <c r="BA37" s="64"/>
      <c r="BB37" s="64"/>
      <c r="BC37" s="134"/>
      <c r="BD37" s="134"/>
      <c r="BE37" s="134"/>
      <c r="BF37" s="134"/>
      <c r="BG37" s="134"/>
      <c r="BH37" s="134"/>
      <c r="BI37" s="134"/>
      <c r="BJ37" s="134"/>
      <c r="BK37" s="134"/>
      <c r="BL37" s="134"/>
      <c r="BM37" s="134"/>
      <c r="BN37" s="134"/>
      <c r="BO37" s="134"/>
      <c r="BP37" s="134"/>
      <c r="BQ37" s="134"/>
      <c r="BR37" s="134"/>
      <c r="BS37" s="134"/>
      <c r="BT37" s="134"/>
      <c r="BU37" s="134"/>
      <c r="BV37" s="134"/>
      <c r="BW37" s="131" t="str">
        <f t="shared" si="0"/>
        <v>PIsolation renforcée LECAPITAINE2 portes arrière 1100 mm x 1880 mmMarchepied fixe 1 marchePlancher : Antidérapant avec passages de roues (largeur entre passages de roues : 1250 mm) avec 2 siphons d'évacuation1 plafonnier à LED avec temporisationProtection bas de parois sur 240 mm de haut</v>
      </c>
    </row>
    <row r="38" spans="1:75" s="68" customFormat="1" ht="45" outlineLevel="1" x14ac:dyDescent="0.25">
      <c r="A38" s="69" t="s">
        <v>3337</v>
      </c>
      <c r="B38" s="64" t="s">
        <v>32</v>
      </c>
      <c r="C38" s="64" t="s">
        <v>1831</v>
      </c>
      <c r="D38" s="64" t="s">
        <v>1863</v>
      </c>
      <c r="E38" s="64"/>
      <c r="F38" s="64" t="s">
        <v>1851</v>
      </c>
      <c r="G38" s="64"/>
      <c r="H38" s="64" t="s">
        <v>3820</v>
      </c>
      <c r="I38" s="64"/>
      <c r="J38" s="64" t="s">
        <v>1853</v>
      </c>
      <c r="K38" s="64"/>
      <c r="L38" s="64" t="s">
        <v>3794</v>
      </c>
      <c r="M38" s="64"/>
      <c r="N38" s="64"/>
      <c r="O38" s="64" t="s">
        <v>3798</v>
      </c>
      <c r="P38" s="64"/>
      <c r="Q38" s="64"/>
      <c r="R38" s="64"/>
      <c r="S38" s="64" t="s">
        <v>3796</v>
      </c>
      <c r="T38" s="64"/>
      <c r="U38" s="64"/>
      <c r="V38" s="64"/>
      <c r="W38" s="64"/>
      <c r="X38" s="64"/>
      <c r="Y38" s="64"/>
      <c r="Z38" s="64"/>
      <c r="AA38" s="64"/>
      <c r="AB38" s="64"/>
      <c r="AC38" s="64"/>
      <c r="AD38" s="64"/>
      <c r="AE38" s="64"/>
      <c r="AF38" s="64"/>
      <c r="AG38" s="64"/>
      <c r="AH38" s="64"/>
      <c r="AI38" s="64"/>
      <c r="AJ38" s="64"/>
      <c r="AK38" s="64"/>
      <c r="AL38" s="64"/>
      <c r="AM38" s="64"/>
      <c r="AN38" s="64"/>
      <c r="AO38" s="64"/>
      <c r="AP38" s="64"/>
      <c r="AQ38" s="70"/>
      <c r="AR38" s="64"/>
      <c r="AS38" s="64"/>
      <c r="AT38" s="64"/>
      <c r="AU38" s="64"/>
      <c r="AV38" s="64"/>
      <c r="AW38" s="64"/>
      <c r="AX38" s="64"/>
      <c r="AY38" s="64"/>
      <c r="AZ38" s="64"/>
      <c r="BA38" s="64"/>
      <c r="BB38" s="64"/>
      <c r="BC38" s="134"/>
      <c r="BD38" s="134"/>
      <c r="BE38" s="134"/>
      <c r="BF38" s="134"/>
      <c r="BG38" s="134"/>
      <c r="BH38" s="134"/>
      <c r="BI38" s="134"/>
      <c r="BJ38" s="134"/>
      <c r="BK38" s="134"/>
      <c r="BL38" s="134"/>
      <c r="BM38" s="134"/>
      <c r="BN38" s="134"/>
      <c r="BO38" s="134"/>
      <c r="BP38" s="134"/>
      <c r="BQ38" s="134"/>
      <c r="BR38" s="134"/>
      <c r="BS38" s="134"/>
      <c r="BT38" s="134"/>
      <c r="BU38" s="134"/>
      <c r="BV38" s="134"/>
      <c r="BW38" s="131" t="str">
        <f t="shared" si="0"/>
        <v>PIsolation renforcée LECAPITAINE2 portes arrière 1100 mm x 1880 mmMarchepied fixe 1 marchePlancher : Antidérapant avec passages de roues (largeur entre passages de roues : 1250 mm) avec 3 siphons d'évacuation1 plafonnier à LED avec temporisation1 niveau de rail d'arrimage en acier galvanisé D + G (-18 mm de largeur utile)1 rideau fixe à lanières aux portes arrièresProtection bas de parois sur 240 mm de haut</v>
      </c>
    </row>
    <row r="39" spans="1:75" s="68" customFormat="1" ht="33.75" outlineLevel="1" x14ac:dyDescent="0.25">
      <c r="A39" s="64" t="s">
        <v>4204</v>
      </c>
      <c r="B39" s="64" t="s">
        <v>424</v>
      </c>
      <c r="C39" s="64"/>
      <c r="D39" s="64"/>
      <c r="E39" s="64" t="s">
        <v>3976</v>
      </c>
      <c r="F39" s="64"/>
      <c r="G39" s="64"/>
      <c r="H39" s="206"/>
      <c r="I39" s="64"/>
      <c r="J39" s="64"/>
      <c r="K39" s="64"/>
      <c r="L39" s="64" t="s">
        <v>3977</v>
      </c>
      <c r="M39" s="64"/>
      <c r="N39" s="64"/>
      <c r="O39" s="207"/>
      <c r="P39" s="64"/>
      <c r="Q39" s="64"/>
      <c r="R39" s="64" t="s">
        <v>3978</v>
      </c>
      <c r="S39" s="207" t="s">
        <v>3979</v>
      </c>
      <c r="T39" s="64"/>
      <c r="U39" s="64"/>
      <c r="V39" s="64"/>
      <c r="W39" s="64"/>
      <c r="X39" s="64"/>
      <c r="Y39" s="64"/>
      <c r="Z39" s="64"/>
      <c r="AA39" s="64"/>
      <c r="AB39" s="64"/>
      <c r="AC39" s="64"/>
      <c r="AD39" s="64"/>
      <c r="AE39" s="64"/>
      <c r="AF39" s="64"/>
      <c r="AG39" s="64"/>
      <c r="AH39" s="64"/>
      <c r="AI39" s="64"/>
      <c r="AJ39" s="64"/>
      <c r="AK39" s="64" t="s">
        <v>3980</v>
      </c>
      <c r="AL39" s="64"/>
      <c r="AM39" s="64"/>
      <c r="AN39" s="64"/>
      <c r="AO39" s="64"/>
      <c r="AP39" s="64"/>
      <c r="AQ39" s="70"/>
      <c r="AR39" s="64"/>
      <c r="AS39" s="64"/>
      <c r="AT39" s="64"/>
      <c r="AU39" s="64"/>
      <c r="AV39" s="64"/>
      <c r="AW39" s="64"/>
      <c r="AX39" s="64"/>
      <c r="AY39" s="64"/>
      <c r="AZ39" s="64"/>
      <c r="BA39" s="64"/>
      <c r="BB39" s="64"/>
      <c r="BC39" s="134"/>
      <c r="BD39" s="134"/>
      <c r="BE39" s="134"/>
      <c r="BF39" s="134"/>
      <c r="BG39" s="134"/>
      <c r="BH39" s="134"/>
      <c r="BI39" s="134"/>
      <c r="BJ39" s="134"/>
      <c r="BK39" s="134"/>
      <c r="BL39" s="134"/>
      <c r="BM39" s="134"/>
      <c r="BN39" s="134"/>
      <c r="BO39" s="134"/>
      <c r="BP39" s="134"/>
      <c r="BQ39" s="134"/>
      <c r="BR39" s="134"/>
      <c r="BS39" s="134"/>
      <c r="BT39" s="134"/>
      <c r="BU39" s="134"/>
      <c r="BV39" s="134"/>
      <c r="BW39" s="131" t="str">
        <f t="shared" si="0"/>
        <v>OPorte latérale battante 1000 mm à l'avant droit (CU : -27 kg)1 niveau de rail d'arrimage DR + GA axé à 900 mm du plancher (-18 mm de largeur utile) avec sangle (CU : -15 kg)1 étagère D + G profondeur 400 mm à 1000 mm du plancher (CU : -35 kg)2 étagères D + G profondeur 400 mm à 1000 mm et 1300 mm du plancher (CU : -63 kg)1 rampe d'accès arrière (CU : -26 kg)</v>
      </c>
    </row>
    <row r="40" spans="1:75" s="68" customFormat="1" ht="45" outlineLevel="1" x14ac:dyDescent="0.25">
      <c r="A40" s="69" t="s">
        <v>3821</v>
      </c>
      <c r="B40" s="64" t="s">
        <v>32</v>
      </c>
      <c r="C40" s="64" t="s">
        <v>1831</v>
      </c>
      <c r="D40" s="64" t="s">
        <v>1863</v>
      </c>
      <c r="E40" s="64"/>
      <c r="F40" s="64" t="s">
        <v>1851</v>
      </c>
      <c r="G40" s="64"/>
      <c r="H40" s="64" t="s">
        <v>3820</v>
      </c>
      <c r="I40" s="64"/>
      <c r="J40" s="64" t="s">
        <v>1853</v>
      </c>
      <c r="K40" s="64"/>
      <c r="L40" s="64"/>
      <c r="M40" s="64"/>
      <c r="N40" s="64"/>
      <c r="O40" s="64" t="s">
        <v>3798</v>
      </c>
      <c r="P40" s="64"/>
      <c r="Q40" s="64"/>
      <c r="R40" s="64"/>
      <c r="S40" s="64" t="s">
        <v>3796</v>
      </c>
      <c r="T40" s="64"/>
      <c r="U40" s="64"/>
      <c r="V40" s="64"/>
      <c r="W40" s="64"/>
      <c r="X40" s="64"/>
      <c r="Y40" s="64"/>
      <c r="Z40" s="64"/>
      <c r="AA40" s="64"/>
      <c r="AB40" s="64"/>
      <c r="AC40" s="64"/>
      <c r="AD40" s="64"/>
      <c r="AE40" s="64"/>
      <c r="AF40" s="64"/>
      <c r="AG40" s="64"/>
      <c r="AH40" s="64"/>
      <c r="AI40" s="64"/>
      <c r="AJ40" s="64"/>
      <c r="AK40" s="64"/>
      <c r="AL40" s="64"/>
      <c r="AM40" s="64"/>
      <c r="AN40" s="64"/>
      <c r="AO40" s="64"/>
      <c r="AP40" s="64"/>
      <c r="AQ40" s="70"/>
      <c r="AR40" s="64"/>
      <c r="AS40" s="64"/>
      <c r="AT40" s="64"/>
      <c r="AU40" s="64"/>
      <c r="AV40" s="64"/>
      <c r="AW40" s="64"/>
      <c r="AX40" s="64"/>
      <c r="AY40" s="64"/>
      <c r="AZ40" s="64"/>
      <c r="BA40" s="64"/>
      <c r="BB40" s="64"/>
      <c r="BC40" s="134"/>
      <c r="BD40" s="134"/>
      <c r="BE40" s="134"/>
      <c r="BF40" s="134"/>
      <c r="BG40" s="134"/>
      <c r="BH40" s="134"/>
      <c r="BI40" s="134"/>
      <c r="BJ40" s="134"/>
      <c r="BK40" s="134"/>
      <c r="BL40" s="134"/>
      <c r="BM40" s="134"/>
      <c r="BN40" s="134"/>
      <c r="BO40" s="134"/>
      <c r="BP40" s="134"/>
      <c r="BQ40" s="134"/>
      <c r="BR40" s="134"/>
      <c r="BS40" s="134"/>
      <c r="BT40" s="134"/>
      <c r="BU40" s="134"/>
      <c r="BV40" s="134"/>
      <c r="BW40" s="131" t="str">
        <f t="shared" si="0"/>
        <v>PIsolation renforcée LECAPITAINE2 portes arrière 1100 mm x 1880 mmMarchepied fixe 1 marchePlancher : Antidérapant avec passages de roues (largeur entre passages de roues : 1250 mm) avec 3 siphons d'évacuation1 plafonnier à LED avec temporisation1 rideau fixe à lanières aux portes arrièresProtection bas de parois sur 240 mm de haut</v>
      </c>
    </row>
    <row r="41" spans="1:75" s="96" customFormat="1" ht="45" customHeight="1" outlineLevel="1" x14ac:dyDescent="0.25">
      <c r="A41" s="69" t="s">
        <v>3430</v>
      </c>
      <c r="B41" s="64" t="s">
        <v>32</v>
      </c>
      <c r="C41" s="64" t="s">
        <v>1831</v>
      </c>
      <c r="D41" s="64" t="s">
        <v>3822</v>
      </c>
      <c r="E41" s="64" t="s">
        <v>3823</v>
      </c>
      <c r="F41" s="64" t="s">
        <v>1851</v>
      </c>
      <c r="G41" s="64"/>
      <c r="H41" s="64" t="s">
        <v>3824</v>
      </c>
      <c r="I41" s="64"/>
      <c r="J41" s="64" t="s">
        <v>1853</v>
      </c>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70"/>
      <c r="AR41" s="64"/>
      <c r="AS41" s="64"/>
      <c r="AT41" s="64"/>
      <c r="AU41" s="64"/>
      <c r="AV41" s="64"/>
      <c r="AW41" s="64"/>
      <c r="AX41" s="64"/>
      <c r="AY41" s="64"/>
      <c r="AZ41" s="64"/>
      <c r="BA41" s="64"/>
      <c r="BB41" s="64"/>
      <c r="BC41" s="134"/>
      <c r="BD41" s="134"/>
      <c r="BE41" s="134"/>
      <c r="BF41" s="134"/>
      <c r="BG41" s="134"/>
      <c r="BH41" s="134"/>
      <c r="BI41" s="134"/>
      <c r="BJ41" s="134"/>
      <c r="BK41" s="134"/>
      <c r="BL41" s="134"/>
      <c r="BM41" s="134"/>
      <c r="BN41" s="134"/>
      <c r="BO41" s="134"/>
      <c r="BP41" s="134"/>
      <c r="BQ41" s="134"/>
      <c r="BR41" s="134"/>
      <c r="BS41" s="134"/>
      <c r="BT41" s="134"/>
      <c r="BU41" s="134"/>
      <c r="BV41" s="134"/>
      <c r="BW41" s="131" t="str">
        <f t="shared" si="0"/>
        <v>PIsolation renforcée LECAPITAINE1 Porte arrière 750 mm x 1250 mmPorte latérale battante 750 mm x 1200 mm à l'avant droitMarchepied fixe 1 marchePlancher : Antidérapant léger sans passages de roues avec 1 siphon d'évacuation1 plafonnier à LED avec temporisation</v>
      </c>
    </row>
    <row r="42" spans="1:75" s="68" customFormat="1" ht="33.75" outlineLevel="1" x14ac:dyDescent="0.25">
      <c r="A42" s="69" t="s">
        <v>3581</v>
      </c>
      <c r="B42" s="64" t="s">
        <v>32</v>
      </c>
      <c r="C42" s="64" t="s">
        <v>1831</v>
      </c>
      <c r="D42" s="64" t="s">
        <v>3825</v>
      </c>
      <c r="E42" s="64"/>
      <c r="F42" s="64"/>
      <c r="G42" s="64"/>
      <c r="H42" s="206" t="s">
        <v>3826</v>
      </c>
      <c r="I42" s="64"/>
      <c r="J42" s="64" t="s">
        <v>3827</v>
      </c>
      <c r="K42" s="64"/>
      <c r="L42" s="64"/>
      <c r="M42" s="64"/>
      <c r="N42" s="64"/>
      <c r="O42" s="64" t="s">
        <v>1901</v>
      </c>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70"/>
      <c r="AR42" s="64"/>
      <c r="AS42" s="64"/>
      <c r="AT42" s="64"/>
      <c r="AU42" s="64"/>
      <c r="AV42" s="64"/>
      <c r="AW42" s="64"/>
      <c r="AX42" s="64"/>
      <c r="AY42" s="64"/>
      <c r="AZ42" s="64"/>
      <c r="BA42" s="64"/>
      <c r="BB42" s="64"/>
      <c r="BC42" s="134"/>
      <c r="BD42" s="134"/>
      <c r="BE42" s="134"/>
      <c r="BF42" s="134"/>
      <c r="BG42" s="134"/>
      <c r="BH42" s="134"/>
      <c r="BI42" s="134"/>
      <c r="BJ42" s="134"/>
      <c r="BK42" s="134"/>
      <c r="BL42" s="134"/>
      <c r="BM42" s="134"/>
      <c r="BN42" s="134"/>
      <c r="BO42" s="134"/>
      <c r="BP42" s="134"/>
      <c r="BQ42" s="134"/>
      <c r="BR42" s="134"/>
      <c r="BS42" s="134"/>
      <c r="BT42" s="134"/>
      <c r="BU42" s="134"/>
      <c r="BV42" s="134"/>
      <c r="BW42" s="131" t="str">
        <f t="shared" si="0"/>
        <v>PIsolation renforcée LECAPITAINE1 porte arrièrePlancher : Lisse sans passage de roues avec 1 siphon d'évacuation1 plafonnier à LED ave temporisation1 rideau fixe à lanières anti-déperdition à la porte arrière</v>
      </c>
    </row>
    <row r="43" spans="1:75" s="96" customFormat="1" ht="33.75" outlineLevel="1" x14ac:dyDescent="0.25">
      <c r="A43" s="69" t="s">
        <v>4205</v>
      </c>
      <c r="B43" s="64" t="s">
        <v>424</v>
      </c>
      <c r="C43" s="64"/>
      <c r="D43" s="64"/>
      <c r="E43" s="64"/>
      <c r="F43" s="64"/>
      <c r="G43" s="64"/>
      <c r="H43" s="64"/>
      <c r="I43" s="64"/>
      <c r="J43" s="64"/>
      <c r="K43" s="64" t="s">
        <v>3981</v>
      </c>
      <c r="L43" s="64" t="s">
        <v>3982</v>
      </c>
      <c r="M43" s="64" t="s">
        <v>3983</v>
      </c>
      <c r="N43" s="64" t="s">
        <v>3984</v>
      </c>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70"/>
      <c r="AR43" s="64"/>
      <c r="AS43" s="64"/>
      <c r="AT43" s="64"/>
      <c r="AU43" s="64"/>
      <c r="AV43" s="64"/>
      <c r="AW43" s="64"/>
      <c r="AX43" s="64"/>
      <c r="AY43" s="64"/>
      <c r="AZ43" s="64"/>
      <c r="BA43" s="64"/>
      <c r="BB43" s="64"/>
      <c r="BC43" s="134"/>
      <c r="BD43" s="134"/>
      <c r="BE43" s="134"/>
      <c r="BF43" s="134"/>
      <c r="BG43" s="134"/>
      <c r="BH43" s="134"/>
      <c r="BI43" s="134"/>
      <c r="BJ43" s="134"/>
      <c r="BK43" s="134"/>
      <c r="BL43" s="134"/>
      <c r="BM43" s="134"/>
      <c r="BN43" s="134"/>
      <c r="BO43" s="134"/>
      <c r="BP43" s="134"/>
      <c r="BQ43" s="134"/>
      <c r="BR43" s="134"/>
      <c r="BS43" s="134"/>
      <c r="BT43" s="134"/>
      <c r="BU43" s="134"/>
      <c r="BV43" s="134"/>
      <c r="BW43" s="131" t="str">
        <f t="shared" si="0"/>
        <v xml:space="preserve">O1 plancher intermédiaire complet  (sans porte lateral) - (CU : -15 kg)1 niveau de rail d'arrimage côté droit et gauche - Hauteur à définir (-24 mm de largeur utile) - (CU : -7 kg)2 niveauX de rail d'arrimage côté droit et gauche - Hauteur à définir (-24 mm de largeur utile) -  (CU : -14 kg)1 Barre d'étai </v>
      </c>
    </row>
    <row r="44" spans="1:75" s="68" customFormat="1" ht="45" outlineLevel="1" x14ac:dyDescent="0.25">
      <c r="A44" s="69" t="s">
        <v>3320</v>
      </c>
      <c r="B44" s="64" t="s">
        <v>32</v>
      </c>
      <c r="C44" s="64" t="s">
        <v>3828</v>
      </c>
      <c r="D44" s="64" t="s">
        <v>1991</v>
      </c>
      <c r="E44" s="64" t="s">
        <v>3829</v>
      </c>
      <c r="F44" s="64"/>
      <c r="G44" s="64"/>
      <c r="H44" s="64" t="s">
        <v>3830</v>
      </c>
      <c r="I44" s="64"/>
      <c r="J44" s="64" t="s">
        <v>1994</v>
      </c>
      <c r="K44" s="64" t="s">
        <v>1995</v>
      </c>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134"/>
      <c r="BD44" s="134"/>
      <c r="BE44" s="134"/>
      <c r="BF44" s="134"/>
      <c r="BG44" s="134"/>
      <c r="BH44" s="134"/>
      <c r="BI44" s="134"/>
      <c r="BJ44" s="134"/>
      <c r="BK44" s="134"/>
      <c r="BL44" s="134"/>
      <c r="BM44" s="134"/>
      <c r="BN44" s="134"/>
      <c r="BO44" s="134"/>
      <c r="BP44" s="134"/>
      <c r="BQ44" s="134"/>
      <c r="BR44" s="134"/>
      <c r="BS44" s="134"/>
      <c r="BT44" s="134"/>
      <c r="BU44" s="134"/>
      <c r="BV44" s="134"/>
      <c r="BW44" s="131" t="str">
        <f t="shared" si="0"/>
        <v>PIsolation renforcée LECAPITAINE / TRIMAT2 portes arrièrePorte latérale coulissante à l'avant droit avec une bordure de 70 mm de haut sur le plancherPlancher : Antidérapant léger avec passages de roues (largeur entre passages de roues : 1070 mm) avec 1 siphon d'évacuation1 plafonnierDemi plancher intermédiaire amovible</v>
      </c>
    </row>
    <row r="45" spans="1:75" s="68" customFormat="1" ht="45" outlineLevel="1" x14ac:dyDescent="0.25">
      <c r="A45" s="69" t="s">
        <v>3318</v>
      </c>
      <c r="B45" s="64" t="s">
        <v>32</v>
      </c>
      <c r="C45" s="64" t="s">
        <v>1990</v>
      </c>
      <c r="D45" s="64" t="s">
        <v>1991</v>
      </c>
      <c r="E45" s="64" t="s">
        <v>1992</v>
      </c>
      <c r="F45" s="64"/>
      <c r="G45" s="64"/>
      <c r="H45" s="64" t="s">
        <v>1993</v>
      </c>
      <c r="I45" s="64"/>
      <c r="J45" s="64" t="s">
        <v>1994</v>
      </c>
      <c r="K45" s="64" t="s">
        <v>1995</v>
      </c>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134"/>
      <c r="BD45" s="134"/>
      <c r="BE45" s="134"/>
      <c r="BF45" s="134"/>
      <c r="BG45" s="134"/>
      <c r="BH45" s="134"/>
      <c r="BI45" s="134"/>
      <c r="BJ45" s="134"/>
      <c r="BK45" s="134"/>
      <c r="BL45" s="134"/>
      <c r="BM45" s="134"/>
      <c r="BN45" s="134"/>
      <c r="BO45" s="134"/>
      <c r="BP45" s="134"/>
      <c r="BQ45" s="134"/>
      <c r="BR45" s="134"/>
      <c r="BS45" s="134"/>
      <c r="BT45" s="134"/>
      <c r="BU45" s="134"/>
      <c r="BV45" s="134"/>
      <c r="BW45" s="131" t="str">
        <f t="shared" si="0"/>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v>
      </c>
    </row>
    <row r="46" spans="1:75" s="68" customFormat="1" ht="45" outlineLevel="1" x14ac:dyDescent="0.25">
      <c r="A46" s="69" t="s">
        <v>3297</v>
      </c>
      <c r="B46" s="64" t="s">
        <v>32</v>
      </c>
      <c r="C46" s="64" t="s">
        <v>3828</v>
      </c>
      <c r="D46" s="64" t="s">
        <v>1991</v>
      </c>
      <c r="E46" s="64" t="s">
        <v>3829</v>
      </c>
      <c r="F46" s="64"/>
      <c r="G46" s="64"/>
      <c r="H46" s="64" t="s">
        <v>3830</v>
      </c>
      <c r="I46" s="64"/>
      <c r="J46" s="64" t="s">
        <v>1994</v>
      </c>
      <c r="K46" s="64" t="s">
        <v>1995</v>
      </c>
      <c r="L46" s="64"/>
      <c r="M46" s="64"/>
      <c r="N46" s="64"/>
      <c r="O46" s="64"/>
      <c r="P46" s="64"/>
      <c r="Q46" s="64"/>
      <c r="R46" s="64"/>
      <c r="S46" s="64"/>
      <c r="T46" s="64"/>
      <c r="U46" s="64"/>
      <c r="V46" s="64"/>
      <c r="W46" s="64"/>
      <c r="X46" s="64"/>
      <c r="Y46" s="64"/>
      <c r="Z46" s="64"/>
      <c r="AA46" s="64"/>
      <c r="AB46" s="64"/>
      <c r="AC46" s="64"/>
      <c r="AD46" s="64"/>
      <c r="AE46" s="64"/>
      <c r="AF46" s="64"/>
      <c r="AG46" s="64"/>
      <c r="AH46" s="64"/>
      <c r="AI46" s="64" t="s">
        <v>438</v>
      </c>
      <c r="AJ46" s="64"/>
      <c r="AK46" s="64"/>
      <c r="AL46" s="64"/>
      <c r="AM46" s="64"/>
      <c r="AN46" s="64"/>
      <c r="AO46" s="64"/>
      <c r="AP46" s="64"/>
      <c r="AQ46" s="64"/>
      <c r="AR46" s="64"/>
      <c r="AS46" s="64"/>
      <c r="AT46" s="64"/>
      <c r="AU46" s="64"/>
      <c r="AV46" s="64"/>
      <c r="AW46" s="64"/>
      <c r="AX46" s="64"/>
      <c r="AY46" s="64"/>
      <c r="AZ46" s="64"/>
      <c r="BA46" s="64"/>
      <c r="BB46" s="64"/>
      <c r="BC46" s="134"/>
      <c r="BD46" s="134"/>
      <c r="BE46" s="134"/>
      <c r="BF46" s="134"/>
      <c r="BG46" s="134"/>
      <c r="BH46" s="134"/>
      <c r="BI46" s="134"/>
      <c r="BJ46" s="134"/>
      <c r="BK46" s="134"/>
      <c r="BL46" s="134"/>
      <c r="BM46" s="134"/>
      <c r="BN46" s="134"/>
      <c r="BO46" s="134"/>
      <c r="BP46" s="134"/>
      <c r="BQ46" s="134"/>
      <c r="BR46" s="134"/>
      <c r="BS46" s="134"/>
      <c r="BT46" s="134"/>
      <c r="BU46" s="134"/>
      <c r="BV46" s="134"/>
      <c r="BW46" s="131" t="str">
        <f t="shared" si="0"/>
        <v>PIsolation renforcée LECAPITAINE / TRIMAT2 portes arrièrePorte latérale coulissante à l'avant droit avec une bordure de 70 mm de haut sur le plancherPlancher : Antidérapant léger avec passages de roues (largeur entre passages de roues : 1070 mm) avec 1 siphon d'évacuation1 plafonnierDemi plancher intermédiaire amovibleCarénage de groupe</v>
      </c>
    </row>
    <row r="47" spans="1:75" s="68" customFormat="1" ht="45" outlineLevel="1" x14ac:dyDescent="0.25">
      <c r="A47" s="69" t="s">
        <v>3294</v>
      </c>
      <c r="B47" s="64" t="s">
        <v>32</v>
      </c>
      <c r="C47" s="64" t="s">
        <v>1990</v>
      </c>
      <c r="D47" s="64" t="s">
        <v>1991</v>
      </c>
      <c r="E47" s="64" t="s">
        <v>1992</v>
      </c>
      <c r="F47" s="64"/>
      <c r="G47" s="64"/>
      <c r="H47" s="64" t="s">
        <v>1993</v>
      </c>
      <c r="I47" s="64"/>
      <c r="J47" s="64" t="s">
        <v>1994</v>
      </c>
      <c r="K47" s="64" t="s">
        <v>1995</v>
      </c>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134"/>
      <c r="BD47" s="134"/>
      <c r="BE47" s="134"/>
      <c r="BF47" s="134"/>
      <c r="BG47" s="134"/>
      <c r="BH47" s="134"/>
      <c r="BI47" s="134"/>
      <c r="BJ47" s="134"/>
      <c r="BK47" s="134"/>
      <c r="BL47" s="134"/>
      <c r="BM47" s="134"/>
      <c r="BN47" s="134"/>
      <c r="BO47" s="134"/>
      <c r="BP47" s="134"/>
      <c r="BQ47" s="134"/>
      <c r="BR47" s="134"/>
      <c r="BS47" s="134"/>
      <c r="BT47" s="134"/>
      <c r="BU47" s="134"/>
      <c r="BV47" s="134"/>
      <c r="BW47" s="131" t="str">
        <f t="shared" si="0"/>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v>
      </c>
    </row>
    <row r="48" spans="1:75" s="68" customFormat="1" ht="45" outlineLevel="1" x14ac:dyDescent="0.25">
      <c r="A48" s="69" t="s">
        <v>3378</v>
      </c>
      <c r="B48" s="64" t="s">
        <v>32</v>
      </c>
      <c r="C48" s="64" t="s">
        <v>3828</v>
      </c>
      <c r="D48" s="64" t="s">
        <v>1991</v>
      </c>
      <c r="E48" s="64" t="s">
        <v>3829</v>
      </c>
      <c r="F48" s="64"/>
      <c r="G48" s="64"/>
      <c r="H48" s="64" t="s">
        <v>3830</v>
      </c>
      <c r="I48" s="64"/>
      <c r="J48" s="64" t="s">
        <v>1994</v>
      </c>
      <c r="K48" s="64" t="s">
        <v>1995</v>
      </c>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70"/>
      <c r="AW48" s="64"/>
      <c r="AX48" s="64"/>
      <c r="AY48" s="64"/>
      <c r="AZ48" s="69"/>
      <c r="BA48" s="64"/>
      <c r="BB48" s="64"/>
      <c r="BC48" s="134"/>
      <c r="BD48" s="134"/>
      <c r="BE48" s="134"/>
      <c r="BF48" s="134"/>
      <c r="BG48" s="134"/>
      <c r="BH48" s="134"/>
      <c r="BI48" s="134"/>
      <c r="BJ48" s="134"/>
      <c r="BK48" s="134"/>
      <c r="BL48" s="134"/>
      <c r="BM48" s="134"/>
      <c r="BN48" s="134"/>
      <c r="BO48" s="134"/>
      <c r="BP48" s="134"/>
      <c r="BQ48" s="134"/>
      <c r="BR48" s="134"/>
      <c r="BS48" s="134"/>
      <c r="BT48" s="134"/>
      <c r="BU48" s="134"/>
      <c r="BV48" s="134"/>
      <c r="BW48" s="131" t="str">
        <f t="shared" si="0"/>
        <v>PIsolation renforcée LECAPITAINE / TRIMAT2 portes arrièrePorte latérale coulissante à l'avant droit avec une bordure de 70 mm de haut sur le plancherPlancher : Antidérapant léger avec passages de roues (largeur entre passages de roues : 1070 mm) avec 1 siphon d'évacuation1 plafonnierDemi plancher intermédiaire amovible</v>
      </c>
    </row>
    <row r="49" spans="1:75" s="68" customFormat="1" ht="45" outlineLevel="1" x14ac:dyDescent="0.25">
      <c r="A49" s="69" t="s">
        <v>3375</v>
      </c>
      <c r="B49" s="64" t="s">
        <v>32</v>
      </c>
      <c r="C49" s="64" t="s">
        <v>1990</v>
      </c>
      <c r="D49" s="64" t="s">
        <v>1991</v>
      </c>
      <c r="E49" s="64" t="s">
        <v>1992</v>
      </c>
      <c r="F49" s="64"/>
      <c r="G49" s="64"/>
      <c r="H49" s="64" t="s">
        <v>1993</v>
      </c>
      <c r="I49" s="64"/>
      <c r="J49" s="64" t="s">
        <v>1994</v>
      </c>
      <c r="K49" s="64" t="s">
        <v>1995</v>
      </c>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70"/>
      <c r="AW49" s="64"/>
      <c r="AX49" s="64"/>
      <c r="AY49" s="64"/>
      <c r="AZ49" s="69"/>
      <c r="BA49" s="64"/>
      <c r="BB49" s="64"/>
      <c r="BC49" s="134"/>
      <c r="BD49" s="134"/>
      <c r="BE49" s="134"/>
      <c r="BF49" s="134"/>
      <c r="BG49" s="134"/>
      <c r="BH49" s="134"/>
      <c r="BI49" s="134"/>
      <c r="BJ49" s="134"/>
      <c r="BK49" s="134"/>
      <c r="BL49" s="134"/>
      <c r="BM49" s="134"/>
      <c r="BN49" s="134"/>
      <c r="BO49" s="134"/>
      <c r="BP49" s="134"/>
      <c r="BQ49" s="134"/>
      <c r="BR49" s="134"/>
      <c r="BS49" s="134"/>
      <c r="BT49" s="134"/>
      <c r="BU49" s="134"/>
      <c r="BV49" s="134"/>
      <c r="BW49" s="131" t="str">
        <f t="shared" si="0"/>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v>
      </c>
    </row>
    <row r="50" spans="1:75" s="68" customFormat="1" ht="22.5" outlineLevel="1" x14ac:dyDescent="0.25">
      <c r="A50" s="69" t="s">
        <v>4206</v>
      </c>
      <c r="B50" s="64" t="s">
        <v>424</v>
      </c>
      <c r="C50" s="64"/>
      <c r="D50" s="206"/>
      <c r="E50" s="206"/>
      <c r="F50" s="69"/>
      <c r="G50" s="64"/>
      <c r="H50" s="206"/>
      <c r="I50" s="64"/>
      <c r="J50" s="64"/>
      <c r="K50" s="64"/>
      <c r="L50" s="64"/>
      <c r="M50" s="64"/>
      <c r="N50" s="64"/>
      <c r="O50" s="207"/>
      <c r="P50" s="64"/>
      <c r="Q50" s="64"/>
      <c r="R50" s="64" t="s">
        <v>3985</v>
      </c>
      <c r="S50" s="207" t="s">
        <v>3986</v>
      </c>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134"/>
      <c r="BD50" s="134"/>
      <c r="BE50" s="134"/>
      <c r="BF50" s="134"/>
      <c r="BG50" s="134"/>
      <c r="BH50" s="134"/>
      <c r="BI50" s="134"/>
      <c r="BJ50" s="134"/>
      <c r="BK50" s="134"/>
      <c r="BL50" s="134"/>
      <c r="BM50" s="134"/>
      <c r="BN50" s="134"/>
      <c r="BO50" s="134"/>
      <c r="BP50" s="134"/>
      <c r="BQ50" s="134"/>
      <c r="BR50" s="134"/>
      <c r="BS50" s="134"/>
      <c r="BT50" s="134"/>
      <c r="BU50" s="134"/>
      <c r="BV50" s="134"/>
      <c r="BW50" s="131" t="str">
        <f t="shared" si="0"/>
        <v>O1 étagère D + G profondeur 400 mm (CU : -20 kg)2 étagères D + G profondeur 400 mm (CU : -34 kg)</v>
      </c>
    </row>
    <row r="51" spans="1:75" s="68" customFormat="1" ht="45" outlineLevel="1" x14ac:dyDescent="0.25">
      <c r="A51" s="69" t="s">
        <v>3303</v>
      </c>
      <c r="B51" s="64" t="s">
        <v>32</v>
      </c>
      <c r="C51" s="64" t="s">
        <v>1990</v>
      </c>
      <c r="D51" s="64" t="s">
        <v>1991</v>
      </c>
      <c r="E51" s="64" t="s">
        <v>1992</v>
      </c>
      <c r="F51" s="64"/>
      <c r="G51" s="64"/>
      <c r="H51" s="64" t="s">
        <v>1993</v>
      </c>
      <c r="I51" s="64"/>
      <c r="J51" s="64" t="s">
        <v>1994</v>
      </c>
      <c r="K51" s="64" t="s">
        <v>1995</v>
      </c>
      <c r="L51" s="64"/>
      <c r="M51" s="64"/>
      <c r="N51" s="64"/>
      <c r="O51" s="64" t="s">
        <v>3831</v>
      </c>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134"/>
      <c r="BD51" s="134"/>
      <c r="BE51" s="134"/>
      <c r="BF51" s="134"/>
      <c r="BG51" s="134"/>
      <c r="BH51" s="134"/>
      <c r="BI51" s="134"/>
      <c r="BJ51" s="134"/>
      <c r="BK51" s="134"/>
      <c r="BL51" s="134"/>
      <c r="BM51" s="134"/>
      <c r="BN51" s="134"/>
      <c r="BO51" s="134"/>
      <c r="BP51" s="134"/>
      <c r="BQ51" s="134"/>
      <c r="BR51" s="134"/>
      <c r="BS51" s="134"/>
      <c r="BT51" s="134"/>
      <c r="BU51" s="134"/>
      <c r="BV51" s="134"/>
      <c r="BW51" s="131" t="str">
        <f t="shared" si="0"/>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amovibleRideaux à lanières fixe pour les portes arrières</v>
      </c>
    </row>
    <row r="52" spans="1:75" s="96" customFormat="1" ht="45" outlineLevel="1" x14ac:dyDescent="0.25">
      <c r="A52" s="69" t="s">
        <v>3353</v>
      </c>
      <c r="B52" s="64" t="s">
        <v>32</v>
      </c>
      <c r="C52" s="64" t="s">
        <v>1831</v>
      </c>
      <c r="D52" s="64" t="s">
        <v>3832</v>
      </c>
      <c r="E52" s="64" t="s">
        <v>3833</v>
      </c>
      <c r="F52" s="64" t="s">
        <v>1851</v>
      </c>
      <c r="G52" s="64"/>
      <c r="H52" s="64" t="s">
        <v>3834</v>
      </c>
      <c r="I52" s="64"/>
      <c r="J52" s="64" t="s">
        <v>1994</v>
      </c>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134"/>
      <c r="BD52" s="134"/>
      <c r="BE52" s="134"/>
      <c r="BF52" s="134"/>
      <c r="BG52" s="134"/>
      <c r="BH52" s="134"/>
      <c r="BI52" s="134"/>
      <c r="BJ52" s="134"/>
      <c r="BK52" s="134"/>
      <c r="BL52" s="134"/>
      <c r="BM52" s="134"/>
      <c r="BN52" s="134"/>
      <c r="BO52" s="134"/>
      <c r="BP52" s="134"/>
      <c r="BQ52" s="134"/>
      <c r="BR52" s="134"/>
      <c r="BS52" s="134"/>
      <c r="BT52" s="134"/>
      <c r="BU52" s="134"/>
      <c r="BV52" s="134"/>
      <c r="BW52" s="131" t="str">
        <f t="shared" si="0"/>
        <v>PIsolation renforcée LECAPITAINE2 portes arrière avec passage utile de 1100 mm x 1650 mmPorte latérale battante à l'avant droit avec passage utile de 1000 mm x 1560 mmMarchepied fixe 1 marchePlancher : Antidérapant léger avec passages de roues (largeur entre passages de roues : 1280 mm) avec 1 siphon d'évacuation1 plafonnier</v>
      </c>
    </row>
    <row r="53" spans="1:75" s="68" customFormat="1" ht="45" outlineLevel="1" x14ac:dyDescent="0.25">
      <c r="A53" s="69" t="s">
        <v>3419</v>
      </c>
      <c r="B53" s="64" t="s">
        <v>32</v>
      </c>
      <c r="C53" s="64" t="s">
        <v>3828</v>
      </c>
      <c r="D53" s="64" t="s">
        <v>2006</v>
      </c>
      <c r="E53" s="64" t="s">
        <v>3829</v>
      </c>
      <c r="F53" s="64"/>
      <c r="G53" s="64"/>
      <c r="H53" s="64" t="s">
        <v>3835</v>
      </c>
      <c r="I53" s="64"/>
      <c r="J53" s="64" t="s">
        <v>1994</v>
      </c>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70"/>
      <c r="AW53" s="64"/>
      <c r="AX53" s="64"/>
      <c r="AY53" s="64"/>
      <c r="AZ53" s="69"/>
      <c r="BA53" s="64"/>
      <c r="BB53" s="64"/>
      <c r="BC53" s="134"/>
      <c r="BD53" s="134"/>
      <c r="BE53" s="134"/>
      <c r="BF53" s="134"/>
      <c r="BG53" s="134"/>
      <c r="BH53" s="134"/>
      <c r="BI53" s="134"/>
      <c r="BJ53" s="134"/>
      <c r="BK53" s="134"/>
      <c r="BL53" s="134"/>
      <c r="BM53" s="134"/>
      <c r="BN53" s="134"/>
      <c r="BO53" s="134"/>
      <c r="BP53" s="134"/>
      <c r="BQ53" s="134"/>
      <c r="BR53" s="134"/>
      <c r="BS53" s="134"/>
      <c r="BT53" s="134"/>
      <c r="BU53" s="134"/>
      <c r="BV53" s="134"/>
      <c r="BW53" s="131" t="str">
        <f t="shared" si="0"/>
        <v>PIsolation renforcée LECAPITAINE / TRIMAT2 portes arrière avec ouverture à 180°Porte latérale coulissante à l'avant droit avec une bordure de 70 mm de haut sur le plancherPlancher : Antidérapant léger avec passages de roues (largeur entre passages de roues : 1220 mm) avec 1 siphon d'évacuation1 plafonnier</v>
      </c>
    </row>
    <row r="54" spans="1:75" s="68" customFormat="1" ht="45" outlineLevel="1" x14ac:dyDescent="0.25">
      <c r="A54" s="69" t="s">
        <v>3417</v>
      </c>
      <c r="B54" s="64" t="s">
        <v>32</v>
      </c>
      <c r="C54" s="64" t="s">
        <v>1990</v>
      </c>
      <c r="D54" s="64" t="s">
        <v>2006</v>
      </c>
      <c r="E54" s="64" t="s">
        <v>1992</v>
      </c>
      <c r="F54" s="64"/>
      <c r="G54" s="64"/>
      <c r="H54" s="64" t="s">
        <v>2007</v>
      </c>
      <c r="I54" s="64"/>
      <c r="J54" s="64" t="s">
        <v>1994</v>
      </c>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70"/>
      <c r="AW54" s="64"/>
      <c r="AX54" s="64"/>
      <c r="AY54" s="64"/>
      <c r="AZ54" s="69"/>
      <c r="BA54" s="64"/>
      <c r="BB54" s="64"/>
      <c r="BC54" s="134"/>
      <c r="BD54" s="134"/>
      <c r="BE54" s="134"/>
      <c r="BF54" s="134"/>
      <c r="BG54" s="134"/>
      <c r="BH54" s="134"/>
      <c r="BI54" s="134"/>
      <c r="BJ54" s="134"/>
      <c r="BK54" s="134"/>
      <c r="BL54" s="134"/>
      <c r="BM54" s="134"/>
      <c r="BN54" s="134"/>
      <c r="BO54" s="134"/>
      <c r="BP54" s="134"/>
      <c r="BQ54" s="134"/>
      <c r="BR54" s="134"/>
      <c r="BS54" s="134"/>
      <c r="BT54" s="134"/>
      <c r="BU54" s="134"/>
      <c r="BV54" s="134"/>
      <c r="BW54" s="131" t="str">
        <f t="shared" si="0"/>
        <v>PIsolation renforcée LECAPITAINE / STRATE FORME2 portes arrière avec ouverture à 180°Porte latérale coulissante à l'avant droit avec une bordure de 30 mm de haut sur le plancherPlancher : Antidérapant léger avec passages de roues (largeur entre passages de roues : 1210 mm) avec 1 siphon d'évacuation1 plafonnier</v>
      </c>
    </row>
    <row r="55" spans="1:75" s="68" customFormat="1" ht="45" outlineLevel="1" x14ac:dyDescent="0.25">
      <c r="A55" s="69" t="s">
        <v>3411</v>
      </c>
      <c r="B55" s="69" t="s">
        <v>32</v>
      </c>
      <c r="C55" s="64" t="s">
        <v>3828</v>
      </c>
      <c r="D55" s="64" t="s">
        <v>2006</v>
      </c>
      <c r="E55" s="64" t="s">
        <v>3829</v>
      </c>
      <c r="F55" s="64"/>
      <c r="G55" s="64"/>
      <c r="H55" s="64" t="s">
        <v>3835</v>
      </c>
      <c r="I55" s="64"/>
      <c r="J55" s="64" t="s">
        <v>1994</v>
      </c>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t="s">
        <v>438</v>
      </c>
      <c r="AJ55" s="64"/>
      <c r="AK55" s="64"/>
      <c r="AL55" s="64"/>
      <c r="AM55" s="64"/>
      <c r="AN55" s="64"/>
      <c r="AO55" s="64"/>
      <c r="AP55" s="64"/>
      <c r="AQ55" s="64"/>
      <c r="AR55" s="64"/>
      <c r="AS55" s="64"/>
      <c r="AT55" s="64"/>
      <c r="AU55" s="64"/>
      <c r="AV55" s="70"/>
      <c r="AW55" s="64"/>
      <c r="AX55" s="64"/>
      <c r="AY55" s="64"/>
      <c r="AZ55" s="69"/>
      <c r="BA55" s="64"/>
      <c r="BB55" s="64"/>
      <c r="BC55" s="134"/>
      <c r="BD55" s="134"/>
      <c r="BE55" s="134"/>
      <c r="BF55" s="134"/>
      <c r="BG55" s="134"/>
      <c r="BH55" s="134"/>
      <c r="BI55" s="134"/>
      <c r="BJ55" s="134"/>
      <c r="BK55" s="134"/>
      <c r="BL55" s="134"/>
      <c r="BM55" s="134"/>
      <c r="BN55" s="134"/>
      <c r="BO55" s="134"/>
      <c r="BP55" s="134"/>
      <c r="BQ55" s="134"/>
      <c r="BR55" s="134"/>
      <c r="BS55" s="134"/>
      <c r="BT55" s="134"/>
      <c r="BU55" s="134"/>
      <c r="BV55" s="134"/>
      <c r="BW55" s="131" t="str">
        <f t="shared" si="0"/>
        <v>PIsolation renforcée LECAPITAINE / TRIMAT2 portes arrière avec ouverture à 180°Porte latérale coulissante à l'avant droit avec une bordure de 70 mm de haut sur le plancherPlancher : Antidérapant léger avec passages de roues (largeur entre passages de roues : 1220 mm) avec 1 siphon d'évacuation1 plafonnierCarénage de groupe</v>
      </c>
    </row>
    <row r="56" spans="1:75" s="68" customFormat="1" ht="45" outlineLevel="1" x14ac:dyDescent="0.25">
      <c r="A56" s="69" t="s">
        <v>3396</v>
      </c>
      <c r="B56" s="64" t="s">
        <v>32</v>
      </c>
      <c r="C56" s="64" t="s">
        <v>3828</v>
      </c>
      <c r="D56" s="64" t="s">
        <v>2006</v>
      </c>
      <c r="E56" s="64" t="s">
        <v>3829</v>
      </c>
      <c r="F56" s="64"/>
      <c r="G56" s="64"/>
      <c r="H56" s="64" t="s">
        <v>3835</v>
      </c>
      <c r="I56" s="64"/>
      <c r="J56" s="64" t="s">
        <v>1994</v>
      </c>
      <c r="K56" s="64"/>
      <c r="L56" s="64"/>
      <c r="M56" s="64"/>
      <c r="N56" s="64"/>
      <c r="O56" s="64" t="s">
        <v>3836</v>
      </c>
      <c r="P56" s="64"/>
      <c r="Q56" s="64"/>
      <c r="R56" s="64"/>
      <c r="S56" s="64"/>
      <c r="T56" s="64"/>
      <c r="U56" s="64"/>
      <c r="V56" s="64"/>
      <c r="W56" s="64"/>
      <c r="X56" s="64"/>
      <c r="Y56" s="64"/>
      <c r="Z56" s="64"/>
      <c r="AA56" s="64"/>
      <c r="AB56" s="64"/>
      <c r="AC56" s="64"/>
      <c r="AD56" s="64"/>
      <c r="AE56" s="64"/>
      <c r="AF56" s="64"/>
      <c r="AG56" s="64"/>
      <c r="AH56" s="64"/>
      <c r="AI56" s="64" t="s">
        <v>438</v>
      </c>
      <c r="AJ56" s="64"/>
      <c r="AK56" s="64"/>
      <c r="AL56" s="64"/>
      <c r="AM56" s="64"/>
      <c r="AN56" s="64"/>
      <c r="AO56" s="64"/>
      <c r="AP56" s="64"/>
      <c r="AQ56" s="64"/>
      <c r="AR56" s="64"/>
      <c r="AS56" s="64"/>
      <c r="AT56" s="64"/>
      <c r="AU56" s="64"/>
      <c r="AV56" s="70"/>
      <c r="AW56" s="64"/>
      <c r="AX56" s="64"/>
      <c r="AY56" s="64"/>
      <c r="AZ56" s="69"/>
      <c r="BA56" s="64"/>
      <c r="BB56" s="64"/>
      <c r="BC56" s="134"/>
      <c r="BD56" s="134"/>
      <c r="BE56" s="134"/>
      <c r="BF56" s="134"/>
      <c r="BG56" s="134"/>
      <c r="BH56" s="134"/>
      <c r="BI56" s="134"/>
      <c r="BJ56" s="134"/>
      <c r="BK56" s="134"/>
      <c r="BL56" s="134"/>
      <c r="BM56" s="134"/>
      <c r="BN56" s="134"/>
      <c r="BO56" s="134"/>
      <c r="BP56" s="134"/>
      <c r="BQ56" s="134"/>
      <c r="BR56" s="134"/>
      <c r="BS56" s="134"/>
      <c r="BT56" s="134"/>
      <c r="BU56" s="134"/>
      <c r="BV56" s="134"/>
      <c r="BW56" s="131" t="str">
        <f t="shared" si="0"/>
        <v>PIsolation renforcée LECAPITAINE / TRIMAT2 portes arrière avec ouverture à 180°Porte latérale coulissante à l'avant droit avec une bordure de 70 mm de haut sur le plancherPlancher : Antidérapant léger avec passages de roues (largeur entre passages de roues : 1220 mm) avec 1 siphon d'évacuation1 plafonnier1 rideau fixe à lanières anti-déperdition aux portes arrièreCarénage de groupe</v>
      </c>
    </row>
    <row r="57" spans="1:75" s="68" customFormat="1" ht="45" outlineLevel="1" x14ac:dyDescent="0.25">
      <c r="A57" s="69" t="s">
        <v>3315</v>
      </c>
      <c r="B57" s="64" t="s">
        <v>32</v>
      </c>
      <c r="C57" s="64" t="s">
        <v>1990</v>
      </c>
      <c r="D57" s="64" t="s">
        <v>1991</v>
      </c>
      <c r="E57" s="64" t="s">
        <v>1992</v>
      </c>
      <c r="F57" s="64"/>
      <c r="G57" s="64"/>
      <c r="H57" s="64" t="s">
        <v>1993</v>
      </c>
      <c r="I57" s="64"/>
      <c r="J57" s="64" t="s">
        <v>1994</v>
      </c>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134"/>
      <c r="BD57" s="134"/>
      <c r="BE57" s="134"/>
      <c r="BF57" s="134"/>
      <c r="BG57" s="134"/>
      <c r="BH57" s="134"/>
      <c r="BI57" s="134"/>
      <c r="BJ57" s="134"/>
      <c r="BK57" s="134"/>
      <c r="BL57" s="134"/>
      <c r="BM57" s="134"/>
      <c r="BN57" s="134"/>
      <c r="BO57" s="134"/>
      <c r="BP57" s="134"/>
      <c r="BQ57" s="134"/>
      <c r="BR57" s="134"/>
      <c r="BS57" s="134"/>
      <c r="BT57" s="134"/>
      <c r="BU57" s="134"/>
      <c r="BV57" s="134"/>
      <c r="BW57" s="131" t="str">
        <f t="shared" si="0"/>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v>
      </c>
    </row>
    <row r="58" spans="1:75" s="68" customFormat="1" ht="45" outlineLevel="1" x14ac:dyDescent="0.25">
      <c r="A58" s="69" t="s">
        <v>3367</v>
      </c>
      <c r="B58" s="64" t="s">
        <v>32</v>
      </c>
      <c r="C58" s="64" t="s">
        <v>1831</v>
      </c>
      <c r="D58" s="64" t="s">
        <v>3832</v>
      </c>
      <c r="E58" s="64" t="s">
        <v>3833</v>
      </c>
      <c r="F58" s="64" t="s">
        <v>1851</v>
      </c>
      <c r="G58" s="64"/>
      <c r="H58" s="64" t="s">
        <v>3834</v>
      </c>
      <c r="I58" s="64"/>
      <c r="J58" s="64" t="s">
        <v>1994</v>
      </c>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134"/>
      <c r="BD58" s="134"/>
      <c r="BE58" s="134"/>
      <c r="BF58" s="134"/>
      <c r="BG58" s="134"/>
      <c r="BH58" s="134"/>
      <c r="BI58" s="134"/>
      <c r="BJ58" s="134"/>
      <c r="BK58" s="134"/>
      <c r="BL58" s="134"/>
      <c r="BM58" s="134"/>
      <c r="BN58" s="134"/>
      <c r="BO58" s="134"/>
      <c r="BP58" s="134"/>
      <c r="BQ58" s="134"/>
      <c r="BR58" s="134"/>
      <c r="BS58" s="134"/>
      <c r="BT58" s="134"/>
      <c r="BU58" s="134"/>
      <c r="BV58" s="134"/>
      <c r="BW58" s="131" t="str">
        <f t="shared" si="0"/>
        <v>PIsolation renforcée LECAPITAINE2 portes arrière avec passage utile de 1100 mm x 1650 mmPorte latérale battante à l'avant droit avec passage utile de 1000 mm x 1560 mmMarchepied fixe 1 marchePlancher : Antidérapant léger avec passages de roues (largeur entre passages de roues : 1280 mm) avec 1 siphon d'évacuation1 plafonnier</v>
      </c>
    </row>
    <row r="59" spans="1:75" s="66" customFormat="1" ht="22.5" outlineLevel="1" x14ac:dyDescent="0.25">
      <c r="A59" s="64" t="s">
        <v>4207</v>
      </c>
      <c r="B59" s="64" t="s">
        <v>424</v>
      </c>
      <c r="C59" s="64"/>
      <c r="D59" s="206"/>
      <c r="E59" s="64"/>
      <c r="F59" s="64"/>
      <c r="G59" s="206"/>
      <c r="H59" s="64"/>
      <c r="I59" s="64"/>
      <c r="J59" s="64"/>
      <c r="K59" s="64"/>
      <c r="L59" s="64"/>
      <c r="M59" s="64"/>
      <c r="N59" s="64"/>
      <c r="O59" s="207"/>
      <c r="P59" s="64"/>
      <c r="Q59" s="64"/>
      <c r="R59" s="64" t="s">
        <v>3987</v>
      </c>
      <c r="S59" s="207" t="s">
        <v>3988</v>
      </c>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134"/>
      <c r="BD59" s="134"/>
      <c r="BE59" s="134"/>
      <c r="BF59" s="134"/>
      <c r="BG59" s="134"/>
      <c r="BH59" s="134"/>
      <c r="BI59" s="134"/>
      <c r="BJ59" s="134"/>
      <c r="BK59" s="134"/>
      <c r="BL59" s="134"/>
      <c r="BM59" s="134"/>
      <c r="BN59" s="134"/>
      <c r="BO59" s="134"/>
      <c r="BP59" s="134"/>
      <c r="BQ59" s="134"/>
      <c r="BR59" s="134"/>
      <c r="BS59" s="134"/>
      <c r="BT59" s="134"/>
      <c r="BU59" s="134"/>
      <c r="BV59" s="134"/>
      <c r="BW59" s="131" t="str">
        <f t="shared" si="0"/>
        <v>O1 étagère D + G profondeur 400 mm (CU : -27 kg)2 étagères D + G profondeur 400 mm - Hauteur à définir (CU : -50 kg)</v>
      </c>
    </row>
    <row r="60" spans="1:75" s="68" customFormat="1" ht="45" outlineLevel="1" collapsed="1" x14ac:dyDescent="0.25">
      <c r="A60" s="69" t="s">
        <v>3664</v>
      </c>
      <c r="B60" s="64" t="s">
        <v>32</v>
      </c>
      <c r="C60" s="64" t="s">
        <v>3828</v>
      </c>
      <c r="D60" s="64" t="s">
        <v>1991</v>
      </c>
      <c r="E60" s="64" t="s">
        <v>3829</v>
      </c>
      <c r="F60" s="64"/>
      <c r="G60" s="64"/>
      <c r="H60" s="64" t="s">
        <v>3837</v>
      </c>
      <c r="I60" s="64"/>
      <c r="J60" s="64" t="s">
        <v>1853</v>
      </c>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134"/>
      <c r="BD60" s="134"/>
      <c r="BE60" s="134"/>
      <c r="BF60" s="134"/>
      <c r="BG60" s="134"/>
      <c r="BH60" s="134"/>
      <c r="BI60" s="134"/>
      <c r="BJ60" s="134"/>
      <c r="BK60" s="134"/>
      <c r="BL60" s="134"/>
      <c r="BM60" s="134"/>
      <c r="BN60" s="134"/>
      <c r="BO60" s="134"/>
      <c r="BP60" s="134"/>
      <c r="BQ60" s="134"/>
      <c r="BR60" s="134"/>
      <c r="BS60" s="134"/>
      <c r="BT60" s="134"/>
      <c r="BU60" s="134"/>
      <c r="BV60" s="134"/>
      <c r="BW60" s="131" t="str">
        <f t="shared" si="0"/>
        <v>PIsolation renforcée LECAPITAINE / TRIMAT2 portes arrièrePorte latérale coulissante à l'avant droit avec une bordure de 70 mm de haut sur le plancherPlancher : Antidérapant léger avec passages de roues (largeur entre passages de roues : 1212 mm) avec 1 siphon d'évacuation1 plafonnier à LED avec temporisation</v>
      </c>
    </row>
    <row r="61" spans="1:75" s="68" customFormat="1" ht="33.75" outlineLevel="1" x14ac:dyDescent="0.25">
      <c r="A61" s="69" t="s">
        <v>4208</v>
      </c>
      <c r="B61" s="64" t="s">
        <v>424</v>
      </c>
      <c r="C61" s="64"/>
      <c r="D61" s="64"/>
      <c r="E61" s="64"/>
      <c r="F61" s="64"/>
      <c r="G61" s="64"/>
      <c r="H61" s="64"/>
      <c r="I61" s="64"/>
      <c r="J61" s="64"/>
      <c r="K61" s="64"/>
      <c r="L61" s="64"/>
      <c r="M61" s="64"/>
      <c r="N61" s="64" t="s">
        <v>3989</v>
      </c>
      <c r="O61" s="64" t="s">
        <v>3990</v>
      </c>
      <c r="P61" s="64"/>
      <c r="Q61" s="64"/>
      <c r="R61" s="64"/>
      <c r="S61" s="64"/>
      <c r="T61" s="64"/>
      <c r="U61" s="64"/>
      <c r="V61" s="64"/>
      <c r="W61" s="64"/>
      <c r="X61" s="64"/>
      <c r="Y61" s="64"/>
      <c r="Z61" s="64"/>
      <c r="AA61" s="64"/>
      <c r="AB61" s="64"/>
      <c r="AC61" s="64"/>
      <c r="AD61" s="64"/>
      <c r="AE61" s="64"/>
      <c r="AF61" s="64"/>
      <c r="AG61" s="64"/>
      <c r="AH61" s="64"/>
      <c r="AI61" s="64"/>
      <c r="AJ61" s="64"/>
      <c r="AK61" s="64"/>
      <c r="AL61" s="64" t="s">
        <v>3991</v>
      </c>
      <c r="AM61" s="64"/>
      <c r="AN61" s="64"/>
      <c r="AO61" s="64"/>
      <c r="AP61" s="64"/>
      <c r="AQ61" s="64"/>
      <c r="AR61" s="64"/>
      <c r="AS61" s="64"/>
      <c r="AT61" s="64"/>
      <c r="AU61" s="64"/>
      <c r="AV61" s="64"/>
      <c r="AW61" s="64"/>
      <c r="AX61" s="64"/>
      <c r="AY61" s="64"/>
      <c r="AZ61" s="64"/>
      <c r="BA61" s="64"/>
      <c r="BB61" s="64"/>
      <c r="BC61" s="134"/>
      <c r="BD61" s="134"/>
      <c r="BE61" s="134"/>
      <c r="BF61" s="134"/>
      <c r="BG61" s="134"/>
      <c r="BH61" s="134"/>
      <c r="BI61" s="134"/>
      <c r="BJ61" s="134"/>
      <c r="BK61" s="134"/>
      <c r="BL61" s="134"/>
      <c r="BM61" s="134"/>
      <c r="BN61" s="134"/>
      <c r="BO61" s="134"/>
      <c r="BP61" s="134"/>
      <c r="BQ61" s="134"/>
      <c r="BR61" s="134"/>
      <c r="BS61" s="134"/>
      <c r="BT61" s="134"/>
      <c r="BU61" s="134"/>
      <c r="BV61" s="134"/>
      <c r="BW61" s="131" t="str">
        <f t="shared" si="0"/>
        <v>O1 sangle d'arrimage Rideau d'air arrière à la place du rideau à lanière  (CU : +3 kg)Total covering</v>
      </c>
    </row>
    <row r="62" spans="1:75" s="68" customFormat="1" ht="45" outlineLevel="1" x14ac:dyDescent="0.25">
      <c r="A62" s="69" t="s">
        <v>4209</v>
      </c>
      <c r="B62" s="64" t="s">
        <v>424</v>
      </c>
      <c r="C62" s="64"/>
      <c r="D62" s="64"/>
      <c r="E62" s="64" t="s">
        <v>3992</v>
      </c>
      <c r="F62" s="64"/>
      <c r="G62" s="64"/>
      <c r="H62" s="64"/>
      <c r="I62" s="64"/>
      <c r="J62" s="64"/>
      <c r="K62" s="64"/>
      <c r="L62" s="64" t="s">
        <v>3993</v>
      </c>
      <c r="M62" s="64"/>
      <c r="N62" s="64"/>
      <c r="O62" s="64"/>
      <c r="P62" s="64" t="s">
        <v>3994</v>
      </c>
      <c r="Q62" s="64"/>
      <c r="R62" s="64" t="s">
        <v>3995</v>
      </c>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134"/>
      <c r="BD62" s="134"/>
      <c r="BE62" s="134"/>
      <c r="BF62" s="134"/>
      <c r="BG62" s="134"/>
      <c r="BH62" s="134"/>
      <c r="BI62" s="134"/>
      <c r="BJ62" s="134"/>
      <c r="BK62" s="134"/>
      <c r="BL62" s="134"/>
      <c r="BM62" s="134"/>
      <c r="BN62" s="134"/>
      <c r="BO62" s="134"/>
      <c r="BP62" s="134"/>
      <c r="BQ62" s="134"/>
      <c r="BR62" s="134"/>
      <c r="BS62" s="134"/>
      <c r="BT62" s="134"/>
      <c r="BU62" s="134"/>
      <c r="BV62" s="134"/>
      <c r="BW62" s="131" t="str">
        <f t="shared" si="0"/>
        <v>OPorte latérale battante à l'avant droit (CU : -27 kg)1 niveau de rail d'arrimage en acier galvanisé D + G axé à 900 mm du plancher (-16 mm de largeur utile) avec une sangle d'arrimage (CU : -16 kg)Rideau à lanières latéral (CU : -6 kg) ==&gt; Implique l'ajout de la Porte latérale1 niveau d'étagères droite et gauche profondeur 400 mm (CU : -37 kg) - Hauteur à préciser</v>
      </c>
    </row>
    <row r="63" spans="1:75" s="66" customFormat="1" ht="45" outlineLevel="1" x14ac:dyDescent="0.25">
      <c r="A63" s="69" t="s">
        <v>4210</v>
      </c>
      <c r="B63" s="64" t="s">
        <v>424</v>
      </c>
      <c r="C63" s="64"/>
      <c r="D63" s="64"/>
      <c r="E63" s="64" t="s">
        <v>3996</v>
      </c>
      <c r="F63" s="64"/>
      <c r="G63" s="64"/>
      <c r="H63" s="64"/>
      <c r="I63" s="64"/>
      <c r="J63" s="64"/>
      <c r="K63" s="64"/>
      <c r="L63" s="64" t="s">
        <v>3997</v>
      </c>
      <c r="M63" s="64"/>
      <c r="N63" s="64"/>
      <c r="O63" s="64"/>
      <c r="P63" s="64"/>
      <c r="Q63" s="64"/>
      <c r="R63" s="64" t="s">
        <v>3998</v>
      </c>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134"/>
      <c r="BD63" s="134"/>
      <c r="BE63" s="134"/>
      <c r="BF63" s="134"/>
      <c r="BG63" s="134"/>
      <c r="BH63" s="134"/>
      <c r="BI63" s="134"/>
      <c r="BJ63" s="134"/>
      <c r="BK63" s="134"/>
      <c r="BL63" s="134"/>
      <c r="BM63" s="134"/>
      <c r="BN63" s="134"/>
      <c r="BO63" s="134"/>
      <c r="BP63" s="134"/>
      <c r="BQ63" s="134"/>
      <c r="BR63" s="134"/>
      <c r="BS63" s="134"/>
      <c r="BT63" s="134"/>
      <c r="BU63" s="134"/>
      <c r="BV63" s="134"/>
      <c r="BW63" s="131" t="str">
        <f t="shared" si="0"/>
        <v>OPorte latérale battante à l'avant droit (CU : -22 kg) 1 niveau de rail d'arrimage côté droit et gauche axé à 700 mm du plancher (-24 mm de largeur utile) avec une sangle d'arrimage (CU : -13 kg)1 niveau d'étagères droite et gauche profondeur 400 mm (CU : -30 kg) - Hauteur à préciser</v>
      </c>
    </row>
    <row r="64" spans="1:75" s="68" customFormat="1" ht="45" outlineLevel="1" x14ac:dyDescent="0.25">
      <c r="A64" s="69" t="s">
        <v>4211</v>
      </c>
      <c r="B64" s="64" t="s">
        <v>424</v>
      </c>
      <c r="C64" s="64"/>
      <c r="D64" s="64"/>
      <c r="E64" s="64" t="s">
        <v>3996</v>
      </c>
      <c r="F64" s="64"/>
      <c r="G64" s="64"/>
      <c r="H64" s="64"/>
      <c r="I64" s="64"/>
      <c r="J64" s="64"/>
      <c r="K64" s="64"/>
      <c r="L64" s="64" t="s">
        <v>3997</v>
      </c>
      <c r="M64" s="64"/>
      <c r="N64" s="64"/>
      <c r="O64" s="64"/>
      <c r="P64" s="64"/>
      <c r="Q64" s="64"/>
      <c r="R64" s="64" t="s">
        <v>3998</v>
      </c>
      <c r="S64" s="64"/>
      <c r="T64" s="64"/>
      <c r="U64" s="64"/>
      <c r="V64" s="64"/>
      <c r="W64" s="64"/>
      <c r="X64" s="64"/>
      <c r="Y64" s="64"/>
      <c r="Z64" s="64"/>
      <c r="AA64" s="64"/>
      <c r="AB64" s="64"/>
      <c r="AC64" s="64"/>
      <c r="AD64" s="64"/>
      <c r="AE64" s="64"/>
      <c r="AF64" s="64"/>
      <c r="AG64" s="64"/>
      <c r="AH64" s="64"/>
      <c r="AI64" s="64"/>
      <c r="AJ64" s="64"/>
      <c r="AK64" s="64"/>
      <c r="AL64" s="64" t="s">
        <v>3991</v>
      </c>
      <c r="AM64" s="64"/>
      <c r="AN64" s="64"/>
      <c r="AO64" s="64"/>
      <c r="AP64" s="64"/>
      <c r="AQ64" s="64"/>
      <c r="AR64" s="64"/>
      <c r="AS64" s="64"/>
      <c r="AT64" s="64"/>
      <c r="AU64" s="64"/>
      <c r="AV64" s="64"/>
      <c r="AW64" s="64"/>
      <c r="AX64" s="64"/>
      <c r="AY64" s="64"/>
      <c r="AZ64" s="64"/>
      <c r="BA64" s="64"/>
      <c r="BB64" s="64"/>
      <c r="BC64" s="134"/>
      <c r="BD64" s="134"/>
      <c r="BE64" s="134"/>
      <c r="BF64" s="134"/>
      <c r="BG64" s="134"/>
      <c r="BH64" s="134"/>
      <c r="BI64" s="134"/>
      <c r="BJ64" s="134"/>
      <c r="BK64" s="134"/>
      <c r="BL64" s="134"/>
      <c r="BM64" s="134"/>
      <c r="BN64" s="134"/>
      <c r="BO64" s="134"/>
      <c r="BP64" s="134"/>
      <c r="BQ64" s="134"/>
      <c r="BR64" s="134"/>
      <c r="BS64" s="134"/>
      <c r="BT64" s="134"/>
      <c r="BU64" s="134"/>
      <c r="BV64" s="134"/>
      <c r="BW64" s="131" t="str">
        <f t="shared" si="0"/>
        <v>OPorte latérale battante à l'avant droit (CU : -22 kg) 1 niveau de rail d'arrimage côté droit et gauche axé à 700 mm du plancher (-24 mm de largeur utile) avec une sangle d'arrimage (CU : -13 kg)1 niveau d'étagères droite et gauche profondeur 400 mm (CU : -30 kg) - Hauteur à préciserTotal covering</v>
      </c>
    </row>
    <row r="65" spans="1:75" s="68" customFormat="1" ht="33.75" outlineLevel="1" x14ac:dyDescent="0.25">
      <c r="A65" s="69" t="s">
        <v>4212</v>
      </c>
      <c r="B65" s="64" t="s">
        <v>424</v>
      </c>
      <c r="C65" s="64"/>
      <c r="D65" s="64"/>
      <c r="E65" s="64"/>
      <c r="F65" s="64"/>
      <c r="G65" s="64"/>
      <c r="H65" s="64"/>
      <c r="I65" s="64"/>
      <c r="J65" s="64"/>
      <c r="K65" s="64"/>
      <c r="L65" s="64" t="s">
        <v>3999</v>
      </c>
      <c r="M65" s="64"/>
      <c r="N65" s="64"/>
      <c r="O65" s="64" t="s">
        <v>4000</v>
      </c>
      <c r="P65" s="64" t="s">
        <v>4001</v>
      </c>
      <c r="Q65" s="64"/>
      <c r="R65" s="64" t="s">
        <v>4002</v>
      </c>
      <c r="S65" s="64"/>
      <c r="T65" s="64"/>
      <c r="U65" s="64"/>
      <c r="V65" s="64"/>
      <c r="W65" s="64"/>
      <c r="X65" s="64"/>
      <c r="Y65" s="64"/>
      <c r="Z65" s="64"/>
      <c r="AA65" s="64"/>
      <c r="AB65" s="64"/>
      <c r="AC65" s="64"/>
      <c r="AD65" s="64"/>
      <c r="AE65" s="64"/>
      <c r="AF65" s="64"/>
      <c r="AG65" s="64"/>
      <c r="AH65" s="64"/>
      <c r="AI65" s="64"/>
      <c r="AJ65" s="64"/>
      <c r="AK65" s="64"/>
      <c r="AL65" s="64" t="s">
        <v>3991</v>
      </c>
      <c r="AM65" s="64"/>
      <c r="AN65" s="64"/>
      <c r="AO65" s="64"/>
      <c r="AP65" s="64"/>
      <c r="AQ65" s="64"/>
      <c r="AR65" s="64"/>
      <c r="AS65" s="64"/>
      <c r="AT65" s="64"/>
      <c r="AU65" s="64"/>
      <c r="AV65" s="64"/>
      <c r="AW65" s="64"/>
      <c r="AX65" s="64"/>
      <c r="AY65" s="64"/>
      <c r="AZ65" s="64"/>
      <c r="BA65" s="64"/>
      <c r="BB65" s="64"/>
      <c r="BC65" s="134"/>
      <c r="BD65" s="134"/>
      <c r="BE65" s="134"/>
      <c r="BF65" s="134"/>
      <c r="BG65" s="134"/>
      <c r="BH65" s="134"/>
      <c r="BI65" s="134"/>
      <c r="BJ65" s="134"/>
      <c r="BK65" s="134"/>
      <c r="BL65" s="134"/>
      <c r="BM65" s="134"/>
      <c r="BN65" s="134"/>
      <c r="BO65" s="134"/>
      <c r="BP65" s="134"/>
      <c r="BQ65" s="134"/>
      <c r="BR65" s="134"/>
      <c r="BS65" s="134"/>
      <c r="BT65" s="134"/>
      <c r="BU65" s="134"/>
      <c r="BV65" s="134"/>
      <c r="BW65" s="131" t="str">
        <f t="shared" si="0"/>
        <v>O1 niveau de rail d'arrimage côté droit et gauche avec une sangle d'arrimage  (CU : -15 kg) - Hauteur à préciserRideau à lanières arrière (CU : -12 kg)Rideau à lanières latéral (CU : -6 kg)1 niveau d'étagères droite et gauche profondeur 400 mm (CU : -36 kg) - Hauteur à préciserTotal covering</v>
      </c>
    </row>
    <row r="66" spans="1:75" s="68" customFormat="1" ht="33.75" outlineLevel="1" x14ac:dyDescent="0.25">
      <c r="A66" s="69" t="s">
        <v>4213</v>
      </c>
      <c r="B66" s="64" t="s">
        <v>424</v>
      </c>
      <c r="C66" s="64"/>
      <c r="D66" s="64"/>
      <c r="E66" s="64"/>
      <c r="F66" s="64"/>
      <c r="G66" s="64"/>
      <c r="H66" s="64"/>
      <c r="I66" s="64"/>
      <c r="J66" s="64"/>
      <c r="K66" s="64"/>
      <c r="L66" s="64" t="s">
        <v>3999</v>
      </c>
      <c r="M66" s="64"/>
      <c r="N66" s="64"/>
      <c r="O66" s="64"/>
      <c r="P66" s="64"/>
      <c r="Q66" s="64"/>
      <c r="R66" s="64" t="s">
        <v>4002</v>
      </c>
      <c r="S66" s="64"/>
      <c r="T66" s="64"/>
      <c r="U66" s="64"/>
      <c r="V66" s="64"/>
      <c r="W66" s="64"/>
      <c r="X66" s="64"/>
      <c r="Y66" s="64"/>
      <c r="Z66" s="64"/>
      <c r="AA66" s="64"/>
      <c r="AB66" s="64"/>
      <c r="AC66" s="64"/>
      <c r="AD66" s="64"/>
      <c r="AE66" s="64"/>
      <c r="AF66" s="64"/>
      <c r="AG66" s="64"/>
      <c r="AH66" s="64"/>
      <c r="AI66" s="64"/>
      <c r="AJ66" s="64"/>
      <c r="AK66" s="64"/>
      <c r="AL66" s="64" t="s">
        <v>3991</v>
      </c>
      <c r="AM66" s="64"/>
      <c r="AN66" s="64"/>
      <c r="AO66" s="64"/>
      <c r="AP66" s="64"/>
      <c r="AQ66" s="64"/>
      <c r="AR66" s="64"/>
      <c r="AS66" s="64"/>
      <c r="AT66" s="64"/>
      <c r="AU66" s="64"/>
      <c r="AV66" s="64"/>
      <c r="AW66" s="64"/>
      <c r="AX66" s="64"/>
      <c r="AY66" s="64"/>
      <c r="AZ66" s="64"/>
      <c r="BA66" s="64"/>
      <c r="BB66" s="64"/>
      <c r="BC66" s="134"/>
      <c r="BD66" s="134"/>
      <c r="BE66" s="134"/>
      <c r="BF66" s="134"/>
      <c r="BG66" s="134"/>
      <c r="BH66" s="134"/>
      <c r="BI66" s="134"/>
      <c r="BJ66" s="134"/>
      <c r="BK66" s="134"/>
      <c r="BL66" s="134"/>
      <c r="BM66" s="134"/>
      <c r="BN66" s="134"/>
      <c r="BO66" s="134"/>
      <c r="BP66" s="134"/>
      <c r="BQ66" s="134"/>
      <c r="BR66" s="134"/>
      <c r="BS66" s="134"/>
      <c r="BT66" s="134"/>
      <c r="BU66" s="134"/>
      <c r="BV66" s="134"/>
      <c r="BW66" s="131" t="str">
        <f t="shared" ref="BW66:BW129" si="1">CONCATENATE(B66,C66,D66,E66,F66,G66,H66,I66,J66,K66,L66,M66,N66,O66,P66,Q66,R66,S66,T66,U66,V66,W66,X66,Y66,Z66,AA66,AB66,AC66,AD66,AE66,AF66,AG66,AH66,AI66,AJ66,AK66,AL66,AM66,AN66,AO66,AP66,AQ66,AR66,AS66,AT66,AU66,AV66,AW66,AX66,AY66,AZ66,BA66,BC66,BD66,BE66,BF66,BG66,BH66,BI66,BJ66,BK66,BL66,BM66,BN66,BO66,BP66,BQ66,BR66,BS66,BT66,BU66,BV66,)</f>
        <v>O1 niveau de rail d'arrimage côté droit et gauche avec une sangle d'arrimage  (CU : -15 kg) - Hauteur à préciser1 niveau d'étagères droite et gauche profondeur 400 mm (CU : -36 kg) - Hauteur à préciserTotal covering</v>
      </c>
    </row>
    <row r="67" spans="1:75" s="68" customFormat="1" ht="56.25" outlineLevel="1" x14ac:dyDescent="0.25">
      <c r="A67" s="69" t="s">
        <v>4214</v>
      </c>
      <c r="B67" s="64" t="s">
        <v>424</v>
      </c>
      <c r="C67" s="64"/>
      <c r="D67" s="64"/>
      <c r="E67" s="64"/>
      <c r="F67" s="64"/>
      <c r="G67" s="64"/>
      <c r="H67" s="64"/>
      <c r="I67" s="64"/>
      <c r="J67" s="64"/>
      <c r="K67" s="64"/>
      <c r="L67" s="64" t="s">
        <v>4003</v>
      </c>
      <c r="M67" s="64"/>
      <c r="N67" s="64"/>
      <c r="O67" s="64"/>
      <c r="P67" s="64"/>
      <c r="Q67" s="64"/>
      <c r="R67" s="64" t="s">
        <v>4004</v>
      </c>
      <c r="S67" s="64"/>
      <c r="T67" s="64"/>
      <c r="U67" s="64"/>
      <c r="V67" s="64"/>
      <c r="W67" s="64"/>
      <c r="X67" s="64"/>
      <c r="Y67" s="64"/>
      <c r="Z67" s="64"/>
      <c r="AA67" s="64"/>
      <c r="AB67" s="64"/>
      <c r="AC67" s="64"/>
      <c r="AD67" s="64"/>
      <c r="AE67" s="64"/>
      <c r="AF67" s="64"/>
      <c r="AG67" s="64"/>
      <c r="AH67" s="64"/>
      <c r="AI67" s="64"/>
      <c r="AJ67" s="64"/>
      <c r="AK67" s="64"/>
      <c r="AL67" s="64" t="s">
        <v>3991</v>
      </c>
      <c r="AM67" s="64"/>
      <c r="AN67" s="64"/>
      <c r="AO67" s="64"/>
      <c r="AP67" s="64"/>
      <c r="AQ67" s="64"/>
      <c r="AR67" s="64"/>
      <c r="AS67" s="64"/>
      <c r="AT67" s="64"/>
      <c r="AU67" s="64"/>
      <c r="AV67" s="64"/>
      <c r="AW67" s="64"/>
      <c r="AX67" s="64"/>
      <c r="AY67" s="64"/>
      <c r="AZ67" s="64"/>
      <c r="BA67" s="64"/>
      <c r="BB67" s="64"/>
      <c r="BC67" s="134"/>
      <c r="BD67" s="134"/>
      <c r="BE67" s="134"/>
      <c r="BF67" s="134"/>
      <c r="BG67" s="134"/>
      <c r="BH67" s="134"/>
      <c r="BI67" s="134"/>
      <c r="BJ67" s="134"/>
      <c r="BK67" s="134"/>
      <c r="BL67" s="134"/>
      <c r="BM67" s="134"/>
      <c r="BN67" s="134"/>
      <c r="BO67" s="134"/>
      <c r="BP67" s="134"/>
      <c r="BQ67" s="134"/>
      <c r="BR67" s="134"/>
      <c r="BS67" s="134"/>
      <c r="BT67" s="134"/>
      <c r="BU67" s="134"/>
      <c r="BV67" s="134"/>
      <c r="BW67" s="131" t="str">
        <f t="shared" si="1"/>
        <v>O1 niveau de rail d'arrimage côté droit et gauche axé à 600 mm du plancher (-24 mm de largeur utile) avec une sangle d'arrimage (CU : -13 kg) - Pas de rails sur la porte latérale coulissante1 niveau d'étagères droite et gauche profondeur 400 mm (CU : -29 kg) - Hauteur à préciserTotal covering</v>
      </c>
    </row>
    <row r="68" spans="1:75" s="68" customFormat="1" ht="56.25" outlineLevel="1" x14ac:dyDescent="0.25">
      <c r="A68" s="69" t="s">
        <v>4215</v>
      </c>
      <c r="B68" s="64" t="s">
        <v>424</v>
      </c>
      <c r="C68" s="64"/>
      <c r="D68" s="64"/>
      <c r="E68" s="64"/>
      <c r="F68" s="64"/>
      <c r="G68" s="64"/>
      <c r="H68" s="64"/>
      <c r="I68" s="64"/>
      <c r="J68" s="64"/>
      <c r="K68" s="64"/>
      <c r="L68" s="64" t="s">
        <v>4003</v>
      </c>
      <c r="M68" s="64"/>
      <c r="N68" s="64"/>
      <c r="O68" s="64" t="s">
        <v>4005</v>
      </c>
      <c r="P68" s="64" t="s">
        <v>4001</v>
      </c>
      <c r="Q68" s="64"/>
      <c r="R68" s="64" t="s">
        <v>4006</v>
      </c>
      <c r="S68" s="64"/>
      <c r="T68" s="64"/>
      <c r="U68" s="64"/>
      <c r="V68" s="64"/>
      <c r="W68" s="64"/>
      <c r="X68" s="64"/>
      <c r="Y68" s="64"/>
      <c r="Z68" s="64"/>
      <c r="AA68" s="64"/>
      <c r="AB68" s="64"/>
      <c r="AC68" s="64"/>
      <c r="AD68" s="64"/>
      <c r="AE68" s="64"/>
      <c r="AF68" s="64"/>
      <c r="AG68" s="64"/>
      <c r="AH68" s="64"/>
      <c r="AI68" s="64"/>
      <c r="AJ68" s="64"/>
      <c r="AK68" s="64"/>
      <c r="AL68" s="64" t="s">
        <v>3991</v>
      </c>
      <c r="AM68" s="64"/>
      <c r="AN68" s="64"/>
      <c r="AO68" s="64"/>
      <c r="AP68" s="64"/>
      <c r="AQ68" s="64"/>
      <c r="AR68" s="64"/>
      <c r="AS68" s="64"/>
      <c r="AT68" s="64"/>
      <c r="AU68" s="64"/>
      <c r="AV68" s="64"/>
      <c r="AW68" s="64"/>
      <c r="AX68" s="64"/>
      <c r="AY68" s="64"/>
      <c r="AZ68" s="64"/>
      <c r="BA68" s="64"/>
      <c r="BB68" s="64"/>
      <c r="BC68" s="134"/>
      <c r="BD68" s="134"/>
      <c r="BE68" s="134"/>
      <c r="BF68" s="134"/>
      <c r="BG68" s="134"/>
      <c r="BH68" s="134"/>
      <c r="BI68" s="134"/>
      <c r="BJ68" s="134"/>
      <c r="BK68" s="134"/>
      <c r="BL68" s="134"/>
      <c r="BM68" s="134"/>
      <c r="BN68" s="134"/>
      <c r="BO68" s="134"/>
      <c r="BP68" s="134"/>
      <c r="BQ68" s="134"/>
      <c r="BR68" s="134"/>
      <c r="BS68" s="134"/>
      <c r="BT68" s="134"/>
      <c r="BU68" s="134"/>
      <c r="BV68" s="134"/>
      <c r="BW68" s="131" t="str">
        <f t="shared" si="1"/>
        <v>O1 niveau de rail d'arrimage côté droit et gauche axé à 600 mm du plancher (-24 mm de largeur utile) avec une sangle d'arrimage (CU : -13 kg) - Pas de rails sur la porte latérale coulissanteRideau  à lanières arrière (CU : -10 kg)Rideau à lanières latéral (CU : -6 kg)1 niveau d'étagères droite et gauche profondeur 400 mm (CU : -24 kg) - Hauteur à préciserTotal covering</v>
      </c>
    </row>
    <row r="69" spans="1:75" s="68" customFormat="1" ht="56.25" outlineLevel="1" x14ac:dyDescent="0.25">
      <c r="A69" s="69" t="s">
        <v>4216</v>
      </c>
      <c r="B69" s="64" t="s">
        <v>424</v>
      </c>
      <c r="C69" s="64"/>
      <c r="D69" s="64"/>
      <c r="E69" s="64"/>
      <c r="F69" s="64"/>
      <c r="G69" s="64"/>
      <c r="H69" s="64"/>
      <c r="I69" s="64"/>
      <c r="J69" s="64"/>
      <c r="K69" s="64"/>
      <c r="L69" s="64" t="s">
        <v>4003</v>
      </c>
      <c r="M69" s="64"/>
      <c r="N69" s="64"/>
      <c r="O69" s="64" t="s">
        <v>4005</v>
      </c>
      <c r="P69" s="64" t="s">
        <v>4001</v>
      </c>
      <c r="Q69" s="64"/>
      <c r="R69" s="64" t="s">
        <v>4004</v>
      </c>
      <c r="S69" s="64"/>
      <c r="T69" s="64"/>
      <c r="U69" s="64"/>
      <c r="V69" s="64"/>
      <c r="W69" s="64"/>
      <c r="X69" s="64"/>
      <c r="Y69" s="64"/>
      <c r="Z69" s="64"/>
      <c r="AA69" s="64"/>
      <c r="AB69" s="64"/>
      <c r="AC69" s="64"/>
      <c r="AD69" s="64"/>
      <c r="AE69" s="64"/>
      <c r="AF69" s="64"/>
      <c r="AG69" s="64"/>
      <c r="AH69" s="64"/>
      <c r="AI69" s="64"/>
      <c r="AJ69" s="64"/>
      <c r="AK69" s="64"/>
      <c r="AL69" s="64" t="s">
        <v>3991</v>
      </c>
      <c r="AM69" s="64"/>
      <c r="AN69" s="64"/>
      <c r="AO69" s="64"/>
      <c r="AP69" s="64"/>
      <c r="AQ69" s="64"/>
      <c r="AR69" s="64"/>
      <c r="AS69" s="64"/>
      <c r="AT69" s="64"/>
      <c r="AU69" s="64"/>
      <c r="AV69" s="64"/>
      <c r="AW69" s="64"/>
      <c r="AX69" s="64"/>
      <c r="AY69" s="64"/>
      <c r="AZ69" s="64"/>
      <c r="BA69" s="64"/>
      <c r="BB69" s="64"/>
      <c r="BC69" s="134"/>
      <c r="BD69" s="134"/>
      <c r="BE69" s="134"/>
      <c r="BF69" s="134"/>
      <c r="BG69" s="134"/>
      <c r="BH69" s="134"/>
      <c r="BI69" s="134"/>
      <c r="BJ69" s="134"/>
      <c r="BK69" s="134"/>
      <c r="BL69" s="134"/>
      <c r="BM69" s="134"/>
      <c r="BN69" s="134"/>
      <c r="BO69" s="134"/>
      <c r="BP69" s="134"/>
      <c r="BQ69" s="134"/>
      <c r="BR69" s="134"/>
      <c r="BS69" s="134"/>
      <c r="BT69" s="134"/>
      <c r="BU69" s="134"/>
      <c r="BV69" s="134"/>
      <c r="BW69" s="131" t="str">
        <f t="shared" si="1"/>
        <v>O1 niveau de rail d'arrimage côté droit et gauche axé à 600 mm du plancher (-24 mm de largeur utile) avec une sangle d'arrimage (CU : -13 kg) - Pas de rails sur la porte latérale coulissanteRideau  à lanières arrière (CU : -10 kg)Rideau à lanières latéral (CU : -6 kg)1 niveau d'étagères droite et gauche profondeur 400 mm (CU : -29 kg) - Hauteur à préciserTotal covering</v>
      </c>
    </row>
    <row r="70" spans="1:75" s="96" customFormat="1" ht="56.25" outlineLevel="1" x14ac:dyDescent="0.25">
      <c r="A70" s="69" t="s">
        <v>4217</v>
      </c>
      <c r="B70" s="64" t="s">
        <v>424</v>
      </c>
      <c r="C70" s="64"/>
      <c r="D70" s="64"/>
      <c r="E70" s="64"/>
      <c r="F70" s="64"/>
      <c r="G70" s="64"/>
      <c r="H70" s="64"/>
      <c r="I70" s="64"/>
      <c r="J70" s="64"/>
      <c r="K70" s="64"/>
      <c r="L70" s="64" t="s">
        <v>4003</v>
      </c>
      <c r="M70" s="64"/>
      <c r="N70" s="64"/>
      <c r="O70" s="64"/>
      <c r="P70" s="64"/>
      <c r="Q70" s="64"/>
      <c r="R70" s="64" t="s">
        <v>4006</v>
      </c>
      <c r="S70" s="64"/>
      <c r="T70" s="64"/>
      <c r="U70" s="64"/>
      <c r="V70" s="64"/>
      <c r="W70" s="64"/>
      <c r="X70" s="64"/>
      <c r="Y70" s="64"/>
      <c r="Z70" s="64"/>
      <c r="AA70" s="64"/>
      <c r="AB70" s="64"/>
      <c r="AC70" s="64"/>
      <c r="AD70" s="64"/>
      <c r="AE70" s="64"/>
      <c r="AF70" s="64"/>
      <c r="AG70" s="64"/>
      <c r="AH70" s="64"/>
      <c r="AI70" s="64"/>
      <c r="AJ70" s="64"/>
      <c r="AK70" s="64"/>
      <c r="AL70" s="64" t="s">
        <v>3991</v>
      </c>
      <c r="AM70" s="64"/>
      <c r="AN70" s="64"/>
      <c r="AO70" s="64"/>
      <c r="AP70" s="64"/>
      <c r="AQ70" s="64"/>
      <c r="AR70" s="64"/>
      <c r="AS70" s="64"/>
      <c r="AT70" s="64"/>
      <c r="AU70" s="64"/>
      <c r="AV70" s="64"/>
      <c r="AW70" s="64"/>
      <c r="AX70" s="64"/>
      <c r="AY70" s="64"/>
      <c r="AZ70" s="64"/>
      <c r="BA70" s="64"/>
      <c r="BB70" s="64"/>
      <c r="BC70" s="134"/>
      <c r="BD70" s="134"/>
      <c r="BE70" s="134"/>
      <c r="BF70" s="134"/>
      <c r="BG70" s="134"/>
      <c r="BH70" s="134"/>
      <c r="BI70" s="134"/>
      <c r="BJ70" s="134"/>
      <c r="BK70" s="134"/>
      <c r="BL70" s="134"/>
      <c r="BM70" s="134"/>
      <c r="BN70" s="134"/>
      <c r="BO70" s="134"/>
      <c r="BP70" s="134"/>
      <c r="BQ70" s="134"/>
      <c r="BR70" s="134"/>
      <c r="BS70" s="134"/>
      <c r="BT70" s="134"/>
      <c r="BU70" s="134"/>
      <c r="BV70" s="134"/>
      <c r="BW70" s="131" t="str">
        <f t="shared" si="1"/>
        <v>O1 niveau de rail d'arrimage côté droit et gauche axé à 600 mm du plancher (-24 mm de largeur utile) avec une sangle d'arrimage (CU : -13 kg) - Pas de rails sur la porte latérale coulissante1 niveau d'étagères droite et gauche profondeur 400 mm (CU : -24 kg) - Hauteur à préciserTotal covering</v>
      </c>
    </row>
    <row r="71" spans="1:75" s="68" customFormat="1" ht="56.25" outlineLevel="1" x14ac:dyDescent="0.25">
      <c r="A71" s="69" t="s">
        <v>4218</v>
      </c>
      <c r="B71" s="64" t="s">
        <v>424</v>
      </c>
      <c r="C71" s="64"/>
      <c r="D71" s="64"/>
      <c r="E71" s="64"/>
      <c r="F71" s="64"/>
      <c r="G71" s="64"/>
      <c r="H71" s="64"/>
      <c r="I71" s="64"/>
      <c r="J71" s="64"/>
      <c r="K71" s="64"/>
      <c r="L71" s="64" t="s">
        <v>4007</v>
      </c>
      <c r="M71" s="64"/>
      <c r="N71" s="64"/>
      <c r="O71" s="64"/>
      <c r="P71" s="64"/>
      <c r="Q71" s="64"/>
      <c r="R71" s="64" t="s">
        <v>4008</v>
      </c>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134"/>
      <c r="BD71" s="134"/>
      <c r="BE71" s="134"/>
      <c r="BF71" s="134"/>
      <c r="BG71" s="134"/>
      <c r="BH71" s="134"/>
      <c r="BI71" s="134"/>
      <c r="BJ71" s="134"/>
      <c r="BK71" s="134"/>
      <c r="BL71" s="134"/>
      <c r="BM71" s="134"/>
      <c r="BN71" s="134"/>
      <c r="BO71" s="134"/>
      <c r="BP71" s="134"/>
      <c r="BQ71" s="134"/>
      <c r="BR71" s="134"/>
      <c r="BS71" s="134"/>
      <c r="BT71" s="134"/>
      <c r="BU71" s="134"/>
      <c r="BV71" s="134"/>
      <c r="BW71" s="131" t="str">
        <f t="shared" si="1"/>
        <v>O1 niveau de rail d'arrimage côté droit et gauche axé à 500 mm du plancher (-24 mm de largeur utile)  avec une sangle d'arrimage (CU : -9 kg) - Pas de rails sur la porte latérale coulissante1 niveau d'étagères droite et gauche profondeur 400 mm à la place du demi-plancher intermédiare amovible (CU : -24 kg) - Hauteur à préciser</v>
      </c>
    </row>
    <row r="72" spans="1:75" s="68" customFormat="1" ht="56.25" outlineLevel="1" x14ac:dyDescent="0.25">
      <c r="A72" s="69" t="s">
        <v>4219</v>
      </c>
      <c r="B72" s="64" t="s">
        <v>424</v>
      </c>
      <c r="C72" s="64"/>
      <c r="D72" s="64"/>
      <c r="E72" s="64"/>
      <c r="F72" s="64"/>
      <c r="G72" s="64"/>
      <c r="H72" s="64"/>
      <c r="I72" s="74"/>
      <c r="J72" s="64"/>
      <c r="K72" s="64"/>
      <c r="L72" s="64" t="s">
        <v>4007</v>
      </c>
      <c r="M72" s="64"/>
      <c r="N72" s="64"/>
      <c r="O72" s="64"/>
      <c r="P72" s="64"/>
      <c r="Q72" s="64"/>
      <c r="R72" s="64" t="s">
        <v>4008</v>
      </c>
      <c r="S72" s="64"/>
      <c r="T72" s="64"/>
      <c r="U72" s="64"/>
      <c r="V72" s="64"/>
      <c r="W72" s="64"/>
      <c r="X72" s="64"/>
      <c r="Y72" s="64"/>
      <c r="Z72" s="64"/>
      <c r="AA72" s="64"/>
      <c r="AB72" s="64"/>
      <c r="AC72" s="64"/>
      <c r="AD72" s="64"/>
      <c r="AE72" s="64"/>
      <c r="AF72" s="64"/>
      <c r="AG72" s="64"/>
      <c r="AH72" s="64"/>
      <c r="AI72" s="64"/>
      <c r="AJ72" s="64"/>
      <c r="AK72" s="69"/>
      <c r="AL72" s="64" t="s">
        <v>3991</v>
      </c>
      <c r="AM72" s="64"/>
      <c r="AN72" s="64"/>
      <c r="AO72" s="64"/>
      <c r="AP72" s="64"/>
      <c r="AQ72" s="64"/>
      <c r="AR72" s="64"/>
      <c r="AS72" s="64"/>
      <c r="AT72" s="64"/>
      <c r="AU72" s="64"/>
      <c r="AV72" s="64"/>
      <c r="AW72" s="64"/>
      <c r="AX72" s="64"/>
      <c r="AY72" s="64"/>
      <c r="AZ72" s="64"/>
      <c r="BA72" s="64"/>
      <c r="BB72" s="64"/>
      <c r="BC72" s="134"/>
      <c r="BD72" s="134"/>
      <c r="BE72" s="134"/>
      <c r="BF72" s="134"/>
      <c r="BG72" s="134"/>
      <c r="BH72" s="134"/>
      <c r="BI72" s="134"/>
      <c r="BJ72" s="134"/>
      <c r="BK72" s="134"/>
      <c r="BL72" s="134"/>
      <c r="BM72" s="134"/>
      <c r="BN72" s="134"/>
      <c r="BO72" s="134"/>
      <c r="BP72" s="134"/>
      <c r="BQ72" s="134"/>
      <c r="BR72" s="134"/>
      <c r="BS72" s="134"/>
      <c r="BT72" s="134"/>
      <c r="BU72" s="134"/>
      <c r="BV72" s="134"/>
      <c r="BW72" s="131" t="str">
        <f t="shared" si="1"/>
        <v>O1 niveau de rail d'arrimage côté droit et gauche axé à 500 mm du plancher (-24 mm de largeur utile)  avec une sangle d'arrimage (CU : -9 kg) - Pas de rails sur la porte latérale coulissante1 niveau d'étagères droite et gauche profondeur 400 mm à la place du demi-plancher intermédiare amovible (CU : -24 kg) - Hauteur à préciserTotal covering</v>
      </c>
    </row>
    <row r="73" spans="1:75" s="68" customFormat="1" ht="56.25" outlineLevel="1" x14ac:dyDescent="0.25">
      <c r="A73" s="69" t="s">
        <v>4220</v>
      </c>
      <c r="B73" s="64" t="s">
        <v>424</v>
      </c>
      <c r="C73" s="64"/>
      <c r="D73" s="64"/>
      <c r="E73" s="64"/>
      <c r="F73" s="64"/>
      <c r="G73" s="64"/>
      <c r="H73" s="64"/>
      <c r="I73" s="74"/>
      <c r="J73" s="64"/>
      <c r="K73" s="64"/>
      <c r="L73" s="64" t="s">
        <v>4009</v>
      </c>
      <c r="M73" s="64"/>
      <c r="N73" s="64"/>
      <c r="O73" s="64"/>
      <c r="P73" s="64"/>
      <c r="Q73" s="64"/>
      <c r="R73" s="64" t="s">
        <v>4010</v>
      </c>
      <c r="S73" s="64"/>
      <c r="T73" s="64"/>
      <c r="U73" s="64"/>
      <c r="V73" s="64"/>
      <c r="W73" s="64"/>
      <c r="X73" s="64"/>
      <c r="Y73" s="64"/>
      <c r="Z73" s="64"/>
      <c r="AA73" s="64"/>
      <c r="AB73" s="64"/>
      <c r="AC73" s="64"/>
      <c r="AD73" s="64"/>
      <c r="AE73" s="64"/>
      <c r="AF73" s="64"/>
      <c r="AG73" s="64"/>
      <c r="AH73" s="64"/>
      <c r="AI73" s="64"/>
      <c r="AJ73" s="64"/>
      <c r="AK73" s="69"/>
      <c r="AL73" s="64" t="s">
        <v>3991</v>
      </c>
      <c r="AM73" s="64"/>
      <c r="AN73" s="64"/>
      <c r="AO73" s="64"/>
      <c r="AP73" s="64"/>
      <c r="AQ73" s="64"/>
      <c r="AR73" s="64"/>
      <c r="AS73" s="64"/>
      <c r="AT73" s="64"/>
      <c r="AU73" s="64"/>
      <c r="AV73" s="64"/>
      <c r="AW73" s="64"/>
      <c r="AX73" s="64"/>
      <c r="AY73" s="64"/>
      <c r="AZ73" s="64"/>
      <c r="BA73" s="64"/>
      <c r="BB73" s="64"/>
      <c r="BC73" s="134"/>
      <c r="BD73" s="134"/>
      <c r="BE73" s="134"/>
      <c r="BF73" s="134"/>
      <c r="BG73" s="134"/>
      <c r="BH73" s="134"/>
      <c r="BI73" s="134"/>
      <c r="BJ73" s="134"/>
      <c r="BK73" s="134"/>
      <c r="BL73" s="134"/>
      <c r="BM73" s="134"/>
      <c r="BN73" s="134"/>
      <c r="BO73" s="134"/>
      <c r="BP73" s="134"/>
      <c r="BQ73" s="134"/>
      <c r="BR73" s="134"/>
      <c r="BS73" s="134"/>
      <c r="BT73" s="134"/>
      <c r="BU73" s="134"/>
      <c r="BV73" s="134"/>
      <c r="BW73" s="131" t="str">
        <f t="shared" si="1"/>
        <v>O1 niveau de rail d'arrimage côté droit et gauche axé à 500 mm du plancher (-24 mm de largeur utile)  avec une sangle d'arrimage (CU : -8 kg) - Pas de rails sur la porte latérale coulissante1 niveau d'étagères droite et gauche profondeur 400 mm à la place du demi-plancher intermédiare amovible (CU : -18 kg) - Hauteur à préciserTotal covering</v>
      </c>
    </row>
    <row r="74" spans="1:75" s="68" customFormat="1" ht="56.25" outlineLevel="1" x14ac:dyDescent="0.25">
      <c r="A74" s="69" t="s">
        <v>4221</v>
      </c>
      <c r="B74" s="64" t="s">
        <v>424</v>
      </c>
      <c r="C74" s="64"/>
      <c r="D74" s="64"/>
      <c r="E74" s="64"/>
      <c r="F74" s="64"/>
      <c r="G74" s="64"/>
      <c r="H74" s="64"/>
      <c r="I74" s="64"/>
      <c r="J74" s="64"/>
      <c r="K74" s="64"/>
      <c r="L74" s="64" t="s">
        <v>4011</v>
      </c>
      <c r="M74" s="64"/>
      <c r="N74" s="64"/>
      <c r="O74" s="64" t="s">
        <v>4005</v>
      </c>
      <c r="P74" s="64" t="s">
        <v>4001</v>
      </c>
      <c r="Q74" s="64"/>
      <c r="R74" s="64" t="s">
        <v>4012</v>
      </c>
      <c r="S74" s="64"/>
      <c r="T74" s="64"/>
      <c r="U74" s="64"/>
      <c r="V74" s="64"/>
      <c r="W74" s="64"/>
      <c r="X74" s="64"/>
      <c r="Y74" s="64"/>
      <c r="Z74" s="64"/>
      <c r="AA74" s="64"/>
      <c r="AB74" s="64"/>
      <c r="AC74" s="64"/>
      <c r="AD74" s="64"/>
      <c r="AE74" s="64"/>
      <c r="AF74" s="64"/>
      <c r="AG74" s="64"/>
      <c r="AH74" s="64"/>
      <c r="AI74" s="64"/>
      <c r="AJ74" s="64"/>
      <c r="AK74" s="64"/>
      <c r="AL74" s="64" t="s">
        <v>3991</v>
      </c>
      <c r="AM74" s="64"/>
      <c r="AN74" s="64"/>
      <c r="AO74" s="64"/>
      <c r="AP74" s="64"/>
      <c r="AQ74" s="64"/>
      <c r="AR74" s="64"/>
      <c r="AS74" s="64"/>
      <c r="AT74" s="64"/>
      <c r="AU74" s="64"/>
      <c r="AV74" s="64"/>
      <c r="AW74" s="64"/>
      <c r="AX74" s="64"/>
      <c r="AY74" s="64"/>
      <c r="AZ74" s="64"/>
      <c r="BA74" s="64"/>
      <c r="BB74" s="64"/>
      <c r="BC74" s="134"/>
      <c r="BD74" s="134"/>
      <c r="BE74" s="134"/>
      <c r="BF74" s="134"/>
      <c r="BG74" s="134"/>
      <c r="BH74" s="134"/>
      <c r="BI74" s="134"/>
      <c r="BJ74" s="134"/>
      <c r="BK74" s="134"/>
      <c r="BL74" s="134"/>
      <c r="BM74" s="134"/>
      <c r="BN74" s="134"/>
      <c r="BO74" s="134"/>
      <c r="BP74" s="134"/>
      <c r="BQ74" s="134"/>
      <c r="BR74" s="134"/>
      <c r="BS74" s="134"/>
      <c r="BT74" s="134"/>
      <c r="BU74" s="134"/>
      <c r="BV74" s="134"/>
      <c r="BW74" s="131" t="str">
        <f t="shared" si="1"/>
        <v>O1 niveau de rail d'arrimage côté droit et gauche axé à 600 mm du plancher (-24 mm de largeur utile) avec une sangle d'arrimage  (CU : -14 kg) - Pas de rails sur la porte latérale coulissanteRideau  à lanières arrière (CU : -10 kg)Rideau à lanières latéral (CU : -6 kg)1 niveau d'étagères droite et gauche profondeur 400 mm (CU : -31 kg) - Hauteur à préciserTotal covering</v>
      </c>
    </row>
    <row r="75" spans="1:75" s="68" customFormat="1" ht="56.25" outlineLevel="1" x14ac:dyDescent="0.25">
      <c r="A75" s="69" t="s">
        <v>4222</v>
      </c>
      <c r="B75" s="64" t="s">
        <v>424</v>
      </c>
      <c r="C75" s="64"/>
      <c r="D75" s="64"/>
      <c r="E75" s="64"/>
      <c r="F75" s="64"/>
      <c r="G75" s="64"/>
      <c r="H75" s="64"/>
      <c r="I75" s="64"/>
      <c r="J75" s="64"/>
      <c r="K75" s="64"/>
      <c r="L75" s="64" t="s">
        <v>4003</v>
      </c>
      <c r="M75" s="64"/>
      <c r="N75" s="64"/>
      <c r="O75" s="64"/>
      <c r="P75" s="64" t="s">
        <v>4001</v>
      </c>
      <c r="Q75" s="64"/>
      <c r="R75" s="64" t="s">
        <v>4006</v>
      </c>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134"/>
      <c r="BD75" s="134"/>
      <c r="BE75" s="134"/>
      <c r="BF75" s="134"/>
      <c r="BG75" s="134"/>
      <c r="BH75" s="134"/>
      <c r="BI75" s="134"/>
      <c r="BJ75" s="134"/>
      <c r="BK75" s="134"/>
      <c r="BL75" s="134"/>
      <c r="BM75" s="134"/>
      <c r="BN75" s="134"/>
      <c r="BO75" s="134"/>
      <c r="BP75" s="134"/>
      <c r="BQ75" s="134"/>
      <c r="BR75" s="134"/>
      <c r="BS75" s="134"/>
      <c r="BT75" s="134"/>
      <c r="BU75" s="134"/>
      <c r="BV75" s="134"/>
      <c r="BW75" s="131" t="str">
        <f t="shared" si="1"/>
        <v>O1 niveau de rail d'arrimage côté droit et gauche axé à 600 mm du plancher (-24 mm de largeur utile) avec une sangle d'arrimage (CU : -13 kg) - Pas de rails sur la porte latérale coulissanteRideau à lanières latéral (CU : -6 kg)1 niveau d'étagères droite et gauche profondeur 400 mm (CU : -24 kg) - Hauteur à préciser</v>
      </c>
    </row>
    <row r="76" spans="1:75" s="68" customFormat="1" ht="56.25" outlineLevel="1" x14ac:dyDescent="0.25">
      <c r="A76" s="69" t="s">
        <v>4223</v>
      </c>
      <c r="B76" s="64" t="s">
        <v>424</v>
      </c>
      <c r="C76" s="64"/>
      <c r="D76" s="64"/>
      <c r="E76" s="64"/>
      <c r="F76" s="64"/>
      <c r="G76" s="64"/>
      <c r="H76" s="64"/>
      <c r="I76" s="64"/>
      <c r="J76" s="64"/>
      <c r="K76" s="64"/>
      <c r="L76" s="64" t="s">
        <v>4009</v>
      </c>
      <c r="M76" s="64"/>
      <c r="N76" s="64"/>
      <c r="O76" s="64"/>
      <c r="P76" s="64"/>
      <c r="Q76" s="64"/>
      <c r="R76" s="64" t="s">
        <v>4010</v>
      </c>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134"/>
      <c r="BD76" s="134"/>
      <c r="BE76" s="134"/>
      <c r="BF76" s="134"/>
      <c r="BG76" s="134"/>
      <c r="BH76" s="134"/>
      <c r="BI76" s="134"/>
      <c r="BJ76" s="134"/>
      <c r="BK76" s="134"/>
      <c r="BL76" s="134"/>
      <c r="BM76" s="134"/>
      <c r="BN76" s="134"/>
      <c r="BO76" s="134"/>
      <c r="BP76" s="134"/>
      <c r="BQ76" s="134"/>
      <c r="BR76" s="134"/>
      <c r="BS76" s="134"/>
      <c r="BT76" s="134"/>
      <c r="BU76" s="134"/>
      <c r="BV76" s="134"/>
      <c r="BW76" s="131" t="str">
        <f t="shared" si="1"/>
        <v>O1 niveau de rail d'arrimage côté droit et gauche axé à 500 mm du plancher (-24 mm de largeur utile)  avec une sangle d'arrimage (CU : -8 kg) - Pas de rails sur la porte latérale coulissante1 niveau d'étagères droite et gauche profondeur 400 mm à la place du demi-plancher intermédiare amovible (CU : -18 kg) - Hauteur à préciser</v>
      </c>
    </row>
    <row r="77" spans="1:75" s="68" customFormat="1" ht="56.25" outlineLevel="1" x14ac:dyDescent="0.25">
      <c r="A77" s="69" t="s">
        <v>4224</v>
      </c>
      <c r="B77" s="64" t="s">
        <v>424</v>
      </c>
      <c r="C77" s="64"/>
      <c r="D77" s="64"/>
      <c r="E77" s="64"/>
      <c r="F77" s="64"/>
      <c r="G77" s="64"/>
      <c r="H77" s="64"/>
      <c r="I77" s="64"/>
      <c r="J77" s="64"/>
      <c r="K77" s="64"/>
      <c r="L77" s="64" t="s">
        <v>4007</v>
      </c>
      <c r="M77" s="64"/>
      <c r="N77" s="64"/>
      <c r="O77" s="64" t="s">
        <v>4013</v>
      </c>
      <c r="P77" s="64"/>
      <c r="Q77" s="64"/>
      <c r="R77" s="64" t="s">
        <v>4008</v>
      </c>
      <c r="S77" s="64"/>
      <c r="T77" s="64"/>
      <c r="U77" s="64"/>
      <c r="V77" s="64"/>
      <c r="W77" s="64"/>
      <c r="X77" s="64"/>
      <c r="Y77" s="64"/>
      <c r="Z77" s="64"/>
      <c r="AA77" s="64"/>
      <c r="AB77" s="64"/>
      <c r="AC77" s="64"/>
      <c r="AD77" s="64"/>
      <c r="AE77" s="64"/>
      <c r="AF77" s="64"/>
      <c r="AG77" s="64"/>
      <c r="AH77" s="64"/>
      <c r="AI77" s="64"/>
      <c r="AJ77" s="64"/>
      <c r="AK77" s="64"/>
      <c r="AL77" s="64" t="s">
        <v>3991</v>
      </c>
      <c r="AM77" s="64"/>
      <c r="AN77" s="64"/>
      <c r="AO77" s="64"/>
      <c r="AP77" s="64"/>
      <c r="AQ77" s="64"/>
      <c r="AR77" s="64"/>
      <c r="AS77" s="64"/>
      <c r="AT77" s="64"/>
      <c r="AU77" s="64"/>
      <c r="AV77" s="64"/>
      <c r="AW77" s="64"/>
      <c r="AX77" s="64"/>
      <c r="AY77" s="64"/>
      <c r="AZ77" s="64"/>
      <c r="BA77" s="64"/>
      <c r="BB77" s="64"/>
      <c r="BC77" s="134"/>
      <c r="BD77" s="134"/>
      <c r="BE77" s="134"/>
      <c r="BF77" s="134"/>
      <c r="BG77" s="134"/>
      <c r="BH77" s="134"/>
      <c r="BI77" s="134"/>
      <c r="BJ77" s="134"/>
      <c r="BK77" s="134"/>
      <c r="BL77" s="134"/>
      <c r="BM77" s="134"/>
      <c r="BN77" s="134"/>
      <c r="BO77" s="134"/>
      <c r="BP77" s="134"/>
      <c r="BQ77" s="134"/>
      <c r="BR77" s="134"/>
      <c r="BS77" s="134"/>
      <c r="BT77" s="134"/>
      <c r="BU77" s="134"/>
      <c r="BV77" s="134"/>
      <c r="BW77" s="131" t="str">
        <f t="shared" si="1"/>
        <v>O1 niveau de rail d'arrimage côté droit et gauche axé à 500 mm du plancher (-24 mm de largeur utile)  avec une sangle d'arrimage (CU : -9 kg) - Pas de rails sur la porte latérale coulissanteRideau à lanières arrière (CU : -8 kg)1 niveau d'étagères droite et gauche profondeur 400 mm à la place du demi-plancher intermédiare amovible (CU : -24 kg) - Hauteur à préciserTotal covering</v>
      </c>
    </row>
    <row r="78" spans="1:75" s="68" customFormat="1" ht="56.25" outlineLevel="1" x14ac:dyDescent="0.25">
      <c r="A78" s="69" t="s">
        <v>4225</v>
      </c>
      <c r="B78" s="64" t="s">
        <v>424</v>
      </c>
      <c r="C78" s="64"/>
      <c r="D78" s="64"/>
      <c r="E78" s="64"/>
      <c r="F78" s="64"/>
      <c r="G78" s="64"/>
      <c r="H78" s="64"/>
      <c r="I78" s="64"/>
      <c r="J78" s="64"/>
      <c r="K78" s="64"/>
      <c r="L78" s="64" t="s">
        <v>4009</v>
      </c>
      <c r="M78" s="64"/>
      <c r="N78" s="64"/>
      <c r="O78" s="64" t="s">
        <v>4013</v>
      </c>
      <c r="P78" s="64"/>
      <c r="Q78" s="64"/>
      <c r="R78" s="64" t="s">
        <v>4010</v>
      </c>
      <c r="S78" s="64"/>
      <c r="T78" s="64"/>
      <c r="U78" s="64"/>
      <c r="V78" s="64"/>
      <c r="W78" s="64"/>
      <c r="X78" s="64"/>
      <c r="Y78" s="64"/>
      <c r="Z78" s="64"/>
      <c r="AA78" s="64"/>
      <c r="AB78" s="64"/>
      <c r="AC78" s="64"/>
      <c r="AD78" s="64"/>
      <c r="AE78" s="64"/>
      <c r="AF78" s="64"/>
      <c r="AG78" s="64"/>
      <c r="AH78" s="64"/>
      <c r="AI78" s="64"/>
      <c r="AJ78" s="64"/>
      <c r="AK78" s="64"/>
      <c r="AL78" s="64" t="s">
        <v>3991</v>
      </c>
      <c r="AM78" s="64"/>
      <c r="AN78" s="64"/>
      <c r="AO78" s="64"/>
      <c r="AP78" s="64"/>
      <c r="AQ78" s="64"/>
      <c r="AR78" s="64"/>
      <c r="AS78" s="64"/>
      <c r="AT78" s="64"/>
      <c r="AU78" s="64"/>
      <c r="AV78" s="64"/>
      <c r="AW78" s="64"/>
      <c r="AX78" s="64"/>
      <c r="AY78" s="64"/>
      <c r="AZ78" s="64"/>
      <c r="BA78" s="64"/>
      <c r="BB78" s="64"/>
      <c r="BC78" s="134"/>
      <c r="BD78" s="134"/>
      <c r="BE78" s="134"/>
      <c r="BF78" s="134"/>
      <c r="BG78" s="134"/>
      <c r="BH78" s="134"/>
      <c r="BI78" s="134"/>
      <c r="BJ78" s="134"/>
      <c r="BK78" s="134"/>
      <c r="BL78" s="134"/>
      <c r="BM78" s="134"/>
      <c r="BN78" s="134"/>
      <c r="BO78" s="134"/>
      <c r="BP78" s="134"/>
      <c r="BQ78" s="134"/>
      <c r="BR78" s="134"/>
      <c r="BS78" s="134"/>
      <c r="BT78" s="134"/>
      <c r="BU78" s="134"/>
      <c r="BV78" s="134"/>
      <c r="BW78" s="131" t="str">
        <f t="shared" si="1"/>
        <v>O1 niveau de rail d'arrimage côté droit et gauche axé à 500 mm du plancher (-24 mm de largeur utile)  avec une sangle d'arrimage (CU : -8 kg) - Pas de rails sur la porte latérale coulissanteRideau à lanières arrière (CU : -8 kg)1 niveau d'étagères droite et gauche profondeur 400 mm à la place du demi-plancher intermédiare amovible (CU : -18 kg) - Hauteur à préciserTotal covering</v>
      </c>
    </row>
    <row r="79" spans="1:75" s="68" customFormat="1" ht="45" outlineLevel="1" x14ac:dyDescent="0.25">
      <c r="A79" s="72" t="s">
        <v>4226</v>
      </c>
      <c r="B79" s="64" t="s">
        <v>424</v>
      </c>
      <c r="C79" s="64"/>
      <c r="D79" s="64"/>
      <c r="E79" s="64" t="s">
        <v>4014</v>
      </c>
      <c r="F79" s="64"/>
      <c r="G79" s="64"/>
      <c r="H79" s="64"/>
      <c r="I79" s="64"/>
      <c r="J79" s="64"/>
      <c r="K79" s="64"/>
      <c r="L79" s="64" t="s">
        <v>4015</v>
      </c>
      <c r="M79" s="64"/>
      <c r="N79" s="64"/>
      <c r="O79" s="64" t="s">
        <v>4016</v>
      </c>
      <c r="P79" s="64" t="s">
        <v>4017</v>
      </c>
      <c r="Q79" s="64"/>
      <c r="R79" s="64" t="s">
        <v>4018</v>
      </c>
      <c r="S79" s="64"/>
      <c r="T79" s="64"/>
      <c r="U79" s="64"/>
      <c r="V79" s="64"/>
      <c r="W79" s="64"/>
      <c r="X79" s="64"/>
      <c r="Y79" s="64"/>
      <c r="Z79" s="64"/>
      <c r="AA79" s="64"/>
      <c r="AB79" s="64"/>
      <c r="AC79" s="64"/>
      <c r="AD79" s="64"/>
      <c r="AE79" s="64"/>
      <c r="AF79" s="64"/>
      <c r="AG79" s="64"/>
      <c r="AH79" s="64"/>
      <c r="AI79" s="64"/>
      <c r="AJ79" s="64"/>
      <c r="AK79" s="64"/>
      <c r="AL79" s="64" t="s">
        <v>3991</v>
      </c>
      <c r="AM79" s="64"/>
      <c r="AN79" s="64"/>
      <c r="AO79" s="64"/>
      <c r="AP79" s="64"/>
      <c r="AQ79" s="64"/>
      <c r="AR79" s="64"/>
      <c r="AS79" s="64"/>
      <c r="AT79" s="64"/>
      <c r="AU79" s="64"/>
      <c r="AV79" s="64"/>
      <c r="AW79" s="64"/>
      <c r="AX79" s="64"/>
      <c r="AY79" s="64"/>
      <c r="AZ79" s="64"/>
      <c r="BA79" s="64"/>
      <c r="BB79" s="64"/>
      <c r="BC79" s="134"/>
      <c r="BD79" s="134"/>
      <c r="BE79" s="134"/>
      <c r="BF79" s="134"/>
      <c r="BG79" s="134"/>
      <c r="BH79" s="134"/>
      <c r="BI79" s="134"/>
      <c r="BJ79" s="134"/>
      <c r="BK79" s="134"/>
      <c r="BL79" s="134"/>
      <c r="BM79" s="134"/>
      <c r="BN79" s="134"/>
      <c r="BO79" s="134"/>
      <c r="BP79" s="134"/>
      <c r="BQ79" s="134"/>
      <c r="BR79" s="134"/>
      <c r="BS79" s="134"/>
      <c r="BT79" s="134"/>
      <c r="BU79" s="134"/>
      <c r="BV79" s="134"/>
      <c r="BW79" s="131" t="str">
        <f t="shared" si="1"/>
        <v>OPorte latérale battante  largeur 350mm à l'avant droit (CU : -12 kg)1 niveau de rail d'arrimage côté droit et gauche (-16 mm de largeur utile) avec une sangle d'arrimage  (CU : -9 kg) - Hauteur à préciserRideau  à lanières arrière (CU : -8 kg)Rideau à lanières latéral (CU : -5 kg) ==&gt; Implique l'ajout de la Porte latérale1 niveau d'étagères droite et gauche profondeur 400 mm (CU : -20 kg) - Hauteur à préciserTotal covering</v>
      </c>
    </row>
    <row r="80" spans="1:75" s="68" customFormat="1" ht="45" outlineLevel="1" x14ac:dyDescent="0.25">
      <c r="A80" s="72" t="s">
        <v>4227</v>
      </c>
      <c r="B80" s="64" t="s">
        <v>424</v>
      </c>
      <c r="C80" s="64"/>
      <c r="D80" s="64"/>
      <c r="E80" s="64" t="s">
        <v>3992</v>
      </c>
      <c r="F80" s="64"/>
      <c r="G80" s="64"/>
      <c r="H80" s="64"/>
      <c r="I80" s="64"/>
      <c r="J80" s="64"/>
      <c r="K80" s="64"/>
      <c r="L80" s="64" t="s">
        <v>4019</v>
      </c>
      <c r="M80" s="64"/>
      <c r="N80" s="64"/>
      <c r="O80" s="64" t="s">
        <v>4005</v>
      </c>
      <c r="P80" s="64" t="s">
        <v>3994</v>
      </c>
      <c r="Q80" s="64"/>
      <c r="R80" s="64" t="s">
        <v>4020</v>
      </c>
      <c r="S80" s="64"/>
      <c r="T80" s="64"/>
      <c r="U80" s="64"/>
      <c r="V80" s="64"/>
      <c r="W80" s="64"/>
      <c r="X80" s="64"/>
      <c r="Y80" s="64"/>
      <c r="Z80" s="64"/>
      <c r="AA80" s="64"/>
      <c r="AB80" s="64"/>
      <c r="AC80" s="64"/>
      <c r="AD80" s="64"/>
      <c r="AE80" s="64"/>
      <c r="AF80" s="64"/>
      <c r="AG80" s="64"/>
      <c r="AH80" s="64"/>
      <c r="AI80" s="64"/>
      <c r="AJ80" s="64"/>
      <c r="AK80" s="64"/>
      <c r="AL80" s="64" t="s">
        <v>3991</v>
      </c>
      <c r="AM80" s="64"/>
      <c r="AN80" s="64"/>
      <c r="AO80" s="64"/>
      <c r="AP80" s="64"/>
      <c r="AQ80" s="64"/>
      <c r="AR80" s="64"/>
      <c r="AS80" s="64"/>
      <c r="AT80" s="64"/>
      <c r="AU80" s="64"/>
      <c r="AV80" s="64"/>
      <c r="AW80" s="64"/>
      <c r="AX80" s="64"/>
      <c r="AY80" s="64"/>
      <c r="AZ80" s="64"/>
      <c r="BA80" s="64"/>
      <c r="BB80" s="64"/>
      <c r="BC80" s="134"/>
      <c r="BD80" s="134"/>
      <c r="BE80" s="134"/>
      <c r="BF80" s="134"/>
      <c r="BG80" s="134"/>
      <c r="BH80" s="134"/>
      <c r="BI80" s="134"/>
      <c r="BJ80" s="134"/>
      <c r="BK80" s="134"/>
      <c r="BL80" s="134"/>
      <c r="BM80" s="134"/>
      <c r="BN80" s="134"/>
      <c r="BO80" s="134"/>
      <c r="BP80" s="134"/>
      <c r="BQ80" s="134"/>
      <c r="BR80" s="134"/>
      <c r="BS80" s="134"/>
      <c r="BT80" s="134"/>
      <c r="BU80" s="134"/>
      <c r="BV80" s="134"/>
      <c r="BW80" s="131" t="str">
        <f t="shared" si="1"/>
        <v>OPorte latérale battante à l'avant droit (CU : -27 kg)1 niveau de rail d'arrimage côté droit et gauche axé à 700 mm du plancher (-16 mm de largeur utile) avec une sangle d'arrimage  (CU : -14 kg)Rideau  à lanières arrière (CU : -10 kg)Rideau à lanières latéral (CU : -6 kg) ==&gt; Implique l'ajout de la Porte latérale1 niveau d'étagères droite et gauche profondeur 400 mm (CU : -35 kg) - Hauteur à préciserTotal covering</v>
      </c>
    </row>
    <row r="81" spans="1:75" s="68" customFormat="1" ht="45" outlineLevel="1" x14ac:dyDescent="0.25">
      <c r="A81" s="69" t="s">
        <v>4228</v>
      </c>
      <c r="B81" s="64" t="s">
        <v>424</v>
      </c>
      <c r="C81" s="64"/>
      <c r="D81" s="64"/>
      <c r="E81" s="64" t="s">
        <v>3996</v>
      </c>
      <c r="F81" s="64"/>
      <c r="G81" s="64"/>
      <c r="H81" s="64"/>
      <c r="I81" s="64"/>
      <c r="J81" s="64"/>
      <c r="K81" s="64"/>
      <c r="L81" s="64" t="s">
        <v>3997</v>
      </c>
      <c r="M81" s="64"/>
      <c r="N81" s="64"/>
      <c r="O81" s="64" t="s">
        <v>4005</v>
      </c>
      <c r="P81" s="64" t="s">
        <v>3994</v>
      </c>
      <c r="Q81" s="64"/>
      <c r="R81" s="64" t="s">
        <v>3998</v>
      </c>
      <c r="S81" s="64"/>
      <c r="T81" s="64"/>
      <c r="U81" s="64"/>
      <c r="V81" s="64"/>
      <c r="W81" s="64"/>
      <c r="X81" s="64"/>
      <c r="Y81" s="64"/>
      <c r="Z81" s="64"/>
      <c r="AA81" s="64"/>
      <c r="AB81" s="64"/>
      <c r="AC81" s="64"/>
      <c r="AD81" s="64"/>
      <c r="AE81" s="64"/>
      <c r="AF81" s="64"/>
      <c r="AG81" s="64"/>
      <c r="AH81" s="64"/>
      <c r="AI81" s="64"/>
      <c r="AJ81" s="64"/>
      <c r="AK81" s="64"/>
      <c r="AL81" s="64" t="s">
        <v>3991</v>
      </c>
      <c r="AM81" s="64"/>
      <c r="AN81" s="64"/>
      <c r="AO81" s="64"/>
      <c r="AP81" s="64"/>
      <c r="AQ81" s="64"/>
      <c r="AR81" s="64"/>
      <c r="AS81" s="64"/>
      <c r="AT81" s="64"/>
      <c r="AU81" s="64"/>
      <c r="AV81" s="64"/>
      <c r="AW81" s="64"/>
      <c r="AX81" s="64"/>
      <c r="AY81" s="64"/>
      <c r="AZ81" s="64"/>
      <c r="BA81" s="64"/>
      <c r="BB81" s="64"/>
      <c r="BC81" s="134"/>
      <c r="BD81" s="134"/>
      <c r="BE81" s="134"/>
      <c r="BF81" s="134"/>
      <c r="BG81" s="134"/>
      <c r="BH81" s="134"/>
      <c r="BI81" s="134"/>
      <c r="BJ81" s="134"/>
      <c r="BK81" s="134"/>
      <c r="BL81" s="134"/>
      <c r="BM81" s="134"/>
      <c r="BN81" s="134"/>
      <c r="BO81" s="134"/>
      <c r="BP81" s="134"/>
      <c r="BQ81" s="134"/>
      <c r="BR81" s="134"/>
      <c r="BS81" s="134"/>
      <c r="BT81" s="134"/>
      <c r="BU81" s="134"/>
      <c r="BV81" s="134"/>
      <c r="BW81" s="131" t="str">
        <f t="shared" si="1"/>
        <v>OPorte latérale battante à l'avant droit (CU : -22 kg) 1 niveau de rail d'arrimage côté droit et gauche axé à 700 mm du plancher (-24 mm de largeur utile) avec une sangle d'arrimage (CU : -13 kg)Rideau  à lanières arrière (CU : -10 kg)Rideau à lanières latéral (CU : -6 kg) ==&gt; Implique l'ajout de la Porte latérale1 niveau d'étagères droite et gauche profondeur 400 mm (CU : -30 kg) - Hauteur à préciserTotal covering</v>
      </c>
    </row>
    <row r="82" spans="1:75" s="68" customFormat="1" ht="45" outlineLevel="1" x14ac:dyDescent="0.25">
      <c r="A82" s="69" t="s">
        <v>4229</v>
      </c>
      <c r="B82" s="64" t="s">
        <v>424</v>
      </c>
      <c r="C82" s="64"/>
      <c r="D82" s="64"/>
      <c r="E82" s="64" t="s">
        <v>3996</v>
      </c>
      <c r="F82" s="64"/>
      <c r="G82" s="64"/>
      <c r="H82" s="64"/>
      <c r="I82" s="64"/>
      <c r="J82" s="64"/>
      <c r="K82" s="64"/>
      <c r="L82" s="64" t="s">
        <v>3997</v>
      </c>
      <c r="M82" s="64"/>
      <c r="N82" s="64"/>
      <c r="O82" s="64"/>
      <c r="P82" s="64" t="s">
        <v>3994</v>
      </c>
      <c r="Q82" s="64" t="s">
        <v>4021</v>
      </c>
      <c r="R82" s="64" t="s">
        <v>3998</v>
      </c>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134"/>
      <c r="BD82" s="134"/>
      <c r="BE82" s="134"/>
      <c r="BF82" s="134"/>
      <c r="BG82" s="134"/>
      <c r="BH82" s="134"/>
      <c r="BI82" s="134"/>
      <c r="BJ82" s="134"/>
      <c r="BK82" s="134"/>
      <c r="BL82" s="134"/>
      <c r="BM82" s="134"/>
      <c r="BN82" s="134"/>
      <c r="BO82" s="134"/>
      <c r="BP82" s="134"/>
      <c r="BQ82" s="134"/>
      <c r="BR82" s="134"/>
      <c r="BS82" s="134"/>
      <c r="BT82" s="134"/>
      <c r="BU82" s="134"/>
      <c r="BV82" s="134"/>
      <c r="BW82" s="131" t="str">
        <f t="shared" si="1"/>
        <v>OPorte latérale battante à l'avant droit (CU : -22 kg) 1 niveau de rail d'arrimage côté droit et gauche axé à 700 mm du plancher (-24 mm de largeur utile) avec une sangle d'arrimage (CU : -13 kg)Rideau à lanières latéral (CU : -6 kg) ==&gt; Implique l'ajout de la Porte latéraleRideau d'air arrière (CU : -10 kg)1 niveau d'étagères droite et gauche profondeur 400 mm (CU : -30 kg) - Hauteur à préciser</v>
      </c>
    </row>
    <row r="83" spans="1:75" s="68" customFormat="1" ht="45" outlineLevel="1" x14ac:dyDescent="0.25">
      <c r="A83" s="69" t="s">
        <v>4230</v>
      </c>
      <c r="B83" s="64" t="s">
        <v>424</v>
      </c>
      <c r="C83" s="64"/>
      <c r="D83" s="64" t="s">
        <v>4022</v>
      </c>
      <c r="E83" s="64" t="s">
        <v>3992</v>
      </c>
      <c r="F83" s="64"/>
      <c r="G83" s="64"/>
      <c r="H83" s="64"/>
      <c r="I83" s="64"/>
      <c r="J83" s="64"/>
      <c r="K83" s="64"/>
      <c r="L83" s="64" t="s">
        <v>3993</v>
      </c>
      <c r="M83" s="64"/>
      <c r="N83" s="64"/>
      <c r="O83" s="64" t="s">
        <v>4000</v>
      </c>
      <c r="P83" s="64" t="s">
        <v>3994</v>
      </c>
      <c r="Q83" s="64" t="s">
        <v>4023</v>
      </c>
      <c r="R83" s="64" t="s">
        <v>4024</v>
      </c>
      <c r="S83" s="64"/>
      <c r="T83" s="64"/>
      <c r="U83" s="64"/>
      <c r="V83" s="64"/>
      <c r="W83" s="64"/>
      <c r="X83" s="64"/>
      <c r="Y83" s="64"/>
      <c r="Z83" s="64"/>
      <c r="AA83" s="64"/>
      <c r="AB83" s="64"/>
      <c r="AC83" s="64"/>
      <c r="AD83" s="64"/>
      <c r="AE83" s="64"/>
      <c r="AF83" s="64"/>
      <c r="AG83" s="64"/>
      <c r="AH83" s="64"/>
      <c r="AI83" s="64"/>
      <c r="AJ83" s="64"/>
      <c r="AK83" s="64"/>
      <c r="AL83" s="64" t="s">
        <v>3991</v>
      </c>
      <c r="AM83" s="64"/>
      <c r="AN83" s="64"/>
      <c r="AO83" s="64"/>
      <c r="AP83" s="64"/>
      <c r="AQ83" s="64"/>
      <c r="AR83" s="64"/>
      <c r="AS83" s="64"/>
      <c r="AT83" s="64"/>
      <c r="AU83" s="64"/>
      <c r="AV83" s="64"/>
      <c r="AW83" s="64"/>
      <c r="AX83" s="64"/>
      <c r="AY83" s="64"/>
      <c r="AZ83" s="64"/>
      <c r="BA83" s="64"/>
      <c r="BB83" s="64"/>
      <c r="BC83" s="134"/>
      <c r="BD83" s="134"/>
      <c r="BE83" s="134"/>
      <c r="BF83" s="134"/>
      <c r="BG83" s="134"/>
      <c r="BH83" s="134"/>
      <c r="BI83" s="134"/>
      <c r="BJ83" s="134"/>
      <c r="BK83" s="134"/>
      <c r="BL83" s="134"/>
      <c r="BM83" s="134"/>
      <c r="BN83" s="134"/>
      <c r="BO83" s="134"/>
      <c r="BP83" s="134"/>
      <c r="BQ83" s="134"/>
      <c r="BR83" s="134"/>
      <c r="BS83" s="134"/>
      <c r="BT83" s="134"/>
      <c r="BU83" s="134"/>
      <c r="BV83" s="134"/>
      <c r="BW83" s="131" t="str">
        <f t="shared" si="1"/>
        <v>OLongeur de caisse 3524 mm (CU : -83kg)Porte latérale battante à l'avant droit (CU : -27 kg)1 niveau de rail d'arrimage en acier galvanisé D + G axé à 900 mm du plancher (-16 mm de largeur utile) avec une sangle d'arrimage (CU : -16 kg)Rideau à lanières arrière (CU : -12 kg)Rideau à lanières latéral (CU : -6 kg) ==&gt; Implique l'ajout de la Porte latéraleRideau d'air arrière (CU : -13kg)1 niveau d'étagères droite et gauche profondeur 500 mm (CU : -37 kg) - Hauteur à préciserTotal covering</v>
      </c>
    </row>
    <row r="84" spans="1:75" s="68" customFormat="1" ht="45" outlineLevel="1" x14ac:dyDescent="0.25">
      <c r="A84" s="69" t="s">
        <v>4231</v>
      </c>
      <c r="B84" s="64" t="s">
        <v>424</v>
      </c>
      <c r="C84" s="64"/>
      <c r="D84" s="64" t="s">
        <v>4025</v>
      </c>
      <c r="E84" s="64" t="s">
        <v>4026</v>
      </c>
      <c r="F84" s="64"/>
      <c r="G84" s="64"/>
      <c r="H84" s="64"/>
      <c r="I84" s="64"/>
      <c r="J84" s="64"/>
      <c r="K84" s="64"/>
      <c r="L84" s="64" t="s">
        <v>4027</v>
      </c>
      <c r="M84" s="64"/>
      <c r="N84" s="64"/>
      <c r="O84" s="64" t="s">
        <v>4028</v>
      </c>
      <c r="P84" s="64" t="s">
        <v>4001</v>
      </c>
      <c r="Q84" s="64" t="s">
        <v>4029</v>
      </c>
      <c r="R84" s="64" t="s">
        <v>4030</v>
      </c>
      <c r="S84" s="64"/>
      <c r="T84" s="64"/>
      <c r="U84" s="64"/>
      <c r="V84" s="64"/>
      <c r="W84" s="64"/>
      <c r="X84" s="64"/>
      <c r="Y84" s="64"/>
      <c r="Z84" s="64"/>
      <c r="AA84" s="64"/>
      <c r="AB84" s="64"/>
      <c r="AC84" s="64"/>
      <c r="AD84" s="64"/>
      <c r="AE84" s="64"/>
      <c r="AF84" s="64"/>
      <c r="AG84" s="64"/>
      <c r="AH84" s="64"/>
      <c r="AI84" s="64"/>
      <c r="AJ84" s="64"/>
      <c r="AK84" s="64"/>
      <c r="AL84" s="64" t="s">
        <v>3991</v>
      </c>
      <c r="AM84" s="64"/>
      <c r="AN84" s="64"/>
      <c r="AO84" s="64"/>
      <c r="AP84" s="64"/>
      <c r="AQ84" s="64"/>
      <c r="AR84" s="64"/>
      <c r="AS84" s="64"/>
      <c r="AT84" s="64"/>
      <c r="AU84" s="64"/>
      <c r="AV84" s="64"/>
      <c r="AW84" s="64"/>
      <c r="AX84" s="64"/>
      <c r="AY84" s="64"/>
      <c r="AZ84" s="64"/>
      <c r="BA84" s="64"/>
      <c r="BB84" s="64"/>
      <c r="BC84" s="134"/>
      <c r="BD84" s="134"/>
      <c r="BE84" s="134"/>
      <c r="BF84" s="134"/>
      <c r="BG84" s="134"/>
      <c r="BH84" s="134"/>
      <c r="BI84" s="134"/>
      <c r="BJ84" s="134"/>
      <c r="BK84" s="134"/>
      <c r="BL84" s="134"/>
      <c r="BM84" s="134"/>
      <c r="BN84" s="134"/>
      <c r="BO84" s="134"/>
      <c r="BP84" s="134"/>
      <c r="BQ84" s="134"/>
      <c r="BR84" s="134"/>
      <c r="BS84" s="134"/>
      <c r="BT84" s="134"/>
      <c r="BU84" s="134"/>
      <c r="BV84" s="134"/>
      <c r="BW84" s="131" t="str">
        <f t="shared" si="1"/>
        <v>OLongeur de caisse 3524 mm (CU : -21kg)Porte latérale battante  à 450 mm de l'avant droit (CU : -20 kg) 1 niveau de rail d'arrimage en aluminium côté droit et gauche axé à 900 mm du plancher (-20 mm de largeur utile) avec une sangle d'arrimage (CU : -10 kg)Rideau à lanières arrière (CU : -19 kg)Rideau à lanières latéral (CU : -6 kg)Rideau d'air arrière (CU : -16kg)1 niveau d'étagères droite et gauche profondeur 500 mm (CU : -41 kg) - Hauteur à préciserTotal covering</v>
      </c>
    </row>
    <row r="85" spans="1:75" s="68" customFormat="1" ht="45" outlineLevel="1" x14ac:dyDescent="0.25">
      <c r="A85" s="69" t="s">
        <v>4232</v>
      </c>
      <c r="B85" s="64" t="s">
        <v>424</v>
      </c>
      <c r="C85" s="64"/>
      <c r="D85" s="64" t="s">
        <v>4031</v>
      </c>
      <c r="E85" s="64" t="s">
        <v>4026</v>
      </c>
      <c r="F85" s="64"/>
      <c r="G85" s="64"/>
      <c r="H85" s="64"/>
      <c r="I85" s="64"/>
      <c r="J85" s="64"/>
      <c r="K85" s="64"/>
      <c r="L85" s="64" t="s">
        <v>4027</v>
      </c>
      <c r="M85" s="64"/>
      <c r="N85" s="64"/>
      <c r="O85" s="64"/>
      <c r="P85" s="64"/>
      <c r="Q85" s="64" t="s">
        <v>4029</v>
      </c>
      <c r="R85" s="64" t="s">
        <v>4030</v>
      </c>
      <c r="S85" s="64"/>
      <c r="T85" s="64"/>
      <c r="U85" s="64"/>
      <c r="V85" s="64"/>
      <c r="W85" s="64"/>
      <c r="X85" s="64"/>
      <c r="Y85" s="64"/>
      <c r="Z85" s="64"/>
      <c r="AA85" s="64"/>
      <c r="AB85" s="64"/>
      <c r="AC85" s="64"/>
      <c r="AD85" s="64"/>
      <c r="AE85" s="64"/>
      <c r="AF85" s="64"/>
      <c r="AG85" s="64"/>
      <c r="AH85" s="64"/>
      <c r="AI85" s="64"/>
      <c r="AJ85" s="64"/>
      <c r="AK85" s="64"/>
      <c r="AL85" s="64" t="s">
        <v>3991</v>
      </c>
      <c r="AM85" s="64"/>
      <c r="AN85" s="64"/>
      <c r="AO85" s="64"/>
      <c r="AP85" s="64"/>
      <c r="AQ85" s="64"/>
      <c r="AR85" s="64"/>
      <c r="AS85" s="64"/>
      <c r="AT85" s="64"/>
      <c r="AU85" s="64"/>
      <c r="AV85" s="64"/>
      <c r="AW85" s="64"/>
      <c r="AX85" s="64"/>
      <c r="AY85" s="64"/>
      <c r="AZ85" s="64"/>
      <c r="BA85" s="64"/>
      <c r="BB85" s="64"/>
      <c r="BC85" s="134"/>
      <c r="BD85" s="134"/>
      <c r="BE85" s="134"/>
      <c r="BF85" s="134"/>
      <c r="BG85" s="134"/>
      <c r="BH85" s="134"/>
      <c r="BI85" s="134"/>
      <c r="BJ85" s="134"/>
      <c r="BK85" s="134"/>
      <c r="BL85" s="134"/>
      <c r="BM85" s="134"/>
      <c r="BN85" s="134"/>
      <c r="BO85" s="134"/>
      <c r="BP85" s="134"/>
      <c r="BQ85" s="134"/>
      <c r="BR85" s="134"/>
      <c r="BS85" s="134"/>
      <c r="BT85" s="134"/>
      <c r="BU85" s="134"/>
      <c r="BV85" s="134"/>
      <c r="BW85" s="131" t="str">
        <f t="shared" si="1"/>
        <v>OLongeur de caisse 3528 mm (CU : -35kg)Porte latérale battante  à 450 mm de l'avant droit (CU : -20 kg) 1 niveau de rail d'arrimage en aluminium côté droit et gauche axé à 900 mm du plancher (-20 mm de largeur utile) avec une sangle d'arrimage (CU : -10 kg)Rideau d'air arrière (CU : -16kg)1 niveau d'étagères droite et gauche profondeur 500 mm (CU : -41 kg) - Hauteur à préciserTotal covering</v>
      </c>
    </row>
    <row r="86" spans="1:75" s="68" customFormat="1" ht="33.75" outlineLevel="1" x14ac:dyDescent="0.25">
      <c r="A86" s="69" t="s">
        <v>4233</v>
      </c>
      <c r="B86" s="64" t="s">
        <v>424</v>
      </c>
      <c r="C86" s="64"/>
      <c r="D86" s="64" t="s">
        <v>4031</v>
      </c>
      <c r="E86" s="64"/>
      <c r="F86" s="64"/>
      <c r="G86" s="64"/>
      <c r="H86" s="64"/>
      <c r="I86" s="64"/>
      <c r="J86" s="64"/>
      <c r="K86" s="64"/>
      <c r="L86" s="64"/>
      <c r="M86" s="64"/>
      <c r="N86" s="64" t="s">
        <v>3989</v>
      </c>
      <c r="O86" s="64"/>
      <c r="P86" s="64"/>
      <c r="Q86" s="64" t="s">
        <v>4029</v>
      </c>
      <c r="R86" s="64" t="s">
        <v>4032</v>
      </c>
      <c r="S86" s="64"/>
      <c r="T86" s="64"/>
      <c r="U86" s="64"/>
      <c r="V86" s="64"/>
      <c r="W86" s="64"/>
      <c r="X86" s="64"/>
      <c r="Y86" s="64"/>
      <c r="Z86" s="64"/>
      <c r="AA86" s="64"/>
      <c r="AB86" s="64"/>
      <c r="AC86" s="64"/>
      <c r="AD86" s="64"/>
      <c r="AE86" s="64"/>
      <c r="AF86" s="64"/>
      <c r="AG86" s="64"/>
      <c r="AH86" s="64"/>
      <c r="AI86" s="64"/>
      <c r="AJ86" s="64"/>
      <c r="AK86" s="64"/>
      <c r="AL86" s="64" t="s">
        <v>3991</v>
      </c>
      <c r="AM86" s="64"/>
      <c r="AN86" s="64"/>
      <c r="AO86" s="64"/>
      <c r="AP86" s="64"/>
      <c r="AQ86" s="64"/>
      <c r="AR86" s="64"/>
      <c r="AS86" s="64"/>
      <c r="AT86" s="64"/>
      <c r="AU86" s="64"/>
      <c r="AV86" s="64"/>
      <c r="AW86" s="64"/>
      <c r="AX86" s="64"/>
      <c r="AY86" s="64"/>
      <c r="AZ86" s="64"/>
      <c r="BA86" s="64"/>
      <c r="BB86" s="64"/>
      <c r="BC86" s="134"/>
      <c r="BD86" s="134"/>
      <c r="BE86" s="134"/>
      <c r="BF86" s="134"/>
      <c r="BG86" s="134"/>
      <c r="BH86" s="134"/>
      <c r="BI86" s="134"/>
      <c r="BJ86" s="134"/>
      <c r="BK86" s="134"/>
      <c r="BL86" s="134"/>
      <c r="BM86" s="134"/>
      <c r="BN86" s="134"/>
      <c r="BO86" s="134"/>
      <c r="BP86" s="134"/>
      <c r="BQ86" s="134"/>
      <c r="BR86" s="134"/>
      <c r="BS86" s="134"/>
      <c r="BT86" s="134"/>
      <c r="BU86" s="134"/>
      <c r="BV86" s="134"/>
      <c r="BW86" s="131" t="str">
        <f t="shared" si="1"/>
        <v>OLongeur de caisse 3528 mm (CU : -35kg)1 sangle d'arrimage Rideau d'air arrière (CU : -16kg)1 niveau d'étagères droite et gauche profondeur 500 mm (CU : -35 kg) - Hauteur à préciserTotal covering</v>
      </c>
    </row>
    <row r="87" spans="1:75" s="68" customFormat="1" ht="33.75" outlineLevel="1" x14ac:dyDescent="0.25">
      <c r="A87" s="69" t="s">
        <v>4234</v>
      </c>
      <c r="B87" s="64" t="s">
        <v>424</v>
      </c>
      <c r="C87" s="64"/>
      <c r="D87" s="64" t="s">
        <v>4033</v>
      </c>
      <c r="E87" s="64"/>
      <c r="F87" s="64"/>
      <c r="G87" s="64"/>
      <c r="H87" s="64"/>
      <c r="I87" s="64"/>
      <c r="J87" s="64"/>
      <c r="K87" s="64"/>
      <c r="L87" s="64"/>
      <c r="M87" s="64"/>
      <c r="N87" s="64" t="s">
        <v>3989</v>
      </c>
      <c r="O87" s="64" t="s">
        <v>4028</v>
      </c>
      <c r="P87" s="64" t="s">
        <v>4001</v>
      </c>
      <c r="Q87" s="64" t="s">
        <v>4029</v>
      </c>
      <c r="R87" s="64" t="s">
        <v>4032</v>
      </c>
      <c r="S87" s="64"/>
      <c r="T87" s="64"/>
      <c r="U87" s="64"/>
      <c r="V87" s="64"/>
      <c r="W87" s="64"/>
      <c r="X87" s="64"/>
      <c r="Y87" s="64"/>
      <c r="Z87" s="64"/>
      <c r="AA87" s="64"/>
      <c r="AB87" s="64"/>
      <c r="AC87" s="64"/>
      <c r="AD87" s="64"/>
      <c r="AE87" s="64"/>
      <c r="AF87" s="64"/>
      <c r="AG87" s="64"/>
      <c r="AH87" s="64"/>
      <c r="AI87" s="64"/>
      <c r="AJ87" s="64"/>
      <c r="AK87" s="64"/>
      <c r="AL87" s="64" t="s">
        <v>3991</v>
      </c>
      <c r="AM87" s="64"/>
      <c r="AN87" s="64"/>
      <c r="AO87" s="64"/>
      <c r="AP87" s="64"/>
      <c r="AQ87" s="64"/>
      <c r="AR87" s="64"/>
      <c r="AS87" s="64"/>
      <c r="AT87" s="64"/>
      <c r="AU87" s="64"/>
      <c r="AV87" s="64"/>
      <c r="AW87" s="64"/>
      <c r="AX87" s="64"/>
      <c r="AY87" s="64"/>
      <c r="AZ87" s="64"/>
      <c r="BA87" s="64"/>
      <c r="BB87" s="64"/>
      <c r="BC87" s="134"/>
      <c r="BD87" s="134"/>
      <c r="BE87" s="134"/>
      <c r="BF87" s="134"/>
      <c r="BG87" s="134"/>
      <c r="BH87" s="134"/>
      <c r="BI87" s="134"/>
      <c r="BJ87" s="134"/>
      <c r="BK87" s="134"/>
      <c r="BL87" s="134"/>
      <c r="BM87" s="134"/>
      <c r="BN87" s="134"/>
      <c r="BO87" s="134"/>
      <c r="BP87" s="134"/>
      <c r="BQ87" s="134"/>
      <c r="BR87" s="134"/>
      <c r="BS87" s="134"/>
      <c r="BT87" s="134"/>
      <c r="BU87" s="134"/>
      <c r="BV87" s="134"/>
      <c r="BW87" s="131" t="str">
        <f t="shared" si="1"/>
        <v>OLongeur de caisse 3524 mm (CU : -26kg)1 sangle d'arrimage Rideau à lanières arrière (CU : -19 kg)Rideau à lanières latéral (CU : -6 kg)Rideau d'air arrière (CU : -16kg)1 niveau d'étagères droite et gauche profondeur 500 mm (CU : -35 kg) - Hauteur à préciserTotal covering</v>
      </c>
    </row>
    <row r="88" spans="1:75" s="68" customFormat="1" ht="45" outlineLevel="1" x14ac:dyDescent="0.25">
      <c r="A88" s="69" t="s">
        <v>4235</v>
      </c>
      <c r="B88" s="64" t="s">
        <v>424</v>
      </c>
      <c r="C88" s="64"/>
      <c r="D88" s="64" t="s">
        <v>4033</v>
      </c>
      <c r="E88" s="64" t="s">
        <v>3992</v>
      </c>
      <c r="F88" s="64"/>
      <c r="G88" s="64"/>
      <c r="H88" s="64"/>
      <c r="I88" s="64"/>
      <c r="J88" s="64"/>
      <c r="K88" s="64"/>
      <c r="L88" s="64" t="s">
        <v>4034</v>
      </c>
      <c r="M88" s="64"/>
      <c r="N88" s="64"/>
      <c r="O88" s="64" t="s">
        <v>4028</v>
      </c>
      <c r="P88" s="64" t="s">
        <v>4001</v>
      </c>
      <c r="Q88" s="64" t="s">
        <v>4029</v>
      </c>
      <c r="R88" s="64" t="s">
        <v>4030</v>
      </c>
      <c r="S88" s="64"/>
      <c r="T88" s="64"/>
      <c r="U88" s="64"/>
      <c r="V88" s="64"/>
      <c r="W88" s="64"/>
      <c r="X88" s="64"/>
      <c r="Y88" s="64"/>
      <c r="Z88" s="64"/>
      <c r="AA88" s="64"/>
      <c r="AB88" s="64"/>
      <c r="AC88" s="64"/>
      <c r="AD88" s="64"/>
      <c r="AE88" s="64"/>
      <c r="AF88" s="64"/>
      <c r="AG88" s="64"/>
      <c r="AH88" s="64"/>
      <c r="AI88" s="64"/>
      <c r="AJ88" s="64"/>
      <c r="AK88" s="64"/>
      <c r="AL88" s="64" t="s">
        <v>3991</v>
      </c>
      <c r="AM88" s="64"/>
      <c r="AN88" s="64"/>
      <c r="AO88" s="64"/>
      <c r="AP88" s="64"/>
      <c r="AQ88" s="64"/>
      <c r="AR88" s="64"/>
      <c r="AS88" s="64"/>
      <c r="AT88" s="64"/>
      <c r="AU88" s="64"/>
      <c r="AV88" s="64"/>
      <c r="AW88" s="64"/>
      <c r="AX88" s="64"/>
      <c r="AY88" s="64"/>
      <c r="AZ88" s="64"/>
      <c r="BA88" s="64"/>
      <c r="BB88" s="64"/>
      <c r="BC88" s="134"/>
      <c r="BD88" s="134"/>
      <c r="BE88" s="134"/>
      <c r="BF88" s="134"/>
      <c r="BG88" s="134"/>
      <c r="BH88" s="134"/>
      <c r="BI88" s="134"/>
      <c r="BJ88" s="134"/>
      <c r="BK88" s="134"/>
      <c r="BL88" s="134"/>
      <c r="BM88" s="134"/>
      <c r="BN88" s="134"/>
      <c r="BO88" s="134"/>
      <c r="BP88" s="134"/>
      <c r="BQ88" s="134"/>
      <c r="BR88" s="134"/>
      <c r="BS88" s="134"/>
      <c r="BT88" s="134"/>
      <c r="BU88" s="134"/>
      <c r="BV88" s="134"/>
      <c r="BW88" s="131" t="str">
        <f t="shared" si="1"/>
        <v>OLongeur de caisse 3524 mm (CU : -26kg)Porte latérale battante à l'avant droit (CU : -27 kg)1 niveau de rail d'arrimage côté droit et gauche en acier galvanisé axé à 900 mm du plancher (-18 mm de largeur utile) avec une sangle d'arrimage (CU : -17 kg)Rideau à lanières arrière (CU : -19 kg)Rideau à lanières latéral (CU : -6 kg)Rideau d'air arrière (CU : -16kg)1 niveau d'étagères droite et gauche profondeur 500 mm (CU : -41 kg) - Hauteur à préciserTotal covering</v>
      </c>
    </row>
    <row r="89" spans="1:75" s="68" customFormat="1" ht="33.75" outlineLevel="1" x14ac:dyDescent="0.25">
      <c r="A89" s="64" t="s">
        <v>3455</v>
      </c>
      <c r="B89" s="64" t="s">
        <v>32</v>
      </c>
      <c r="C89" s="64" t="s">
        <v>1831</v>
      </c>
      <c r="D89" s="64" t="s">
        <v>1950</v>
      </c>
      <c r="E89" s="64"/>
      <c r="F89" s="64" t="s">
        <v>3838</v>
      </c>
      <c r="G89" s="64"/>
      <c r="H89" s="64" t="s">
        <v>1856</v>
      </c>
      <c r="I89" s="64" t="s">
        <v>1862</v>
      </c>
      <c r="J89" s="64" t="s">
        <v>1853</v>
      </c>
      <c r="K89" s="64"/>
      <c r="L89" s="64"/>
      <c r="M89" s="64"/>
      <c r="N89" s="64"/>
      <c r="O89" s="64"/>
      <c r="P89" s="64"/>
      <c r="Q89" s="64"/>
      <c r="R89" s="64"/>
      <c r="S89" s="64" t="s">
        <v>1857</v>
      </c>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134"/>
      <c r="BD89" s="134"/>
      <c r="BE89" s="134"/>
      <c r="BF89" s="134"/>
      <c r="BG89" s="134"/>
      <c r="BH89" s="134"/>
      <c r="BI89" s="134"/>
      <c r="BJ89" s="134"/>
      <c r="BK89" s="134"/>
      <c r="BL89" s="134"/>
      <c r="BM89" s="134"/>
      <c r="BN89" s="134"/>
      <c r="BO89" s="134"/>
      <c r="BP89" s="134"/>
      <c r="BQ89" s="134"/>
      <c r="BR89" s="134"/>
      <c r="BS89" s="134"/>
      <c r="BT89" s="134"/>
      <c r="BU89" s="134"/>
      <c r="BV89" s="134"/>
      <c r="BW89" s="131" t="str">
        <f t="shared" si="1"/>
        <v>PIsolation renforcée LECAPITAINE2 portes arrière ouverture totaleEscabeau arrière coulissant 2 marches larges (ergonomie++)Plancher : Antidérapant sans passages de roues avec 1 siphon d'évacuationFaux châssis allégé RigidLink1 plafonnier à LED avec temporisationProtection bas de parois sur 245 mm de haut</v>
      </c>
    </row>
    <row r="90" spans="1:75" s="68" customFormat="1" ht="67.5" outlineLevel="1" x14ac:dyDescent="0.25">
      <c r="A90" s="64" t="s">
        <v>3482</v>
      </c>
      <c r="B90" s="64" t="s">
        <v>32</v>
      </c>
      <c r="C90" s="64" t="s">
        <v>1831</v>
      </c>
      <c r="D90" s="64" t="s">
        <v>1832</v>
      </c>
      <c r="E90" s="64" t="s">
        <v>3839</v>
      </c>
      <c r="F90" s="64" t="s">
        <v>1861</v>
      </c>
      <c r="G90" s="64"/>
      <c r="H90" s="64" t="s">
        <v>1856</v>
      </c>
      <c r="I90" s="64" t="s">
        <v>1862</v>
      </c>
      <c r="J90" s="64" t="s">
        <v>1835</v>
      </c>
      <c r="K90" s="64"/>
      <c r="L90" s="64" t="s">
        <v>3806</v>
      </c>
      <c r="M90" s="64"/>
      <c r="N90" s="64" t="s">
        <v>3840</v>
      </c>
      <c r="O90" s="64" t="s">
        <v>3841</v>
      </c>
      <c r="P90" s="64"/>
      <c r="Q90" s="64"/>
      <c r="R90" s="64"/>
      <c r="S90" s="64" t="s">
        <v>1857</v>
      </c>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134"/>
      <c r="BD90" s="134"/>
      <c r="BE90" s="134"/>
      <c r="BF90" s="134"/>
      <c r="BG90" s="134"/>
      <c r="BH90" s="134"/>
      <c r="BI90" s="134"/>
      <c r="BJ90" s="134"/>
      <c r="BK90" s="134"/>
      <c r="BL90" s="134"/>
      <c r="BM90" s="134"/>
      <c r="BN90" s="134"/>
      <c r="BO90" s="134"/>
      <c r="BP90" s="134"/>
      <c r="BQ90" s="134"/>
      <c r="BR90" s="134"/>
      <c r="BS90" s="134"/>
      <c r="BT90" s="134"/>
      <c r="BU90" s="134"/>
      <c r="BV90" s="134"/>
      <c r="BW90" s="131" t="str">
        <f t="shared" si="1"/>
        <v>PIsolation renforcée LECAPITAINE2 portes arrière ouverture totale (porte droite prioritaire)Porte latérale battente 750 mm x 1800 mm à 65 mm à l'avant droitEscabeau arrière coulissant 2 marchesPlancher : Antidérapant sans passages de roues avec 1 siphon d'évacuationFaux châssis allégé RigidLink2 plafonniers à LED avec temporisation1 niveau de rail d'arrimage en acier galvanisé D + G à 900 mm du plancher (-18 mm de largeur utile)Cloison fixe longitudinale à 905 mm du côté droit avec 1 porte battante dans la cloison longitudinale1 Rideau fixe à lanières aux portes arrières et 1 rideau fixe à lanières à la porte latéraleProtection bas de parois sur 245 mm de haut</v>
      </c>
    </row>
    <row r="91" spans="1:75" s="68" customFormat="1" ht="56.25" outlineLevel="1" x14ac:dyDescent="0.25">
      <c r="A91" s="64" t="s">
        <v>3456</v>
      </c>
      <c r="B91" s="64" t="s">
        <v>32</v>
      </c>
      <c r="C91" s="64" t="s">
        <v>1831</v>
      </c>
      <c r="D91" s="64" t="s">
        <v>1950</v>
      </c>
      <c r="E91" s="64" t="s">
        <v>3839</v>
      </c>
      <c r="F91" s="64" t="s">
        <v>1861</v>
      </c>
      <c r="G91" s="64"/>
      <c r="H91" s="64" t="s">
        <v>1856</v>
      </c>
      <c r="I91" s="64" t="s">
        <v>1862</v>
      </c>
      <c r="J91" s="64" t="s">
        <v>1835</v>
      </c>
      <c r="K91" s="64"/>
      <c r="L91" s="64" t="s">
        <v>3806</v>
      </c>
      <c r="M91" s="64"/>
      <c r="N91" s="64" t="s">
        <v>3819</v>
      </c>
      <c r="O91" s="64" t="s">
        <v>1842</v>
      </c>
      <c r="P91" s="64"/>
      <c r="Q91" s="64"/>
      <c r="R91" s="64"/>
      <c r="S91" s="64" t="s">
        <v>1857</v>
      </c>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134"/>
      <c r="BD91" s="134"/>
      <c r="BE91" s="134"/>
      <c r="BF91" s="134"/>
      <c r="BG91" s="134"/>
      <c r="BH91" s="134"/>
      <c r="BI91" s="134"/>
      <c r="BJ91" s="134"/>
      <c r="BK91" s="134"/>
      <c r="BL91" s="134"/>
      <c r="BM91" s="134"/>
      <c r="BN91" s="134"/>
      <c r="BO91" s="134"/>
      <c r="BP91" s="134"/>
      <c r="BQ91" s="134"/>
      <c r="BR91" s="134"/>
      <c r="BS91" s="134"/>
      <c r="BT91" s="134"/>
      <c r="BU91" s="134"/>
      <c r="BV91" s="134"/>
      <c r="BW91" s="131" t="str">
        <f t="shared" si="1"/>
        <v>PIsolation renforcée LECAPITAINE2 portes arrière ouverture totalePorte latérale battente 750 mm x 1800 mm à 65 mm à l'avant droitEscabeau arrière coulissant 2 marchesPlancher : Antidérapant sans passages de roues avec 1 siphon d'évacuationFaux châssis allégé RigidLink2 plafonniers à LED avec temporisation1 niveau de rail d'arrimage en acier galvanisé D + G à 900 mm du plancher (-18 mm de largeur utile)Cloison mobile relevable (1780 mm ± 20 sous cloison relevée)1 Rideau coulissant à lanières aux portes arrières et 1 rideau fixe à lanières à la porte latéraleProtection bas de parois sur 245 mm de haut</v>
      </c>
    </row>
    <row r="92" spans="1:75" s="68" customFormat="1" ht="33.75" outlineLevel="1" x14ac:dyDescent="0.25">
      <c r="A92" s="64" t="s">
        <v>3490</v>
      </c>
      <c r="B92" s="64" t="s">
        <v>32</v>
      </c>
      <c r="C92" s="64" t="s">
        <v>1831</v>
      </c>
      <c r="D92" s="64" t="s">
        <v>1950</v>
      </c>
      <c r="E92" s="64"/>
      <c r="F92" s="64" t="s">
        <v>3838</v>
      </c>
      <c r="G92" s="64"/>
      <c r="H92" s="64" t="s">
        <v>1856</v>
      </c>
      <c r="I92" s="64" t="s">
        <v>1862</v>
      </c>
      <c r="J92" s="64" t="s">
        <v>1853</v>
      </c>
      <c r="K92" s="64"/>
      <c r="L92" s="64"/>
      <c r="M92" s="64"/>
      <c r="N92" s="64"/>
      <c r="O92" s="64"/>
      <c r="P92" s="64"/>
      <c r="Q92" s="64"/>
      <c r="R92" s="64"/>
      <c r="S92" s="64" t="s">
        <v>1857</v>
      </c>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134"/>
      <c r="BD92" s="134"/>
      <c r="BE92" s="134"/>
      <c r="BF92" s="134"/>
      <c r="BG92" s="134"/>
      <c r="BH92" s="134"/>
      <c r="BI92" s="134"/>
      <c r="BJ92" s="134"/>
      <c r="BK92" s="134"/>
      <c r="BL92" s="134"/>
      <c r="BM92" s="134"/>
      <c r="BN92" s="134"/>
      <c r="BO92" s="134"/>
      <c r="BP92" s="134"/>
      <c r="BQ92" s="134"/>
      <c r="BR92" s="134"/>
      <c r="BS92" s="134"/>
      <c r="BT92" s="134"/>
      <c r="BU92" s="134"/>
      <c r="BV92" s="134"/>
      <c r="BW92" s="131" t="str">
        <f t="shared" si="1"/>
        <v>PIsolation renforcée LECAPITAINE2 portes arrière ouverture totaleEscabeau arrière coulissant 2 marches larges (ergonomie++)Plancher : Antidérapant sans passages de roues avec 1 siphon d'évacuationFaux châssis allégé RigidLink1 plafonnier à LED avec temporisationProtection bas de parois sur 245 mm de haut</v>
      </c>
    </row>
    <row r="93" spans="1:75" s="68" customFormat="1" ht="45" outlineLevel="1" x14ac:dyDescent="0.25">
      <c r="A93" s="64" t="s">
        <v>3340</v>
      </c>
      <c r="B93" s="64" t="s">
        <v>32</v>
      </c>
      <c r="C93" s="64" t="s">
        <v>1831</v>
      </c>
      <c r="D93" s="64" t="s">
        <v>1863</v>
      </c>
      <c r="E93" s="64"/>
      <c r="F93" s="64" t="s">
        <v>1851</v>
      </c>
      <c r="G93" s="64"/>
      <c r="H93" s="64" t="s">
        <v>1864</v>
      </c>
      <c r="I93" s="64"/>
      <c r="J93" s="64" t="s">
        <v>1853</v>
      </c>
      <c r="K93" s="64"/>
      <c r="L93" s="64"/>
      <c r="M93" s="64"/>
      <c r="N93" s="64"/>
      <c r="O93" s="64"/>
      <c r="P93" s="64"/>
      <c r="Q93" s="64"/>
      <c r="R93" s="64"/>
      <c r="S93" s="64" t="s">
        <v>3796</v>
      </c>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134"/>
      <c r="BD93" s="134"/>
      <c r="BE93" s="134"/>
      <c r="BF93" s="134"/>
      <c r="BG93" s="134"/>
      <c r="BH93" s="134"/>
      <c r="BI93" s="134"/>
      <c r="BJ93" s="134"/>
      <c r="BK93" s="134"/>
      <c r="BL93" s="134"/>
      <c r="BM93" s="134"/>
      <c r="BN93" s="134"/>
      <c r="BO93" s="134"/>
      <c r="BP93" s="134"/>
      <c r="BQ93" s="134"/>
      <c r="BR93" s="134"/>
      <c r="BS93" s="134"/>
      <c r="BT93" s="134"/>
      <c r="BU93" s="134"/>
      <c r="BV93" s="134"/>
      <c r="BW93" s="131" t="str">
        <f t="shared" si="1"/>
        <v>PIsolation renforcée LECAPITAINE2 portes arrière 1100 mm x 1880 mmMarchepied fixe 1 marchePlancher : Antidérapant avec passages de roues (largeur entre passages de roues : 1250 mm) avec 2 siphons d'évacuation1 plafonnier à LED avec temporisationProtection bas de parois sur 240 mm de haut</v>
      </c>
    </row>
    <row r="94" spans="1:75" s="68" customFormat="1" ht="45" outlineLevel="1" x14ac:dyDescent="0.25">
      <c r="A94" s="64" t="s">
        <v>4236</v>
      </c>
      <c r="B94" s="64" t="s">
        <v>424</v>
      </c>
      <c r="C94" s="64"/>
      <c r="D94" s="64" t="s">
        <v>4035</v>
      </c>
      <c r="E94" s="64" t="s">
        <v>4036</v>
      </c>
      <c r="F94" s="64" t="s">
        <v>4037</v>
      </c>
      <c r="G94" s="64" t="s">
        <v>4038</v>
      </c>
      <c r="H94" s="64" t="s">
        <v>4039</v>
      </c>
      <c r="I94" s="64" t="s">
        <v>4040</v>
      </c>
      <c r="J94" s="64"/>
      <c r="K94" s="64"/>
      <c r="L94" s="64"/>
      <c r="M94" s="64" t="s">
        <v>4041</v>
      </c>
      <c r="N94" s="64" t="s">
        <v>4042</v>
      </c>
      <c r="O94" s="64"/>
      <c r="P94" s="64"/>
      <c r="Q94" s="64" t="s">
        <v>4043</v>
      </c>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134"/>
      <c r="BD94" s="134"/>
      <c r="BE94" s="134"/>
      <c r="BF94" s="134"/>
      <c r="BG94" s="134"/>
      <c r="BH94" s="134"/>
      <c r="BI94" s="134"/>
      <c r="BJ94" s="134"/>
      <c r="BK94" s="134"/>
      <c r="BL94" s="134"/>
      <c r="BM94" s="134"/>
      <c r="BN94" s="134"/>
      <c r="BO94" s="134"/>
      <c r="BP94" s="134"/>
      <c r="BQ94" s="134"/>
      <c r="BR94" s="134"/>
      <c r="BS94" s="134"/>
      <c r="BT94" s="134"/>
      <c r="BU94" s="134"/>
      <c r="BV94" s="134"/>
      <c r="BW94" s="131" t="str">
        <f t="shared" si="1"/>
        <v>OCadre AR 3 Vantaux - 1 Crémone (CU : +4 kg)Porte latérale coulissante  1000 mm à l'avant droit (CU : -18 kg)Marchepied arrière rabattable  + buzzer en cabine (CU : +19)Marchepied latéral rétractable sans buzzer en cabine (CU : -18 kg)Marchepied latéral rétractable + buzzer en cabine (CU : -18 kg)Plancher lisse avec bande antidèrapant sur les côtés2 niveaux de rail d'arrimage DR + GA axés à 800 mm et 1200 mm du plancher (-18 mm de largeur utile) - (CU : -19 kg)1 Barre d'étai (CU : -9 kg)Rideau d'air Ar (CU : -10 kg)</v>
      </c>
    </row>
    <row r="95" spans="1:75" s="68" customFormat="1" ht="78.75" outlineLevel="1" x14ac:dyDescent="0.25">
      <c r="A95" s="64" t="s">
        <v>4237</v>
      </c>
      <c r="B95" s="64" t="s">
        <v>424</v>
      </c>
      <c r="C95" s="64"/>
      <c r="D95" s="64" t="s">
        <v>4035</v>
      </c>
      <c r="E95" s="64" t="s">
        <v>4044</v>
      </c>
      <c r="F95" s="64" t="s">
        <v>4045</v>
      </c>
      <c r="G95" s="64" t="s">
        <v>4038</v>
      </c>
      <c r="H95" s="64" t="s">
        <v>4039</v>
      </c>
      <c r="I95" s="64" t="s">
        <v>4040</v>
      </c>
      <c r="J95" s="64"/>
      <c r="K95" s="64"/>
      <c r="L95" s="64" t="s">
        <v>4046</v>
      </c>
      <c r="M95" s="64" t="s">
        <v>4047</v>
      </c>
      <c r="N95" s="64" t="s">
        <v>4042</v>
      </c>
      <c r="O95" s="64"/>
      <c r="P95" s="64" t="s">
        <v>4048</v>
      </c>
      <c r="Q95" s="64" t="s">
        <v>4049</v>
      </c>
      <c r="R95" s="64" t="s">
        <v>4050</v>
      </c>
      <c r="S95" s="64" t="s">
        <v>3971</v>
      </c>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134"/>
      <c r="BD95" s="134"/>
      <c r="BE95" s="134"/>
      <c r="BF95" s="134"/>
      <c r="BG95" s="134"/>
      <c r="BH95" s="134"/>
      <c r="BI95" s="134"/>
      <c r="BJ95" s="134"/>
      <c r="BK95" s="134"/>
      <c r="BL95" s="134"/>
      <c r="BM95" s="134"/>
      <c r="BN95" s="134"/>
      <c r="BO95" s="134"/>
      <c r="BP95" s="134"/>
      <c r="BQ95" s="134"/>
      <c r="BR95" s="134"/>
      <c r="BS95" s="134"/>
      <c r="BT95" s="134"/>
      <c r="BU95" s="134"/>
      <c r="BV95" s="134"/>
      <c r="BW95" s="131" t="str">
        <f t="shared" si="1"/>
        <v>OCadre AR 3 Vantaux - 1 Crémone (CU : +4 kg)Porte latérale battante 1000 mm  à 450 mm de l'avant droit (CU : -20 kg)Marchepied arrière rabattable + buzzer en cabine Marchepied latéral rétractable sans buzzer en cabine (CU : -18 kg)Marchepied latéral rétractable + buzzer en cabine (CU : -18 kg)Plancher lisse avec bande antidèrapant sur les côtés1 niveau de rail d'arrimage en aluminium DR + GA axé à 900 mm du plancher (-20 mm de largeur utile) - (CU : -10 kg)2 niveaux de rail d'arrimage en aluminium DR + GA axés à 800 mm et 1200 mm du plancher (-18 mm de largeur utile) - (CU : -20 kg)1 Barre d'étai (CU : -9 kg)1 rideau fixe à lanières à la porte latérale (CU : -6 kg)Rideau d'air Ar (CU : -16 kg)1 étagère D + G profondeur 500 mm à 1000 mm du plancher (CU : -41 kg)2 étagères D + G profondeur 500 mm à 1000 mm et 1300 mm du plancher (CU : -70 kg)</v>
      </c>
    </row>
    <row r="96" spans="1:75" s="68" customFormat="1" ht="56.25" outlineLevel="1" x14ac:dyDescent="0.25">
      <c r="A96" s="64" t="s">
        <v>4238</v>
      </c>
      <c r="B96" s="64" t="s">
        <v>424</v>
      </c>
      <c r="C96" s="64"/>
      <c r="D96" s="64" t="s">
        <v>4035</v>
      </c>
      <c r="E96" s="64"/>
      <c r="F96" s="64" t="s">
        <v>4045</v>
      </c>
      <c r="G96" s="64" t="s">
        <v>4038</v>
      </c>
      <c r="H96" s="64" t="s">
        <v>4039</v>
      </c>
      <c r="I96" s="64" t="s">
        <v>4040</v>
      </c>
      <c r="J96" s="64"/>
      <c r="K96" s="64"/>
      <c r="L96" s="64"/>
      <c r="M96" s="64" t="s">
        <v>4047</v>
      </c>
      <c r="N96" s="64" t="s">
        <v>4042</v>
      </c>
      <c r="O96" s="64"/>
      <c r="P96" s="64"/>
      <c r="Q96" s="64" t="s">
        <v>4049</v>
      </c>
      <c r="R96" s="64" t="s">
        <v>4050</v>
      </c>
      <c r="S96" s="64" t="s">
        <v>3971</v>
      </c>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134"/>
      <c r="BD96" s="134"/>
      <c r="BE96" s="134"/>
      <c r="BF96" s="134"/>
      <c r="BG96" s="134"/>
      <c r="BH96" s="134"/>
      <c r="BI96" s="134"/>
      <c r="BJ96" s="134"/>
      <c r="BK96" s="134"/>
      <c r="BL96" s="134"/>
      <c r="BM96" s="134"/>
      <c r="BN96" s="134"/>
      <c r="BO96" s="134"/>
      <c r="BP96" s="134"/>
      <c r="BQ96" s="134"/>
      <c r="BR96" s="134"/>
      <c r="BS96" s="134"/>
      <c r="BT96" s="134"/>
      <c r="BU96" s="134"/>
      <c r="BV96" s="134"/>
      <c r="BW96" s="131" t="str">
        <f t="shared" si="1"/>
        <v>OCadre AR 3 Vantaux - 1 Crémone (CU : +4 kg)Marchepied arrière rabattable + buzzer en cabine Marchepied latéral rétractable sans buzzer en cabine (CU : -18 kg)Marchepied latéral rétractable + buzzer en cabine (CU : -18 kg)Plancher lisse avec bande antidèrapant sur les côtés2 niveaux de rail d'arrimage en aluminium DR + GA axés à 800 mm et 1200 mm du plancher (-18 mm de largeur utile) - (CU : -20 kg)1 Barre d'étai (CU : -9 kg)Rideau d'air Ar (CU : -16 kg)1 étagère D + G profondeur 500 mm à 1000 mm du plancher (CU : -41 kg)2 étagères D + G profondeur 500 mm à 1000 mm et 1300 mm du plancher (CU : -70 kg)</v>
      </c>
    </row>
    <row r="97" spans="1:75" s="68" customFormat="1" ht="56.25" outlineLevel="1" x14ac:dyDescent="0.25">
      <c r="A97" s="64" t="s">
        <v>4239</v>
      </c>
      <c r="B97" s="64" t="s">
        <v>424</v>
      </c>
      <c r="C97" s="64"/>
      <c r="D97" s="64" t="s">
        <v>4035</v>
      </c>
      <c r="E97" s="64"/>
      <c r="F97" s="64" t="s">
        <v>4051</v>
      </c>
      <c r="G97" s="64" t="s">
        <v>4038</v>
      </c>
      <c r="H97" s="64" t="s">
        <v>4039</v>
      </c>
      <c r="I97" s="64" t="s">
        <v>4040</v>
      </c>
      <c r="J97" s="64"/>
      <c r="K97" s="64"/>
      <c r="L97" s="64" t="s">
        <v>4046</v>
      </c>
      <c r="M97" s="64" t="s">
        <v>4052</v>
      </c>
      <c r="N97" s="64" t="s">
        <v>4042</v>
      </c>
      <c r="O97" s="64"/>
      <c r="P97" s="64"/>
      <c r="Q97" s="64" t="s">
        <v>4043</v>
      </c>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134"/>
      <c r="BD97" s="134"/>
      <c r="BE97" s="134"/>
      <c r="BF97" s="134"/>
      <c r="BG97" s="134"/>
      <c r="BH97" s="134"/>
      <c r="BI97" s="134"/>
      <c r="BJ97" s="134"/>
      <c r="BK97" s="134"/>
      <c r="BL97" s="134"/>
      <c r="BM97" s="134"/>
      <c r="BN97" s="134"/>
      <c r="BO97" s="134"/>
      <c r="BP97" s="134"/>
      <c r="BQ97" s="134"/>
      <c r="BR97" s="134"/>
      <c r="BS97" s="134"/>
      <c r="BT97" s="134"/>
      <c r="BU97" s="134"/>
      <c r="BV97" s="134"/>
      <c r="BW97" s="131" t="str">
        <f t="shared" si="1"/>
        <v>OCadre AR 3 Vantaux - 1 Crémone (CU : +4 kg)Marchepied arrière rabattable  + buzzer en cabine Marchepied latéral rétractable sans buzzer en cabine (CU : -18 kg)Marchepied latéral rétractable + buzzer en cabine (CU : -18 kg)Plancher lisse avec bande antidèrapant sur les côtés1 niveau de rail d'arrimage en aluminium DR + GA axé à 900 mm du plancher (-20 mm de largeur utile) - (CU : -10 kg)2 niveaux de rail d'arrimage DR + GA axés à 800 mm et 1200 mm du plancher (-18 mm de largeur utile) - (CU : -11 kg) - Pas de rails sur la porte latérale coulissante1 Barre d'étai (CU : -9 kg)Rideau d'air Ar (CU : -10 kg)</v>
      </c>
    </row>
    <row r="98" spans="1:75" s="68" customFormat="1" ht="78.75" outlineLevel="1" x14ac:dyDescent="0.25">
      <c r="A98" s="64" t="s">
        <v>4240</v>
      </c>
      <c r="B98" s="64" t="s">
        <v>424</v>
      </c>
      <c r="C98" s="64"/>
      <c r="D98" s="64" t="s">
        <v>4035</v>
      </c>
      <c r="E98" s="64" t="s">
        <v>4053</v>
      </c>
      <c r="F98" s="64" t="s">
        <v>4045</v>
      </c>
      <c r="G98" s="64" t="s">
        <v>4038</v>
      </c>
      <c r="H98" s="64" t="s">
        <v>4039</v>
      </c>
      <c r="I98" s="64" t="s">
        <v>4040</v>
      </c>
      <c r="J98" s="64"/>
      <c r="K98" s="64"/>
      <c r="L98" s="64" t="s">
        <v>4046</v>
      </c>
      <c r="M98" s="64" t="s">
        <v>4047</v>
      </c>
      <c r="N98" s="64" t="s">
        <v>4042</v>
      </c>
      <c r="O98" s="64" t="s">
        <v>4054</v>
      </c>
      <c r="P98" s="64" t="s">
        <v>4048</v>
      </c>
      <c r="Q98" s="64" t="s">
        <v>4049</v>
      </c>
      <c r="R98" s="64" t="s">
        <v>4050</v>
      </c>
      <c r="S98" s="64" t="s">
        <v>3971</v>
      </c>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134"/>
      <c r="BD98" s="134"/>
      <c r="BE98" s="134"/>
      <c r="BF98" s="134"/>
      <c r="BG98" s="134"/>
      <c r="BH98" s="134"/>
      <c r="BI98" s="134"/>
      <c r="BJ98" s="134"/>
      <c r="BK98" s="134"/>
      <c r="BL98" s="134"/>
      <c r="BM98" s="134"/>
      <c r="BN98" s="134"/>
      <c r="BO98" s="134"/>
      <c r="BP98" s="134"/>
      <c r="BQ98" s="134"/>
      <c r="BR98" s="134"/>
      <c r="BS98" s="134"/>
      <c r="BT98" s="134"/>
      <c r="BU98" s="134"/>
      <c r="BV98" s="134"/>
      <c r="BW98" s="131" t="str">
        <f t="shared" si="1"/>
        <v>OCadre AR 3 Vantaux - 1 Crémone (CU : +4 kg)Porte latérale battante 1000 mm à l'avant droit (CU : -20 kg)Marchepied arrière rabattable + buzzer en cabine Marchepied latéral rétractable sans buzzer en cabine (CU : -18 kg)Marchepied latéral rétractable + buzzer en cabine (CU : -18 kg)Plancher lisse avec bande antidèrapant sur les côtés1 niveau de rail d'arrimage en aluminium DR + GA axé à 900 mm du plancher (-20 mm de largeur utile) - (CU : -10 kg)2 niveaux de rail d'arrimage en aluminium DR + GA axés à 800 mm et 1200 mm du plancher (-18 mm de largeur utile) - (CU : -20 kg)1 Barre d'étai (CU : -9 kg)Rideau coulissant à lanières aux portes arrières (CU : -19 kg)1 rideau fixe à lanières à la porte latérale (CU : -6 kg)Rideau d'air Ar (CU : -16 kg)1 étagère D + G profondeur 500 mm à 1000 mm du plancher (CU : -41 kg)2 étagères D + G profondeur 500 mm à 1000 mm et 1300 mm du plancher (CU : -70 kg)</v>
      </c>
    </row>
    <row r="99" spans="1:75" s="68" customFormat="1" ht="45" outlineLevel="1" x14ac:dyDescent="0.25">
      <c r="A99" s="64" t="s">
        <v>4241</v>
      </c>
      <c r="B99" s="64" t="s">
        <v>424</v>
      </c>
      <c r="C99" s="64"/>
      <c r="D99" s="64" t="s">
        <v>4035</v>
      </c>
      <c r="E99" s="64"/>
      <c r="F99" s="64" t="s">
        <v>4051</v>
      </c>
      <c r="G99" s="64" t="s">
        <v>4038</v>
      </c>
      <c r="H99" s="64" t="s">
        <v>4039</v>
      </c>
      <c r="I99" s="64" t="s">
        <v>4040</v>
      </c>
      <c r="J99" s="64"/>
      <c r="K99" s="64"/>
      <c r="L99" s="64"/>
      <c r="M99" s="64" t="s">
        <v>4052</v>
      </c>
      <c r="N99" s="64" t="s">
        <v>4042</v>
      </c>
      <c r="O99" s="64"/>
      <c r="P99" s="64"/>
      <c r="Q99" s="64" t="s">
        <v>4043</v>
      </c>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134"/>
      <c r="BD99" s="134"/>
      <c r="BE99" s="134"/>
      <c r="BF99" s="134"/>
      <c r="BG99" s="134"/>
      <c r="BH99" s="134"/>
      <c r="BI99" s="134"/>
      <c r="BJ99" s="134"/>
      <c r="BK99" s="134"/>
      <c r="BL99" s="134"/>
      <c r="BM99" s="134"/>
      <c r="BN99" s="134"/>
      <c r="BO99" s="134"/>
      <c r="BP99" s="134"/>
      <c r="BQ99" s="134"/>
      <c r="BR99" s="134"/>
      <c r="BS99" s="134"/>
      <c r="BT99" s="134"/>
      <c r="BU99" s="134"/>
      <c r="BV99" s="134"/>
      <c r="BW99" s="131" t="str">
        <f t="shared" si="1"/>
        <v>OCadre AR 3 Vantaux - 1 Crémone (CU : +4 kg)Marchepied arrière rabattable  + buzzer en cabine Marchepied latéral rétractable sans buzzer en cabine (CU : -18 kg)Marchepied latéral rétractable + buzzer en cabine (CU : -18 kg)Plancher lisse avec bande antidèrapant sur les côtés2 niveaux de rail d'arrimage DR + GA axés à 800 mm et 1200 mm du plancher (-18 mm de largeur utile) - (CU : -11 kg) - Pas de rails sur la porte latérale coulissante1 Barre d'étai (CU : -9 kg)Rideau d'air Ar (CU : -10 kg)</v>
      </c>
    </row>
    <row r="100" spans="1:75" s="68" customFormat="1" ht="64.5" customHeight="1" outlineLevel="1" x14ac:dyDescent="0.25">
      <c r="A100" s="64" t="s">
        <v>4242</v>
      </c>
      <c r="B100" s="64" t="s">
        <v>424</v>
      </c>
      <c r="C100" s="64"/>
      <c r="D100" s="64" t="s">
        <v>4035</v>
      </c>
      <c r="E100" s="64" t="s">
        <v>4036</v>
      </c>
      <c r="F100" s="64" t="s">
        <v>4037</v>
      </c>
      <c r="G100" s="64" t="s">
        <v>4038</v>
      </c>
      <c r="H100" s="64" t="s">
        <v>4039</v>
      </c>
      <c r="I100" s="64" t="s">
        <v>4040</v>
      </c>
      <c r="J100" s="64"/>
      <c r="K100" s="64"/>
      <c r="L100" s="64"/>
      <c r="M100" s="64" t="s">
        <v>4055</v>
      </c>
      <c r="N100" s="64" t="s">
        <v>4042</v>
      </c>
      <c r="O100" s="64"/>
      <c r="P100" s="64"/>
      <c r="Q100" s="64" t="s">
        <v>4056</v>
      </c>
      <c r="R100" s="64" t="s">
        <v>4057</v>
      </c>
      <c r="S100" s="64" t="s">
        <v>4058</v>
      </c>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134"/>
      <c r="BD100" s="134"/>
      <c r="BE100" s="134"/>
      <c r="BF100" s="134"/>
      <c r="BG100" s="134"/>
      <c r="BH100" s="134"/>
      <c r="BI100" s="134"/>
      <c r="BJ100" s="134"/>
      <c r="BK100" s="134"/>
      <c r="BL100" s="134"/>
      <c r="BM100" s="134"/>
      <c r="BN100" s="134"/>
      <c r="BO100" s="134"/>
      <c r="BP100" s="134"/>
      <c r="BQ100" s="134"/>
      <c r="BR100" s="134"/>
      <c r="BS100" s="134"/>
      <c r="BT100" s="134"/>
      <c r="BU100" s="134"/>
      <c r="BV100" s="134"/>
      <c r="BW100" s="131" t="str">
        <f t="shared" si="1"/>
        <v>OCadre AR 3 Vantaux - 1 Crémone (CU : +4 kg)Porte latérale coulissante  1000 mm à l'avant droit (CU : -18 kg)Marchepied arrière rabattable  + buzzer en cabine (CU : +19)Marchepied latéral rétractable sans buzzer en cabine (CU : -18 kg)Marchepied latéral rétractable + buzzer en cabine (CU : -18 kg)Plancher lisse avec bande antidèrapant sur les côtés2 niveaux de rail d'arrimage DR + GA axés à 800 mm et 1200 mm du plancher (-18 mm de largeur utile) - (CU : -31 kg) - Pas de rails sur la porte latérale coulissante1 Barre d'étai (CU : -9 kg)Rideau d'air Ar (CU : -9 kg)1 étagère D + G profondeur 400 mm à 1000 mm du plancher (CU : -36 kg)2 étagères D + G profondeur 400 mm à 1000 mm et 1300 mm du plancher (CU : -61 kg)</v>
      </c>
    </row>
    <row r="101" spans="1:75" s="68" customFormat="1" ht="56.25" outlineLevel="1" x14ac:dyDescent="0.25">
      <c r="A101" s="69" t="s">
        <v>4243</v>
      </c>
      <c r="B101" s="64" t="s">
        <v>424</v>
      </c>
      <c r="C101" s="64"/>
      <c r="D101" s="206"/>
      <c r="E101" s="206"/>
      <c r="F101" s="64"/>
      <c r="G101" s="64"/>
      <c r="H101" s="64" t="s">
        <v>4059</v>
      </c>
      <c r="I101" s="64"/>
      <c r="J101" s="64"/>
      <c r="K101" s="64" t="s">
        <v>4060</v>
      </c>
      <c r="L101" s="64" t="s">
        <v>4061</v>
      </c>
      <c r="M101" s="64"/>
      <c r="N101" s="64" t="s">
        <v>4042</v>
      </c>
      <c r="O101" s="207"/>
      <c r="P101" s="64"/>
      <c r="Q101" s="64"/>
      <c r="R101" s="64" t="s">
        <v>4062</v>
      </c>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134"/>
      <c r="BD101" s="134"/>
      <c r="BE101" s="134"/>
      <c r="BF101" s="134"/>
      <c r="BG101" s="134"/>
      <c r="BH101" s="134"/>
      <c r="BI101" s="134"/>
      <c r="BJ101" s="134"/>
      <c r="BK101" s="134"/>
      <c r="BL101" s="134"/>
      <c r="BM101" s="134"/>
      <c r="BN101" s="134"/>
      <c r="BO101" s="134"/>
      <c r="BP101" s="134"/>
      <c r="BQ101" s="134"/>
      <c r="BR101" s="134"/>
      <c r="BS101" s="134"/>
      <c r="BT101" s="134"/>
      <c r="BU101" s="134"/>
      <c r="BV101" s="134"/>
      <c r="BW101" s="131" t="str">
        <f t="shared" si="1"/>
        <v>OPlancher lisse avec bande antidérapante sur les côtés (CU : -9 kg)Plancher intermédiaire complet amovible (CU : -8  kg)1 niveau de rail d'arrimage en acier galvanisé droite + gauche axé a 500 mm du plancher (-26 mm de largeur utile) - (CU : -8 kg) - Pas de rails sur la porte latérale coulissante1 Barre d'étai (CU : -9 kg)1 étagère D + G profondeur 400 mm - Hauteur à définir  (CU : -18 kg)</v>
      </c>
    </row>
    <row r="102" spans="1:75" s="68" customFormat="1" ht="56.25" outlineLevel="1" x14ac:dyDescent="0.25">
      <c r="A102" s="69" t="s">
        <v>4244</v>
      </c>
      <c r="B102" s="64" t="s">
        <v>424</v>
      </c>
      <c r="C102" s="64"/>
      <c r="D102" s="206"/>
      <c r="E102" s="206"/>
      <c r="F102" s="64"/>
      <c r="G102" s="64"/>
      <c r="H102" s="64" t="s">
        <v>4059</v>
      </c>
      <c r="I102" s="64"/>
      <c r="J102" s="64"/>
      <c r="K102" s="64" t="s">
        <v>4060</v>
      </c>
      <c r="L102" s="64" t="s">
        <v>4061</v>
      </c>
      <c r="M102" s="64" t="s">
        <v>4063</v>
      </c>
      <c r="N102" s="64" t="s">
        <v>4042</v>
      </c>
      <c r="O102" s="207"/>
      <c r="P102" s="64"/>
      <c r="Q102" s="64"/>
      <c r="R102" s="64" t="s">
        <v>4062</v>
      </c>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134"/>
      <c r="BD102" s="134"/>
      <c r="BE102" s="134"/>
      <c r="BF102" s="134"/>
      <c r="BG102" s="134"/>
      <c r="BH102" s="134"/>
      <c r="BI102" s="134"/>
      <c r="BJ102" s="134"/>
      <c r="BK102" s="134"/>
      <c r="BL102" s="134"/>
      <c r="BM102" s="134"/>
      <c r="BN102" s="134"/>
      <c r="BO102" s="134"/>
      <c r="BP102" s="134"/>
      <c r="BQ102" s="134"/>
      <c r="BR102" s="134"/>
      <c r="BS102" s="134"/>
      <c r="BT102" s="134"/>
      <c r="BU102" s="134"/>
      <c r="BV102" s="134"/>
      <c r="BW102" s="131" t="str">
        <f t="shared" si="1"/>
        <v>OPlancher lisse avec bande antidérapante sur les côtés (CU : -9 kg)Plancher intermédiaire complet amovible (CU : -8  kg)1 niveau de rail d'arrimage en acier galvanisé droite + gauche axé a 500 mm du plancher (-26 mm de largeur utile) - (CU : -8 kg) - Pas de rails sur la porte latérale coulissante2 niveaux de rails d'arrimage en acier galvanisé droite + gauche - Hauteur à définir (-26 mm de largeur utile) - (CU : -16 kg) - Pas de rails sur la porte latérale coulissante1 Barre d'étai (CU : -9 kg)1 étagère D + G profondeur 400 mm - Hauteur à définir  (CU : -18 kg)</v>
      </c>
    </row>
    <row r="103" spans="1:75" s="68" customFormat="1" ht="67.5" outlineLevel="1" x14ac:dyDescent="0.25">
      <c r="A103" s="69" t="s">
        <v>4245</v>
      </c>
      <c r="B103" s="64" t="s">
        <v>424</v>
      </c>
      <c r="C103" s="64"/>
      <c r="D103" s="206"/>
      <c r="E103" s="64" t="s">
        <v>4064</v>
      </c>
      <c r="F103" s="64"/>
      <c r="G103" s="64"/>
      <c r="H103" s="64" t="s">
        <v>4065</v>
      </c>
      <c r="I103" s="64"/>
      <c r="J103" s="64" t="s">
        <v>4066</v>
      </c>
      <c r="K103" s="64" t="s">
        <v>4067</v>
      </c>
      <c r="L103" s="64" t="s">
        <v>4068</v>
      </c>
      <c r="M103" s="64" t="s">
        <v>4069</v>
      </c>
      <c r="N103" s="64" t="s">
        <v>4042</v>
      </c>
      <c r="O103" s="64"/>
      <c r="P103" s="64" t="s">
        <v>4070</v>
      </c>
      <c r="Q103" s="64"/>
      <c r="R103" s="64" t="s">
        <v>4071</v>
      </c>
      <c r="S103" s="64" t="s">
        <v>4072</v>
      </c>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134"/>
      <c r="BD103" s="134"/>
      <c r="BE103" s="134"/>
      <c r="BF103" s="134"/>
      <c r="BG103" s="134"/>
      <c r="BH103" s="134"/>
      <c r="BI103" s="134"/>
      <c r="BJ103" s="134"/>
      <c r="BK103" s="134"/>
      <c r="BL103" s="134"/>
      <c r="BM103" s="134"/>
      <c r="BN103" s="134"/>
      <c r="BO103" s="134"/>
      <c r="BP103" s="134"/>
      <c r="BQ103" s="134"/>
      <c r="BR103" s="134"/>
      <c r="BS103" s="134"/>
      <c r="BT103" s="134"/>
      <c r="BU103" s="134"/>
      <c r="BV103" s="134"/>
      <c r="BW103" s="131" t="str">
        <f t="shared" si="1"/>
        <v>OPorte latérale battante (CU : -27 kg)Revêtement de sol lisse avec bande antidérapante sur le cotéPlancher intermédiaire complet sans porte latérale  (CU : -55 kg)Plancher intermédiaire complet avec  porte latérale  (CU : -82 kg)1 niveau de rail d'arrimage en acier galvanisé droite + gauche axé à 800 mm du plancher (-18 mm de largeur utile) - (CU : -13 kg)2 niveaux de rail d'arrimage en acier galvanisé droite + gauche axés à 700 mm et 1100 mm du plancher (-18 mm de largeur utile) - (CU : -26 kg)1 Barre d'étai (CU : -9 kg)1 rideau fixe à lanières à la porte latérale (CU : -6 kg) - Oblige porte latérale1 étagère D + G profondeur 400 mm à 900 mm du plancher (CU : -30 kg)2 étagères D + G profondeur 400 mm à 900 mm et 1200 mm du plancher (CU : -46 kg)</v>
      </c>
    </row>
    <row r="104" spans="1:75" s="68" customFormat="1" ht="78.75" outlineLevel="1" x14ac:dyDescent="0.25">
      <c r="A104" s="69" t="s">
        <v>4246</v>
      </c>
      <c r="B104" s="64" t="s">
        <v>424</v>
      </c>
      <c r="C104" s="64"/>
      <c r="D104" s="206"/>
      <c r="E104" s="64" t="s">
        <v>4064</v>
      </c>
      <c r="F104" s="64"/>
      <c r="G104" s="64"/>
      <c r="H104" s="64" t="s">
        <v>4065</v>
      </c>
      <c r="I104" s="64"/>
      <c r="J104" s="64" t="s">
        <v>4066</v>
      </c>
      <c r="K104" s="64" t="s">
        <v>4067</v>
      </c>
      <c r="L104" s="64" t="s">
        <v>4068</v>
      </c>
      <c r="M104" s="64" t="s">
        <v>4069</v>
      </c>
      <c r="N104" s="64" t="s">
        <v>4042</v>
      </c>
      <c r="O104" s="64" t="s">
        <v>4073</v>
      </c>
      <c r="P104" s="64" t="s">
        <v>4070</v>
      </c>
      <c r="Q104" s="64" t="s">
        <v>4074</v>
      </c>
      <c r="R104" s="64" t="s">
        <v>4071</v>
      </c>
      <c r="S104" s="64" t="s">
        <v>4072</v>
      </c>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1" t="str">
        <f t="shared" si="1"/>
        <v>OPorte latérale battante (CU : -27 kg)Revêtement de sol lisse avec bande antidérapante sur le cotéPlancher intermédiaire complet sans porte latérale  (CU : -55 kg)Plancher intermédiaire complet avec  porte latérale  (CU : -82 kg)1 niveau de rail d'arrimage en acier galvanisé droite + gauche axé à 800 mm du plancher (-18 mm de largeur utile) - (CU : -13 kg)2 niveaux de rail d'arrimage en acier galvanisé droite + gauche axés à 700 mm et 1100 mm du plancher (-18 mm de largeur utile) - (CU : -26 kg)1 Barre d'étai (CU : -9 kg)1 rideau fixe à lanières à la porte arrière (CU : -10 kg)1 rideau fixe à lanières à la porte latérale (CU : -6 kg) - Oblige porte latérale1 rideau d’air sur porte arrière (CU : -10 kg)1 étagère D + G profondeur 400 mm à 900 mm du plancher (CU : -30 kg)2 étagères D + G profondeur 400 mm à 900 mm et 1200 mm du plancher (CU : -46 kg)</v>
      </c>
    </row>
    <row r="105" spans="1:75" s="68" customFormat="1" ht="67.5" customHeight="1" outlineLevel="1" x14ac:dyDescent="0.25">
      <c r="A105" s="69" t="s">
        <v>4247</v>
      </c>
      <c r="B105" s="64" t="s">
        <v>424</v>
      </c>
      <c r="C105" s="64"/>
      <c r="D105" s="64"/>
      <c r="E105" s="64"/>
      <c r="F105" s="64"/>
      <c r="G105" s="64"/>
      <c r="H105" s="64" t="s">
        <v>4075</v>
      </c>
      <c r="I105" s="64"/>
      <c r="J105" s="64"/>
      <c r="K105" s="64" t="s">
        <v>4076</v>
      </c>
      <c r="L105" s="64" t="s">
        <v>4077</v>
      </c>
      <c r="M105" s="64" t="s">
        <v>4078</v>
      </c>
      <c r="N105" s="64" t="s">
        <v>4042</v>
      </c>
      <c r="O105" s="64"/>
      <c r="P105" s="64" t="s">
        <v>4048</v>
      </c>
      <c r="Q105" s="64" t="s">
        <v>4074</v>
      </c>
      <c r="R105" s="64" t="s">
        <v>4079</v>
      </c>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70"/>
      <c r="AW105" s="64"/>
      <c r="AX105" s="64"/>
      <c r="AY105" s="64"/>
      <c r="AZ105" s="69"/>
      <c r="BA105" s="64"/>
      <c r="BB105" s="64"/>
      <c r="BC105" s="134"/>
      <c r="BD105" s="134"/>
      <c r="BE105" s="134"/>
      <c r="BF105" s="134"/>
      <c r="BG105" s="134"/>
      <c r="BH105" s="134"/>
      <c r="BI105" s="134"/>
      <c r="BJ105" s="134"/>
      <c r="BK105" s="134"/>
      <c r="BL105" s="134"/>
      <c r="BM105" s="134"/>
      <c r="BN105" s="134"/>
      <c r="BO105" s="134"/>
      <c r="BP105" s="134"/>
      <c r="BQ105" s="134"/>
      <c r="BR105" s="134"/>
      <c r="BS105" s="134"/>
      <c r="BT105" s="134"/>
      <c r="BU105" s="134"/>
      <c r="BV105" s="134"/>
      <c r="BW105" s="131" t="str">
        <f t="shared" si="1"/>
        <v>OPlancher lisse avec bande antidérapante  (CU : -11 kg)Plancher intermédiaire complet  avec porte latérale - Hauteur à définir  (CU : - 44 kg)1 niveau de rail d'arrimage en acier galvanisé droite + gauche - Hauteur à définir (-18 mm de largeur utile) - (CU : -11 kg) - Pas de rails sur la porte latérale coulissante2 niveaux de rail d'arrimage en acier galvanisé droite + gauche - Hauteur à définir (-18 mm de largeur utile) - (CU : - 26 kg)1 Barre d'étai (CU : -9 kg)1 rideau fixe à lanières à la porte latérale (CU : -6 kg)1 rideau d’air sur porte arrière (CU : -10 kg)1 étagère D + G profondeur 400 mm  du plancher - Hauteur à définir (CU : -29 kg)</v>
      </c>
    </row>
    <row r="106" spans="1:75" s="68" customFormat="1" ht="67.5" customHeight="1" outlineLevel="1" x14ac:dyDescent="0.25">
      <c r="A106" s="69" t="s">
        <v>4248</v>
      </c>
      <c r="B106" s="64" t="s">
        <v>424</v>
      </c>
      <c r="C106" s="64"/>
      <c r="D106" s="64"/>
      <c r="E106" s="64"/>
      <c r="F106" s="64"/>
      <c r="G106" s="64"/>
      <c r="H106" s="64" t="s">
        <v>4080</v>
      </c>
      <c r="I106" s="64"/>
      <c r="J106" s="64"/>
      <c r="K106" s="64" t="s">
        <v>4081</v>
      </c>
      <c r="L106" s="64" t="s">
        <v>4082</v>
      </c>
      <c r="M106" s="64" t="s">
        <v>4083</v>
      </c>
      <c r="N106" s="64" t="s">
        <v>4042</v>
      </c>
      <c r="O106" s="64"/>
      <c r="P106" s="64"/>
      <c r="Q106" s="64"/>
      <c r="R106" s="64" t="s">
        <v>4084</v>
      </c>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134"/>
      <c r="BD106" s="134"/>
      <c r="BE106" s="134"/>
      <c r="BF106" s="134"/>
      <c r="BG106" s="134"/>
      <c r="BH106" s="134"/>
      <c r="BI106" s="134"/>
      <c r="BJ106" s="134"/>
      <c r="BK106" s="134"/>
      <c r="BL106" s="134"/>
      <c r="BM106" s="134"/>
      <c r="BN106" s="134"/>
      <c r="BO106" s="134"/>
      <c r="BP106" s="134"/>
      <c r="BQ106" s="134"/>
      <c r="BR106" s="134"/>
      <c r="BS106" s="134"/>
      <c r="BT106" s="134"/>
      <c r="BU106" s="134"/>
      <c r="BV106" s="134"/>
      <c r="BW106" s="131" t="str">
        <f t="shared" si="1"/>
        <v>OPlancher lisse avec bande antidérapante sur les côtés (CU : -11 kg)Plancher intermédiaire complet amovible (avec porte latérale) -  (CU : -44 kg)1 niveau de rail d'arrimage en acier galvanisé droite + gauche - Hauteur à définir (-26 mm de largeur utile) - (CU : -12 kg) - Pas de rails sur la porte latérale coulissante2 niveaux de rails d'arrimage en acier galvanisé droite + gauche - hauteur à définir (-26 mm de largeur utile) - (CU : - 24 kg) - Pas de rails sur la porte latérale coulissante1 Barre d'étai (CU : -9 kg)1 étagère D + G profondeur 400 mm - hauteur à définir (CU : -26 kg)</v>
      </c>
    </row>
    <row r="107" spans="1:75" s="68" customFormat="1" ht="78.75" outlineLevel="1" x14ac:dyDescent="0.25">
      <c r="A107" s="64" t="s">
        <v>4249</v>
      </c>
      <c r="B107" s="64" t="s">
        <v>424</v>
      </c>
      <c r="C107" s="64"/>
      <c r="D107" s="64" t="s">
        <v>4085</v>
      </c>
      <c r="E107" s="64" t="s">
        <v>3976</v>
      </c>
      <c r="F107" s="64" t="s">
        <v>4086</v>
      </c>
      <c r="G107" s="64"/>
      <c r="H107" s="64" t="s">
        <v>4040</v>
      </c>
      <c r="I107" s="64"/>
      <c r="J107" s="64" t="s">
        <v>4087</v>
      </c>
      <c r="K107" s="64" t="s">
        <v>4088</v>
      </c>
      <c r="L107" s="64" t="s">
        <v>4089</v>
      </c>
      <c r="M107" s="64" t="s">
        <v>4090</v>
      </c>
      <c r="N107" s="64" t="s">
        <v>4042</v>
      </c>
      <c r="O107" s="64" t="s">
        <v>4091</v>
      </c>
      <c r="P107" s="64" t="s">
        <v>4070</v>
      </c>
      <c r="Q107" s="64" t="s">
        <v>4092</v>
      </c>
      <c r="R107" s="64" t="s">
        <v>4093</v>
      </c>
      <c r="S107" s="207" t="s">
        <v>3979</v>
      </c>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134"/>
      <c r="BD107" s="134"/>
      <c r="BE107" s="134"/>
      <c r="BF107" s="134"/>
      <c r="BG107" s="134"/>
      <c r="BH107" s="134"/>
      <c r="BI107" s="134"/>
      <c r="BJ107" s="134"/>
      <c r="BK107" s="134"/>
      <c r="BL107" s="134"/>
      <c r="BM107" s="134"/>
      <c r="BN107" s="134"/>
      <c r="BO107" s="134"/>
      <c r="BP107" s="134"/>
      <c r="BQ107" s="134"/>
      <c r="BR107" s="134"/>
      <c r="BS107" s="134"/>
      <c r="BT107" s="134"/>
      <c r="BU107" s="134"/>
      <c r="BV107" s="134"/>
      <c r="BW107" s="131" t="str">
        <f t="shared" si="1"/>
        <v>OCadre arrière 3 Vantaux - 1 Crémone (CU : -16 kg)Porte latérale battante 1000 mm à l'avant droit (CU : -27 kg)1 Porte latérale coulissante (CU : - 45kg)Plancher lisse avec bande antidèrapant sur les côtésPlancher intermédiaire complet (sans porte latérale) (CU : - 55 kg)Plancher intermédiaire complet (avec porte latérale) (CU : - 82 kg)1 niveau de rail d'arrimage DR + GA axé à 900 mm du plancher (-18 mm de largeur utile) - (CU : -16 kg)2 niveaux de rail d'arrimage DR + GA axés à 800 mm et 1200 mm du plancher (-18 mm de largeur utile) - (CU : -32 kg)1 Barre d'étai (CU : -9 kg)1 rideau fixe à lanières aux portes arrières  (CU : -12 kg)1 rideau fixe à lanières à la porte latérale (CU : -6 kg) - Oblige porte latéraleRideau d’air AR (CU : -13 kg1 étagère D + G profondeur 400 mm à 1000 mm du plancher (CU : -37 kg)2 étagères D + G profondeur 400 mm à 1000 mm et 1300 mm du plancher (CU : -63 kg)</v>
      </c>
    </row>
    <row r="108" spans="1:75" s="68" customFormat="1" ht="56.25" outlineLevel="1" x14ac:dyDescent="0.25">
      <c r="A108" s="69" t="s">
        <v>4250</v>
      </c>
      <c r="B108" s="64" t="s">
        <v>424</v>
      </c>
      <c r="C108" s="64"/>
      <c r="D108" s="206"/>
      <c r="E108" s="206"/>
      <c r="F108" s="64"/>
      <c r="G108" s="64"/>
      <c r="H108" s="64" t="s">
        <v>4059</v>
      </c>
      <c r="I108" s="64"/>
      <c r="J108" s="64"/>
      <c r="K108" s="64" t="s">
        <v>4094</v>
      </c>
      <c r="L108" s="64" t="s">
        <v>4061</v>
      </c>
      <c r="M108" s="64"/>
      <c r="N108" s="64" t="s">
        <v>4042</v>
      </c>
      <c r="O108" s="207"/>
      <c r="P108" s="206"/>
      <c r="Q108" s="206" t="s">
        <v>4095</v>
      </c>
      <c r="R108" s="64" t="s">
        <v>4062</v>
      </c>
      <c r="S108" s="208"/>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134"/>
      <c r="BD108" s="134"/>
      <c r="BE108" s="134"/>
      <c r="BF108" s="134"/>
      <c r="BG108" s="134"/>
      <c r="BH108" s="134"/>
      <c r="BI108" s="134"/>
      <c r="BJ108" s="134"/>
      <c r="BK108" s="134"/>
      <c r="BL108" s="134"/>
      <c r="BM108" s="134"/>
      <c r="BN108" s="134"/>
      <c r="BO108" s="134"/>
      <c r="BP108" s="134"/>
      <c r="BQ108" s="134"/>
      <c r="BR108" s="134"/>
      <c r="BS108" s="134"/>
      <c r="BT108" s="134"/>
      <c r="BU108" s="134"/>
      <c r="BV108" s="134"/>
      <c r="BW108" s="131" t="str">
        <f t="shared" si="1"/>
        <v>OPlancher lisse avec bande antidérapante sur les côtés (CU : -9 kg)Plancher intermédiaire complet amovible - Hauteur à définir  (CU : -8  kg)1 niveau de rail d'arrimage en acier galvanisé droite + gauche axé a 500 mm du plancher (-26 mm de largeur utile) - (CU : -8 kg) - Pas de rails sur la porte latérale coulissante1 Barre d'étai (CU : -9 kg)Rideau d'air arrière (CU : -10 kg) 1 étagère D + G profondeur 400 mm - Hauteur à définir  (CU : -18 kg)</v>
      </c>
    </row>
    <row r="109" spans="1:75" s="68" customFormat="1" ht="56.25" outlineLevel="1" x14ac:dyDescent="0.25">
      <c r="A109" s="69" t="s">
        <v>4251</v>
      </c>
      <c r="B109" s="64" t="s">
        <v>424</v>
      </c>
      <c r="C109" s="64"/>
      <c r="D109" s="206"/>
      <c r="E109" s="206"/>
      <c r="F109" s="64"/>
      <c r="G109" s="64"/>
      <c r="H109" s="64" t="s">
        <v>4059</v>
      </c>
      <c r="I109" s="64"/>
      <c r="J109" s="64"/>
      <c r="K109" s="64" t="s">
        <v>4094</v>
      </c>
      <c r="L109" s="64" t="s">
        <v>4061</v>
      </c>
      <c r="M109" s="64" t="s">
        <v>4096</v>
      </c>
      <c r="N109" s="64" t="s">
        <v>4042</v>
      </c>
      <c r="O109" s="206" t="s">
        <v>4097</v>
      </c>
      <c r="P109" s="206"/>
      <c r="Q109" s="206" t="s">
        <v>4095</v>
      </c>
      <c r="R109" s="64" t="s">
        <v>4062</v>
      </c>
      <c r="S109" s="208"/>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134"/>
      <c r="BD109" s="134"/>
      <c r="BE109" s="134"/>
      <c r="BF109" s="134"/>
      <c r="BG109" s="134"/>
      <c r="BH109" s="134"/>
      <c r="BI109" s="134"/>
      <c r="BJ109" s="134"/>
      <c r="BK109" s="134"/>
      <c r="BL109" s="134"/>
      <c r="BM109" s="134"/>
      <c r="BN109" s="134"/>
      <c r="BO109" s="134"/>
      <c r="BP109" s="134"/>
      <c r="BQ109" s="134"/>
      <c r="BR109" s="134"/>
      <c r="BS109" s="134"/>
      <c r="BT109" s="134"/>
      <c r="BU109" s="134"/>
      <c r="BV109" s="134"/>
      <c r="BW109" s="131" t="str">
        <f t="shared" si="1"/>
        <v>OPlancher lisse avec bande antidérapante sur les côtés (CU : -9 kg)Plancher intermédiaire complet amovible - Hauteur à définir  (CU : -8  kg)1 niveau de rail d'arrimage en acier galvanisé droite + gauche axé a 500 mm du plancher (-26 mm de largeur utile) - (CU : -8 kg) - Pas de rails sur la porte latérale coulissante2 niveaux de rails d'arrimage en acier galvanisé droite + gauche  - Hauteur à définir (-26 mm de largeur utile) - (CU : -16 kg) - Pas de rails sur la porte latérale coulissante1 Barre d'étai (CU : -9 kg)1 rideau fixe à lanières aux portes arrières (CU : -8 kg) Rideau d'air arrière (CU : -10 kg) 1 étagère D + G profondeur 400 mm - Hauteur à définir  (CU : -18 kg)</v>
      </c>
    </row>
    <row r="110" spans="1:75" s="68" customFormat="1" ht="67.5" customHeight="1" outlineLevel="1" x14ac:dyDescent="0.25">
      <c r="A110" s="69" t="s">
        <v>4252</v>
      </c>
      <c r="B110" s="64" t="s">
        <v>424</v>
      </c>
      <c r="C110" s="64"/>
      <c r="D110" s="64"/>
      <c r="E110" s="64"/>
      <c r="F110" s="64"/>
      <c r="G110" s="64"/>
      <c r="H110" s="64" t="s">
        <v>4075</v>
      </c>
      <c r="I110" s="64"/>
      <c r="J110" s="64"/>
      <c r="K110" s="64" t="s">
        <v>4076</v>
      </c>
      <c r="L110" s="64" t="s">
        <v>4077</v>
      </c>
      <c r="M110" s="64" t="s">
        <v>4098</v>
      </c>
      <c r="N110" s="64" t="s">
        <v>4042</v>
      </c>
      <c r="O110" s="64"/>
      <c r="P110" s="64"/>
      <c r="Q110" s="64"/>
      <c r="R110" s="64" t="s">
        <v>4099</v>
      </c>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70"/>
      <c r="AW110" s="64"/>
      <c r="AX110" s="64"/>
      <c r="AY110" s="64"/>
      <c r="AZ110" s="69"/>
      <c r="BA110" s="64"/>
      <c r="BB110" s="64"/>
      <c r="BC110" s="134"/>
      <c r="BD110" s="134"/>
      <c r="BE110" s="134"/>
      <c r="BF110" s="134"/>
      <c r="BG110" s="134"/>
      <c r="BH110" s="134"/>
      <c r="BI110" s="134"/>
      <c r="BJ110" s="134"/>
      <c r="BK110" s="134"/>
      <c r="BL110" s="134"/>
      <c r="BM110" s="134"/>
      <c r="BN110" s="134"/>
      <c r="BO110" s="134"/>
      <c r="BP110" s="134"/>
      <c r="BQ110" s="134"/>
      <c r="BR110" s="134"/>
      <c r="BS110" s="134"/>
      <c r="BT110" s="134"/>
      <c r="BU110" s="134"/>
      <c r="BV110" s="134"/>
      <c r="BW110" s="131" t="str">
        <f t="shared" si="1"/>
        <v>OPlancher lisse avec bande antidérapante  (CU : -11 kg)Plancher intermédiaire complet  avec porte latérale - Hauteur à définir  (CU : - 44 kg)1 niveau de rail d'arrimage en acier galvanisé droite + gauche - Hauteur à définir (-18 mm de largeur utile) - (CU : -11 kg) - Pas de rails sur la porte latérale coulissante2 niveaux de rail d'arrimage en acier galvanisé droite + gauche - Hauteur à définir (-18 mm de largeur utile) - (CU : - 22 kg) - Pas de rails sur la porte latérale coulissante1 Barre d'étai (CU : -9 kg)1 étagère D + G profondeur 400 mm - Hauteur à définir (CU : -24 kg)</v>
      </c>
    </row>
    <row r="111" spans="1:75" s="68" customFormat="1" ht="67.5" customHeight="1" outlineLevel="1" x14ac:dyDescent="0.25">
      <c r="A111" s="69" t="s">
        <v>4253</v>
      </c>
      <c r="B111" s="64" t="s">
        <v>424</v>
      </c>
      <c r="C111" s="64"/>
      <c r="D111" s="64"/>
      <c r="E111" s="64"/>
      <c r="F111" s="64"/>
      <c r="G111" s="64"/>
      <c r="H111" s="64" t="s">
        <v>4075</v>
      </c>
      <c r="I111" s="64"/>
      <c r="J111" s="64"/>
      <c r="K111" s="64" t="s">
        <v>4076</v>
      </c>
      <c r="L111" s="64" t="s">
        <v>4077</v>
      </c>
      <c r="M111" s="64" t="s">
        <v>4098</v>
      </c>
      <c r="N111" s="64" t="s">
        <v>4042</v>
      </c>
      <c r="O111" s="64" t="s">
        <v>3842</v>
      </c>
      <c r="P111" s="64" t="s">
        <v>4070</v>
      </c>
      <c r="Q111" s="64" t="s">
        <v>4074</v>
      </c>
      <c r="R111" s="64" t="s">
        <v>4099</v>
      </c>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70"/>
      <c r="AW111" s="64"/>
      <c r="AX111" s="64"/>
      <c r="AY111" s="64"/>
      <c r="AZ111" s="69"/>
      <c r="BA111" s="64"/>
      <c r="BB111" s="64"/>
      <c r="BC111" s="134"/>
      <c r="BD111" s="134"/>
      <c r="BE111" s="134"/>
      <c r="BF111" s="134"/>
      <c r="BG111" s="134"/>
      <c r="BH111" s="134"/>
      <c r="BI111" s="134"/>
      <c r="BJ111" s="134"/>
      <c r="BK111" s="134"/>
      <c r="BL111" s="134"/>
      <c r="BM111" s="134"/>
      <c r="BN111" s="134"/>
      <c r="BO111" s="134"/>
      <c r="BP111" s="134"/>
      <c r="BQ111" s="134"/>
      <c r="BR111" s="134"/>
      <c r="BS111" s="134"/>
      <c r="BT111" s="134"/>
      <c r="BU111" s="134"/>
      <c r="BV111" s="134"/>
      <c r="BW111" s="131" t="str">
        <f t="shared" si="1"/>
        <v>OPlancher lisse avec bande antidérapante  (CU : -11 kg)Plancher intermédiaire complet  avec porte latérale - Hauteur à définir  (CU : - 44 kg)1 niveau de rail d'arrimage en acier galvanisé droite + gauche - Hauteur à définir (-18 mm de largeur utile) - (CU : -11 kg) - Pas de rails sur la porte latérale coulissante2 niveaux de rail d'arrimage en acier galvanisé droite + gauche - Hauteur à définir (-18 mm de largeur utile) - (CU : - 22 kg) - Pas de rails sur la porte latérale coulissante1 Barre d'étai (CU : -9 kg)(   ) : Rideau à lanière sur les portes arrière (CU : -10 kg)1 rideau fixe à lanières à la porte latérale (CU : -6 kg) - Oblige porte latérale1 rideau d’air sur porte arrière (CU : -10 kg)1 étagère D + G profondeur 400 mm - Hauteur à définir (CU : -24 kg)</v>
      </c>
    </row>
    <row r="112" spans="1:75" s="68" customFormat="1" ht="67.5" customHeight="1" outlineLevel="1" x14ac:dyDescent="0.25">
      <c r="A112" s="69" t="s">
        <v>4254</v>
      </c>
      <c r="B112" s="64" t="s">
        <v>424</v>
      </c>
      <c r="C112" s="64"/>
      <c r="D112" s="64"/>
      <c r="E112" s="64"/>
      <c r="F112" s="64"/>
      <c r="G112" s="64"/>
      <c r="H112" s="64" t="s">
        <v>4075</v>
      </c>
      <c r="I112" s="64"/>
      <c r="J112" s="64"/>
      <c r="K112" s="64" t="s">
        <v>4100</v>
      </c>
      <c r="L112" s="64" t="s">
        <v>4101</v>
      </c>
      <c r="M112" s="64" t="s">
        <v>4102</v>
      </c>
      <c r="N112" s="64" t="s">
        <v>4042</v>
      </c>
      <c r="O112" s="64" t="s">
        <v>3842</v>
      </c>
      <c r="P112" s="64" t="s">
        <v>4070</v>
      </c>
      <c r="Q112" s="64" t="s">
        <v>4074</v>
      </c>
      <c r="R112" s="64" t="s">
        <v>4103</v>
      </c>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70"/>
      <c r="AW112" s="64"/>
      <c r="AX112" s="64"/>
      <c r="AY112" s="64"/>
      <c r="AZ112" s="69"/>
      <c r="BA112" s="64"/>
      <c r="BB112" s="64"/>
      <c r="BC112" s="134"/>
      <c r="BD112" s="134"/>
      <c r="BE112" s="134"/>
      <c r="BF112" s="134"/>
      <c r="BG112" s="134"/>
      <c r="BH112" s="134"/>
      <c r="BI112" s="134"/>
      <c r="BJ112" s="134"/>
      <c r="BK112" s="134"/>
      <c r="BL112" s="134"/>
      <c r="BM112" s="134"/>
      <c r="BN112" s="134"/>
      <c r="BO112" s="134"/>
      <c r="BP112" s="134"/>
      <c r="BQ112" s="134"/>
      <c r="BR112" s="134"/>
      <c r="BS112" s="134"/>
      <c r="BT112" s="134"/>
      <c r="BU112" s="134"/>
      <c r="BV112" s="134"/>
      <c r="BW112" s="131" t="str">
        <f t="shared" si="1"/>
        <v>OPlancher lisse avec bande antidérapante  (CU : -11 kg)Plancher intermédiaire complet  avec porte latérale - Hauteur à définir  (CU : - 55 kg)1 niveau de rail d'arrimage en acier galvanisé droite + gauche axé à 800 mm du plancher(-18 mm de largeur utile) - (CU : -13 kg) - Pas de rails sur la porte latérale coulissante2 niveaux de rail d'arrimage en acier galvanisé droite + gauche axés à 700 mm et 900 mm du plancher (-18 mm de largeur utile) - (CU : - 26 kg) - Pas de rails sur la porte latérale coulissante1 Barre d'étai (CU : -9 kg)(   ) : Rideau à lanière sur les portes arrière (CU : -10 kg)1 rideau fixe à lanières à la porte latérale (CU : -6 kg) - Oblige porte latérale1 rideau d’air sur porte arrière (CU : -10 kg)1 étagère D + G profondeur 400 mm - Hauteur à définir (CU : -29 kg)</v>
      </c>
    </row>
    <row r="113" spans="1:75" s="68" customFormat="1" ht="67.5" outlineLevel="1" x14ac:dyDescent="0.25">
      <c r="A113" s="69" t="s">
        <v>4255</v>
      </c>
      <c r="B113" s="64" t="s">
        <v>424</v>
      </c>
      <c r="C113" s="64"/>
      <c r="D113" s="206"/>
      <c r="E113" s="64" t="s">
        <v>4064</v>
      </c>
      <c r="F113" s="64"/>
      <c r="G113" s="64"/>
      <c r="H113" s="64"/>
      <c r="I113" s="64"/>
      <c r="J113" s="64" t="s">
        <v>4066</v>
      </c>
      <c r="K113" s="64" t="s">
        <v>4067</v>
      </c>
      <c r="L113" s="64" t="s">
        <v>4104</v>
      </c>
      <c r="M113" s="64" t="s">
        <v>4069</v>
      </c>
      <c r="N113" s="64" t="s">
        <v>4042</v>
      </c>
      <c r="O113" s="64"/>
      <c r="P113" s="64" t="s">
        <v>4070</v>
      </c>
      <c r="Q113" s="64" t="s">
        <v>4074</v>
      </c>
      <c r="R113" s="64" t="s">
        <v>4071</v>
      </c>
      <c r="S113" s="64" t="s">
        <v>4072</v>
      </c>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134"/>
      <c r="BD113" s="134"/>
      <c r="BE113" s="134"/>
      <c r="BF113" s="134"/>
      <c r="BG113" s="134"/>
      <c r="BH113" s="134"/>
      <c r="BI113" s="134"/>
      <c r="BJ113" s="134"/>
      <c r="BK113" s="134"/>
      <c r="BL113" s="134"/>
      <c r="BM113" s="134"/>
      <c r="BN113" s="134"/>
      <c r="BO113" s="134"/>
      <c r="BP113" s="134"/>
      <c r="BQ113" s="134"/>
      <c r="BR113" s="134"/>
      <c r="BS113" s="134"/>
      <c r="BT113" s="134"/>
      <c r="BU113" s="134"/>
      <c r="BV113" s="134"/>
      <c r="BW113" s="131" t="str">
        <f t="shared" si="1"/>
        <v>OPorte latérale battante (CU : -27 kg)Plancher intermédiaire complet sans porte latérale  (CU : -55 kg)Plancher intermédiaire complet avec  porte latérale  (CU : -82 kg)1 niveau de rail d'arrimage en acier galvanisé droite + gauche axé à 800 mm du plancher(-18 mm de largeur utile) - (CU : -13 kg)2 niveaux de rail d'arrimage en acier galvanisé droite + gauche axés à 700 mm et 1100 mm du plancher (-18 mm de largeur utile) - (CU : -26 kg)1 Barre d'étai (CU : -9 kg)1 rideau fixe à lanières à la porte latérale (CU : -6 kg) - Oblige porte latérale1 rideau d’air sur porte arrière (CU : -10 kg)1 étagère D + G profondeur 400 mm à 900 mm du plancher (CU : -30 kg)2 étagères D + G profondeur 400 mm à 900 mm et 1200 mm du plancher (CU : -46 kg)</v>
      </c>
    </row>
    <row r="114" spans="1:75" s="68" customFormat="1" ht="56.25" customHeight="1" outlineLevel="1" x14ac:dyDescent="0.25">
      <c r="A114" s="64" t="s">
        <v>4256</v>
      </c>
      <c r="B114" s="64" t="s">
        <v>424</v>
      </c>
      <c r="C114" s="64"/>
      <c r="D114" s="64"/>
      <c r="E114" s="64"/>
      <c r="F114" s="64" t="s">
        <v>4105</v>
      </c>
      <c r="G114" s="64" t="s">
        <v>4106</v>
      </c>
      <c r="H114" s="64" t="s">
        <v>4107</v>
      </c>
      <c r="I114" s="64"/>
      <c r="J114" s="64"/>
      <c r="K114" s="64" t="s">
        <v>4108</v>
      </c>
      <c r="L114" s="64" t="s">
        <v>4109</v>
      </c>
      <c r="M114" s="64" t="s">
        <v>4110</v>
      </c>
      <c r="N114" s="64" t="s">
        <v>4042</v>
      </c>
      <c r="O114" s="207"/>
      <c r="P114" s="64"/>
      <c r="Q114" s="64"/>
      <c r="R114" s="64" t="s">
        <v>4111</v>
      </c>
      <c r="S114" s="207" t="s">
        <v>4112</v>
      </c>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134"/>
      <c r="BD114" s="134"/>
      <c r="BE114" s="134"/>
      <c r="BF114" s="134"/>
      <c r="BG114" s="134"/>
      <c r="BH114" s="134"/>
      <c r="BI114" s="134"/>
      <c r="BJ114" s="134"/>
      <c r="BK114" s="134"/>
      <c r="BL114" s="134"/>
      <c r="BM114" s="134"/>
      <c r="BN114" s="134"/>
      <c r="BO114" s="134"/>
      <c r="BP114" s="134"/>
      <c r="BQ114" s="134"/>
      <c r="BR114" s="134"/>
      <c r="BS114" s="134"/>
      <c r="BT114" s="134"/>
      <c r="BU114" s="134"/>
      <c r="BV114" s="134"/>
      <c r="BW114" s="131" t="str">
        <f t="shared" si="1"/>
        <v>OMarchepied latérale retractable buzzer en cabine (CU : -15 kg)Marchepied latérale rétractable + buzzer en cabine (-15 kg) Plancher lisse avec bande antidérapante sur les côtésPlancher intermediaire complet  (avec porte latérale) - (CU : -66 kg)1 niveau de rail d'arrimage DR + GA axé à 800 mm du plancher (-26 mm de largeur utile) - (CU : -15 kg)2 niveaux de rail d'arrimage DR + GA axés à 700 mm et 1100 mm du plancher (-26 mm de largeur utile) - (CU : -30 kg)1 Barre d'étai (CU : -9 kg)1 étagère D + G profondeur 400 mm - Hauteur à définir (CU : -36 kg)2 étagères D + G profondeur 400 mm - Hauteur à définir (CU : -62 kg)</v>
      </c>
    </row>
    <row r="115" spans="1:75" s="68" customFormat="1" ht="67.5" customHeight="1" outlineLevel="1" x14ac:dyDescent="0.25">
      <c r="A115" s="72" t="s">
        <v>4257</v>
      </c>
      <c r="B115" s="64" t="s">
        <v>424</v>
      </c>
      <c r="C115" s="64"/>
      <c r="D115" s="64" t="s">
        <v>4113</v>
      </c>
      <c r="E115" s="64" t="s">
        <v>4114</v>
      </c>
      <c r="F115" s="64"/>
      <c r="G115" s="64" t="s">
        <v>4115</v>
      </c>
      <c r="H115" s="64" t="s">
        <v>4107</v>
      </c>
      <c r="I115" s="64"/>
      <c r="J115" s="64" t="s">
        <v>4116</v>
      </c>
      <c r="K115" s="64" t="s">
        <v>4117</v>
      </c>
      <c r="L115" s="64" t="s">
        <v>4118</v>
      </c>
      <c r="M115" s="64" t="s">
        <v>4083</v>
      </c>
      <c r="N115" s="64" t="s">
        <v>4042</v>
      </c>
      <c r="O115" s="64" t="s">
        <v>4119</v>
      </c>
      <c r="P115" s="64" t="s">
        <v>4120</v>
      </c>
      <c r="Q115" s="64" t="s">
        <v>4121</v>
      </c>
      <c r="R115" s="64" t="s">
        <v>4122</v>
      </c>
      <c r="S115" s="64" t="s">
        <v>4123</v>
      </c>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70"/>
      <c r="AW115" s="64"/>
      <c r="AX115" s="64"/>
      <c r="AY115" s="64"/>
      <c r="AZ115" s="64"/>
      <c r="BA115" s="64"/>
      <c r="BB115" s="64"/>
      <c r="BC115" s="134"/>
      <c r="BD115" s="134"/>
      <c r="BE115" s="134"/>
      <c r="BF115" s="134"/>
      <c r="BG115" s="134"/>
      <c r="BH115" s="134"/>
      <c r="BI115" s="134"/>
      <c r="BJ115" s="134"/>
      <c r="BK115" s="134"/>
      <c r="BL115" s="134"/>
      <c r="BM115" s="134"/>
      <c r="BN115" s="134"/>
      <c r="BO115" s="134"/>
      <c r="BP115" s="134"/>
      <c r="BQ115" s="134"/>
      <c r="BR115" s="134"/>
      <c r="BS115" s="134"/>
      <c r="BT115" s="134"/>
      <c r="BU115" s="134"/>
      <c r="BV115" s="134"/>
      <c r="BW115" s="131" t="str">
        <f t="shared" si="1"/>
        <v>O Cadre arrière 3 vantaux ( -4 kg)  Porte latérale battante (-27 kg) Marchepied latérale rétractable + buzzer en cabine (-10 kg) Plancher lisse avec bande antidérapante sur les côtésPlancher intermédiaire complet amovible (sans porte latérale) - (CU : - 55 kg)Plancher intermédiaire complet amovible (avec porte latérale) - (CU : - 82 kg)1 niveau de rail d'arrimage en acier galvanisé droite + gauche - Hauteur à définir (-26 mm de largeur utile) - (CU : -12 kg)2 niveaux de rails d'arrimage en acier galvanisé droite + gauche - hauteur à définir (-26 mm de largeur utile) - (CU : - 24 kg) - Pas de rails sur la porte latérale coulissante1 Barre d'étai (CU : -9 kg)1 rideau fixe à lanières aux portes arrières  (CU : -10 kg) 1 rideau fixe à lanières sur la porte latérale   (CU : - 6 kg) - oblige porte latérale1 rideau d’air sur la porte arrière (CU : -10 kg)1 étagère D + G profondeur 400 mm - hauteur à définir (CU : -35 kg)2 étagères D + G profondeur 400 mm - hauteur à définir (CU : -57 kg)</v>
      </c>
    </row>
    <row r="116" spans="1:75" s="68" customFormat="1" ht="67.5" customHeight="1" outlineLevel="1" x14ac:dyDescent="0.25">
      <c r="A116" s="69" t="s">
        <v>4258</v>
      </c>
      <c r="B116" s="64" t="s">
        <v>424</v>
      </c>
      <c r="C116" s="64"/>
      <c r="D116" s="64"/>
      <c r="E116" s="64"/>
      <c r="F116" s="64"/>
      <c r="G116" s="64"/>
      <c r="H116" s="64" t="s">
        <v>4124</v>
      </c>
      <c r="I116" s="64"/>
      <c r="J116" s="64"/>
      <c r="K116" s="64" t="s">
        <v>4081</v>
      </c>
      <c r="L116" s="64" t="s">
        <v>4082</v>
      </c>
      <c r="M116" s="64" t="s">
        <v>4125</v>
      </c>
      <c r="N116" s="64" t="s">
        <v>4042</v>
      </c>
      <c r="O116" s="64" t="s">
        <v>4119</v>
      </c>
      <c r="P116" s="64" t="s">
        <v>4126</v>
      </c>
      <c r="Q116" s="64" t="s">
        <v>4127</v>
      </c>
      <c r="R116" s="64" t="s">
        <v>4084</v>
      </c>
      <c r="S116" s="64"/>
      <c r="T116" s="64"/>
      <c r="U116" s="64"/>
      <c r="V116" s="64"/>
      <c r="W116" s="64"/>
      <c r="X116" s="64"/>
      <c r="Y116" s="64"/>
      <c r="Z116" s="64"/>
      <c r="AA116" s="64"/>
      <c r="AB116" s="64"/>
      <c r="AC116" s="64"/>
      <c r="AD116" s="64"/>
      <c r="AE116" s="64"/>
      <c r="AF116" s="64"/>
      <c r="AG116" s="64"/>
      <c r="AH116" s="64"/>
      <c r="AI116" s="64"/>
      <c r="AJ116" s="64"/>
      <c r="AK116" s="64" t="s">
        <v>4128</v>
      </c>
      <c r="AL116" s="64"/>
      <c r="AM116" s="64"/>
      <c r="AN116" s="64"/>
      <c r="AO116" s="64"/>
      <c r="AP116" s="64"/>
      <c r="AQ116" s="64"/>
      <c r="AR116" s="64"/>
      <c r="AS116" s="64"/>
      <c r="AT116" s="64"/>
      <c r="AU116" s="64"/>
      <c r="AV116" s="64"/>
      <c r="AW116" s="64"/>
      <c r="AX116" s="64"/>
      <c r="AY116" s="64"/>
      <c r="AZ116" s="64"/>
      <c r="BA116" s="64"/>
      <c r="BB116" s="64"/>
      <c r="BC116" s="134"/>
      <c r="BD116" s="134"/>
      <c r="BE116" s="134"/>
      <c r="BF116" s="134"/>
      <c r="BG116" s="134"/>
      <c r="BH116" s="134"/>
      <c r="BI116" s="134"/>
      <c r="BJ116" s="134"/>
      <c r="BK116" s="134"/>
      <c r="BL116" s="134"/>
      <c r="BM116" s="134"/>
      <c r="BN116" s="134"/>
      <c r="BO116" s="134"/>
      <c r="BP116" s="134"/>
      <c r="BQ116" s="134"/>
      <c r="BR116" s="134"/>
      <c r="BS116" s="134"/>
      <c r="BT116" s="134"/>
      <c r="BU116" s="134"/>
      <c r="BV116" s="134"/>
      <c r="BW116" s="131" t="str">
        <f t="shared" si="1"/>
        <v>OPlancher lisse avec bande antidèrapant sur les côtés (CU : - 11 kg)Plancher intermédiaire complet amovible (avec porte latérale) -  (CU : -44 kg)1 niveau de rail d'arrimage en acier galvanisé droite + gauche - Hauteur à définir (-26 mm de largeur utile) - (CU : -12 kg) - Pas de rails sur la porte latérale coulissante2 niveaux de rails d'arrimage en acier galvanisé droite + gauche - hauteur à définir (-26 mm de largeur utile) - (CU : - 28 kg) - Pas de rails sur la porte latérale coulissante1 Barre d'étai (CU : -9 kg)1 rideau fixe à lanières aux portes arrières  (CU : -10 kg) 1 rideau fixe à lanières sur la porte latérale   (CU : - 6 kg)1 rideau d’air sur les portes arrière (CU : -10 kg)1 étagère D + G profondeur 400 mm - hauteur à définir (CU : -26 kg)buzzer cabine</v>
      </c>
    </row>
    <row r="117" spans="1:75" s="68" customFormat="1" ht="67.5" customHeight="1" outlineLevel="1" x14ac:dyDescent="0.25">
      <c r="A117" s="69" t="s">
        <v>4259</v>
      </c>
      <c r="B117" s="64" t="s">
        <v>424</v>
      </c>
      <c r="C117" s="64"/>
      <c r="D117" s="64"/>
      <c r="E117" s="64"/>
      <c r="F117" s="64"/>
      <c r="G117" s="64"/>
      <c r="H117" s="64" t="s">
        <v>4129</v>
      </c>
      <c r="I117" s="64"/>
      <c r="J117" s="64"/>
      <c r="K117" s="64" t="s">
        <v>4130</v>
      </c>
      <c r="L117" s="64" t="s">
        <v>4131</v>
      </c>
      <c r="M117" s="64" t="s">
        <v>4083</v>
      </c>
      <c r="N117" s="64" t="s">
        <v>4042</v>
      </c>
      <c r="O117" s="64" t="s">
        <v>4119</v>
      </c>
      <c r="P117" s="64" t="s">
        <v>4126</v>
      </c>
      <c r="Q117" s="64" t="s">
        <v>4127</v>
      </c>
      <c r="R117" s="64" t="s">
        <v>4132</v>
      </c>
      <c r="S117" s="64"/>
      <c r="T117" s="64"/>
      <c r="U117" s="64"/>
      <c r="V117" s="64"/>
      <c r="W117" s="64"/>
      <c r="X117" s="64"/>
      <c r="Y117" s="64"/>
      <c r="Z117" s="64"/>
      <c r="AA117" s="64"/>
      <c r="AB117" s="64"/>
      <c r="AC117" s="64"/>
      <c r="AD117" s="64"/>
      <c r="AE117" s="64"/>
      <c r="AF117" s="64"/>
      <c r="AG117" s="64"/>
      <c r="AH117" s="64"/>
      <c r="AI117" s="64"/>
      <c r="AJ117" s="64"/>
      <c r="AK117" s="64" t="s">
        <v>4128</v>
      </c>
      <c r="AL117" s="64"/>
      <c r="AM117" s="64"/>
      <c r="AN117" s="64"/>
      <c r="AO117" s="64"/>
      <c r="AP117" s="64"/>
      <c r="AQ117" s="64"/>
      <c r="AR117" s="64"/>
      <c r="AS117" s="64"/>
      <c r="AT117" s="64"/>
      <c r="AU117" s="64"/>
      <c r="AV117" s="64"/>
      <c r="AW117" s="64"/>
      <c r="AX117" s="64"/>
      <c r="AY117" s="64"/>
      <c r="AZ117" s="64"/>
      <c r="BA117" s="64"/>
      <c r="BB117" s="64"/>
      <c r="BC117" s="134"/>
      <c r="BD117" s="134"/>
      <c r="BE117" s="134"/>
      <c r="BF117" s="134"/>
      <c r="BG117" s="134"/>
      <c r="BH117" s="134"/>
      <c r="BI117" s="134"/>
      <c r="BJ117" s="134"/>
      <c r="BK117" s="134"/>
      <c r="BL117" s="134"/>
      <c r="BM117" s="134"/>
      <c r="BN117" s="134"/>
      <c r="BO117" s="134"/>
      <c r="BP117" s="134"/>
      <c r="BQ117" s="134"/>
      <c r="BR117" s="134"/>
      <c r="BS117" s="134"/>
      <c r="BT117" s="134"/>
      <c r="BU117" s="134"/>
      <c r="BV117" s="134"/>
      <c r="BW117" s="131" t="str">
        <f t="shared" si="1"/>
        <v>OPlancher lisse avec bande antidèrapant sur les côtés (CU : - 13 kg)Plancher intermédiaire complet amovible (avec porte latérale) -  (CU : -55 kg)1 niveau de rail d'arrimage en acier galvanisé droite + gauche (-26 mm de largeur utile) - (CU : -14 kg) - Pas de rails sur la porte latérale coulissante2 niveaux de rails d'arrimage en acier galvanisé droite + gauche - hauteur à définir (-26 mm de largeur utile) - (CU : - 24 kg) - Pas de rails sur la porte latérale coulissante1 Barre d'étai (CU : -9 kg)1 rideau fixe à lanières aux portes arrières  (CU : -10 kg) 1 rideau fixe à lanières sur la porte latérale   (CU : - 6 kg)1 rideau d’air sur les portes arrière (CU : -10 kg)1 étagère D + G profondeur 400 mm - hauteur à définir (CU : -31 kg)buzzer cabine</v>
      </c>
    </row>
    <row r="118" spans="1:75" s="68" customFormat="1" ht="45" outlineLevel="1" x14ac:dyDescent="0.25">
      <c r="A118" s="69" t="s">
        <v>3627</v>
      </c>
      <c r="B118" s="64" t="s">
        <v>32</v>
      </c>
      <c r="C118" s="64" t="s">
        <v>1831</v>
      </c>
      <c r="D118" s="64" t="s">
        <v>1863</v>
      </c>
      <c r="E118" s="64"/>
      <c r="F118" s="64" t="s">
        <v>1851</v>
      </c>
      <c r="G118" s="64"/>
      <c r="H118" s="64" t="s">
        <v>3843</v>
      </c>
      <c r="I118" s="64"/>
      <c r="J118" s="64" t="s">
        <v>1853</v>
      </c>
      <c r="K118" s="64"/>
      <c r="L118" s="64"/>
      <c r="M118" s="64"/>
      <c r="N118" s="64"/>
      <c r="O118" s="64" t="s">
        <v>3844</v>
      </c>
      <c r="P118" s="64"/>
      <c r="Q118" s="64"/>
      <c r="R118" s="64"/>
      <c r="S118" s="64" t="s">
        <v>3796</v>
      </c>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70"/>
      <c r="AR118" s="64"/>
      <c r="AS118" s="64"/>
      <c r="AT118" s="64"/>
      <c r="AU118" s="64"/>
      <c r="AV118" s="70"/>
      <c r="AW118" s="64"/>
      <c r="AX118" s="64"/>
      <c r="AY118" s="64"/>
      <c r="AZ118" s="64"/>
      <c r="BA118" s="64"/>
      <c r="BB118" s="64"/>
      <c r="BC118" s="134"/>
      <c r="BD118" s="134"/>
      <c r="BE118" s="134"/>
      <c r="BF118" s="134"/>
      <c r="BG118" s="134"/>
      <c r="BH118" s="134"/>
      <c r="BI118" s="134"/>
      <c r="BJ118" s="134"/>
      <c r="BK118" s="134"/>
      <c r="BL118" s="134"/>
      <c r="BM118" s="134"/>
      <c r="BN118" s="134"/>
      <c r="BO118" s="134"/>
      <c r="BP118" s="134"/>
      <c r="BQ118" s="134"/>
      <c r="BR118" s="134"/>
      <c r="BS118" s="134"/>
      <c r="BT118" s="134"/>
      <c r="BU118" s="134"/>
      <c r="BV118" s="134"/>
      <c r="BW118" s="131" t="str">
        <f t="shared" si="1"/>
        <v>PIsolation renforcée LECAPITAINE2 portes arrière 1100 mm x 1880 mmMarchepied fixe 1 marchePlancher : Antidérapant avec passages de roues (largeur entre passages de roues : 1270 mm) avec 2 siphons d'évacuation1 plafonnier à LED avec temporisationRideaux à lanières fixe portes arrières Protection bas de parois sur 240 mm de haut</v>
      </c>
    </row>
    <row r="119" spans="1:75" s="68" customFormat="1" ht="90" outlineLevel="1" x14ac:dyDescent="0.25">
      <c r="A119" s="69" t="s">
        <v>4260</v>
      </c>
      <c r="B119" s="64" t="s">
        <v>424</v>
      </c>
      <c r="C119" s="64"/>
      <c r="D119" s="64" t="s">
        <v>4133</v>
      </c>
      <c r="E119" s="64" t="s">
        <v>3976</v>
      </c>
      <c r="F119" s="64" t="s">
        <v>4134</v>
      </c>
      <c r="G119" s="64"/>
      <c r="H119" s="64" t="s">
        <v>4065</v>
      </c>
      <c r="I119" s="64"/>
      <c r="J119" s="64" t="s">
        <v>4135</v>
      </c>
      <c r="K119" s="64" t="s">
        <v>4136</v>
      </c>
      <c r="L119" s="64" t="s">
        <v>4137</v>
      </c>
      <c r="M119" s="64" t="s">
        <v>4138</v>
      </c>
      <c r="N119" s="64" t="s">
        <v>4042</v>
      </c>
      <c r="O119" s="64"/>
      <c r="P119" s="64" t="s">
        <v>4139</v>
      </c>
      <c r="Q119" s="64" t="s">
        <v>4140</v>
      </c>
      <c r="R119" s="64" t="s">
        <v>4141</v>
      </c>
      <c r="S119" s="207" t="s">
        <v>4142</v>
      </c>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134"/>
      <c r="BD119" s="134"/>
      <c r="BE119" s="134"/>
      <c r="BF119" s="134"/>
      <c r="BG119" s="134"/>
      <c r="BH119" s="134"/>
      <c r="BI119" s="134"/>
      <c r="BJ119" s="134"/>
      <c r="BK119" s="134"/>
      <c r="BL119" s="134"/>
      <c r="BM119" s="134"/>
      <c r="BN119" s="134"/>
      <c r="BO119" s="134"/>
      <c r="BP119" s="134"/>
      <c r="BQ119" s="134"/>
      <c r="BR119" s="134"/>
      <c r="BS119" s="134"/>
      <c r="BT119" s="134"/>
      <c r="BU119" s="134"/>
      <c r="BV119" s="134"/>
      <c r="BW119" s="131" t="str">
        <f t="shared" si="1"/>
        <v>OCadre arrière 3 Vantaux - 1 Crémone (CU : -4 kg)Porte latérale battante 1000 mm à l'avant droit (CU : -27 kg)Porte latérale coulissante 1000 mm à l'avant droit (CU : -45 kg)Revêtement de sol lisse avec bande antidérapante sur le coté1 plancher intermédiaire complet  (sans porte latérale) (- 55 kg) 1 plancher intermédiaire complet  (avec porte latérale) (- 82 kg)1 niveau de rail d'arrimage DR + GA à 900 mm du plancher (-18 mm de largeur utile) - (CU : -16 kg) - Pas de rails sur la porte latérale coulissante2 niveaux de rail d'arrimage DR + GA axés à 800 mm et 1200 mm du plancher (-18 mm de largeur utile) - (CU : -32 kg) - Pas de rails sur la porte latérale coulissante1 Barre d'étai (CU : -9 kg)1 rideau fixe à lanières sur la porte latérale (CU : -6 kg) - Oblige porte latéraleRideau d’air arrière  (CU : - 2kg) 1 étagère D + G profondeur 500 mm à 1000 mm du plancher (CU : -37 kg)2 étagères D + G profondeur 500 mm à 1000 mm et 1300 mm du plancher (CU : -63 kg)</v>
      </c>
    </row>
    <row r="120" spans="1:75" s="68" customFormat="1" ht="67.5" outlineLevel="1" x14ac:dyDescent="0.25">
      <c r="A120" s="69" t="s">
        <v>4261</v>
      </c>
      <c r="B120" s="64" t="s">
        <v>424</v>
      </c>
      <c r="C120" s="64"/>
      <c r="D120" s="64" t="s">
        <v>4133</v>
      </c>
      <c r="E120" s="64"/>
      <c r="F120" s="64" t="s">
        <v>4143</v>
      </c>
      <c r="G120" s="64"/>
      <c r="H120" s="64" t="s">
        <v>4065</v>
      </c>
      <c r="I120" s="64"/>
      <c r="J120" s="64"/>
      <c r="K120" s="64"/>
      <c r="L120" s="64" t="s">
        <v>4137</v>
      </c>
      <c r="M120" s="64" t="s">
        <v>4138</v>
      </c>
      <c r="N120" s="64" t="s">
        <v>4042</v>
      </c>
      <c r="O120" s="64"/>
      <c r="P120" s="64"/>
      <c r="Q120" s="64" t="s">
        <v>4140</v>
      </c>
      <c r="R120" s="64" t="s">
        <v>4144</v>
      </c>
      <c r="S120" s="207" t="s">
        <v>4145</v>
      </c>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134"/>
      <c r="BD120" s="134"/>
      <c r="BE120" s="134"/>
      <c r="BF120" s="134"/>
      <c r="BG120" s="134"/>
      <c r="BH120" s="134"/>
      <c r="BI120" s="134"/>
      <c r="BJ120" s="134"/>
      <c r="BK120" s="134"/>
      <c r="BL120" s="134"/>
      <c r="BM120" s="134"/>
      <c r="BN120" s="134"/>
      <c r="BO120" s="134"/>
      <c r="BP120" s="134"/>
      <c r="BQ120" s="134"/>
      <c r="BR120" s="134"/>
      <c r="BS120" s="134"/>
      <c r="BT120" s="134"/>
      <c r="BU120" s="134"/>
      <c r="BV120" s="134"/>
      <c r="BW120" s="131" t="str">
        <f t="shared" si="1"/>
        <v>OCadre arrière 3 Vantaux - 1 Crémone (CU : -4 kg)Porte latérale coulissante 1000 mm à l'avant droit (CU : --18 kg)Revêtement de sol lisse avec bande antidérapante sur le coté1 niveau de rail d'arrimage DR + GA à 900 mm du plancher (-18 mm de largeur utile) - (CU : -16 kg) - Pas de rails sur la porte latérale coulissante2 niveaux de rail d'arrimage DR + GA axés à 800 mm et 1200 mm du plancher (-18 mm de largeur utile) - (CU : -32 kg) - Pas de rails sur la porte latérale coulissante1 Barre d'étai (CU : -9 kg)Rideau d’air arrière  (CU : - 2kg) 1 étagère D + G profondeur 500 mm à 1000 mm du plancher (CU : -30 kg)2 étagères D + G profondeur 500 mm à 1000 mm et 1300 mm du plancher (CU : -51 kg)</v>
      </c>
    </row>
    <row r="121" spans="1:75" s="68" customFormat="1" ht="101.25" outlineLevel="1" x14ac:dyDescent="0.25">
      <c r="A121" s="64" t="s">
        <v>4262</v>
      </c>
      <c r="B121" s="64" t="s">
        <v>424</v>
      </c>
      <c r="C121" s="64"/>
      <c r="D121" s="64" t="s">
        <v>4035</v>
      </c>
      <c r="E121" s="64" t="s">
        <v>3976</v>
      </c>
      <c r="F121" s="64" t="s">
        <v>4146</v>
      </c>
      <c r="G121" s="64" t="s">
        <v>4038</v>
      </c>
      <c r="H121" s="64" t="s">
        <v>4039</v>
      </c>
      <c r="I121" s="64" t="s">
        <v>4040</v>
      </c>
      <c r="J121" s="64" t="s">
        <v>4147</v>
      </c>
      <c r="K121" s="64" t="s">
        <v>4148</v>
      </c>
      <c r="L121" s="64" t="s">
        <v>4149</v>
      </c>
      <c r="M121" s="64" t="s">
        <v>4150</v>
      </c>
      <c r="N121" s="64" t="s">
        <v>4042</v>
      </c>
      <c r="O121" s="64" t="s">
        <v>4054</v>
      </c>
      <c r="P121" s="64" t="s">
        <v>4070</v>
      </c>
      <c r="Q121" s="64" t="s">
        <v>4049</v>
      </c>
      <c r="R121" s="64" t="s">
        <v>4151</v>
      </c>
      <c r="S121" s="64" t="s">
        <v>3971</v>
      </c>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134"/>
      <c r="BD121" s="134"/>
      <c r="BE121" s="134"/>
      <c r="BF121" s="134"/>
      <c r="BG121" s="134"/>
      <c r="BH121" s="134"/>
      <c r="BI121" s="134"/>
      <c r="BJ121" s="134"/>
      <c r="BK121" s="134"/>
      <c r="BL121" s="134"/>
      <c r="BM121" s="134"/>
      <c r="BN121" s="134"/>
      <c r="BO121" s="134"/>
      <c r="BP121" s="134"/>
      <c r="BQ121" s="134"/>
      <c r="BR121" s="134"/>
      <c r="BS121" s="134"/>
      <c r="BT121" s="134"/>
      <c r="BU121" s="134"/>
      <c r="BV121" s="134"/>
      <c r="BW121" s="131" t="str">
        <f t="shared" si="1"/>
        <v>OCadre AR 3 Vantaux - 1 Crémone (CU : +4 kg)Porte latérale battante 1000 mm à l'avant droit (CU : -27 kg)Porte latérale coulissante  1000 mm à l'avant droit (CU : -45 kg)Marchepied latéral rétractable sans buzzer en cabine (CU : -18 kg)Marchepied latéral rétractable + buzzer en cabine (CU : -18 kg)Plancher lisse avec bande antidèrapant sur les côtés1 plancher intermédiaire complet (sans porte lateral) - (CU : -66 kg)1 plancher intermédiaire complet (avec porte latérale) - (- 93 kg)1 niveau de rail d'arrimage DR + GA axé à 900 mm du plancher (-18 mm de largeur utile) - (CU : -17 kg) - Pas de rails sur la porte latérale coulissante2 niveaux de rail d'arrimage DR + GA axés à 800 mm et 1200 mm du plancher (-18 mm de largeur utile) - (CU : -34 kg) - Pas de rails sur la porte latérale coulissante1 Barre d'étai (CU : -9 kg)Rideau coulissant à lanières aux portes arrières (CU : -19 kg)1 rideau fixe à lanières à la porte latérale (CU : -6 kg) - Oblige porte latéraleRideau d'air Ar (CU : -16 kg)1 étagère D + G profondeur 500 mm à 1000 mm du plancher (CU : - 41 kg)2 étagères D + G profondeur 500 mm à 1000 mm et 1300 mm du plancher (CU : -70 kg)</v>
      </c>
    </row>
    <row r="122" spans="1:75" s="68" customFormat="1" ht="101.25" outlineLevel="1" x14ac:dyDescent="0.25">
      <c r="A122" s="64" t="s">
        <v>4263</v>
      </c>
      <c r="B122" s="64" t="s">
        <v>424</v>
      </c>
      <c r="C122" s="64"/>
      <c r="D122" s="64" t="s">
        <v>4035</v>
      </c>
      <c r="E122" s="64" t="s">
        <v>3976</v>
      </c>
      <c r="F122" s="64" t="s">
        <v>4146</v>
      </c>
      <c r="G122" s="64" t="s">
        <v>4152</v>
      </c>
      <c r="H122" s="64" t="s">
        <v>4038</v>
      </c>
      <c r="I122" s="64" t="s">
        <v>4039</v>
      </c>
      <c r="J122" s="64" t="s">
        <v>4040</v>
      </c>
      <c r="K122" s="64" t="s">
        <v>4147</v>
      </c>
      <c r="L122" s="64" t="s">
        <v>4148</v>
      </c>
      <c r="M122" s="64" t="s">
        <v>4149</v>
      </c>
      <c r="N122" s="64" t="s">
        <v>4150</v>
      </c>
      <c r="O122" s="64" t="s">
        <v>4042</v>
      </c>
      <c r="P122" s="64" t="s">
        <v>4054</v>
      </c>
      <c r="Q122" s="64" t="s">
        <v>4070</v>
      </c>
      <c r="R122" s="64" t="s">
        <v>4049</v>
      </c>
      <c r="S122" s="64" t="s">
        <v>4151</v>
      </c>
      <c r="T122" s="64" t="s">
        <v>3971</v>
      </c>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134"/>
      <c r="BD122" s="134"/>
      <c r="BE122" s="134"/>
      <c r="BF122" s="134"/>
      <c r="BG122" s="134"/>
      <c r="BH122" s="134"/>
      <c r="BI122" s="134"/>
      <c r="BJ122" s="134"/>
      <c r="BK122" s="134"/>
      <c r="BL122" s="134"/>
      <c r="BM122" s="134"/>
      <c r="BN122" s="134"/>
      <c r="BO122" s="134"/>
      <c r="BP122" s="134"/>
      <c r="BQ122" s="134"/>
      <c r="BR122" s="134"/>
      <c r="BS122" s="134"/>
      <c r="BT122" s="134"/>
      <c r="BU122" s="134"/>
      <c r="BV122" s="134"/>
      <c r="BW122" s="131" t="str">
        <f t="shared" si="1"/>
        <v>OCadre AR 3 Vantaux - 1 Crémone (CU : +4 kg)Porte latérale battante 1000 mm à l'avant droit (CU : -27 kg)Porte latérale coulissante  1000 mm à l'avant droit (CU : -45 kg)Marchepied arrière rabattable + buzzer en cabine (CU : +19 kg)Marchepied latéral rétractable sans buzzer en cabine (CU : -18 kg)Marchepied latéral rétractable + buzzer en cabine (CU : -18 kg)Plancher lisse avec bande antidèrapant sur les côtés1 plancher intermédiaire complet (sans porte lateral) - (CU : -66 kg)1 plancher intermédiaire complet (avec porte latérale) - (- 93 kg)1 niveau de rail d'arrimage DR + GA axé à 900 mm du plancher (-18 mm de largeur utile) - (CU : -17 kg) - Pas de rails sur la porte latérale coulissante2 niveaux de rail d'arrimage DR + GA axés à 800 mm et 1200 mm du plancher (-18 mm de largeur utile) - (CU : -34 kg) - Pas de rails sur la porte latérale coulissante1 Barre d'étai (CU : -9 kg)Rideau coulissant à lanières aux portes arrières (CU : -19 kg)1 rideau fixe à lanières à la porte latérale (CU : -6 kg) - Oblige porte latéraleRideau d'air Ar (CU : -16 kg)1 étagère D + G profondeur 500 mm à 1000 mm du plancher (CU : - 41 kg)2 étagères D + G profondeur 500 mm à 1000 mm et 1300 mm du plancher (CU : -70 kg)</v>
      </c>
    </row>
    <row r="123" spans="1:75" s="68" customFormat="1" ht="22.5" outlineLevel="1" x14ac:dyDescent="0.25">
      <c r="A123" s="69" t="s">
        <v>4264</v>
      </c>
      <c r="B123" s="64" t="s">
        <v>424</v>
      </c>
      <c r="C123" s="64"/>
      <c r="D123" s="64"/>
      <c r="E123" s="64"/>
      <c r="F123" s="64"/>
      <c r="G123" s="64"/>
      <c r="H123" s="64"/>
      <c r="I123" s="64"/>
      <c r="J123" s="64"/>
      <c r="K123" s="64"/>
      <c r="L123" s="64" t="s">
        <v>4153</v>
      </c>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134"/>
      <c r="BD123" s="134"/>
      <c r="BE123" s="134"/>
      <c r="BF123" s="134"/>
      <c r="BG123" s="134"/>
      <c r="BH123" s="134"/>
      <c r="BI123" s="134"/>
      <c r="BJ123" s="134"/>
      <c r="BK123" s="134"/>
      <c r="BL123" s="134"/>
      <c r="BM123" s="134"/>
      <c r="BN123" s="134"/>
      <c r="BO123" s="134"/>
      <c r="BP123" s="134"/>
      <c r="BQ123" s="134"/>
      <c r="BR123" s="134"/>
      <c r="BS123" s="134"/>
      <c r="BT123" s="134"/>
      <c r="BU123" s="134"/>
      <c r="BV123" s="134"/>
      <c r="BW123" s="131" t="str">
        <f t="shared" si="1"/>
        <v xml:space="preserve">O1 niveau de rail d’arrimage supplémentaire ( -24 kg) </v>
      </c>
    </row>
    <row r="124" spans="1:75" s="68" customFormat="1" ht="22.5" outlineLevel="1" x14ac:dyDescent="0.25">
      <c r="A124" s="69" t="s">
        <v>4265</v>
      </c>
      <c r="B124" s="64" t="s">
        <v>424</v>
      </c>
      <c r="C124" s="64"/>
      <c r="D124" s="64"/>
      <c r="E124" s="64"/>
      <c r="F124" s="64"/>
      <c r="G124" s="64"/>
      <c r="H124" s="64"/>
      <c r="I124" s="64"/>
      <c r="J124" s="64"/>
      <c r="K124" s="64"/>
      <c r="L124" s="64" t="s">
        <v>4154</v>
      </c>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134"/>
      <c r="BD124" s="134"/>
      <c r="BE124" s="134"/>
      <c r="BF124" s="134"/>
      <c r="BG124" s="134"/>
      <c r="BH124" s="134"/>
      <c r="BI124" s="134"/>
      <c r="BJ124" s="134"/>
      <c r="BK124" s="134"/>
      <c r="BL124" s="134"/>
      <c r="BM124" s="134"/>
      <c r="BN124" s="134"/>
      <c r="BO124" s="134"/>
      <c r="BP124" s="134"/>
      <c r="BQ124" s="134"/>
      <c r="BR124" s="134"/>
      <c r="BS124" s="134"/>
      <c r="BT124" s="134"/>
      <c r="BU124" s="134"/>
      <c r="BV124" s="134"/>
      <c r="BW124" s="131" t="str">
        <f t="shared" si="1"/>
        <v>O1 niveau de rail d’arrimage supplémentaire (CU : - 31 kg)</v>
      </c>
    </row>
    <row r="125" spans="1:75" s="68" customFormat="1" ht="22.5" outlineLevel="1" x14ac:dyDescent="0.25">
      <c r="A125" s="69" t="s">
        <v>4266</v>
      </c>
      <c r="B125" s="64" t="s">
        <v>424</v>
      </c>
      <c r="C125" s="64"/>
      <c r="D125" s="64"/>
      <c r="E125" s="64"/>
      <c r="F125" s="64"/>
      <c r="G125" s="64"/>
      <c r="H125" s="64"/>
      <c r="I125" s="64"/>
      <c r="J125" s="64"/>
      <c r="K125" s="64"/>
      <c r="L125" s="64" t="s">
        <v>4155</v>
      </c>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134"/>
      <c r="BD125" s="134"/>
      <c r="BE125" s="134"/>
      <c r="BF125" s="134"/>
      <c r="BG125" s="134"/>
      <c r="BH125" s="134"/>
      <c r="BI125" s="134"/>
      <c r="BJ125" s="134"/>
      <c r="BK125" s="134"/>
      <c r="BL125" s="134"/>
      <c r="BM125" s="134"/>
      <c r="BN125" s="134"/>
      <c r="BO125" s="134"/>
      <c r="BP125" s="134"/>
      <c r="BQ125" s="134"/>
      <c r="BR125" s="134"/>
      <c r="BS125" s="134"/>
      <c r="BT125" s="134"/>
      <c r="BU125" s="134"/>
      <c r="BV125" s="134"/>
      <c r="BW125" s="131" t="str">
        <f t="shared" si="1"/>
        <v>O1 niveau de rail d’arrimage supplémentaire (CU : - 36 kg)</v>
      </c>
    </row>
    <row r="126" spans="1:75" s="96" customFormat="1" ht="24.95" customHeight="1" outlineLevel="1" x14ac:dyDescent="0.25">
      <c r="A126" s="69" t="s">
        <v>151</v>
      </c>
      <c r="B126" s="64" t="s">
        <v>32</v>
      </c>
      <c r="C126" s="64" t="s">
        <v>1831</v>
      </c>
      <c r="D126" s="64" t="s">
        <v>1832</v>
      </c>
      <c r="E126" s="64" t="s">
        <v>1839</v>
      </c>
      <c r="F126" s="64" t="s">
        <v>1833</v>
      </c>
      <c r="G126" s="64" t="s">
        <v>1840</v>
      </c>
      <c r="H126" s="64" t="s">
        <v>1847</v>
      </c>
      <c r="I126" s="64"/>
      <c r="J126" s="64" t="s">
        <v>1848</v>
      </c>
      <c r="K126" s="64"/>
      <c r="L126" s="64" t="s">
        <v>1836</v>
      </c>
      <c r="M126" s="64"/>
      <c r="N126" s="64" t="s">
        <v>1841</v>
      </c>
      <c r="O126" s="64" t="s">
        <v>1842</v>
      </c>
      <c r="P126" s="64"/>
      <c r="Q126" s="64"/>
      <c r="R126" s="64"/>
      <c r="S126" s="64" t="s">
        <v>1845</v>
      </c>
      <c r="T126" s="64"/>
      <c r="U126" s="64" t="s">
        <v>1843</v>
      </c>
      <c r="V126" s="64"/>
      <c r="W126" s="64" t="s">
        <v>1846</v>
      </c>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70"/>
      <c r="AW126" s="64"/>
      <c r="AX126" s="64"/>
      <c r="AY126" s="64"/>
      <c r="AZ126" s="64"/>
      <c r="BA126" s="64"/>
      <c r="BB126" s="64"/>
      <c r="BC126" s="134"/>
      <c r="BD126" s="134"/>
      <c r="BE126" s="134"/>
      <c r="BF126" s="134"/>
      <c r="BG126" s="134"/>
      <c r="BH126" s="134"/>
      <c r="BI126" s="134"/>
      <c r="BJ126" s="134"/>
      <c r="BK126" s="134"/>
      <c r="BL126" s="134"/>
      <c r="BM126" s="134"/>
      <c r="BN126" s="134"/>
      <c r="BO126" s="134"/>
      <c r="BP126" s="134"/>
      <c r="BQ126" s="134"/>
      <c r="BR126" s="134"/>
      <c r="BS126" s="134"/>
      <c r="BT126" s="134"/>
      <c r="BU126" s="134"/>
      <c r="BV126" s="134"/>
      <c r="BW126" s="131" t="str">
        <f t="shared" si="1"/>
        <v>PIsolation renforcée LECAPITAINE2 portes arrière ouverture totale (porte droite prioritaire)Porte latérale battante 1000 mm x 1950 mm à 105 mm à l'avant droitEscabeau arrière coulissant 3 marchesEtrier latéral escamotable 3 marches avec buzzer en cabinePlancher antidérapant sans passages de roues avec 2 siphons d'évacuation3 plafonniers à LED avec temporisation1 niveau de rail d'arrimage en acier galvanisé D + G à 1100 mm du plancherCloison mobile relevable1 Rideau coulissant à lanières aux portes arrières et 1 rideau fixe à lanières à la porte latéraleProtection bas de parois latérale en inox de 450 mm de haut et face avant en inox de 455 mm de hautProtection évaporateur Av et ArCadre arrière renforcé avec butoirs à rouleaux</v>
      </c>
    </row>
    <row r="127" spans="1:75" s="68" customFormat="1" ht="45" outlineLevel="1" x14ac:dyDescent="0.25">
      <c r="A127" s="69" t="s">
        <v>3616</v>
      </c>
      <c r="B127" s="64" t="s">
        <v>32</v>
      </c>
      <c r="C127" s="64" t="s">
        <v>1831</v>
      </c>
      <c r="D127" s="64" t="s">
        <v>1863</v>
      </c>
      <c r="E127" s="64"/>
      <c r="F127" s="64" t="s">
        <v>1851</v>
      </c>
      <c r="G127" s="64"/>
      <c r="H127" s="64" t="s">
        <v>3843</v>
      </c>
      <c r="I127" s="64"/>
      <c r="J127" s="64" t="s">
        <v>1853</v>
      </c>
      <c r="K127" s="64"/>
      <c r="L127" s="64"/>
      <c r="M127" s="64"/>
      <c r="N127" s="64"/>
      <c r="O127" s="64" t="s">
        <v>3844</v>
      </c>
      <c r="P127" s="64"/>
      <c r="Q127" s="64"/>
      <c r="R127" s="64"/>
      <c r="S127" s="64" t="s">
        <v>1854</v>
      </c>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134"/>
      <c r="BD127" s="134"/>
      <c r="BE127" s="134"/>
      <c r="BF127" s="134"/>
      <c r="BG127" s="134"/>
      <c r="BH127" s="134"/>
      <c r="BI127" s="134"/>
      <c r="BJ127" s="134"/>
      <c r="BK127" s="134"/>
      <c r="BL127" s="134"/>
      <c r="BM127" s="134"/>
      <c r="BN127" s="134"/>
      <c r="BO127" s="134"/>
      <c r="BP127" s="134"/>
      <c r="BQ127" s="134"/>
      <c r="BR127" s="134"/>
      <c r="BS127" s="134"/>
      <c r="BT127" s="134"/>
      <c r="BU127" s="134"/>
      <c r="BV127" s="134"/>
      <c r="BW127" s="131" t="str">
        <f t="shared" si="1"/>
        <v>PIsolation renforcée LECAPITAINE2 portes arrière 1100 mm x 1880 mmMarchepied fixe 1 marchePlancher : Antidérapant avec passages de roues (largeur entre passages de roues : 1270 mm) avec 2 siphons d'évacuation1 plafonnier à LED avec temporisationRideaux à lanières fixe portes arrières Protection bas de parois sur 200 mm de haut</v>
      </c>
    </row>
    <row r="128" spans="1:75" s="68" customFormat="1" ht="45" outlineLevel="1" x14ac:dyDescent="0.25">
      <c r="A128" s="69" t="s">
        <v>3628</v>
      </c>
      <c r="B128" s="64" t="s">
        <v>32</v>
      </c>
      <c r="C128" s="64" t="s">
        <v>1831</v>
      </c>
      <c r="D128" s="64" t="s">
        <v>3845</v>
      </c>
      <c r="E128" s="64" t="s">
        <v>1876</v>
      </c>
      <c r="F128" s="64" t="s">
        <v>1851</v>
      </c>
      <c r="G128" s="64"/>
      <c r="H128" s="64" t="s">
        <v>3843</v>
      </c>
      <c r="I128" s="64"/>
      <c r="J128" s="64" t="s">
        <v>1835</v>
      </c>
      <c r="K128" s="64"/>
      <c r="L128" s="64"/>
      <c r="M128" s="64"/>
      <c r="N128" s="64" t="s">
        <v>1916</v>
      </c>
      <c r="O128" s="64" t="s">
        <v>1917</v>
      </c>
      <c r="P128" s="64"/>
      <c r="Q128" s="64"/>
      <c r="R128" s="64"/>
      <c r="S128" s="64" t="s">
        <v>3796</v>
      </c>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134"/>
      <c r="BD128" s="134"/>
      <c r="BE128" s="134"/>
      <c r="BF128" s="134"/>
      <c r="BG128" s="134"/>
      <c r="BH128" s="134"/>
      <c r="BI128" s="134"/>
      <c r="BJ128" s="134"/>
      <c r="BK128" s="134"/>
      <c r="BL128" s="134"/>
      <c r="BM128" s="134"/>
      <c r="BN128" s="134"/>
      <c r="BO128" s="134"/>
      <c r="BP128" s="134"/>
      <c r="BQ128" s="134"/>
      <c r="BR128" s="134"/>
      <c r="BS128" s="134"/>
      <c r="BT128" s="134"/>
      <c r="BU128" s="134"/>
      <c r="BV128" s="134"/>
      <c r="BW128" s="131" t="str">
        <f t="shared" si="1"/>
        <v>PIsolation renforcée LECAPITAINE2 portes arrière 1105 mm x 1880 mmPorte latérale battante 1000 mm x 1850 mm à 105 mm à l'avant droitMarchepied fixe 1 marchePlancher : Antidérapant avec passages de roues (largeur entre passages de roues : 1270 mm) avec 2 siphons d'évacuation2 plafonniers à LED avec temporisationCloison fixe perpendiculaire a 1200 mm de l'avantRideaux à lanières fixe pour les portes arrières et latéraleProtection bas de parois sur 240 mm de haut</v>
      </c>
    </row>
    <row r="129" spans="1:101" s="68" customFormat="1" ht="45" outlineLevel="1" x14ac:dyDescent="0.25">
      <c r="A129" s="69" t="s">
        <v>3654</v>
      </c>
      <c r="B129" s="64" t="s">
        <v>32</v>
      </c>
      <c r="C129" s="64" t="s">
        <v>3828</v>
      </c>
      <c r="D129" s="64" t="s">
        <v>1991</v>
      </c>
      <c r="E129" s="64" t="s">
        <v>3829</v>
      </c>
      <c r="F129" s="64"/>
      <c r="G129" s="64"/>
      <c r="H129" s="64" t="s">
        <v>3837</v>
      </c>
      <c r="I129" s="64"/>
      <c r="J129" s="64" t="s">
        <v>1853</v>
      </c>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70"/>
      <c r="AW129" s="64"/>
      <c r="AX129" s="64"/>
      <c r="AY129" s="64"/>
      <c r="AZ129" s="69"/>
      <c r="BA129" s="64"/>
      <c r="BB129" s="64"/>
      <c r="BC129" s="134"/>
      <c r="BD129" s="134"/>
      <c r="BE129" s="134"/>
      <c r="BF129" s="134"/>
      <c r="BG129" s="134"/>
      <c r="BH129" s="134"/>
      <c r="BI129" s="134"/>
      <c r="BJ129" s="134"/>
      <c r="BK129" s="134"/>
      <c r="BL129" s="134"/>
      <c r="BM129" s="134"/>
      <c r="BN129" s="134"/>
      <c r="BO129" s="134"/>
      <c r="BP129" s="134"/>
      <c r="BQ129" s="134"/>
      <c r="BR129" s="134"/>
      <c r="BS129" s="134"/>
      <c r="BT129" s="134"/>
      <c r="BU129" s="134"/>
      <c r="BV129" s="134"/>
      <c r="BW129" s="131" t="str">
        <f t="shared" si="1"/>
        <v>PIsolation renforcée LECAPITAINE / TRIMAT2 portes arrièrePorte latérale coulissante à l'avant droit avec une bordure de 70 mm de haut sur le plancherPlancher : Antidérapant léger avec passages de roues (largeur entre passages de roues : 1212 mm) avec 1 siphon d'évacuation1 plafonnier à LED avec temporisation</v>
      </c>
    </row>
    <row r="130" spans="1:101" ht="45" outlineLevel="1" x14ac:dyDescent="0.25">
      <c r="A130" s="164" t="s">
        <v>1529</v>
      </c>
      <c r="B130" s="134" t="s">
        <v>32</v>
      </c>
      <c r="C130" s="134" t="s">
        <v>1831</v>
      </c>
      <c r="D130" s="134" t="s">
        <v>1855</v>
      </c>
      <c r="E130" s="134"/>
      <c r="F130" s="134" t="s">
        <v>1851</v>
      </c>
      <c r="G130" s="134"/>
      <c r="H130" s="134" t="s">
        <v>1852</v>
      </c>
      <c r="I130" s="134"/>
      <c r="J130" s="134" t="s">
        <v>1853</v>
      </c>
      <c r="K130" s="134"/>
      <c r="L130" s="134"/>
      <c r="M130" s="134"/>
      <c r="N130" s="134"/>
      <c r="O130" s="134"/>
      <c r="P130" s="134"/>
      <c r="Q130" s="134"/>
      <c r="R130" s="134"/>
      <c r="S130" s="134" t="s">
        <v>1854</v>
      </c>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6"/>
      <c r="AR130" s="134"/>
      <c r="AS130" s="134"/>
      <c r="AT130" s="134"/>
      <c r="AU130" s="134"/>
      <c r="AV130" s="136"/>
      <c r="AW130" s="134"/>
      <c r="AX130" s="134"/>
      <c r="AY130" s="134"/>
      <c r="AZ130" s="134"/>
      <c r="BA130" s="134"/>
      <c r="BB130" s="134"/>
      <c r="BC130" s="134"/>
      <c r="BD130" s="134"/>
      <c r="BE130" s="134"/>
      <c r="BF130" s="134"/>
      <c r="BG130" s="134"/>
      <c r="BH130" s="134"/>
      <c r="BI130" s="134"/>
      <c r="BJ130" s="134"/>
      <c r="BK130" s="134"/>
      <c r="BL130" s="134"/>
      <c r="BM130" s="134"/>
      <c r="BN130" s="134"/>
      <c r="BO130" s="134"/>
      <c r="BP130" s="134"/>
      <c r="BQ130" s="134"/>
      <c r="BR130" s="134"/>
      <c r="BS130" s="134"/>
      <c r="BT130" s="134"/>
      <c r="BU130" s="134"/>
      <c r="BV130" s="134"/>
      <c r="BW130" s="131" t="str">
        <f t="shared" ref="BW130:BW178" si="2">CONCATENATE(B130,C130,D130,E130,F130,G130,H130,I130,J130,K130,L130,M130,N130,O130,P130,Q130,R130,S130,T130,U130,V130,W130,X130,Y130,Z130,AA130,AB130,AC130,AD130,AE130,AF130,AG130,AH130,AI130,AJ130,AK130,AL130,AM130,AN130,AO130,AP130,AQ130,AR130,AS130,AT130,AU130,AV130,AW130,AX130,AY130,AZ130,BA130,BC130,BD130,BE130,BF130,BG130,BH130,BI130,BJ130,BK130,BL130,BM130,BN130,BO130,BP130,BQ130,BR130,BS130,BT130,BU130,BV130,)</f>
        <v>PIsolation renforcée LECAPITAINE2 Portes arrière 1100 mm x 1580 mmMarchepied fixe 1 marchePlancher : Antidérapant avec passages de roues (largeur entre passages de roues : 1105 mm mm) avec 1 siphon d'évacuation1 plafonnier à LED avec temporisationProtection bas de parois sur 200 mm de haut</v>
      </c>
      <c r="CF130" s="125"/>
      <c r="CG130" s="125"/>
      <c r="CH130" s="125"/>
      <c r="CI130" s="125"/>
      <c r="CJ130" s="125"/>
      <c r="CK130" s="125"/>
      <c r="CL130" s="125"/>
      <c r="CM130" s="125"/>
      <c r="CN130" s="125"/>
      <c r="CO130" s="125"/>
      <c r="CP130" s="125"/>
      <c r="CQ130" s="125"/>
    </row>
    <row r="131" spans="1:101" ht="33.75" outlineLevel="1" x14ac:dyDescent="0.25">
      <c r="A131" s="164" t="s">
        <v>1377</v>
      </c>
      <c r="B131" s="134" t="s">
        <v>32</v>
      </c>
      <c r="C131" s="134" t="s">
        <v>1831</v>
      </c>
      <c r="D131" s="134" t="s">
        <v>1832</v>
      </c>
      <c r="E131" s="134"/>
      <c r="F131" s="134" t="s">
        <v>1849</v>
      </c>
      <c r="G131" s="134"/>
      <c r="H131" s="134" t="s">
        <v>1856</v>
      </c>
      <c r="I131" s="134"/>
      <c r="J131" s="134" t="s">
        <v>1853</v>
      </c>
      <c r="K131" s="134"/>
      <c r="L131" s="134"/>
      <c r="M131" s="134"/>
      <c r="N131" s="134"/>
      <c r="O131" s="134"/>
      <c r="P131" s="134"/>
      <c r="Q131" s="134"/>
      <c r="R131" s="134"/>
      <c r="S131" s="134" t="s">
        <v>1857</v>
      </c>
      <c r="T131" s="134"/>
      <c r="U131" s="134"/>
      <c r="V131" s="134"/>
      <c r="W131" s="134"/>
      <c r="X131" s="134"/>
      <c r="Y131" s="134"/>
      <c r="Z131" s="134"/>
      <c r="AA131" s="134"/>
      <c r="AB131" s="134"/>
      <c r="AC131" s="134"/>
      <c r="AD131" s="134"/>
      <c r="AE131" s="134"/>
      <c r="AF131" s="134"/>
      <c r="AG131" s="134"/>
      <c r="AH131" s="134"/>
      <c r="AI131" s="134"/>
      <c r="AJ131" s="134"/>
      <c r="AK131" s="134"/>
      <c r="AL131" s="134"/>
      <c r="AM131" s="134"/>
      <c r="AN131" s="134"/>
      <c r="AO131" s="134"/>
      <c r="AP131" s="134"/>
      <c r="AQ131" s="136"/>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134"/>
      <c r="BM131" s="134"/>
      <c r="BN131" s="134"/>
      <c r="BO131" s="134"/>
      <c r="BP131" s="134"/>
      <c r="BQ131" s="134"/>
      <c r="BR131" s="134"/>
      <c r="BS131" s="134"/>
      <c r="BT131" s="134"/>
      <c r="BU131" s="134"/>
      <c r="BV131" s="134"/>
      <c r="BW131" s="131" t="str">
        <f t="shared" si="2"/>
        <v>PIsolation renforcée LECAPITAINE2 portes arrière ouverture totale (porte droite prioritaire)Escabeau arrière coulissant 4 marchesPlancher : Antidérapant sans passages de roues avec 1 siphon d'évacuation1 plafonnier à LED avec temporisationProtection bas de parois sur 245 mm de haut</v>
      </c>
      <c r="CF131" s="125"/>
      <c r="CG131" s="125"/>
      <c r="CH131" s="125"/>
      <c r="CI131" s="125"/>
      <c r="CJ131" s="125"/>
      <c r="CK131" s="125"/>
      <c r="CL131" s="125"/>
      <c r="CM131" s="125"/>
      <c r="CN131" s="125"/>
      <c r="CO131" s="125"/>
      <c r="CP131" s="125"/>
      <c r="CQ131" s="125"/>
    </row>
    <row r="132" spans="1:101" ht="33.75" outlineLevel="1" x14ac:dyDescent="0.25">
      <c r="A132" s="131" t="s">
        <v>1393</v>
      </c>
      <c r="B132" s="134" t="s">
        <v>32</v>
      </c>
      <c r="C132" s="134" t="s">
        <v>1831</v>
      </c>
      <c r="D132" s="134" t="s">
        <v>1832</v>
      </c>
      <c r="E132" s="134"/>
      <c r="F132" s="134" t="s">
        <v>1849</v>
      </c>
      <c r="G132" s="134"/>
      <c r="H132" s="134" t="s">
        <v>1858</v>
      </c>
      <c r="I132" s="134"/>
      <c r="J132" s="134" t="s">
        <v>1853</v>
      </c>
      <c r="K132" s="134"/>
      <c r="L132" s="134"/>
      <c r="M132" s="134"/>
      <c r="N132" s="134"/>
      <c r="O132" s="134" t="s">
        <v>1859</v>
      </c>
      <c r="P132" s="134"/>
      <c r="Q132" s="134"/>
      <c r="R132" s="134"/>
      <c r="S132" s="134" t="s">
        <v>1857</v>
      </c>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6"/>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134"/>
      <c r="BM132" s="134"/>
      <c r="BN132" s="134"/>
      <c r="BO132" s="134"/>
      <c r="BP132" s="134"/>
      <c r="BQ132" s="134"/>
      <c r="BR132" s="134"/>
      <c r="BS132" s="134"/>
      <c r="BT132" s="134"/>
      <c r="BU132" s="134"/>
      <c r="BV132" s="134"/>
      <c r="BW132" s="131" t="str">
        <f t="shared" si="2"/>
        <v>PIsolation renforcée LECAPITAINE2 portes arrière ouverture totale (porte droite prioritaire)Escabeau arrière coulissant 4 marchesPlancher : Antidérapant sans passages de roues avec 2 siphons d'évacuation (avant droit + arrière droit)1 plafonnier à LED avec temporisation1 Rideau coulissant à lanières aux portes arrièresProtection bas de parois sur 245 mm de haut</v>
      </c>
      <c r="CF132" s="125"/>
      <c r="CG132" s="125"/>
      <c r="CH132" s="125"/>
      <c r="CI132" s="125"/>
      <c r="CJ132" s="125"/>
      <c r="CK132" s="125"/>
      <c r="CL132" s="125"/>
      <c r="CM132" s="125"/>
      <c r="CN132" s="125"/>
      <c r="CO132" s="125"/>
      <c r="CP132" s="125"/>
      <c r="CQ132" s="125"/>
    </row>
    <row r="133" spans="1:101" ht="45" outlineLevel="1" x14ac:dyDescent="0.25">
      <c r="A133" s="131" t="s">
        <v>1380</v>
      </c>
      <c r="B133" s="134" t="s">
        <v>32</v>
      </c>
      <c r="C133" s="134" t="s">
        <v>1831</v>
      </c>
      <c r="D133" s="134" t="s">
        <v>1832</v>
      </c>
      <c r="E133" s="134" t="s">
        <v>1839</v>
      </c>
      <c r="F133" s="134"/>
      <c r="G133" s="134"/>
      <c r="H133" s="134" t="s">
        <v>1856</v>
      </c>
      <c r="I133" s="134"/>
      <c r="J133" s="134" t="s">
        <v>1853</v>
      </c>
      <c r="K133" s="134"/>
      <c r="L133" s="134" t="s">
        <v>1860</v>
      </c>
      <c r="M133" s="134"/>
      <c r="N133" s="134"/>
      <c r="O133" s="134"/>
      <c r="P133" s="134"/>
      <c r="Q133" s="134"/>
      <c r="R133" s="134"/>
      <c r="S133" s="134" t="s">
        <v>1857</v>
      </c>
      <c r="T133" s="134"/>
      <c r="U133" s="134"/>
      <c r="V133" s="134"/>
      <c r="W133" s="134"/>
      <c r="X133" s="134"/>
      <c r="Y133" s="134"/>
      <c r="Z133" s="134"/>
      <c r="AA133" s="134"/>
      <c r="AB133" s="134"/>
      <c r="AC133" s="134"/>
      <c r="AD133" s="134"/>
      <c r="AE133" s="134" t="s">
        <v>1838</v>
      </c>
      <c r="AF133" s="134"/>
      <c r="AG133" s="134"/>
      <c r="AH133" s="134"/>
      <c r="AI133" s="134"/>
      <c r="AJ133" s="134"/>
      <c r="AK133" s="134"/>
      <c r="AL133" s="134"/>
      <c r="AM133" s="134"/>
      <c r="AN133" s="134"/>
      <c r="AO133" s="134"/>
      <c r="AP133" s="134"/>
      <c r="AQ133" s="136"/>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4"/>
      <c r="BN133" s="134"/>
      <c r="BO133" s="134"/>
      <c r="BP133" s="134"/>
      <c r="BQ133" s="134"/>
      <c r="BR133" s="134"/>
      <c r="BS133" s="134"/>
      <c r="BT133" s="134"/>
      <c r="BU133" s="134"/>
      <c r="BV133" s="134"/>
      <c r="BW133" s="131" t="str">
        <f t="shared" si="2"/>
        <v>PIsolation renforcée LECAPITAINE2 portes arrière ouverture totale (porte droite prioritaire)Porte latérale battante 1000 mm x 1950 mm à 105 mm à l'avant droitPlancher : Antidérapant sans passages de roues avec 1 siphon d'évacuation1 plafonnier à LED avec temporisation1 niveau de rail d'arrimage en acier galvanisé D + G à 900 mm du plancherProtection bas de parois sur 245 mm de haut1 Prise de hayon pour commande filaire au pavillon à l’arrière droit</v>
      </c>
      <c r="CF133" s="125"/>
      <c r="CG133" s="125"/>
      <c r="CH133" s="125"/>
      <c r="CI133" s="125"/>
      <c r="CJ133" s="125"/>
      <c r="CK133" s="125"/>
      <c r="CL133" s="125"/>
      <c r="CM133" s="125"/>
      <c r="CN133" s="125"/>
      <c r="CO133" s="125"/>
      <c r="CP133" s="125"/>
      <c r="CQ133" s="125"/>
    </row>
    <row r="134" spans="1:101" ht="56.25" outlineLevel="1" x14ac:dyDescent="0.25">
      <c r="A134" s="131" t="s">
        <v>1397</v>
      </c>
      <c r="B134" s="134" t="s">
        <v>32</v>
      </c>
      <c r="C134" s="134" t="s">
        <v>1831</v>
      </c>
      <c r="D134" s="134" t="s">
        <v>1832</v>
      </c>
      <c r="E134" s="134" t="s">
        <v>1839</v>
      </c>
      <c r="F134" s="134"/>
      <c r="G134" s="134"/>
      <c r="H134" s="134" t="s">
        <v>1858</v>
      </c>
      <c r="I134" s="134"/>
      <c r="J134" s="134" t="s">
        <v>1853</v>
      </c>
      <c r="K134" s="134"/>
      <c r="L134" s="134" t="s">
        <v>1860</v>
      </c>
      <c r="M134" s="134"/>
      <c r="N134" s="134"/>
      <c r="O134" s="134" t="s">
        <v>1842</v>
      </c>
      <c r="P134" s="134"/>
      <c r="Q134" s="134"/>
      <c r="R134" s="134"/>
      <c r="S134" s="134" t="s">
        <v>1857</v>
      </c>
      <c r="T134" s="134"/>
      <c r="U134" s="134"/>
      <c r="V134" s="134"/>
      <c r="W134" s="134"/>
      <c r="X134" s="134"/>
      <c r="Y134" s="134"/>
      <c r="Z134" s="134"/>
      <c r="AA134" s="134"/>
      <c r="AB134" s="134"/>
      <c r="AC134" s="134"/>
      <c r="AD134" s="134"/>
      <c r="AE134" s="134" t="s">
        <v>1838</v>
      </c>
      <c r="AF134" s="134"/>
      <c r="AG134" s="134"/>
      <c r="AH134" s="134"/>
      <c r="AI134" s="134"/>
      <c r="AJ134" s="134"/>
      <c r="AK134" s="134"/>
      <c r="AL134" s="134"/>
      <c r="AM134" s="134"/>
      <c r="AN134" s="134"/>
      <c r="AO134" s="134"/>
      <c r="AP134" s="134"/>
      <c r="AQ134" s="136"/>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34"/>
      <c r="BM134" s="134"/>
      <c r="BN134" s="134"/>
      <c r="BO134" s="134"/>
      <c r="BP134" s="134"/>
      <c r="BQ134" s="134"/>
      <c r="BR134" s="134"/>
      <c r="BS134" s="134"/>
      <c r="BT134" s="134"/>
      <c r="BU134" s="134"/>
      <c r="BV134" s="134"/>
      <c r="BW134" s="131" t="str">
        <f t="shared" si="2"/>
        <v>PIsolation renforcée LECAPITAINE2 portes arrière ouverture totale (porte droite prioritaire)Porte latérale battante 1000 mm x 1950 mm à 105 mm à l'avant droitPlancher : Antidérapant sans passages de roues avec 2 siphons d'évacuation (avant droit + arrière droit)1 plafonnier à LED avec temporisation1 niveau de rail d'arrimage en acier galvanisé D + G à 900 mm du plancher1 Rideau coulissant à lanières aux portes arrières et 1 rideau fixe à lanières à la porte latéraleProtection bas de parois sur 245 mm de haut1 Prise de hayon pour commande filaire au pavillon à l’arrière droit</v>
      </c>
      <c r="CF134" s="125"/>
      <c r="CG134" s="125"/>
      <c r="CH134" s="125"/>
      <c r="CI134" s="125"/>
      <c r="CJ134" s="125"/>
      <c r="CK134" s="125"/>
      <c r="CL134" s="125"/>
      <c r="CM134" s="125"/>
      <c r="CN134" s="125"/>
      <c r="CO134" s="125"/>
      <c r="CP134" s="125"/>
      <c r="CQ134" s="125"/>
    </row>
    <row r="135" spans="1:101" ht="33.75" outlineLevel="1" x14ac:dyDescent="0.25">
      <c r="A135" s="131" t="s">
        <v>1324</v>
      </c>
      <c r="B135" s="134" t="s">
        <v>32</v>
      </c>
      <c r="C135" s="134" t="s">
        <v>1831</v>
      </c>
      <c r="D135" s="134" t="s">
        <v>1832</v>
      </c>
      <c r="E135" s="134"/>
      <c r="F135" s="134" t="s">
        <v>1861</v>
      </c>
      <c r="G135" s="134"/>
      <c r="H135" s="134" t="s">
        <v>1856</v>
      </c>
      <c r="I135" s="134" t="s">
        <v>1862</v>
      </c>
      <c r="J135" s="134" t="s">
        <v>1853</v>
      </c>
      <c r="K135" s="134"/>
      <c r="L135" s="134"/>
      <c r="M135" s="134"/>
      <c r="N135" s="134"/>
      <c r="O135" s="134"/>
      <c r="P135" s="134"/>
      <c r="Q135" s="134"/>
      <c r="R135" s="134"/>
      <c r="S135" s="134" t="s">
        <v>1857</v>
      </c>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6"/>
      <c r="AR135" s="134"/>
      <c r="AS135" s="134"/>
      <c r="AT135" s="134"/>
      <c r="AU135" s="134"/>
      <c r="AV135" s="136"/>
      <c r="AW135" s="134"/>
      <c r="AX135" s="134"/>
      <c r="AY135" s="134"/>
      <c r="AZ135" s="134"/>
      <c r="BA135" s="134"/>
      <c r="BB135" s="134"/>
      <c r="BC135" s="134"/>
      <c r="BD135" s="134"/>
      <c r="BE135" s="134"/>
      <c r="BF135" s="134"/>
      <c r="BG135" s="134"/>
      <c r="BH135" s="134"/>
      <c r="BI135" s="134"/>
      <c r="BJ135" s="134"/>
      <c r="BK135" s="134"/>
      <c r="BL135" s="134"/>
      <c r="BM135" s="134"/>
      <c r="BN135" s="134"/>
      <c r="BO135" s="134"/>
      <c r="BP135" s="134"/>
      <c r="BQ135" s="134"/>
      <c r="BR135" s="134"/>
      <c r="BS135" s="134"/>
      <c r="BT135" s="134"/>
      <c r="BU135" s="134"/>
      <c r="BV135" s="134"/>
      <c r="BW135" s="131" t="str">
        <f t="shared" si="2"/>
        <v>PIsolation renforcée LECAPITAINE2 portes arrière ouverture totale (porte droite prioritaire)Escabeau arrière coulissant 2 marchesPlancher : Antidérapant sans passages de roues avec 1 siphon d'évacuationFaux châssis allégé RigidLink1 plafonnier à LED avec temporisationProtection bas de parois sur 245 mm de haut</v>
      </c>
      <c r="CF135" s="125"/>
      <c r="CG135" s="125"/>
      <c r="CH135" s="125"/>
      <c r="CI135" s="125"/>
      <c r="CJ135" s="125"/>
      <c r="CK135" s="125"/>
      <c r="CL135" s="125"/>
      <c r="CM135" s="125"/>
      <c r="CN135" s="125"/>
      <c r="CO135" s="125"/>
      <c r="CP135" s="125"/>
      <c r="CQ135" s="125"/>
    </row>
    <row r="136" spans="1:101" ht="56.25" outlineLevel="1" x14ac:dyDescent="0.25">
      <c r="A136" s="131" t="s">
        <v>1330</v>
      </c>
      <c r="B136" s="134" t="s">
        <v>32</v>
      </c>
      <c r="C136" s="134" t="s">
        <v>1831</v>
      </c>
      <c r="D136" s="134" t="s">
        <v>1832</v>
      </c>
      <c r="E136" s="134" t="s">
        <v>1839</v>
      </c>
      <c r="F136" s="134" t="s">
        <v>1861</v>
      </c>
      <c r="G136" s="134"/>
      <c r="H136" s="134" t="s">
        <v>1856</v>
      </c>
      <c r="I136" s="134" t="s">
        <v>1862</v>
      </c>
      <c r="J136" s="134" t="s">
        <v>1835</v>
      </c>
      <c r="K136" s="134"/>
      <c r="L136" s="134" t="s">
        <v>1860</v>
      </c>
      <c r="M136" s="134"/>
      <c r="N136" s="134" t="s">
        <v>1841</v>
      </c>
      <c r="O136" s="134" t="s">
        <v>1842</v>
      </c>
      <c r="P136" s="134"/>
      <c r="Q136" s="134"/>
      <c r="R136" s="134"/>
      <c r="S136" s="134" t="s">
        <v>1857</v>
      </c>
      <c r="T136" s="134"/>
      <c r="U136" s="134" t="s">
        <v>440</v>
      </c>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6"/>
      <c r="AR136" s="134"/>
      <c r="AS136" s="134"/>
      <c r="AT136" s="134"/>
      <c r="AU136" s="134"/>
      <c r="AV136" s="136"/>
      <c r="AW136" s="134"/>
      <c r="AX136" s="134"/>
      <c r="AY136" s="134"/>
      <c r="AZ136" s="134"/>
      <c r="BA136" s="134"/>
      <c r="BB136" s="134"/>
      <c r="BC136" s="134"/>
      <c r="BD136" s="134"/>
      <c r="BE136" s="134"/>
      <c r="BF136" s="134"/>
      <c r="BG136" s="134"/>
      <c r="BH136" s="134"/>
      <c r="BI136" s="134"/>
      <c r="BJ136" s="134"/>
      <c r="BK136" s="134"/>
      <c r="BL136" s="134"/>
      <c r="BM136" s="134"/>
      <c r="BN136" s="134"/>
      <c r="BO136" s="134"/>
      <c r="BP136" s="134"/>
      <c r="BQ136" s="134"/>
      <c r="BR136" s="134"/>
      <c r="BS136" s="134"/>
      <c r="BT136" s="134"/>
      <c r="BU136" s="134"/>
      <c r="BV136" s="134"/>
      <c r="BW136" s="131" t="str">
        <f t="shared" si="2"/>
        <v>PIsolation renforcée LECAPITAINE2 portes arrière ouverture totale (porte droite prioritaire)Porte latérale battante 1000 mm x 1950 mm à 105 mm à l'avant droitEscabeau arrière coulissant 2 marchesPlancher : Antidérapant sans passages de roues avec 1 siphon d'évacuationFaux châssis allégé RigidLink2 plafonniers à LED avec temporisation1 niveau de rail d'arrimage en acier galvanisé D + G à 900 mm du plancherCloison mobile relevable1 Rideau coulissant à lanières aux portes arrières et 1 rideau fixe à lanières à la porte latéraleProtection bas de parois sur 245 mm de hautProtection évaporateur avant et arrière</v>
      </c>
      <c r="CF136" s="125"/>
      <c r="CG136" s="125"/>
      <c r="CH136" s="125"/>
      <c r="CI136" s="125"/>
      <c r="CJ136" s="125"/>
      <c r="CK136" s="125"/>
      <c r="CL136" s="125"/>
      <c r="CM136" s="125"/>
      <c r="CN136" s="125"/>
      <c r="CO136" s="125"/>
      <c r="CP136" s="125"/>
      <c r="CQ136" s="125"/>
    </row>
    <row r="137" spans="1:101" ht="45" outlineLevel="1" x14ac:dyDescent="0.25">
      <c r="A137" s="131" t="s">
        <v>1247</v>
      </c>
      <c r="B137" s="134" t="s">
        <v>32</v>
      </c>
      <c r="C137" s="134" t="s">
        <v>1831</v>
      </c>
      <c r="D137" s="134" t="s">
        <v>1863</v>
      </c>
      <c r="E137" s="134"/>
      <c r="F137" s="134" t="s">
        <v>1851</v>
      </c>
      <c r="G137" s="134"/>
      <c r="H137" s="134" t="s">
        <v>1864</v>
      </c>
      <c r="I137" s="134"/>
      <c r="J137" s="134" t="s">
        <v>1853</v>
      </c>
      <c r="K137" s="134"/>
      <c r="L137" s="134"/>
      <c r="M137" s="134"/>
      <c r="N137" s="134"/>
      <c r="O137" s="134"/>
      <c r="P137" s="134"/>
      <c r="Q137" s="134"/>
      <c r="R137" s="134"/>
      <c r="S137" s="134" t="s">
        <v>1854</v>
      </c>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6"/>
      <c r="AR137" s="134"/>
      <c r="AS137" s="134"/>
      <c r="AT137" s="134"/>
      <c r="AU137" s="134"/>
      <c r="AV137" s="136"/>
      <c r="AW137" s="134"/>
      <c r="AX137" s="134"/>
      <c r="AY137" s="134"/>
      <c r="AZ137" s="134"/>
      <c r="BA137" s="134"/>
      <c r="BB137" s="134"/>
      <c r="BC137" s="134"/>
      <c r="BD137" s="134"/>
      <c r="BE137" s="134"/>
      <c r="BF137" s="134"/>
      <c r="BG137" s="134"/>
      <c r="BH137" s="134"/>
      <c r="BI137" s="134"/>
      <c r="BJ137" s="134"/>
      <c r="BK137" s="134"/>
      <c r="BL137" s="134"/>
      <c r="BM137" s="134"/>
      <c r="BN137" s="134"/>
      <c r="BO137" s="134"/>
      <c r="BP137" s="134"/>
      <c r="BQ137" s="134"/>
      <c r="BR137" s="134"/>
      <c r="BS137" s="134"/>
      <c r="BT137" s="134"/>
      <c r="BU137" s="134"/>
      <c r="BV137" s="134"/>
      <c r="BW137" s="131" t="str">
        <f t="shared" si="2"/>
        <v>PIsolation renforcée LECAPITAINE2 portes arrière 1100 mm x 1880 mmMarchepied fixe 1 marchePlancher : Antidérapant avec passages de roues (largeur entre passages de roues : 1250 mm) avec 2 siphons d'évacuation1 plafonnier à LED avec temporisationProtection bas de parois sur 200 mm de haut</v>
      </c>
      <c r="CF137" s="125"/>
      <c r="CG137" s="125"/>
      <c r="CH137" s="125"/>
      <c r="CI137" s="125"/>
      <c r="CJ137" s="125"/>
      <c r="CK137" s="125"/>
      <c r="CL137" s="125"/>
      <c r="CM137" s="125"/>
      <c r="CN137" s="125"/>
      <c r="CO137" s="125"/>
      <c r="CP137" s="125"/>
      <c r="CQ137" s="125"/>
    </row>
    <row r="138" spans="1:101" ht="45" outlineLevel="1" x14ac:dyDescent="0.25">
      <c r="A138" s="131" t="s">
        <v>1382</v>
      </c>
      <c r="B138" s="134" t="s">
        <v>32</v>
      </c>
      <c r="C138" s="134" t="s">
        <v>1831</v>
      </c>
      <c r="D138" s="134" t="s">
        <v>1832</v>
      </c>
      <c r="E138" s="134"/>
      <c r="F138" s="134" t="s">
        <v>1865</v>
      </c>
      <c r="G138" s="134"/>
      <c r="H138" s="134" t="s">
        <v>1856</v>
      </c>
      <c r="I138" s="134"/>
      <c r="J138" s="134" t="s">
        <v>1853</v>
      </c>
      <c r="K138" s="134"/>
      <c r="L138" s="134"/>
      <c r="M138" s="134" t="s">
        <v>1866</v>
      </c>
      <c r="N138" s="134"/>
      <c r="O138" s="134"/>
      <c r="P138" s="134" t="s">
        <v>1844</v>
      </c>
      <c r="Q138" s="134"/>
      <c r="R138" s="134"/>
      <c r="S138" s="134" t="s">
        <v>1857</v>
      </c>
      <c r="T138" s="134"/>
      <c r="U138" s="134" t="s">
        <v>436</v>
      </c>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6"/>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134"/>
      <c r="BM138" s="134"/>
      <c r="BN138" s="134"/>
      <c r="BO138" s="134"/>
      <c r="BP138" s="134"/>
      <c r="BQ138" s="134"/>
      <c r="BR138" s="134"/>
      <c r="BS138" s="134"/>
      <c r="BT138" s="134"/>
      <c r="BU138" s="134"/>
      <c r="BV138" s="134"/>
      <c r="BW138" s="131" t="str">
        <f t="shared" si="2"/>
        <v>PIsolation renforcée LECAPITAINE2 portes arrière ouverture totale (porte droite prioritaire)Escabeau arrière coulissant 5 marchesPlancher : Antidérapant sans passages de roues avec 1 siphon d'évacuation1 plafonnier à LED avec temporisationPavillon porteur avec 4 barres fixes et dents de loupTôlage des portes arrières en aluminiumProtection bas de parois sur 245 mm de hautProtection évaporateur</v>
      </c>
      <c r="CF138" s="125"/>
      <c r="CG138" s="125"/>
      <c r="CH138" s="125"/>
      <c r="CI138" s="125"/>
      <c r="CJ138" s="125"/>
      <c r="CK138" s="125"/>
      <c r="CL138" s="125"/>
      <c r="CM138" s="125"/>
      <c r="CN138" s="125"/>
      <c r="CO138" s="125"/>
      <c r="CP138" s="125"/>
      <c r="CQ138" s="125"/>
    </row>
    <row r="139" spans="1:101" ht="56.25" outlineLevel="1" x14ac:dyDescent="0.25">
      <c r="A139" s="131" t="s">
        <v>1384</v>
      </c>
      <c r="B139" s="134" t="s">
        <v>32</v>
      </c>
      <c r="C139" s="134" t="s">
        <v>1831</v>
      </c>
      <c r="D139" s="134" t="s">
        <v>1832</v>
      </c>
      <c r="E139" s="134" t="s">
        <v>1839</v>
      </c>
      <c r="F139" s="134" t="s">
        <v>1849</v>
      </c>
      <c r="G139" s="134"/>
      <c r="H139" s="134" t="s">
        <v>1856</v>
      </c>
      <c r="I139" s="134"/>
      <c r="J139" s="134" t="s">
        <v>1835</v>
      </c>
      <c r="K139" s="134"/>
      <c r="L139" s="134" t="s">
        <v>1860</v>
      </c>
      <c r="M139" s="134"/>
      <c r="N139" s="134" t="s">
        <v>1841</v>
      </c>
      <c r="O139" s="134" t="s">
        <v>1842</v>
      </c>
      <c r="P139" s="134"/>
      <c r="Q139" s="134"/>
      <c r="R139" s="134"/>
      <c r="S139" s="134" t="s">
        <v>1857</v>
      </c>
      <c r="T139" s="134"/>
      <c r="U139" s="134" t="s">
        <v>1867</v>
      </c>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6"/>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134"/>
      <c r="BM139" s="134"/>
      <c r="BN139" s="134"/>
      <c r="BO139" s="134"/>
      <c r="BP139" s="134"/>
      <c r="BQ139" s="134"/>
      <c r="BR139" s="134"/>
      <c r="BS139" s="134"/>
      <c r="BT139" s="134"/>
      <c r="BU139" s="134"/>
      <c r="BV139" s="134"/>
      <c r="BW139" s="131" t="str">
        <f t="shared" si="2"/>
        <v>PIsolation renforcée LECAPITAINE2 portes arrière ouverture totale (porte droite prioritaire)Porte latérale battante 1000 mm x 1950 mm à 105 mm à l'avant droitEscabeau arrière coulissant 4 marchesPlancher : Antidérapant sans passages de roues avec 1 siphon d'évacuation2 plafonniers à LED avec temporisation1 niveau de rail d'arrimage en acier galvanisé D + G à 900 mm du plancherCloison mobile relevable1 Rideau coulissant à lanières aux portes arrières et 1 rideau fixe à lanières à la porte latéraleProtection bas de parois sur 245 mm de hautProtections évaporateurs Av. et AR.</v>
      </c>
      <c r="CF139" s="125"/>
      <c r="CG139" s="125"/>
      <c r="CH139" s="125"/>
      <c r="CI139" s="125"/>
      <c r="CJ139" s="125"/>
      <c r="CK139" s="125"/>
      <c r="CL139" s="125"/>
      <c r="CM139" s="125"/>
      <c r="CN139" s="125"/>
      <c r="CO139" s="125"/>
      <c r="CP139" s="125"/>
      <c r="CQ139" s="125"/>
    </row>
    <row r="140" spans="1:101" s="124" customFormat="1" ht="33.75" outlineLevel="1" x14ac:dyDescent="0.25">
      <c r="A140" s="131" t="s">
        <v>1277</v>
      </c>
      <c r="B140" s="134" t="s">
        <v>32</v>
      </c>
      <c r="C140" s="134" t="s">
        <v>1831</v>
      </c>
      <c r="D140" s="134" t="s">
        <v>1832</v>
      </c>
      <c r="E140" s="134"/>
      <c r="F140" s="134" t="s">
        <v>1861</v>
      </c>
      <c r="G140" s="134"/>
      <c r="H140" s="134" t="s">
        <v>1856</v>
      </c>
      <c r="I140" s="134" t="s">
        <v>1862</v>
      </c>
      <c r="J140" s="134" t="s">
        <v>1853</v>
      </c>
      <c r="K140" s="134"/>
      <c r="L140" s="134"/>
      <c r="M140" s="134"/>
      <c r="N140" s="134"/>
      <c r="O140" s="134"/>
      <c r="P140" s="134"/>
      <c r="Q140" s="134"/>
      <c r="R140" s="134"/>
      <c r="S140" s="134" t="s">
        <v>1857</v>
      </c>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6"/>
      <c r="AR140" s="134"/>
      <c r="AS140" s="134"/>
      <c r="AT140" s="134"/>
      <c r="AU140" s="134"/>
      <c r="AV140" s="136"/>
      <c r="AW140" s="134"/>
      <c r="AX140" s="134"/>
      <c r="AY140" s="134"/>
      <c r="AZ140" s="134"/>
      <c r="BA140" s="134"/>
      <c r="BB140" s="134"/>
      <c r="BC140" s="134"/>
      <c r="BD140" s="134"/>
      <c r="BE140" s="134"/>
      <c r="BF140" s="134"/>
      <c r="BG140" s="134"/>
      <c r="BH140" s="134"/>
      <c r="BI140" s="134"/>
      <c r="BJ140" s="134"/>
      <c r="BK140" s="134"/>
      <c r="BL140" s="134"/>
      <c r="BM140" s="134"/>
      <c r="BN140" s="134"/>
      <c r="BO140" s="134"/>
      <c r="BP140" s="134"/>
      <c r="BQ140" s="134"/>
      <c r="BR140" s="134"/>
      <c r="BS140" s="134"/>
      <c r="BT140" s="134"/>
      <c r="BU140" s="134"/>
      <c r="BV140" s="134"/>
      <c r="BW140" s="131" t="str">
        <f t="shared" si="2"/>
        <v>PIsolation renforcée LECAPITAINE2 portes arrière ouverture totale (porte droite prioritaire)Escabeau arrière coulissant 2 marchesPlancher : Antidérapant sans passages de roues avec 1 siphon d'évacuationFaux châssis allégé RigidLink1 plafonnier à LED avec temporisationProtection bas de parois sur 245 mm de haut</v>
      </c>
      <c r="BX140" s="125"/>
      <c r="BY140" s="125"/>
      <c r="BZ140" s="125"/>
      <c r="CA140" s="125"/>
      <c r="CB140" s="125"/>
      <c r="CC140" s="125"/>
      <c r="CD140" s="125"/>
      <c r="CE140" s="125"/>
      <c r="CF140" s="125"/>
      <c r="CG140" s="125"/>
      <c r="CH140" s="125"/>
      <c r="CI140" s="125"/>
      <c r="CJ140" s="125"/>
      <c r="CK140" s="125"/>
      <c r="CL140" s="125"/>
      <c r="CM140" s="125"/>
      <c r="CN140" s="125"/>
      <c r="CO140" s="125"/>
      <c r="CP140" s="125"/>
      <c r="CQ140" s="125"/>
      <c r="CR140" s="139"/>
      <c r="CS140" s="139"/>
      <c r="CT140" s="139"/>
      <c r="CU140" s="139"/>
      <c r="CV140" s="139"/>
      <c r="CW140" s="139"/>
    </row>
    <row r="141" spans="1:101" s="124" customFormat="1" ht="56.25" outlineLevel="1" x14ac:dyDescent="0.25">
      <c r="A141" s="131" t="s">
        <v>1302</v>
      </c>
      <c r="B141" s="134" t="s">
        <v>32</v>
      </c>
      <c r="C141" s="134" t="s">
        <v>1868</v>
      </c>
      <c r="D141" s="134" t="s">
        <v>1869</v>
      </c>
      <c r="E141" s="134"/>
      <c r="F141" s="134" t="s">
        <v>758</v>
      </c>
      <c r="G141" s="134"/>
      <c r="H141" s="134" t="s">
        <v>1856</v>
      </c>
      <c r="I141" s="134" t="s">
        <v>1862</v>
      </c>
      <c r="J141" s="134" t="s">
        <v>1870</v>
      </c>
      <c r="K141" s="134"/>
      <c r="L141" s="134"/>
      <c r="M141" s="134"/>
      <c r="N141" s="134"/>
      <c r="O141" s="134"/>
      <c r="P141" s="134"/>
      <c r="Q141" s="134"/>
      <c r="R141" s="134"/>
      <c r="S141" s="134" t="s">
        <v>1857</v>
      </c>
      <c r="T141" s="134"/>
      <c r="U141" s="134"/>
      <c r="V141" s="134"/>
      <c r="W141" s="134"/>
      <c r="X141" s="134"/>
      <c r="Y141" s="134"/>
      <c r="Z141" s="134"/>
      <c r="AA141" s="134"/>
      <c r="AB141" s="134"/>
      <c r="AC141" s="134"/>
      <c r="AD141" s="134"/>
      <c r="AE141" s="134"/>
      <c r="AF141" s="134"/>
      <c r="AG141" s="134"/>
      <c r="AH141" s="134" t="s">
        <v>1871</v>
      </c>
      <c r="AI141" s="134"/>
      <c r="AJ141" s="134" t="s">
        <v>1872</v>
      </c>
      <c r="AK141" s="134"/>
      <c r="AL141" s="134"/>
      <c r="AM141" s="134"/>
      <c r="AN141" s="134"/>
      <c r="AO141" s="134"/>
      <c r="AP141" s="134"/>
      <c r="AQ141" s="136"/>
      <c r="AR141" s="134"/>
      <c r="AS141" s="134"/>
      <c r="AT141" s="134"/>
      <c r="AU141" s="134"/>
      <c r="AV141" s="136"/>
      <c r="AW141" s="134"/>
      <c r="AX141" s="134"/>
      <c r="AY141" s="134"/>
      <c r="AZ141" s="134"/>
      <c r="BA141" s="134"/>
      <c r="BB141" s="134"/>
      <c r="BC141" s="134"/>
      <c r="BD141" s="134"/>
      <c r="BE141" s="134"/>
      <c r="BF141" s="134"/>
      <c r="BG141" s="134"/>
      <c r="BH141" s="134"/>
      <c r="BI141" s="134"/>
      <c r="BJ141" s="134"/>
      <c r="BK141" s="134"/>
      <c r="BL141" s="134"/>
      <c r="BM141" s="134"/>
      <c r="BN141" s="134"/>
      <c r="BO141" s="134"/>
      <c r="BP141" s="134"/>
      <c r="BQ141" s="134"/>
      <c r="BR141" s="134"/>
      <c r="BS141" s="134"/>
      <c r="BT141" s="134"/>
      <c r="BU141" s="134"/>
      <c r="BV141" s="134"/>
      <c r="BW141" s="131" t="str">
        <f t="shared" si="2"/>
        <v>PIsolation renforcée caisse URBAN LECAPITAINE2 portes arrière ouverture totale (porte droite prioritaire) avec fermeture centralisée et blocage à 270° aimanté SIMPLE LOCKMarchepied arrière basculant 2 marches en aluminiumPlancher : Antidérapant sans passages de roues avec 1 siphon d'évacuationFaux châssis allégé RigidLink1 plafonnier à LED avec détecteur de présence Protection bas de parois sur 245 mm de hautProfil de caisse Aéro URBAN Phare de travail par bandeau arrière lumineux pour éclairage de la zone de travail (commandé à l’ouverture de porte)</v>
      </c>
      <c r="BX141" s="125"/>
      <c r="BY141" s="125"/>
      <c r="BZ141" s="125"/>
      <c r="CA141" s="125"/>
      <c r="CB141" s="125"/>
      <c r="CC141" s="125"/>
      <c r="CD141" s="125"/>
      <c r="CE141" s="125"/>
      <c r="CF141" s="125"/>
      <c r="CG141" s="125"/>
      <c r="CH141" s="125"/>
      <c r="CI141" s="125"/>
      <c r="CJ141" s="125"/>
      <c r="CK141" s="125"/>
      <c r="CL141" s="125"/>
      <c r="CM141" s="125"/>
      <c r="CN141" s="125"/>
      <c r="CO141" s="125"/>
      <c r="CP141" s="125"/>
      <c r="CQ141" s="125"/>
      <c r="CR141" s="139"/>
      <c r="CS141" s="139"/>
      <c r="CT141" s="139"/>
      <c r="CU141" s="139"/>
      <c r="CV141" s="139"/>
      <c r="CW141" s="139"/>
    </row>
    <row r="142" spans="1:101" ht="56.25" outlineLevel="1" x14ac:dyDescent="0.25">
      <c r="A142" s="131" t="s">
        <v>1356</v>
      </c>
      <c r="B142" s="134" t="s">
        <v>32</v>
      </c>
      <c r="C142" s="134" t="s">
        <v>1868</v>
      </c>
      <c r="D142" s="134" t="s">
        <v>1869</v>
      </c>
      <c r="E142" s="134"/>
      <c r="F142" s="134" t="s">
        <v>758</v>
      </c>
      <c r="G142" s="134"/>
      <c r="H142" s="134" t="s">
        <v>1858</v>
      </c>
      <c r="I142" s="134" t="s">
        <v>1862</v>
      </c>
      <c r="J142" s="134" t="s">
        <v>1870</v>
      </c>
      <c r="K142" s="134"/>
      <c r="L142" s="134"/>
      <c r="M142" s="134"/>
      <c r="N142" s="134"/>
      <c r="O142" s="134" t="s">
        <v>1859</v>
      </c>
      <c r="P142" s="134"/>
      <c r="Q142" s="134"/>
      <c r="R142" s="134"/>
      <c r="S142" s="134" t="s">
        <v>1857</v>
      </c>
      <c r="T142" s="134"/>
      <c r="U142" s="134"/>
      <c r="V142" s="134"/>
      <c r="W142" s="134"/>
      <c r="X142" s="134"/>
      <c r="Y142" s="134"/>
      <c r="Z142" s="134"/>
      <c r="AA142" s="134"/>
      <c r="AB142" s="134"/>
      <c r="AC142" s="134"/>
      <c r="AD142" s="134"/>
      <c r="AE142" s="134"/>
      <c r="AF142" s="134"/>
      <c r="AG142" s="134"/>
      <c r="AH142" s="134" t="s">
        <v>1871</v>
      </c>
      <c r="AI142" s="134"/>
      <c r="AJ142" s="134" t="s">
        <v>1872</v>
      </c>
      <c r="AK142" s="134"/>
      <c r="AL142" s="134"/>
      <c r="AM142" s="134"/>
      <c r="AN142" s="134"/>
      <c r="AO142" s="134"/>
      <c r="AP142" s="134"/>
      <c r="AQ142" s="136"/>
      <c r="AR142" s="134"/>
      <c r="AS142" s="134"/>
      <c r="AT142" s="134"/>
      <c r="AU142" s="134"/>
      <c r="AV142" s="136"/>
      <c r="AW142" s="134"/>
      <c r="AX142" s="134"/>
      <c r="AY142" s="134"/>
      <c r="AZ142" s="134"/>
      <c r="BA142" s="134"/>
      <c r="BB142" s="134"/>
      <c r="BC142" s="134"/>
      <c r="BD142" s="134"/>
      <c r="BE142" s="134"/>
      <c r="BF142" s="134"/>
      <c r="BG142" s="134"/>
      <c r="BH142" s="134"/>
      <c r="BI142" s="134"/>
      <c r="BJ142" s="134"/>
      <c r="BK142" s="134"/>
      <c r="BL142" s="134"/>
      <c r="BM142" s="134"/>
      <c r="BN142" s="134"/>
      <c r="BO142" s="134"/>
      <c r="BP142" s="134"/>
      <c r="BQ142" s="134"/>
      <c r="BR142" s="134"/>
      <c r="BS142" s="134"/>
      <c r="BT142" s="134"/>
      <c r="BU142" s="134"/>
      <c r="BV142" s="134"/>
      <c r="BW142" s="131" t="str">
        <f t="shared" si="2"/>
        <v>PIsolation renforcée caisse URBAN LECAPITAINE2 portes arrière ouverture totale (porte droite prioritaire) avec fermeture centralisée et blocage à 270° aimanté SIMPLE LOCKMarchepied arrière basculant 2 marches en aluminiumPlancher : Antidérapant sans passages de roues avec 2 siphons d'évacuation (avant droit + arrière droit)Faux châssis allégé RigidLink1 plafonnier à LED avec détecteur de présence 1 Rideau coulissant à lanières aux portes arrièresProtection bas de parois sur 245 mm de hautProfil de caisse Aéro URBAN Phare de travail par bandeau arrière lumineux pour éclairage de la zone de travail (commandé à l’ouverture de porte)</v>
      </c>
      <c r="CF142" s="125"/>
      <c r="CG142" s="125"/>
      <c r="CH142" s="125"/>
      <c r="CI142" s="125"/>
      <c r="CJ142" s="125"/>
      <c r="CK142" s="125"/>
      <c r="CL142" s="125"/>
      <c r="CM142" s="125"/>
      <c r="CN142" s="125"/>
      <c r="CO142" s="125"/>
      <c r="CP142" s="125"/>
      <c r="CQ142" s="125"/>
    </row>
    <row r="143" spans="1:101" ht="33.75" outlineLevel="1" x14ac:dyDescent="0.25">
      <c r="A143" s="131" t="s">
        <v>1280</v>
      </c>
      <c r="B143" s="134" t="s">
        <v>32</v>
      </c>
      <c r="C143" s="134" t="s">
        <v>1831</v>
      </c>
      <c r="D143" s="134" t="s">
        <v>1873</v>
      </c>
      <c r="E143" s="134"/>
      <c r="F143" s="134" t="s">
        <v>1861</v>
      </c>
      <c r="G143" s="134"/>
      <c r="H143" s="134" t="s">
        <v>1856</v>
      </c>
      <c r="I143" s="134" t="s">
        <v>1862</v>
      </c>
      <c r="J143" s="134" t="s">
        <v>1853</v>
      </c>
      <c r="K143" s="134"/>
      <c r="L143" s="134"/>
      <c r="M143" s="134"/>
      <c r="N143" s="134"/>
      <c r="O143" s="134"/>
      <c r="P143" s="134"/>
      <c r="Q143" s="134"/>
      <c r="R143" s="134"/>
      <c r="S143" s="134" t="s">
        <v>1857</v>
      </c>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6"/>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4"/>
      <c r="BN143" s="134"/>
      <c r="BO143" s="134"/>
      <c r="BP143" s="134"/>
      <c r="BQ143" s="134"/>
      <c r="BR143" s="134"/>
      <c r="BS143" s="134"/>
      <c r="BT143" s="134"/>
      <c r="BU143" s="134"/>
      <c r="BV143" s="134"/>
      <c r="BW143" s="131" t="str">
        <f t="shared" si="2"/>
        <v>PIsolation renforcée LECAPITAINECadre arrière 3 vantaux simplifiés avec porte centrale de largeur 1000 mmEscabeau arrière coulissant 2 marchesPlancher : Antidérapant sans passages de roues avec 1 siphon d'évacuationFaux châssis allégé RigidLink1 plafonnier à LED avec temporisationProtection bas de parois sur 245 mm de haut</v>
      </c>
      <c r="CF143" s="125"/>
      <c r="CG143" s="125"/>
      <c r="CH143" s="125"/>
      <c r="CI143" s="125"/>
      <c r="CJ143" s="125"/>
      <c r="CK143" s="125"/>
      <c r="CL143" s="125"/>
      <c r="CM143" s="125"/>
      <c r="CN143" s="125"/>
      <c r="CO143" s="125"/>
      <c r="CP143" s="125"/>
      <c r="CQ143" s="125"/>
    </row>
    <row r="144" spans="1:101" ht="56.25" outlineLevel="1" x14ac:dyDescent="0.25">
      <c r="A144" s="131" t="s">
        <v>1306</v>
      </c>
      <c r="B144" s="134" t="s">
        <v>32</v>
      </c>
      <c r="C144" s="134" t="s">
        <v>1868</v>
      </c>
      <c r="D144" s="134" t="s">
        <v>1874</v>
      </c>
      <c r="E144" s="134"/>
      <c r="F144" s="134" t="s">
        <v>758</v>
      </c>
      <c r="G144" s="134"/>
      <c r="H144" s="134" t="s">
        <v>1856</v>
      </c>
      <c r="I144" s="134" t="s">
        <v>1862</v>
      </c>
      <c r="J144" s="134" t="s">
        <v>1870</v>
      </c>
      <c r="K144" s="134"/>
      <c r="L144" s="134"/>
      <c r="M144" s="134"/>
      <c r="N144" s="134"/>
      <c r="O144" s="134"/>
      <c r="P144" s="134"/>
      <c r="Q144" s="134"/>
      <c r="R144" s="134"/>
      <c r="S144" s="134" t="s">
        <v>1857</v>
      </c>
      <c r="T144" s="134"/>
      <c r="U144" s="134"/>
      <c r="V144" s="134"/>
      <c r="W144" s="134"/>
      <c r="X144" s="134"/>
      <c r="Y144" s="134"/>
      <c r="Z144" s="134"/>
      <c r="AA144" s="134"/>
      <c r="AB144" s="134"/>
      <c r="AC144" s="134"/>
      <c r="AD144" s="134"/>
      <c r="AE144" s="134"/>
      <c r="AF144" s="134"/>
      <c r="AG144" s="134"/>
      <c r="AH144" s="134" t="s">
        <v>1871</v>
      </c>
      <c r="AI144" s="134"/>
      <c r="AJ144" s="134" t="s">
        <v>1872</v>
      </c>
      <c r="AK144" s="134"/>
      <c r="AL144" s="134"/>
      <c r="AM144" s="134"/>
      <c r="AN144" s="134"/>
      <c r="AO144" s="134"/>
      <c r="AP144" s="134"/>
      <c r="AQ144" s="136"/>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4"/>
      <c r="BN144" s="134"/>
      <c r="BO144" s="134"/>
      <c r="BP144" s="134"/>
      <c r="BQ144" s="134"/>
      <c r="BR144" s="134"/>
      <c r="BS144" s="134"/>
      <c r="BT144" s="134"/>
      <c r="BU144" s="134"/>
      <c r="BV144" s="134"/>
      <c r="BW144" s="131" t="str">
        <f t="shared" si="2"/>
        <v>PIsolation renforcée caisse URBAN LECAPITAINECadre arrière 3 vantaux simplifiés avec porte centrale de largeur 1000 mm avec fermeture centralisée et blocage à 270° aimanté SIMPLE LOCKMarchepied arrière basculant 2 marches en aluminiumPlancher : Antidérapant sans passages de roues avec 1 siphon d'évacuationFaux châssis allégé RigidLink1 plafonnier à LED avec détecteur de présence Protection bas de parois sur 245 mm de hautProfil de caisse Aéro URBAN Phare de travail par bandeau arrière lumineux pour éclairage de la zone de travail (commandé à l’ouverture de porte)</v>
      </c>
      <c r="CF144" s="125"/>
      <c r="CG144" s="125"/>
      <c r="CH144" s="125"/>
      <c r="CI144" s="125"/>
      <c r="CJ144" s="125"/>
      <c r="CK144" s="125"/>
      <c r="CL144" s="125"/>
      <c r="CM144" s="125"/>
      <c r="CN144" s="125"/>
      <c r="CO144" s="125"/>
      <c r="CP144" s="125"/>
      <c r="CQ144" s="125"/>
    </row>
    <row r="145" spans="1:101" ht="45" outlineLevel="1" x14ac:dyDescent="0.25">
      <c r="A145" s="131" t="s">
        <v>1284</v>
      </c>
      <c r="B145" s="134" t="s">
        <v>32</v>
      </c>
      <c r="C145" s="134" t="s">
        <v>1831</v>
      </c>
      <c r="D145" s="134" t="s">
        <v>1832</v>
      </c>
      <c r="E145" s="134"/>
      <c r="F145" s="134" t="s">
        <v>1865</v>
      </c>
      <c r="G145" s="134"/>
      <c r="H145" s="134" t="s">
        <v>1856</v>
      </c>
      <c r="I145" s="134" t="s">
        <v>1862</v>
      </c>
      <c r="J145" s="134" t="s">
        <v>1853</v>
      </c>
      <c r="K145" s="134"/>
      <c r="L145" s="134"/>
      <c r="M145" s="134" t="s">
        <v>1875</v>
      </c>
      <c r="N145" s="134"/>
      <c r="O145" s="134"/>
      <c r="P145" s="134" t="s">
        <v>1844</v>
      </c>
      <c r="Q145" s="134"/>
      <c r="R145" s="134"/>
      <c r="S145" s="134" t="s">
        <v>1857</v>
      </c>
      <c r="T145" s="134"/>
      <c r="U145" s="134" t="s">
        <v>436</v>
      </c>
      <c r="V145" s="134"/>
      <c r="W145" s="134"/>
      <c r="X145" s="134"/>
      <c r="Y145" s="134"/>
      <c r="Z145" s="134"/>
      <c r="AA145" s="134"/>
      <c r="AB145" s="134"/>
      <c r="AC145" s="134"/>
      <c r="AD145" s="134"/>
      <c r="AE145" s="134"/>
      <c r="AF145" s="134"/>
      <c r="AG145" s="134"/>
      <c r="AH145" s="134"/>
      <c r="AI145" s="134"/>
      <c r="AJ145" s="134"/>
      <c r="AK145" s="134"/>
      <c r="AL145" s="134"/>
      <c r="AM145" s="134"/>
      <c r="AN145" s="134"/>
      <c r="AO145" s="134"/>
      <c r="AP145" s="134"/>
      <c r="AQ145" s="136"/>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4"/>
      <c r="BN145" s="134"/>
      <c r="BO145" s="134"/>
      <c r="BP145" s="134"/>
      <c r="BQ145" s="134"/>
      <c r="BR145" s="134"/>
      <c r="BS145" s="134"/>
      <c r="BT145" s="134"/>
      <c r="BU145" s="134"/>
      <c r="BV145" s="134"/>
      <c r="BW145" s="131" t="str">
        <f t="shared" si="2"/>
        <v>PIsolation renforcée LECAPITAINE2 portes arrière ouverture totale (porte droite prioritaire)Escabeau arrière coulissant 5 marchesPlancher : Antidérapant sans passages de roues avec 1 siphon d'évacuationFaux châssis allégé RigidLink1 plafonnier à LED avec temporisationPavillon porteur avec 3 barres fixes et dents de loupTôlage des portes arrières en aluminiumProtection bas de parois sur 245 mm de hautProtection évaporateur</v>
      </c>
      <c r="CF145" s="125"/>
      <c r="CG145" s="125"/>
      <c r="CH145" s="125"/>
      <c r="CI145" s="125"/>
      <c r="CJ145" s="125"/>
      <c r="CK145" s="125"/>
      <c r="CL145" s="125"/>
      <c r="CM145" s="125"/>
      <c r="CN145" s="125"/>
      <c r="CO145" s="125"/>
      <c r="CP145" s="125"/>
      <c r="CQ145" s="125"/>
    </row>
    <row r="146" spans="1:101" ht="45" outlineLevel="1" x14ac:dyDescent="0.25">
      <c r="A146" s="131" t="s">
        <v>1287</v>
      </c>
      <c r="B146" s="134" t="s">
        <v>32</v>
      </c>
      <c r="C146" s="134" t="s">
        <v>1831</v>
      </c>
      <c r="D146" s="134" t="s">
        <v>1832</v>
      </c>
      <c r="E146" s="134" t="s">
        <v>1876</v>
      </c>
      <c r="F146" s="134"/>
      <c r="G146" s="134"/>
      <c r="H146" s="134" t="s">
        <v>1856</v>
      </c>
      <c r="I146" s="134" t="s">
        <v>1862</v>
      </c>
      <c r="J146" s="134" t="s">
        <v>1853</v>
      </c>
      <c r="K146" s="134"/>
      <c r="L146" s="134" t="s">
        <v>1860</v>
      </c>
      <c r="M146" s="134"/>
      <c r="N146" s="134"/>
      <c r="O146" s="134"/>
      <c r="P146" s="134"/>
      <c r="Q146" s="134"/>
      <c r="R146" s="134"/>
      <c r="S146" s="134" t="s">
        <v>1857</v>
      </c>
      <c r="T146" s="134"/>
      <c r="U146" s="134"/>
      <c r="V146" s="134"/>
      <c r="W146" s="134"/>
      <c r="X146" s="134"/>
      <c r="Y146" s="134"/>
      <c r="Z146" s="134"/>
      <c r="AA146" s="134"/>
      <c r="AB146" s="134"/>
      <c r="AC146" s="134"/>
      <c r="AD146" s="134"/>
      <c r="AE146" s="134" t="s">
        <v>1838</v>
      </c>
      <c r="AF146" s="134"/>
      <c r="AG146" s="134"/>
      <c r="AH146" s="134"/>
      <c r="AI146" s="134"/>
      <c r="AJ146" s="134"/>
      <c r="AK146" s="134"/>
      <c r="AL146" s="134"/>
      <c r="AM146" s="134"/>
      <c r="AN146" s="134"/>
      <c r="AO146" s="134"/>
      <c r="AP146" s="134"/>
      <c r="AQ146" s="136"/>
      <c r="AR146" s="134"/>
      <c r="AS146" s="134"/>
      <c r="AT146" s="134"/>
      <c r="AU146" s="134"/>
      <c r="AV146" s="136"/>
      <c r="AW146" s="134"/>
      <c r="AX146" s="134"/>
      <c r="AY146" s="134"/>
      <c r="AZ146" s="134"/>
      <c r="BA146" s="134"/>
      <c r="BB146" s="134"/>
      <c r="BC146" s="134"/>
      <c r="BD146" s="134"/>
      <c r="BE146" s="134"/>
      <c r="BF146" s="134"/>
      <c r="BG146" s="134"/>
      <c r="BH146" s="134"/>
      <c r="BI146" s="134"/>
      <c r="BJ146" s="134"/>
      <c r="BK146" s="134"/>
      <c r="BL146" s="134"/>
      <c r="BM146" s="134"/>
      <c r="BN146" s="134"/>
      <c r="BO146" s="134"/>
      <c r="BP146" s="134"/>
      <c r="BQ146" s="134"/>
      <c r="BR146" s="134"/>
      <c r="BS146" s="134"/>
      <c r="BT146" s="134"/>
      <c r="BU146" s="134"/>
      <c r="BV146" s="134"/>
      <c r="BW146" s="131" t="str">
        <f t="shared" si="2"/>
        <v>PIsolation renforcée LECAPITAINE2 portes arrière ouverture totale (porte droite prioritaire)Porte latérale battante 1000 mm x 1850 mm à 105 mm à l'avant droitPlancher : Antidérapant sans passages de roues avec 1 siphon d'évacuationFaux châssis allégé RigidLink1 plafonnier à LED avec temporisation1 niveau de rail d'arrimage en acier galvanisé D + G à 900 mm du plancherProtection bas de parois sur 245 mm de haut1 Prise de hayon pour commande filaire au pavillon à l’arrière droit</v>
      </c>
      <c r="CF146" s="125"/>
      <c r="CG146" s="125"/>
      <c r="CH146" s="125"/>
      <c r="CI146" s="125"/>
      <c r="CJ146" s="125"/>
      <c r="CK146" s="125"/>
      <c r="CL146" s="125"/>
      <c r="CM146" s="125"/>
      <c r="CN146" s="125"/>
      <c r="CO146" s="125"/>
      <c r="CP146" s="125"/>
      <c r="CQ146" s="125"/>
    </row>
    <row r="147" spans="1:101" ht="67.5" outlineLevel="1" x14ac:dyDescent="0.25">
      <c r="A147" s="131" t="s">
        <v>1308</v>
      </c>
      <c r="B147" s="134" t="s">
        <v>32</v>
      </c>
      <c r="C147" s="134" t="s">
        <v>1868</v>
      </c>
      <c r="D147" s="134" t="s">
        <v>1869</v>
      </c>
      <c r="E147" s="134" t="s">
        <v>1877</v>
      </c>
      <c r="F147" s="134"/>
      <c r="G147" s="134"/>
      <c r="H147" s="134" t="s">
        <v>1856</v>
      </c>
      <c r="I147" s="134" t="s">
        <v>1862</v>
      </c>
      <c r="J147" s="134" t="s">
        <v>1870</v>
      </c>
      <c r="K147" s="134"/>
      <c r="L147" s="134" t="s">
        <v>1878</v>
      </c>
      <c r="M147" s="134"/>
      <c r="N147" s="134"/>
      <c r="O147" s="134"/>
      <c r="P147" s="134"/>
      <c r="Q147" s="134"/>
      <c r="R147" s="134"/>
      <c r="S147" s="134" t="s">
        <v>1857</v>
      </c>
      <c r="T147" s="134"/>
      <c r="U147" s="134"/>
      <c r="V147" s="134"/>
      <c r="W147" s="134"/>
      <c r="X147" s="134"/>
      <c r="Y147" s="134"/>
      <c r="Z147" s="134"/>
      <c r="AA147" s="134"/>
      <c r="AB147" s="134"/>
      <c r="AC147" s="134"/>
      <c r="AD147" s="134"/>
      <c r="AE147" s="134" t="s">
        <v>1838</v>
      </c>
      <c r="AF147" s="134"/>
      <c r="AG147" s="134"/>
      <c r="AH147" s="134" t="s">
        <v>1871</v>
      </c>
      <c r="AI147" s="134"/>
      <c r="AJ147" s="134" t="s">
        <v>1872</v>
      </c>
      <c r="AK147" s="134"/>
      <c r="AL147" s="134"/>
      <c r="AM147" s="134"/>
      <c r="AN147" s="134"/>
      <c r="AO147" s="134"/>
      <c r="AP147" s="134"/>
      <c r="AQ147" s="136"/>
      <c r="AR147" s="134"/>
      <c r="AS147" s="134"/>
      <c r="AT147" s="134"/>
      <c r="AU147" s="134"/>
      <c r="AV147" s="136"/>
      <c r="AW147" s="134"/>
      <c r="AX147" s="134"/>
      <c r="AY147" s="134"/>
      <c r="AZ147" s="134"/>
      <c r="BA147" s="134"/>
      <c r="BB147" s="134"/>
      <c r="BC147" s="134"/>
      <c r="BD147" s="134"/>
      <c r="BE147" s="134"/>
      <c r="BF147" s="134"/>
      <c r="BG147" s="134"/>
      <c r="BH147" s="134"/>
      <c r="BI147" s="134"/>
      <c r="BJ147" s="134"/>
      <c r="BK147" s="134"/>
      <c r="BL147" s="134"/>
      <c r="BM147" s="134"/>
      <c r="BN147" s="134"/>
      <c r="BO147" s="134"/>
      <c r="BP147" s="134"/>
      <c r="BQ147" s="134"/>
      <c r="BR147" s="134"/>
      <c r="BS147" s="134"/>
      <c r="BT147" s="134"/>
      <c r="BU147" s="134"/>
      <c r="BV147" s="134"/>
      <c r="BW147" s="131" t="str">
        <f t="shared" si="2"/>
        <v>PIsolation renforcée caisse URBAN LECAPITAINE2 portes arrière ouverture totale (porte droite prioritaire) avec fermeture centralisée et blocage à 270° aimanté SIMPLE LOCKPorte latérale battante 1000 mm x 1850 mm à 450 mm de l'avant droit avec déverrouillage internePlancher : Antidérapant sans passages de roues avec 1 siphon d'évacuationFaux châssis allégé RigidLink1 plafonnier à LED avec détecteur de présence 1 niveau de rail d'arrimage en aluminium D + G à 900 mm du plancherProtection bas de parois sur 245 mm de haut1 Prise de hayon pour commande filaire au pavillon à l’arrière droitProfil de caisse Aéro URBAN Phare de travail par bandeau arrière lumineux pour éclairage de la zone de travail (commandé à l’ouverture de porte)</v>
      </c>
      <c r="CF147" s="125"/>
      <c r="CG147" s="125"/>
      <c r="CH147" s="125"/>
      <c r="CI147" s="125"/>
      <c r="CJ147" s="125"/>
      <c r="CK147" s="125"/>
      <c r="CL147" s="125"/>
      <c r="CM147" s="125"/>
      <c r="CN147" s="125"/>
      <c r="CO147" s="125"/>
      <c r="CP147" s="125"/>
      <c r="CQ147" s="125"/>
    </row>
    <row r="148" spans="1:101" ht="78.75" outlineLevel="1" x14ac:dyDescent="0.25">
      <c r="A148" s="131" t="s">
        <v>1360</v>
      </c>
      <c r="B148" s="134" t="s">
        <v>32</v>
      </c>
      <c r="C148" s="134" t="s">
        <v>1868</v>
      </c>
      <c r="D148" s="134" t="s">
        <v>1869</v>
      </c>
      <c r="E148" s="134" t="s">
        <v>1879</v>
      </c>
      <c r="F148" s="134"/>
      <c r="G148" s="134"/>
      <c r="H148" s="134" t="s">
        <v>1858</v>
      </c>
      <c r="I148" s="134" t="s">
        <v>1862</v>
      </c>
      <c r="J148" s="134" t="s">
        <v>1870</v>
      </c>
      <c r="K148" s="134"/>
      <c r="L148" s="134" t="s">
        <v>1878</v>
      </c>
      <c r="M148" s="134"/>
      <c r="N148" s="134"/>
      <c r="O148" s="134" t="s">
        <v>1842</v>
      </c>
      <c r="P148" s="134"/>
      <c r="Q148" s="134"/>
      <c r="R148" s="134"/>
      <c r="S148" s="134" t="s">
        <v>1857</v>
      </c>
      <c r="T148" s="134"/>
      <c r="U148" s="134"/>
      <c r="V148" s="134"/>
      <c r="W148" s="134"/>
      <c r="X148" s="134"/>
      <c r="Y148" s="134"/>
      <c r="Z148" s="134"/>
      <c r="AA148" s="134"/>
      <c r="AB148" s="134"/>
      <c r="AC148" s="134"/>
      <c r="AD148" s="134"/>
      <c r="AE148" s="134" t="s">
        <v>1838</v>
      </c>
      <c r="AF148" s="134"/>
      <c r="AG148" s="134"/>
      <c r="AH148" s="134" t="s">
        <v>1871</v>
      </c>
      <c r="AI148" s="134"/>
      <c r="AJ148" s="134" t="s">
        <v>1872</v>
      </c>
      <c r="AK148" s="134"/>
      <c r="AL148" s="134"/>
      <c r="AM148" s="134"/>
      <c r="AN148" s="134"/>
      <c r="AO148" s="134"/>
      <c r="AP148" s="134"/>
      <c r="AQ148" s="136"/>
      <c r="AR148" s="134"/>
      <c r="AS148" s="134"/>
      <c r="AT148" s="134"/>
      <c r="AU148" s="134"/>
      <c r="AV148" s="136"/>
      <c r="AW148" s="134"/>
      <c r="AX148" s="134"/>
      <c r="AY148" s="134"/>
      <c r="AZ148" s="134"/>
      <c r="BA148" s="134"/>
      <c r="BB148" s="134"/>
      <c r="BC148" s="134"/>
      <c r="BD148" s="134"/>
      <c r="BE148" s="134"/>
      <c r="BF148" s="134"/>
      <c r="BG148" s="134"/>
      <c r="BH148" s="134"/>
      <c r="BI148" s="134"/>
      <c r="BJ148" s="134"/>
      <c r="BK148" s="134"/>
      <c r="BL148" s="134"/>
      <c r="BM148" s="134"/>
      <c r="BN148" s="134"/>
      <c r="BO148" s="134"/>
      <c r="BP148" s="134"/>
      <c r="BQ148" s="134"/>
      <c r="BR148" s="134"/>
      <c r="BS148" s="134"/>
      <c r="BT148" s="134"/>
      <c r="BU148" s="134"/>
      <c r="BV148" s="134"/>
      <c r="BW148" s="131" t="str">
        <f t="shared" si="2"/>
        <v>PIsolation renforcée caisse URBAN LECAPITAINE2 portes arrière ouverture totale (porte droite prioritaire) avec fermeture centralisée et blocage à 270° aimanté SIMPLE LOCKPorte latérale battante 1000 mm x 1850 mm à 450 mm de l'avant droitPlancher : Antidérapant sans passages de roues avec 2 siphons d'évacuation (avant droit + arrière droit)Faux châssis allégé RigidLink1 plafonnier à LED avec détecteur de présence 1 niveau de rail d'arrimage en aluminium D + G à 900 mm du plancher1 Rideau coulissant à lanières aux portes arrières et 1 rideau fixe à lanières à la porte latéraleProtection bas de parois sur 245 mm de haut1 Prise de hayon pour commande filaire au pavillon à l’arrière droitProfil de caisse Aéro URBAN Phare de travail par bandeau arrière lumineux pour éclairage de la zone de travail (commandé à l’ouverture de porte)</v>
      </c>
      <c r="CF148" s="125"/>
      <c r="CG148" s="125"/>
      <c r="CH148" s="125"/>
      <c r="CI148" s="125"/>
      <c r="CJ148" s="125"/>
      <c r="CK148" s="125"/>
      <c r="CL148" s="125"/>
      <c r="CM148" s="125"/>
      <c r="CN148" s="125"/>
      <c r="CO148" s="125"/>
      <c r="CP148" s="125"/>
      <c r="CQ148" s="125"/>
    </row>
    <row r="149" spans="1:101" ht="56.25" outlineLevel="1" x14ac:dyDescent="0.25">
      <c r="A149" s="131" t="s">
        <v>1292</v>
      </c>
      <c r="B149" s="134" t="s">
        <v>32</v>
      </c>
      <c r="C149" s="134" t="s">
        <v>1831</v>
      </c>
      <c r="D149" s="134" t="s">
        <v>1832</v>
      </c>
      <c r="E149" s="134" t="s">
        <v>1839</v>
      </c>
      <c r="F149" s="134" t="s">
        <v>1861</v>
      </c>
      <c r="G149" s="134"/>
      <c r="H149" s="134" t="s">
        <v>1856</v>
      </c>
      <c r="I149" s="134" t="s">
        <v>1862</v>
      </c>
      <c r="J149" s="134" t="s">
        <v>1835</v>
      </c>
      <c r="K149" s="134"/>
      <c r="L149" s="134" t="s">
        <v>1860</v>
      </c>
      <c r="M149" s="134"/>
      <c r="N149" s="134" t="s">
        <v>1841</v>
      </c>
      <c r="O149" s="134" t="s">
        <v>1842</v>
      </c>
      <c r="P149" s="134"/>
      <c r="Q149" s="134"/>
      <c r="R149" s="134"/>
      <c r="S149" s="134" t="s">
        <v>1857</v>
      </c>
      <c r="T149" s="134"/>
      <c r="U149" s="134"/>
      <c r="V149" s="134"/>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6"/>
      <c r="AR149" s="134"/>
      <c r="AS149" s="134"/>
      <c r="AT149" s="134"/>
      <c r="AU149" s="134"/>
      <c r="AV149" s="136"/>
      <c r="AW149" s="134"/>
      <c r="AX149" s="134"/>
      <c r="AY149" s="134"/>
      <c r="AZ149" s="134"/>
      <c r="BA149" s="134"/>
      <c r="BB149" s="134"/>
      <c r="BC149" s="134"/>
      <c r="BD149" s="134"/>
      <c r="BE149" s="134"/>
      <c r="BF149" s="134"/>
      <c r="BG149" s="134"/>
      <c r="BH149" s="134"/>
      <c r="BI149" s="134"/>
      <c r="BJ149" s="134"/>
      <c r="BK149" s="134"/>
      <c r="BL149" s="134"/>
      <c r="BM149" s="134"/>
      <c r="BN149" s="134"/>
      <c r="BO149" s="134"/>
      <c r="BP149" s="134"/>
      <c r="BQ149" s="134"/>
      <c r="BR149" s="134"/>
      <c r="BS149" s="134"/>
      <c r="BT149" s="134"/>
      <c r="BU149" s="134"/>
      <c r="BV149" s="134"/>
      <c r="BW149" s="131" t="str">
        <f t="shared" si="2"/>
        <v>PIsolation renforcée LECAPITAINE2 portes arrière ouverture totale (porte droite prioritaire)Porte latérale battante 1000 mm x 1950 mm à 105 mm à l'avant droitEscabeau arrière coulissant 2 marchesPlancher : Antidérapant sans passages de roues avec 1 siphon d'évacuationFaux châssis allégé RigidLink2 plafonniers à LED avec temporisation1 niveau de rail d'arrimage en acier galvanisé D + G à 900 mm du plancherCloison mobile relevable1 Rideau coulissant à lanières aux portes arrières et 1 rideau fixe à lanières à la porte latéraleProtection bas de parois sur 245 mm de haut</v>
      </c>
      <c r="CF149" s="125"/>
      <c r="CG149" s="125"/>
      <c r="CH149" s="125"/>
      <c r="CI149" s="125"/>
      <c r="CJ149" s="125"/>
      <c r="CK149" s="125"/>
      <c r="CL149" s="125"/>
      <c r="CM149" s="125"/>
      <c r="CN149" s="125"/>
      <c r="CO149" s="125"/>
      <c r="CP149" s="125"/>
      <c r="CQ149" s="125"/>
    </row>
    <row r="150" spans="1:101" ht="78.75" outlineLevel="1" x14ac:dyDescent="0.25">
      <c r="A150" s="131" t="s">
        <v>1311</v>
      </c>
      <c r="B150" s="134" t="s">
        <v>32</v>
      </c>
      <c r="C150" s="134" t="s">
        <v>1868</v>
      </c>
      <c r="D150" s="134" t="s">
        <v>1869</v>
      </c>
      <c r="E150" s="134" t="s">
        <v>1880</v>
      </c>
      <c r="F150" s="134" t="s">
        <v>758</v>
      </c>
      <c r="G150" s="134"/>
      <c r="H150" s="134" t="s">
        <v>1856</v>
      </c>
      <c r="I150" s="134" t="s">
        <v>1862</v>
      </c>
      <c r="J150" s="134" t="s">
        <v>1881</v>
      </c>
      <c r="K150" s="134"/>
      <c r="L150" s="134" t="s">
        <v>1878</v>
      </c>
      <c r="M150" s="134"/>
      <c r="N150" s="134" t="s">
        <v>1841</v>
      </c>
      <c r="O150" s="134" t="s">
        <v>1882</v>
      </c>
      <c r="P150" s="134"/>
      <c r="Q150" s="134"/>
      <c r="R150" s="134"/>
      <c r="S150" s="134" t="s">
        <v>1857</v>
      </c>
      <c r="T150" s="134"/>
      <c r="U150" s="134" t="s">
        <v>440</v>
      </c>
      <c r="V150" s="134"/>
      <c r="W150" s="134"/>
      <c r="X150" s="134"/>
      <c r="Y150" s="134"/>
      <c r="Z150" s="134"/>
      <c r="AA150" s="134"/>
      <c r="AB150" s="134"/>
      <c r="AC150" s="134"/>
      <c r="AD150" s="134"/>
      <c r="AE150" s="134"/>
      <c r="AF150" s="134"/>
      <c r="AG150" s="134"/>
      <c r="AH150" s="134"/>
      <c r="AI150" s="134"/>
      <c r="AJ150" s="134" t="s">
        <v>1872</v>
      </c>
      <c r="AK150" s="134"/>
      <c r="AL150" s="134"/>
      <c r="AM150" s="134"/>
      <c r="AN150" s="134"/>
      <c r="AO150" s="134"/>
      <c r="AP150" s="134"/>
      <c r="AQ150" s="136"/>
      <c r="AR150" s="134"/>
      <c r="AS150" s="134"/>
      <c r="AT150" s="134"/>
      <c r="AU150" s="134"/>
      <c r="AV150" s="136"/>
      <c r="AW150" s="134"/>
      <c r="AX150" s="134"/>
      <c r="AY150" s="134"/>
      <c r="AZ150" s="134"/>
      <c r="BA150" s="134"/>
      <c r="BB150" s="134"/>
      <c r="BC150" s="134"/>
      <c r="BD150" s="134"/>
      <c r="BE150" s="134"/>
      <c r="BF150" s="134"/>
      <c r="BG150" s="134"/>
      <c r="BH150" s="134"/>
      <c r="BI150" s="134"/>
      <c r="BJ150" s="134"/>
      <c r="BK150" s="134"/>
      <c r="BL150" s="134"/>
      <c r="BM150" s="134"/>
      <c r="BN150" s="134"/>
      <c r="BO150" s="134"/>
      <c r="BP150" s="134"/>
      <c r="BQ150" s="134"/>
      <c r="BR150" s="134"/>
      <c r="BS150" s="134"/>
      <c r="BT150" s="134"/>
      <c r="BU150" s="134"/>
      <c r="BV150" s="134"/>
      <c r="BW150" s="131" t="str">
        <f t="shared" si="2"/>
        <v>PIsolation renforcée caisse URBAN LECAPITAINE2 portes arrière ouverture totale (porte droite prioritaire) avec fermeture centralisée et blocage à 270° aimanté SIMPLE LOCKPorte latérale battante 1000 mm x 1950 mm à 100 mm de l'avant droitMarchepied arrière basculant 2 marches en aluminiumPlancher : Antidérapant sans passages de roues avec 1 siphon d'évacuationFaux châssis allégé RigidLink2 plafonniers à LED avec détecteur de présence 1 niveau de rail d'arrimage en aluminium D + G à 900 mm du plancherCloison mobile relevable1 rideau coulissant à lanières aux portes arrières et 1 rideau fixe à lanières à la porte latéraleProtection bas de parois sur 245 mm de hautProtection évaporateur avant et arrièrePhare de travail par bandeau arrière lumineux pour éclairage de la zone de travail (commandé à l’ouverture de porte)</v>
      </c>
      <c r="CF150" s="125"/>
      <c r="CG150" s="125"/>
      <c r="CH150" s="125"/>
      <c r="CI150" s="125"/>
      <c r="CJ150" s="125"/>
      <c r="CK150" s="125"/>
      <c r="CL150" s="125"/>
      <c r="CM150" s="125"/>
      <c r="CN150" s="125"/>
      <c r="CO150" s="125"/>
      <c r="CP150" s="125"/>
      <c r="CQ150" s="125"/>
    </row>
    <row r="151" spans="1:101" ht="78.75" outlineLevel="1" x14ac:dyDescent="0.25">
      <c r="A151" s="131" t="s">
        <v>1364</v>
      </c>
      <c r="B151" s="134" t="s">
        <v>32</v>
      </c>
      <c r="C151" s="134" t="s">
        <v>1868</v>
      </c>
      <c r="D151" s="134" t="s">
        <v>1869</v>
      </c>
      <c r="E151" s="134" t="s">
        <v>1883</v>
      </c>
      <c r="F151" s="134" t="s">
        <v>758</v>
      </c>
      <c r="G151" s="134"/>
      <c r="H151" s="134" t="s">
        <v>1858</v>
      </c>
      <c r="I151" s="134" t="s">
        <v>1862</v>
      </c>
      <c r="J151" s="134" t="s">
        <v>1881</v>
      </c>
      <c r="K151" s="134"/>
      <c r="L151" s="134" t="s">
        <v>1878</v>
      </c>
      <c r="M151" s="134"/>
      <c r="N151" s="134" t="s">
        <v>1841</v>
      </c>
      <c r="O151" s="134" t="s">
        <v>1882</v>
      </c>
      <c r="P151" s="134"/>
      <c r="Q151" s="134"/>
      <c r="R151" s="134"/>
      <c r="S151" s="134" t="s">
        <v>1857</v>
      </c>
      <c r="T151" s="134"/>
      <c r="U151" s="134" t="s">
        <v>440</v>
      </c>
      <c r="V151" s="134"/>
      <c r="W151" s="134"/>
      <c r="X151" s="134"/>
      <c r="Y151" s="134"/>
      <c r="Z151" s="134"/>
      <c r="AA151" s="134"/>
      <c r="AB151" s="134"/>
      <c r="AC151" s="134"/>
      <c r="AD151" s="134"/>
      <c r="AE151" s="134"/>
      <c r="AF151" s="134"/>
      <c r="AG151" s="134"/>
      <c r="AH151" s="134"/>
      <c r="AI151" s="134"/>
      <c r="AJ151" s="134" t="s">
        <v>1872</v>
      </c>
      <c r="AK151" s="134"/>
      <c r="AL151" s="134"/>
      <c r="AM151" s="134"/>
      <c r="AN151" s="134"/>
      <c r="AO151" s="134"/>
      <c r="AP151" s="134"/>
      <c r="AQ151" s="136"/>
      <c r="AR151" s="134"/>
      <c r="AS151" s="134"/>
      <c r="AT151" s="134"/>
      <c r="AU151" s="134"/>
      <c r="AV151" s="136"/>
      <c r="AW151" s="134"/>
      <c r="AX151" s="134"/>
      <c r="AY151" s="134"/>
      <c r="AZ151" s="134"/>
      <c r="BA151" s="134"/>
      <c r="BB151" s="134"/>
      <c r="BC151" s="134"/>
      <c r="BD151" s="134"/>
      <c r="BE151" s="134"/>
      <c r="BF151" s="134"/>
      <c r="BG151" s="134"/>
      <c r="BH151" s="134"/>
      <c r="BI151" s="134"/>
      <c r="BJ151" s="134"/>
      <c r="BK151" s="134"/>
      <c r="BL151" s="134"/>
      <c r="BM151" s="134"/>
      <c r="BN151" s="134"/>
      <c r="BO151" s="134"/>
      <c r="BP151" s="134"/>
      <c r="BQ151" s="134"/>
      <c r="BR151" s="134"/>
      <c r="BS151" s="134"/>
      <c r="BT151" s="134"/>
      <c r="BU151" s="134"/>
      <c r="BV151" s="134"/>
      <c r="BW151" s="131" t="str">
        <f t="shared" si="2"/>
        <v>PIsolation renforcée caisse URBAN LECAPITAINE2 portes arrière ouverture totale (porte droite prioritaire) avec fermeture centralisée et blocage à 270° aimanté SIMPLE LOCKPorte latérale battante 1000 mm x 1950 mm à 105 mm de l'avant droitMarchepied arrière basculant 2 marches en aluminiumPlancher : Antidérapant sans passages de roues avec 2 siphons d'évacuation (avant droit + arrière droit)Faux châssis allégé RigidLink2 plafonniers à LED avec détecteur de présence 1 niveau de rail d'arrimage en aluminium D + G à 900 mm du plancherCloison mobile relevable1 rideau coulissant à lanières aux portes arrières et 1 rideau fixe à lanières à la porte latéraleProtection bas de parois sur 245 mm de hautProtection évaporateur avant et arrièrePhare de travail par bandeau arrière lumineux pour éclairage de la zone de travail (commandé à l’ouverture de porte)</v>
      </c>
      <c r="CF151" s="125"/>
      <c r="CG151" s="125"/>
      <c r="CH151" s="125"/>
      <c r="CI151" s="125"/>
      <c r="CJ151" s="125"/>
      <c r="CK151" s="125"/>
      <c r="CL151" s="125"/>
      <c r="CM151" s="125"/>
      <c r="CN151" s="125"/>
      <c r="CO151" s="125"/>
      <c r="CP151" s="125"/>
      <c r="CQ151" s="125"/>
    </row>
    <row r="152" spans="1:101" s="124" customFormat="1" ht="33.75" outlineLevel="1" x14ac:dyDescent="0.25">
      <c r="A152" s="131" t="s">
        <v>1297</v>
      </c>
      <c r="B152" s="134" t="s">
        <v>32</v>
      </c>
      <c r="C152" s="134" t="s">
        <v>1831</v>
      </c>
      <c r="D152" s="134" t="s">
        <v>1832</v>
      </c>
      <c r="E152" s="134"/>
      <c r="F152" s="134" t="s">
        <v>1861</v>
      </c>
      <c r="G152" s="134"/>
      <c r="H152" s="134" t="s">
        <v>1856</v>
      </c>
      <c r="I152" s="134" t="s">
        <v>1862</v>
      </c>
      <c r="J152" s="134" t="s">
        <v>1853</v>
      </c>
      <c r="K152" s="134"/>
      <c r="L152" s="134"/>
      <c r="M152" s="134"/>
      <c r="N152" s="134"/>
      <c r="O152" s="134"/>
      <c r="P152" s="134"/>
      <c r="Q152" s="134"/>
      <c r="R152" s="134"/>
      <c r="S152" s="134" t="s">
        <v>1857</v>
      </c>
      <c r="T152" s="134"/>
      <c r="U152" s="134"/>
      <c r="V152" s="134"/>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6"/>
      <c r="AR152" s="134"/>
      <c r="AS152" s="134"/>
      <c r="AT152" s="134"/>
      <c r="AU152" s="134"/>
      <c r="AV152" s="134"/>
      <c r="AW152" s="134"/>
      <c r="AX152" s="134"/>
      <c r="AY152" s="134"/>
      <c r="AZ152" s="134"/>
      <c r="BA152" s="134"/>
      <c r="BB152" s="134"/>
      <c r="BC152" s="134"/>
      <c r="BD152" s="134"/>
      <c r="BE152" s="134"/>
      <c r="BF152" s="134"/>
      <c r="BG152" s="134"/>
      <c r="BH152" s="134"/>
      <c r="BI152" s="134"/>
      <c r="BJ152" s="134"/>
      <c r="BK152" s="134"/>
      <c r="BL152" s="134"/>
      <c r="BM152" s="134"/>
      <c r="BN152" s="134"/>
      <c r="BO152" s="134"/>
      <c r="BP152" s="134"/>
      <c r="BQ152" s="134"/>
      <c r="BR152" s="134"/>
      <c r="BS152" s="134"/>
      <c r="BT152" s="134"/>
      <c r="BU152" s="134"/>
      <c r="BV152" s="134"/>
      <c r="BW152" s="131" t="str">
        <f t="shared" si="2"/>
        <v>PIsolation renforcée LECAPITAINE2 portes arrière ouverture totale (porte droite prioritaire)Escabeau arrière coulissant 2 marchesPlancher : Antidérapant sans passages de roues avec 1 siphon d'évacuationFaux châssis allégé RigidLink1 plafonnier à LED avec temporisationProtection bas de parois sur 245 mm de haut</v>
      </c>
      <c r="BX152" s="125"/>
      <c r="BY152" s="125"/>
      <c r="BZ152" s="125"/>
      <c r="CA152" s="125"/>
      <c r="CB152" s="125"/>
      <c r="CC152" s="125"/>
      <c r="CD152" s="125"/>
      <c r="CE152" s="125"/>
      <c r="CF152" s="125"/>
      <c r="CG152" s="125"/>
      <c r="CH152" s="125"/>
      <c r="CI152" s="125"/>
      <c r="CJ152" s="125"/>
      <c r="CK152" s="125"/>
      <c r="CL152" s="125"/>
      <c r="CM152" s="125"/>
      <c r="CN152" s="125"/>
      <c r="CO152" s="125"/>
      <c r="CP152" s="125"/>
      <c r="CQ152" s="125"/>
      <c r="CR152" s="139"/>
      <c r="CS152" s="139"/>
      <c r="CT152" s="139"/>
      <c r="CU152" s="139"/>
      <c r="CV152" s="139"/>
      <c r="CW152" s="139"/>
    </row>
    <row r="153" spans="1:101" ht="33.75" outlineLevel="1" x14ac:dyDescent="0.25">
      <c r="A153" s="131" t="s">
        <v>1325</v>
      </c>
      <c r="B153" s="134" t="s">
        <v>32</v>
      </c>
      <c r="C153" s="134" t="s">
        <v>1831</v>
      </c>
      <c r="D153" s="134" t="s">
        <v>1873</v>
      </c>
      <c r="E153" s="134"/>
      <c r="F153" s="134" t="s">
        <v>1861</v>
      </c>
      <c r="G153" s="134"/>
      <c r="H153" s="134" t="s">
        <v>1856</v>
      </c>
      <c r="I153" s="134" t="s">
        <v>1862</v>
      </c>
      <c r="J153" s="134" t="s">
        <v>1853</v>
      </c>
      <c r="K153" s="134"/>
      <c r="L153" s="134"/>
      <c r="M153" s="134"/>
      <c r="N153" s="134"/>
      <c r="O153" s="134"/>
      <c r="P153" s="134"/>
      <c r="Q153" s="134"/>
      <c r="R153" s="134"/>
      <c r="S153" s="134" t="s">
        <v>1857</v>
      </c>
      <c r="T153" s="134"/>
      <c r="U153" s="134"/>
      <c r="V153" s="134"/>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6"/>
      <c r="AR153" s="134"/>
      <c r="AS153" s="134"/>
      <c r="AT153" s="134"/>
      <c r="AU153" s="134"/>
      <c r="AV153" s="134"/>
      <c r="AW153" s="134"/>
      <c r="AX153" s="134"/>
      <c r="AY153" s="134"/>
      <c r="AZ153" s="134"/>
      <c r="BA153" s="134"/>
      <c r="BB153" s="134"/>
      <c r="BC153" s="134"/>
      <c r="BD153" s="134"/>
      <c r="BE153" s="134"/>
      <c r="BF153" s="134"/>
      <c r="BG153" s="134"/>
      <c r="BH153" s="134"/>
      <c r="BI153" s="134"/>
      <c r="BJ153" s="134"/>
      <c r="BK153" s="134"/>
      <c r="BL153" s="134"/>
      <c r="BM153" s="134"/>
      <c r="BN153" s="134"/>
      <c r="BO153" s="134"/>
      <c r="BP153" s="134"/>
      <c r="BQ153" s="134"/>
      <c r="BR153" s="134"/>
      <c r="BS153" s="134"/>
      <c r="BT153" s="134"/>
      <c r="BU153" s="134"/>
      <c r="BV153" s="134"/>
      <c r="BW153" s="131" t="str">
        <f t="shared" si="2"/>
        <v>PIsolation renforcée LECAPITAINECadre arrière 3 vantaux simplifiés avec porte centrale de largeur 1000 mmEscabeau arrière coulissant 2 marchesPlancher : Antidérapant sans passages de roues avec 1 siphon d'évacuationFaux châssis allégé RigidLink1 plafonnier à LED avec temporisationProtection bas de parois sur 245 mm de haut</v>
      </c>
      <c r="CF153" s="125"/>
      <c r="CG153" s="125"/>
      <c r="CH153" s="125"/>
      <c r="CI153" s="125"/>
      <c r="CJ153" s="125"/>
      <c r="CK153" s="125"/>
      <c r="CL153" s="125"/>
      <c r="CM153" s="125"/>
      <c r="CN153" s="125"/>
      <c r="CO153" s="125"/>
      <c r="CP153" s="125"/>
      <c r="CQ153" s="125"/>
    </row>
    <row r="154" spans="1:101" ht="45" outlineLevel="1" x14ac:dyDescent="0.25">
      <c r="A154" s="131" t="s">
        <v>1328</v>
      </c>
      <c r="B154" s="134" t="s">
        <v>32</v>
      </c>
      <c r="C154" s="134" t="s">
        <v>1831</v>
      </c>
      <c r="D154" s="134" t="s">
        <v>1832</v>
      </c>
      <c r="E154" s="134" t="s">
        <v>1876</v>
      </c>
      <c r="F154" s="134"/>
      <c r="G154" s="134"/>
      <c r="H154" s="134" t="s">
        <v>1856</v>
      </c>
      <c r="I154" s="134" t="s">
        <v>1862</v>
      </c>
      <c r="J154" s="134" t="s">
        <v>1853</v>
      </c>
      <c r="K154" s="134"/>
      <c r="L154" s="134" t="s">
        <v>1860</v>
      </c>
      <c r="M154" s="134"/>
      <c r="N154" s="134"/>
      <c r="O154" s="134"/>
      <c r="P154" s="134"/>
      <c r="Q154" s="134"/>
      <c r="R154" s="134"/>
      <c r="S154" s="134" t="s">
        <v>1857</v>
      </c>
      <c r="T154" s="134"/>
      <c r="U154" s="134"/>
      <c r="V154" s="134"/>
      <c r="W154" s="134"/>
      <c r="X154" s="134"/>
      <c r="Y154" s="134"/>
      <c r="Z154" s="134"/>
      <c r="AA154" s="134"/>
      <c r="AB154" s="134"/>
      <c r="AC154" s="134"/>
      <c r="AD154" s="134"/>
      <c r="AE154" s="183" t="s">
        <v>1838</v>
      </c>
      <c r="AF154" s="134"/>
      <c r="AG154" s="134"/>
      <c r="AH154" s="134"/>
      <c r="AI154" s="134"/>
      <c r="AJ154" s="134"/>
      <c r="AK154" s="134"/>
      <c r="AL154" s="134"/>
      <c r="AM154" s="134"/>
      <c r="AN154" s="134"/>
      <c r="AO154" s="134"/>
      <c r="AP154" s="134"/>
      <c r="AQ154" s="136"/>
      <c r="AR154" s="134"/>
      <c r="AS154" s="134"/>
      <c r="AT154" s="134"/>
      <c r="AU154" s="134"/>
      <c r="AV154" s="136"/>
      <c r="AW154" s="134"/>
      <c r="AX154" s="134"/>
      <c r="AY154" s="134"/>
      <c r="AZ154" s="134"/>
      <c r="BA154" s="134"/>
      <c r="BB154" s="134"/>
      <c r="BC154" s="134"/>
      <c r="BD154" s="134"/>
      <c r="BE154" s="134"/>
      <c r="BF154" s="134"/>
      <c r="BG154" s="134"/>
      <c r="BH154" s="134"/>
      <c r="BI154" s="134"/>
      <c r="BJ154" s="134"/>
      <c r="BK154" s="134"/>
      <c r="BL154" s="134"/>
      <c r="BM154" s="134"/>
      <c r="BN154" s="134"/>
      <c r="BO154" s="134"/>
      <c r="BP154" s="134"/>
      <c r="BQ154" s="134"/>
      <c r="BR154" s="134"/>
      <c r="BS154" s="134"/>
      <c r="BT154" s="134"/>
      <c r="BU154" s="134"/>
      <c r="BV154" s="134"/>
      <c r="BW154" s="131" t="str">
        <f t="shared" si="2"/>
        <v>PIsolation renforcée LECAPITAINE2 portes arrière ouverture totale (porte droite prioritaire)Porte latérale battante 1000 mm x 1850 mm à 105 mm à l'avant droitPlancher : Antidérapant sans passages de roues avec 1 siphon d'évacuationFaux châssis allégé RigidLink1 plafonnier à LED avec temporisation1 niveau de rail d'arrimage en acier galvanisé D + G à 900 mm du plancherProtection bas de parois sur 245 mm de haut1 Prise de hayon pour commande filaire au pavillon à l’arrière droit</v>
      </c>
      <c r="CF154" s="125"/>
      <c r="CG154" s="125"/>
      <c r="CH154" s="125"/>
      <c r="CI154" s="125"/>
      <c r="CJ154" s="125"/>
      <c r="CK154" s="125"/>
      <c r="CL154" s="125"/>
      <c r="CM154" s="125"/>
      <c r="CN154" s="125"/>
      <c r="CO154" s="125"/>
      <c r="CP154" s="125"/>
      <c r="CQ154" s="125"/>
    </row>
    <row r="155" spans="1:101" ht="45" outlineLevel="1" x14ac:dyDescent="0.25">
      <c r="A155" s="131" t="s">
        <v>1503</v>
      </c>
      <c r="B155" s="134" t="s">
        <v>32</v>
      </c>
      <c r="C155" s="134" t="s">
        <v>1831</v>
      </c>
      <c r="D155" s="134" t="s">
        <v>1884</v>
      </c>
      <c r="E155" s="134"/>
      <c r="F155" s="134" t="s">
        <v>1851</v>
      </c>
      <c r="G155" s="134"/>
      <c r="H155" s="134" t="s">
        <v>1885</v>
      </c>
      <c r="I155" s="134"/>
      <c r="J155" s="134" t="s">
        <v>1853</v>
      </c>
      <c r="K155" s="134"/>
      <c r="L155" s="134"/>
      <c r="M155" s="134"/>
      <c r="N155" s="134"/>
      <c r="O155" s="134" t="s">
        <v>1886</v>
      </c>
      <c r="P155" s="134"/>
      <c r="Q155" s="134"/>
      <c r="R155" s="134"/>
      <c r="S155" s="134"/>
      <c r="T155" s="134"/>
      <c r="U155" s="134"/>
      <c r="V155" s="134"/>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6"/>
      <c r="AR155" s="134"/>
      <c r="AS155" s="134"/>
      <c r="AT155" s="134"/>
      <c r="AU155" s="134"/>
      <c r="AV155" s="134"/>
      <c r="AW155" s="134"/>
      <c r="AX155" s="136"/>
      <c r="AY155" s="134"/>
      <c r="AZ155" s="131"/>
      <c r="BA155" s="134"/>
      <c r="BB155" s="134"/>
      <c r="BC155" s="134"/>
      <c r="BD155" s="134"/>
      <c r="BE155" s="134"/>
      <c r="BF155" s="134"/>
      <c r="BG155" s="134"/>
      <c r="BH155" s="134"/>
      <c r="BI155" s="134"/>
      <c r="BJ155" s="134"/>
      <c r="BK155" s="134"/>
      <c r="BL155" s="134"/>
      <c r="BM155" s="134"/>
      <c r="BN155" s="134"/>
      <c r="BO155" s="134"/>
      <c r="BP155" s="134"/>
      <c r="BQ155" s="134"/>
      <c r="BR155" s="134"/>
      <c r="BS155" s="134"/>
      <c r="BT155" s="134"/>
      <c r="BU155" s="134"/>
      <c r="BV155" s="134"/>
      <c r="BW155" s="131" t="str">
        <f t="shared" si="2"/>
        <v>PIsolation renforcée LECAPITAINE1 Porte arrière 900 mm x 1250 mmMarchepied fixe 1 marchePlancher : Antidérapant avec passages de roues (largeur entre passages de roues : 1177 mm) avec 1 siphon d'évacuation1 plafonnier à LED avec temporisation1 rideau à lanières fixes à la porte arrière</v>
      </c>
      <c r="CF155" s="125"/>
      <c r="CG155" s="125"/>
      <c r="CH155" s="125"/>
      <c r="CI155" s="125"/>
      <c r="CJ155" s="125"/>
      <c r="CK155" s="125"/>
      <c r="CL155" s="125"/>
      <c r="CM155" s="125"/>
      <c r="CN155" s="125"/>
      <c r="CO155" s="125"/>
      <c r="CP155" s="125"/>
      <c r="CQ155" s="125"/>
    </row>
    <row r="156" spans="1:101" ht="45" outlineLevel="1" x14ac:dyDescent="0.25">
      <c r="A156" s="131" t="s">
        <v>1483</v>
      </c>
      <c r="B156" s="134" t="s">
        <v>32</v>
      </c>
      <c r="C156" s="134" t="s">
        <v>1831</v>
      </c>
      <c r="D156" s="134" t="s">
        <v>1884</v>
      </c>
      <c r="E156" s="134"/>
      <c r="F156" s="134" t="s">
        <v>1851</v>
      </c>
      <c r="G156" s="134"/>
      <c r="H156" s="134" t="s">
        <v>1885</v>
      </c>
      <c r="I156" s="134"/>
      <c r="J156" s="134" t="s">
        <v>1887</v>
      </c>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6"/>
      <c r="AY156" s="134"/>
      <c r="AZ156" s="131"/>
      <c r="BA156" s="134"/>
      <c r="BB156" s="134"/>
      <c r="BC156" s="134"/>
      <c r="BD156" s="134"/>
      <c r="BE156" s="134"/>
      <c r="BF156" s="134"/>
      <c r="BG156" s="134"/>
      <c r="BH156" s="134"/>
      <c r="BI156" s="134"/>
      <c r="BJ156" s="134"/>
      <c r="BK156" s="134"/>
      <c r="BL156" s="134"/>
      <c r="BM156" s="134"/>
      <c r="BN156" s="134"/>
      <c r="BO156" s="134"/>
      <c r="BP156" s="134"/>
      <c r="BQ156" s="134"/>
      <c r="BR156" s="134"/>
      <c r="BS156" s="134"/>
      <c r="BT156" s="134"/>
      <c r="BU156" s="134"/>
      <c r="BV156" s="134"/>
      <c r="BW156" s="131" t="str">
        <f t="shared" si="2"/>
        <v>PIsolation renforcée LECAPITAINE1 Porte arrière 900 mm x 1250 mmMarchepied fixe 1 marchePlancher : Antidérapant avec passages de roues (largeur entre passages de roues : 1177 mm) avec 1 siphon d'évacuation1 plafonnier à LED</v>
      </c>
      <c r="CF156" s="125"/>
      <c r="CG156" s="125"/>
      <c r="CH156" s="125"/>
      <c r="CI156" s="125"/>
      <c r="CJ156" s="125"/>
      <c r="CK156" s="125"/>
      <c r="CL156" s="125"/>
      <c r="CM156" s="125"/>
      <c r="CN156" s="125"/>
      <c r="CO156" s="125"/>
      <c r="CP156" s="125"/>
      <c r="CQ156" s="125"/>
    </row>
    <row r="157" spans="1:101" ht="45" outlineLevel="1" x14ac:dyDescent="0.25">
      <c r="A157" s="131" t="s">
        <v>1250</v>
      </c>
      <c r="B157" s="134" t="s">
        <v>32</v>
      </c>
      <c r="C157" s="134" t="s">
        <v>1831</v>
      </c>
      <c r="D157" s="134" t="s">
        <v>1888</v>
      </c>
      <c r="E157" s="134"/>
      <c r="F157" s="134" t="s">
        <v>1851</v>
      </c>
      <c r="G157" s="134"/>
      <c r="H157" s="134" t="s">
        <v>1864</v>
      </c>
      <c r="I157" s="134"/>
      <c r="J157" s="134" t="s">
        <v>1853</v>
      </c>
      <c r="K157" s="134"/>
      <c r="L157" s="134"/>
      <c r="M157" s="134"/>
      <c r="N157" s="134"/>
      <c r="O157" s="134"/>
      <c r="P157" s="134"/>
      <c r="Q157" s="134"/>
      <c r="R157" s="134"/>
      <c r="S157" s="134" t="s">
        <v>1854</v>
      </c>
      <c r="T157" s="134"/>
      <c r="U157" s="134"/>
      <c r="V157" s="134"/>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6"/>
      <c r="AR157" s="134"/>
      <c r="AS157" s="134"/>
      <c r="AT157" s="134"/>
      <c r="AU157" s="134"/>
      <c r="AV157" s="134"/>
      <c r="AW157" s="134"/>
      <c r="AX157" s="134"/>
      <c r="AY157" s="134"/>
      <c r="AZ157" s="134"/>
      <c r="BA157" s="134"/>
      <c r="BB157" s="134"/>
      <c r="BC157" s="134"/>
      <c r="BD157" s="134"/>
      <c r="BE157" s="134"/>
      <c r="BF157" s="134"/>
      <c r="BG157" s="134"/>
      <c r="BH157" s="134"/>
      <c r="BI157" s="134"/>
      <c r="BJ157" s="134"/>
      <c r="BK157" s="134"/>
      <c r="BL157" s="134"/>
      <c r="BM157" s="134"/>
      <c r="BN157" s="134"/>
      <c r="BO157" s="134"/>
      <c r="BP157" s="134"/>
      <c r="BQ157" s="134"/>
      <c r="BR157" s="134"/>
      <c r="BS157" s="134"/>
      <c r="BT157" s="134"/>
      <c r="BU157" s="134"/>
      <c r="BV157" s="134"/>
      <c r="BW157" s="131" t="str">
        <f t="shared" si="2"/>
        <v>PIsolation renforcée LECAPITAINE1 porte arrière 1000 mm x 1880 mmMarchepied fixe 1 marchePlancher : Antidérapant avec passages de roues (largeur entre passages de roues : 1250 mm) avec 2 siphons d'évacuation1 plafonnier à LED avec temporisationProtection bas de parois sur 200 mm de haut</v>
      </c>
      <c r="CF157" s="125"/>
      <c r="CG157" s="125"/>
      <c r="CH157" s="125"/>
      <c r="CI157" s="125"/>
      <c r="CJ157" s="125"/>
      <c r="CK157" s="125"/>
      <c r="CL157" s="125"/>
      <c r="CM157" s="125"/>
      <c r="CN157" s="125"/>
      <c r="CO157" s="125"/>
      <c r="CP157" s="125"/>
      <c r="CQ157" s="125"/>
    </row>
    <row r="158" spans="1:101" ht="45" outlineLevel="1" x14ac:dyDescent="0.25">
      <c r="A158" s="131" t="s">
        <v>1255</v>
      </c>
      <c r="B158" s="134" t="s">
        <v>32</v>
      </c>
      <c r="C158" s="134" t="s">
        <v>1831</v>
      </c>
      <c r="D158" s="134" t="s">
        <v>1889</v>
      </c>
      <c r="E158" s="134"/>
      <c r="F158" s="134" t="s">
        <v>1890</v>
      </c>
      <c r="G158" s="134"/>
      <c r="H158" s="134" t="s">
        <v>1864</v>
      </c>
      <c r="I158" s="134"/>
      <c r="J158" s="134" t="s">
        <v>1853</v>
      </c>
      <c r="K158" s="134"/>
      <c r="L158" s="134"/>
      <c r="M158" s="134" t="s">
        <v>1875</v>
      </c>
      <c r="N158" s="134"/>
      <c r="O158" s="134"/>
      <c r="P158" s="134" t="s">
        <v>1844</v>
      </c>
      <c r="Q158" s="134"/>
      <c r="R158" s="134"/>
      <c r="S158" s="134" t="s">
        <v>1854</v>
      </c>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6"/>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4"/>
      <c r="BN158" s="134"/>
      <c r="BO158" s="134"/>
      <c r="BP158" s="134"/>
      <c r="BQ158" s="134"/>
      <c r="BR158" s="134"/>
      <c r="BS158" s="134"/>
      <c r="BT158" s="134"/>
      <c r="BU158" s="134"/>
      <c r="BV158" s="134"/>
      <c r="BW158" s="131" t="str">
        <f t="shared" si="2"/>
        <v>PIsolation renforcée LECAPITAINE2 portes arrière 1100 mm x 2150 mmEscabeau arrière coulissantPlancher : Antidérapant avec passages de roues (largeur entre passages de roues : 1250 mm) avec 2 siphons d'évacuation1 plafonnier à LED avec temporisationPavillon porteur avec 3 barres fixes et dents de loupTôlage des portes arrières en aluminiumProtection bas de parois sur 200 mm de haut</v>
      </c>
      <c r="CF158" s="125"/>
      <c r="CG158" s="125"/>
      <c r="CH158" s="125"/>
      <c r="CI158" s="125"/>
      <c r="CJ158" s="125"/>
      <c r="CK158" s="125"/>
      <c r="CL158" s="125"/>
      <c r="CM158" s="125"/>
      <c r="CN158" s="125"/>
      <c r="CO158" s="125"/>
      <c r="CP158" s="125"/>
      <c r="CQ158" s="125"/>
    </row>
    <row r="159" spans="1:101" ht="45" outlineLevel="1" x14ac:dyDescent="0.25">
      <c r="A159" s="131" t="s">
        <v>1260</v>
      </c>
      <c r="B159" s="134" t="s">
        <v>32</v>
      </c>
      <c r="C159" s="134" t="s">
        <v>1831</v>
      </c>
      <c r="D159" s="134" t="s">
        <v>1863</v>
      </c>
      <c r="E159" s="134" t="s">
        <v>1891</v>
      </c>
      <c r="F159" s="134" t="s">
        <v>1851</v>
      </c>
      <c r="G159" s="134"/>
      <c r="H159" s="134" t="s">
        <v>1864</v>
      </c>
      <c r="I159" s="134"/>
      <c r="J159" s="134" t="s">
        <v>1835</v>
      </c>
      <c r="K159" s="134"/>
      <c r="L159" s="134"/>
      <c r="M159" s="134"/>
      <c r="N159" s="134" t="s">
        <v>1892</v>
      </c>
      <c r="O159" s="134" t="s">
        <v>1893</v>
      </c>
      <c r="P159" s="134"/>
      <c r="Q159" s="134"/>
      <c r="R159" s="134"/>
      <c r="S159" s="134" t="s">
        <v>1854</v>
      </c>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4"/>
      <c r="BN159" s="134"/>
      <c r="BO159" s="134"/>
      <c r="BP159" s="134"/>
      <c r="BQ159" s="134"/>
      <c r="BR159" s="134"/>
      <c r="BS159" s="134"/>
      <c r="BT159" s="134"/>
      <c r="BU159" s="134"/>
      <c r="BV159" s="134"/>
      <c r="BW159" s="131" t="str">
        <f t="shared" si="2"/>
        <v>PIsolation renforcée LECAPITAINE2 portes arrière 1100 mm x 1880 mmPorte latérale battante 1000 mm x 1930 mm à 100 mm à l'avant droitMarchepied fixe 1 marchePlancher : Antidérapant avec passages de roues (largeur entre passages de roues : 1250 mm) avec 2 siphons d'évacuation2 plafonniers à LED avec temporisationCloison fixe à 1200 mm de la face avantRideaux à lanières fixes portes arrière et porte latéraleProtection bas de parois sur 200 mm de haut</v>
      </c>
      <c r="CF159" s="125"/>
      <c r="CG159" s="125"/>
      <c r="CH159" s="125"/>
      <c r="CI159" s="125"/>
      <c r="CJ159" s="125"/>
      <c r="CK159" s="125"/>
      <c r="CL159" s="125"/>
      <c r="CM159" s="125"/>
      <c r="CN159" s="125"/>
      <c r="CO159" s="125"/>
      <c r="CP159" s="125"/>
      <c r="CQ159" s="125"/>
    </row>
    <row r="160" spans="1:101" ht="67.5" outlineLevel="1" x14ac:dyDescent="0.25">
      <c r="A160" s="131" t="s">
        <v>1270</v>
      </c>
      <c r="B160" s="134" t="s">
        <v>32</v>
      </c>
      <c r="C160" s="134" t="s">
        <v>1831</v>
      </c>
      <c r="D160" s="134" t="s">
        <v>1863</v>
      </c>
      <c r="E160" s="134" t="s">
        <v>1894</v>
      </c>
      <c r="F160" s="134" t="s">
        <v>1851</v>
      </c>
      <c r="G160" s="134"/>
      <c r="H160" s="134" t="s">
        <v>1864</v>
      </c>
      <c r="I160" s="134"/>
      <c r="J160" s="134" t="s">
        <v>1835</v>
      </c>
      <c r="K160" s="134"/>
      <c r="L160" s="134" t="s">
        <v>1895</v>
      </c>
      <c r="M160" s="134" t="s">
        <v>1896</v>
      </c>
      <c r="N160" s="134" t="s">
        <v>1897</v>
      </c>
      <c r="O160" s="134" t="s">
        <v>1893</v>
      </c>
      <c r="P160" s="134"/>
      <c r="Q160" s="134"/>
      <c r="R160" s="134"/>
      <c r="S160" s="134" t="s">
        <v>1854</v>
      </c>
      <c r="T160" s="134"/>
      <c r="U160" s="134" t="s">
        <v>1843</v>
      </c>
      <c r="V160" s="134"/>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134"/>
      <c r="BK160" s="134"/>
      <c r="BL160" s="134"/>
      <c r="BM160" s="134"/>
      <c r="BN160" s="134"/>
      <c r="BO160" s="134"/>
      <c r="BP160" s="134"/>
      <c r="BQ160" s="134"/>
      <c r="BR160" s="134"/>
      <c r="BS160" s="134"/>
      <c r="BT160" s="134"/>
      <c r="BU160" s="134"/>
      <c r="BV160" s="134"/>
      <c r="BW160" s="131" t="str">
        <f t="shared" si="2"/>
        <v>PIsolation renforcée LECAPITAINE2 portes arrière 1100 mm x 1880 mmPorte latérale battante 750mm x 1850 mm à 100 mm à l'avant droitMarchepied fixe 1 marchePlancher : Antidérapant avec passages de roues (largeur entre passages de roues : 1250 mm) avec 2 siphons d'évacuation2 plafonniers à LED avec temporisation1 niveau de rail d'arrimage en acier galvanisé D + G à 900 mm du plancher dans le compartiment arrière1 niveau de rail d'arrimage en acier galvanisé sur face av et cloison à 900 mm du plancher dans le compartiment avantCloison fixe à 950 mm de la face avantRideaux à lanières fixes portes arrière et porte latéraleProtection bas de parois sur 200 mm de hautProtection évaporateur Av et Ar</v>
      </c>
      <c r="CF160" s="125"/>
      <c r="CG160" s="125"/>
      <c r="CH160" s="125"/>
      <c r="CI160" s="125"/>
      <c r="CJ160" s="125"/>
      <c r="CK160" s="125"/>
      <c r="CL160" s="125"/>
      <c r="CM160" s="125"/>
      <c r="CN160" s="125"/>
      <c r="CO160" s="125"/>
      <c r="CP160" s="125"/>
      <c r="CQ160" s="125"/>
    </row>
    <row r="161" spans="1:101" ht="45" outlineLevel="1" x14ac:dyDescent="0.25">
      <c r="A161" s="131" t="s">
        <v>1204</v>
      </c>
      <c r="B161" s="134" t="s">
        <v>32</v>
      </c>
      <c r="C161" s="134" t="s">
        <v>1831</v>
      </c>
      <c r="D161" s="134" t="s">
        <v>1898</v>
      </c>
      <c r="E161" s="134"/>
      <c r="F161" s="134" t="s">
        <v>1851</v>
      </c>
      <c r="G161" s="134"/>
      <c r="H161" s="134" t="s">
        <v>1899</v>
      </c>
      <c r="I161" s="134"/>
      <c r="J161" s="134" t="s">
        <v>1853</v>
      </c>
      <c r="K161" s="134"/>
      <c r="L161" s="134"/>
      <c r="M161" s="134"/>
      <c r="N161" s="134"/>
      <c r="O161" s="134"/>
      <c r="P161" s="134"/>
      <c r="Q161" s="134"/>
      <c r="R161" s="134"/>
      <c r="S161" s="134" t="s">
        <v>1854</v>
      </c>
      <c r="T161" s="134"/>
      <c r="U161" s="134"/>
      <c r="V161" s="134"/>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6"/>
      <c r="AR161" s="134"/>
      <c r="AS161" s="134"/>
      <c r="AT161" s="134"/>
      <c r="AU161" s="134"/>
      <c r="AV161" s="136"/>
      <c r="AW161" s="134"/>
      <c r="AX161" s="134"/>
      <c r="AY161" s="134"/>
      <c r="AZ161" s="131"/>
      <c r="BA161" s="134"/>
      <c r="BB161" s="134"/>
      <c r="BC161" s="134"/>
      <c r="BD161" s="134"/>
      <c r="BE161" s="134"/>
      <c r="BF161" s="134"/>
      <c r="BG161" s="134"/>
      <c r="BH161" s="134"/>
      <c r="BI161" s="134"/>
      <c r="BJ161" s="134"/>
      <c r="BK161" s="134"/>
      <c r="BL161" s="134"/>
      <c r="BM161" s="134"/>
      <c r="BN161" s="134"/>
      <c r="BO161" s="134"/>
      <c r="BP161" s="134"/>
      <c r="BQ161" s="134"/>
      <c r="BR161" s="134"/>
      <c r="BS161" s="134"/>
      <c r="BT161" s="134"/>
      <c r="BU161" s="134"/>
      <c r="BV161" s="134"/>
      <c r="BW161" s="131" t="str">
        <f t="shared" si="2"/>
        <v>PIsolation renforcée LECAPITAINE1 porte arrière 900 mm x 1500 mmMarchepied fixe 1 marchePlancher : Antidérapant avec passages de roues (largeur entre passages de roues : 1166 mm) avec 1 siphon d'évacuation1 plafonnier à LED avec temporisationProtection bas de parois sur 200 mm de haut</v>
      </c>
      <c r="CF161" s="125"/>
      <c r="CG161" s="125"/>
      <c r="CH161" s="125"/>
      <c r="CI161" s="125"/>
      <c r="CJ161" s="125"/>
      <c r="CK161" s="125"/>
      <c r="CL161" s="125"/>
      <c r="CM161" s="125"/>
      <c r="CN161" s="125"/>
      <c r="CO161" s="125"/>
      <c r="CP161" s="125"/>
      <c r="CQ161" s="125"/>
    </row>
    <row r="162" spans="1:101" ht="45" outlineLevel="1" x14ac:dyDescent="0.25">
      <c r="A162" s="131" t="s">
        <v>1222</v>
      </c>
      <c r="B162" s="134" t="s">
        <v>32</v>
      </c>
      <c r="C162" s="134" t="s">
        <v>1831</v>
      </c>
      <c r="D162" s="134" t="s">
        <v>1900</v>
      </c>
      <c r="E162" s="134"/>
      <c r="F162" s="134" t="s">
        <v>1851</v>
      </c>
      <c r="G162" s="134"/>
      <c r="H162" s="134" t="s">
        <v>1899</v>
      </c>
      <c r="I162" s="134"/>
      <c r="J162" s="134" t="s">
        <v>1853</v>
      </c>
      <c r="K162" s="134"/>
      <c r="L162" s="134"/>
      <c r="M162" s="134"/>
      <c r="N162" s="134"/>
      <c r="O162" s="134" t="s">
        <v>1901</v>
      </c>
      <c r="P162" s="134"/>
      <c r="Q162" s="134"/>
      <c r="R162" s="134"/>
      <c r="S162" s="134" t="s">
        <v>1854</v>
      </c>
      <c r="T162" s="134"/>
      <c r="U162" s="134"/>
      <c r="V162" s="134"/>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6"/>
      <c r="AR162" s="134"/>
      <c r="AS162" s="134"/>
      <c r="AT162" s="134"/>
      <c r="AU162" s="134"/>
      <c r="AV162" s="136"/>
      <c r="AW162" s="134"/>
      <c r="AX162" s="134"/>
      <c r="AY162" s="134"/>
      <c r="AZ162" s="131"/>
      <c r="BA162" s="134"/>
      <c r="BB162" s="134"/>
      <c r="BC162" s="134"/>
      <c r="BD162" s="134"/>
      <c r="BE162" s="134"/>
      <c r="BF162" s="134"/>
      <c r="BG162" s="134"/>
      <c r="BH162" s="134"/>
      <c r="BI162" s="134"/>
      <c r="BJ162" s="134"/>
      <c r="BK162" s="134"/>
      <c r="BL162" s="134"/>
      <c r="BM162" s="134"/>
      <c r="BN162" s="134"/>
      <c r="BO162" s="134"/>
      <c r="BP162" s="134"/>
      <c r="BQ162" s="134"/>
      <c r="BR162" s="134"/>
      <c r="BS162" s="134"/>
      <c r="BT162" s="134"/>
      <c r="BU162" s="134"/>
      <c r="BV162" s="134"/>
      <c r="BW162" s="131" t="str">
        <f t="shared" si="2"/>
        <v>PIsolation renforcée LECAPITAINE1 porte arrière 900 mm x 1460 mm avec fermeture à cléMarchepied fixe 1 marchePlancher : Antidérapant avec passages de roues (largeur entre passages de roues : 1166 mm) avec 1 siphon d'évacuation1 plafonnier à LED avec temporisation1 rideau fixe à lanières anti-déperdition à la porte arrièreProtection bas de parois sur 200 mm de haut</v>
      </c>
      <c r="CF162" s="125"/>
      <c r="CG162" s="125"/>
      <c r="CH162" s="125"/>
      <c r="CI162" s="125"/>
      <c r="CJ162" s="125"/>
      <c r="CK162" s="125"/>
      <c r="CL162" s="125"/>
      <c r="CM162" s="125"/>
      <c r="CN162" s="125"/>
      <c r="CO162" s="125"/>
      <c r="CP162" s="125"/>
      <c r="CQ162" s="125"/>
    </row>
    <row r="163" spans="1:101" ht="45" outlineLevel="1" x14ac:dyDescent="0.25">
      <c r="A163" s="131" t="s">
        <v>1147</v>
      </c>
      <c r="B163" s="134" t="s">
        <v>32</v>
      </c>
      <c r="C163" s="134" t="s">
        <v>1902</v>
      </c>
      <c r="D163" s="134" t="s">
        <v>1903</v>
      </c>
      <c r="E163" s="134"/>
      <c r="F163" s="134"/>
      <c r="G163" s="134"/>
      <c r="H163" s="134" t="s">
        <v>1904</v>
      </c>
      <c r="I163" s="134" t="s">
        <v>1905</v>
      </c>
      <c r="J163" s="134" t="s">
        <v>1906</v>
      </c>
      <c r="K163" s="134"/>
      <c r="L163" s="134"/>
      <c r="M163" s="134"/>
      <c r="N163" s="134"/>
      <c r="O163" s="134"/>
      <c r="P163" s="134"/>
      <c r="Q163" s="134"/>
      <c r="R163" s="134"/>
      <c r="S163" s="134"/>
      <c r="T163" s="134"/>
      <c r="U163" s="134"/>
      <c r="V163" s="134"/>
      <c r="W163" s="134"/>
      <c r="X163" s="134"/>
      <c r="Y163" s="134"/>
      <c r="Z163" s="134"/>
      <c r="AA163" s="134"/>
      <c r="AB163" s="134"/>
      <c r="AC163" s="134" t="s">
        <v>1907</v>
      </c>
      <c r="AD163" s="134"/>
      <c r="AE163" s="134"/>
      <c r="AF163" s="134"/>
      <c r="AG163" s="134"/>
      <c r="AH163" s="134" t="s">
        <v>430</v>
      </c>
      <c r="AI163" s="134"/>
      <c r="AJ163" s="134" t="s">
        <v>1908</v>
      </c>
      <c r="AK163" s="134" t="s">
        <v>1909</v>
      </c>
      <c r="AL163" s="134" t="s">
        <v>1910</v>
      </c>
      <c r="AM163" s="134"/>
      <c r="AN163" s="134"/>
      <c r="AO163" s="134"/>
      <c r="AP163" s="134"/>
      <c r="AQ163" s="136"/>
      <c r="AR163" s="134"/>
      <c r="AS163" s="134"/>
      <c r="AT163" s="134"/>
      <c r="AU163" s="134"/>
      <c r="AV163" s="134"/>
      <c r="AW163" s="134"/>
      <c r="AX163" s="134"/>
      <c r="AY163" s="134"/>
      <c r="AZ163" s="134"/>
      <c r="BA163" s="134"/>
      <c r="BB163" s="134" t="s">
        <v>1911</v>
      </c>
      <c r="BC163" s="134"/>
      <c r="BD163" s="134"/>
      <c r="BE163" s="134"/>
      <c r="BF163" s="134"/>
      <c r="BG163" s="134"/>
      <c r="BH163" s="134"/>
      <c r="BI163" s="134"/>
      <c r="BJ163" s="134"/>
      <c r="BK163" s="134"/>
      <c r="BL163" s="134"/>
      <c r="BM163" s="134"/>
      <c r="BN163" s="134"/>
      <c r="BO163" s="134"/>
      <c r="BP163" s="134"/>
      <c r="BQ163" s="134"/>
      <c r="BR163" s="134"/>
      <c r="BS163" s="134"/>
      <c r="BT163" s="134"/>
      <c r="BU163" s="134"/>
      <c r="BV163" s="134"/>
      <c r="BW163" s="131" t="str">
        <f t="shared" si="2"/>
        <v>PCaisse Frigorifique : Isolation renforcée LECAPITAINE1 porte arrière avec arrêt de porte à 90°Plancher lisse sans passages de roues 1 siphon d’évacuation 1 plafonnier à LED avec contacteur de porte1 caillebotis_Compartiment Sec en face avantDimensions int. utiles : 600 x 474 x 421 (L x l x h) soit 120 Litres environ1 porte latérale côté droit ouverture à 180° à la verticale avec fermeture à clé</v>
      </c>
      <c r="CF163" s="125"/>
      <c r="CG163" s="125"/>
      <c r="CH163" s="125"/>
      <c r="CI163" s="125"/>
      <c r="CJ163" s="125"/>
      <c r="CK163" s="125"/>
      <c r="CL163" s="125"/>
      <c r="CM163" s="125"/>
      <c r="CN163" s="125"/>
      <c r="CO163" s="125"/>
      <c r="CP163" s="125"/>
      <c r="CQ163" s="125"/>
    </row>
    <row r="164" spans="1:101" ht="45" outlineLevel="1" x14ac:dyDescent="0.25">
      <c r="A164" s="131" t="s">
        <v>1538</v>
      </c>
      <c r="B164" s="134" t="s">
        <v>32</v>
      </c>
      <c r="C164" s="134" t="s">
        <v>1831</v>
      </c>
      <c r="D164" s="134" t="s">
        <v>1863</v>
      </c>
      <c r="E164" s="134"/>
      <c r="F164" s="134" t="s">
        <v>1851</v>
      </c>
      <c r="G164" s="134"/>
      <c r="H164" s="134" t="s">
        <v>1912</v>
      </c>
      <c r="I164" s="134"/>
      <c r="J164" s="134" t="s">
        <v>1853</v>
      </c>
      <c r="K164" s="134"/>
      <c r="L164" s="134"/>
      <c r="M164" s="134"/>
      <c r="N164" s="134"/>
      <c r="O164" s="134" t="s">
        <v>1913</v>
      </c>
      <c r="P164" s="134"/>
      <c r="Q164" s="134"/>
      <c r="R164" s="134"/>
      <c r="S164" s="134" t="s">
        <v>1854</v>
      </c>
      <c r="T164" s="134"/>
      <c r="U164" s="134"/>
      <c r="V164" s="134"/>
      <c r="W164" s="134"/>
      <c r="X164" s="134"/>
      <c r="Y164" s="134"/>
      <c r="Z164" s="134"/>
      <c r="AA164" s="134"/>
      <c r="AB164" s="134"/>
      <c r="AC164" s="134"/>
      <c r="AD164" s="134"/>
      <c r="AE164" s="18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134"/>
      <c r="BK164" s="134"/>
      <c r="BL164" s="134"/>
      <c r="BM164" s="134"/>
      <c r="BN164" s="134"/>
      <c r="BO164" s="134"/>
      <c r="BP164" s="134"/>
      <c r="BQ164" s="134"/>
      <c r="BR164" s="134"/>
      <c r="BS164" s="134"/>
      <c r="BT164" s="134"/>
      <c r="BU164" s="134"/>
      <c r="BV164" s="134"/>
      <c r="BW164" s="131" t="str">
        <f t="shared" si="2"/>
        <v>PIsolation renforcée LECAPITAINE2 portes arrière 1100 mm x 1880 mmMarchepied fixe 1 marchePlancher : Antidérapant avec passages de roues (largeur entre passages de roues : 1236 mm) avec 1 siphon d'évacuation1 plafonnier à LED avec temporisationRideaux à lanières fixe portes arrièresProtection bas de parois sur 200 mm de haut</v>
      </c>
      <c r="CF164" s="125"/>
      <c r="CG164" s="125"/>
      <c r="CH164" s="125"/>
      <c r="CI164" s="125"/>
      <c r="CJ164" s="125"/>
      <c r="CK164" s="125"/>
      <c r="CL164" s="125"/>
      <c r="CM164" s="125"/>
      <c r="CN164" s="125"/>
      <c r="CO164" s="125"/>
      <c r="CP164" s="125"/>
      <c r="CQ164" s="125"/>
    </row>
    <row r="165" spans="1:101" ht="45" outlineLevel="1" x14ac:dyDescent="0.25">
      <c r="A165" s="131" t="s">
        <v>1542</v>
      </c>
      <c r="B165" s="134" t="s">
        <v>32</v>
      </c>
      <c r="C165" s="134" t="s">
        <v>1831</v>
      </c>
      <c r="D165" s="134" t="s">
        <v>1863</v>
      </c>
      <c r="E165" s="134" t="s">
        <v>1914</v>
      </c>
      <c r="F165" s="134" t="s">
        <v>1851</v>
      </c>
      <c r="G165" s="134"/>
      <c r="H165" s="134" t="s">
        <v>1915</v>
      </c>
      <c r="I165" s="134"/>
      <c r="J165" s="134" t="s">
        <v>1835</v>
      </c>
      <c r="K165" s="134"/>
      <c r="L165" s="134"/>
      <c r="M165" s="134"/>
      <c r="N165" s="134" t="s">
        <v>1916</v>
      </c>
      <c r="O165" s="134" t="s">
        <v>1917</v>
      </c>
      <c r="P165" s="134"/>
      <c r="Q165" s="134"/>
      <c r="R165" s="134"/>
      <c r="S165" s="134" t="s">
        <v>1854</v>
      </c>
      <c r="T165" s="134"/>
      <c r="U165" s="134" t="s">
        <v>1843</v>
      </c>
      <c r="V165" s="134"/>
      <c r="W165" s="134"/>
      <c r="X165" s="134"/>
      <c r="Y165" s="134"/>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134"/>
      <c r="BK165" s="134"/>
      <c r="BL165" s="134"/>
      <c r="BM165" s="134"/>
      <c r="BN165" s="134"/>
      <c r="BO165" s="134"/>
      <c r="BP165" s="134"/>
      <c r="BQ165" s="134"/>
      <c r="BR165" s="134"/>
      <c r="BS165" s="134"/>
      <c r="BT165" s="134"/>
      <c r="BU165" s="134"/>
      <c r="BV165" s="134"/>
      <c r="BW165" s="131" t="str">
        <f t="shared" si="2"/>
        <v>PIsolation renforcée LECAPITAINE2 portes arrière 1100 mm x 1880 mmPorte latérale battante 1000 mm x 1850 mm à 100 mm à l'avant droitMarchepied fixe 1 marchePlancher : Antidérapant avec passages de roues (largeur entre passages de roues : 1236 mm) avec 2 siphons d'évacuation2 plafonniers à LED avec temporisationCloison fixe perpendiculaire a 1200 mm de l'avantRideaux à lanières fixe pour les portes arrières et latéraleProtection bas de parois sur 200 mm de hautProtection évaporateur Av et Ar</v>
      </c>
      <c r="CF165" s="125"/>
      <c r="CG165" s="125"/>
      <c r="CH165" s="125"/>
      <c r="CI165" s="125"/>
      <c r="CJ165" s="125"/>
      <c r="CK165" s="125"/>
      <c r="CL165" s="125"/>
      <c r="CM165" s="125"/>
      <c r="CN165" s="125"/>
      <c r="CO165" s="125"/>
      <c r="CP165" s="125"/>
      <c r="CQ165" s="125"/>
    </row>
    <row r="166" spans="1:101" ht="56.25" outlineLevel="1" x14ac:dyDescent="0.25">
      <c r="A166" s="134" t="s">
        <v>1623</v>
      </c>
      <c r="B166" s="134" t="s">
        <v>32</v>
      </c>
      <c r="C166" s="134" t="s">
        <v>693</v>
      </c>
      <c r="D166" s="134" t="s">
        <v>1918</v>
      </c>
      <c r="E166" s="134"/>
      <c r="F166" s="134" t="s">
        <v>1849</v>
      </c>
      <c r="G166" s="134"/>
      <c r="H166" s="134" t="s">
        <v>1834</v>
      </c>
      <c r="I166" s="134"/>
      <c r="J166" s="134" t="s">
        <v>1919</v>
      </c>
      <c r="K166" s="134"/>
      <c r="L166" s="134" t="s">
        <v>1920</v>
      </c>
      <c r="M166" s="134"/>
      <c r="N166" s="134"/>
      <c r="O166" s="134"/>
      <c r="P166" s="134"/>
      <c r="Q166" s="134"/>
      <c r="R166" s="134"/>
      <c r="S166" s="134" t="s">
        <v>1921</v>
      </c>
      <c r="T166" s="134"/>
      <c r="U166" s="134"/>
      <c r="V166" s="134" t="s">
        <v>1922</v>
      </c>
      <c r="W166" s="134" t="s">
        <v>1846</v>
      </c>
      <c r="X166" s="134" t="s">
        <v>1923</v>
      </c>
      <c r="Y166" s="134" t="s">
        <v>1924</v>
      </c>
      <c r="Z166" s="134" t="s">
        <v>1925</v>
      </c>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134"/>
      <c r="BK166" s="134"/>
      <c r="BL166" s="134"/>
      <c r="BM166" s="134"/>
      <c r="BN166" s="134"/>
      <c r="BO166" s="134"/>
      <c r="BP166" s="134"/>
      <c r="BQ166" s="134"/>
      <c r="BR166" s="134"/>
      <c r="BS166" s="134"/>
      <c r="BT166" s="134"/>
      <c r="BU166" s="134"/>
      <c r="BV166" s="134"/>
      <c r="BW166" s="131" t="str">
        <f t="shared" si="2"/>
        <v>PIsolation renforcée2 portes arrière ouverture totale (porte droite prioritaire) avec bandes réfléchissantes en périphérieEscabeau arrière coulissant 4 marchesPlancher : Antidérapant sans passages de roues avec 2 siphons d'évacuation4 plafonniers à LED avec temporisation2 niveaux de rail d'arrimage en acier galvanisé D + G à 800 mm et à 1200 mm du plancherProtection bas de parois sur 300 mm de hautPlatelage aluminium d'entrée de portes arrières sur 1200 mmCadre arrière renforcé avec butoirs à rouleauxExtincteur + coffre2 gaines de ventilation au pavillonCoffre à outils + Boite à documents étanche</v>
      </c>
      <c r="CF166" s="125"/>
      <c r="CG166" s="125"/>
      <c r="CH166" s="125"/>
      <c r="CI166" s="125"/>
      <c r="CJ166" s="125"/>
      <c r="CK166" s="125"/>
      <c r="CL166" s="125"/>
      <c r="CM166" s="125"/>
      <c r="CN166" s="125"/>
      <c r="CO166" s="125"/>
      <c r="CP166" s="125"/>
      <c r="CQ166" s="125"/>
    </row>
    <row r="167" spans="1:101" s="124" customFormat="1" ht="67.5" outlineLevel="1" x14ac:dyDescent="0.25">
      <c r="A167" s="134" t="s">
        <v>1625</v>
      </c>
      <c r="B167" s="134" t="s">
        <v>32</v>
      </c>
      <c r="C167" s="134" t="s">
        <v>693</v>
      </c>
      <c r="D167" s="134" t="s">
        <v>1918</v>
      </c>
      <c r="E167" s="134"/>
      <c r="F167" s="134" t="s">
        <v>1849</v>
      </c>
      <c r="G167" s="134"/>
      <c r="H167" s="134" t="s">
        <v>1834</v>
      </c>
      <c r="I167" s="134"/>
      <c r="J167" s="134" t="s">
        <v>1919</v>
      </c>
      <c r="K167" s="134"/>
      <c r="L167" s="134" t="s">
        <v>1920</v>
      </c>
      <c r="M167" s="134"/>
      <c r="N167" s="134"/>
      <c r="O167" s="134"/>
      <c r="P167" s="134"/>
      <c r="Q167" s="134"/>
      <c r="R167" s="134"/>
      <c r="S167" s="134" t="s">
        <v>1921</v>
      </c>
      <c r="T167" s="134"/>
      <c r="U167" s="134"/>
      <c r="V167" s="134" t="s">
        <v>1922</v>
      </c>
      <c r="W167" s="134" t="s">
        <v>1846</v>
      </c>
      <c r="X167" s="134" t="s">
        <v>1923</v>
      </c>
      <c r="Y167" s="134" t="s">
        <v>1924</v>
      </c>
      <c r="Z167" s="134" t="s">
        <v>1925</v>
      </c>
      <c r="AA167" s="134"/>
      <c r="AB167" s="134"/>
      <c r="AC167" s="134"/>
      <c r="AD167" s="134"/>
      <c r="AE167" s="134" t="s">
        <v>1838</v>
      </c>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4"/>
      <c r="BN167" s="134"/>
      <c r="BO167" s="134"/>
      <c r="BP167" s="134"/>
      <c r="BQ167" s="134"/>
      <c r="BR167" s="134"/>
      <c r="BS167" s="134"/>
      <c r="BT167" s="134"/>
      <c r="BU167" s="134"/>
      <c r="BV167" s="134"/>
      <c r="BW167" s="131" t="str">
        <f t="shared" si="2"/>
        <v>PIsolation renforcée2 portes arrière ouverture totale (porte droite prioritaire) avec bandes réfléchissantes en périphérieEscabeau arrière coulissant 4 marchesPlancher : Antidérapant sans passages de roues avec 2 siphons d'évacuation4 plafonniers à LED avec temporisation2 niveaux de rail d'arrimage en acier galvanisé D + G à 800 mm et à 1200 mm du plancherProtection bas de parois sur 300 mm de hautPlatelage aluminium d'entrée de portes arrières sur 1200 mmCadre arrière renforcé avec butoirs à rouleauxExtincteur + coffre2 gaines de ventilation au pavillonCoffre à outils + Boite à documents étanche1 Prise de hayon pour commande filaire au pavillon à l’arrière droit</v>
      </c>
      <c r="BX167" s="125"/>
      <c r="BY167" s="125"/>
      <c r="BZ167" s="125"/>
      <c r="CA167" s="125"/>
      <c r="CB167" s="125"/>
      <c r="CC167" s="125"/>
      <c r="CD167" s="125"/>
      <c r="CE167" s="125"/>
      <c r="CF167" s="125"/>
      <c r="CG167" s="125"/>
      <c r="CH167" s="125"/>
      <c r="CI167" s="125"/>
      <c r="CJ167" s="125"/>
      <c r="CK167" s="125"/>
      <c r="CL167" s="125"/>
      <c r="CM167" s="125"/>
      <c r="CN167" s="125"/>
      <c r="CO167" s="125"/>
      <c r="CP167" s="125"/>
      <c r="CQ167" s="125"/>
      <c r="CR167" s="139"/>
      <c r="CS167" s="139"/>
      <c r="CT167" s="139"/>
      <c r="CU167" s="139"/>
      <c r="CV167" s="139"/>
      <c r="CW167" s="139"/>
    </row>
    <row r="168" spans="1:101" ht="56.25" outlineLevel="1" x14ac:dyDescent="0.25">
      <c r="A168" s="131" t="s">
        <v>1628</v>
      </c>
      <c r="B168" s="134" t="s">
        <v>32</v>
      </c>
      <c r="C168" s="134" t="s">
        <v>693</v>
      </c>
      <c r="D168" s="134" t="s">
        <v>1918</v>
      </c>
      <c r="E168" s="134"/>
      <c r="F168" s="134" t="s">
        <v>1849</v>
      </c>
      <c r="G168" s="134"/>
      <c r="H168" s="134" t="s">
        <v>1834</v>
      </c>
      <c r="I168" s="134"/>
      <c r="J168" s="134" t="s">
        <v>1919</v>
      </c>
      <c r="K168" s="134"/>
      <c r="L168" s="134" t="s">
        <v>1920</v>
      </c>
      <c r="M168" s="134"/>
      <c r="N168" s="134" t="s">
        <v>1841</v>
      </c>
      <c r="O168" s="134"/>
      <c r="P168" s="134"/>
      <c r="Q168" s="134"/>
      <c r="R168" s="134"/>
      <c r="S168" s="134" t="s">
        <v>1921</v>
      </c>
      <c r="T168" s="134"/>
      <c r="U168" s="134"/>
      <c r="V168" s="134" t="s">
        <v>1922</v>
      </c>
      <c r="W168" s="134" t="s">
        <v>1846</v>
      </c>
      <c r="X168" s="134" t="s">
        <v>1923</v>
      </c>
      <c r="Y168" s="134" t="s">
        <v>1926</v>
      </c>
      <c r="Z168" s="134" t="s">
        <v>1925</v>
      </c>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4"/>
      <c r="BN168" s="134"/>
      <c r="BO168" s="134"/>
      <c r="BP168" s="134"/>
      <c r="BQ168" s="134"/>
      <c r="BR168" s="134"/>
      <c r="BS168" s="134"/>
      <c r="BT168" s="134"/>
      <c r="BU168" s="134"/>
      <c r="BV168" s="134"/>
      <c r="BW168" s="131" t="str">
        <f t="shared" si="2"/>
        <v>PIsolation renforcée2 portes arrière ouverture totale (porte droite prioritaire) avec bandes réfléchissantes en périphérieEscabeau arrière coulissant 4 marchesPlancher : Antidérapant sans passages de roues avec 2 siphons d'évacuation4 plafonniers à LED avec temporisation2 niveaux de rail d'arrimage en acier galvanisé D + G à 800 mm et à 1200 mm du plancherCloison mobile relevableProtection bas de parois sur 300 mm de hautPlatelage aluminium d'entrée de portes arrières sur 1200 mmCadre arrière renforcé avec butoirs à rouleauxExtincteur + coffre1 gaine de ventilation au pavillonCoffre à outils + Boite à documents étanche</v>
      </c>
      <c r="CF168" s="125"/>
      <c r="CG168" s="125"/>
      <c r="CH168" s="125"/>
      <c r="CI168" s="125"/>
      <c r="CJ168" s="125"/>
      <c r="CK168" s="125"/>
      <c r="CL168" s="125"/>
      <c r="CM168" s="125"/>
      <c r="CN168" s="125"/>
      <c r="CO168" s="125"/>
      <c r="CP168" s="125"/>
      <c r="CQ168" s="125"/>
    </row>
    <row r="169" spans="1:101" ht="67.5" outlineLevel="1" x14ac:dyDescent="0.25">
      <c r="A169" s="131" t="s">
        <v>1631</v>
      </c>
      <c r="B169" s="134" t="s">
        <v>32</v>
      </c>
      <c r="C169" s="134" t="s">
        <v>693</v>
      </c>
      <c r="D169" s="134" t="s">
        <v>1918</v>
      </c>
      <c r="E169" s="134"/>
      <c r="F169" s="134" t="s">
        <v>1849</v>
      </c>
      <c r="G169" s="134"/>
      <c r="H169" s="134" t="s">
        <v>1834</v>
      </c>
      <c r="I169" s="134"/>
      <c r="J169" s="134" t="s">
        <v>1919</v>
      </c>
      <c r="K169" s="134"/>
      <c r="L169" s="134" t="s">
        <v>1920</v>
      </c>
      <c r="M169" s="134"/>
      <c r="N169" s="134" t="s">
        <v>1841</v>
      </c>
      <c r="O169" s="134"/>
      <c r="P169" s="134"/>
      <c r="Q169" s="134"/>
      <c r="R169" s="134"/>
      <c r="S169" s="134" t="s">
        <v>1921</v>
      </c>
      <c r="T169" s="134"/>
      <c r="U169" s="134"/>
      <c r="V169" s="134" t="s">
        <v>1922</v>
      </c>
      <c r="W169" s="134" t="s">
        <v>1846</v>
      </c>
      <c r="X169" s="134" t="s">
        <v>1923</v>
      </c>
      <c r="Y169" s="134" t="s">
        <v>1926</v>
      </c>
      <c r="Z169" s="134" t="s">
        <v>1925</v>
      </c>
      <c r="AA169" s="134"/>
      <c r="AB169" s="134"/>
      <c r="AC169" s="134"/>
      <c r="AD169" s="134"/>
      <c r="AE169" s="134" t="s">
        <v>1838</v>
      </c>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4"/>
      <c r="BN169" s="134"/>
      <c r="BO169" s="134"/>
      <c r="BP169" s="134"/>
      <c r="BQ169" s="134"/>
      <c r="BR169" s="134"/>
      <c r="BS169" s="134"/>
      <c r="BT169" s="134"/>
      <c r="BU169" s="134"/>
      <c r="BV169" s="134"/>
      <c r="BW169" s="131" t="str">
        <f t="shared" si="2"/>
        <v>PIsolation renforcée2 portes arrière ouverture totale (porte droite prioritaire) avec bandes réfléchissantes en périphérieEscabeau arrière coulissant 4 marchesPlancher : Antidérapant sans passages de roues avec 2 siphons d'évacuation4 plafonniers à LED avec temporisation2 niveaux de rail d'arrimage en acier galvanisé D + G à 800 mm et à 1200 mm du plancherCloison mobile relevableProtection bas de parois sur 300 mm de hautPlatelage aluminium d'entrée de portes arrières sur 1200 mmCadre arrière renforcé avec butoirs à rouleauxExtincteur + coffre1 gaine de ventilation au pavillonCoffre à outils + Boite à documents étanche1 Prise de hayon pour commande filaire au pavillon à l’arrière droit</v>
      </c>
      <c r="CF169" s="125"/>
      <c r="CG169" s="125"/>
      <c r="CH169" s="125"/>
      <c r="CI169" s="125"/>
      <c r="CJ169" s="125"/>
      <c r="CK169" s="125"/>
      <c r="CL169" s="125"/>
      <c r="CM169" s="125"/>
      <c r="CN169" s="125"/>
      <c r="CO169" s="125"/>
      <c r="CP169" s="125"/>
      <c r="CQ169" s="125"/>
    </row>
    <row r="170" spans="1:101" s="68" customFormat="1" ht="45" outlineLevel="1" x14ac:dyDescent="0.25">
      <c r="A170" s="69" t="s">
        <v>4371</v>
      </c>
      <c r="B170" s="64" t="s">
        <v>32</v>
      </c>
      <c r="C170" s="64" t="s">
        <v>1831</v>
      </c>
      <c r="D170" s="64" t="s">
        <v>4397</v>
      </c>
      <c r="E170" s="64"/>
      <c r="F170" s="64" t="s">
        <v>1851</v>
      </c>
      <c r="G170" s="64"/>
      <c r="H170" s="64" t="s">
        <v>4398</v>
      </c>
      <c r="I170" s="64"/>
      <c r="J170" s="64" t="s">
        <v>1853</v>
      </c>
      <c r="K170" s="64"/>
      <c r="L170" s="64"/>
      <c r="M170" s="64"/>
      <c r="N170" s="64"/>
      <c r="O170" s="64"/>
      <c r="P170" s="64"/>
      <c r="Q170" s="64"/>
      <c r="R170" s="64"/>
      <c r="S170" s="64" t="s">
        <v>1854</v>
      </c>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70"/>
      <c r="AR170" s="64"/>
      <c r="AS170" s="64"/>
      <c r="AT170" s="64"/>
      <c r="AU170" s="64"/>
      <c r="AV170" s="64"/>
      <c r="AW170" s="64"/>
      <c r="AX170" s="64"/>
      <c r="AY170" s="64"/>
      <c r="AZ170" s="64"/>
      <c r="BA170" s="64"/>
      <c r="BB170" s="69"/>
    </row>
    <row r="171" spans="1:101" s="68" customFormat="1" ht="45" outlineLevel="1" x14ac:dyDescent="0.25">
      <c r="A171" s="69" t="s">
        <v>4378</v>
      </c>
      <c r="B171" s="64" t="s">
        <v>32</v>
      </c>
      <c r="C171" s="64" t="s">
        <v>4399</v>
      </c>
      <c r="D171" s="64" t="s">
        <v>4400</v>
      </c>
      <c r="E171" s="64" t="s">
        <v>2000</v>
      </c>
      <c r="F171" s="64"/>
      <c r="G171" s="64"/>
      <c r="H171" s="64" t="s">
        <v>4401</v>
      </c>
      <c r="I171" s="64"/>
      <c r="J171" s="64" t="s">
        <v>1994</v>
      </c>
      <c r="K171" s="64"/>
      <c r="L171" s="64"/>
      <c r="M171" s="64"/>
      <c r="N171" s="64"/>
      <c r="O171" s="64"/>
      <c r="P171" s="64" t="s">
        <v>4402</v>
      </c>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9"/>
    </row>
    <row r="172" spans="1:101" ht="90" outlineLevel="1" x14ac:dyDescent="0.25">
      <c r="A172" s="131" t="s">
        <v>2271</v>
      </c>
      <c r="B172" s="134" t="s">
        <v>32</v>
      </c>
      <c r="C172" s="134" t="s">
        <v>1927</v>
      </c>
      <c r="D172" s="134" t="s">
        <v>1928</v>
      </c>
      <c r="E172" s="134"/>
      <c r="F172" s="134"/>
      <c r="G172" s="134"/>
      <c r="H172" s="134" t="s">
        <v>2331</v>
      </c>
      <c r="I172" s="134"/>
      <c r="J172" s="134" t="s">
        <v>1931</v>
      </c>
      <c r="K172" s="134"/>
      <c r="L172" s="134" t="s">
        <v>2332</v>
      </c>
      <c r="M172" s="134"/>
      <c r="N172" s="134"/>
      <c r="O172" s="134"/>
      <c r="P172" s="134"/>
      <c r="Q172" s="134"/>
      <c r="R172" s="134"/>
      <c r="S172" s="134" t="s">
        <v>1933</v>
      </c>
      <c r="T172" s="134" t="s">
        <v>1934</v>
      </c>
      <c r="U172" s="134"/>
      <c r="V172" s="134"/>
      <c r="W172" s="134"/>
      <c r="X172" s="134"/>
      <c r="Y172" s="134"/>
      <c r="Z172" s="134"/>
      <c r="AA172" s="134"/>
      <c r="AB172" s="134"/>
      <c r="AC172" s="134"/>
      <c r="AD172" s="134"/>
      <c r="AE172" s="134" t="s">
        <v>1935</v>
      </c>
      <c r="AF172" s="134" t="s">
        <v>2333</v>
      </c>
      <c r="AG172" s="134" t="s">
        <v>2334</v>
      </c>
      <c r="AH172" s="134"/>
      <c r="AI172" s="134"/>
      <c r="AJ172" s="134"/>
      <c r="AK172" s="134"/>
      <c r="AL172" s="134"/>
      <c r="AM172" s="134"/>
      <c r="AN172" s="134"/>
      <c r="AO172" s="134"/>
      <c r="AP172" s="134"/>
      <c r="AQ172" s="134"/>
      <c r="AR172" s="134"/>
      <c r="AS172" s="134"/>
      <c r="AT172" s="134"/>
      <c r="AU172" s="134"/>
      <c r="AV172" s="136"/>
      <c r="AW172" s="136"/>
      <c r="AX172" s="136"/>
      <c r="AY172" s="134"/>
      <c r="AZ172" s="131"/>
      <c r="BA172" s="134"/>
      <c r="BB172" s="134" t="s">
        <v>1936</v>
      </c>
      <c r="BC172" s="134"/>
      <c r="BD172" s="134"/>
      <c r="BE172" s="134"/>
      <c r="BF172" s="134"/>
      <c r="BG172" s="134"/>
      <c r="BH172" s="134"/>
      <c r="BI172" s="134"/>
      <c r="BJ172" s="134"/>
      <c r="BK172" s="134"/>
      <c r="BL172" s="134"/>
      <c r="BM172" s="134"/>
      <c r="BN172" s="134"/>
      <c r="BO172" s="134"/>
      <c r="BP172" s="134"/>
      <c r="BQ172" s="134"/>
      <c r="BR172" s="134"/>
      <c r="BS172" s="134"/>
      <c r="BT172" s="134"/>
      <c r="BU172" s="134"/>
      <c r="BV172" s="134"/>
      <c r="BW172" s="131" t="str">
        <f t="shared" si="2"/>
        <v>PCaisse REGNAULT : Panneau contreplaqué stratifié 2 faces teintées dans la masse, épaisseur 17mmFermeture par plateforme du hayon élévateur et auvent rabattable en partie supérieurePlancher hygiène renforcé SANS remontées sur parois : en contreplaqué marine 25mm, recouvert d’une résine polyester antidérapante et 2 bondes d’évacuations dans les angles avant D et G2 bandeaux LEDS, un de chaque côté au pavillon sur toute la longueur de la carrosserie, commande par boitier de détection de présence1 niveau de rail d'arrimage en acier galvanisé sur 3 faces à 1000mm du plancherPlinthe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métalliques2 Aérateurs acier zingué avec grille ABS, positionnée sur face avant en partie haute2 Persiennes simple grille sur la partie auvent</v>
      </c>
      <c r="CF172" s="125"/>
      <c r="CG172" s="125"/>
      <c r="CH172" s="125"/>
      <c r="CI172" s="125"/>
      <c r="CJ172" s="125"/>
      <c r="CK172" s="125"/>
      <c r="CL172" s="125"/>
      <c r="CM172" s="125"/>
      <c r="CN172" s="125"/>
      <c r="CO172" s="125"/>
      <c r="CP172" s="125"/>
      <c r="CQ172" s="125"/>
    </row>
    <row r="173" spans="1:101" ht="90" outlineLevel="1" x14ac:dyDescent="0.25">
      <c r="A173" s="131" t="s">
        <v>2268</v>
      </c>
      <c r="B173" s="134" t="s">
        <v>32</v>
      </c>
      <c r="C173" s="134" t="s">
        <v>1927</v>
      </c>
      <c r="D173" s="134" t="s">
        <v>1928</v>
      </c>
      <c r="E173" s="134"/>
      <c r="F173" s="134"/>
      <c r="G173" s="134"/>
      <c r="H173" s="134" t="s">
        <v>2331</v>
      </c>
      <c r="I173" s="134"/>
      <c r="J173" s="134" t="s">
        <v>1931</v>
      </c>
      <c r="K173" s="134"/>
      <c r="L173" s="134" t="s">
        <v>2332</v>
      </c>
      <c r="M173" s="134"/>
      <c r="N173" s="134"/>
      <c r="O173" s="134"/>
      <c r="P173" s="134"/>
      <c r="Q173" s="134"/>
      <c r="R173" s="134"/>
      <c r="S173" s="134" t="s">
        <v>1933</v>
      </c>
      <c r="T173" s="134" t="s">
        <v>1934</v>
      </c>
      <c r="U173" s="134"/>
      <c r="V173" s="134"/>
      <c r="W173" s="134"/>
      <c r="X173" s="134"/>
      <c r="Y173" s="134"/>
      <c r="Z173" s="134"/>
      <c r="AA173" s="134"/>
      <c r="AB173" s="134"/>
      <c r="AC173" s="134"/>
      <c r="AD173" s="134"/>
      <c r="AE173" s="134" t="s">
        <v>1935</v>
      </c>
      <c r="AF173" s="134" t="s">
        <v>2333</v>
      </c>
      <c r="AG173" s="134" t="s">
        <v>2334</v>
      </c>
      <c r="AH173" s="134"/>
      <c r="AI173" s="134"/>
      <c r="AJ173" s="134"/>
      <c r="AK173" s="134"/>
      <c r="AL173" s="134"/>
      <c r="AM173" s="134"/>
      <c r="AN173" s="134"/>
      <c r="AO173" s="134"/>
      <c r="AP173" s="134"/>
      <c r="AQ173" s="134"/>
      <c r="AR173" s="134"/>
      <c r="AS173" s="134"/>
      <c r="AT173" s="134"/>
      <c r="AU173" s="134"/>
      <c r="AV173" s="136"/>
      <c r="AW173" s="136"/>
      <c r="AX173" s="134"/>
      <c r="AY173" s="134"/>
      <c r="AZ173" s="134"/>
      <c r="BA173" s="134"/>
      <c r="BB173" s="134" t="s">
        <v>1936</v>
      </c>
      <c r="BC173" s="134"/>
      <c r="BD173" s="134"/>
      <c r="BE173" s="134"/>
      <c r="BF173" s="134"/>
      <c r="BG173" s="134"/>
      <c r="BH173" s="134"/>
      <c r="BI173" s="134"/>
      <c r="BJ173" s="134"/>
      <c r="BK173" s="134"/>
      <c r="BL173" s="134"/>
      <c r="BM173" s="134"/>
      <c r="BN173" s="134"/>
      <c r="BO173" s="134"/>
      <c r="BP173" s="134"/>
      <c r="BQ173" s="134"/>
      <c r="BR173" s="134"/>
      <c r="BS173" s="134"/>
      <c r="BT173" s="134"/>
      <c r="BU173" s="134"/>
      <c r="BV173" s="134"/>
      <c r="BW173" s="131" t="str">
        <f t="shared" si="2"/>
        <v>PCaisse REGNAULT : Panneau contreplaqué stratifié 2 faces teintées dans la masse, épaisseur 17mmFermeture par plateforme du hayon élévateur et auvent rabattable en partie supérieurePlancher hygiène renforcé SANS remontées sur parois : en contreplaqué marine 25mm, recouvert d’une résine polyester antidérapante et 2 bondes d’évacuations dans les angles avant D et G2 bandeaux LEDS, un de chaque côté au pavillon sur toute la longueur de la carrosserie, commande par boitier de détection de présence1 niveau de rail d'arrimage en acier galvanisé sur 3 faces à 1000mm du plancherPlinthe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métalliques2 Aérateurs acier zingué avec grille ABS, positionnée sur face avant en partie haute2 Persiennes simple grille sur la partie auvent</v>
      </c>
      <c r="CF173" s="125"/>
      <c r="CG173" s="125"/>
      <c r="CH173" s="125"/>
      <c r="CI173" s="125"/>
      <c r="CJ173" s="125"/>
      <c r="CK173" s="125"/>
      <c r="CL173" s="125"/>
      <c r="CM173" s="125"/>
      <c r="CN173" s="125"/>
      <c r="CO173" s="125"/>
      <c r="CP173" s="125"/>
      <c r="CQ173" s="125"/>
    </row>
    <row r="174" spans="1:101" ht="90" outlineLevel="1" x14ac:dyDescent="0.25">
      <c r="A174" s="131" t="s">
        <v>2280</v>
      </c>
      <c r="B174" s="134" t="s">
        <v>32</v>
      </c>
      <c r="C174" s="134" t="s">
        <v>2335</v>
      </c>
      <c r="D174" s="134" t="s">
        <v>1928</v>
      </c>
      <c r="E174" s="134"/>
      <c r="F174" s="134"/>
      <c r="G174" s="134"/>
      <c r="H174" s="134" t="s">
        <v>2331</v>
      </c>
      <c r="I174" s="134"/>
      <c r="J174" s="134" t="s">
        <v>1931</v>
      </c>
      <c r="K174" s="134"/>
      <c r="L174" s="134" t="s">
        <v>2332</v>
      </c>
      <c r="M174" s="134"/>
      <c r="N174" s="134"/>
      <c r="O174" s="134"/>
      <c r="P174" s="134"/>
      <c r="Q174" s="134"/>
      <c r="R174" s="134"/>
      <c r="S174" s="134" t="s">
        <v>1933</v>
      </c>
      <c r="T174" s="134" t="s">
        <v>1934</v>
      </c>
      <c r="U174" s="134"/>
      <c r="V174" s="134"/>
      <c r="W174" s="134"/>
      <c r="X174" s="134"/>
      <c r="Y174" s="134"/>
      <c r="Z174" s="134"/>
      <c r="AA174" s="134"/>
      <c r="AB174" s="134"/>
      <c r="AC174" s="134"/>
      <c r="AD174" s="134"/>
      <c r="AE174" s="134" t="s">
        <v>1935</v>
      </c>
      <c r="AF174" s="134" t="s">
        <v>2333</v>
      </c>
      <c r="AG174" s="134" t="s">
        <v>2334</v>
      </c>
      <c r="AH174" s="134"/>
      <c r="AI174" s="134"/>
      <c r="AJ174" s="134"/>
      <c r="AK174" s="134"/>
      <c r="AL174" s="134"/>
      <c r="AM174" s="134"/>
      <c r="AN174" s="134"/>
      <c r="AO174" s="134"/>
      <c r="AP174" s="134"/>
      <c r="AQ174" s="134"/>
      <c r="AR174" s="134"/>
      <c r="AS174" s="134"/>
      <c r="AT174" s="134"/>
      <c r="AU174" s="134"/>
      <c r="AV174" s="136"/>
      <c r="AW174" s="136"/>
      <c r="AX174" s="136"/>
      <c r="AY174" s="134"/>
      <c r="AZ174" s="131"/>
      <c r="BA174" s="134"/>
      <c r="BB174" s="134" t="s">
        <v>1936</v>
      </c>
      <c r="BC174" s="134"/>
      <c r="BD174" s="134"/>
      <c r="BE174" s="134"/>
      <c r="BF174" s="134"/>
      <c r="BG174" s="134"/>
      <c r="BH174" s="134"/>
      <c r="BI174" s="134"/>
      <c r="BJ174" s="134"/>
      <c r="BK174" s="134"/>
      <c r="BL174" s="134"/>
      <c r="BM174" s="134"/>
      <c r="BN174" s="134"/>
      <c r="BO174" s="134"/>
      <c r="BP174" s="134"/>
      <c r="BQ174" s="134"/>
      <c r="BR174" s="134"/>
      <c r="BS174" s="134"/>
      <c r="BT174" s="134"/>
      <c r="BU174" s="134"/>
      <c r="BV174" s="134"/>
      <c r="BW174" s="131" t="str">
        <f t="shared" si="2"/>
        <v>PCaisse REGNAULT : Panneau contreplaqué stratifié 2 faces teintées dans la masse, épaisseur 20mmFermeture par plateforme du hayon élévateur et auvent rabattable en partie supérieurePlancher hygiène renforcé SANS remontées sur parois : en contreplaqué marine 25mm, recouvert d’une résine polyester antidérapante et 2 bondes d’évacuations dans les angles avant D et G2 bandeaux LEDS, un de chaque côté au pavillon sur toute la longueur de la carrosserie, commande par boitier de détection de présence1 niveau de rail d'arrimage en acier galvanisé sur 3 faces à 1000mm du plancherPlinthe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métalliques2 Aérateurs acier zingué avec grille ABS, positionnée sur face avant en partie haute2 Persiennes simple grille sur la partie auvent</v>
      </c>
      <c r="CF174" s="125"/>
      <c r="CG174" s="125"/>
      <c r="CH174" s="125"/>
      <c r="CI174" s="125"/>
      <c r="CJ174" s="125"/>
      <c r="CK174" s="125"/>
      <c r="CL174" s="125"/>
      <c r="CM174" s="125"/>
      <c r="CN174" s="125"/>
      <c r="CO174" s="125"/>
      <c r="CP174" s="125"/>
      <c r="CQ174" s="125"/>
    </row>
    <row r="175" spans="1:101" ht="56.25" outlineLevel="1" x14ac:dyDescent="0.25">
      <c r="A175" s="131" t="s">
        <v>2255</v>
      </c>
      <c r="B175" s="134" t="s">
        <v>32</v>
      </c>
      <c r="C175" s="134" t="s">
        <v>2336</v>
      </c>
      <c r="D175" s="134" t="s">
        <v>1971</v>
      </c>
      <c r="E175" s="134" t="s">
        <v>2337</v>
      </c>
      <c r="F175" s="134"/>
      <c r="G175" s="134"/>
      <c r="H175" s="134" t="s">
        <v>2338</v>
      </c>
      <c r="I175" s="134"/>
      <c r="J175" s="134" t="s">
        <v>1987</v>
      </c>
      <c r="K175" s="134"/>
      <c r="L175" s="134" t="s">
        <v>2339</v>
      </c>
      <c r="M175" s="134"/>
      <c r="N175" s="134"/>
      <c r="O175" s="134"/>
      <c r="P175" s="134"/>
      <c r="Q175" s="134"/>
      <c r="R175" s="134"/>
      <c r="S175" s="134" t="s">
        <v>2340</v>
      </c>
      <c r="T175" s="134"/>
      <c r="U175" s="134"/>
      <c r="V175" s="134"/>
      <c r="W175" s="134"/>
      <c r="X175" s="134"/>
      <c r="Y175" s="134"/>
      <c r="Z175" s="134"/>
      <c r="AA175" s="134"/>
      <c r="AB175" s="134"/>
      <c r="AC175" s="134"/>
      <c r="AD175" s="134"/>
      <c r="AE175" s="134" t="s">
        <v>1989</v>
      </c>
      <c r="AF175" s="134" t="s">
        <v>2341</v>
      </c>
      <c r="AG175" s="134" t="s">
        <v>2342</v>
      </c>
      <c r="AH175" s="134"/>
      <c r="AI175" s="134"/>
      <c r="AJ175" s="134"/>
      <c r="AK175" s="134"/>
      <c r="AL175" s="134"/>
      <c r="AM175" s="134"/>
      <c r="AN175" s="134"/>
      <c r="AO175" s="134"/>
      <c r="AP175" s="134"/>
      <c r="AQ175" s="134"/>
      <c r="AR175" s="134"/>
      <c r="AS175" s="134"/>
      <c r="AT175" s="134"/>
      <c r="AU175" s="134"/>
      <c r="AV175" s="136"/>
      <c r="AW175" s="136"/>
      <c r="AX175" s="136"/>
      <c r="AY175" s="134"/>
      <c r="AZ175" s="131"/>
      <c r="BA175" s="134"/>
      <c r="BB175" s="134" t="s">
        <v>1936</v>
      </c>
      <c r="BC175" s="134"/>
      <c r="BD175" s="134"/>
      <c r="BE175" s="134"/>
      <c r="BF175" s="134"/>
      <c r="BG175" s="134"/>
      <c r="BH175" s="134"/>
      <c r="BI175" s="134"/>
      <c r="BJ175" s="134"/>
      <c r="BK175" s="134"/>
      <c r="BL175" s="134"/>
      <c r="BM175" s="134"/>
      <c r="BN175" s="134"/>
      <c r="BO175" s="134"/>
      <c r="BP175" s="134"/>
      <c r="BQ175" s="134"/>
      <c r="BR175" s="134"/>
      <c r="BS175" s="134"/>
      <c r="BT175" s="134"/>
      <c r="BU175" s="134"/>
      <c r="BV175" s="134"/>
      <c r="BW175" s="131" t="str">
        <f t="shared" si="2"/>
        <v>PCaisse CORSIN plywood 14 mm avec soubassement aluminiumFermeture arrière par auvent et hayon élévateur rabattableSans porte latérale coulissantePlancher CP 15 mm hygiène monobloc antidérapant épaisseur 15 mm sans passages de roues et 2 siphons d'évacuation placés à l’avant1 bandeaux LED par coté sur toute la longueur commandé par détecteur de présence1 niveau de rail d’arrimage placé à 900 mm du plancher1 Plinthe alu de 260 mm sur 3 facesPavillon opalin translucide intégral2 aérateurs en face avant2 grilles d’aération sur auvent</v>
      </c>
      <c r="CF175" s="125"/>
      <c r="CG175" s="125"/>
      <c r="CH175" s="125"/>
      <c r="CI175" s="125"/>
      <c r="CJ175" s="125"/>
      <c r="CK175" s="125"/>
      <c r="CL175" s="125"/>
      <c r="CM175" s="125"/>
      <c r="CN175" s="125"/>
      <c r="CO175" s="125"/>
      <c r="CP175" s="125"/>
      <c r="CQ175" s="125"/>
    </row>
    <row r="176" spans="1:101" s="124" customFormat="1" ht="90" outlineLevel="1" x14ac:dyDescent="0.25">
      <c r="A176" s="131" t="s">
        <v>2264</v>
      </c>
      <c r="B176" s="134" t="s">
        <v>32</v>
      </c>
      <c r="C176" s="134" t="s">
        <v>1927</v>
      </c>
      <c r="D176" s="134" t="s">
        <v>1928</v>
      </c>
      <c r="E176" s="134"/>
      <c r="F176" s="134"/>
      <c r="G176" s="134"/>
      <c r="H176" s="134" t="s">
        <v>2331</v>
      </c>
      <c r="I176" s="134"/>
      <c r="J176" s="134" t="s">
        <v>1931</v>
      </c>
      <c r="K176" s="134"/>
      <c r="L176" s="134" t="s">
        <v>2343</v>
      </c>
      <c r="M176" s="134"/>
      <c r="N176" s="134"/>
      <c r="O176" s="134"/>
      <c r="P176" s="134"/>
      <c r="Q176" s="134"/>
      <c r="R176" s="134"/>
      <c r="S176" s="134" t="s">
        <v>1975</v>
      </c>
      <c r="T176" s="134" t="s">
        <v>1934</v>
      </c>
      <c r="U176" s="134"/>
      <c r="V176" s="134"/>
      <c r="W176" s="134"/>
      <c r="X176" s="134"/>
      <c r="Y176" s="134"/>
      <c r="Z176" s="134"/>
      <c r="AA176" s="134"/>
      <c r="AB176" s="134"/>
      <c r="AC176" s="134"/>
      <c r="AD176" s="134"/>
      <c r="AE176" s="134" t="s">
        <v>1935</v>
      </c>
      <c r="AF176" s="134" t="s">
        <v>2333</v>
      </c>
      <c r="AG176" s="134" t="s">
        <v>2334</v>
      </c>
      <c r="AH176" s="134"/>
      <c r="AI176" s="134"/>
      <c r="AJ176" s="134"/>
      <c r="AK176" s="134"/>
      <c r="AL176" s="134"/>
      <c r="AM176" s="134"/>
      <c r="AN176" s="134"/>
      <c r="AO176" s="134"/>
      <c r="AP176" s="134"/>
      <c r="AQ176" s="134"/>
      <c r="AR176" s="134"/>
      <c r="AS176" s="134"/>
      <c r="AT176" s="134"/>
      <c r="AU176" s="134"/>
      <c r="AV176" s="134"/>
      <c r="AW176" s="134"/>
      <c r="AX176" s="136"/>
      <c r="AY176" s="134"/>
      <c r="AZ176" s="131"/>
      <c r="BA176" s="134"/>
      <c r="BB176" s="134" t="s">
        <v>1936</v>
      </c>
      <c r="BC176" s="134"/>
      <c r="BD176" s="134"/>
      <c r="BE176" s="134"/>
      <c r="BF176" s="134"/>
      <c r="BG176" s="134"/>
      <c r="BH176" s="134"/>
      <c r="BI176" s="134"/>
      <c r="BJ176" s="134"/>
      <c r="BK176" s="134"/>
      <c r="BL176" s="134"/>
      <c r="BM176" s="134"/>
      <c r="BN176" s="134"/>
      <c r="BO176" s="134"/>
      <c r="BP176" s="134"/>
      <c r="BQ176" s="134"/>
      <c r="BR176" s="134"/>
      <c r="BS176" s="134"/>
      <c r="BT176" s="134"/>
      <c r="BU176" s="134"/>
      <c r="BV176" s="134"/>
      <c r="BW176" s="131" t="str">
        <f t="shared" si="2"/>
        <v>PCaisse REGNAULT : Panneau contreplaqué stratifié 2 faces teintées dans la masse, épaisseur 17mmFermeture par plateforme du hayon élévateur et auvent rabattable en partie supérieurePlancher hygiène renforcé SANS remontées sur parois : en contreplaqué marine 25mm, recouvert d’une résine polyester antidérapante et 2 bondes d’évacuations dans les angles avant D et G2 bandeaux LEDS, un de chaque côté au pavillon sur toute la longueur de la carrosserie, commande par boitier de détection de présence1 niveau de rail d'arrimage en acier galvanisé sur 3 faces à 900mm du plancherPlinthe de protection en acier galvanisé 20/10 sur les 3 faces, hauteur 270mm avec retour sous plancher de 30mmFace avant renforcé en partie basse extérieure par une tôle galvanisée 30/10ème, hauteur 400mm, boulonnée sur faux châssisPavillon en peau polyester semi-translucide sur arceaux métalliques2 Aérateurs acier zingué avec grille ABS, positionnée sur face avant en partie haute2 Persiennes simple grille sur la partie auvent</v>
      </c>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c r="CR176" s="139"/>
      <c r="CS176" s="139"/>
      <c r="CT176" s="139"/>
      <c r="CU176" s="139"/>
      <c r="CV176" s="139"/>
      <c r="CW176" s="139"/>
    </row>
    <row r="177" spans="1:101" ht="67.5" outlineLevel="1" x14ac:dyDescent="0.25">
      <c r="A177" s="131" t="s">
        <v>2245</v>
      </c>
      <c r="B177" s="134" t="s">
        <v>32</v>
      </c>
      <c r="C177" s="134" t="s">
        <v>1982</v>
      </c>
      <c r="D177" s="134" t="s">
        <v>1983</v>
      </c>
      <c r="E177" s="134" t="s">
        <v>2344</v>
      </c>
      <c r="F177" s="134" t="s">
        <v>1985</v>
      </c>
      <c r="G177" s="134"/>
      <c r="H177" s="134" t="s">
        <v>2345</v>
      </c>
      <c r="I177" s="134"/>
      <c r="J177" s="134" t="s">
        <v>1987</v>
      </c>
      <c r="K177" s="134"/>
      <c r="L177" s="134" t="s">
        <v>2346</v>
      </c>
      <c r="M177" s="134" t="s">
        <v>2347</v>
      </c>
      <c r="N177" s="134"/>
      <c r="O177" s="134"/>
      <c r="P177" s="134"/>
      <c r="Q177" s="134"/>
      <c r="R177" s="134"/>
      <c r="S177" s="134" t="s">
        <v>1988</v>
      </c>
      <c r="T177" s="134"/>
      <c r="U177" s="134"/>
      <c r="V177" s="134"/>
      <c r="W177" s="134"/>
      <c r="X177" s="134"/>
      <c r="Y177" s="134"/>
      <c r="Z177" s="134"/>
      <c r="AA177" s="134"/>
      <c r="AB177" s="134"/>
      <c r="AC177" s="134"/>
      <c r="AD177" s="134"/>
      <c r="AE177" s="134" t="s">
        <v>1989</v>
      </c>
      <c r="AF177" s="134" t="s">
        <v>2348</v>
      </c>
      <c r="AG177" s="134" t="s">
        <v>2349</v>
      </c>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t="s">
        <v>1936</v>
      </c>
      <c r="BC177" s="134"/>
      <c r="BD177" s="134"/>
      <c r="BE177" s="134"/>
      <c r="BF177" s="134"/>
      <c r="BG177" s="134"/>
      <c r="BH177" s="134"/>
      <c r="BI177" s="134"/>
      <c r="BJ177" s="134"/>
      <c r="BK177" s="134"/>
      <c r="BL177" s="134"/>
      <c r="BM177" s="134"/>
      <c r="BN177" s="134"/>
      <c r="BO177" s="134"/>
      <c r="BP177" s="134"/>
      <c r="BQ177" s="134"/>
      <c r="BR177" s="134"/>
      <c r="BS177" s="134"/>
      <c r="BT177" s="134"/>
      <c r="BU177" s="134"/>
      <c r="BV177" s="134"/>
      <c r="BW177" s="131" t="str">
        <f t="shared" si="2"/>
        <v>PCaisse CORSIN plywood 14 mm2 portes arrières avec blocage 270° avec une fermeture par portePorte latérale coulissante ouverture 1m départ 250 mm de l’AVDSans marchepiedPlancher CP 15 mm hygiène monobloc revêtement grain de riz avec passage de roues en aluminium et 1 siphon d’évacuation placé à l’avant gauche1 bandeaux LED par coté sur toute la longueur commandé par détecteur de présence1 niveau de rail d’arrimage placé à 900 mm du plancher - Pas de rail sur la porte latérale3 barres porte cintres sur structure transversale1 Plinthe acier galva de 280 mm sur 3 facesPavillon opalin translucide intégral2 aérateurs sur face avant2 grilles d’aération sur portes arrières</v>
      </c>
      <c r="CF177" s="125"/>
      <c r="CG177" s="125"/>
      <c r="CH177" s="125"/>
      <c r="CI177" s="125"/>
      <c r="CJ177" s="125"/>
      <c r="CK177" s="125"/>
      <c r="CL177" s="125"/>
      <c r="CM177" s="125"/>
      <c r="CN177" s="125"/>
      <c r="CO177" s="125"/>
      <c r="CP177" s="125"/>
      <c r="CQ177" s="125"/>
    </row>
    <row r="178" spans="1:101" ht="67.5" outlineLevel="1" x14ac:dyDescent="0.25">
      <c r="A178" s="131" t="s">
        <v>2249</v>
      </c>
      <c r="B178" s="134" t="s">
        <v>32</v>
      </c>
      <c r="C178" s="134" t="s">
        <v>1982</v>
      </c>
      <c r="D178" s="134" t="s">
        <v>1983</v>
      </c>
      <c r="E178" s="134" t="s">
        <v>2344</v>
      </c>
      <c r="F178" s="134" t="s">
        <v>1985</v>
      </c>
      <c r="G178" s="134"/>
      <c r="H178" s="134" t="s">
        <v>2345</v>
      </c>
      <c r="I178" s="134"/>
      <c r="J178" s="134" t="s">
        <v>1987</v>
      </c>
      <c r="K178" s="134"/>
      <c r="L178" s="134" t="s">
        <v>2346</v>
      </c>
      <c r="M178" s="134" t="s">
        <v>2347</v>
      </c>
      <c r="N178" s="134"/>
      <c r="O178" s="134"/>
      <c r="P178" s="134"/>
      <c r="Q178" s="134"/>
      <c r="R178" s="134"/>
      <c r="S178" s="134" t="s">
        <v>1988</v>
      </c>
      <c r="T178" s="134"/>
      <c r="U178" s="134"/>
      <c r="V178" s="134"/>
      <c r="W178" s="134"/>
      <c r="X178" s="134"/>
      <c r="Y178" s="134"/>
      <c r="Z178" s="134"/>
      <c r="AA178" s="134"/>
      <c r="AB178" s="134"/>
      <c r="AC178" s="134"/>
      <c r="AD178" s="134"/>
      <c r="AE178" s="134" t="s">
        <v>1989</v>
      </c>
      <c r="AF178" s="134" t="s">
        <v>2348</v>
      </c>
      <c r="AG178" s="134" t="s">
        <v>2349</v>
      </c>
      <c r="AH178" s="134"/>
      <c r="AI178" s="134"/>
      <c r="AJ178" s="134"/>
      <c r="AK178" s="134"/>
      <c r="AL178" s="134"/>
      <c r="AM178" s="134"/>
      <c r="AN178" s="134"/>
      <c r="AO178" s="134"/>
      <c r="AP178" s="134"/>
      <c r="AQ178" s="134"/>
      <c r="AR178" s="134"/>
      <c r="AS178" s="134"/>
      <c r="AT178" s="134"/>
      <c r="AU178" s="134"/>
      <c r="AV178" s="136"/>
      <c r="AW178" s="136"/>
      <c r="AX178" s="136"/>
      <c r="AY178" s="134"/>
      <c r="AZ178" s="134"/>
      <c r="BA178" s="134"/>
      <c r="BB178" s="134" t="s">
        <v>1936</v>
      </c>
      <c r="BC178" s="134"/>
      <c r="BD178" s="134"/>
      <c r="BE178" s="134"/>
      <c r="BF178" s="134"/>
      <c r="BG178" s="134"/>
      <c r="BH178" s="134"/>
      <c r="BI178" s="134"/>
      <c r="BJ178" s="134"/>
      <c r="BK178" s="134"/>
      <c r="BL178" s="134"/>
      <c r="BM178" s="134"/>
      <c r="BN178" s="134"/>
      <c r="BO178" s="134"/>
      <c r="BP178" s="134"/>
      <c r="BQ178" s="134"/>
      <c r="BR178" s="134"/>
      <c r="BS178" s="134"/>
      <c r="BT178" s="134"/>
      <c r="BU178" s="134"/>
      <c r="BV178" s="134"/>
      <c r="BW178" s="131" t="str">
        <f t="shared" si="2"/>
        <v>PCaisse CORSIN plywood 14 mm2 portes arrières avec blocage 270° avec une fermeture par portePorte latérale coulissante ouverture 1m départ 250 mm de l’AVDSans marchepiedPlancher CP 15 mm hygiène monobloc revêtement grain de riz avec passage de roues en aluminium et 1 siphon d’évacuation placé à l’avant gauche1 bandeaux LED par coté sur toute la longueur commandé par détecteur de présence1 niveau de rail d’arrimage placé à 900 mm du plancher - Pas de rail sur la porte latérale3 barres porte cintres sur structure transversale1 Plinthe acier galva de 280 mm sur 3 facesPavillon opalin translucide intégral2 aérateurs sur face avant2 grilles d’aération sur portes arrières</v>
      </c>
      <c r="CF178" s="125"/>
      <c r="CG178" s="125"/>
      <c r="CH178" s="125"/>
      <c r="CI178" s="125"/>
      <c r="CJ178" s="125"/>
      <c r="CK178" s="125"/>
      <c r="CL178" s="125"/>
      <c r="CM178" s="125"/>
      <c r="CN178" s="125"/>
      <c r="CO178" s="125"/>
      <c r="CP178" s="125"/>
      <c r="CQ178" s="125"/>
    </row>
    <row r="179" spans="1:101" s="124" customFormat="1" ht="78.75" outlineLevel="1" x14ac:dyDescent="0.25">
      <c r="A179" s="131" t="s">
        <v>1725</v>
      </c>
      <c r="B179" s="134" t="s">
        <v>32</v>
      </c>
      <c r="C179" s="134" t="s">
        <v>1927</v>
      </c>
      <c r="D179" s="134" t="s">
        <v>1928</v>
      </c>
      <c r="E179" s="134" t="s">
        <v>1929</v>
      </c>
      <c r="F179" s="134"/>
      <c r="G179" s="134"/>
      <c r="H179" s="134" t="s">
        <v>1930</v>
      </c>
      <c r="I179" s="134"/>
      <c r="J179" s="134" t="s">
        <v>1931</v>
      </c>
      <c r="K179" s="134"/>
      <c r="L179" s="134" t="s">
        <v>1932</v>
      </c>
      <c r="M179" s="134"/>
      <c r="N179" s="134"/>
      <c r="O179" s="134"/>
      <c r="P179" s="134"/>
      <c r="Q179" s="134"/>
      <c r="R179" s="134"/>
      <c r="S179" s="134" t="s">
        <v>1933</v>
      </c>
      <c r="T179" s="134" t="s">
        <v>1934</v>
      </c>
      <c r="U179" s="134"/>
      <c r="V179" s="134"/>
      <c r="W179" s="134"/>
      <c r="X179" s="134"/>
      <c r="Y179" s="134"/>
      <c r="Z179" s="134"/>
      <c r="AA179" s="134"/>
      <c r="AB179" s="134"/>
      <c r="AC179" s="134"/>
      <c r="AD179" s="134"/>
      <c r="AE179" s="134" t="s">
        <v>1935</v>
      </c>
      <c r="AF179" s="134"/>
      <c r="AG179" s="134"/>
      <c r="AH179" s="134"/>
      <c r="AI179" s="134"/>
      <c r="AJ179" s="134"/>
      <c r="AK179" s="134"/>
      <c r="AL179" s="134"/>
      <c r="AM179" s="134"/>
      <c r="AN179" s="134"/>
      <c r="AO179" s="134"/>
      <c r="AP179" s="134"/>
      <c r="AQ179" s="134"/>
      <c r="AR179" s="134"/>
      <c r="AS179" s="134"/>
      <c r="AT179" s="134"/>
      <c r="AU179" s="134"/>
      <c r="AV179" s="136"/>
      <c r="AW179" s="136"/>
      <c r="AX179" s="136"/>
      <c r="AY179" s="134"/>
      <c r="AZ179" s="131"/>
      <c r="BA179" s="134"/>
      <c r="BB179" s="134" t="s">
        <v>1936</v>
      </c>
      <c r="BC179" s="134"/>
      <c r="BD179" s="134"/>
      <c r="BE179" s="134"/>
      <c r="BF179" s="134"/>
      <c r="BG179" s="134"/>
      <c r="BH179" s="134"/>
      <c r="BI179" s="134"/>
      <c r="BJ179" s="134"/>
      <c r="BK179" s="134"/>
      <c r="BL179" s="134"/>
      <c r="BM179" s="134"/>
      <c r="BN179" s="134"/>
      <c r="BO179" s="134"/>
      <c r="BP179" s="134"/>
      <c r="BQ179" s="134"/>
      <c r="BR179" s="134"/>
      <c r="BS179" s="134"/>
      <c r="BT179" s="134"/>
      <c r="BU179" s="134"/>
      <c r="BV179" s="134"/>
      <c r="BW179" s="131" t="str">
        <f t="shared" ref="BW179:BW232" si="3">CONCATENATE(B179,C179,D179,E179,F179,G179,H179,I179,J179,K179,L179,M179,N179,O179,P179,Q179,R179,S179,T179,U179,V179,W179,X179,Y179,Z179,AA179,AB179,AC179,AD179,AE179,AF179,AG179,AH179,AI179,AJ179,AK179,AL179,AM179,AN179,AO179,AP179,AQ179,AR179,AS179,AT179,AU179,AV179,AW179,AX179,AY179,AZ179,BA179,BC179,BD179,BE179,BF179,BG179,BH179,BI179,BJ179,BK179,BL179,BM179,BN179,BO179,BP179,BQ179,BR179,BS179,BT179,BU179,BV179,)</f>
        <v>PCaisse REGNAULT : Panneau contreplaqué stratifié 2 faces teintées dans la masse, épaisseur 17mmFermeture par plateforme du hayon élévateur et auvent rabattable en partie supérieurePorte latérale battante largeur 1000 mm à 1200 mm de l'avant droit avec escabeau coulissant 3 marches et buzzer en cabinePlancher contreplaqué 24 mm antidérapant2 bandeaux LEDS, un de chaque côté au pavillon sur toute la longueur de la carrosserie, commande par boitier de détection de présence1 niveau de rail d'arrimage en acier galvanisé sur 3 faces à 1100 mm du plancher - Pas de rail sur la porte latéralePlinthe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v>
      </c>
      <c r="BX179" s="125"/>
      <c r="BY179" s="125"/>
      <c r="BZ179" s="125"/>
      <c r="CA179" s="125"/>
      <c r="CB179" s="125"/>
      <c r="CC179" s="125"/>
      <c r="CD179" s="125"/>
      <c r="CE179" s="125"/>
      <c r="CF179" s="125"/>
      <c r="CG179" s="125"/>
      <c r="CH179" s="125"/>
      <c r="CI179" s="125"/>
      <c r="CJ179" s="125"/>
      <c r="CK179" s="125"/>
      <c r="CL179" s="125"/>
      <c r="CM179" s="125"/>
      <c r="CN179" s="125"/>
      <c r="CO179" s="125"/>
      <c r="CP179" s="125"/>
      <c r="CQ179" s="125"/>
      <c r="CR179" s="139"/>
      <c r="CS179" s="139"/>
      <c r="CT179" s="139"/>
      <c r="CU179" s="139"/>
      <c r="CV179" s="139"/>
      <c r="CW179" s="139"/>
    </row>
    <row r="180" spans="1:101" ht="112.5" outlineLevel="1" x14ac:dyDescent="0.25">
      <c r="A180" s="131" t="s">
        <v>1728</v>
      </c>
      <c r="B180" s="134" t="s">
        <v>32</v>
      </c>
      <c r="C180" s="134" t="s">
        <v>1937</v>
      </c>
      <c r="D180" s="134" t="s">
        <v>1938</v>
      </c>
      <c r="E180" s="134" t="s">
        <v>1929</v>
      </c>
      <c r="F180" s="134" t="s">
        <v>1939</v>
      </c>
      <c r="G180" s="134"/>
      <c r="H180" s="134" t="s">
        <v>1930</v>
      </c>
      <c r="I180" s="134"/>
      <c r="J180" s="134" t="s">
        <v>1931</v>
      </c>
      <c r="K180" s="134"/>
      <c r="L180" s="134" t="s">
        <v>1940</v>
      </c>
      <c r="M180" s="134"/>
      <c r="N180" s="134"/>
      <c r="O180" s="134"/>
      <c r="P180" s="134"/>
      <c r="Q180" s="134"/>
      <c r="R180" s="134"/>
      <c r="S180" s="134" t="s">
        <v>1941</v>
      </c>
      <c r="T180" s="134" t="s">
        <v>1934</v>
      </c>
      <c r="U180" s="134"/>
      <c r="V180" s="134"/>
      <c r="W180" s="134"/>
      <c r="X180" s="134"/>
      <c r="Y180" s="134"/>
      <c r="Z180" s="134"/>
      <c r="AA180" s="134"/>
      <c r="AB180" s="134" t="s">
        <v>1942</v>
      </c>
      <c r="AC180" s="134" t="s">
        <v>1943</v>
      </c>
      <c r="AD180" s="134"/>
      <c r="AE180" s="134" t="s">
        <v>1935</v>
      </c>
      <c r="AF180" s="134"/>
      <c r="AG180" s="134"/>
      <c r="AH180" s="134"/>
      <c r="AI180" s="134"/>
      <c r="AJ180" s="134"/>
      <c r="AK180" s="134"/>
      <c r="AL180" s="134"/>
      <c r="AM180" s="134"/>
      <c r="AN180" s="134"/>
      <c r="AO180" s="134"/>
      <c r="AP180" s="134"/>
      <c r="AQ180" s="134"/>
      <c r="AR180" s="134"/>
      <c r="AS180" s="134"/>
      <c r="AT180" s="134"/>
      <c r="AU180" s="134"/>
      <c r="AV180" s="136"/>
      <c r="AW180" s="136"/>
      <c r="AX180" s="134"/>
      <c r="AY180" s="134"/>
      <c r="AZ180" s="134"/>
      <c r="BA180" s="134"/>
      <c r="BB180" s="134" t="s">
        <v>1936</v>
      </c>
      <c r="BC180" s="134"/>
      <c r="BD180" s="134"/>
      <c r="BE180" s="134"/>
      <c r="BF180" s="134"/>
      <c r="BG180" s="134"/>
      <c r="BH180" s="134"/>
      <c r="BI180" s="134"/>
      <c r="BJ180" s="134"/>
      <c r="BK180" s="134"/>
      <c r="BL180" s="134"/>
      <c r="BM180" s="134"/>
      <c r="BN180" s="134"/>
      <c r="BO180" s="134"/>
      <c r="BP180" s="134"/>
      <c r="BQ180" s="134"/>
      <c r="BR180" s="134"/>
      <c r="BS180" s="134"/>
      <c r="BT180" s="134"/>
      <c r="BU180" s="134"/>
      <c r="BV180" s="134"/>
      <c r="BW180" s="131" t="str">
        <f t="shared" si="3"/>
        <v>PCaisse REGNAULT : Panneau contreplaqué stratifié 2 faces teintées dans la masse, épaisseur 17mm + Renforts latéraux en tôle pliées aluminium type omégas, espacés de 500mm sur toute la hauteur.Fermeture par 2 portes armoires standard à ouverture totale 270°Porte latérale battante largeur 1000 mm à 1200 mm de l'avant droit avec escabeau coulissant 3 marches et buzzer en cabine1 escabeau arrière coulissant (escabeau posant au sol) entre les traverses du faux châssis.Plancher contreplaqué 24 mm antidérapant2 bandeaux LEDS, un de chaque côté au pavillon sur toute la longueur de la carrosserie, commande par boitier de détection de présence1 niveau de rail d'arrimage en acier galvanisé D + G à 2100 mm du plancher - Pas de rail sur la porte latéralePlinthe de protection en contreplaqué sur 3 faces, épaisseur 15mm, hauteur 200mm du plancherFace avant renforcé en partie basse extérieure par une tôle galvanisée 30/10ème, hauteur 400mm, boulonnée sur faux châssis4 Niveau(x) de tringle sur 3 faces (barre de Ø12/17 pontets rivetés) -  Pas de tubes sur la porte latérale3 Niveau(x) de capiton hauteur 140mm sur 3 faces, tôle acier galvanisée recouvert de moquette de couleur rouge (y compris sur la porte latérale)Pavillon en peau polyester semi-translucide sur arceaux métalliques</v>
      </c>
      <c r="CF180" s="125"/>
      <c r="CG180" s="125"/>
      <c r="CH180" s="125"/>
      <c r="CI180" s="125"/>
      <c r="CJ180" s="125"/>
      <c r="CK180" s="125"/>
      <c r="CL180" s="125"/>
      <c r="CM180" s="125"/>
      <c r="CN180" s="125"/>
      <c r="CO180" s="125"/>
      <c r="CP180" s="125"/>
      <c r="CQ180" s="125"/>
    </row>
    <row r="181" spans="1:101" ht="101.25" outlineLevel="1" x14ac:dyDescent="0.25">
      <c r="A181" s="131" t="s">
        <v>1732</v>
      </c>
      <c r="B181" s="134" t="s">
        <v>32</v>
      </c>
      <c r="C181" s="134" t="s">
        <v>1927</v>
      </c>
      <c r="D181" s="134" t="s">
        <v>1928</v>
      </c>
      <c r="E181" s="134" t="s">
        <v>1929</v>
      </c>
      <c r="F181" s="134"/>
      <c r="G181" s="134"/>
      <c r="H181" s="134" t="s">
        <v>1930</v>
      </c>
      <c r="I181" s="134"/>
      <c r="J181" s="134" t="s">
        <v>1931</v>
      </c>
      <c r="K181" s="134"/>
      <c r="L181" s="134" t="s">
        <v>1932</v>
      </c>
      <c r="M181" s="134"/>
      <c r="N181" s="134"/>
      <c r="O181" s="134"/>
      <c r="P181" s="134"/>
      <c r="Q181" s="134" t="s">
        <v>1944</v>
      </c>
      <c r="R181" s="134" t="s">
        <v>1945</v>
      </c>
      <c r="S181" s="134" t="s">
        <v>1933</v>
      </c>
      <c r="T181" s="134" t="s">
        <v>1934</v>
      </c>
      <c r="U181" s="134"/>
      <c r="V181" s="134"/>
      <c r="W181" s="134"/>
      <c r="X181" s="134"/>
      <c r="Y181" s="134"/>
      <c r="Z181" s="134"/>
      <c r="AA181" s="134"/>
      <c r="AB181" s="134"/>
      <c r="AC181" s="134"/>
      <c r="AD181" s="134"/>
      <c r="AE181" s="134" t="s">
        <v>1935</v>
      </c>
      <c r="AF181" s="134"/>
      <c r="AG181" s="134"/>
      <c r="AH181" s="134"/>
      <c r="AI181" s="134"/>
      <c r="AJ181" s="134"/>
      <c r="AK181" s="134"/>
      <c r="AL181" s="134"/>
      <c r="AM181" s="134"/>
      <c r="AN181" s="134"/>
      <c r="AO181" s="134"/>
      <c r="AP181" s="134"/>
      <c r="AQ181" s="134"/>
      <c r="AR181" s="134"/>
      <c r="AS181" s="134"/>
      <c r="AT181" s="134"/>
      <c r="AU181" s="134"/>
      <c r="AV181" s="136"/>
      <c r="AW181" s="136"/>
      <c r="AX181" s="136"/>
      <c r="AY181" s="134"/>
      <c r="AZ181" s="131"/>
      <c r="BA181" s="134"/>
      <c r="BB181" s="134" t="s">
        <v>1936</v>
      </c>
      <c r="BC181" s="134"/>
      <c r="BD181" s="134"/>
      <c r="BE181" s="134"/>
      <c r="BF181" s="134"/>
      <c r="BG181" s="134"/>
      <c r="BH181" s="134"/>
      <c r="BI181" s="134"/>
      <c r="BJ181" s="134"/>
      <c r="BK181" s="134"/>
      <c r="BL181" s="134"/>
      <c r="BM181" s="134"/>
      <c r="BN181" s="134"/>
      <c r="BO181" s="134"/>
      <c r="BP181" s="134"/>
      <c r="BQ181" s="134"/>
      <c r="BR181" s="134"/>
      <c r="BS181" s="134"/>
      <c r="BT181" s="134"/>
      <c r="BU181" s="134"/>
      <c r="BV181" s="134"/>
      <c r="BW181" s="131" t="str">
        <f t="shared" si="3"/>
        <v>PCaisse REGNAULT : Panneau contreplaqué stratifié 2 faces teintées dans la masse, épaisseur 17mmFermeture par plateforme du hayon élévateur et auvent rabattable en partie supérieurePorte latérale battante largeur 1000 mm à 1200 mm de l'avant droit avec escabeau coulissant 3 marches et buzzer en cabinePlancher contreplaqué 24 mm antidérapant2 bandeaux LEDS, un de chaque côté au pavillon sur toute la longueur de la carrosserie, commande par boitier de détection de présence1 niveau de rail d'arrimage en acier galvanisé sur 3 faces à 1100 mm du plancher - Pas de rail sur la porte latéraleDoublage face avant, en panneau OSB, épaisseur 15mm, hauteur 750mm. Recouvert d’une tôle en acier galvanisé 20/10ème avec retour en partie basse sur le plancher et en partie haute pliage à 45°Plinthe de protection en acier galvanisé 20/10, hauteur 265mm minimum du plancher.Plinthe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v>
      </c>
      <c r="CF181" s="125"/>
      <c r="CG181" s="125"/>
      <c r="CH181" s="125"/>
      <c r="CI181" s="125"/>
      <c r="CJ181" s="125"/>
      <c r="CK181" s="125"/>
      <c r="CL181" s="125"/>
      <c r="CM181" s="125"/>
      <c r="CN181" s="125"/>
      <c r="CO181" s="125"/>
      <c r="CP181" s="125"/>
      <c r="CQ181" s="125"/>
    </row>
    <row r="182" spans="1:101" ht="112.5" outlineLevel="1" x14ac:dyDescent="0.25">
      <c r="A182" s="131" t="s">
        <v>1739</v>
      </c>
      <c r="B182" s="134" t="s">
        <v>32</v>
      </c>
      <c r="C182" s="134" t="s">
        <v>1946</v>
      </c>
      <c r="D182" s="134" t="s">
        <v>1928</v>
      </c>
      <c r="E182" s="134" t="s">
        <v>1929</v>
      </c>
      <c r="F182" s="134"/>
      <c r="G182" s="134"/>
      <c r="H182" s="134" t="s">
        <v>1947</v>
      </c>
      <c r="I182" s="134"/>
      <c r="J182" s="134" t="s">
        <v>1931</v>
      </c>
      <c r="K182" s="134"/>
      <c r="L182" s="134" t="s">
        <v>1932</v>
      </c>
      <c r="M182" s="134"/>
      <c r="N182" s="134"/>
      <c r="O182" s="134"/>
      <c r="P182" s="134"/>
      <c r="Q182" s="134" t="s">
        <v>1944</v>
      </c>
      <c r="R182" s="134" t="s">
        <v>1948</v>
      </c>
      <c r="S182" s="134" t="s">
        <v>1949</v>
      </c>
      <c r="T182" s="134" t="s">
        <v>1934</v>
      </c>
      <c r="U182" s="134"/>
      <c r="V182" s="134"/>
      <c r="W182" s="134"/>
      <c r="X182" s="134"/>
      <c r="Y182" s="134"/>
      <c r="Z182" s="134"/>
      <c r="AA182" s="134"/>
      <c r="AB182" s="134"/>
      <c r="AC182" s="134"/>
      <c r="AD182" s="134"/>
      <c r="AE182" s="134" t="s">
        <v>1935</v>
      </c>
      <c r="AF182" s="134"/>
      <c r="AG182" s="134"/>
      <c r="AH182" s="134"/>
      <c r="AI182" s="134"/>
      <c r="AJ182" s="134"/>
      <c r="AK182" s="134"/>
      <c r="AL182" s="134"/>
      <c r="AM182" s="134"/>
      <c r="AN182" s="134"/>
      <c r="AO182" s="134"/>
      <c r="AP182" s="134"/>
      <c r="AQ182" s="134"/>
      <c r="AR182" s="134"/>
      <c r="AS182" s="134"/>
      <c r="AT182" s="134"/>
      <c r="AU182" s="134"/>
      <c r="AV182" s="136"/>
      <c r="AW182" s="136"/>
      <c r="AX182" s="136"/>
      <c r="AY182" s="134"/>
      <c r="AZ182" s="131"/>
      <c r="BA182" s="134"/>
      <c r="BB182" s="134" t="s">
        <v>1936</v>
      </c>
      <c r="BC182" s="134"/>
      <c r="BD182" s="134"/>
      <c r="BE182" s="134"/>
      <c r="BF182" s="134"/>
      <c r="BG182" s="134"/>
      <c r="BH182" s="134"/>
      <c r="BI182" s="134"/>
      <c r="BJ182" s="134"/>
      <c r="BK182" s="134"/>
      <c r="BL182" s="134"/>
      <c r="BM182" s="134"/>
      <c r="BN182" s="134"/>
      <c r="BO182" s="134"/>
      <c r="BP182" s="134"/>
      <c r="BQ182" s="134"/>
      <c r="BR182" s="134"/>
      <c r="BS182" s="134"/>
      <c r="BT182" s="134"/>
      <c r="BU182" s="134"/>
      <c r="BV182" s="134"/>
      <c r="BW182" s="131" t="str">
        <f t="shared" si="3"/>
        <v>PCaisse REGNAULT : Panneau contreplaqué stratifié 2 faces, épaisseur 20mm.Fermeture par plateforme du hayon élévateur et auvent rabattable en partie supérieurePorte latérale battante largeur 1000 mm à 1200 mm de l'avant droit avec escabeau coulissant 3 marches et buzzer en cabinePlancher en contreplaqué 27mm antidérapant2 bandeaux LEDS, un de chaque côté au pavillon sur toute la longueur de la carrosserie, commande par boitier de détection de présence1 niveau de rail d'arrimage en acier galvanisé sur 3 faces à 1100 mm du plancher - Pas de rail sur la porte latéraleDoublage face avant, en panneau OSB, épaisseur 15mm, hauteur 750mm. Recouvert d’une tôle en acier galvanisé 20/10ème avec retour en partie basse sur le plancher et en partie haute pliage à 45°Face Av : Plinthe de protection en acier galvanisé 20/10, hauteur 265mm minimum du plancher.Plinthe de protection en acier galvanisé 20/10 sur les 2 faces, hauteur 470mm minimum du plancher avec retour sous plancher de 30mm minimum.Face avant renforcé en partie basse extérieure par une tôle galvanisée 30/10ème, hauteur 400mm, boulonnée sur faux châssisPavillon en peau polyester semi-translucide sur arceaux métalliques</v>
      </c>
      <c r="CF182" s="125"/>
      <c r="CG182" s="125"/>
      <c r="CH182" s="125"/>
      <c r="CI182" s="125"/>
      <c r="CJ182" s="125"/>
      <c r="CK182" s="125"/>
      <c r="CL182" s="125"/>
      <c r="CM182" s="125"/>
      <c r="CN182" s="125"/>
      <c r="CO182" s="125"/>
      <c r="CP182" s="125"/>
      <c r="CQ182" s="125"/>
    </row>
    <row r="183" spans="1:101" s="124" customFormat="1" ht="112.5" outlineLevel="1" x14ac:dyDescent="0.25">
      <c r="A183" s="131" t="s">
        <v>1742</v>
      </c>
      <c r="B183" s="134" t="s">
        <v>32</v>
      </c>
      <c r="C183" s="134" t="s">
        <v>1937</v>
      </c>
      <c r="D183" s="134" t="s">
        <v>1950</v>
      </c>
      <c r="E183" s="134" t="s">
        <v>1929</v>
      </c>
      <c r="F183" s="134" t="s">
        <v>1939</v>
      </c>
      <c r="G183" s="134"/>
      <c r="H183" s="134" t="s">
        <v>1947</v>
      </c>
      <c r="I183" s="134"/>
      <c r="J183" s="134" t="s">
        <v>1931</v>
      </c>
      <c r="K183" s="134"/>
      <c r="L183" s="134" t="s">
        <v>1940</v>
      </c>
      <c r="M183" s="134"/>
      <c r="N183" s="134"/>
      <c r="O183" s="134"/>
      <c r="P183" s="134"/>
      <c r="Q183" s="134"/>
      <c r="R183" s="134"/>
      <c r="S183" s="134" t="s">
        <v>1941</v>
      </c>
      <c r="T183" s="134" t="s">
        <v>1934</v>
      </c>
      <c r="U183" s="134"/>
      <c r="V183" s="134"/>
      <c r="W183" s="134"/>
      <c r="X183" s="134"/>
      <c r="Y183" s="134"/>
      <c r="Z183" s="134"/>
      <c r="AA183" s="134"/>
      <c r="AB183" s="134" t="s">
        <v>1942</v>
      </c>
      <c r="AC183" s="134" t="s">
        <v>1943</v>
      </c>
      <c r="AD183" s="134"/>
      <c r="AE183" s="134" t="s">
        <v>1935</v>
      </c>
      <c r="AF183" s="134"/>
      <c r="AG183" s="134"/>
      <c r="AH183" s="134"/>
      <c r="AI183" s="134"/>
      <c r="AJ183" s="134"/>
      <c r="AK183" s="134"/>
      <c r="AL183" s="134"/>
      <c r="AM183" s="134"/>
      <c r="AN183" s="134"/>
      <c r="AO183" s="134"/>
      <c r="AP183" s="134"/>
      <c r="AQ183" s="134"/>
      <c r="AR183" s="134"/>
      <c r="AS183" s="134"/>
      <c r="AT183" s="134"/>
      <c r="AU183" s="134"/>
      <c r="AV183" s="136"/>
      <c r="AW183" s="136"/>
      <c r="AX183" s="134"/>
      <c r="AY183" s="134"/>
      <c r="AZ183" s="134"/>
      <c r="BA183" s="134"/>
      <c r="BB183" s="134" t="s">
        <v>1936</v>
      </c>
      <c r="BC183" s="134"/>
      <c r="BD183" s="134"/>
      <c r="BE183" s="134"/>
      <c r="BF183" s="134"/>
      <c r="BG183" s="134"/>
      <c r="BH183" s="134"/>
      <c r="BI183" s="134"/>
      <c r="BJ183" s="134"/>
      <c r="BK183" s="134"/>
      <c r="BL183" s="134"/>
      <c r="BM183" s="134"/>
      <c r="BN183" s="134"/>
      <c r="BO183" s="134"/>
      <c r="BP183" s="134"/>
      <c r="BQ183" s="134"/>
      <c r="BR183" s="134"/>
      <c r="BS183" s="134"/>
      <c r="BT183" s="134"/>
      <c r="BU183" s="134"/>
      <c r="BV183" s="134"/>
      <c r="BW183" s="131" t="str">
        <f t="shared" si="3"/>
        <v>PCaisse REGNAULT : Panneau contreplaqué stratifié 2 faces teintées dans la masse, épaisseur 17mm + Renforts latéraux en tôle pliées aluminium type omégas, espacés de 500mm sur toute la hauteur.2 portes arrière ouverture totalePorte latérale battante largeur 1000 mm à 1200 mm de l'avant droit avec escabeau coulissant 3 marches et buzzer en cabine1 escabeau arrière coulissant (escabeau posant au sol) entre les traverses du faux châssis.Plancher en contreplaqué 27mm antidérapant2 bandeaux LEDS, un de chaque côté au pavillon sur toute la longueur de la carrosserie, commande par boitier de détection de présence1 niveau de rail d'arrimage en acier galvanisé D + G à 2100 mm du plancher - Pas de rail sur la porte latéralePlinthe de protection en contreplaqué sur 3 faces, épaisseur 15mm, hauteur 200mm du plancherFace avant renforcé en partie basse extérieure par une tôle galvanisée 30/10ème, hauteur 400mm, boulonnée sur faux châssis4 Niveau(x) de tringle sur 3 faces (barre de Ø12/17 pontets rivetés) -  Pas de tubes sur la porte latérale3 Niveau(x) de capiton hauteur 140mm sur 3 faces, tôle acier galvanisée recouvert de moquette de couleur rouge (y compris sur la porte latérale)Pavillon en peau polyester semi-translucide sur arceaux métalliques</v>
      </c>
      <c r="BX183" s="125"/>
      <c r="BY183" s="125"/>
      <c r="BZ183" s="125"/>
      <c r="CA183" s="125"/>
      <c r="CB183" s="125"/>
      <c r="CC183" s="125"/>
      <c r="CD183" s="125"/>
      <c r="CE183" s="125"/>
      <c r="CF183" s="125"/>
      <c r="CG183" s="125"/>
      <c r="CH183" s="125"/>
      <c r="CI183" s="125"/>
      <c r="CJ183" s="125"/>
      <c r="CK183" s="125"/>
      <c r="CL183" s="125"/>
      <c r="CM183" s="125"/>
      <c r="CN183" s="125"/>
      <c r="CO183" s="125"/>
      <c r="CP183" s="125"/>
      <c r="CQ183" s="125"/>
      <c r="CR183" s="139"/>
      <c r="CS183" s="139"/>
      <c r="CT183" s="139"/>
      <c r="CU183" s="139"/>
      <c r="CV183" s="139"/>
      <c r="CW183" s="139"/>
    </row>
    <row r="184" spans="1:101" s="124" customFormat="1" ht="112.5" outlineLevel="1" x14ac:dyDescent="0.25">
      <c r="A184" s="131" t="s">
        <v>1747</v>
      </c>
      <c r="B184" s="134" t="s">
        <v>32</v>
      </c>
      <c r="C184" s="134" t="s">
        <v>1946</v>
      </c>
      <c r="D184" s="134" t="s">
        <v>1928</v>
      </c>
      <c r="E184" s="134" t="s">
        <v>1929</v>
      </c>
      <c r="F184" s="134"/>
      <c r="G184" s="134"/>
      <c r="H184" s="134" t="s">
        <v>1947</v>
      </c>
      <c r="I184" s="134"/>
      <c r="J184" s="134" t="s">
        <v>1931</v>
      </c>
      <c r="K184" s="134"/>
      <c r="L184" s="134" t="s">
        <v>1932</v>
      </c>
      <c r="M184" s="134"/>
      <c r="N184" s="134"/>
      <c r="O184" s="134"/>
      <c r="P184" s="134"/>
      <c r="Q184" s="134" t="s">
        <v>1944</v>
      </c>
      <c r="R184" s="134" t="s">
        <v>1948</v>
      </c>
      <c r="S184" s="134" t="s">
        <v>1949</v>
      </c>
      <c r="T184" s="134" t="s">
        <v>1934</v>
      </c>
      <c r="U184" s="134"/>
      <c r="V184" s="134"/>
      <c r="W184" s="134"/>
      <c r="X184" s="134"/>
      <c r="Y184" s="134"/>
      <c r="Z184" s="134"/>
      <c r="AA184" s="134"/>
      <c r="AB184" s="134"/>
      <c r="AC184" s="134"/>
      <c r="AD184" s="134"/>
      <c r="AE184" s="134" t="s">
        <v>1935</v>
      </c>
      <c r="AF184" s="134"/>
      <c r="AG184" s="134"/>
      <c r="AH184" s="134"/>
      <c r="AI184" s="134"/>
      <c r="AJ184" s="134"/>
      <c r="AK184" s="134"/>
      <c r="AL184" s="134"/>
      <c r="AM184" s="134"/>
      <c r="AN184" s="134"/>
      <c r="AO184" s="134"/>
      <c r="AP184" s="134"/>
      <c r="AQ184" s="134"/>
      <c r="AR184" s="134"/>
      <c r="AS184" s="134"/>
      <c r="AT184" s="134"/>
      <c r="AU184" s="134"/>
      <c r="AV184" s="136"/>
      <c r="AW184" s="136"/>
      <c r="AX184" s="136"/>
      <c r="AY184" s="134"/>
      <c r="AZ184" s="131"/>
      <c r="BA184" s="134"/>
      <c r="BB184" s="134" t="s">
        <v>1936</v>
      </c>
      <c r="BC184" s="134"/>
      <c r="BD184" s="134"/>
      <c r="BE184" s="134"/>
      <c r="BF184" s="134"/>
      <c r="BG184" s="134"/>
      <c r="BH184" s="134"/>
      <c r="BI184" s="134"/>
      <c r="BJ184" s="134"/>
      <c r="BK184" s="134"/>
      <c r="BL184" s="134"/>
      <c r="BM184" s="134"/>
      <c r="BN184" s="134"/>
      <c r="BO184" s="134"/>
      <c r="BP184" s="134"/>
      <c r="BQ184" s="134"/>
      <c r="BR184" s="134"/>
      <c r="BS184" s="134"/>
      <c r="BT184" s="134"/>
      <c r="BU184" s="134"/>
      <c r="BV184" s="134"/>
      <c r="BW184" s="131" t="str">
        <f t="shared" si="3"/>
        <v>PCaisse REGNAULT : Panneau contreplaqué stratifié 2 faces, épaisseur 20mm.Fermeture par plateforme du hayon élévateur et auvent rabattable en partie supérieurePorte latérale battante largeur 1000 mm à 1200 mm de l'avant droit avec escabeau coulissant 3 marches et buzzer en cabinePlancher en contreplaqué 27mm antidérapant2 bandeaux LEDS, un de chaque côté au pavillon sur toute la longueur de la carrosserie, commande par boitier de détection de présence1 niveau de rail d'arrimage en acier galvanisé sur 3 faces à 1100 mm du plancher - Pas de rail sur la porte latéraleDoublage face avant, en panneau OSB, épaisseur 15mm, hauteur 750mm. Recouvert d’une tôle en acier galvanisé 20/10ème avec retour en partie basse sur le plancher et en partie haute pliage à 45°Face Av : Plinthe de protection en acier galvanisé 20/10, hauteur 265mm minimum du plancher.Plinthe de protection en acier galvanisé 20/10 sur les 2 faces, hauteur 470mm minimum du plancher avec retour sous plancher de 30mm minimum.Face avant renforcé en partie basse extérieure par une tôle galvanisée 30/10ème, hauteur 400mm, boulonnée sur faux châssisPavillon en peau polyester semi-translucide sur arceaux métalliques</v>
      </c>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c r="CR184" s="139"/>
      <c r="CS184" s="139"/>
      <c r="CT184" s="139"/>
      <c r="CU184" s="139"/>
      <c r="CV184" s="139"/>
      <c r="CW184" s="139"/>
    </row>
    <row r="185" spans="1:101" ht="112.5" outlineLevel="1" x14ac:dyDescent="0.25">
      <c r="A185" s="131" t="s">
        <v>1750</v>
      </c>
      <c r="B185" s="134" t="s">
        <v>32</v>
      </c>
      <c r="C185" s="134" t="s">
        <v>1951</v>
      </c>
      <c r="D185" s="134" t="s">
        <v>1950</v>
      </c>
      <c r="E185" s="134" t="s">
        <v>1929</v>
      </c>
      <c r="F185" s="134" t="s">
        <v>1939</v>
      </c>
      <c r="G185" s="134"/>
      <c r="H185" s="134" t="s">
        <v>1947</v>
      </c>
      <c r="I185" s="134"/>
      <c r="J185" s="134" t="s">
        <v>1931</v>
      </c>
      <c r="K185" s="134"/>
      <c r="L185" s="134" t="s">
        <v>1940</v>
      </c>
      <c r="M185" s="134"/>
      <c r="N185" s="134"/>
      <c r="O185" s="134"/>
      <c r="P185" s="134"/>
      <c r="Q185" s="134"/>
      <c r="R185" s="134"/>
      <c r="S185" s="134" t="s">
        <v>1941</v>
      </c>
      <c r="T185" s="134" t="s">
        <v>1934</v>
      </c>
      <c r="U185" s="134"/>
      <c r="V185" s="134"/>
      <c r="W185" s="134"/>
      <c r="X185" s="134"/>
      <c r="Y185" s="134"/>
      <c r="Z185" s="134"/>
      <c r="AA185" s="134"/>
      <c r="AB185" s="134" t="s">
        <v>1942</v>
      </c>
      <c r="AC185" s="134" t="s">
        <v>1943</v>
      </c>
      <c r="AD185" s="134"/>
      <c r="AE185" s="134" t="s">
        <v>1935</v>
      </c>
      <c r="AF185" s="134"/>
      <c r="AG185" s="134"/>
      <c r="AH185" s="134"/>
      <c r="AI185" s="134"/>
      <c r="AJ185" s="134"/>
      <c r="AK185" s="134"/>
      <c r="AL185" s="134"/>
      <c r="AM185" s="134"/>
      <c r="AN185" s="134"/>
      <c r="AO185" s="134"/>
      <c r="AP185" s="134"/>
      <c r="AQ185" s="134"/>
      <c r="AR185" s="134"/>
      <c r="AS185" s="134"/>
      <c r="AT185" s="134"/>
      <c r="AU185" s="134"/>
      <c r="AV185" s="136"/>
      <c r="AW185" s="136"/>
      <c r="AX185" s="134"/>
      <c r="AY185" s="134"/>
      <c r="AZ185" s="134"/>
      <c r="BA185" s="134"/>
      <c r="BB185" s="134" t="s">
        <v>1936</v>
      </c>
      <c r="BC185" s="134"/>
      <c r="BD185" s="134"/>
      <c r="BE185" s="134"/>
      <c r="BF185" s="134"/>
      <c r="BG185" s="134"/>
      <c r="BH185" s="134"/>
      <c r="BI185" s="134"/>
      <c r="BJ185" s="134"/>
      <c r="BK185" s="134"/>
      <c r="BL185" s="134"/>
      <c r="BM185" s="134"/>
      <c r="BN185" s="134"/>
      <c r="BO185" s="134"/>
      <c r="BP185" s="134"/>
      <c r="BQ185" s="134"/>
      <c r="BR185" s="134"/>
      <c r="BS185" s="134"/>
      <c r="BT185" s="134"/>
      <c r="BU185" s="134"/>
      <c r="BV185" s="134"/>
      <c r="BW185" s="131" t="str">
        <f t="shared" si="3"/>
        <v>PCaisse REGNAULT : Panneau contreplaqué stratifié 2 faces teintées dans la masse, épaisseur 20mm + Renforts latéraux en tôle pliées aluminium type omégas, espacés de 500mm sur toute la hauteur.2 portes arrière ouverture totalePorte latérale battante largeur 1000 mm à 1200 mm de l'avant droit avec escabeau coulissant 3 marches et buzzer en cabine1 escabeau arrière coulissant (escabeau posant au sol) entre les traverses du faux châssis.Plancher en contreplaqué 27mm antidérapant2 bandeaux LEDS, un de chaque côté au pavillon sur toute la longueur de la carrosserie, commande par boitier de détection de présence1 niveau de rail d'arrimage en acier galvanisé D + G à 2100 mm du plancher - Pas de rail sur la porte latéralePlinthe de protection en contreplaqué sur 3 faces, épaisseur 15mm, hauteur 200mm du plancherFace avant renforcé en partie basse extérieure par une tôle galvanisée 30/10ème, hauteur 400mm, boulonnée sur faux châssis4 Niveau(x) de tringle sur 3 faces (barre de Ø12/17 pontets rivetés) -  Pas de tubes sur la porte latérale3 Niveau(x) de capiton hauteur 140mm sur 3 faces, tôle acier galvanisée recouvert de moquette de couleur rouge (y compris sur la porte latérale)Pavillon en peau polyester semi-translucide sur arceaux métalliques</v>
      </c>
      <c r="CF185" s="125"/>
      <c r="CG185" s="125"/>
      <c r="CH185" s="125"/>
      <c r="CI185" s="125"/>
      <c r="CJ185" s="125"/>
      <c r="CK185" s="125"/>
      <c r="CL185" s="125"/>
      <c r="CM185" s="125"/>
      <c r="CN185" s="125"/>
      <c r="CO185" s="125"/>
      <c r="CP185" s="125"/>
      <c r="CQ185" s="125"/>
    </row>
    <row r="186" spans="1:101" ht="78.75" outlineLevel="1" x14ac:dyDescent="0.25">
      <c r="A186" s="131" t="s">
        <v>1716</v>
      </c>
      <c r="B186" s="134" t="s">
        <v>32</v>
      </c>
      <c r="C186" s="134" t="s">
        <v>1927</v>
      </c>
      <c r="D186" s="134" t="s">
        <v>1928</v>
      </c>
      <c r="E186" s="134" t="s">
        <v>1929</v>
      </c>
      <c r="F186" s="134"/>
      <c r="G186" s="134"/>
      <c r="H186" s="134" t="s">
        <v>1930</v>
      </c>
      <c r="I186" s="134"/>
      <c r="J186" s="134" t="s">
        <v>1931</v>
      </c>
      <c r="K186" s="134"/>
      <c r="L186" s="134" t="s">
        <v>1940</v>
      </c>
      <c r="M186" s="134"/>
      <c r="N186" s="134"/>
      <c r="O186" s="134"/>
      <c r="P186" s="134"/>
      <c r="Q186" s="134"/>
      <c r="R186" s="134"/>
      <c r="S186" s="134" t="s">
        <v>1933</v>
      </c>
      <c r="T186" s="134" t="s">
        <v>1934</v>
      </c>
      <c r="U186" s="134"/>
      <c r="V186" s="134"/>
      <c r="W186" s="134"/>
      <c r="X186" s="134"/>
      <c r="Y186" s="134"/>
      <c r="Z186" s="134"/>
      <c r="AA186" s="134"/>
      <c r="AB186" s="134"/>
      <c r="AC186" s="134"/>
      <c r="AD186" s="134"/>
      <c r="AE186" s="134" t="s">
        <v>1935</v>
      </c>
      <c r="AF186" s="134"/>
      <c r="AG186" s="134"/>
      <c r="AH186" s="134"/>
      <c r="AI186" s="134"/>
      <c r="AJ186" s="134"/>
      <c r="AK186" s="134"/>
      <c r="AL186" s="134"/>
      <c r="AM186" s="134"/>
      <c r="AN186" s="134"/>
      <c r="AO186" s="134"/>
      <c r="AP186" s="134"/>
      <c r="AQ186" s="134"/>
      <c r="AR186" s="134"/>
      <c r="AS186" s="134"/>
      <c r="AT186" s="134"/>
      <c r="AU186" s="134"/>
      <c r="AV186" s="136"/>
      <c r="AW186" s="136"/>
      <c r="AX186" s="134"/>
      <c r="AY186" s="134"/>
      <c r="AZ186" s="134"/>
      <c r="BA186" s="134"/>
      <c r="BB186" s="134" t="s">
        <v>1936</v>
      </c>
      <c r="BC186" s="134"/>
      <c r="BD186" s="134"/>
      <c r="BE186" s="134"/>
      <c r="BF186" s="134"/>
      <c r="BG186" s="134"/>
      <c r="BH186" s="134"/>
      <c r="BI186" s="134"/>
      <c r="BJ186" s="134"/>
      <c r="BK186" s="134"/>
      <c r="BL186" s="134"/>
      <c r="BM186" s="134"/>
      <c r="BN186" s="134"/>
      <c r="BO186" s="134"/>
      <c r="BP186" s="134"/>
      <c r="BQ186" s="134"/>
      <c r="BR186" s="134"/>
      <c r="BS186" s="134"/>
      <c r="BT186" s="134"/>
      <c r="BU186" s="134"/>
      <c r="BV186" s="134"/>
      <c r="BW186" s="131" t="str">
        <f t="shared" si="3"/>
        <v>PCaisse REGNAULT : Panneau contreplaqué stratifié 2 faces teintées dans la masse, épaisseur 17mmFermeture par plateforme du hayon élévateur et auvent rabattable en partie supérieurePorte latérale battante largeur 1000 mm à 1200 mm de l'avant droit avec escabeau coulissant 3 marches et buzzer en cabinePlancher contreplaqué 24 mm antidérapant2 bandeaux LEDS, un de chaque côté au pavillon sur toute la longueur de la carrosserie, commande par boitier de détection de présence1 niveau de rail d'arrimage en acier galvanisé D + G à 2100 mm du plancher - Pas de rail sur la porte latéralePlinthe de protection en acier galvanisé 20/10 sur les 3 faces, hauteur 470mm avec retour sous plancher de 30mmFace avant renforcé en partie basse extérieure par une tôle galvanisée 30/10ème, hauteur 400mm, boulonnée sur faux châssisPavillon en peau polyester semi-translucide sur arceaux métalliques</v>
      </c>
      <c r="CF186" s="125"/>
      <c r="CG186" s="125"/>
      <c r="CH186" s="125"/>
      <c r="CI186" s="125"/>
      <c r="CJ186" s="125"/>
      <c r="CK186" s="125"/>
      <c r="CL186" s="125"/>
      <c r="CM186" s="125"/>
      <c r="CN186" s="125"/>
      <c r="CO186" s="125"/>
      <c r="CP186" s="125"/>
      <c r="CQ186" s="125"/>
    </row>
    <row r="187" spans="1:101" ht="112.5" outlineLevel="1" x14ac:dyDescent="0.25">
      <c r="A187" s="131" t="s">
        <v>1721</v>
      </c>
      <c r="B187" s="134" t="s">
        <v>32</v>
      </c>
      <c r="C187" s="134" t="s">
        <v>1937</v>
      </c>
      <c r="D187" s="134" t="s">
        <v>1938</v>
      </c>
      <c r="E187" s="134" t="s">
        <v>1929</v>
      </c>
      <c r="F187" s="134" t="s">
        <v>1939</v>
      </c>
      <c r="G187" s="134"/>
      <c r="H187" s="134" t="s">
        <v>1930</v>
      </c>
      <c r="I187" s="134"/>
      <c r="J187" s="134" t="s">
        <v>1931</v>
      </c>
      <c r="K187" s="134"/>
      <c r="L187" s="134" t="s">
        <v>1952</v>
      </c>
      <c r="M187" s="134"/>
      <c r="N187" s="134"/>
      <c r="O187" s="134"/>
      <c r="P187" s="134"/>
      <c r="Q187" s="134"/>
      <c r="R187" s="134"/>
      <c r="S187" s="134" t="s">
        <v>1941</v>
      </c>
      <c r="T187" s="134" t="s">
        <v>1934</v>
      </c>
      <c r="U187" s="134"/>
      <c r="V187" s="134"/>
      <c r="W187" s="134"/>
      <c r="X187" s="134"/>
      <c r="Y187" s="134"/>
      <c r="Z187" s="134"/>
      <c r="AA187" s="134"/>
      <c r="AB187" s="134" t="s">
        <v>1942</v>
      </c>
      <c r="AC187" s="134" t="s">
        <v>1943</v>
      </c>
      <c r="AD187" s="134"/>
      <c r="AE187" s="134" t="s">
        <v>1935</v>
      </c>
      <c r="AF187" s="134"/>
      <c r="AG187" s="134"/>
      <c r="AH187" s="134"/>
      <c r="AI187" s="134"/>
      <c r="AJ187" s="134"/>
      <c r="AK187" s="134"/>
      <c r="AL187" s="134"/>
      <c r="AM187" s="134"/>
      <c r="AN187" s="134"/>
      <c r="AO187" s="134"/>
      <c r="AP187" s="134"/>
      <c r="AQ187" s="134"/>
      <c r="AR187" s="134"/>
      <c r="AS187" s="134"/>
      <c r="AT187" s="134"/>
      <c r="AU187" s="134"/>
      <c r="AV187" s="136"/>
      <c r="AW187" s="136"/>
      <c r="AX187" s="134"/>
      <c r="AY187" s="134"/>
      <c r="AZ187" s="134"/>
      <c r="BA187" s="134"/>
      <c r="BB187" s="134" t="s">
        <v>1936</v>
      </c>
      <c r="BC187" s="134"/>
      <c r="BD187" s="134"/>
      <c r="BE187" s="134"/>
      <c r="BF187" s="134"/>
      <c r="BG187" s="134"/>
      <c r="BH187" s="134"/>
      <c r="BI187" s="134"/>
      <c r="BJ187" s="134"/>
      <c r="BK187" s="134"/>
      <c r="BL187" s="134"/>
      <c r="BM187" s="134"/>
      <c r="BN187" s="134"/>
      <c r="BO187" s="134"/>
      <c r="BP187" s="134"/>
      <c r="BQ187" s="134"/>
      <c r="BR187" s="134"/>
      <c r="BS187" s="134"/>
      <c r="BT187" s="134"/>
      <c r="BU187" s="134"/>
      <c r="BV187" s="134"/>
      <c r="BW187" s="131" t="str">
        <f t="shared" si="3"/>
        <v>PCaisse REGNAULT : Panneau contreplaqué stratifié 2 faces teintées dans la masse, épaisseur 17mm + Renforts latéraux en tôle pliées aluminium type omégas, espacés de 500mm sur toute la hauteur.Fermeture par 2 portes armoires standard à ouverture totale 270°Porte latérale battante largeur 1000 mm à 1200 mm de l'avant droit avec escabeau coulissant 3 marches et buzzer en cabine1 escabeau arrière coulissant (escabeau posant au sol) entre les traverses du faux châssis.Plancher contreplaqué 24 mm antidérapant2 bandeaux LEDS, un de chaque côté au pavillon sur toute la longueur de la carrosserie, commande par boitier de détection de présence1 Niveau(x) de rail d’arrimage universel sur 2 faces, finition acier galvanisé, axé à 2100mm du plancherPlinthe de protection en contreplaqué sur 3 faces, épaisseur 15mm, hauteur 200mm du plancherFace avant renforcé en partie basse extérieure par une tôle galvanisée 30/10ème, hauteur 400mm, boulonnée sur faux châssis4 Niveau(x) de tringle sur 3 faces (barre de Ø12/17 pontets rivetés) -  Pas de tubes sur la porte latérale3 Niveau(x) de capiton hauteur 140mm sur 3 faces, tôle acier galvanisée recouvert de moquette de couleur rouge (y compris sur la porte latérale)Pavillon en peau polyester semi-translucide sur arceaux métalliques</v>
      </c>
      <c r="CF187" s="125"/>
      <c r="CG187" s="125"/>
      <c r="CH187" s="125"/>
      <c r="CI187" s="125"/>
      <c r="CJ187" s="125"/>
      <c r="CK187" s="125"/>
      <c r="CL187" s="125"/>
      <c r="CM187" s="125"/>
      <c r="CN187" s="125"/>
      <c r="CO187" s="125"/>
      <c r="CP187" s="125"/>
      <c r="CQ187" s="125"/>
    </row>
    <row r="188" spans="1:101" ht="101.25" outlineLevel="1" x14ac:dyDescent="0.25">
      <c r="A188" s="131" t="s">
        <v>1677</v>
      </c>
      <c r="B188" s="134" t="s">
        <v>32</v>
      </c>
      <c r="C188" s="134" t="s">
        <v>1953</v>
      </c>
      <c r="D188" s="134" t="s">
        <v>1938</v>
      </c>
      <c r="E188" s="134" t="s">
        <v>1954</v>
      </c>
      <c r="F188" s="134" t="s">
        <v>1955</v>
      </c>
      <c r="G188" s="134" t="s">
        <v>1956</v>
      </c>
      <c r="H188" s="134" t="s">
        <v>1957</v>
      </c>
      <c r="I188" s="134"/>
      <c r="J188" s="134" t="s">
        <v>1931</v>
      </c>
      <c r="K188" s="134"/>
      <c r="L188" s="134" t="s">
        <v>1958</v>
      </c>
      <c r="M188" s="134"/>
      <c r="N188" s="134"/>
      <c r="O188" s="134"/>
      <c r="P188" s="134"/>
      <c r="Q188" s="134" t="s">
        <v>1959</v>
      </c>
      <c r="R188" s="134"/>
      <c r="S188" s="134" t="s">
        <v>1960</v>
      </c>
      <c r="T188" s="134"/>
      <c r="U188" s="134"/>
      <c r="V188" s="134"/>
      <c r="W188" s="134"/>
      <c r="X188" s="134"/>
      <c r="Y188" s="134"/>
      <c r="Z188" s="134"/>
      <c r="AA188" s="134"/>
      <c r="AB188" s="134"/>
      <c r="AC188" s="134"/>
      <c r="AD188" s="134"/>
      <c r="AE188" s="134" t="s">
        <v>1935</v>
      </c>
      <c r="AF188" s="134"/>
      <c r="AG188" s="134"/>
      <c r="AH188" s="134"/>
      <c r="AI188" s="134"/>
      <c r="AJ188" s="134"/>
      <c r="AK188" s="134"/>
      <c r="AL188" s="134"/>
      <c r="AM188" s="134"/>
      <c r="AN188" s="134"/>
      <c r="AO188" s="134"/>
      <c r="AP188" s="134"/>
      <c r="AQ188" s="134"/>
      <c r="AR188" s="134"/>
      <c r="AS188" s="134"/>
      <c r="AT188" s="134"/>
      <c r="AU188" s="134"/>
      <c r="AV188" s="134"/>
      <c r="AW188" s="134"/>
      <c r="AX188" s="136"/>
      <c r="AY188" s="134"/>
      <c r="AZ188" s="134"/>
      <c r="BA188" s="134"/>
      <c r="BB188" s="134" t="s">
        <v>1936</v>
      </c>
      <c r="BC188" s="134"/>
      <c r="BD188" s="134"/>
      <c r="BE188" s="134"/>
      <c r="BF188" s="134"/>
      <c r="BG188" s="134"/>
      <c r="BH188" s="134"/>
      <c r="BI188" s="134"/>
      <c r="BJ188" s="134"/>
      <c r="BK188" s="134"/>
      <c r="BL188" s="134"/>
      <c r="BM188" s="134"/>
      <c r="BN188" s="134"/>
      <c r="BO188" s="134"/>
      <c r="BP188" s="134"/>
      <c r="BQ188" s="134"/>
      <c r="BR188" s="134"/>
      <c r="BS188" s="134"/>
      <c r="BT188" s="134"/>
      <c r="BU188" s="134"/>
      <c r="BV188" s="134"/>
      <c r="BW188" s="131" t="str">
        <f t="shared" si="3"/>
        <v>PCaisse REGNAULT : Panneau contreplaqué stratifié 2 faces teintées dans la masse, épaisseur 14mm avec soubassement aluminiumFermeture par 2 portes armoires standard à ouverture totale 270°Porte latérale battante largeur 1000 mm à 1000 mm de l'avant droitAccès par marchepied coulissant et 2 poignées montoirs en sangle nylon.Accès latéral par dispositif de protection latérale – Dispositif renforcé avec une bande antidérapante de couleur noire collée sur la barre pare-cycliste et 2 sangles d’accès au niveau du cadre.Plancher en contreplaqué de 15mm antidérapant sans passages de roues2 bandeaux LEDS, un de chaque côté au pavillon sur toute la longueur de la carrosserie, commande par boitier de détection de présence1 niveau de rail d'arrimage en acier galvanisé sur 3 faces à 1000 mm du plancher - Pas de rail sur la porte latéralePlinthe de protection renforcée en acier galvanisée, épaisseur 25/10, hauteur 440mm avec retourPlinthe de protection en aluminium, hauteur 260mm de haut sur 2 facesPavillon en peau polyester semi-translucide sur arceaux métalliques</v>
      </c>
      <c r="CF188" s="125"/>
      <c r="CG188" s="125"/>
      <c r="CH188" s="125"/>
      <c r="CI188" s="125"/>
      <c r="CJ188" s="125"/>
      <c r="CK188" s="125"/>
      <c r="CL188" s="125"/>
      <c r="CM188" s="125"/>
      <c r="CN188" s="125"/>
      <c r="CO188" s="125"/>
      <c r="CP188" s="125"/>
      <c r="CQ188" s="125"/>
    </row>
    <row r="189" spans="1:101" ht="135" outlineLevel="1" x14ac:dyDescent="0.25">
      <c r="A189" s="131" t="s">
        <v>1698</v>
      </c>
      <c r="B189" s="134" t="s">
        <v>32</v>
      </c>
      <c r="C189" s="134" t="s">
        <v>1961</v>
      </c>
      <c r="D189" s="134" t="s">
        <v>1938</v>
      </c>
      <c r="E189" s="134" t="s">
        <v>1962</v>
      </c>
      <c r="F189" s="134" t="s">
        <v>1849</v>
      </c>
      <c r="G189" s="134" t="s">
        <v>1956</v>
      </c>
      <c r="H189" s="134" t="s">
        <v>1957</v>
      </c>
      <c r="I189" s="134"/>
      <c r="J189" s="134" t="s">
        <v>1931</v>
      </c>
      <c r="K189" s="134"/>
      <c r="L189" s="134" t="s">
        <v>1963</v>
      </c>
      <c r="M189" s="134"/>
      <c r="N189" s="134"/>
      <c r="O189" s="134"/>
      <c r="P189" s="134"/>
      <c r="Q189" s="134"/>
      <c r="R189" s="134"/>
      <c r="S189" s="134" t="s">
        <v>1964</v>
      </c>
      <c r="T189" s="134"/>
      <c r="U189" s="134"/>
      <c r="V189" s="134"/>
      <c r="W189" s="134"/>
      <c r="X189" s="134"/>
      <c r="Y189" s="134"/>
      <c r="Z189" s="134"/>
      <c r="AA189" s="134"/>
      <c r="AB189" s="134" t="s">
        <v>1965</v>
      </c>
      <c r="AC189" s="134" t="s">
        <v>1966</v>
      </c>
      <c r="AD189" s="134" t="s">
        <v>1967</v>
      </c>
      <c r="AE189" s="134" t="s">
        <v>1935</v>
      </c>
      <c r="AF189" s="134"/>
      <c r="AG189" s="134"/>
      <c r="AH189" s="134"/>
      <c r="AI189" s="134"/>
      <c r="AJ189" s="134"/>
      <c r="AK189" s="134"/>
      <c r="AL189" s="134"/>
      <c r="AM189" s="134"/>
      <c r="AN189" s="134"/>
      <c r="AO189" s="134"/>
      <c r="AP189" s="134"/>
      <c r="AQ189" s="134"/>
      <c r="AR189" s="134"/>
      <c r="AS189" s="134"/>
      <c r="AT189" s="134"/>
      <c r="AU189" s="134"/>
      <c r="AV189" s="136"/>
      <c r="AW189" s="136"/>
      <c r="AX189" s="134"/>
      <c r="AY189" s="134"/>
      <c r="AZ189" s="134"/>
      <c r="BA189" s="134"/>
      <c r="BB189" s="134" t="s">
        <v>1936</v>
      </c>
      <c r="BC189" s="134"/>
      <c r="BD189" s="134"/>
      <c r="BE189" s="134"/>
      <c r="BF189" s="134"/>
      <c r="BG189" s="134"/>
      <c r="BH189" s="134"/>
      <c r="BI189" s="134"/>
      <c r="BJ189" s="134"/>
      <c r="BK189" s="134"/>
      <c r="BL189" s="134"/>
      <c r="BM189" s="134"/>
      <c r="BN189" s="134"/>
      <c r="BO189" s="134"/>
      <c r="BP189" s="134"/>
      <c r="BQ189" s="134"/>
      <c r="BR189" s="134"/>
      <c r="BS189" s="134"/>
      <c r="BT189" s="134"/>
      <c r="BU189" s="134"/>
      <c r="BV189" s="134"/>
      <c r="BW189" s="131" t="str">
        <f t="shared" si="3"/>
        <v>PCaisse REGNAULT : Peau polyester renforcée de fibre de verre 3,5mm, entre omégas espacés au pas de 400mm et soubassement aluminiumFermeture par 2 portes armoires standard à ouverture totale 270°Porte latérale battante largeur 1000mm à 1000mm de l'avant droit (sans rail ni tube d’arrimage) avec 3 Niveaux de capiton en acier galvanisé recouvert de moquette axé à 675, 1225 et 1775mm du plancherEscabeau arrière coulissant 4 marchesAccès latéral par dispositif de protection latérale – Dispositif renforcé avec une bande antidérapante de couleur noire collée sur la barre pare-cycliste et 2 sangles d’accès au niveau du cadre.Plancher en contreplaqué de 15mm antidérapant sans passages de roues2 bandeaux LEDS, un de chaque côté au pavillon sur toute la longueur de la carrosserie, commande par boitier de détection de présence1 niveau de rail d'arrimage en acier galvanisé D + G à 2100mm du plancherPlinthe de protection en panneau bois MALVAUX, hauteur 200mm sur 3 faces2 Niveaux de tube d’arrimage renforcé ø12x17 axés à 400 et 950mm du plancher sur la face Av et 3 Niveaux axés à 400, 950 et 1500mm du plancher à D et à G  -  Pas de tubes sur la porte latérale2 Niveaux de capiton en acier galvanisé, recouvert de moquette : axés à 675 et 1225mm du plancher sur la face Av et  3 Niveaux de capiton axés à 675, 1225 et 1775mm du plancher à D et à GCapucine droitePavillon en peau polyester semi-translucide sur arceaux métalliques</v>
      </c>
      <c r="CF189" s="125"/>
      <c r="CG189" s="125"/>
      <c r="CH189" s="125"/>
      <c r="CI189" s="125"/>
      <c r="CJ189" s="125"/>
      <c r="CK189" s="125"/>
      <c r="CL189" s="125"/>
      <c r="CM189" s="125"/>
      <c r="CN189" s="125"/>
      <c r="CO189" s="125"/>
      <c r="CP189" s="125"/>
      <c r="CQ189" s="125"/>
    </row>
    <row r="190" spans="1:101" ht="101.25" outlineLevel="1" x14ac:dyDescent="0.25">
      <c r="A190" s="131" t="s">
        <v>1680</v>
      </c>
      <c r="B190" s="134" t="s">
        <v>32</v>
      </c>
      <c r="C190" s="134" t="s">
        <v>1953</v>
      </c>
      <c r="D190" s="134" t="s">
        <v>1928</v>
      </c>
      <c r="E190" s="134" t="s">
        <v>1968</v>
      </c>
      <c r="F190" s="134" t="s">
        <v>1955</v>
      </c>
      <c r="G190" s="134" t="s">
        <v>1956</v>
      </c>
      <c r="H190" s="134" t="s">
        <v>1957</v>
      </c>
      <c r="I190" s="134"/>
      <c r="J190" s="134" t="s">
        <v>1931</v>
      </c>
      <c r="K190" s="134"/>
      <c r="L190" s="134" t="s">
        <v>1958</v>
      </c>
      <c r="M190" s="134"/>
      <c r="N190" s="134"/>
      <c r="O190" s="134"/>
      <c r="P190" s="134"/>
      <c r="Q190" s="134" t="s">
        <v>1959</v>
      </c>
      <c r="R190" s="134"/>
      <c r="S190" s="134" t="s">
        <v>1960</v>
      </c>
      <c r="T190" s="134"/>
      <c r="U190" s="134"/>
      <c r="V190" s="134"/>
      <c r="W190" s="134"/>
      <c r="X190" s="134"/>
      <c r="Y190" s="134"/>
      <c r="Z190" s="134"/>
      <c r="AA190" s="134"/>
      <c r="AB190" s="134"/>
      <c r="AC190" s="134"/>
      <c r="AD190" s="134"/>
      <c r="AE190" s="134" t="s">
        <v>1935</v>
      </c>
      <c r="AF190" s="134"/>
      <c r="AG190" s="134"/>
      <c r="AH190" s="134"/>
      <c r="AI190" s="134"/>
      <c r="AJ190" s="134"/>
      <c r="AK190" s="134"/>
      <c r="AL190" s="134"/>
      <c r="AM190" s="134"/>
      <c r="AN190" s="134"/>
      <c r="AO190" s="134"/>
      <c r="AP190" s="134"/>
      <c r="AQ190" s="134"/>
      <c r="AR190" s="134"/>
      <c r="AS190" s="134"/>
      <c r="AT190" s="134"/>
      <c r="AU190" s="134"/>
      <c r="AV190" s="136"/>
      <c r="AW190" s="136"/>
      <c r="AX190" s="136"/>
      <c r="AY190" s="134"/>
      <c r="AZ190" s="134"/>
      <c r="BA190" s="134"/>
      <c r="BB190" s="134" t="s">
        <v>1936</v>
      </c>
      <c r="BC190" s="134"/>
      <c r="BD190" s="134"/>
      <c r="BE190" s="134"/>
      <c r="BF190" s="134"/>
      <c r="BG190" s="134"/>
      <c r="BH190" s="134"/>
      <c r="BI190" s="134"/>
      <c r="BJ190" s="134"/>
      <c r="BK190" s="134"/>
      <c r="BL190" s="134"/>
      <c r="BM190" s="134"/>
      <c r="BN190" s="134"/>
      <c r="BO190" s="134"/>
      <c r="BP190" s="134"/>
      <c r="BQ190" s="134"/>
      <c r="BR190" s="134"/>
      <c r="BS190" s="134"/>
      <c r="BT190" s="134"/>
      <c r="BU190" s="134"/>
      <c r="BV190" s="134"/>
      <c r="BW190" s="131" t="str">
        <f t="shared" si="3"/>
        <v>PCaisse REGNAULT : Panneau contreplaqué stratifié 2 faces teintées dans la masse, épaisseur 14mm avec soubassement aluminiumFermeture par plateforme du hayon élévateur et auvent rabattable en partie supérieurePorte latérale battante largeur 1000mm à 1000mm de l'avant droitAccès par marchepied coulissant et 2 poignées montoirs en sangle nylon.Accès latéral par dispositif de protection latérale – Dispositif renforcé avec une bande antidérapante de couleur noire collée sur la barre pare-cycliste et 2 sangles d’accès au niveau du cadre.Plancher en contreplaqué de 15mm antidérapant sans passages de roues2 bandeaux LEDS, un de chaque côté au pavillon sur toute la longueur de la carrosserie, commande par boitier de détection de présence1 niveau de rail d'arrimage en acier galvanisé sur 3 faces à 1000 mm du plancher - Pas de rail sur la porte latéralePlinthe de protection renforcée en acier galvanisée, épaisseur 25/10, hauteur 440mm avec retourPlinthe de protection en aluminium, hauteur 260mm de haut sur 2 facesPavillon en peau polyester semi-translucide sur arceaux métalliques</v>
      </c>
      <c r="CF190" s="125"/>
      <c r="CG190" s="125"/>
      <c r="CH190" s="125"/>
      <c r="CI190" s="125"/>
      <c r="CJ190" s="125"/>
      <c r="CK190" s="125"/>
      <c r="CL190" s="125"/>
      <c r="CM190" s="125"/>
      <c r="CN190" s="125"/>
      <c r="CO190" s="125"/>
      <c r="CP190" s="125"/>
      <c r="CQ190" s="125"/>
    </row>
    <row r="191" spans="1:101" ht="123.75" outlineLevel="1" x14ac:dyDescent="0.25">
      <c r="A191" s="131" t="s">
        <v>1684</v>
      </c>
      <c r="B191" s="134" t="s">
        <v>32</v>
      </c>
      <c r="C191" s="134" t="s">
        <v>1961</v>
      </c>
      <c r="D191" s="134" t="s">
        <v>1938</v>
      </c>
      <c r="E191" s="134" t="s">
        <v>1962</v>
      </c>
      <c r="F191" s="134" t="s">
        <v>1861</v>
      </c>
      <c r="G191" s="134" t="s">
        <v>1956</v>
      </c>
      <c r="H191" s="134" t="s">
        <v>1957</v>
      </c>
      <c r="I191" s="134"/>
      <c r="J191" s="134" t="s">
        <v>1931</v>
      </c>
      <c r="K191" s="134"/>
      <c r="L191" s="134" t="s">
        <v>1969</v>
      </c>
      <c r="M191" s="134"/>
      <c r="N191" s="134"/>
      <c r="O191" s="134"/>
      <c r="P191" s="134"/>
      <c r="Q191" s="134"/>
      <c r="R191" s="134"/>
      <c r="S191" s="134" t="s">
        <v>1964</v>
      </c>
      <c r="T191" s="134"/>
      <c r="U191" s="134"/>
      <c r="V191" s="134"/>
      <c r="W191" s="134"/>
      <c r="X191" s="134"/>
      <c r="Y191" s="134"/>
      <c r="Z191" s="134"/>
      <c r="AA191" s="134"/>
      <c r="AB191" s="134" t="s">
        <v>1970</v>
      </c>
      <c r="AC191" s="134" t="s">
        <v>1966</v>
      </c>
      <c r="AD191" s="134" t="s">
        <v>1967</v>
      </c>
      <c r="AE191" s="134" t="s">
        <v>1935</v>
      </c>
      <c r="AF191" s="134"/>
      <c r="AG191" s="134"/>
      <c r="AH191" s="134"/>
      <c r="AI191" s="134"/>
      <c r="AJ191" s="134"/>
      <c r="AK191" s="134"/>
      <c r="AL191" s="134"/>
      <c r="AM191" s="134"/>
      <c r="AN191" s="134"/>
      <c r="AO191" s="134"/>
      <c r="AP191" s="134"/>
      <c r="AQ191" s="134"/>
      <c r="AR191" s="134"/>
      <c r="AS191" s="134"/>
      <c r="AT191" s="134"/>
      <c r="AU191" s="134"/>
      <c r="AV191" s="136"/>
      <c r="AW191" s="136"/>
      <c r="AX191" s="134"/>
      <c r="AY191" s="134"/>
      <c r="AZ191" s="134"/>
      <c r="BA191" s="134"/>
      <c r="BB191" s="134" t="s">
        <v>1936</v>
      </c>
      <c r="BC191" s="134"/>
      <c r="BD191" s="134"/>
      <c r="BE191" s="134"/>
      <c r="BF191" s="134"/>
      <c r="BG191" s="134"/>
      <c r="BH191" s="134"/>
      <c r="BI191" s="134"/>
      <c r="BJ191" s="134"/>
      <c r="BK191" s="134"/>
      <c r="BL191" s="134"/>
      <c r="BM191" s="134"/>
      <c r="BN191" s="134"/>
      <c r="BO191" s="134"/>
      <c r="BP191" s="134"/>
      <c r="BQ191" s="134"/>
      <c r="BR191" s="134"/>
      <c r="BS191" s="134"/>
      <c r="BT191" s="134"/>
      <c r="BU191" s="134"/>
      <c r="BV191" s="134"/>
      <c r="BW191" s="131" t="str">
        <f t="shared" si="3"/>
        <v>PCaisse REGNAULT : Peau polyester renforcée de fibre de verre 3,5mm, entre omégas espacés au pas de 400mm et soubassement aluminiumFermeture par 2 portes armoires standard à ouverture totale 270°Porte latérale battante largeur 1000mm à 1000mm de l'avant droit (sans rail ni tube d’arrimage) avec 3 Niveaux de capiton en acier galvanisé recouvert de moquette axé à 675, 1225 et 1775mm du plancherEscabeau arrière coulissant 2 marchesAccès latéral par dispositif de protection latérale – Dispositif renforcé avec une bande antidérapante de couleur noire collée sur la barre pare-cycliste et 2 sangles d’accès au niveau du cadre.Plancher en contreplaqué de 15mm antidérapant sans passages de roues2 bandeaux LEDS, un de chaque côté au pavillon sur toute la longueur de la carrosserie, commande par boitier de détection de présence1 niveau de rail d'arrimage en acier galvanisé D + G à 2100mm du plancher - Pas de rail sur la porte latéralePlinthe de protection en panneau bois MALVAUX, hauteur 200mm sur 3 faces2 Niveaux de tube d’arrimage renforcé ø12x17 axés à 400 et 950mm du plancher sur la face Av et 3 Niveaux axés à 400, 950 et 1500mm du plancher à D et à G2 Niveaux de capiton en acier galvanisé, recouvert de moquette : axés à 675 et 1225mm du plancher sur la face Av et  3 Niveaux de capiton axés à 675, 1225 et 1775mm du plancher à D et à GCapucine droitePavillon en peau polyester semi-translucide sur arceaux métalliques</v>
      </c>
      <c r="CF191" s="125"/>
      <c r="CG191" s="125"/>
      <c r="CH191" s="125"/>
      <c r="CI191" s="125"/>
      <c r="CJ191" s="125"/>
      <c r="CK191" s="125"/>
      <c r="CL191" s="125"/>
      <c r="CM191" s="125"/>
      <c r="CN191" s="125"/>
      <c r="CO191" s="125"/>
      <c r="CP191" s="125"/>
      <c r="CQ191" s="125"/>
    </row>
    <row r="192" spans="1:101" ht="90" outlineLevel="1" x14ac:dyDescent="0.25">
      <c r="A192" s="131" t="s">
        <v>1707</v>
      </c>
      <c r="B192" s="134" t="s">
        <v>32</v>
      </c>
      <c r="C192" s="134" t="s">
        <v>1927</v>
      </c>
      <c r="D192" s="134" t="s">
        <v>1971</v>
      </c>
      <c r="E192" s="134" t="s">
        <v>1972</v>
      </c>
      <c r="F192" s="134"/>
      <c r="G192" s="134"/>
      <c r="H192" s="134" t="s">
        <v>1973</v>
      </c>
      <c r="I192" s="134"/>
      <c r="J192" s="134" t="s">
        <v>1931</v>
      </c>
      <c r="K192" s="134"/>
      <c r="L192" s="134" t="s">
        <v>1958</v>
      </c>
      <c r="M192" s="134"/>
      <c r="N192" s="134"/>
      <c r="O192" s="134"/>
      <c r="P192" s="134"/>
      <c r="Q192" s="134" t="s">
        <v>1974</v>
      </c>
      <c r="R192" s="134"/>
      <c r="S192" s="134" t="s">
        <v>1975</v>
      </c>
      <c r="T192" s="134" t="s">
        <v>1934</v>
      </c>
      <c r="U192" s="134"/>
      <c r="V192" s="134"/>
      <c r="W192" s="134"/>
      <c r="X192" s="134"/>
      <c r="Y192" s="134"/>
      <c r="Z192" s="134"/>
      <c r="AA192" s="134"/>
      <c r="AB192" s="134"/>
      <c r="AC192" s="134"/>
      <c r="AD192" s="134"/>
      <c r="AE192" s="134" t="s">
        <v>1935</v>
      </c>
      <c r="AF192" s="134"/>
      <c r="AG192" s="134"/>
      <c r="AH192" s="134"/>
      <c r="AI192" s="134"/>
      <c r="AJ192" s="134"/>
      <c r="AK192" s="134"/>
      <c r="AL192" s="134"/>
      <c r="AM192" s="134"/>
      <c r="AN192" s="134"/>
      <c r="AO192" s="134"/>
      <c r="AP192" s="134"/>
      <c r="AQ192" s="134"/>
      <c r="AR192" s="134"/>
      <c r="AS192" s="134"/>
      <c r="AT192" s="134"/>
      <c r="AU192" s="134"/>
      <c r="AV192" s="136"/>
      <c r="AW192" s="136"/>
      <c r="AX192" s="136"/>
      <c r="AY192" s="134"/>
      <c r="AZ192" s="131"/>
      <c r="BA192" s="134"/>
      <c r="BB192" s="134" t="s">
        <v>1936</v>
      </c>
      <c r="BC192" s="134"/>
      <c r="BD192" s="134"/>
      <c r="BE192" s="134"/>
      <c r="BF192" s="134"/>
      <c r="BG192" s="134"/>
      <c r="BH192" s="134"/>
      <c r="BI192" s="134"/>
      <c r="BJ192" s="134"/>
      <c r="BK192" s="134"/>
      <c r="BL192" s="134"/>
      <c r="BM192" s="134"/>
      <c r="BN192" s="134"/>
      <c r="BO192" s="134"/>
      <c r="BP192" s="134"/>
      <c r="BQ192" s="134"/>
      <c r="BR192" s="134"/>
      <c r="BS192" s="134"/>
      <c r="BT192" s="134"/>
      <c r="BU192" s="134"/>
      <c r="BV192" s="134"/>
      <c r="BW192" s="131" t="str">
        <f t="shared" si="3"/>
        <v>PCaisse REGNAULT : Panneau contreplaqué stratifié 2 faces teintées dans la masse, épaisseur 17mmFermeture arrière par auvent et hayon élévateur rabattablePorte latérale battante largeur 1000 mm à 1200 mm de l'avant droitPlancher en contreplaqué de 24 mm antidérapant sans passages de roues2 bandeaux LEDS, un de chaque côté au pavillon sur toute la longueur de la carrosserie, commande par boitier de détection de présence1 niveau de rail d'arrimage en acier galvanisé sur 3 faces à 1000 mm du plancher - Pas de rail sur la porte latéraleDoublage face AV, en panneau OSB, collé et vissé, ép: 15mm, hauteur 750mm. Recouvert d’une tôle en acier galvanisé 20/10ème avec retour en partie basse sur le plancher et en partie haute pliage à 45°Plinthe de protection en acier galvanisé 20/10 sur les 3 faces, hauteur 270mm avec retour sous plancher de 30mmFace avant renforcé en partie basse extérieure par une tôle galvanisée 30/10ème, hauteur 400mm, boulonnée sur faux châssisPavillon en peau polyester semi-translucide sur arceaux métalliques</v>
      </c>
      <c r="CF192" s="125"/>
      <c r="CG192" s="125"/>
      <c r="CH192" s="125"/>
      <c r="CI192" s="125"/>
      <c r="CJ192" s="125"/>
      <c r="CK192" s="125"/>
      <c r="CL192" s="125"/>
      <c r="CM192" s="125"/>
      <c r="CN192" s="125"/>
      <c r="CO192" s="125"/>
      <c r="CP192" s="125"/>
      <c r="CQ192" s="125"/>
    </row>
    <row r="193" spans="1:101" ht="67.5" outlineLevel="1" x14ac:dyDescent="0.25">
      <c r="A193" s="131" t="s">
        <v>1703</v>
      </c>
      <c r="B193" s="134" t="s">
        <v>32</v>
      </c>
      <c r="C193" s="134" t="s">
        <v>1976</v>
      </c>
      <c r="D193" s="134" t="s">
        <v>1977</v>
      </c>
      <c r="E193" s="134" t="s">
        <v>1954</v>
      </c>
      <c r="F193" s="134" t="s">
        <v>1833</v>
      </c>
      <c r="G193" s="134"/>
      <c r="H193" s="134" t="s">
        <v>1973</v>
      </c>
      <c r="I193" s="134"/>
      <c r="J193" s="134" t="s">
        <v>1853</v>
      </c>
      <c r="K193" s="134"/>
      <c r="L193" s="134" t="s">
        <v>1940</v>
      </c>
      <c r="M193" s="134"/>
      <c r="N193" s="134"/>
      <c r="O193" s="134"/>
      <c r="P193" s="134"/>
      <c r="Q193" s="134"/>
      <c r="R193" s="134"/>
      <c r="S193" s="134" t="s">
        <v>1978</v>
      </c>
      <c r="T193" s="134"/>
      <c r="U193" s="134"/>
      <c r="V193" s="134"/>
      <c r="W193" s="134"/>
      <c r="X193" s="134"/>
      <c r="Y193" s="134"/>
      <c r="Z193" s="134"/>
      <c r="AA193" s="134"/>
      <c r="AB193" s="134" t="s">
        <v>1979</v>
      </c>
      <c r="AC193" s="134" t="s">
        <v>1980</v>
      </c>
      <c r="AD193" s="134" t="s">
        <v>1967</v>
      </c>
      <c r="AE193" s="134" t="s">
        <v>1981</v>
      </c>
      <c r="AF193" s="134"/>
      <c r="AG193" s="134"/>
      <c r="AH193" s="134"/>
      <c r="AI193" s="134"/>
      <c r="AJ193" s="134"/>
      <c r="AK193" s="134"/>
      <c r="AL193" s="134"/>
      <c r="AM193" s="134"/>
      <c r="AN193" s="134"/>
      <c r="AO193" s="134"/>
      <c r="AP193" s="134"/>
      <c r="AQ193" s="134"/>
      <c r="AR193" s="134"/>
      <c r="AS193" s="134"/>
      <c r="AT193" s="134"/>
      <c r="AU193" s="134"/>
      <c r="AV193" s="136"/>
      <c r="AW193" s="134"/>
      <c r="AX193" s="134"/>
      <c r="AY193" s="134"/>
      <c r="AZ193" s="134"/>
      <c r="BA193" s="134"/>
      <c r="BB193" s="134" t="s">
        <v>1936</v>
      </c>
      <c r="BC193" s="134"/>
      <c r="BD193" s="134"/>
      <c r="BE193" s="134"/>
      <c r="BF193" s="134"/>
      <c r="BG193" s="134"/>
      <c r="BH193" s="134"/>
      <c r="BI193" s="134"/>
      <c r="BJ193" s="134"/>
      <c r="BK193" s="134"/>
      <c r="BL193" s="134"/>
      <c r="BM193" s="134"/>
      <c r="BN193" s="134"/>
      <c r="BO193" s="134"/>
      <c r="BP193" s="134"/>
      <c r="BQ193" s="134"/>
      <c r="BR193" s="134"/>
      <c r="BS193" s="134"/>
      <c r="BT193" s="134"/>
      <c r="BU193" s="134"/>
      <c r="BV193" s="134"/>
      <c r="BW193" s="131" t="str">
        <f t="shared" si="3"/>
        <v>PCaisse peau polyester 3,5 mm avec profils omega verticaux et soubassement aluminium2 portes arrière ouverture totale à 270°Porte latérale battante largeur 1000 mm à 1000 mm de l'avant droitEscabeau arrière coulissant 3 marchesPlancher en contreplaqué de 24 mm antidérapant sans passages de roues1 plafonnier à LED avec temporisation1 niveau de rail d'arrimage en acier galvanisé D + G à 2100 mm du plancher - Pas de rail sur la porte latéraleProtection bas de parois en contreplaqué de 200 mm de haut sur 3 faces3 niveaux de tubes d'arrimage sur 3 faces -  Pas de tubes sur la porte latérale3 niveaux de capitons sur 3 faces (-34 mm de largeur utile)Capucine droitePavillon polyester opalin sur courbe aluminium</v>
      </c>
      <c r="CF193" s="125"/>
      <c r="CG193" s="125"/>
      <c r="CH193" s="125"/>
      <c r="CI193" s="125"/>
      <c r="CJ193" s="125"/>
      <c r="CK193" s="125"/>
      <c r="CL193" s="125"/>
      <c r="CM193" s="125"/>
      <c r="CN193" s="125"/>
      <c r="CO193" s="125"/>
      <c r="CP193" s="125"/>
      <c r="CQ193" s="125"/>
    </row>
    <row r="194" spans="1:101" ht="45" outlineLevel="1" x14ac:dyDescent="0.25">
      <c r="A194" s="131" t="s">
        <v>1671</v>
      </c>
      <c r="B194" s="134" t="s">
        <v>32</v>
      </c>
      <c r="C194" s="134" t="s">
        <v>1982</v>
      </c>
      <c r="D194" s="134" t="s">
        <v>1983</v>
      </c>
      <c r="E194" s="134" t="s">
        <v>1984</v>
      </c>
      <c r="F194" s="134" t="s">
        <v>1985</v>
      </c>
      <c r="G194" s="134"/>
      <c r="H194" s="134" t="s">
        <v>1986</v>
      </c>
      <c r="I194" s="134"/>
      <c r="J194" s="134" t="s">
        <v>1987</v>
      </c>
      <c r="K194" s="134"/>
      <c r="L194" s="134"/>
      <c r="M194" s="134"/>
      <c r="N194" s="134"/>
      <c r="O194" s="134"/>
      <c r="P194" s="134"/>
      <c r="Q194" s="134"/>
      <c r="R194" s="134"/>
      <c r="S194" s="134" t="s">
        <v>1988</v>
      </c>
      <c r="T194" s="134"/>
      <c r="U194" s="134"/>
      <c r="V194" s="134"/>
      <c r="W194" s="134"/>
      <c r="X194" s="134"/>
      <c r="Y194" s="134"/>
      <c r="Z194" s="134"/>
      <c r="AA194" s="134"/>
      <c r="AB194" s="134"/>
      <c r="AC194" s="134"/>
      <c r="AD194" s="134"/>
      <c r="AE194" s="134" t="s">
        <v>1989</v>
      </c>
      <c r="AF194" s="134"/>
      <c r="AG194" s="134"/>
      <c r="AH194" s="134"/>
      <c r="AI194" s="134"/>
      <c r="AJ194" s="134"/>
      <c r="AK194" s="134"/>
      <c r="AL194" s="134"/>
      <c r="AM194" s="134"/>
      <c r="AN194" s="134"/>
      <c r="AO194" s="134"/>
      <c r="AP194" s="134"/>
      <c r="AQ194" s="134"/>
      <c r="AR194" s="134"/>
      <c r="AS194" s="134"/>
      <c r="AT194" s="134"/>
      <c r="AU194" s="134"/>
      <c r="AV194" s="136"/>
      <c r="AW194" s="136"/>
      <c r="AX194" s="136"/>
      <c r="AY194" s="134"/>
      <c r="AZ194" s="134"/>
      <c r="BA194" s="134"/>
      <c r="BB194" s="134" t="s">
        <v>1936</v>
      </c>
      <c r="BC194" s="134"/>
      <c r="BD194" s="134"/>
      <c r="BE194" s="134"/>
      <c r="BF194" s="134"/>
      <c r="BG194" s="134"/>
      <c r="BH194" s="134"/>
      <c r="BI194" s="134"/>
      <c r="BJ194" s="134"/>
      <c r="BK194" s="134"/>
      <c r="BL194" s="134"/>
      <c r="BM194" s="134"/>
      <c r="BN194" s="134"/>
      <c r="BO194" s="134"/>
      <c r="BP194" s="134"/>
      <c r="BQ194" s="134"/>
      <c r="BR194" s="134"/>
      <c r="BS194" s="134"/>
      <c r="BT194" s="134"/>
      <c r="BU194" s="134"/>
      <c r="BV194" s="134"/>
      <c r="BW194" s="131" t="str">
        <f t="shared" si="3"/>
        <v>PCaisse CORSIN plywood 14 mm2 portes arrières avec blocage 270° avec une fermeture par portePorte latérale battante ouverture 1m départ 1000 mm de l’AVDSans marchepiedPlancher CP 15 mm antidérapant avec passage de roues en aluminium1 bandeaux LED par coté sur toute la longueur commandé par détecteur de présence1 Plinthe acier galva de 280 mm sur 3 facesPavillon opalin translucide intégral</v>
      </c>
      <c r="CF194" s="125"/>
      <c r="CG194" s="125"/>
      <c r="CH194" s="125"/>
      <c r="CI194" s="125"/>
      <c r="CJ194" s="125"/>
      <c r="CK194" s="125"/>
      <c r="CL194" s="125"/>
      <c r="CM194" s="125"/>
      <c r="CN194" s="125"/>
      <c r="CO194" s="125"/>
      <c r="CP194" s="125"/>
      <c r="CQ194" s="125"/>
    </row>
    <row r="195" spans="1:101" ht="45" outlineLevel="1" x14ac:dyDescent="0.25">
      <c r="A195" s="131" t="s">
        <v>1169</v>
      </c>
      <c r="B195" s="134" t="s">
        <v>32</v>
      </c>
      <c r="C195" s="134" t="s">
        <v>1990</v>
      </c>
      <c r="D195" s="134" t="s">
        <v>1991</v>
      </c>
      <c r="E195" s="134" t="s">
        <v>1992</v>
      </c>
      <c r="F195" s="134"/>
      <c r="G195" s="134"/>
      <c r="H195" s="134" t="s">
        <v>1993</v>
      </c>
      <c r="I195" s="134"/>
      <c r="J195" s="134" t="s">
        <v>1994</v>
      </c>
      <c r="K195" s="134" t="s">
        <v>1995</v>
      </c>
      <c r="L195" s="134"/>
      <c r="M195" s="134"/>
      <c r="N195" s="134"/>
      <c r="O195" s="134"/>
      <c r="P195" s="134"/>
      <c r="Q195" s="134"/>
      <c r="R195" s="134"/>
      <c r="S195" s="134"/>
      <c r="T195" s="134"/>
      <c r="U195" s="134"/>
      <c r="V195" s="134"/>
      <c r="W195" s="134"/>
      <c r="X195" s="134"/>
      <c r="Y195" s="134"/>
      <c r="Z195" s="134"/>
      <c r="AA195" s="134"/>
      <c r="AB195" s="134"/>
      <c r="AC195" s="134"/>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134"/>
      <c r="BK195" s="134"/>
      <c r="BL195" s="134"/>
      <c r="BM195" s="134"/>
      <c r="BN195" s="134"/>
      <c r="BO195" s="134"/>
      <c r="BP195" s="134"/>
      <c r="BQ195" s="134"/>
      <c r="BR195" s="134"/>
      <c r="BS195" s="134"/>
      <c r="BT195" s="134"/>
      <c r="BU195" s="134"/>
      <c r="BV195" s="134"/>
      <c r="BW195" s="131" t="str">
        <f t="shared" si="3"/>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v>
      </c>
      <c r="CF195" s="125"/>
      <c r="CG195" s="125"/>
      <c r="CH195" s="125"/>
      <c r="CI195" s="125"/>
      <c r="CJ195" s="125"/>
      <c r="CK195" s="125"/>
      <c r="CL195" s="125"/>
      <c r="CM195" s="125"/>
      <c r="CN195" s="125"/>
      <c r="CO195" s="125"/>
      <c r="CP195" s="125"/>
      <c r="CQ195" s="125"/>
    </row>
    <row r="196" spans="1:101" ht="45" outlineLevel="1" x14ac:dyDescent="0.25">
      <c r="A196" s="131" t="s">
        <v>1159</v>
      </c>
      <c r="B196" s="134" t="s">
        <v>32</v>
      </c>
      <c r="C196" s="134" t="s">
        <v>1996</v>
      </c>
      <c r="D196" s="134" t="s">
        <v>1991</v>
      </c>
      <c r="E196" s="134" t="s">
        <v>1992</v>
      </c>
      <c r="F196" s="134"/>
      <c r="G196" s="134"/>
      <c r="H196" s="134" t="s">
        <v>1993</v>
      </c>
      <c r="I196" s="134"/>
      <c r="J196" s="134" t="s">
        <v>1994</v>
      </c>
      <c r="K196" s="134" t="s">
        <v>1995</v>
      </c>
      <c r="L196" s="134"/>
      <c r="M196" s="134"/>
      <c r="N196" s="134"/>
      <c r="O196" s="134"/>
      <c r="P196" s="134"/>
      <c r="Q196" s="134"/>
      <c r="R196" s="134"/>
      <c r="S196" s="134"/>
      <c r="T196" s="134"/>
      <c r="U196" s="134"/>
      <c r="V196" s="134"/>
      <c r="W196" s="134"/>
      <c r="X196" s="134"/>
      <c r="Y196" s="134"/>
      <c r="Z196" s="134"/>
      <c r="AA196" s="134"/>
      <c r="AB196" s="134"/>
      <c r="AC196" s="134"/>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134"/>
      <c r="BK196" s="134"/>
      <c r="BL196" s="134"/>
      <c r="BM196" s="134"/>
      <c r="BN196" s="134"/>
      <c r="BO196" s="134"/>
      <c r="BP196" s="134"/>
      <c r="BQ196" s="134"/>
      <c r="BR196" s="134"/>
      <c r="BS196" s="134"/>
      <c r="BT196" s="134"/>
      <c r="BU196" s="134"/>
      <c r="BV196" s="134"/>
      <c r="BW196" s="131" t="str">
        <f t="shared" si="3"/>
        <v>PIsolation normale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v>
      </c>
      <c r="CF196" s="125"/>
      <c r="CG196" s="125"/>
      <c r="CH196" s="125"/>
      <c r="CI196" s="125"/>
      <c r="CJ196" s="125"/>
      <c r="CK196" s="125"/>
      <c r="CL196" s="125"/>
      <c r="CM196" s="125"/>
      <c r="CN196" s="125"/>
      <c r="CO196" s="125"/>
      <c r="CP196" s="125"/>
      <c r="CQ196" s="125"/>
    </row>
    <row r="197" spans="1:101" ht="45" outlineLevel="1" x14ac:dyDescent="0.25">
      <c r="A197" s="131" t="s">
        <v>1178</v>
      </c>
      <c r="B197" s="134" t="s">
        <v>32</v>
      </c>
      <c r="C197" s="134" t="s">
        <v>1990</v>
      </c>
      <c r="D197" s="134" t="s">
        <v>1991</v>
      </c>
      <c r="E197" s="134" t="s">
        <v>1992</v>
      </c>
      <c r="F197" s="134"/>
      <c r="G197" s="134"/>
      <c r="H197" s="134" t="s">
        <v>1993</v>
      </c>
      <c r="I197" s="134"/>
      <c r="J197" s="134" t="s">
        <v>1994</v>
      </c>
      <c r="K197" s="134" t="s">
        <v>1995</v>
      </c>
      <c r="L197" s="134"/>
      <c r="M197" s="134"/>
      <c r="N197" s="134"/>
      <c r="O197" s="134" t="s">
        <v>1997</v>
      </c>
      <c r="P197" s="134"/>
      <c r="Q197" s="134"/>
      <c r="R197" s="134"/>
      <c r="S197" s="134"/>
      <c r="T197" s="134"/>
      <c r="U197" s="134"/>
      <c r="V197" s="134"/>
      <c r="W197" s="134"/>
      <c r="X197" s="134"/>
      <c r="Y197" s="134"/>
      <c r="Z197" s="134"/>
      <c r="AA197" s="134"/>
      <c r="AB197" s="134"/>
      <c r="AC197" s="134"/>
      <c r="AD197" s="134"/>
      <c r="AE197" s="134"/>
      <c r="AF197" s="134"/>
      <c r="AG197" s="134"/>
      <c r="AH197" s="134" t="s">
        <v>438</v>
      </c>
      <c r="AI197" s="134"/>
      <c r="AJ197" s="134"/>
      <c r="AK197" s="134"/>
      <c r="AL197" s="134"/>
      <c r="AM197" s="134"/>
      <c r="AN197" s="134"/>
      <c r="AO197" s="134"/>
      <c r="AP197" s="134"/>
      <c r="AQ197" s="134"/>
      <c r="AR197" s="134"/>
      <c r="AS197" s="134"/>
      <c r="AT197" s="134"/>
      <c r="AU197" s="134"/>
      <c r="AV197" s="136"/>
      <c r="AW197" s="134"/>
      <c r="AX197" s="134"/>
      <c r="AY197" s="134"/>
      <c r="AZ197" s="131"/>
      <c r="BA197" s="134"/>
      <c r="BB197" s="134"/>
      <c r="BC197" s="134"/>
      <c r="BD197" s="134"/>
      <c r="BE197" s="134"/>
      <c r="BF197" s="134"/>
      <c r="BG197" s="134"/>
      <c r="BH197" s="134"/>
      <c r="BI197" s="134"/>
      <c r="BJ197" s="134"/>
      <c r="BK197" s="134"/>
      <c r="BL197" s="134"/>
      <c r="BM197" s="134"/>
      <c r="BN197" s="134"/>
      <c r="BO197" s="134"/>
      <c r="BP197" s="134"/>
      <c r="BQ197" s="134"/>
      <c r="BR197" s="134"/>
      <c r="BS197" s="134"/>
      <c r="BT197" s="134"/>
      <c r="BU197" s="134"/>
      <c r="BV197" s="134"/>
      <c r="BW197" s="131" t="str">
        <f t="shared" si="3"/>
        <v>PIsolation renforcée LECAPITAINE / STRATE FORME2 portes arrièrePorte latérale coulissante à l'avant droit avec une bordure de 30 mm de haut sur le plancherPlancher : Antidérapant léger avec passages de roues (largeur entre passages de roues : 1126 mm) avec 1 siphon d'évacuation1 plafonnierDemi plancher intermédiaire amovible1 rideau à lanières aux portes arrièresCarénage de groupe</v>
      </c>
      <c r="CF197" s="125"/>
      <c r="CG197" s="125"/>
      <c r="CH197" s="125"/>
      <c r="CI197" s="125"/>
      <c r="CJ197" s="125"/>
      <c r="CK197" s="125"/>
      <c r="CL197" s="125"/>
      <c r="CM197" s="125"/>
      <c r="CN197" s="125"/>
      <c r="CO197" s="125"/>
      <c r="CP197" s="125"/>
      <c r="CQ197" s="125"/>
    </row>
    <row r="198" spans="1:101" ht="45" outlineLevel="1" x14ac:dyDescent="0.25">
      <c r="A198" s="131" t="s">
        <v>1348</v>
      </c>
      <c r="B198" s="134" t="s">
        <v>32</v>
      </c>
      <c r="C198" s="134" t="s">
        <v>1998</v>
      </c>
      <c r="D198" s="134" t="s">
        <v>1999</v>
      </c>
      <c r="E198" s="134" t="s">
        <v>2000</v>
      </c>
      <c r="F198" s="134"/>
      <c r="G198" s="134"/>
      <c r="H198" s="134" t="s">
        <v>2001</v>
      </c>
      <c r="I198" s="134"/>
      <c r="J198" s="134" t="s">
        <v>1994</v>
      </c>
      <c r="K198" s="134"/>
      <c r="L198" s="134"/>
      <c r="M198" s="134"/>
      <c r="N198" s="134"/>
      <c r="O198" s="134" t="s">
        <v>2002</v>
      </c>
      <c r="P198" s="134"/>
      <c r="Q198" s="134"/>
      <c r="R198" s="134"/>
      <c r="S198" s="134"/>
      <c r="T198" s="134"/>
      <c r="U198" s="134"/>
      <c r="V198" s="134"/>
      <c r="W198" s="134"/>
      <c r="X198" s="134"/>
      <c r="Y198" s="134"/>
      <c r="Z198" s="134"/>
      <c r="AA198" s="134"/>
      <c r="AB198" s="134"/>
      <c r="AC198" s="134"/>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6"/>
      <c r="AY198" s="134"/>
      <c r="AZ198" s="134"/>
      <c r="BA198" s="134"/>
      <c r="BB198" s="134"/>
      <c r="BC198" s="134"/>
      <c r="BD198" s="134"/>
      <c r="BE198" s="134"/>
      <c r="BF198" s="134"/>
      <c r="BG198" s="134"/>
      <c r="BH198" s="134"/>
      <c r="BI198" s="134"/>
      <c r="BJ198" s="134"/>
      <c r="BK198" s="134"/>
      <c r="BL198" s="134"/>
      <c r="BM198" s="134"/>
      <c r="BN198" s="134"/>
      <c r="BO198" s="134"/>
      <c r="BP198" s="134"/>
      <c r="BQ198" s="134"/>
      <c r="BR198" s="134"/>
      <c r="BS198" s="134"/>
      <c r="BT198" s="134"/>
      <c r="BU198" s="134"/>
      <c r="BV198" s="134"/>
      <c r="BW198" s="131" t="str">
        <f t="shared" si="3"/>
        <v>PIsolation normale LECAPITAINE2 portes arrière  (Ouverture  à 270°)Porte latérale coulissante à l'avant droitPlancher : Antidérapant avec passages de roues (largeur entre passage de roues : 1235 mm) avec 2 siphons d'évacuations1 plafonnier1 Rideau fixe à lanières aux portes arrières</v>
      </c>
      <c r="CF198" s="125"/>
      <c r="CG198" s="125"/>
      <c r="CH198" s="125"/>
      <c r="CI198" s="125"/>
      <c r="CJ198" s="125"/>
      <c r="CK198" s="125"/>
      <c r="CL198" s="125"/>
      <c r="CM198" s="125"/>
      <c r="CN198" s="125"/>
      <c r="CO198" s="125"/>
      <c r="CP198" s="125"/>
      <c r="CQ198" s="125"/>
    </row>
    <row r="199" spans="1:101" ht="45" outlineLevel="1" x14ac:dyDescent="0.25">
      <c r="A199" s="131" t="s">
        <v>1232</v>
      </c>
      <c r="B199" s="134" t="s">
        <v>32</v>
      </c>
      <c r="C199" s="134" t="s">
        <v>1990</v>
      </c>
      <c r="D199" s="134" t="s">
        <v>2003</v>
      </c>
      <c r="E199" s="134" t="s">
        <v>2004</v>
      </c>
      <c r="F199" s="134"/>
      <c r="G199" s="134"/>
      <c r="H199" s="134" t="s">
        <v>2005</v>
      </c>
      <c r="I199" s="134"/>
      <c r="J199" s="134" t="s">
        <v>1994</v>
      </c>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6"/>
      <c r="AY199" s="134"/>
      <c r="AZ199" s="131"/>
      <c r="BA199" s="134"/>
      <c r="BB199" s="134"/>
      <c r="BC199" s="134"/>
      <c r="BD199" s="134"/>
      <c r="BE199" s="134"/>
      <c r="BF199" s="134"/>
      <c r="BG199" s="134"/>
      <c r="BH199" s="134"/>
      <c r="BI199" s="134"/>
      <c r="BJ199" s="134"/>
      <c r="BK199" s="134"/>
      <c r="BL199" s="134"/>
      <c r="BM199" s="134"/>
      <c r="BN199" s="134"/>
      <c r="BO199" s="134"/>
      <c r="BP199" s="134"/>
      <c r="BQ199" s="134"/>
      <c r="BR199" s="134"/>
      <c r="BS199" s="134"/>
      <c r="BT199" s="134"/>
      <c r="BU199" s="134"/>
      <c r="BV199" s="134"/>
      <c r="BW199" s="131" t="str">
        <f t="shared" si="3"/>
        <v>PIsolation renforcée LECAPITAINE / STRATE FORME2 portes arrière (Ouverture  à 180°)Porte latérale coulissante à l'avant droit sans bordure sur le plancherPlancher : Antidérapant léger avec passages de roues (largeur entre passages de roues : 1268 mm) avec 1 siphon d'évacuation1 plafonnier</v>
      </c>
      <c r="CF199" s="125"/>
      <c r="CG199" s="125"/>
      <c r="CH199" s="125"/>
      <c r="CI199" s="125"/>
      <c r="CJ199" s="125"/>
      <c r="CK199" s="125"/>
      <c r="CL199" s="125"/>
      <c r="CM199" s="125"/>
      <c r="CN199" s="125"/>
      <c r="CO199" s="125"/>
      <c r="CP199" s="125"/>
      <c r="CQ199" s="125"/>
    </row>
    <row r="200" spans="1:101" s="124" customFormat="1" ht="45" outlineLevel="1" x14ac:dyDescent="0.25">
      <c r="A200" s="131" t="s">
        <v>1191</v>
      </c>
      <c r="B200" s="134" t="s">
        <v>32</v>
      </c>
      <c r="C200" s="134" t="s">
        <v>1990</v>
      </c>
      <c r="D200" s="134" t="s">
        <v>2006</v>
      </c>
      <c r="E200" s="134" t="s">
        <v>1992</v>
      </c>
      <c r="F200" s="134"/>
      <c r="G200" s="134"/>
      <c r="H200" s="134" t="s">
        <v>2007</v>
      </c>
      <c r="I200" s="134"/>
      <c r="J200" s="134" t="s">
        <v>1994</v>
      </c>
      <c r="K200" s="134"/>
      <c r="L200" s="134"/>
      <c r="M200" s="134"/>
      <c r="N200" s="134"/>
      <c r="O200" s="134"/>
      <c r="P200" s="134"/>
      <c r="Q200" s="134"/>
      <c r="R200" s="134"/>
      <c r="S200" s="134"/>
      <c r="T200" s="134"/>
      <c r="U200" s="134"/>
      <c r="V200" s="134"/>
      <c r="W200" s="134"/>
      <c r="X200" s="134"/>
      <c r="Y200" s="134"/>
      <c r="Z200" s="134"/>
      <c r="AA200" s="134"/>
      <c r="AB200" s="134"/>
      <c r="AC200" s="134"/>
      <c r="AD200" s="134"/>
      <c r="AE200" s="134"/>
      <c r="AF200" s="134"/>
      <c r="AG200" s="134"/>
      <c r="AH200" s="134" t="s">
        <v>438</v>
      </c>
      <c r="AI200" s="134"/>
      <c r="AJ200" s="134"/>
      <c r="AK200" s="134"/>
      <c r="AL200" s="134"/>
      <c r="AM200" s="134"/>
      <c r="AN200" s="134"/>
      <c r="AO200" s="134"/>
      <c r="AP200" s="134"/>
      <c r="AQ200" s="134"/>
      <c r="AR200" s="134"/>
      <c r="AS200" s="134"/>
      <c r="AT200" s="134"/>
      <c r="AU200" s="134"/>
      <c r="AV200" s="136"/>
      <c r="AW200" s="134"/>
      <c r="AX200" s="134"/>
      <c r="AY200" s="134"/>
      <c r="AZ200" s="131"/>
      <c r="BA200" s="134"/>
      <c r="BB200" s="134"/>
      <c r="BC200" s="134"/>
      <c r="BD200" s="134"/>
      <c r="BE200" s="134"/>
      <c r="BF200" s="134"/>
      <c r="BG200" s="134"/>
      <c r="BH200" s="134"/>
      <c r="BI200" s="134"/>
      <c r="BJ200" s="134"/>
      <c r="BK200" s="134"/>
      <c r="BL200" s="134"/>
      <c r="BM200" s="134"/>
      <c r="BN200" s="134"/>
      <c r="BO200" s="134"/>
      <c r="BP200" s="134"/>
      <c r="BQ200" s="134"/>
      <c r="BR200" s="134"/>
      <c r="BS200" s="134"/>
      <c r="BT200" s="134"/>
      <c r="BU200" s="134"/>
      <c r="BV200" s="134"/>
      <c r="BW200" s="131" t="str">
        <f t="shared" si="3"/>
        <v>PIsolation renforcée LECAPITAINE / STRATE FORME2 portes arrière avec ouverture à 180°Porte latérale coulissante à l'avant droit avec une bordure de 30 mm de haut sur le plancherPlancher : Antidérapant léger avec passages de roues (largeur entre passages de roues : 1210 mm) avec 1 siphon d'évacuation1 plafonnierCarénage de groupe</v>
      </c>
      <c r="BX200" s="125"/>
      <c r="BY200" s="125"/>
      <c r="BZ200" s="125"/>
      <c r="CA200" s="125"/>
      <c r="CB200" s="125"/>
      <c r="CC200" s="125"/>
      <c r="CD200" s="125"/>
      <c r="CE200" s="125"/>
      <c r="CF200" s="125"/>
      <c r="CG200" s="125"/>
      <c r="CH200" s="125"/>
      <c r="CI200" s="125"/>
      <c r="CJ200" s="125"/>
      <c r="CK200" s="125"/>
      <c r="CL200" s="125"/>
      <c r="CM200" s="125"/>
      <c r="CN200" s="125"/>
      <c r="CO200" s="125"/>
      <c r="CP200" s="125"/>
      <c r="CQ200" s="125"/>
      <c r="CR200" s="139"/>
      <c r="CS200" s="139"/>
      <c r="CT200" s="139"/>
      <c r="CU200" s="139"/>
      <c r="CV200" s="139"/>
      <c r="CW200" s="139"/>
    </row>
    <row r="201" spans="1:101" ht="45" outlineLevel="1" x14ac:dyDescent="0.25">
      <c r="A201" s="131" t="s">
        <v>1213</v>
      </c>
      <c r="B201" s="134" t="s">
        <v>32</v>
      </c>
      <c r="C201" s="134" t="s">
        <v>1990</v>
      </c>
      <c r="D201" s="134" t="s">
        <v>2006</v>
      </c>
      <c r="E201" s="134" t="s">
        <v>1992</v>
      </c>
      <c r="F201" s="134"/>
      <c r="G201" s="134"/>
      <c r="H201" s="134" t="s">
        <v>2008</v>
      </c>
      <c r="I201" s="134"/>
      <c r="J201" s="134" t="s">
        <v>1994</v>
      </c>
      <c r="K201" s="134"/>
      <c r="L201" s="134"/>
      <c r="M201" s="134"/>
      <c r="N201" s="134"/>
      <c r="O201" s="134" t="s">
        <v>2009</v>
      </c>
      <c r="P201" s="134"/>
      <c r="Q201" s="134"/>
      <c r="R201" s="134"/>
      <c r="S201" s="134"/>
      <c r="T201" s="134"/>
      <c r="U201" s="134"/>
      <c r="V201" s="134"/>
      <c r="W201" s="134"/>
      <c r="X201" s="134"/>
      <c r="Y201" s="134"/>
      <c r="Z201" s="134"/>
      <c r="AA201" s="134"/>
      <c r="AB201" s="134"/>
      <c r="AC201" s="134"/>
      <c r="AD201" s="134"/>
      <c r="AE201" s="134"/>
      <c r="AF201" s="134"/>
      <c r="AG201" s="134"/>
      <c r="AH201" s="134" t="s">
        <v>438</v>
      </c>
      <c r="AI201" s="134"/>
      <c r="AJ201" s="134"/>
      <c r="AK201" s="134"/>
      <c r="AL201" s="134"/>
      <c r="AM201" s="134"/>
      <c r="AN201" s="134"/>
      <c r="AO201" s="134"/>
      <c r="AP201" s="134"/>
      <c r="AQ201" s="134"/>
      <c r="AR201" s="134"/>
      <c r="AS201" s="134"/>
      <c r="AT201" s="134"/>
      <c r="AU201" s="134"/>
      <c r="AV201" s="136"/>
      <c r="AW201" s="134"/>
      <c r="AX201" s="134"/>
      <c r="AY201" s="134"/>
      <c r="AZ201" s="131"/>
      <c r="BA201" s="134"/>
      <c r="BB201" s="134"/>
      <c r="BC201" s="134"/>
      <c r="BD201" s="134"/>
      <c r="BE201" s="134"/>
      <c r="BF201" s="134"/>
      <c r="BG201" s="134"/>
      <c r="BH201" s="134"/>
      <c r="BI201" s="134"/>
      <c r="BJ201" s="134"/>
      <c r="BK201" s="134"/>
      <c r="BL201" s="134"/>
      <c r="BM201" s="134"/>
      <c r="BN201" s="134"/>
      <c r="BO201" s="134"/>
      <c r="BP201" s="134"/>
      <c r="BQ201" s="134"/>
      <c r="BR201" s="134"/>
      <c r="BS201" s="134"/>
      <c r="BT201" s="134"/>
      <c r="BU201" s="134"/>
      <c r="BV201" s="134"/>
      <c r="BW201" s="131" t="str">
        <f t="shared" si="3"/>
        <v>PIsolation renforcée LECAPITAINE / STRATE FORME2 portes arrière avec ouverture à 180°Porte latérale coulissante à l'avant droit avec une bordure de 30 mm de haut sur le plancherPlancher : Antidérapant léger avec passages de roues (largeur entre passages de roues : 1210 mm) avec 2 siphons d'évacuation1 plafonnier1 rideau à lanières à la porte latérale et aux portes arrièresCarénage de groupe</v>
      </c>
      <c r="CF201" s="125"/>
      <c r="CG201" s="125"/>
      <c r="CH201" s="125"/>
      <c r="CI201" s="125"/>
      <c r="CJ201" s="125"/>
      <c r="CK201" s="125"/>
      <c r="CL201" s="125"/>
      <c r="CM201" s="125"/>
      <c r="CN201" s="125"/>
      <c r="CO201" s="125"/>
      <c r="CP201" s="125"/>
      <c r="CQ201" s="125"/>
    </row>
    <row r="202" spans="1:101" ht="45" outlineLevel="1" x14ac:dyDescent="0.25">
      <c r="A202" s="131" t="s">
        <v>1475</v>
      </c>
      <c r="B202" s="134" t="s">
        <v>32</v>
      </c>
      <c r="C202" s="134" t="s">
        <v>1990</v>
      </c>
      <c r="D202" s="134" t="s">
        <v>2010</v>
      </c>
      <c r="E202" s="134" t="s">
        <v>1992</v>
      </c>
      <c r="F202" s="134"/>
      <c r="G202" s="134"/>
      <c r="H202" s="134" t="s">
        <v>2011</v>
      </c>
      <c r="I202" s="134"/>
      <c r="J202" s="134" t="s">
        <v>1994</v>
      </c>
      <c r="K202" s="134"/>
      <c r="L202" s="134"/>
      <c r="M202" s="134"/>
      <c r="N202" s="134"/>
      <c r="O202" s="134"/>
      <c r="P202" s="134"/>
      <c r="Q202" s="134"/>
      <c r="R202" s="134"/>
      <c r="S202" s="134"/>
      <c r="T202" s="134"/>
      <c r="U202" s="134"/>
      <c r="V202" s="134"/>
      <c r="W202" s="134"/>
      <c r="X202" s="134"/>
      <c r="Y202" s="134"/>
      <c r="Z202" s="134"/>
      <c r="AA202" s="134"/>
      <c r="AB202" s="134"/>
      <c r="AC202" s="134"/>
      <c r="AD202" s="134"/>
      <c r="AE202" s="134"/>
      <c r="AF202" s="134"/>
      <c r="AG202" s="134"/>
      <c r="AH202" s="185" t="s">
        <v>438</v>
      </c>
      <c r="AI202" s="185"/>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134"/>
      <c r="BK202" s="134"/>
      <c r="BL202" s="134"/>
      <c r="BM202" s="134"/>
      <c r="BN202" s="134"/>
      <c r="BO202" s="134"/>
      <c r="BP202" s="134"/>
      <c r="BQ202" s="134"/>
      <c r="BR202" s="134"/>
      <c r="BS202" s="134"/>
      <c r="BT202" s="134"/>
      <c r="BU202" s="134"/>
      <c r="BV202" s="134"/>
      <c r="BW202" s="131" t="str">
        <f t="shared" si="3"/>
        <v>PIsolation renforcée LECAPITAINE / STRATE FORME2 portes arrière ouverture 180°Porte latérale coulissante à l'avant droit avec une bordure de 30 mm de haut sur le plancherPlancher : Antidérapant léger avec passages de roues (largeur entre passages de roues : 1120 mm) avec 2 siphon d'évacuation1 plafonnierCarénage de groupe</v>
      </c>
      <c r="CF202" s="125"/>
      <c r="CG202" s="125"/>
      <c r="CH202" s="125"/>
      <c r="CI202" s="125"/>
      <c r="CJ202" s="125"/>
      <c r="CK202" s="125"/>
      <c r="CL202" s="125"/>
      <c r="CM202" s="125"/>
      <c r="CN202" s="125"/>
      <c r="CO202" s="125"/>
      <c r="CP202" s="125"/>
      <c r="CQ202" s="125"/>
    </row>
    <row r="203" spans="1:101" ht="45" outlineLevel="1" x14ac:dyDescent="0.25">
      <c r="A203" s="131" t="s">
        <v>1497</v>
      </c>
      <c r="B203" s="134" t="s">
        <v>32</v>
      </c>
      <c r="C203" s="134" t="s">
        <v>1990</v>
      </c>
      <c r="D203" s="134" t="s">
        <v>2010</v>
      </c>
      <c r="E203" s="134" t="s">
        <v>1992</v>
      </c>
      <c r="F203" s="134"/>
      <c r="G203" s="134"/>
      <c r="H203" s="134" t="s">
        <v>2012</v>
      </c>
      <c r="I203" s="134"/>
      <c r="J203" s="134" t="s">
        <v>1994</v>
      </c>
      <c r="K203" s="134"/>
      <c r="L203" s="134"/>
      <c r="M203" s="134"/>
      <c r="N203" s="134"/>
      <c r="O203" s="134" t="s">
        <v>2013</v>
      </c>
      <c r="P203" s="134"/>
      <c r="Q203" s="134"/>
      <c r="R203" s="134"/>
      <c r="S203" s="134"/>
      <c r="T203" s="134"/>
      <c r="U203" s="134"/>
      <c r="V203" s="134"/>
      <c r="W203" s="134"/>
      <c r="X203" s="134"/>
      <c r="Y203" s="134"/>
      <c r="Z203" s="134"/>
      <c r="AA203" s="134"/>
      <c r="AB203" s="134"/>
      <c r="AC203" s="134"/>
      <c r="AD203" s="134"/>
      <c r="AE203" s="134"/>
      <c r="AF203" s="134"/>
      <c r="AG203" s="134"/>
      <c r="AH203" s="185" t="s">
        <v>438</v>
      </c>
      <c r="AI203" s="185"/>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134"/>
      <c r="BK203" s="134"/>
      <c r="BL203" s="134"/>
      <c r="BM203" s="134"/>
      <c r="BN203" s="134"/>
      <c r="BO203" s="134"/>
      <c r="BP203" s="134"/>
      <c r="BQ203" s="134"/>
      <c r="BR203" s="134"/>
      <c r="BS203" s="134"/>
      <c r="BT203" s="134"/>
      <c r="BU203" s="134"/>
      <c r="BV203" s="134"/>
      <c r="BW203" s="131" t="str">
        <f t="shared" si="3"/>
        <v>PIsolation renforcée LECAPITAINE / STRATE FORME2 portes arrière ouverture 180°Porte latérale coulissante à l'avant droit avec une bordure de 30 mm de haut sur le plancherPlancher : Antidérapant léger avec passages de roues (largeur entre passages de roues : 1120 mm) avec 1 siphon d'évacuation1 plafonnierRideaux à lanières fixe pour les portes arrières Carénage de groupe</v>
      </c>
      <c r="CF203" s="125"/>
      <c r="CG203" s="125"/>
      <c r="CH203" s="125"/>
      <c r="CI203" s="125"/>
      <c r="CJ203" s="125"/>
      <c r="CK203" s="125"/>
      <c r="CL203" s="125"/>
      <c r="CM203" s="125"/>
      <c r="CN203" s="125"/>
      <c r="CO203" s="125"/>
      <c r="CP203" s="125"/>
      <c r="CQ203" s="125"/>
    </row>
    <row r="204" spans="1:101" ht="45" outlineLevel="1" x14ac:dyDescent="0.25">
      <c r="A204" s="131" t="s">
        <v>1512</v>
      </c>
      <c r="B204" s="134" t="s">
        <v>32</v>
      </c>
      <c r="C204" s="134" t="s">
        <v>1990</v>
      </c>
      <c r="D204" s="134" t="s">
        <v>1991</v>
      </c>
      <c r="E204" s="134" t="s">
        <v>1992</v>
      </c>
      <c r="F204" s="134"/>
      <c r="G204" s="134"/>
      <c r="H204" s="134" t="s">
        <v>2014</v>
      </c>
      <c r="I204" s="134"/>
      <c r="J204" s="134" t="s">
        <v>1887</v>
      </c>
      <c r="K204" s="134"/>
      <c r="L204" s="134"/>
      <c r="M204" s="134"/>
      <c r="N204" s="134"/>
      <c r="O204" s="134"/>
      <c r="P204" s="134"/>
      <c r="Q204" s="134"/>
      <c r="R204" s="134"/>
      <c r="S204" s="134"/>
      <c r="T204" s="134"/>
      <c r="U204" s="134"/>
      <c r="V204" s="134"/>
      <c r="W204" s="134"/>
      <c r="X204" s="134"/>
      <c r="Y204" s="134"/>
      <c r="Z204" s="134"/>
      <c r="AA204" s="134"/>
      <c r="AB204" s="134"/>
      <c r="AC204" s="134"/>
      <c r="AD204" s="134"/>
      <c r="AE204" s="134"/>
      <c r="AF204" s="134"/>
      <c r="AG204" s="134"/>
      <c r="AH204" s="134"/>
      <c r="AI204" s="134"/>
      <c r="AJ204" s="134"/>
      <c r="AK204" s="134"/>
      <c r="AL204" s="134"/>
      <c r="AM204" s="134"/>
      <c r="AN204" s="134"/>
      <c r="AO204" s="134"/>
      <c r="AP204" s="134"/>
      <c r="AQ204" s="134"/>
      <c r="AR204" s="134"/>
      <c r="AS204" s="134"/>
      <c r="AT204" s="134"/>
      <c r="AU204" s="134"/>
      <c r="AV204" s="136"/>
      <c r="AW204" s="134"/>
      <c r="AX204" s="134"/>
      <c r="AY204" s="134"/>
      <c r="AZ204" s="131"/>
      <c r="BA204" s="134"/>
      <c r="BB204" s="134"/>
      <c r="BC204" s="134"/>
      <c r="BD204" s="134"/>
      <c r="BE204" s="134"/>
      <c r="BF204" s="134"/>
      <c r="BG204" s="134"/>
      <c r="BH204" s="134"/>
      <c r="BI204" s="134"/>
      <c r="BJ204" s="134"/>
      <c r="BK204" s="134"/>
      <c r="BL204" s="134"/>
      <c r="BM204" s="134"/>
      <c r="BN204" s="134"/>
      <c r="BO204" s="134"/>
      <c r="BP204" s="134"/>
      <c r="BQ204" s="134"/>
      <c r="BR204" s="134"/>
      <c r="BS204" s="134"/>
      <c r="BT204" s="134"/>
      <c r="BU204" s="134"/>
      <c r="BV204" s="134"/>
      <c r="BW204" s="131" t="str">
        <f t="shared" si="3"/>
        <v>PIsolation renforcée LECAPITAINE / STRATE FORME2 portes arrièrePorte latérale coulissante à l'avant droit avec une bordure de 30 mm de haut sur le plancherPlancher : Antidérapant léger avec passages de roues (largeur entre passages de roues : 1212 mm)  avec 2 siphons d'évacuation1 plafonnier à LED</v>
      </c>
      <c r="CF204" s="125"/>
      <c r="CG204" s="125"/>
      <c r="CH204" s="125"/>
      <c r="CI204" s="125"/>
      <c r="CJ204" s="125"/>
      <c r="CK204" s="125"/>
      <c r="CL204" s="125"/>
      <c r="CM204" s="125"/>
      <c r="CN204" s="125"/>
      <c r="CO204" s="125"/>
      <c r="CP204" s="125"/>
      <c r="CQ204" s="125"/>
    </row>
    <row r="205" spans="1:101" s="124" customFormat="1" ht="45" outlineLevel="1" x14ac:dyDescent="0.25">
      <c r="A205" s="131" t="s">
        <v>1636</v>
      </c>
      <c r="B205" s="134" t="s">
        <v>32</v>
      </c>
      <c r="C205" s="134" t="s">
        <v>2015</v>
      </c>
      <c r="D205" s="134" t="s">
        <v>2006</v>
      </c>
      <c r="E205" s="134" t="s">
        <v>2000</v>
      </c>
      <c r="F205" s="134" t="s">
        <v>1985</v>
      </c>
      <c r="G205" s="134"/>
      <c r="H205" s="134" t="s">
        <v>2016</v>
      </c>
      <c r="I205" s="134"/>
      <c r="J205" s="134" t="s">
        <v>2017</v>
      </c>
      <c r="K205" s="134"/>
      <c r="L205" s="134"/>
      <c r="M205" s="134"/>
      <c r="N205" s="134" t="s">
        <v>2018</v>
      </c>
      <c r="O205" s="134"/>
      <c r="P205" s="134" t="s">
        <v>2019</v>
      </c>
      <c r="Q205" s="134" t="s">
        <v>2020</v>
      </c>
      <c r="R205" s="134" t="s">
        <v>2021</v>
      </c>
      <c r="S205" s="134"/>
      <c r="T205" s="134"/>
      <c r="U205" s="134"/>
      <c r="V205" s="134"/>
      <c r="W205" s="134"/>
      <c r="X205" s="134"/>
      <c r="Y205" s="134"/>
      <c r="Z205" s="134"/>
      <c r="AA205" s="134"/>
      <c r="AB205" s="134" t="s">
        <v>2022</v>
      </c>
      <c r="AC205" s="134"/>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6"/>
      <c r="AY205" s="134"/>
      <c r="AZ205" s="131"/>
      <c r="BA205" s="134"/>
      <c r="BB205" s="134"/>
      <c r="BC205" s="134"/>
      <c r="BD205" s="134"/>
      <c r="BE205" s="134"/>
      <c r="BF205" s="134"/>
      <c r="BG205" s="134"/>
      <c r="BH205" s="134"/>
      <c r="BI205" s="134"/>
      <c r="BJ205" s="134"/>
      <c r="BK205" s="134"/>
      <c r="BL205" s="134"/>
      <c r="BM205" s="134"/>
      <c r="BN205" s="134"/>
      <c r="BO205" s="134"/>
      <c r="BP205" s="134"/>
      <c r="BQ205" s="134"/>
      <c r="BR205" s="134"/>
      <c r="BS205" s="134"/>
      <c r="BT205" s="134"/>
      <c r="BU205" s="134"/>
      <c r="BV205" s="134"/>
      <c r="BW205" s="131" t="str">
        <f t="shared" si="3"/>
        <v>PAmménagement SD SERVICES2 portes arrière avec ouverture à 180°Porte latérale coulissante à l'avant droitSans marchepiedPlancher en contreplaqué filmé structuré avec passages de rouesPlafonnier d'origine constructeurCloison de séparation tôléeDoublage en contreplaqué brut des portes arrière et latéraleDoublage en contreplaqué brut des parois jusqu'au pavillonHabillage contreplaqué brut des passages de rouesCornière alu au seuil des portes arrière et latérale</v>
      </c>
      <c r="BX205" s="125"/>
      <c r="BY205" s="125"/>
      <c r="BZ205" s="125"/>
      <c r="CA205" s="125"/>
      <c r="CB205" s="125"/>
      <c r="CC205" s="125"/>
      <c r="CD205" s="125"/>
      <c r="CE205" s="125"/>
      <c r="CF205" s="125"/>
      <c r="CG205" s="125"/>
      <c r="CH205" s="125"/>
      <c r="CI205" s="125"/>
      <c r="CJ205" s="125"/>
      <c r="CK205" s="125"/>
      <c r="CL205" s="125"/>
      <c r="CM205" s="125"/>
      <c r="CN205" s="125"/>
      <c r="CO205" s="125"/>
      <c r="CP205" s="125"/>
      <c r="CQ205" s="125"/>
      <c r="CR205" s="139"/>
      <c r="CS205" s="139"/>
      <c r="CT205" s="139"/>
      <c r="CU205" s="139"/>
      <c r="CV205" s="139"/>
      <c r="CW205" s="139"/>
    </row>
    <row r="206" spans="1:101" s="124" customFormat="1" ht="56.25" outlineLevel="1" x14ac:dyDescent="0.25">
      <c r="A206" s="164" t="s">
        <v>1646</v>
      </c>
      <c r="B206" s="134" t="s">
        <v>32</v>
      </c>
      <c r="C206" s="134" t="s">
        <v>2015</v>
      </c>
      <c r="D206" s="134" t="s">
        <v>2023</v>
      </c>
      <c r="E206" s="134" t="s">
        <v>2000</v>
      </c>
      <c r="F206" s="134" t="s">
        <v>1985</v>
      </c>
      <c r="G206" s="134"/>
      <c r="H206" s="134" t="s">
        <v>2016</v>
      </c>
      <c r="I206" s="134"/>
      <c r="J206" s="134" t="s">
        <v>2017</v>
      </c>
      <c r="K206" s="134"/>
      <c r="L206" s="134" t="s">
        <v>2024</v>
      </c>
      <c r="M206" s="134"/>
      <c r="N206" s="134" t="s">
        <v>2018</v>
      </c>
      <c r="O206" s="134"/>
      <c r="P206" s="134" t="s">
        <v>2019</v>
      </c>
      <c r="Q206" s="134" t="s">
        <v>2020</v>
      </c>
      <c r="R206" s="134" t="s">
        <v>2021</v>
      </c>
      <c r="S206" s="134"/>
      <c r="T206" s="134"/>
      <c r="U206" s="134"/>
      <c r="V206" s="134"/>
      <c r="W206" s="134"/>
      <c r="X206" s="134"/>
      <c r="Y206" s="134"/>
      <c r="Z206" s="134"/>
      <c r="AA206" s="134"/>
      <c r="AB206" s="134" t="s">
        <v>2022</v>
      </c>
      <c r="AC206" s="134"/>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134"/>
      <c r="BK206" s="134"/>
      <c r="BL206" s="134"/>
      <c r="BM206" s="134"/>
      <c r="BN206" s="134"/>
      <c r="BO206" s="134"/>
      <c r="BP206" s="134"/>
      <c r="BQ206" s="134"/>
      <c r="BR206" s="134"/>
      <c r="BS206" s="134"/>
      <c r="BT206" s="134"/>
      <c r="BU206" s="134"/>
      <c r="BV206" s="134"/>
      <c r="BW206" s="131" t="str">
        <f t="shared" si="3"/>
        <v>PAmménagement SD SERVICES2 portes arrière avec ouverture à 270°Porte latérale coulissante à l'avant droitSans marchepiedPlancher en contreplaqué filmé structuré avec passages de rouesPlafonnier d'origine constructeur1 niveau de rail d'arrimage en acier galvanisé sur 3 faces à 800 mm du plancher - Pas de rail sur la porte latéraleCloison de séparation tôléeDoublage en contreplaqué brut des portes arrière et latéraleDoublage en contreplaqué brut des parois jusqu'au pavillonHabillage contreplaqué brut des passages de rouesCornière alu au seuil des portes arrière et latérale</v>
      </c>
      <c r="BX206" s="125"/>
      <c r="BY206" s="125"/>
      <c r="BZ206" s="125"/>
      <c r="CA206" s="125"/>
      <c r="CB206" s="125"/>
      <c r="CC206" s="125"/>
      <c r="CD206" s="125"/>
      <c r="CE206" s="125"/>
      <c r="CF206" s="125"/>
      <c r="CG206" s="125"/>
      <c r="CH206" s="125"/>
      <c r="CI206" s="125"/>
      <c r="CJ206" s="125"/>
      <c r="CK206" s="125"/>
      <c r="CL206" s="125"/>
      <c r="CM206" s="125"/>
      <c r="CN206" s="125"/>
      <c r="CO206" s="125"/>
      <c r="CP206" s="125"/>
      <c r="CQ206" s="125"/>
      <c r="CR206" s="139"/>
      <c r="CS206" s="139"/>
      <c r="CT206" s="139"/>
      <c r="CU206" s="139"/>
      <c r="CV206" s="139"/>
      <c r="CW206" s="139"/>
    </row>
    <row r="207" spans="1:101" ht="56.25" outlineLevel="1" x14ac:dyDescent="0.25">
      <c r="A207" s="131" t="s">
        <v>1661</v>
      </c>
      <c r="B207" s="134" t="s">
        <v>32</v>
      </c>
      <c r="C207" s="134" t="s">
        <v>2015</v>
      </c>
      <c r="D207" s="134" t="s">
        <v>2023</v>
      </c>
      <c r="E207" s="134" t="s">
        <v>2000</v>
      </c>
      <c r="F207" s="134" t="s">
        <v>1985</v>
      </c>
      <c r="G207" s="134"/>
      <c r="H207" s="134" t="s">
        <v>2016</v>
      </c>
      <c r="I207" s="134"/>
      <c r="J207" s="134" t="s">
        <v>2017</v>
      </c>
      <c r="K207" s="134"/>
      <c r="L207" s="134" t="s">
        <v>2025</v>
      </c>
      <c r="M207" s="134"/>
      <c r="N207" s="134" t="s">
        <v>2018</v>
      </c>
      <c r="O207" s="134"/>
      <c r="P207" s="134" t="s">
        <v>2019</v>
      </c>
      <c r="Q207" s="134" t="s">
        <v>2020</v>
      </c>
      <c r="R207" s="134" t="s">
        <v>2021</v>
      </c>
      <c r="S207" s="134"/>
      <c r="T207" s="134"/>
      <c r="U207" s="134"/>
      <c r="V207" s="134"/>
      <c r="W207" s="134"/>
      <c r="X207" s="134"/>
      <c r="Y207" s="134"/>
      <c r="Z207" s="134"/>
      <c r="AA207" s="134"/>
      <c r="AB207" s="134" t="s">
        <v>2022</v>
      </c>
      <c r="AC207" s="134"/>
      <c r="AD207" s="134"/>
      <c r="AE207" s="134"/>
      <c r="AF207" s="134"/>
      <c r="AG207" s="134"/>
      <c r="AH207" s="134"/>
      <c r="AI207" s="134"/>
      <c r="AJ207" s="134"/>
      <c r="AK207" s="134"/>
      <c r="AL207" s="134"/>
      <c r="AM207" s="134"/>
      <c r="AN207" s="134"/>
      <c r="AO207" s="134"/>
      <c r="AP207" s="134"/>
      <c r="AQ207" s="134"/>
      <c r="AR207" s="134"/>
      <c r="AS207" s="134"/>
      <c r="AT207" s="134"/>
      <c r="AU207" s="134"/>
      <c r="AV207" s="136"/>
      <c r="AW207" s="136"/>
      <c r="AX207" s="134"/>
      <c r="AY207" s="134"/>
      <c r="AZ207" s="134"/>
      <c r="BA207" s="134"/>
      <c r="BB207" s="134"/>
      <c r="BC207" s="134"/>
      <c r="BD207" s="134"/>
      <c r="BE207" s="134"/>
      <c r="BF207" s="134"/>
      <c r="BG207" s="134"/>
      <c r="BH207" s="134"/>
      <c r="BI207" s="134"/>
      <c r="BJ207" s="134"/>
      <c r="BK207" s="134"/>
      <c r="BL207" s="134"/>
      <c r="BM207" s="134"/>
      <c r="BN207" s="134"/>
      <c r="BO207" s="134"/>
      <c r="BP207" s="134"/>
      <c r="BQ207" s="134"/>
      <c r="BR207" s="134"/>
      <c r="BS207" s="134"/>
      <c r="BT207" s="134"/>
      <c r="BU207" s="134"/>
      <c r="BV207" s="134"/>
      <c r="BW207" s="131" t="str">
        <f t="shared" si="3"/>
        <v>PAmménagement SD SERVICES2 portes arrière avec ouverture à 270°Porte latérale coulissante à l'avant droitSans marchepiedPlancher en contreplaqué filmé structuré avec passages de rouesPlafonnier d'origine constructeur1 niveau de rail d'arrimage en acier galvanisé sur 3 faces à 850 mm du plancher - Pas de rail sur la porte latéraleCloison de séparation tôléeDoublage en contreplaqué brut des portes arrière et latéraleDoublage en contreplaqué brut des parois jusqu'au pavillonHabillage contreplaqué brut des passages de rouesCornière alu au seuil des portes arrière et latérale</v>
      </c>
      <c r="CF207" s="125"/>
      <c r="CG207" s="125"/>
      <c r="CH207" s="125"/>
      <c r="CI207" s="125"/>
      <c r="CJ207" s="125"/>
      <c r="CK207" s="125"/>
      <c r="CL207" s="125"/>
      <c r="CM207" s="125"/>
      <c r="CN207" s="125"/>
      <c r="CO207" s="125"/>
      <c r="CP207" s="125"/>
      <c r="CQ207" s="125"/>
    </row>
    <row r="208" spans="1:101" ht="56.25" outlineLevel="1" x14ac:dyDescent="0.25">
      <c r="A208" s="164" t="s">
        <v>1653</v>
      </c>
      <c r="B208" s="134" t="s">
        <v>32</v>
      </c>
      <c r="C208" s="134" t="s">
        <v>2015</v>
      </c>
      <c r="D208" s="134" t="s">
        <v>2006</v>
      </c>
      <c r="E208" s="134" t="s">
        <v>2000</v>
      </c>
      <c r="F208" s="134" t="s">
        <v>1985</v>
      </c>
      <c r="G208" s="134"/>
      <c r="H208" s="134" t="s">
        <v>2016</v>
      </c>
      <c r="I208" s="134"/>
      <c r="J208" s="134" t="s">
        <v>2017</v>
      </c>
      <c r="K208" s="134"/>
      <c r="L208" s="134" t="s">
        <v>2026</v>
      </c>
      <c r="M208" s="134"/>
      <c r="N208" s="134" t="s">
        <v>2018</v>
      </c>
      <c r="O208" s="134"/>
      <c r="P208" s="134" t="s">
        <v>2019</v>
      </c>
      <c r="Q208" s="134" t="s">
        <v>2020</v>
      </c>
      <c r="R208" s="134" t="s">
        <v>2021</v>
      </c>
      <c r="S208" s="134"/>
      <c r="T208" s="134"/>
      <c r="U208" s="134"/>
      <c r="V208" s="134"/>
      <c r="W208" s="134"/>
      <c r="X208" s="134"/>
      <c r="Y208" s="134"/>
      <c r="Z208" s="134"/>
      <c r="AA208" s="134"/>
      <c r="AB208" s="134" t="s">
        <v>2022</v>
      </c>
      <c r="AC208" s="134"/>
      <c r="AD208" s="134"/>
      <c r="AE208" s="134"/>
      <c r="AF208" s="134"/>
      <c r="AG208" s="134"/>
      <c r="AH208" s="134"/>
      <c r="AI208" s="134"/>
      <c r="AJ208" s="134"/>
      <c r="AK208" s="134"/>
      <c r="AL208" s="134"/>
      <c r="AM208" s="134"/>
      <c r="AN208" s="134"/>
      <c r="AO208" s="134"/>
      <c r="AP208" s="134"/>
      <c r="AQ208" s="134"/>
      <c r="AR208" s="134"/>
      <c r="AS208" s="134"/>
      <c r="AT208" s="134"/>
      <c r="AU208" s="134"/>
      <c r="AV208" s="136"/>
      <c r="AW208" s="136"/>
      <c r="AX208" s="136"/>
      <c r="AY208" s="134"/>
      <c r="AZ208" s="131"/>
      <c r="BA208" s="134"/>
      <c r="BB208" s="134"/>
      <c r="BC208" s="134"/>
      <c r="BD208" s="134"/>
      <c r="BE208" s="134"/>
      <c r="BF208" s="134"/>
      <c r="BG208" s="134"/>
      <c r="BH208" s="134"/>
      <c r="BI208" s="134"/>
      <c r="BJ208" s="134"/>
      <c r="BK208" s="134"/>
      <c r="BL208" s="134"/>
      <c r="BM208" s="134"/>
      <c r="BN208" s="134"/>
      <c r="BO208" s="134"/>
      <c r="BP208" s="134"/>
      <c r="BQ208" s="134"/>
      <c r="BR208" s="134"/>
      <c r="BS208" s="134"/>
      <c r="BT208" s="134"/>
      <c r="BU208" s="134"/>
      <c r="BV208" s="134"/>
      <c r="BW208" s="131" t="str">
        <f t="shared" si="3"/>
        <v>PAmménagement SD SERVICES2 portes arrière avec ouverture à 180°Porte latérale coulissante à l'avant droitSans marchepiedPlancher en contreplaqué filmé structuré avec passages de rouesPlafonnier d'origine constructeur1 niveau de rail d'arrimage en acier galvanisé sur 3 faces à 600 mm du plancher - Pas de rail sur la porte latéraleCloison de séparation tôléeDoublage en contreplaqué brut des portes arrière et latéraleDoublage en contreplaqué brut des parois jusqu'au pavillonHabillage contreplaqué brut des passages de rouesCornière alu au seuil des portes arrière et latérale</v>
      </c>
      <c r="CF208" s="125"/>
      <c r="CG208" s="125"/>
      <c r="CH208" s="125"/>
      <c r="CI208" s="125"/>
      <c r="CJ208" s="125"/>
      <c r="CK208" s="125"/>
      <c r="CL208" s="125"/>
      <c r="CM208" s="125"/>
      <c r="CN208" s="125"/>
      <c r="CO208" s="125"/>
      <c r="CP208" s="125"/>
      <c r="CQ208" s="125"/>
    </row>
    <row r="209" spans="1:116" ht="56.25" outlineLevel="1" x14ac:dyDescent="0.25">
      <c r="A209" s="164" t="s">
        <v>1641</v>
      </c>
      <c r="B209" s="134" t="s">
        <v>32</v>
      </c>
      <c r="C209" s="134" t="s">
        <v>2350</v>
      </c>
      <c r="D209" s="134" t="s">
        <v>2006</v>
      </c>
      <c r="E209" s="134" t="s">
        <v>2000</v>
      </c>
      <c r="F209" s="134" t="s">
        <v>1985</v>
      </c>
      <c r="G209" s="134"/>
      <c r="H209" s="134" t="s">
        <v>2016</v>
      </c>
      <c r="I209" s="134"/>
      <c r="J209" s="134" t="s">
        <v>2017</v>
      </c>
      <c r="K209" s="134"/>
      <c r="L209" s="134" t="s">
        <v>2026</v>
      </c>
      <c r="M209" s="134"/>
      <c r="N209" s="134" t="s">
        <v>2018</v>
      </c>
      <c r="O209" s="134"/>
      <c r="P209" s="134" t="s">
        <v>2019</v>
      </c>
      <c r="Q209" s="134" t="s">
        <v>2020</v>
      </c>
      <c r="R209" s="134" t="s">
        <v>2021</v>
      </c>
      <c r="S209" s="134"/>
      <c r="T209" s="134"/>
      <c r="U209" s="134"/>
      <c r="V209" s="134"/>
      <c r="W209" s="134"/>
      <c r="X209" s="134"/>
      <c r="Y209" s="134"/>
      <c r="Z209" s="134"/>
      <c r="AA209" s="134"/>
      <c r="AB209" s="134" t="s">
        <v>2022</v>
      </c>
      <c r="AC209" s="134"/>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6"/>
      <c r="AY209" s="134"/>
      <c r="AZ209" s="131"/>
      <c r="BA209" s="134"/>
      <c r="BB209" s="134"/>
      <c r="BC209" s="134"/>
      <c r="BD209" s="134"/>
      <c r="BE209" s="134"/>
      <c r="BF209" s="134"/>
      <c r="BG209" s="134"/>
      <c r="BH209" s="134"/>
      <c r="BI209" s="134"/>
      <c r="BJ209" s="134"/>
      <c r="BK209" s="134"/>
      <c r="BL209" s="134"/>
      <c r="BM209" s="134"/>
      <c r="BN209" s="134"/>
      <c r="BO209" s="134"/>
      <c r="BP209" s="134"/>
      <c r="BQ209" s="134"/>
      <c r="BR209" s="134"/>
      <c r="BS209" s="134"/>
      <c r="BT209" s="134"/>
      <c r="BU209" s="134"/>
      <c r="BV209" s="134"/>
      <c r="BW209" s="131" t="str">
        <f t="shared" si="3"/>
        <v>PCarrossserie MAXI-FRET GROSSE EQUIPEMENT2 portes arrière avec ouverture à 180°Porte latérale coulissante à l'avant droitSans marchepiedPlancher en contreplaqué filmé structuré avec passages de rouesPlafonnier d'origine constructeur1 niveau de rail d'arrimage en acier galvanisé sur 3 faces à 600 mm du plancher - Pas de rail sur la porte latéraleCloison de séparation tôléeDoublage en contreplaqué brut des portes arrière et latéraleDoublage en contreplaqué brut des parois jusqu'au pavillonHabillage contreplaqué brut des passages de rouesCornière alu au seuil des portes arrière et latérale</v>
      </c>
      <c r="CF209" s="125"/>
      <c r="CG209" s="125"/>
      <c r="CH209" s="125"/>
      <c r="CI209" s="125"/>
      <c r="CJ209" s="125"/>
      <c r="CK209" s="125"/>
      <c r="CL209" s="125"/>
      <c r="CM209" s="125"/>
      <c r="CN209" s="125"/>
      <c r="CO209" s="125"/>
      <c r="CP209" s="125"/>
      <c r="CQ209" s="125"/>
    </row>
    <row r="210" spans="1:116" s="124" customFormat="1" ht="90" outlineLevel="1" x14ac:dyDescent="0.25">
      <c r="A210" s="131" t="s">
        <v>2307</v>
      </c>
      <c r="B210" s="134" t="s">
        <v>32</v>
      </c>
      <c r="D210" s="134" t="s">
        <v>2351</v>
      </c>
      <c r="E210" s="134" t="s">
        <v>2352</v>
      </c>
      <c r="F210" s="134" t="s">
        <v>2353</v>
      </c>
      <c r="G210" s="134"/>
      <c r="H210" s="134" t="s">
        <v>2354</v>
      </c>
      <c r="I210" s="134"/>
      <c r="J210" s="134" t="s">
        <v>2355</v>
      </c>
      <c r="K210" s="134"/>
      <c r="L210" s="134"/>
      <c r="M210" s="134"/>
      <c r="N210" s="134"/>
      <c r="O210" s="134"/>
      <c r="P210" s="134"/>
      <c r="Q210" s="134"/>
      <c r="R210" s="134"/>
      <c r="S210" s="134" t="s">
        <v>2356</v>
      </c>
      <c r="T210" s="134" t="s">
        <v>2357</v>
      </c>
      <c r="U210" s="134"/>
      <c r="V210" s="134" t="s">
        <v>2358</v>
      </c>
      <c r="W210" s="134"/>
      <c r="X210" s="134" t="s">
        <v>2359</v>
      </c>
      <c r="Y210" s="134"/>
      <c r="Z210" s="134"/>
      <c r="AA210" s="134"/>
      <c r="AB210" s="134"/>
      <c r="AC210" s="134"/>
      <c r="AD210" s="134"/>
      <c r="AE210" s="134" t="s">
        <v>2360</v>
      </c>
      <c r="AF210" s="134"/>
      <c r="AG210" s="134"/>
      <c r="AH210" s="134" t="s">
        <v>2361</v>
      </c>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t="s">
        <v>2362</v>
      </c>
      <c r="BC210" s="134"/>
      <c r="BD210" s="134"/>
      <c r="BE210" s="134"/>
      <c r="BF210" s="134"/>
      <c r="BG210" s="134"/>
      <c r="BH210" s="134"/>
      <c r="BI210" s="134"/>
      <c r="BJ210" s="134"/>
      <c r="BK210" s="134"/>
      <c r="BL210" s="134"/>
      <c r="BM210" s="134"/>
      <c r="BN210" s="134"/>
      <c r="BO210" s="134"/>
      <c r="BP210" s="134"/>
      <c r="BQ210" s="134"/>
      <c r="BR210" s="134"/>
      <c r="BS210" s="134"/>
      <c r="BT210" s="134"/>
      <c r="BU210" s="134"/>
      <c r="BV210" s="134"/>
      <c r="BW210" s="131" t="str">
        <f t="shared" si="3"/>
        <v>PFace avant pleine stratifiée bois + polyester épaisseur 20 mm sur ossature en profils acier / Fermeture arrière totale par hayon élévateur rabattableParois latérales motorisées avec planches aluminium articulées relevables à effacement sous le toit. Boîtier de commande sur la face Av. (1 par côté) – centralisation dans la cabine avec condamnationPeinture de la carrosserie 1 ton opaque Blanc DAF M8870WHTE  (hors hayon)Plancher bois multipli tout bouleau antidérapant épaisseur 27 mm1 ruban à LEDS de 5 mètres réparti sur la longueur dans l’axe sous le pavillonLisse de protection intérieure en partie basse de face avant : tôle acier galvanisée épaisseur 3 mm, hauteur 250 mmProtection des linteaux par profils caoutchoucButées latérales 10 mm pour le chargementCoffre à extincteur + extincteurPavillon plat autoportant polyester semi opaque d’une seule pièce sur ossature en profilés aluminiumSoubassement acier galvanisé avec traverses rapprochées</v>
      </c>
      <c r="BX210" s="125"/>
      <c r="BY210" s="125"/>
      <c r="BZ210" s="125"/>
      <c r="CA210" s="125"/>
      <c r="CB210" s="125"/>
      <c r="CC210" s="125"/>
      <c r="CD210" s="125"/>
      <c r="CE210" s="125"/>
      <c r="CF210" s="125"/>
      <c r="CG210" s="125"/>
      <c r="CH210" s="125"/>
      <c r="CI210" s="125"/>
      <c r="CJ210" s="125"/>
      <c r="CK210" s="125"/>
      <c r="CL210" s="125"/>
      <c r="CM210" s="125"/>
      <c r="CN210" s="125"/>
      <c r="CO210" s="125"/>
      <c r="CP210" s="125"/>
      <c r="CQ210" s="125"/>
      <c r="CR210" s="139"/>
      <c r="CS210" s="139"/>
      <c r="CT210" s="139"/>
      <c r="CU210" s="139"/>
      <c r="CV210" s="139"/>
      <c r="CW210" s="139"/>
    </row>
    <row r="211" spans="1:116" s="124" customFormat="1" ht="78.75" outlineLevel="1" x14ac:dyDescent="0.25">
      <c r="A211" s="131" t="s">
        <v>2317</v>
      </c>
      <c r="B211" s="134" t="s">
        <v>32</v>
      </c>
      <c r="C211" s="134" t="s">
        <v>2363</v>
      </c>
      <c r="D211" s="134" t="s">
        <v>2364</v>
      </c>
      <c r="E211" s="134" t="s">
        <v>2365</v>
      </c>
      <c r="F211" s="134" t="s">
        <v>2366</v>
      </c>
      <c r="G211" s="134"/>
      <c r="H211" s="134" t="s">
        <v>2367</v>
      </c>
      <c r="I211" s="134"/>
      <c r="J211" s="134" t="s">
        <v>2368</v>
      </c>
      <c r="K211" s="134"/>
      <c r="L211" s="134"/>
      <c r="M211" s="134"/>
      <c r="N211" s="134"/>
      <c r="O211" s="134"/>
      <c r="P211" s="134"/>
      <c r="Q211" s="134"/>
      <c r="R211" s="134"/>
      <c r="S211" s="134" t="s">
        <v>2369</v>
      </c>
      <c r="T211" s="134" t="s">
        <v>2370</v>
      </c>
      <c r="U211" s="134"/>
      <c r="V211" s="134" t="s">
        <v>2371</v>
      </c>
      <c r="W211" s="134"/>
      <c r="X211" s="134" t="s">
        <v>2359</v>
      </c>
      <c r="Y211" s="134"/>
      <c r="Z211" s="134"/>
      <c r="AA211" s="134"/>
      <c r="AB211" s="134"/>
      <c r="AC211" s="134"/>
      <c r="AD211" s="134"/>
      <c r="AE211" s="134" t="s">
        <v>2372</v>
      </c>
      <c r="AF211" s="134"/>
      <c r="AG211" s="134"/>
      <c r="AH211" s="134" t="s">
        <v>2361</v>
      </c>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t="s">
        <v>2373</v>
      </c>
      <c r="BC211" s="134"/>
      <c r="BD211" s="134"/>
      <c r="BE211" s="134"/>
      <c r="BF211" s="134"/>
      <c r="BG211" s="134"/>
      <c r="BH211" s="134"/>
      <c r="BI211" s="134"/>
      <c r="BJ211" s="134"/>
      <c r="BK211" s="134"/>
      <c r="BL211" s="134"/>
      <c r="BM211" s="134"/>
      <c r="BN211" s="134"/>
      <c r="BO211" s="134"/>
      <c r="BP211" s="134"/>
      <c r="BQ211" s="134"/>
      <c r="BR211" s="134"/>
      <c r="BS211" s="134"/>
      <c r="BT211" s="134"/>
      <c r="BU211" s="134"/>
      <c r="BV211" s="134"/>
      <c r="BW211" s="131" t="str">
        <f t="shared" si="3"/>
        <v>PCarrossserie INTEGRALE LIBNERFace avant pleine stratifiée bois / polyester épaisseur 17 mm sur ossature en profils acier / Fermeture arrière totale par hayon élévateur rabattableParois latérale motorisées avec planches aluminium articulées relevables à effacement sous le toit. Boîtier de commande sur la face Av. (1 par côté) – Intérupteur général dans la cabinePeinture de la carrosserie 1 ton opaque Blanc RAL 9010 (hors hayon)Plancher antidérapant tout bouleau épaisseur 27 mm1 ruban à LEDS de 5 mètresPlinthe  face avant : tôle acier galvanisée , hauteur 400 mmLinteaux supérieurs aluminium avec butoir de protectincaoutchoucButées latérales galvanisée hauteur 10 mm au desus du planceher pour le chargement à D et à GCoffre à extincteur + extincteurPavillon fixe plat autoportant polyester semi opaque sur ossature en profilés aluminiumSoubassement acier galvanisé avec traverses rapprochées</v>
      </c>
      <c r="BX211" s="125"/>
      <c r="BY211" s="125"/>
      <c r="BZ211" s="125"/>
      <c r="CA211" s="125"/>
      <c r="CB211" s="125"/>
      <c r="CC211" s="125"/>
      <c r="CD211" s="125"/>
      <c r="CE211" s="125"/>
      <c r="CF211" s="125"/>
      <c r="CG211" s="125"/>
      <c r="CH211" s="125"/>
      <c r="CI211" s="125"/>
      <c r="CJ211" s="125"/>
      <c r="CK211" s="125"/>
      <c r="CL211" s="125"/>
      <c r="CM211" s="125"/>
      <c r="CN211" s="125"/>
      <c r="CO211" s="125"/>
      <c r="CP211" s="125"/>
      <c r="CQ211" s="125"/>
      <c r="CR211" s="139"/>
      <c r="CS211" s="139"/>
      <c r="CT211" s="139"/>
      <c r="CU211" s="139"/>
      <c r="CV211" s="139"/>
      <c r="CW211" s="139"/>
    </row>
    <row r="212" spans="1:116" ht="67.5" outlineLevel="1" x14ac:dyDescent="0.25">
      <c r="A212" s="131" t="s">
        <v>2288</v>
      </c>
      <c r="B212" s="134" t="s">
        <v>32</v>
      </c>
      <c r="C212" s="134" t="s">
        <v>2374</v>
      </c>
      <c r="D212" s="134" t="s">
        <v>2375</v>
      </c>
      <c r="E212" s="134" t="s">
        <v>2376</v>
      </c>
      <c r="F212" s="134"/>
      <c r="G212" s="134"/>
      <c r="H212" s="134" t="s">
        <v>2377</v>
      </c>
      <c r="I212" s="134"/>
      <c r="J212" s="134" t="s">
        <v>2378</v>
      </c>
      <c r="K212" s="134"/>
      <c r="L212" s="134"/>
      <c r="M212" s="134"/>
      <c r="N212" s="134"/>
      <c r="O212" s="134"/>
      <c r="P212" s="134" t="s">
        <v>2379</v>
      </c>
      <c r="Q212" s="134"/>
      <c r="R212" s="134"/>
      <c r="S212" s="134"/>
      <c r="T212" s="134"/>
      <c r="U212" s="134"/>
      <c r="V212" s="134" t="s">
        <v>2380</v>
      </c>
      <c r="W212" s="134"/>
      <c r="X212" s="134"/>
      <c r="Y212" s="134"/>
      <c r="Z212" s="134"/>
      <c r="AA212" s="134"/>
      <c r="AB212" s="134"/>
      <c r="AC212" s="134"/>
      <c r="AD212" s="134"/>
      <c r="AE212" s="134" t="s">
        <v>2381</v>
      </c>
      <c r="AF212" s="134"/>
      <c r="AG212" s="134"/>
      <c r="AH212" s="134" t="s">
        <v>2361</v>
      </c>
      <c r="AI212" s="134"/>
      <c r="AJ212" s="134" t="s">
        <v>2382</v>
      </c>
      <c r="AK212" s="134"/>
      <c r="AL212" s="134"/>
      <c r="AM212" s="134"/>
      <c r="AN212" s="134"/>
      <c r="AO212" s="134"/>
      <c r="AP212" s="134"/>
      <c r="AQ212" s="134"/>
      <c r="AR212" s="134"/>
      <c r="AS212" s="134"/>
      <c r="AT212" s="134"/>
      <c r="AU212" s="134"/>
      <c r="AV212" s="134"/>
      <c r="AW212" s="134"/>
      <c r="AX212" s="134"/>
      <c r="AY212" s="134"/>
      <c r="AZ212" s="134"/>
      <c r="BA212" s="134"/>
      <c r="BB212" s="134" t="s">
        <v>2383</v>
      </c>
      <c r="BC212" s="134"/>
      <c r="BD212" s="134"/>
      <c r="BE212" s="134"/>
      <c r="BF212" s="134"/>
      <c r="BG212" s="134"/>
      <c r="BH212" s="134"/>
      <c r="BI212" s="134"/>
      <c r="BJ212" s="134"/>
      <c r="BK212" s="134"/>
      <c r="BL212" s="134"/>
      <c r="BM212" s="134"/>
      <c r="BN212" s="134"/>
      <c r="BO212" s="134"/>
      <c r="BP212" s="134"/>
      <c r="BQ212" s="134"/>
      <c r="BR212" s="134"/>
      <c r="BS212" s="134"/>
      <c r="BT212" s="134"/>
      <c r="BU212" s="134"/>
      <c r="BV212" s="134"/>
      <c r="BW212" s="131" t="str">
        <f t="shared" si="3"/>
        <v>PCarrossserie POLY-SIDE  GROSSE EQUIPEMENTFace avant et arrière pleines stratifiées bois polyester épaisseur 11 mm sur ossature en profilés aluminium bruts non peintsParois latérales constituées d’un rideau bâche fixé sur 4 cadres coulissants avec tendeur horizontal à chaque extrémité (RAL à définir)Plancher bois multipli tout bouleau antidérapant épaisseur 18 mm1 Plafonnier à LED sur face avantLisse de protection intérieure de face avant – tôle acier galvanisé de 3mm d’épaisseur – hauteur = 250mmButoirs caoutchouc en coins de caissePavillon plat autoportant sans poteaux intermédiaires semi opaque d’une seule pièce sur ossature en profilés aluminiumSoubassement acier galvanisé avec traverses rapprochées3 rangs de sangles de renfort à l’intérieur par côté</v>
      </c>
      <c r="CF212" s="125"/>
      <c r="CG212" s="125"/>
      <c r="CH212" s="125"/>
      <c r="CI212" s="125"/>
      <c r="CJ212" s="125"/>
      <c r="CK212" s="125"/>
      <c r="CL212" s="125"/>
      <c r="CM212" s="125"/>
      <c r="CN212" s="125"/>
      <c r="CO212" s="125"/>
      <c r="CP212" s="125"/>
      <c r="CQ212" s="125"/>
    </row>
    <row r="213" spans="1:116" ht="135" x14ac:dyDescent="0.25">
      <c r="A213" s="134" t="s">
        <v>3135</v>
      </c>
      <c r="B213" s="134" t="s">
        <v>32</v>
      </c>
      <c r="C213" s="138" t="s">
        <v>647</v>
      </c>
      <c r="D213" s="138" t="s">
        <v>674</v>
      </c>
      <c r="E213" s="138" t="s">
        <v>628</v>
      </c>
      <c r="F213" s="138" t="s">
        <v>650</v>
      </c>
      <c r="G213" s="138" t="s">
        <v>651</v>
      </c>
      <c r="H213" s="138" t="s">
        <v>631</v>
      </c>
      <c r="I213" s="138" t="s">
        <v>756</v>
      </c>
      <c r="J213" s="138"/>
      <c r="K213" s="138" t="s">
        <v>757</v>
      </c>
      <c r="L213" s="138" t="s">
        <v>758</v>
      </c>
      <c r="M213" s="138"/>
      <c r="N213" s="138" t="s">
        <v>759</v>
      </c>
      <c r="O213" s="138"/>
      <c r="P213" s="138" t="s">
        <v>762</v>
      </c>
      <c r="Q213" s="138" t="s">
        <v>760</v>
      </c>
      <c r="R213" s="138" t="s">
        <v>761</v>
      </c>
      <c r="S213" s="138"/>
      <c r="T213" s="138" t="s">
        <v>763</v>
      </c>
      <c r="U213" s="138" t="s">
        <v>425</v>
      </c>
      <c r="V213" s="138"/>
      <c r="W213" s="138"/>
      <c r="X213" s="138"/>
      <c r="Y213" s="138"/>
      <c r="Z213" s="138" t="s">
        <v>654</v>
      </c>
      <c r="AA213" s="138" t="s">
        <v>3026</v>
      </c>
      <c r="AB213" s="138" t="s">
        <v>635</v>
      </c>
      <c r="AC213" s="138" t="s">
        <v>636</v>
      </c>
      <c r="AD213" s="138"/>
      <c r="AE213" s="138"/>
      <c r="AF213" s="138" t="s">
        <v>765</v>
      </c>
      <c r="AG213" s="138"/>
      <c r="AH213" s="138"/>
      <c r="AI213" s="138" t="s">
        <v>764</v>
      </c>
      <c r="AJ213" s="138"/>
      <c r="AK213" s="138" t="s">
        <v>766</v>
      </c>
      <c r="AL213" s="138"/>
      <c r="AM213" s="138"/>
      <c r="AN213" s="138" t="s">
        <v>658</v>
      </c>
      <c r="AO213" s="138"/>
      <c r="AP213" s="138" t="s">
        <v>659</v>
      </c>
      <c r="AQ213" s="138"/>
      <c r="AR213" s="138" t="s">
        <v>640</v>
      </c>
      <c r="AS213" s="138"/>
      <c r="AT213" s="138"/>
      <c r="AU213" s="138"/>
      <c r="AV213" s="138"/>
      <c r="AW213" s="138" t="s">
        <v>681</v>
      </c>
      <c r="AX213" s="138"/>
      <c r="AY213" s="138"/>
      <c r="AZ213" s="138"/>
      <c r="BA213" s="138"/>
      <c r="BB213" s="138" t="s">
        <v>767</v>
      </c>
      <c r="BC213" s="138"/>
      <c r="BD213" s="138"/>
      <c r="BE213" s="138" t="s">
        <v>661</v>
      </c>
      <c r="BF213" s="138" t="s">
        <v>662</v>
      </c>
      <c r="BG213" s="138" t="s">
        <v>664</v>
      </c>
      <c r="BH213" s="138"/>
      <c r="BI213" s="138" t="s">
        <v>663</v>
      </c>
      <c r="BJ213" s="138"/>
      <c r="BK213" s="138"/>
      <c r="BL213" s="138"/>
      <c r="BM213" s="138"/>
      <c r="BN213" s="138"/>
      <c r="BO213" s="138"/>
      <c r="BP213" s="138"/>
      <c r="BQ213" s="138" t="s">
        <v>768</v>
      </c>
      <c r="BR213" s="138"/>
      <c r="BS213" s="138"/>
      <c r="BT213" s="138"/>
      <c r="BU213" s="138"/>
      <c r="BV213" s="138"/>
      <c r="BW213" s="131" t="str">
        <f t="shared" si="3"/>
        <v>PIsolation renforcée URBANCadre arrière 2 vantaux ouverture totale (porte droite prioritaire)1 crémone avec poignée sur chaque vantailFermeture centraliséeArrêts de portes arrière à 270° aimantés SimpleLockArrêts de portes arrière à 110°Déverrouillage interne porte arrière droiteRideau d'air arrière (Hauteur sous rideau d'air 1850 mm)Marchepied arrière basculant 2 marches en aluminiumPorte latérale battante double vantaux largeur 1000 mm à 100 mm de l'avant droit avec déverrouillage interne avec une sangle montoir à droite et à gauche fixée dans le champs de l'huisserieRideau d'air latéralEtrier latéral télescopique 2 marches avec buzzer en cabineArrêts de portes latérauxSans profil face avant aérodynamiqueDéflecteur de cabineFaux châssis RigidLink -AMENAGEMENTS : Revêtement extérieur et intérieur des parois en polyester blanc (RAL 9016)Cloison mobile légère relevable transversale (Hauteur sous cloisons 1794 mm)Protections bas de parois latérales, cloison et avant en aluminium hauteur 250 mm1 niveau de rail d'arrimage aluminium en applique sur 3 faces (sauf portes latérales) axé à 900 mm du plancher4 sangles d'arrimage à tension manuellePlancher renforcé avec résine grise antidérapante2 siphons d'évacuation d'eau2 plafonniers LED avec détecteur de présenceAiles plastiques avec bavettesPares cyclistes latéraux URBAN2 feux stop en haut de cadrePhares de travail en haut de cadre. Bandeau LED commandé à l'ouverture des portesTélématique SAMSARA pack PRO multitempératures</v>
      </c>
      <c r="CF213" s="125"/>
      <c r="CG213" s="125"/>
      <c r="CH213" s="125"/>
      <c r="CI213" s="125"/>
      <c r="CJ213" s="125"/>
      <c r="CK213" s="125"/>
      <c r="CL213" s="125"/>
      <c r="CM213" s="125"/>
      <c r="CN213" s="125"/>
      <c r="CO213" s="125"/>
      <c r="CP213" s="125"/>
      <c r="CQ213" s="125"/>
      <c r="CX213" s="125"/>
      <c r="CY213" s="125"/>
      <c r="CZ213" s="125"/>
      <c r="DA213" s="125"/>
      <c r="DB213" s="125"/>
      <c r="DC213" s="125"/>
      <c r="DD213" s="125"/>
      <c r="DE213" s="125"/>
      <c r="DF213" s="125"/>
      <c r="DG213" s="125"/>
      <c r="DH213" s="125"/>
      <c r="DI213" s="125"/>
    </row>
    <row r="214" spans="1:116" ht="33.75" hidden="1" outlineLevel="1" x14ac:dyDescent="0.25">
      <c r="A214" s="134" t="s">
        <v>3122</v>
      </c>
      <c r="B214" s="134" t="s">
        <v>424</v>
      </c>
      <c r="C214" s="134"/>
      <c r="D214" s="138"/>
      <c r="E214" s="138"/>
      <c r="F214" s="138"/>
      <c r="G214" s="138"/>
      <c r="H214" s="138"/>
      <c r="I214" s="138"/>
      <c r="J214" s="138" t="s">
        <v>2967</v>
      </c>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1" t="str">
        <f t="shared" si="3"/>
        <v>O1 niveau de rail d'arrimage aluminium supplémentaire en applique sur 3 faces axé à ..... mm du plancher (-14 kg CU)</v>
      </c>
      <c r="CF214" s="125"/>
      <c r="CG214" s="125"/>
      <c r="CH214" s="125"/>
      <c r="CI214" s="125"/>
      <c r="CJ214" s="125"/>
      <c r="CK214" s="125"/>
      <c r="CL214" s="125"/>
      <c r="CM214" s="125"/>
      <c r="CN214" s="125"/>
      <c r="CO214" s="125"/>
      <c r="CP214" s="125"/>
      <c r="CQ214" s="125"/>
    </row>
    <row r="215" spans="1:116" ht="146.25" hidden="1" outlineLevel="1" x14ac:dyDescent="0.25">
      <c r="A215" s="134" t="s">
        <v>3083</v>
      </c>
      <c r="B215" s="134" t="s">
        <v>32</v>
      </c>
      <c r="C215" s="138" t="s">
        <v>626</v>
      </c>
      <c r="D215" s="138" t="s">
        <v>769</v>
      </c>
      <c r="E215" s="138" t="s">
        <v>628</v>
      </c>
      <c r="F215" s="138" t="s">
        <v>629</v>
      </c>
      <c r="G215" s="138" t="s">
        <v>675</v>
      </c>
      <c r="H215" s="138" t="s">
        <v>631</v>
      </c>
      <c r="I215" s="138" t="s">
        <v>770</v>
      </c>
      <c r="J215" s="138"/>
      <c r="K215" s="138" t="s">
        <v>757</v>
      </c>
      <c r="L215" s="138"/>
      <c r="M215" s="138" t="s">
        <v>678</v>
      </c>
      <c r="N215" s="138" t="s">
        <v>759</v>
      </c>
      <c r="O215" s="138"/>
      <c r="P215" s="138"/>
      <c r="Q215" s="138" t="s">
        <v>760</v>
      </c>
      <c r="R215" s="138" t="s">
        <v>761</v>
      </c>
      <c r="S215" s="138"/>
      <c r="T215" s="138"/>
      <c r="U215" s="138"/>
      <c r="V215" s="138"/>
      <c r="W215" s="138"/>
      <c r="X215" s="138"/>
      <c r="Y215" s="138"/>
      <c r="Z215" s="138" t="s">
        <v>679</v>
      </c>
      <c r="AA215" s="138" t="s">
        <v>3026</v>
      </c>
      <c r="AB215" s="138" t="s">
        <v>635</v>
      </c>
      <c r="AC215" s="138" t="s">
        <v>636</v>
      </c>
      <c r="AD215" s="138"/>
      <c r="AE215" s="138" t="s">
        <v>771</v>
      </c>
      <c r="AF215" s="138"/>
      <c r="AG215" s="138"/>
      <c r="AH215" s="138" t="s">
        <v>772</v>
      </c>
      <c r="AI215" s="138" t="s">
        <v>670</v>
      </c>
      <c r="AJ215" s="138"/>
      <c r="AK215" s="138"/>
      <c r="AL215" s="138" t="s">
        <v>773</v>
      </c>
      <c r="AM215" s="138"/>
      <c r="AN215" s="138" t="s">
        <v>658</v>
      </c>
      <c r="AO215" s="138" t="s">
        <v>774</v>
      </c>
      <c r="AP215" s="138" t="s">
        <v>659</v>
      </c>
      <c r="AQ215" s="138"/>
      <c r="AR215" s="138" t="s">
        <v>775</v>
      </c>
      <c r="AS215" s="138"/>
      <c r="AT215" s="138"/>
      <c r="AU215" s="138"/>
      <c r="AV215" s="138"/>
      <c r="AW215" s="138" t="s">
        <v>776</v>
      </c>
      <c r="AX215" s="138"/>
      <c r="AY215" s="138"/>
      <c r="AZ215" s="138"/>
      <c r="BA215" s="138"/>
      <c r="BB215" s="138" t="s">
        <v>767</v>
      </c>
      <c r="BC215" s="138"/>
      <c r="BD215" s="138"/>
      <c r="BE215" s="138" t="s">
        <v>661</v>
      </c>
      <c r="BF215" s="138" t="s">
        <v>682</v>
      </c>
      <c r="BG215" s="138"/>
      <c r="BH215" s="138"/>
      <c r="BI215" s="138" t="s">
        <v>683</v>
      </c>
      <c r="BJ215" s="138"/>
      <c r="BK215" s="138"/>
      <c r="BL215" s="138"/>
      <c r="BM215" s="138"/>
      <c r="BN215" s="138"/>
      <c r="BO215" s="138"/>
      <c r="BP215" s="138"/>
      <c r="BQ215" s="138" t="s">
        <v>768</v>
      </c>
      <c r="BR215" s="138"/>
      <c r="BS215" s="138"/>
      <c r="BT215" s="138"/>
      <c r="BU215" s="138"/>
      <c r="BV215" s="138"/>
      <c r="BW215" s="131" t="str">
        <f t="shared" si="3"/>
        <v>PIsolation renforcée CFLCadre arrière 2 vantaux dissymétriques ouverture totale (sans priorité d'ouverture)1 crémone avec poignée sur chaque vantailFermeture manuelle à cléArrêts de portes arrière à ressort à 270°Arrêts de portes arrière à 110°Déverrouillage interne sur chaque porte arrièreRideau d'air arrière (Hauteur sous rideau d'air 1850 mm)Plaque acier galvanisée 150 mm x 150 mm sur paroi latérale à l'arrière droit pour télécommande filaire du hayonPorte latérale battante double vantaux largeur 1000 mm à 100 mm de l'avant droit avec déverrouillage interne avec une sangle montoir à droite et à gauche fixée dans le champs de l'huisserieEtrier latéral télescopique 2 marches avec buzzer en cabineArrêts de portes latérauxFaux châssis acier galvanisé -AMENAGEMENTS : Revêtement extérieur et intérieur des parois en polyester blanc (RAL 9016)Cloison longitudinale fixe sur toute la longueur positionnée à 850 mm de la paroi de droitePorte pivotante dans la cloison fixe largeur 880 mm et hauteur 2050 mm positionnée à 560 mm de l'arrièreProtections bas de parois latérales et avant en aluminium hauteur 450 mm (250 mm + 200 mm)1 niveau de rail d'arrimage acier galvanisé en applique sur parois latérales (sauf portes latérales) et cloison longitudinale axé à 900 mm du plancher4 sangles d'arrimage à tension manuelle2 poutres alu (1 dans chaque compartiment)Plancher renforcé avec résine grise antidérapante3 siphons d'évacuation d'eau3 plafonniers LED avec détecteur de présenceAiles plastiques avec bavettesPares cyclistes latérauxPhares de travail en haut de cadre (commandés à l'alimentation du hayon élévateur)Télématique SAMSARA pack PRO multitempératures</v>
      </c>
      <c r="CF215" s="125"/>
      <c r="CG215" s="125"/>
      <c r="CH215" s="125"/>
      <c r="CI215" s="125"/>
      <c r="CJ215" s="125"/>
      <c r="CK215" s="125"/>
      <c r="CL215" s="125"/>
      <c r="CM215" s="125"/>
      <c r="CN215" s="125"/>
      <c r="CO215" s="125"/>
      <c r="CP215" s="125"/>
      <c r="CQ215" s="125"/>
      <c r="CX215" s="125"/>
      <c r="CY215" s="125"/>
      <c r="CZ215" s="125"/>
      <c r="DA215" s="125"/>
      <c r="DB215" s="125"/>
      <c r="DC215" s="125"/>
      <c r="DD215" s="125"/>
      <c r="DE215" s="125"/>
      <c r="DF215" s="125"/>
      <c r="DG215" s="125"/>
      <c r="DH215" s="125"/>
      <c r="DI215" s="125"/>
      <c r="DJ215" s="125"/>
      <c r="DK215" s="125"/>
      <c r="DL215" s="125"/>
    </row>
    <row r="216" spans="1:116" ht="45" hidden="1" outlineLevel="1" x14ac:dyDescent="0.25">
      <c r="A216" s="134" t="s">
        <v>3085</v>
      </c>
      <c r="B216" s="134" t="s">
        <v>424</v>
      </c>
      <c r="C216" s="134"/>
      <c r="D216" s="138"/>
      <c r="E216" s="138"/>
      <c r="F216" s="138"/>
      <c r="G216" s="138"/>
      <c r="H216" s="138"/>
      <c r="I216" s="138"/>
      <c r="J216" s="138" t="s">
        <v>777</v>
      </c>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1" t="str">
        <f t="shared" si="3"/>
        <v>O1 niveau de rail d'arrimage acier galvanisé supplémentaire en applique sur parois latérales et cloison axé à ..... mm du plancher (- 46 kg CU)</v>
      </c>
      <c r="CF216" s="125"/>
      <c r="CG216" s="125"/>
      <c r="CH216" s="125"/>
      <c r="CI216" s="125"/>
      <c r="CJ216" s="125"/>
      <c r="CK216" s="125"/>
      <c r="CL216" s="125"/>
      <c r="CM216" s="125"/>
      <c r="CN216" s="125"/>
      <c r="CO216" s="125"/>
      <c r="CP216" s="125"/>
      <c r="CQ216" s="125"/>
    </row>
    <row r="217" spans="1:116" ht="247.5" hidden="1" outlineLevel="1" x14ac:dyDescent="0.25">
      <c r="A217" s="131" t="s">
        <v>3146</v>
      </c>
      <c r="B217" s="134" t="s">
        <v>32</v>
      </c>
      <c r="C217" s="138" t="s">
        <v>693</v>
      </c>
      <c r="D217" s="138" t="s">
        <v>778</v>
      </c>
      <c r="E217" s="138" t="s">
        <v>628</v>
      </c>
      <c r="F217" s="138"/>
      <c r="G217" s="138" t="s">
        <v>696</v>
      </c>
      <c r="H217" s="138" t="s">
        <v>631</v>
      </c>
      <c r="I217" s="138" t="s">
        <v>780</v>
      </c>
      <c r="J217" s="138" t="s">
        <v>698</v>
      </c>
      <c r="K217" s="138" t="s">
        <v>779</v>
      </c>
      <c r="L217" s="138" t="s">
        <v>695</v>
      </c>
      <c r="M217" s="138" t="s">
        <v>678</v>
      </c>
      <c r="N217" s="138" t="s">
        <v>781</v>
      </c>
      <c r="O217" s="138" t="s">
        <v>782</v>
      </c>
      <c r="P217" s="138" t="s">
        <v>783</v>
      </c>
      <c r="Q217" s="138" t="s">
        <v>784</v>
      </c>
      <c r="R217" s="138" t="s">
        <v>761</v>
      </c>
      <c r="S217" s="138" t="s">
        <v>785</v>
      </c>
      <c r="T217" s="138"/>
      <c r="U217" s="138"/>
      <c r="V217" s="138"/>
      <c r="W217" s="138"/>
      <c r="X217" s="138"/>
      <c r="Y217" s="138"/>
      <c r="Z217" s="138"/>
      <c r="AA217" s="138" t="s">
        <v>3026</v>
      </c>
      <c r="AB217" s="138" t="s">
        <v>635</v>
      </c>
      <c r="AC217" s="138" t="s">
        <v>636</v>
      </c>
      <c r="AD217" s="138"/>
      <c r="AE217" s="138" t="s">
        <v>786</v>
      </c>
      <c r="AF217" s="138" t="s">
        <v>787</v>
      </c>
      <c r="AG217" s="138" t="s">
        <v>788</v>
      </c>
      <c r="AH217" s="138"/>
      <c r="AI217" s="138" t="s">
        <v>789</v>
      </c>
      <c r="AJ217" s="138"/>
      <c r="AK217" s="138" t="s">
        <v>790</v>
      </c>
      <c r="AL217" s="138" t="s">
        <v>791</v>
      </c>
      <c r="AM217" s="138"/>
      <c r="AN217" s="138" t="s">
        <v>658</v>
      </c>
      <c r="AO217" s="138" t="s">
        <v>774</v>
      </c>
      <c r="AP217" s="138" t="s">
        <v>659</v>
      </c>
      <c r="AQ217" s="138" t="s">
        <v>792</v>
      </c>
      <c r="AR217" s="138" t="s">
        <v>701</v>
      </c>
      <c r="AS217" s="138"/>
      <c r="AT217" s="138"/>
      <c r="AU217" s="138"/>
      <c r="AV217" s="138"/>
      <c r="AW217" s="138" t="s">
        <v>793</v>
      </c>
      <c r="AX217" s="138" t="s">
        <v>702</v>
      </c>
      <c r="AY217" s="138" t="s">
        <v>703</v>
      </c>
      <c r="AZ217" s="138" t="s">
        <v>704</v>
      </c>
      <c r="BA217" s="138" t="s">
        <v>705</v>
      </c>
      <c r="BB217" s="138" t="s">
        <v>767</v>
      </c>
      <c r="BC217" s="138"/>
      <c r="BD217" s="138" t="s">
        <v>706</v>
      </c>
      <c r="BE217" s="138" t="s">
        <v>661</v>
      </c>
      <c r="BF217" s="138" t="s">
        <v>707</v>
      </c>
      <c r="BG217" s="138"/>
      <c r="BH217" s="138" t="s">
        <v>691</v>
      </c>
      <c r="BI217" s="138" t="s">
        <v>683</v>
      </c>
      <c r="BJ217" s="138" t="s">
        <v>708</v>
      </c>
      <c r="BK217" s="138"/>
      <c r="BL217" s="138"/>
      <c r="BM217" s="138"/>
      <c r="BN217" s="138"/>
      <c r="BO217" s="138"/>
      <c r="BP217" s="138"/>
      <c r="BQ217" s="138" t="s">
        <v>768</v>
      </c>
      <c r="BR217" s="138"/>
      <c r="BS217" s="138"/>
      <c r="BT217" s="138"/>
      <c r="BU217" s="138"/>
      <c r="BV217" s="138"/>
      <c r="BW217" s="131" t="str">
        <f t="shared" si="3"/>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deverrouillage internePorte latérale battante double vantaux largeur 1000 mm à 135 mm de l'avant gauche avec deverrouillage interneRideaux d'air portes latéralesEtriers latéraux télescopiques 3 marches avec buzzer en cabineArrêts de portes latérauxSangles montoire  à chaque porte latérale fixée dans le champs de l'huisserie côté droit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mm)3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17" s="125"/>
      <c r="CG217" s="125"/>
      <c r="CH217" s="125"/>
      <c r="CI217" s="125"/>
      <c r="CJ217" s="125"/>
      <c r="CK217" s="125"/>
      <c r="CL217" s="125"/>
      <c r="CM217" s="125"/>
      <c r="CN217" s="125"/>
      <c r="CO217" s="125"/>
      <c r="CP217" s="125"/>
      <c r="CQ217" s="125"/>
      <c r="CX217" s="125"/>
      <c r="CY217" s="125"/>
      <c r="CZ217" s="125"/>
    </row>
    <row r="218" spans="1:116" ht="90" hidden="1" outlineLevel="1" x14ac:dyDescent="0.25">
      <c r="A218" s="131" t="s">
        <v>3094</v>
      </c>
      <c r="B218" s="134" t="s">
        <v>424</v>
      </c>
      <c r="C218" s="134"/>
      <c r="D218" s="138" t="s">
        <v>794</v>
      </c>
      <c r="E218" s="138"/>
      <c r="F218" s="138" t="s">
        <v>2983</v>
      </c>
      <c r="G218" s="138"/>
      <c r="H218" s="138"/>
      <c r="I218" s="138"/>
      <c r="J218" s="138" t="s">
        <v>3077</v>
      </c>
      <c r="K218" s="196"/>
      <c r="L218" s="138"/>
      <c r="M218" s="138"/>
      <c r="N218" s="138" t="s">
        <v>795</v>
      </c>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1" t="str">
        <f t="shared" si="3"/>
        <v>OCadre arrière 2 vantaux (+24 kg CU)Label PIEK global. Largeur utile sur plinthe 816 mm dans le compartiment gauche et 1625 mm dans le compartiment droit (Caisse / groupe SUPRA 1250 City / hayon (-238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(-55 kg CU)Phares de travail en haut de cadre (commandés par la porte arrière centrale)</v>
      </c>
      <c r="CF218" s="125"/>
      <c r="CG218" s="125"/>
      <c r="CH218" s="125"/>
      <c r="CI218" s="125"/>
      <c r="CJ218" s="125"/>
      <c r="CK218" s="125"/>
      <c r="CL218" s="125"/>
      <c r="CM218" s="125"/>
      <c r="CN218" s="125"/>
      <c r="CO218" s="125"/>
      <c r="CP218" s="125"/>
      <c r="CQ218" s="125"/>
    </row>
    <row r="219" spans="1:116" ht="247.5" hidden="1" outlineLevel="1" x14ac:dyDescent="0.25">
      <c r="A219" s="131" t="s">
        <v>3177</v>
      </c>
      <c r="B219" s="134" t="s">
        <v>32</v>
      </c>
      <c r="C219" s="138" t="s">
        <v>693</v>
      </c>
      <c r="D219" s="138" t="s">
        <v>778</v>
      </c>
      <c r="E219" s="138" t="s">
        <v>628</v>
      </c>
      <c r="F219" s="138"/>
      <c r="G219" s="138" t="s">
        <v>696</v>
      </c>
      <c r="H219" s="138" t="s">
        <v>631</v>
      </c>
      <c r="I219" s="138" t="s">
        <v>780</v>
      </c>
      <c r="J219" s="138" t="s">
        <v>698</v>
      </c>
      <c r="K219" s="138" t="s">
        <v>779</v>
      </c>
      <c r="L219" s="138" t="s">
        <v>695</v>
      </c>
      <c r="M219" s="138" t="s">
        <v>678</v>
      </c>
      <c r="N219" s="138" t="s">
        <v>879</v>
      </c>
      <c r="O219" s="138" t="s">
        <v>880</v>
      </c>
      <c r="P219" s="138" t="s">
        <v>783</v>
      </c>
      <c r="Q219" s="138" t="s">
        <v>784</v>
      </c>
      <c r="R219" s="138" t="s">
        <v>761</v>
      </c>
      <c r="S219" s="138"/>
      <c r="T219" s="138"/>
      <c r="U219" s="138"/>
      <c r="V219" s="138"/>
      <c r="W219" s="138"/>
      <c r="X219" s="138"/>
      <c r="Y219" s="138"/>
      <c r="Z219" s="138"/>
      <c r="AA219" s="138" t="s">
        <v>3026</v>
      </c>
      <c r="AB219" s="138" t="s">
        <v>635</v>
      </c>
      <c r="AC219" s="138" t="s">
        <v>636</v>
      </c>
      <c r="AD219" s="138"/>
      <c r="AE219" s="138" t="s">
        <v>786</v>
      </c>
      <c r="AF219" s="138" t="s">
        <v>787</v>
      </c>
      <c r="AG219" s="138" t="s">
        <v>796</v>
      </c>
      <c r="AH219" s="138"/>
      <c r="AI219" s="138" t="s">
        <v>789</v>
      </c>
      <c r="AJ219" s="138"/>
      <c r="AK219" s="138" t="s">
        <v>790</v>
      </c>
      <c r="AL219" s="138" t="s">
        <v>791</v>
      </c>
      <c r="AM219" s="138"/>
      <c r="AN219" s="138" t="s">
        <v>658</v>
      </c>
      <c r="AO219" s="138" t="s">
        <v>774</v>
      </c>
      <c r="AP219" s="138" t="s">
        <v>659</v>
      </c>
      <c r="AQ219" s="138" t="s">
        <v>792</v>
      </c>
      <c r="AR219" s="138" t="s">
        <v>701</v>
      </c>
      <c r="AS219" s="138"/>
      <c r="AT219" s="138"/>
      <c r="AU219" s="138"/>
      <c r="AV219" s="138"/>
      <c r="AW219" s="138" t="s">
        <v>793</v>
      </c>
      <c r="AX219" s="138" t="s">
        <v>702</v>
      </c>
      <c r="AY219" s="138" t="s">
        <v>703</v>
      </c>
      <c r="AZ219" s="138" t="s">
        <v>704</v>
      </c>
      <c r="BA219" s="138" t="s">
        <v>705</v>
      </c>
      <c r="BB219" s="138" t="s">
        <v>767</v>
      </c>
      <c r="BC219" s="138"/>
      <c r="BD219" s="138" t="s">
        <v>706</v>
      </c>
      <c r="BE219" s="138" t="s">
        <v>661</v>
      </c>
      <c r="BF219" s="138" t="s">
        <v>707</v>
      </c>
      <c r="BG219" s="138"/>
      <c r="BH219" s="138" t="s">
        <v>691</v>
      </c>
      <c r="BI219" s="138" t="s">
        <v>683</v>
      </c>
      <c r="BJ219" s="138" t="s">
        <v>708</v>
      </c>
      <c r="BK219" s="138"/>
      <c r="BL219" s="138"/>
      <c r="BM219" s="138"/>
      <c r="BN219" s="138"/>
      <c r="BO219" s="138"/>
      <c r="BP219" s="138"/>
      <c r="BQ219" s="138" t="s">
        <v>768</v>
      </c>
      <c r="BR219" s="138"/>
      <c r="BS219" s="138"/>
      <c r="BT219" s="138"/>
      <c r="BU219" s="138"/>
      <c r="BV219" s="138"/>
      <c r="BW219" s="131" t="str">
        <f>CONCATENATE(B219,C219,D219,E219,F219,G219,H219,I219,J219,K219,L219,M219,N219,O219,P219,Q219,R219,S219,T219,U219,V219,W219,X219,Y219,Z219,AA219,AB219,AC219,AD219,AE219,AF219,AG219,AH219,AI219,AJ219,AK219,AL219,AM219,AN219,AO219,AP219,AQ219,AR219,AS219,AT219,AU219,AV219,AW219,AX219,AY219,AZ219,BA219,BC219,BD219,BE219,BF219,BG219,BH219,BI219,BJ219,BK219,BL219,BM219,BN219,BO219,BP219,BQ219,BR219,BS219,BT219,BU219,BV219,)</f>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mm)4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19" s="125"/>
      <c r="CG219" s="125"/>
      <c r="CH219" s="125"/>
      <c r="CI219" s="125"/>
      <c r="CJ219" s="125"/>
      <c r="CK219" s="125"/>
      <c r="CL219" s="125"/>
      <c r="CM219" s="125"/>
      <c r="CN219" s="125"/>
      <c r="CO219" s="125"/>
      <c r="CP219" s="125"/>
      <c r="CQ219" s="125"/>
      <c r="CX219" s="125"/>
      <c r="CY219" s="125"/>
      <c r="CZ219" s="125"/>
    </row>
    <row r="220" spans="1:116" ht="90" hidden="1" outlineLevel="1" x14ac:dyDescent="0.25">
      <c r="A220" s="131" t="s">
        <v>3147</v>
      </c>
      <c r="B220" s="134" t="s">
        <v>424</v>
      </c>
      <c r="C220" s="134"/>
      <c r="D220" s="138" t="s">
        <v>794</v>
      </c>
      <c r="E220" s="138"/>
      <c r="F220" s="138" t="s">
        <v>2970</v>
      </c>
      <c r="G220" s="138"/>
      <c r="H220" s="138"/>
      <c r="I220" s="138"/>
      <c r="J220" s="138" t="s">
        <v>881</v>
      </c>
      <c r="K220" s="138"/>
      <c r="L220" s="138"/>
      <c r="M220" s="138"/>
      <c r="N220" s="138" t="s">
        <v>795</v>
      </c>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1" t="str">
        <f t="shared" si="3"/>
        <v>OCadre arrière 2 vantaux (+24 kg CU)Label PIEK global. Largeur utile sur plinthe 816 mm dans le compartiment gauche et 1625 mm dans le compartiment droit (Caisse / groupe SUPRA 1250 City / hayon (-249 kg CU))1 niveau de rail d'arrimage encastré supplémentaire. Côté gauche 1er niveau axé à ….. mm du plancher et 2ème niveau axé à ….. mm du plancher. Côté droit 1er niveau axé à …...mm du plancher et 2ème niveau axé à ….. mm du plancher. Face avant en applique 1er niveau axé à ..... mm du plancher et 2ème niveau axé à ..... mm du plancher (-65 kg CU)Phares de travail en haut de cadre (commandés par la porte arrière centrale)</v>
      </c>
      <c r="CF220" s="125"/>
      <c r="CG220" s="125"/>
      <c r="CH220" s="125"/>
      <c r="CI220" s="125"/>
      <c r="CJ220" s="125"/>
      <c r="CK220" s="125"/>
      <c r="CL220" s="125"/>
      <c r="CM220" s="125"/>
      <c r="CN220" s="125"/>
      <c r="CO220" s="125"/>
      <c r="CP220" s="125"/>
      <c r="CQ220" s="125"/>
    </row>
    <row r="221" spans="1:116" ht="236.25" hidden="1" outlineLevel="1" x14ac:dyDescent="0.25">
      <c r="A221" s="131" t="s">
        <v>3175</v>
      </c>
      <c r="B221" s="134" t="s">
        <v>32</v>
      </c>
      <c r="C221" s="138" t="s">
        <v>693</v>
      </c>
      <c r="D221" s="138" t="s">
        <v>797</v>
      </c>
      <c r="E221" s="138"/>
      <c r="F221" s="138" t="s">
        <v>798</v>
      </c>
      <c r="G221" s="138"/>
      <c r="H221" s="138"/>
      <c r="I221" s="138" t="s">
        <v>799</v>
      </c>
      <c r="J221" s="138"/>
      <c r="K221" s="138" t="s">
        <v>779</v>
      </c>
      <c r="L221" s="138" t="s">
        <v>695</v>
      </c>
      <c r="M221" s="138" t="s">
        <v>678</v>
      </c>
      <c r="N221" s="138" t="s">
        <v>879</v>
      </c>
      <c r="O221" s="138" t="s">
        <v>880</v>
      </c>
      <c r="P221" s="138" t="s">
        <v>783</v>
      </c>
      <c r="Q221" s="138" t="s">
        <v>784</v>
      </c>
      <c r="R221" s="138" t="s">
        <v>761</v>
      </c>
      <c r="S221" s="138"/>
      <c r="T221" s="138"/>
      <c r="U221" s="138"/>
      <c r="V221" s="138"/>
      <c r="W221" s="138"/>
      <c r="X221" s="138"/>
      <c r="Y221" s="138"/>
      <c r="Z221" s="138"/>
      <c r="AA221" s="138" t="s">
        <v>3026</v>
      </c>
      <c r="AB221" s="138" t="s">
        <v>635</v>
      </c>
      <c r="AC221" s="138" t="s">
        <v>636</v>
      </c>
      <c r="AD221" s="138"/>
      <c r="AE221" s="138" t="s">
        <v>786</v>
      </c>
      <c r="AF221" s="138" t="s">
        <v>787</v>
      </c>
      <c r="AG221" s="138" t="s">
        <v>796</v>
      </c>
      <c r="AH221" s="138"/>
      <c r="AI221" s="138" t="s">
        <v>789</v>
      </c>
      <c r="AJ221" s="138"/>
      <c r="AK221" s="138" t="s">
        <v>790</v>
      </c>
      <c r="AL221" s="138" t="s">
        <v>791</v>
      </c>
      <c r="AM221" s="138"/>
      <c r="AN221" s="138" t="s">
        <v>658</v>
      </c>
      <c r="AO221" s="138" t="s">
        <v>774</v>
      </c>
      <c r="AP221" s="138" t="s">
        <v>659</v>
      </c>
      <c r="AQ221" s="138" t="s">
        <v>792</v>
      </c>
      <c r="AR221" s="138" t="s">
        <v>701</v>
      </c>
      <c r="AS221" s="138"/>
      <c r="AT221" s="138"/>
      <c r="AU221" s="138"/>
      <c r="AV221" s="138"/>
      <c r="AW221" s="138" t="s">
        <v>793</v>
      </c>
      <c r="AX221" s="138" t="s">
        <v>702</v>
      </c>
      <c r="AY221" s="138" t="s">
        <v>703</v>
      </c>
      <c r="AZ221" s="138" t="s">
        <v>704</v>
      </c>
      <c r="BA221" s="138" t="s">
        <v>705</v>
      </c>
      <c r="BB221" s="138" t="s">
        <v>767</v>
      </c>
      <c r="BC221" s="138"/>
      <c r="BD221" s="138" t="s">
        <v>706</v>
      </c>
      <c r="BE221" s="138" t="s">
        <v>661</v>
      </c>
      <c r="BF221" s="138" t="s">
        <v>707</v>
      </c>
      <c r="BG221" s="138"/>
      <c r="BH221" s="138" t="s">
        <v>691</v>
      </c>
      <c r="BI221" s="138" t="s">
        <v>683</v>
      </c>
      <c r="BJ221" s="138" t="s">
        <v>708</v>
      </c>
      <c r="BK221" s="138"/>
      <c r="BL221" s="138"/>
      <c r="BM221" s="138"/>
      <c r="BN221" s="138"/>
      <c r="BO221" s="138"/>
      <c r="BP221" s="138"/>
      <c r="BQ221" s="138" t="s">
        <v>768</v>
      </c>
      <c r="BR221" s="138"/>
      <c r="BS221" s="138"/>
      <c r="BT221" s="138"/>
      <c r="BU221" s="138"/>
      <c r="BV221" s="138"/>
      <c r="BW221" s="131" t="str">
        <f t="shared" ref="BW221" si="4">CONCATENATE(B221,C221,D221,E221,F221,G221,H221,I221,J221,K221,L221,M221,N221,O221,P221,Q221,R221,S221,T221,U221,V221,W221,X221,Y221,Z221,AA221,AB221,AC221,AD221,AE221,AF221,AG221,AH221,AI221,AJ221,AK221,AL221,AM221,AN221,AO221,AP221,AQ221,AR221,AS221,AT221,AU221,AV221,AW221,AX221,AY221,AZ221,BA221,BC221,BD221,BE221,BF221,BG221,BH221,BI221,BJ221,BK221,BL221,BM221,BN221,BO221,BP221,BQ221,BR221,BS221,BT221,BU221,BV221,)</f>
        <v>PIsolation renforcéeCadre arrière rideau isotherme relevable Easy Acc'AirCondamnation extérieure manuelle à clé côté droit / Sangle intérieure de préhensionDéverrouillage interne de sécurité par décompression (sur paroi à l'arrière droit)Rideau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mm)4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21" s="125"/>
      <c r="CG221" s="125"/>
      <c r="CH221" s="125"/>
      <c r="CI221" s="125"/>
      <c r="CJ221" s="125"/>
      <c r="CK221" s="125"/>
      <c r="CL221" s="125"/>
      <c r="CM221" s="125"/>
      <c r="CN221" s="125"/>
      <c r="CO221" s="125"/>
      <c r="CP221" s="125"/>
      <c r="CQ221" s="125"/>
      <c r="CX221" s="125"/>
      <c r="CY221" s="125"/>
      <c r="CZ221" s="125"/>
    </row>
    <row r="222" spans="1:116" ht="191.25" hidden="1" outlineLevel="1" x14ac:dyDescent="0.25">
      <c r="A222" s="131" t="s">
        <v>3176</v>
      </c>
      <c r="B222" s="134" t="s">
        <v>32</v>
      </c>
      <c r="C222" s="138" t="s">
        <v>693</v>
      </c>
      <c r="D222" s="138" t="s">
        <v>797</v>
      </c>
      <c r="E222" s="138"/>
      <c r="F222" s="138" t="s">
        <v>798</v>
      </c>
      <c r="G222" s="138"/>
      <c r="H222" s="138"/>
      <c r="I222" s="138" t="s">
        <v>799</v>
      </c>
      <c r="J222" s="138"/>
      <c r="K222" s="138" t="s">
        <v>779</v>
      </c>
      <c r="L222" s="138" t="s">
        <v>695</v>
      </c>
      <c r="M222" s="138" t="s">
        <v>678</v>
      </c>
      <c r="N222" s="138" t="s">
        <v>879</v>
      </c>
      <c r="O222" s="138" t="s">
        <v>880</v>
      </c>
      <c r="P222" s="138" t="s">
        <v>783</v>
      </c>
      <c r="Q222" s="138" t="s">
        <v>784</v>
      </c>
      <c r="R222" s="138" t="s">
        <v>761</v>
      </c>
      <c r="S222" s="138"/>
      <c r="T222" s="138"/>
      <c r="U222" s="138"/>
      <c r="V222" s="138"/>
      <c r="W222" s="138"/>
      <c r="X222" s="138"/>
      <c r="Y222" s="138"/>
      <c r="Z222" s="138"/>
      <c r="AA222" s="138" t="s">
        <v>3026</v>
      </c>
      <c r="AB222" s="138" t="s">
        <v>635</v>
      </c>
      <c r="AC222" s="138" t="s">
        <v>636</v>
      </c>
      <c r="AD222" s="138"/>
      <c r="AE222" s="138" t="s">
        <v>786</v>
      </c>
      <c r="AF222" s="138" t="s">
        <v>787</v>
      </c>
      <c r="AG222" s="138" t="s">
        <v>801</v>
      </c>
      <c r="AH222" s="138"/>
      <c r="AI222" s="138"/>
      <c r="AJ222" s="138"/>
      <c r="AK222" s="138"/>
      <c r="AL222" s="138"/>
      <c r="AM222" s="138"/>
      <c r="AN222" s="138"/>
      <c r="AO222" s="138"/>
      <c r="AP222" s="138" t="s">
        <v>659</v>
      </c>
      <c r="AQ222" s="138" t="s">
        <v>792</v>
      </c>
      <c r="AR222" s="138" t="s">
        <v>701</v>
      </c>
      <c r="AS222" s="138"/>
      <c r="AT222" s="138"/>
      <c r="AU222" s="138"/>
      <c r="AV222" s="138"/>
      <c r="AW222" s="138" t="s">
        <v>793</v>
      </c>
      <c r="AX222" s="138" t="s">
        <v>702</v>
      </c>
      <c r="AY222" s="138" t="s">
        <v>703</v>
      </c>
      <c r="AZ222" s="138" t="s">
        <v>704</v>
      </c>
      <c r="BA222" s="138" t="s">
        <v>705</v>
      </c>
      <c r="BB222" s="138" t="s">
        <v>767</v>
      </c>
      <c r="BC222" s="138"/>
      <c r="BD222" s="138" t="s">
        <v>706</v>
      </c>
      <c r="BE222" s="138" t="s">
        <v>661</v>
      </c>
      <c r="BF222" s="138" t="s">
        <v>707</v>
      </c>
      <c r="BG222" s="138"/>
      <c r="BH222" s="138" t="s">
        <v>691</v>
      </c>
      <c r="BI222" s="138" t="s">
        <v>683</v>
      </c>
      <c r="BJ222" s="138" t="s">
        <v>708</v>
      </c>
      <c r="BK222" s="138"/>
      <c r="BL222" s="138"/>
      <c r="BM222" s="138"/>
      <c r="BN222" s="138"/>
      <c r="BO222" s="138"/>
      <c r="BP222" s="138"/>
      <c r="BQ222" s="138" t="s">
        <v>768</v>
      </c>
      <c r="BR222" s="138"/>
      <c r="BS222" s="138"/>
      <c r="BT222" s="138"/>
      <c r="BU222" s="138"/>
      <c r="BV222" s="138"/>
      <c r="BW222" s="131" t="str">
        <f t="shared" si="3"/>
        <v>PIsolation renforcéeCadre arrière rideau isotherme relevable Easy Acc'AirCondamnation extérieure manuelle à clé côté droit / Sangle intérieure de préhensionDéverrouillage interne de sécurité par décompression (sur paroi à l'arrière droit)Rideau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mm)5 palettes maxi en longueur dans le compartiment de gauchePlancher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22" s="125"/>
      <c r="CG222" s="125"/>
      <c r="CH222" s="125"/>
      <c r="CI222" s="125"/>
      <c r="CJ222" s="125"/>
      <c r="CK222" s="125"/>
      <c r="CL222" s="125"/>
      <c r="CM222" s="125"/>
      <c r="CN222" s="125"/>
      <c r="CO222" s="125"/>
      <c r="CP222" s="125"/>
      <c r="CQ222" s="125"/>
      <c r="CX222" s="125"/>
      <c r="CY222" s="125"/>
      <c r="CZ222" s="125"/>
    </row>
    <row r="223" spans="1:116" ht="90" hidden="1" outlineLevel="1" x14ac:dyDescent="0.25">
      <c r="A223" s="131" t="s">
        <v>3103</v>
      </c>
      <c r="B223" s="134" t="s">
        <v>424</v>
      </c>
      <c r="C223" s="134"/>
      <c r="D223" s="138"/>
      <c r="E223" s="138"/>
      <c r="F223" s="138" t="s">
        <v>2985</v>
      </c>
      <c r="G223" s="138"/>
      <c r="H223" s="138"/>
      <c r="I223" s="138"/>
      <c r="J223" s="138" t="s">
        <v>3075</v>
      </c>
      <c r="K223" s="138"/>
      <c r="L223" s="138"/>
      <c r="M223" s="138" t="s">
        <v>800</v>
      </c>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1" t="str">
        <f t="shared" si="3"/>
        <v>OLabel PIEK global. Largeur utile sur plinthe 816 mm dans le compartiment gauche et 1625 mm dans le compartiment droit (Caisse / groupe SUPRA 1250 City / hayon (-253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(-69 kg CU)Phares de travail en haut de cadre (commandés par le rideau Easy Acc'Air)</v>
      </c>
      <c r="CF223" s="125"/>
      <c r="CG223" s="125"/>
      <c r="CH223" s="125"/>
      <c r="CI223" s="125"/>
      <c r="CJ223" s="125"/>
      <c r="CK223" s="125"/>
      <c r="CL223" s="125"/>
      <c r="CM223" s="125"/>
      <c r="CN223" s="125"/>
      <c r="CO223" s="125"/>
      <c r="CP223" s="125"/>
      <c r="CQ223" s="125"/>
    </row>
    <row r="224" spans="1:116" ht="247.5" hidden="1" outlineLevel="1" x14ac:dyDescent="0.25">
      <c r="A224" s="131" t="s">
        <v>3178</v>
      </c>
      <c r="B224" s="134" t="s">
        <v>32</v>
      </c>
      <c r="C224" s="138" t="s">
        <v>693</v>
      </c>
      <c r="D224" s="138" t="s">
        <v>778</v>
      </c>
      <c r="E224" s="138" t="s">
        <v>628</v>
      </c>
      <c r="F224" s="138"/>
      <c r="G224" s="138" t="s">
        <v>696</v>
      </c>
      <c r="H224" s="138" t="s">
        <v>631</v>
      </c>
      <c r="I224" s="138" t="s">
        <v>780</v>
      </c>
      <c r="J224" s="138" t="s">
        <v>698</v>
      </c>
      <c r="K224" s="138" t="s">
        <v>779</v>
      </c>
      <c r="L224" s="138" t="s">
        <v>695</v>
      </c>
      <c r="M224" s="138" t="s">
        <v>678</v>
      </c>
      <c r="N224" s="138" t="s">
        <v>879</v>
      </c>
      <c r="O224" s="138" t="s">
        <v>880</v>
      </c>
      <c r="P224" s="138" t="s">
        <v>783</v>
      </c>
      <c r="Q224" s="138" t="s">
        <v>784</v>
      </c>
      <c r="R224" s="138" t="s">
        <v>761</v>
      </c>
      <c r="S224" s="138"/>
      <c r="T224" s="138"/>
      <c r="U224" s="138"/>
      <c r="V224" s="138"/>
      <c r="W224" s="138"/>
      <c r="X224" s="138"/>
      <c r="Y224" s="138"/>
      <c r="Z224" s="138"/>
      <c r="AA224" s="138" t="s">
        <v>3026</v>
      </c>
      <c r="AB224" s="138" t="s">
        <v>635</v>
      </c>
      <c r="AC224" s="138" t="s">
        <v>636</v>
      </c>
      <c r="AD224" s="138"/>
      <c r="AE224" s="138" t="s">
        <v>786</v>
      </c>
      <c r="AF224" s="138" t="s">
        <v>787</v>
      </c>
      <c r="AG224" s="138" t="s">
        <v>801</v>
      </c>
      <c r="AI224" s="138" t="s">
        <v>789</v>
      </c>
      <c r="AJ224" s="138"/>
      <c r="AK224" s="138" t="s">
        <v>790</v>
      </c>
      <c r="AL224" s="138" t="s">
        <v>791</v>
      </c>
      <c r="AM224" s="138"/>
      <c r="AN224" s="138" t="s">
        <v>658</v>
      </c>
      <c r="AO224" s="138" t="s">
        <v>774</v>
      </c>
      <c r="AP224" s="138" t="s">
        <v>659</v>
      </c>
      <c r="AQ224" s="138" t="s">
        <v>792</v>
      </c>
      <c r="AR224" s="138" t="s">
        <v>701</v>
      </c>
      <c r="AS224" s="138"/>
      <c r="AT224" s="138"/>
      <c r="AU224" s="138"/>
      <c r="AV224" s="138"/>
      <c r="AW224" s="138" t="s">
        <v>793</v>
      </c>
      <c r="AX224" s="138" t="s">
        <v>702</v>
      </c>
      <c r="AY224" s="138" t="s">
        <v>703</v>
      </c>
      <c r="AZ224" s="138" t="s">
        <v>704</v>
      </c>
      <c r="BA224" s="138" t="s">
        <v>705</v>
      </c>
      <c r="BB224" s="138" t="s">
        <v>767</v>
      </c>
      <c r="BC224" s="138"/>
      <c r="BD224" s="138" t="s">
        <v>706</v>
      </c>
      <c r="BE224" s="138" t="s">
        <v>661</v>
      </c>
      <c r="BF224" s="138" t="s">
        <v>707</v>
      </c>
      <c r="BG224" s="138"/>
      <c r="BH224" s="138" t="s">
        <v>691</v>
      </c>
      <c r="BI224" s="138" t="s">
        <v>683</v>
      </c>
      <c r="BJ224" s="138" t="s">
        <v>708</v>
      </c>
      <c r="BK224" s="138"/>
      <c r="BL224" s="138"/>
      <c r="BM224" s="138"/>
      <c r="BN224" s="138"/>
      <c r="BO224" s="138"/>
      <c r="BP224" s="138"/>
      <c r="BQ224" s="138" t="s">
        <v>768</v>
      </c>
      <c r="BR224" s="138"/>
      <c r="BS224" s="138"/>
      <c r="BT224" s="138"/>
      <c r="BU224" s="138"/>
      <c r="BV224" s="138"/>
      <c r="BW224" s="131" t="str">
        <f t="shared" si="3"/>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mm)5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24" s="125"/>
      <c r="CG224" s="125"/>
      <c r="CH224" s="125"/>
      <c r="CI224" s="125"/>
      <c r="CJ224" s="125"/>
      <c r="CK224" s="125"/>
      <c r="CL224" s="125"/>
      <c r="CM224" s="125"/>
      <c r="CN224" s="125"/>
      <c r="CO224" s="125"/>
      <c r="CP224" s="125"/>
      <c r="CQ224" s="125"/>
      <c r="CX224" s="125"/>
      <c r="CY224" s="125"/>
      <c r="CZ224" s="125"/>
    </row>
    <row r="225" spans="1:120" ht="90" hidden="1" outlineLevel="1" x14ac:dyDescent="0.25">
      <c r="A225" s="131" t="s">
        <v>3148</v>
      </c>
      <c r="B225" s="134" t="s">
        <v>424</v>
      </c>
      <c r="C225" s="134"/>
      <c r="D225" s="138" t="s">
        <v>794</v>
      </c>
      <c r="E225" s="138"/>
      <c r="F225" s="138" t="s">
        <v>2972</v>
      </c>
      <c r="G225" s="138"/>
      <c r="H225" s="138"/>
      <c r="I225" s="138"/>
      <c r="J225" s="138" t="s">
        <v>3076</v>
      </c>
      <c r="K225" s="138"/>
      <c r="L225" s="138"/>
      <c r="M225" s="138"/>
      <c r="N225" s="138" t="s">
        <v>795</v>
      </c>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1" t="str">
        <f t="shared" si="3"/>
        <v>OCadre arrière 2 vantaux (+24 kg CU)Label PIEK global. Largeur utile sur plinthe 816 mm dans le compartiment gauche et 1625 mm dans le compartiment droit (Caisse / groupe SUPRA 1250 City / hayon (-263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(-80 kg CU)Phares de travail en haut de cadre (commandés par la porte arrière centrale)</v>
      </c>
      <c r="CF225" s="125"/>
      <c r="CG225" s="125"/>
      <c r="CH225" s="125"/>
      <c r="CI225" s="125"/>
      <c r="CJ225" s="125"/>
      <c r="CK225" s="125"/>
      <c r="CL225" s="125"/>
      <c r="CM225" s="125"/>
      <c r="CN225" s="125"/>
      <c r="CO225" s="125"/>
      <c r="CP225" s="125"/>
      <c r="CQ225" s="125"/>
    </row>
    <row r="226" spans="1:120" ht="90" hidden="1" outlineLevel="1" x14ac:dyDescent="0.25">
      <c r="A226" s="131" t="s">
        <v>3107</v>
      </c>
      <c r="B226" s="134" t="s">
        <v>424</v>
      </c>
      <c r="C226" s="134"/>
      <c r="D226" s="138"/>
      <c r="E226" s="138"/>
      <c r="F226" s="138" t="s">
        <v>2972</v>
      </c>
      <c r="G226" s="138"/>
      <c r="H226" s="138"/>
      <c r="I226" s="138"/>
      <c r="J226" s="138" t="s">
        <v>3076</v>
      </c>
      <c r="K226" s="138"/>
      <c r="L226" s="138"/>
      <c r="M226" s="138" t="s">
        <v>800</v>
      </c>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1" t="str">
        <f t="shared" si="3"/>
        <v>OLabel PIEK global. Largeur utile sur plinthe 816 mm dans le compartiment gauche et 1625 mm dans le compartiment droit (Caisse / groupe SUPRA 1250 City / hayon (-263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(-80 kg CU)Phares de travail en haut de cadre (commandés par le rideau Easy Acc'Air)</v>
      </c>
      <c r="CF226" s="125"/>
      <c r="CG226" s="125"/>
      <c r="CH226" s="125"/>
      <c r="CI226" s="125"/>
      <c r="CJ226" s="125"/>
      <c r="CK226" s="125"/>
      <c r="CL226" s="125"/>
      <c r="CM226" s="125"/>
      <c r="CN226" s="125"/>
      <c r="CO226" s="125"/>
      <c r="CP226" s="125"/>
      <c r="CQ226" s="125"/>
    </row>
    <row r="227" spans="1:120" ht="90" hidden="1" outlineLevel="1" x14ac:dyDescent="0.25">
      <c r="A227" s="131" t="s">
        <v>3093</v>
      </c>
      <c r="B227" s="134" t="s">
        <v>424</v>
      </c>
      <c r="C227" s="134"/>
      <c r="D227" s="138" t="s">
        <v>794</v>
      </c>
      <c r="E227" s="138"/>
      <c r="F227" s="138" t="s">
        <v>2982</v>
      </c>
      <c r="G227" s="138"/>
      <c r="H227" s="138"/>
      <c r="I227" s="138"/>
      <c r="J227" s="138" t="s">
        <v>3078</v>
      </c>
      <c r="K227" s="196"/>
      <c r="L227" s="138"/>
      <c r="M227" s="138"/>
      <c r="N227" s="138" t="s">
        <v>795</v>
      </c>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1" t="str">
        <f t="shared" si="3"/>
        <v>OCadre arrière 2 vantaux (+24 kg CU)Label PIEK global. Largeur utile sur plinthe 816 mm dans le compartiment gauche et 1625 mm dans le compartiment droit (Caisse / groupe SUPRA 1250 City / hayon (-235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(-53 kg CU)Phares de travail en haut de cadre (commandés par la porte arrière centrale)</v>
      </c>
      <c r="CF227" s="125"/>
      <c r="CG227" s="125"/>
      <c r="CH227" s="125"/>
      <c r="CI227" s="125"/>
      <c r="CJ227" s="125"/>
      <c r="CK227" s="125"/>
      <c r="CL227" s="125"/>
      <c r="CM227" s="125"/>
      <c r="CN227" s="125"/>
      <c r="CO227" s="125"/>
      <c r="CP227" s="125"/>
      <c r="CQ227" s="125"/>
    </row>
    <row r="228" spans="1:120" ht="90" hidden="1" outlineLevel="1" x14ac:dyDescent="0.25">
      <c r="A228" s="131" t="s">
        <v>3102</v>
      </c>
      <c r="B228" s="134" t="s">
        <v>424</v>
      </c>
      <c r="C228" s="134"/>
      <c r="D228" s="138"/>
      <c r="E228" s="138"/>
      <c r="F228" s="138" t="s">
        <v>2970</v>
      </c>
      <c r="G228" s="138"/>
      <c r="H228" s="138"/>
      <c r="I228" s="138"/>
      <c r="J228" s="138" t="s">
        <v>3074</v>
      </c>
      <c r="K228" s="138"/>
      <c r="L228" s="138"/>
      <c r="M228" s="138" t="s">
        <v>800</v>
      </c>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1" t="str">
        <f t="shared" si="3"/>
        <v>OLabel PIEK global. Largeur utile sur plinthe 816 mm dans le compartiment gauche et 1625 mm dans le compartiment droit (Caisse / groupe SUPRA 1250 City / hayon (-249 kg CU))1 niveau de rail d'arrimage encastré supplémentaire. Côté gauche 1er niveau axé à ….. mm du plancher et 2ème niveau axé à ….. mm du plancher. Côté droit 1er niveau axé à ….. mm du plancher et 2ème niveau axé à ….. mm du plancher. Face avant en applique 1er niveau axé à ..... mm du plancher et 2ème niveau axé à ..... mm du plancher (-65 kg CU)Phares de travail en haut de cadre (commandés par le rideau Easy Acc'Air)</v>
      </c>
      <c r="CF228" s="125"/>
      <c r="CG228" s="125"/>
      <c r="CH228" s="125"/>
      <c r="CI228" s="125"/>
      <c r="CJ228" s="125"/>
      <c r="CK228" s="125"/>
      <c r="CL228" s="125"/>
      <c r="CM228" s="125"/>
      <c r="CN228" s="125"/>
      <c r="CO228" s="125"/>
      <c r="CP228" s="125"/>
      <c r="CQ228" s="125"/>
    </row>
    <row r="229" spans="1:120" ht="40.9" hidden="1" customHeight="1" outlineLevel="1" x14ac:dyDescent="0.25">
      <c r="A229" s="134" t="s">
        <v>3082</v>
      </c>
      <c r="B229" s="134" t="s">
        <v>32</v>
      </c>
      <c r="C229" s="138" t="s">
        <v>626</v>
      </c>
      <c r="D229" s="138" t="s">
        <v>674</v>
      </c>
      <c r="E229" s="138" t="s">
        <v>628</v>
      </c>
      <c r="F229" s="138" t="s">
        <v>629</v>
      </c>
      <c r="G229" s="138" t="s">
        <v>696</v>
      </c>
      <c r="H229" s="138" t="s">
        <v>631</v>
      </c>
      <c r="I229" s="138" t="s">
        <v>633</v>
      </c>
      <c r="J229" s="138"/>
      <c r="K229" s="138" t="s">
        <v>870</v>
      </c>
      <c r="L229" s="138" t="s">
        <v>634</v>
      </c>
      <c r="M229" s="138"/>
      <c r="N229" s="138" t="s">
        <v>871</v>
      </c>
      <c r="O229" s="138"/>
      <c r="P229" s="138" t="s">
        <v>762</v>
      </c>
      <c r="Q229" s="138"/>
      <c r="R229" s="138" t="s">
        <v>761</v>
      </c>
      <c r="S229" s="138"/>
      <c r="T229" s="138"/>
      <c r="U229" s="138"/>
      <c r="V229" s="138"/>
      <c r="W229" s="138"/>
      <c r="X229" s="138"/>
      <c r="Y229" s="138"/>
      <c r="Z229" s="138"/>
      <c r="AA229" s="138" t="s">
        <v>3026</v>
      </c>
      <c r="AB229" s="138" t="s">
        <v>635</v>
      </c>
      <c r="AC229" s="138" t="s">
        <v>636</v>
      </c>
      <c r="AD229" s="138"/>
      <c r="AE229" s="138"/>
      <c r="AF229" s="138" t="s">
        <v>872</v>
      </c>
      <c r="AG229" s="138"/>
      <c r="AH229" s="138" t="s">
        <v>873</v>
      </c>
      <c r="AI229" s="138" t="s">
        <v>764</v>
      </c>
      <c r="AJ229" s="138"/>
      <c r="AK229" s="138"/>
      <c r="AL229" s="138" t="s">
        <v>2963</v>
      </c>
      <c r="AM229" s="138"/>
      <c r="AN229" s="138" t="s">
        <v>658</v>
      </c>
      <c r="AO229" s="138"/>
      <c r="AP229" s="138" t="s">
        <v>659</v>
      </c>
      <c r="AQ229" s="138"/>
      <c r="AR229" s="138" t="s">
        <v>640</v>
      </c>
      <c r="AS229" s="138"/>
      <c r="AT229" s="138"/>
      <c r="AU229" s="138"/>
      <c r="AV229" s="138"/>
      <c r="AW229" s="138" t="s">
        <v>681</v>
      </c>
      <c r="AX229" s="138"/>
      <c r="AY229" s="138"/>
      <c r="AZ229" s="138"/>
      <c r="BA229" s="138"/>
      <c r="BB229" s="138" t="s">
        <v>767</v>
      </c>
      <c r="BC229" s="138"/>
      <c r="BD229" s="138"/>
      <c r="BE229" s="138"/>
      <c r="BF229" s="138"/>
      <c r="BG229" s="138"/>
      <c r="BH229" s="138"/>
      <c r="BI229" s="138" t="s">
        <v>643</v>
      </c>
      <c r="BJ229" s="138"/>
      <c r="BK229" s="138"/>
      <c r="BL229" s="138"/>
      <c r="BM229" s="138"/>
      <c r="BN229" s="138"/>
      <c r="BO229" s="138"/>
      <c r="BP229" s="138"/>
      <c r="BQ229" s="138" t="s">
        <v>768</v>
      </c>
      <c r="BR229" s="138"/>
      <c r="BS229" s="138"/>
      <c r="BT229" s="138"/>
      <c r="BU229" s="138"/>
      <c r="BV229" s="138"/>
      <c r="BW229" s="131" t="str">
        <f t="shared" si="3"/>
        <v>PIsolation renforcée CFLCadre arrière 2 vantaux ouverture totale (porte droite prioritaire)1 crémone avec poignée sur chaque vantailFermeture manuelle à cléArrêts de portes arrière à 270°Arrêts de portes arrière à 110°Déverrouillage interne sur porte arrière droiteRideaux d'air arrière (Hauteur sous rideaux d'air 1850 mm)Marchepied arrière fixe 1 marchePorte latérale battante double vantaux largeur 1000 mm à 100 mm de l'avant droit avec déverrouillage interneRideau d'air latéralArrêts de portes latéraux -AMENAGEMENTS : Revêtement extérieur et intérieur des parois en polyester blanc (RAL 9016)Cloison transversale fixe positionnée à 1400 mm de la face avantPorte pivotante dans la cloison fixe largeur 700 mm et hauteur 1950 mm positionnée au centreProtections bas de parois latérales, cloison et avant en aluminium hauteur 250 mm1 niveau d'étagère relevable en aluminium à droite et à gauche dans le compartiment arrière. Largeur 400 mm, longueur 1900 mm4 sangles d'arrimage à tension manuellePlancher renforcé avec résine grise antidérapante2 siphons d'évacuation d'eau2 plafonniers LED avec détecteur de présencePhare de travail en haut de cadre commandé à l'ouverture des portesTélématique SAMSARA pack PRO multitempératures</v>
      </c>
      <c r="CF229" s="125"/>
      <c r="CG229" s="125"/>
      <c r="CH229" s="125"/>
      <c r="CI229" s="125"/>
      <c r="CJ229" s="125"/>
      <c r="CK229" s="125"/>
      <c r="CL229" s="125"/>
      <c r="CM229" s="125"/>
      <c r="CN229" s="125"/>
      <c r="CO229" s="125"/>
      <c r="CP229" s="125"/>
      <c r="CQ229" s="125"/>
      <c r="CX229" s="125"/>
      <c r="CY229" s="125"/>
      <c r="CZ229" s="125"/>
      <c r="DA229" s="125"/>
      <c r="DB229" s="125"/>
      <c r="DC229" s="125"/>
      <c r="DD229" s="125"/>
      <c r="DE229" s="125"/>
      <c r="DF229" s="125"/>
      <c r="DG229" s="125"/>
      <c r="DH229" s="125"/>
      <c r="DI229" s="125"/>
      <c r="DJ229" s="125"/>
      <c r="DK229" s="125"/>
      <c r="DL229" s="125"/>
      <c r="DM229" s="125"/>
      <c r="DN229" s="125"/>
      <c r="DO229" s="125"/>
      <c r="DP229" s="125"/>
    </row>
    <row r="230" spans="1:120" ht="23.45" hidden="1" customHeight="1" outlineLevel="1" x14ac:dyDescent="0.25">
      <c r="A230" s="69" t="s">
        <v>2960</v>
      </c>
      <c r="B230" s="134" t="s">
        <v>424</v>
      </c>
      <c r="C230" s="138" t="s">
        <v>1035</v>
      </c>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1" t="str">
        <f t="shared" si="3"/>
        <v>OSans option</v>
      </c>
      <c r="CF230" s="125"/>
      <c r="CG230" s="125"/>
      <c r="CH230" s="125"/>
      <c r="CI230" s="125"/>
      <c r="CJ230" s="125"/>
      <c r="CK230" s="125"/>
      <c r="CL230" s="125"/>
      <c r="CM230" s="125"/>
      <c r="CN230" s="125"/>
      <c r="CO230" s="125"/>
      <c r="CP230" s="125"/>
      <c r="CQ230" s="125"/>
    </row>
    <row r="231" spans="1:120" ht="61.15" hidden="1" customHeight="1" outlineLevel="1" x14ac:dyDescent="0.25">
      <c r="A231" s="134" t="s">
        <v>3136</v>
      </c>
      <c r="B231" s="134" t="s">
        <v>32</v>
      </c>
      <c r="C231" s="138" t="s">
        <v>647</v>
      </c>
      <c r="D231" s="138" t="s">
        <v>874</v>
      </c>
      <c r="E231" s="138" t="s">
        <v>628</v>
      </c>
      <c r="F231" s="138" t="s">
        <v>650</v>
      </c>
      <c r="G231" s="138" t="s">
        <v>651</v>
      </c>
      <c r="H231" s="138" t="s">
        <v>631</v>
      </c>
      <c r="I231" s="138" t="s">
        <v>770</v>
      </c>
      <c r="J231" s="138"/>
      <c r="K231" s="138" t="s">
        <v>875</v>
      </c>
      <c r="L231" s="138" t="s">
        <v>758</v>
      </c>
      <c r="M231" s="138"/>
      <c r="N231" s="138" t="s">
        <v>759</v>
      </c>
      <c r="O231" s="138"/>
      <c r="P231" s="138"/>
      <c r="Q231" s="138" t="s">
        <v>760</v>
      </c>
      <c r="R231" s="138" t="s">
        <v>761</v>
      </c>
      <c r="S231" s="138"/>
      <c r="T231" s="138" t="s">
        <v>763</v>
      </c>
      <c r="U231" s="138" t="s">
        <v>425</v>
      </c>
      <c r="V231" s="138"/>
      <c r="W231" s="138"/>
      <c r="X231" s="138"/>
      <c r="Y231" s="138"/>
      <c r="Z231" s="138" t="s">
        <v>654</v>
      </c>
      <c r="AA231" s="138" t="s">
        <v>3026</v>
      </c>
      <c r="AB231" s="138" t="s">
        <v>635</v>
      </c>
      <c r="AC231" s="138" t="s">
        <v>636</v>
      </c>
      <c r="AD231" s="138"/>
      <c r="AE231" s="138" t="s">
        <v>876</v>
      </c>
      <c r="AF231" s="138"/>
      <c r="AG231" s="138"/>
      <c r="AH231" s="138" t="s">
        <v>877</v>
      </c>
      <c r="AI231" s="138" t="s">
        <v>764</v>
      </c>
      <c r="AJ231" s="138"/>
      <c r="AK231" s="138"/>
      <c r="AL231" s="138" t="s">
        <v>878</v>
      </c>
      <c r="AM231" s="138"/>
      <c r="AN231" s="138" t="s">
        <v>658</v>
      </c>
      <c r="AO231" s="138"/>
      <c r="AP231" s="138" t="s">
        <v>659</v>
      </c>
      <c r="AQ231" s="138"/>
      <c r="AR231" s="138" t="s">
        <v>640</v>
      </c>
      <c r="AS231" s="138"/>
      <c r="AT231" s="138"/>
      <c r="AU231" s="138"/>
      <c r="AV231" s="138"/>
      <c r="AW231" s="138" t="s">
        <v>776</v>
      </c>
      <c r="AX231" s="138"/>
      <c r="AY231" s="138"/>
      <c r="AZ231" s="138"/>
      <c r="BA231" s="138"/>
      <c r="BB231" s="138" t="s">
        <v>767</v>
      </c>
      <c r="BC231" s="138"/>
      <c r="BD231" s="138"/>
      <c r="BE231" s="138" t="s">
        <v>661</v>
      </c>
      <c r="BF231" s="138" t="s">
        <v>662</v>
      </c>
      <c r="BG231" s="138" t="s">
        <v>664</v>
      </c>
      <c r="BH231" s="138"/>
      <c r="BI231" s="138" t="s">
        <v>663</v>
      </c>
      <c r="BJ231" s="138"/>
      <c r="BK231" s="138"/>
      <c r="BL231" s="138"/>
      <c r="BM231" s="138"/>
      <c r="BN231" s="138"/>
      <c r="BO231" s="138"/>
      <c r="BP231" s="138"/>
      <c r="BQ231" s="138" t="s">
        <v>768</v>
      </c>
      <c r="BR231" s="138"/>
      <c r="BS231" s="138"/>
      <c r="BT231" s="138"/>
      <c r="BU231" s="138"/>
      <c r="BV231" s="138"/>
      <c r="BW231" s="131" t="str">
        <f t="shared" si="3"/>
        <v>PIsolation renforcée URBANCadre arrière 2 vantaux ouverture totale (sans priorité d'ouverture)1 crémone avec poignée sur chaque vantailFermeture centraliséeArrêts de portes arrière à 270° aimantés SimpleLockArrêts de portes arrière à 110°Déverrouillage interne sur chaque porte arrièreRideaux d'air arrière dans chaque compartiment (Hauteur sous rideaux d'air 1700 mm)Marchepied arrière basculant 2 marches en aluminiumPorte latérale battante double vantaux largeur 1000 mm à 100 mm de l'avant droit avec déverrouillage interne avec une sangle montoir à droite et à gauche fixée dans le champs de l'huisserieEtrier latéral télescopique 2 marches avec buzzer en cabineArrêts de portes latérauxSans profil face avant aérodynamiqueDéflecteur de cabineFaux châssis RigidLink -AMENAGEMENTS : Revêtement extérieur et intérieur des parois en polyester blanc (RAL 9016)Cloison longitudinale fixe sur toute la longueur positionnée à 925 mm de la paroi de gauchePorte pivotante dans la cloison fixe largeur 925 mm et hauteur 1950 mm positionnée à 560 mm de l'arrièreProtections bas de parois latérales, cloison et avant en aluminium hauteur 250 mm1 niveau de rail d'arrimage aluminium en applique sur parois latérales (sauf portes latérales) et cloison longitudinale axé à 900 mm du plancher4 sangles d'arrimage à tension manuellePlancher renforcé avec résine grise antidérapante2 siphons d'évacuation d'eau3 plafonniers LED avec détecteur de présenceAiles plastiques avec bavettesPares cyclistes latéraux URBAN2 feux stop en haut de cadrePhares de travail en haut de cadre. Bandeau LED commandé à l'ouverture des portesTélématique SAMSARA pack PRO multitempératures</v>
      </c>
      <c r="CF231" s="125"/>
      <c r="CG231" s="125"/>
      <c r="CH231" s="125"/>
      <c r="CI231" s="125"/>
      <c r="CJ231" s="125"/>
      <c r="CK231" s="125"/>
      <c r="CL231" s="125"/>
      <c r="CM231" s="125"/>
      <c r="CN231" s="125"/>
      <c r="CO231" s="125"/>
      <c r="CP231" s="125"/>
      <c r="CQ231" s="125"/>
      <c r="CX231" s="125"/>
      <c r="CY231" s="125"/>
      <c r="CZ231" s="125"/>
      <c r="DA231" s="125"/>
      <c r="DB231" s="125"/>
      <c r="DC231" s="125"/>
      <c r="DD231" s="125"/>
      <c r="DE231" s="125"/>
      <c r="DF231" s="125"/>
      <c r="DG231" s="125"/>
      <c r="DH231" s="125"/>
      <c r="DI231" s="125"/>
      <c r="DJ231" s="125"/>
      <c r="DK231" s="125"/>
    </row>
    <row r="232" spans="1:120" ht="23.45" hidden="1" customHeight="1" outlineLevel="1" x14ac:dyDescent="0.25">
      <c r="A232" s="134" t="s">
        <v>3138</v>
      </c>
      <c r="B232" s="134" t="s">
        <v>424</v>
      </c>
      <c r="C232" s="134"/>
      <c r="D232" s="138"/>
      <c r="E232" s="138"/>
      <c r="F232" s="138"/>
      <c r="G232" s="138"/>
      <c r="H232" s="138"/>
      <c r="I232" s="138"/>
      <c r="J232" s="138" t="s">
        <v>2969</v>
      </c>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1" t="str">
        <f t="shared" si="3"/>
        <v>O1 niveau de rail d'arrimage aluminium supplémentaire en applique sur 3 faces axé à ..... mm du plancher (-21 kg CU)</v>
      </c>
      <c r="CF232" s="125"/>
      <c r="CG232" s="125"/>
      <c r="CH232" s="125"/>
      <c r="CI232" s="125"/>
      <c r="CJ232" s="125"/>
      <c r="CK232" s="125"/>
      <c r="CL232" s="125"/>
      <c r="CM232" s="125"/>
      <c r="CN232" s="125"/>
      <c r="CO232" s="125"/>
      <c r="CP232" s="125"/>
      <c r="CQ232" s="125"/>
    </row>
    <row r="233" spans="1:120" ht="247.5" hidden="1" outlineLevel="1" x14ac:dyDescent="0.25">
      <c r="A233" s="131" t="s">
        <v>3089</v>
      </c>
      <c r="B233" s="134" t="s">
        <v>32</v>
      </c>
      <c r="C233" s="138" t="s">
        <v>693</v>
      </c>
      <c r="D233" s="138" t="s">
        <v>778</v>
      </c>
      <c r="E233" s="138" t="s">
        <v>628</v>
      </c>
      <c r="F233" s="138"/>
      <c r="G233" s="138" t="s">
        <v>696</v>
      </c>
      <c r="H233" s="138" t="s">
        <v>631</v>
      </c>
      <c r="I233" s="138" t="s">
        <v>780</v>
      </c>
      <c r="J233" s="138" t="s">
        <v>698</v>
      </c>
      <c r="K233" s="138" t="s">
        <v>779</v>
      </c>
      <c r="L233" s="138" t="s">
        <v>695</v>
      </c>
      <c r="M233" s="138" t="s">
        <v>678</v>
      </c>
      <c r="N233" s="138" t="s">
        <v>879</v>
      </c>
      <c r="O233" s="138" t="s">
        <v>880</v>
      </c>
      <c r="P233" s="138" t="s">
        <v>783</v>
      </c>
      <c r="Q233" s="138" t="s">
        <v>784</v>
      </c>
      <c r="R233" s="138" t="s">
        <v>761</v>
      </c>
      <c r="S233" s="138"/>
      <c r="T233" s="138"/>
      <c r="U233" s="138"/>
      <c r="V233" s="138"/>
      <c r="W233" s="138"/>
      <c r="X233" s="138"/>
      <c r="Y233" s="138"/>
      <c r="Z233" s="138"/>
      <c r="AA233" s="138" t="s">
        <v>3026</v>
      </c>
      <c r="AB233" s="138" t="s">
        <v>635</v>
      </c>
      <c r="AC233" s="138" t="s">
        <v>636</v>
      </c>
      <c r="AD233" s="138"/>
      <c r="AE233" s="138" t="s">
        <v>786</v>
      </c>
      <c r="AF233" s="138" t="s">
        <v>787</v>
      </c>
      <c r="AG233" s="138" t="s">
        <v>788</v>
      </c>
      <c r="AH233" s="138"/>
      <c r="AI233" s="138" t="s">
        <v>789</v>
      </c>
      <c r="AJ233" s="138"/>
      <c r="AK233" s="138" t="s">
        <v>790</v>
      </c>
      <c r="AL233" s="138" t="s">
        <v>791</v>
      </c>
      <c r="AM233" s="138"/>
      <c r="AN233" s="138" t="s">
        <v>658</v>
      </c>
      <c r="AO233" s="138" t="s">
        <v>774</v>
      </c>
      <c r="AP233" s="138" t="s">
        <v>659</v>
      </c>
      <c r="AQ233" s="138" t="s">
        <v>792</v>
      </c>
      <c r="AR233" s="138" t="s">
        <v>701</v>
      </c>
      <c r="AS233" s="138"/>
      <c r="AT233" s="138"/>
      <c r="AU233" s="138"/>
      <c r="AV233" s="138"/>
      <c r="AW233" s="138" t="s">
        <v>793</v>
      </c>
      <c r="AX233" s="138" t="s">
        <v>702</v>
      </c>
      <c r="AY233" s="138" t="s">
        <v>703</v>
      </c>
      <c r="AZ233" s="138" t="s">
        <v>704</v>
      </c>
      <c r="BA233" s="138" t="s">
        <v>705</v>
      </c>
      <c r="BB233" s="138" t="s">
        <v>767</v>
      </c>
      <c r="BC233" s="138"/>
      <c r="BD233" s="138" t="s">
        <v>706</v>
      </c>
      <c r="BE233" s="138" t="s">
        <v>661</v>
      </c>
      <c r="BF233" s="138" t="s">
        <v>707</v>
      </c>
      <c r="BG233" s="138"/>
      <c r="BH233" s="138" t="s">
        <v>691</v>
      </c>
      <c r="BI233" s="138" t="s">
        <v>683</v>
      </c>
      <c r="BJ233" s="138" t="s">
        <v>708</v>
      </c>
      <c r="BK233" s="138"/>
      <c r="BL233" s="138"/>
      <c r="BM233" s="138"/>
      <c r="BN233" s="138"/>
      <c r="BO233" s="138"/>
      <c r="BP233" s="138"/>
      <c r="BQ233" s="138" t="s">
        <v>768</v>
      </c>
      <c r="BR233" s="138"/>
      <c r="BS233" s="138"/>
      <c r="BT233" s="138"/>
      <c r="BU233" s="138"/>
      <c r="BV233" s="138"/>
      <c r="BW233" s="131" t="str">
        <f t="shared" ref="BW233:BW255" si="5">CONCATENATE(B233,C233,D233,E233,F233,G233,H233,I233,J233,K233,L233,M233,N233,O233,P233,Q233,R233,S233,T233,U233,V233,W233,X233,Y233,Z233,AA233,AB233,AC233,AD233,AE233,AF233,AG233,AH233,AI233,AJ233,AK233,AL233,AM233,AN233,AO233,AP233,AQ233,AR233,AS233,AT233,AU233,AV233,AW233,AX233,AY233,AZ233,BA233,BC233,BD233,BE233,BF233,BG233,BH233,BI233,BJ233,BK233,BL233,BM233,BN233,BO233,BP233,BQ233,BR233,BS233,BT233,BU233,BV233,)</f>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mm)3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d'évacuation5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33" s="125"/>
      <c r="CG233" s="125"/>
      <c r="CH233" s="125"/>
      <c r="CI233" s="125"/>
      <c r="CJ233" s="125"/>
      <c r="CK233" s="125"/>
      <c r="CL233" s="125"/>
      <c r="CM233" s="125"/>
      <c r="CN233" s="125"/>
      <c r="CO233" s="125"/>
      <c r="CP233" s="125"/>
      <c r="CQ233" s="125"/>
      <c r="CX233" s="125"/>
      <c r="CY233" s="125"/>
      <c r="CZ233" s="125"/>
      <c r="DA233" s="125"/>
    </row>
    <row r="234" spans="1:120" ht="247.5" hidden="1" outlineLevel="1" x14ac:dyDescent="0.25">
      <c r="A234" s="131" t="s">
        <v>3167</v>
      </c>
      <c r="B234" s="134" t="s">
        <v>32</v>
      </c>
      <c r="C234" s="138" t="s">
        <v>693</v>
      </c>
      <c r="D234" s="138" t="s">
        <v>778</v>
      </c>
      <c r="E234" s="138" t="s">
        <v>628</v>
      </c>
      <c r="F234" s="138"/>
      <c r="G234" s="138" t="s">
        <v>696</v>
      </c>
      <c r="H234" s="138" t="s">
        <v>631</v>
      </c>
      <c r="I234" s="138" t="s">
        <v>780</v>
      </c>
      <c r="J234" s="138" t="s">
        <v>698</v>
      </c>
      <c r="K234" s="138" t="s">
        <v>779</v>
      </c>
      <c r="L234" s="138" t="s">
        <v>677</v>
      </c>
      <c r="M234" s="138" t="s">
        <v>678</v>
      </c>
      <c r="N234" s="138" t="s">
        <v>879</v>
      </c>
      <c r="O234" s="138" t="s">
        <v>880</v>
      </c>
      <c r="P234" s="138" t="s">
        <v>783</v>
      </c>
      <c r="Q234" s="138" t="s">
        <v>784</v>
      </c>
      <c r="R234" s="138" t="s">
        <v>761</v>
      </c>
      <c r="S234" s="138"/>
      <c r="T234" s="138"/>
      <c r="U234" s="138"/>
      <c r="V234" s="138"/>
      <c r="W234" s="138"/>
      <c r="X234" s="138"/>
      <c r="Y234" s="138"/>
      <c r="Z234" s="138"/>
      <c r="AA234" s="138" t="s">
        <v>3026</v>
      </c>
      <c r="AB234" s="138" t="s">
        <v>635</v>
      </c>
      <c r="AC234" s="138" t="s">
        <v>636</v>
      </c>
      <c r="AD234" s="138"/>
      <c r="AE234" s="138" t="s">
        <v>786</v>
      </c>
      <c r="AF234" s="138" t="s">
        <v>787</v>
      </c>
      <c r="AG234" s="138" t="s">
        <v>801</v>
      </c>
      <c r="AH234" s="138"/>
      <c r="AI234" s="138" t="s">
        <v>789</v>
      </c>
      <c r="AJ234" s="138"/>
      <c r="AK234" s="138" t="s">
        <v>790</v>
      </c>
      <c r="AL234" s="138" t="s">
        <v>791</v>
      </c>
      <c r="AM234" s="138"/>
      <c r="AN234" s="138" t="s">
        <v>658</v>
      </c>
      <c r="AO234" s="138" t="s">
        <v>774</v>
      </c>
      <c r="AP234" s="138" t="s">
        <v>659</v>
      </c>
      <c r="AQ234" s="138" t="s">
        <v>792</v>
      </c>
      <c r="AR234" s="138" t="s">
        <v>701</v>
      </c>
      <c r="AS234" s="138"/>
      <c r="AT234" s="138"/>
      <c r="AU234" s="138"/>
      <c r="AV234" s="138"/>
      <c r="AW234" s="138" t="s">
        <v>882</v>
      </c>
      <c r="AX234" s="138" t="s">
        <v>702</v>
      </c>
      <c r="AY234" s="138" t="s">
        <v>703</v>
      </c>
      <c r="AZ234" s="138" t="s">
        <v>704</v>
      </c>
      <c r="BA234" s="138" t="s">
        <v>705</v>
      </c>
      <c r="BB234" s="138" t="s">
        <v>767</v>
      </c>
      <c r="BC234" s="138"/>
      <c r="BD234" s="138" t="s">
        <v>706</v>
      </c>
      <c r="BE234" s="138" t="s">
        <v>661</v>
      </c>
      <c r="BF234" s="138" t="s">
        <v>707</v>
      </c>
      <c r="BG234" s="138"/>
      <c r="BH234" s="138" t="s">
        <v>691</v>
      </c>
      <c r="BI234" s="138" t="s">
        <v>683</v>
      </c>
      <c r="BJ234" s="138" t="s">
        <v>708</v>
      </c>
      <c r="BK234" s="138"/>
      <c r="BL234" s="138"/>
      <c r="BM234" s="138"/>
      <c r="BN234" s="138"/>
      <c r="BO234" s="138"/>
      <c r="BP234" s="138"/>
      <c r="BQ234" s="138" t="s">
        <v>768</v>
      </c>
      <c r="BR234" s="138"/>
      <c r="BS234" s="138"/>
      <c r="BT234" s="138"/>
      <c r="BU234" s="138"/>
      <c r="BV234" s="138"/>
      <c r="BW234" s="131" t="str">
        <f t="shared" si="5"/>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4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mm)5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d'évacuation7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34" s="125"/>
      <c r="CG234" s="125"/>
      <c r="CH234" s="125"/>
      <c r="CI234" s="125"/>
      <c r="CJ234" s="125"/>
      <c r="CK234" s="125"/>
      <c r="CL234" s="125"/>
      <c r="CM234" s="125"/>
      <c r="CN234" s="125"/>
      <c r="CO234" s="125"/>
      <c r="CP234" s="125"/>
      <c r="CQ234" s="125"/>
      <c r="CX234" s="125"/>
      <c r="CY234" s="125"/>
      <c r="CZ234" s="125"/>
      <c r="DA234" s="125"/>
    </row>
    <row r="235" spans="1:120" ht="90" hidden="1" outlineLevel="1" x14ac:dyDescent="0.25">
      <c r="A235" s="131" t="s">
        <v>3105</v>
      </c>
      <c r="B235" s="134" t="s">
        <v>424</v>
      </c>
      <c r="C235" s="134"/>
      <c r="D235" s="138" t="s">
        <v>794</v>
      </c>
      <c r="E235" s="138"/>
      <c r="F235" s="138" t="s">
        <v>2984</v>
      </c>
      <c r="G235" s="138"/>
      <c r="H235" s="138"/>
      <c r="I235" s="138"/>
      <c r="J235" s="138" t="s">
        <v>883</v>
      </c>
      <c r="K235" s="138"/>
      <c r="L235" s="138"/>
      <c r="M235" s="138"/>
      <c r="N235" s="138" t="s">
        <v>795</v>
      </c>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1" t="str">
        <f t="shared" si="5"/>
        <v>OCadre arrière 2 vantaux (+24 kg CU)Label PIEK global. Largeur utile sur plinthe 816 mm dans le compartiment gauche et 1625 mm dans le compartiment droit (Caisse / groupe SUPRA 1250 City / hayon (-278 kg CU))1 niveau de rail d'arrimage encastré supplémentaire. Côté gauche 1er niveau axé à ….. mm du plancher et 2ème niveau axé à ….. mm du plancher. Côté droit 1er niveau axé à …...mm du plancher et 2ème niveau axé à ….. mm du plancher. Face avant en applique 1er niveau axé à ..... mm du plancher et 2ème niveau axé à ..... mm du plancher (-91 kg CU)Phares de travail en haut de cadre (commandés par la porte arrière centrale)</v>
      </c>
      <c r="CF235" s="125"/>
      <c r="CG235" s="125"/>
      <c r="CH235" s="125"/>
      <c r="CI235" s="125"/>
      <c r="CJ235" s="125"/>
      <c r="CK235" s="125"/>
      <c r="CL235" s="125"/>
      <c r="CM235" s="125"/>
      <c r="CN235" s="125"/>
      <c r="CO235" s="125"/>
      <c r="CP235" s="125"/>
      <c r="CQ235" s="125"/>
    </row>
    <row r="236" spans="1:120" ht="236.25" hidden="1" outlineLevel="1" x14ac:dyDescent="0.25">
      <c r="A236" s="131" t="s">
        <v>3168</v>
      </c>
      <c r="B236" s="134" t="s">
        <v>32</v>
      </c>
      <c r="C236" s="138" t="s">
        <v>693</v>
      </c>
      <c r="D236" s="138" t="s">
        <v>797</v>
      </c>
      <c r="E236" s="138"/>
      <c r="F236" s="138" t="s">
        <v>798</v>
      </c>
      <c r="G236" s="138"/>
      <c r="H236" s="138"/>
      <c r="I236" s="138" t="s">
        <v>799</v>
      </c>
      <c r="J236" s="138"/>
      <c r="K236" s="138" t="s">
        <v>779</v>
      </c>
      <c r="L236" s="138" t="s">
        <v>677</v>
      </c>
      <c r="M236" s="138" t="s">
        <v>678</v>
      </c>
      <c r="N236" s="138" t="s">
        <v>879</v>
      </c>
      <c r="O236" s="138" t="s">
        <v>880</v>
      </c>
      <c r="P236" s="138" t="s">
        <v>783</v>
      </c>
      <c r="Q236" s="138" t="s">
        <v>784</v>
      </c>
      <c r="R236" s="138" t="s">
        <v>761</v>
      </c>
      <c r="S236" s="138"/>
      <c r="T236" s="138"/>
      <c r="U236" s="138"/>
      <c r="V236" s="138"/>
      <c r="W236" s="138"/>
      <c r="X236" s="138"/>
      <c r="Y236" s="138"/>
      <c r="Z236" s="138"/>
      <c r="AA236" s="138" t="s">
        <v>3026</v>
      </c>
      <c r="AB236" s="138" t="s">
        <v>635</v>
      </c>
      <c r="AC236" s="138" t="s">
        <v>636</v>
      </c>
      <c r="AD236" s="138"/>
      <c r="AE236" s="138" t="s">
        <v>786</v>
      </c>
      <c r="AF236" s="138" t="s">
        <v>787</v>
      </c>
      <c r="AG236" s="138" t="s">
        <v>796</v>
      </c>
      <c r="AH236" s="138"/>
      <c r="AI236" s="138" t="s">
        <v>789</v>
      </c>
      <c r="AJ236" s="138"/>
      <c r="AK236" s="138" t="s">
        <v>790</v>
      </c>
      <c r="AL236" s="138" t="s">
        <v>791</v>
      </c>
      <c r="AM236" s="138"/>
      <c r="AN236" s="138" t="s">
        <v>658</v>
      </c>
      <c r="AO236" s="138" t="s">
        <v>774</v>
      </c>
      <c r="AP236" s="138" t="s">
        <v>659</v>
      </c>
      <c r="AQ236" s="138" t="s">
        <v>792</v>
      </c>
      <c r="AR236" s="138" t="s">
        <v>701</v>
      </c>
      <c r="AS236" s="138"/>
      <c r="AT236" s="138"/>
      <c r="AU236" s="138"/>
      <c r="AV236" s="138"/>
      <c r="AW236" s="138" t="s">
        <v>882</v>
      </c>
      <c r="AX236" s="138" t="s">
        <v>702</v>
      </c>
      <c r="AY236" s="138" t="s">
        <v>703</v>
      </c>
      <c r="AZ236" s="138" t="s">
        <v>704</v>
      </c>
      <c r="BA236" s="138" t="s">
        <v>705</v>
      </c>
      <c r="BB236" s="138" t="s">
        <v>767</v>
      </c>
      <c r="BC236" s="138"/>
      <c r="BD236" s="138" t="s">
        <v>706</v>
      </c>
      <c r="BE236" s="138" t="s">
        <v>661</v>
      </c>
      <c r="BF236" s="138" t="s">
        <v>707</v>
      </c>
      <c r="BG236" s="138"/>
      <c r="BH236" s="138" t="s">
        <v>691</v>
      </c>
      <c r="BI236" s="138" t="s">
        <v>683</v>
      </c>
      <c r="BJ236" s="138" t="s">
        <v>708</v>
      </c>
      <c r="BK236" s="138"/>
      <c r="BL236" s="138"/>
      <c r="BM236" s="138"/>
      <c r="BN236" s="138"/>
      <c r="BO236" s="138"/>
      <c r="BP236" s="138"/>
      <c r="BQ236" s="138" t="s">
        <v>768</v>
      </c>
      <c r="BR236" s="138"/>
      <c r="BS236" s="138"/>
      <c r="BT236" s="138"/>
      <c r="BU236" s="138"/>
      <c r="BV236" s="138"/>
      <c r="BW236" s="131" t="str">
        <f t="shared" si="5"/>
        <v>PIsolation renforcéeCadre arrière rideau isotherme relevable Easy Acc'AirCondamnation extérieure manuelle à clé côté droit / Sangle intérieure de préhensionDéverrouillage interne de sécurité par décompression (sur paroi à l'arrière droit)Rideau d'air arrièreEscabeau arrière coulissant 4 marches avec poignée et première marche antipincementPlaque acier galvanisée 150 mm x 150 mm sur paroi latérale à l'arrière droit pour télécommande filaire du hayonPorte latérale battante double vantaux largeur 1000 mm à 135 mm de l'avant droit avec une sangle montoir à droite et à gauche fixée dans le champs de l'huisseriePorte latérale battante double vantaux largeur 1000 mm à 135 mm de l'avant gauche avec une sangle montoir à droite et à gauche fixée dans le champs de l'huisserieRideaux d'air portes latéralesEtriers latéraux télescopiques 3 marches avec buzzer en cabineArrêts de portes latéraux -AMENAGEMENTS : Revêtement extérieur et intérieur des parois en polyester blanc (RAL 9016)Cloison longitudinale fixe démarrant à 1300 mm de la face avant jusqu'à 1600 mm des portes arrière à 825 mm de la paroi de gauche (Largeurs utiles sur plinthe 819 mm dans le compartiment gauche et 1626 mm dans le compartiment droit)Cloisons mobiles relevables dans chaque compartiment (Hauteur sous cloisons 2135 mm)4 palettes maxi en longueur dans le compartiment de gaucheProtections bas de parois latérales, face avant et cloison longitudinale en inox hauteur 450 mm 1 niveau de rail d'arrimage acier galvanisé encastré dans les parois latérales (sauf portes latérales) et la cloison longitudinale axé à 1025 mm du plancher dans le compartiment de gauche et à 1175 mm du plancher dans le compartiment de droite1 niveau de rail d'arrimage acier galvanisé en applique sur la face avant axé à 1100 mm du plancher4 sangles d'arrimage à tension manuelle2 poutres alu (1 dans chaque compartiment)Plancher renforcé avec résine grise antidérapanteAntidérapant renforcé sur 1600 mm à l'arrière et sur 300 mm devant chaque porte latérale4 siphons d'évacuation7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36" s="125"/>
      <c r="CG236" s="125"/>
      <c r="CH236" s="125"/>
      <c r="CI236" s="125"/>
      <c r="CJ236" s="125"/>
      <c r="CK236" s="125"/>
      <c r="CL236" s="125"/>
      <c r="CM236" s="125"/>
      <c r="CN236" s="125"/>
      <c r="CO236" s="125"/>
      <c r="CP236" s="125"/>
      <c r="CQ236" s="125"/>
      <c r="CX236" s="125"/>
      <c r="CY236" s="125"/>
      <c r="CZ236" s="125"/>
      <c r="DA236" s="125"/>
    </row>
    <row r="237" spans="1:120" ht="90" hidden="1" outlineLevel="1" x14ac:dyDescent="0.25">
      <c r="A237" s="131" t="s">
        <v>3108</v>
      </c>
      <c r="B237" s="134" t="s">
        <v>424</v>
      </c>
      <c r="C237" s="134"/>
      <c r="D237" s="138"/>
      <c r="E237" s="138"/>
      <c r="F237" s="138" t="s">
        <v>2984</v>
      </c>
      <c r="G237" s="138"/>
      <c r="H237" s="138"/>
      <c r="I237" s="138"/>
      <c r="J237" s="138" t="s">
        <v>883</v>
      </c>
      <c r="K237" s="138"/>
      <c r="L237" s="138"/>
      <c r="M237" s="138" t="s">
        <v>800</v>
      </c>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1" t="str">
        <f t="shared" si="5"/>
        <v>OLabel PIEK global. Largeur utile sur plinthe 816 mm dans le compartiment gauche et 1625 mm dans le compartiment droit (Caisse / groupe SUPRA 1250 City / hayon (-278 kg CU))1 niveau de rail d'arrimage encastré supplémentaire. Côté gauche 1er niveau axé à ….. mm du plancher et 2ème niveau axé à ….. mm du plancher. Côté droit 1er niveau axé à …...mm du plancher et 2ème niveau axé à ….. mm du plancher. Face avant en applique 1er niveau axé à ..... mm du plancher et 2ème niveau axé à ..... mm du plancher (-91 kg CU)Phares de travail en haut de cadre (commandés par le rideau Easy Acc'Air)</v>
      </c>
      <c r="CF237" s="125"/>
      <c r="CG237" s="125"/>
      <c r="CH237" s="125"/>
      <c r="CI237" s="125"/>
      <c r="CJ237" s="125"/>
      <c r="CK237" s="125"/>
      <c r="CL237" s="125"/>
      <c r="CM237" s="125"/>
      <c r="CN237" s="125"/>
      <c r="CO237" s="125"/>
      <c r="CP237" s="125"/>
      <c r="CQ237" s="125"/>
    </row>
    <row r="238" spans="1:120" hidden="1" outlineLevel="1" x14ac:dyDescent="0.25">
      <c r="A238" s="131" t="s">
        <v>3070</v>
      </c>
      <c r="B238" s="134" t="s">
        <v>32</v>
      </c>
      <c r="C238" s="138" t="s">
        <v>1038</v>
      </c>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1" t="str">
        <f t="shared" si="5"/>
        <v>PSans caisse</v>
      </c>
      <c r="CF238" s="125"/>
      <c r="CG238" s="125"/>
      <c r="CH238" s="125"/>
      <c r="CI238" s="125"/>
      <c r="CJ238" s="125"/>
      <c r="CK238" s="125"/>
      <c r="CL238" s="125"/>
      <c r="CM238" s="125"/>
      <c r="CN238" s="125"/>
      <c r="CO238" s="125"/>
      <c r="CP238" s="125"/>
      <c r="CQ238" s="125"/>
    </row>
    <row r="239" spans="1:120" ht="146.25" hidden="1" outlineLevel="1" x14ac:dyDescent="0.25">
      <c r="A239" s="131" t="s">
        <v>3159</v>
      </c>
      <c r="B239" s="134" t="s">
        <v>32</v>
      </c>
      <c r="C239" s="138" t="s">
        <v>693</v>
      </c>
      <c r="D239" s="138" t="s">
        <v>884</v>
      </c>
      <c r="E239" s="138" t="s">
        <v>628</v>
      </c>
      <c r="F239" s="138"/>
      <c r="G239" s="138" t="s">
        <v>696</v>
      </c>
      <c r="H239" s="138"/>
      <c r="I239" s="138" t="s">
        <v>697</v>
      </c>
      <c r="J239" s="138"/>
      <c r="K239" s="138" t="s">
        <v>779</v>
      </c>
      <c r="L239" s="138" t="s">
        <v>885</v>
      </c>
      <c r="M239" s="138" t="s">
        <v>678</v>
      </c>
      <c r="N239" s="138"/>
      <c r="O239" s="138"/>
      <c r="P239" s="138"/>
      <c r="Q239" s="138"/>
      <c r="R239" s="138"/>
      <c r="S239" s="138"/>
      <c r="T239" s="138"/>
      <c r="U239" s="138"/>
      <c r="V239" s="138"/>
      <c r="W239" s="138"/>
      <c r="X239" s="138"/>
      <c r="Y239" s="138"/>
      <c r="Z239" s="138"/>
      <c r="AA239" s="138" t="s">
        <v>3026</v>
      </c>
      <c r="AB239" s="138" t="s">
        <v>635</v>
      </c>
      <c r="AC239" s="138" t="s">
        <v>636</v>
      </c>
      <c r="AD239" s="138"/>
      <c r="AE239" s="138"/>
      <c r="AF239" s="138" t="s">
        <v>886</v>
      </c>
      <c r="AG239" s="138"/>
      <c r="AH239" s="138"/>
      <c r="AI239" s="138" t="s">
        <v>887</v>
      </c>
      <c r="AJ239" s="138"/>
      <c r="AK239" s="138" t="s">
        <v>888</v>
      </c>
      <c r="AL239" s="138"/>
      <c r="AM239" s="138"/>
      <c r="AN239" s="138" t="s">
        <v>658</v>
      </c>
      <c r="AO239" s="138" t="s">
        <v>889</v>
      </c>
      <c r="AP239" s="138" t="s">
        <v>659</v>
      </c>
      <c r="AQ239" s="138"/>
      <c r="AR239" s="138" t="s">
        <v>890</v>
      </c>
      <c r="AS239" s="138" t="s">
        <v>891</v>
      </c>
      <c r="AT239" s="138"/>
      <c r="AU239" s="138"/>
      <c r="AV239" s="138" t="s">
        <v>892</v>
      </c>
      <c r="AW239" s="138" t="s">
        <v>893</v>
      </c>
      <c r="AX239" s="138" t="s">
        <v>702</v>
      </c>
      <c r="AY239" s="138" t="s">
        <v>894</v>
      </c>
      <c r="AZ239" s="138" t="s">
        <v>895</v>
      </c>
      <c r="BA239" s="138" t="s">
        <v>896</v>
      </c>
      <c r="BB239" s="138" t="s">
        <v>897</v>
      </c>
      <c r="BC239" s="138" t="s">
        <v>898</v>
      </c>
      <c r="BD239" s="138"/>
      <c r="BE239" s="138" t="s">
        <v>661</v>
      </c>
      <c r="BF239" s="138" t="s">
        <v>707</v>
      </c>
      <c r="BG239" s="138"/>
      <c r="BH239" s="138" t="s">
        <v>691</v>
      </c>
      <c r="BI239" s="138" t="s">
        <v>683</v>
      </c>
      <c r="BJ239" s="138" t="s">
        <v>708</v>
      </c>
      <c r="BK239" s="138"/>
      <c r="BL239" s="138"/>
      <c r="BM239" s="138" t="s">
        <v>899</v>
      </c>
      <c r="BN239" s="138"/>
      <c r="BO239" s="138"/>
      <c r="BP239" s="138"/>
      <c r="BQ239" s="138" t="s">
        <v>768</v>
      </c>
      <c r="BR239" s="138"/>
      <c r="BS239" s="138"/>
      <c r="BT239" s="138"/>
      <c r="BU239" s="138"/>
      <c r="BV239" s="138"/>
      <c r="BW239" s="131" t="str">
        <f t="shared" si="5"/>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rampePlaque acier galvanisée 150 mm x 150 mm sur paroi latérale à l'arrière droit pour télécommande filaire du hayon -AMENAGEMENTS : Revêtement extérieur et intérieur des parois en polyester blanc (RAL 9016)Cloison tranversale mobile et relevable EASYFLEX 1/2 - 1/2 avec sangles d'aide au relevageProtections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mmBuse de diffusion d'air avec 1 gaine au pavillon4 plafonniers LED avec détecteur de présenceTraverse arrière renforcée avec butoirs à rouleaux en acierCoffre à outils plastique grand modèle dans l'empattement gaucheCoffre porte document en face avantExtincteur 6 kg dans son coffreProtection évaporateur arrièreAiles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multitempératures</v>
      </c>
      <c r="CF239" s="125"/>
      <c r="CG239" s="125"/>
      <c r="CH239" s="125"/>
      <c r="CI239" s="125"/>
      <c r="CJ239" s="125"/>
      <c r="CK239" s="125"/>
      <c r="CL239" s="125"/>
      <c r="CM239" s="125"/>
      <c r="CN239" s="125"/>
      <c r="CO239" s="125"/>
      <c r="CP239" s="125"/>
      <c r="CQ239" s="125"/>
      <c r="CX239" s="125"/>
      <c r="CY239" s="125"/>
      <c r="CZ239" s="125"/>
      <c r="DA239" s="125"/>
      <c r="DB239" s="125"/>
      <c r="DC239" s="125"/>
      <c r="DD239" s="125"/>
      <c r="DE239" s="125"/>
      <c r="DF239" s="125"/>
      <c r="DG239" s="125"/>
      <c r="DH239" s="125"/>
      <c r="DI239" s="125"/>
      <c r="DJ239" s="125"/>
      <c r="DK239" s="125"/>
    </row>
    <row r="240" spans="1:120" ht="33.75" hidden="1" outlineLevel="1" x14ac:dyDescent="0.25">
      <c r="A240" s="131" t="s">
        <v>3157</v>
      </c>
      <c r="B240" s="134" t="s">
        <v>424</v>
      </c>
      <c r="C240" s="134"/>
      <c r="D240" s="134"/>
      <c r="E240" s="138" t="s">
        <v>900</v>
      </c>
      <c r="F240" s="138" t="s">
        <v>2981</v>
      </c>
      <c r="G240" s="138"/>
      <c r="H240" s="138"/>
      <c r="I240" s="138"/>
      <c r="J240" s="138" t="s">
        <v>901</v>
      </c>
      <c r="K240" s="138"/>
      <c r="L240" s="138"/>
      <c r="M240" s="138"/>
      <c r="N240" s="138"/>
      <c r="O240" s="138"/>
      <c r="P240" s="138"/>
      <c r="Q240" s="138"/>
      <c r="R240" s="138"/>
      <c r="S240" s="138"/>
      <c r="T240" s="138"/>
      <c r="U240" s="138" t="s">
        <v>902</v>
      </c>
      <c r="V240" s="138" t="s">
        <v>903</v>
      </c>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1" t="str">
        <f t="shared" si="5"/>
        <v>ORideau relevable isotherme Smart Open-C (-150 kg CU)Label PIEK global (Caisse / groupe VECTOR 19 HE MT S2 City / hayon (-150 kg CU))1 niveau de rail d'arrimage en applique supplémentaire axé à ..... mm du plancher (-55 kg CU)Cloison mobile EASYFLEX 1/3 DR - 2/3 GACloison mobile EASYFLEX 1/3 GA - 2/3 DR</v>
      </c>
      <c r="CF240" s="125"/>
      <c r="CG240" s="125"/>
      <c r="CH240" s="125"/>
      <c r="CI240" s="125"/>
      <c r="CJ240" s="125"/>
      <c r="CK240" s="125"/>
      <c r="CL240" s="125"/>
      <c r="CM240" s="125"/>
      <c r="CN240" s="125"/>
      <c r="CO240" s="125"/>
      <c r="CP240" s="125"/>
      <c r="CQ240" s="125"/>
    </row>
    <row r="241" spans="1:119" ht="157.5" hidden="1" outlineLevel="1" x14ac:dyDescent="0.25">
      <c r="A241" s="131" t="s">
        <v>3160</v>
      </c>
      <c r="B241" s="134" t="s">
        <v>32</v>
      </c>
      <c r="C241" s="138" t="s">
        <v>693</v>
      </c>
      <c r="D241" s="138" t="s">
        <v>884</v>
      </c>
      <c r="E241" s="138" t="s">
        <v>628</v>
      </c>
      <c r="F241" s="138"/>
      <c r="G241" s="138" t="s">
        <v>696</v>
      </c>
      <c r="H241" s="138"/>
      <c r="I241" s="138" t="s">
        <v>697</v>
      </c>
      <c r="J241" s="138"/>
      <c r="K241" s="138" t="s">
        <v>779</v>
      </c>
      <c r="L241" s="138" t="s">
        <v>885</v>
      </c>
      <c r="M241" s="138" t="s">
        <v>678</v>
      </c>
      <c r="N241" s="138"/>
      <c r="O241" s="138"/>
      <c r="P241" s="138"/>
      <c r="Q241" s="138"/>
      <c r="R241" s="138"/>
      <c r="S241" s="138"/>
      <c r="T241" s="138"/>
      <c r="U241" s="138"/>
      <c r="V241" s="138"/>
      <c r="W241" s="138"/>
      <c r="X241" s="138"/>
      <c r="Y241" s="138"/>
      <c r="Z241" s="138"/>
      <c r="AA241" s="138" t="s">
        <v>3026</v>
      </c>
      <c r="AB241" s="138" t="s">
        <v>635</v>
      </c>
      <c r="AC241" s="138" t="s">
        <v>636</v>
      </c>
      <c r="AD241" s="138"/>
      <c r="AE241" s="138"/>
      <c r="AF241" s="138" t="s">
        <v>886</v>
      </c>
      <c r="AG241" s="138"/>
      <c r="AH241" s="138"/>
      <c r="AI241" s="138" t="s">
        <v>887</v>
      </c>
      <c r="AJ241" s="138"/>
      <c r="AK241" s="138" t="s">
        <v>904</v>
      </c>
      <c r="AL241" s="138" t="s">
        <v>905</v>
      </c>
      <c r="AM241" s="138"/>
      <c r="AN241" s="138" t="s">
        <v>658</v>
      </c>
      <c r="AO241" s="138"/>
      <c r="AP241" s="138" t="s">
        <v>659</v>
      </c>
      <c r="AQ241" s="138"/>
      <c r="AR241" s="138" t="s">
        <v>890</v>
      </c>
      <c r="AS241" s="138" t="s">
        <v>891</v>
      </c>
      <c r="AT241" s="138" t="s">
        <v>906</v>
      </c>
      <c r="AU241" s="138" t="s">
        <v>907</v>
      </c>
      <c r="AV241" s="138" t="s">
        <v>892</v>
      </c>
      <c r="AW241" s="138" t="s">
        <v>893</v>
      </c>
      <c r="AX241" s="138" t="s">
        <v>702</v>
      </c>
      <c r="AY241" s="138" t="s">
        <v>894</v>
      </c>
      <c r="AZ241" s="138" t="s">
        <v>895</v>
      </c>
      <c r="BA241" s="138" t="s">
        <v>896</v>
      </c>
      <c r="BB241" s="138" t="s">
        <v>897</v>
      </c>
      <c r="BC241" s="138" t="s">
        <v>898</v>
      </c>
      <c r="BD241" s="138"/>
      <c r="BE241" s="138" t="s">
        <v>661</v>
      </c>
      <c r="BF241" s="138" t="s">
        <v>707</v>
      </c>
      <c r="BG241" s="138"/>
      <c r="BH241" s="138" t="s">
        <v>691</v>
      </c>
      <c r="BI241" s="138" t="s">
        <v>683</v>
      </c>
      <c r="BJ241" s="138" t="s">
        <v>708</v>
      </c>
      <c r="BK241" s="138"/>
      <c r="BL241" s="138"/>
      <c r="BM241" s="138" t="s">
        <v>899</v>
      </c>
      <c r="BN241" s="138"/>
      <c r="BO241" s="138"/>
      <c r="BP241" s="138"/>
      <c r="BQ241" s="138" t="s">
        <v>768</v>
      </c>
      <c r="BR241" s="138"/>
      <c r="BS241" s="138"/>
      <c r="BT241" s="138"/>
      <c r="BU241" s="138"/>
      <c r="BV241" s="138"/>
      <c r="BW241" s="131" t="str">
        <f t="shared" si="5"/>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rampePlaque acier galvanisée 150 mm x 150 mm sur paroi latérale à l'arrière droit pour télécommande filaire du hayon -AMENAGEMENTS : Revêtement extérieur et intérieur des parois en polyester blanc (RAL 9016)Cloison tranversale mobile et relevable EASYFLEX 1/2 - 1/2 avec sangles d'aide au relevageProtections bas de parois latérales en aluminium hauteur 250 mm 1 niveau de rail d'arrimage acier galvanisé en applique sur parois latérales axé à 1400 mm du plancher1 niveau de rail d'arrimage acier galvanisé encastré sur parois latérales axé à 785 mm du plancher4 sangles d'arrimage à tension manuellePlancher renforcé avec résine grise antidérapante2 siphons d'évacuation à l'arrièrePlatelage aluminium antidérapant à l'arrière profondeur 1200 mm12 rails verticaux encastrés pour double plancher23 poutres capacité 1000 kg pour double plancherBuse de diffusion d'air avec 1 gaine au pavillon4 plafonniers LED avec détecteur de présenceTraverse arrière renforcée avec butoirs à rouleaux en acierCoffre à outils plastique grand modèle dans l'empattement gaucheCoffre porte document en face avantExtincteur 6 kg dans son coffreProtection évaporateur arrièreAiles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multitempératures</v>
      </c>
      <c r="CF241" s="125"/>
      <c r="CG241" s="125"/>
      <c r="CH241" s="125"/>
      <c r="CI241" s="125"/>
      <c r="CJ241" s="125"/>
      <c r="CK241" s="125"/>
      <c r="CL241" s="125"/>
      <c r="CM241" s="125"/>
      <c r="CN241" s="125"/>
      <c r="CO241" s="125"/>
      <c r="CP241" s="125"/>
      <c r="CQ241" s="125"/>
      <c r="CX241" s="125"/>
      <c r="CY241" s="125"/>
      <c r="CZ241" s="125"/>
      <c r="DA241" s="125"/>
      <c r="DB241" s="125"/>
      <c r="DC241" s="125"/>
      <c r="DD241" s="125"/>
      <c r="DE241" s="125"/>
      <c r="DF241" s="125"/>
      <c r="DG241" s="125"/>
      <c r="DH241" s="125"/>
      <c r="DI241" s="125"/>
    </row>
    <row r="242" spans="1:119" ht="45" hidden="1" outlineLevel="1" x14ac:dyDescent="0.25">
      <c r="A242" s="131" t="s">
        <v>3158</v>
      </c>
      <c r="B242" s="134" t="s">
        <v>424</v>
      </c>
      <c r="C242" s="134"/>
      <c r="D242" s="134"/>
      <c r="E242" s="138" t="s">
        <v>900</v>
      </c>
      <c r="F242" s="138" t="s">
        <v>2981</v>
      </c>
      <c r="G242" s="138"/>
      <c r="H242" s="138"/>
      <c r="I242" s="138"/>
      <c r="J242" s="138"/>
      <c r="K242" s="138"/>
      <c r="L242" s="138"/>
      <c r="M242" s="138"/>
      <c r="N242" s="138"/>
      <c r="O242" s="138"/>
      <c r="P242" s="138"/>
      <c r="Q242" s="138"/>
      <c r="R242" s="138" t="s">
        <v>908</v>
      </c>
      <c r="S242" s="138" t="s">
        <v>909</v>
      </c>
      <c r="T242" s="138"/>
      <c r="U242" s="138" t="s">
        <v>902</v>
      </c>
      <c r="V242" s="138" t="s">
        <v>903</v>
      </c>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1" t="str">
        <f t="shared" si="5"/>
        <v>ORideau relevable isotherme Smart Open-C (-150 kg CU)Label PIEK global (Caisse / groupe VECTOR 19 HE MT S2 City / hayon (-150 kg CU))Hauteur intérieure 2700 mm (hauteur hors tout 4120 mm avec hauteur d'attelage 1150 mm)Hauteur intérieure 2800 mm (Hauteur hors tout 4220 mm avec hauteur d'attelage 1150 mm)Cloison mobile EASYFLEX 1/3 DR - 2/3 GACloison mobile EASYFLEX 1/3 GA - 2/3 DR</v>
      </c>
      <c r="CF242" s="125"/>
      <c r="CG242" s="125"/>
      <c r="CH242" s="125"/>
      <c r="CI242" s="125"/>
      <c r="CJ242" s="125"/>
      <c r="CK242" s="125"/>
      <c r="CL242" s="125"/>
      <c r="CM242" s="125"/>
      <c r="CN242" s="125"/>
      <c r="CO242" s="125"/>
      <c r="CP242" s="125"/>
      <c r="CQ242" s="125"/>
    </row>
    <row r="243" spans="1:119" ht="33.75" hidden="1" outlineLevel="1" x14ac:dyDescent="0.25">
      <c r="A243" s="134" t="s">
        <v>3139</v>
      </c>
      <c r="B243" s="134" t="s">
        <v>424</v>
      </c>
      <c r="C243" s="134"/>
      <c r="D243" s="138"/>
      <c r="E243" s="138"/>
      <c r="F243" s="138"/>
      <c r="G243" s="138"/>
      <c r="H243" s="138"/>
      <c r="I243" s="138"/>
      <c r="J243" s="138" t="s">
        <v>2968</v>
      </c>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1" t="str">
        <f t="shared" si="5"/>
        <v>O1 niveau de rail d'arrimage aluminium supplémentaire en applique sur 3 faces axé à ..... mm du plancher (-17 kg CU)</v>
      </c>
      <c r="CF243" s="125"/>
      <c r="CG243" s="125"/>
      <c r="CH243" s="125"/>
      <c r="CI243" s="125"/>
      <c r="CJ243" s="125"/>
      <c r="CK243" s="125"/>
      <c r="CL243" s="125"/>
      <c r="CM243" s="125"/>
      <c r="CN243" s="125"/>
      <c r="CO243" s="125"/>
      <c r="CP243" s="125"/>
      <c r="CQ243" s="125"/>
    </row>
    <row r="244" spans="1:119" ht="135" hidden="1" outlineLevel="1" x14ac:dyDescent="0.25">
      <c r="A244" s="134" t="s">
        <v>3134</v>
      </c>
      <c r="B244" s="134" t="s">
        <v>32</v>
      </c>
      <c r="C244" s="138" t="s">
        <v>647</v>
      </c>
      <c r="D244" s="138" t="s">
        <v>674</v>
      </c>
      <c r="E244" s="138" t="s">
        <v>628</v>
      </c>
      <c r="F244" s="138" t="s">
        <v>650</v>
      </c>
      <c r="G244" s="138" t="s">
        <v>651</v>
      </c>
      <c r="H244" s="138" t="s">
        <v>631</v>
      </c>
      <c r="I244" s="138" t="s">
        <v>756</v>
      </c>
      <c r="J244" s="138"/>
      <c r="K244" s="138" t="s">
        <v>940</v>
      </c>
      <c r="L244" s="138" t="s">
        <v>758</v>
      </c>
      <c r="M244" s="138"/>
      <c r="N244" s="138" t="s">
        <v>941</v>
      </c>
      <c r="O244" s="138"/>
      <c r="P244" s="138" t="s">
        <v>943</v>
      </c>
      <c r="Q244" s="138" t="s">
        <v>760</v>
      </c>
      <c r="R244" s="138" t="s">
        <v>942</v>
      </c>
      <c r="S244" s="138"/>
      <c r="T244" s="138" t="s">
        <v>655</v>
      </c>
      <c r="U244" s="138" t="s">
        <v>425</v>
      </c>
      <c r="V244" s="138"/>
      <c r="W244" s="138"/>
      <c r="X244" s="138"/>
      <c r="Y244" s="138"/>
      <c r="Z244" s="138" t="s">
        <v>654</v>
      </c>
      <c r="AA244" s="138" t="s">
        <v>3026</v>
      </c>
      <c r="AB244" s="138" t="s">
        <v>635</v>
      </c>
      <c r="AC244" s="138" t="s">
        <v>636</v>
      </c>
      <c r="AD244" s="138"/>
      <c r="AE244" s="138"/>
      <c r="AF244" s="138" t="s">
        <v>944</v>
      </c>
      <c r="AG244" s="138"/>
      <c r="AH244" s="138"/>
      <c r="AI244" s="138" t="s">
        <v>656</v>
      </c>
      <c r="AJ244" s="138"/>
      <c r="AK244" s="138" t="s">
        <v>945</v>
      </c>
      <c r="AL244" s="138" t="s">
        <v>946</v>
      </c>
      <c r="AM244" s="138"/>
      <c r="AN244" s="138"/>
      <c r="AO244" s="138"/>
      <c r="AP244" s="138" t="s">
        <v>659</v>
      </c>
      <c r="AQ244" s="138"/>
      <c r="AR244" s="138" t="s">
        <v>640</v>
      </c>
      <c r="AS244" s="138"/>
      <c r="AT244" s="138"/>
      <c r="AU244" s="138"/>
      <c r="AV244" s="138"/>
      <c r="AW244" s="138" t="s">
        <v>681</v>
      </c>
      <c r="AX244" s="138"/>
      <c r="AY244" s="138"/>
      <c r="AZ244" s="138"/>
      <c r="BA244" s="138"/>
      <c r="BB244" s="138" t="s">
        <v>767</v>
      </c>
      <c r="BC244" s="138"/>
      <c r="BD244" s="138"/>
      <c r="BE244" s="138" t="s">
        <v>661</v>
      </c>
      <c r="BF244" s="138" t="s">
        <v>662</v>
      </c>
      <c r="BG244" s="138" t="s">
        <v>664</v>
      </c>
      <c r="BH244" s="138"/>
      <c r="BI244" s="138" t="s">
        <v>663</v>
      </c>
      <c r="BJ244" s="138"/>
      <c r="BK244" s="138"/>
      <c r="BL244" s="138"/>
      <c r="BM244" s="138"/>
      <c r="BN244" s="138"/>
      <c r="BO244" s="138"/>
      <c r="BP244" s="138"/>
      <c r="BQ244" s="138" t="s">
        <v>768</v>
      </c>
      <c r="BR244" s="138"/>
      <c r="BS244" s="138"/>
      <c r="BT244" s="138"/>
      <c r="BU244" s="138"/>
      <c r="BV244" s="138"/>
      <c r="BW244" s="131" t="str">
        <f t="shared" si="5"/>
        <v>PIsolation renforcée URBANCadre arrière 2 vantaux ouverture totale (porte droite prioritaire)1 crémone avec poignée sur chaque vantailFermeture centraliséeArrêts de portes arrière à 270° aimantés SimpleLockArrêts de portes arrière à 110°Déverrouillage interne porte arrière droiteRideau d'air arrière (Hauteur sous rideau d'air 1900 mm)Marchepied arrière basculant 2 marches en aluminiumPorte latérale battante largeur 800 mm à 450 mm de l'avant droit avec déverrouillage interne avec une sangle montoir à droite et à gauche fixée dans le champs de l'huisserieRideau à lanières fixe latéralEtrier latéral télescopique 2 marches avec buzzer en cabineArrêt de porte latéraleProfil face avant aérodynamiqueDéflecteur de cabineFaux châssis RigidLink -AMENAGEMENTS : Revêtement extérieur et intérieur des parois en polyester blanc (RAL 9016)Cloison mobile légère relevable transversale (Hauteur sous cloisons 1790 mm)Protections bas de parois latérales et avant en aluminium hauteur 250 mm1 niveau de rail d'arrimage aluminium en applique sur 3 faces (sauf porte latérale) axé à 700 mm du plancher1 niveau de rail d'arrimage spécial rolls sur 3 faces (sauf porte latérale) axé à 1050 mm du plancherPlancher renforcé avec résine grise antidérapante2 siphons d'évacuation d'eau2 plafonniers LED avec détecteur de présenceAiles plastiques avec bavettesPares cyclistes latéraux URBAN2 feux stop en haut de cadrePhares de travail en haut de cadre. Bandeau LED commandé à l'ouverture des portesTélématique SAMSARA pack PRO multitempératures</v>
      </c>
      <c r="CF244" s="125"/>
      <c r="CG244" s="125"/>
      <c r="CH244" s="125"/>
      <c r="CI244" s="125"/>
      <c r="CJ244" s="125"/>
      <c r="CK244" s="125"/>
      <c r="CL244" s="125"/>
      <c r="CM244" s="125"/>
      <c r="CN244" s="125"/>
      <c r="CO244" s="125"/>
      <c r="CP244" s="125"/>
      <c r="CQ244" s="125"/>
      <c r="CX244" s="125"/>
      <c r="CY244" s="125"/>
      <c r="CZ244" s="125"/>
      <c r="DA244" s="125"/>
      <c r="DB244" s="125"/>
      <c r="DC244" s="125"/>
      <c r="DD244" s="125"/>
      <c r="DE244" s="125"/>
      <c r="DF244" s="125"/>
      <c r="DG244" s="125"/>
      <c r="DH244" s="125"/>
      <c r="DI244" s="125"/>
      <c r="DJ244" s="125"/>
      <c r="DK244" s="125"/>
      <c r="DL244" s="125"/>
      <c r="DM244" s="125"/>
    </row>
    <row r="245" spans="1:119" ht="56.25" hidden="1" outlineLevel="1" x14ac:dyDescent="0.25">
      <c r="A245" s="134" t="s">
        <v>3123</v>
      </c>
      <c r="B245" s="134" t="s">
        <v>424</v>
      </c>
      <c r="C245" s="134"/>
      <c r="D245" s="134"/>
      <c r="E245" s="134"/>
      <c r="F245" s="134"/>
      <c r="G245" s="138"/>
      <c r="H245" s="138"/>
      <c r="I245" s="138"/>
      <c r="J245" s="138"/>
      <c r="K245" s="138"/>
      <c r="L245" s="138" t="s">
        <v>957</v>
      </c>
      <c r="M245" s="138"/>
      <c r="N245" s="138"/>
      <c r="O245" s="138" t="s">
        <v>666</v>
      </c>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1" t="str">
        <f t="shared" si="5"/>
        <v>OPoignée d'arrimage spécial rolls (Qté ….. / Diamètre 25 / 35 / 45 mm) (-1 kg CU par poignée)Coffre (sans clé) pour rallonge électrique du groupe frigorifique positionné à l'arrière gauche (-12 kg CU)</v>
      </c>
      <c r="CF245" s="125"/>
      <c r="CG245" s="125"/>
      <c r="CH245" s="125"/>
      <c r="CI245" s="125"/>
      <c r="CJ245" s="125"/>
      <c r="CK245" s="125"/>
      <c r="CL245" s="125"/>
      <c r="CM245" s="125"/>
      <c r="CN245" s="125"/>
      <c r="CO245" s="125"/>
      <c r="CP245" s="125"/>
      <c r="CQ245" s="125"/>
    </row>
    <row r="246" spans="1:119" ht="135" hidden="1" outlineLevel="1" x14ac:dyDescent="0.25">
      <c r="A246" s="134" t="s">
        <v>3133</v>
      </c>
      <c r="B246" s="134" t="s">
        <v>32</v>
      </c>
      <c r="C246" s="138" t="s">
        <v>647</v>
      </c>
      <c r="D246" s="138" t="s">
        <v>674</v>
      </c>
      <c r="E246" s="138" t="s">
        <v>628</v>
      </c>
      <c r="F246" s="138" t="s">
        <v>650</v>
      </c>
      <c r="G246" s="138" t="s">
        <v>651</v>
      </c>
      <c r="H246" s="138" t="s">
        <v>631</v>
      </c>
      <c r="I246" s="138" t="s">
        <v>756</v>
      </c>
      <c r="J246" s="138"/>
      <c r="K246" s="138" t="s">
        <v>940</v>
      </c>
      <c r="L246" s="138"/>
      <c r="M246" s="138"/>
      <c r="N246" s="138" t="s">
        <v>941</v>
      </c>
      <c r="O246" s="138"/>
      <c r="P246" s="138" t="s">
        <v>943</v>
      </c>
      <c r="Q246" s="138" t="s">
        <v>760</v>
      </c>
      <c r="R246" s="138" t="s">
        <v>761</v>
      </c>
      <c r="S246" s="138"/>
      <c r="T246" s="138" t="s">
        <v>655</v>
      </c>
      <c r="U246" s="138" t="s">
        <v>425</v>
      </c>
      <c r="V246" s="138"/>
      <c r="W246" s="138"/>
      <c r="X246" s="138"/>
      <c r="Y246" s="138"/>
      <c r="Z246" s="138" t="s">
        <v>654</v>
      </c>
      <c r="AA246" s="138" t="s">
        <v>3026</v>
      </c>
      <c r="AB246" s="138" t="s">
        <v>635</v>
      </c>
      <c r="AC246" s="138" t="s">
        <v>636</v>
      </c>
      <c r="AD246" s="138"/>
      <c r="AE246" s="138"/>
      <c r="AF246" s="138" t="s">
        <v>944</v>
      </c>
      <c r="AG246" s="138"/>
      <c r="AH246" s="138"/>
      <c r="AI246" s="138" t="s">
        <v>656</v>
      </c>
      <c r="AJ246" s="138"/>
      <c r="AK246" s="138" t="s">
        <v>945</v>
      </c>
      <c r="AL246" s="138" t="s">
        <v>946</v>
      </c>
      <c r="AM246" s="138"/>
      <c r="AN246" s="138"/>
      <c r="AO246" s="138"/>
      <c r="AP246" s="138" t="s">
        <v>659</v>
      </c>
      <c r="AQ246" s="138"/>
      <c r="AR246" s="138" t="s">
        <v>640</v>
      </c>
      <c r="AS246" s="138"/>
      <c r="AT246" s="138"/>
      <c r="AU246" s="138"/>
      <c r="AV246" s="138"/>
      <c r="AW246" s="138" t="s">
        <v>681</v>
      </c>
      <c r="AX246" s="138"/>
      <c r="AY246" s="138"/>
      <c r="AZ246" s="138"/>
      <c r="BA246" s="138"/>
      <c r="BB246" s="138" t="s">
        <v>767</v>
      </c>
      <c r="BC246" s="138"/>
      <c r="BD246" s="138"/>
      <c r="BE246" s="138" t="s">
        <v>661</v>
      </c>
      <c r="BF246" s="138" t="s">
        <v>662</v>
      </c>
      <c r="BG246" s="138" t="s">
        <v>664</v>
      </c>
      <c r="BH246" s="138"/>
      <c r="BI246" s="138" t="s">
        <v>663</v>
      </c>
      <c r="BJ246" s="138"/>
      <c r="BK246" s="138"/>
      <c r="BL246" s="138"/>
      <c r="BM246" s="138"/>
      <c r="BN246" s="138"/>
      <c r="BO246" s="138"/>
      <c r="BP246" s="138"/>
      <c r="BQ246" s="138" t="s">
        <v>768</v>
      </c>
      <c r="BR246" s="138"/>
      <c r="BS246" s="138"/>
      <c r="BT246" s="138"/>
      <c r="BU246" s="138"/>
      <c r="BV246" s="138"/>
      <c r="BW246" s="131" t="str">
        <f t="shared" si="5"/>
        <v>PIsolation renforcée URBANCadre arrière 2 vantaux ouverture totale (porte droite prioritaire)1 crémone avec poignée sur chaque vantailFermeture centraliséeArrêts de portes arrière à 270° aimantés SimpleLockArrêts de portes arrière à 110°Déverrouillage interne porte arrière droiteRideau d'air arrière (Hauteur sous rideau d'air 1900 mm)Porte latérale battante largeur 800 mm à 450 mm de l'avant droit avec déverrouillage interne avec une sangle montoir à droite et à gauche fixée dans le champs de l'huisserieRideau à lanières fixe latéralEtrier latéral télescopique 2 marches avec buzzer en cabineArrêts de portes latérauxProfil face avant aérodynamiqueDéflecteur de cabineFaux châssis RigidLink -AMENAGEMENTS : Revêtement extérieur et intérieur des parois en polyester blanc (RAL 9016)Cloison mobile légère relevable transversale (Hauteur sous cloisons 1790 mm)Protections bas de parois latérales et avant en aluminium hauteur 250 mm1 niveau de rail d'arrimage aluminium en applique sur 3 faces (sauf porte latérale) axé à 700 mm du plancher1 niveau de rail d'arrimage spécial rolls sur 3 faces (sauf porte latérale) axé à 1050 mm du plancherPlancher renforcé avec résine grise antidérapante2 siphons d'évacuation d'eau2 plafonniers LED avec détecteur de présenceAiles plastiques avec bavettesPares cyclistes latéraux URBAN2 feux stop en haut de cadrePhares de travail en haut de cadre. Bandeau LED commandé à l'ouverture des portesTélématique SAMSARA pack PRO multitempératures</v>
      </c>
      <c r="CF246" s="125"/>
      <c r="CG246" s="125"/>
      <c r="CH246" s="125"/>
      <c r="CI246" s="125"/>
      <c r="CJ246" s="125"/>
      <c r="CK246" s="125"/>
      <c r="CL246" s="125"/>
      <c r="CM246" s="125"/>
      <c r="CN246" s="125"/>
      <c r="CO246" s="125"/>
      <c r="CP246" s="125"/>
      <c r="CQ246" s="125"/>
      <c r="CX246" s="125"/>
      <c r="CY246" s="125"/>
      <c r="CZ246" s="125"/>
      <c r="DA246" s="125"/>
      <c r="DB246" s="125"/>
      <c r="DC246" s="125"/>
      <c r="DD246" s="125"/>
      <c r="DE246" s="125"/>
      <c r="DF246" s="125"/>
      <c r="DG246" s="125"/>
      <c r="DH246" s="125"/>
      <c r="DI246" s="125"/>
      <c r="DJ246" s="125"/>
      <c r="DK246" s="125"/>
      <c r="DL246" s="125"/>
      <c r="DM246" s="125"/>
      <c r="DN246" s="125"/>
    </row>
    <row r="247" spans="1:119" ht="157.5" hidden="1" outlineLevel="1" x14ac:dyDescent="0.25">
      <c r="A247" s="134" t="s">
        <v>3084</v>
      </c>
      <c r="B247" s="134" t="s">
        <v>32</v>
      </c>
      <c r="C247" s="138" t="s">
        <v>626</v>
      </c>
      <c r="D247" s="138" t="s">
        <v>947</v>
      </c>
      <c r="E247" s="138" t="s">
        <v>628</v>
      </c>
      <c r="F247" s="138" t="s">
        <v>629</v>
      </c>
      <c r="G247" s="138" t="s">
        <v>675</v>
      </c>
      <c r="H247" s="138" t="s">
        <v>631</v>
      </c>
      <c r="I247" s="138" t="s">
        <v>948</v>
      </c>
      <c r="J247" s="138"/>
      <c r="K247" s="138" t="s">
        <v>949</v>
      </c>
      <c r="L247" s="138" t="s">
        <v>677</v>
      </c>
      <c r="M247" s="138" t="s">
        <v>678</v>
      </c>
      <c r="N247" s="138" t="s">
        <v>950</v>
      </c>
      <c r="O247" s="138"/>
      <c r="P247" s="138" t="s">
        <v>943</v>
      </c>
      <c r="Q247" s="138" t="s">
        <v>760</v>
      </c>
      <c r="R247" s="138" t="s">
        <v>761</v>
      </c>
      <c r="S247" s="138"/>
      <c r="T247" s="138"/>
      <c r="U247" s="138"/>
      <c r="V247" s="138"/>
      <c r="W247" s="138"/>
      <c r="X247" s="138"/>
      <c r="Y247" s="138"/>
      <c r="Z247" s="138" t="s">
        <v>679</v>
      </c>
      <c r="AA247" s="138" t="s">
        <v>3026</v>
      </c>
      <c r="AB247" s="138" t="s">
        <v>635</v>
      </c>
      <c r="AC247" s="138" t="s">
        <v>636</v>
      </c>
      <c r="AD247" s="138"/>
      <c r="AE247" s="138"/>
      <c r="AF247" s="138" t="s">
        <v>951</v>
      </c>
      <c r="AG247" s="138"/>
      <c r="AH247" s="138"/>
      <c r="AI247" s="138" t="s">
        <v>670</v>
      </c>
      <c r="AJ247" s="138"/>
      <c r="AK247" s="138" t="s">
        <v>928</v>
      </c>
      <c r="AL247" s="138" t="s">
        <v>929</v>
      </c>
      <c r="AM247" s="138"/>
      <c r="AN247" s="138"/>
      <c r="AO247" s="138"/>
      <c r="AP247" s="138" t="s">
        <v>659</v>
      </c>
      <c r="AQ247" s="138"/>
      <c r="AR247" s="138" t="s">
        <v>952</v>
      </c>
      <c r="AS247" s="138"/>
      <c r="AT247" s="138"/>
      <c r="AU247" s="138"/>
      <c r="AV247" s="138"/>
      <c r="AW247" s="138" t="s">
        <v>776</v>
      </c>
      <c r="AX247" s="138"/>
      <c r="AY247" s="138"/>
      <c r="AZ247" s="138"/>
      <c r="BA247" s="138"/>
      <c r="BB247" s="138" t="s">
        <v>767</v>
      </c>
      <c r="BC247" s="138"/>
      <c r="BD247" s="138"/>
      <c r="BE247" s="138" t="s">
        <v>661</v>
      </c>
      <c r="BF247" s="138" t="s">
        <v>682</v>
      </c>
      <c r="BG247" s="138"/>
      <c r="BH247" s="138"/>
      <c r="BI247" s="138" t="s">
        <v>953</v>
      </c>
      <c r="BJ247" s="138"/>
      <c r="BK247" s="138"/>
      <c r="BL247" s="138"/>
      <c r="BM247" s="138"/>
      <c r="BN247" s="138"/>
      <c r="BO247" s="138"/>
      <c r="BP247" s="138"/>
      <c r="BQ247" s="138" t="s">
        <v>768</v>
      </c>
      <c r="BR247" s="138"/>
      <c r="BS247" s="138"/>
      <c r="BT247" s="138"/>
      <c r="BU247" s="138"/>
      <c r="BV247" s="138"/>
      <c r="BW247" s="131" t="str">
        <f t="shared" si="5"/>
        <v>PIsolation renforcée CFLCadre arrière 3 vantaux ouverture totale. Porte centrale largeur 950 mm rabattable vers la droite.1 crémone avec poignée sur chaque vantailFermeture manuelle à cléArrêts de portes arrière à ressort à 270°Arrêts de portes arrière à 110°Déverrouillage interne porte arrière centraleRideau d'air arrière (Hauteur sous rideau d'air 2000 mm)Escabeau arrière coulissant 4 marches avec poignée et première marche antipincementPlaque acier galvanisée 150 mm x 150 mm sur paroi latérale à l'arrière droit pour télécommande filaire du hayonPorte latérale battante double vantaux largeur 1000 mm à 200 mm de l'avant droit avec déverrouillage interne avec une sangle montoir à droite et à gauche fixée dans le champs de l'huisserieRideau à lanières fixe latéralEtrier latéral télescopique 2 marches avec buzzer en cabineArrêts de portes latérauxFaux châssis acier galvanisé -AMENAGEMENTS : Revêtement extérieur et intérieur des parois en polyester blanc (RAL 9016)Cloison mobile relevable transversale avec porte coulissante double centrée largeur de passage 920 mm et hauteur 1920 mm (Hauteur sous cloison 1935 mm)Protections bas de parois latérales et avant en aluminium hauteur 450 mm (250 mm + 200 mm)1 niveau de rail d'arrimage acier galvanisé en applique sur 3 faces (sauf portes latérales) axé à 700 mm du plancher1 niveau de rail d'arrimage spécial rolls sur 3 faces (sauf portes latérales) axé à 1050 mm du plancherPlancher renforcé avec résine grise antidérapante4 siphons d'évacuation d'eau3 plafonniers LED avec détecteur de présenceAiles plastiques avec bavettesPares cyclistes latérauxPhares de travail en haut de cadre commandés à l'ouverture des portesTélématique SAMSARA pack PRO multitempératures</v>
      </c>
      <c r="CF247" s="125"/>
      <c r="CG247" s="125"/>
      <c r="CH247" s="125"/>
      <c r="CI247" s="125"/>
      <c r="CJ247" s="125"/>
      <c r="CK247" s="125"/>
      <c r="CL247" s="125"/>
      <c r="CM247" s="125"/>
      <c r="CN247" s="125"/>
      <c r="CO247" s="125"/>
      <c r="CP247" s="125"/>
      <c r="CQ247" s="125"/>
      <c r="CX247" s="125"/>
      <c r="CY247" s="125"/>
      <c r="CZ247" s="125"/>
      <c r="DA247" s="125"/>
      <c r="DB247" s="125"/>
      <c r="DC247" s="125"/>
      <c r="DD247" s="125"/>
      <c r="DE247" s="125"/>
      <c r="DF247" s="125"/>
      <c r="DG247" s="125"/>
      <c r="DH247" s="125"/>
      <c r="DI247" s="125"/>
      <c r="DJ247" s="125"/>
      <c r="DK247" s="125"/>
      <c r="DL247" s="125"/>
      <c r="DM247" s="125"/>
      <c r="DN247" s="125"/>
      <c r="DO247" s="125"/>
    </row>
    <row r="248" spans="1:119" ht="56.25" hidden="1" outlineLevel="1" x14ac:dyDescent="0.25">
      <c r="A248" s="134" t="s">
        <v>3086</v>
      </c>
      <c r="B248" s="134" t="s">
        <v>424</v>
      </c>
      <c r="C248" s="134"/>
      <c r="D248" s="134"/>
      <c r="E248" s="134"/>
      <c r="F248" s="134"/>
      <c r="G248" s="138"/>
      <c r="H248" s="138"/>
      <c r="I248" s="138"/>
      <c r="J248" s="138"/>
      <c r="K248" s="138"/>
      <c r="L248" s="138" t="s">
        <v>957</v>
      </c>
      <c r="M248" s="138" t="s">
        <v>931</v>
      </c>
      <c r="N248" s="138"/>
      <c r="O248" s="138" t="s">
        <v>954</v>
      </c>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1" t="str">
        <f t="shared" si="5"/>
        <v>OPoignée d'arrimage spécial rolls (Qté ….. / Diamètre 25 / 35 / 45 mm) (-1 kg CU par poignée)Phares de travail en haut de cadre commandés à l'alimentation du hayon élévateurPrise secteur dans un coffre sans clé à l'arrière gauche avec socle fixé à l'horizontale et rallonge de 10 mètres (-12 kg CU)</v>
      </c>
      <c r="CF248" s="125"/>
      <c r="CG248" s="125"/>
      <c r="CH248" s="125"/>
      <c r="CI248" s="125"/>
      <c r="CJ248" s="125"/>
      <c r="CK248" s="125"/>
      <c r="CL248" s="125"/>
      <c r="CM248" s="125"/>
      <c r="CN248" s="125"/>
      <c r="CO248" s="125"/>
      <c r="CP248" s="125"/>
      <c r="CQ248" s="125"/>
    </row>
    <row r="249" spans="1:119" ht="180" hidden="1" outlineLevel="1" x14ac:dyDescent="0.25">
      <c r="A249" s="131" t="s">
        <v>3142</v>
      </c>
      <c r="B249" s="134" t="s">
        <v>32</v>
      </c>
      <c r="C249" s="138" t="s">
        <v>693</v>
      </c>
      <c r="D249" s="138" t="s">
        <v>778</v>
      </c>
      <c r="E249" s="138" t="s">
        <v>628</v>
      </c>
      <c r="F249" s="138"/>
      <c r="G249" s="138" t="s">
        <v>696</v>
      </c>
      <c r="H249" s="138" t="s">
        <v>631</v>
      </c>
      <c r="I249" s="138" t="s">
        <v>780</v>
      </c>
      <c r="J249" s="138" t="s">
        <v>698</v>
      </c>
      <c r="K249" s="138" t="s">
        <v>779</v>
      </c>
      <c r="L249" s="138" t="s">
        <v>695</v>
      </c>
      <c r="M249" s="138" t="s">
        <v>678</v>
      </c>
      <c r="N249" s="138" t="s">
        <v>955</v>
      </c>
      <c r="O249" s="138"/>
      <c r="P249" s="138" t="s">
        <v>923</v>
      </c>
      <c r="Q249" s="138" t="s">
        <v>924</v>
      </c>
      <c r="R249" s="138" t="s">
        <v>761</v>
      </c>
      <c r="S249" s="138"/>
      <c r="T249" s="138"/>
      <c r="U249" s="138"/>
      <c r="V249" s="138"/>
      <c r="W249" s="138"/>
      <c r="X249" s="138"/>
      <c r="Y249" s="138"/>
      <c r="Z249" s="138"/>
      <c r="AA249" s="138" t="s">
        <v>3026</v>
      </c>
      <c r="AB249" s="138" t="s">
        <v>635</v>
      </c>
      <c r="AC249" s="138" t="s">
        <v>636</v>
      </c>
      <c r="AD249" s="138"/>
      <c r="AE249" s="138"/>
      <c r="AF249" s="138" t="s">
        <v>956</v>
      </c>
      <c r="AG249" s="138"/>
      <c r="AH249" s="138"/>
      <c r="AI249" s="138" t="s">
        <v>927</v>
      </c>
      <c r="AJ249" s="138"/>
      <c r="AK249" s="138" t="s">
        <v>928</v>
      </c>
      <c r="AL249" s="138" t="s">
        <v>929</v>
      </c>
      <c r="AM249" s="138"/>
      <c r="AN249" s="138"/>
      <c r="AO249" s="138"/>
      <c r="AP249" s="138" t="s">
        <v>659</v>
      </c>
      <c r="AQ249" s="138"/>
      <c r="AR249" s="138" t="s">
        <v>701</v>
      </c>
      <c r="AS249" s="138"/>
      <c r="AT249" s="138"/>
      <c r="AU249" s="138"/>
      <c r="AV249" s="138"/>
      <c r="AW249" s="138" t="s">
        <v>776</v>
      </c>
      <c r="AX249" s="138" t="s">
        <v>702</v>
      </c>
      <c r="AY249" s="138" t="s">
        <v>703</v>
      </c>
      <c r="AZ249" s="138"/>
      <c r="BA249" s="138" t="s">
        <v>705</v>
      </c>
      <c r="BB249" s="138" t="s">
        <v>767</v>
      </c>
      <c r="BC249" s="138"/>
      <c r="BD249" s="138" t="s">
        <v>706</v>
      </c>
      <c r="BE249" s="138" t="s">
        <v>661</v>
      </c>
      <c r="BF249" s="138" t="s">
        <v>707</v>
      </c>
      <c r="BG249" s="138"/>
      <c r="BH249" s="138" t="s">
        <v>691</v>
      </c>
      <c r="BI249" s="138" t="s">
        <v>930</v>
      </c>
      <c r="BJ249" s="138" t="s">
        <v>708</v>
      </c>
      <c r="BK249" s="138"/>
      <c r="BL249" s="138"/>
      <c r="BM249" s="138"/>
      <c r="BN249" s="138"/>
      <c r="BO249" s="138"/>
      <c r="BP249" s="138"/>
      <c r="BQ249" s="138" t="s">
        <v>768</v>
      </c>
      <c r="BR249" s="138"/>
      <c r="BS249" s="138"/>
      <c r="BT249" s="138"/>
      <c r="BU249" s="138"/>
      <c r="BV249" s="138"/>
      <c r="BW249" s="131" t="str">
        <f t="shared" si="5"/>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200 mm de l'avant droit avec deverrouillage interne avec une sangle montoir à droite et à gauche fixée dans le champs de l'huisserieRideau fixe à lanières latéralEtrier latéral télescopique 3 marches avec buzzer en cabineArrêts de portes latéraux -AMENAGEMENTS : Revêtement extérieur et intérieur des parois en polyester blanc (RAL 9016)Cloison mobile relevable transversale avec porte coulissante double centrée largeur de passage 920 mm et hauteur 1920 mm (Hauteur sous cloison 2035 mm)Protections bas de parois latérales et face avant en inox hauteur 450 mm 1 niveau de rail d'arrimage acier galvanisé en applique sur 3 faces (sauf portes latérales) axé à 700 mm du plancher1 niveau de rail d'arrimage spécial rolls sur 3 faces (sauf portes latérales) axé à 1050 mm du plancherPlancher renforcé avec résine grise antidérapante4 siphons d'évacuation3 plafonniers LED avec détecteur de présenceTraverse arrière renforcée avec butoirs à rouleaux en acierCoffre à outils plastique grand modèleExtincteur 6 kgPlage et échelle d'accès au groupe frigorifiqueAiles plastiques avec bavettesPares cyclistes latéraux relevablesFeux de gabarits arrière multifonctions en haut de cadrePhares de travail en haut de cadre commandé à l'ouverture des portes2 feux de recul supplémentaires à l'arrière dans le châssisTélématique SAMSARA pack PRO multitempératures</v>
      </c>
      <c r="CF249" s="125"/>
      <c r="CG249" s="125"/>
      <c r="CH249" s="125"/>
      <c r="CI249" s="125"/>
      <c r="CJ249" s="125"/>
      <c r="CK249" s="125"/>
      <c r="CL249" s="125"/>
      <c r="CM249" s="125"/>
      <c r="CN249" s="125"/>
      <c r="CO249" s="125"/>
      <c r="CP249" s="125"/>
      <c r="CQ249" s="125"/>
      <c r="CX249" s="125"/>
      <c r="CY249" s="125"/>
      <c r="CZ249" s="125"/>
      <c r="DA249" s="125"/>
      <c r="DB249" s="125"/>
      <c r="DC249" s="125"/>
      <c r="DD249" s="125"/>
      <c r="DE249" s="125"/>
      <c r="DF249" s="125"/>
      <c r="DG249" s="125"/>
      <c r="DH249" s="125"/>
      <c r="DI249" s="125"/>
      <c r="DJ249" s="125"/>
    </row>
    <row r="250" spans="1:119" ht="56.25" hidden="1" outlineLevel="1" x14ac:dyDescent="0.25">
      <c r="A250" s="131" t="s">
        <v>3092</v>
      </c>
      <c r="B250" s="134" t="s">
        <v>424</v>
      </c>
      <c r="C250" s="134"/>
      <c r="D250" s="134"/>
      <c r="E250" s="134"/>
      <c r="F250" s="134"/>
      <c r="G250" s="138"/>
      <c r="H250" s="138"/>
      <c r="I250" s="138"/>
      <c r="J250" s="138"/>
      <c r="K250" s="138"/>
      <c r="L250" s="138" t="s">
        <v>957</v>
      </c>
      <c r="M250" s="138" t="s">
        <v>931</v>
      </c>
      <c r="N250" s="138"/>
      <c r="O250" s="138" t="s">
        <v>666</v>
      </c>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1" t="str">
        <f t="shared" si="5"/>
        <v>OPoignée d'arrimage spécial rolls (Qté ….. / Diamètre 25 / 35 / 45 mm) (-1 kg CU par poignée)Phares de travail en haut de cadre commandés à l'alimentation du hayon élévateurCoffre (sans clé) pour rallonge électrique du groupe frigorifique positionné à l'arrière gauche (-12 kg CU)</v>
      </c>
      <c r="CF250" s="125"/>
      <c r="CG250" s="125"/>
      <c r="CH250" s="125"/>
      <c r="CI250" s="125"/>
      <c r="CJ250" s="125"/>
      <c r="CK250" s="125"/>
      <c r="CL250" s="125"/>
      <c r="CM250" s="125"/>
      <c r="CN250" s="125"/>
      <c r="CO250" s="125"/>
      <c r="CP250" s="125"/>
      <c r="CQ250" s="125"/>
    </row>
    <row r="251" spans="1:119" ht="180" hidden="1" outlineLevel="1" x14ac:dyDescent="0.25">
      <c r="A251" s="131" t="s">
        <v>3174</v>
      </c>
      <c r="B251" s="134" t="s">
        <v>32</v>
      </c>
      <c r="C251" s="138" t="s">
        <v>693</v>
      </c>
      <c r="D251" s="138" t="s">
        <v>778</v>
      </c>
      <c r="E251" s="138" t="s">
        <v>628</v>
      </c>
      <c r="F251" s="138"/>
      <c r="G251" s="138" t="s">
        <v>696</v>
      </c>
      <c r="H251" s="138" t="s">
        <v>631</v>
      </c>
      <c r="I251" s="138" t="s">
        <v>780</v>
      </c>
      <c r="J251" s="138" t="s">
        <v>698</v>
      </c>
      <c r="K251" s="138" t="s">
        <v>779</v>
      </c>
      <c r="L251" s="138" t="s">
        <v>695</v>
      </c>
      <c r="M251" s="138" t="s">
        <v>678</v>
      </c>
      <c r="N251" s="138" t="s">
        <v>955</v>
      </c>
      <c r="O251" s="138"/>
      <c r="P251" s="138" t="s">
        <v>923</v>
      </c>
      <c r="Q251" s="138" t="s">
        <v>924</v>
      </c>
      <c r="R251" s="138" t="s">
        <v>761</v>
      </c>
      <c r="S251" s="138"/>
      <c r="T251" s="138"/>
      <c r="U251" s="138"/>
      <c r="V251" s="138"/>
      <c r="W251" s="138"/>
      <c r="X251" s="138"/>
      <c r="Y251" s="138"/>
      <c r="Z251" s="138"/>
      <c r="AA251" s="138" t="s">
        <v>3026</v>
      </c>
      <c r="AB251" s="138" t="s">
        <v>635</v>
      </c>
      <c r="AC251" s="138" t="s">
        <v>636</v>
      </c>
      <c r="AD251" s="138"/>
      <c r="AE251" s="138"/>
      <c r="AF251" s="138" t="s">
        <v>958</v>
      </c>
      <c r="AG251" s="138"/>
      <c r="AH251" s="138"/>
      <c r="AI251" s="138" t="s">
        <v>927</v>
      </c>
      <c r="AJ251" s="138"/>
      <c r="AK251" s="138" t="s">
        <v>928</v>
      </c>
      <c r="AL251" s="138" t="s">
        <v>929</v>
      </c>
      <c r="AM251" s="138"/>
      <c r="AN251" s="138"/>
      <c r="AO251" s="138"/>
      <c r="AP251" s="138" t="s">
        <v>659</v>
      </c>
      <c r="AQ251" s="138"/>
      <c r="AR251" s="138" t="s">
        <v>701</v>
      </c>
      <c r="AS251" s="138"/>
      <c r="AT251" s="138"/>
      <c r="AU251" s="138"/>
      <c r="AV251" s="138"/>
      <c r="AW251" s="138" t="s">
        <v>776</v>
      </c>
      <c r="AX251" s="138" t="s">
        <v>702</v>
      </c>
      <c r="AY251" s="138" t="s">
        <v>703</v>
      </c>
      <c r="AZ251" s="138"/>
      <c r="BA251" s="138" t="s">
        <v>705</v>
      </c>
      <c r="BB251" s="138" t="s">
        <v>767</v>
      </c>
      <c r="BC251" s="138"/>
      <c r="BD251" s="138" t="s">
        <v>706</v>
      </c>
      <c r="BE251" s="138" t="s">
        <v>661</v>
      </c>
      <c r="BF251" s="138" t="s">
        <v>707</v>
      </c>
      <c r="BG251" s="138"/>
      <c r="BH251" s="138" t="s">
        <v>691</v>
      </c>
      <c r="BI251" s="138" t="s">
        <v>930</v>
      </c>
      <c r="BJ251" s="138" t="s">
        <v>708</v>
      </c>
      <c r="BK251" s="138"/>
      <c r="BL251" s="138"/>
      <c r="BM251" s="138"/>
      <c r="BN251" s="138"/>
      <c r="BO251" s="138"/>
      <c r="BP251" s="138"/>
      <c r="BQ251" s="138" t="s">
        <v>768</v>
      </c>
      <c r="BR251" s="138"/>
      <c r="BS251" s="138"/>
      <c r="BT251" s="138"/>
      <c r="BU251" s="138"/>
      <c r="BV251" s="138"/>
      <c r="BW251" s="131" t="str">
        <f t="shared" si="5"/>
        <v>PIsolation renforcéeCadre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200 mm de l'avant droit avec deverrouillage interne avec une sangle montoir à droite et à gauche fixée dans le champs de l'huisserieRideau fixe à lanières latéralEtrier latéral télescopique 3 marches avec buzzer en cabineArrêts de portes latéraux -AMENAGEMENTS : Revêtement extérieur et intérieur des parois en polyester blanc (RAL 9016)Cloison mobile relevable transversale avec porte coulissante double centrée largeur de passage 920 mm et hauteur 1920 mm (Hauteur sous cloison 2135 mm)Protections bas de parois latérales et face avant en inox hauteur 450 mm 1 niveau de rail d'arrimage acier galvanisé en applique sur 3 faces (sauf portes latérales) axé à 700 mm du plancher1 niveau de rail d'arrimage spécial rolls sur 3 faces (sauf portes latérales) axé à 1050 mm du plancherPlancher renforcé avec résine grise antidérapante4 siphons d'évacuation3 plafonniers LED avec détecteur de présenceTraverse arrière renforcée avec butoirs à rouleaux en acierCoffre à outils plastique grand modèleExtincteur 6 kgPlage et échelle d'accès au groupe frigorifiqueAiles plastiques avec bavettesPares cyclistes latéraux relevablesFeux de gabarits arrière multifonctions en haut de cadrePhares de travail en haut de cadre commandé à l'ouverture des portes2 feux de recul supplémentaires à l'arrière dans le châssisTélématique SAMSARA pack PRO multitempératures</v>
      </c>
      <c r="CF251" s="125"/>
      <c r="CG251" s="125"/>
      <c r="CH251" s="125"/>
      <c r="CI251" s="125"/>
      <c r="CJ251" s="125"/>
      <c r="CK251" s="125"/>
      <c r="CL251" s="125"/>
      <c r="CM251" s="125"/>
      <c r="CN251" s="125"/>
      <c r="CO251" s="125"/>
      <c r="CP251" s="125"/>
      <c r="CQ251" s="125"/>
      <c r="CX251" s="125"/>
      <c r="CY251" s="125"/>
      <c r="CZ251" s="125"/>
      <c r="DA251" s="125"/>
      <c r="DB251" s="125"/>
      <c r="DC251" s="125"/>
      <c r="DD251" s="125"/>
      <c r="DE251" s="125"/>
      <c r="DF251" s="125"/>
      <c r="DG251" s="125"/>
      <c r="DH251" s="125"/>
      <c r="DI251" s="125"/>
      <c r="DJ251" s="125"/>
    </row>
    <row r="252" spans="1:119" ht="56.25" hidden="1" outlineLevel="1" x14ac:dyDescent="0.25">
      <c r="A252" s="131" t="s">
        <v>3096</v>
      </c>
      <c r="B252" s="134" t="s">
        <v>424</v>
      </c>
      <c r="C252" s="134"/>
      <c r="D252" s="134"/>
      <c r="E252" s="134"/>
      <c r="F252" s="138" t="s">
        <v>2974</v>
      </c>
      <c r="G252" s="138"/>
      <c r="H252" s="138"/>
      <c r="I252" s="138"/>
      <c r="J252" s="138"/>
      <c r="K252" s="138"/>
      <c r="L252" s="138" t="s">
        <v>957</v>
      </c>
      <c r="M252" s="138" t="s">
        <v>931</v>
      </c>
      <c r="N252" s="138"/>
      <c r="O252" s="138" t="s">
        <v>666</v>
      </c>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1" t="str">
        <f t="shared" si="5"/>
        <v>OLabel PIEK global (Caisse / groupe SUPRA 1250 City / hayon (-247 kg CU))Poignée d'arrimage spécial rolls (Qté ….. / Diamètre 25 / 35 / 45 mm) (-1 kg CU par poignée)Phares de travail en haut de cadre commandés à l'alimentation du hayon élévateurCoffre (sans clé) pour rallonge électrique du groupe frigorifique positionné à l'arrière gauche (-12 kg CU)</v>
      </c>
      <c r="CF252" s="125"/>
      <c r="CG252" s="125"/>
      <c r="CH252" s="125"/>
      <c r="CI252" s="125"/>
      <c r="CJ252" s="125"/>
      <c r="CK252" s="125"/>
      <c r="CL252" s="125"/>
      <c r="CM252" s="125"/>
      <c r="CN252" s="125"/>
      <c r="CO252" s="125"/>
      <c r="CP252" s="125"/>
      <c r="CQ252" s="125"/>
    </row>
    <row r="253" spans="1:119" ht="56.25" hidden="1" outlineLevel="1" x14ac:dyDescent="0.25">
      <c r="A253" s="131" t="s">
        <v>3111</v>
      </c>
      <c r="B253" s="134" t="s">
        <v>424</v>
      </c>
      <c r="C253" s="134"/>
      <c r="D253" s="134"/>
      <c r="E253" s="134"/>
      <c r="F253" s="138" t="s">
        <v>2975</v>
      </c>
      <c r="G253" s="138"/>
      <c r="H253" s="138"/>
      <c r="I253" s="138"/>
      <c r="J253" s="138"/>
      <c r="K253" s="138"/>
      <c r="L253" s="138" t="s">
        <v>957</v>
      </c>
      <c r="M253" s="138" t="s">
        <v>931</v>
      </c>
      <c r="N253" s="138"/>
      <c r="O253" s="138" t="s">
        <v>666</v>
      </c>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1" t="str">
        <f t="shared" si="5"/>
        <v>OLabel PIEK global (Caisse / groupe SUPRA 1250 City / hayon (-263 kg CU))Poignée d'arrimage spécial rolls (Qté ….. / Diamètre 25 / 35 / 45 mm) (-1 kg CU par poignée)Phares de travail en haut de cadre commandés à l'alimentation du hayon élévateurCoffre (sans clé) pour rallonge électrique du groupe frigorifique positionné à l'arrière gauche (-12 kg CU)</v>
      </c>
      <c r="CF253" s="125"/>
      <c r="CG253" s="125"/>
      <c r="CH253" s="125"/>
      <c r="CI253" s="125"/>
      <c r="CJ253" s="125"/>
      <c r="CK253" s="125"/>
      <c r="CL253" s="125"/>
      <c r="CM253" s="125"/>
      <c r="CN253" s="125"/>
      <c r="CO253" s="125"/>
      <c r="CP253" s="125"/>
      <c r="CQ253" s="125"/>
    </row>
    <row r="254" spans="1:119" ht="180" hidden="1" outlineLevel="1" x14ac:dyDescent="0.25">
      <c r="A254" s="131" t="s">
        <v>3169</v>
      </c>
      <c r="B254" s="134" t="s">
        <v>32</v>
      </c>
      <c r="C254" s="138" t="s">
        <v>921</v>
      </c>
      <c r="D254" s="138" t="s">
        <v>778</v>
      </c>
      <c r="E254" s="138" t="s">
        <v>628</v>
      </c>
      <c r="F254" s="138"/>
      <c r="G254" s="138" t="s">
        <v>696</v>
      </c>
      <c r="H254" s="138" t="s">
        <v>631</v>
      </c>
      <c r="I254" s="138" t="s">
        <v>780</v>
      </c>
      <c r="J254" s="138" t="s">
        <v>698</v>
      </c>
      <c r="K254" s="138" t="s">
        <v>779</v>
      </c>
      <c r="L254" s="138" t="s">
        <v>695</v>
      </c>
      <c r="M254" s="138" t="s">
        <v>678</v>
      </c>
      <c r="N254" s="138" t="s">
        <v>922</v>
      </c>
      <c r="O254" s="138"/>
      <c r="P254" s="138" t="s">
        <v>923</v>
      </c>
      <c r="Q254" s="138" t="s">
        <v>924</v>
      </c>
      <c r="R254" s="138" t="s">
        <v>761</v>
      </c>
      <c r="S254" s="138" t="s">
        <v>925</v>
      </c>
      <c r="T254" s="138"/>
      <c r="U254" s="138"/>
      <c r="V254" s="138"/>
      <c r="W254" s="138"/>
      <c r="X254" s="138"/>
      <c r="Y254" s="138"/>
      <c r="Z254" s="138"/>
      <c r="AA254" s="138" t="s">
        <v>3026</v>
      </c>
      <c r="AB254" s="138" t="s">
        <v>635</v>
      </c>
      <c r="AC254" s="138" t="s">
        <v>636</v>
      </c>
      <c r="AD254" s="138"/>
      <c r="AE254" s="138"/>
      <c r="AF254" s="138" t="s">
        <v>926</v>
      </c>
      <c r="AG254" s="138"/>
      <c r="AH254" s="138"/>
      <c r="AI254" s="138" t="s">
        <v>927</v>
      </c>
      <c r="AJ254" s="138"/>
      <c r="AK254" s="138" t="s">
        <v>928</v>
      </c>
      <c r="AL254" s="138" t="s">
        <v>929</v>
      </c>
      <c r="AM254" s="138"/>
      <c r="AN254" s="138"/>
      <c r="AO254" s="138"/>
      <c r="AP254" s="138" t="s">
        <v>659</v>
      </c>
      <c r="AQ254" s="138"/>
      <c r="AR254" s="138" t="s">
        <v>701</v>
      </c>
      <c r="AS254" s="138"/>
      <c r="AT254" s="138"/>
      <c r="AU254" s="138"/>
      <c r="AV254" s="138"/>
      <c r="AW254" s="138" t="s">
        <v>776</v>
      </c>
      <c r="AX254" s="138" t="s">
        <v>702</v>
      </c>
      <c r="AY254" s="138" t="s">
        <v>703</v>
      </c>
      <c r="AZ254" s="138"/>
      <c r="BA254" s="138" t="s">
        <v>705</v>
      </c>
      <c r="BB254" s="138" t="s">
        <v>767</v>
      </c>
      <c r="BC254" s="138"/>
      <c r="BD254" s="138" t="s">
        <v>706</v>
      </c>
      <c r="BE254" s="138" t="s">
        <v>661</v>
      </c>
      <c r="BF254" s="138" t="s">
        <v>707</v>
      </c>
      <c r="BG254" s="138"/>
      <c r="BH254" s="138" t="s">
        <v>691</v>
      </c>
      <c r="BI254" s="138" t="s">
        <v>930</v>
      </c>
      <c r="BJ254" s="138" t="s">
        <v>708</v>
      </c>
      <c r="BK254" s="138"/>
      <c r="BL254" s="138"/>
      <c r="BM254" s="138"/>
      <c r="BN254" s="138"/>
      <c r="BO254" s="138"/>
      <c r="BP254" s="138"/>
      <c r="BQ254" s="138" t="s">
        <v>768</v>
      </c>
      <c r="BR254" s="138"/>
      <c r="BS254" s="138"/>
      <c r="BT254" s="138"/>
      <c r="BU254" s="138"/>
      <c r="BV254" s="138"/>
      <c r="BW254" s="131" t="str">
        <f t="shared" si="5"/>
        <v>PIsolation renforcée Cadre arrière 3 vantaux ouverture totale avec porte centrale largeur 950 mm rabattable vers la droite1 crémone avec poignée sur chaque vantailArrêts de portes arrière à 270°Arrêts de portes arrière à 110°Déverrouillage interne porte arrière centrale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200 mm de l'avant droit avec deverrouillage interneRideau fixe à lanières latéralEtrier latéral télescopique 3 marches avec buzzer en cabineArrêts de portes latérauxSangle montoire porte latérale fixée dans le champs de l'huisserie côté droit -AMENAGEMENTS : Revêtement extérieur et intérieur des parois en polyester blanc (RAL 9016)Cloison mobile relevable transversale avec porte coulissante double centrée largeur de passage 820 mm et hauteur 1920 mm (Hauteur sous cloison 2135 mm)Protections bas de parois latérales et face avant en inox hauteur 450 mm 1 niveau de rail d'arrimage acier galvanisé en applique sur 3 faces (sauf portes latérales) axé à 700 mm du plancher1 niveau de rail d'arrimage spécial rolls sur 3 faces (sauf portes latérales) axé à 1050 mm du plancherPlancher renforcé avec résine grise antidérapante4 siphons d'évacuation3 plafonniers LED avec détecteur de présenceTraverse arrière renforcée avec butoirs à rouleaux en acierCoffre à outils plastique grand modèleExtincteur 6 kgPlage et échelle d'accès au groupe frigorifiqueAiles plastiques avec bavettesPares cyclistes latéraux relevablesFeux de gabarits arrière multifonctions en haut de cadrePhares de travail en haut de cadre commandé à l'ouverture des portes2 feux de recul supplémentaires à l'arrière dans le châssisTélématique SAMSARA pack PRO multitempératures</v>
      </c>
      <c r="CF254" s="125"/>
      <c r="CG254" s="125"/>
      <c r="CH254" s="125"/>
      <c r="CI254" s="125"/>
      <c r="CJ254" s="125"/>
      <c r="CK254" s="125"/>
      <c r="CL254" s="125"/>
      <c r="CM254" s="125"/>
      <c r="CN254" s="125"/>
      <c r="CO254" s="125"/>
      <c r="CP254" s="125"/>
      <c r="CQ254" s="125"/>
      <c r="CX254" s="125"/>
      <c r="CY254" s="125"/>
      <c r="CZ254" s="125"/>
      <c r="DA254" s="125"/>
      <c r="DB254" s="125"/>
      <c r="DC254" s="125"/>
      <c r="DD254" s="125"/>
      <c r="DE254" s="125"/>
      <c r="DF254" s="125"/>
      <c r="DG254" s="125"/>
      <c r="DH254" s="125"/>
      <c r="DI254" s="125"/>
    </row>
    <row r="255" spans="1:119" ht="45" hidden="1" outlineLevel="1" x14ac:dyDescent="0.25">
      <c r="A255" s="131" t="s">
        <v>3109</v>
      </c>
      <c r="B255" s="134" t="s">
        <v>424</v>
      </c>
      <c r="C255" s="134"/>
      <c r="D255" s="134"/>
      <c r="E255" s="134"/>
      <c r="F255" s="134"/>
      <c r="G255" s="138"/>
      <c r="H255" s="138"/>
      <c r="I255" s="138"/>
      <c r="J255" s="138"/>
      <c r="K255" s="138"/>
      <c r="L255" s="138" t="s">
        <v>957</v>
      </c>
      <c r="M255" s="138" t="s">
        <v>931</v>
      </c>
      <c r="N255" s="138"/>
      <c r="O255" s="138" t="s">
        <v>704</v>
      </c>
      <c r="P255" s="138"/>
      <c r="Q255" s="138"/>
      <c r="R255" s="138"/>
      <c r="S255" s="138"/>
      <c r="T255" s="192" t="s">
        <v>932</v>
      </c>
      <c r="U255" s="192" t="s">
        <v>2996</v>
      </c>
      <c r="V255" s="192" t="s">
        <v>2997</v>
      </c>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1" t="str">
        <f t="shared" si="5"/>
        <v>OPoignée d'arrimage spécial rolls (Qté ….. / Diamètre 25 / 35 / 45 mm) (-1 kg CU par poignée)Phares de travail en haut de cadre commandés à l'alimentation du hayon élévateurCoffre (sans clé) pour rallonge électrique du groupe frigorifique positionné à l'arrière gaucheCloison mobile relevable 1/2 - 1/2Cloison mobile relevable 1/3 DR - 2/3 GACloison mobile relevable 1/3 GA - 2/3 DR</v>
      </c>
      <c r="CF255" s="125"/>
      <c r="CG255" s="125"/>
      <c r="CH255" s="125"/>
      <c r="CI255" s="125"/>
      <c r="CJ255" s="125"/>
      <c r="CK255" s="125"/>
      <c r="CL255" s="125"/>
      <c r="CM255" s="125"/>
      <c r="CN255" s="125"/>
      <c r="CO255" s="125"/>
      <c r="CP255" s="125"/>
      <c r="CQ255" s="125"/>
    </row>
    <row r="256" spans="1:119" ht="146.25" hidden="1" outlineLevel="1" x14ac:dyDescent="0.25">
      <c r="A256" s="131" t="s">
        <v>3161</v>
      </c>
      <c r="B256" s="134" t="s">
        <v>32</v>
      </c>
      <c r="C256" s="138" t="s">
        <v>693</v>
      </c>
      <c r="D256" s="138" t="s">
        <v>884</v>
      </c>
      <c r="E256" s="138" t="s">
        <v>628</v>
      </c>
      <c r="F256" s="138"/>
      <c r="G256" s="138" t="s">
        <v>696</v>
      </c>
      <c r="H256" s="138"/>
      <c r="I256" s="138" t="s">
        <v>697</v>
      </c>
      <c r="J256" s="138"/>
      <c r="K256" s="138" t="s">
        <v>779</v>
      </c>
      <c r="L256" s="138" t="s">
        <v>885</v>
      </c>
      <c r="M256" s="138" t="s">
        <v>678</v>
      </c>
      <c r="N256" s="138"/>
      <c r="O256" s="138"/>
      <c r="P256" s="138"/>
      <c r="R256" s="138"/>
      <c r="S256" s="138"/>
      <c r="T256" s="138"/>
      <c r="U256" s="138"/>
      <c r="V256" s="138"/>
      <c r="W256" s="138"/>
      <c r="X256" s="138"/>
      <c r="Y256" s="138"/>
      <c r="Z256" s="138"/>
      <c r="AA256" s="138" t="s">
        <v>3026</v>
      </c>
      <c r="AB256" s="138" t="s">
        <v>635</v>
      </c>
      <c r="AC256" s="138" t="s">
        <v>636</v>
      </c>
      <c r="AD256" s="138"/>
      <c r="AE256" s="138"/>
      <c r="AF256" s="138" t="s">
        <v>886</v>
      </c>
      <c r="AG256" s="138"/>
      <c r="AH256" s="138"/>
      <c r="AI256" s="138" t="s">
        <v>887</v>
      </c>
      <c r="AJ256" s="138"/>
      <c r="AK256" s="138" t="s">
        <v>888</v>
      </c>
      <c r="AL256" s="138"/>
      <c r="AM256" s="138"/>
      <c r="AN256" s="138" t="s">
        <v>658</v>
      </c>
      <c r="AO256" s="138" t="s">
        <v>889</v>
      </c>
      <c r="AP256" s="138" t="s">
        <v>659</v>
      </c>
      <c r="AQ256" s="138"/>
      <c r="AR256" s="138" t="s">
        <v>890</v>
      </c>
      <c r="AS256" s="138" t="s">
        <v>891</v>
      </c>
      <c r="AT256" s="138"/>
      <c r="AU256" s="138"/>
      <c r="AV256" s="138" t="s">
        <v>892</v>
      </c>
      <c r="AW256" s="138" t="s">
        <v>893</v>
      </c>
      <c r="AX256" s="138" t="s">
        <v>702</v>
      </c>
      <c r="AY256" s="138" t="s">
        <v>894</v>
      </c>
      <c r="AZ256" s="138" t="s">
        <v>895</v>
      </c>
      <c r="BA256" s="138" t="s">
        <v>896</v>
      </c>
      <c r="BB256" s="138" t="s">
        <v>897</v>
      </c>
      <c r="BC256" s="138" t="s">
        <v>898</v>
      </c>
      <c r="BD256" s="138"/>
      <c r="BE256" s="138" t="s">
        <v>661</v>
      </c>
      <c r="BF256" s="138" t="s">
        <v>707</v>
      </c>
      <c r="BG256" s="138"/>
      <c r="BH256" s="138" t="s">
        <v>691</v>
      </c>
      <c r="BI256" s="138" t="s">
        <v>683</v>
      </c>
      <c r="BJ256" s="138" t="s">
        <v>708</v>
      </c>
      <c r="BK256" s="138"/>
      <c r="BL256" s="138"/>
      <c r="BM256" s="138"/>
      <c r="BN256" s="138"/>
      <c r="BO256" s="138"/>
      <c r="BP256" s="138"/>
      <c r="BQ256" s="138" t="s">
        <v>768</v>
      </c>
      <c r="BR256" s="138"/>
      <c r="BS256" s="138"/>
      <c r="BT256" s="138"/>
      <c r="BU256" s="138"/>
      <c r="BV256" s="138"/>
      <c r="BW256" s="131" t="str">
        <f t="shared" ref="BW256:BW294" si="6">CONCATENATE(B256,C256,D256,E256,F256,G256,H256,I256,J256,K256,L256,M256,N256,O256,P256,Q256,R256,S256,T256,U256,V256,W256,X256,Y256,Z256,AA256,AB256,AC256,AD256,AE256,AF256,AG256,AH256,AI256,AJ256,AK256,AL256,AM256,AN256,AO256,AP256,AQ256,AR256,AS256,AT256,AU256,AV256,AW256,AX256,AY256,AZ256,BA256,BC256,BD256,BE256,BF256,BG256,BH256,BI256,BJ256,BK256,BL256,BM256,BN256,BO256,BP256,BQ256,BR256,BS256,BT256,BU256,BV256,)</f>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rampePlaque acier galvanisée 150 mm x 150 mm sur paroi latérale à l'arrière droit pour télécommande filaire du hayon -AMENAGEMENTS : Revêtement extérieur et intérieur des parois en polyester blanc (RAL 9016)Cloison tranversale mobile et relevable EASYFLEX 1/2 - 1/2 avec sangles d'aide au relevageProtections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mmBuse de diffusion d'air avec 1 gaine au pavillon4 plafonniers LED avec détecteur de présenceTraverse arrière renforcée avec butoirs à rouleaux en acierCoffre à outils plastique grand modèle dans l'empattement gaucheCoffre porte document en face avantExtincteur 6 kg dans son coffreProtection évaporateur arrièreAiles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multitempératures</v>
      </c>
      <c r="CF256" s="125"/>
      <c r="CG256" s="125"/>
      <c r="CH256" s="125"/>
      <c r="CI256" s="125"/>
      <c r="CJ256" s="125"/>
      <c r="CK256" s="125"/>
      <c r="CL256" s="125"/>
      <c r="CM256" s="125"/>
      <c r="CN256" s="125"/>
      <c r="CO256" s="125"/>
      <c r="CP256" s="125"/>
      <c r="CQ256" s="125"/>
      <c r="CX256" s="125"/>
      <c r="CY256" s="125"/>
      <c r="CZ256" s="125"/>
      <c r="DA256" s="125"/>
      <c r="DB256" s="125"/>
      <c r="DC256" s="125"/>
      <c r="DD256" s="125"/>
      <c r="DE256" s="125"/>
      <c r="DF256" s="125"/>
      <c r="DG256" s="125"/>
      <c r="DH256" s="125"/>
      <c r="DI256" s="125"/>
      <c r="DJ256" s="125"/>
      <c r="DK256" s="125"/>
      <c r="DL256" s="125"/>
    </row>
    <row r="257" spans="1:127" ht="45" hidden="1" outlineLevel="1" x14ac:dyDescent="0.25">
      <c r="A257" s="131" t="s">
        <v>3156</v>
      </c>
      <c r="B257" s="134" t="s">
        <v>424</v>
      </c>
      <c r="C257" s="134"/>
      <c r="D257" s="134"/>
      <c r="E257" s="134"/>
      <c r="F257" s="138" t="s">
        <v>2981</v>
      </c>
      <c r="G257" s="138"/>
      <c r="H257" s="138"/>
      <c r="I257" s="138"/>
      <c r="J257" s="138"/>
      <c r="K257" s="138"/>
      <c r="L257" s="138"/>
      <c r="M257" s="138"/>
      <c r="N257" s="138"/>
      <c r="O257" s="138"/>
      <c r="P257" s="138"/>
      <c r="Q257" s="138"/>
      <c r="R257" s="138" t="s">
        <v>908</v>
      </c>
      <c r="S257" s="138" t="s">
        <v>909</v>
      </c>
      <c r="T257" s="138"/>
      <c r="U257" s="138" t="s">
        <v>902</v>
      </c>
      <c r="V257" s="138" t="s">
        <v>903</v>
      </c>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1" t="str">
        <f t="shared" si="6"/>
        <v>OLabel PIEK global (Caisse / groupe VECTOR 19 HE MT S2 City / hayon (-150 kg CU))Hauteur intérieure 2700 mm (hauteur hors tout 4120 mm avec hauteur d'attelage 1150 mm)Hauteur intérieure 2800 mm (Hauteur hors tout 4220 mm avec hauteur d'attelage 1150 mm)Cloison mobile EASYFLEX 1/3 DR - 2/3 GACloison mobile EASYFLEX 1/3 GA - 2/3 DR</v>
      </c>
      <c r="CF257" s="125"/>
      <c r="CG257" s="125"/>
      <c r="CH257" s="125"/>
      <c r="CI257" s="125"/>
      <c r="CJ257" s="125"/>
      <c r="CK257" s="125"/>
      <c r="CL257" s="125"/>
      <c r="CM257" s="125"/>
      <c r="CN257" s="125"/>
      <c r="CO257" s="125"/>
      <c r="CP257" s="125"/>
      <c r="CQ257" s="125"/>
    </row>
    <row r="258" spans="1:127" ht="78.75" hidden="1" outlineLevel="1" x14ac:dyDescent="0.25">
      <c r="A258" s="134" t="s">
        <v>3080</v>
      </c>
      <c r="B258" s="134" t="s">
        <v>32</v>
      </c>
      <c r="C258" s="138" t="s">
        <v>626</v>
      </c>
      <c r="D258" s="138" t="s">
        <v>627</v>
      </c>
      <c r="E258" s="138" t="s">
        <v>628</v>
      </c>
      <c r="F258" s="138" t="s">
        <v>629</v>
      </c>
      <c r="G258" s="138" t="s">
        <v>630</v>
      </c>
      <c r="H258" s="138" t="s">
        <v>631</v>
      </c>
      <c r="I258" s="138" t="s">
        <v>633</v>
      </c>
      <c r="J258" s="138"/>
      <c r="K258" s="138" t="s">
        <v>632</v>
      </c>
      <c r="L258" s="138" t="s">
        <v>634</v>
      </c>
      <c r="M258" s="138"/>
      <c r="N258" s="138"/>
      <c r="O258" s="138"/>
      <c r="P258" s="138"/>
      <c r="Q258" s="138"/>
      <c r="R258" s="138"/>
      <c r="S258" s="138"/>
      <c r="T258" s="138"/>
      <c r="U258" s="138"/>
      <c r="V258" s="138"/>
      <c r="W258" s="138"/>
      <c r="X258" s="138"/>
      <c r="Y258" s="138"/>
      <c r="Z258" s="138"/>
      <c r="AA258" s="138" t="s">
        <v>3026</v>
      </c>
      <c r="AB258" s="138" t="s">
        <v>635</v>
      </c>
      <c r="AC258" s="138" t="s">
        <v>636</v>
      </c>
      <c r="AD258" s="138"/>
      <c r="AE258" s="138"/>
      <c r="AF258" s="138"/>
      <c r="AG258" s="138"/>
      <c r="AH258" s="138"/>
      <c r="AI258" s="138" t="s">
        <v>637</v>
      </c>
      <c r="AJ258" s="138"/>
      <c r="AK258" s="138" t="s">
        <v>638</v>
      </c>
      <c r="AL258" s="138"/>
      <c r="AM258" s="138"/>
      <c r="AN258" s="138"/>
      <c r="AO258" s="138"/>
      <c r="AP258" s="138" t="s">
        <v>639</v>
      </c>
      <c r="AQ258" s="138"/>
      <c r="AR258" s="138" t="s">
        <v>640</v>
      </c>
      <c r="AS258" s="138"/>
      <c r="AT258" s="138"/>
      <c r="AU258" s="138"/>
      <c r="AV258" s="138"/>
      <c r="AW258" s="138" t="s">
        <v>641</v>
      </c>
      <c r="AX258" s="138"/>
      <c r="AY258" s="138"/>
      <c r="AZ258" s="138"/>
      <c r="BA258" s="138"/>
      <c r="BB258" s="138"/>
      <c r="BC258" s="138"/>
      <c r="BD258" s="138"/>
      <c r="BE258" s="138"/>
      <c r="BF258" s="138"/>
      <c r="BG258" s="138" t="s">
        <v>642</v>
      </c>
      <c r="BH258" s="138"/>
      <c r="BI258" s="138" t="s">
        <v>643</v>
      </c>
      <c r="BJ258" s="138"/>
      <c r="BK258" s="138"/>
      <c r="BL258" s="138"/>
      <c r="BM258" s="138"/>
      <c r="BN258" s="138"/>
      <c r="BO258" s="138"/>
      <c r="BP258" s="138"/>
      <c r="BQ258" s="138" t="s">
        <v>644</v>
      </c>
      <c r="BR258" s="138"/>
      <c r="BS258" s="138"/>
      <c r="BT258" s="138"/>
      <c r="BU258" s="138"/>
      <c r="BV258" s="138"/>
      <c r="BW258" s="131" t="str">
        <f t="shared" si="6"/>
        <v>PIsolation renforcée CFLCadre arrière 2 portes centrales largeur 1100 mm1 crémone avec poignée sur chaque vantailFermeture manuelle à cléArrêts de portes arrière à 180°Arrêts de portes arrière à 110°Déverrouillage interne sur porte arrière droiteRideaux d'air arrière (Hauteur sous rideaux d'air 1750 mm)Marchepied arrière fixe 1 marche -AMENAGEMENTS : Revêtement extérieur et intérieur des parois en polyester blanc (RAL 9016)Protections bas de parois latérales et avant en aluminium hauteur 200 mm2 niveaux d'étagères relevables en aluminium à droite et à gauche largeur 500 mm.Plancher renforcé avec résine grise antidérapante et passages de roues2 siphons d'évacuation d'eau1 plafonnier LED avec détecteur de présence1 feu stop en haut de cadrePhare de travail en haut de cadre commandé à l'ouverture des portesTélématique SAMSARA pack PRO monotempérature</v>
      </c>
      <c r="CF258" s="125"/>
      <c r="CG258" s="125"/>
      <c r="CH258" s="125"/>
      <c r="CI258" s="125"/>
      <c r="CJ258" s="125"/>
      <c r="CK258" s="125"/>
      <c r="CL258" s="125"/>
      <c r="CM258" s="125"/>
      <c r="CN258" s="125"/>
      <c r="CO258" s="125"/>
      <c r="CP258" s="125"/>
      <c r="CQ258" s="125"/>
      <c r="CX258" s="138"/>
      <c r="CY258" s="138"/>
      <c r="CZ258" s="138"/>
      <c r="DA258" s="193"/>
      <c r="DB258" s="125"/>
      <c r="DC258" s="125"/>
      <c r="DD258" s="125"/>
      <c r="DE258" s="125"/>
      <c r="DF258" s="125"/>
      <c r="DG258" s="125"/>
      <c r="DH258" s="125"/>
      <c r="DI258" s="125"/>
      <c r="DJ258" s="125"/>
      <c r="DK258" s="125"/>
      <c r="DL258" s="125"/>
      <c r="DM258" s="125"/>
      <c r="DN258" s="125"/>
      <c r="DO258" s="125"/>
      <c r="DP258" s="125"/>
      <c r="DQ258" s="125"/>
      <c r="DR258" s="125"/>
      <c r="DS258" s="125"/>
      <c r="DT258" s="125"/>
      <c r="DU258" s="125"/>
      <c r="DV258" s="125"/>
      <c r="DW258" s="125"/>
    </row>
    <row r="259" spans="1:127" ht="33.75" hidden="1" outlineLevel="1" x14ac:dyDescent="0.25">
      <c r="A259" s="134" t="s">
        <v>3079</v>
      </c>
      <c r="B259" s="134" t="s">
        <v>424</v>
      </c>
      <c r="C259" s="134"/>
      <c r="D259" s="134"/>
      <c r="E259" s="134"/>
      <c r="F259" s="134"/>
      <c r="G259" s="138"/>
      <c r="H259" s="138"/>
      <c r="I259" s="138"/>
      <c r="J259" s="138"/>
      <c r="K259" s="138"/>
      <c r="L259" s="138"/>
      <c r="M259" s="138"/>
      <c r="N259" s="138"/>
      <c r="O259" s="138"/>
      <c r="P259" s="138" t="s">
        <v>645</v>
      </c>
      <c r="Q259" s="138" t="s">
        <v>646</v>
      </c>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1" t="str">
        <f t="shared" si="6"/>
        <v>O1 niveau d'étagère relevable en aluminium à droite et à gauche largeur 500 mm (+26 kg CU)3 niveaux d'étagères relevables en aluminium à droite et à gauche largeur 500 mm (-29 kg CU)</v>
      </c>
      <c r="CF259" s="125"/>
      <c r="CG259" s="125"/>
      <c r="CH259" s="125"/>
      <c r="CI259" s="125"/>
      <c r="CJ259" s="125"/>
      <c r="CK259" s="125"/>
      <c r="CL259" s="125"/>
      <c r="CM259" s="125"/>
      <c r="CN259" s="125"/>
      <c r="CO259" s="125"/>
      <c r="CP259" s="125"/>
      <c r="CQ259" s="125"/>
    </row>
    <row r="260" spans="1:127" ht="112.5" hidden="1" outlineLevel="1" x14ac:dyDescent="0.25">
      <c r="A260" s="134" t="s">
        <v>3132</v>
      </c>
      <c r="B260" s="134" t="s">
        <v>32</v>
      </c>
      <c r="C260" s="138" t="s">
        <v>647</v>
      </c>
      <c r="D260" s="138" t="s">
        <v>648</v>
      </c>
      <c r="E260" s="138" t="s">
        <v>649</v>
      </c>
      <c r="F260" s="138" t="s">
        <v>650</v>
      </c>
      <c r="G260" s="138" t="s">
        <v>651</v>
      </c>
      <c r="H260" s="138" t="s">
        <v>652</v>
      </c>
      <c r="I260" s="138"/>
      <c r="J260" s="138"/>
      <c r="K260" s="138" t="s">
        <v>653</v>
      </c>
      <c r="L260" s="138"/>
      <c r="M260" s="138"/>
      <c r="N260" s="138"/>
      <c r="O260" s="138"/>
      <c r="P260" s="138"/>
      <c r="Q260" s="138"/>
      <c r="R260" s="138" t="s">
        <v>654</v>
      </c>
      <c r="S260" s="138"/>
      <c r="T260" s="138" t="s">
        <v>655</v>
      </c>
      <c r="U260" s="138" t="s">
        <v>425</v>
      </c>
      <c r="V260" s="138"/>
      <c r="W260" s="138"/>
      <c r="X260" s="138"/>
      <c r="Y260" s="138"/>
      <c r="Z260" s="138"/>
      <c r="AA260" s="138" t="s">
        <v>3026</v>
      </c>
      <c r="AB260" s="138" t="s">
        <v>635</v>
      </c>
      <c r="AC260" s="138" t="s">
        <v>636</v>
      </c>
      <c r="AD260" s="138"/>
      <c r="AE260" s="138"/>
      <c r="AF260" s="138"/>
      <c r="AG260" s="138"/>
      <c r="AH260" s="138"/>
      <c r="AI260" s="138" t="s">
        <v>656</v>
      </c>
      <c r="AJ260" s="138"/>
      <c r="AK260" s="138" t="s">
        <v>657</v>
      </c>
      <c r="AL260" s="138"/>
      <c r="AM260" s="138"/>
      <c r="AN260" s="138" t="s">
        <v>658</v>
      </c>
      <c r="AO260" s="138"/>
      <c r="AP260" s="138" t="s">
        <v>659</v>
      </c>
      <c r="AQ260" s="138" t="s">
        <v>660</v>
      </c>
      <c r="AR260" s="138" t="s">
        <v>640</v>
      </c>
      <c r="AS260" s="138"/>
      <c r="AT260" s="138"/>
      <c r="AU260" s="138"/>
      <c r="AV260" s="138"/>
      <c r="AW260" s="138" t="s">
        <v>641</v>
      </c>
      <c r="AX260" s="138"/>
      <c r="AY260" s="138"/>
      <c r="AZ260" s="138"/>
      <c r="BA260" s="138"/>
      <c r="BB260" s="138" t="s">
        <v>436</v>
      </c>
      <c r="BD260" s="138"/>
      <c r="BE260" s="138" t="s">
        <v>661</v>
      </c>
      <c r="BF260" s="138" t="s">
        <v>662</v>
      </c>
      <c r="BG260" s="138" t="s">
        <v>664</v>
      </c>
      <c r="BH260" s="138"/>
      <c r="BI260" s="138" t="s">
        <v>663</v>
      </c>
      <c r="BJ260" s="138"/>
      <c r="BK260" s="138"/>
      <c r="BL260" s="138"/>
      <c r="BM260" s="138"/>
      <c r="BN260" s="138"/>
      <c r="BO260" s="138"/>
      <c r="BP260" s="138"/>
      <c r="BQ260" s="138" t="s">
        <v>644</v>
      </c>
      <c r="BR260" s="138"/>
      <c r="BS260" s="138"/>
      <c r="BT260" s="138"/>
      <c r="BU260" s="138"/>
      <c r="BV260" s="138"/>
      <c r="BW260" s="131" t="str">
        <f t="shared" si="6"/>
        <v>PIsolation renforcée URBANCadre arrière 3 vantaux ouverture totale. Porte centrale largeur 1000 mm rabattable vers la droite avec déverrouillage interne1 crémone avec poignée sur porte centrale. Verrous intérieurs sur les 2 autres vantauxFermeture centraliséeArrêts de portes arrière à 270° aimantés SimpleLockArrêt de porte arrière centrale à 110° Rideau d'air arrière (hauteur de passage 1750 mm)Faux châssis RigidLinkProfil face avant aérodynamiqueDéflecteur de cabine -AMENAGEMENTS : Revêtement extérieur et intérieur des parois en polyester blanc (RAL 9016)Protections bas de parois latérales et avant en aluminium hauteur 250 mm1 niveau de rail d'arrimage aluminium en applique sur 3 faces axé à 800 mm du plancher4 sangles d'arrimage à tension manuellePlancher renforcé avec résine grise antidérapanteCaillebotis plastique au sol sur toute la surface du plancher2 siphons d'évacuation d'eau1 plafonnier LED avec détecteur de présenceAiles plastiques avec bavettesPares cyclistes latéraux URBAN2 feux stop en haut de cadrePhares de travail en haut de cadre. Bandeau LED commandé à l'ouverture des portesTélématique SAMSARA pack PRO monotempérature</v>
      </c>
      <c r="CF260" s="125"/>
      <c r="CG260" s="125"/>
      <c r="CH260" s="125"/>
      <c r="CI260" s="125"/>
      <c r="CJ260" s="125"/>
      <c r="CK260" s="125"/>
      <c r="CL260" s="125"/>
      <c r="CM260" s="125"/>
      <c r="CN260" s="125"/>
      <c r="CO260" s="125"/>
      <c r="CP260" s="125"/>
      <c r="CQ260" s="125"/>
      <c r="CX260" s="193"/>
      <c r="CY260" s="125"/>
      <c r="CZ260" s="125"/>
      <c r="DA260" s="125"/>
      <c r="DB260" s="125"/>
      <c r="DC260" s="125"/>
      <c r="DD260" s="125"/>
      <c r="DE260" s="125"/>
      <c r="DF260" s="125"/>
      <c r="DG260" s="125"/>
      <c r="DH260" s="125"/>
      <c r="DI260" s="125"/>
      <c r="DJ260" s="125"/>
      <c r="DK260" s="125"/>
      <c r="DL260" s="125"/>
      <c r="DM260" s="125"/>
      <c r="DN260" s="125"/>
      <c r="DO260" s="125"/>
      <c r="DP260" s="125"/>
      <c r="DQ260" s="125"/>
      <c r="DR260" s="125"/>
      <c r="DS260" s="125"/>
      <c r="DT260" s="125"/>
    </row>
    <row r="261" spans="1:127" ht="56.25" hidden="1" outlineLevel="1" x14ac:dyDescent="0.25">
      <c r="A261" s="134" t="s">
        <v>3124</v>
      </c>
      <c r="B261" s="134" t="s">
        <v>424</v>
      </c>
      <c r="C261" s="134"/>
      <c r="D261" s="134"/>
      <c r="E261" s="134"/>
      <c r="F261" s="134"/>
      <c r="G261" s="138"/>
      <c r="H261" s="138"/>
      <c r="I261" s="138"/>
      <c r="J261" s="138"/>
      <c r="K261" s="138"/>
      <c r="L261" s="138"/>
      <c r="M261" s="138"/>
      <c r="N261" s="138"/>
      <c r="O261" s="138" t="s">
        <v>666</v>
      </c>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1" t="str">
        <f t="shared" si="6"/>
        <v>OCoffre (sans clé) pour rallonge électrique du groupe frigorifique positionné à l'arrière gauche (-12 kg CU)</v>
      </c>
      <c r="CF261" s="125"/>
      <c r="CG261" s="125"/>
      <c r="CH261" s="125"/>
      <c r="CI261" s="125"/>
      <c r="CJ261" s="125"/>
      <c r="CK261" s="125"/>
      <c r="CL261" s="125"/>
      <c r="CM261" s="125"/>
      <c r="CN261" s="125"/>
      <c r="CO261" s="125"/>
      <c r="CP261" s="125"/>
      <c r="CQ261" s="125"/>
    </row>
    <row r="262" spans="1:127" ht="112.5" hidden="1" outlineLevel="1" x14ac:dyDescent="0.25">
      <c r="A262" s="134" t="s">
        <v>3131</v>
      </c>
      <c r="B262" s="134" t="s">
        <v>32</v>
      </c>
      <c r="C262" s="138" t="s">
        <v>647</v>
      </c>
      <c r="D262" s="138" t="s">
        <v>648</v>
      </c>
      <c r="E262" s="138" t="s">
        <v>649</v>
      </c>
      <c r="F262" s="138" t="s">
        <v>650</v>
      </c>
      <c r="G262" s="138" t="s">
        <v>651</v>
      </c>
      <c r="H262" s="138" t="s">
        <v>652</v>
      </c>
      <c r="I262" s="138"/>
      <c r="J262" s="138"/>
      <c r="K262" s="138" t="s">
        <v>653</v>
      </c>
      <c r="L262" s="138"/>
      <c r="M262" s="138"/>
      <c r="N262" s="138"/>
      <c r="O262" s="138"/>
      <c r="P262" s="138"/>
      <c r="Q262" s="138"/>
      <c r="R262" s="138" t="s">
        <v>654</v>
      </c>
      <c r="S262" s="138"/>
      <c r="T262" s="138" t="s">
        <v>655</v>
      </c>
      <c r="U262" s="138" t="s">
        <v>425</v>
      </c>
      <c r="V262" s="138"/>
      <c r="W262" s="138"/>
      <c r="X262" s="138"/>
      <c r="Y262" s="138"/>
      <c r="Z262" s="138"/>
      <c r="AA262" s="138" t="s">
        <v>3026</v>
      </c>
      <c r="AB262" s="138" t="s">
        <v>635</v>
      </c>
      <c r="AC262" s="138" t="s">
        <v>636</v>
      </c>
      <c r="AD262" s="138"/>
      <c r="AE262" s="138"/>
      <c r="AF262" s="138"/>
      <c r="AG262" s="138"/>
      <c r="AH262" s="138"/>
      <c r="AI262" s="138" t="s">
        <v>656</v>
      </c>
      <c r="AJ262" s="138"/>
      <c r="AK262" s="138" t="s">
        <v>665</v>
      </c>
      <c r="AL262" s="138"/>
      <c r="AM262" s="138"/>
      <c r="AN262" s="138"/>
      <c r="AO262" s="138"/>
      <c r="AP262" s="138" t="s">
        <v>659</v>
      </c>
      <c r="AQ262" s="138" t="s">
        <v>660</v>
      </c>
      <c r="AR262" s="138" t="s">
        <v>640</v>
      </c>
      <c r="AS262" s="138"/>
      <c r="AT262" s="138"/>
      <c r="AU262" s="138"/>
      <c r="AV262" s="138"/>
      <c r="AW262" s="138" t="s">
        <v>641</v>
      </c>
      <c r="AX262" s="138"/>
      <c r="AY262" s="138"/>
      <c r="AZ262" s="138"/>
      <c r="BA262" s="138"/>
      <c r="BB262" s="138"/>
      <c r="BC262" s="138"/>
      <c r="BD262" s="138"/>
      <c r="BE262" s="138" t="s">
        <v>661</v>
      </c>
      <c r="BF262" s="138" t="s">
        <v>662</v>
      </c>
      <c r="BG262" s="138" t="s">
        <v>664</v>
      </c>
      <c r="BH262" s="138"/>
      <c r="BI262" s="138" t="s">
        <v>663</v>
      </c>
      <c r="BJ262" s="138"/>
      <c r="BK262" s="138"/>
      <c r="BL262" s="138"/>
      <c r="BM262" s="138"/>
      <c r="BN262" s="138"/>
      <c r="BO262" s="138"/>
      <c r="BP262" s="138"/>
      <c r="BQ262" s="138" t="s">
        <v>644</v>
      </c>
      <c r="BR262" s="138"/>
      <c r="BS262" s="138"/>
      <c r="BT262" s="138"/>
      <c r="BU262" s="138"/>
      <c r="BV262" s="138"/>
      <c r="BW262" s="131" t="str">
        <f t="shared" si="6"/>
        <v>PIsolation renforcée URBANCadre arrière 3 vantaux ouverture totale. Porte centrale largeur 1000 mm rabattable vers la droite avec déverrouillage interne1 crémone avec poignée sur porte centrale. Verrous intérieurs sur les 2 autres vantauxFermeture centraliséeArrêts de portes arrière à 270° aimantés SimpleLockArrêt de porte arrière centrale à 110° Rideau d'air arrière (hauteur de passage 1750 mm)Faux châssis RigidLinkProfil face avant aérodynamiqueDéflecteur de cabine -AMENAGEMENTS : Revêtement extérieur et intérieur des parois en polyester blanc (RAL 9016)Protections bas de parois latérales et avant en aluminium hauteur 250 mm2 niveaux d'étagères relevables en aluminium à droite et à gauche largeur 500 mm axées à 700 mm et 1300 mm du plancherPlancher renforcé avec résine grise antidérapanteCaillebotis plastique au sol sur toute la surface du plancher2 siphons d'évacuation d'eau1 plafonnier LED avec détecteur de présenceAiles plastiques avec bavettesPares cyclistes latéraux URBAN2 feux stop en haut de cadrePhares de travail en haut de cadre. Bandeau LED commandé à l'ouverture des portesTélématique SAMSARA pack PRO monotempérature</v>
      </c>
      <c r="CF262" s="125"/>
      <c r="CG262" s="125"/>
      <c r="CH262" s="125"/>
      <c r="CI262" s="125"/>
      <c r="CJ262" s="125"/>
      <c r="CK262" s="125"/>
      <c r="CL262" s="125"/>
      <c r="CM262" s="125"/>
      <c r="CN262" s="125"/>
      <c r="CO262" s="125"/>
      <c r="CP262" s="125"/>
      <c r="CQ262" s="125"/>
      <c r="CX262" s="138"/>
      <c r="CY262" s="138"/>
      <c r="CZ262" s="193"/>
      <c r="DA262" s="125"/>
      <c r="DB262" s="125"/>
      <c r="DC262" s="125"/>
      <c r="DD262" s="125"/>
      <c r="DE262" s="125"/>
      <c r="DF262" s="125"/>
      <c r="DG262" s="125"/>
      <c r="DH262" s="125"/>
      <c r="DI262" s="125"/>
      <c r="DJ262" s="125"/>
      <c r="DK262" s="125"/>
      <c r="DL262" s="125"/>
      <c r="DM262" s="125"/>
      <c r="DN262" s="125"/>
      <c r="DO262" s="125"/>
      <c r="DP262" s="125"/>
      <c r="DQ262" s="125"/>
      <c r="DR262" s="125"/>
      <c r="DS262" s="125"/>
      <c r="DT262" s="125"/>
      <c r="DU262" s="125"/>
      <c r="DV262" s="125"/>
    </row>
    <row r="263" spans="1:127" ht="56.25" hidden="1" outlineLevel="1" x14ac:dyDescent="0.25">
      <c r="A263" s="134" t="s">
        <v>3125</v>
      </c>
      <c r="B263" s="134" t="s">
        <v>424</v>
      </c>
      <c r="C263" s="134"/>
      <c r="D263" s="134"/>
      <c r="E263" s="134"/>
      <c r="F263" s="134"/>
      <c r="G263" s="138"/>
      <c r="H263" s="138"/>
      <c r="I263" s="138"/>
      <c r="J263" s="138"/>
      <c r="K263" s="138"/>
      <c r="L263" s="138"/>
      <c r="M263" s="138"/>
      <c r="N263" s="138"/>
      <c r="O263" s="138" t="s">
        <v>666</v>
      </c>
      <c r="P263" s="138" t="s">
        <v>667</v>
      </c>
      <c r="Q263" s="138" t="s">
        <v>668</v>
      </c>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1" t="str">
        <f t="shared" si="6"/>
        <v>OCoffre (sans clé) pour rallonge électrique du groupe frigorifique positionné à l'arrière gauche (-12 kg CU)1 niveau d'étagère relevable en aluminium à droite et à gauche largeur 500 mm (+30 kg CU)3 niveaux d'étagères relevables en aluminium à droite et à gauche largeur 500 mm (-21 kg CU)</v>
      </c>
      <c r="CF263" s="125"/>
      <c r="CG263" s="125"/>
      <c r="CH263" s="125"/>
      <c r="CI263" s="125"/>
      <c r="CJ263" s="125"/>
      <c r="CK263" s="125"/>
      <c r="CL263" s="125"/>
      <c r="CM263" s="125"/>
      <c r="CN263" s="125"/>
      <c r="CO263" s="125"/>
      <c r="CP263" s="125"/>
      <c r="CQ263" s="125"/>
    </row>
    <row r="264" spans="1:127" ht="101.25" hidden="1" outlineLevel="1" x14ac:dyDescent="0.25">
      <c r="A264" s="134" t="s">
        <v>3130</v>
      </c>
      <c r="B264" s="134" t="s">
        <v>32</v>
      </c>
      <c r="C264" s="138" t="s">
        <v>647</v>
      </c>
      <c r="D264" s="138" t="s">
        <v>648</v>
      </c>
      <c r="E264" s="138" t="s">
        <v>649</v>
      </c>
      <c r="F264" s="138" t="s">
        <v>650</v>
      </c>
      <c r="G264" s="138" t="s">
        <v>651</v>
      </c>
      <c r="H264" s="138" t="s">
        <v>652</v>
      </c>
      <c r="I264" s="138"/>
      <c r="J264" s="138"/>
      <c r="K264" s="138" t="s">
        <v>653</v>
      </c>
      <c r="L264" s="138"/>
      <c r="M264" s="138"/>
      <c r="N264" s="138"/>
      <c r="O264" s="138"/>
      <c r="P264" s="138"/>
      <c r="Q264" s="138"/>
      <c r="R264" s="138" t="s">
        <v>654</v>
      </c>
      <c r="S264" s="138"/>
      <c r="T264" s="138" t="s">
        <v>655</v>
      </c>
      <c r="U264" s="138" t="s">
        <v>425</v>
      </c>
      <c r="V264" s="138"/>
      <c r="W264" s="138"/>
      <c r="X264" s="138"/>
      <c r="Y264" s="138"/>
      <c r="Z264" s="138"/>
      <c r="AA264" s="138" t="s">
        <v>3026</v>
      </c>
      <c r="AB264" s="138" t="s">
        <v>635</v>
      </c>
      <c r="AC264" s="138" t="s">
        <v>636</v>
      </c>
      <c r="AD264" s="138"/>
      <c r="AE264" s="138"/>
      <c r="AF264" s="138"/>
      <c r="AG264" s="138"/>
      <c r="AH264" s="138"/>
      <c r="AI264" s="138" t="s">
        <v>656</v>
      </c>
      <c r="AJ264" s="138"/>
      <c r="AK264" s="138" t="s">
        <v>669</v>
      </c>
      <c r="AL264" s="138"/>
      <c r="AM264" s="138"/>
      <c r="AN264" s="138" t="s">
        <v>658</v>
      </c>
      <c r="AO264" s="138"/>
      <c r="AP264" s="138" t="s">
        <v>659</v>
      </c>
      <c r="AQ264" s="138"/>
      <c r="AR264" s="138" t="s">
        <v>640</v>
      </c>
      <c r="AS264" s="138"/>
      <c r="AT264" s="138"/>
      <c r="AU264" s="138"/>
      <c r="AV264" s="138"/>
      <c r="AW264" s="138" t="s">
        <v>641</v>
      </c>
      <c r="AX264" s="138"/>
      <c r="AY264" s="138"/>
      <c r="AZ264" s="138"/>
      <c r="BA264" s="138"/>
      <c r="BB264" s="138" t="s">
        <v>436</v>
      </c>
      <c r="BC264" s="138"/>
      <c r="BD264" s="138"/>
      <c r="BE264" s="138" t="s">
        <v>661</v>
      </c>
      <c r="BF264" s="138" t="s">
        <v>662</v>
      </c>
      <c r="BG264" s="138" t="s">
        <v>664</v>
      </c>
      <c r="BH264" s="138"/>
      <c r="BI264" s="138" t="s">
        <v>663</v>
      </c>
      <c r="BJ264" s="138"/>
      <c r="BK264" s="138"/>
      <c r="BL264" s="138"/>
      <c r="BM264" s="138"/>
      <c r="BN264" s="138"/>
      <c r="BO264" s="138"/>
      <c r="BP264" s="138"/>
      <c r="BQ264" s="138" t="s">
        <v>644</v>
      </c>
      <c r="BR264" s="138"/>
      <c r="BS264" s="138"/>
      <c r="BT264" s="138"/>
      <c r="BU264" s="138"/>
      <c r="BV264" s="138"/>
      <c r="BW264" s="131" t="str">
        <f t="shared" si="6"/>
        <v>PIsolation renforcée URBANCadre arrière 3 vantaux ouverture totale. Porte centrale largeur 1000 mm rabattable vers la droite avec déverrouillage interne1 crémone avec poignée sur porte centrale. Verrous intérieurs sur les 2 autres vantauxFermeture centraliséeArrêts de portes arrière à 270° aimantés SimpleLockArrêt de porte arrière centrale à 110° Rideau d'air arrière (hauteur de passage 1750 mm)Faux châssis RigidLinkProfil face avant aérodynamiqueDéflecteur de cabine -AMENAGEMENTS : Revêtement extérieur et intérieur des parois en polyester blanc (RAL 9016)Protections bas de parois latérales et avant en aluminium hauteur 250 mm2 niveaux de rails d'arrimage aluminium en applique sur 3 faces axés à 600 mm et 1000 mm du plancher4 sangles d'arrimage à tension manuellePlancher renforcé avec résine grise antidérapante2 siphons d'évacuation d'eau1 plafonnier LED avec détecteur de présenceAiles plastiques avec bavettesPares cyclistes latéraux URBAN2 feux stop en haut de cadrePhares de travail en haut de cadre. Bandeau LED commandé à l'ouverture des portesTélématique SAMSARA pack PRO monotempérature</v>
      </c>
      <c r="CF264" s="125"/>
      <c r="CG264" s="125"/>
      <c r="CH264" s="125"/>
      <c r="CI264" s="125"/>
      <c r="CJ264" s="125"/>
      <c r="CK264" s="125"/>
      <c r="CL264" s="125"/>
      <c r="CM264" s="125"/>
      <c r="CN264" s="125"/>
      <c r="CO264" s="125"/>
      <c r="CP264" s="125"/>
      <c r="CQ264" s="125"/>
      <c r="CX264" s="138"/>
      <c r="CY264" s="193"/>
      <c r="CZ264" s="125"/>
      <c r="DA264" s="125"/>
      <c r="DB264" s="125"/>
      <c r="DC264" s="125"/>
      <c r="DD264" s="125"/>
      <c r="DE264" s="125"/>
      <c r="DF264" s="125"/>
      <c r="DG264" s="125"/>
      <c r="DH264" s="125"/>
      <c r="DI264" s="125"/>
      <c r="DJ264" s="125"/>
      <c r="DK264" s="125"/>
      <c r="DL264" s="125"/>
      <c r="DM264" s="125"/>
      <c r="DN264" s="125"/>
      <c r="DO264" s="125"/>
      <c r="DP264" s="125"/>
      <c r="DQ264" s="125"/>
      <c r="DR264" s="125"/>
      <c r="DS264" s="125"/>
      <c r="DT264" s="125"/>
      <c r="DU264" s="125"/>
    </row>
    <row r="265" spans="1:127" ht="56.25" hidden="1" outlineLevel="1" x14ac:dyDescent="0.25">
      <c r="A265" s="134" t="s">
        <v>3126</v>
      </c>
      <c r="B265" s="134" t="s">
        <v>424</v>
      </c>
      <c r="C265" s="134"/>
      <c r="D265" s="134"/>
      <c r="E265" s="134"/>
      <c r="F265" s="134"/>
      <c r="G265" s="138"/>
      <c r="H265" s="138"/>
      <c r="I265" s="138"/>
      <c r="J265" s="138"/>
      <c r="K265" s="138" t="s">
        <v>2989</v>
      </c>
      <c r="L265" s="138" t="s">
        <v>957</v>
      </c>
      <c r="M265" s="138"/>
      <c r="N265" s="138"/>
      <c r="O265" s="138" t="s">
        <v>666</v>
      </c>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1" t="str">
        <f t="shared" si="6"/>
        <v>O1 niveau de rail d'arrimage spécial rolls sur 3 faces axé à ..… mm du plancher (-13 kg CU)Poignée d'arrimage spécial rolls (Qté ….. / Diamètre 25 / 35 / 45 mm) (-1 kg CU par poignée)Coffre (sans clé) pour rallonge électrique du groupe frigorifique positionné à l'arrière gauche (-12 kg CU)</v>
      </c>
      <c r="CF265" s="125"/>
      <c r="CG265" s="125"/>
      <c r="CH265" s="125"/>
      <c r="CI265" s="125"/>
      <c r="CJ265" s="125"/>
      <c r="CK265" s="125"/>
      <c r="CL265" s="125"/>
      <c r="CM265" s="125"/>
      <c r="CN265" s="125"/>
      <c r="CO265" s="125"/>
      <c r="CP265" s="125"/>
      <c r="CQ265" s="125"/>
    </row>
    <row r="266" spans="1:127" ht="112.5" hidden="1" outlineLevel="1" x14ac:dyDescent="0.25">
      <c r="A266" s="134" t="s">
        <v>3129</v>
      </c>
      <c r="B266" s="134" t="s">
        <v>32</v>
      </c>
      <c r="C266" s="194" t="s">
        <v>647</v>
      </c>
      <c r="D266" s="194" t="s">
        <v>648</v>
      </c>
      <c r="E266" s="194" t="s">
        <v>2998</v>
      </c>
      <c r="F266" s="194" t="s">
        <v>650</v>
      </c>
      <c r="G266" s="194" t="s">
        <v>651</v>
      </c>
      <c r="H266" s="194" t="s">
        <v>631</v>
      </c>
      <c r="I266" s="194"/>
      <c r="J266" s="194"/>
      <c r="K266" s="194" t="s">
        <v>2999</v>
      </c>
      <c r="L266" s="194"/>
      <c r="M266" s="194"/>
      <c r="N266" s="194"/>
      <c r="O266" s="194"/>
      <c r="P266" s="194"/>
      <c r="Q266" s="194"/>
      <c r="R266" s="138" t="s">
        <v>654</v>
      </c>
      <c r="S266" s="138"/>
      <c r="T266" s="138" t="s">
        <v>655</v>
      </c>
      <c r="U266" s="138" t="s">
        <v>425</v>
      </c>
      <c r="V266" s="138"/>
      <c r="W266" s="138"/>
      <c r="X266" s="138"/>
      <c r="Y266" s="138"/>
      <c r="Z266" s="138"/>
      <c r="AA266" s="138" t="s">
        <v>3026</v>
      </c>
      <c r="AB266" s="195" t="s">
        <v>635</v>
      </c>
      <c r="AC266" s="194" t="s">
        <v>636</v>
      </c>
      <c r="AD266" s="194"/>
      <c r="AE266" s="194"/>
      <c r="AF266" s="194"/>
      <c r="AG266" s="194"/>
      <c r="AH266" s="194"/>
      <c r="AI266" s="194" t="s">
        <v>670</v>
      </c>
      <c r="AJ266" s="194"/>
      <c r="AK266" s="194" t="s">
        <v>671</v>
      </c>
      <c r="AL266" s="194" t="s">
        <v>672</v>
      </c>
      <c r="AM266" s="194" t="s">
        <v>673</v>
      </c>
      <c r="AN266" s="194" t="s">
        <v>658</v>
      </c>
      <c r="AO266" s="194"/>
      <c r="AP266" s="194" t="s">
        <v>659</v>
      </c>
      <c r="AQ266" s="194"/>
      <c r="AR266" s="194" t="s">
        <v>640</v>
      </c>
      <c r="AS266" s="194"/>
      <c r="AT266" s="194"/>
      <c r="AU266" s="194"/>
      <c r="AV266" s="194"/>
      <c r="AW266" s="194" t="s">
        <v>641</v>
      </c>
      <c r="AX266" s="194"/>
      <c r="AY266" s="194"/>
      <c r="AZ266" s="194"/>
      <c r="BA266" s="194"/>
      <c r="BB266" s="194" t="s">
        <v>436</v>
      </c>
      <c r="BC266" s="194"/>
      <c r="BD266" s="194"/>
      <c r="BE266" s="194" t="s">
        <v>661</v>
      </c>
      <c r="BF266" s="194" t="s">
        <v>662</v>
      </c>
      <c r="BG266" s="138" t="s">
        <v>664</v>
      </c>
      <c r="BH266" s="194"/>
      <c r="BI266" s="194" t="s">
        <v>663</v>
      </c>
      <c r="BJ266" s="194"/>
      <c r="BK266" s="194"/>
      <c r="BL266" s="194"/>
      <c r="BM266" s="194"/>
      <c r="BN266" s="194"/>
      <c r="BO266" s="138"/>
      <c r="BP266" s="138"/>
      <c r="BQ266" s="138" t="s">
        <v>644</v>
      </c>
      <c r="BR266" s="194"/>
      <c r="BS266" s="194"/>
      <c r="BT266" s="194"/>
      <c r="BU266" s="194"/>
      <c r="BV266" s="194"/>
      <c r="BW266" s="131" t="str">
        <f t="shared" si="6"/>
        <v>PIsolation renforcée URBANCadre arrière 3 vantaux ouverture totale. Porte centrale largeur 1000 mm rabattable vers la droite avec déverrouillage interne1 crémone avec poignée sur porte centrale. Verrous intérieurs sur les autres vantauxFermeture centraliséeArrêts de portes arrière à 270° aimantés SimpleLockArrêts de portes arrière à 110°Rideau d'air arrière (Hauteur de passage 1900 mm)Faux châssis RigidLinkProfil face avant aérodynamiqueDéflecteur de cabine -AMENAGEMENTS : Revêtement extérieur et intérieur des parois en polyester blanc (RAL 9016)Protections bas de parois latérales et avant en aluminium hauteur 450 mm (250 mm + 200 mm)1 niveau de rail d'arrimage aluminium en applique sur 3 faces (sauf portes latérales) axé à 800 mm du plancher1 niveau de rail d'arrimage spécial rolls sur 3 faces axé à 1100 mm du plancherPoignée d'arrimage spécial rolls (Qté 10 / Diamètre 25 / 35 / 45 mm)4 sangles d'arrimage à tension manuellePlancher renforcé avec résine grise antidérapante2 siphons d'évacuation d'eau1 plafonnier LED avec détecteur de présenceAiles plastiques avec bavettesPares cyclistes latéraux URBAN2 feux stop en haut de cadrePhares de travail en haut de cadre. Bandeau LED commandé à l'ouverture des portesTélématique SAMSARA pack PRO monotempérature</v>
      </c>
      <c r="CF266" s="125"/>
      <c r="CG266" s="125"/>
      <c r="CH266" s="125"/>
      <c r="CI266" s="125"/>
      <c r="CJ266" s="125"/>
      <c r="CK266" s="125"/>
      <c r="CL266" s="125"/>
      <c r="CM266" s="125"/>
      <c r="CN266" s="125"/>
      <c r="CO266" s="125"/>
      <c r="CP266" s="125"/>
      <c r="CQ266" s="125"/>
      <c r="CX266" s="125"/>
      <c r="CY266" s="125"/>
      <c r="CZ266" s="125"/>
      <c r="DA266" s="125"/>
      <c r="DB266" s="125"/>
      <c r="DC266" s="125"/>
      <c r="DD266" s="125"/>
      <c r="DE266" s="125"/>
      <c r="DF266" s="125"/>
      <c r="DG266" s="125"/>
      <c r="DH266" s="125"/>
      <c r="DI266" s="125"/>
      <c r="DJ266" s="125"/>
      <c r="DK266" s="125"/>
    </row>
    <row r="267" spans="1:127" ht="56.25" hidden="1" outlineLevel="1" x14ac:dyDescent="0.25">
      <c r="A267" s="134" t="s">
        <v>3127</v>
      </c>
      <c r="B267" s="134" t="s">
        <v>424</v>
      </c>
      <c r="C267" s="134"/>
      <c r="D267" s="134"/>
      <c r="E267" s="134"/>
      <c r="F267" s="134"/>
      <c r="G267" s="138"/>
      <c r="H267" s="138"/>
      <c r="I267" s="138"/>
      <c r="J267" s="138"/>
      <c r="K267" s="138" t="s">
        <v>2986</v>
      </c>
      <c r="L267" s="138" t="s">
        <v>3121</v>
      </c>
      <c r="M267" s="138"/>
      <c r="N267" s="138"/>
      <c r="O267" s="138" t="s">
        <v>666</v>
      </c>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1" t="str">
        <f t="shared" si="6"/>
        <v>O2ème niveau de rail d'arrimage spécial rolls sur 3 faces axé à ….. mm du plancher (-13 kg cU)Poignée d'arrimage spécial rolls supplémentaire (Diamètre 25 / 35 / 45 mm) (- 1 kg CU par poignée)Coffre (sans clé) pour rallonge électrique du groupe frigorifique positionné à l'arrière gauche (-12 kg CU)</v>
      </c>
      <c r="CF267" s="125"/>
      <c r="CG267" s="125"/>
      <c r="CH267" s="125"/>
      <c r="CI267" s="125"/>
      <c r="CJ267" s="125"/>
      <c r="CK267" s="125"/>
      <c r="CL267" s="125"/>
      <c r="CM267" s="125"/>
      <c r="CN267" s="125"/>
      <c r="CO267" s="125"/>
      <c r="CP267" s="125"/>
      <c r="CQ267" s="125"/>
    </row>
    <row r="268" spans="1:127" ht="101.25" hidden="1" outlineLevel="1" x14ac:dyDescent="0.25">
      <c r="A268" s="134" t="s">
        <v>3101</v>
      </c>
      <c r="B268" s="134" t="s">
        <v>32</v>
      </c>
      <c r="C268" s="138" t="s">
        <v>626</v>
      </c>
      <c r="D268" s="138" t="s">
        <v>674</v>
      </c>
      <c r="E268" s="138" t="s">
        <v>628</v>
      </c>
      <c r="F268" s="138" t="s">
        <v>629</v>
      </c>
      <c r="G268" s="138" t="s">
        <v>675</v>
      </c>
      <c r="H268" s="138" t="s">
        <v>631</v>
      </c>
      <c r="I268" s="138"/>
      <c r="J268" s="138"/>
      <c r="K268" s="138" t="s">
        <v>676</v>
      </c>
      <c r="L268" s="138" t="s">
        <v>677</v>
      </c>
      <c r="M268" s="138" t="s">
        <v>678</v>
      </c>
      <c r="N268" s="138"/>
      <c r="O268" s="138"/>
      <c r="P268" s="138"/>
      <c r="Q268" s="138"/>
      <c r="R268" s="138" t="s">
        <v>679</v>
      </c>
      <c r="S268" s="138"/>
      <c r="T268" s="138"/>
      <c r="U268" s="138"/>
      <c r="V268" s="138"/>
      <c r="W268" s="138"/>
      <c r="X268" s="138"/>
      <c r="Y268" s="138"/>
      <c r="Z268" s="138"/>
      <c r="AA268" s="138" t="s">
        <v>3026</v>
      </c>
      <c r="AB268" s="138" t="s">
        <v>635</v>
      </c>
      <c r="AC268" s="138" t="s">
        <v>636</v>
      </c>
      <c r="AD268" s="138"/>
      <c r="AE268" s="138"/>
      <c r="AF268" s="138"/>
      <c r="AG268" s="138"/>
      <c r="AH268" s="138"/>
      <c r="AI268" s="138" t="s">
        <v>670</v>
      </c>
      <c r="AJ268" s="138"/>
      <c r="AK268" s="138" t="s">
        <v>680</v>
      </c>
      <c r="AL268" s="138"/>
      <c r="AM268" s="138"/>
      <c r="AN268" s="138" t="s">
        <v>658</v>
      </c>
      <c r="AP268" s="138" t="s">
        <v>659</v>
      </c>
      <c r="AQ268" s="138"/>
      <c r="AR268" s="138" t="s">
        <v>640</v>
      </c>
      <c r="AS268" s="138"/>
      <c r="AT268" s="138"/>
      <c r="AU268" s="138"/>
      <c r="AV268" s="138"/>
      <c r="AW268" s="138" t="s">
        <v>681</v>
      </c>
      <c r="AX268" s="138"/>
      <c r="AY268" s="138"/>
      <c r="AZ268" s="138"/>
      <c r="BA268" s="138"/>
      <c r="BB268" s="138" t="s">
        <v>436</v>
      </c>
      <c r="BC268" s="138"/>
      <c r="BD268" s="138"/>
      <c r="BE268" s="138" t="s">
        <v>661</v>
      </c>
      <c r="BF268" s="138" t="s">
        <v>682</v>
      </c>
      <c r="BG268" s="138"/>
      <c r="BH268" s="138"/>
      <c r="BI268" s="138" t="s">
        <v>683</v>
      </c>
      <c r="BJ268" s="138"/>
      <c r="BK268" s="138"/>
      <c r="BL268" s="138"/>
      <c r="BM268" s="138"/>
      <c r="BN268" s="138"/>
      <c r="BO268" s="138"/>
      <c r="BP268" s="138"/>
      <c r="BQ268" s="138" t="s">
        <v>644</v>
      </c>
      <c r="BR268" s="138"/>
      <c r="BS268" s="138"/>
      <c r="BT268" s="138"/>
      <c r="BU268" s="138"/>
      <c r="BV268" s="138"/>
      <c r="BW268" s="131" t="str">
        <f t="shared" si="6"/>
        <v>PIsolation renforcée CFLCadre arrière 2 vantaux ouverture totale (porte droite prioritaire)1 crémone avec poignée sur chaque vantailFermeture manuelle à cléArrêts de portes arrière à ressort à 270°Arrêts de portes arrière à 110°Rideau d'air arrière (Hauteur de passage 1850 mm)Escabeau arrière coulissant 4 marches avec poignée et première marche antipincementPlaque acier galvanisée 150 mm x 150 mm sur paroi latérale à l'arrière droit pour télécommande filaire du hayonFaux châssis acier galvanisé -AMENAGEMENTS : Revêtement extérieur et intérieur des parois en polyester blanc (RAL 9016)Protections bas de parois latérales et avant en aluminium hauteur 450 mm (250 mm + 200 mm)1 niveau de rail d'arrimage acier galvanisé en applique sur 3 faces axé à 800 mm du plancher4 sangles d'arrimage à tension manuellePlancher renforcé avec résine grise antidérapante2 siphons d'évacuation d'eau2 plafonniers LED avec détecteur de présenceAiles plastiques avec bavettesPares cyclistes latérauxPhares de travail en haut de cadre (commandés à l'alimentation du hayon élévateur)Télématique SAMSARA pack PRO monotempérature</v>
      </c>
      <c r="CF268" s="125"/>
      <c r="CG268" s="125"/>
      <c r="CH268" s="125"/>
      <c r="CI268" s="125"/>
      <c r="CJ268" s="125"/>
      <c r="CK268" s="125"/>
      <c r="CL268" s="125"/>
      <c r="CM268" s="125"/>
      <c r="CN268" s="125"/>
      <c r="CO268" s="125"/>
      <c r="CP268" s="125"/>
      <c r="CQ268" s="125"/>
      <c r="CX268" s="138"/>
      <c r="CY268" s="193"/>
      <c r="CZ268" s="125"/>
      <c r="DA268" s="125"/>
      <c r="DB268" s="125"/>
      <c r="DC268" s="125"/>
      <c r="DD268" s="125"/>
      <c r="DE268" s="125"/>
      <c r="DF268" s="125"/>
      <c r="DG268" s="125"/>
      <c r="DH268" s="125"/>
      <c r="DI268" s="125"/>
      <c r="DJ268" s="125"/>
      <c r="DK268" s="125"/>
      <c r="DL268" s="125"/>
      <c r="DM268" s="125"/>
      <c r="DN268" s="125"/>
      <c r="DO268" s="125"/>
      <c r="DP268" s="125"/>
      <c r="DQ268" s="125"/>
      <c r="DR268" s="125"/>
      <c r="DS268" s="125"/>
      <c r="DT268" s="125"/>
      <c r="DU268" s="125"/>
    </row>
    <row r="269" spans="1:127" ht="56.25" hidden="1" outlineLevel="1" x14ac:dyDescent="0.25">
      <c r="A269" s="134" t="s">
        <v>3081</v>
      </c>
      <c r="B269" s="134" t="s">
        <v>424</v>
      </c>
      <c r="C269" s="134"/>
      <c r="D269" s="134"/>
      <c r="E269" s="134"/>
      <c r="F269" s="134"/>
      <c r="G269" s="138"/>
      <c r="H269" s="138"/>
      <c r="I269" s="138"/>
      <c r="J269" s="138" t="s">
        <v>684</v>
      </c>
      <c r="K269" s="138"/>
      <c r="L269" s="138"/>
      <c r="M269" s="138"/>
      <c r="N269" s="138" t="s">
        <v>685</v>
      </c>
      <c r="O269" s="138" t="s">
        <v>666</v>
      </c>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1" t="str">
        <f t="shared" si="6"/>
        <v>O1 niveau de rail d'arrimage acier galvanisé supplémentaire en applique sur 3 faces axé à ....... mm du plancher (-28 kg CU)Phares de travail en haut de cadre (commandés à l'ouverture de la porte)Coffre (sans clé) pour rallonge électrique du groupe frigorifique positionné à l'arrière gauche (-12 kg CU)</v>
      </c>
      <c r="CF269" s="125"/>
      <c r="CG269" s="125"/>
      <c r="CH269" s="125"/>
      <c r="CI269" s="125"/>
      <c r="CJ269" s="125"/>
      <c r="CK269" s="125"/>
      <c r="CL269" s="125"/>
      <c r="CM269" s="125"/>
      <c r="CN269" s="125"/>
      <c r="CO269" s="125"/>
      <c r="CP269" s="125"/>
      <c r="CQ269" s="125"/>
    </row>
    <row r="270" spans="1:127" ht="112.5" hidden="1" outlineLevel="1" x14ac:dyDescent="0.25">
      <c r="A270" s="134" t="s">
        <v>3087</v>
      </c>
      <c r="B270" s="134" t="s">
        <v>32</v>
      </c>
      <c r="C270" s="138" t="s">
        <v>686</v>
      </c>
      <c r="D270" s="138" t="s">
        <v>687</v>
      </c>
      <c r="E270" s="138" t="s">
        <v>628</v>
      </c>
      <c r="F270" s="138" t="s">
        <v>629</v>
      </c>
      <c r="G270" s="138" t="s">
        <v>675</v>
      </c>
      <c r="H270" s="138" t="s">
        <v>631</v>
      </c>
      <c r="I270" s="138"/>
      <c r="J270" s="138"/>
      <c r="K270" s="138" t="s">
        <v>688</v>
      </c>
      <c r="L270" s="138" t="s">
        <v>677</v>
      </c>
      <c r="M270" s="138" t="s">
        <v>678</v>
      </c>
      <c r="N270" s="138"/>
      <c r="O270" s="138"/>
      <c r="P270" s="138"/>
      <c r="Q270" s="138"/>
      <c r="R270" s="138" t="s">
        <v>679</v>
      </c>
      <c r="S270" s="138"/>
      <c r="T270" s="138"/>
      <c r="U270" s="138"/>
      <c r="V270" s="138"/>
      <c r="W270" s="138"/>
      <c r="X270" s="138"/>
      <c r="Y270" s="138"/>
      <c r="Z270" s="138"/>
      <c r="AA270" s="138" t="s">
        <v>3026</v>
      </c>
      <c r="AB270" s="138" t="s">
        <v>635</v>
      </c>
      <c r="AC270" s="138" t="s">
        <v>636</v>
      </c>
      <c r="AD270" s="138"/>
      <c r="AE270" s="138"/>
      <c r="AF270" s="138"/>
      <c r="AG270" s="138"/>
      <c r="AH270" s="138"/>
      <c r="AI270" s="138" t="s">
        <v>670</v>
      </c>
      <c r="AJ270" s="138"/>
      <c r="AK270" s="138"/>
      <c r="AL270" s="138" t="s">
        <v>689</v>
      </c>
      <c r="AM270" s="138" t="s">
        <v>690</v>
      </c>
      <c r="AN270" s="138"/>
      <c r="AO270" s="138"/>
      <c r="AP270" s="138" t="s">
        <v>659</v>
      </c>
      <c r="AQ270" s="138"/>
      <c r="AR270" s="138" t="s">
        <v>640</v>
      </c>
      <c r="AS270" s="138"/>
      <c r="AT270" s="138"/>
      <c r="AU270" s="138"/>
      <c r="AV270" s="138"/>
      <c r="AW270" s="138" t="s">
        <v>681</v>
      </c>
      <c r="AX270" s="138"/>
      <c r="AY270" s="138"/>
      <c r="AZ270" s="138"/>
      <c r="BA270" s="138"/>
      <c r="BB270" s="138" t="s">
        <v>436</v>
      </c>
      <c r="BC270" s="138"/>
      <c r="BD270" s="138"/>
      <c r="BE270" s="138" t="s">
        <v>661</v>
      </c>
      <c r="BF270" s="138" t="s">
        <v>682</v>
      </c>
      <c r="BG270" s="138"/>
      <c r="BH270" s="138" t="s">
        <v>691</v>
      </c>
      <c r="BI270" s="138" t="s">
        <v>683</v>
      </c>
      <c r="BJ270" s="138"/>
      <c r="BK270" s="138"/>
      <c r="BL270" s="138"/>
      <c r="BM270" s="138"/>
      <c r="BN270" s="138"/>
      <c r="BO270" s="138"/>
      <c r="BP270" s="138"/>
      <c r="BQ270" s="138" t="s">
        <v>644</v>
      </c>
      <c r="BR270" s="138"/>
      <c r="BS270" s="138"/>
      <c r="BT270" s="138"/>
      <c r="BU270" s="138"/>
      <c r="BV270" s="138"/>
      <c r="BW270" s="131" t="str">
        <f t="shared" si="6"/>
        <v>PIsolation renforcée CFRCadre arrière 2 vantaux ouverture totale (porte droite prioritaire) avec déverrouillage interne1 crémone avec poignée sur chaque vantailFermeture manuelle à cléArrêts de portes arrière à ressort à 270°Arrêts de portes arrière à 110°Rideau d'air arrière (Hauteur de passage 2050 mm)Escabeau arrière coulissant 4 marches avec poignée et première marche antipincementPlaque acier galvanisée 150 mm x 150 mm sur paroi latérale à l'arrière droit pour télécommande filaire du hayonFaux châssis acier galvanisé -AMENAGEMENTS : Revêtement extérieur et intérieur des parois en polyester blanc (RAL 9016)Protections bas de parois latérales et avant en aluminium hauteur 450 mm (250 mm + 200 mm)1 niveau de rail d'arrimage spécial rolls sur 3 faces axé à 1000 mm du plancherPoignée d'arrimage spécial rolls (Qté 12 / Diamètre 25 / 35 / 45 mm)Plancher renforcé avec résine grise antidérapante2 siphons d'évacuation d'eau2 plafonniers LED avec détecteur de présenceAiles plastiques avec bavettesPares cyclistes latérauxFeux de gabarits arrière multifonctions en haut de cadrePhares de travail en haut de cadre (commandés à l'alimentation du hayon élévateur)Télématique SAMSARA pack PRO monotempérature</v>
      </c>
      <c r="CF270" s="125"/>
      <c r="CG270" s="125"/>
      <c r="CH270" s="125"/>
      <c r="CI270" s="125"/>
      <c r="CJ270" s="125"/>
      <c r="CK270" s="125"/>
      <c r="CL270" s="125"/>
      <c r="CM270" s="125"/>
      <c r="CN270" s="125"/>
      <c r="CO270" s="125"/>
      <c r="CP270" s="125"/>
      <c r="CQ270" s="125"/>
      <c r="CX270" s="193"/>
      <c r="CY270" s="125"/>
      <c r="CZ270" s="125"/>
      <c r="DA270" s="125"/>
      <c r="DB270" s="125"/>
      <c r="DC270" s="125"/>
      <c r="DD270" s="125"/>
      <c r="DE270" s="125"/>
      <c r="DF270" s="125"/>
      <c r="DG270" s="125"/>
      <c r="DH270" s="125"/>
      <c r="DI270" s="125"/>
      <c r="DJ270" s="125"/>
      <c r="DK270" s="125"/>
      <c r="DL270" s="125"/>
      <c r="DM270" s="125"/>
      <c r="DN270" s="125"/>
      <c r="DO270" s="125"/>
      <c r="DP270" s="125"/>
      <c r="DQ270" s="125"/>
      <c r="DR270" s="125"/>
      <c r="DS270" s="125"/>
      <c r="DT270" s="125"/>
    </row>
    <row r="271" spans="1:127" ht="56.25" hidden="1" outlineLevel="1" x14ac:dyDescent="0.25">
      <c r="A271" s="134" t="s">
        <v>3110</v>
      </c>
      <c r="B271" s="134" t="s">
        <v>424</v>
      </c>
      <c r="C271" s="134"/>
      <c r="D271" s="134"/>
      <c r="E271" s="134"/>
      <c r="F271" s="134"/>
      <c r="G271" s="138"/>
      <c r="H271" s="138"/>
      <c r="I271" s="138"/>
      <c r="J271" s="138" t="s">
        <v>692</v>
      </c>
      <c r="K271" s="138"/>
      <c r="L271" s="138"/>
      <c r="M271" s="138"/>
      <c r="N271" s="138" t="s">
        <v>685</v>
      </c>
      <c r="O271" s="138" t="s">
        <v>666</v>
      </c>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1" t="str">
        <f t="shared" si="6"/>
        <v>O1 niveau de rail d'arrimage acier galvanisé en applique sur 3 faces axé à ....... mm du plancher avec 4 sangles (-30 kg CU)Phares de travail en haut de cadre (commandés à l'ouverture de la porte)Coffre (sans clé) pour rallonge électrique du groupe frigorifique positionné à l'arrière gauche (-12 kg CU)</v>
      </c>
      <c r="CF271" s="125"/>
      <c r="CG271" s="125"/>
      <c r="CH271" s="125"/>
      <c r="CI271" s="125"/>
      <c r="CJ271" s="125"/>
      <c r="CK271" s="125"/>
      <c r="CL271" s="125"/>
      <c r="CM271" s="125"/>
      <c r="CN271" s="125"/>
      <c r="CO271" s="125"/>
      <c r="CP271" s="125"/>
      <c r="CQ271" s="125"/>
    </row>
    <row r="272" spans="1:127" ht="135" hidden="1" outlineLevel="1" x14ac:dyDescent="0.25">
      <c r="A272" s="131" t="s">
        <v>3141</v>
      </c>
      <c r="B272" s="134" t="s">
        <v>32</v>
      </c>
      <c r="C272" s="138" t="s">
        <v>693</v>
      </c>
      <c r="D272" s="138" t="s">
        <v>674</v>
      </c>
      <c r="E272" s="138" t="s">
        <v>628</v>
      </c>
      <c r="F272" s="138"/>
      <c r="G272" s="138" t="s">
        <v>696</v>
      </c>
      <c r="H272" s="138" t="s">
        <v>631</v>
      </c>
      <c r="I272" s="138" t="s">
        <v>697</v>
      </c>
      <c r="J272" s="138" t="s">
        <v>698</v>
      </c>
      <c r="K272" s="138" t="s">
        <v>694</v>
      </c>
      <c r="L272" s="138" t="s">
        <v>695</v>
      </c>
      <c r="M272" s="138" t="s">
        <v>678</v>
      </c>
      <c r="N272" s="138"/>
      <c r="O272" s="138"/>
      <c r="P272" s="138"/>
      <c r="Q272" s="138"/>
      <c r="R272" s="138"/>
      <c r="S272" s="138"/>
      <c r="T272" s="138"/>
      <c r="U272" s="138"/>
      <c r="V272" s="138"/>
      <c r="W272" s="138"/>
      <c r="X272" s="138"/>
      <c r="Y272" s="138"/>
      <c r="Z272" s="138"/>
      <c r="AA272" s="138" t="s">
        <v>3026</v>
      </c>
      <c r="AB272" s="138" t="s">
        <v>635</v>
      </c>
      <c r="AC272" s="138" t="s">
        <v>636</v>
      </c>
      <c r="AD272" s="138"/>
      <c r="AE272" s="138"/>
      <c r="AF272" s="138"/>
      <c r="AG272" s="138"/>
      <c r="AH272" s="138"/>
      <c r="AI272" s="138" t="s">
        <v>699</v>
      </c>
      <c r="AJ272" s="138"/>
      <c r="AK272" s="138" t="s">
        <v>700</v>
      </c>
      <c r="AL272" s="138"/>
      <c r="AM272" s="138"/>
      <c r="AN272" s="138" t="s">
        <v>658</v>
      </c>
      <c r="AO272" s="138"/>
      <c r="AP272" s="138" t="s">
        <v>659</v>
      </c>
      <c r="AQ272" s="138"/>
      <c r="AR272" s="138" t="s">
        <v>701</v>
      </c>
      <c r="AS272" s="138"/>
      <c r="AT272" s="138"/>
      <c r="AU272" s="138"/>
      <c r="AV272" s="138"/>
      <c r="AW272" s="138" t="s">
        <v>681</v>
      </c>
      <c r="AX272" s="138" t="s">
        <v>702</v>
      </c>
      <c r="AY272" s="138" t="s">
        <v>703</v>
      </c>
      <c r="AZ272" s="138" t="s">
        <v>704</v>
      </c>
      <c r="BA272" s="138" t="s">
        <v>705</v>
      </c>
      <c r="BB272" s="138" t="s">
        <v>436</v>
      </c>
      <c r="BC272" s="138"/>
      <c r="BD272" s="138" t="s">
        <v>706</v>
      </c>
      <c r="BE272" s="138" t="s">
        <v>661</v>
      </c>
      <c r="BF272" s="138" t="s">
        <v>707</v>
      </c>
      <c r="BG272" s="138"/>
      <c r="BH272" s="138" t="s">
        <v>691</v>
      </c>
      <c r="BI272" s="138" t="s">
        <v>683</v>
      </c>
      <c r="BJ272" s="138" t="s">
        <v>708</v>
      </c>
      <c r="BK272" s="138"/>
      <c r="BL272" s="138"/>
      <c r="BM272" s="138"/>
      <c r="BN272" s="138"/>
      <c r="BO272" s="138"/>
      <c r="BP272" s="138"/>
      <c r="BQ272" s="138" t="s">
        <v>644</v>
      </c>
      <c r="BR272" s="138"/>
      <c r="BS272" s="138"/>
      <c r="BT272" s="138"/>
      <c r="BU272" s="138"/>
      <c r="BV272" s="138"/>
      <c r="BW272" s="131" t="str">
        <f t="shared" si="6"/>
        <v>PIsolation renforcéeCadre arrière 2 vantaux ouverture totale (porte droite prioritaire)1 crémone avec poignée sur chaque vantailArrêts de portes arrière à 270°Arrêts de portes arrière à 110°Déverrouillage interne porte arrière droite avec clapet de protectionPoignée montoire en inox sur vantail gauche (parallèle à la crémone)Rideau d'air arrière (Hauteur de passage 2100 mm)Escabeau arrière coulissant 3 marches avec poignée et première marche antipincementPlaque acier galvanisée 150 mm x 150 mm sur paroi latérale à l'arrière droit pour télécommande filaire du hayon -AMENAGEMENTS : Revêtement extérieur et intérieur des parois en polyester blanc (RAL 9016)Protections bas de parois latérales et avant en inox hauteur 450 mm 1 niveau de rail d'arrimage acier galvanisé en applique sur 3 faces (sauf portes latérales) axé à 1100 mm du plancher4 sangles d'arrimage à tension manuellePlancher renforcé avec résine grise antidérapante4 siphons d'évacuation2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monotempérature</v>
      </c>
      <c r="CF272" s="125"/>
      <c r="CG272" s="125"/>
      <c r="CH272" s="125"/>
      <c r="CI272" s="125"/>
      <c r="CJ272" s="125"/>
      <c r="CK272" s="125"/>
      <c r="CL272" s="125"/>
      <c r="CM272" s="125"/>
      <c r="CN272" s="125"/>
      <c r="CO272" s="125"/>
      <c r="CP272" s="125"/>
      <c r="CQ272" s="125"/>
      <c r="CX272" s="125"/>
      <c r="CY272" s="125"/>
      <c r="CZ272" s="125"/>
      <c r="DA272" s="125"/>
      <c r="DB272" s="125"/>
      <c r="DC272" s="125"/>
      <c r="DD272" s="125"/>
      <c r="DE272" s="125"/>
      <c r="DF272" s="125"/>
      <c r="DG272" s="125"/>
      <c r="DH272" s="125"/>
      <c r="DI272" s="125"/>
      <c r="DJ272" s="125"/>
      <c r="DK272" s="125"/>
      <c r="DL272" s="125"/>
      <c r="DM272" s="125"/>
      <c r="DN272" s="125"/>
    </row>
    <row r="273" spans="1:122" ht="67.5" hidden="1" outlineLevel="1" x14ac:dyDescent="0.25">
      <c r="A273" s="131" t="s">
        <v>3091</v>
      </c>
      <c r="B273" s="134" t="s">
        <v>424</v>
      </c>
      <c r="C273" s="134"/>
      <c r="D273" s="134"/>
      <c r="E273" s="134"/>
      <c r="F273" s="134"/>
      <c r="G273" s="134"/>
      <c r="H273" s="138" t="s">
        <v>711</v>
      </c>
      <c r="I273" s="134"/>
      <c r="J273" s="138" t="s">
        <v>709</v>
      </c>
      <c r="K273" s="138" t="s">
        <v>710</v>
      </c>
      <c r="L273" s="138" t="s">
        <v>957</v>
      </c>
      <c r="M273" s="138"/>
      <c r="N273" s="138" t="s">
        <v>685</v>
      </c>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1" t="str">
        <f t="shared" si="6"/>
        <v>OPorte latérale battante double vantaux largeur 1000 mm à 700 mm de l'avant droit avec déverrouillage interne et étrier latéral télescopique 3 marches avec buzzer en cabine + rideau d'air (-84 kg CU)1 niveau de rail d'arrimage en applique supplémentaire axé à ..... mm du plancher (-36 kg CU)1 niveau de rail d'arrimage spécial rolls sur 3 faces axé à ….. mm du plancher (-20 kg CU)Poignée d'arrimage spécial rolls (Qté ….. / Diamètre 25 / 35 / 45 mm) (-1 kg CU par poignée)Phares de travail en haut de cadre (commandés à l'ouverture de la porte)</v>
      </c>
      <c r="CF273" s="125"/>
      <c r="CG273" s="125"/>
      <c r="CH273" s="125"/>
      <c r="CI273" s="125"/>
      <c r="CJ273" s="125"/>
      <c r="CK273" s="125"/>
      <c r="CL273" s="125"/>
      <c r="CM273" s="125"/>
      <c r="CN273" s="125"/>
      <c r="CO273" s="125"/>
      <c r="CP273" s="125"/>
      <c r="CQ273" s="125"/>
    </row>
    <row r="274" spans="1:122" ht="123.75" hidden="1" outlineLevel="1" x14ac:dyDescent="0.25">
      <c r="A274" s="134" t="s">
        <v>3137</v>
      </c>
      <c r="B274" s="134" t="s">
        <v>32</v>
      </c>
      <c r="C274" s="138" t="s">
        <v>647</v>
      </c>
      <c r="D274" s="138" t="s">
        <v>674</v>
      </c>
      <c r="E274" s="138" t="s">
        <v>628</v>
      </c>
      <c r="F274" s="138" t="s">
        <v>650</v>
      </c>
      <c r="G274" s="138" t="s">
        <v>651</v>
      </c>
      <c r="H274" s="138" t="s">
        <v>631</v>
      </c>
      <c r="I274" s="138"/>
      <c r="J274" s="138"/>
      <c r="K274" s="138" t="s">
        <v>779</v>
      </c>
      <c r="L274" s="138"/>
      <c r="M274" s="138" t="s">
        <v>678</v>
      </c>
      <c r="N274" s="138" t="s">
        <v>976</v>
      </c>
      <c r="O274" s="138"/>
      <c r="P274" s="138"/>
      <c r="Q274" s="138" t="s">
        <v>760</v>
      </c>
      <c r="R274" s="138" t="s">
        <v>761</v>
      </c>
      <c r="S274" s="138"/>
      <c r="T274" s="138" t="s">
        <v>655</v>
      </c>
      <c r="U274" s="138" t="s">
        <v>425</v>
      </c>
      <c r="V274" s="138"/>
      <c r="W274" s="138"/>
      <c r="X274" s="138"/>
      <c r="Y274" s="138"/>
      <c r="Z274" s="138" t="s">
        <v>654</v>
      </c>
      <c r="AA274" s="138" t="s">
        <v>3026</v>
      </c>
      <c r="AB274" s="138" t="s">
        <v>635</v>
      </c>
      <c r="AC274" s="138" t="s">
        <v>636</v>
      </c>
      <c r="AD274" s="138"/>
      <c r="AE274" s="138"/>
      <c r="AF274" s="138"/>
      <c r="AG274" s="138"/>
      <c r="AH274" s="138"/>
      <c r="AI274" s="138" t="s">
        <v>670</v>
      </c>
      <c r="AJ274" s="138"/>
      <c r="AK274" s="138" t="s">
        <v>766</v>
      </c>
      <c r="AL274" s="138"/>
      <c r="AM274" s="138"/>
      <c r="AN274" s="138" t="s">
        <v>658</v>
      </c>
      <c r="AO274" s="138"/>
      <c r="AP274" s="138" t="s">
        <v>659</v>
      </c>
      <c r="AQ274" s="138"/>
      <c r="AR274" s="138" t="s">
        <v>640</v>
      </c>
      <c r="AS274" s="138"/>
      <c r="AT274" s="138"/>
      <c r="AU274" s="138"/>
      <c r="AV274" s="138"/>
      <c r="AW274" s="138" t="s">
        <v>641</v>
      </c>
      <c r="AX274" s="138"/>
      <c r="AY274" s="138"/>
      <c r="AZ274" s="138"/>
      <c r="BA274" s="138"/>
      <c r="BB274" s="138" t="s">
        <v>436</v>
      </c>
      <c r="BC274" s="138"/>
      <c r="BD274" s="138"/>
      <c r="BE274" s="138" t="s">
        <v>661</v>
      </c>
      <c r="BF274" s="138" t="s">
        <v>662</v>
      </c>
      <c r="BG274" s="138" t="s">
        <v>664</v>
      </c>
      <c r="BH274" s="138"/>
      <c r="BI274" s="138" t="s">
        <v>663</v>
      </c>
      <c r="BJ274" s="138"/>
      <c r="BK274" s="138"/>
      <c r="BL274" s="138"/>
      <c r="BM274" s="138"/>
      <c r="BN274" s="138"/>
      <c r="BO274" s="138"/>
      <c r="BP274" s="138"/>
      <c r="BQ274" s="138" t="s">
        <v>644</v>
      </c>
      <c r="BR274" s="138"/>
      <c r="BS274" s="138"/>
      <c r="BT274" s="138"/>
      <c r="BU274" s="138"/>
      <c r="BV274" s="138"/>
      <c r="BW274" s="131" t="str">
        <f t="shared" si="6"/>
        <v>PIsolation renforcée URBANCadre arrière 2 vantaux ouverture totale (porte droite prioritaire)1 crémone avec poignée sur chaque vantailFermeture centraliséeArrêts de portes arrière à 270° aimantés SimpleLockArrêts de portes arrière à 110°Rideau d'air arrièrePlaque acier galvanisée 150 mm x 150 mm sur paroi latérale à l'arrière droit pour télécommande filaire du hayonPorte latérale battante double vantaux largeur 1000 mm à 450 mm de l'avant droit avec déverrouillage interne avec une sangle montoir à droite et à gauche fixée dans le champs de l'huisserieEtrier latéral télescopique 2 marches avec buzzer en cabineArrêts de portes latérauxProfil face avant aérodynamiqueDéflecteur de cabineFaux châssis RigidLink -AMENAGEMENTS : Revêtement extérieur et intérieur des parois en polyester blanc (RAL 9016)Protections bas de parois latérales et avant en aluminium hauteur 450 mm (250 mm + 200 mm)1 niveau de rail d'arrimage aluminium en applique sur 3 faces (sauf portes latérales) axé à 900 mm du plancher4 sangles d'arrimage à tension manuellePlancher renforcé avec résine grise antidérapante2 siphons d'évacuation d'eau1 plafonnier LED avec détecteur de présenceAiles plastiques avec bavettesPares cyclistes latéraux URBAN2 feux stop en haut de cadrePhares de travail en haut de cadre. Bandeau LED commandé à l'ouverture des portesTélématique SAMSARA pack PRO monotempérature</v>
      </c>
      <c r="CF274" s="125"/>
      <c r="CG274" s="125"/>
      <c r="CH274" s="125"/>
      <c r="CI274" s="125"/>
      <c r="CJ274" s="125"/>
      <c r="CK274" s="125"/>
      <c r="CL274" s="125"/>
      <c r="CM274" s="125"/>
      <c r="CN274" s="125"/>
      <c r="CO274" s="125"/>
      <c r="CP274" s="125"/>
      <c r="CQ274" s="125"/>
      <c r="CX274" s="125"/>
      <c r="CY274" s="125"/>
      <c r="CZ274" s="125"/>
      <c r="DA274" s="125"/>
      <c r="DB274" s="125"/>
      <c r="DC274" s="125"/>
      <c r="DD274" s="125"/>
      <c r="DE274" s="125"/>
      <c r="DF274" s="125"/>
      <c r="DG274" s="125"/>
      <c r="DH274" s="125"/>
      <c r="DI274" s="125"/>
      <c r="DJ274" s="125"/>
      <c r="DK274" s="125"/>
      <c r="DL274" s="125"/>
      <c r="DM274" s="125"/>
      <c r="DN274" s="125"/>
      <c r="DO274" s="125"/>
    </row>
    <row r="275" spans="1:122" ht="56.25" hidden="1" outlineLevel="1" x14ac:dyDescent="0.25">
      <c r="A275" s="134" t="s">
        <v>3149</v>
      </c>
      <c r="B275" s="134" t="s">
        <v>424</v>
      </c>
      <c r="C275" s="134"/>
      <c r="D275" s="134"/>
      <c r="E275" s="134"/>
      <c r="F275" s="134"/>
      <c r="G275" s="138"/>
      <c r="H275" s="138"/>
      <c r="I275" s="138"/>
      <c r="J275" s="138" t="s">
        <v>3119</v>
      </c>
      <c r="K275" s="138" t="s">
        <v>2989</v>
      </c>
      <c r="L275" s="138" t="s">
        <v>957</v>
      </c>
      <c r="M275" s="138"/>
      <c r="N275" s="138"/>
      <c r="O275" s="138" t="s">
        <v>666</v>
      </c>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1" t="str">
        <f t="shared" si="6"/>
        <v>O1 niveau de rail d'arrimage aluminium supplémentaire en applique sur 3 faces axé à ..... mm du plancher (-13 kg CU)1 niveau de rail d'arrimage spécial rolls sur 3 faces axé à ..… mm du plancher (-13 kg CU)Poignée d'arrimage spécial rolls (Qté ….. / Diamètre 25 / 35 / 45 mm) (-1 kg CU par poignée)Coffre (sans clé) pour rallonge électrique du groupe frigorifique positionné à l'arrière gauche (-12 kg CU)</v>
      </c>
      <c r="CF275" s="125"/>
      <c r="CG275" s="125"/>
      <c r="CH275" s="125"/>
      <c r="CI275" s="125"/>
      <c r="CJ275" s="125"/>
      <c r="CK275" s="125"/>
      <c r="CL275" s="125"/>
      <c r="CM275" s="125"/>
      <c r="CN275" s="125"/>
      <c r="CO275" s="125"/>
      <c r="CP275" s="125"/>
      <c r="CQ275" s="125"/>
    </row>
    <row r="276" spans="1:122" ht="56.25" hidden="1" outlineLevel="1" x14ac:dyDescent="0.25">
      <c r="A276" s="134" t="s">
        <v>3128</v>
      </c>
      <c r="B276" s="134" t="s">
        <v>424</v>
      </c>
      <c r="C276" s="134"/>
      <c r="D276" s="134"/>
      <c r="E276" s="134"/>
      <c r="F276" s="134"/>
      <c r="G276" s="138"/>
      <c r="H276" s="138"/>
      <c r="I276" s="138"/>
      <c r="J276" s="138" t="s">
        <v>3120</v>
      </c>
      <c r="K276" s="138" t="s">
        <v>2987</v>
      </c>
      <c r="L276" s="138" t="s">
        <v>957</v>
      </c>
      <c r="M276" s="138"/>
      <c r="N276" s="138"/>
      <c r="O276" s="138" t="s">
        <v>666</v>
      </c>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1" t="str">
        <f t="shared" si="6"/>
        <v>O1 niveau de rail d'arrimage aluminium supplémentaire en applique sur 3 faces axé à ..... mm du plancher (-15 kg CU)1 niveau de rail d'arrimage spécial rolls sur 3 faces axé à ….. mm du plancher (-15 kg CU)Poignée d'arrimage spécial rolls (Qté ….. / Diamètre 25 / 35 / 45 mm) (-1 kg CU par poignée)Coffre (sans clé) pour rallonge électrique du groupe frigorifique positionné à l'arrière gauche (-12 kg CU)</v>
      </c>
      <c r="CF276" s="125"/>
      <c r="CG276" s="125"/>
      <c r="CH276" s="125"/>
      <c r="CI276" s="125"/>
      <c r="CJ276" s="125"/>
      <c r="CK276" s="125"/>
      <c r="CL276" s="125"/>
      <c r="CM276" s="125"/>
      <c r="CN276" s="125"/>
      <c r="CO276" s="125"/>
      <c r="CP276" s="125"/>
      <c r="CQ276" s="125"/>
    </row>
    <row r="277" spans="1:122" ht="101.25" hidden="1" outlineLevel="1" x14ac:dyDescent="0.25">
      <c r="A277" s="134" t="s">
        <v>3112</v>
      </c>
      <c r="B277" s="134" t="s">
        <v>32</v>
      </c>
      <c r="C277" s="138" t="s">
        <v>626</v>
      </c>
      <c r="D277" s="138" t="s">
        <v>674</v>
      </c>
      <c r="E277" s="138" t="s">
        <v>628</v>
      </c>
      <c r="F277" s="138" t="s">
        <v>629</v>
      </c>
      <c r="G277" s="138" t="s">
        <v>675</v>
      </c>
      <c r="H277" s="138" t="s">
        <v>631</v>
      </c>
      <c r="I277" s="138"/>
      <c r="J277" s="138"/>
      <c r="K277" s="138" t="s">
        <v>779</v>
      </c>
      <c r="L277" s="138"/>
      <c r="M277" s="138"/>
      <c r="N277" s="138" t="s">
        <v>759</v>
      </c>
      <c r="O277" s="138"/>
      <c r="P277" s="138"/>
      <c r="Q277" s="138" t="s">
        <v>760</v>
      </c>
      <c r="R277" s="138" t="s">
        <v>761</v>
      </c>
      <c r="S277" s="138"/>
      <c r="T277" s="138"/>
      <c r="U277" s="138"/>
      <c r="V277" s="138"/>
      <c r="W277" s="138"/>
      <c r="X277" s="138"/>
      <c r="Y277" s="138"/>
      <c r="Z277" s="138" t="s">
        <v>679</v>
      </c>
      <c r="AA277" s="138" t="s">
        <v>3026</v>
      </c>
      <c r="AB277" s="138" t="s">
        <v>635</v>
      </c>
      <c r="AC277" s="138" t="s">
        <v>636</v>
      </c>
      <c r="AD277" s="138"/>
      <c r="AE277" s="138"/>
      <c r="AF277" s="138"/>
      <c r="AG277" s="138"/>
      <c r="AH277" s="138"/>
      <c r="AI277" s="138" t="s">
        <v>670</v>
      </c>
      <c r="AJ277" s="138"/>
      <c r="AK277" s="138" t="s">
        <v>977</v>
      </c>
      <c r="AL277" s="138"/>
      <c r="AM277" s="138"/>
      <c r="AN277" s="138" t="s">
        <v>658</v>
      </c>
      <c r="AO277" s="138"/>
      <c r="AP277" s="138" t="s">
        <v>659</v>
      </c>
      <c r="AQ277" s="138"/>
      <c r="AR277" s="138" t="s">
        <v>640</v>
      </c>
      <c r="AS277" s="138"/>
      <c r="AT277" s="138"/>
      <c r="AU277" s="138"/>
      <c r="AV277" s="138"/>
      <c r="AW277" s="138" t="s">
        <v>681</v>
      </c>
      <c r="AX277" s="138"/>
      <c r="AY277" s="138"/>
      <c r="AZ277" s="138"/>
      <c r="BA277" s="138"/>
      <c r="BB277" s="138" t="s">
        <v>436</v>
      </c>
      <c r="BC277" s="138"/>
      <c r="BD277" s="138"/>
      <c r="BE277" s="138" t="s">
        <v>661</v>
      </c>
      <c r="BF277" s="138" t="s">
        <v>682</v>
      </c>
      <c r="BG277" s="138"/>
      <c r="BH277" s="138"/>
      <c r="BI277" s="138" t="s">
        <v>978</v>
      </c>
      <c r="BJ277" s="138"/>
      <c r="BK277" s="138"/>
      <c r="BL277" s="138"/>
      <c r="BM277" s="138"/>
      <c r="BN277" s="138"/>
      <c r="BO277" s="138"/>
      <c r="BP277" s="138"/>
      <c r="BQ277" s="138" t="s">
        <v>644</v>
      </c>
      <c r="BR277" s="138"/>
      <c r="BS277" s="138"/>
      <c r="BT277" s="138"/>
      <c r="BU277" s="138"/>
      <c r="BV277" s="138"/>
      <c r="BW277" s="131" t="str">
        <f t="shared" si="6"/>
        <v>PIsolation renforcée CFLCadre arrière 2 vantaux ouverture totale (porte droite prioritaire)1 crémone avec poignée sur chaque vantailFermeture manuelle à cléArrêts de portes arrière à ressort à 270°Arrêts de portes arrière à 110°Rideau d'air arrièrePorte latérale battante double vantaux largeur 1000 mm à 100 mm de l'avant droit avec déverrouillage interne avec une sangle montoir à droite et à gauche fixée dans le champs de l'huisserieEtrier latéral télescopique 2 marches avec buzzer en cabineArrêts de portes latérauxFaux châssis acier galvanisé -AMENAGEMENTS : Revêtement extérieur et intérieur des parois en polyester blanc (RAL 9016)Protections bas de parois latérales et avant en aluminium hauteur 450 mm (250 mm + 200 mm)1 niveau de rail d'arrimage acier galvanisé en applique sur 3 faces (sauf portes latérales) axé à 900 mm du plancher4 sangles d'arrimage à tension manuellePlancher renforcé avec résine grise antidérapante2 siphons d'évacuation d'eau2 plafonniers LED avec détecteur de présenceAiles plastiques avec bavettesPares cyclistes latérauxPhares de travail en haut de cadre.Télématique SAMSARA pack PRO monotempérature</v>
      </c>
      <c r="CF277" s="125"/>
      <c r="CG277" s="125"/>
      <c r="CH277" s="125"/>
      <c r="CI277" s="125"/>
      <c r="CJ277" s="125"/>
      <c r="CK277" s="125"/>
      <c r="CL277" s="125"/>
      <c r="CM277" s="125"/>
      <c r="CN277" s="125"/>
      <c r="CO277" s="125"/>
      <c r="CP277" s="125"/>
      <c r="CQ277" s="125"/>
      <c r="CX277" s="125"/>
      <c r="CY277" s="125"/>
      <c r="CZ277" s="125"/>
      <c r="DA277" s="125"/>
      <c r="DB277" s="125"/>
      <c r="DC277" s="125"/>
      <c r="DD277" s="125"/>
      <c r="DE277" s="125"/>
      <c r="DF277" s="125"/>
      <c r="DG277" s="125"/>
      <c r="DH277" s="125"/>
      <c r="DI277" s="125"/>
      <c r="DJ277" s="125"/>
      <c r="DK277" s="125"/>
      <c r="DL277" s="125"/>
      <c r="DM277" s="125"/>
      <c r="DN277" s="125"/>
      <c r="DO277" s="125"/>
      <c r="DP277" s="125"/>
      <c r="DQ277" s="125"/>
      <c r="DR277" s="125"/>
    </row>
    <row r="278" spans="1:122" ht="56.25" hidden="1" outlineLevel="1" x14ac:dyDescent="0.25">
      <c r="A278" s="134" t="s">
        <v>3113</v>
      </c>
      <c r="B278" s="134" t="s">
        <v>424</v>
      </c>
      <c r="C278" s="134"/>
      <c r="D278" s="134"/>
      <c r="E278" s="134"/>
      <c r="F278" s="134"/>
      <c r="G278" s="138"/>
      <c r="H278" s="138"/>
      <c r="I278" s="138"/>
      <c r="J278" s="138" t="s">
        <v>979</v>
      </c>
      <c r="K278" s="138" t="s">
        <v>2987</v>
      </c>
      <c r="L278" s="138" t="s">
        <v>957</v>
      </c>
      <c r="M278" s="138"/>
      <c r="N278" s="138"/>
      <c r="O278" s="138" t="s">
        <v>666</v>
      </c>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1" t="str">
        <f t="shared" si="6"/>
        <v>O1 niveau de rail d'arrimage aluminium supplémentaire en applique sur 3 faces axé à ....... mm du plancher (-26 kg CU)1 niveau de rail d'arrimage spécial rolls sur 3 faces axé à ….. mm du plancher (-15 kg CU)Poignée d'arrimage spécial rolls (Qté ….. / Diamètre 25 / 35 / 45 mm) (-1 kg CU par poignée)Coffre (sans clé) pour rallonge électrique du groupe frigorifique positionné à l'arrière gauche (-12 kg CU)</v>
      </c>
      <c r="CF278" s="125"/>
      <c r="CG278" s="125"/>
      <c r="CH278" s="125"/>
      <c r="CI278" s="125"/>
      <c r="CJ278" s="125"/>
      <c r="CK278" s="125"/>
      <c r="CL278" s="125"/>
      <c r="CM278" s="125"/>
      <c r="CN278" s="125"/>
      <c r="CO278" s="125"/>
      <c r="CP278" s="125"/>
      <c r="CQ278" s="125"/>
    </row>
    <row r="279" spans="1:122" ht="123.75" hidden="1" outlineLevel="1" x14ac:dyDescent="0.25">
      <c r="A279" s="134" t="s">
        <v>3106</v>
      </c>
      <c r="B279" s="134" t="s">
        <v>32</v>
      </c>
      <c r="C279" s="138" t="s">
        <v>626</v>
      </c>
      <c r="D279" s="138" t="s">
        <v>674</v>
      </c>
      <c r="E279" s="138" t="s">
        <v>628</v>
      </c>
      <c r="F279" s="138" t="s">
        <v>629</v>
      </c>
      <c r="G279" s="138" t="s">
        <v>675</v>
      </c>
      <c r="H279" s="138" t="s">
        <v>631</v>
      </c>
      <c r="I279" s="138"/>
      <c r="J279" s="138"/>
      <c r="K279" s="138" t="s">
        <v>779</v>
      </c>
      <c r="L279" s="138" t="s">
        <v>677</v>
      </c>
      <c r="M279" s="138" t="s">
        <v>678</v>
      </c>
      <c r="N279" s="138" t="s">
        <v>759</v>
      </c>
      <c r="O279" s="138"/>
      <c r="P279" s="138"/>
      <c r="Q279" s="138" t="s">
        <v>760</v>
      </c>
      <c r="R279" s="138" t="s">
        <v>761</v>
      </c>
      <c r="S279" s="138"/>
      <c r="T279" s="138"/>
      <c r="U279" s="138"/>
      <c r="V279" s="138"/>
      <c r="W279" s="138"/>
      <c r="X279" s="138"/>
      <c r="Y279" s="138"/>
      <c r="Z279" s="138" t="s">
        <v>679</v>
      </c>
      <c r="AA279" s="138" t="s">
        <v>3026</v>
      </c>
      <c r="AB279" s="138" t="s">
        <v>635</v>
      </c>
      <c r="AC279" s="138" t="s">
        <v>636</v>
      </c>
      <c r="AD279" s="138"/>
      <c r="AE279" s="138"/>
      <c r="AF279" s="138"/>
      <c r="AG279" s="138"/>
      <c r="AH279" s="138"/>
      <c r="AI279" s="138" t="s">
        <v>670</v>
      </c>
      <c r="AJ279" s="138"/>
      <c r="AK279" s="138" t="s">
        <v>977</v>
      </c>
      <c r="AL279" s="138"/>
      <c r="AM279" s="138"/>
      <c r="AN279" s="138" t="s">
        <v>658</v>
      </c>
      <c r="AO279" s="138"/>
      <c r="AP279" s="138" t="s">
        <v>659</v>
      </c>
      <c r="AQ279" s="138"/>
      <c r="AR279" s="138" t="s">
        <v>640</v>
      </c>
      <c r="AS279" s="138"/>
      <c r="AT279" s="138"/>
      <c r="AU279" s="138"/>
      <c r="AV279" s="138"/>
      <c r="AW279" s="138" t="s">
        <v>681</v>
      </c>
      <c r="AX279" s="138"/>
      <c r="AY279" s="138"/>
      <c r="AZ279" s="138"/>
      <c r="BA279" s="138"/>
      <c r="BB279" s="138" t="s">
        <v>436</v>
      </c>
      <c r="BC279" s="138"/>
      <c r="BD279" s="138"/>
      <c r="BE279" s="138" t="s">
        <v>661</v>
      </c>
      <c r="BF279" s="138" t="s">
        <v>682</v>
      </c>
      <c r="BG279" s="138"/>
      <c r="BH279" s="138"/>
      <c r="BI279" s="138" t="s">
        <v>978</v>
      </c>
      <c r="BJ279" s="138"/>
      <c r="BK279" s="138"/>
      <c r="BL279" s="138"/>
      <c r="BM279" s="138"/>
      <c r="BN279" s="138"/>
      <c r="BO279" s="138"/>
      <c r="BP279" s="138"/>
      <c r="BQ279" s="138" t="s">
        <v>644</v>
      </c>
      <c r="BR279" s="138"/>
      <c r="BS279" s="138"/>
      <c r="BT279" s="138"/>
      <c r="BU279" s="138"/>
      <c r="BV279" s="138"/>
      <c r="BW279" s="131" t="str">
        <f t="shared" si="6"/>
        <v>PIsolation renforcée CFLCadre arrière 2 vantaux ouverture totale (porte droite prioritaire)1 crémone avec poignée sur chaque vantailFermeture manuelle à cléArrêts de portes arrière à ressort à 270°Arrêts de portes arrière à 110°Rideau d'air arrièreEscabeau arrière coulissant 4 marches avec poignée et première marche antipincementPlaque acier galvanisée 150 mm x 150 mm sur paroi latérale à l'arrière droit pour télécommande filaire du hayonPorte latérale battante double vantaux largeur 1000 mm à 100 mm de l'avant droit avec déverrouillage interne avec une sangle montoir à droite et à gauche fixée dans le champs de l'huisserieEtrier latéral télescopique 2 marches avec buzzer en cabineArrêts de portes latérauxFaux châssis acier galvanisé -AMENAGEMENTS : Revêtement extérieur et intérieur des parois en polyester blanc (RAL 9016)Protections bas de parois latérales et avant en aluminium hauteur 450 mm (250 mm + 200 mm)1 niveau de rail d'arrimage acier galvanisé en applique sur 3 faces (sauf portes latérales) axé à 900 mm du plancher4 sangles d'arrimage à tension manuellePlancher renforcé avec résine grise antidérapante2 siphons d'évacuation d'eau2 plafonniers LED avec détecteur de présenceAiles plastiques avec bavettesPares cyclistes latérauxPhares de travail en haut de cadre.Télématique SAMSARA pack PRO monotempérature</v>
      </c>
      <c r="CF279" s="125"/>
      <c r="CG279" s="125"/>
      <c r="CH279" s="125"/>
      <c r="CI279" s="125"/>
      <c r="CJ279" s="125"/>
      <c r="CK279" s="125"/>
      <c r="CL279" s="125"/>
      <c r="CM279" s="125"/>
      <c r="CN279" s="125"/>
      <c r="CO279" s="125"/>
      <c r="CP279" s="125"/>
      <c r="CQ279" s="125"/>
      <c r="CX279" s="125"/>
      <c r="CY279" s="125"/>
      <c r="CZ279" s="125"/>
      <c r="DA279" s="125"/>
      <c r="DB279" s="125"/>
      <c r="DC279" s="125"/>
      <c r="DD279" s="125"/>
      <c r="DE279" s="125"/>
      <c r="DF279" s="125"/>
      <c r="DG279" s="125"/>
      <c r="DH279" s="125"/>
      <c r="DI279" s="125"/>
      <c r="DJ279" s="125"/>
      <c r="DK279" s="125"/>
      <c r="DL279" s="125"/>
      <c r="DM279" s="125"/>
      <c r="DN279" s="125"/>
      <c r="DO279" s="125"/>
      <c r="DP279" s="125"/>
      <c r="DQ279" s="125"/>
    </row>
    <row r="280" spans="1:122" ht="56.25" hidden="1" outlineLevel="1" x14ac:dyDescent="0.25">
      <c r="A280" s="134" t="s">
        <v>3097</v>
      </c>
      <c r="B280" s="134" t="s">
        <v>424</v>
      </c>
      <c r="C280" s="134"/>
      <c r="D280" s="134"/>
      <c r="E280" s="134"/>
      <c r="F280" s="134"/>
      <c r="G280" s="138"/>
      <c r="H280" s="138"/>
      <c r="I280" s="138"/>
      <c r="J280" s="138" t="s">
        <v>980</v>
      </c>
      <c r="K280" s="138" t="s">
        <v>2988</v>
      </c>
      <c r="L280" s="138" t="s">
        <v>957</v>
      </c>
      <c r="M280" s="138"/>
      <c r="N280" s="138"/>
      <c r="O280" s="138" t="s">
        <v>666</v>
      </c>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1" t="str">
        <f t="shared" si="6"/>
        <v>O1 niveau de rail d'arrimage aluminium supplémentaire en applique sur 3 faces axé à ....... mm du plancher (-28 kg CU)1 niveau de rail d'arrimage spécial rolls sur 3 faces axé à ….. mm du plancher (-17 kg CU)Poignée d'arrimage spécial rolls (Qté ….. / Diamètre 25 / 35 / 45 mm) (-1 kg CU par poignée)Coffre (sans clé) pour rallonge électrique du groupe frigorifique positionné à l'arrière gauche (-12 kg CU)</v>
      </c>
      <c r="CF280" s="125"/>
      <c r="CG280" s="125"/>
      <c r="CH280" s="125"/>
      <c r="CI280" s="125"/>
      <c r="CJ280" s="125"/>
      <c r="CK280" s="125"/>
      <c r="CL280" s="125"/>
      <c r="CM280" s="125"/>
      <c r="CN280" s="125"/>
      <c r="CO280" s="125"/>
      <c r="CP280" s="125"/>
      <c r="CQ280" s="125"/>
    </row>
    <row r="281" spans="1:122" ht="157.5" hidden="1" outlineLevel="1" x14ac:dyDescent="0.25">
      <c r="A281" s="131" t="s">
        <v>3173</v>
      </c>
      <c r="B281" s="134" t="s">
        <v>32</v>
      </c>
      <c r="C281" s="194" t="s">
        <v>693</v>
      </c>
      <c r="D281" s="194" t="s">
        <v>674</v>
      </c>
      <c r="E281" s="194" t="s">
        <v>628</v>
      </c>
      <c r="F281" s="194"/>
      <c r="G281" s="138" t="s">
        <v>696</v>
      </c>
      <c r="H281" s="138" t="s">
        <v>631</v>
      </c>
      <c r="I281" s="138" t="s">
        <v>697</v>
      </c>
      <c r="J281" s="138" t="s">
        <v>698</v>
      </c>
      <c r="K281" s="194" t="s">
        <v>779</v>
      </c>
      <c r="L281" s="194" t="s">
        <v>695</v>
      </c>
      <c r="M281" s="194" t="s">
        <v>678</v>
      </c>
      <c r="N281" s="194" t="s">
        <v>759</v>
      </c>
      <c r="O281" s="194"/>
      <c r="P281" s="194"/>
      <c r="Q281" s="194" t="s">
        <v>924</v>
      </c>
      <c r="R281" s="194" t="s">
        <v>761</v>
      </c>
      <c r="S281" s="194"/>
      <c r="T281" s="194"/>
      <c r="U281" s="194"/>
      <c r="V281" s="194"/>
      <c r="W281" s="194"/>
      <c r="X281" s="194"/>
      <c r="Y281" s="194"/>
      <c r="Z281" s="194"/>
      <c r="AA281" s="138" t="s">
        <v>3026</v>
      </c>
      <c r="AB281" s="195" t="s">
        <v>635</v>
      </c>
      <c r="AC281" s="194" t="s">
        <v>636</v>
      </c>
      <c r="AD281" s="194"/>
      <c r="AE281" s="194"/>
      <c r="AF281" s="194"/>
      <c r="AG281" s="194"/>
      <c r="AH281" s="194"/>
      <c r="AI281" s="194" t="s">
        <v>699</v>
      </c>
      <c r="AJ281" s="194"/>
      <c r="AK281" s="194" t="s">
        <v>700</v>
      </c>
      <c r="AL281" s="194"/>
      <c r="AM281" s="194"/>
      <c r="AN281" s="194" t="s">
        <v>658</v>
      </c>
      <c r="AO281" s="194"/>
      <c r="AP281" s="194" t="s">
        <v>659</v>
      </c>
      <c r="AQ281" s="194"/>
      <c r="AR281" s="194" t="s">
        <v>701</v>
      </c>
      <c r="AS281" s="194"/>
      <c r="AT281" s="194"/>
      <c r="AU281" s="194"/>
      <c r="AV281" s="194"/>
      <c r="AW281" s="194" t="s">
        <v>681</v>
      </c>
      <c r="AX281" s="194" t="s">
        <v>702</v>
      </c>
      <c r="AY281" s="194" t="s">
        <v>703</v>
      </c>
      <c r="AZ281" s="194" t="s">
        <v>704</v>
      </c>
      <c r="BA281" s="194" t="s">
        <v>705</v>
      </c>
      <c r="BB281" s="194" t="s">
        <v>436</v>
      </c>
      <c r="BC281" s="194"/>
      <c r="BD281" s="194" t="s">
        <v>706</v>
      </c>
      <c r="BE281" s="194" t="s">
        <v>661</v>
      </c>
      <c r="BF281" s="194" t="s">
        <v>707</v>
      </c>
      <c r="BG281" s="194"/>
      <c r="BH281" s="194" t="s">
        <v>691</v>
      </c>
      <c r="BI281" s="194" t="s">
        <v>683</v>
      </c>
      <c r="BJ281" s="194" t="s">
        <v>708</v>
      </c>
      <c r="BK281" s="194"/>
      <c r="BL281" s="194"/>
      <c r="BM281" s="194"/>
      <c r="BN281" s="194"/>
      <c r="BO281" s="138"/>
      <c r="BP281" s="138"/>
      <c r="BQ281" s="138" t="s">
        <v>644</v>
      </c>
      <c r="BR281" s="138"/>
      <c r="BS281" s="138"/>
      <c r="BT281" s="138"/>
      <c r="BU281" s="138"/>
      <c r="BV281" s="138"/>
      <c r="BW281" s="131" t="str">
        <f t="shared" si="6"/>
        <v>PIsolation renforcéeCadre arrière 2 vantaux ouverture totale (porte droite prioritaire)1 crémone avec poignée sur chaque vantailArrêts de portes arrière à 270°Arrêts de portes arrière à 110°Déverrouillage interne porte arrière droite avec clapet de protectionPoignée montoire en inox sur vantail gauche (parallèle à la crémone)Rideau d'air arrièreEscabeau arrière coulissant 3 marches avec poignée et première marche antipincementPlaque acier galvanisée 150 mm x 150 mm sur paroi latérale à l'arrière droit pour télécommande filaire du hayonPorte latérale battante double vantaux largeur 1000 mm à 100 mm de l'avant droit avec déverrouillage interne avec une sangle montoir à droite et à gauche fixée dans le champs de l'huisserieEtrier latéral télescopique 3 marches avec buzzer en cabineArrêts de portes latéraux -AMENAGEMENTS : Revêtement extérieur et intérieur des parois en polyester blanc (RAL 9016)Protections bas de parois latérales et avant en inox hauteur 450 mm 1 niveau de rail d'arrimage acier galvanisé en applique sur 3 faces (sauf portes latérales) axé à 1100 mm du plancher4 sangles d'arrimage à tension manuellePlancher renforcé avec résine grise antidérapante4 siphons d'évacuation2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monotempérature</v>
      </c>
      <c r="CF281" s="125"/>
      <c r="CG281" s="125"/>
      <c r="CH281" s="125"/>
      <c r="CI281" s="125"/>
      <c r="CJ281" s="125"/>
      <c r="CK281" s="125"/>
      <c r="CL281" s="125"/>
      <c r="CM281" s="125"/>
      <c r="CN281" s="125"/>
      <c r="CO281" s="125"/>
      <c r="CP281" s="125"/>
      <c r="CQ281" s="125"/>
      <c r="CX281" s="125"/>
      <c r="CY281" s="125"/>
      <c r="CZ281" s="125"/>
      <c r="DA281" s="125"/>
      <c r="DB281" s="125"/>
    </row>
    <row r="282" spans="1:122" ht="45" hidden="1" outlineLevel="1" x14ac:dyDescent="0.25">
      <c r="A282" s="131" t="s">
        <v>3095</v>
      </c>
      <c r="B282" s="134" t="s">
        <v>424</v>
      </c>
      <c r="C282" s="134"/>
      <c r="D282" s="138" t="s">
        <v>981</v>
      </c>
      <c r="E282" s="138" t="s">
        <v>933</v>
      </c>
      <c r="F282" s="138" t="s">
        <v>2977</v>
      </c>
      <c r="G282" s="138"/>
      <c r="H282" s="138"/>
      <c r="I282" s="138"/>
      <c r="J282" s="138" t="s">
        <v>709</v>
      </c>
      <c r="K282" s="138" t="s">
        <v>710</v>
      </c>
      <c r="L282" s="138" t="s">
        <v>957</v>
      </c>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1" t="str">
        <f t="shared" si="6"/>
        <v>OCadre arrière 3 vantaux (-24 kg CU)Rideau relevable isotherme Easy Acc'Air (-150 kg CU)Label PIEK global (Caisse / groupe SUPRA 1250 City / hayon (-298 kg CU))1 niveau de rail d'arrimage en applique supplémentaire axé à ..... mm du plancher (-36 kg CU)1 niveau de rail d'arrimage spécial rolls sur 3 faces axé à ….. mm du plancher (-20 kg CU)Poignée d'arrimage spécial rolls (Qté ….. / Diamètre 25 / 35 / 45 mm) (-1 kg CU par poignée)</v>
      </c>
      <c r="CF282" s="125"/>
      <c r="CG282" s="125"/>
      <c r="CH282" s="125"/>
      <c r="CI282" s="125"/>
      <c r="CJ282" s="125"/>
      <c r="CK282" s="125"/>
      <c r="CL282" s="125"/>
      <c r="CM282" s="125"/>
      <c r="CN282" s="125"/>
      <c r="CO282" s="125"/>
      <c r="CP282" s="125"/>
      <c r="CQ282" s="125"/>
    </row>
    <row r="283" spans="1:122" ht="45" hidden="1" outlineLevel="1" x14ac:dyDescent="0.25">
      <c r="A283" s="131" t="s">
        <v>3098</v>
      </c>
      <c r="B283" s="134" t="s">
        <v>424</v>
      </c>
      <c r="C283" s="134"/>
      <c r="D283" s="138" t="s">
        <v>981</v>
      </c>
      <c r="E283" s="138" t="s">
        <v>933</v>
      </c>
      <c r="F283" s="138" t="s">
        <v>2973</v>
      </c>
      <c r="G283" s="138"/>
      <c r="H283" s="138"/>
      <c r="I283" s="138"/>
      <c r="J283" s="138" t="s">
        <v>982</v>
      </c>
      <c r="K283" s="138" t="s">
        <v>983</v>
      </c>
      <c r="L283" s="138" t="s">
        <v>957</v>
      </c>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1" t="str">
        <f t="shared" si="6"/>
        <v>OCadre arrière 3 vantaux (-24 kg CU)Rideau relevable isotherme Easy Acc'Air (-150 kg CU)Label PIEK global (Caisse / groupe SUPRA 1250 City / hayon (-314 kg CU))1 niveau de rail d'arrimage en applique supplémentaire axé à ..... mm du plancher (-43 kg CU)1 niveau de rail d'arrimage spécial rolls sur 3 faces axé à ….. mm du plancher (-24 kg CU)Poignée d'arrimage spécial rolls (Qté ….. / Diamètre 25 / 35 / 45 mm) (-1 kg CU par poignée)</v>
      </c>
      <c r="CF283" s="125"/>
      <c r="CG283" s="125"/>
      <c r="CH283" s="125"/>
      <c r="CI283" s="125"/>
      <c r="CJ283" s="125"/>
      <c r="CK283" s="125"/>
      <c r="CL283" s="125"/>
      <c r="CM283" s="125"/>
      <c r="CN283" s="125"/>
      <c r="CO283" s="125"/>
      <c r="CP283" s="125"/>
      <c r="CQ283" s="125"/>
    </row>
    <row r="284" spans="1:122" ht="45" hidden="1" outlineLevel="1" x14ac:dyDescent="0.25">
      <c r="A284" s="131" t="s">
        <v>3099</v>
      </c>
      <c r="B284" s="134" t="s">
        <v>424</v>
      </c>
      <c r="C284" s="134"/>
      <c r="D284" s="138" t="s">
        <v>981</v>
      </c>
      <c r="E284" s="138" t="s">
        <v>933</v>
      </c>
      <c r="F284" s="138" t="s">
        <v>2978</v>
      </c>
      <c r="G284" s="138"/>
      <c r="H284" s="138"/>
      <c r="I284" s="138"/>
      <c r="J284" s="138" t="s">
        <v>984</v>
      </c>
      <c r="K284" s="138" t="s">
        <v>985</v>
      </c>
      <c r="L284" s="138" t="s">
        <v>957</v>
      </c>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1" t="str">
        <f t="shared" si="6"/>
        <v>OCadre arrière 3 vantaux (-24 kg CU)Rideau relevable isotherme Easy Acc'Air (-150 kg CU)Label PIEK global (Caisse / groupe SUPRA 1250 City / hayon (-307 kg CU))1 niveau de rail d'arrimage en applique supplémentaire axé à ..... mm du plancher (-49 kg CU)1 niveau de rail d'arrimage spécial rolls sur 3 faces axé à ….. mm du plancher (-27 kg CU)Poignée d'arrimage spécial rolls (Qté ….. / Diamètre 25 / 35 / 45 mm) (-1 kg CU par poignée)</v>
      </c>
      <c r="CF284" s="125"/>
      <c r="CG284" s="125"/>
      <c r="CH284" s="125"/>
      <c r="CI284" s="125"/>
      <c r="CJ284" s="125"/>
      <c r="CK284" s="125"/>
      <c r="CL284" s="125"/>
      <c r="CM284" s="125"/>
      <c r="CN284" s="125"/>
      <c r="CO284" s="125"/>
      <c r="CP284" s="125"/>
      <c r="CQ284" s="125"/>
    </row>
    <row r="285" spans="1:122" ht="157.5" hidden="1" outlineLevel="1" x14ac:dyDescent="0.25">
      <c r="A285" s="131" t="s">
        <v>3170</v>
      </c>
      <c r="B285" s="134" t="s">
        <v>32</v>
      </c>
      <c r="C285" s="138" t="s">
        <v>693</v>
      </c>
      <c r="D285" s="138" t="s">
        <v>674</v>
      </c>
      <c r="E285" s="138" t="s">
        <v>628</v>
      </c>
      <c r="F285" s="138"/>
      <c r="G285" s="138" t="s">
        <v>696</v>
      </c>
      <c r="H285" s="138" t="s">
        <v>631</v>
      </c>
      <c r="I285" s="138" t="s">
        <v>697</v>
      </c>
      <c r="J285" s="138" t="s">
        <v>698</v>
      </c>
      <c r="K285" s="138" t="s">
        <v>779</v>
      </c>
      <c r="L285" s="138" t="s">
        <v>677</v>
      </c>
      <c r="M285" s="138" t="s">
        <v>678</v>
      </c>
      <c r="N285" s="138" t="s">
        <v>759</v>
      </c>
      <c r="O285" s="138"/>
      <c r="P285" s="138"/>
      <c r="Q285" s="138" t="s">
        <v>924</v>
      </c>
      <c r="R285" s="138" t="s">
        <v>761</v>
      </c>
      <c r="S285" s="138"/>
      <c r="T285" s="138"/>
      <c r="U285" s="138"/>
      <c r="V285" s="138"/>
      <c r="W285" s="138"/>
      <c r="X285" s="138"/>
      <c r="Y285" s="138"/>
      <c r="Z285" s="138"/>
      <c r="AA285" s="138" t="s">
        <v>3026</v>
      </c>
      <c r="AB285" s="138" t="s">
        <v>635</v>
      </c>
      <c r="AC285" s="138" t="s">
        <v>636</v>
      </c>
      <c r="AD285" s="138"/>
      <c r="AE285" s="138"/>
      <c r="AF285" s="138"/>
      <c r="AG285" s="138"/>
      <c r="AH285" s="138"/>
      <c r="AI285" s="138" t="s">
        <v>699</v>
      </c>
      <c r="AJ285" s="138"/>
      <c r="AK285" s="138" t="s">
        <v>700</v>
      </c>
      <c r="AL285" s="138"/>
      <c r="AM285" s="138"/>
      <c r="AN285" s="138" t="s">
        <v>658</v>
      </c>
      <c r="AO285" s="138"/>
      <c r="AP285" s="138" t="s">
        <v>659</v>
      </c>
      <c r="AQ285" s="138"/>
      <c r="AR285" s="138" t="s">
        <v>701</v>
      </c>
      <c r="AS285" s="138"/>
      <c r="AT285" s="138"/>
      <c r="AU285" s="138"/>
      <c r="AV285" s="138"/>
      <c r="AW285" s="138" t="s">
        <v>681</v>
      </c>
      <c r="AX285" s="138" t="s">
        <v>702</v>
      </c>
      <c r="AY285" s="138" t="s">
        <v>703</v>
      </c>
      <c r="AZ285" s="138" t="s">
        <v>704</v>
      </c>
      <c r="BA285" s="138" t="s">
        <v>705</v>
      </c>
      <c r="BB285" s="138" t="s">
        <v>436</v>
      </c>
      <c r="BC285" s="138"/>
      <c r="BD285" s="138" t="s">
        <v>706</v>
      </c>
      <c r="BE285" s="138" t="s">
        <v>661</v>
      </c>
      <c r="BF285" s="138" t="s">
        <v>707</v>
      </c>
      <c r="BG285" s="138"/>
      <c r="BH285" s="138" t="s">
        <v>691</v>
      </c>
      <c r="BI285" s="138" t="s">
        <v>683</v>
      </c>
      <c r="BJ285" s="138" t="s">
        <v>708</v>
      </c>
      <c r="BK285" s="138"/>
      <c r="BL285" s="138"/>
      <c r="BM285" s="138"/>
      <c r="BN285" s="138"/>
      <c r="BO285" s="138"/>
      <c r="BP285" s="138"/>
      <c r="BQ285" s="138" t="s">
        <v>644</v>
      </c>
      <c r="BR285" s="138"/>
      <c r="BS285" s="138"/>
      <c r="BT285" s="138"/>
      <c r="BU285" s="138"/>
      <c r="BV285" s="138"/>
      <c r="BW285" s="131" t="str">
        <f t="shared" si="6"/>
        <v>PIsolation renforcéeCadre arrière 2 vantaux ouverture totale (porte droite prioritaire)1 crémone avec poignée sur chaque vantailArrêts de portes arrière à 270°Arrêts de portes arrière à 110°Déverrouillage interne porte arrière droite avec clapet de protectionPoignée montoire en inox sur vantail gauche (parallèle à la crémone)Rideau d'air arrièreEscabeau arrière coulissant 4 marches avec poignée et première marche antipincementPlaque acier galvanisée 150 mm x 150 mm sur paroi latérale à l'arrière droit pour télécommande filaire du hayonPorte latérale battante double vantaux largeur 1000 mm à 100 mm de l'avant droit avec déverrouillage interne avec une sangle montoir à droite et à gauche fixée dans le champs de l'huisserieEtrier latéral télescopique 3 marches avec buzzer en cabineArrêts de portes latéraux -AMENAGEMENTS : Revêtement extérieur et intérieur des parois en polyester blanc (RAL 9016)Protections bas de parois latérales et avant en inox hauteur 450 mm 1 niveau de rail d'arrimage acier galvanisé en applique sur 3 faces (sauf portes latérales) axé à 1100 mm du plancher4 sangles d'arrimage à tension manuellePlancher renforcé avec résine grise antidérapante4 siphons d'évacuation2 plafonniers LED avec détecteur de présenceTraverse arrière renforcée avec butoirs à rouleaux en acierCoffre à outils plastique grand modèleCoffre (sans clé) pour rallonge électrique du groupe frigorifique positionné à l'arrière gaucheExtincteur 6 kgPlage et échelle d'accès au groupe frigorifiqueAiles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monotempérature</v>
      </c>
      <c r="CF285" s="125"/>
      <c r="CG285" s="125"/>
      <c r="CH285" s="125"/>
      <c r="CI285" s="125"/>
      <c r="CJ285" s="125"/>
      <c r="CK285" s="125"/>
      <c r="CL285" s="125"/>
      <c r="CM285" s="125"/>
      <c r="CN285" s="125"/>
      <c r="CO285" s="125"/>
      <c r="CP285" s="125"/>
      <c r="CQ285" s="125"/>
      <c r="CX285" s="125"/>
      <c r="CY285" s="125"/>
      <c r="CZ285" s="125"/>
      <c r="DA285" s="125"/>
      <c r="DB285" s="125"/>
      <c r="DC285" s="125"/>
      <c r="DD285" s="125"/>
      <c r="DE285" s="125"/>
      <c r="DF285" s="125"/>
      <c r="DG285" s="125"/>
      <c r="DH285" s="125"/>
      <c r="DI285" s="125"/>
      <c r="DJ285" s="125"/>
    </row>
    <row r="286" spans="1:122" ht="45" hidden="1" outlineLevel="1" x14ac:dyDescent="0.25">
      <c r="A286" s="131" t="s">
        <v>3100</v>
      </c>
      <c r="B286" s="134" t="s">
        <v>424</v>
      </c>
      <c r="C286" s="134"/>
      <c r="D286" s="138" t="s">
        <v>981</v>
      </c>
      <c r="E286" s="138" t="s">
        <v>933</v>
      </c>
      <c r="F286" s="138" t="s">
        <v>2976</v>
      </c>
      <c r="G286" s="138"/>
      <c r="H286" s="138"/>
      <c r="I286" s="138"/>
      <c r="J286" s="138" t="s">
        <v>986</v>
      </c>
      <c r="K286" s="138" t="s">
        <v>987</v>
      </c>
      <c r="L286" s="138" t="s">
        <v>957</v>
      </c>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1" t="str">
        <f t="shared" si="6"/>
        <v>OCadre arrière 3 vantaux (-24 kg CU)Rideau relevable isotherme Easy Acc'Air (-150 kg CU)Label PIEK global (Caisse / groupe SUPRA 1250 City / hayon (-282 kg CU))1 niveau de rail d'arrimage en applique supplémentaire axé à ..... mm du plancher (-56 kg CU)1 niveau de rail d'arrimage spécial rolls sur 3 faces axé à ….. mm du plancher (-31 kg CU)Poignée d'arrimage spécial rolls (Qté ….. / Diamètre 25 / 35 / 45 mm) (-1 kg CU par poignée)</v>
      </c>
      <c r="CF286" s="125"/>
      <c r="CG286" s="125"/>
      <c r="CH286" s="125"/>
      <c r="CI286" s="125"/>
      <c r="CJ286" s="125"/>
      <c r="CK286" s="125"/>
      <c r="CL286" s="125"/>
      <c r="CM286" s="125"/>
      <c r="CN286" s="125"/>
      <c r="CO286" s="125"/>
      <c r="CP286" s="125"/>
      <c r="CQ286" s="125"/>
    </row>
    <row r="287" spans="1:122" ht="67.5" hidden="1" outlineLevel="1" x14ac:dyDescent="0.25">
      <c r="A287" s="131" t="s">
        <v>3104</v>
      </c>
      <c r="B287" s="134" t="s">
        <v>32</v>
      </c>
      <c r="C287" s="138" t="s">
        <v>693</v>
      </c>
      <c r="D287" s="138" t="s">
        <v>674</v>
      </c>
      <c r="E287" s="138" t="s">
        <v>988</v>
      </c>
      <c r="F287" s="138"/>
      <c r="G287" s="138" t="s">
        <v>696</v>
      </c>
      <c r="H287" s="138" t="s">
        <v>631</v>
      </c>
      <c r="I287" s="138" t="s">
        <v>697</v>
      </c>
      <c r="J287" s="138" t="s">
        <v>698</v>
      </c>
      <c r="K287" s="138" t="s">
        <v>779</v>
      </c>
      <c r="L287" s="138" t="s">
        <v>677</v>
      </c>
      <c r="M287" s="138" t="s">
        <v>678</v>
      </c>
      <c r="N287" s="138" t="s">
        <v>3166</v>
      </c>
      <c r="O287" s="138"/>
      <c r="P287" s="138"/>
      <c r="Q287" s="138" t="s">
        <v>924</v>
      </c>
      <c r="R287" s="138" t="s">
        <v>761</v>
      </c>
      <c r="S287" s="138"/>
      <c r="T287" s="138"/>
      <c r="U287" s="138"/>
      <c r="V287" s="138"/>
      <c r="W287" s="138"/>
      <c r="X287" s="138"/>
      <c r="Y287" s="138"/>
      <c r="Z287" s="138"/>
      <c r="AA287" s="138" t="s">
        <v>3026</v>
      </c>
      <c r="AB287" s="138" t="s">
        <v>635</v>
      </c>
      <c r="AC287" s="138" t="s">
        <v>636</v>
      </c>
      <c r="AD287" s="138"/>
      <c r="AE287" s="138"/>
      <c r="AF287" s="138"/>
      <c r="AG287" s="138"/>
      <c r="AH287" s="138"/>
      <c r="AI287" s="138" t="s">
        <v>699</v>
      </c>
      <c r="AJ287" s="138"/>
      <c r="AK287" s="138" t="s">
        <v>989</v>
      </c>
      <c r="AL287" s="138"/>
      <c r="AM287" s="138"/>
      <c r="AN287" s="138" t="s">
        <v>658</v>
      </c>
      <c r="AO287" s="138"/>
      <c r="AP287" s="138" t="s">
        <v>659</v>
      </c>
      <c r="AQ287" s="138"/>
      <c r="AR287" s="138" t="s">
        <v>701</v>
      </c>
      <c r="AS287" s="138"/>
      <c r="AT287" s="138"/>
      <c r="AU287" s="138"/>
      <c r="AW287" s="138" t="s">
        <v>681</v>
      </c>
      <c r="AX287" s="138" t="s">
        <v>702</v>
      </c>
      <c r="AY287" s="138" t="s">
        <v>703</v>
      </c>
      <c r="AZ287" s="138" t="s">
        <v>704</v>
      </c>
      <c r="BA287" s="138" t="s">
        <v>705</v>
      </c>
      <c r="BB287" s="138" t="s">
        <v>436</v>
      </c>
      <c r="BC287" s="138"/>
      <c r="BD287" s="138" t="s">
        <v>706</v>
      </c>
      <c r="BE287" s="138" t="s">
        <v>661</v>
      </c>
      <c r="BF287" s="138" t="s">
        <v>707</v>
      </c>
      <c r="BG287" s="138"/>
      <c r="BH287" s="138" t="s">
        <v>691</v>
      </c>
      <c r="BI287" s="138" t="s">
        <v>683</v>
      </c>
      <c r="BJ287" s="138" t="s">
        <v>708</v>
      </c>
      <c r="BK287" s="138"/>
      <c r="BL287" s="138"/>
      <c r="BM287" s="138"/>
      <c r="BN287" s="138"/>
      <c r="BO287" s="138" t="s">
        <v>2964</v>
      </c>
      <c r="BP287" s="138" t="s">
        <v>990</v>
      </c>
      <c r="BQ287" s="138" t="s">
        <v>644</v>
      </c>
      <c r="BR287" s="138"/>
      <c r="BS287" s="138"/>
      <c r="BT287" s="138"/>
      <c r="BU287" s="138"/>
      <c r="BV287" s="138"/>
      <c r="BW287" s="131" t="e">
        <f>CONCATENATE(B287,C287,D287,E287,F287,G287,H287,I287,J287,K287,L287,M287,N287,O287,P287,Q287,R287,S287,T287,U287,V287,W287,X287,Y287,Z287,AA287,AB287,AC287,AD287,AE287,AF287,AG287,AH287,AI287,AJ287,AK287,AL287,AM287,AN287,AO287,AP287,AQ287,AR287,AS287,AT287,AU287,AV287,AW287,AX287,AY287,AZ287,BA287,BC287,BD287,BE287,BF287,BG287,BH287,BI287,BJ287,BK287,BL287,#REF!,BN287,BO287,BP287,BQ287,BR287,BS287,BT287,BU287,BV287,)</f>
        <v>#REF!</v>
      </c>
      <c r="CF287" s="125"/>
      <c r="CG287" s="125"/>
      <c r="CH287" s="125"/>
      <c r="CI287" s="125"/>
      <c r="CJ287" s="125"/>
      <c r="CK287" s="125"/>
      <c r="CL287" s="125"/>
      <c r="CM287" s="125"/>
      <c r="CN287" s="125"/>
      <c r="CO287" s="125"/>
      <c r="CP287" s="125"/>
      <c r="CQ287" s="125"/>
      <c r="CX287" s="125"/>
      <c r="CY287" s="125"/>
      <c r="CZ287" s="125"/>
      <c r="DA287" s="125"/>
      <c r="DB287" s="125"/>
      <c r="DC287" s="125"/>
      <c r="DD287" s="125"/>
      <c r="DE287" s="125"/>
      <c r="DF287" s="125"/>
      <c r="DG287" s="125"/>
      <c r="DH287" s="125"/>
      <c r="DI287" s="125"/>
      <c r="DJ287" s="125"/>
    </row>
    <row r="288" spans="1:122" ht="123.75" hidden="1" outlineLevel="1" x14ac:dyDescent="0.25">
      <c r="A288" s="131" t="s">
        <v>3152</v>
      </c>
      <c r="B288" s="134" t="s">
        <v>32</v>
      </c>
      <c r="C288" s="138" t="s">
        <v>693</v>
      </c>
      <c r="D288" s="138" t="s">
        <v>884</v>
      </c>
      <c r="E288" s="138" t="s">
        <v>628</v>
      </c>
      <c r="F288" s="138"/>
      <c r="G288" s="138" t="s">
        <v>696</v>
      </c>
      <c r="H288" s="138"/>
      <c r="I288" s="138" t="s">
        <v>697</v>
      </c>
      <c r="J288" s="138"/>
      <c r="K288" s="138" t="s">
        <v>779</v>
      </c>
      <c r="L288" s="138" t="s">
        <v>885</v>
      </c>
      <c r="M288" s="138"/>
      <c r="N288" s="138"/>
      <c r="O288" s="138"/>
      <c r="P288" s="138"/>
      <c r="Q288" s="138"/>
      <c r="R288" s="138"/>
      <c r="S288" s="138"/>
      <c r="T288" s="138"/>
      <c r="U288" s="138"/>
      <c r="V288" s="138"/>
      <c r="W288" s="138"/>
      <c r="X288" s="138"/>
      <c r="Y288" s="138"/>
      <c r="Z288" s="138"/>
      <c r="AA288" s="138" t="s">
        <v>3026</v>
      </c>
      <c r="AB288" s="138" t="s">
        <v>635</v>
      </c>
      <c r="AC288" s="138" t="s">
        <v>636</v>
      </c>
      <c r="AD288" s="138"/>
      <c r="AE288" s="138"/>
      <c r="AF288" s="138"/>
      <c r="AG288" s="138"/>
      <c r="AH288" s="138"/>
      <c r="AI288" s="138" t="s">
        <v>887</v>
      </c>
      <c r="AJ288" s="138"/>
      <c r="AK288" s="138" t="s">
        <v>888</v>
      </c>
      <c r="AL288" s="138"/>
      <c r="AM288" s="138"/>
      <c r="AN288" s="138" t="s">
        <v>658</v>
      </c>
      <c r="AO288" s="138" t="s">
        <v>889</v>
      </c>
      <c r="AP288" s="138" t="s">
        <v>659</v>
      </c>
      <c r="AQ288" s="138"/>
      <c r="AR288" s="138" t="s">
        <v>890</v>
      </c>
      <c r="AS288" s="138" t="s">
        <v>891</v>
      </c>
      <c r="AT288" s="138"/>
      <c r="AU288" s="138"/>
      <c r="AV288" s="138" t="s">
        <v>972</v>
      </c>
      <c r="AW288" s="138" t="s">
        <v>893</v>
      </c>
      <c r="AX288" s="138" t="s">
        <v>702</v>
      </c>
      <c r="AY288" s="138" t="s">
        <v>894</v>
      </c>
      <c r="AZ288" s="138" t="s">
        <v>895</v>
      </c>
      <c r="BA288" s="138" t="s">
        <v>896</v>
      </c>
      <c r="BB288" s="138" t="s">
        <v>897</v>
      </c>
      <c r="BC288" s="138"/>
      <c r="BD288" s="138"/>
      <c r="BE288" s="138" t="s">
        <v>661</v>
      </c>
      <c r="BF288" s="138" t="s">
        <v>707</v>
      </c>
      <c r="BG288" s="138"/>
      <c r="BH288" s="138" t="s">
        <v>691</v>
      </c>
      <c r="BI288" s="138" t="s">
        <v>683</v>
      </c>
      <c r="BJ288" s="138" t="s">
        <v>708</v>
      </c>
      <c r="BK288" s="138"/>
      <c r="BL288" s="138"/>
      <c r="BN288" s="138"/>
      <c r="BO288" s="138"/>
      <c r="BP288" s="138"/>
      <c r="BQ288" s="138" t="s">
        <v>644</v>
      </c>
      <c r="BR288" s="138"/>
      <c r="BS288" s="138"/>
      <c r="BT288" s="138"/>
      <c r="BU288" s="138"/>
      <c r="BV288" s="138"/>
      <c r="BW288" s="131" t="str">
        <f>CONCATENATE(B288,C288,D288,E288,F288,G288,H288,I288,J288,K288,L288,M288,N288,O288,P288,Q288,R288,S288,T288,U288,V288,W288,X288,Y288,Z288,AA288,AB288,AC288,AD288,AE288,AF288,AG288,AH288,AI288,AJ288,AK288,AL288,AM288,AN288,AO288,AP288,AQ288,AR288,AS288,AT288,AU288,AV288,AW288,AX288,AY288,AZ288,BA288,BC288,BD288,BE288,BF288,BG288,BH288,BI288,BJ288,BK288,BL288,BM287,BN288,BO288,BP288,BQ288,BR288,BS288,BT288,BU288,BV288,)</f>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 -AMENAGEMENTS : Revêtement extérieur et intérieur des parois en polyester blanc (RAL 9016)Protections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monotempérature</v>
      </c>
      <c r="CF288" s="125"/>
      <c r="CG288" s="125"/>
      <c r="CH288" s="125"/>
      <c r="CI288" s="125"/>
      <c r="CJ288" s="125"/>
      <c r="CK288" s="125"/>
      <c r="CL288" s="125"/>
      <c r="CM288" s="125"/>
      <c r="CN288" s="125"/>
      <c r="CO288" s="125"/>
      <c r="CP288" s="125"/>
      <c r="CQ288" s="125"/>
      <c r="CX288" s="125"/>
      <c r="CY288" s="125"/>
      <c r="CZ288" s="125"/>
      <c r="DA288" s="125"/>
      <c r="DB288" s="125"/>
      <c r="DC288" s="125"/>
      <c r="DD288" s="125"/>
      <c r="DE288" s="125"/>
      <c r="DF288" s="125"/>
      <c r="DG288" s="125"/>
      <c r="DH288" s="125"/>
      <c r="DI288" s="125"/>
      <c r="DJ288" s="125"/>
      <c r="DK288" s="125"/>
      <c r="DL288" s="125"/>
      <c r="DM288" s="125"/>
      <c r="DN288" s="125"/>
      <c r="DO288" s="125"/>
    </row>
    <row r="289" spans="1:127" ht="33.75" hidden="1" outlineLevel="1" x14ac:dyDescent="0.25">
      <c r="A289" s="131" t="s">
        <v>3151</v>
      </c>
      <c r="B289" s="134" t="s">
        <v>424</v>
      </c>
      <c r="C289" s="134"/>
      <c r="D289" s="134"/>
      <c r="E289" s="138" t="s">
        <v>900</v>
      </c>
      <c r="F289" s="138" t="s">
        <v>2979</v>
      </c>
      <c r="G289" s="138"/>
      <c r="H289" s="138"/>
      <c r="I289" s="138"/>
      <c r="J289" s="138" t="s">
        <v>901</v>
      </c>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1" t="str">
        <f t="shared" si="6"/>
        <v>ORideau relevable isotherme Smart Open-C (-150 kg CU)Label PIEK global (Caisse / groupe VECTOR 19 HE City  (-120 kg CU))1 niveau de rail d'arrimage en applique supplémentaire axé à ..... mm du plancher (-55 kg CU)</v>
      </c>
      <c r="CF289" s="125"/>
      <c r="CG289" s="125"/>
      <c r="CH289" s="125"/>
      <c r="CI289" s="125"/>
      <c r="CJ289" s="125"/>
      <c r="CK289" s="125"/>
      <c r="CL289" s="125"/>
      <c r="CM289" s="125"/>
      <c r="CN289" s="125"/>
      <c r="CO289" s="125"/>
      <c r="CP289" s="125"/>
      <c r="CQ289" s="125"/>
    </row>
    <row r="290" spans="1:127" ht="135" hidden="1" outlineLevel="1" x14ac:dyDescent="0.25">
      <c r="A290" s="131" t="s">
        <v>3153</v>
      </c>
      <c r="B290" s="134" t="s">
        <v>32</v>
      </c>
      <c r="C290" s="138" t="s">
        <v>693</v>
      </c>
      <c r="D290" s="138" t="s">
        <v>884</v>
      </c>
      <c r="E290" s="138" t="s">
        <v>628</v>
      </c>
      <c r="F290" s="138"/>
      <c r="G290" s="138" t="s">
        <v>696</v>
      </c>
      <c r="H290" s="138"/>
      <c r="I290" s="138" t="s">
        <v>697</v>
      </c>
      <c r="J290" s="138"/>
      <c r="K290" s="138" t="s">
        <v>779</v>
      </c>
      <c r="L290" s="138" t="s">
        <v>885</v>
      </c>
      <c r="M290" s="138"/>
      <c r="N290" s="138"/>
      <c r="O290" s="138"/>
      <c r="P290" s="138"/>
      <c r="Q290" s="138"/>
      <c r="R290" s="138"/>
      <c r="S290" s="138"/>
      <c r="T290" s="138"/>
      <c r="U290" s="138"/>
      <c r="V290" s="138"/>
      <c r="W290" s="138"/>
      <c r="X290" s="138"/>
      <c r="Y290" s="138"/>
      <c r="Z290" s="138"/>
      <c r="AA290" s="138" t="s">
        <v>3026</v>
      </c>
      <c r="AB290" s="138" t="s">
        <v>635</v>
      </c>
      <c r="AC290" s="138" t="s">
        <v>636</v>
      </c>
      <c r="AD290" s="138"/>
      <c r="AE290" s="138"/>
      <c r="AF290" s="138"/>
      <c r="AG290" s="138"/>
      <c r="AH290" s="138"/>
      <c r="AI290" s="138" t="s">
        <v>887</v>
      </c>
      <c r="AJ290" s="138"/>
      <c r="AK290" s="138" t="s">
        <v>904</v>
      </c>
      <c r="AL290" s="138" t="s">
        <v>905</v>
      </c>
      <c r="AM290" s="138"/>
      <c r="AN290" s="138" t="s">
        <v>658</v>
      </c>
      <c r="AO290" s="138"/>
      <c r="AP290" s="138" t="s">
        <v>659</v>
      </c>
      <c r="AQ290" s="138"/>
      <c r="AR290" s="138" t="s">
        <v>890</v>
      </c>
      <c r="AS290" s="138" t="s">
        <v>891</v>
      </c>
      <c r="AT290" s="138" t="s">
        <v>906</v>
      </c>
      <c r="AU290" s="138" t="s">
        <v>907</v>
      </c>
      <c r="AV290" s="138" t="s">
        <v>972</v>
      </c>
      <c r="AW290" s="138" t="s">
        <v>893</v>
      </c>
      <c r="AX290" s="138" t="s">
        <v>702</v>
      </c>
      <c r="AY290" s="138" t="s">
        <v>894</v>
      </c>
      <c r="AZ290" s="138" t="s">
        <v>895</v>
      </c>
      <c r="BA290" s="138" t="s">
        <v>896</v>
      </c>
      <c r="BB290" s="138" t="s">
        <v>897</v>
      </c>
      <c r="BC290" s="138"/>
      <c r="BD290" s="138"/>
      <c r="BE290" s="138" t="s">
        <v>661</v>
      </c>
      <c r="BF290" s="138" t="s">
        <v>707</v>
      </c>
      <c r="BG290" s="138"/>
      <c r="BH290" s="138" t="s">
        <v>691</v>
      </c>
      <c r="BI290" s="138" t="s">
        <v>683</v>
      </c>
      <c r="BJ290" s="138" t="s">
        <v>708</v>
      </c>
      <c r="BK290" s="138"/>
      <c r="BL290" s="138"/>
      <c r="BM290" s="138"/>
      <c r="BN290" s="138"/>
      <c r="BO290" s="138"/>
      <c r="BP290" s="138"/>
      <c r="BQ290" s="138" t="s">
        <v>644</v>
      </c>
      <c r="BR290" s="138"/>
      <c r="BS290" s="138"/>
      <c r="BT290" s="138"/>
      <c r="BU290" s="138"/>
      <c r="BV290" s="138"/>
      <c r="BW290" s="131" t="str">
        <f t="shared" si="6"/>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 -AMENAGEMENTS : Revêtement extérieur et intérieur des parois en polyester blanc (RAL 9016)Protections bas de parois latérales en aluminium hauteur 250 mm 1 niveau de rail d'arrimage acier galvanisé en applique sur parois latérales axé à 1400 mm du plancher1 niveau de rail d'arrimage acier galvanisé encastré sur parois latérales axé à 785 mm du plancher4 sangles d'arrimage à tension manuellePlancher renforcé avec résine grise antidérapante2 siphons d'évacuation à l'arrièrePlatelage aluminium antidérapant à l'arrière profondeur 1200 mm12 rails verticaux encastrés pour double plancher23 poutres capacité 1000 kg pour double plancherBuse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châssisTélématique SAMSARA pack PRO monotempérature</v>
      </c>
      <c r="CF290" s="125"/>
      <c r="CG290" s="125"/>
      <c r="CH290" s="125"/>
      <c r="CI290" s="125"/>
      <c r="CJ290" s="125"/>
      <c r="CK290" s="125"/>
      <c r="CL290" s="125"/>
      <c r="CM290" s="125"/>
      <c r="CN290" s="125"/>
      <c r="CO290" s="125"/>
      <c r="CP290" s="125"/>
      <c r="CQ290" s="125"/>
      <c r="CX290" s="125"/>
      <c r="CY290" s="125"/>
      <c r="CZ290" s="125"/>
      <c r="DA290" s="125"/>
      <c r="DB290" s="125"/>
      <c r="DC290" s="125"/>
      <c r="DD290" s="125"/>
      <c r="DE290" s="125"/>
      <c r="DF290" s="125"/>
      <c r="DG290" s="125"/>
      <c r="DH290" s="125"/>
      <c r="DI290" s="125"/>
      <c r="DJ290" s="125"/>
      <c r="DK290" s="125"/>
      <c r="DL290" s="125"/>
      <c r="DM290" s="125"/>
    </row>
    <row r="291" spans="1:127" ht="45" hidden="1" outlineLevel="1" x14ac:dyDescent="0.25">
      <c r="A291" s="131" t="s">
        <v>3150</v>
      </c>
      <c r="B291" s="134" t="s">
        <v>424</v>
      </c>
      <c r="C291" s="134"/>
      <c r="D291" s="134"/>
      <c r="E291" s="138" t="s">
        <v>973</v>
      </c>
      <c r="F291" s="138" t="s">
        <v>2979</v>
      </c>
      <c r="G291" s="138"/>
      <c r="H291" s="138"/>
      <c r="I291" s="138"/>
      <c r="J291" s="138"/>
      <c r="K291" s="138"/>
      <c r="L291" s="138"/>
      <c r="M291" s="138"/>
      <c r="N291" s="138"/>
      <c r="O291" s="138"/>
      <c r="P291" s="138"/>
      <c r="Q291" s="138"/>
      <c r="R291" s="138" t="s">
        <v>908</v>
      </c>
      <c r="S291" s="138" t="s">
        <v>909</v>
      </c>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1" t="str">
        <f t="shared" si="6"/>
        <v>ORideau relevable isotherme  Smart Open -C (-150 kg CU)Label PIEK global (Caisse / groupe VECTOR 19 HE City  (-120 kg CU))Hauteur intérieure 2700 mm (hauteur hors tout 4120 mm avec hauteur d'attelage 1150 mm)Hauteur intérieure 2800 mm (Hauteur hors tout 4220 mm avec hauteur d'attelage 1150 mm)</v>
      </c>
      <c r="CF291" s="125"/>
      <c r="CG291" s="125"/>
      <c r="CH291" s="125"/>
      <c r="CI291" s="125"/>
      <c r="CJ291" s="125"/>
      <c r="CK291" s="125"/>
      <c r="CL291" s="125"/>
      <c r="CM291" s="125"/>
      <c r="CN291" s="125"/>
      <c r="CO291" s="125"/>
      <c r="CP291" s="125"/>
      <c r="CQ291" s="125"/>
    </row>
    <row r="292" spans="1:127" ht="135" hidden="1" outlineLevel="1" x14ac:dyDescent="0.25">
      <c r="A292" s="131" t="s">
        <v>3154</v>
      </c>
      <c r="B292" s="134" t="s">
        <v>32</v>
      </c>
      <c r="C292" s="138" t="s">
        <v>693</v>
      </c>
      <c r="D292" s="138" t="s">
        <v>884</v>
      </c>
      <c r="E292" s="138" t="s">
        <v>628</v>
      </c>
      <c r="F292" s="138"/>
      <c r="G292" s="138" t="s">
        <v>696</v>
      </c>
      <c r="H292" s="138"/>
      <c r="I292" s="138" t="s">
        <v>697</v>
      </c>
      <c r="J292" s="138"/>
      <c r="K292" s="138" t="s">
        <v>779</v>
      </c>
      <c r="L292" s="138" t="s">
        <v>885</v>
      </c>
      <c r="M292" s="138" t="s">
        <v>678</v>
      </c>
      <c r="N292" s="138"/>
      <c r="O292" s="138"/>
      <c r="P292" s="138"/>
      <c r="Q292" s="138"/>
      <c r="R292" s="138"/>
      <c r="S292" s="138"/>
      <c r="T292" s="138"/>
      <c r="U292" s="138"/>
      <c r="V292" s="138"/>
      <c r="W292" s="138"/>
      <c r="X292" s="138"/>
      <c r="Y292" s="138"/>
      <c r="Z292" s="138"/>
      <c r="AA292" s="138" t="s">
        <v>3026</v>
      </c>
      <c r="AB292" s="138" t="s">
        <v>635</v>
      </c>
      <c r="AC292" s="138" t="s">
        <v>636</v>
      </c>
      <c r="AD292" s="138"/>
      <c r="AE292" s="138"/>
      <c r="AF292" s="138"/>
      <c r="AG292" s="138"/>
      <c r="AH292" s="138"/>
      <c r="AI292" s="138" t="s">
        <v>887</v>
      </c>
      <c r="AJ292" s="138"/>
      <c r="AK292" s="138" t="s">
        <v>888</v>
      </c>
      <c r="AL292" s="138"/>
      <c r="AM292" s="138"/>
      <c r="AN292" s="138" t="s">
        <v>658</v>
      </c>
      <c r="AO292" s="138" t="s">
        <v>889</v>
      </c>
      <c r="AP292" s="138" t="s">
        <v>659</v>
      </c>
      <c r="AQ292" s="138"/>
      <c r="AR292" s="138" t="s">
        <v>890</v>
      </c>
      <c r="AS292" s="138" t="s">
        <v>891</v>
      </c>
      <c r="AT292" s="138"/>
      <c r="AU292" s="138"/>
      <c r="AV292" s="138" t="s">
        <v>972</v>
      </c>
      <c r="AW292" s="138" t="s">
        <v>893</v>
      </c>
      <c r="AX292" s="138" t="s">
        <v>702</v>
      </c>
      <c r="AY292" s="138" t="s">
        <v>894</v>
      </c>
      <c r="AZ292" s="138" t="s">
        <v>895</v>
      </c>
      <c r="BA292" s="138" t="s">
        <v>896</v>
      </c>
      <c r="BB292" s="138" t="s">
        <v>897</v>
      </c>
      <c r="BC292" s="138"/>
      <c r="BD292" s="138"/>
      <c r="BE292" s="138" t="s">
        <v>661</v>
      </c>
      <c r="BF292" s="138" t="s">
        <v>707</v>
      </c>
      <c r="BG292" s="138"/>
      <c r="BH292" s="138" t="s">
        <v>691</v>
      </c>
      <c r="BI292" s="138" t="s">
        <v>683</v>
      </c>
      <c r="BJ292" s="138" t="s">
        <v>708</v>
      </c>
      <c r="BK292" s="138"/>
      <c r="BL292" s="138"/>
      <c r="BM292" s="138" t="s">
        <v>899</v>
      </c>
      <c r="BN292" s="138"/>
      <c r="BO292" s="138"/>
      <c r="BP292" s="138"/>
      <c r="BQ292" s="138" t="s">
        <v>644</v>
      </c>
      <c r="BR292" s="138"/>
      <c r="BS292" s="138"/>
      <c r="BT292" s="138"/>
      <c r="BU292" s="138"/>
      <c r="BV292" s="138"/>
      <c r="BW292" s="131" t="str">
        <f t="shared" si="6"/>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rampePlaque acier galvanisée 150 mm x 150 mm sur paroi latérale à l'arrière droit pour télécommande filaire du hayon -AMENAGEMENTS : Revêtement extérieur et intérieur des parois en polyester blanc (RAL 9016)Protections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monotempérature</v>
      </c>
      <c r="CF292" s="125"/>
      <c r="CG292" s="125"/>
      <c r="CH292" s="125"/>
      <c r="CI292" s="125"/>
      <c r="CJ292" s="125"/>
      <c r="CK292" s="125"/>
      <c r="CL292" s="125"/>
      <c r="CM292" s="125"/>
      <c r="CN292" s="125"/>
      <c r="CO292" s="125"/>
      <c r="CP292" s="125"/>
      <c r="CQ292" s="125"/>
      <c r="CX292" s="125"/>
      <c r="CY292" s="125"/>
      <c r="CZ292" s="125"/>
      <c r="DA292" s="125"/>
      <c r="DB292" s="125"/>
      <c r="DC292" s="125"/>
      <c r="DD292" s="125"/>
      <c r="DE292" s="125"/>
      <c r="DF292" s="125"/>
      <c r="DG292" s="125"/>
      <c r="DH292" s="125"/>
      <c r="DI292" s="125"/>
      <c r="DJ292" s="125"/>
      <c r="DK292" s="125"/>
      <c r="DL292" s="125"/>
      <c r="DM292" s="125"/>
    </row>
    <row r="293" spans="1:127" ht="33.75" hidden="1" outlineLevel="1" x14ac:dyDescent="0.25">
      <c r="A293" s="131" t="s">
        <v>3171</v>
      </c>
      <c r="B293" s="134" t="s">
        <v>424</v>
      </c>
      <c r="C293" s="134"/>
      <c r="D293" s="134"/>
      <c r="E293" s="138" t="s">
        <v>900</v>
      </c>
      <c r="F293" s="138" t="s">
        <v>2980</v>
      </c>
      <c r="G293" s="138"/>
      <c r="H293" s="138"/>
      <c r="I293" s="138"/>
      <c r="J293" s="138" t="s">
        <v>901</v>
      </c>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1" t="str">
        <f t="shared" si="6"/>
        <v>ORideau relevable isotherme Smart Open-C (-150 kg CU)Label PIEK global (Caisse / groupe VECTOR 19 HE City / hayon (-150 kg CU))1 niveau de rail d'arrimage en applique supplémentaire axé à ..... mm du plancher (-55 kg CU)</v>
      </c>
      <c r="CF293" s="125"/>
      <c r="CG293" s="125"/>
      <c r="CH293" s="125"/>
      <c r="CI293" s="125"/>
      <c r="CJ293" s="125"/>
      <c r="CK293" s="125"/>
      <c r="CL293" s="125"/>
      <c r="CM293" s="125"/>
      <c r="CN293" s="125"/>
      <c r="CO293" s="125"/>
      <c r="CP293" s="125"/>
      <c r="CQ293" s="125"/>
    </row>
    <row r="294" spans="1:127" ht="146.25" hidden="1" outlineLevel="1" x14ac:dyDescent="0.25">
      <c r="A294" s="131" t="s">
        <v>3155</v>
      </c>
      <c r="B294" s="134" t="s">
        <v>32</v>
      </c>
      <c r="C294" s="138" t="s">
        <v>693</v>
      </c>
      <c r="D294" s="138" t="s">
        <v>884</v>
      </c>
      <c r="E294" s="138" t="s">
        <v>628</v>
      </c>
      <c r="F294" s="138"/>
      <c r="G294" s="138" t="s">
        <v>696</v>
      </c>
      <c r="H294" s="138"/>
      <c r="I294" s="138" t="s">
        <v>697</v>
      </c>
      <c r="J294" s="138"/>
      <c r="K294" s="138" t="s">
        <v>779</v>
      </c>
      <c r="L294" s="138" t="s">
        <v>885</v>
      </c>
      <c r="M294" s="138" t="s">
        <v>678</v>
      </c>
      <c r="N294" s="138"/>
      <c r="O294" s="138"/>
      <c r="P294" s="138"/>
      <c r="Q294" s="138"/>
      <c r="R294" s="138"/>
      <c r="S294" s="138"/>
      <c r="T294" s="138"/>
      <c r="U294" s="138"/>
      <c r="V294" s="138"/>
      <c r="W294" s="138"/>
      <c r="X294" s="138"/>
      <c r="Y294" s="138"/>
      <c r="Z294" s="138"/>
      <c r="AA294" s="138" t="s">
        <v>3026</v>
      </c>
      <c r="AB294" s="138" t="s">
        <v>635</v>
      </c>
      <c r="AC294" s="138" t="s">
        <v>636</v>
      </c>
      <c r="AD294" s="138"/>
      <c r="AE294" s="138"/>
      <c r="AF294" s="138"/>
      <c r="AG294" s="138"/>
      <c r="AH294" s="138"/>
      <c r="AI294" s="138" t="s">
        <v>887</v>
      </c>
      <c r="AJ294" s="138"/>
      <c r="AK294" s="138" t="s">
        <v>904</v>
      </c>
      <c r="AL294" s="138" t="s">
        <v>905</v>
      </c>
      <c r="AM294" s="138"/>
      <c r="AN294" s="138" t="s">
        <v>658</v>
      </c>
      <c r="AO294" s="138"/>
      <c r="AP294" s="138" t="s">
        <v>659</v>
      </c>
      <c r="AQ294" s="138"/>
      <c r="AR294" s="138" t="s">
        <v>890</v>
      </c>
      <c r="AS294" s="138" t="s">
        <v>891</v>
      </c>
      <c r="AT294" s="138" t="s">
        <v>906</v>
      </c>
      <c r="AU294" s="138" t="s">
        <v>907</v>
      </c>
      <c r="AV294" s="138" t="s">
        <v>972</v>
      </c>
      <c r="AW294" s="138" t="s">
        <v>893</v>
      </c>
      <c r="AX294" s="138" t="s">
        <v>702</v>
      </c>
      <c r="AY294" s="138" t="s">
        <v>894</v>
      </c>
      <c r="AZ294" s="138" t="s">
        <v>895</v>
      </c>
      <c r="BA294" s="138" t="s">
        <v>896</v>
      </c>
      <c r="BB294" s="138" t="s">
        <v>897</v>
      </c>
      <c r="BC294" s="138"/>
      <c r="BD294" s="138"/>
      <c r="BE294" s="138" t="s">
        <v>661</v>
      </c>
      <c r="BF294" s="138" t="s">
        <v>707</v>
      </c>
      <c r="BG294" s="138"/>
      <c r="BH294" s="138" t="s">
        <v>691</v>
      </c>
      <c r="BI294" s="138" t="s">
        <v>683</v>
      </c>
      <c r="BJ294" s="138" t="s">
        <v>708</v>
      </c>
      <c r="BK294" s="138"/>
      <c r="BL294" s="138"/>
      <c r="BM294" s="138" t="s">
        <v>899</v>
      </c>
      <c r="BN294" s="138"/>
      <c r="BO294" s="138"/>
      <c r="BP294" s="138"/>
      <c r="BQ294" s="138" t="s">
        <v>644</v>
      </c>
      <c r="BR294" s="138"/>
      <c r="BS294" s="138"/>
      <c r="BT294" s="138"/>
      <c r="BU294" s="138"/>
      <c r="BV294" s="138"/>
      <c r="BW294" s="131" t="str">
        <f t="shared" si="6"/>
        <v>PIsolation renforcéeCadre arrière 2 vantaux ouverture totale1 crémone avec poignée sur chaque vantailArrêts de portes arrière à 270°Déverrouillage interne porte arrière droite avec clapet de protectionRideau d'air arrièreEscabeau arrière coulissant 4 marches avec rampePlaque acier galvanisée 150 mm x 150 mm sur paroi latérale à l'arrière droit pour télécommande filaire du hayon -AMENAGEMENTS : Revêtement extérieur et intérieur des parois en polyester blanc (RAL 9016)Protections bas de parois latérales en aluminium hauteur 250 mm 1 niveau de rail d'arrimage acier galvanisé en applique sur parois latérales axé à 1400 mm du plancher1 niveau de rail d'arrimage acier galvanisé encastré sur parois latérales axé à 785 mm du plancher4 sangles d'arrimage à tension manuellePlancher renforcé avec résine grise antidérapante2 siphons d'évacuation à l'arrièrePlatelage aluminium antidérapant à l'arrière profondeur 1200 mm12 rails verticaux encastrés pour double plancher23 poutres capacité 1000 kg pour double plancherBuse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monotempérature</v>
      </c>
      <c r="CF294" s="125"/>
      <c r="CG294" s="125"/>
      <c r="CH294" s="125"/>
      <c r="CI294" s="125"/>
      <c r="CJ294" s="125"/>
      <c r="CK294" s="125"/>
      <c r="CL294" s="125"/>
      <c r="CM294" s="125"/>
      <c r="CN294" s="125"/>
      <c r="CO294" s="125"/>
      <c r="CP294" s="125"/>
      <c r="CQ294" s="125"/>
      <c r="CX294" s="125"/>
      <c r="CY294" s="125"/>
      <c r="CZ294" s="125"/>
      <c r="DA294" s="125"/>
      <c r="DB294" s="125"/>
      <c r="DC294" s="125"/>
      <c r="DD294" s="125"/>
      <c r="DE294" s="125"/>
      <c r="DF294" s="125"/>
      <c r="DG294" s="125"/>
      <c r="DH294" s="125"/>
      <c r="DI294" s="125"/>
      <c r="DJ294" s="125"/>
      <c r="DK294" s="125"/>
    </row>
    <row r="295" spans="1:127" ht="45" hidden="1" outlineLevel="1" x14ac:dyDescent="0.25">
      <c r="A295" s="131" t="s">
        <v>3172</v>
      </c>
      <c r="B295" s="134" t="s">
        <v>424</v>
      </c>
      <c r="C295" s="134"/>
      <c r="D295" s="134"/>
      <c r="E295" s="138" t="s">
        <v>900</v>
      </c>
      <c r="F295" s="138" t="s">
        <v>2980</v>
      </c>
      <c r="G295" s="138"/>
      <c r="H295" s="138"/>
      <c r="I295" s="138"/>
      <c r="J295" s="138"/>
      <c r="K295" s="138"/>
      <c r="L295" s="138"/>
      <c r="M295" s="138"/>
      <c r="N295" s="138"/>
      <c r="O295" s="138"/>
      <c r="P295" s="138"/>
      <c r="Q295" s="138"/>
      <c r="R295" s="138" t="s">
        <v>908</v>
      </c>
      <c r="S295" s="138" t="s">
        <v>909</v>
      </c>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1" t="str">
        <f t="shared" ref="BW295:BW312" si="7">CONCATENATE(B295,C295,D295,E295,F295,G295,H295,I295,J295,K295,L295,M295,N295,O295,P295,Q295,R295,S295,T295,U295,V295,W295,X295,Y295,Z295,AA295,AB295,AC295,AD295,AE295,AF295,AG295,AH295,AI295,AJ295,AK295,AL295,AM295,AN295,AO295,AP295,AQ295,AR295,AS295,AT295,AU295,AV295,AW295,AX295,AY295,AZ295,BA295,BC295,BD295,BE295,BF295,BG295,BH295,BI295,BJ295,BK295,BL295,BM295,BN295,BO295,BP295,BQ295,BR295,BS295,BT295,BU295,BV295,)</f>
        <v>ORideau relevable isotherme Smart Open-C (-150 kg CU)Label PIEK global (Caisse / groupe VECTOR 19 HE City / hayon (-150 kg CU))Hauteur intérieure 2700 mm (hauteur hors tout 4120 mm avec hauteur d'attelage 1150 mm)Hauteur intérieure 2800 mm (Hauteur hors tout 4220 mm avec hauteur d'attelage 1150 mm)</v>
      </c>
      <c r="CF295" s="125"/>
      <c r="CG295" s="125"/>
      <c r="CH295" s="125"/>
      <c r="CI295" s="125"/>
      <c r="CJ295" s="125"/>
      <c r="CK295" s="125"/>
      <c r="CL295" s="125"/>
      <c r="CM295" s="125"/>
      <c r="CN295" s="125"/>
      <c r="CO295" s="125"/>
      <c r="CP295" s="125"/>
      <c r="CQ295" s="125"/>
    </row>
    <row r="296" spans="1:127" ht="180" hidden="1" outlineLevel="1" x14ac:dyDescent="0.25">
      <c r="A296" s="134" t="s">
        <v>3118</v>
      </c>
      <c r="B296" s="134" t="s">
        <v>32</v>
      </c>
      <c r="C296" s="138" t="s">
        <v>1041</v>
      </c>
      <c r="D296" s="138" t="s">
        <v>1042</v>
      </c>
      <c r="E296" s="138"/>
      <c r="F296" s="138"/>
      <c r="G296" s="138"/>
      <c r="H296" s="138"/>
      <c r="I296" s="138"/>
      <c r="J296" s="138"/>
      <c r="K296" s="138"/>
      <c r="L296" s="138"/>
      <c r="M296" s="138"/>
      <c r="N296" s="138"/>
      <c r="O296" s="138"/>
      <c r="P296" s="138"/>
      <c r="Q296" s="138"/>
      <c r="R296" s="138"/>
      <c r="S296" s="138"/>
      <c r="T296" s="138"/>
      <c r="U296" s="138"/>
      <c r="V296" s="138" t="s">
        <v>1043</v>
      </c>
      <c r="W296" s="138" t="s">
        <v>1044</v>
      </c>
      <c r="X296" s="138" t="s">
        <v>1045</v>
      </c>
      <c r="Y296" s="138" t="s">
        <v>1046</v>
      </c>
      <c r="Z296" s="138" t="s">
        <v>1047</v>
      </c>
      <c r="AA296" s="138" t="s">
        <v>3026</v>
      </c>
      <c r="AB296" s="138" t="s">
        <v>635</v>
      </c>
      <c r="AC296" s="138" t="s">
        <v>1048</v>
      </c>
      <c r="AD296" s="138" t="s">
        <v>1049</v>
      </c>
      <c r="AE296" s="138"/>
      <c r="AF296" s="138"/>
      <c r="AG296" s="138"/>
      <c r="AH296" s="138"/>
      <c r="AI296" s="138" t="s">
        <v>1050</v>
      </c>
      <c r="AJ296" s="138" t="s">
        <v>1051</v>
      </c>
      <c r="AK296" s="138" t="s">
        <v>1011</v>
      </c>
      <c r="AL296" s="138"/>
      <c r="AM296" s="138"/>
      <c r="AN296" s="138" t="s">
        <v>1052</v>
      </c>
      <c r="AO296" s="138"/>
      <c r="AP296" s="138" t="s">
        <v>1053</v>
      </c>
      <c r="AQ296" s="138"/>
      <c r="AR296" s="138"/>
      <c r="AS296" s="138" t="s">
        <v>1054</v>
      </c>
      <c r="AT296" s="138"/>
      <c r="AU296" s="138"/>
      <c r="AV296" s="138"/>
      <c r="AW296" s="138" t="s">
        <v>893</v>
      </c>
      <c r="AX296" s="138" t="s">
        <v>702</v>
      </c>
      <c r="AY296" s="138" t="s">
        <v>1055</v>
      </c>
      <c r="AZ296" s="138"/>
      <c r="BA296" s="138" t="s">
        <v>749</v>
      </c>
      <c r="BB296" s="138"/>
      <c r="BC296" s="138"/>
      <c r="BD296" s="138"/>
      <c r="BE296" s="138" t="s">
        <v>661</v>
      </c>
      <c r="BF296" s="138" t="s">
        <v>1056</v>
      </c>
      <c r="BG296" s="138"/>
      <c r="BH296" s="138" t="s">
        <v>691</v>
      </c>
      <c r="BI296" s="138" t="s">
        <v>1057</v>
      </c>
      <c r="BJ296" s="138" t="s">
        <v>708</v>
      </c>
      <c r="BK296" s="138" t="s">
        <v>1058</v>
      </c>
      <c r="BL296" s="138" t="s">
        <v>1013</v>
      </c>
      <c r="BM296" s="138"/>
      <c r="BN296" s="138" t="s">
        <v>1059</v>
      </c>
      <c r="BO296" s="138"/>
      <c r="BP296" s="138"/>
      <c r="BQ296" s="138" t="s">
        <v>840</v>
      </c>
      <c r="BR296" s="138"/>
      <c r="BS296" s="138"/>
      <c r="BT296" s="138"/>
      <c r="BU296" s="138"/>
      <c r="BV296" s="138"/>
      <c r="BW296" s="131" t="str">
        <f t="shared" si="7"/>
        <v>PParois latérales et face avant PLYWOOD épaisseur 17 mmCadre arrière en acier peint en blanc avec 2 portes ouverture 270° et 1 crémone anti rack sur chaque porteHauteur de passage 2040 mmTraverse de renfort dans le cadre en partie basseTôles acier verticales de chaque côté du cadre arrière pour protection et verrouillage du hayon Pavillon isolé PET épaisseur 30 mmFaux châssis en acier galvanisé avec traverses rapprochées au pas de 400 mm -AMENAGEMENTS : Revêtement extérieur et intérieur des parois en polyester blanc (RAL 9010)Renfort extérieur de la face avant par tôle acier galvanisée épaisseur 30/10 ème hauteur 400 mm boulonnée sur le faux châssisProtections intérieures bas de parois latérales en tôle acier galvanisée épaisseur 30/10 ème hauteur 470 mm avec retour sous le plancher de 30 mmProtection intérieure bas de parois face avant contreplaqué épaisseur 15 mm + tôle acier galvanisée épaisseur 30/10 ème hauteur 600 mm avec reprise dans le plancher2 niveaux de rails d'arrimage acier galvanisé en applique sur 3 faces axés à 750 mm et 1400 mm du plancher4 sangles d'arrimage à tension manuelle longueur 5 mètresPlancher contreplaqué antidérapant épaisseur 21 mmPlatelage d'entrée en tôle acier galvanisée antidérapante profondeur 500 mm4 plafonniers LED avec détecteur de présenceTraverse arrière renforcée avec butoirs à rouleaux en acierCoffre à outils plastique grand modèle avec chaîne de retenue à 80° positionné dans l'empattement côté gaucheExtincteur 2 kg en cabineAiles plastiques avec bavettesPares cyclistes latéraux fixesFeux de gabarits arrière multifonctions en haut de cadre2 phares de travail en haut de cadre (commandés à l'alimentation du hayon élévateur)2 feux de recul supplémentaires à l'arrière dans le châssisCaméra de recul positionnée en partie haute de caisse Déflecteur de cabine tridimensionnelFlèche de couleur rouge sur le montant de caisse avant gauche indiquant la hauteur hors tout majorée de 100 mmTélématique SAMSARA pack ACCESS</v>
      </c>
      <c r="CF296" s="125"/>
      <c r="CG296" s="125"/>
      <c r="CH296" s="125"/>
      <c r="CI296" s="125"/>
      <c r="CJ296" s="125"/>
      <c r="CK296" s="125"/>
      <c r="CL296" s="125"/>
      <c r="CM296" s="125"/>
      <c r="CN296" s="125"/>
      <c r="CO296" s="125"/>
      <c r="CP296" s="125"/>
      <c r="CQ296" s="125"/>
      <c r="CX296" s="125"/>
      <c r="CY296" s="125"/>
      <c r="CZ296" s="125"/>
      <c r="DA296" s="125"/>
      <c r="DB296" s="125"/>
      <c r="DC296" s="125"/>
      <c r="DD296" s="125"/>
      <c r="DE296" s="125"/>
      <c r="DF296" s="125"/>
      <c r="DG296" s="125"/>
      <c r="DH296" s="125"/>
      <c r="DI296" s="125"/>
      <c r="DJ296" s="125"/>
      <c r="DK296" s="125"/>
      <c r="DL296" s="125"/>
      <c r="DM296" s="125"/>
      <c r="DN296" s="125"/>
      <c r="DO296" s="125"/>
    </row>
    <row r="297" spans="1:127" ht="78.75" hidden="1" outlineLevel="1" x14ac:dyDescent="0.25">
      <c r="A297" s="134" t="s">
        <v>3088</v>
      </c>
      <c r="B297" s="134" t="s">
        <v>424</v>
      </c>
      <c r="C297" s="134"/>
      <c r="D297" s="134"/>
      <c r="E297" s="134"/>
      <c r="F297" s="134"/>
      <c r="G297" s="138" t="s">
        <v>2966</v>
      </c>
      <c r="H297" s="138" t="s">
        <v>2962</v>
      </c>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1" t="str">
        <f t="shared" si="7"/>
        <v>OPorte latérale coulissante largeur 1000 mm (sans rails d'arrimage) à 300 mm de l'arrière droit + étrier coulissant 3 marches (1ère marche large) avec 1 sangle montoire rouge de chaque côté et buzzer en cabine (-80 kg CU)Porte latérale double battants largeur 1000 mm (2 x 500 mm) (sans rails d'arrimage) à 300 mm de l'arrière droit + étrier coulissant 3 marches (1ère marche large) avec 1 sangle montoire de chaque côté et buzzer en cabine (-80 kg CU)</v>
      </c>
      <c r="CF297" s="125"/>
      <c r="CG297" s="125"/>
      <c r="CH297" s="125"/>
      <c r="CI297" s="125"/>
      <c r="CJ297" s="125"/>
      <c r="CK297" s="125"/>
      <c r="CL297" s="125"/>
      <c r="CM297" s="125"/>
      <c r="CN297" s="125"/>
      <c r="CO297" s="125"/>
      <c r="CP297" s="125"/>
      <c r="CQ297" s="125"/>
    </row>
    <row r="298" spans="1:127" ht="180" hidden="1" outlineLevel="1" x14ac:dyDescent="0.25">
      <c r="A298" s="134" t="s">
        <v>3116</v>
      </c>
      <c r="B298" s="134" t="s">
        <v>32</v>
      </c>
      <c r="C298" s="138" t="s">
        <v>1041</v>
      </c>
      <c r="D298" s="138" t="s">
        <v>1060</v>
      </c>
      <c r="E298" s="138"/>
      <c r="F298" s="138"/>
      <c r="G298" s="138"/>
      <c r="H298" s="138"/>
      <c r="I298" s="138"/>
      <c r="J298" s="138"/>
      <c r="K298" s="138"/>
      <c r="L298" s="138"/>
      <c r="M298" s="138"/>
      <c r="N298" s="138"/>
      <c r="O298" s="138"/>
      <c r="P298" s="138"/>
      <c r="Q298" s="138"/>
      <c r="R298" s="138"/>
      <c r="S298" s="138"/>
      <c r="T298" s="138"/>
      <c r="U298" s="138"/>
      <c r="V298" s="138" t="s">
        <v>1043</v>
      </c>
      <c r="W298" s="138" t="s">
        <v>1044</v>
      </c>
      <c r="X298" s="138" t="s">
        <v>1045</v>
      </c>
      <c r="Y298" s="138" t="s">
        <v>1046</v>
      </c>
      <c r="Z298" s="138" t="s">
        <v>1047</v>
      </c>
      <c r="AA298" s="138" t="s">
        <v>3026</v>
      </c>
      <c r="AB298" s="138" t="s">
        <v>635</v>
      </c>
      <c r="AC298" s="138" t="s">
        <v>1048</v>
      </c>
      <c r="AD298" s="138" t="s">
        <v>1049</v>
      </c>
      <c r="AE298" s="138"/>
      <c r="AF298" s="138"/>
      <c r="AG298" s="138"/>
      <c r="AH298" s="138"/>
      <c r="AI298" s="138" t="s">
        <v>1050</v>
      </c>
      <c r="AJ298" s="138" t="s">
        <v>1051</v>
      </c>
      <c r="AK298" s="138" t="s">
        <v>1011</v>
      </c>
      <c r="AL298" s="138"/>
      <c r="AM298" s="138"/>
      <c r="AN298" s="138" t="s">
        <v>1052</v>
      </c>
      <c r="AO298" s="138"/>
      <c r="AP298" s="138" t="s">
        <v>1053</v>
      </c>
      <c r="AQ298" s="138"/>
      <c r="AR298" s="138"/>
      <c r="AS298" s="138" t="s">
        <v>1054</v>
      </c>
      <c r="AT298" s="138"/>
      <c r="AU298" s="138"/>
      <c r="AV298" s="138"/>
      <c r="AW298" s="138" t="s">
        <v>893</v>
      </c>
      <c r="AX298" s="138" t="s">
        <v>702</v>
      </c>
      <c r="AY298" s="138" t="s">
        <v>1055</v>
      </c>
      <c r="AZ298" s="138"/>
      <c r="BA298" s="138" t="s">
        <v>749</v>
      </c>
      <c r="BB298" s="138"/>
      <c r="BC298" s="138"/>
      <c r="BD298" s="138"/>
      <c r="BE298" s="138" t="s">
        <v>661</v>
      </c>
      <c r="BF298" s="138" t="s">
        <v>1056</v>
      </c>
      <c r="BG298" s="138"/>
      <c r="BH298" s="138" t="s">
        <v>691</v>
      </c>
      <c r="BI298" s="138" t="s">
        <v>1057</v>
      </c>
      <c r="BJ298" s="138" t="s">
        <v>708</v>
      </c>
      <c r="BK298" s="138" t="s">
        <v>1058</v>
      </c>
      <c r="BL298" s="138" t="s">
        <v>1013</v>
      </c>
      <c r="BM298" s="138"/>
      <c r="BN298" s="138" t="s">
        <v>1059</v>
      </c>
      <c r="BO298" s="138"/>
      <c r="BP298" s="138"/>
      <c r="BQ298" s="138" t="s">
        <v>840</v>
      </c>
      <c r="BR298" s="138"/>
      <c r="BS298" s="138"/>
      <c r="BT298" s="138"/>
      <c r="BU298" s="138"/>
      <c r="BV298" s="138"/>
      <c r="BW298" s="131" t="str">
        <f t="shared" si="7"/>
        <v>PParois latérales et face avant PLYWOOD épaisseur 17 mmCadre arrière en acier peint en blanc avec fermeture intégrale par hayon élévateur et joint d'étanchéité caoutchouc en périphérieHauteur de passage 2040 mmTraverse de renfort dans le cadre en partie basseTôles acier verticales de chaque côté du cadre arrière pour protection et verrouillage du hayon Pavillon isolé PET épaisseur 30 mmFaux châssis en acier galvanisé avec traverses rapprochées au pas de 400 mm -AMENAGEMENTS : Revêtement extérieur et intérieur des parois en polyester blanc (RAL 9010)Renfort extérieur de la face avant par tôle acier galvanisée épaisseur 30/10 ème hauteur 400 mm boulonnée sur le faux châssisProtections intérieures bas de parois latérales en tôle acier galvanisée épaisseur 30/10 ème hauteur 470 mm avec retour sous le plancher de 30 mmProtection intérieure bas de parois face avant contreplaqué épaisseur 15 mm + tôle acier galvanisée épaisseur 30/10 ème hauteur 600 mm avec reprise dans le plancher2 niveaux de rails d'arrimage acier galvanisé en applique sur 3 faces axés à 750 mm et 1400 mm du plancher4 sangles d'arrimage à tension manuelle longueur 5 mètresPlancher contreplaqué antidérapant épaisseur 21 mmPlatelage d'entrée en tôle acier galvanisée antidérapante profondeur 500 mm4 plafonniers LED avec détecteur de présenceTraverse arrière renforcée avec butoirs à rouleaux en acierCoffre à outils plastique grand modèle avec chaîne de retenue à 80° positionné dans l'empattement côté gaucheExtincteur 2 kg en cabineAiles plastiques avec bavettesPares cyclistes latéraux fixesFeux de gabarits arrière multifonctions en haut de cadre2 phares de travail en haut de cadre (commandés à l'alimentation du hayon élévateur)2 feux de recul supplémentaires à l'arrière dans le châssisCaméra de recul positionnée en partie haute de caisse Déflecteur de cabine tridimensionnelFlèche de couleur rouge sur le montant de caisse avant gauche indiquant la hauteur hors tout majorée de 100 mmTélématique SAMSARA pack ACCESS</v>
      </c>
      <c r="CF298" s="125"/>
      <c r="CG298" s="125"/>
      <c r="CH298" s="125"/>
      <c r="CI298" s="125"/>
      <c r="CJ298" s="125"/>
      <c r="CK298" s="125"/>
      <c r="CL298" s="125"/>
      <c r="CM298" s="125"/>
      <c r="CN298" s="125"/>
      <c r="CO298" s="125"/>
      <c r="CP298" s="125"/>
      <c r="CQ298" s="125"/>
      <c r="CX298" s="125"/>
      <c r="CY298" s="125"/>
      <c r="CZ298" s="125"/>
      <c r="DA298" s="125"/>
      <c r="DB298" s="125"/>
      <c r="DC298" s="125"/>
      <c r="DD298" s="125"/>
      <c r="DE298" s="125"/>
      <c r="DF298" s="125"/>
      <c r="DG298" s="125"/>
      <c r="DH298" s="125"/>
      <c r="DI298" s="125"/>
      <c r="DJ298" s="125"/>
      <c r="DK298" s="125"/>
      <c r="DL298" s="125"/>
      <c r="DM298" s="125"/>
      <c r="DN298" s="125"/>
      <c r="DO298" s="125"/>
    </row>
    <row r="299" spans="1:127" ht="191.25" hidden="1" outlineLevel="1" x14ac:dyDescent="0.25">
      <c r="A299" s="134" t="s">
        <v>3145</v>
      </c>
      <c r="B299" s="134" t="s">
        <v>32</v>
      </c>
      <c r="C299" s="138" t="s">
        <v>1065</v>
      </c>
      <c r="D299" s="138" t="s">
        <v>1060</v>
      </c>
      <c r="E299" s="138"/>
      <c r="F299" s="138"/>
      <c r="G299" s="138"/>
      <c r="H299" s="138"/>
      <c r="I299" s="138"/>
      <c r="J299" s="138"/>
      <c r="K299" s="138"/>
      <c r="L299" s="138"/>
      <c r="M299" s="138"/>
      <c r="N299" s="138"/>
      <c r="O299" s="138"/>
      <c r="P299" s="138"/>
      <c r="Q299" s="138"/>
      <c r="R299" s="138"/>
      <c r="S299" s="138"/>
      <c r="T299" s="138"/>
      <c r="U299" s="138"/>
      <c r="V299" s="138" t="s">
        <v>1043</v>
      </c>
      <c r="W299" s="138" t="s">
        <v>1044</v>
      </c>
      <c r="X299" s="138" t="s">
        <v>1045</v>
      </c>
      <c r="Y299" s="138" t="s">
        <v>1046</v>
      </c>
      <c r="Z299" s="138" t="s">
        <v>1047</v>
      </c>
      <c r="AA299" s="138" t="s">
        <v>3026</v>
      </c>
      <c r="AB299" s="138" t="s">
        <v>635</v>
      </c>
      <c r="AC299" s="138" t="s">
        <v>1048</v>
      </c>
      <c r="AD299" s="138" t="s">
        <v>1049</v>
      </c>
      <c r="AE299" s="138"/>
      <c r="AF299" s="138"/>
      <c r="AG299" s="138"/>
      <c r="AH299" s="138"/>
      <c r="AI299" s="138" t="s">
        <v>1050</v>
      </c>
      <c r="AJ299" s="138" t="s">
        <v>1051</v>
      </c>
      <c r="AK299" s="138" t="s">
        <v>1011</v>
      </c>
      <c r="AL299" s="138"/>
      <c r="AM299" s="138"/>
      <c r="AN299" s="138" t="s">
        <v>1052</v>
      </c>
      <c r="AO299" s="138"/>
      <c r="AP299" s="138" t="s">
        <v>1066</v>
      </c>
      <c r="AQ299" s="138"/>
      <c r="AR299" s="138"/>
      <c r="AS299" s="138" t="s">
        <v>1054</v>
      </c>
      <c r="AT299" s="138"/>
      <c r="AU299" s="138"/>
      <c r="AV299" s="138"/>
      <c r="AW299" s="138" t="s">
        <v>893</v>
      </c>
      <c r="AX299" s="138" t="s">
        <v>702</v>
      </c>
      <c r="AY299" s="138" t="s">
        <v>1055</v>
      </c>
      <c r="AZ299" s="138"/>
      <c r="BA299" s="138" t="s">
        <v>1024</v>
      </c>
      <c r="BB299" s="138"/>
      <c r="BC299" s="138"/>
      <c r="BD299" s="138"/>
      <c r="BE299" s="138" t="s">
        <v>661</v>
      </c>
      <c r="BF299" s="138" t="s">
        <v>707</v>
      </c>
      <c r="BG299" s="138"/>
      <c r="BH299" s="138" t="s">
        <v>691</v>
      </c>
      <c r="BI299" s="138" t="s">
        <v>1057</v>
      </c>
      <c r="BJ299" s="138" t="s">
        <v>708</v>
      </c>
      <c r="BK299" s="138" t="s">
        <v>1067</v>
      </c>
      <c r="BL299" s="138" t="s">
        <v>1013</v>
      </c>
      <c r="BM299" s="138"/>
      <c r="BN299" s="138" t="s">
        <v>1059</v>
      </c>
      <c r="BO299" s="138"/>
      <c r="BP299" s="138"/>
      <c r="BQ299" s="138" t="s">
        <v>840</v>
      </c>
      <c r="BR299" s="138"/>
      <c r="BS299" s="138"/>
      <c r="BT299" s="138"/>
      <c r="BU299" s="138"/>
      <c r="BV299" s="138"/>
      <c r="BW299" s="131" t="str">
        <f t="shared" si="7"/>
        <v>PParois latérales et face avant PLYWOOD épaisseur 20 mmCadre arrière en acier peint en blanc avec fermeture intégrale par hayon élévateur et joint d'étanchéité caoutchouc en périphérieHauteur de passage 2040 mmTraverse de renfort dans le cadre en partie basseTôles acier verticales de chaque côté du cadre arrière pour protection et verrouillage du hayon Pavillon isolé PET épaisseur 30 mmFaux châssis en acier galvanisé avec traverses rapprochées au pas de 400 mm -AMENAGEMENTS : Revêtement extérieur et intérieur des parois en polyester blanc (RAL 9010)Renfort extérieur de la face avant par tôle acier galvanisée épaisseur 30/10 ème hauteur 400 mm boulonnée sur le faux châssisProtections intérieures bas de parois latérales en tôle acier galvanisée épaisseur 30/10 ème hauteur 470 mm avec retour sous le plancher de 30 mmProtection intérieure bas de parois face avant contreplaqué épaisseur 15 mm + tôle acier galvanisée épaisseur 30/10 ème hauteur 600 mm avec reprise dans le plancher2 niveaux de rails d'arrimage acier galvanisé en applique sur 3 faces axés à 750 mm et 1400 mm du plancher4 sangles d'arrimage à tension manuelle longueur 5 mètresPlancher renforcé bois dur exotique épaisseur 35 mm avec omégas en acier galvaniséPlatelage d'entrée en tôle acier galvanisée antidérapante profondeur 500 mm4 plafonniers LED avec détecteur de présenceTraverse arrière renforcée avec butoirs à rouleaux en acierCoffre à outils plastique grand modèle avec chaîne de retenue à 80° positionné dans l'empattement côté gaucheExtincteur 6 kg dans un coffre rouge indépendant positionné dans le porte à faux arrière gaucheAiles plastiques avec bavettesPares cyclistes latéraux relevablesFeux de gabarits arrière multifonctions en haut de cadre2 phares de travail en haut de cadre (commandés à l'alimentation du hayon élévateur)2 feux de recul supplémentaires à l'arrière dans le châssisCaméra de recul positionnée en partie basse à l'extrémité de châssis Déflecteur de cabine tridimensionnelFlèche de couleur rouge sur le montant de caisse avant gauche indiquant la hauteur hors tout majorée de 100 mmTélématique SAMSARA pack ACCESS</v>
      </c>
      <c r="CF299" s="125"/>
      <c r="CG299" s="125"/>
      <c r="CH299" s="125"/>
      <c r="CI299" s="125"/>
      <c r="CJ299" s="125"/>
      <c r="CK299" s="125"/>
      <c r="CL299" s="125"/>
      <c r="CM299" s="125"/>
      <c r="CN299" s="125"/>
      <c r="CO299" s="125"/>
      <c r="CP299" s="125"/>
      <c r="CQ299" s="125"/>
      <c r="CX299" s="125"/>
      <c r="CY299" s="125"/>
      <c r="CZ299" s="125"/>
      <c r="DA299" s="125"/>
      <c r="DB299" s="125"/>
      <c r="DC299" s="125"/>
      <c r="DD299" s="125"/>
      <c r="DE299" s="125"/>
      <c r="DF299" s="125"/>
      <c r="DG299" s="125"/>
      <c r="DH299" s="125"/>
      <c r="DI299" s="125"/>
      <c r="DJ299" s="125"/>
      <c r="DK299" s="125"/>
      <c r="DL299" s="125"/>
      <c r="DM299" s="125"/>
      <c r="DN299" s="125"/>
      <c r="DO299" s="125"/>
    </row>
    <row r="300" spans="1:127" ht="78.75" hidden="1" outlineLevel="1" x14ac:dyDescent="0.25">
      <c r="A300" s="134" t="s">
        <v>3140</v>
      </c>
      <c r="B300" s="134" t="s">
        <v>424</v>
      </c>
      <c r="C300" s="138"/>
      <c r="D300" s="138"/>
      <c r="E300" s="138"/>
      <c r="F300" s="138"/>
      <c r="G300" s="138" t="s">
        <v>2965</v>
      </c>
      <c r="H300" s="138" t="s">
        <v>2961</v>
      </c>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1" t="str">
        <f t="shared" si="7"/>
        <v>OPorte latérale coulissante largeur 1000 mm (sans rails d'arrimage) à 300 mm de l'arrière droit + étrier coulissant 3 marches (1ère marche large) avec 1 sangle montoire rouge de chaque côté et buzzer en cabine (-60 kg CU)Porte latérale double battants largeur 1000 mm (2 x 500 mm) (sans rails d'arrimage) à 300 mm de l'arrière droit + étrier coulissant 3 marches (1ère marche large) avec 1 sangle montoire de chaque côté et buzzer en cabine (-58 kg CU)</v>
      </c>
      <c r="CF300" s="125"/>
      <c r="CG300" s="125"/>
      <c r="CH300" s="125"/>
      <c r="CI300" s="125"/>
      <c r="CJ300" s="125"/>
      <c r="CK300" s="125"/>
      <c r="CL300" s="125"/>
      <c r="CM300" s="125"/>
      <c r="CN300" s="125"/>
      <c r="CO300" s="125"/>
      <c r="CP300" s="125"/>
      <c r="CQ300" s="125"/>
    </row>
    <row r="301" spans="1:127" ht="112.5" hidden="1" outlineLevel="1" x14ac:dyDescent="0.25">
      <c r="A301" s="134" t="s">
        <v>3117</v>
      </c>
      <c r="B301" s="134" t="s">
        <v>32</v>
      </c>
      <c r="C301" s="138" t="s">
        <v>626</v>
      </c>
      <c r="D301" s="138" t="s">
        <v>674</v>
      </c>
      <c r="E301" s="138" t="s">
        <v>628</v>
      </c>
      <c r="F301" s="138" t="s">
        <v>629</v>
      </c>
      <c r="G301" s="138" t="s">
        <v>675</v>
      </c>
      <c r="H301" s="138" t="s">
        <v>631</v>
      </c>
      <c r="I301" s="138"/>
      <c r="J301" s="138"/>
      <c r="K301" s="138"/>
      <c r="L301" s="138"/>
      <c r="M301" s="138" t="s">
        <v>678</v>
      </c>
      <c r="N301" s="138"/>
      <c r="O301" s="138"/>
      <c r="P301" s="138"/>
      <c r="Q301" s="138"/>
      <c r="R301" s="138"/>
      <c r="S301" s="138"/>
      <c r="T301" s="138"/>
      <c r="U301" s="138"/>
      <c r="V301" s="138"/>
      <c r="W301" s="138"/>
      <c r="X301" s="138"/>
      <c r="Y301" s="138" t="s">
        <v>1010</v>
      </c>
      <c r="Z301" s="138"/>
      <c r="AA301" s="138" t="s">
        <v>3026</v>
      </c>
      <c r="AB301" s="138" t="s">
        <v>635</v>
      </c>
      <c r="AC301" s="138" t="s">
        <v>636</v>
      </c>
      <c r="AD301" s="138"/>
      <c r="AE301" s="138"/>
      <c r="AF301" s="138"/>
      <c r="AG301" s="138"/>
      <c r="AH301" s="138"/>
      <c r="AI301" s="138" t="s">
        <v>670</v>
      </c>
      <c r="AJ301" s="138"/>
      <c r="AK301" s="138" t="s">
        <v>1011</v>
      </c>
      <c r="AL301" s="138"/>
      <c r="AM301" s="138"/>
      <c r="AN301" s="138" t="s">
        <v>658</v>
      </c>
      <c r="AO301" s="138"/>
      <c r="AP301" s="138" t="s">
        <v>659</v>
      </c>
      <c r="AQ301" s="138"/>
      <c r="AR301" s="138" t="s">
        <v>640</v>
      </c>
      <c r="AS301" s="138"/>
      <c r="AT301" s="138"/>
      <c r="AU301" s="138"/>
      <c r="AV301" s="138"/>
      <c r="AW301" s="138" t="s">
        <v>681</v>
      </c>
      <c r="AX301" s="138"/>
      <c r="AY301" s="138"/>
      <c r="AZ301" s="138"/>
      <c r="BA301" s="138" t="s">
        <v>749</v>
      </c>
      <c r="BB301" s="138"/>
      <c r="BC301" s="138"/>
      <c r="BD301" s="138"/>
      <c r="BE301" s="138" t="s">
        <v>661</v>
      </c>
      <c r="BF301" s="138" t="s">
        <v>682</v>
      </c>
      <c r="BG301" s="138"/>
      <c r="BH301" s="138"/>
      <c r="BI301" s="138" t="s">
        <v>683</v>
      </c>
      <c r="BJ301" s="138"/>
      <c r="BK301" s="138" t="s">
        <v>1012</v>
      </c>
      <c r="BL301" s="138" t="s">
        <v>1013</v>
      </c>
      <c r="BM301" s="138"/>
      <c r="BN301" s="138" t="s">
        <v>1014</v>
      </c>
      <c r="BO301" s="138"/>
      <c r="BP301" s="138"/>
      <c r="BQ301" s="138" t="s">
        <v>840</v>
      </c>
      <c r="BR301" s="138"/>
      <c r="BS301" s="138"/>
      <c r="BT301" s="138"/>
      <c r="BU301" s="138"/>
      <c r="BV301" s="138"/>
      <c r="BW301" s="131" t="str">
        <f t="shared" si="7"/>
        <v>PIsolation renforcée CFLCadre arrière 2 vantaux ouverture totale (porte droite prioritaire)1 crémone avec poignée sur chaque vantailFermeture manuelle à cléArrêts de portes arrière à ressort à 270°Arrêts de portes arrière à 110°Plaque acier galvanisée 150 mm x 150 mm sur paroi latérale à l'arrière droit pour télécommande filaire du hayonPavillon isolé -AMENAGEMENTS : Revêtement extérieur et intérieur des parois en polyester blanc (RAL 9016)Protections bas de parois latérales et avant en aluminium hauteur 450 mm (250 mm + 200 mm)2 niveaux de rails d'arrimage acier galvanisé en applique sur 3 faces axés à 750 mm et 1400 mm du plancher4 sangles d'arrimage à tension manuellePlancher renforcé avec résine grise antidérapante2 siphons d'évacuation d'eau2 plafonniers LED avec détecteur de présenceExtincteur 2 kg en cabineAiles plastiques avec bavettesPares cyclistes latérauxPhares de travail en haut de cadre (commandés à l'alimentation du hayon élévateur)Caméra de recul positionnée en partie haute de cadre arrièreDéflecteur de cabine tridimensionnelFlèche de couleur rouge sur le montant de caisse avant gauche indiquant la hauteur hors toutTélématique SAMSARA pack ACCESS</v>
      </c>
      <c r="CF301" s="125"/>
      <c r="CG301" s="125"/>
      <c r="CH301" s="125"/>
      <c r="CI301" s="125"/>
      <c r="CJ301" s="125"/>
      <c r="CK301" s="125"/>
      <c r="CL301" s="125"/>
      <c r="CM301" s="125"/>
      <c r="CN301" s="125"/>
      <c r="CO301" s="125"/>
      <c r="CP301" s="125"/>
      <c r="CQ301" s="125"/>
      <c r="CX301" s="193"/>
      <c r="CY301" s="125"/>
      <c r="CZ301" s="125"/>
      <c r="DA301" s="125"/>
      <c r="DB301" s="125"/>
      <c r="DC301" s="125"/>
      <c r="DD301" s="125"/>
      <c r="DE301" s="125"/>
      <c r="DF301" s="125"/>
      <c r="DG301" s="125"/>
      <c r="DH301" s="125"/>
      <c r="DI301" s="125"/>
      <c r="DJ301" s="125"/>
      <c r="DK301" s="125"/>
      <c r="DL301" s="125"/>
      <c r="DM301" s="125"/>
      <c r="DN301" s="125"/>
      <c r="DO301" s="125"/>
      <c r="DP301" s="125"/>
      <c r="DQ301" s="125"/>
      <c r="DR301" s="125"/>
      <c r="DS301" s="125"/>
      <c r="DT301" s="125"/>
    </row>
    <row r="302" spans="1:127" ht="67.5" hidden="1" outlineLevel="1" x14ac:dyDescent="0.25">
      <c r="A302" s="134" t="s">
        <v>3090</v>
      </c>
      <c r="B302" s="134" t="s">
        <v>424</v>
      </c>
      <c r="C302" s="134"/>
      <c r="D302" s="138"/>
      <c r="E302" s="134"/>
      <c r="F302" s="138"/>
      <c r="G302" s="138"/>
      <c r="H302" s="138" t="s">
        <v>1015</v>
      </c>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1" t="str">
        <f t="shared" si="7"/>
        <v>OPorte latérale double battants largeur 1000 mm (2 x 500 mm) (sans rails d'arrimage) à 250 mm de l'arrière droit + étrier coulissant 2 marches avec 1 sangle montoire de chaque côté et buzzer en cabine (-58 kg CU)</v>
      </c>
      <c r="CF302" s="125"/>
      <c r="CG302" s="125"/>
      <c r="CH302" s="125"/>
      <c r="CI302" s="125"/>
      <c r="CJ302" s="125"/>
      <c r="CK302" s="125"/>
      <c r="CL302" s="125"/>
      <c r="CM302" s="125"/>
      <c r="CN302" s="125"/>
      <c r="CO302" s="125"/>
      <c r="CP302" s="125"/>
      <c r="CQ302" s="125"/>
    </row>
    <row r="303" spans="1:127" ht="101.25" hidden="1" outlineLevel="1" x14ac:dyDescent="0.25">
      <c r="A303" s="134" t="s">
        <v>3115</v>
      </c>
      <c r="B303" s="134" t="s">
        <v>32</v>
      </c>
      <c r="C303" s="138" t="s">
        <v>626</v>
      </c>
      <c r="D303" s="138" t="s">
        <v>1016</v>
      </c>
      <c r="E303" s="138"/>
      <c r="F303" s="138"/>
      <c r="G303" s="138"/>
      <c r="H303" s="138"/>
      <c r="I303" s="138"/>
      <c r="J303" s="138"/>
      <c r="K303" s="138"/>
      <c r="L303" s="138"/>
      <c r="M303" s="138" t="s">
        <v>678</v>
      </c>
      <c r="N303" s="138"/>
      <c r="O303" s="138"/>
      <c r="P303" s="138"/>
      <c r="Q303" s="138"/>
      <c r="R303" s="138"/>
      <c r="S303" s="138"/>
      <c r="T303" s="138"/>
      <c r="U303" s="138"/>
      <c r="V303" s="138" t="s">
        <v>1017</v>
      </c>
      <c r="W303" s="138"/>
      <c r="X303" s="138"/>
      <c r="Y303" s="138" t="s">
        <v>1010</v>
      </c>
      <c r="Z303" s="138"/>
      <c r="AA303" s="138" t="s">
        <v>3026</v>
      </c>
      <c r="AB303" s="138" t="s">
        <v>635</v>
      </c>
      <c r="AC303" s="138" t="s">
        <v>636</v>
      </c>
      <c r="AD303" s="138"/>
      <c r="AE303" s="138"/>
      <c r="AF303" s="138"/>
      <c r="AG303" s="138"/>
      <c r="AH303" s="138"/>
      <c r="AI303" s="138" t="s">
        <v>670</v>
      </c>
      <c r="AJ303" s="138"/>
      <c r="AK303" s="138" t="s">
        <v>1011</v>
      </c>
      <c r="AL303" s="138"/>
      <c r="AM303" s="138"/>
      <c r="AN303" s="138" t="s">
        <v>658</v>
      </c>
      <c r="AO303" s="138"/>
      <c r="AP303" s="138" t="s">
        <v>659</v>
      </c>
      <c r="AQ303" s="138"/>
      <c r="AR303" s="138" t="s">
        <v>640</v>
      </c>
      <c r="AS303" s="138"/>
      <c r="AT303" s="138"/>
      <c r="AU303" s="138"/>
      <c r="AV303" s="138"/>
      <c r="AW303" s="138" t="s">
        <v>681</v>
      </c>
      <c r="AX303" s="138"/>
      <c r="AY303" s="138"/>
      <c r="AZ303" s="138"/>
      <c r="BA303" s="138" t="s">
        <v>749</v>
      </c>
      <c r="BB303" s="138"/>
      <c r="BC303" s="138"/>
      <c r="BD303" s="138"/>
      <c r="BE303" s="138" t="s">
        <v>661</v>
      </c>
      <c r="BF303" s="138" t="s">
        <v>682</v>
      </c>
      <c r="BG303" s="138"/>
      <c r="BH303" s="138"/>
      <c r="BI303" s="138" t="s">
        <v>683</v>
      </c>
      <c r="BJ303" s="138"/>
      <c r="BK303" s="138" t="s">
        <v>1012</v>
      </c>
      <c r="BL303" s="138" t="s">
        <v>1013</v>
      </c>
      <c r="BM303" s="138"/>
      <c r="BN303" s="138" t="s">
        <v>1014</v>
      </c>
      <c r="BO303" s="138"/>
      <c r="BP303" s="138"/>
      <c r="BQ303" s="138" t="s">
        <v>840</v>
      </c>
      <c r="BR303" s="138"/>
      <c r="BS303" s="138"/>
      <c r="BT303" s="138"/>
      <c r="BU303" s="138"/>
      <c r="BV303" s="138"/>
      <c r="BW303" s="131" t="str">
        <f t="shared" si="7"/>
        <v>PIsolation renforcée CFLCadre arrière avec fermeture intégrale par hayon élévateur et joint d'étanchéité caoutchouc en périphériePlaque acier galvanisée 150 mm x 150 mm sur paroi latérale à l'arrière droit pour télécommande filaire du hayonHauteur de passage 1980 mmPavillon isolé -AMENAGEMENTS : Revêtement extérieur et intérieur des parois en polyester blanc (RAL 9016)Protections bas de parois latérales et avant en aluminium hauteur 450 mm (250 mm + 200 mm)2 niveaux de rails d'arrimage acier galvanisé en applique sur 3 faces axés à 750 mm et 1400 mm du plancher4 sangles d'arrimage à tension manuellePlancher renforcé avec résine grise antidérapante2 siphons d'évacuation d'eau2 plafonniers LED avec détecteur de présenceExtincteur 2 kg en cabineAiles plastiques avec bavettesPares cyclistes latérauxPhares de travail en haut de cadre (commandés à l'alimentation du hayon élévateur)Caméra de recul positionnée en partie haute de cadre arrièreDéflecteur de cabine tridimensionnelFlèche de couleur rouge sur le montant de caisse avant gauche indiquant la hauteur hors toutTélématique SAMSARA pack ACCESS</v>
      </c>
      <c r="CF303" s="125"/>
      <c r="CG303" s="125"/>
      <c r="CH303" s="125"/>
      <c r="CI303" s="125"/>
      <c r="CJ303" s="125"/>
      <c r="CK303" s="125"/>
      <c r="CL303" s="125"/>
      <c r="CM303" s="125"/>
      <c r="CN303" s="125"/>
      <c r="CO303" s="125"/>
      <c r="CP303" s="125"/>
      <c r="CQ303" s="125"/>
      <c r="CX303" s="138"/>
      <c r="CY303" s="138"/>
      <c r="CZ303" s="138"/>
      <c r="DA303" s="193"/>
      <c r="DB303" s="125"/>
      <c r="DC303" s="125"/>
      <c r="DD303" s="125"/>
      <c r="DE303" s="125"/>
      <c r="DF303" s="125"/>
      <c r="DG303" s="125"/>
      <c r="DH303" s="125"/>
      <c r="DI303" s="125"/>
      <c r="DJ303" s="125"/>
      <c r="DK303" s="125"/>
      <c r="DL303" s="125"/>
      <c r="DM303" s="125"/>
      <c r="DN303" s="125"/>
      <c r="DO303" s="125"/>
      <c r="DP303" s="125"/>
      <c r="DQ303" s="125"/>
      <c r="DR303" s="125"/>
      <c r="DS303" s="125"/>
      <c r="DT303" s="125"/>
      <c r="DU303" s="125"/>
      <c r="DV303" s="125"/>
      <c r="DW303" s="125"/>
    </row>
    <row r="304" spans="1:127" ht="135" hidden="1" outlineLevel="1" x14ac:dyDescent="0.25">
      <c r="A304" s="134" t="s">
        <v>3144</v>
      </c>
      <c r="B304" s="134" t="s">
        <v>32</v>
      </c>
      <c r="C304" s="138" t="s">
        <v>1018</v>
      </c>
      <c r="D304" s="138" t="s">
        <v>1019</v>
      </c>
      <c r="E304" s="138"/>
      <c r="F304" s="138"/>
      <c r="G304" s="138"/>
      <c r="H304" s="138"/>
      <c r="I304" s="138"/>
      <c r="J304" s="138"/>
      <c r="K304" s="138"/>
      <c r="L304" s="138"/>
      <c r="M304" s="138" t="s">
        <v>678</v>
      </c>
      <c r="N304" s="138"/>
      <c r="O304" s="138"/>
      <c r="P304" s="138"/>
      <c r="Q304" s="138"/>
      <c r="R304" s="138"/>
      <c r="S304" s="138"/>
      <c r="T304" s="138"/>
      <c r="U304" s="138"/>
      <c r="V304" s="138" t="s">
        <v>1020</v>
      </c>
      <c r="W304" s="138"/>
      <c r="X304" s="138"/>
      <c r="Y304" s="138" t="s">
        <v>1010</v>
      </c>
      <c r="Z304" s="138"/>
      <c r="AA304" s="138" t="s">
        <v>3026</v>
      </c>
      <c r="AB304" s="138" t="s">
        <v>635</v>
      </c>
      <c r="AC304" s="138" t="s">
        <v>636</v>
      </c>
      <c r="AD304" s="138"/>
      <c r="AE304" s="138"/>
      <c r="AF304" s="138"/>
      <c r="AG304" s="138"/>
      <c r="AH304" s="138"/>
      <c r="AI304" s="138" t="s">
        <v>1021</v>
      </c>
      <c r="AJ304" s="138"/>
      <c r="AK304" s="138" t="s">
        <v>1011</v>
      </c>
      <c r="AL304" s="138"/>
      <c r="AM304" s="138"/>
      <c r="AN304" s="138" t="s">
        <v>658</v>
      </c>
      <c r="AO304" s="138"/>
      <c r="AP304" s="138" t="s">
        <v>659</v>
      </c>
      <c r="AQ304" s="138"/>
      <c r="AR304" s="138" t="s">
        <v>1023</v>
      </c>
      <c r="AS304" s="138" t="s">
        <v>1022</v>
      </c>
      <c r="AT304" s="138"/>
      <c r="AU304" s="138"/>
      <c r="AV304" s="138"/>
      <c r="AW304" s="138" t="s">
        <v>681</v>
      </c>
      <c r="AX304" s="138" t="s">
        <v>702</v>
      </c>
      <c r="AY304" s="138" t="s">
        <v>703</v>
      </c>
      <c r="AZ304" s="138"/>
      <c r="BA304" s="138" t="s">
        <v>1024</v>
      </c>
      <c r="BB304" s="138"/>
      <c r="BC304" s="138"/>
      <c r="BD304" s="138"/>
      <c r="BE304" s="138" t="s">
        <v>661</v>
      </c>
      <c r="BF304" s="138" t="s">
        <v>707</v>
      </c>
      <c r="BG304" s="138"/>
      <c r="BH304" s="138" t="s">
        <v>691</v>
      </c>
      <c r="BI304" s="138" t="s">
        <v>683</v>
      </c>
      <c r="BJ304" s="138" t="s">
        <v>708</v>
      </c>
      <c r="BK304" s="138" t="s">
        <v>1012</v>
      </c>
      <c r="BL304" s="138" t="s">
        <v>1013</v>
      </c>
      <c r="BM304" s="138"/>
      <c r="BN304" s="138" t="s">
        <v>1014</v>
      </c>
      <c r="BO304" s="138"/>
      <c r="BP304" s="138"/>
      <c r="BQ304" s="138" t="s">
        <v>840</v>
      </c>
      <c r="BR304" s="138"/>
      <c r="BS304" s="138"/>
      <c r="BT304" s="138"/>
      <c r="BU304" s="138"/>
      <c r="BV304" s="138"/>
      <c r="BW304" s="131" t="str">
        <f t="shared" si="7"/>
        <v>PIsolation normaleCadre arrière inox avec fermeture intégrale par hayon élévateur et joint d'étanchéité caoutchouc en périphériePlaque acier galvanisée 150 mm x 150 mm sur paroi latérale à l'arrière droit pour télécommande filaire du hayonHauteur de passage 2030 mmPavillon isolé -AMENAGEMENTS : Revêtement extérieur et intérieur des parois en polyester blanc (RAL 9016)Protections bas de parois latérales et avant en inox hauteur 450 mm2 niveaux de rails d'arrimage acier galvanisé en applique sur 3 faces axés à 750 mm et 1400 mm du plancher4 sangles d'arrimage à tension manuellePlancher renforcé avec résine grise antidérapante2 siphons d'évacuationPlatelage d'entrée en tôle aluminium antidérapante profondeur 600 mm2 plafonniers LED avec détecteur de présenceTraverse arrière renforcée avec butoirs à rouleaux en acierCoffre à outils plastique grand modèleExtincteur 6 kg dans un coffre rouge indépendant positionné dans le porte à faux arrière gaucheAiles plastiques avec bavettesPares cyclistes latéraux relevablesFeux de gabarits arrière multifonctions en haut de cadrePhares de travail en haut de cadre (commandés à l'alimentation du hayon élévateur)2 feux de recul supplémentaires à l'arrière dans le châssisCaméra de recul positionnée en partie haute de cadre arrièreDéflecteur de cabine tridimensionnelFlèche de couleur rouge sur le montant de caisse avant gauche indiquant la hauteur hors toutTélématique SAMSARA pack ACCESS</v>
      </c>
      <c r="CF304" s="125"/>
      <c r="CG304" s="125"/>
      <c r="CH304" s="125"/>
      <c r="CI304" s="125"/>
      <c r="CJ304" s="125"/>
      <c r="CK304" s="125"/>
      <c r="CL304" s="125"/>
      <c r="CM304" s="125"/>
      <c r="CN304" s="125"/>
      <c r="CO304" s="125"/>
      <c r="CP304" s="125"/>
      <c r="CQ304" s="125"/>
      <c r="CX304" s="125"/>
      <c r="CY304" s="125"/>
      <c r="CZ304" s="125"/>
      <c r="DA304" s="125"/>
      <c r="DB304" s="125"/>
      <c r="DC304" s="125"/>
      <c r="DD304" s="125"/>
      <c r="DE304" s="125"/>
      <c r="DF304" s="125"/>
      <c r="DG304" s="125"/>
      <c r="DH304" s="125"/>
      <c r="DI304" s="125"/>
      <c r="DJ304" s="125"/>
      <c r="DK304" s="125"/>
      <c r="DL304" s="125"/>
      <c r="DM304" s="125"/>
      <c r="DN304" s="125"/>
      <c r="DO304" s="125"/>
      <c r="DP304" s="125"/>
      <c r="DQ304" s="125"/>
      <c r="DR304" s="125"/>
    </row>
    <row r="305" spans="1:122" ht="78.75" hidden="1" outlineLevel="1" x14ac:dyDescent="0.25">
      <c r="A305" s="134" t="s">
        <v>3114</v>
      </c>
      <c r="B305" s="134" t="s">
        <v>424</v>
      </c>
      <c r="C305" s="134"/>
      <c r="D305" s="134"/>
      <c r="E305" s="134"/>
      <c r="F305" s="134"/>
      <c r="G305" s="138"/>
      <c r="H305" s="138" t="s">
        <v>1025</v>
      </c>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1" t="str">
        <f t="shared" si="7"/>
        <v>OPorte latérale double battants largeur 1000 mm (2 x 500 mm) (sans rails d'arrimage) à 250 mm de l'arrière droit + étrier coulissant 3 marches (1ère marche large) avec 1 sangle montoire de chaque côté et buzzer en cabine (-76 kg CU)</v>
      </c>
      <c r="CF305" s="125"/>
      <c r="CG305" s="125"/>
      <c r="CH305" s="125"/>
      <c r="CI305" s="125"/>
      <c r="CJ305" s="125"/>
      <c r="CK305" s="125"/>
      <c r="CL305" s="125"/>
      <c r="CM305" s="125"/>
      <c r="CN305" s="125"/>
      <c r="CO305" s="125"/>
      <c r="CP305" s="125"/>
      <c r="CQ305" s="125"/>
    </row>
    <row r="306" spans="1:122" ht="135" hidden="1" outlineLevel="1" x14ac:dyDescent="0.25">
      <c r="A306" s="134" t="s">
        <v>3143</v>
      </c>
      <c r="B306" s="134" t="s">
        <v>32</v>
      </c>
      <c r="C306" s="138" t="s">
        <v>1018</v>
      </c>
      <c r="D306" s="138" t="s">
        <v>1019</v>
      </c>
      <c r="E306" s="138"/>
      <c r="F306" s="138"/>
      <c r="G306" s="138"/>
      <c r="H306" s="138"/>
      <c r="I306" s="138"/>
      <c r="J306" s="138"/>
      <c r="K306" s="138"/>
      <c r="L306" s="138"/>
      <c r="M306" s="138" t="s">
        <v>678</v>
      </c>
      <c r="N306" s="138"/>
      <c r="O306" s="138"/>
      <c r="P306" s="138"/>
      <c r="Q306" s="138"/>
      <c r="R306" s="138"/>
      <c r="S306" s="138"/>
      <c r="T306" s="138"/>
      <c r="U306" s="138"/>
      <c r="V306" s="138" t="s">
        <v>1020</v>
      </c>
      <c r="W306" s="138"/>
      <c r="X306" s="138"/>
      <c r="Y306" s="138" t="s">
        <v>1010</v>
      </c>
      <c r="Z306" s="138"/>
      <c r="AA306" s="138" t="s">
        <v>3026</v>
      </c>
      <c r="AB306" s="138" t="s">
        <v>635</v>
      </c>
      <c r="AC306" s="138" t="s">
        <v>636</v>
      </c>
      <c r="AD306" s="138"/>
      <c r="AE306" s="138"/>
      <c r="AF306" s="138"/>
      <c r="AG306" s="138"/>
      <c r="AH306" s="138"/>
      <c r="AI306" s="138" t="s">
        <v>1021</v>
      </c>
      <c r="AJ306" s="138"/>
      <c r="AK306" s="138" t="s">
        <v>1011</v>
      </c>
      <c r="AL306" s="138"/>
      <c r="AM306" s="138"/>
      <c r="AN306" s="138" t="s">
        <v>658</v>
      </c>
      <c r="AO306" s="138"/>
      <c r="AP306" s="138" t="s">
        <v>659</v>
      </c>
      <c r="AQ306" s="138"/>
      <c r="AR306" s="138" t="s">
        <v>1023</v>
      </c>
      <c r="AS306" s="138" t="s">
        <v>1022</v>
      </c>
      <c r="AT306" s="138"/>
      <c r="AU306" s="138"/>
      <c r="AV306" s="138"/>
      <c r="AW306" s="138" t="s">
        <v>776</v>
      </c>
      <c r="AX306" s="138" t="s">
        <v>702</v>
      </c>
      <c r="AY306" s="138" t="s">
        <v>703</v>
      </c>
      <c r="AZ306" s="138"/>
      <c r="BA306" s="138" t="s">
        <v>1024</v>
      </c>
      <c r="BB306" s="138"/>
      <c r="BC306" s="138"/>
      <c r="BD306" s="138"/>
      <c r="BE306" s="138" t="s">
        <v>661</v>
      </c>
      <c r="BF306" s="138" t="s">
        <v>707</v>
      </c>
      <c r="BG306" s="138"/>
      <c r="BH306" s="138" t="s">
        <v>691</v>
      </c>
      <c r="BI306" s="138" t="s">
        <v>683</v>
      </c>
      <c r="BJ306" s="138" t="s">
        <v>708</v>
      </c>
      <c r="BK306" s="138" t="s">
        <v>1012</v>
      </c>
      <c r="BL306" s="138" t="s">
        <v>1013</v>
      </c>
      <c r="BM306" s="138"/>
      <c r="BN306" s="138" t="s">
        <v>1014</v>
      </c>
      <c r="BO306" s="138"/>
      <c r="BP306" s="138"/>
      <c r="BQ306" s="138" t="s">
        <v>840</v>
      </c>
      <c r="BR306" s="138"/>
      <c r="BS306" s="138"/>
      <c r="BT306" s="138"/>
      <c r="BU306" s="138"/>
      <c r="BV306" s="138"/>
      <c r="BW306" s="131" t="str">
        <f t="shared" si="7"/>
        <v>PIsolation normaleCadre arrière inox avec fermeture intégrale par hayon élévateur et joint d'étanchéité caoutchouc en périphériePlaque acier galvanisée 150 mm x 150 mm sur paroi latérale à l'arrière droit pour télécommande filaire du hayonHauteur de passage 2030 mmPavillon isolé -AMENAGEMENTS : Revêtement extérieur et intérieur des parois en polyester blanc (RAL 9016)Protections bas de parois latérales et avant en inox hauteur 450 mm2 niveaux de rails d'arrimage acier galvanisé en applique sur 3 faces axés à 750 mm et 1400 mm du plancher4 sangles d'arrimage à tension manuellePlancher renforcé avec résine grise antidérapante2 siphons d'évacuationPlatelage d'entrée en tôle aluminium antidérapante profondeur 600 mm3 plafonniers LED avec détecteur de présenceTraverse arrière renforcée avec butoirs à rouleaux en acierCoffre à outils plastique grand modèleExtincteur 6 kg dans un coffre rouge indépendant positionné dans le porte à faux arrière gaucheAiles plastiques avec bavettesPares cyclistes latéraux relevablesFeux de gabarits arrière multifonctions en haut de cadrePhares de travail en haut de cadre (commandés à l'alimentation du hayon élévateur)2 feux de recul supplémentaires à l'arrière dans le châssisCaméra de recul positionnée en partie haute de cadre arrièreDéflecteur de cabine tridimensionnelFlèche de couleur rouge sur le montant de caisse avant gauche indiquant la hauteur hors toutTélématique SAMSARA pack ACCESS</v>
      </c>
      <c r="CF306" s="125"/>
      <c r="CG306" s="125"/>
      <c r="CH306" s="125"/>
      <c r="CI306" s="125"/>
      <c r="CJ306" s="125"/>
      <c r="CK306" s="125"/>
      <c r="CL306" s="125"/>
      <c r="CM306" s="125"/>
      <c r="CN306" s="125"/>
      <c r="CO306" s="125"/>
      <c r="CP306" s="125"/>
      <c r="CQ306" s="125"/>
      <c r="CX306" s="125"/>
      <c r="CY306" s="125"/>
      <c r="CZ306" s="125"/>
      <c r="DA306" s="125"/>
      <c r="DB306" s="125"/>
      <c r="DC306" s="125"/>
      <c r="DD306" s="125"/>
      <c r="DE306" s="125"/>
      <c r="DF306" s="125"/>
      <c r="DG306" s="125"/>
      <c r="DH306" s="125"/>
      <c r="DI306" s="125"/>
      <c r="DJ306" s="125"/>
      <c r="DK306" s="125"/>
      <c r="DL306" s="125"/>
      <c r="DM306" s="125"/>
      <c r="DN306" s="125"/>
      <c r="DO306" s="125"/>
      <c r="DP306" s="125"/>
      <c r="DQ306" s="125"/>
      <c r="DR306" s="125"/>
    </row>
    <row r="307" spans="1:122" ht="112.5" hidden="1" outlineLevel="1" x14ac:dyDescent="0.25">
      <c r="A307" s="131" t="s">
        <v>3071</v>
      </c>
      <c r="B307" s="134" t="s">
        <v>32</v>
      </c>
      <c r="C307" s="138" t="s">
        <v>693</v>
      </c>
      <c r="D307" s="138" t="s">
        <v>884</v>
      </c>
      <c r="E307" s="138" t="s">
        <v>628</v>
      </c>
      <c r="F307" s="138" t="s">
        <v>885</v>
      </c>
      <c r="G307" s="138" t="s">
        <v>696</v>
      </c>
      <c r="H307" s="138"/>
      <c r="I307" s="138" t="s">
        <v>697</v>
      </c>
      <c r="J307" s="138"/>
      <c r="K307" s="138"/>
      <c r="L307" s="138"/>
      <c r="M307" s="138"/>
      <c r="N307" s="138"/>
      <c r="O307" s="138"/>
      <c r="P307" s="138"/>
      <c r="Q307" s="138"/>
      <c r="R307" s="138"/>
      <c r="S307" s="138"/>
      <c r="T307" s="138"/>
      <c r="U307" s="138"/>
      <c r="V307" s="138"/>
      <c r="W307" s="138"/>
      <c r="X307" s="138"/>
      <c r="Y307" s="138"/>
      <c r="Z307" s="138"/>
      <c r="AA307" s="138" t="s">
        <v>3026</v>
      </c>
      <c r="AB307" s="138" t="s">
        <v>635</v>
      </c>
      <c r="AC307" s="138" t="s">
        <v>636</v>
      </c>
      <c r="AD307" s="138"/>
      <c r="AE307" s="138"/>
      <c r="AF307" s="138"/>
      <c r="AG307" s="138"/>
      <c r="AH307" s="138"/>
      <c r="AI307" s="138" t="s">
        <v>887</v>
      </c>
      <c r="AJ307" s="138"/>
      <c r="AK307" s="138" t="s">
        <v>888</v>
      </c>
      <c r="AL307" s="138"/>
      <c r="AM307" s="138"/>
      <c r="AN307" s="138" t="s">
        <v>658</v>
      </c>
      <c r="AO307" s="138" t="s">
        <v>889</v>
      </c>
      <c r="AP307" s="138" t="s">
        <v>659</v>
      </c>
      <c r="AQ307" s="138"/>
      <c r="AR307" s="138" t="s">
        <v>890</v>
      </c>
      <c r="AS307" s="138" t="s">
        <v>891</v>
      </c>
      <c r="AT307" s="138"/>
      <c r="AU307" s="138"/>
      <c r="AV307" s="138"/>
      <c r="AW307" s="138" t="s">
        <v>893</v>
      </c>
      <c r="AX307" s="138" t="s">
        <v>702</v>
      </c>
      <c r="AY307" s="138" t="s">
        <v>894</v>
      </c>
      <c r="AZ307" s="138" t="s">
        <v>895</v>
      </c>
      <c r="BA307" s="138" t="s">
        <v>896</v>
      </c>
      <c r="BB307" s="138"/>
      <c r="BC307" s="138"/>
      <c r="BD307" s="138"/>
      <c r="BE307" s="138" t="s">
        <v>661</v>
      </c>
      <c r="BF307" s="138" t="s">
        <v>707</v>
      </c>
      <c r="BG307" s="138"/>
      <c r="BH307" s="138" t="s">
        <v>691</v>
      </c>
      <c r="BI307" s="138" t="s">
        <v>685</v>
      </c>
      <c r="BJ307" s="138" t="s">
        <v>708</v>
      </c>
      <c r="BK307" s="138"/>
      <c r="BL307" s="138"/>
      <c r="BM307" s="138"/>
      <c r="BN307" s="138"/>
      <c r="BO307" s="138"/>
      <c r="BP307" s="138"/>
      <c r="BQ307" s="138" t="s">
        <v>840</v>
      </c>
      <c r="BR307" s="138"/>
      <c r="BS307" s="138"/>
      <c r="BT307" s="138"/>
      <c r="BU307" s="138"/>
      <c r="BV307" s="138"/>
      <c r="BW307" s="131" t="str">
        <f t="shared" si="7"/>
        <v>PIsolation renforcéeCadre arrière 2 vantaux ouverture totale1 crémone avec poignée sur chaque vantailEscabeau arrière coulissant 4 marches avec rampeArrêts de portes arrière à 270°Déverrouillage interne porte arrière droite avec clapet de protection -AMENAGEMENTS : Revêtement extérieur et intérieur des parois en polyester blanc (RAL 9016)Protections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l'ouverture de la porte)2 feux de recul supplémentaires à l'arrière dans le châssisTélématique SAMSARA pack ACCESS</v>
      </c>
      <c r="CF307" s="125"/>
      <c r="CG307" s="125"/>
      <c r="CH307" s="125"/>
      <c r="CI307" s="125"/>
      <c r="CJ307" s="125"/>
      <c r="CK307" s="125"/>
      <c r="CL307" s="125"/>
      <c r="CM307" s="125"/>
      <c r="CN307" s="125"/>
      <c r="CO307" s="125"/>
      <c r="CP307" s="125"/>
      <c r="CQ307" s="125"/>
      <c r="CX307" s="125"/>
      <c r="CY307" s="125"/>
      <c r="CZ307" s="125"/>
      <c r="DA307" s="125"/>
      <c r="DB307" s="125"/>
      <c r="DC307" s="125"/>
      <c r="DD307" s="125"/>
      <c r="DE307" s="125"/>
      <c r="DF307" s="125"/>
      <c r="DG307" s="125"/>
      <c r="DH307" s="125"/>
      <c r="DI307" s="125"/>
      <c r="DJ307" s="125"/>
      <c r="DK307" s="125"/>
      <c r="DL307" s="125"/>
      <c r="DM307" s="125"/>
      <c r="DN307" s="125"/>
      <c r="DO307" s="125"/>
      <c r="DP307" s="125"/>
      <c r="DQ307" s="125"/>
    </row>
    <row r="308" spans="1:122" ht="33.75" hidden="1" outlineLevel="1" x14ac:dyDescent="0.25">
      <c r="A308" s="131" t="s">
        <v>3072</v>
      </c>
      <c r="B308" s="134" t="s">
        <v>424</v>
      </c>
      <c r="C308" s="134"/>
      <c r="D308" s="134"/>
      <c r="E308" s="138" t="s">
        <v>900</v>
      </c>
      <c r="F308" s="138" t="s">
        <v>2971</v>
      </c>
      <c r="G308" s="138"/>
      <c r="H308" s="138"/>
      <c r="I308" s="138"/>
      <c r="J308" s="138" t="s">
        <v>901</v>
      </c>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1" t="str">
        <f t="shared" si="7"/>
        <v>ORideau relevable isotherme Smart Open-C (-150 kg CU)Label PIEK global (Caisse (-80 kg CU))1 niveau de rail d'arrimage en applique supplémentaire axé à ..... mm du plancher (-55 kg CU)</v>
      </c>
      <c r="CF308" s="125"/>
      <c r="CG308" s="125"/>
      <c r="CH308" s="125"/>
      <c r="CI308" s="125"/>
      <c r="CJ308" s="125"/>
      <c r="CK308" s="125"/>
      <c r="CL308" s="125"/>
      <c r="CM308" s="125"/>
      <c r="CN308" s="125"/>
      <c r="CO308" s="125"/>
      <c r="CP308" s="125"/>
      <c r="CQ308" s="125"/>
    </row>
    <row r="309" spans="1:122" ht="123.75" hidden="1" outlineLevel="1" x14ac:dyDescent="0.25">
      <c r="A309" s="131" t="s">
        <v>3163</v>
      </c>
      <c r="B309" s="134" t="s">
        <v>32</v>
      </c>
      <c r="C309" s="138" t="s">
        <v>693</v>
      </c>
      <c r="D309" s="138" t="s">
        <v>884</v>
      </c>
      <c r="E309" s="138" t="s">
        <v>628</v>
      </c>
      <c r="F309" s="138" t="s">
        <v>885</v>
      </c>
      <c r="G309" s="138" t="s">
        <v>696</v>
      </c>
      <c r="H309" s="138"/>
      <c r="I309" s="138" t="s">
        <v>697</v>
      </c>
      <c r="J309" s="138"/>
      <c r="K309" s="138"/>
      <c r="L309" s="138"/>
      <c r="M309" s="138"/>
      <c r="N309" s="138"/>
      <c r="O309" s="138"/>
      <c r="P309" s="138"/>
      <c r="Q309" s="138"/>
      <c r="R309" s="138"/>
      <c r="S309" s="138"/>
      <c r="T309" s="138"/>
      <c r="U309" s="138"/>
      <c r="V309" s="138"/>
      <c r="W309" s="138"/>
      <c r="X309" s="138"/>
      <c r="Y309" s="138"/>
      <c r="Z309" s="138"/>
      <c r="AA309" s="138" t="s">
        <v>3026</v>
      </c>
      <c r="AB309" s="138" t="s">
        <v>635</v>
      </c>
      <c r="AC309" s="138" t="s">
        <v>636</v>
      </c>
      <c r="AD309" s="138"/>
      <c r="AE309" s="138"/>
      <c r="AF309" s="138"/>
      <c r="AG309" s="138"/>
      <c r="AH309" s="138"/>
      <c r="AI309" s="138" t="s">
        <v>887</v>
      </c>
      <c r="AJ309" s="138"/>
      <c r="AK309" s="138" t="s">
        <v>888</v>
      </c>
      <c r="AL309" s="138"/>
      <c r="AM309" s="138"/>
      <c r="AN309" s="138" t="s">
        <v>658</v>
      </c>
      <c r="AO309" s="138" t="s">
        <v>889</v>
      </c>
      <c r="AP309" s="138" t="s">
        <v>659</v>
      </c>
      <c r="AQ309" s="138"/>
      <c r="AR309" s="138" t="s">
        <v>890</v>
      </c>
      <c r="AS309" s="138" t="s">
        <v>891</v>
      </c>
      <c r="AT309" s="138" t="s">
        <v>906</v>
      </c>
      <c r="AU309" s="138" t="s">
        <v>907</v>
      </c>
      <c r="AV309" s="138"/>
      <c r="AW309" s="138" t="s">
        <v>893</v>
      </c>
      <c r="AX309" s="138" t="s">
        <v>702</v>
      </c>
      <c r="AY309" s="138" t="s">
        <v>894</v>
      </c>
      <c r="AZ309" s="138" t="s">
        <v>895</v>
      </c>
      <c r="BA309" s="138" t="s">
        <v>896</v>
      </c>
      <c r="BB309" s="138"/>
      <c r="BC309" s="138"/>
      <c r="BD309" s="138"/>
      <c r="BE309" s="138" t="s">
        <v>661</v>
      </c>
      <c r="BF309" s="138" t="s">
        <v>707</v>
      </c>
      <c r="BG309" s="138"/>
      <c r="BH309" s="138" t="s">
        <v>691</v>
      </c>
      <c r="BI309" s="138" t="s">
        <v>685</v>
      </c>
      <c r="BJ309" s="138" t="s">
        <v>708</v>
      </c>
      <c r="BK309" s="138"/>
      <c r="BL309" s="138"/>
      <c r="BM309" s="138"/>
      <c r="BN309" s="138"/>
      <c r="BO309" s="138"/>
      <c r="BP309" s="138"/>
      <c r="BQ309" s="138" t="s">
        <v>840</v>
      </c>
      <c r="BR309" s="138"/>
      <c r="BS309" s="138"/>
      <c r="BT309" s="138"/>
      <c r="BU309" s="138"/>
      <c r="BV309" s="138"/>
      <c r="BW309" s="131" t="str">
        <f t="shared" si="7"/>
        <v>PIsolation renforcéeCadre arrière 2 vantaux ouverture totale1 crémone avec poignée sur chaque vantailEscabeau arrière coulissant 4 marches avec rampeArrêts de portes arrière à 270°Déverrouillage interne porte arrière droite avec clapet de protection -AMENAGEMENTS : Revêtement extérieur et intérieur des parois en polyester blanc (RAL 9016)Protections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mm12 rails verticaux encastrés pour double plancher23 poutres capacité 1000 kg pour double plancher4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l'ouverture de la porte)2 feux de recul supplémentaires à l'arrière dans le châssisTélématique SAMSARA pack ACCESS</v>
      </c>
      <c r="CF309" s="125"/>
      <c r="CG309" s="125"/>
      <c r="CH309" s="125"/>
      <c r="CI309" s="125"/>
      <c r="CJ309" s="125"/>
      <c r="CK309" s="125"/>
      <c r="CL309" s="125"/>
      <c r="CM309" s="125"/>
      <c r="CN309" s="125"/>
      <c r="CO309" s="125"/>
      <c r="CP309" s="125"/>
      <c r="CQ309" s="125"/>
      <c r="CX309" s="125"/>
      <c r="CY309" s="125"/>
      <c r="CZ309" s="125"/>
      <c r="DA309" s="125"/>
      <c r="DB309" s="125"/>
      <c r="DC309" s="125"/>
      <c r="DD309" s="125"/>
      <c r="DE309" s="125"/>
      <c r="DF309" s="125"/>
      <c r="DG309" s="125"/>
      <c r="DH309" s="125"/>
      <c r="DI309" s="125"/>
      <c r="DJ309" s="125"/>
      <c r="DK309" s="125"/>
      <c r="DL309" s="125"/>
      <c r="DM309" s="125"/>
      <c r="DN309" s="125"/>
      <c r="DO309" s="125"/>
    </row>
    <row r="310" spans="1:122" ht="45" hidden="1" outlineLevel="1" x14ac:dyDescent="0.25">
      <c r="A310" s="131" t="s">
        <v>3164</v>
      </c>
      <c r="B310" s="134" t="s">
        <v>424</v>
      </c>
      <c r="C310" s="134"/>
      <c r="D310" s="134"/>
      <c r="E310" s="138" t="s">
        <v>900</v>
      </c>
      <c r="F310" s="138" t="s">
        <v>2971</v>
      </c>
      <c r="G310" s="138"/>
      <c r="H310" s="138"/>
      <c r="I310" s="138"/>
      <c r="J310" s="138" t="s">
        <v>901</v>
      </c>
      <c r="K310" s="138"/>
      <c r="L310" s="138"/>
      <c r="M310" s="138"/>
      <c r="N310" s="138"/>
      <c r="O310" s="138"/>
      <c r="P310" s="138"/>
      <c r="Q310" s="138"/>
      <c r="R310" s="138" t="s">
        <v>908</v>
      </c>
      <c r="S310" s="138" t="s">
        <v>1009</v>
      </c>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1" t="str">
        <f t="shared" si="7"/>
        <v>ORideau relevable isotherme Smart Open-C (-150 kg CU)Label PIEK global (Caisse (-80 kg CU))1 niveau de rail d'arrimage en applique supplémentaire axé à ..... mm du plancher (-55 kg CU)Hauteur intérieure 2700 mm (hauteur hors tout 4120 mm avec hauteur d'attelage 1150 mm)Hauteur intérieure 2800 mm (hauteur hors tout 4220 mm avec hauteur d'attelage 1150 mm)</v>
      </c>
      <c r="CF310" s="125"/>
      <c r="CG310" s="125"/>
      <c r="CH310" s="125"/>
      <c r="CI310" s="125"/>
      <c r="CJ310" s="125"/>
      <c r="CK310" s="125"/>
      <c r="CL310" s="125"/>
      <c r="CM310" s="125"/>
      <c r="CN310" s="125"/>
      <c r="CO310" s="125"/>
      <c r="CP310" s="125"/>
      <c r="CQ310" s="125"/>
    </row>
    <row r="311" spans="1:122" ht="135" hidden="1" outlineLevel="1" x14ac:dyDescent="0.25">
      <c r="A311" s="131" t="s">
        <v>3073</v>
      </c>
      <c r="B311" s="134" t="s">
        <v>32</v>
      </c>
      <c r="C311" s="138" t="s">
        <v>693</v>
      </c>
      <c r="D311" s="138" t="s">
        <v>884</v>
      </c>
      <c r="E311" s="138" t="s">
        <v>628</v>
      </c>
      <c r="F311" s="138" t="s">
        <v>885</v>
      </c>
      <c r="G311" s="138" t="s">
        <v>696</v>
      </c>
      <c r="H311" s="138"/>
      <c r="I311" s="138" t="s">
        <v>697</v>
      </c>
      <c r="J311" s="138"/>
      <c r="K311" s="138"/>
      <c r="L311" s="138"/>
      <c r="M311" s="138" t="s">
        <v>678</v>
      </c>
      <c r="N311" s="138"/>
      <c r="O311" s="138"/>
      <c r="P311" s="138"/>
      <c r="Q311" s="138"/>
      <c r="R311" s="138"/>
      <c r="S311" s="138"/>
      <c r="T311" s="138"/>
      <c r="U311" s="138"/>
      <c r="V311" s="138"/>
      <c r="W311" s="138"/>
      <c r="X311" s="138"/>
      <c r="Y311" s="138"/>
      <c r="Z311" s="138"/>
      <c r="AA311" s="138" t="s">
        <v>3026</v>
      </c>
      <c r="AB311" s="138" t="s">
        <v>635</v>
      </c>
      <c r="AC311" s="138" t="s">
        <v>636</v>
      </c>
      <c r="AD311" s="138"/>
      <c r="AE311" s="138"/>
      <c r="AF311" s="138"/>
      <c r="AG311" s="138"/>
      <c r="AH311" s="138"/>
      <c r="AI311" s="138" t="s">
        <v>887</v>
      </c>
      <c r="AJ311" s="138"/>
      <c r="AK311" s="138" t="s">
        <v>888</v>
      </c>
      <c r="AL311" s="138"/>
      <c r="AM311" s="138"/>
      <c r="AN311" s="138" t="s">
        <v>658</v>
      </c>
      <c r="AO311" s="138" t="s">
        <v>889</v>
      </c>
      <c r="AP311" s="138" t="s">
        <v>659</v>
      </c>
      <c r="AQ311" s="138"/>
      <c r="AR311" s="138" t="s">
        <v>890</v>
      </c>
      <c r="AS311" s="138" t="s">
        <v>891</v>
      </c>
      <c r="AT311" s="138"/>
      <c r="AU311" s="138"/>
      <c r="AV311" s="138" t="s">
        <v>972</v>
      </c>
      <c r="AW311" s="138" t="s">
        <v>893</v>
      </c>
      <c r="AX311" s="138" t="s">
        <v>702</v>
      </c>
      <c r="AY311" s="138" t="s">
        <v>894</v>
      </c>
      <c r="AZ311" s="138" t="s">
        <v>895</v>
      </c>
      <c r="BA311" s="138" t="s">
        <v>896</v>
      </c>
      <c r="BB311" s="138" t="s">
        <v>897</v>
      </c>
      <c r="BC311" s="138"/>
      <c r="BD311" s="138"/>
      <c r="BE311" s="138" t="s">
        <v>661</v>
      </c>
      <c r="BF311" s="138" t="s">
        <v>707</v>
      </c>
      <c r="BG311" s="138"/>
      <c r="BH311" s="138" t="s">
        <v>691</v>
      </c>
      <c r="BI311" s="138" t="s">
        <v>683</v>
      </c>
      <c r="BJ311" s="138" t="s">
        <v>708</v>
      </c>
      <c r="BK311" s="138"/>
      <c r="BL311" s="138"/>
      <c r="BM311" s="138" t="s">
        <v>899</v>
      </c>
      <c r="BN311" s="138"/>
      <c r="BO311" s="138"/>
      <c r="BP311" s="138"/>
      <c r="BQ311" s="138" t="s">
        <v>644</v>
      </c>
      <c r="BR311" s="138"/>
      <c r="BS311" s="138"/>
      <c r="BT311" s="138"/>
      <c r="BU311" s="138"/>
      <c r="BV311" s="138"/>
      <c r="BW311" s="131" t="str">
        <f t="shared" si="7"/>
        <v>PIsolation renforcéeCadre arrière 2 vantaux ouverture totale1 crémone avec poignée sur chaque vantailEscabeau arrière coulissant 4 marches avec rampeArrêts de portes arrière à 270°Déverrouillage interne porte arrière droite avec clapet de protectionPlaque acier galvanisée 150 mm x 150 mm sur paroi latérale à l'arrière droit pour télécommande filaire du hayon -AMENAGEMENTS : Revêtement extérieur et intérieur des parois en polyester blanc (RAL 9016)Protections bas de parois latérales en aluminium hauteur 250 mm 1 niveau de rail d'arrimage acier galvanisé en applique sur parois latérales axé à 1200 mm du plancher4 sangles d'arrimage à tension manuelle2 poutres alu de calagePlancher renforcé avec résine grise antidérapante2 siphons d'évacuation à l'arrièrePlatelage aluminium antidérapant à l'arrière profondeur 1200 mmBuse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monotempérature</v>
      </c>
      <c r="CF311" s="125"/>
      <c r="CG311" s="125"/>
      <c r="CH311" s="125"/>
      <c r="CI311" s="125"/>
      <c r="CJ311" s="125"/>
      <c r="CK311" s="125"/>
      <c r="CL311" s="125"/>
      <c r="CM311" s="125"/>
      <c r="CN311" s="125"/>
      <c r="CO311" s="125"/>
      <c r="CP311" s="125"/>
      <c r="CQ311" s="125"/>
      <c r="CX311" s="125"/>
      <c r="CY311" s="125"/>
      <c r="CZ311" s="125"/>
      <c r="DA311" s="125"/>
      <c r="DB311" s="125"/>
      <c r="DC311" s="125"/>
      <c r="DD311" s="125"/>
      <c r="DE311" s="125"/>
      <c r="DF311" s="125"/>
      <c r="DG311" s="125"/>
      <c r="DH311" s="125"/>
      <c r="DI311" s="125"/>
      <c r="DJ311" s="125"/>
      <c r="DK311" s="125"/>
      <c r="DL311" s="125"/>
      <c r="DM311" s="125"/>
      <c r="DN311" s="125"/>
      <c r="DO311" s="125"/>
    </row>
    <row r="312" spans="1:122" ht="146.25" hidden="1" outlineLevel="1" x14ac:dyDescent="0.25">
      <c r="A312" s="131" t="s">
        <v>3162</v>
      </c>
      <c r="B312" s="134" t="s">
        <v>32</v>
      </c>
      <c r="C312" s="138" t="s">
        <v>693</v>
      </c>
      <c r="D312" s="138" t="s">
        <v>884</v>
      </c>
      <c r="E312" s="138" t="s">
        <v>628</v>
      </c>
      <c r="F312" s="138" t="s">
        <v>885</v>
      </c>
      <c r="G312" s="138" t="s">
        <v>696</v>
      </c>
      <c r="H312" s="138"/>
      <c r="I312" s="138" t="s">
        <v>697</v>
      </c>
      <c r="J312" s="138"/>
      <c r="K312" s="138"/>
      <c r="L312" s="138"/>
      <c r="M312" s="138" t="s">
        <v>678</v>
      </c>
      <c r="N312" s="138"/>
      <c r="O312" s="138"/>
      <c r="P312" s="138"/>
      <c r="Q312" s="138"/>
      <c r="R312" s="138"/>
      <c r="S312" s="138" t="s">
        <v>46</v>
      </c>
      <c r="T312" s="138"/>
      <c r="U312" s="138"/>
      <c r="V312" s="138"/>
      <c r="W312" s="138"/>
      <c r="X312" s="138"/>
      <c r="Y312" s="138"/>
      <c r="Z312" s="138"/>
      <c r="AA312" s="138" t="s">
        <v>3026</v>
      </c>
      <c r="AB312" s="138" t="s">
        <v>635</v>
      </c>
      <c r="AC312" s="138" t="s">
        <v>636</v>
      </c>
      <c r="AD312" s="138"/>
      <c r="AE312" s="138"/>
      <c r="AF312" s="138"/>
      <c r="AG312" s="138"/>
      <c r="AH312" s="138"/>
      <c r="AI312" s="138" t="s">
        <v>887</v>
      </c>
      <c r="AJ312" s="138"/>
      <c r="AK312" s="138" t="s">
        <v>904</v>
      </c>
      <c r="AL312" s="138" t="s">
        <v>905</v>
      </c>
      <c r="AM312" s="138"/>
      <c r="AN312" s="138" t="s">
        <v>658</v>
      </c>
      <c r="AO312" s="138"/>
      <c r="AP312" s="138" t="s">
        <v>659</v>
      </c>
      <c r="AQ312" s="138"/>
      <c r="AR312" s="138" t="s">
        <v>890</v>
      </c>
      <c r="AS312" s="138" t="s">
        <v>891</v>
      </c>
      <c r="AT312" s="138" t="s">
        <v>906</v>
      </c>
      <c r="AU312" s="138" t="s">
        <v>907</v>
      </c>
      <c r="AV312" s="138" t="s">
        <v>972</v>
      </c>
      <c r="AW312" s="138" t="s">
        <v>893</v>
      </c>
      <c r="AX312" s="138" t="s">
        <v>702</v>
      </c>
      <c r="AY312" s="138" t="s">
        <v>894</v>
      </c>
      <c r="AZ312" s="138" t="s">
        <v>895</v>
      </c>
      <c r="BA312" s="138" t="s">
        <v>896</v>
      </c>
      <c r="BB312" s="138" t="s">
        <v>897</v>
      </c>
      <c r="BC312" s="138"/>
      <c r="BD312" s="138"/>
      <c r="BE312" s="138" t="s">
        <v>661</v>
      </c>
      <c r="BF312" s="138" t="s">
        <v>707</v>
      </c>
      <c r="BG312" s="138"/>
      <c r="BH312" s="138" t="s">
        <v>691</v>
      </c>
      <c r="BI312" s="138" t="s">
        <v>683</v>
      </c>
      <c r="BJ312" s="138" t="s">
        <v>708</v>
      </c>
      <c r="BK312" s="138"/>
      <c r="BL312" s="138"/>
      <c r="BM312" s="138" t="s">
        <v>899</v>
      </c>
      <c r="BN312" s="138"/>
      <c r="BO312" s="138"/>
      <c r="BP312" s="138"/>
      <c r="BQ312" s="138" t="s">
        <v>644</v>
      </c>
      <c r="BR312" s="138"/>
      <c r="BS312" s="138"/>
      <c r="BT312" s="138"/>
      <c r="BU312" s="138"/>
      <c r="BV312" s="138"/>
      <c r="BW312" s="131" t="str">
        <f t="shared" si="7"/>
        <v>PIsolation renforcéeCadre arrière 2 vantaux ouverture totale1 crémone avec poignée sur chaque vantailEscabeau arrière coulissant 4 marches avec rampeArrêts de portes arrière à 270°Déverrouillage interne porte arrière droite avec clapet de protectionPlaque acier galvanisée 150 mm x 150 mm sur paroi latérale à l'arrière droit pour télécommande filaire du hayon -AMENAGEMENTS : Revêtement extérieur et intérieur des parois en polyester blanc (RAL 9016)Protections bas de parois latérales en aluminium hauteur 250 mm 1 niveau de rail d'arrimage acier galvanisé en applique sur parois latérales axé à 1400 mm du plancher1 niveau de rail d'arrimage acier galvanisé encastré sur parois latérales axé à 785 mm du plancher4 sangles d'arrimage à tension manuellePlancher renforcé avec résine grise antidérapante2 siphons d'évacuation à l'arrièrePlatelage aluminium antidérapant à l'arrière profondeur 1200 mm12 rails verticaux encastrés pour double plancher23 poutres capacité 1000 kg pour double plancherBuse de diffusion d'air avec 2 gaines au pavillon4 plafonniers LED avec détecteur de présenceTraverse arrière renforcée avec butoirs à rouleaux en acierCoffre à outils plastique grand modèle dans l'empattement gaucheCoffre porte document en face avantExtincteur 6 kg dans son coffreAiles plastiques avec bavettesPares cyclistes latéraux relevablesFeux de gabarits arrière multifonctions en haut de cadrePhares de travail en haut de cadre (commandés à l'alimentation du hayon élévateur)2 feux de recul supplémentaires à l'arrière dans le châssisGuides latéraux de protection du hayon élévateurTélématique SAMSARA pack PRO monotempérature</v>
      </c>
      <c r="CF312" s="125"/>
      <c r="CG312" s="125"/>
      <c r="CH312" s="125"/>
      <c r="CI312" s="125"/>
      <c r="CJ312" s="125"/>
      <c r="CK312" s="125"/>
      <c r="CL312" s="125"/>
      <c r="CM312" s="125"/>
      <c r="CN312" s="125"/>
      <c r="CO312" s="125"/>
      <c r="CP312" s="125"/>
      <c r="CQ312" s="125"/>
      <c r="CX312" s="125"/>
      <c r="CY312" s="125"/>
      <c r="CZ312" s="125"/>
      <c r="DA312" s="125"/>
      <c r="DB312" s="125"/>
      <c r="DC312" s="125"/>
      <c r="DD312" s="125"/>
      <c r="DE312" s="125"/>
      <c r="DF312" s="125"/>
      <c r="DG312" s="125"/>
      <c r="DH312" s="125"/>
      <c r="DI312" s="125"/>
      <c r="DJ312" s="125"/>
      <c r="DK312" s="125"/>
      <c r="DL312" s="125"/>
    </row>
    <row r="313" spans="1:122" collapsed="1" x14ac:dyDescent="0.25"/>
    <row r="318" spans="1:122" ht="23.25" x14ac:dyDescent="0.25">
      <c r="D318" s="188"/>
      <c r="E318" s="190"/>
      <c r="F318" s="188"/>
      <c r="G318" s="186"/>
      <c r="H318" s="187"/>
      <c r="I318" s="187"/>
      <c r="J318" s="187"/>
    </row>
    <row r="319" spans="1:122" ht="23.25" x14ac:dyDescent="0.25">
      <c r="D319" s="188"/>
      <c r="E319" s="190"/>
      <c r="F319" s="188"/>
      <c r="G319" s="186"/>
      <c r="H319" s="187"/>
      <c r="I319" s="187"/>
      <c r="J319" s="187"/>
    </row>
    <row r="320" spans="1:122" ht="23.25" x14ac:dyDescent="0.25">
      <c r="D320" s="188"/>
      <c r="E320" s="190"/>
      <c r="F320" s="188"/>
      <c r="G320" s="186"/>
      <c r="H320" s="187"/>
      <c r="I320" s="187"/>
      <c r="J320" s="187"/>
    </row>
    <row r="321" spans="4:10" ht="23.25" x14ac:dyDescent="0.25">
      <c r="D321" s="188"/>
      <c r="E321" s="190"/>
      <c r="F321" s="188"/>
      <c r="G321" s="186"/>
      <c r="H321" s="187"/>
      <c r="I321" s="187"/>
      <c r="J321" s="187"/>
    </row>
    <row r="322" spans="4:10" ht="23.25" x14ac:dyDescent="0.25">
      <c r="D322" s="188"/>
      <c r="E322" s="190"/>
      <c r="F322" s="188"/>
      <c r="G322" s="186"/>
      <c r="H322" s="187"/>
      <c r="I322" s="187"/>
      <c r="J322" s="187"/>
    </row>
    <row r="323" spans="4:10" ht="23.25" x14ac:dyDescent="0.25">
      <c r="D323" s="188"/>
      <c r="E323" s="190"/>
      <c r="F323" s="188"/>
      <c r="G323" s="186"/>
      <c r="H323" s="187"/>
      <c r="I323" s="187"/>
      <c r="J323" s="187"/>
    </row>
    <row r="324" spans="4:10" ht="23.25" x14ac:dyDescent="0.25">
      <c r="D324" s="188"/>
      <c r="E324" s="190"/>
      <c r="F324" s="188"/>
      <c r="G324" s="186"/>
      <c r="H324" s="187"/>
      <c r="I324" s="187"/>
      <c r="J324" s="187"/>
    </row>
    <row r="325" spans="4:10" ht="23.25" x14ac:dyDescent="0.25">
      <c r="D325" s="189"/>
      <c r="E325" s="191"/>
      <c r="F325" s="189"/>
      <c r="G325" s="186"/>
      <c r="H325" s="187"/>
      <c r="I325" s="187"/>
      <c r="J325" s="187"/>
    </row>
  </sheetData>
  <autoFilter ref="A1:DW312" xr:uid="{03DB0F2A-2FE3-48A7-89C2-811C9FA06292}"/>
  <phoneticPr fontId="24" type="noConversion"/>
  <conditionalFormatting sqref="A170">
    <cfRule type="duplicateValues" dxfId="11" priority="3"/>
    <cfRule type="duplicateValues" dxfId="10" priority="4"/>
  </conditionalFormatting>
  <conditionalFormatting sqref="A171">
    <cfRule type="duplicateValues" dxfId="9" priority="1"/>
    <cfRule type="duplicateValues" dxfId="8" priority="2"/>
  </conditionalFormatting>
  <conditionalFormatting sqref="A172:A1048576 A1:A169">
    <cfRule type="duplicateValues" dxfId="7" priority="3863"/>
  </conditionalFormatting>
  <conditionalFormatting sqref="BW172:BW1048576 BW1:BW169">
    <cfRule type="duplicateValues" dxfId="6" priority="81"/>
  </conditionalFormatting>
  <pageMargins left="0.70866141732283472" right="0.70866141732283472" top="0.74803149606299213" bottom="0.74803149606299213" header="0.31496062992125984" footer="0.31496062992125984"/>
  <pageSetup paperSize="9" scale="10" fitToWidth="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6BB6-F881-4553-AB01-2AFF7A9EE284}">
  <dimension ref="A1:AR136"/>
  <sheetViews>
    <sheetView zoomScale="70" zoomScaleNormal="70" workbookViewId="0">
      <pane xSplit="2" ySplit="1" topLeftCell="C2" activePane="bottomRight" state="frozen"/>
      <selection pane="topRight" activeCell="C1" sqref="C1"/>
      <selection pane="bottomLeft" activeCell="A2" sqref="A2"/>
      <selection pane="bottomRight" sqref="A1:A1048576"/>
    </sheetView>
  </sheetViews>
  <sheetFormatPr baseColWidth="10" defaultColWidth="11.42578125" defaultRowHeight="11.25" outlineLevelRow="2" outlineLevelCol="1" x14ac:dyDescent="0.2"/>
  <cols>
    <col min="1" max="1" width="30.7109375" style="97" customWidth="1"/>
    <col min="2" max="2" width="11.42578125" style="97"/>
    <col min="3" max="3" width="30" style="97" customWidth="1"/>
    <col min="4" max="4" width="22" style="97" customWidth="1"/>
    <col min="5" max="6" width="22" style="97" customWidth="1" outlineLevel="1"/>
    <col min="7" max="7" width="26.140625" style="97" customWidth="1"/>
    <col min="8" max="10" width="22" style="97" customWidth="1"/>
    <col min="11" max="11" width="25.85546875" style="97" customWidth="1"/>
    <col min="12" max="14" width="22" style="97" customWidth="1"/>
    <col min="15" max="15" width="24" style="97" customWidth="1"/>
    <col min="16" max="16" width="29" style="97" customWidth="1"/>
    <col min="17" max="34" width="22" style="97" customWidth="1"/>
    <col min="35" max="35" width="100.7109375" style="68" customWidth="1"/>
    <col min="36" max="16384" width="11.42578125" style="97"/>
  </cols>
  <sheetData>
    <row r="1" spans="1:35" s="127" customFormat="1" ht="49.9" customHeight="1" x14ac:dyDescent="0.25">
      <c r="A1" s="165" t="s">
        <v>2993</v>
      </c>
      <c r="B1" s="165" t="s">
        <v>2683</v>
      </c>
      <c r="C1" s="165" t="s">
        <v>2732</v>
      </c>
      <c r="D1" s="165" t="s">
        <v>2733</v>
      </c>
      <c r="E1" s="165" t="s">
        <v>2760</v>
      </c>
      <c r="F1" s="165" t="s">
        <v>2734</v>
      </c>
      <c r="G1" s="165" t="s">
        <v>2735</v>
      </c>
      <c r="H1" s="165" t="s">
        <v>2883</v>
      </c>
      <c r="I1" s="165" t="s">
        <v>2737</v>
      </c>
      <c r="J1" s="165" t="s">
        <v>2738</v>
      </c>
      <c r="K1" s="165" t="s">
        <v>2884</v>
      </c>
      <c r="L1" s="165" t="s">
        <v>2885</v>
      </c>
      <c r="M1" s="165" t="s">
        <v>2739</v>
      </c>
      <c r="N1" s="165" t="s">
        <v>2740</v>
      </c>
      <c r="O1" s="165" t="s">
        <v>2741</v>
      </c>
      <c r="P1" s="165" t="s">
        <v>2742</v>
      </c>
      <c r="Q1" s="165" t="s">
        <v>2743</v>
      </c>
      <c r="R1" s="165" t="s">
        <v>2745</v>
      </c>
      <c r="S1" s="165" t="s">
        <v>2744</v>
      </c>
      <c r="T1" s="165" t="s">
        <v>2746</v>
      </c>
      <c r="U1" s="167" t="s">
        <v>2747</v>
      </c>
      <c r="V1" s="167" t="s">
        <v>2748</v>
      </c>
      <c r="W1" s="167" t="s">
        <v>2749</v>
      </c>
      <c r="X1" s="167" t="s">
        <v>2750</v>
      </c>
      <c r="Y1" s="165" t="s">
        <v>2700</v>
      </c>
      <c r="Z1" s="167" t="s">
        <v>2751</v>
      </c>
      <c r="AA1" s="165" t="s">
        <v>2752</v>
      </c>
      <c r="AB1" s="165" t="s">
        <v>2753</v>
      </c>
      <c r="AC1" s="165" t="s">
        <v>2754</v>
      </c>
      <c r="AD1" s="165" t="s">
        <v>2755</v>
      </c>
      <c r="AE1" s="165" t="s">
        <v>2756</v>
      </c>
      <c r="AF1" s="165" t="s">
        <v>2757</v>
      </c>
      <c r="AG1" s="165" t="s">
        <v>2758</v>
      </c>
      <c r="AH1" s="165" t="s">
        <v>2759</v>
      </c>
      <c r="AI1" s="178" t="str">
        <f>CONCATENATE(B1,C1,D1,E1,F1,G1,H1,I1,J1,K1,L1,M1,N1,O1,P1,Q1,R1,S1,T1,U1,V1,W1,X1,Y1,Z1,AA1,AB1,AC1,AD1,AE1,AF1,AG1,AH1)</f>
        <v>Produit (P)
Produit (P) 
/ Option (O)Marque groupe
Marque Modèle Chauffage Classe froid
Sans optionModèle groupe
NA
Groupe 1Chauffage gaz chaud
NA
Enregistreur température 1Classe froid
NA
Groupe 2Type fonctionnement
Type Tension fonctionnement
Enregistreur température 2Tension de fonctionnement
NA
ThermomètreHauteur sous évaporateur
NA
Démarrage automatiqueType évaporateur Multitemp.
Réservoir GNR 
NABlue Box Lite  / BB Lite   / LYNX
Affichage numérique
NAEnregistreur de température
Commande Cab température
NAPuissance Frigorifique
Prise secteur / Rallonge
NADébit d'air
Rallonge
NAProtection évaporateur Av et Ar
Contact arrêt ventil. porte Ar
NA2 contact. arrêt ventil. (portes lat + AR) 
Contact arrêt ventil. porte Lat
NARéservoir à carburant
NA
NAzone libre 4
NA
Chargeur de batteries hayonzone libre 5
NA
NAzone libre 6
NA
NACommande cabine température
NA
NA1 câble 10 m avec 1 fiche mâle
NA
NATemps recharge
NA
NAAutonomie 
NA
NA_
NA
NAA la charge du Locataire : 1 prise
NA
NAzone libre 13
NA
NAzone libre 14
NA
NAzone libre 15
NA
NAzone libre 16
NA
NAzone libre 17
NA
NAzone libre 18
NA
NAzone libre 19
NA
NAzone libre 20
NA
NA</v>
      </c>
    </row>
    <row r="2" spans="1:35" s="96" customFormat="1" ht="22.5" outlineLevel="2" x14ac:dyDescent="0.25">
      <c r="A2" s="64" t="s">
        <v>4177</v>
      </c>
      <c r="B2" s="64" t="s">
        <v>424</v>
      </c>
      <c r="C2" s="64"/>
      <c r="D2" s="64"/>
      <c r="E2" s="64"/>
      <c r="F2" s="64"/>
      <c r="G2" s="64"/>
      <c r="H2" s="64"/>
      <c r="I2" s="64"/>
      <c r="J2" s="64"/>
      <c r="K2" s="64"/>
      <c r="L2" s="64" t="s">
        <v>4156</v>
      </c>
      <c r="M2" s="64"/>
      <c r="N2" s="64"/>
      <c r="O2" s="64"/>
      <c r="P2" s="64"/>
      <c r="Q2" s="64"/>
      <c r="R2" s="64"/>
      <c r="S2" s="64"/>
      <c r="T2" s="64"/>
      <c r="U2" s="69"/>
      <c r="V2" s="64"/>
      <c r="W2" s="64"/>
      <c r="X2" s="64"/>
      <c r="Y2" s="64"/>
      <c r="Z2" s="64"/>
      <c r="AA2" s="64"/>
      <c r="AB2" s="70"/>
      <c r="AC2" s="64"/>
      <c r="AD2" s="70"/>
      <c r="AE2" s="72"/>
      <c r="AF2" s="64"/>
      <c r="AG2" s="64"/>
      <c r="AH2" s="64"/>
    </row>
    <row r="3" spans="1:35" s="96" customFormat="1" ht="33.75" outlineLevel="2" x14ac:dyDescent="0.25">
      <c r="A3" s="64" t="s">
        <v>4178</v>
      </c>
      <c r="B3" s="64" t="s">
        <v>424</v>
      </c>
      <c r="C3" s="64"/>
      <c r="D3" s="64"/>
      <c r="E3" s="64"/>
      <c r="F3" s="64"/>
      <c r="G3" s="64"/>
      <c r="H3" s="64"/>
      <c r="I3" s="64"/>
      <c r="J3" s="64"/>
      <c r="K3" s="64"/>
      <c r="L3" s="64" t="s">
        <v>4156</v>
      </c>
      <c r="M3" s="64"/>
      <c r="N3" s="64"/>
      <c r="O3" s="64"/>
      <c r="P3" s="64"/>
      <c r="Q3" s="64"/>
      <c r="R3" s="64"/>
      <c r="S3" s="64"/>
      <c r="T3" s="64"/>
      <c r="U3" s="69"/>
      <c r="V3" s="64"/>
      <c r="W3" s="64"/>
      <c r="X3" s="64"/>
      <c r="Y3" s="64"/>
      <c r="Z3" s="64"/>
      <c r="AA3" s="64"/>
      <c r="AB3" s="70"/>
      <c r="AC3" s="64"/>
      <c r="AD3" s="70"/>
      <c r="AE3" s="72"/>
      <c r="AF3" s="64"/>
      <c r="AG3" s="64"/>
      <c r="AH3" s="64"/>
      <c r="AI3" s="69" t="str">
        <f t="shared" ref="AI3:AI39" si="0">CONCATENATE(B3,C3,D3,E3,F3,G3,H3,I3,J3,K3,L3,M3,N3,O3,P3,Q3,R3,S3,T3,U3,V3,W3,X3,Y3,Z3,AA3,AB3,AC3,AD3,AE3,AF3,AG3,AH3)</f>
        <v>OEnregistreur de température DATACOLD 300 R + imprimante</v>
      </c>
    </row>
    <row r="4" spans="1:35" s="66" customFormat="1" ht="45" outlineLevel="2" x14ac:dyDescent="0.25">
      <c r="A4" s="71" t="s">
        <v>4179</v>
      </c>
      <c r="B4" s="64" t="s">
        <v>424</v>
      </c>
      <c r="C4" s="64"/>
      <c r="D4" s="64"/>
      <c r="E4" s="64"/>
      <c r="F4" s="64"/>
      <c r="G4" s="64" t="s">
        <v>4157</v>
      </c>
      <c r="H4" s="64"/>
      <c r="I4" s="64" t="s">
        <v>4158</v>
      </c>
      <c r="J4" s="64" t="s">
        <v>4159</v>
      </c>
      <c r="K4" s="64"/>
      <c r="L4" s="64" t="s">
        <v>4160</v>
      </c>
      <c r="M4" s="64"/>
      <c r="N4" s="64"/>
      <c r="O4" s="64"/>
      <c r="P4" s="64"/>
      <c r="Q4" s="64"/>
      <c r="R4" s="64"/>
      <c r="S4" s="64"/>
      <c r="T4" s="64"/>
      <c r="U4" s="69"/>
      <c r="V4" s="64"/>
      <c r="W4" s="70"/>
      <c r="X4" s="64"/>
      <c r="Y4" s="71"/>
      <c r="Z4" s="64"/>
      <c r="AA4" s="64"/>
      <c r="AB4" s="64"/>
      <c r="AC4" s="64"/>
      <c r="AD4" s="64"/>
      <c r="AE4" s="64"/>
      <c r="AF4" s="64"/>
      <c r="AG4" s="64"/>
      <c r="AH4" s="64"/>
      <c r="AI4" s="69" t="str">
        <f t="shared" si="0"/>
        <v>OPULSOR 400  / R452A (220 V Monophasé) au lieu du XARIOS 350T / R452A (220 V Monophasé) - (CU : sans incidence)PULSOR 500 / R452A (220 V Monophasé) au lieu du XARIOS 350T / R452A (220 V Monophasé) - (CU : 35 kg)XARIOS 600T / R452A (380 V Triphasé) au lieu du XARIOS 350T / R452A (220 V Monophasé) - (CU : 84 kg)Enregistreur de T° électronique avec imprimante TOUCH PRINT premium VP</v>
      </c>
    </row>
    <row r="5" spans="1:35" s="66" customFormat="1" ht="22.5" outlineLevel="2" x14ac:dyDescent="0.25">
      <c r="A5" s="64" t="s">
        <v>4180</v>
      </c>
      <c r="B5" s="64" t="s">
        <v>424</v>
      </c>
      <c r="C5" s="64"/>
      <c r="D5" s="64"/>
      <c r="E5" s="64"/>
      <c r="F5" s="64"/>
      <c r="G5" s="64"/>
      <c r="H5" s="64"/>
      <c r="I5" s="64"/>
      <c r="J5" s="64"/>
      <c r="K5" s="64"/>
      <c r="L5" s="64" t="s">
        <v>4156</v>
      </c>
      <c r="M5" s="64"/>
      <c r="N5" s="64"/>
      <c r="O5" s="64"/>
      <c r="P5" s="64"/>
      <c r="Q5" s="64"/>
      <c r="R5" s="64"/>
      <c r="S5" s="71"/>
      <c r="T5" s="64"/>
      <c r="U5" s="69"/>
      <c r="V5" s="64"/>
      <c r="W5" s="64"/>
      <c r="X5" s="64"/>
      <c r="Y5" s="71"/>
      <c r="Z5" s="64"/>
      <c r="AA5" s="71"/>
      <c r="AB5" s="70"/>
      <c r="AC5" s="71"/>
      <c r="AD5" s="71"/>
      <c r="AE5" s="72"/>
      <c r="AF5" s="71"/>
      <c r="AG5" s="71"/>
      <c r="AH5" s="71"/>
      <c r="AI5" s="69" t="str">
        <f t="shared" si="0"/>
        <v>OEnregistreur de température DATACOLD 300 R + imprimante</v>
      </c>
    </row>
    <row r="6" spans="1:35" s="66" customFormat="1" ht="33.75" outlineLevel="2" x14ac:dyDescent="0.25">
      <c r="A6" s="64" t="s">
        <v>4181</v>
      </c>
      <c r="B6" s="64" t="s">
        <v>424</v>
      </c>
      <c r="C6" s="64"/>
      <c r="D6" s="64"/>
      <c r="E6" s="64"/>
      <c r="F6" s="64"/>
      <c r="G6" s="64"/>
      <c r="H6" s="64"/>
      <c r="I6" s="64"/>
      <c r="J6" s="71"/>
      <c r="K6" s="64"/>
      <c r="L6" s="64" t="s">
        <v>4161</v>
      </c>
      <c r="M6" s="64"/>
      <c r="N6" s="64"/>
      <c r="O6" s="64"/>
      <c r="P6" s="64"/>
      <c r="Q6" s="64"/>
      <c r="R6" s="64"/>
      <c r="S6" s="64"/>
      <c r="T6" s="64"/>
      <c r="U6" s="69"/>
      <c r="V6" s="64"/>
      <c r="W6" s="64"/>
      <c r="X6" s="64"/>
      <c r="Y6" s="64"/>
      <c r="Z6" s="64"/>
      <c r="AA6" s="71"/>
      <c r="AB6" s="70"/>
      <c r="AC6" s="71"/>
      <c r="AD6" s="71"/>
      <c r="AE6" s="71"/>
      <c r="AF6" s="71"/>
      <c r="AG6" s="71"/>
      <c r="AH6" s="71"/>
      <c r="AI6" s="69" t="str">
        <f t="shared" si="0"/>
        <v>OEnregistreur de température Touchlog Prémium avec imprimante</v>
      </c>
    </row>
    <row r="7" spans="1:35" s="66" customFormat="1" ht="67.5" outlineLevel="2" x14ac:dyDescent="0.25">
      <c r="A7" s="64" t="s">
        <v>4182</v>
      </c>
      <c r="B7" s="64" t="s">
        <v>424</v>
      </c>
      <c r="C7" s="64"/>
      <c r="D7" s="64"/>
      <c r="E7" s="64"/>
      <c r="F7" s="64"/>
      <c r="G7" s="64" t="s">
        <v>4162</v>
      </c>
      <c r="H7" s="64"/>
      <c r="I7" s="64"/>
      <c r="J7" s="71"/>
      <c r="K7" s="64"/>
      <c r="L7" s="64" t="s">
        <v>4163</v>
      </c>
      <c r="M7" s="64"/>
      <c r="N7" s="64"/>
      <c r="O7" s="64"/>
      <c r="P7" s="64"/>
      <c r="Q7" s="64"/>
      <c r="R7" s="64"/>
      <c r="S7" s="64"/>
      <c r="T7" s="64"/>
      <c r="U7" s="69"/>
      <c r="V7" s="64"/>
      <c r="W7" s="64"/>
      <c r="X7" s="64"/>
      <c r="Y7" s="64"/>
      <c r="Z7" s="64"/>
      <c r="AA7" s="71"/>
      <c r="AB7" s="70"/>
      <c r="AC7" s="71"/>
      <c r="AD7" s="71"/>
      <c r="AE7" s="71"/>
      <c r="AF7" s="71"/>
      <c r="AG7" s="71"/>
      <c r="AH7" s="71"/>
      <c r="AI7" s="69" t="str">
        <f t="shared" si="0"/>
        <v>OCARRIER PULSOR 500 eCool à la place du TK E-500 ==&gt; Implique une hauteur intérieur de 2000 mm (CU : -40 kg)Enregistreur de température Touchlog Prémium avec imprimante (Enregistreur de température DATACOLD 300 R + imprimante avec Groupe CARRIER)</v>
      </c>
    </row>
    <row r="8" spans="1:35" s="66" customFormat="1" ht="22.5" outlineLevel="2" x14ac:dyDescent="0.25">
      <c r="A8" s="64" t="s">
        <v>4183</v>
      </c>
      <c r="B8" s="64" t="s">
        <v>424</v>
      </c>
      <c r="C8" s="64"/>
      <c r="D8" s="64"/>
      <c r="E8" s="64"/>
      <c r="F8" s="64"/>
      <c r="G8" s="64"/>
      <c r="H8" s="64"/>
      <c r="I8" s="64"/>
      <c r="J8" s="71"/>
      <c r="K8" s="64"/>
      <c r="L8" s="64" t="s">
        <v>4164</v>
      </c>
      <c r="M8" s="64"/>
      <c r="N8" s="64"/>
      <c r="O8" s="64"/>
      <c r="P8" s="64"/>
      <c r="Q8" s="64"/>
      <c r="R8" s="64"/>
      <c r="S8" s="64"/>
      <c r="T8" s="64"/>
      <c r="U8" s="69"/>
      <c r="V8" s="64"/>
      <c r="W8" s="64"/>
      <c r="X8" s="64"/>
      <c r="Y8" s="64"/>
      <c r="Z8" s="64"/>
      <c r="AA8" s="71"/>
      <c r="AB8" s="70"/>
      <c r="AC8" s="71"/>
      <c r="AD8" s="71"/>
      <c r="AE8" s="71"/>
      <c r="AF8" s="71"/>
      <c r="AG8" s="71"/>
      <c r="AH8" s="71"/>
      <c r="AI8" s="69" t="str">
        <f t="shared" si="0"/>
        <v>OEnregistreur de température DATACOLD 600 R + Imprimante</v>
      </c>
    </row>
    <row r="9" spans="1:35" s="66" customFormat="1" ht="67.5" outlineLevel="2" x14ac:dyDescent="0.25">
      <c r="A9" s="64" t="s">
        <v>4184</v>
      </c>
      <c r="B9" s="64" t="s">
        <v>424</v>
      </c>
      <c r="C9" s="64"/>
      <c r="D9" s="64"/>
      <c r="E9" s="64"/>
      <c r="F9" s="64"/>
      <c r="G9" s="64" t="s">
        <v>4165</v>
      </c>
      <c r="H9" s="64"/>
      <c r="I9" s="64" t="s">
        <v>4166</v>
      </c>
      <c r="J9" s="64"/>
      <c r="K9" s="64"/>
      <c r="L9" s="64" t="s">
        <v>4163</v>
      </c>
      <c r="M9" s="64"/>
      <c r="N9" s="64"/>
      <c r="O9" s="64"/>
      <c r="P9" s="64"/>
      <c r="Q9" s="64"/>
      <c r="R9" s="64"/>
      <c r="S9" s="64"/>
      <c r="T9" s="64"/>
      <c r="U9" s="69"/>
      <c r="V9" s="64"/>
      <c r="W9" s="64"/>
      <c r="X9" s="64"/>
      <c r="Y9" s="64"/>
      <c r="Z9" s="64"/>
      <c r="AA9" s="64"/>
      <c r="AB9" s="64"/>
      <c r="AC9" s="64"/>
      <c r="AD9" s="64"/>
      <c r="AE9" s="64"/>
      <c r="AF9" s="64"/>
      <c r="AG9" s="64"/>
      <c r="AH9" s="64"/>
      <c r="AI9" s="69" t="str">
        <f t="shared" si="0"/>
        <v>OCARIIER PULSOR 400 à la place du TK V300MAX-50 (CU : 0 kg)CARRIER XARIOS 350T à la place du TK V300MAX-50 (CU : -30 kg)Enregistreur de température Touchlog Prémium avec imprimante (Enregistreur de température DATACOLD 300 R + imprimante avec Groupe CARRIER)</v>
      </c>
    </row>
    <row r="10" spans="1:35" s="66" customFormat="1" ht="22.5" outlineLevel="2" x14ac:dyDescent="0.25">
      <c r="A10" s="64" t="s">
        <v>4185</v>
      </c>
      <c r="B10" s="64" t="s">
        <v>424</v>
      </c>
      <c r="C10" s="64"/>
      <c r="D10" s="64"/>
      <c r="E10" s="64"/>
      <c r="F10" s="64"/>
      <c r="G10" s="64" t="s">
        <v>4167</v>
      </c>
      <c r="H10" s="64"/>
      <c r="I10" s="64"/>
      <c r="J10" s="64"/>
      <c r="K10" s="64"/>
      <c r="L10" s="64" t="s">
        <v>4156</v>
      </c>
      <c r="M10" s="64"/>
      <c r="N10" s="64"/>
      <c r="O10" s="64"/>
      <c r="P10" s="64"/>
      <c r="Q10" s="64"/>
      <c r="R10" s="64"/>
      <c r="S10" s="64"/>
      <c r="T10" s="64"/>
      <c r="U10" s="69"/>
      <c r="V10" s="64"/>
      <c r="W10" s="64"/>
      <c r="X10" s="64"/>
      <c r="Y10" s="64"/>
      <c r="Z10" s="64"/>
      <c r="AA10" s="64"/>
      <c r="AB10" s="64"/>
      <c r="AC10" s="64"/>
      <c r="AD10" s="64"/>
      <c r="AE10" s="64"/>
      <c r="AF10" s="64"/>
      <c r="AG10" s="64"/>
      <c r="AH10" s="64"/>
      <c r="AI10" s="69" t="str">
        <f t="shared" si="0"/>
        <v>OCARRIER PULSOR 400 à la place du CARRIER XARIOS 350T (CU : 0 kg)Enregistreur de température DATACOLD 300 R + imprimante</v>
      </c>
    </row>
    <row r="11" spans="1:35" s="96" customFormat="1" ht="22.5" outlineLevel="2" x14ac:dyDescent="0.25">
      <c r="A11" s="64" t="s">
        <v>4186</v>
      </c>
      <c r="B11" s="64" t="s">
        <v>424</v>
      </c>
      <c r="C11" s="64"/>
      <c r="D11" s="64"/>
      <c r="E11" s="64"/>
      <c r="F11" s="64"/>
      <c r="G11" s="64"/>
      <c r="H11" s="64"/>
      <c r="I11" s="64"/>
      <c r="J11" s="64"/>
      <c r="K11" s="64"/>
      <c r="L11" s="64" t="s">
        <v>4156</v>
      </c>
      <c r="M11" s="64"/>
      <c r="N11" s="64"/>
      <c r="O11" s="64"/>
      <c r="P11" s="64"/>
      <c r="Q11" s="64"/>
      <c r="R11" s="64"/>
      <c r="S11" s="64"/>
      <c r="T11" s="64"/>
      <c r="U11" s="69"/>
      <c r="V11" s="64"/>
      <c r="W11" s="64"/>
      <c r="X11" s="64"/>
      <c r="Y11" s="64"/>
      <c r="Z11" s="64"/>
      <c r="AA11" s="64"/>
      <c r="AB11" s="64"/>
      <c r="AC11" s="64"/>
      <c r="AD11" s="64"/>
      <c r="AE11" s="64"/>
      <c r="AF11" s="64"/>
      <c r="AG11" s="64"/>
      <c r="AH11" s="64"/>
      <c r="AI11" s="69" t="str">
        <f t="shared" si="0"/>
        <v>OEnregistreur de température DATACOLD 300 R + imprimante</v>
      </c>
    </row>
    <row r="12" spans="1:35" s="66" customFormat="1" ht="22.5" outlineLevel="2" x14ac:dyDescent="0.25">
      <c r="A12" s="64" t="s">
        <v>4187</v>
      </c>
      <c r="B12" s="64" t="s">
        <v>424</v>
      </c>
      <c r="C12" s="64"/>
      <c r="D12" s="64"/>
      <c r="E12" s="64"/>
      <c r="F12" s="64"/>
      <c r="G12" s="64"/>
      <c r="H12" s="64"/>
      <c r="I12" s="64"/>
      <c r="J12" s="64"/>
      <c r="K12" s="64"/>
      <c r="L12" s="64" t="s">
        <v>4156</v>
      </c>
      <c r="M12" s="64"/>
      <c r="N12" s="64"/>
      <c r="O12" s="64"/>
      <c r="P12" s="64"/>
      <c r="Q12" s="64"/>
      <c r="R12" s="64"/>
      <c r="S12" s="71"/>
      <c r="T12" s="64"/>
      <c r="U12" s="69"/>
      <c r="V12" s="64"/>
      <c r="W12" s="64"/>
      <c r="X12" s="64"/>
      <c r="Y12" s="71"/>
      <c r="Z12" s="64"/>
      <c r="AA12" s="71"/>
      <c r="AB12" s="70"/>
      <c r="AC12" s="71"/>
      <c r="AD12" s="71"/>
      <c r="AE12" s="71"/>
      <c r="AF12" s="71"/>
      <c r="AG12" s="71"/>
      <c r="AH12" s="71"/>
      <c r="AI12" s="69" t="str">
        <f t="shared" si="0"/>
        <v>OEnregistreur de température DATACOLD 300 R + imprimante</v>
      </c>
    </row>
    <row r="13" spans="1:35" s="66" customFormat="1" ht="22.5" outlineLevel="2" x14ac:dyDescent="0.25">
      <c r="A13" s="64" t="s">
        <v>4188</v>
      </c>
      <c r="B13" s="64" t="s">
        <v>424</v>
      </c>
      <c r="C13" s="64"/>
      <c r="D13" s="64"/>
      <c r="E13" s="64"/>
      <c r="F13" s="64"/>
      <c r="G13" s="64"/>
      <c r="H13" s="64"/>
      <c r="I13" s="64"/>
      <c r="J13" s="64"/>
      <c r="K13" s="64"/>
      <c r="L13" s="64" t="s">
        <v>4156</v>
      </c>
      <c r="M13" s="64"/>
      <c r="N13" s="64"/>
      <c r="O13" s="64"/>
      <c r="P13" s="64"/>
      <c r="Q13" s="64"/>
      <c r="R13" s="64"/>
      <c r="S13" s="71"/>
      <c r="T13" s="64"/>
      <c r="U13" s="69"/>
      <c r="V13" s="64"/>
      <c r="W13" s="64"/>
      <c r="X13" s="64"/>
      <c r="Y13" s="71"/>
      <c r="Z13" s="64"/>
      <c r="AA13" s="71"/>
      <c r="AB13" s="70"/>
      <c r="AC13" s="71"/>
      <c r="AD13" s="71"/>
      <c r="AE13" s="71"/>
      <c r="AF13" s="71"/>
      <c r="AG13" s="71"/>
      <c r="AH13" s="71"/>
      <c r="AI13" s="69" t="str">
        <f t="shared" si="0"/>
        <v>OEnregistreur de température DATACOLD 300 R + imprimante</v>
      </c>
    </row>
    <row r="14" spans="1:35" s="66" customFormat="1" ht="33.75" outlineLevel="2" x14ac:dyDescent="0.25">
      <c r="A14" s="64" t="s">
        <v>4189</v>
      </c>
      <c r="B14" s="64" t="s">
        <v>424</v>
      </c>
      <c r="C14" s="64"/>
      <c r="D14" s="64"/>
      <c r="E14" s="64"/>
      <c r="F14" s="64"/>
      <c r="G14" s="64"/>
      <c r="H14" s="64"/>
      <c r="I14" s="64"/>
      <c r="J14" s="64"/>
      <c r="K14" s="64"/>
      <c r="L14" s="64" t="s">
        <v>4156</v>
      </c>
      <c r="M14" s="64"/>
      <c r="N14" s="64"/>
      <c r="O14" s="64"/>
      <c r="P14" s="64"/>
      <c r="Q14" s="64"/>
      <c r="R14" s="64"/>
      <c r="S14" s="71"/>
      <c r="T14" s="64"/>
      <c r="U14" s="69"/>
      <c r="V14" s="64"/>
      <c r="W14" s="64"/>
      <c r="X14" s="64"/>
      <c r="Y14" s="71"/>
      <c r="Z14" s="64"/>
      <c r="AA14" s="71"/>
      <c r="AB14" s="70"/>
      <c r="AC14" s="71"/>
      <c r="AD14" s="71"/>
      <c r="AE14" s="71"/>
      <c r="AF14" s="71"/>
      <c r="AG14" s="71"/>
      <c r="AH14" s="71"/>
      <c r="AI14" s="69" t="str">
        <f t="shared" si="0"/>
        <v>OEnregistreur de température DATACOLD 300 R + imprimante</v>
      </c>
    </row>
    <row r="15" spans="1:35" s="96" customFormat="1" ht="33.75" outlineLevel="2" x14ac:dyDescent="0.25">
      <c r="A15" s="64" t="s">
        <v>4190</v>
      </c>
      <c r="B15" s="64" t="s">
        <v>424</v>
      </c>
      <c r="C15" s="64"/>
      <c r="D15" s="64"/>
      <c r="E15" s="64"/>
      <c r="F15" s="64"/>
      <c r="G15" s="64"/>
      <c r="H15" s="64"/>
      <c r="I15" s="64"/>
      <c r="J15" s="64"/>
      <c r="K15" s="64"/>
      <c r="L15" s="64" t="s">
        <v>4156</v>
      </c>
      <c r="M15" s="64"/>
      <c r="N15" s="64"/>
      <c r="O15" s="64"/>
      <c r="P15" s="64"/>
      <c r="Q15" s="64"/>
      <c r="R15" s="64"/>
      <c r="S15" s="64"/>
      <c r="T15" s="64"/>
      <c r="U15" s="69"/>
      <c r="V15" s="64"/>
      <c r="W15" s="64"/>
      <c r="X15" s="64"/>
      <c r="Y15" s="64"/>
      <c r="Z15" s="64"/>
      <c r="AA15" s="64"/>
      <c r="AB15" s="70"/>
      <c r="AC15" s="64"/>
      <c r="AD15" s="64"/>
      <c r="AE15" s="72"/>
      <c r="AF15" s="64"/>
      <c r="AG15" s="64"/>
      <c r="AH15" s="64"/>
      <c r="AI15" s="69" t="str">
        <f t="shared" si="0"/>
        <v>OEnregistreur de température DATACOLD 300 R + imprimante</v>
      </c>
    </row>
    <row r="16" spans="1:35" s="66" customFormat="1" ht="22.5" outlineLevel="2" x14ac:dyDescent="0.25">
      <c r="A16" s="64" t="s">
        <v>4191</v>
      </c>
      <c r="B16" s="64" t="s">
        <v>424</v>
      </c>
      <c r="C16" s="64"/>
      <c r="D16" s="64"/>
      <c r="E16" s="64"/>
      <c r="F16" s="64"/>
      <c r="G16" s="64"/>
      <c r="H16" s="64"/>
      <c r="I16" s="64"/>
      <c r="J16" s="64"/>
      <c r="K16" s="64"/>
      <c r="L16" s="64" t="s">
        <v>4156</v>
      </c>
      <c r="M16" s="64"/>
      <c r="N16" s="64"/>
      <c r="O16" s="64"/>
      <c r="P16" s="64"/>
      <c r="Q16" s="64"/>
      <c r="R16" s="64"/>
      <c r="S16" s="71"/>
      <c r="T16" s="64"/>
      <c r="U16" s="69"/>
      <c r="V16" s="64"/>
      <c r="W16" s="64"/>
      <c r="X16" s="64"/>
      <c r="Y16" s="71"/>
      <c r="Z16" s="64"/>
      <c r="AA16" s="71"/>
      <c r="AB16" s="71"/>
      <c r="AC16" s="71"/>
      <c r="AD16" s="71"/>
      <c r="AE16" s="71"/>
      <c r="AF16" s="71"/>
      <c r="AG16" s="71"/>
      <c r="AH16" s="71"/>
      <c r="AI16" s="69" t="str">
        <f t="shared" si="0"/>
        <v>OEnregistreur de température DATACOLD 300 R + imprimante</v>
      </c>
    </row>
    <row r="17" spans="1:35" s="96" customFormat="1" ht="33.75" outlineLevel="2" x14ac:dyDescent="0.25">
      <c r="A17" s="73" t="s">
        <v>4192</v>
      </c>
      <c r="B17" s="64" t="s">
        <v>424</v>
      </c>
      <c r="C17" s="64"/>
      <c r="D17" s="64"/>
      <c r="E17" s="64"/>
      <c r="F17" s="64"/>
      <c r="G17" s="64"/>
      <c r="H17" s="64"/>
      <c r="I17" s="64"/>
      <c r="J17" s="64"/>
      <c r="K17" s="64"/>
      <c r="L17" s="64" t="s">
        <v>4156</v>
      </c>
      <c r="M17" s="64"/>
      <c r="N17" s="64"/>
      <c r="O17" s="64"/>
      <c r="P17" s="64"/>
      <c r="Q17" s="64"/>
      <c r="R17" s="64"/>
      <c r="S17" s="64"/>
      <c r="T17" s="64"/>
      <c r="U17" s="69"/>
      <c r="V17" s="64"/>
      <c r="W17" s="64"/>
      <c r="X17" s="64"/>
      <c r="Y17" s="64"/>
      <c r="Z17" s="64"/>
      <c r="AA17" s="64"/>
      <c r="AB17" s="70"/>
      <c r="AC17" s="64"/>
      <c r="AD17" s="64"/>
      <c r="AE17" s="72"/>
      <c r="AF17" s="64"/>
      <c r="AG17" s="64"/>
      <c r="AH17" s="64"/>
      <c r="AI17" s="69" t="str">
        <f t="shared" si="0"/>
        <v>OEnregistreur de température DATACOLD 300 R + imprimante</v>
      </c>
    </row>
    <row r="18" spans="1:35" s="96" customFormat="1" ht="33.75" outlineLevel="2" x14ac:dyDescent="0.25">
      <c r="A18" s="71" t="s">
        <v>3307</v>
      </c>
      <c r="B18" s="64" t="s">
        <v>424</v>
      </c>
      <c r="C18" s="64"/>
      <c r="D18" s="64"/>
      <c r="E18" s="64"/>
      <c r="F18" s="64"/>
      <c r="G18" s="64"/>
      <c r="H18" s="64"/>
      <c r="I18" s="64"/>
      <c r="J18" s="64"/>
      <c r="K18" s="64"/>
      <c r="L18" s="64" t="s">
        <v>4168</v>
      </c>
      <c r="M18" s="64" t="s">
        <v>4169</v>
      </c>
      <c r="N18" s="64"/>
      <c r="O18" s="64" t="s">
        <v>4170</v>
      </c>
      <c r="P18" s="64"/>
      <c r="Q18" s="64"/>
      <c r="R18" s="64"/>
      <c r="S18" s="64"/>
      <c r="T18" s="64"/>
      <c r="U18" s="69"/>
      <c r="V18" s="64"/>
      <c r="W18" s="70"/>
      <c r="X18" s="64"/>
      <c r="Y18" s="71"/>
      <c r="Z18" s="64"/>
      <c r="AA18" s="71"/>
      <c r="AB18" s="70"/>
      <c r="AC18" s="71"/>
      <c r="AD18" s="71"/>
      <c r="AE18" s="71"/>
      <c r="AF18" s="71"/>
      <c r="AG18" s="71"/>
      <c r="AH18" s="71"/>
      <c r="AI18" s="69" t="str">
        <f t="shared" si="0"/>
        <v>OEnregistreur de T° avec imprimante DATACOLD 300 REnregistreur de T° avec imprimante DATACOLD 300 R + 1 sonde piqueuseEnregistreur de T° avec imprimante DATACOLD 600 R + 1 sonde piqueuse</v>
      </c>
    </row>
    <row r="19" spans="1:35" s="66" customFormat="1" ht="33.75" outlineLevel="2" x14ac:dyDescent="0.25">
      <c r="A19" s="71" t="s">
        <v>3457</v>
      </c>
      <c r="B19" s="64" t="s">
        <v>424</v>
      </c>
      <c r="C19" s="64"/>
      <c r="D19" s="64"/>
      <c r="E19" s="64"/>
      <c r="F19" s="64"/>
      <c r="G19" s="64"/>
      <c r="H19" s="64"/>
      <c r="I19" s="64"/>
      <c r="J19" s="64"/>
      <c r="K19" s="64"/>
      <c r="L19" s="64" t="s">
        <v>4168</v>
      </c>
      <c r="M19" s="64" t="s">
        <v>4169</v>
      </c>
      <c r="N19" s="64"/>
      <c r="O19" s="64" t="s">
        <v>4170</v>
      </c>
      <c r="P19" s="64"/>
      <c r="Q19" s="64"/>
      <c r="R19" s="64"/>
      <c r="S19" s="64"/>
      <c r="T19" s="64"/>
      <c r="U19" s="69"/>
      <c r="V19" s="64"/>
      <c r="W19" s="70"/>
      <c r="X19" s="64"/>
      <c r="Y19" s="71"/>
      <c r="Z19" s="64"/>
      <c r="AA19" s="71"/>
      <c r="AB19" s="70"/>
      <c r="AC19" s="71"/>
      <c r="AD19" s="71"/>
      <c r="AE19" s="71"/>
      <c r="AF19" s="71"/>
      <c r="AG19" s="71"/>
      <c r="AH19" s="71"/>
      <c r="AI19" s="69" t="str">
        <f t="shared" si="0"/>
        <v>OEnregistreur de T° avec imprimante DATACOLD 300 REnregistreur de T° avec imprimante DATACOLD 300 R + 1 sonde piqueuseEnregistreur de T° avec imprimante DATACOLD 600 R + 1 sonde piqueuse</v>
      </c>
    </row>
    <row r="20" spans="1:35" s="66" customFormat="1" ht="33.75" outlineLevel="2" x14ac:dyDescent="0.25">
      <c r="A20" s="71" t="s">
        <v>4193</v>
      </c>
      <c r="B20" s="64" t="s">
        <v>424</v>
      </c>
      <c r="C20" s="64"/>
      <c r="D20" s="64"/>
      <c r="E20" s="64"/>
      <c r="F20" s="64"/>
      <c r="G20" s="64"/>
      <c r="H20" s="64"/>
      <c r="I20" s="64"/>
      <c r="J20" s="64"/>
      <c r="K20" s="64"/>
      <c r="L20" s="64" t="s">
        <v>4171</v>
      </c>
      <c r="M20" s="64"/>
      <c r="N20" s="64"/>
      <c r="O20" s="64"/>
      <c r="P20" s="64"/>
      <c r="Q20" s="64"/>
      <c r="R20" s="64"/>
      <c r="S20" s="64"/>
      <c r="T20" s="64"/>
      <c r="U20" s="69"/>
      <c r="V20" s="64"/>
      <c r="W20" s="70"/>
      <c r="X20" s="64"/>
      <c r="Y20" s="71"/>
      <c r="Z20" s="64"/>
      <c r="AA20" s="64"/>
      <c r="AB20" s="64"/>
      <c r="AC20" s="64"/>
      <c r="AD20" s="64"/>
      <c r="AE20" s="64"/>
      <c r="AF20" s="64"/>
      <c r="AG20" s="64"/>
      <c r="AH20" s="64"/>
      <c r="AI20" s="69" t="str">
        <f t="shared" si="0"/>
        <v>OEnregistreur de T° électronique avec imprimante DATACOLD 300 R</v>
      </c>
    </row>
    <row r="21" spans="1:35" s="66" customFormat="1" outlineLevel="2" x14ac:dyDescent="0.25">
      <c r="A21" s="64" t="s">
        <v>4194</v>
      </c>
      <c r="B21" s="64" t="s">
        <v>424</v>
      </c>
      <c r="C21" s="64" t="s">
        <v>1035</v>
      </c>
      <c r="D21" s="64"/>
      <c r="E21" s="64"/>
      <c r="F21" s="64"/>
      <c r="G21" s="64"/>
      <c r="H21" s="64"/>
      <c r="I21" s="64"/>
      <c r="J21" s="64"/>
      <c r="K21" s="64"/>
      <c r="L21" s="64"/>
      <c r="M21" s="64"/>
      <c r="N21" s="64"/>
      <c r="O21" s="64"/>
      <c r="P21" s="64"/>
      <c r="Q21" s="64"/>
      <c r="R21" s="64"/>
      <c r="S21" s="64"/>
      <c r="T21" s="71"/>
      <c r="U21" s="69"/>
      <c r="V21" s="64"/>
      <c r="W21" s="64"/>
      <c r="X21" s="64"/>
      <c r="Y21" s="64"/>
      <c r="Z21" s="71"/>
      <c r="AA21" s="71"/>
      <c r="AB21" s="71"/>
      <c r="AC21" s="71"/>
      <c r="AD21" s="71"/>
      <c r="AE21" s="71"/>
      <c r="AF21" s="71"/>
      <c r="AG21" s="71"/>
      <c r="AH21" s="71"/>
      <c r="AI21" s="69" t="str">
        <f t="shared" si="0"/>
        <v>OSans option</v>
      </c>
    </row>
    <row r="22" spans="1:35" s="66" customFormat="1" outlineLevel="2" x14ac:dyDescent="0.25">
      <c r="A22" s="64" t="s">
        <v>4195</v>
      </c>
      <c r="B22" s="64" t="s">
        <v>424</v>
      </c>
      <c r="C22" s="64" t="s">
        <v>1035</v>
      </c>
      <c r="D22" s="64"/>
      <c r="E22" s="64"/>
      <c r="F22" s="64"/>
      <c r="G22" s="64"/>
      <c r="H22" s="64"/>
      <c r="I22" s="64"/>
      <c r="J22" s="64"/>
      <c r="K22" s="64"/>
      <c r="L22" s="64"/>
      <c r="M22" s="64"/>
      <c r="N22" s="64"/>
      <c r="O22" s="64"/>
      <c r="P22" s="64"/>
      <c r="Q22" s="64"/>
      <c r="R22" s="64"/>
      <c r="S22" s="64"/>
      <c r="T22" s="71"/>
      <c r="U22" s="69"/>
      <c r="V22" s="64"/>
      <c r="W22" s="64"/>
      <c r="X22" s="64"/>
      <c r="Y22" s="64"/>
      <c r="Z22" s="71"/>
      <c r="AA22" s="71"/>
      <c r="AB22" s="71"/>
      <c r="AC22" s="71"/>
      <c r="AD22" s="71"/>
      <c r="AE22" s="71"/>
      <c r="AF22" s="71"/>
      <c r="AG22" s="71"/>
      <c r="AH22" s="71"/>
      <c r="AI22" s="69" t="str">
        <f t="shared" si="0"/>
        <v>OSans option</v>
      </c>
    </row>
    <row r="23" spans="1:35" s="66" customFormat="1" ht="33.75" outlineLevel="2" x14ac:dyDescent="0.25">
      <c r="A23" s="64" t="s">
        <v>3412</v>
      </c>
      <c r="B23" s="64" t="s">
        <v>32</v>
      </c>
      <c r="C23" s="64" t="s">
        <v>2384</v>
      </c>
      <c r="D23" s="64" t="s">
        <v>2385</v>
      </c>
      <c r="E23" s="64" t="s">
        <v>2386</v>
      </c>
      <c r="F23" s="64" t="s">
        <v>2451</v>
      </c>
      <c r="G23" s="64" t="s">
        <v>2388</v>
      </c>
      <c r="H23" s="64" t="s">
        <v>2389</v>
      </c>
      <c r="I23" s="64" t="s">
        <v>3846</v>
      </c>
      <c r="J23" s="64"/>
      <c r="K23" s="64"/>
      <c r="L23" s="64"/>
      <c r="M23" s="64" t="s">
        <v>2391</v>
      </c>
      <c r="N23" s="64" t="s">
        <v>2392</v>
      </c>
      <c r="O23" s="64"/>
      <c r="P23" s="64"/>
      <c r="Q23" s="64"/>
      <c r="R23" s="64"/>
      <c r="S23" s="71"/>
      <c r="T23" s="64"/>
      <c r="U23" s="69" t="s">
        <v>442</v>
      </c>
      <c r="V23" s="64" t="s">
        <v>2393</v>
      </c>
      <c r="W23" s="64"/>
      <c r="X23" s="64"/>
      <c r="Y23" s="71"/>
      <c r="Z23" s="64"/>
      <c r="AA23" s="71"/>
      <c r="AB23" s="70"/>
      <c r="AC23" s="71"/>
      <c r="AD23" s="71"/>
      <c r="AE23" s="71"/>
      <c r="AF23" s="71"/>
      <c r="AG23" s="71"/>
      <c r="AH23" s="71"/>
      <c r="AI23" s="69" t="str">
        <f t="shared" si="0"/>
        <v>PCARRIER XARIOS 200T / R452AChauffage gaz chaud(Classe A) ou équivalentFonctionnement Route et Secteur (220 V Monophasé)Hauteur sous évaporateur : 866 mmPuissance frigorifique sur route (à 2400 tr/min) : à 0°C = 2250 W / à -20°C = 1290 WDébit d'air : 790 m3/hCommande cabine à affichage numérique de la température1 câble de 10 m</v>
      </c>
    </row>
    <row r="24" spans="1:35" s="66" customFormat="1" ht="33.75" outlineLevel="2" x14ac:dyDescent="0.25">
      <c r="A24" s="64" t="s">
        <v>3655</v>
      </c>
      <c r="B24" s="64" t="s">
        <v>32</v>
      </c>
      <c r="C24" s="64" t="s">
        <v>2384</v>
      </c>
      <c r="D24" s="64" t="s">
        <v>2385</v>
      </c>
      <c r="E24" s="64" t="s">
        <v>2386</v>
      </c>
      <c r="F24" s="64" t="s">
        <v>2451</v>
      </c>
      <c r="G24" s="64" t="s">
        <v>2388</v>
      </c>
      <c r="H24" s="64" t="s">
        <v>2389</v>
      </c>
      <c r="I24" s="64" t="s">
        <v>3847</v>
      </c>
      <c r="J24" s="64"/>
      <c r="K24" s="64"/>
      <c r="L24" s="64"/>
      <c r="M24" s="64" t="s">
        <v>2395</v>
      </c>
      <c r="N24" s="64" t="s">
        <v>2392</v>
      </c>
      <c r="O24" s="64"/>
      <c r="P24" s="64"/>
      <c r="Q24" s="64"/>
      <c r="R24" s="64"/>
      <c r="S24" s="71"/>
      <c r="T24" s="64"/>
      <c r="U24" s="69" t="s">
        <v>442</v>
      </c>
      <c r="V24" s="64" t="s">
        <v>2393</v>
      </c>
      <c r="W24" s="64"/>
      <c r="X24" s="64"/>
      <c r="Y24" s="71"/>
      <c r="Z24" s="64"/>
      <c r="AA24" s="71"/>
      <c r="AB24" s="70"/>
      <c r="AC24" s="71"/>
      <c r="AD24" s="71"/>
      <c r="AE24" s="71"/>
      <c r="AF24" s="71"/>
      <c r="AG24" s="71"/>
      <c r="AH24" s="71"/>
      <c r="AI24" s="69" t="str">
        <f t="shared" si="0"/>
        <v>PCARRIER XARIOS 200T / R452AChauffage gaz chaud(Classe A) ou équivalentFonctionnement Route et Secteur (220 V Monophasé)Hauteur sous évaporateur : 915 mmPuissance frigorifique sur route (à 2400 tr/min) : à 0°C = 2250 WDébit d'air : 790 m3/hCommande cabine à affichage numérique de la température1 câble de 10 m</v>
      </c>
    </row>
    <row r="25" spans="1:35" s="66" customFormat="1" ht="33.75" outlineLevel="2" x14ac:dyDescent="0.25">
      <c r="A25" s="71" t="s">
        <v>3431</v>
      </c>
      <c r="B25" s="64" t="s">
        <v>32</v>
      </c>
      <c r="C25" s="64" t="s">
        <v>2384</v>
      </c>
      <c r="D25" s="64" t="s">
        <v>2385</v>
      </c>
      <c r="E25" s="64" t="s">
        <v>2386</v>
      </c>
      <c r="F25" s="64" t="s">
        <v>2397</v>
      </c>
      <c r="G25" s="64" t="s">
        <v>2388</v>
      </c>
      <c r="H25" s="64" t="s">
        <v>2389</v>
      </c>
      <c r="I25" s="64" t="s">
        <v>3848</v>
      </c>
      <c r="J25" s="64"/>
      <c r="K25" s="64"/>
      <c r="L25" s="64"/>
      <c r="M25" s="64" t="s">
        <v>2399</v>
      </c>
      <c r="N25" s="64" t="s">
        <v>2392</v>
      </c>
      <c r="O25" s="64"/>
      <c r="P25" s="64"/>
      <c r="Q25" s="64"/>
      <c r="R25" s="64"/>
      <c r="S25" s="71"/>
      <c r="T25" s="64"/>
      <c r="U25" s="69" t="s">
        <v>442</v>
      </c>
      <c r="V25" s="64" t="s">
        <v>2393</v>
      </c>
      <c r="W25" s="64"/>
      <c r="X25" s="64"/>
      <c r="Y25" s="71"/>
      <c r="Z25" s="64"/>
      <c r="AA25" s="71"/>
      <c r="AB25" s="71"/>
      <c r="AC25" s="71"/>
      <c r="AD25" s="71"/>
      <c r="AE25" s="71"/>
      <c r="AF25" s="71"/>
      <c r="AG25" s="71"/>
      <c r="AH25" s="71"/>
      <c r="AI25" s="69" t="str">
        <f t="shared" si="0"/>
        <v>PCARRIER XARIOS 200T / R452AChauffage gaz chaud(Classe A ou C) ou équivalentFonctionnement Route et Secteur (220 V Monophasé)Hauteur sous évaporateur : 1250 mmPuissance frigorifique sur route (à 2400 tr/min) :  à 0°C = 2250 W / à -20°C = 1290 WDébit d'air : 790 m3/hCommande cabine à affichage numérique de la température1 câble de 10 m</v>
      </c>
    </row>
    <row r="26" spans="1:35" s="66" customFormat="1" ht="33.75" outlineLevel="2" x14ac:dyDescent="0.25">
      <c r="A26" s="71" t="s">
        <v>3643</v>
      </c>
      <c r="B26" s="64" t="s">
        <v>32</v>
      </c>
      <c r="C26" s="64" t="s">
        <v>2384</v>
      </c>
      <c r="D26" s="64" t="s">
        <v>2385</v>
      </c>
      <c r="E26" s="64" t="s">
        <v>2386</v>
      </c>
      <c r="F26" s="64" t="s">
        <v>2397</v>
      </c>
      <c r="G26" s="64" t="s">
        <v>2388</v>
      </c>
      <c r="H26" s="64" t="s">
        <v>2389</v>
      </c>
      <c r="I26" s="64" t="s">
        <v>3849</v>
      </c>
      <c r="J26" s="64"/>
      <c r="K26" s="64"/>
      <c r="L26" s="64"/>
      <c r="M26" s="64" t="s">
        <v>2399</v>
      </c>
      <c r="N26" s="64" t="s">
        <v>2392</v>
      </c>
      <c r="O26" s="64"/>
      <c r="P26" s="64"/>
      <c r="Q26" s="64"/>
      <c r="R26" s="64"/>
      <c r="S26" s="71"/>
      <c r="T26" s="64"/>
      <c r="U26" s="69" t="s">
        <v>442</v>
      </c>
      <c r="V26" s="64" t="s">
        <v>2393</v>
      </c>
      <c r="W26" s="64"/>
      <c r="X26" s="64"/>
      <c r="Y26" s="71"/>
      <c r="Z26" s="64"/>
      <c r="AA26" s="71"/>
      <c r="AB26" s="71"/>
      <c r="AC26" s="71"/>
      <c r="AD26" s="71"/>
      <c r="AE26" s="71"/>
      <c r="AF26" s="71"/>
      <c r="AG26" s="71"/>
      <c r="AH26" s="71"/>
      <c r="AI26" s="69" t="str">
        <f t="shared" si="0"/>
        <v>PCARRIER XARIOS 200T / R452AChauffage gaz chaud(Classe A ou C) ou équivalentFonctionnement Route et Secteur (220 V Monophasé)Hauteur sous évaporateur : 1405 mmPuissance frigorifique sur route (à 2400 tr/min) :  à 0°C = 2250 W / à -20°C = 1290 WDébit d'air : 790 m3/hCommande cabine à affichage numérique de la température1 câble de 10 m</v>
      </c>
    </row>
    <row r="27" spans="1:35" s="66" customFormat="1" ht="33.75" outlineLevel="2" x14ac:dyDescent="0.25">
      <c r="A27" s="71" t="s">
        <v>3354</v>
      </c>
      <c r="B27" s="64" t="s">
        <v>32</v>
      </c>
      <c r="C27" s="64" t="s">
        <v>2384</v>
      </c>
      <c r="D27" s="64" t="s">
        <v>2385</v>
      </c>
      <c r="E27" s="64" t="s">
        <v>2386</v>
      </c>
      <c r="F27" s="64" t="s">
        <v>2397</v>
      </c>
      <c r="G27" s="64" t="s">
        <v>2388</v>
      </c>
      <c r="H27" s="64" t="s">
        <v>2389</v>
      </c>
      <c r="I27" s="64" t="s">
        <v>2492</v>
      </c>
      <c r="J27" s="64"/>
      <c r="K27" s="64"/>
      <c r="L27" s="64"/>
      <c r="M27" s="64" t="s">
        <v>2395</v>
      </c>
      <c r="N27" s="64" t="s">
        <v>2392</v>
      </c>
      <c r="O27" s="64"/>
      <c r="P27" s="64"/>
      <c r="Q27" s="64"/>
      <c r="R27" s="64"/>
      <c r="S27" s="71"/>
      <c r="T27" s="64"/>
      <c r="U27" s="69" t="s">
        <v>442</v>
      </c>
      <c r="V27" s="64" t="s">
        <v>2393</v>
      </c>
      <c r="W27" s="64"/>
      <c r="X27" s="64"/>
      <c r="Y27" s="71"/>
      <c r="Z27" s="64"/>
      <c r="AA27" s="71"/>
      <c r="AB27" s="71"/>
      <c r="AC27" s="71"/>
      <c r="AD27" s="71"/>
      <c r="AE27" s="71"/>
      <c r="AF27" s="71"/>
      <c r="AG27" s="71"/>
      <c r="AH27" s="71"/>
      <c r="AI27" s="69" t="str">
        <f t="shared" si="0"/>
        <v>PCARRIER XARIOS 200T / R452AChauffage gaz chaud(Classe A ou C) ou équivalentFonctionnement Route et Secteur (220 V Monophasé)Hauteur sous évaporateur : 1550 mmPuissance frigorifique sur route (à 2400 tr/min) : à 0°C = 2250 WDébit d'air : 790 m3/hCommande cabine à affichage numérique de la température1 câble de 10 m</v>
      </c>
    </row>
    <row r="28" spans="1:35" s="66" customFormat="1" ht="33.75" outlineLevel="2" x14ac:dyDescent="0.25">
      <c r="A28" s="71" t="s">
        <v>3468</v>
      </c>
      <c r="B28" s="64" t="s">
        <v>32</v>
      </c>
      <c r="C28" s="64" t="s">
        <v>2384</v>
      </c>
      <c r="D28" s="64" t="s">
        <v>2401</v>
      </c>
      <c r="E28" s="64" t="s">
        <v>2386</v>
      </c>
      <c r="F28" s="64" t="s">
        <v>2402</v>
      </c>
      <c r="G28" s="64" t="s">
        <v>2388</v>
      </c>
      <c r="H28" s="64" t="s">
        <v>2403</v>
      </c>
      <c r="I28" s="64" t="s">
        <v>2405</v>
      </c>
      <c r="J28" s="71"/>
      <c r="K28" s="64"/>
      <c r="L28" s="64" t="s">
        <v>3850</v>
      </c>
      <c r="M28" s="64"/>
      <c r="N28" s="64"/>
      <c r="O28" s="64" t="s">
        <v>440</v>
      </c>
      <c r="P28" s="64"/>
      <c r="Q28" s="64"/>
      <c r="R28" s="64"/>
      <c r="S28" s="64"/>
      <c r="T28" s="64"/>
      <c r="U28" s="69" t="s">
        <v>442</v>
      </c>
      <c r="V28" s="64" t="s">
        <v>2393</v>
      </c>
      <c r="W28" s="70"/>
      <c r="X28" s="64"/>
      <c r="Y28" s="71"/>
      <c r="Z28" s="64"/>
      <c r="AA28" s="71"/>
      <c r="AB28" s="71"/>
      <c r="AC28" s="71"/>
      <c r="AD28" s="71"/>
      <c r="AE28" s="71"/>
      <c r="AF28" s="71"/>
      <c r="AG28" s="71"/>
      <c r="AH28" s="71"/>
      <c r="AI28" s="69" t="str">
        <f t="shared" si="0"/>
        <v>PCARRIER XARIOS 6T MT / R452AChauffage gaz chaudou équivalentFonctionnement Route et Secteur (380 V Triphasé)Hauteur sous évaporateur : 1850 mmEnregistreur de température à disqueProtection évaporateur avant et arrièreCommande cabine à affichage numérique de la température1 câble de 10 m</v>
      </c>
    </row>
    <row r="29" spans="1:35" s="66" customFormat="1" ht="33.75" outlineLevel="2" x14ac:dyDescent="0.25">
      <c r="A29" s="71" t="s">
        <v>3538</v>
      </c>
      <c r="B29" s="64" t="s">
        <v>32</v>
      </c>
      <c r="C29" s="64" t="s">
        <v>2384</v>
      </c>
      <c r="D29" s="64" t="s">
        <v>2408</v>
      </c>
      <c r="E29" s="64" t="s">
        <v>2386</v>
      </c>
      <c r="F29" s="64" t="s">
        <v>2397</v>
      </c>
      <c r="G29" s="64" t="s">
        <v>2388</v>
      </c>
      <c r="H29" s="64" t="s">
        <v>2403</v>
      </c>
      <c r="I29" s="64" t="s">
        <v>2409</v>
      </c>
      <c r="J29" s="71"/>
      <c r="K29" s="64"/>
      <c r="L29" s="64" t="s">
        <v>3850</v>
      </c>
      <c r="M29" s="64" t="s">
        <v>2410</v>
      </c>
      <c r="N29" s="64" t="s">
        <v>2411</v>
      </c>
      <c r="O29" s="64"/>
      <c r="P29" s="64"/>
      <c r="Q29" s="64"/>
      <c r="R29" s="64"/>
      <c r="S29" s="64"/>
      <c r="T29" s="64"/>
      <c r="U29" s="69" t="s">
        <v>442</v>
      </c>
      <c r="V29" s="64" t="s">
        <v>2393</v>
      </c>
      <c r="W29" s="70"/>
      <c r="X29" s="64"/>
      <c r="Y29" s="71"/>
      <c r="Z29" s="64"/>
      <c r="AA29" s="71"/>
      <c r="AB29" s="71"/>
      <c r="AC29" s="71"/>
      <c r="AD29" s="71"/>
      <c r="AE29" s="71"/>
      <c r="AF29" s="71"/>
      <c r="AG29" s="71"/>
      <c r="AH29" s="71"/>
      <c r="AI29" s="69" t="str">
        <f t="shared" si="0"/>
        <v>PCARRIER XARIOS 6T / R452AChauffage gaz chaud(Classe A ou C) ou équivalentFonctionnement Route et Secteur (380 V Triphasé)Hauteur sous évaporateur : 2000 mmEnregistreur de température à disquePuissance frigorifique sur route (à 2400 tr/min) : à 0°C = 5310 W / à - 20°C = 2700 WDébit d'air : 2192 m3/hCommande cabine à affichage numérique de la température1 câble de 10 m</v>
      </c>
    </row>
    <row r="30" spans="1:35" s="66" customFormat="1" ht="33.75" outlineLevel="2" x14ac:dyDescent="0.25">
      <c r="A30" s="71" t="s">
        <v>3569</v>
      </c>
      <c r="B30" s="64" t="s">
        <v>32</v>
      </c>
      <c r="C30" s="64" t="s">
        <v>2384</v>
      </c>
      <c r="D30" s="64" t="s">
        <v>2412</v>
      </c>
      <c r="E30" s="64" t="s">
        <v>2386</v>
      </c>
      <c r="F30" s="64" t="s">
        <v>2402</v>
      </c>
      <c r="G30" s="64" t="s">
        <v>2413</v>
      </c>
      <c r="H30" s="64" t="s">
        <v>2403</v>
      </c>
      <c r="I30" s="64" t="s">
        <v>3851</v>
      </c>
      <c r="J30" s="64"/>
      <c r="K30" s="64"/>
      <c r="L30" s="64"/>
      <c r="M30" s="64" t="s">
        <v>2415</v>
      </c>
      <c r="N30" s="64" t="s">
        <v>2416</v>
      </c>
      <c r="O30" s="64"/>
      <c r="P30" s="71"/>
      <c r="Q30" s="71"/>
      <c r="R30" s="71"/>
      <c r="S30" s="71"/>
      <c r="T30" s="71"/>
      <c r="U30" s="69" t="s">
        <v>442</v>
      </c>
      <c r="V30" s="64" t="s">
        <v>2393</v>
      </c>
      <c r="W30" s="70"/>
      <c r="X30" s="71"/>
      <c r="Y30" s="71"/>
      <c r="Z30" s="71"/>
      <c r="AA30" s="71"/>
      <c r="AB30" s="71"/>
      <c r="AC30" s="71"/>
      <c r="AD30" s="71"/>
      <c r="AE30" s="71"/>
      <c r="AF30" s="71"/>
      <c r="AG30" s="71"/>
      <c r="AH30" s="71"/>
      <c r="AI30" s="69" t="str">
        <f t="shared" si="0"/>
        <v>PCARRIER SUPRA HE6-R2S / R452AChauffage gaz chaudou équivalentFonctionnement Route, Diesel et Secteur (380 V Triphasé)Hauteur sous évaporateur : 1880 mmPuissance frigorifique sur route (à grande vitesse) : à 0°C = 6300 W / à -20°C = 3570 WDébit d'air : 2570 m3/hCommande cabine à affichage numérique de la température1 câble de 10 m</v>
      </c>
    </row>
    <row r="31" spans="1:35" s="66" customFormat="1" ht="33.75" outlineLevel="2" x14ac:dyDescent="0.25">
      <c r="A31" s="69" t="s">
        <v>3477</v>
      </c>
      <c r="B31" s="64" t="s">
        <v>32</v>
      </c>
      <c r="C31" s="64" t="s">
        <v>2384</v>
      </c>
      <c r="D31" s="64" t="s">
        <v>2475</v>
      </c>
      <c r="E31" s="64" t="s">
        <v>2386</v>
      </c>
      <c r="F31" s="64" t="s">
        <v>2397</v>
      </c>
      <c r="G31" s="64" t="s">
        <v>2388</v>
      </c>
      <c r="H31" s="64" t="s">
        <v>2389</v>
      </c>
      <c r="I31" s="64" t="s">
        <v>3852</v>
      </c>
      <c r="J31" s="64"/>
      <c r="K31" s="64"/>
      <c r="L31" s="64"/>
      <c r="M31" s="64" t="s">
        <v>2477</v>
      </c>
      <c r="N31" s="64" t="s">
        <v>2478</v>
      </c>
      <c r="O31" s="64"/>
      <c r="P31" s="64"/>
      <c r="Q31" s="64"/>
      <c r="R31" s="64"/>
      <c r="S31" s="71"/>
      <c r="T31" s="64"/>
      <c r="U31" s="69" t="s">
        <v>442</v>
      </c>
      <c r="V31" s="64" t="s">
        <v>2393</v>
      </c>
      <c r="W31" s="70"/>
      <c r="X31" s="64"/>
      <c r="Y31" s="71"/>
      <c r="Z31" s="64"/>
      <c r="AA31" s="64"/>
      <c r="AB31" s="64"/>
      <c r="AC31" s="64"/>
      <c r="AD31" s="64"/>
      <c r="AE31" s="64"/>
      <c r="AF31" s="69"/>
      <c r="AG31" s="64"/>
      <c r="AH31" s="64"/>
      <c r="AI31" s="69" t="str">
        <f t="shared" si="0"/>
        <v>PCARRIER XARIOS 350T / R452AChauffage gaz chaud(Classe A ou C) ou équivalentFonctionnement Route et Secteur (220 V Monophasé)Hauteur sous évaporateur : 1690 mmPuissance frigorifique sur route (à 2400 tr/min) : à 0°C = 3430 W / à -20°C = 1805 WDébit d'air : 1560 m3/hCommande cabine à affichage numérique de la température1 câble de 10 m</v>
      </c>
    </row>
    <row r="32" spans="1:35" s="66" customFormat="1" ht="33.75" outlineLevel="2" x14ac:dyDescent="0.25">
      <c r="A32" s="69" t="s">
        <v>3345</v>
      </c>
      <c r="B32" s="64" t="s">
        <v>32</v>
      </c>
      <c r="C32" s="64" t="s">
        <v>2384</v>
      </c>
      <c r="D32" s="64" t="s">
        <v>2475</v>
      </c>
      <c r="E32" s="64" t="s">
        <v>2386</v>
      </c>
      <c r="F32" s="64" t="s">
        <v>2397</v>
      </c>
      <c r="G32" s="64" t="s">
        <v>2388</v>
      </c>
      <c r="H32" s="64" t="s">
        <v>2389</v>
      </c>
      <c r="I32" s="64" t="s">
        <v>2479</v>
      </c>
      <c r="J32" s="64"/>
      <c r="K32" s="64"/>
      <c r="L32" s="64" t="s">
        <v>3850</v>
      </c>
      <c r="M32" s="64" t="s">
        <v>2477</v>
      </c>
      <c r="N32" s="64" t="s">
        <v>2478</v>
      </c>
      <c r="O32" s="64"/>
      <c r="P32" s="64"/>
      <c r="Q32" s="64"/>
      <c r="R32" s="64"/>
      <c r="S32" s="71"/>
      <c r="T32" s="64"/>
      <c r="U32" s="69" t="s">
        <v>442</v>
      </c>
      <c r="V32" s="64" t="s">
        <v>2393</v>
      </c>
      <c r="W32" s="70"/>
      <c r="X32" s="64"/>
      <c r="Y32" s="71"/>
      <c r="Z32" s="64"/>
      <c r="AA32" s="64"/>
      <c r="AB32" s="64"/>
      <c r="AC32" s="64"/>
      <c r="AD32" s="64"/>
      <c r="AE32" s="64"/>
      <c r="AF32" s="69"/>
      <c r="AG32" s="64"/>
      <c r="AH32" s="64"/>
      <c r="AI32" s="69" t="str">
        <f t="shared" si="0"/>
        <v>PCARRIER XARIOS 350T / R452AChauffage gaz chaud(Classe A ou C) ou équivalentFonctionnement Route et Secteur (220 V Monophasé)Hauteur sous évaporateur : 1750 mmEnregistreur de température à disquePuissance frigorifique sur route (à 2400 tr/min) : à 0°C = 3430 W / à -20°C = 1805 WDébit d'air : 1560 m3/hCommande cabine à affichage numérique de la température1 câble de 10 m</v>
      </c>
    </row>
    <row r="33" spans="1:35" s="66" customFormat="1" ht="33.75" outlineLevel="2" x14ac:dyDescent="0.25">
      <c r="A33" s="64" t="s">
        <v>3473</v>
      </c>
      <c r="B33" s="64" t="s">
        <v>32</v>
      </c>
      <c r="C33" s="64" t="s">
        <v>2456</v>
      </c>
      <c r="D33" s="64" t="s">
        <v>2481</v>
      </c>
      <c r="E33" s="64" t="s">
        <v>2386</v>
      </c>
      <c r="F33" s="64" t="s">
        <v>2397</v>
      </c>
      <c r="G33" s="64" t="s">
        <v>2388</v>
      </c>
      <c r="H33" s="64" t="s">
        <v>2389</v>
      </c>
      <c r="I33" s="64" t="s">
        <v>2482</v>
      </c>
      <c r="J33" s="64"/>
      <c r="K33" s="64"/>
      <c r="L33" s="64"/>
      <c r="M33" s="64" t="s">
        <v>2483</v>
      </c>
      <c r="N33" s="64" t="s">
        <v>2484</v>
      </c>
      <c r="O33" s="64"/>
      <c r="P33" s="64"/>
      <c r="Q33" s="64"/>
      <c r="R33" s="64"/>
      <c r="S33" s="64"/>
      <c r="T33" s="64"/>
      <c r="U33" s="69" t="s">
        <v>442</v>
      </c>
      <c r="V33" s="64" t="s">
        <v>2393</v>
      </c>
      <c r="W33" s="70"/>
      <c r="X33" s="64"/>
      <c r="Y33" s="71"/>
      <c r="Z33" s="64"/>
      <c r="AA33" s="64"/>
      <c r="AB33" s="70"/>
      <c r="AC33" s="64"/>
      <c r="AD33" s="64"/>
      <c r="AE33" s="64"/>
      <c r="AF33" s="64"/>
      <c r="AG33" s="64"/>
      <c r="AH33" s="64"/>
      <c r="AI33" s="69" t="str">
        <f t="shared" si="0"/>
        <v>PTHERMOKING V-300 MAX 50 / R452AChauffage gaz chaud(Classe A ou C) ou équivalentFonctionnement Route et Secteur (220 V Monophasé)Hauteur sous évaporateur : 1705 mmPuissance frigorifique sur route (à 2400 tr/min) : à 0°C = 3330 W / à -20°C = 1840 WDébit d'air : 1400 m3/hCommande cabine à affichage numérique de la température1 câble de 10 m</v>
      </c>
    </row>
    <row r="34" spans="1:35" s="66" customFormat="1" ht="33.75" outlineLevel="2" x14ac:dyDescent="0.25">
      <c r="A34" s="71" t="s">
        <v>3388</v>
      </c>
      <c r="B34" s="64" t="s">
        <v>32</v>
      </c>
      <c r="C34" s="64" t="s">
        <v>2384</v>
      </c>
      <c r="D34" s="64" t="s">
        <v>3853</v>
      </c>
      <c r="E34" s="64" t="s">
        <v>2437</v>
      </c>
      <c r="F34" s="64" t="s">
        <v>2397</v>
      </c>
      <c r="G34" s="64" t="s">
        <v>2486</v>
      </c>
      <c r="H34" s="64" t="s">
        <v>2389</v>
      </c>
      <c r="I34" s="64" t="s">
        <v>3854</v>
      </c>
      <c r="J34" s="64"/>
      <c r="K34" s="64"/>
      <c r="L34" s="64"/>
      <c r="M34" s="64" t="s">
        <v>3855</v>
      </c>
      <c r="N34" s="64" t="s">
        <v>3856</v>
      </c>
      <c r="O34" s="64"/>
      <c r="P34" s="64" t="s">
        <v>2490</v>
      </c>
      <c r="Q34" s="64"/>
      <c r="R34" s="64"/>
      <c r="S34" s="64"/>
      <c r="T34" s="64"/>
      <c r="U34" s="69" t="s">
        <v>442</v>
      </c>
      <c r="V34" s="64" t="s">
        <v>2393</v>
      </c>
      <c r="W34" s="70"/>
      <c r="X34" s="64"/>
      <c r="Y34" s="71"/>
      <c r="Z34" s="64"/>
      <c r="AA34" s="64"/>
      <c r="AB34" s="70"/>
      <c r="AC34" s="64"/>
      <c r="AD34" s="64"/>
      <c r="AE34" s="72"/>
      <c r="AF34" s="64"/>
      <c r="AG34" s="64"/>
      <c r="AH34" s="64"/>
      <c r="AI34" s="69" t="str">
        <f t="shared" si="0"/>
        <v>PCARRIER PULSOR 300 / R452AChauffage électrique(Classe A ou C) ou équivalentFonctionnement Route ( Batteries indépendantes 12 kWh) et Secteur(220 V Monophasé)Hauteur sous évaporateur : 1420 mmPuissance frigorifique sur route : à 0°C = 2610 W / à -20°C = 1310 WDébit d'air : 710 m3/h1 contacteurs de porte arrêt ventilationCommande cabine à affichage numérique de la température1 câble de 10 m</v>
      </c>
    </row>
    <row r="35" spans="1:35" s="66" customFormat="1" ht="45" outlineLevel="2" x14ac:dyDescent="0.25">
      <c r="A35" s="71" t="s">
        <v>3384</v>
      </c>
      <c r="B35" s="64" t="s">
        <v>32</v>
      </c>
      <c r="C35" s="64" t="s">
        <v>2384</v>
      </c>
      <c r="D35" s="64" t="s">
        <v>2485</v>
      </c>
      <c r="E35" s="64" t="s">
        <v>2437</v>
      </c>
      <c r="F35" s="64" t="s">
        <v>2397</v>
      </c>
      <c r="G35" s="64" t="s">
        <v>2486</v>
      </c>
      <c r="H35" s="64" t="s">
        <v>2389</v>
      </c>
      <c r="I35" s="64" t="s">
        <v>2487</v>
      </c>
      <c r="J35" s="64"/>
      <c r="K35" s="64" t="s">
        <v>2439</v>
      </c>
      <c r="L35" s="64"/>
      <c r="M35" s="64" t="s">
        <v>2488</v>
      </c>
      <c r="N35" s="64" t="s">
        <v>2489</v>
      </c>
      <c r="O35" s="64"/>
      <c r="P35" s="64" t="s">
        <v>2490</v>
      </c>
      <c r="Q35" s="64"/>
      <c r="R35" s="64"/>
      <c r="S35" s="64"/>
      <c r="T35" s="64"/>
      <c r="U35" s="69" t="s">
        <v>442</v>
      </c>
      <c r="V35" s="64" t="s">
        <v>2393</v>
      </c>
      <c r="W35" s="70"/>
      <c r="X35" s="64"/>
      <c r="Y35" s="71"/>
      <c r="Z35" s="64"/>
      <c r="AA35" s="64"/>
      <c r="AB35" s="64"/>
      <c r="AC35" s="64"/>
      <c r="AD35" s="70"/>
      <c r="AE35" s="64"/>
      <c r="AF35" s="64"/>
      <c r="AG35" s="64"/>
      <c r="AH35" s="64"/>
      <c r="AI35" s="69" t="str">
        <f t="shared" si="0"/>
        <v>PCARRIER PULSOR 350 E Splitté / R452AChauffage électrique(Classe A ou C) ou équivalentFonctionnement Route ( Batteries indépendantes 12 kWh) et Secteur(220 V Monophasé)Hauteur sous évaporateur : 1390 mmBoîtier LYNXPuissance frigorifique sur route (à 2400 tr/min) : à 0°C = 3080 W / à -20°C = 1700 WDébit d'air : 1095 m3/h1 contacteurs de porte arrêt ventilationCommande cabine à affichage numérique de la température1 câble de 10 m</v>
      </c>
    </row>
    <row r="36" spans="1:35" s="66" customFormat="1" ht="22.5" outlineLevel="2" x14ac:dyDescent="0.25">
      <c r="A36" s="64" t="s">
        <v>3629</v>
      </c>
      <c r="B36" s="64" t="s">
        <v>32</v>
      </c>
      <c r="C36" s="64" t="s">
        <v>2384</v>
      </c>
      <c r="D36" s="64" t="s">
        <v>3857</v>
      </c>
      <c r="E36" s="64"/>
      <c r="F36" s="64" t="s">
        <v>2402</v>
      </c>
      <c r="G36" s="64" t="s">
        <v>3858</v>
      </c>
      <c r="H36" s="64" t="s">
        <v>2389</v>
      </c>
      <c r="I36" s="64" t="s">
        <v>2479</v>
      </c>
      <c r="J36" s="64"/>
      <c r="K36" s="64"/>
      <c r="L36" s="64"/>
      <c r="M36" s="64"/>
      <c r="N36" s="64"/>
      <c r="O36" s="64"/>
      <c r="P36" s="64"/>
      <c r="Q36" s="64"/>
      <c r="R36" s="64"/>
      <c r="S36" s="64"/>
      <c r="T36" s="64"/>
      <c r="U36" s="69"/>
      <c r="V36" s="64" t="s">
        <v>2393</v>
      </c>
      <c r="W36" s="70"/>
      <c r="X36" s="64"/>
      <c r="Y36" s="71"/>
      <c r="Z36" s="64"/>
      <c r="AA36" s="64"/>
      <c r="AB36" s="64"/>
      <c r="AC36" s="64"/>
      <c r="AD36" s="64"/>
      <c r="AE36" s="64"/>
      <c r="AF36" s="64"/>
      <c r="AG36" s="64"/>
      <c r="AH36" s="64"/>
      <c r="AI36" s="69" t="str">
        <f t="shared" si="0"/>
        <v>PCARRIER PULSOR 400 MT / R452Aou équivalentFonctionnement Route ( Batteries indépendantes)(220 V Monophasé)Hauteur sous évaporateur : 1750 mm1 câble de 10 m</v>
      </c>
    </row>
    <row r="37" spans="1:35" s="68" customFormat="1" outlineLevel="2" x14ac:dyDescent="0.25">
      <c r="A37" s="64" t="s">
        <v>3582</v>
      </c>
      <c r="B37" s="64" t="s">
        <v>32</v>
      </c>
      <c r="C37" s="170" t="s">
        <v>3859</v>
      </c>
      <c r="D37" s="64" t="s">
        <v>3860</v>
      </c>
      <c r="E37" s="64"/>
      <c r="F37" s="64" t="s">
        <v>2451</v>
      </c>
      <c r="G37" s="64" t="s">
        <v>2515</v>
      </c>
      <c r="H37" s="64" t="s">
        <v>3861</v>
      </c>
      <c r="I37" s="64"/>
      <c r="J37" s="64"/>
      <c r="K37" s="64"/>
      <c r="L37" s="64"/>
      <c r="M37" s="64" t="s">
        <v>3862</v>
      </c>
      <c r="N37" s="64" t="s">
        <v>3863</v>
      </c>
      <c r="O37" s="64"/>
      <c r="P37" s="64"/>
      <c r="Q37" s="64"/>
      <c r="R37" s="64"/>
      <c r="S37" s="64"/>
      <c r="T37" s="64"/>
      <c r="U37" s="69"/>
      <c r="V37" s="64"/>
      <c r="W37" s="72"/>
      <c r="X37" s="64"/>
      <c r="Y37" s="71"/>
      <c r="Z37" s="64"/>
      <c r="AA37" s="64"/>
      <c r="AB37" s="64"/>
      <c r="AC37" s="64"/>
      <c r="AD37" s="64"/>
      <c r="AE37" s="64"/>
      <c r="AF37" s="64"/>
      <c r="AG37" s="64"/>
      <c r="AH37" s="64"/>
      <c r="AI37" s="69" t="str">
        <f t="shared" si="0"/>
        <v>PCOLDWAY13 G (Classe A) ou équivalentFonctionnement Route et Secteur(220V Monophasé)Puissance frigorique 2860 Wh Débit d’air : 150 m3/h</v>
      </c>
    </row>
    <row r="38" spans="1:35" s="66" customFormat="1" ht="22.5" outlineLevel="2" x14ac:dyDescent="0.25">
      <c r="A38" s="64" t="s">
        <v>3483</v>
      </c>
      <c r="B38" s="64" t="s">
        <v>32</v>
      </c>
      <c r="C38" s="64" t="s">
        <v>2384</v>
      </c>
      <c r="D38" s="64" t="s">
        <v>2401</v>
      </c>
      <c r="E38" s="64" t="s">
        <v>2386</v>
      </c>
      <c r="F38" s="64" t="s">
        <v>2402</v>
      </c>
      <c r="G38" s="64" t="s">
        <v>2388</v>
      </c>
      <c r="H38" s="64" t="s">
        <v>2403</v>
      </c>
      <c r="I38" s="64" t="s">
        <v>2465</v>
      </c>
      <c r="J38" s="64"/>
      <c r="K38" s="64"/>
      <c r="L38" s="64"/>
      <c r="M38" s="64"/>
      <c r="N38" s="64"/>
      <c r="O38" s="64"/>
      <c r="P38" s="64"/>
      <c r="Q38" s="64"/>
      <c r="R38" s="64"/>
      <c r="S38" s="64"/>
      <c r="T38" s="64"/>
      <c r="U38" s="69" t="s">
        <v>442</v>
      </c>
      <c r="V38" s="64" t="s">
        <v>2393</v>
      </c>
      <c r="W38" s="64"/>
      <c r="X38" s="64"/>
      <c r="Y38" s="64"/>
      <c r="Z38" s="64"/>
      <c r="AA38" s="71"/>
      <c r="AB38" s="71"/>
      <c r="AC38" s="71"/>
      <c r="AD38" s="71"/>
      <c r="AE38" s="71"/>
      <c r="AF38" s="71"/>
      <c r="AG38" s="71"/>
      <c r="AH38" s="71"/>
      <c r="AI38" s="69" t="str">
        <f t="shared" si="0"/>
        <v>PCARRIER XARIOS 6T MT / R452AChauffage gaz chaudou équivalentFonctionnement Route et Secteur (380 V Triphasé)Hauteur sous évaporateur : 1650 mmCommande cabine à affichage numérique de la température1 câble de 10 m</v>
      </c>
    </row>
    <row r="39" spans="1:35" s="66" customFormat="1" ht="33.75" outlineLevel="2" x14ac:dyDescent="0.25">
      <c r="A39" s="71" t="s">
        <v>3617</v>
      </c>
      <c r="B39" s="64" t="s">
        <v>32</v>
      </c>
      <c r="C39" s="64" t="s">
        <v>2384</v>
      </c>
      <c r="D39" s="64" t="s">
        <v>3864</v>
      </c>
      <c r="E39" s="64"/>
      <c r="F39" s="64" t="s">
        <v>2397</v>
      </c>
      <c r="G39" s="64" t="s">
        <v>3865</v>
      </c>
      <c r="H39" s="64" t="s">
        <v>2389</v>
      </c>
      <c r="I39" s="64" t="s">
        <v>2479</v>
      </c>
      <c r="J39" s="64"/>
      <c r="K39" s="64"/>
      <c r="L39" s="64"/>
      <c r="M39" s="64" t="s">
        <v>2488</v>
      </c>
      <c r="N39" s="64" t="s">
        <v>2489</v>
      </c>
      <c r="O39" s="64"/>
      <c r="P39" s="64"/>
      <c r="Q39" s="64"/>
      <c r="R39" s="64"/>
      <c r="S39" s="64"/>
      <c r="T39" s="64"/>
      <c r="U39" s="69"/>
      <c r="V39" s="64" t="s">
        <v>2393</v>
      </c>
      <c r="W39" s="70"/>
      <c r="X39" s="64"/>
      <c r="Y39" s="71"/>
      <c r="Z39" s="64"/>
      <c r="AA39" s="64"/>
      <c r="AB39" s="70"/>
      <c r="AC39" s="64"/>
      <c r="AD39" s="64"/>
      <c r="AE39" s="72"/>
      <c r="AF39" s="64"/>
      <c r="AG39" s="64"/>
      <c r="AH39" s="64"/>
      <c r="AI39" s="69" t="str">
        <f t="shared" si="0"/>
        <v>PCARRIER PULSOR 350 / R452A(Classe A ou C) ou équivalentFonctionnement Route ( Batteries indépendantes 11 kWh) et Secteur(220 V Monophasé)Hauteur sous évaporateur : 1750 mmPuissance frigorifique sur route (à 2400 tr/min) : à 0°C = 3080 W / à -20°C = 1700 WDébit d'air : 1095 m3/h1 câble de 10 m</v>
      </c>
    </row>
    <row r="40" spans="1:35" s="66" customFormat="1" ht="33.75" outlineLevel="1" x14ac:dyDescent="0.25">
      <c r="A40" s="64" t="s">
        <v>1192</v>
      </c>
      <c r="B40" s="64" t="s">
        <v>32</v>
      </c>
      <c r="C40" s="64" t="s">
        <v>2384</v>
      </c>
      <c r="D40" s="64" t="s">
        <v>2385</v>
      </c>
      <c r="E40" s="64" t="s">
        <v>2386</v>
      </c>
      <c r="F40" s="64" t="s">
        <v>2387</v>
      </c>
      <c r="G40" s="64" t="s">
        <v>2388</v>
      </c>
      <c r="H40" s="64" t="s">
        <v>2389</v>
      </c>
      <c r="I40" s="64"/>
      <c r="J40" s="64"/>
      <c r="K40" s="64" t="s">
        <v>2390</v>
      </c>
      <c r="L40" s="64"/>
      <c r="M40" s="64"/>
      <c r="N40" s="64"/>
      <c r="O40" s="64" t="s">
        <v>2391</v>
      </c>
      <c r="P40" s="64" t="s">
        <v>2392</v>
      </c>
      <c r="Q40" s="64"/>
      <c r="R40" s="64"/>
      <c r="S40" s="64"/>
      <c r="T40" s="64"/>
      <c r="U40" s="71"/>
      <c r="V40" s="64"/>
      <c r="W40" s="69" t="s">
        <v>442</v>
      </c>
      <c r="X40" s="64" t="s">
        <v>2393</v>
      </c>
      <c r="Y40" s="64"/>
      <c r="Z40" s="64"/>
      <c r="AA40" s="71"/>
      <c r="AB40" s="64"/>
      <c r="AC40" s="71"/>
      <c r="AD40" s="70"/>
      <c r="AE40" s="71"/>
      <c r="AF40" s="71"/>
      <c r="AG40" s="71"/>
      <c r="AH40" s="71"/>
      <c r="AI40" s="69" t="str">
        <f t="shared" ref="AI40:AI71" si="1">CONCATENATE(B40,C40,D40,E40,F40,G40,H40,I40,J40,K40,L40,M40,N40,O40,P40,Q40,R40,S40,T40,U40,V40,W40,X40,Y40,Z40,AA40,AB40,AC40,AD40,AE40,AF40,AG40,AH40)</f>
        <v>PCARRIER XARIOS 200T / R452AChauffage gaz chaud(Classe A ou C) ou équivalent avec Kit silencieux muffler Fonctionnement Route et Secteur (220 V Monophasé)Hauteur sous évaporateur : 870 mmPuissance frigorifique sur route (à 2400 tr/min) : à 0°C = 2250 W / à -20°C = 1290 WDébit d'air : 790 m3/hCommande cabine à affichage numérique de la température1 câble de 10 m</v>
      </c>
    </row>
    <row r="41" spans="1:35" s="66" customFormat="1" ht="33.75" outlineLevel="1" x14ac:dyDescent="0.25">
      <c r="A41" s="64" t="s">
        <v>1513</v>
      </c>
      <c r="B41" s="64" t="s">
        <v>32</v>
      </c>
      <c r="C41" s="64" t="s">
        <v>2384</v>
      </c>
      <c r="D41" s="64" t="s">
        <v>2385</v>
      </c>
      <c r="E41" s="64" t="s">
        <v>2386</v>
      </c>
      <c r="F41" s="64" t="s">
        <v>2387</v>
      </c>
      <c r="G41" s="64" t="s">
        <v>2388</v>
      </c>
      <c r="H41" s="64" t="s">
        <v>2389</v>
      </c>
      <c r="I41" s="64"/>
      <c r="J41" s="64"/>
      <c r="K41" s="64" t="s">
        <v>2394</v>
      </c>
      <c r="L41" s="64"/>
      <c r="M41" s="64"/>
      <c r="N41" s="64"/>
      <c r="O41" s="64" t="s">
        <v>2395</v>
      </c>
      <c r="P41" s="64" t="s">
        <v>2392</v>
      </c>
      <c r="Q41" s="64"/>
      <c r="R41" s="64"/>
      <c r="S41" s="64"/>
      <c r="T41" s="64"/>
      <c r="U41" s="71"/>
      <c r="V41" s="64"/>
      <c r="W41" s="69" t="s">
        <v>442</v>
      </c>
      <c r="X41" s="64" t="s">
        <v>2393</v>
      </c>
      <c r="Y41" s="64"/>
      <c r="Z41" s="64"/>
      <c r="AA41" s="71"/>
      <c r="AB41" s="64"/>
      <c r="AC41" s="71"/>
      <c r="AD41" s="71"/>
      <c r="AE41" s="71"/>
      <c r="AF41" s="71"/>
      <c r="AG41" s="72"/>
      <c r="AH41" s="71"/>
      <c r="AI41" s="69" t="str">
        <f t="shared" si="1"/>
        <v>PCARRIER XARIOS 200T / R452AChauffage gaz chaud(Classe A ou C) ou équivalent avec Kit silencieux muffler Fonctionnement Route et Secteur (220 V Monophasé)Hauteur sous évaporateur : 985 mmPuissance frigorifique sur route (à 2400 tr/min) : à 0°C = 2250 WDébit d'air : 790 m3/hCommande cabine à affichage numérique de la température1 câble de 10 m</v>
      </c>
    </row>
    <row r="42" spans="1:35" s="66" customFormat="1" ht="33.75" outlineLevel="1" x14ac:dyDescent="0.25">
      <c r="A42" s="64" t="s">
        <v>1233</v>
      </c>
      <c r="B42" s="64" t="s">
        <v>32</v>
      </c>
      <c r="C42" s="64" t="s">
        <v>2384</v>
      </c>
      <c r="D42" s="64" t="s">
        <v>2385</v>
      </c>
      <c r="E42" s="64" t="s">
        <v>2386</v>
      </c>
      <c r="F42" s="64" t="s">
        <v>2387</v>
      </c>
      <c r="G42" s="64" t="s">
        <v>2388</v>
      </c>
      <c r="H42" s="64" t="s">
        <v>2389</v>
      </c>
      <c r="I42" s="64"/>
      <c r="J42" s="64"/>
      <c r="K42" s="64" t="s">
        <v>2396</v>
      </c>
      <c r="L42" s="64"/>
      <c r="M42" s="64"/>
      <c r="N42" s="64"/>
      <c r="O42" s="64" t="s">
        <v>2395</v>
      </c>
      <c r="P42" s="64" t="s">
        <v>2392</v>
      </c>
      <c r="Q42" s="64"/>
      <c r="R42" s="64"/>
      <c r="S42" s="64"/>
      <c r="T42" s="64"/>
      <c r="U42" s="71"/>
      <c r="V42" s="64"/>
      <c r="W42" s="69" t="s">
        <v>442</v>
      </c>
      <c r="X42" s="64" t="s">
        <v>2393</v>
      </c>
      <c r="Y42" s="64"/>
      <c r="Z42" s="64"/>
      <c r="AA42" s="71"/>
      <c r="AB42" s="64"/>
      <c r="AC42" s="71"/>
      <c r="AD42" s="71"/>
      <c r="AE42" s="71"/>
      <c r="AF42" s="71"/>
      <c r="AG42" s="71"/>
      <c r="AH42" s="71"/>
      <c r="AI42" s="69" t="str">
        <f t="shared" si="1"/>
        <v>PCARRIER XARIOS 200T / R452AChauffage gaz chaud(Classe A ou C) ou équivalent avec Kit silencieux muffler Fonctionnement Route et Secteur (220 V Monophasé)Hauteur sous évaporateur : 1615 mmPuissance frigorifique sur route (à 2400 tr/min) : à 0°C = 2250 WDébit d'air : 790 m3/hCommande cabine à affichage numérique de la température1 câble de 10 m</v>
      </c>
    </row>
    <row r="43" spans="1:35" s="66" customFormat="1" ht="33.75" outlineLevel="1" x14ac:dyDescent="0.25">
      <c r="A43" s="64" t="s">
        <v>1205</v>
      </c>
      <c r="B43" s="64" t="s">
        <v>32</v>
      </c>
      <c r="C43" s="64" t="s">
        <v>2384</v>
      </c>
      <c r="D43" s="64" t="s">
        <v>2385</v>
      </c>
      <c r="E43" s="64" t="s">
        <v>2386</v>
      </c>
      <c r="F43" s="64" t="s">
        <v>2397</v>
      </c>
      <c r="G43" s="64" t="s">
        <v>2388</v>
      </c>
      <c r="H43" s="64" t="s">
        <v>2389</v>
      </c>
      <c r="I43" s="64"/>
      <c r="J43" s="64"/>
      <c r="K43" s="64" t="s">
        <v>2398</v>
      </c>
      <c r="L43" s="64"/>
      <c r="M43" s="64"/>
      <c r="N43" s="64"/>
      <c r="O43" s="64" t="s">
        <v>2399</v>
      </c>
      <c r="P43" s="64" t="s">
        <v>2392</v>
      </c>
      <c r="Q43" s="64"/>
      <c r="R43" s="64"/>
      <c r="S43" s="64"/>
      <c r="T43" s="64"/>
      <c r="U43" s="71"/>
      <c r="V43" s="64"/>
      <c r="W43" s="69" t="s">
        <v>442</v>
      </c>
      <c r="X43" s="64" t="s">
        <v>2393</v>
      </c>
      <c r="Y43" s="64"/>
      <c r="Z43" s="64"/>
      <c r="AA43" s="71"/>
      <c r="AB43" s="64"/>
      <c r="AC43" s="71"/>
      <c r="AD43" s="70"/>
      <c r="AE43" s="71"/>
      <c r="AF43" s="71"/>
      <c r="AG43" s="72"/>
      <c r="AH43" s="71"/>
      <c r="AI43" s="69" t="str">
        <f t="shared" si="1"/>
        <v>PCARRIER XARIOS 200T / R452AChauffage gaz chaud(Classe A ou C) ou équivalentFonctionnement Route et Secteur (220 V Monophasé)Hauteur sous évaporateur : 1410 mmPuissance frigorifique sur route (à 2400 tr/min) :  à 0°C = 2250 W / à -20°C = 1290 WDébit d'air : 790 m3/hCommande cabine à affichage numérique de la température1 câble de 10 m</v>
      </c>
    </row>
    <row r="44" spans="1:35" s="66" customFormat="1" ht="33.75" outlineLevel="1" x14ac:dyDescent="0.25">
      <c r="A44" s="64" t="s">
        <v>1524</v>
      </c>
      <c r="B44" s="64" t="s">
        <v>32</v>
      </c>
      <c r="C44" s="64" t="s">
        <v>2384</v>
      </c>
      <c r="D44" s="64" t="s">
        <v>2385</v>
      </c>
      <c r="E44" s="64" t="s">
        <v>2386</v>
      </c>
      <c r="F44" s="64" t="s">
        <v>2397</v>
      </c>
      <c r="G44" s="64" t="s">
        <v>2388</v>
      </c>
      <c r="H44" s="64" t="s">
        <v>2389</v>
      </c>
      <c r="I44" s="64"/>
      <c r="J44" s="64"/>
      <c r="K44" s="64" t="s">
        <v>2400</v>
      </c>
      <c r="L44" s="64"/>
      <c r="M44" s="64"/>
      <c r="N44" s="64"/>
      <c r="O44" s="64" t="s">
        <v>2399</v>
      </c>
      <c r="P44" s="64" t="s">
        <v>2392</v>
      </c>
      <c r="Q44" s="64"/>
      <c r="R44" s="64"/>
      <c r="S44" s="64"/>
      <c r="T44" s="64"/>
      <c r="U44" s="71"/>
      <c r="V44" s="64"/>
      <c r="W44" s="69" t="s">
        <v>442</v>
      </c>
      <c r="X44" s="64" t="s">
        <v>2393</v>
      </c>
      <c r="Y44" s="64"/>
      <c r="Z44" s="64"/>
      <c r="AA44" s="71"/>
      <c r="AB44" s="64"/>
      <c r="AC44" s="71"/>
      <c r="AD44" s="70"/>
      <c r="AE44" s="71"/>
      <c r="AF44" s="71"/>
      <c r="AG44" s="72"/>
      <c r="AH44" s="71"/>
      <c r="AI44" s="69" t="str">
        <f t="shared" si="1"/>
        <v>PCARRIER XARIOS 200T / R452AChauffage gaz chaud(Classe A ou C) ou équivalentFonctionnement Route et Secteur (220 V Monophasé)Hauteur sous évaporateur : 1430 mmPuissance frigorifique sur route (à 2400 tr/min) :  à 0°C = 2250 W / à -20°C = 1290 WDébit d'air : 790 m3/hCommande cabine à affichage numérique de la température1 câble de 10 m</v>
      </c>
    </row>
    <row r="45" spans="1:35" s="66" customFormat="1" ht="22.5" outlineLevel="1" x14ac:dyDescent="0.25">
      <c r="A45" s="64" t="s">
        <v>1312</v>
      </c>
      <c r="B45" s="64" t="s">
        <v>32</v>
      </c>
      <c r="C45" s="64" t="s">
        <v>2384</v>
      </c>
      <c r="D45" s="64" t="s">
        <v>2401</v>
      </c>
      <c r="E45" s="64" t="s">
        <v>2386</v>
      </c>
      <c r="F45" s="64" t="s">
        <v>2402</v>
      </c>
      <c r="G45" s="64" t="s">
        <v>2388</v>
      </c>
      <c r="H45" s="64" t="s">
        <v>2403</v>
      </c>
      <c r="I45" s="64"/>
      <c r="J45" s="64"/>
      <c r="K45" s="64" t="s">
        <v>2404</v>
      </c>
      <c r="L45" s="71"/>
      <c r="M45" s="64"/>
      <c r="N45" s="64"/>
      <c r="O45" s="64"/>
      <c r="P45" s="64"/>
      <c r="Q45" s="64" t="s">
        <v>440</v>
      </c>
      <c r="R45" s="64"/>
      <c r="S45" s="64"/>
      <c r="T45" s="64"/>
      <c r="U45" s="64"/>
      <c r="V45" s="64"/>
      <c r="W45" s="69" t="s">
        <v>442</v>
      </c>
      <c r="X45" s="64" t="s">
        <v>2393</v>
      </c>
      <c r="Y45" s="64"/>
      <c r="Z45" s="64"/>
      <c r="AA45" s="71"/>
      <c r="AB45" s="64"/>
      <c r="AC45" s="71"/>
      <c r="AD45" s="70"/>
      <c r="AE45" s="71"/>
      <c r="AF45" s="71"/>
      <c r="AG45" s="71"/>
      <c r="AH45" s="71"/>
      <c r="AI45" s="69" t="str">
        <f t="shared" si="1"/>
        <v>PCARRIER XARIOS 6T MT / R452AChauffage gaz chaudou équivalentFonctionnement Route et Secteur (380 V Triphasé)Hauteur sous évaporateur : 1845 mmProtection évaporateur avant et arrièreCommande cabine à affichage numérique de la température1 câble de 10 m</v>
      </c>
    </row>
    <row r="46" spans="1:35" s="66" customFormat="1" ht="22.5" outlineLevel="1" x14ac:dyDescent="0.25">
      <c r="A46" s="64" t="s">
        <v>1293</v>
      </c>
      <c r="B46" s="64" t="s">
        <v>32</v>
      </c>
      <c r="C46" s="64" t="s">
        <v>2384</v>
      </c>
      <c r="D46" s="64" t="s">
        <v>2401</v>
      </c>
      <c r="E46" s="64" t="s">
        <v>2386</v>
      </c>
      <c r="F46" s="64" t="s">
        <v>2402</v>
      </c>
      <c r="G46" s="64" t="s">
        <v>2388</v>
      </c>
      <c r="H46" s="64" t="s">
        <v>2403</v>
      </c>
      <c r="I46" s="64"/>
      <c r="J46" s="64"/>
      <c r="K46" s="64" t="s">
        <v>2405</v>
      </c>
      <c r="L46" s="71"/>
      <c r="M46" s="64"/>
      <c r="N46" s="64"/>
      <c r="O46" s="64"/>
      <c r="P46" s="64"/>
      <c r="Q46" s="64" t="s">
        <v>440</v>
      </c>
      <c r="R46" s="64"/>
      <c r="S46" s="64"/>
      <c r="T46" s="64"/>
      <c r="U46" s="64"/>
      <c r="V46" s="64"/>
      <c r="W46" s="69" t="s">
        <v>442</v>
      </c>
      <c r="X46" s="64" t="s">
        <v>2393</v>
      </c>
      <c r="Y46" s="70"/>
      <c r="Z46" s="64"/>
      <c r="AA46" s="71"/>
      <c r="AB46" s="64"/>
      <c r="AC46" s="71"/>
      <c r="AD46" s="70"/>
      <c r="AE46" s="71"/>
      <c r="AF46" s="71"/>
      <c r="AG46" s="71"/>
      <c r="AH46" s="71"/>
      <c r="AI46" s="69" t="str">
        <f t="shared" si="1"/>
        <v>PCARRIER XARIOS 6T MT / R452AChauffage gaz chaudou équivalentFonctionnement Route et Secteur (380 V Triphasé)Hauteur sous évaporateur : 1850 mmProtection évaporateur avant et arrièreCommande cabine à affichage numérique de la température1 câble de 10 m</v>
      </c>
    </row>
    <row r="47" spans="1:35" s="66" customFormat="1" ht="45" outlineLevel="1" x14ac:dyDescent="0.25">
      <c r="A47" s="64" t="s">
        <v>1261</v>
      </c>
      <c r="B47" s="64" t="s">
        <v>32</v>
      </c>
      <c r="C47" s="64" t="s">
        <v>2384</v>
      </c>
      <c r="D47" s="64" t="s">
        <v>2401</v>
      </c>
      <c r="E47" s="64" t="s">
        <v>2386</v>
      </c>
      <c r="F47" s="64" t="s">
        <v>2402</v>
      </c>
      <c r="G47" s="64" t="s">
        <v>2388</v>
      </c>
      <c r="H47" s="64" t="s">
        <v>2403</v>
      </c>
      <c r="I47" s="64"/>
      <c r="J47" s="64"/>
      <c r="K47" s="64" t="s">
        <v>2404</v>
      </c>
      <c r="L47" s="71"/>
      <c r="M47" s="64" t="s">
        <v>2406</v>
      </c>
      <c r="N47" s="64"/>
      <c r="O47" s="64"/>
      <c r="P47" s="64"/>
      <c r="Q47" s="64" t="s">
        <v>440</v>
      </c>
      <c r="R47" s="64"/>
      <c r="S47" s="64"/>
      <c r="T47" s="64"/>
      <c r="U47" s="64"/>
      <c r="V47" s="64"/>
      <c r="W47" s="69" t="s">
        <v>442</v>
      </c>
      <c r="X47" s="64" t="s">
        <v>2393</v>
      </c>
      <c r="Y47" s="70"/>
      <c r="Z47" s="64"/>
      <c r="AA47" s="71"/>
      <c r="AB47" s="64"/>
      <c r="AC47" s="71"/>
      <c r="AD47" s="70"/>
      <c r="AE47" s="71"/>
      <c r="AF47" s="71"/>
      <c r="AG47" s="71"/>
      <c r="AH47" s="71"/>
      <c r="AI47" s="69" t="str">
        <f t="shared" si="1"/>
        <v>PCARRIER XARIOS 6T MT / R452AChauffage gaz chaudou équivalentFonctionnement Route et Secteur (380 V Triphasé)Hauteur sous évaporateur : 1845 mmEvaporateur avant gauche souflant vers la porte / Evaporateur arrière souflant vers l'arrièreProtection évaporateur avant et arrièreCommande cabine à affichage numérique de la température1 câble de 10 m</v>
      </c>
    </row>
    <row r="48" spans="1:35" s="66" customFormat="1" ht="22.5" outlineLevel="1" x14ac:dyDescent="0.25">
      <c r="A48" s="64" t="s">
        <v>1385</v>
      </c>
      <c r="B48" s="64" t="s">
        <v>32</v>
      </c>
      <c r="C48" s="64" t="s">
        <v>2384</v>
      </c>
      <c r="D48" s="64" t="s">
        <v>2401</v>
      </c>
      <c r="E48" s="64" t="s">
        <v>2386</v>
      </c>
      <c r="F48" s="64" t="s">
        <v>2402</v>
      </c>
      <c r="G48" s="64" t="s">
        <v>2388</v>
      </c>
      <c r="H48" s="64" t="s">
        <v>2403</v>
      </c>
      <c r="I48" s="64"/>
      <c r="J48" s="64"/>
      <c r="K48" s="64" t="s">
        <v>2407</v>
      </c>
      <c r="L48" s="71"/>
      <c r="M48" s="64"/>
      <c r="N48" s="64"/>
      <c r="O48" s="64"/>
      <c r="P48" s="64"/>
      <c r="Q48" s="64" t="s">
        <v>440</v>
      </c>
      <c r="R48" s="64"/>
      <c r="S48" s="64"/>
      <c r="T48" s="64"/>
      <c r="U48" s="64"/>
      <c r="V48" s="64"/>
      <c r="W48" s="69" t="s">
        <v>442</v>
      </c>
      <c r="X48" s="64" t="s">
        <v>2393</v>
      </c>
      <c r="Y48" s="70"/>
      <c r="Z48" s="64"/>
      <c r="AA48" s="71"/>
      <c r="AB48" s="64"/>
      <c r="AC48" s="71"/>
      <c r="AD48" s="71"/>
      <c r="AE48" s="71"/>
      <c r="AF48" s="71"/>
      <c r="AG48" s="71"/>
      <c r="AH48" s="71"/>
      <c r="AI48" s="69" t="str">
        <f t="shared" si="1"/>
        <v>PCARRIER XARIOS 6T MT / R452AChauffage gaz chaudou équivalentFonctionnement Route et Secteur (380 V Triphasé)Hauteur sous évaporateur : 1950 mmProtection évaporateur avant et arrièreCommande cabine à affichage numérique de la température1 câble de 10 m</v>
      </c>
    </row>
    <row r="49" spans="1:44" s="66" customFormat="1" ht="33.75" outlineLevel="1" x14ac:dyDescent="0.25">
      <c r="A49" s="64" t="s">
        <v>1378</v>
      </c>
      <c r="B49" s="64" t="s">
        <v>32</v>
      </c>
      <c r="C49" s="64" t="s">
        <v>2384</v>
      </c>
      <c r="D49" s="64" t="s">
        <v>2408</v>
      </c>
      <c r="E49" s="64" t="s">
        <v>2386</v>
      </c>
      <c r="F49" s="64" t="s">
        <v>2397</v>
      </c>
      <c r="G49" s="64" t="s">
        <v>2388</v>
      </c>
      <c r="H49" s="64" t="s">
        <v>2403</v>
      </c>
      <c r="I49" s="64"/>
      <c r="J49" s="64"/>
      <c r="K49" s="64" t="s">
        <v>2409</v>
      </c>
      <c r="L49" s="71"/>
      <c r="M49" s="64"/>
      <c r="N49" s="64"/>
      <c r="O49" s="64" t="s">
        <v>2410</v>
      </c>
      <c r="P49" s="64" t="s">
        <v>2411</v>
      </c>
      <c r="Q49" s="64"/>
      <c r="R49" s="64"/>
      <c r="S49" s="64"/>
      <c r="T49" s="64"/>
      <c r="U49" s="64"/>
      <c r="V49" s="64"/>
      <c r="W49" s="69" t="s">
        <v>442</v>
      </c>
      <c r="X49" s="64" t="s">
        <v>2393</v>
      </c>
      <c r="Y49" s="70"/>
      <c r="Z49" s="64"/>
      <c r="AA49" s="71"/>
      <c r="AB49" s="64"/>
      <c r="AC49" s="71"/>
      <c r="AD49" s="71"/>
      <c r="AE49" s="71"/>
      <c r="AF49" s="71"/>
      <c r="AG49" s="71"/>
      <c r="AH49" s="71"/>
      <c r="AI49" s="69" t="str">
        <f t="shared" si="1"/>
        <v>PCARRIER XARIOS 6T / R452AChauffage gaz chaud(Classe A ou C) ou équivalentFonctionnement Route et Secteur (380 V Triphasé)Hauteur sous évaporateur : 2000 mmPuissance frigorifique sur route (à 2400 tr/min) : à 0°C = 5310 W / à - 20°C = 2700 WDébit d'air : 2192 m3/hCommande cabine à affichage numérique de la température1 câble de 10 m</v>
      </c>
    </row>
    <row r="50" spans="1:44" s="66" customFormat="1" ht="33.75" outlineLevel="1" x14ac:dyDescent="0.25">
      <c r="A50" s="64" t="s">
        <v>1414</v>
      </c>
      <c r="B50" s="64" t="s">
        <v>32</v>
      </c>
      <c r="C50" s="64" t="s">
        <v>2384</v>
      </c>
      <c r="D50" s="64" t="s">
        <v>2412</v>
      </c>
      <c r="E50" s="64" t="s">
        <v>2386</v>
      </c>
      <c r="F50" s="64" t="s">
        <v>2402</v>
      </c>
      <c r="G50" s="64" t="s">
        <v>2413</v>
      </c>
      <c r="H50" s="64" t="s">
        <v>2403</v>
      </c>
      <c r="I50" s="64"/>
      <c r="J50" s="64"/>
      <c r="K50" s="64" t="s">
        <v>2414</v>
      </c>
      <c r="L50" s="64"/>
      <c r="M50" s="64"/>
      <c r="N50" s="64"/>
      <c r="O50" s="64" t="s">
        <v>2415</v>
      </c>
      <c r="P50" s="64" t="s">
        <v>2416</v>
      </c>
      <c r="Q50" s="64"/>
      <c r="R50" s="71"/>
      <c r="S50" s="71"/>
      <c r="T50" s="71"/>
      <c r="U50" s="71"/>
      <c r="V50" s="71"/>
      <c r="W50" s="69" t="s">
        <v>442</v>
      </c>
      <c r="X50" s="64" t="s">
        <v>2393</v>
      </c>
      <c r="Y50" s="70"/>
      <c r="Z50" s="71"/>
      <c r="AA50" s="71"/>
      <c r="AB50" s="71"/>
      <c r="AC50" s="71"/>
      <c r="AD50" s="71"/>
      <c r="AE50" s="71"/>
      <c r="AF50" s="71"/>
      <c r="AG50" s="71"/>
      <c r="AH50" s="71"/>
      <c r="AI50" s="69" t="str">
        <f t="shared" si="1"/>
        <v>PCARRIER SUPRA HE6-R2S / R452AChauffage gaz chaudou équivalentFonctionnement Route, Diesel et Secteur (380 V Triphasé)Hauteur sous évaporateur : 2080 mmPuissance frigorifique sur route (à grande vitesse) : à 0°C = 6300 W / à -20°C = 3570 WDébit d'air : 2570 m3/hCommande cabine à affichage numérique de la température1 câble de 10 m</v>
      </c>
    </row>
    <row r="51" spans="1:44" s="66" customFormat="1" ht="33.75" outlineLevel="1" x14ac:dyDescent="0.25">
      <c r="A51" s="64" t="s">
        <v>1405</v>
      </c>
      <c r="B51" s="64" t="s">
        <v>32</v>
      </c>
      <c r="C51" s="64" t="s">
        <v>2384</v>
      </c>
      <c r="D51" s="64" t="s">
        <v>2412</v>
      </c>
      <c r="E51" s="64" t="s">
        <v>2386</v>
      </c>
      <c r="F51" s="64" t="s">
        <v>2402</v>
      </c>
      <c r="G51" s="64" t="s">
        <v>2413</v>
      </c>
      <c r="H51" s="64" t="s">
        <v>2403</v>
      </c>
      <c r="I51" s="64"/>
      <c r="J51" s="64"/>
      <c r="K51" s="64" t="s">
        <v>2417</v>
      </c>
      <c r="L51" s="64"/>
      <c r="M51" s="64"/>
      <c r="N51" s="64"/>
      <c r="O51" s="64" t="s">
        <v>2415</v>
      </c>
      <c r="P51" s="64" t="s">
        <v>2416</v>
      </c>
      <c r="Q51" s="64"/>
      <c r="R51" s="71"/>
      <c r="S51" s="71"/>
      <c r="T51" s="71"/>
      <c r="U51" s="71"/>
      <c r="V51" s="71"/>
      <c r="W51" s="69" t="s">
        <v>442</v>
      </c>
      <c r="X51" s="64" t="s">
        <v>2393</v>
      </c>
      <c r="Y51" s="70"/>
      <c r="Z51" s="71"/>
      <c r="AA51" s="71"/>
      <c r="AB51" s="71"/>
      <c r="AC51" s="71"/>
      <c r="AD51" s="71"/>
      <c r="AE51" s="71"/>
      <c r="AF51" s="71"/>
      <c r="AG51" s="71"/>
      <c r="AH51" s="71"/>
      <c r="AI51" s="69" t="str">
        <f t="shared" si="1"/>
        <v>PCARRIER SUPRA HE6-R2S / R452AChauffage gaz chaudou équivalentFonctionnement Route, Diesel et Secteur (380 V Triphasé)Hauteur sous évaporateur : 1980 mmPuissance frigorifique sur route (à grande vitesse) : à 0°C = 6300 W / à -20°C = 3570 WDébit d'air : 2570 m3/hCommande cabine à affichage numérique de la température1 câble de 10 m</v>
      </c>
    </row>
    <row r="52" spans="1:44" s="66" customFormat="1" ht="22.5" outlineLevel="1" x14ac:dyDescent="0.25">
      <c r="A52" s="64" t="s">
        <v>1408</v>
      </c>
      <c r="B52" s="64" t="s">
        <v>32</v>
      </c>
      <c r="C52" s="64" t="s">
        <v>2384</v>
      </c>
      <c r="D52" s="64" t="s">
        <v>2418</v>
      </c>
      <c r="E52" s="64" t="s">
        <v>2386</v>
      </c>
      <c r="F52" s="64" t="s">
        <v>2402</v>
      </c>
      <c r="G52" s="64" t="s">
        <v>2413</v>
      </c>
      <c r="H52" s="64" t="s">
        <v>2403</v>
      </c>
      <c r="I52" s="64"/>
      <c r="J52" s="64"/>
      <c r="K52" s="64" t="s">
        <v>2419</v>
      </c>
      <c r="L52" s="64"/>
      <c r="M52" s="64"/>
      <c r="N52" s="64"/>
      <c r="O52" s="64"/>
      <c r="P52" s="64"/>
      <c r="Q52" s="64" t="s">
        <v>440</v>
      </c>
      <c r="R52" s="64"/>
      <c r="S52" s="64"/>
      <c r="T52" s="64"/>
      <c r="U52" s="64"/>
      <c r="V52" s="64"/>
      <c r="W52" s="69" t="s">
        <v>442</v>
      </c>
      <c r="X52" s="64" t="s">
        <v>2393</v>
      </c>
      <c r="Y52" s="70"/>
      <c r="Z52" s="64"/>
      <c r="AA52" s="71"/>
      <c r="AB52" s="64"/>
      <c r="AC52" s="64"/>
      <c r="AD52" s="64"/>
      <c r="AE52" s="64"/>
      <c r="AF52" s="64"/>
      <c r="AG52" s="64"/>
      <c r="AH52" s="64"/>
      <c r="AI52" s="69" t="str">
        <f t="shared" si="1"/>
        <v>PCARRIER SUPRA HE8 MT / R452AChauffage gaz chaudou équivalentFonctionnement Route, Diesel et Secteur (380 V Triphasé)Hauteur sous évaporateur : 2060 mmProtection évaporateur avant et arrièreCommande cabine à affichage numérique de la température1 câble de 10 m</v>
      </c>
    </row>
    <row r="53" spans="1:44" s="66" customFormat="1" ht="33.75" outlineLevel="1" x14ac:dyDescent="0.25">
      <c r="A53" s="64" t="s">
        <v>1422</v>
      </c>
      <c r="B53" s="64" t="s">
        <v>32</v>
      </c>
      <c r="C53" s="64" t="s">
        <v>2384</v>
      </c>
      <c r="D53" s="64" t="s">
        <v>2420</v>
      </c>
      <c r="E53" s="64" t="s">
        <v>2386</v>
      </c>
      <c r="F53" s="64" t="s">
        <v>2402</v>
      </c>
      <c r="G53" s="64" t="s">
        <v>2413</v>
      </c>
      <c r="H53" s="64" t="s">
        <v>2403</v>
      </c>
      <c r="I53" s="64"/>
      <c r="J53" s="64"/>
      <c r="K53" s="64" t="s">
        <v>2414</v>
      </c>
      <c r="L53" s="64"/>
      <c r="M53" s="64"/>
      <c r="N53" s="64"/>
      <c r="O53" s="64" t="s">
        <v>2421</v>
      </c>
      <c r="P53" s="64" t="s">
        <v>2416</v>
      </c>
      <c r="Q53" s="64"/>
      <c r="R53" s="64"/>
      <c r="S53" s="64"/>
      <c r="T53" s="64"/>
      <c r="U53" s="64"/>
      <c r="V53" s="64"/>
      <c r="W53" s="69" t="s">
        <v>442</v>
      </c>
      <c r="X53" s="64" t="s">
        <v>2393</v>
      </c>
      <c r="Y53" s="70"/>
      <c r="Z53" s="64"/>
      <c r="AA53" s="71"/>
      <c r="AB53" s="64"/>
      <c r="AC53" s="64"/>
      <c r="AD53" s="70"/>
      <c r="AE53" s="64"/>
      <c r="AF53" s="64"/>
      <c r="AG53" s="64"/>
      <c r="AH53" s="64"/>
      <c r="AI53" s="69" t="str">
        <f t="shared" si="1"/>
        <v>PCARRIER SUPRA HE8-R2S / R452AChauffage gaz chaudou équivalentFonctionnement Route, Diesel et Secteur (380 V Triphasé)Hauteur sous évaporateur : 2080 mmPuissance frigorifique sur route (à grande vitesse) : à 0°C = 7710 W / à -20°C = 3950 WDébit d'air : 2570 m3/hCommande cabine à affichage numérique de la température1 câble de 10 m</v>
      </c>
    </row>
    <row r="54" spans="1:44" s="66" customFormat="1" ht="22.5" outlineLevel="1" x14ac:dyDescent="0.25">
      <c r="A54" s="64" t="s">
        <v>1425</v>
      </c>
      <c r="B54" s="64" t="s">
        <v>32</v>
      </c>
      <c r="C54" s="64" t="s">
        <v>2384</v>
      </c>
      <c r="D54" s="64" t="s">
        <v>2422</v>
      </c>
      <c r="E54" s="64" t="s">
        <v>2386</v>
      </c>
      <c r="F54" s="64" t="s">
        <v>2402</v>
      </c>
      <c r="G54" s="64" t="s">
        <v>2413</v>
      </c>
      <c r="H54" s="64" t="s">
        <v>2403</v>
      </c>
      <c r="I54" s="64"/>
      <c r="J54" s="64"/>
      <c r="K54" s="64" t="s">
        <v>2423</v>
      </c>
      <c r="L54" s="64"/>
      <c r="M54" s="64"/>
      <c r="N54" s="64"/>
      <c r="O54" s="64"/>
      <c r="P54" s="64"/>
      <c r="Q54" s="64" t="s">
        <v>440</v>
      </c>
      <c r="R54" s="64"/>
      <c r="S54" s="64"/>
      <c r="T54" s="64"/>
      <c r="U54" s="64"/>
      <c r="V54" s="64"/>
      <c r="W54" s="69" t="s">
        <v>442</v>
      </c>
      <c r="X54" s="64" t="s">
        <v>2393</v>
      </c>
      <c r="Y54" s="70"/>
      <c r="Z54" s="64"/>
      <c r="AA54" s="71"/>
      <c r="AB54" s="64"/>
      <c r="AC54" s="64"/>
      <c r="AD54" s="70"/>
      <c r="AE54" s="64"/>
      <c r="AF54" s="64"/>
      <c r="AG54" s="64"/>
      <c r="AH54" s="64"/>
      <c r="AI54" s="69" t="str">
        <f t="shared" si="1"/>
        <v>PCARRIER SUPRA HE11 MT / R452AChauffage gaz chaudou équivalentFonctionnement Route, Diesel et Secteur (380 V Triphasé)Hauteur sous évaporateur : 2160 mmProtection évaporateur avant et arrièreCommande cabine à affichage numérique de la température1 câble de 10 m</v>
      </c>
    </row>
    <row r="55" spans="1:44" s="96" customFormat="1" ht="33.75" outlineLevel="1" x14ac:dyDescent="0.25">
      <c r="A55" s="64" t="s">
        <v>1443</v>
      </c>
      <c r="B55" s="64" t="s">
        <v>32</v>
      </c>
      <c r="C55" s="64" t="s">
        <v>2384</v>
      </c>
      <c r="D55" s="64" t="s">
        <v>2424</v>
      </c>
      <c r="E55" s="64" t="s">
        <v>2386</v>
      </c>
      <c r="F55" s="64" t="s">
        <v>2402</v>
      </c>
      <c r="G55" s="64" t="s">
        <v>2413</v>
      </c>
      <c r="H55" s="64" t="s">
        <v>2403</v>
      </c>
      <c r="I55" s="64"/>
      <c r="J55" s="64"/>
      <c r="K55" s="64" t="s">
        <v>2425</v>
      </c>
      <c r="L55" s="64"/>
      <c r="M55" s="64"/>
      <c r="N55" s="64"/>
      <c r="O55" s="64" t="s">
        <v>2426</v>
      </c>
      <c r="P55" s="64" t="s">
        <v>2427</v>
      </c>
      <c r="Q55" s="64"/>
      <c r="R55" s="64"/>
      <c r="S55" s="64"/>
      <c r="T55" s="64"/>
      <c r="U55" s="64"/>
      <c r="V55" s="64"/>
      <c r="W55" s="69" t="s">
        <v>442</v>
      </c>
      <c r="X55" s="64" t="s">
        <v>2393</v>
      </c>
      <c r="Y55" s="70"/>
      <c r="Z55" s="64"/>
      <c r="AA55" s="71"/>
      <c r="AB55" s="64"/>
      <c r="AC55" s="64"/>
      <c r="AD55" s="64"/>
      <c r="AE55" s="64"/>
      <c r="AF55" s="64"/>
      <c r="AG55" s="64"/>
      <c r="AH55" s="64"/>
      <c r="AI55" s="69" t="str">
        <f t="shared" si="1"/>
        <v>PCARRIER SUPRA HE9-R2S / R452AChauffage gaz chaudou équivalentFonctionnement Route, Diesel et Secteur (380 V Triphasé)Hauteur sous évaporateur : 2040 mmPuissance frigorifique sur route (à grande vitesse) : à 0°C = 9020 W / à -20°C = 5390 WDébit d'air : 2445 m3/hCommande cabine à affichage numérique de la température1 câble de 10 m</v>
      </c>
      <c r="AJ55" s="67"/>
      <c r="AK55" s="67"/>
      <c r="AL55" s="67"/>
      <c r="AM55" s="67"/>
      <c r="AN55" s="67"/>
      <c r="AO55" s="67"/>
      <c r="AP55" s="67"/>
      <c r="AQ55" s="67"/>
      <c r="AR55" s="67"/>
    </row>
    <row r="56" spans="1:44" s="66" customFormat="1" ht="33.75" outlineLevel="1" x14ac:dyDescent="0.25">
      <c r="A56" s="64" t="s">
        <v>1465</v>
      </c>
      <c r="B56" s="64" t="s">
        <v>32</v>
      </c>
      <c r="C56" s="64" t="s">
        <v>2384</v>
      </c>
      <c r="D56" s="64" t="s">
        <v>2428</v>
      </c>
      <c r="E56" s="64" t="s">
        <v>2386</v>
      </c>
      <c r="F56" s="64" t="s">
        <v>2402</v>
      </c>
      <c r="G56" s="64" t="s">
        <v>2413</v>
      </c>
      <c r="H56" s="64" t="s">
        <v>2403</v>
      </c>
      <c r="I56" s="64"/>
      <c r="J56" s="64"/>
      <c r="K56" s="64" t="s">
        <v>2425</v>
      </c>
      <c r="L56" s="64"/>
      <c r="M56" s="64"/>
      <c r="N56" s="64"/>
      <c r="O56" s="64" t="s">
        <v>2429</v>
      </c>
      <c r="P56" s="64" t="s">
        <v>2430</v>
      </c>
      <c r="Q56" s="64"/>
      <c r="R56" s="64"/>
      <c r="S56" s="64"/>
      <c r="T56" s="64"/>
      <c r="U56" s="64"/>
      <c r="V56" s="64"/>
      <c r="W56" s="69" t="s">
        <v>442</v>
      </c>
      <c r="X56" s="64" t="s">
        <v>2393</v>
      </c>
      <c r="Y56" s="70"/>
      <c r="Z56" s="64"/>
      <c r="AA56" s="71"/>
      <c r="AB56" s="64"/>
      <c r="AC56" s="64"/>
      <c r="AD56" s="64"/>
      <c r="AE56" s="64"/>
      <c r="AF56" s="64"/>
      <c r="AG56" s="64"/>
      <c r="AH56" s="64"/>
      <c r="AI56" s="69" t="str">
        <f t="shared" si="1"/>
        <v>PCARRIER SUPRA HE11-R2S / R452AChauffage gaz chaudou équivalentFonctionnement Route, Diesel et Secteur (380 V Triphasé)Hauteur sous évaporateur : 2040 mmPuissance frigorifique sur route (à grande vitesse) : à 0°C = 10810 W / à -20°C = 5930 WDébit d'air : 3350 m3/hCommande cabine à affichage numérique de la température1 câble de 10 m</v>
      </c>
    </row>
    <row r="57" spans="1:44" s="96" customFormat="1" ht="22.5" outlineLevel="1" x14ac:dyDescent="0.25">
      <c r="A57" s="64" t="s">
        <v>1611</v>
      </c>
      <c r="B57" s="64" t="s">
        <v>32</v>
      </c>
      <c r="C57" s="64" t="s">
        <v>2384</v>
      </c>
      <c r="D57" s="64" t="s">
        <v>2431</v>
      </c>
      <c r="E57" s="64" t="s">
        <v>2386</v>
      </c>
      <c r="F57" s="64" t="s">
        <v>2402</v>
      </c>
      <c r="G57" s="64" t="s">
        <v>2413</v>
      </c>
      <c r="H57" s="64" t="s">
        <v>2403</v>
      </c>
      <c r="I57" s="64"/>
      <c r="J57" s="64"/>
      <c r="K57" s="64" t="s">
        <v>2423</v>
      </c>
      <c r="L57" s="64"/>
      <c r="M57" s="64"/>
      <c r="N57" s="64"/>
      <c r="O57" s="64"/>
      <c r="P57" s="64"/>
      <c r="Q57" s="64" t="s">
        <v>440</v>
      </c>
      <c r="R57" s="64"/>
      <c r="S57" s="64"/>
      <c r="T57" s="64"/>
      <c r="U57" s="64"/>
      <c r="V57" s="64"/>
      <c r="W57" s="69" t="s">
        <v>442</v>
      </c>
      <c r="X57" s="64" t="s">
        <v>2393</v>
      </c>
      <c r="Y57" s="70"/>
      <c r="Z57" s="64"/>
      <c r="AA57" s="71"/>
      <c r="AB57" s="64"/>
      <c r="AC57" s="64"/>
      <c r="AD57" s="64"/>
      <c r="AE57" s="64"/>
      <c r="AF57" s="64"/>
      <c r="AG57" s="64"/>
      <c r="AH57" s="64"/>
      <c r="AI57" s="69" t="str">
        <f t="shared" si="1"/>
        <v>PCARRIER SUPRA HE13 MT / R452AChauffage gaz chaudou équivalentFonctionnement Route, Diesel et Secteur (380 V Triphasé)Hauteur sous évaporateur : 2160 mmProtection évaporateur avant et arrièreCommande cabine à affichage numérique de la température1 câble de 10 m</v>
      </c>
      <c r="AJ57" s="67"/>
      <c r="AK57" s="67"/>
      <c r="AL57" s="67"/>
      <c r="AM57" s="67"/>
      <c r="AN57" s="67"/>
      <c r="AO57" s="67"/>
      <c r="AP57" s="67"/>
      <c r="AQ57" s="67"/>
      <c r="AR57" s="67"/>
    </row>
    <row r="58" spans="1:44" s="66" customFormat="1" ht="33.75" outlineLevel="1" x14ac:dyDescent="0.25">
      <c r="A58" s="64" t="s">
        <v>1608</v>
      </c>
      <c r="B58" s="64" t="s">
        <v>32</v>
      </c>
      <c r="C58" s="64" t="s">
        <v>2384</v>
      </c>
      <c r="D58" s="64" t="s">
        <v>2432</v>
      </c>
      <c r="E58" s="64" t="s">
        <v>2386</v>
      </c>
      <c r="F58" s="64" t="s">
        <v>2402</v>
      </c>
      <c r="G58" s="64" t="s">
        <v>2413</v>
      </c>
      <c r="H58" s="64" t="s">
        <v>2403</v>
      </c>
      <c r="I58" s="64"/>
      <c r="J58" s="64"/>
      <c r="K58" s="64" t="s">
        <v>2425</v>
      </c>
      <c r="L58" s="64"/>
      <c r="M58" s="64"/>
      <c r="N58" s="64"/>
      <c r="O58" s="64" t="s">
        <v>2433</v>
      </c>
      <c r="P58" s="64" t="s">
        <v>2434</v>
      </c>
      <c r="Q58" s="64"/>
      <c r="R58" s="64"/>
      <c r="S58" s="64"/>
      <c r="T58" s="64"/>
      <c r="U58" s="64"/>
      <c r="V58" s="64"/>
      <c r="W58" s="69" t="s">
        <v>442</v>
      </c>
      <c r="X58" s="64" t="s">
        <v>2393</v>
      </c>
      <c r="Y58" s="70"/>
      <c r="Z58" s="64"/>
      <c r="AA58" s="71"/>
      <c r="AB58" s="64"/>
      <c r="AC58" s="64"/>
      <c r="AD58" s="64"/>
      <c r="AE58" s="64"/>
      <c r="AF58" s="64"/>
      <c r="AG58" s="64"/>
      <c r="AH58" s="64"/>
      <c r="AI58" s="69" t="str">
        <f t="shared" si="1"/>
        <v>PCARRIER SUPRA HE13-R2S / R452AChauffage gaz chaudou équivalentFonctionnement Route, Diesel et Secteur (380 V Triphasé)Hauteur sous évaporateur : 2040 mmPuissance frigorifique sur route (à grande vitesse) : à 0°C = 12010 W / à -20°C = 6700 WDébit d'air : 3074 m3/hCommande cabine à affichage numérique de la température1 câble de 10 m</v>
      </c>
    </row>
    <row r="59" spans="1:44" s="66" customFormat="1" ht="33.75" outlineLevel="1" x14ac:dyDescent="0.25">
      <c r="A59" s="64" t="s">
        <v>1585</v>
      </c>
      <c r="B59" s="64" t="s">
        <v>32</v>
      </c>
      <c r="C59" s="64" t="s">
        <v>2435</v>
      </c>
      <c r="D59" s="64" t="s">
        <v>2436</v>
      </c>
      <c r="E59" s="64" t="s">
        <v>2437</v>
      </c>
      <c r="F59" s="64" t="s">
        <v>2402</v>
      </c>
      <c r="G59" s="64" t="s">
        <v>2438</v>
      </c>
      <c r="H59" s="64" t="s">
        <v>2403</v>
      </c>
      <c r="I59" s="64"/>
      <c r="J59" s="64"/>
      <c r="K59" s="64" t="s">
        <v>2423</v>
      </c>
      <c r="L59" s="64"/>
      <c r="M59" s="64" t="s">
        <v>2439</v>
      </c>
      <c r="N59" s="64"/>
      <c r="O59" s="64" t="s">
        <v>2440</v>
      </c>
      <c r="P59" s="64" t="s">
        <v>2441</v>
      </c>
      <c r="Q59" s="64"/>
      <c r="R59" s="64"/>
      <c r="S59" s="64"/>
      <c r="T59" s="64"/>
      <c r="U59" s="64"/>
      <c r="V59" s="64"/>
      <c r="W59" s="69" t="s">
        <v>442</v>
      </c>
      <c r="X59" s="64" t="s">
        <v>2393</v>
      </c>
      <c r="Y59" s="70"/>
      <c r="Z59" s="64"/>
      <c r="AA59" s="71"/>
      <c r="AB59" s="64"/>
      <c r="AC59" s="64"/>
      <c r="AD59" s="64"/>
      <c r="AE59" s="64"/>
      <c r="AF59" s="64"/>
      <c r="AG59" s="64"/>
      <c r="AH59" s="64"/>
      <c r="AI59" s="69" t="str">
        <f t="shared" si="1"/>
        <v>PCARRIERSYBERIA 11 / R452AChauffage électriqueou équivalentFonctionnement Route, Power Box 10 kW et Secteur(380 V Triphasé)Hauteur sous évaporateur : 2160 mmBoîtier LYNXPuissance frigorifique sur route : à 0°C = 8360 W / à -20°C = 4630 W Débit d'air : 3426 m3/hCommande cabine à affichage numérique de la température1 câble de 10 m</v>
      </c>
    </row>
    <row r="60" spans="1:44" s="66" customFormat="1" ht="33.75" outlineLevel="1" x14ac:dyDescent="0.25">
      <c r="A60" s="64" t="s">
        <v>1587</v>
      </c>
      <c r="B60" s="64" t="s">
        <v>32</v>
      </c>
      <c r="C60" s="64" t="s">
        <v>2435</v>
      </c>
      <c r="D60" s="64" t="s">
        <v>2442</v>
      </c>
      <c r="E60" s="64" t="s">
        <v>2437</v>
      </c>
      <c r="F60" s="64" t="s">
        <v>2402</v>
      </c>
      <c r="G60" s="64" t="s">
        <v>2438</v>
      </c>
      <c r="H60" s="64" t="s">
        <v>2403</v>
      </c>
      <c r="I60" s="64"/>
      <c r="J60" s="64"/>
      <c r="K60" s="64" t="s">
        <v>2423</v>
      </c>
      <c r="L60" s="64"/>
      <c r="M60" s="64" t="s">
        <v>2439</v>
      </c>
      <c r="N60" s="64"/>
      <c r="O60" s="64"/>
      <c r="P60" s="64"/>
      <c r="Q60" s="64" t="s">
        <v>440</v>
      </c>
      <c r="R60" s="64"/>
      <c r="S60" s="64"/>
      <c r="T60" s="64"/>
      <c r="U60" s="64"/>
      <c r="V60" s="64"/>
      <c r="W60" s="69" t="s">
        <v>442</v>
      </c>
      <c r="X60" s="64" t="s">
        <v>2393</v>
      </c>
      <c r="Y60" s="70"/>
      <c r="Z60" s="64"/>
      <c r="AA60" s="71"/>
      <c r="AB60" s="64"/>
      <c r="AC60" s="64"/>
      <c r="AD60" s="64"/>
      <c r="AE60" s="64"/>
      <c r="AF60" s="64"/>
      <c r="AG60" s="64"/>
      <c r="AH60" s="64"/>
      <c r="AI60" s="69" t="str">
        <f t="shared" si="1"/>
        <v>PCARRIERSYBERIA 14 TC / R452AChauffage électriqueou équivalentFonctionnement Route, Power Box 10 kW et Secteur(380 V Triphasé)Hauteur sous évaporateur : 2160 mmBoîtier LYNXProtection évaporateur avant et arrièreCommande cabine à affichage numérique de la température1 câble de 10 m</v>
      </c>
    </row>
    <row r="61" spans="1:44" s="96" customFormat="1" ht="33.75" outlineLevel="1" x14ac:dyDescent="0.25">
      <c r="A61" s="64" t="s">
        <v>1624</v>
      </c>
      <c r="B61" s="64" t="s">
        <v>32</v>
      </c>
      <c r="C61" s="64" t="s">
        <v>2384</v>
      </c>
      <c r="D61" s="64" t="s">
        <v>2443</v>
      </c>
      <c r="E61" s="64"/>
      <c r="F61" s="64" t="s">
        <v>2402</v>
      </c>
      <c r="G61" s="64" t="s">
        <v>2413</v>
      </c>
      <c r="H61" s="64" t="s">
        <v>2403</v>
      </c>
      <c r="I61" s="64"/>
      <c r="J61" s="64"/>
      <c r="K61" s="64"/>
      <c r="L61" s="64"/>
      <c r="M61" s="64" t="s">
        <v>2444</v>
      </c>
      <c r="N61" s="64"/>
      <c r="O61" s="64" t="s">
        <v>2445</v>
      </c>
      <c r="P61" s="64" t="s">
        <v>2446</v>
      </c>
      <c r="Q61" s="64"/>
      <c r="R61" s="64"/>
      <c r="S61" s="64"/>
      <c r="T61" s="64"/>
      <c r="U61" s="64"/>
      <c r="V61" s="64"/>
      <c r="W61" s="69"/>
      <c r="X61" s="64"/>
      <c r="Y61" s="70"/>
      <c r="Z61" s="64"/>
      <c r="AA61" s="71"/>
      <c r="AB61" s="64"/>
      <c r="AC61" s="64"/>
      <c r="AD61" s="64"/>
      <c r="AE61" s="64"/>
      <c r="AF61" s="64"/>
      <c r="AG61" s="64"/>
      <c r="AH61" s="64"/>
      <c r="AI61" s="69" t="str">
        <f t="shared" si="1"/>
        <v>PCARRIER VECTOR HE 19 / R452Aou équivalentFonctionnement Route, Diesel et Secteur (380 V Triphasé)Réservoir à carburant de 250 LPuissance frigorifique sur route (à très grande vitesse) : à 0°C = 17652 W / à -20°C = 9796 W Débit d'air : 5545 m3/h</v>
      </c>
      <c r="AJ61" s="67"/>
      <c r="AK61" s="67"/>
      <c r="AL61" s="67"/>
      <c r="AM61" s="67"/>
      <c r="AN61" s="67"/>
      <c r="AO61" s="67"/>
      <c r="AP61" s="67"/>
      <c r="AQ61" s="67"/>
      <c r="AR61" s="67"/>
    </row>
    <row r="62" spans="1:44" s="66" customFormat="1" ht="33.75" outlineLevel="1" x14ac:dyDescent="0.25">
      <c r="A62" s="64" t="s">
        <v>1629</v>
      </c>
      <c r="B62" s="64" t="s">
        <v>32</v>
      </c>
      <c r="C62" s="64" t="s">
        <v>2384</v>
      </c>
      <c r="D62" s="64" t="s">
        <v>2447</v>
      </c>
      <c r="E62" s="64"/>
      <c r="F62" s="64" t="s">
        <v>2402</v>
      </c>
      <c r="G62" s="64" t="s">
        <v>2413</v>
      </c>
      <c r="H62" s="64" t="s">
        <v>2403</v>
      </c>
      <c r="I62" s="64"/>
      <c r="J62" s="64"/>
      <c r="K62" s="64" t="s">
        <v>2448</v>
      </c>
      <c r="L62" s="64"/>
      <c r="M62" s="64" t="s">
        <v>2444</v>
      </c>
      <c r="N62" s="64" t="s">
        <v>2449</v>
      </c>
      <c r="O62" s="64"/>
      <c r="P62" s="64"/>
      <c r="Q62" s="64" t="s">
        <v>440</v>
      </c>
      <c r="R62" s="64"/>
      <c r="S62" s="64"/>
      <c r="T62" s="64"/>
      <c r="U62" s="64"/>
      <c r="V62" s="64"/>
      <c r="W62" s="69"/>
      <c r="X62" s="64"/>
      <c r="Y62" s="70"/>
      <c r="Z62" s="64"/>
      <c r="AA62" s="71"/>
      <c r="AB62" s="64"/>
      <c r="AC62" s="64"/>
      <c r="AD62" s="64"/>
      <c r="AE62" s="64"/>
      <c r="AF62" s="64"/>
      <c r="AG62" s="64"/>
      <c r="AH62" s="64"/>
      <c r="AI62" s="69" t="str">
        <f t="shared" si="1"/>
        <v>PCARRIER VECTOR HE 19 MT  / R452Aou équivalentFonctionnement Route, Diesel et Secteur (380 V Triphasé)Hauteur sous évaporateur : 2360 mmRéservoir à carburant de 250 LEnregistreur de température DATACOLD 600T avec imprimanteProtection évaporateur avant et arrière</v>
      </c>
    </row>
    <row r="63" spans="1:44" s="66" customFormat="1" ht="33.75" outlineLevel="1" x14ac:dyDescent="0.25">
      <c r="A63" s="64" t="s">
        <v>1160</v>
      </c>
      <c r="B63" s="64" t="s">
        <v>32</v>
      </c>
      <c r="C63" s="64" t="s">
        <v>2384</v>
      </c>
      <c r="D63" s="64" t="s">
        <v>2450</v>
      </c>
      <c r="E63" s="64" t="s">
        <v>2386</v>
      </c>
      <c r="F63" s="64" t="s">
        <v>2451</v>
      </c>
      <c r="G63" s="64" t="s">
        <v>2452</v>
      </c>
      <c r="H63" s="64" t="s">
        <v>2389</v>
      </c>
      <c r="I63" s="64"/>
      <c r="J63" s="64"/>
      <c r="K63" s="64" t="s">
        <v>2453</v>
      </c>
      <c r="L63" s="64"/>
      <c r="M63" s="64"/>
      <c r="N63" s="64"/>
      <c r="O63" s="64" t="s">
        <v>2454</v>
      </c>
      <c r="P63" s="64" t="s">
        <v>2455</v>
      </c>
      <c r="Q63" s="64"/>
      <c r="R63" s="64"/>
      <c r="S63" s="64"/>
      <c r="T63" s="64"/>
      <c r="U63" s="71"/>
      <c r="V63" s="64"/>
      <c r="W63" s="69" t="s">
        <v>442</v>
      </c>
      <c r="X63" s="64" t="s">
        <v>2393</v>
      </c>
      <c r="Y63" s="70"/>
      <c r="Z63" s="64"/>
      <c r="AA63" s="71"/>
      <c r="AB63" s="64"/>
      <c r="AC63" s="64"/>
      <c r="AD63" s="70"/>
      <c r="AE63" s="64"/>
      <c r="AF63" s="64"/>
      <c r="AG63" s="64"/>
      <c r="AH63" s="64"/>
      <c r="AI63" s="69" t="str">
        <f t="shared" si="1"/>
        <v>PCARRIER NEOS 100  / R134aChauffage gaz chaud(Classe A) ou équivalentFonctionnement Route (sur alternateur véhicule) et Secteur (220 V Monophasé)Hauteur sous évaporateur : 750 mmPuissance frigorifique sur route (à 2400 tr/min) : à 0°C = 1240 WDébit d'air : 390 m3/hCommande cabine à affichage numérique de la température1 câble de 10 m</v>
      </c>
    </row>
    <row r="64" spans="1:44" s="66" customFormat="1" ht="33.75" outlineLevel="1" x14ac:dyDescent="0.25">
      <c r="A64" s="64" t="s">
        <v>1490</v>
      </c>
      <c r="B64" s="64" t="s">
        <v>32</v>
      </c>
      <c r="C64" s="64" t="s">
        <v>2456</v>
      </c>
      <c r="D64" s="64" t="s">
        <v>2457</v>
      </c>
      <c r="E64" s="64"/>
      <c r="F64" s="64" t="s">
        <v>2397</v>
      </c>
      <c r="G64" s="64" t="s">
        <v>2388</v>
      </c>
      <c r="H64" s="64" t="s">
        <v>2389</v>
      </c>
      <c r="I64" s="64"/>
      <c r="J64" s="64"/>
      <c r="K64" s="64" t="s">
        <v>2458</v>
      </c>
      <c r="L64" s="64"/>
      <c r="M64" s="64"/>
      <c r="N64" s="64"/>
      <c r="O64" s="64" t="s">
        <v>2459</v>
      </c>
      <c r="P64" s="64" t="s">
        <v>2460</v>
      </c>
      <c r="Q64" s="64"/>
      <c r="R64" s="64"/>
      <c r="S64" s="64"/>
      <c r="T64" s="64"/>
      <c r="U64" s="71"/>
      <c r="V64" s="64"/>
      <c r="W64" s="69" t="s">
        <v>442</v>
      </c>
      <c r="X64" s="64" t="s">
        <v>2393</v>
      </c>
      <c r="Y64" s="70"/>
      <c r="Z64" s="64"/>
      <c r="AA64" s="71"/>
      <c r="AB64" s="64"/>
      <c r="AC64" s="64"/>
      <c r="AD64" s="64"/>
      <c r="AE64" s="64"/>
      <c r="AF64" s="70"/>
      <c r="AG64" s="64"/>
      <c r="AH64" s="69"/>
      <c r="AI64" s="69" t="str">
        <f t="shared" si="1"/>
        <v>PTHERMOKING E-200e Max 50 / R452A(Classe A ou C) ou équivalentFonctionnement Route et Secteur (220 V Monophasé)Hauteur sous évaporateur : 1233 mmPuissance frigorifique sur route (à 2400 tr/min) : à 0°C = 1958 W / à -20°C = 1071 WDébit d'air : 800 m3/hCommande cabine à affichage numérique de la température1 câble de 10 m</v>
      </c>
    </row>
    <row r="65" spans="1:44" s="66" customFormat="1" ht="33.75" outlineLevel="1" x14ac:dyDescent="0.25">
      <c r="A65" s="64" t="s">
        <v>1504</v>
      </c>
      <c r="B65" s="64" t="s">
        <v>32</v>
      </c>
      <c r="C65" s="64" t="s">
        <v>2456</v>
      </c>
      <c r="D65" s="64" t="s">
        <v>2457</v>
      </c>
      <c r="E65" s="64"/>
      <c r="F65" s="64" t="s">
        <v>2397</v>
      </c>
      <c r="G65" s="64" t="s">
        <v>2388</v>
      </c>
      <c r="H65" s="64" t="s">
        <v>2389</v>
      </c>
      <c r="I65" s="64"/>
      <c r="J65" s="64"/>
      <c r="K65" s="64" t="s">
        <v>2458</v>
      </c>
      <c r="L65" s="64"/>
      <c r="M65" s="64"/>
      <c r="N65" s="64"/>
      <c r="O65" s="64" t="s">
        <v>2459</v>
      </c>
      <c r="P65" s="64" t="s">
        <v>2460</v>
      </c>
      <c r="Q65" s="64"/>
      <c r="R65" s="64" t="s">
        <v>2461</v>
      </c>
      <c r="S65" s="64"/>
      <c r="T65" s="64"/>
      <c r="U65" s="71"/>
      <c r="V65" s="64"/>
      <c r="W65" s="69" t="s">
        <v>442</v>
      </c>
      <c r="X65" s="64" t="s">
        <v>2393</v>
      </c>
      <c r="Y65" s="70"/>
      <c r="Z65" s="64"/>
      <c r="AA65" s="71"/>
      <c r="AB65" s="64"/>
      <c r="AC65" s="64"/>
      <c r="AD65" s="64"/>
      <c r="AE65" s="64"/>
      <c r="AF65" s="70"/>
      <c r="AG65" s="64"/>
      <c r="AH65" s="69"/>
      <c r="AI65" s="69" t="str">
        <f t="shared" si="1"/>
        <v>PTHERMOKING E-200e Max 50 / R452A(Classe A ou C) ou équivalentFonctionnement Route et Secteur (220 V Monophasé)Hauteur sous évaporateur : 1233 mmPuissance frigorifique sur route (à 2400 tr/min) : à 0°C = 1958 W / à -20°C = 1071 WDébit d'air : 800 m3/h1 contacteur de porte arrêt ventilationCommande cabine à affichage numérique de la température1 câble de 10 m</v>
      </c>
    </row>
    <row r="66" spans="1:44" s="66" customFormat="1" ht="33.75" outlineLevel="1" x14ac:dyDescent="0.25">
      <c r="A66" s="64" t="s">
        <v>1357</v>
      </c>
      <c r="B66" s="64" t="s">
        <v>32</v>
      </c>
      <c r="C66" s="64" t="s">
        <v>2456</v>
      </c>
      <c r="D66" s="64" t="s">
        <v>2462</v>
      </c>
      <c r="E66" s="64"/>
      <c r="F66" s="64" t="s">
        <v>2397</v>
      </c>
      <c r="G66" s="64" t="s">
        <v>2463</v>
      </c>
      <c r="H66" s="64" t="s">
        <v>2464</v>
      </c>
      <c r="I66" s="64"/>
      <c r="J66" s="64"/>
      <c r="K66" s="64" t="s">
        <v>2465</v>
      </c>
      <c r="L66" s="64"/>
      <c r="M66" s="64" t="s">
        <v>2466</v>
      </c>
      <c r="N66" s="64"/>
      <c r="O66" s="64" t="s">
        <v>2467</v>
      </c>
      <c r="P66" s="64" t="s">
        <v>2468</v>
      </c>
      <c r="Q66" s="64"/>
      <c r="R66" s="64" t="s">
        <v>2461</v>
      </c>
      <c r="S66" s="64"/>
      <c r="T66" s="64"/>
      <c r="U66" s="71"/>
      <c r="V66" s="64"/>
      <c r="W66" s="69" t="s">
        <v>442</v>
      </c>
      <c r="X66" s="64" t="s">
        <v>2469</v>
      </c>
      <c r="Y66" s="70"/>
      <c r="Z66" s="64"/>
      <c r="AA66" s="71"/>
      <c r="AB66" s="64"/>
      <c r="AC66" s="64"/>
      <c r="AD66" s="64"/>
      <c r="AE66" s="64"/>
      <c r="AF66" s="64"/>
      <c r="AG66" s="64"/>
      <c r="AH66" s="64"/>
      <c r="AI66" s="69" t="str">
        <f t="shared" si="1"/>
        <v>PTHERMOKING E-500 Max 50 / R452A(Classe A ou C) ou équivalentFonctionnement Route sur E-PTO et Secteur (220 V ou 380 v)Hauteur sous évaporateur : 1650 mmBlue Box LitePuissance frigorifique sur route : à 0°C = 4700 W / à -20°C = 2300 WDébit d'air : 2353 m3/h (PV en cours)1 contacteur de porte arrêt ventilationCommande cabine à affichage numérique de la températureAlimentation secteur par la rallonge du châssis</v>
      </c>
    </row>
    <row r="67" spans="1:44" s="66" customFormat="1" ht="33.75" outlineLevel="1" x14ac:dyDescent="0.25">
      <c r="A67" s="64" t="s">
        <v>1394</v>
      </c>
      <c r="B67" s="64" t="s">
        <v>32</v>
      </c>
      <c r="C67" s="64" t="s">
        <v>2456</v>
      </c>
      <c r="D67" s="64" t="s">
        <v>2462</v>
      </c>
      <c r="E67" s="64"/>
      <c r="F67" s="64" t="s">
        <v>2397</v>
      </c>
      <c r="G67" s="64" t="s">
        <v>2463</v>
      </c>
      <c r="H67" s="64" t="s">
        <v>2464</v>
      </c>
      <c r="I67" s="64"/>
      <c r="J67" s="64"/>
      <c r="K67" s="64" t="s">
        <v>2470</v>
      </c>
      <c r="L67" s="64"/>
      <c r="M67" s="64" t="s">
        <v>2466</v>
      </c>
      <c r="N67" s="64"/>
      <c r="O67" s="64" t="s">
        <v>2467</v>
      </c>
      <c r="P67" s="64" t="s">
        <v>2468</v>
      </c>
      <c r="Q67" s="64"/>
      <c r="R67" s="64" t="s">
        <v>2461</v>
      </c>
      <c r="S67" s="64"/>
      <c r="T67" s="64"/>
      <c r="U67" s="71"/>
      <c r="V67" s="64"/>
      <c r="W67" s="69" t="s">
        <v>442</v>
      </c>
      <c r="X67" s="64" t="s">
        <v>2469</v>
      </c>
      <c r="Y67" s="70"/>
      <c r="Z67" s="64"/>
      <c r="AA67" s="71"/>
      <c r="AB67" s="64"/>
      <c r="AC67" s="64"/>
      <c r="AD67" s="64"/>
      <c r="AE67" s="64"/>
      <c r="AF67" s="64"/>
      <c r="AG67" s="64"/>
      <c r="AH67" s="64"/>
      <c r="AI67" s="69" t="str">
        <f t="shared" si="1"/>
        <v>PTHERMOKING E-500 Max 50 / R452A(Classe A ou C) ou équivalentFonctionnement Route sur E-PTO et Secteur (220 V ou 380 v)Hauteur sous évaporateur : 1970 mmBlue Box LitePuissance frigorifique sur route : à 0°C = 4700 W / à -20°C = 2300 WDébit d'air : 2353 m3/h (PV en cours)1 contacteur de porte arrêt ventilationCommande cabine à affichage numérique de la températureAlimentation secteur par la rallonge du châssis</v>
      </c>
    </row>
    <row r="68" spans="1:44" s="66" customFormat="1" ht="45" outlineLevel="1" x14ac:dyDescent="0.25">
      <c r="A68" s="64" t="s">
        <v>1361</v>
      </c>
      <c r="B68" s="64" t="s">
        <v>32</v>
      </c>
      <c r="C68" s="64" t="s">
        <v>2456</v>
      </c>
      <c r="D68" s="64" t="s">
        <v>2462</v>
      </c>
      <c r="E68" s="64"/>
      <c r="F68" s="64" t="s">
        <v>2397</v>
      </c>
      <c r="G68" s="64" t="s">
        <v>2463</v>
      </c>
      <c r="H68" s="64" t="s">
        <v>2464</v>
      </c>
      <c r="I68" s="64"/>
      <c r="J68" s="64"/>
      <c r="K68" s="64" t="s">
        <v>2465</v>
      </c>
      <c r="L68" s="64"/>
      <c r="M68" s="64" t="s">
        <v>2466</v>
      </c>
      <c r="N68" s="64"/>
      <c r="O68" s="64" t="s">
        <v>2467</v>
      </c>
      <c r="P68" s="64" t="s">
        <v>2468</v>
      </c>
      <c r="Q68" s="64"/>
      <c r="R68" s="64" t="s">
        <v>441</v>
      </c>
      <c r="S68" s="64"/>
      <c r="T68" s="64"/>
      <c r="U68" s="71"/>
      <c r="V68" s="64"/>
      <c r="W68" s="69" t="s">
        <v>442</v>
      </c>
      <c r="X68" s="64" t="s">
        <v>2469</v>
      </c>
      <c r="Y68" s="70"/>
      <c r="Z68" s="64"/>
      <c r="AA68" s="64"/>
      <c r="AB68" s="64"/>
      <c r="AC68" s="64"/>
      <c r="AD68" s="64"/>
      <c r="AE68" s="64"/>
      <c r="AF68" s="64"/>
      <c r="AG68" s="64"/>
      <c r="AH68" s="64"/>
      <c r="AI68" s="69" t="str">
        <f t="shared" si="1"/>
        <v>PTHERMOKING E-500 Max 50 / R452A(Classe A ou C) ou équivalentFonctionnement Route sur E-PTO et Secteur (220 V ou 380 v)Hauteur sous évaporateur : 1650 mmBlue Box LitePuissance frigorifique sur route : à 0°C = 4700 W / à -20°C = 2300 WDébit d'air : 2353 m3/h (PV en cours)2 contacteurs de porte arrêt ventilation (portes lat + AR) Commande cabine à affichage numérique de la températureAlimentation secteur par la rallonge du châssis</v>
      </c>
    </row>
    <row r="69" spans="1:44" s="66" customFormat="1" ht="45" outlineLevel="1" x14ac:dyDescent="0.25">
      <c r="A69" s="64" t="s">
        <v>1398</v>
      </c>
      <c r="B69" s="64" t="s">
        <v>32</v>
      </c>
      <c r="C69" s="64" t="s">
        <v>2456</v>
      </c>
      <c r="D69" s="64" t="s">
        <v>2462</v>
      </c>
      <c r="E69" s="64"/>
      <c r="F69" s="64" t="s">
        <v>2397</v>
      </c>
      <c r="G69" s="64" t="s">
        <v>2463</v>
      </c>
      <c r="H69" s="64" t="s">
        <v>2464</v>
      </c>
      <c r="I69" s="64"/>
      <c r="J69" s="64"/>
      <c r="K69" s="64" t="s">
        <v>2470</v>
      </c>
      <c r="L69" s="64"/>
      <c r="M69" s="64" t="s">
        <v>2466</v>
      </c>
      <c r="N69" s="64"/>
      <c r="O69" s="64" t="s">
        <v>2467</v>
      </c>
      <c r="P69" s="64" t="s">
        <v>2468</v>
      </c>
      <c r="Q69" s="64"/>
      <c r="R69" s="64" t="s">
        <v>441</v>
      </c>
      <c r="S69" s="64"/>
      <c r="T69" s="64"/>
      <c r="U69" s="71"/>
      <c r="V69" s="64"/>
      <c r="W69" s="69" t="s">
        <v>442</v>
      </c>
      <c r="X69" s="64" t="s">
        <v>2469</v>
      </c>
      <c r="Y69" s="70"/>
      <c r="Z69" s="64"/>
      <c r="AA69" s="64"/>
      <c r="AB69" s="64"/>
      <c r="AC69" s="64"/>
      <c r="AD69" s="64"/>
      <c r="AE69" s="64"/>
      <c r="AF69" s="64"/>
      <c r="AG69" s="64"/>
      <c r="AH69" s="64"/>
      <c r="AI69" s="69" t="str">
        <f t="shared" si="1"/>
        <v>PTHERMOKING E-500 Max 50 / R452A(Classe A ou C) ou équivalentFonctionnement Route sur E-PTO et Secteur (220 V ou 380 v)Hauteur sous évaporateur : 1970 mmBlue Box LitePuissance frigorifique sur route : à 0°C = 4700 W / à -20°C = 2300 WDébit d'air : 2353 m3/h (PV en cours)2 contacteurs de porte arrêt ventilation (portes lat + AR) Commande cabine à affichage numérique de la températureAlimentation secteur par la rallonge du châssis</v>
      </c>
    </row>
    <row r="70" spans="1:44" s="66" customFormat="1" ht="33.75" outlineLevel="1" x14ac:dyDescent="0.25">
      <c r="A70" s="64" t="s">
        <v>1365</v>
      </c>
      <c r="B70" s="64" t="s">
        <v>32</v>
      </c>
      <c r="C70" s="64" t="s">
        <v>2456</v>
      </c>
      <c r="D70" s="64" t="s">
        <v>2471</v>
      </c>
      <c r="E70" s="64"/>
      <c r="F70" s="64" t="s">
        <v>2472</v>
      </c>
      <c r="G70" s="64" t="s">
        <v>2463</v>
      </c>
      <c r="H70" s="64" t="s">
        <v>2473</v>
      </c>
      <c r="I70" s="64"/>
      <c r="J70" s="64"/>
      <c r="K70" s="64" t="s">
        <v>2474</v>
      </c>
      <c r="L70" s="64"/>
      <c r="M70" s="64" t="s">
        <v>2466</v>
      </c>
      <c r="N70" s="64"/>
      <c r="O70" s="64"/>
      <c r="P70" s="64"/>
      <c r="Q70" s="64"/>
      <c r="R70" s="64" t="s">
        <v>441</v>
      </c>
      <c r="S70" s="64"/>
      <c r="T70" s="64"/>
      <c r="U70" s="71"/>
      <c r="V70" s="64"/>
      <c r="W70" s="69" t="s">
        <v>442</v>
      </c>
      <c r="X70" s="64" t="s">
        <v>2469</v>
      </c>
      <c r="Y70" s="70"/>
      <c r="Z70" s="64"/>
      <c r="AA70" s="64"/>
      <c r="AB70" s="64"/>
      <c r="AC70" s="64"/>
      <c r="AD70" s="64"/>
      <c r="AE70" s="64"/>
      <c r="AF70" s="64"/>
      <c r="AG70" s="64"/>
      <c r="AH70" s="64"/>
      <c r="AI70" s="69" t="str">
        <f t="shared" si="1"/>
        <v>PTHERMOKING E-600 MAX 50  SPECTRUM / R452A(Classe A et C) ou équivalentFonctionnement Route sur E-PTO et Secteur (220 V ou 380 V)Hauteur sous évaporateur : 1859 mmBlue Box Lite2 contacteurs de porte arrêt ventilation (portes lat + AR) Commande cabine à affichage numérique de la températureAlimentation secteur par la rallonge du châssis</v>
      </c>
    </row>
    <row r="71" spans="1:44" s="66" customFormat="1" ht="33.75" outlineLevel="1" x14ac:dyDescent="0.25">
      <c r="A71" s="64" t="s">
        <v>1530</v>
      </c>
      <c r="B71" s="64" t="s">
        <v>32</v>
      </c>
      <c r="C71" s="64" t="s">
        <v>2384</v>
      </c>
      <c r="D71" s="64" t="s">
        <v>2475</v>
      </c>
      <c r="E71" s="64" t="s">
        <v>2386</v>
      </c>
      <c r="F71" s="64" t="s">
        <v>2397</v>
      </c>
      <c r="G71" s="64" t="s">
        <v>2388</v>
      </c>
      <c r="H71" s="64" t="s">
        <v>2389</v>
      </c>
      <c r="I71" s="64"/>
      <c r="J71" s="64"/>
      <c r="K71" s="64" t="s">
        <v>2476</v>
      </c>
      <c r="L71" s="64"/>
      <c r="M71" s="64"/>
      <c r="N71" s="64"/>
      <c r="O71" s="64" t="s">
        <v>2477</v>
      </c>
      <c r="P71" s="64" t="s">
        <v>2478</v>
      </c>
      <c r="Q71" s="64"/>
      <c r="R71" s="64"/>
      <c r="S71" s="64"/>
      <c r="T71" s="64"/>
      <c r="U71" s="71"/>
      <c r="V71" s="64"/>
      <c r="W71" s="69" t="s">
        <v>442</v>
      </c>
      <c r="X71" s="64" t="s">
        <v>2393</v>
      </c>
      <c r="Y71" s="70"/>
      <c r="Z71" s="64"/>
      <c r="AA71" s="71"/>
      <c r="AB71" s="64"/>
      <c r="AC71" s="64"/>
      <c r="AD71" s="70"/>
      <c r="AE71" s="64"/>
      <c r="AF71" s="64"/>
      <c r="AG71" s="72"/>
      <c r="AH71" s="69"/>
      <c r="AI71" s="69" t="str">
        <f t="shared" si="1"/>
        <v>PCARRIER XARIOS 350T / R452AChauffage gaz chaud(Classe A ou C) ou équivalentFonctionnement Route et Secteur (220 V Monophasé)Hauteur sous évaporateur : 1560 mmPuissance frigorifique sur route (à 2400 tr/min) : à 0°C = 3430 W / à -20°C = 1805 WDébit d'air : 1560 m3/hCommande cabine à affichage numérique de la température1 câble de 10 m</v>
      </c>
    </row>
    <row r="72" spans="1:44" s="66" customFormat="1" ht="33.75" outlineLevel="1" x14ac:dyDescent="0.25">
      <c r="A72" s="69" t="s">
        <v>1248</v>
      </c>
      <c r="B72" s="72" t="s">
        <v>32</v>
      </c>
      <c r="C72" s="64" t="s">
        <v>2384</v>
      </c>
      <c r="D72" s="64" t="s">
        <v>2475</v>
      </c>
      <c r="E72" s="64" t="s">
        <v>2386</v>
      </c>
      <c r="F72" s="64" t="s">
        <v>2397</v>
      </c>
      <c r="G72" s="64" t="s">
        <v>2388</v>
      </c>
      <c r="H72" s="64" t="s">
        <v>2389</v>
      </c>
      <c r="I72" s="64"/>
      <c r="J72" s="64"/>
      <c r="K72" s="64" t="s">
        <v>2479</v>
      </c>
      <c r="L72" s="64"/>
      <c r="M72" s="64"/>
      <c r="N72" s="64"/>
      <c r="O72" s="64" t="s">
        <v>2477</v>
      </c>
      <c r="P72" s="64" t="s">
        <v>2478</v>
      </c>
      <c r="Q72" s="64"/>
      <c r="R72" s="64"/>
      <c r="S72" s="64"/>
      <c r="T72" s="64"/>
      <c r="U72" s="71"/>
      <c r="V72" s="64"/>
      <c r="W72" s="69" t="s">
        <v>442</v>
      </c>
      <c r="X72" s="64" t="s">
        <v>2393</v>
      </c>
      <c r="Y72" s="70"/>
      <c r="Z72" s="64"/>
      <c r="AA72" s="71"/>
      <c r="AB72" s="64"/>
      <c r="AC72" s="64"/>
      <c r="AD72" s="70"/>
      <c r="AE72" s="64"/>
      <c r="AF72" s="64"/>
      <c r="AG72" s="72"/>
      <c r="AH72" s="69"/>
      <c r="AI72" s="69" t="str">
        <f t="shared" ref="AI72:AI103" si="2">CONCATENATE(B72,C72,D72,E72,F72,G72,H72,I72,J72,K72,L72,M72,N72,O72,P72,Q72,R72,S72,T72,U72,V72,W72,X72,Y72,Z72,AA72,AB72,AC72,AD72,AE72,AF72,AG72,AH72)</f>
        <v>PCARRIER XARIOS 350T / R452AChauffage gaz chaud(Classe A ou C) ou équivalentFonctionnement Route et Secteur (220 V Monophasé)Hauteur sous évaporateur : 1750 mmPuissance frigorifique sur route (à 2400 tr/min) : à 0°C = 3430 W / à -20°C = 1805 WDébit d'air : 1560 m3/hCommande cabine à affichage numérique de la température1 câble de 10 m</v>
      </c>
    </row>
    <row r="73" spans="1:44" s="96" customFormat="1" ht="33.75" outlineLevel="1" x14ac:dyDescent="0.25">
      <c r="A73" s="69" t="s">
        <v>1256</v>
      </c>
      <c r="B73" s="64" t="s">
        <v>32</v>
      </c>
      <c r="C73" s="64" t="s">
        <v>2384</v>
      </c>
      <c r="D73" s="64" t="s">
        <v>2480</v>
      </c>
      <c r="E73" s="64" t="s">
        <v>2386</v>
      </c>
      <c r="F73" s="64" t="s">
        <v>2397</v>
      </c>
      <c r="G73" s="64" t="s">
        <v>2388</v>
      </c>
      <c r="H73" s="64" t="s">
        <v>2389</v>
      </c>
      <c r="I73" s="64"/>
      <c r="J73" s="64"/>
      <c r="K73" s="64" t="s">
        <v>2407</v>
      </c>
      <c r="L73" s="64"/>
      <c r="M73" s="64"/>
      <c r="N73" s="64"/>
      <c r="O73" s="64" t="s">
        <v>2477</v>
      </c>
      <c r="P73" s="64" t="s">
        <v>2478</v>
      </c>
      <c r="Q73" s="64"/>
      <c r="R73" s="64"/>
      <c r="S73" s="64"/>
      <c r="T73" s="64"/>
      <c r="U73" s="71"/>
      <c r="V73" s="64"/>
      <c r="W73" s="69" t="s">
        <v>442</v>
      </c>
      <c r="X73" s="64" t="s">
        <v>2393</v>
      </c>
      <c r="Y73" s="70"/>
      <c r="Z73" s="64"/>
      <c r="AA73" s="71"/>
      <c r="AB73" s="64"/>
      <c r="AC73" s="64"/>
      <c r="AD73" s="64"/>
      <c r="AE73" s="64"/>
      <c r="AF73" s="64"/>
      <c r="AG73" s="64"/>
      <c r="AH73" s="69"/>
      <c r="AI73" s="69" t="str">
        <f t="shared" si="2"/>
        <v>PCARRIER XARIOS 350TChauffage gaz chaud(Classe A ou C) ou équivalentFonctionnement Route et Secteur (220 V Monophasé)Hauteur sous évaporateur : 1950 mmPuissance frigorifique sur route (à 2400 tr/min) : à 0°C = 3430 W / à -20°C = 1805 WDébit d'air : 1560 m3/hCommande cabine à affichage numérique de la température1 câble de 10 m</v>
      </c>
      <c r="AJ73" s="67"/>
      <c r="AK73" s="67"/>
      <c r="AL73" s="67"/>
      <c r="AM73" s="67"/>
      <c r="AN73" s="67"/>
      <c r="AO73" s="67"/>
      <c r="AP73" s="67"/>
      <c r="AQ73" s="67"/>
      <c r="AR73" s="67"/>
    </row>
    <row r="74" spans="1:44" s="66" customFormat="1" ht="33.75" outlineLevel="1" x14ac:dyDescent="0.25">
      <c r="A74" s="69" t="s">
        <v>1285</v>
      </c>
      <c r="B74" s="64" t="s">
        <v>32</v>
      </c>
      <c r="C74" s="64" t="s">
        <v>2384</v>
      </c>
      <c r="D74" s="64" t="s">
        <v>2480</v>
      </c>
      <c r="E74" s="64" t="s">
        <v>2386</v>
      </c>
      <c r="F74" s="64" t="s">
        <v>2397</v>
      </c>
      <c r="G74" s="64" t="s">
        <v>2388</v>
      </c>
      <c r="H74" s="64" t="s">
        <v>2389</v>
      </c>
      <c r="I74" s="64"/>
      <c r="J74" s="64"/>
      <c r="K74" s="64" t="s">
        <v>2409</v>
      </c>
      <c r="L74" s="64"/>
      <c r="M74" s="64"/>
      <c r="N74" s="64"/>
      <c r="O74" s="64" t="s">
        <v>2477</v>
      </c>
      <c r="P74" s="64" t="s">
        <v>2478</v>
      </c>
      <c r="Q74" s="64"/>
      <c r="R74" s="64"/>
      <c r="S74" s="64"/>
      <c r="T74" s="64"/>
      <c r="U74" s="71"/>
      <c r="V74" s="64"/>
      <c r="W74" s="69" t="s">
        <v>442</v>
      </c>
      <c r="X74" s="64" t="s">
        <v>2393</v>
      </c>
      <c r="Y74" s="70"/>
      <c r="Z74" s="64"/>
      <c r="AA74" s="71"/>
      <c r="AB74" s="64"/>
      <c r="AC74" s="64"/>
      <c r="AD74" s="64"/>
      <c r="AE74" s="64"/>
      <c r="AF74" s="64"/>
      <c r="AG74" s="64"/>
      <c r="AH74" s="69"/>
      <c r="AI74" s="69" t="str">
        <f t="shared" si="2"/>
        <v>PCARRIER XARIOS 350TChauffage gaz chaud(Classe A ou C) ou équivalentFonctionnement Route et Secteur (220 V Monophasé)Hauteur sous évaporateur : 2000 mmPuissance frigorifique sur route (à 2400 tr/min) : à 0°C = 3430 W / à -20°C = 1805 WDébit d'air : 1560 m3/hCommande cabine à affichage numérique de la température1 câble de 10 m</v>
      </c>
    </row>
    <row r="75" spans="1:44" s="66" customFormat="1" ht="33.75" outlineLevel="1" x14ac:dyDescent="0.25">
      <c r="A75" s="64" t="s">
        <v>1303</v>
      </c>
      <c r="B75" s="64" t="s">
        <v>32</v>
      </c>
      <c r="C75" s="64" t="s">
        <v>2456</v>
      </c>
      <c r="D75" s="64" t="s">
        <v>2481</v>
      </c>
      <c r="E75" s="64" t="s">
        <v>2386</v>
      </c>
      <c r="F75" s="64" t="s">
        <v>2397</v>
      </c>
      <c r="G75" s="64" t="s">
        <v>2388</v>
      </c>
      <c r="H75" s="64" t="s">
        <v>2389</v>
      </c>
      <c r="I75" s="64"/>
      <c r="J75" s="64"/>
      <c r="K75" s="64" t="s">
        <v>2482</v>
      </c>
      <c r="L75" s="64"/>
      <c r="M75" s="64" t="s">
        <v>2466</v>
      </c>
      <c r="N75" s="64"/>
      <c r="O75" s="64" t="s">
        <v>2483</v>
      </c>
      <c r="P75" s="64" t="s">
        <v>2484</v>
      </c>
      <c r="Q75" s="64"/>
      <c r="R75" s="64"/>
      <c r="S75" s="64"/>
      <c r="T75" s="64"/>
      <c r="U75" s="64"/>
      <c r="V75" s="64"/>
      <c r="W75" s="69" t="s">
        <v>442</v>
      </c>
      <c r="X75" s="64" t="s">
        <v>2393</v>
      </c>
      <c r="Y75" s="70"/>
      <c r="Z75" s="64"/>
      <c r="AA75" s="71"/>
      <c r="AB75" s="64"/>
      <c r="AC75" s="64"/>
      <c r="AD75" s="70"/>
      <c r="AE75" s="64"/>
      <c r="AF75" s="64"/>
      <c r="AG75" s="64"/>
      <c r="AH75" s="64"/>
      <c r="AI75" s="69" t="str">
        <f t="shared" si="2"/>
        <v>PTHERMOKING V-300 MAX 50 / R452AChauffage gaz chaud(Classe A ou C) ou équivalentFonctionnement Route et Secteur (220 V Monophasé)Hauteur sous évaporateur : 1705 mmBlue Box LitePuissance frigorifique sur route (à 2400 tr/min) : à 0°C = 3330 W / à -20°C = 1840 WDébit d'air : 1400 m3/hCommande cabine à affichage numérique de la température1 câble de 10 m</v>
      </c>
    </row>
    <row r="76" spans="1:44" s="66" customFormat="1" ht="45" outlineLevel="1" x14ac:dyDescent="0.25">
      <c r="A76" s="64" t="s">
        <v>1223</v>
      </c>
      <c r="B76" s="64" t="s">
        <v>32</v>
      </c>
      <c r="C76" s="64" t="s">
        <v>2384</v>
      </c>
      <c r="D76" s="64" t="s">
        <v>2485</v>
      </c>
      <c r="E76" s="64" t="s">
        <v>2437</v>
      </c>
      <c r="F76" s="64" t="s">
        <v>2397</v>
      </c>
      <c r="G76" s="64" t="s">
        <v>2486</v>
      </c>
      <c r="H76" s="64" t="s">
        <v>2389</v>
      </c>
      <c r="I76" s="64"/>
      <c r="J76" s="64"/>
      <c r="K76" s="64" t="s">
        <v>2487</v>
      </c>
      <c r="L76" s="64"/>
      <c r="M76" s="64" t="s">
        <v>2439</v>
      </c>
      <c r="N76" s="64"/>
      <c r="O76" s="64" t="s">
        <v>2488</v>
      </c>
      <c r="P76" s="64" t="s">
        <v>2489</v>
      </c>
      <c r="Q76" s="64"/>
      <c r="R76" s="64" t="s">
        <v>2490</v>
      </c>
      <c r="S76" s="64"/>
      <c r="T76" s="64"/>
      <c r="U76" s="64"/>
      <c r="V76" s="64"/>
      <c r="W76" s="69" t="s">
        <v>442</v>
      </c>
      <c r="X76" s="64" t="s">
        <v>2393</v>
      </c>
      <c r="Y76" s="70"/>
      <c r="Z76" s="64"/>
      <c r="AA76" s="71"/>
      <c r="AB76" s="64"/>
      <c r="AC76" s="64"/>
      <c r="AD76" s="64"/>
      <c r="AE76" s="64"/>
      <c r="AF76" s="70"/>
      <c r="AG76" s="64"/>
      <c r="AH76" s="64"/>
      <c r="AI76" s="69" t="str">
        <f t="shared" si="2"/>
        <v>PCARRIER PULSOR 350 E Splitté / R452AChauffage électrique(Classe A ou C) ou équivalentFonctionnement Route ( Batteries indépendantes 12 kWh) et Secteur(220 V Monophasé)Hauteur sous évaporateur : 1390 mmBoîtier LYNXPuissance frigorifique sur route (à 2400 tr/min) : à 0°C = 3080 W / à -20°C = 1700 WDébit d'air : 1095 m3/h1 contacteurs de porte arrêt ventilationCommande cabine à affichage numérique de la température1 câble de 10 m</v>
      </c>
    </row>
    <row r="77" spans="1:44" s="66" customFormat="1" ht="33.75" outlineLevel="1" x14ac:dyDescent="0.25">
      <c r="A77" s="64" t="s">
        <v>1349</v>
      </c>
      <c r="B77" s="64" t="s">
        <v>32</v>
      </c>
      <c r="C77" s="64" t="s">
        <v>2384</v>
      </c>
      <c r="D77" s="64" t="s">
        <v>2491</v>
      </c>
      <c r="E77" s="64"/>
      <c r="F77" s="64" t="s">
        <v>2451</v>
      </c>
      <c r="G77" s="64" t="s">
        <v>2463</v>
      </c>
      <c r="H77" s="64" t="s">
        <v>2464</v>
      </c>
      <c r="I77" s="64"/>
      <c r="J77" s="64"/>
      <c r="K77" s="64" t="s">
        <v>2492</v>
      </c>
      <c r="L77" s="64"/>
      <c r="M77" s="64" t="s">
        <v>2439</v>
      </c>
      <c r="N77" s="64"/>
      <c r="O77" s="64" t="s">
        <v>2493</v>
      </c>
      <c r="P77" s="64" t="s">
        <v>2494</v>
      </c>
      <c r="Q77" s="64"/>
      <c r="R77" s="64" t="s">
        <v>441</v>
      </c>
      <c r="S77" s="64"/>
      <c r="T77" s="64"/>
      <c r="U77" s="64"/>
      <c r="V77" s="64"/>
      <c r="W77" s="69" t="s">
        <v>442</v>
      </c>
      <c r="X77" s="64"/>
      <c r="Y77" s="70"/>
      <c r="Z77" s="64"/>
      <c r="AA77" s="71"/>
      <c r="AB77" s="71"/>
      <c r="AC77" s="71"/>
      <c r="AD77" s="71"/>
      <c r="AE77" s="71"/>
      <c r="AF77" s="71"/>
      <c r="AG77" s="71"/>
      <c r="AH77" s="71"/>
      <c r="AI77" s="69" t="str">
        <f t="shared" si="2"/>
        <v>PCARRIER PULSOR 350 eCool / R452A(Classe A) ou équivalentFonctionnement Route sur E-PTO et Secteur (220 V ou 380 v)Hauteur sous évaporateur : 1550 mmBoîtier LYNXPuissance frigorifique sur route : à 0°C = 3110 W / à -20°C = 1780 WDébit d'air : 1030 m3/h2 contacteurs de porte arrêt ventilation (portes lat + AR) Commande cabine à affichage numérique de la température</v>
      </c>
    </row>
    <row r="78" spans="1:44" s="66" customFormat="1" ht="45" outlineLevel="1" x14ac:dyDescent="0.25">
      <c r="A78" s="64" t="s">
        <v>1539</v>
      </c>
      <c r="B78" s="64" t="s">
        <v>32</v>
      </c>
      <c r="C78" s="64" t="s">
        <v>2435</v>
      </c>
      <c r="D78" s="64" t="s">
        <v>2495</v>
      </c>
      <c r="E78" s="64"/>
      <c r="F78" s="64" t="s">
        <v>2397</v>
      </c>
      <c r="G78" s="64" t="s">
        <v>2486</v>
      </c>
      <c r="H78" s="64" t="s">
        <v>2389</v>
      </c>
      <c r="I78" s="64"/>
      <c r="J78" s="64"/>
      <c r="K78" s="64" t="s">
        <v>2479</v>
      </c>
      <c r="L78" s="64"/>
      <c r="M78" s="64" t="s">
        <v>2496</v>
      </c>
      <c r="N78" s="64"/>
      <c r="O78" s="64" t="s">
        <v>2497</v>
      </c>
      <c r="P78" s="64" t="s">
        <v>2498</v>
      </c>
      <c r="Q78" s="64"/>
      <c r="R78" s="64" t="s">
        <v>2490</v>
      </c>
      <c r="S78" s="64"/>
      <c r="T78" s="64"/>
      <c r="U78" s="64"/>
      <c r="V78" s="64"/>
      <c r="W78" s="69" t="s">
        <v>442</v>
      </c>
      <c r="X78" s="64" t="s">
        <v>2393</v>
      </c>
      <c r="Y78" s="70"/>
      <c r="Z78" s="64"/>
      <c r="AA78" s="71"/>
      <c r="AB78" s="64"/>
      <c r="AC78" s="64"/>
      <c r="AD78" s="64"/>
      <c r="AE78" s="64"/>
      <c r="AF78" s="70"/>
      <c r="AG78" s="64"/>
      <c r="AH78" s="69"/>
      <c r="AI78" s="69" t="str">
        <f t="shared" si="2"/>
        <v>PCARRIERPULSOR 400 ZE / R452A(Classe A ou C) ou équivalentFonctionnement Route ( Batteries indépendantes 12 kWh) et Secteur(220 V Monophasé)Hauteur sous évaporateur : 1750 mmBoîtier connecté web type MX2/LYNXPuissance frigorifique sur route (à 2400 tr/min) : à 0°C = 3575 W / à -20°C = 1930 WDébit d'air : 1580 m3/h1 contacteurs de porte arrêt ventilationCommande cabine à affichage numérique de la température1 câble de 10 m</v>
      </c>
    </row>
    <row r="79" spans="1:44" s="66" customFormat="1" ht="33.75" outlineLevel="1" x14ac:dyDescent="0.25">
      <c r="A79" s="64" t="s">
        <v>1543</v>
      </c>
      <c r="B79" s="64" t="s">
        <v>32</v>
      </c>
      <c r="C79" s="64" t="s">
        <v>2384</v>
      </c>
      <c r="D79" s="64" t="s">
        <v>2499</v>
      </c>
      <c r="E79" s="64"/>
      <c r="F79" s="64" t="s">
        <v>2402</v>
      </c>
      <c r="G79" s="64" t="s">
        <v>2486</v>
      </c>
      <c r="H79" s="64" t="s">
        <v>2389</v>
      </c>
      <c r="I79" s="64"/>
      <c r="J79" s="64"/>
      <c r="K79" s="64" t="s">
        <v>2500</v>
      </c>
      <c r="L79" s="64"/>
      <c r="M79" s="64" t="s">
        <v>2496</v>
      </c>
      <c r="N79" s="64"/>
      <c r="O79" s="64"/>
      <c r="P79" s="64"/>
      <c r="Q79" s="64"/>
      <c r="R79" s="64" t="s">
        <v>441</v>
      </c>
      <c r="S79" s="64"/>
      <c r="T79" s="64"/>
      <c r="U79" s="64"/>
      <c r="V79" s="64"/>
      <c r="W79" s="69" t="s">
        <v>442</v>
      </c>
      <c r="X79" s="64" t="s">
        <v>2393</v>
      </c>
      <c r="Y79" s="70"/>
      <c r="Z79" s="64"/>
      <c r="AA79" s="71"/>
      <c r="AB79" s="64"/>
      <c r="AC79" s="64"/>
      <c r="AD79" s="64"/>
      <c r="AE79" s="64"/>
      <c r="AF79" s="64"/>
      <c r="AG79" s="64"/>
      <c r="AH79" s="64"/>
      <c r="AI79" s="69" t="str">
        <f t="shared" si="2"/>
        <v>PCARRIER PULSOR 400 MT ZE (2 évaporateurs MCL850 ) / R452Aou équivalentFonctionnement Route ( Batteries indépendantes 12 kWh) et Secteur(220 V Monophasé)Hauteur sous évaporateur : 1740 mmBoîtier connecté web type MX2/LYNX2 contacteurs de porte arrêt ventilation (portes lat + AR) Commande cabine à affichage numérique de la température1 câble de 10 m</v>
      </c>
    </row>
    <row r="80" spans="1:44" s="66" customFormat="1" ht="45" outlineLevel="1" x14ac:dyDescent="0.25">
      <c r="A80" s="64" t="s">
        <v>1271</v>
      </c>
      <c r="B80" s="64" t="s">
        <v>32</v>
      </c>
      <c r="C80" s="64" t="s">
        <v>2384</v>
      </c>
      <c r="D80" s="64" t="s">
        <v>2501</v>
      </c>
      <c r="E80" s="64"/>
      <c r="F80" s="64" t="s">
        <v>2402</v>
      </c>
      <c r="G80" s="64" t="s">
        <v>2388</v>
      </c>
      <c r="H80" s="64" t="s">
        <v>2403</v>
      </c>
      <c r="I80" s="64"/>
      <c r="J80" s="64"/>
      <c r="K80" s="64" t="s">
        <v>2500</v>
      </c>
      <c r="L80" s="64" t="s">
        <v>2502</v>
      </c>
      <c r="M80" s="64"/>
      <c r="N80" s="64" t="s">
        <v>2503</v>
      </c>
      <c r="O80" s="64" t="s">
        <v>2504</v>
      </c>
      <c r="P80" s="64"/>
      <c r="Q80" s="64"/>
      <c r="R80" s="64" t="s">
        <v>441</v>
      </c>
      <c r="S80" s="64"/>
      <c r="T80" s="64"/>
      <c r="U80" s="64"/>
      <c r="V80" s="64"/>
      <c r="W80" s="69" t="s">
        <v>442</v>
      </c>
      <c r="X80" s="64" t="s">
        <v>2393</v>
      </c>
      <c r="Y80" s="70"/>
      <c r="Z80" s="64"/>
      <c r="AA80" s="71"/>
      <c r="AB80" s="64"/>
      <c r="AC80" s="64"/>
      <c r="AD80" s="64"/>
      <c r="AE80" s="64"/>
      <c r="AF80" s="64"/>
      <c r="AG80" s="72"/>
      <c r="AH80" s="64"/>
      <c r="AI80" s="69" t="str">
        <f t="shared" si="2"/>
        <v>PCARRIER PULSOR 400 MT (2 évaporateurs MCL850) / R452Aou équivalentFonctionnement Route et Secteur (380 V Triphasé)Hauteur sous évaporateur : 1740 mmEvaporateur avant coté gauche soufflant vers la porteEnregistreur de température DATACOLD 600R avec imprimante (2 sondes)Certicold Pharma2 contacteurs de porte arrêt ventilation (portes lat + AR) Commande cabine à affichage numérique de la température1 câble de 10 m</v>
      </c>
    </row>
    <row r="81" spans="1:44" s="66" customFormat="1" ht="22.5" outlineLevel="1" x14ac:dyDescent="0.25">
      <c r="A81" s="64" t="s">
        <v>1446</v>
      </c>
      <c r="B81" s="64" t="s">
        <v>32</v>
      </c>
      <c r="C81" s="64" t="s">
        <v>2456</v>
      </c>
      <c r="D81" s="64" t="s">
        <v>2505</v>
      </c>
      <c r="E81" s="64" t="s">
        <v>2386</v>
      </c>
      <c r="F81" s="64" t="s">
        <v>2402</v>
      </c>
      <c r="G81" s="64" t="s">
        <v>2413</v>
      </c>
      <c r="H81" s="64" t="s">
        <v>2403</v>
      </c>
      <c r="I81" s="64"/>
      <c r="J81" s="64"/>
      <c r="K81" s="64" t="s">
        <v>2506</v>
      </c>
      <c r="L81" s="64"/>
      <c r="M81" s="64" t="s">
        <v>2507</v>
      </c>
      <c r="N81" s="64"/>
      <c r="O81" s="64"/>
      <c r="P81" s="64"/>
      <c r="Q81" s="64"/>
      <c r="R81" s="64"/>
      <c r="S81" s="64"/>
      <c r="T81" s="64"/>
      <c r="U81" s="64"/>
      <c r="V81" s="64"/>
      <c r="W81" s="69" t="s">
        <v>442</v>
      </c>
      <c r="X81" s="64" t="s">
        <v>2393</v>
      </c>
      <c r="Y81" s="70"/>
      <c r="Z81" s="64"/>
      <c r="AA81" s="71"/>
      <c r="AB81" s="64"/>
      <c r="AC81" s="64"/>
      <c r="AD81" s="64"/>
      <c r="AE81" s="64"/>
      <c r="AF81" s="64"/>
      <c r="AG81" s="64"/>
      <c r="AH81" s="64"/>
      <c r="AI81" s="69" t="str">
        <f t="shared" si="2"/>
        <v>PTHERMOKING T-1100 X 50 SPECTRUM S3-S3  / R452AChauffage gaz chaudou équivalentFonctionnement Route, Diesel et Secteur (380 V Triphasé)Hauteur sous évaporateur : 2165 mmBlue BoxCommande cabine à affichage numérique de la température1 câble de 10 m</v>
      </c>
    </row>
    <row r="82" spans="1:44" s="66" customFormat="1" ht="33.75" outlineLevel="1" x14ac:dyDescent="0.25">
      <c r="A82" s="64" t="s">
        <v>1498</v>
      </c>
      <c r="B82" s="64" t="s">
        <v>32</v>
      </c>
      <c r="C82" s="64" t="s">
        <v>2384</v>
      </c>
      <c r="D82" s="64" t="s">
        <v>2508</v>
      </c>
      <c r="E82" s="64"/>
      <c r="F82" s="64" t="s">
        <v>2509</v>
      </c>
      <c r="G82" s="64" t="s">
        <v>2388</v>
      </c>
      <c r="H82" s="64" t="s">
        <v>2389</v>
      </c>
      <c r="I82" s="64"/>
      <c r="J82" s="64"/>
      <c r="K82" s="64" t="s">
        <v>2510</v>
      </c>
      <c r="L82" s="64"/>
      <c r="M82" s="64" t="s">
        <v>2439</v>
      </c>
      <c r="N82" s="64"/>
      <c r="O82" s="64" t="s">
        <v>2511</v>
      </c>
      <c r="P82" s="64" t="s">
        <v>2512</v>
      </c>
      <c r="Q82" s="64"/>
      <c r="R82" s="64" t="s">
        <v>2513</v>
      </c>
      <c r="S82" s="64"/>
      <c r="T82" s="64"/>
      <c r="U82" s="64"/>
      <c r="V82" s="64"/>
      <c r="W82" s="69" t="s">
        <v>442</v>
      </c>
      <c r="X82" s="64" t="s">
        <v>2393</v>
      </c>
      <c r="Y82" s="70"/>
      <c r="Z82" s="64"/>
      <c r="AA82" s="71"/>
      <c r="AB82" s="64"/>
      <c r="AC82" s="64"/>
      <c r="AD82" s="64"/>
      <c r="AE82" s="64"/>
      <c r="AF82" s="64"/>
      <c r="AG82" s="64"/>
      <c r="AH82" s="64"/>
      <c r="AI82" s="69" t="str">
        <f t="shared" si="2"/>
        <v>PCARRIER NEOS HE 100S  / MNS600 / R134a(Classe A)Fonctionnement Route et Secteur (220 V Monophasé)Hauteur sous évaporateur : 845 mmBoîtier LYNXPuissance frigorifique sur route (à 2400 tr/min) : à 0°C = 970 WDébit d'air : 570 m3/h1 contacteur de porte arrêt ventilation (portes AR) Commande cabine à affichage numérique de la température1 câble de 10 m</v>
      </c>
    </row>
    <row r="83" spans="1:44" s="96" customFormat="1" ht="33.75" outlineLevel="1" x14ac:dyDescent="0.25">
      <c r="A83" s="64" t="s">
        <v>1476</v>
      </c>
      <c r="B83" s="64" t="s">
        <v>32</v>
      </c>
      <c r="C83" s="64" t="s">
        <v>2384</v>
      </c>
      <c r="D83" s="64" t="s">
        <v>2508</v>
      </c>
      <c r="E83" s="64"/>
      <c r="F83" s="64" t="s">
        <v>2509</v>
      </c>
      <c r="G83" s="64" t="s">
        <v>2388</v>
      </c>
      <c r="H83" s="64" t="s">
        <v>2389</v>
      </c>
      <c r="I83" s="64"/>
      <c r="J83" s="64"/>
      <c r="K83" s="64" t="s">
        <v>2510</v>
      </c>
      <c r="L83" s="64"/>
      <c r="M83" s="64"/>
      <c r="N83" s="64"/>
      <c r="O83" s="64" t="s">
        <v>2511</v>
      </c>
      <c r="P83" s="64" t="s">
        <v>2512</v>
      </c>
      <c r="Q83" s="64"/>
      <c r="R83" s="64"/>
      <c r="S83" s="64"/>
      <c r="T83" s="64"/>
      <c r="U83" s="64"/>
      <c r="V83" s="64"/>
      <c r="W83" s="69" t="s">
        <v>442</v>
      </c>
      <c r="X83" s="64" t="s">
        <v>2393</v>
      </c>
      <c r="Y83" s="70"/>
      <c r="Z83" s="64"/>
      <c r="AA83" s="71"/>
      <c r="AB83" s="64"/>
      <c r="AC83" s="64"/>
      <c r="AD83" s="64"/>
      <c r="AE83" s="64"/>
      <c r="AF83" s="64"/>
      <c r="AG83" s="64"/>
      <c r="AH83" s="64"/>
      <c r="AI83" s="69" t="str">
        <f t="shared" si="2"/>
        <v>PCARRIER NEOS HE 100S  / MNS600 / R134a(Classe A)Fonctionnement Route et Secteur (220 V Monophasé)Hauteur sous évaporateur : 845 mmPuissance frigorifique sur route (à 2400 tr/min) : à 0°C = 970 WDébit d'air : 570 m3/hCommande cabine à affichage numérique de la température1 câble de 10 m</v>
      </c>
      <c r="AJ83" s="67"/>
      <c r="AK83" s="67"/>
      <c r="AL83" s="67"/>
      <c r="AM83" s="67"/>
      <c r="AN83" s="67"/>
      <c r="AO83" s="67"/>
      <c r="AP83" s="67"/>
      <c r="AQ83" s="67"/>
      <c r="AR83" s="67"/>
    </row>
    <row r="84" spans="1:44" s="96" customFormat="1" ht="33.75" outlineLevel="1" x14ac:dyDescent="0.25">
      <c r="A84" s="64" t="s">
        <v>1170</v>
      </c>
      <c r="B84" s="64" t="s">
        <v>32</v>
      </c>
      <c r="C84" s="64" t="s">
        <v>2384</v>
      </c>
      <c r="D84" s="64" t="s">
        <v>2514</v>
      </c>
      <c r="E84" s="64"/>
      <c r="F84" s="64" t="s">
        <v>2397</v>
      </c>
      <c r="G84" s="64" t="s">
        <v>2515</v>
      </c>
      <c r="H84" s="64" t="s">
        <v>2389</v>
      </c>
      <c r="I84" s="64"/>
      <c r="J84" s="64"/>
      <c r="K84" s="64" t="s">
        <v>2516</v>
      </c>
      <c r="L84" s="64"/>
      <c r="M84" s="64"/>
      <c r="N84" s="64"/>
      <c r="O84" s="64" t="s">
        <v>2517</v>
      </c>
      <c r="P84" s="64" t="s">
        <v>2518</v>
      </c>
      <c r="Q84" s="64"/>
      <c r="R84" s="64"/>
      <c r="S84" s="64"/>
      <c r="T84" s="64"/>
      <c r="U84" s="64"/>
      <c r="V84" s="64"/>
      <c r="W84" s="69" t="s">
        <v>442</v>
      </c>
      <c r="X84" s="64" t="s">
        <v>2393</v>
      </c>
      <c r="Y84" s="70"/>
      <c r="Z84" s="64"/>
      <c r="AA84" s="71"/>
      <c r="AB84" s="64"/>
      <c r="AC84" s="64"/>
      <c r="AD84" s="70"/>
      <c r="AE84" s="64"/>
      <c r="AF84" s="70"/>
      <c r="AG84" s="72"/>
      <c r="AH84" s="64"/>
      <c r="AI84" s="69" t="str">
        <f t="shared" si="2"/>
        <v>PCARRIER NEOS HE 200S / MNS850(Classe A ou C) ou équivalentFonctionnement Route et Secteur(220 V Monophasé)Hauteur sous évaporateur : 790 mmPuissance frigorifique sur route (à 2400 tr/min) : à 0°C = 1516 W / à -20°C = 554 WDébit d'air : 1125 m3/hCommande cabine à affichage numérique de la température1 câble de 10 m</v>
      </c>
      <c r="AJ84" s="67"/>
      <c r="AK84" s="67"/>
      <c r="AL84" s="67"/>
      <c r="AM84" s="67"/>
      <c r="AN84" s="67"/>
      <c r="AO84" s="67"/>
      <c r="AP84" s="67"/>
      <c r="AQ84" s="67"/>
      <c r="AR84" s="67"/>
    </row>
    <row r="85" spans="1:44" s="96" customFormat="1" ht="33.75" outlineLevel="1" x14ac:dyDescent="0.25">
      <c r="A85" s="64" t="s">
        <v>1484</v>
      </c>
      <c r="B85" s="64" t="s">
        <v>32</v>
      </c>
      <c r="C85" s="64" t="s">
        <v>2384</v>
      </c>
      <c r="D85" s="64" t="s">
        <v>2519</v>
      </c>
      <c r="E85" s="64"/>
      <c r="F85" s="64" t="s">
        <v>2451</v>
      </c>
      <c r="G85" s="64" t="s">
        <v>2515</v>
      </c>
      <c r="H85" s="64" t="s">
        <v>2389</v>
      </c>
      <c r="I85" s="64"/>
      <c r="J85" s="64"/>
      <c r="K85" s="64" t="s">
        <v>2520</v>
      </c>
      <c r="L85" s="64"/>
      <c r="M85" s="64"/>
      <c r="N85" s="64"/>
      <c r="O85" s="64" t="s">
        <v>2521</v>
      </c>
      <c r="P85" s="64" t="s">
        <v>2518</v>
      </c>
      <c r="Q85" s="64"/>
      <c r="R85" s="64"/>
      <c r="S85" s="64"/>
      <c r="T85" s="64"/>
      <c r="U85" s="64"/>
      <c r="V85" s="64"/>
      <c r="W85" s="69" t="s">
        <v>442</v>
      </c>
      <c r="X85" s="64" t="s">
        <v>2393</v>
      </c>
      <c r="Y85" s="70"/>
      <c r="Z85" s="64"/>
      <c r="AA85" s="71"/>
      <c r="AB85" s="64"/>
      <c r="AC85" s="64"/>
      <c r="AD85" s="70"/>
      <c r="AE85" s="64"/>
      <c r="AF85" s="70"/>
      <c r="AG85" s="72"/>
      <c r="AH85" s="64"/>
      <c r="AI85" s="69" t="str">
        <f t="shared" si="2"/>
        <v>PCARRIER NEOS HE 200S / MNS850  / R452(Classe A) ou équivalentFonctionnement Route et Secteur(220 V Monophasé)Hauteur sous évaporateur : 1225 mmPuissance frigorifique sur route (à 2400 tr/min) : à 0°C = 1520 WDébit d'air : 1125 m3/hCommande cabine à affichage numérique de la température1 câble de 10 m</v>
      </c>
      <c r="AJ85" s="67"/>
      <c r="AK85" s="67"/>
      <c r="AL85" s="67"/>
      <c r="AM85" s="67"/>
      <c r="AN85" s="67"/>
      <c r="AO85" s="67"/>
      <c r="AP85" s="67"/>
      <c r="AQ85" s="67"/>
      <c r="AR85" s="67"/>
    </row>
    <row r="86" spans="1:44" s="96" customFormat="1" ht="45" outlineLevel="1" x14ac:dyDescent="0.25">
      <c r="A86" s="64" t="s">
        <v>1179</v>
      </c>
      <c r="B86" s="64" t="s">
        <v>32</v>
      </c>
      <c r="C86" s="64" t="s">
        <v>2384</v>
      </c>
      <c r="D86" s="64" t="s">
        <v>2514</v>
      </c>
      <c r="E86" s="64"/>
      <c r="F86" s="64" t="s">
        <v>2397</v>
      </c>
      <c r="G86" s="64" t="s">
        <v>2522</v>
      </c>
      <c r="H86" s="64" t="s">
        <v>2389</v>
      </c>
      <c r="I86" s="64"/>
      <c r="J86" s="64"/>
      <c r="K86" s="64" t="s">
        <v>2516</v>
      </c>
      <c r="L86" s="64"/>
      <c r="M86" s="64" t="s">
        <v>2439</v>
      </c>
      <c r="N86" s="64"/>
      <c r="O86" s="64" t="s">
        <v>2517</v>
      </c>
      <c r="P86" s="64" t="s">
        <v>2518</v>
      </c>
      <c r="Q86" s="64"/>
      <c r="R86" s="64" t="s">
        <v>441</v>
      </c>
      <c r="S86" s="64"/>
      <c r="T86" s="64"/>
      <c r="U86" s="64"/>
      <c r="V86" s="64"/>
      <c r="W86" s="69" t="s">
        <v>442</v>
      </c>
      <c r="X86" s="64" t="s">
        <v>2393</v>
      </c>
      <c r="Y86" s="70"/>
      <c r="Z86" s="64"/>
      <c r="AA86" s="71"/>
      <c r="AB86" s="64"/>
      <c r="AC86" s="64"/>
      <c r="AD86" s="70"/>
      <c r="AE86" s="64"/>
      <c r="AF86" s="70"/>
      <c r="AG86" s="72"/>
      <c r="AH86" s="64"/>
      <c r="AI86" s="69" t="str">
        <f t="shared" si="2"/>
        <v>PCARRIER NEOS HE 200S / MNS850(Classe A ou C) ou équivalentFonctionnement Route (batterie indépendante 6 kWh) et Secteur(220 V Monophasé)Hauteur sous évaporateur : 790 mmBoîtier LYNXPuissance frigorifique sur route (à 2400 tr/min) : à 0°C = 1516 W / à -20°C = 554 WDébit d'air : 1125 m3/h2 contacteurs de porte arrêt ventilation (portes lat + AR) Commande cabine à affichage numérique de la température1 câble de 10 m</v>
      </c>
      <c r="AJ86" s="67"/>
      <c r="AK86" s="67"/>
      <c r="AL86" s="67"/>
      <c r="AM86" s="67"/>
      <c r="AN86" s="67"/>
      <c r="AO86" s="67"/>
      <c r="AP86" s="67"/>
      <c r="AQ86" s="67"/>
      <c r="AR86" s="67"/>
    </row>
    <row r="87" spans="1:44" s="66" customFormat="1" ht="33.75" outlineLevel="1" x14ac:dyDescent="0.25">
      <c r="A87" s="64" t="s">
        <v>1214</v>
      </c>
      <c r="B87" s="64" t="s">
        <v>32</v>
      </c>
      <c r="C87" s="64" t="s">
        <v>2384</v>
      </c>
      <c r="D87" s="64" t="s">
        <v>2523</v>
      </c>
      <c r="E87" s="64"/>
      <c r="F87" s="64" t="s">
        <v>2451</v>
      </c>
      <c r="G87" s="64" t="s">
        <v>2522</v>
      </c>
      <c r="H87" s="64" t="s">
        <v>2389</v>
      </c>
      <c r="I87" s="64"/>
      <c r="J87" s="64"/>
      <c r="K87" s="64" t="s">
        <v>2390</v>
      </c>
      <c r="L87" s="64"/>
      <c r="M87" s="64" t="s">
        <v>2439</v>
      </c>
      <c r="N87" s="64"/>
      <c r="O87" s="64" t="s">
        <v>2517</v>
      </c>
      <c r="P87" s="64" t="s">
        <v>2518</v>
      </c>
      <c r="Q87" s="64"/>
      <c r="R87" s="64" t="s">
        <v>441</v>
      </c>
      <c r="S87" s="64"/>
      <c r="T87" s="64"/>
      <c r="U87" s="64"/>
      <c r="V87" s="64"/>
      <c r="W87" s="69" t="s">
        <v>442</v>
      </c>
      <c r="X87" s="64" t="s">
        <v>2393</v>
      </c>
      <c r="Y87" s="70"/>
      <c r="Z87" s="64"/>
      <c r="AA87" s="71"/>
      <c r="AB87" s="64"/>
      <c r="AC87" s="64"/>
      <c r="AD87" s="70"/>
      <c r="AE87" s="64"/>
      <c r="AF87" s="70"/>
      <c r="AG87" s="72"/>
      <c r="AH87" s="64"/>
      <c r="AI87" s="69" t="str">
        <f t="shared" si="2"/>
        <v>PCARRIER NEOS HE 200S(Classe A) ou équivalentFonctionnement Route (batterie indépendante 6 kWh) et Secteur(220 V Monophasé)Hauteur sous évaporateur : 870 mmBoîtier LYNXPuissance frigorifique sur route (à 2400 tr/min) : à 0°C = 1516 W / à -20°C = 554 WDébit d'air : 1125 m3/h2 contacteurs de porte arrêt ventilation (portes lat + AR) Commande cabine à affichage numérique de la température1 câble de 10 m</v>
      </c>
    </row>
    <row r="88" spans="1:44" s="66" customFormat="1" ht="33.75" outlineLevel="1" x14ac:dyDescent="0.25">
      <c r="A88" s="64" t="s">
        <v>1148</v>
      </c>
      <c r="B88" s="64" t="s">
        <v>32</v>
      </c>
      <c r="C88" s="64" t="s">
        <v>2524</v>
      </c>
      <c r="D88" s="64" t="s">
        <v>2525</v>
      </c>
      <c r="E88" s="64"/>
      <c r="F88" s="64" t="s">
        <v>2451</v>
      </c>
      <c r="G88" s="64" t="s">
        <v>2526</v>
      </c>
      <c r="H88" s="64" t="s">
        <v>2527</v>
      </c>
      <c r="I88" s="64"/>
      <c r="J88" s="64"/>
      <c r="K88" s="64" t="s">
        <v>2528</v>
      </c>
      <c r="L88" s="64"/>
      <c r="M88" s="64"/>
      <c r="N88" s="64"/>
      <c r="O88" s="64" t="s">
        <v>2529</v>
      </c>
      <c r="P88" s="64" t="s">
        <v>2530</v>
      </c>
      <c r="Q88" s="64"/>
      <c r="R88" s="64"/>
      <c r="S88" s="64"/>
      <c r="T88" s="64"/>
      <c r="U88" s="64"/>
      <c r="V88" s="64"/>
      <c r="W88" s="69" t="s">
        <v>2531</v>
      </c>
      <c r="X88" s="64" t="s">
        <v>2532</v>
      </c>
      <c r="Y88" s="70"/>
      <c r="Z88" s="64"/>
      <c r="AA88" s="71"/>
      <c r="AB88" s="64"/>
      <c r="AC88" s="64"/>
      <c r="AD88" s="64"/>
      <c r="AE88" s="64"/>
      <c r="AF88" s="64"/>
      <c r="AG88" s="64"/>
      <c r="AH88" s="64"/>
      <c r="AI88" s="69" t="str">
        <f t="shared" si="2"/>
        <v>PVESNAV10R / R134a(Classe A) ou équivalentFonctionnement Route (Batterie indépendante)Secteur (220V Monophasé)Hauteur sous évaporateur : 720 mmPuissance frigorifique sur route : à 0°C = 578 WDébit d'air : 600 m3/hBoitiers de commandes à affichage numérique &amp; extraction données USB1 câble pour recharger la batterie du groupe frigorifique sur secteur</v>
      </c>
    </row>
    <row r="89" spans="1:44" s="66" customFormat="1" ht="33.75" outlineLevel="1" collapsed="1" x14ac:dyDescent="0.25">
      <c r="A89" s="64" t="s">
        <v>2763</v>
      </c>
      <c r="B89" s="64" t="s">
        <v>32</v>
      </c>
      <c r="C89" s="64" t="s">
        <v>2456</v>
      </c>
      <c r="D89" s="64" t="s">
        <v>2764</v>
      </c>
      <c r="E89" s="64" t="s">
        <v>2386</v>
      </c>
      <c r="F89" s="64" t="s">
        <v>2402</v>
      </c>
      <c r="G89" s="64" t="s">
        <v>2388</v>
      </c>
      <c r="H89" s="64" t="s">
        <v>2403</v>
      </c>
      <c r="I89" s="64" t="s">
        <v>2765</v>
      </c>
      <c r="J89" s="64"/>
      <c r="K89" s="64" t="s">
        <v>2466</v>
      </c>
      <c r="L89" s="64"/>
      <c r="M89" s="64"/>
      <c r="N89" s="64"/>
      <c r="O89" s="64" t="s">
        <v>2766</v>
      </c>
      <c r="P89" s="64"/>
      <c r="Q89" s="64"/>
      <c r="R89" s="64"/>
      <c r="S89" s="64"/>
      <c r="T89" s="64"/>
      <c r="U89" s="69" t="s">
        <v>442</v>
      </c>
      <c r="V89" s="64" t="s">
        <v>2393</v>
      </c>
      <c r="W89" s="70"/>
      <c r="X89" s="64"/>
      <c r="Y89" s="71"/>
      <c r="Z89" s="64"/>
      <c r="AA89" s="64"/>
      <c r="AB89" s="64"/>
      <c r="AC89" s="64"/>
      <c r="AD89" s="70"/>
      <c r="AE89" s="64"/>
      <c r="AF89" s="64"/>
      <c r="AG89" s="64"/>
      <c r="AH89" s="64"/>
      <c r="AI89" s="69" t="str">
        <f t="shared" si="2"/>
        <v>PTHERMOKING V-600X MAX SPECTRUM 50 - ES300 + ES300 / R452AChauffage gaz chaudou équivalentFonctionnement Route et Secteur (380 V Triphasé)Hauteur sous évaporateur : 1830 mmBlue Box LiteProtection évaporateurs avant et arrière en INOXCommande cabine à affichage numérique de la température1 câble de 10 m</v>
      </c>
    </row>
    <row r="90" spans="1:44" s="66" customFormat="1" ht="33.75" outlineLevel="1" x14ac:dyDescent="0.25">
      <c r="A90" s="64" t="s">
        <v>2767</v>
      </c>
      <c r="B90" s="72" t="s">
        <v>32</v>
      </c>
      <c r="C90" s="64" t="s">
        <v>2384</v>
      </c>
      <c r="D90" s="64" t="s">
        <v>2768</v>
      </c>
      <c r="E90" s="64" t="s">
        <v>2386</v>
      </c>
      <c r="F90" s="64" t="s">
        <v>2402</v>
      </c>
      <c r="G90" s="64" t="s">
        <v>2413</v>
      </c>
      <c r="H90" s="64" t="s">
        <v>2403</v>
      </c>
      <c r="I90" s="64" t="s">
        <v>2407</v>
      </c>
      <c r="J90" s="64"/>
      <c r="K90" s="64"/>
      <c r="L90" s="64"/>
      <c r="M90" s="64"/>
      <c r="N90" s="64"/>
      <c r="O90" s="64" t="s">
        <v>2766</v>
      </c>
      <c r="P90" s="64"/>
      <c r="Q90" s="64"/>
      <c r="R90" s="64"/>
      <c r="S90" s="64"/>
      <c r="T90" s="64"/>
      <c r="U90" s="69" t="s">
        <v>442</v>
      </c>
      <c r="V90" s="64" t="s">
        <v>2393</v>
      </c>
      <c r="W90" s="70"/>
      <c r="X90" s="64"/>
      <c r="Y90" s="71"/>
      <c r="Z90" s="64"/>
      <c r="AA90" s="64"/>
      <c r="AB90" s="64"/>
      <c r="AC90" s="64"/>
      <c r="AD90" s="64"/>
      <c r="AE90" s="64"/>
      <c r="AF90" s="64"/>
      <c r="AG90" s="64"/>
      <c r="AH90" s="64"/>
      <c r="AI90" s="69" t="str">
        <f t="shared" si="2"/>
        <v>PCARRIER SUPRA HE9 MT / R452AChauffage gaz chaudou équivalentFonctionnement Route, Diesel et Secteur (380 V Triphasé)Hauteur sous évaporateur : 1950 mmProtection évaporateurs avant et arrière en INOXCommande cabine à affichage numérique de la température1 câble de 10 m</v>
      </c>
    </row>
    <row r="91" spans="1:44" s="66" customFormat="1" ht="56.25" x14ac:dyDescent="0.25">
      <c r="A91" s="69" t="s">
        <v>2769</v>
      </c>
      <c r="B91" s="72" t="s">
        <v>32</v>
      </c>
      <c r="C91" s="74" t="s">
        <v>802</v>
      </c>
      <c r="D91" s="74"/>
      <c r="E91" s="74"/>
      <c r="F91" s="74"/>
      <c r="G91" s="74" t="s">
        <v>803</v>
      </c>
      <c r="H91" s="74" t="s">
        <v>804</v>
      </c>
      <c r="I91" s="74" t="s">
        <v>805</v>
      </c>
      <c r="J91" s="74"/>
      <c r="K91" s="74"/>
      <c r="L91" s="74" t="s">
        <v>442</v>
      </c>
      <c r="M91" s="74" t="s">
        <v>716</v>
      </c>
      <c r="N91" s="74" t="s">
        <v>717</v>
      </c>
      <c r="O91" s="74" t="s">
        <v>728</v>
      </c>
      <c r="P91" s="74" t="s">
        <v>806</v>
      </c>
      <c r="Q91" s="74"/>
      <c r="R91" s="74"/>
      <c r="S91" s="74"/>
      <c r="T91" s="74"/>
      <c r="U91" s="74"/>
      <c r="V91" s="74"/>
      <c r="W91" s="74"/>
      <c r="X91" s="74"/>
      <c r="Y91" s="74"/>
      <c r="Z91" s="74"/>
      <c r="AA91" s="74"/>
      <c r="AB91" s="74"/>
      <c r="AC91" s="74"/>
      <c r="AD91" s="74"/>
      <c r="AE91" s="74"/>
      <c r="AF91" s="74"/>
      <c r="AG91" s="74"/>
      <c r="AH91" s="74"/>
      <c r="AI91" s="69" t="str">
        <f t="shared" si="2"/>
        <v>PCARRIER PULSOR 600 Multi température poulie moteur ou équivalent - R452 A - Chauffage électrique - ATP classes FRC-FRCFonctionnement route 12V et secteur 380 V triphasé 32 AEvaporateur avant MXS 850 centré soufflant vers l'arrière et évaporateur arrière MXL 1100 centré soufflant vers l'avantHauteur sous évaporateur arrière 1859 mmCommande cabine à affichage numérique de la températurePrise secteur à l'avant gauche sous la caisseRallonge électrique de 10 mètresContact arrêt ventilation porte arrière droiteContact arrêt ventilation porte latérale</v>
      </c>
    </row>
    <row r="92" spans="1:44" s="66" customFormat="1" ht="33.75" x14ac:dyDescent="0.25">
      <c r="A92" s="69" t="s">
        <v>2799</v>
      </c>
      <c r="B92" s="72" t="s">
        <v>424</v>
      </c>
      <c r="C92" s="74"/>
      <c r="D92" s="74"/>
      <c r="E92" s="74" t="s">
        <v>729</v>
      </c>
      <c r="F92" s="74"/>
      <c r="G92" s="74"/>
      <c r="H92" s="74" t="s">
        <v>807</v>
      </c>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69" t="str">
        <f t="shared" si="2"/>
        <v>OEnregistreur de température DATACOLD 600 R avec imprimanteThermomètre électronique en face avant côté conducteur</v>
      </c>
    </row>
    <row r="93" spans="1:44" s="66" customFormat="1" ht="56.25" x14ac:dyDescent="0.25">
      <c r="A93" s="69" t="s">
        <v>2795</v>
      </c>
      <c r="B93" s="72" t="s">
        <v>32</v>
      </c>
      <c r="C93" s="74" t="s">
        <v>808</v>
      </c>
      <c r="D93" s="74"/>
      <c r="E93" s="74"/>
      <c r="F93" s="74"/>
      <c r="G93" s="74" t="s">
        <v>725</v>
      </c>
      <c r="H93" s="74" t="s">
        <v>809</v>
      </c>
      <c r="I93" s="74" t="s">
        <v>810</v>
      </c>
      <c r="J93" s="74" t="s">
        <v>726</v>
      </c>
      <c r="K93" s="74"/>
      <c r="L93" s="74" t="s">
        <v>442</v>
      </c>
      <c r="M93" s="74" t="s">
        <v>733</v>
      </c>
      <c r="N93" s="74"/>
      <c r="O93" s="74" t="s">
        <v>811</v>
      </c>
      <c r="P93" s="74" t="s">
        <v>806</v>
      </c>
      <c r="Q93" s="74"/>
      <c r="R93" s="74"/>
      <c r="S93" s="74"/>
      <c r="T93" s="74"/>
      <c r="U93" s="74"/>
      <c r="V93" s="74"/>
      <c r="W93" s="74"/>
      <c r="X93" s="74"/>
      <c r="Y93" s="74"/>
      <c r="Z93" s="74"/>
      <c r="AA93" s="74"/>
      <c r="AB93" s="74"/>
      <c r="AC93" s="74"/>
      <c r="AD93" s="74"/>
      <c r="AE93" s="74"/>
      <c r="AF93" s="74"/>
      <c r="AG93" s="74"/>
      <c r="AH93" s="74"/>
      <c r="AI93" s="69" t="str">
        <f t="shared" si="2"/>
        <v>PCARRIER SUPRA HE 8 Multi température Silent autonome ou équivalent - R452 A - Chauffage gaz chaud - ATP classes FRC-FRCFonctionnement route GNR et secteur 380 V triphasé 32 AEvaporateur avant droit MSS 700 soufflant vers l'arrière et évaporateur avant gauche MSS 1100 soufflant vers l'arrièreHauteur sous évaporateurs 1817 mmRéservoir GNR 50 litresCommande cabine à affichage numérique de la températurePrise secteur dans un coffre sans clé à l'arrière gauche avec socle fixé à l'horizontale et rallonge de 10 mètresContact arrêt ventilation portes arrière droite et gaucheContact arrêt ventilation porte latérale</v>
      </c>
    </row>
    <row r="94" spans="1:44" s="66" customFormat="1" ht="30.6" customHeight="1" x14ac:dyDescent="0.25">
      <c r="A94" s="69" t="s">
        <v>2811</v>
      </c>
      <c r="B94" s="72" t="s">
        <v>424</v>
      </c>
      <c r="C94" s="74"/>
      <c r="D94" s="74"/>
      <c r="E94" s="74" t="s">
        <v>729</v>
      </c>
      <c r="F94" s="74"/>
      <c r="G94" s="74"/>
      <c r="H94" s="74" t="s">
        <v>807</v>
      </c>
      <c r="I94" s="74" t="s">
        <v>730</v>
      </c>
      <c r="J94" s="74"/>
      <c r="K94" s="74"/>
      <c r="L94" s="74"/>
      <c r="N94" s="74"/>
      <c r="O94" s="74"/>
      <c r="P94" s="74"/>
      <c r="Q94" s="74"/>
      <c r="R94" s="74"/>
      <c r="S94" s="74"/>
      <c r="T94" s="74"/>
      <c r="U94" s="74"/>
      <c r="V94" s="74"/>
      <c r="W94" s="74"/>
      <c r="X94" s="74"/>
      <c r="Y94" s="74"/>
      <c r="Z94" s="74"/>
      <c r="AA94" s="74"/>
      <c r="AB94" s="74"/>
      <c r="AC94" s="74"/>
      <c r="AD94" s="74"/>
      <c r="AE94" s="74"/>
      <c r="AF94" s="74"/>
      <c r="AG94" s="74"/>
      <c r="AH94" s="74"/>
      <c r="AI94" s="69" t="str">
        <f t="shared" si="2"/>
        <v>OEnregistreur de température DATACOLD 600 R avec imprimanteThermomètre électronique en face avant côté conducteurDémarrage automatique en mode thermique en cas de coupure du mode secteur</v>
      </c>
    </row>
    <row r="95" spans="1:44" s="66" customFormat="1" ht="56.25" x14ac:dyDescent="0.25">
      <c r="A95" s="69" t="s">
        <v>2772</v>
      </c>
      <c r="B95" s="72" t="s">
        <v>32</v>
      </c>
      <c r="C95" s="74" t="s">
        <v>812</v>
      </c>
      <c r="D95" s="74"/>
      <c r="E95" s="74"/>
      <c r="F95" s="74"/>
      <c r="G95" s="74" t="s">
        <v>725</v>
      </c>
      <c r="H95" s="74" t="s">
        <v>813</v>
      </c>
      <c r="I95" s="74" t="s">
        <v>815</v>
      </c>
      <c r="J95" s="74" t="s">
        <v>814</v>
      </c>
      <c r="K95" s="74"/>
      <c r="L95" s="74" t="s">
        <v>442</v>
      </c>
      <c r="M95" s="74" t="s">
        <v>733</v>
      </c>
      <c r="N95" s="74"/>
      <c r="O95" s="74" t="s">
        <v>816</v>
      </c>
      <c r="P95" s="74" t="s">
        <v>817</v>
      </c>
      <c r="Q95" s="74"/>
      <c r="R95" s="74"/>
      <c r="S95" s="74"/>
      <c r="T95" s="74"/>
      <c r="U95" s="74"/>
      <c r="V95" s="74"/>
      <c r="W95" s="74"/>
      <c r="X95" s="74"/>
      <c r="Y95" s="74"/>
      <c r="Z95" s="74"/>
      <c r="AA95" s="74"/>
      <c r="AB95" s="74"/>
      <c r="AC95" s="74"/>
      <c r="AD95" s="74"/>
      <c r="AE95" s="74"/>
      <c r="AF95" s="74"/>
      <c r="AG95" s="74"/>
      <c r="AH95" s="74"/>
      <c r="AI95" s="69" t="str">
        <f t="shared" si="2"/>
        <v>PCARRIER SUPRA HE 11 Multi température Silent autonome ou équivalent - R452 A - Chauffage gaz chaud - ATP classes FRC-FRCFonctionnement route GNR et secteur 380 V triphasé 32 AEvaporateur avant MSS 1450 centré soufflant vers l'arrière et évaporateur arrière MSS 1450 centré soufflant vers l'avantHauteur sous évaporateurs 2165 mmRéservoir GNR 90 litresCommande cabine à affichage numérique de la températurePrise secteur dans un coffre sans clé à l'arrière gauche avec socle fixé à l'horizontale et rallonge de 10 mètresContact arrêt ventilation porte arrière centraleContacts arrêt ventilation portes latérales</v>
      </c>
    </row>
    <row r="96" spans="1:44" s="66" customFormat="1" ht="33.75" x14ac:dyDescent="0.25">
      <c r="A96" s="69" t="s">
        <v>2808</v>
      </c>
      <c r="B96" s="72" t="s">
        <v>424</v>
      </c>
      <c r="C96" s="74"/>
      <c r="D96" s="74"/>
      <c r="E96" s="74" t="s">
        <v>729</v>
      </c>
      <c r="F96" s="74"/>
      <c r="G96" s="74"/>
      <c r="H96" s="74" t="s">
        <v>807</v>
      </c>
      <c r="I96" s="74" t="s">
        <v>730</v>
      </c>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69" t="str">
        <f t="shared" si="2"/>
        <v>OEnregistreur de température DATACOLD 600 R avec imprimanteThermomètre électronique en face avant côté conducteurDémarrage automatique en mode thermique en cas de coupure du mode secteur</v>
      </c>
    </row>
    <row r="97" spans="1:35" s="66" customFormat="1" ht="56.25" x14ac:dyDescent="0.25">
      <c r="A97" s="69" t="s">
        <v>2794</v>
      </c>
      <c r="B97" s="72" t="s">
        <v>32</v>
      </c>
      <c r="C97" s="74" t="s">
        <v>818</v>
      </c>
      <c r="D97" s="74"/>
      <c r="E97" s="74"/>
      <c r="F97" s="74"/>
      <c r="G97" s="74" t="s">
        <v>725</v>
      </c>
      <c r="H97" s="74" t="s">
        <v>813</v>
      </c>
      <c r="I97" s="74" t="s">
        <v>815</v>
      </c>
      <c r="J97" s="74" t="s">
        <v>814</v>
      </c>
      <c r="K97" s="74"/>
      <c r="L97" s="74" t="s">
        <v>442</v>
      </c>
      <c r="M97" s="74" t="s">
        <v>733</v>
      </c>
      <c r="N97" s="74"/>
      <c r="O97" s="74" t="s">
        <v>816</v>
      </c>
      <c r="P97" s="74" t="s">
        <v>817</v>
      </c>
      <c r="Q97" s="74"/>
      <c r="R97" s="74"/>
      <c r="S97" s="74"/>
      <c r="T97" s="74"/>
      <c r="U97" s="74"/>
      <c r="V97" s="74"/>
      <c r="W97" s="74"/>
      <c r="X97" s="74"/>
      <c r="Y97" s="74"/>
      <c r="Z97" s="74"/>
      <c r="AA97" s="74"/>
      <c r="AB97" s="74"/>
      <c r="AC97" s="74"/>
      <c r="AD97" s="74"/>
      <c r="AE97" s="74"/>
      <c r="AF97" s="74"/>
      <c r="AG97" s="74"/>
      <c r="AH97" s="74"/>
      <c r="AI97" s="69" t="str">
        <f t="shared" si="2"/>
        <v>PCARRIER SUPRA HE 13 Multi température Silent autonome ou équivalent - R452 A - Chauffage gaz chaud - ATP classes FRC-FRCFonctionnement route GNR et secteur 380 V triphasé 32 AEvaporateur avant MSS 1450 centré soufflant vers l'arrière et évaporateur arrière MSS 1450 centré soufflant vers l'avantHauteur sous évaporateurs 2165 mmRéservoir GNR 90 litresCommande cabine à affichage numérique de la températurePrise secteur dans un coffre sans clé à l'arrière gauche avec socle fixé à l'horizontale et rallonge de 10 mètresContact arrêt ventilation porte arrière centraleContacts arrêt ventilation portes latérales</v>
      </c>
    </row>
    <row r="98" spans="1:35" s="66" customFormat="1" ht="33.75" x14ac:dyDescent="0.25">
      <c r="A98" s="69" t="s">
        <v>2810</v>
      </c>
      <c r="B98" s="72" t="s">
        <v>424</v>
      </c>
      <c r="C98" s="74"/>
      <c r="D98" s="74"/>
      <c r="E98" s="74" t="s">
        <v>729</v>
      </c>
      <c r="F98" s="74"/>
      <c r="G98" s="74"/>
      <c r="H98" s="74" t="s">
        <v>807</v>
      </c>
      <c r="I98" s="74" t="s">
        <v>730</v>
      </c>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69" t="str">
        <f t="shared" si="2"/>
        <v>OEnregistreur de température DATACOLD 600 R avec imprimanteThermomètre électronique en face avant côté conducteurDémarrage automatique en mode thermique en cas de coupure du mode secteur</v>
      </c>
    </row>
    <row r="99" spans="1:35" s="66" customFormat="1" ht="56.25" x14ac:dyDescent="0.25">
      <c r="A99" s="69" t="s">
        <v>2793</v>
      </c>
      <c r="B99" s="72" t="s">
        <v>32</v>
      </c>
      <c r="C99" s="74" t="s">
        <v>818</v>
      </c>
      <c r="D99" s="74"/>
      <c r="E99" s="74"/>
      <c r="F99" s="74"/>
      <c r="G99" s="74" t="s">
        <v>725</v>
      </c>
      <c r="H99" s="74" t="s">
        <v>813</v>
      </c>
      <c r="I99" s="74" t="s">
        <v>815</v>
      </c>
      <c r="J99" s="74" t="s">
        <v>814</v>
      </c>
      <c r="K99" s="74"/>
      <c r="L99" s="74" t="s">
        <v>442</v>
      </c>
      <c r="M99" s="74" t="s">
        <v>733</v>
      </c>
      <c r="N99" s="74"/>
      <c r="O99" s="74" t="s">
        <v>819</v>
      </c>
      <c r="P99" s="74" t="s">
        <v>817</v>
      </c>
      <c r="Q99" s="74"/>
      <c r="R99" s="74"/>
      <c r="S99" s="74"/>
      <c r="T99" s="74"/>
      <c r="U99" s="74"/>
      <c r="V99" s="74"/>
      <c r="W99" s="74"/>
      <c r="X99" s="74"/>
      <c r="Y99" s="74"/>
      <c r="Z99" s="74"/>
      <c r="AA99" s="74"/>
      <c r="AB99" s="74"/>
      <c r="AC99" s="74"/>
      <c r="AD99" s="74"/>
      <c r="AE99" s="74"/>
      <c r="AF99" s="74"/>
      <c r="AG99" s="74"/>
      <c r="AH99" s="74"/>
      <c r="AI99" s="69" t="str">
        <f t="shared" si="2"/>
        <v>PCARRIER SUPRA HE 13 Multi température Silent autonome ou équivalent - R452 A - Chauffage gaz chaud - ATP classes FRC-FRCFonctionnement route GNR et secteur 380 V triphasé 32 AEvaporateur avant MSS 1450 centré soufflant vers l'arrière et évaporateur arrière MSS 1450 centré soufflant vers l'avantHauteur sous évaporateurs 2165 mmRéservoir GNR 90 litresCommande cabine à affichage numérique de la températurePrise secteur dans un coffre sans clé à l'arrière gauche avec socle fixé à l'horizontale et rallonge de 10 mètresContact arrêt ventilation rideau Easy Acc'AirContacts arrêt ventilation portes latérales</v>
      </c>
    </row>
    <row r="100" spans="1:35" s="66" customFormat="1" ht="56.25" x14ac:dyDescent="0.25">
      <c r="A100" s="69" t="s">
        <v>2773</v>
      </c>
      <c r="B100" s="72" t="s">
        <v>32</v>
      </c>
      <c r="C100" s="74" t="s">
        <v>812</v>
      </c>
      <c r="D100" s="74"/>
      <c r="E100" s="74"/>
      <c r="F100" s="74"/>
      <c r="G100" s="74" t="s">
        <v>725</v>
      </c>
      <c r="H100" s="74" t="s">
        <v>813</v>
      </c>
      <c r="I100" s="74" t="s">
        <v>815</v>
      </c>
      <c r="J100" s="74" t="s">
        <v>726</v>
      </c>
      <c r="K100" s="74"/>
      <c r="L100" s="74" t="s">
        <v>442</v>
      </c>
      <c r="M100" s="74" t="s">
        <v>733</v>
      </c>
      <c r="N100" s="74"/>
      <c r="O100" s="74" t="s">
        <v>816</v>
      </c>
      <c r="P100" s="74" t="s">
        <v>817</v>
      </c>
      <c r="Q100" s="74"/>
      <c r="R100" s="74"/>
      <c r="S100" s="74"/>
      <c r="T100" s="74"/>
      <c r="U100" s="74"/>
      <c r="V100" s="74"/>
      <c r="W100" s="74"/>
      <c r="X100" s="74"/>
      <c r="Y100" s="74"/>
      <c r="Z100" s="74"/>
      <c r="AA100" s="74"/>
      <c r="AB100" s="74"/>
      <c r="AC100" s="74"/>
      <c r="AD100" s="74"/>
      <c r="AE100" s="74"/>
      <c r="AF100" s="74"/>
      <c r="AG100" s="74"/>
      <c r="AH100" s="74"/>
      <c r="AI100" s="69" t="str">
        <f t="shared" si="2"/>
        <v>PCARRIER SUPRA HE 11 Multi température Silent autonome ou équivalent - R452 A - Chauffage gaz chaud - ATP classes FRC-FRCFonctionnement route GNR et secteur 380 V triphasé 32 AEvaporateur avant MSS 1450 centré soufflant vers l'arrière et évaporateur arrière MSS 1450 centré soufflant vers l'avantHauteur sous évaporateurs 2165 mmRéservoir GNR 50 litresCommande cabine à affichage numérique de la températurePrise secteur dans un coffre sans clé à l'arrière gauche avec socle fixé à l'horizontale et rallonge de 10 mètresContact arrêt ventilation porte arrière centraleContacts arrêt ventilation portes latérales</v>
      </c>
    </row>
    <row r="101" spans="1:35" s="66" customFormat="1" ht="56.25" x14ac:dyDescent="0.25">
      <c r="A101" s="69" t="s">
        <v>2770</v>
      </c>
      <c r="B101" s="72" t="s">
        <v>32</v>
      </c>
      <c r="C101" s="74" t="s">
        <v>802</v>
      </c>
      <c r="D101" s="74"/>
      <c r="E101" s="74"/>
      <c r="F101" s="74"/>
      <c r="G101" s="74" t="s">
        <v>803</v>
      </c>
      <c r="H101" s="74" t="s">
        <v>910</v>
      </c>
      <c r="I101" s="74" t="s">
        <v>911</v>
      </c>
      <c r="J101" s="74"/>
      <c r="K101" s="74"/>
      <c r="L101" s="74" t="s">
        <v>442</v>
      </c>
      <c r="M101" s="74" t="s">
        <v>716</v>
      </c>
      <c r="N101" s="74" t="s">
        <v>717</v>
      </c>
      <c r="O101" s="74" t="s">
        <v>728</v>
      </c>
      <c r="P101" s="74" t="s">
        <v>806</v>
      </c>
      <c r="Q101" s="74"/>
      <c r="R101" s="74"/>
      <c r="S101" s="74"/>
      <c r="T101" s="74"/>
      <c r="U101" s="74"/>
      <c r="V101" s="74"/>
      <c r="W101" s="74"/>
      <c r="X101" s="74"/>
      <c r="Y101" s="74"/>
      <c r="Z101" s="74"/>
      <c r="AA101" s="74"/>
      <c r="AB101" s="74"/>
      <c r="AC101" s="74"/>
      <c r="AD101" s="74"/>
      <c r="AE101" s="74"/>
      <c r="AF101" s="74"/>
      <c r="AG101" s="74"/>
      <c r="AH101" s="74"/>
      <c r="AI101" s="69" t="str">
        <f t="shared" si="2"/>
        <v>PCARRIER PULSOR 600 Multi température poulie moteur ou équivalent - R452 A - Chauffage électrique - ATP classes FRC-FRCFonctionnement route 12V et secteur 380 V triphasé 32 AEvaporateur avant MXS 850 à gauche soufflant vers la porte latérale et évaporateur arrière MXL 1100 centré soufflant vers l'arrièreHauteur sous évaporateur 1845 mmCommande cabine à affichage numérique de la températurePrise secteur à l'avant gauche sous la caisseRallonge électrique de 10 mètresContact arrêt ventilation porte arrière droiteContact arrêt ventilation porte latérale</v>
      </c>
    </row>
    <row r="102" spans="1:35" s="66" customFormat="1" ht="56.25" x14ac:dyDescent="0.25">
      <c r="A102" s="69" t="s">
        <v>2771</v>
      </c>
      <c r="B102" s="72" t="s">
        <v>32</v>
      </c>
      <c r="C102" s="74" t="s">
        <v>802</v>
      </c>
      <c r="D102" s="74"/>
      <c r="E102" s="74"/>
      <c r="F102" s="74"/>
      <c r="G102" s="74" t="s">
        <v>803</v>
      </c>
      <c r="H102" s="74" t="s">
        <v>912</v>
      </c>
      <c r="I102" s="74" t="s">
        <v>913</v>
      </c>
      <c r="J102" s="74"/>
      <c r="K102" s="74"/>
      <c r="L102" s="74" t="s">
        <v>442</v>
      </c>
      <c r="M102" s="74" t="s">
        <v>716</v>
      </c>
      <c r="N102" s="74" t="s">
        <v>717</v>
      </c>
      <c r="O102" s="74" t="s">
        <v>811</v>
      </c>
      <c r="P102" s="74" t="s">
        <v>806</v>
      </c>
      <c r="Q102" s="74"/>
      <c r="R102" s="74"/>
      <c r="S102" s="74"/>
      <c r="T102" s="74"/>
      <c r="U102" s="74"/>
      <c r="V102" s="74"/>
      <c r="W102" s="74"/>
      <c r="X102" s="74"/>
      <c r="Y102" s="74"/>
      <c r="Z102" s="74"/>
      <c r="AA102" s="74"/>
      <c r="AB102" s="74"/>
      <c r="AC102" s="74"/>
      <c r="AD102" s="74"/>
      <c r="AE102" s="74"/>
      <c r="AF102" s="74"/>
      <c r="AG102" s="74"/>
      <c r="AH102" s="74"/>
      <c r="AI102" s="69" t="str">
        <f t="shared" si="2"/>
        <v>PCARRIER PULSOR 600 Multi température poulie moteur ou équivalent - R452 A - Chauffage électrique - ATP classes FRC-FRCFonctionnement route 12V et secteur 380 V triphasé 32 AEvaporateur avant droit MCL 850 soufflant vers l'arrière et évaporateur avant gauche MCL 850 soufflant vers l'arrièreHauteur sous évaporateur 1705 mmCommande cabine à affichage numérique de la températurePrise secteur à l'avant gauche sous la caisseRallonge électrique de 10 mètresContact arrêt ventilation portes arrière droite et gaucheContact arrêt ventilation porte latérale</v>
      </c>
    </row>
    <row r="103" spans="1:35" s="66" customFormat="1" ht="19.899999999999999" customHeight="1" x14ac:dyDescent="0.25">
      <c r="A103" s="69" t="s">
        <v>2762</v>
      </c>
      <c r="B103" s="72" t="s">
        <v>32</v>
      </c>
      <c r="C103" s="74" t="s">
        <v>1037</v>
      </c>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69" t="str">
        <f t="shared" si="2"/>
        <v>PSans groupe frigorifique</v>
      </c>
    </row>
    <row r="104" spans="1:35" s="66" customFormat="1" ht="16.899999999999999" customHeight="1" x14ac:dyDescent="0.25">
      <c r="A104" s="69" t="s">
        <v>2761</v>
      </c>
      <c r="B104" s="72" t="s">
        <v>424</v>
      </c>
      <c r="C104" s="74" t="s">
        <v>1035</v>
      </c>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69" t="str">
        <f t="shared" ref="AI104:AI135" si="3">CONCATENATE(B104,C104,D104,E104,F104,G104,H104,I104,J104,K104,L104,M104,N104,O104,P104,Q104,R104,S104,T104,U104,V104,W104,X104,Y104,Z104,AA104,AB104,AC104,AD104,AE104,AF104,AG104,AH104)</f>
        <v>OSans option</v>
      </c>
    </row>
    <row r="105" spans="1:35" s="66" customFormat="1" ht="45" x14ac:dyDescent="0.25">
      <c r="A105" s="69" t="s">
        <v>2796</v>
      </c>
      <c r="B105" s="72" t="s">
        <v>32</v>
      </c>
      <c r="C105" s="74" t="s">
        <v>915</v>
      </c>
      <c r="D105" s="74"/>
      <c r="E105" s="74"/>
      <c r="F105" s="74"/>
      <c r="G105" s="74" t="s">
        <v>725</v>
      </c>
      <c r="H105" s="74" t="s">
        <v>2736</v>
      </c>
      <c r="I105" s="74"/>
      <c r="J105" s="74" t="s">
        <v>916</v>
      </c>
      <c r="K105" s="74" t="s">
        <v>917</v>
      </c>
      <c r="L105" s="74"/>
      <c r="M105" s="74" t="s">
        <v>733</v>
      </c>
      <c r="N105" s="74"/>
      <c r="O105" s="74" t="s">
        <v>728</v>
      </c>
      <c r="P105" s="74"/>
      <c r="Q105" s="74"/>
      <c r="R105" s="74"/>
      <c r="S105" s="74"/>
      <c r="T105" s="74"/>
      <c r="U105" s="74"/>
      <c r="V105" s="74"/>
      <c r="W105" s="74"/>
      <c r="X105" s="74"/>
      <c r="Y105" s="74"/>
      <c r="Z105" s="74"/>
      <c r="AA105" s="74"/>
      <c r="AB105" s="74"/>
      <c r="AC105" s="74"/>
      <c r="AD105" s="74"/>
      <c r="AE105" s="74"/>
      <c r="AF105" s="74"/>
      <c r="AG105" s="74"/>
      <c r="AH105" s="74"/>
      <c r="AI105" s="69" t="str">
        <f t="shared" si="3"/>
        <v>PCARRIER VECTOR 19 HE MT S2 Insonorisé autonome ou équivalent - R452 A - Chauffage gaz chaud - ATP classes FRC-FRCFonctionnement route GNR et secteur 380 V triphasé 32 AEvaporateur avant soufflant vers l'arrière et évaporateur arrière MHS 1100 à gauche soufflant vers l'avantRéservoir GNR 250 litres avec 2 goulottes de remplissageAffichage numérique de la température sur le groupe frigorifiquePrise secteur dans un coffre sans clé à l'arrière gauche avec socle fixé à l'horizontale et rallonge de 10 mètresContact arrêt ventilation porte arrière droite</v>
      </c>
    </row>
    <row r="106" spans="1:35" s="66" customFormat="1" ht="33.75" x14ac:dyDescent="0.25">
      <c r="A106" s="69" t="s">
        <v>2807</v>
      </c>
      <c r="B106" s="72" t="s">
        <v>424</v>
      </c>
      <c r="C106" s="74"/>
      <c r="D106" s="74"/>
      <c r="E106" s="74" t="s">
        <v>919</v>
      </c>
      <c r="F106" s="74"/>
      <c r="G106" s="74"/>
      <c r="H106" s="74"/>
      <c r="I106" s="74" t="s">
        <v>730</v>
      </c>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69" t="str">
        <f t="shared" si="3"/>
        <v>OEnregistreur de température DATACOLD 600 T avec imprimanteDémarrage automatique en mode thermique en cas de coupure du mode secteur</v>
      </c>
    </row>
    <row r="107" spans="1:35" s="66" customFormat="1" ht="56.25" x14ac:dyDescent="0.25">
      <c r="A107" s="69" t="s">
        <v>2797</v>
      </c>
      <c r="B107" s="72" t="s">
        <v>32</v>
      </c>
      <c r="C107" s="74" t="s">
        <v>915</v>
      </c>
      <c r="D107" s="74"/>
      <c r="E107" s="74"/>
      <c r="F107" s="74"/>
      <c r="G107" s="74" t="s">
        <v>725</v>
      </c>
      <c r="H107" s="74" t="s">
        <v>2736</v>
      </c>
      <c r="I107" s="74"/>
      <c r="J107" s="74" t="s">
        <v>916</v>
      </c>
      <c r="K107" s="74" t="s">
        <v>917</v>
      </c>
      <c r="L107" s="74"/>
      <c r="M107" s="74" t="s">
        <v>733</v>
      </c>
      <c r="O107" s="74" t="s">
        <v>728</v>
      </c>
      <c r="P107" s="74"/>
      <c r="Q107" s="74"/>
      <c r="R107" s="74" t="s">
        <v>918</v>
      </c>
      <c r="S107" s="74"/>
      <c r="T107" s="74"/>
      <c r="U107" s="74"/>
      <c r="V107" s="74"/>
      <c r="W107" s="74"/>
      <c r="X107" s="74"/>
      <c r="Y107" s="74"/>
      <c r="Z107" s="74"/>
      <c r="AA107" s="74"/>
      <c r="AB107" s="74"/>
      <c r="AC107" s="74"/>
      <c r="AD107" s="74"/>
      <c r="AE107" s="74"/>
      <c r="AF107" s="74"/>
      <c r="AG107" s="74"/>
      <c r="AH107" s="74"/>
      <c r="AI107" s="69" t="str">
        <f t="shared" si="3"/>
        <v>PCARRIER VECTOR 19 HE MT S2 Insonorisé autonome ou équivalent - R452 A - Chauffage gaz chaud - ATP classes FRC-FRCFonctionnement route GNR et secteur 380 V triphasé 32 AEvaporateur avant soufflant vers l'arrière et évaporateur arrière MHS 1100 à gauche soufflant vers l'avantRéservoir GNR 250 litres avec 2 goulottes de remplissageAffichage numérique de la température sur le groupe frigorifiquePrise secteur dans un coffre sans clé à l'arrière gauche avec socle fixé à l'horizontale et rallonge de 10 mètresContact arrêt ventilation porte arrière droiteChargeur de batteries pour le hayon élévateur</v>
      </c>
    </row>
    <row r="108" spans="1:35" s="66" customFormat="1" ht="56.25" x14ac:dyDescent="0.25">
      <c r="A108" s="69" t="s">
        <v>2784</v>
      </c>
      <c r="B108" s="72" t="s">
        <v>32</v>
      </c>
      <c r="C108" s="74" t="s">
        <v>959</v>
      </c>
      <c r="D108" s="74"/>
      <c r="E108" s="74"/>
      <c r="F108" s="74"/>
      <c r="G108" s="74" t="s">
        <v>803</v>
      </c>
      <c r="H108" s="74" t="s">
        <v>960</v>
      </c>
      <c r="I108" s="74" t="s">
        <v>961</v>
      </c>
      <c r="J108" s="74"/>
      <c r="K108" s="74"/>
      <c r="L108" s="74" t="s">
        <v>442</v>
      </c>
      <c r="M108" s="74" t="s">
        <v>716</v>
      </c>
      <c r="N108" s="74" t="s">
        <v>717</v>
      </c>
      <c r="O108" s="74" t="s">
        <v>728</v>
      </c>
      <c r="P108" s="74" t="s">
        <v>806</v>
      </c>
      <c r="Q108" s="74"/>
      <c r="R108" s="74"/>
      <c r="S108" s="74"/>
      <c r="T108" s="74"/>
      <c r="U108" s="74"/>
      <c r="V108" s="74"/>
      <c r="W108" s="74"/>
      <c r="X108" s="74"/>
      <c r="Y108" s="74"/>
      <c r="Z108" s="74"/>
      <c r="AA108" s="74"/>
      <c r="AB108" s="74"/>
      <c r="AC108" s="74"/>
      <c r="AD108" s="74"/>
      <c r="AE108" s="74"/>
      <c r="AF108" s="74"/>
      <c r="AG108" s="74"/>
      <c r="AH108" s="74"/>
      <c r="AI108" s="69" t="str">
        <f t="shared" si="3"/>
        <v>PTHERMOKING V600 X Max 50 Spectrum poulie moteur ou équivalent - R452 A - Chauffage électrique - ATP classes FRC-FRCFonctionnement route 12V et secteur 380 V triphasé 32 AEvaporateur avant ES300 centré soufflant vers l'arrière et évaporateur arrière ES300 centré soufflant vers l'avantHauteur sous évaporateurs avant 1846 mm et arrière 1910 mmCommande cabine à affichage numérique de la températurePrise secteur à l'avant gauche sous la caisseRallonge électrique de 10 mètresContact arrêt ventilation porte arrière droiteContact arrêt ventilation porte latérale</v>
      </c>
    </row>
    <row r="109" spans="1:35" s="66" customFormat="1" ht="33.75" x14ac:dyDescent="0.25">
      <c r="A109" s="69" t="s">
        <v>2809</v>
      </c>
      <c r="B109" s="72" t="s">
        <v>424</v>
      </c>
      <c r="C109" s="74"/>
      <c r="D109" s="74"/>
      <c r="E109" s="74" t="s">
        <v>962</v>
      </c>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69" t="str">
        <f t="shared" si="3"/>
        <v>OEnregistreur de température Touch print Premium avec imprimante</v>
      </c>
    </row>
    <row r="110" spans="1:35" s="66" customFormat="1" ht="56.25" x14ac:dyDescent="0.25">
      <c r="A110" s="69" t="s">
        <v>2798</v>
      </c>
      <c r="B110" s="72" t="s">
        <v>32</v>
      </c>
      <c r="C110" s="74" t="s">
        <v>963</v>
      </c>
      <c r="D110" s="74"/>
      <c r="E110" s="74"/>
      <c r="F110" s="74"/>
      <c r="G110" s="74" t="s">
        <v>725</v>
      </c>
      <c r="H110" s="74" t="s">
        <v>964</v>
      </c>
      <c r="I110" s="74" t="s">
        <v>965</v>
      </c>
      <c r="J110" s="74" t="s">
        <v>726</v>
      </c>
      <c r="K110" s="74"/>
      <c r="L110" s="74" t="s">
        <v>442</v>
      </c>
      <c r="M110" s="74" t="s">
        <v>716</v>
      </c>
      <c r="N110" s="74" t="s">
        <v>717</v>
      </c>
      <c r="O110" s="74" t="s">
        <v>816</v>
      </c>
      <c r="P110" s="74" t="s">
        <v>806</v>
      </c>
      <c r="Q110" s="74"/>
      <c r="R110" s="74"/>
      <c r="S110" s="74"/>
      <c r="T110" s="74"/>
      <c r="U110" s="74"/>
      <c r="V110" s="74"/>
      <c r="W110" s="74"/>
      <c r="X110" s="74"/>
      <c r="Y110" s="74"/>
      <c r="Z110" s="74"/>
      <c r="AA110" s="74"/>
      <c r="AB110" s="74"/>
      <c r="AC110" s="74"/>
      <c r="AD110" s="74"/>
      <c r="AE110" s="74"/>
      <c r="AF110" s="74"/>
      <c r="AG110" s="74"/>
      <c r="AH110" s="74"/>
      <c r="AI110" s="69" t="str">
        <f t="shared" si="3"/>
        <v>PCARRIER SUPRA HE 9 Multi température Silent autonome ou équivalent - R452 A - Chauffage gaz chaud - ATP classes FRC-FRCFonctionnement route GNR et secteur 380 V triphasé 32 AEvaporateur avant gauche MSS 700 soufflant vers la porte latérale et évaporateur arrière MSS 1450 centré soufflant vers l'avantHauteur sous évaporateurs 1970 mmRéservoir GNR 50 litresCommande cabine à affichage numérique de la températurePrise secteur à l'avant gauche sous la caisseRallonge électrique de 10 mètresContact arrêt ventilation porte arrière centraleContact arrêt ventilation porte latérale</v>
      </c>
    </row>
    <row r="111" spans="1:35" s="66" customFormat="1" ht="33.75" x14ac:dyDescent="0.25">
      <c r="A111" s="69" t="s">
        <v>2812</v>
      </c>
      <c r="B111" s="72" t="s">
        <v>424</v>
      </c>
      <c r="C111" s="74"/>
      <c r="D111" s="74"/>
      <c r="E111" s="74" t="s">
        <v>729</v>
      </c>
      <c r="F111" s="74"/>
      <c r="G111" s="74"/>
      <c r="H111" s="74" t="s">
        <v>807</v>
      </c>
      <c r="I111" s="74" t="s">
        <v>730</v>
      </c>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69" t="str">
        <f t="shared" si="3"/>
        <v>OEnregistreur de température DATACOLD 600 R avec imprimanteThermomètre électronique en face avant côté conducteurDémarrage automatique en mode thermique en cas de coupure du mode secteur</v>
      </c>
    </row>
    <row r="112" spans="1:35" s="66" customFormat="1" ht="56.25" x14ac:dyDescent="0.25">
      <c r="A112" s="69" t="s">
        <v>2774</v>
      </c>
      <c r="B112" s="72" t="s">
        <v>32</v>
      </c>
      <c r="C112" s="74" t="s">
        <v>812</v>
      </c>
      <c r="D112" s="74"/>
      <c r="E112" s="74"/>
      <c r="F112" s="74"/>
      <c r="G112" s="74" t="s">
        <v>725</v>
      </c>
      <c r="H112" s="74" t="s">
        <v>964</v>
      </c>
      <c r="I112" s="74" t="s">
        <v>966</v>
      </c>
      <c r="J112" s="74" t="s">
        <v>814</v>
      </c>
      <c r="K112" s="74"/>
      <c r="L112" s="74" t="s">
        <v>442</v>
      </c>
      <c r="M112" s="74" t="s">
        <v>716</v>
      </c>
      <c r="N112" s="74" t="s">
        <v>717</v>
      </c>
      <c r="O112" s="74" t="s">
        <v>816</v>
      </c>
      <c r="P112" s="74" t="s">
        <v>817</v>
      </c>
      <c r="Q112" s="74"/>
      <c r="R112" s="74"/>
      <c r="S112" s="74"/>
      <c r="T112" s="74"/>
      <c r="U112" s="74"/>
      <c r="V112" s="74"/>
      <c r="W112" s="74"/>
      <c r="X112" s="74"/>
      <c r="Y112" s="74"/>
      <c r="Z112" s="74"/>
      <c r="AA112" s="74"/>
      <c r="AB112" s="74"/>
      <c r="AC112" s="74"/>
      <c r="AD112" s="74"/>
      <c r="AE112" s="74"/>
      <c r="AF112" s="74"/>
      <c r="AG112" s="74"/>
      <c r="AH112" s="74"/>
      <c r="AI112" s="69" t="str">
        <f t="shared" si="3"/>
        <v>PCARRIER SUPRA HE 11 Multi température Silent autonome ou équivalent - R452 A - Chauffage gaz chaud - ATP classes FRC-FRCFonctionnement route GNR et secteur 380 V triphasé 32 AEvaporateur avant gauche MSS 700 soufflant vers la porte latérale et évaporateur arrière MSS 1450 centré soufflant vers l'avantHauteur sous évaporateurs 2070 mmRéservoir GNR 90 litresCommande cabine à affichage numérique de la températurePrise secteur à l'avant gauche sous la caisseRallonge électrique de 10 mètresContact arrêt ventilation porte arrière centraleContacts arrêt ventilation portes latérales</v>
      </c>
    </row>
    <row r="113" spans="1:35" s="66" customFormat="1" ht="56.25" x14ac:dyDescent="0.25">
      <c r="A113" s="69" t="s">
        <v>2775</v>
      </c>
      <c r="B113" s="72" t="s">
        <v>32</v>
      </c>
      <c r="C113" s="74" t="s">
        <v>812</v>
      </c>
      <c r="D113" s="74"/>
      <c r="E113" s="74"/>
      <c r="F113" s="74"/>
      <c r="G113" s="74" t="s">
        <v>725</v>
      </c>
      <c r="H113" s="74" t="s">
        <v>964</v>
      </c>
      <c r="I113" s="74" t="s">
        <v>967</v>
      </c>
      <c r="J113" s="74" t="s">
        <v>814</v>
      </c>
      <c r="K113" s="74"/>
      <c r="L113" s="74" t="s">
        <v>442</v>
      </c>
      <c r="M113" s="74" t="s">
        <v>716</v>
      </c>
      <c r="N113" s="74" t="s">
        <v>717</v>
      </c>
      <c r="O113" s="74" t="s">
        <v>816</v>
      </c>
      <c r="P113" s="74" t="s">
        <v>817</v>
      </c>
      <c r="Q113" s="74"/>
      <c r="R113" s="74"/>
      <c r="S113" s="74"/>
      <c r="T113" s="74"/>
      <c r="U113" s="74"/>
      <c r="V113" s="74"/>
      <c r="W113" s="74"/>
      <c r="X113" s="74"/>
      <c r="Y113" s="74"/>
      <c r="Z113" s="74"/>
      <c r="AA113" s="74"/>
      <c r="AB113" s="74"/>
      <c r="AC113" s="74"/>
      <c r="AD113" s="74"/>
      <c r="AE113" s="74"/>
      <c r="AF113" s="74"/>
      <c r="AG113" s="74"/>
      <c r="AH113" s="74"/>
      <c r="AI113" s="69" t="str">
        <f t="shared" si="3"/>
        <v>PCARRIER SUPRA HE 11 Multi température Silent autonome ou équivalent - R452 A - Chauffage gaz chaud - ATP classes FRC-FRCFonctionnement route GNR et secteur 380 V triphasé 32 AEvaporateur avant gauche MSS 700 soufflant vers la porte latérale et évaporateur arrière MSS 1450 centré soufflant vers l'avantHauteur sous évaporateurs 2170 mmRéservoir GNR 90 litresCommande cabine à affichage numérique de la températurePrise secteur à l'avant gauche sous la caisseRallonge électrique de 10 mètresContact arrêt ventilation porte arrière centraleContacts arrêt ventilation portes latérales</v>
      </c>
    </row>
    <row r="114" spans="1:35" s="66" customFormat="1" ht="56.25" x14ac:dyDescent="0.25">
      <c r="A114" s="69" t="s">
        <v>2792</v>
      </c>
      <c r="B114" s="72" t="s">
        <v>32</v>
      </c>
      <c r="C114" s="74" t="s">
        <v>818</v>
      </c>
      <c r="D114" s="74"/>
      <c r="E114" s="74"/>
      <c r="F114" s="74"/>
      <c r="G114" s="74" t="s">
        <v>725</v>
      </c>
      <c r="H114" s="74" t="s">
        <v>964</v>
      </c>
      <c r="I114" s="74" t="s">
        <v>967</v>
      </c>
      <c r="J114" s="74" t="s">
        <v>814</v>
      </c>
      <c r="K114" s="74"/>
      <c r="L114" s="74" t="s">
        <v>442</v>
      </c>
      <c r="M114" s="74" t="s">
        <v>716</v>
      </c>
      <c r="N114" s="74" t="s">
        <v>717</v>
      </c>
      <c r="O114" s="74" t="s">
        <v>816</v>
      </c>
      <c r="P114" s="74" t="s">
        <v>817</v>
      </c>
      <c r="Q114" s="74"/>
      <c r="R114" s="74"/>
      <c r="S114" s="74"/>
      <c r="T114" s="74"/>
      <c r="U114" s="74"/>
      <c r="V114" s="74"/>
      <c r="W114" s="74"/>
      <c r="X114" s="74"/>
      <c r="Y114" s="74"/>
      <c r="Z114" s="74"/>
      <c r="AA114" s="74"/>
      <c r="AB114" s="74"/>
      <c r="AC114" s="74"/>
      <c r="AD114" s="74"/>
      <c r="AE114" s="74"/>
      <c r="AF114" s="74"/>
      <c r="AG114" s="74"/>
      <c r="AH114" s="74"/>
      <c r="AI114" s="69" t="str">
        <f t="shared" si="3"/>
        <v>PCARRIER SUPRA HE 13 Multi température Silent autonome ou équivalent - R452 A - Chauffage gaz chaud - ATP classes FRC-FRCFonctionnement route GNR et secteur 380 V triphasé 32 AEvaporateur avant gauche MSS 700 soufflant vers la porte latérale et évaporateur arrière MSS 1450 centré soufflant vers l'avantHauteur sous évaporateurs 2170 mmRéservoir GNR 90 litresCommande cabine à affichage numérique de la températurePrise secteur à l'avant gauche sous la caisseRallonge électrique de 10 mètresContact arrêt ventilation porte arrière centraleContacts arrêt ventilation portes latérales</v>
      </c>
    </row>
    <row r="115" spans="1:35" s="66" customFormat="1" ht="56.25" x14ac:dyDescent="0.25">
      <c r="A115" s="69" t="s">
        <v>2791</v>
      </c>
      <c r="B115" s="72" t="s">
        <v>32</v>
      </c>
      <c r="C115" s="74" t="s">
        <v>818</v>
      </c>
      <c r="D115" s="74"/>
      <c r="E115" s="74"/>
      <c r="F115" s="74"/>
      <c r="G115" s="74" t="s">
        <v>725</v>
      </c>
      <c r="H115" s="74" t="s">
        <v>813</v>
      </c>
      <c r="I115" s="74" t="s">
        <v>815</v>
      </c>
      <c r="J115" s="74" t="s">
        <v>814</v>
      </c>
      <c r="K115" s="74"/>
      <c r="L115" s="74" t="s">
        <v>442</v>
      </c>
      <c r="M115" s="74" t="s">
        <v>716</v>
      </c>
      <c r="N115" s="74" t="s">
        <v>717</v>
      </c>
      <c r="O115" s="74" t="s">
        <v>816</v>
      </c>
      <c r="P115" s="74" t="s">
        <v>817</v>
      </c>
      <c r="Q115" s="74"/>
      <c r="R115" s="74"/>
      <c r="S115" s="74"/>
      <c r="T115" s="74"/>
      <c r="U115" s="74"/>
      <c r="V115" s="74"/>
      <c r="W115" s="74"/>
      <c r="X115" s="74"/>
      <c r="Y115" s="74"/>
      <c r="Z115" s="74"/>
      <c r="AA115" s="74"/>
      <c r="AB115" s="74"/>
      <c r="AC115" s="74"/>
      <c r="AD115" s="74"/>
      <c r="AE115" s="74"/>
      <c r="AF115" s="74"/>
      <c r="AG115" s="74"/>
      <c r="AH115" s="180"/>
      <c r="AI115" s="69" t="str">
        <f t="shared" si="3"/>
        <v>PCARRIER SUPRA HE 13 Multi température Silent autonome ou équivalent - R452 A - Chauffage gaz chaud - ATP classes FRC-FRCFonctionnement route GNR et secteur 380 V triphasé 32 AEvaporateur avant MSS 1450 centré soufflant vers l'arrière et évaporateur arrière MSS 1450 centré soufflant vers l'avantHauteur sous évaporateurs 2165 mmRéservoir GNR 90 litresCommande cabine à affichage numérique de la températurePrise secteur à l'avant gauche sous la caisseRallonge électrique de 10 mètresContact arrêt ventilation porte arrière centraleContacts arrêt ventilation portes latérales</v>
      </c>
    </row>
    <row r="116" spans="1:35" s="66" customFormat="1" ht="33.75" x14ac:dyDescent="0.25">
      <c r="A116" s="69" t="s">
        <v>2787</v>
      </c>
      <c r="B116" s="72" t="s">
        <v>32</v>
      </c>
      <c r="C116" s="74" t="s">
        <v>712</v>
      </c>
      <c r="D116" s="74"/>
      <c r="E116" s="74"/>
      <c r="F116" s="74"/>
      <c r="G116" s="74" t="s">
        <v>713</v>
      </c>
      <c r="H116" s="74" t="s">
        <v>714</v>
      </c>
      <c r="I116" s="74" t="s">
        <v>715</v>
      </c>
      <c r="J116" s="74"/>
      <c r="K116" s="74"/>
      <c r="L116" s="74" t="s">
        <v>442</v>
      </c>
      <c r="M116" s="74" t="s">
        <v>716</v>
      </c>
      <c r="N116" s="74" t="s">
        <v>717</v>
      </c>
      <c r="O116" s="74"/>
      <c r="P116" s="74"/>
      <c r="Q116" s="74"/>
      <c r="R116" s="74"/>
      <c r="S116" s="74"/>
      <c r="T116" s="74"/>
      <c r="U116" s="74"/>
      <c r="V116" s="74"/>
      <c r="W116" s="74"/>
      <c r="X116" s="74"/>
      <c r="Y116" s="74"/>
      <c r="Z116" s="74"/>
      <c r="AA116" s="74"/>
      <c r="AB116" s="74"/>
      <c r="AC116" s="74"/>
      <c r="AD116" s="74"/>
      <c r="AE116" s="74"/>
      <c r="AF116" s="74"/>
      <c r="AG116" s="74"/>
      <c r="AH116" s="74"/>
      <c r="AI116" s="69" t="str">
        <f t="shared" si="3"/>
        <v>PCARRIER XARIOS 350 poulie moteur ou équivalent - R452 A - Chauffage gaz chaud - ATP classe CFonctionnement route 12V et secteur 230 V monophasé 16 AEvaporateur avant soufflant vers l'arrièreHauteur sous évaporateur 1760 mmCommande cabine à affichage numérique de la températurePrise secteur à l'avant gauche sous la caisseRallonge électrique de 10 mètres</v>
      </c>
    </row>
    <row r="117" spans="1:35" s="66" customFormat="1" ht="33.75" x14ac:dyDescent="0.25">
      <c r="A117" s="69" t="s">
        <v>2805</v>
      </c>
      <c r="B117" s="72" t="s">
        <v>424</v>
      </c>
      <c r="C117" s="74"/>
      <c r="D117" s="74" t="s">
        <v>718</v>
      </c>
      <c r="E117" s="74" t="s">
        <v>719</v>
      </c>
      <c r="F117" s="74" t="s">
        <v>720</v>
      </c>
      <c r="G117" s="74" t="s">
        <v>721</v>
      </c>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69" t="str">
        <f t="shared" si="3"/>
        <v>OGroupe CARRIER PULSOR 350 (+10 kg CU)Enregistreur de température DATACOLD 300 R avec imprimanteGroupe THERMOKING V300 Max 50 (+30 kg CU)Enregistreur de température Touch Print Prémium avec imprimante si groupe THERMOKING V300 Max 50</v>
      </c>
    </row>
    <row r="118" spans="1:35" s="66" customFormat="1" ht="33.75" x14ac:dyDescent="0.25">
      <c r="A118" s="69" t="s">
        <v>2785</v>
      </c>
      <c r="B118" s="72" t="s">
        <v>32</v>
      </c>
      <c r="C118" s="74" t="s">
        <v>712</v>
      </c>
      <c r="D118" s="74"/>
      <c r="E118" s="74"/>
      <c r="F118" s="74"/>
      <c r="G118" s="74" t="s">
        <v>713</v>
      </c>
      <c r="H118" s="74" t="s">
        <v>714</v>
      </c>
      <c r="I118" s="74" t="s">
        <v>722</v>
      </c>
      <c r="J118" s="74"/>
      <c r="K118" s="74"/>
      <c r="L118" s="74" t="s">
        <v>442</v>
      </c>
      <c r="M118" s="74" t="s">
        <v>716</v>
      </c>
      <c r="N118" s="74" t="s">
        <v>717</v>
      </c>
      <c r="O118" s="74"/>
      <c r="P118" s="74"/>
      <c r="Q118" s="74"/>
      <c r="R118" s="74"/>
      <c r="S118" s="74"/>
      <c r="T118" s="74"/>
      <c r="U118" s="74"/>
      <c r="V118" s="74"/>
      <c r="W118" s="74"/>
      <c r="X118" s="74"/>
      <c r="Y118" s="74"/>
      <c r="Z118" s="74"/>
      <c r="AA118" s="74"/>
      <c r="AB118" s="74"/>
      <c r="AC118" s="74"/>
      <c r="AD118" s="74"/>
      <c r="AE118" s="74"/>
      <c r="AF118" s="74"/>
      <c r="AG118" s="74"/>
      <c r="AH118" s="74"/>
      <c r="AI118" s="69" t="str">
        <f t="shared" si="3"/>
        <v>PCARRIER XARIOS 350 poulie moteur ou équivalent - R452 A - Chauffage gaz chaud - ATP classe CFonctionnement route 12V et secteur 230 V monophasé 16 AEvaporateur avant soufflant vers l'arrièreHauteur sous évaporateur 1685 mmCommande cabine à affichage numérique de la températurePrise secteur à l'avant gauche sous la caisseRallonge électrique de 10 mètres</v>
      </c>
    </row>
    <row r="119" spans="1:35" s="66" customFormat="1" ht="33.75" x14ac:dyDescent="0.25">
      <c r="A119" s="69" t="s">
        <v>2788</v>
      </c>
      <c r="B119" s="72" t="s">
        <v>32</v>
      </c>
      <c r="C119" s="74" t="s">
        <v>712</v>
      </c>
      <c r="D119" s="74"/>
      <c r="E119" s="74"/>
      <c r="F119" s="74"/>
      <c r="G119" s="74" t="s">
        <v>713</v>
      </c>
      <c r="H119" s="74" t="s">
        <v>714</v>
      </c>
      <c r="I119" s="74" t="s">
        <v>723</v>
      </c>
      <c r="J119" s="74"/>
      <c r="K119" s="74"/>
      <c r="L119" s="74" t="s">
        <v>442</v>
      </c>
      <c r="M119" s="74" t="s">
        <v>716</v>
      </c>
      <c r="N119" s="74" t="s">
        <v>717</v>
      </c>
      <c r="O119" s="74"/>
      <c r="P119" s="74"/>
      <c r="Q119" s="74"/>
      <c r="R119" s="74"/>
      <c r="S119" s="74"/>
      <c r="T119" s="74"/>
      <c r="U119" s="74"/>
      <c r="V119" s="74"/>
      <c r="W119" s="74"/>
      <c r="X119" s="74"/>
      <c r="Y119" s="74"/>
      <c r="Z119" s="74"/>
      <c r="AA119" s="74"/>
      <c r="AB119" s="74"/>
      <c r="AC119" s="74"/>
      <c r="AD119" s="74"/>
      <c r="AE119" s="74"/>
      <c r="AF119" s="74"/>
      <c r="AG119" s="74"/>
      <c r="AH119" s="74"/>
      <c r="AI119" s="69" t="str">
        <f t="shared" si="3"/>
        <v>PCARRIER XARIOS 350 poulie moteur ou équivalent - R452 A - Chauffage gaz chaud - ATP classe CFonctionnement route 12V et secteur 230 V monophasé 16 AEvaporateur avant soufflant vers l'arrièreHauteur sous évaporateur 1835 mmCommande cabine à affichage numérique de la températurePrise secteur à l'avant gauche sous la caisseRallonge électrique de 10 mètres</v>
      </c>
    </row>
    <row r="120" spans="1:35" s="66" customFormat="1" ht="45" x14ac:dyDescent="0.25">
      <c r="A120" s="69" t="s">
        <v>2778</v>
      </c>
      <c r="B120" s="72" t="s">
        <v>32</v>
      </c>
      <c r="C120" s="74" t="s">
        <v>724</v>
      </c>
      <c r="D120" s="74"/>
      <c r="E120" s="74"/>
      <c r="F120" s="74"/>
      <c r="G120" s="74" t="s">
        <v>725</v>
      </c>
      <c r="H120" s="74" t="s">
        <v>714</v>
      </c>
      <c r="I120" s="74" t="s">
        <v>727</v>
      </c>
      <c r="J120" s="74" t="s">
        <v>726</v>
      </c>
      <c r="K120" s="74"/>
      <c r="L120" s="74" t="s">
        <v>442</v>
      </c>
      <c r="M120" s="74" t="s">
        <v>716</v>
      </c>
      <c r="N120" s="74" t="s">
        <v>717</v>
      </c>
      <c r="O120" s="74" t="s">
        <v>728</v>
      </c>
      <c r="P120" s="74"/>
      <c r="Q120" s="74"/>
      <c r="R120" s="74"/>
      <c r="S120" s="74"/>
      <c r="T120" s="74"/>
      <c r="U120" s="74"/>
      <c r="V120" s="74"/>
      <c r="W120" s="74"/>
      <c r="X120" s="74"/>
      <c r="Y120" s="74"/>
      <c r="Z120" s="74"/>
      <c r="AA120" s="74"/>
      <c r="AB120" s="74"/>
      <c r="AC120" s="74"/>
      <c r="AD120" s="74"/>
      <c r="AE120" s="74"/>
      <c r="AF120" s="74"/>
      <c r="AG120" s="74"/>
      <c r="AH120" s="180"/>
      <c r="AI120" s="69" t="str">
        <f t="shared" si="3"/>
        <v>PCARRIER SUPRA HE 6 Silent autonome ou équivalent - R452 A - Chauffage gaz chaud - ATP classe CFonctionnement route GNR et secteur 380 V triphasé 32 AEvaporateur avant soufflant vers l'arrièreHauteur sous évaporateur 1739 mmRéservoir GNR 50 litresCommande cabine à affichage numérique de la températurePrise secteur à l'avant gauche sous la caisseRallonge électrique de 10 mètresContact arrêt ventilation porte arrière droite</v>
      </c>
    </row>
    <row r="121" spans="1:35" s="66" customFormat="1" ht="33.75" x14ac:dyDescent="0.25">
      <c r="A121" s="69" t="s">
        <v>2801</v>
      </c>
      <c r="B121" s="72" t="s">
        <v>424</v>
      </c>
      <c r="C121" s="74"/>
      <c r="D121" s="74"/>
      <c r="E121" s="74" t="s">
        <v>729</v>
      </c>
      <c r="F121" s="74"/>
      <c r="G121" s="74"/>
      <c r="H121" s="74"/>
      <c r="I121" s="74" t="s">
        <v>730</v>
      </c>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69" t="str">
        <f t="shared" si="3"/>
        <v>OEnregistreur de température DATACOLD 600 R avec imprimanteDémarrage automatique en mode thermique en cas de coupure du mode secteur</v>
      </c>
    </row>
    <row r="122" spans="1:35" s="66" customFormat="1" ht="45" x14ac:dyDescent="0.25">
      <c r="A122" s="69" t="s">
        <v>2779</v>
      </c>
      <c r="B122" s="72" t="s">
        <v>32</v>
      </c>
      <c r="C122" s="74" t="s">
        <v>724</v>
      </c>
      <c r="D122" s="74"/>
      <c r="E122" s="74"/>
      <c r="F122" s="74"/>
      <c r="G122" s="74" t="s">
        <v>725</v>
      </c>
      <c r="H122" s="74" t="s">
        <v>714</v>
      </c>
      <c r="I122" s="74" t="s">
        <v>731</v>
      </c>
      <c r="J122" s="74" t="s">
        <v>726</v>
      </c>
      <c r="K122" s="74"/>
      <c r="L122" s="74" t="s">
        <v>442</v>
      </c>
      <c r="M122" s="74" t="s">
        <v>716</v>
      </c>
      <c r="N122" s="74" t="s">
        <v>717</v>
      </c>
      <c r="O122" s="74" t="s">
        <v>728</v>
      </c>
      <c r="P122" s="74"/>
      <c r="Q122" s="74"/>
      <c r="R122" s="74"/>
      <c r="S122" s="74"/>
      <c r="T122" s="74"/>
      <c r="U122" s="74"/>
      <c r="V122" s="74"/>
      <c r="W122" s="74"/>
      <c r="X122" s="74"/>
      <c r="Y122" s="74"/>
      <c r="Z122" s="74"/>
      <c r="AA122" s="74"/>
      <c r="AB122" s="74"/>
      <c r="AC122" s="74"/>
      <c r="AD122" s="74"/>
      <c r="AE122" s="74"/>
      <c r="AF122" s="74"/>
      <c r="AG122" s="74"/>
      <c r="AH122" s="180"/>
      <c r="AI122" s="69" t="str">
        <f t="shared" si="3"/>
        <v>PCARRIER SUPRA HE 6 Silent autonome ou équivalent - R452 A - Chauffage gaz chaud - ATP classe CFonctionnement route GNR et secteur 380 V triphasé 32 AEvaporateur avant soufflant vers l'arrièreHauteur sous évaporateur 1939 mmRéservoir GNR 50 litresCommande cabine à affichage numérique de la températurePrise secteur à l'avant gauche sous la caisseRallonge électrique de 10 mètresContact arrêt ventilation porte arrière droite</v>
      </c>
    </row>
    <row r="123" spans="1:35" s="66" customFormat="1" ht="45" x14ac:dyDescent="0.25">
      <c r="A123" s="69" t="s">
        <v>2780</v>
      </c>
      <c r="B123" s="72" t="s">
        <v>32</v>
      </c>
      <c r="C123" s="74" t="s">
        <v>724</v>
      </c>
      <c r="D123" s="74"/>
      <c r="E123" s="74"/>
      <c r="F123" s="74"/>
      <c r="G123" s="74" t="s">
        <v>725</v>
      </c>
      <c r="H123" s="74" t="s">
        <v>714</v>
      </c>
      <c r="I123" s="74" t="s">
        <v>732</v>
      </c>
      <c r="J123" s="74" t="s">
        <v>726</v>
      </c>
      <c r="K123" s="74"/>
      <c r="L123" s="74" t="s">
        <v>442</v>
      </c>
      <c r="M123" s="74" t="s">
        <v>733</v>
      </c>
      <c r="N123" s="74"/>
      <c r="O123" s="74" t="s">
        <v>728</v>
      </c>
      <c r="P123" s="74"/>
      <c r="Q123" s="74"/>
      <c r="R123" s="74"/>
      <c r="S123" s="74"/>
      <c r="T123" s="74"/>
      <c r="U123" s="74"/>
      <c r="V123" s="74"/>
      <c r="W123" s="74"/>
      <c r="X123" s="74"/>
      <c r="Y123" s="74"/>
      <c r="Z123" s="74"/>
      <c r="AA123" s="74"/>
      <c r="AB123" s="74"/>
      <c r="AC123" s="74"/>
      <c r="AD123" s="74"/>
      <c r="AE123" s="74"/>
      <c r="AF123" s="74"/>
      <c r="AG123" s="74"/>
      <c r="AH123" s="180"/>
      <c r="AI123" s="69" t="str">
        <f t="shared" si="3"/>
        <v>PCARRIER SUPRA HE 6 Silent autonome ou équivalent - R452 A - Chauffage gaz chaud - ATP classe CFonctionnement route GNR et secteur 380 V triphasé 32 AEvaporateur avant soufflant vers l'arrièreHauteur sous évaporateur 1989 mmRéservoir GNR 50 litresCommande cabine à affichage numérique de la températurePrise secteur dans un coffre sans clé à l'arrière gauche avec socle fixé à l'horizontale et rallonge de 10 mètresContact arrêt ventilation porte arrière droite</v>
      </c>
    </row>
    <row r="124" spans="1:35" s="66" customFormat="1" ht="33.75" x14ac:dyDescent="0.25">
      <c r="A124" s="69" t="s">
        <v>2786</v>
      </c>
      <c r="B124" s="72" t="s">
        <v>32</v>
      </c>
      <c r="C124" s="74" t="s">
        <v>712</v>
      </c>
      <c r="D124" s="74"/>
      <c r="E124" s="74"/>
      <c r="F124" s="74"/>
      <c r="G124" s="74" t="s">
        <v>713</v>
      </c>
      <c r="H124" s="74" t="s">
        <v>714</v>
      </c>
      <c r="I124" s="74" t="s">
        <v>991</v>
      </c>
      <c r="J124" s="74"/>
      <c r="K124" s="74"/>
      <c r="L124" s="74" t="s">
        <v>442</v>
      </c>
      <c r="M124" s="74" t="s">
        <v>716</v>
      </c>
      <c r="N124" s="74" t="s">
        <v>717</v>
      </c>
      <c r="O124" s="74"/>
      <c r="P124" s="74"/>
      <c r="Q124" s="74"/>
      <c r="R124" s="74"/>
      <c r="S124" s="74"/>
      <c r="T124" s="74"/>
      <c r="U124" s="74"/>
      <c r="V124" s="74"/>
      <c r="W124" s="74"/>
      <c r="X124" s="74"/>
      <c r="Y124" s="74"/>
      <c r="Z124" s="74"/>
      <c r="AA124" s="74"/>
      <c r="AB124" s="74"/>
      <c r="AC124" s="74"/>
      <c r="AD124" s="74"/>
      <c r="AE124" s="74"/>
      <c r="AF124" s="74"/>
      <c r="AG124" s="74"/>
      <c r="AH124" s="74"/>
      <c r="AI124" s="69" t="str">
        <f t="shared" si="3"/>
        <v>PCARRIER XARIOS 350 poulie moteur ou équivalent - R452 A - Chauffage gaz chaud - ATP classe CFonctionnement route 12V et secteur 230 V monophasé 16 AEvaporateur avant soufflant vers l'arrièreHauteur sous évaporateur 1692 mmCommande cabine à affichage numérique de la températurePrise secteur à l'avant gauche sous la caisseRallonge électrique de 10 mètres</v>
      </c>
    </row>
    <row r="125" spans="1:35" s="66" customFormat="1" ht="33.75" x14ac:dyDescent="0.25">
      <c r="A125" s="69" t="s">
        <v>2806</v>
      </c>
      <c r="B125" s="72" t="s">
        <v>424</v>
      </c>
      <c r="C125" s="74"/>
      <c r="D125" s="74" t="s">
        <v>718</v>
      </c>
      <c r="E125" s="74" t="s">
        <v>729</v>
      </c>
      <c r="F125" s="74" t="s">
        <v>720</v>
      </c>
      <c r="G125" s="74" t="s">
        <v>721</v>
      </c>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69" t="str">
        <f t="shared" si="3"/>
        <v>OGroupe CARRIER PULSOR 350 (+10 kg CU)Enregistreur de température DATACOLD 600 R avec imprimanteGroupe THERMOKING V300 Max 50 (+30 kg CU)Enregistreur de température Touch Print Prémium avec imprimante si groupe THERMOKING V300 Max 50</v>
      </c>
    </row>
    <row r="126" spans="1:35" s="66" customFormat="1" ht="45" x14ac:dyDescent="0.25">
      <c r="A126" s="69" t="s">
        <v>2777</v>
      </c>
      <c r="B126" s="72" t="s">
        <v>32</v>
      </c>
      <c r="C126" s="74" t="s">
        <v>724</v>
      </c>
      <c r="D126" s="74"/>
      <c r="E126" s="74"/>
      <c r="F126" s="74"/>
      <c r="G126" s="74" t="s">
        <v>725</v>
      </c>
      <c r="H126" s="74" t="s">
        <v>714</v>
      </c>
      <c r="I126" s="74" t="s">
        <v>992</v>
      </c>
      <c r="J126" s="74" t="s">
        <v>726</v>
      </c>
      <c r="K126" s="74"/>
      <c r="L126" s="74" t="s">
        <v>442</v>
      </c>
      <c r="M126" s="74" t="s">
        <v>716</v>
      </c>
      <c r="N126" s="74" t="s">
        <v>717</v>
      </c>
      <c r="O126" s="74" t="s">
        <v>728</v>
      </c>
      <c r="P126" s="74" t="s">
        <v>806</v>
      </c>
      <c r="Q126" s="74"/>
      <c r="R126" s="74"/>
      <c r="S126" s="74"/>
      <c r="T126" s="74"/>
      <c r="U126" s="74"/>
      <c r="V126" s="74"/>
      <c r="W126" s="74"/>
      <c r="X126" s="74"/>
      <c r="Y126" s="74"/>
      <c r="Z126" s="74"/>
      <c r="AA126" s="74"/>
      <c r="AB126" s="74"/>
      <c r="AC126" s="74"/>
      <c r="AD126" s="74"/>
      <c r="AE126" s="74"/>
      <c r="AF126" s="74"/>
      <c r="AG126" s="74"/>
      <c r="AH126" s="180"/>
      <c r="AI126" s="69" t="str">
        <f t="shared" si="3"/>
        <v>PCARRIER SUPRA HE 6 Silent autonome ou équivalent - R452 A - Chauffage gaz chaud - ATP classe CFonctionnement route GNR et secteur 380 V triphasé 32 AEvaporateur avant soufflant vers l'arrièreHauteur sous évaporateur 1736 mmRéservoir GNR 50 litresCommande cabine à affichage numérique de la températurePrise secteur à l'avant gauche sous la caisseRallonge électrique de 10 mètresContact arrêt ventilation porte arrière droiteContact arrêt ventilation porte latérale</v>
      </c>
    </row>
    <row r="127" spans="1:35" s="66" customFormat="1" ht="45" x14ac:dyDescent="0.25">
      <c r="A127" s="64" t="s">
        <v>2782</v>
      </c>
      <c r="B127" s="72" t="s">
        <v>32</v>
      </c>
      <c r="C127" s="74" t="s">
        <v>993</v>
      </c>
      <c r="D127" s="74"/>
      <c r="E127" s="74"/>
      <c r="F127" s="74"/>
      <c r="G127" s="74" t="s">
        <v>725</v>
      </c>
      <c r="H127" s="74" t="s">
        <v>714</v>
      </c>
      <c r="I127" s="74" t="s">
        <v>994</v>
      </c>
      <c r="J127" s="74" t="s">
        <v>814</v>
      </c>
      <c r="K127" s="74"/>
      <c r="L127" s="74" t="s">
        <v>442</v>
      </c>
      <c r="M127" s="74" t="s">
        <v>733</v>
      </c>
      <c r="N127" s="74"/>
      <c r="O127" s="74" t="s">
        <v>728</v>
      </c>
      <c r="P127" s="74" t="s">
        <v>806</v>
      </c>
      <c r="Q127" s="74"/>
      <c r="R127" s="74"/>
      <c r="S127" s="74"/>
      <c r="T127" s="74"/>
      <c r="U127" s="74"/>
      <c r="V127" s="74"/>
      <c r="W127" s="74"/>
      <c r="X127" s="74"/>
      <c r="Y127" s="74"/>
      <c r="Z127" s="74"/>
      <c r="AA127" s="74"/>
      <c r="AB127" s="74"/>
      <c r="AC127" s="74"/>
      <c r="AD127" s="74"/>
      <c r="AE127" s="74"/>
      <c r="AF127" s="74"/>
      <c r="AG127" s="74"/>
      <c r="AH127" s="180"/>
      <c r="AI127" s="69" t="str">
        <f t="shared" si="3"/>
        <v>PCARRIER SUPRA HE 8 Silent autonome ou équivalent - R452 A - Chauffage gaz chaud - ATP classe CFonctionnement route GNR et secteur 380 V triphasé 32 AEvaporateur avant soufflant vers l'arrièreHauteur sous évaporateur 2074 mmRéservoir GNR 90 litresCommande cabine à affichage numérique de la températurePrise secteur dans un coffre sans clé à l'arrière gauche avec socle fixé à l'horizontale et rallonge de 10 mètresContact arrêt ventilation porte arrière droiteContact arrêt ventilation porte latérale</v>
      </c>
    </row>
    <row r="128" spans="1:35" s="66" customFormat="1" ht="33.75" x14ac:dyDescent="0.25">
      <c r="A128" s="64" t="s">
        <v>2802</v>
      </c>
      <c r="B128" s="72" t="s">
        <v>424</v>
      </c>
      <c r="C128" s="74"/>
      <c r="D128" s="74"/>
      <c r="E128" s="74" t="s">
        <v>729</v>
      </c>
      <c r="F128" s="74"/>
      <c r="G128" s="74"/>
      <c r="H128" s="74" t="s">
        <v>807</v>
      </c>
      <c r="I128" s="74" t="s">
        <v>730</v>
      </c>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69" t="str">
        <f t="shared" si="3"/>
        <v>OEnregistreur de température DATACOLD 600 R avec imprimanteThermomètre électronique en face avant côté conducteurDémarrage automatique en mode thermique en cas de coupure du mode secteur</v>
      </c>
    </row>
    <row r="129" spans="1:35" s="66" customFormat="1" ht="45" x14ac:dyDescent="0.25">
      <c r="A129" s="64" t="s">
        <v>2783</v>
      </c>
      <c r="B129" s="72" t="s">
        <v>32</v>
      </c>
      <c r="C129" s="74" t="s">
        <v>995</v>
      </c>
      <c r="D129" s="74"/>
      <c r="E129" s="74"/>
      <c r="F129" s="74"/>
      <c r="G129" s="74" t="s">
        <v>725</v>
      </c>
      <c r="H129" s="74" t="s">
        <v>714</v>
      </c>
      <c r="I129" s="74" t="s">
        <v>994</v>
      </c>
      <c r="J129" s="74" t="s">
        <v>814</v>
      </c>
      <c r="K129" s="74"/>
      <c r="L129" s="74" t="s">
        <v>442</v>
      </c>
      <c r="M129" s="74" t="s">
        <v>733</v>
      </c>
      <c r="N129" s="74"/>
      <c r="O129" s="74" t="s">
        <v>728</v>
      </c>
      <c r="P129" s="74" t="s">
        <v>806</v>
      </c>
      <c r="Q129" s="74"/>
      <c r="R129" s="74"/>
      <c r="S129" s="74"/>
      <c r="T129" s="74"/>
      <c r="U129" s="74"/>
      <c r="V129" s="74"/>
      <c r="W129" s="74"/>
      <c r="X129" s="74"/>
      <c r="Y129" s="74"/>
      <c r="Z129" s="74"/>
      <c r="AA129" s="74"/>
      <c r="AB129" s="74"/>
      <c r="AC129" s="74"/>
      <c r="AD129" s="74"/>
      <c r="AE129" s="74"/>
      <c r="AF129" s="74"/>
      <c r="AG129" s="74"/>
      <c r="AH129" s="180"/>
      <c r="AI129" s="69" t="str">
        <f t="shared" si="3"/>
        <v>PCARRIER SUPRA HE 9 Silent autonome ou équivalent - R452 A - Chauffage gaz chaud - ATP classe CFonctionnement route GNR et secteur 380 V triphasé 32 AEvaporateur avant soufflant vers l'arrièreHauteur sous évaporateur 2074 mmRéservoir GNR 90 litresCommande cabine à affichage numérique de la températurePrise secteur dans un coffre sans clé à l'arrière gauche avec socle fixé à l'horizontale et rallonge de 10 mètresContact arrêt ventilation porte arrière droiteContact arrêt ventilation porte latérale</v>
      </c>
    </row>
    <row r="130" spans="1:35" s="66" customFormat="1" ht="33.75" x14ac:dyDescent="0.25">
      <c r="A130" s="64" t="s">
        <v>2803</v>
      </c>
      <c r="B130" s="72" t="s">
        <v>424</v>
      </c>
      <c r="C130" s="74"/>
      <c r="D130" s="74"/>
      <c r="E130" s="74" t="s">
        <v>729</v>
      </c>
      <c r="F130" s="74"/>
      <c r="G130" s="74"/>
      <c r="H130" s="74" t="s">
        <v>807</v>
      </c>
      <c r="I130" s="74" t="s">
        <v>730</v>
      </c>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69" t="str">
        <f t="shared" si="3"/>
        <v>OEnregistreur de température DATACOLD 600 R avec imprimanteThermomètre électronique en face avant côté conducteurDémarrage automatique en mode thermique en cas de coupure du mode secteur</v>
      </c>
    </row>
    <row r="131" spans="1:35" s="66" customFormat="1" ht="45" x14ac:dyDescent="0.25">
      <c r="A131" s="64" t="s">
        <v>2776</v>
      </c>
      <c r="B131" s="72" t="s">
        <v>32</v>
      </c>
      <c r="C131" s="74" t="s">
        <v>996</v>
      </c>
      <c r="D131" s="74"/>
      <c r="E131" s="74"/>
      <c r="F131" s="74"/>
      <c r="G131" s="74" t="s">
        <v>725</v>
      </c>
      <c r="H131" s="74" t="s">
        <v>714</v>
      </c>
      <c r="I131" s="74" t="s">
        <v>994</v>
      </c>
      <c r="J131" s="74" t="s">
        <v>814</v>
      </c>
      <c r="K131" s="74"/>
      <c r="L131" s="74" t="s">
        <v>442</v>
      </c>
      <c r="M131" s="74" t="s">
        <v>733</v>
      </c>
      <c r="N131" s="74"/>
      <c r="O131" s="74" t="s">
        <v>728</v>
      </c>
      <c r="P131" s="74" t="s">
        <v>806</v>
      </c>
      <c r="Q131" s="74"/>
      <c r="R131" s="74"/>
      <c r="S131" s="74"/>
      <c r="T131" s="74"/>
      <c r="U131" s="74"/>
      <c r="V131" s="74"/>
      <c r="W131" s="74"/>
      <c r="X131" s="74"/>
      <c r="Y131" s="74"/>
      <c r="Z131" s="74"/>
      <c r="AA131" s="74"/>
      <c r="AB131" s="74"/>
      <c r="AC131" s="74"/>
      <c r="AD131" s="74"/>
      <c r="AE131" s="74"/>
      <c r="AF131" s="74"/>
      <c r="AG131" s="74"/>
      <c r="AH131" s="180"/>
      <c r="AI131" s="69" t="str">
        <f t="shared" si="3"/>
        <v>PCARRIER SUPRA HE 11 Silent autonome ou équivalent - R452 A - Chauffage gaz chaud - ATP classe CFonctionnement route GNR et secteur 380 V triphasé 32 AEvaporateur avant soufflant vers l'arrièreHauteur sous évaporateur 2074 mmRéservoir GNR 90 litresCommande cabine à affichage numérique de la températurePrise secteur dans un coffre sans clé à l'arrière gauche avec socle fixé à l'horizontale et rallonge de 10 mètresContact arrêt ventilation porte arrière droiteContact arrêt ventilation porte latérale</v>
      </c>
    </row>
    <row r="132" spans="1:35" s="66" customFormat="1" ht="33.75" x14ac:dyDescent="0.25">
      <c r="A132" s="64" t="s">
        <v>2800</v>
      </c>
      <c r="B132" s="72" t="s">
        <v>424</v>
      </c>
      <c r="C132" s="74"/>
      <c r="D132" s="74"/>
      <c r="E132" s="74" t="s">
        <v>729</v>
      </c>
      <c r="F132" s="74"/>
      <c r="G132" s="74"/>
      <c r="H132" s="74" t="s">
        <v>807</v>
      </c>
      <c r="I132" s="74" t="s">
        <v>730</v>
      </c>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69" t="str">
        <f t="shared" si="3"/>
        <v>OEnregistreur de température DATACOLD 600 R avec imprimanteThermomètre électronique en face avant côté conducteurDémarrage automatique en mode thermique en cas de coupure du mode secteur</v>
      </c>
    </row>
    <row r="133" spans="1:35" s="66" customFormat="1" ht="45" x14ac:dyDescent="0.25">
      <c r="A133" s="64" t="s">
        <v>2781</v>
      </c>
      <c r="B133" s="72" t="s">
        <v>32</v>
      </c>
      <c r="C133" s="74" t="s">
        <v>993</v>
      </c>
      <c r="D133" s="74"/>
      <c r="E133" s="74"/>
      <c r="F133" s="74"/>
      <c r="G133" s="74" t="s">
        <v>725</v>
      </c>
      <c r="H133" s="74" t="s">
        <v>714</v>
      </c>
      <c r="I133" s="74" t="s">
        <v>994</v>
      </c>
      <c r="J133" s="74" t="s">
        <v>997</v>
      </c>
      <c r="K133" s="74"/>
      <c r="L133" s="74" t="s">
        <v>442</v>
      </c>
      <c r="M133" s="74" t="s">
        <v>733</v>
      </c>
      <c r="N133" s="74"/>
      <c r="O133" s="74" t="s">
        <v>728</v>
      </c>
      <c r="P133" s="74" t="s">
        <v>806</v>
      </c>
      <c r="Q133" s="74"/>
      <c r="R133" s="74"/>
      <c r="S133" s="74"/>
      <c r="T133" s="74"/>
      <c r="U133" s="74"/>
      <c r="V133" s="74"/>
      <c r="W133" s="74"/>
      <c r="X133" s="74"/>
      <c r="Y133" s="74"/>
      <c r="Z133" s="74"/>
      <c r="AA133" s="74"/>
      <c r="AB133" s="74"/>
      <c r="AC133" s="74"/>
      <c r="AD133" s="74"/>
      <c r="AE133" s="74"/>
      <c r="AF133" s="74"/>
      <c r="AG133" s="74"/>
      <c r="AH133" s="180"/>
      <c r="AI133" s="69" t="str">
        <f t="shared" si="3"/>
        <v>PCARRIER SUPRA HE 8 Silent autonome ou équivalent - R452 A - Chauffage gaz chaud - ATP classe CFonctionnement route GNR et secteur 380 V triphasé 32 AEvaporateur avant soufflant vers l'arrièreHauteur sous évaporateur 2074 mmRéservoir GNR 50 litresCommande cabine à affichage numérique de la températurePrise secteur dans un coffre sans clé à l'arrière gauche avec socle fixé à l'horizontale et rallonge de 10 mètresContact arrêt ventilation porte arrière droiteContact arrêt ventilation porte latérale</v>
      </c>
    </row>
    <row r="134" spans="1:35" s="66" customFormat="1" ht="45" x14ac:dyDescent="0.25">
      <c r="A134" s="64" t="s">
        <v>2789</v>
      </c>
      <c r="B134" s="72" t="s">
        <v>32</v>
      </c>
      <c r="C134" s="74" t="s">
        <v>974</v>
      </c>
      <c r="D134" s="74"/>
      <c r="E134" s="74"/>
      <c r="F134" s="74"/>
      <c r="G134" s="74" t="s">
        <v>725</v>
      </c>
      <c r="H134" s="74" t="s">
        <v>714</v>
      </c>
      <c r="I134" s="74"/>
      <c r="J134" s="74" t="s">
        <v>916</v>
      </c>
      <c r="K134" s="74" t="s">
        <v>917</v>
      </c>
      <c r="L134" s="74"/>
      <c r="M134" s="74" t="s">
        <v>733</v>
      </c>
      <c r="N134" s="74"/>
      <c r="O134" s="74" t="s">
        <v>728</v>
      </c>
      <c r="P134" s="74"/>
      <c r="Q134" s="74"/>
      <c r="R134" s="74"/>
      <c r="S134" s="74"/>
      <c r="T134" s="74"/>
      <c r="U134" s="74"/>
      <c r="V134" s="74"/>
      <c r="W134" s="74"/>
      <c r="X134" s="74"/>
      <c r="Y134" s="74"/>
      <c r="Z134" s="74"/>
      <c r="AA134" s="74"/>
      <c r="AB134" s="74"/>
      <c r="AC134" s="74"/>
      <c r="AD134" s="74"/>
      <c r="AE134" s="74"/>
      <c r="AF134" s="74"/>
      <c r="AG134" s="74"/>
      <c r="AH134" s="180"/>
      <c r="AI134" s="69" t="str">
        <f t="shared" si="3"/>
        <v>PCARRIER VECTOR 19 HE Insonorisé autonome ou équivalent - R452 A - Chauffage gaz chaud - ATP classe CFonctionnement route GNR et secteur 380 V triphasé 32 AEvaporateur avant soufflant vers l'arrièreRéservoir GNR 250 litres avec 2 goulottes de remplissageAffichage numérique de la température sur le groupe frigorifiquePrise secteur dans un coffre sans clé à l'arrière gauche avec socle fixé à l'horizontale et rallonge de 10 mètresContact arrêt ventilation porte arrière droite</v>
      </c>
    </row>
    <row r="135" spans="1:35" s="66" customFormat="1" ht="33.75" x14ac:dyDescent="0.25">
      <c r="A135" s="64" t="s">
        <v>2804</v>
      </c>
      <c r="B135" s="72" t="s">
        <v>424</v>
      </c>
      <c r="C135" s="74"/>
      <c r="D135" s="74"/>
      <c r="E135" s="74" t="s">
        <v>919</v>
      </c>
      <c r="F135" s="74"/>
      <c r="G135" s="74"/>
      <c r="H135" s="74"/>
      <c r="I135" s="74" t="s">
        <v>730</v>
      </c>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69" t="str">
        <f t="shared" si="3"/>
        <v>OEnregistreur de température DATACOLD 600 T avec imprimanteDémarrage automatique en mode thermique en cas de coupure du mode secteur</v>
      </c>
    </row>
    <row r="136" spans="1:35" s="66" customFormat="1" ht="45" x14ac:dyDescent="0.25">
      <c r="A136" s="64" t="s">
        <v>2790</v>
      </c>
      <c r="B136" s="72" t="s">
        <v>32</v>
      </c>
      <c r="C136" s="74" t="s">
        <v>974</v>
      </c>
      <c r="D136" s="74"/>
      <c r="E136" s="74"/>
      <c r="F136" s="74"/>
      <c r="G136" s="74" t="s">
        <v>725</v>
      </c>
      <c r="H136" s="74" t="s">
        <v>714</v>
      </c>
      <c r="I136" s="74"/>
      <c r="J136" s="74" t="s">
        <v>916</v>
      </c>
      <c r="K136" s="74" t="s">
        <v>917</v>
      </c>
      <c r="L136" s="74"/>
      <c r="M136" s="74" t="s">
        <v>733</v>
      </c>
      <c r="N136" s="74"/>
      <c r="O136" s="74" t="s">
        <v>728</v>
      </c>
      <c r="P136" s="74"/>
      <c r="Q136" s="74"/>
      <c r="R136" s="74" t="s">
        <v>918</v>
      </c>
      <c r="S136" s="74"/>
      <c r="T136" s="74"/>
      <c r="U136" s="74"/>
      <c r="V136" s="74"/>
      <c r="W136" s="74"/>
      <c r="X136" s="74"/>
      <c r="Y136" s="74"/>
      <c r="Z136" s="74"/>
      <c r="AA136" s="74"/>
      <c r="AB136" s="74"/>
      <c r="AC136" s="74"/>
      <c r="AD136" s="74"/>
      <c r="AE136" s="74"/>
      <c r="AF136" s="74"/>
      <c r="AG136" s="74"/>
      <c r="AH136" s="180"/>
      <c r="AI136" s="69" t="str">
        <f t="shared" ref="AI136" si="4">CONCATENATE(B136,C136,D136,E136,F136,G136,H136,I136,J136,K136,L136,M136,N136,O136,P136,Q136,R136,S136,T136,U136,V136,W136,X136,Y136,Z136,AA136,AB136,AC136,AD136,AE136,AF136,AG136,AH136)</f>
        <v>PCARRIER VECTOR 19 HE Insonorisé autonome ou équivalent - R452 A - Chauffage gaz chaud - ATP classe CFonctionnement route GNR et secteur 380 V triphasé 32 AEvaporateur avant soufflant vers l'arrièreRéservoir GNR 250 litres avec 2 goulottes de remplissageAffichage numérique de la température sur le groupe frigorifiquePrise secteur dans un coffre sans clé à l'arrière gauche avec socle fixé à l'horizontale et rallonge de 10 mètresContact arrêt ventilation porte arrière droiteChargeur de batteries pour le hayon élévateur</v>
      </c>
    </row>
  </sheetData>
  <autoFilter ref="A1:AR136" xr:uid="{085C6BB6-F881-4553-AB01-2AFF7A9EE284}"/>
  <conditionalFormatting sqref="A1:A1048576">
    <cfRule type="duplicateValues" dxfId="5" priority="817"/>
  </conditionalFormatting>
  <conditionalFormatting sqref="AI1:AI1048576">
    <cfRule type="duplicateValues" dxfId="4" priority="38"/>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1BFF-693D-47C1-A14D-7BD64454DF3F}">
  <dimension ref="A1:AI44"/>
  <sheetViews>
    <sheetView zoomScale="70" zoomScaleNormal="70" workbookViewId="0">
      <pane ySplit="1" topLeftCell="A2" activePane="bottomLeft" state="frozen"/>
      <selection activeCell="H1" sqref="H1"/>
      <selection pane="bottomLeft" activeCell="J9" sqref="J9"/>
    </sheetView>
  </sheetViews>
  <sheetFormatPr baseColWidth="10" defaultColWidth="11.42578125" defaultRowHeight="11.25" outlineLevelRow="2" x14ac:dyDescent="0.25"/>
  <cols>
    <col min="1" max="1" width="30.7109375" style="68" customWidth="1"/>
    <col min="2" max="2" width="9" style="68" customWidth="1"/>
    <col min="3" max="3" width="21.85546875" style="68" customWidth="1"/>
    <col min="4" max="4" width="7.140625" style="68" customWidth="1"/>
    <col min="5" max="5" width="11.140625" style="68" customWidth="1"/>
    <col min="6" max="6" width="12.7109375" style="68" customWidth="1"/>
    <col min="7" max="7" width="27" style="68" customWidth="1"/>
    <col min="8" max="8" width="27.85546875" style="68" customWidth="1"/>
    <col min="9" max="9" width="27.42578125" style="68" customWidth="1"/>
    <col min="10" max="10" width="24.42578125" style="68" customWidth="1"/>
    <col min="11" max="11" width="20.7109375" style="68" customWidth="1"/>
    <col min="12" max="12" width="28" style="68" customWidth="1"/>
    <col min="13" max="13" width="17.140625" style="68" customWidth="1"/>
    <col min="14" max="14" width="20.7109375" style="68" customWidth="1"/>
    <col min="15" max="15" width="20.7109375" style="96" customWidth="1"/>
    <col min="16" max="16" width="20.7109375" style="68" customWidth="1"/>
    <col min="17" max="17" width="20.7109375" style="96" customWidth="1"/>
    <col min="18" max="33" width="20.7109375" style="68" customWidth="1"/>
    <col min="34" max="34" width="100.7109375" style="68" customWidth="1"/>
    <col min="35" max="36" width="11.42578125" style="68"/>
    <col min="37" max="37" width="10.140625" style="68" bestFit="1" customWidth="1"/>
    <col min="38" max="16384" width="11.42578125" style="68"/>
  </cols>
  <sheetData>
    <row r="1" spans="1:35" s="169" customFormat="1" ht="49.9" customHeight="1" x14ac:dyDescent="0.25">
      <c r="A1" s="128" t="s">
        <v>2994</v>
      </c>
      <c r="B1" s="128" t="s">
        <v>2663</v>
      </c>
      <c r="C1" s="128" t="s">
        <v>2841</v>
      </c>
      <c r="D1" s="128" t="s">
        <v>2664</v>
      </c>
      <c r="E1" s="128" t="s">
        <v>2665</v>
      </c>
      <c r="F1" s="128" t="s">
        <v>2666</v>
      </c>
      <c r="G1" s="128" t="s">
        <v>2680</v>
      </c>
      <c r="H1" s="128" t="s">
        <v>2667</v>
      </c>
      <c r="I1" s="128" t="s">
        <v>2681</v>
      </c>
      <c r="J1" s="128" t="s">
        <v>2668</v>
      </c>
      <c r="K1" s="128" t="s">
        <v>2682</v>
      </c>
      <c r="L1" s="128" t="s">
        <v>2669</v>
      </c>
      <c r="M1" s="128" t="s">
        <v>2672</v>
      </c>
      <c r="N1" s="128" t="s">
        <v>2670</v>
      </c>
      <c r="O1" s="128" t="s">
        <v>2671</v>
      </c>
      <c r="P1" s="128" t="s">
        <v>2673</v>
      </c>
      <c r="Q1" s="128" t="s">
        <v>2674</v>
      </c>
      <c r="R1" s="129" t="s">
        <v>2675</v>
      </c>
      <c r="S1" s="130" t="s">
        <v>2676</v>
      </c>
      <c r="T1" s="129" t="s">
        <v>2679</v>
      </c>
      <c r="U1" s="129" t="s">
        <v>2677</v>
      </c>
      <c r="V1" s="129" t="s">
        <v>2678</v>
      </c>
      <c r="W1" s="129" t="s">
        <v>439</v>
      </c>
      <c r="X1" s="129" t="s">
        <v>422</v>
      </c>
      <c r="Y1" s="129" t="s">
        <v>421</v>
      </c>
      <c r="Z1" s="129" t="s">
        <v>420</v>
      </c>
      <c r="AA1" s="129" t="s">
        <v>419</v>
      </c>
      <c r="AB1" s="129" t="s">
        <v>418</v>
      </c>
      <c r="AC1" s="129" t="s">
        <v>417</v>
      </c>
      <c r="AD1" s="129" t="s">
        <v>416</v>
      </c>
      <c r="AE1" s="129" t="s">
        <v>415</v>
      </c>
      <c r="AF1" s="129" t="s">
        <v>414</v>
      </c>
      <c r="AG1" s="129" t="s">
        <v>413</v>
      </c>
      <c r="AH1" s="171" t="str">
        <f t="shared" ref="AH1:AH44" si="0">CONCATENATE(B1,C1,D1,E1,F1,G1,H1,I1,J1,K1,L1,M1,N1,O1,P1,Q1,R1,S1,T1,U1,V1,W1,X1,Y1,Z1,AA1,AB1,AC1,AD1,AE1,AF1,AG1)</f>
        <v>Produit (P) 
Produit (P) 
/ Option (O)Marque
Marque Modèle Type Version
Sans optionModèle
NA
NAType
NA
NAVersion
NA
NAPuissance
Puissance CG
NAMatière plateforme
Matière Plateau Dimension Plateau
NADimension plateforme
Arrêtoirs de rolls
NAAccessoires plateforme
Barre de torsion
NAArrêtoirs de rolls
NA
NAType commande
Commande extra plate
NAAccessoires
Commande à distance
NANA
Commande extérieure
NANA
Peinture
NANA
Batteries autonomes
NAIndicateur batterie
Indicateur batterie
NAFanions
NA
NAFeux de sécurité
Feux de protection
Feux de protectionInterrupteur hayon en cabine
NA
NACable connexion batterie
NA
NAzone libre 6
NA
Eclairages LED latérauxzone libre 10zone libre 11zone libre 12zone libre 13zone libre 14zone libre 15zone libre 16zone libre 17zone libre 18zone libre 19zone libre 20</v>
      </c>
    </row>
    <row r="2" spans="1:35" s="66" customFormat="1" outlineLevel="2" x14ac:dyDescent="0.25">
      <c r="A2" s="69" t="s">
        <v>4174</v>
      </c>
      <c r="B2" s="206" t="s">
        <v>424</v>
      </c>
      <c r="C2" s="64" t="s">
        <v>1035</v>
      </c>
      <c r="D2" s="209"/>
      <c r="E2" s="69"/>
      <c r="F2" s="69"/>
      <c r="G2" s="69"/>
      <c r="H2" s="69"/>
      <c r="I2" s="69"/>
      <c r="J2" s="69"/>
      <c r="K2" s="69"/>
      <c r="L2" s="69"/>
      <c r="M2" s="69"/>
      <c r="N2" s="69"/>
      <c r="O2" s="71"/>
      <c r="P2" s="71"/>
      <c r="Q2" s="71"/>
      <c r="R2" s="71"/>
      <c r="S2" s="71"/>
      <c r="T2" s="71"/>
      <c r="U2" s="71"/>
      <c r="V2" s="71"/>
      <c r="W2" s="71"/>
      <c r="X2" s="71"/>
      <c r="Y2" s="71"/>
      <c r="Z2" s="71"/>
      <c r="AA2" s="71"/>
      <c r="AB2" s="71"/>
      <c r="AC2" s="71"/>
      <c r="AD2" s="71"/>
      <c r="AE2" s="71"/>
      <c r="AF2" s="71"/>
      <c r="AG2" s="71"/>
      <c r="AH2" s="131" t="str">
        <f t="shared" si="0"/>
        <v>OSans option</v>
      </c>
    </row>
    <row r="3" spans="1:35" s="96" customFormat="1" ht="45" outlineLevel="2" x14ac:dyDescent="0.25">
      <c r="A3" s="69" t="s">
        <v>3506</v>
      </c>
      <c r="B3" s="64" t="s">
        <v>32</v>
      </c>
      <c r="C3" s="69" t="s">
        <v>2533</v>
      </c>
      <c r="D3" s="209"/>
      <c r="E3" s="69" t="s">
        <v>2541</v>
      </c>
      <c r="F3" s="69" t="s">
        <v>2535</v>
      </c>
      <c r="G3" s="69" t="s">
        <v>3866</v>
      </c>
      <c r="H3" s="69" t="s">
        <v>2542</v>
      </c>
      <c r="I3" s="69" t="s">
        <v>2538</v>
      </c>
      <c r="J3" s="69"/>
      <c r="K3" s="69" t="s">
        <v>2539</v>
      </c>
      <c r="L3" s="69" t="s">
        <v>2540</v>
      </c>
      <c r="M3" s="69"/>
      <c r="N3" s="69"/>
      <c r="O3" s="71"/>
      <c r="P3" s="210"/>
      <c r="Q3" s="71"/>
      <c r="R3" s="71"/>
      <c r="S3" s="71"/>
      <c r="T3" s="71"/>
      <c r="U3" s="71"/>
      <c r="V3" s="71"/>
      <c r="W3" s="71"/>
      <c r="X3" s="71"/>
      <c r="Y3" s="71"/>
      <c r="Z3" s="71"/>
      <c r="AA3" s="71"/>
      <c r="AB3" s="71"/>
      <c r="AC3" s="71"/>
      <c r="AD3" s="71"/>
      <c r="AE3" s="69"/>
      <c r="AF3" s="71"/>
      <c r="AG3" s="71"/>
      <c r="AH3" s="131" t="str">
        <f t="shared" si="0"/>
        <v>PDHOLLANDIA DH-LMA.10RabattablePuissance 750 Kg (charge max. admissible à l'axe sur la largeur de la plateforme et à 750 mm du bord coté carrosserie)Plateforme aluminiumprofondeur 1450 mm 2 arrêtoirs de rolls manuelsBoitier de commande extérieur avec prise et commande filaire + Commande intérieure extra-plate</v>
      </c>
    </row>
    <row r="4" spans="1:35" s="96" customFormat="1" ht="33.75" outlineLevel="2" x14ac:dyDescent="0.25">
      <c r="A4" s="69" t="s">
        <v>4175</v>
      </c>
      <c r="B4" s="206" t="s">
        <v>424</v>
      </c>
      <c r="C4" s="69"/>
      <c r="D4" s="209"/>
      <c r="E4" s="69"/>
      <c r="F4" s="69"/>
      <c r="G4" s="69" t="s">
        <v>4172</v>
      </c>
      <c r="H4" s="69"/>
      <c r="I4" s="69"/>
      <c r="J4" s="69"/>
      <c r="K4" s="69"/>
      <c r="L4" s="69"/>
      <c r="M4" s="69"/>
      <c r="N4" s="69"/>
      <c r="O4" s="71"/>
      <c r="P4" s="210"/>
      <c r="Q4" s="71"/>
      <c r="R4" s="71"/>
      <c r="S4" s="71"/>
      <c r="T4" s="71"/>
      <c r="U4" s="71"/>
      <c r="V4" s="71"/>
      <c r="W4" s="71"/>
      <c r="X4" s="71"/>
      <c r="Y4" s="71"/>
      <c r="Z4" s="71"/>
      <c r="AA4" s="71"/>
      <c r="AB4" s="71"/>
      <c r="AC4" s="71"/>
      <c r="AD4" s="71"/>
      <c r="AE4" s="71"/>
      <c r="AF4" s="71"/>
      <c r="AG4" s="71"/>
      <c r="AH4" s="131" t="str">
        <f t="shared" si="0"/>
        <v>OPlateforme hayon 1600 mm  sur hayon rabattable 750 kg - Plateforme hayon 1450 mm (CU : -20 Kg)</v>
      </c>
    </row>
    <row r="5" spans="1:35" s="66" customFormat="1" ht="45" outlineLevel="2" x14ac:dyDescent="0.25">
      <c r="A5" s="69" t="s">
        <v>3570</v>
      </c>
      <c r="B5" s="64" t="s">
        <v>32</v>
      </c>
      <c r="C5" s="69" t="s">
        <v>2533</v>
      </c>
      <c r="D5" s="209"/>
      <c r="E5" s="69" t="s">
        <v>2558</v>
      </c>
      <c r="F5" s="69" t="s">
        <v>2535</v>
      </c>
      <c r="G5" s="69" t="s">
        <v>3867</v>
      </c>
      <c r="H5" s="69" t="s">
        <v>2537</v>
      </c>
      <c r="I5" s="69" t="s">
        <v>2560</v>
      </c>
      <c r="J5" s="69"/>
      <c r="K5" s="69" t="s">
        <v>2539</v>
      </c>
      <c r="L5" s="69" t="s">
        <v>2540</v>
      </c>
      <c r="M5" s="69"/>
      <c r="N5" s="69"/>
      <c r="O5" s="71"/>
      <c r="P5" s="210"/>
      <c r="Q5" s="71"/>
      <c r="R5" s="71"/>
      <c r="S5" s="71"/>
      <c r="T5" s="71"/>
      <c r="U5" s="71"/>
      <c r="V5" s="71"/>
      <c r="W5" s="71"/>
      <c r="X5" s="71"/>
      <c r="Y5" s="71"/>
      <c r="Z5" s="71"/>
      <c r="AA5" s="71"/>
      <c r="AB5" s="71"/>
      <c r="AC5" s="71"/>
      <c r="AD5" s="71"/>
      <c r="AE5" s="71"/>
      <c r="AF5" s="71"/>
      <c r="AG5" s="71"/>
      <c r="AH5" s="131" t="str">
        <f t="shared" si="0"/>
        <v>PDHOLLANDIA DH-LMA.15RabattablePuissance 1000 Kg (charge max. admissible à l'axe sur la largeur de la plateforme et à 750 mm du bord coté carrosserie)Plateforme aluminium profondeur 1600 mm 2 arrêtoirs de rolls manuelsBoitier de commande extérieur avec prise et commande filaire + Commande intérieure extra-plate</v>
      </c>
    </row>
    <row r="6" spans="1:35" s="66" customFormat="1" ht="33.75" outlineLevel="2" x14ac:dyDescent="0.25">
      <c r="A6" s="69" t="s">
        <v>3558</v>
      </c>
      <c r="B6" s="64" t="s">
        <v>32</v>
      </c>
      <c r="C6" s="69" t="s">
        <v>2533</v>
      </c>
      <c r="D6" s="209"/>
      <c r="E6" s="69" t="s">
        <v>2543</v>
      </c>
      <c r="F6" s="69" t="s">
        <v>2544</v>
      </c>
      <c r="G6" s="69" t="s">
        <v>2545</v>
      </c>
      <c r="H6" s="69" t="s">
        <v>2546</v>
      </c>
      <c r="I6" s="69" t="s">
        <v>2547</v>
      </c>
      <c r="J6" s="69" t="s">
        <v>2548</v>
      </c>
      <c r="K6" s="69" t="s">
        <v>2539</v>
      </c>
      <c r="L6" s="69" t="s">
        <v>2540</v>
      </c>
      <c r="M6" s="69"/>
      <c r="N6" s="69"/>
      <c r="O6" s="71"/>
      <c r="P6" s="71"/>
      <c r="Q6" s="71"/>
      <c r="R6" s="71"/>
      <c r="S6" s="71"/>
      <c r="T6" s="71"/>
      <c r="U6" s="71"/>
      <c r="V6" s="71"/>
      <c r="W6" s="71"/>
      <c r="X6" s="71"/>
      <c r="Y6" s="71"/>
      <c r="Z6" s="71"/>
      <c r="AA6" s="71"/>
      <c r="AB6" s="71"/>
      <c r="AC6" s="70"/>
      <c r="AD6" s="71"/>
      <c r="AE6" s="71"/>
      <c r="AF6" s="71"/>
      <c r="AG6" s="71"/>
      <c r="AH6" s="131" t="str">
        <f t="shared" si="0"/>
        <v>PDHOLLANDIA DH-SM.15RétractablePuissance 1500 KgPlateforme acier / aluminium profondeur 1700 mm / largeur 2150 mmavec barre de torsion2 arrêtoirs de rolls manuelsBoitier de commande extérieur avec prise et commande filaire + Commande intérieure extra-plate</v>
      </c>
    </row>
    <row r="7" spans="1:35" s="66" customFormat="1" ht="67.5" outlineLevel="2" x14ac:dyDescent="0.25">
      <c r="A7" s="69" t="s">
        <v>4176</v>
      </c>
      <c r="B7" s="211" t="s">
        <v>424</v>
      </c>
      <c r="C7" s="64"/>
      <c r="D7" s="64"/>
      <c r="E7" s="64"/>
      <c r="F7" s="64"/>
      <c r="G7" s="69" t="s">
        <v>4173</v>
      </c>
      <c r="H7" s="69"/>
      <c r="I7" s="64"/>
      <c r="J7" s="64"/>
      <c r="K7" s="69"/>
      <c r="L7" s="69"/>
      <c r="M7" s="69"/>
      <c r="N7" s="69"/>
      <c r="O7" s="71"/>
      <c r="P7" s="210"/>
      <c r="Q7" s="71"/>
      <c r="R7" s="71"/>
      <c r="S7" s="71"/>
      <c r="T7" s="71"/>
      <c r="U7" s="71"/>
      <c r="V7" s="71"/>
      <c r="W7" s="71"/>
      <c r="X7" s="71"/>
      <c r="Y7" s="71"/>
      <c r="Z7" s="71"/>
      <c r="AA7" s="71"/>
      <c r="AB7" s="71"/>
      <c r="AC7" s="71"/>
      <c r="AD7" s="71"/>
      <c r="AE7" s="71"/>
      <c r="AF7" s="71"/>
      <c r="AG7" s="71"/>
      <c r="AH7" s="131" t="str">
        <f t="shared" si="0"/>
        <v>OHayon DHOLLANDIA : DH-LMA.08-Rabattable - Plateforme alu 1450 mm / Sans marchepied Ar / Porte lat. battante 1000 mm à l'Av D / 1 niveau rail d'arrimage D+G à 900 mm du plancher (CU : -155Kg)</v>
      </c>
    </row>
    <row r="8" spans="1:35" s="139" customFormat="1" ht="45" outlineLevel="1" x14ac:dyDescent="0.25">
      <c r="A8" s="131" t="s">
        <v>1288</v>
      </c>
      <c r="B8" s="132" t="s">
        <v>32</v>
      </c>
      <c r="C8" s="131" t="s">
        <v>2533</v>
      </c>
      <c r="D8" s="133"/>
      <c r="E8" s="131" t="s">
        <v>2534</v>
      </c>
      <c r="F8" s="131" t="s">
        <v>2662</v>
      </c>
      <c r="G8" s="131" t="s">
        <v>2536</v>
      </c>
      <c r="H8" s="131" t="s">
        <v>2537</v>
      </c>
      <c r="I8" s="131" t="s">
        <v>2538</v>
      </c>
      <c r="J8" s="131"/>
      <c r="K8" s="131" t="s">
        <v>2539</v>
      </c>
      <c r="L8" s="131" t="s">
        <v>2540</v>
      </c>
      <c r="M8" s="131"/>
      <c r="N8" s="131"/>
      <c r="O8" s="131"/>
      <c r="P8" s="131"/>
      <c r="Q8" s="131" t="s">
        <v>443</v>
      </c>
      <c r="R8" s="134"/>
      <c r="S8" s="135"/>
      <c r="T8" s="134"/>
      <c r="U8" s="134"/>
      <c r="V8" s="134"/>
      <c r="W8" s="134"/>
      <c r="X8" s="134"/>
      <c r="Y8" s="134"/>
      <c r="Z8" s="134"/>
      <c r="AA8" s="164"/>
      <c r="AB8" s="134"/>
      <c r="AC8" s="164"/>
      <c r="AD8" s="134"/>
      <c r="AE8" s="131"/>
      <c r="AF8" s="134"/>
      <c r="AG8" s="134"/>
      <c r="AH8" s="131" t="str">
        <f t="shared" si="0"/>
        <v>PDHOLLANDIA DH-LMA.08Rabattable
NAPuissance 750 KgPlateforme aluminium profondeur 1450 mm 2 arrêtoirs de rolls manuelsBoitier de commande extérieur avec prise et commande filaire + Commande intérieure extra-plateVigil batterie</v>
      </c>
    </row>
    <row r="9" spans="1:35" s="139" customFormat="1" ht="33.75" outlineLevel="1" x14ac:dyDescent="0.25">
      <c r="A9" s="131" t="s">
        <v>1381</v>
      </c>
      <c r="B9" s="134" t="s">
        <v>32</v>
      </c>
      <c r="C9" s="131" t="s">
        <v>2533</v>
      </c>
      <c r="D9" s="133"/>
      <c r="E9" s="131" t="s">
        <v>2541</v>
      </c>
      <c r="F9" s="131" t="s">
        <v>2535</v>
      </c>
      <c r="G9" s="131" t="s">
        <v>2536</v>
      </c>
      <c r="H9" s="131" t="s">
        <v>2542</v>
      </c>
      <c r="I9" s="131" t="s">
        <v>2538</v>
      </c>
      <c r="J9" s="131"/>
      <c r="K9" s="131" t="s">
        <v>2539</v>
      </c>
      <c r="L9" s="131" t="s">
        <v>2540</v>
      </c>
      <c r="M9" s="131"/>
      <c r="N9" s="131"/>
      <c r="O9" s="131"/>
      <c r="P9" s="131"/>
      <c r="Q9" s="131" t="s">
        <v>443</v>
      </c>
      <c r="R9" s="134"/>
      <c r="S9" s="135"/>
      <c r="T9" s="134"/>
      <c r="U9" s="134"/>
      <c r="V9" s="134"/>
      <c r="W9" s="134"/>
      <c r="X9" s="134"/>
      <c r="Y9" s="134"/>
      <c r="Z9" s="134"/>
      <c r="AA9" s="134"/>
      <c r="AB9" s="134"/>
      <c r="AC9" s="134"/>
      <c r="AD9" s="134"/>
      <c r="AE9" s="131"/>
      <c r="AF9" s="134"/>
      <c r="AG9" s="134"/>
      <c r="AH9" s="131" t="str">
        <f t="shared" si="0"/>
        <v>PDHOLLANDIA DH-LMA.10RabattablePuissance 750 KgPlateforme aluminiumprofondeur 1450 mm 2 arrêtoirs de rolls manuelsBoitier de commande extérieur avec prise et commande filaire + Commande intérieure extra-plateVigil batterie</v>
      </c>
    </row>
    <row r="10" spans="1:35" s="124" customFormat="1" ht="33.75" outlineLevel="1" x14ac:dyDescent="0.25">
      <c r="A10" s="131" t="s">
        <v>1406</v>
      </c>
      <c r="B10" s="134" t="s">
        <v>32</v>
      </c>
      <c r="C10" s="131" t="s">
        <v>2533</v>
      </c>
      <c r="D10" s="133"/>
      <c r="E10" s="131" t="s">
        <v>2543</v>
      </c>
      <c r="F10" s="131" t="s">
        <v>2544</v>
      </c>
      <c r="G10" s="131" t="s">
        <v>2545</v>
      </c>
      <c r="H10" s="131" t="s">
        <v>2546</v>
      </c>
      <c r="I10" s="131" t="s">
        <v>2547</v>
      </c>
      <c r="J10" s="131" t="s">
        <v>2548</v>
      </c>
      <c r="K10" s="131" t="s">
        <v>2539</v>
      </c>
      <c r="L10" s="131" t="s">
        <v>2540</v>
      </c>
      <c r="M10" s="131"/>
      <c r="N10" s="131"/>
      <c r="O10" s="131"/>
      <c r="P10" s="131"/>
      <c r="Q10" s="131" t="s">
        <v>443</v>
      </c>
      <c r="R10" s="134"/>
      <c r="S10" s="134"/>
      <c r="T10" s="134"/>
      <c r="U10" s="134"/>
      <c r="V10" s="134"/>
      <c r="W10" s="134"/>
      <c r="X10" s="134"/>
      <c r="Y10" s="134"/>
      <c r="Z10" s="134"/>
      <c r="AA10" s="134"/>
      <c r="AB10" s="134"/>
      <c r="AC10" s="164"/>
      <c r="AD10" s="134"/>
      <c r="AE10" s="134"/>
      <c r="AF10" s="134"/>
      <c r="AG10" s="134"/>
      <c r="AH10" s="131" t="str">
        <f t="shared" si="0"/>
        <v>PDHOLLANDIA DH-SM.15RétractablePuissance 1500 KgPlateforme acier / aluminium profondeur 1700 mm / largeur 2150 mmavec barre de torsion2 arrêtoirs de rolls manuelsBoitier de commande extérieur avec prise et commande filaire + Commande intérieure extra-plateVigil batterie</v>
      </c>
      <c r="AI10" s="139"/>
    </row>
    <row r="11" spans="1:35" s="124" customFormat="1" ht="33.75" outlineLevel="1" x14ac:dyDescent="0.25">
      <c r="A11" s="131" t="s">
        <v>1423</v>
      </c>
      <c r="B11" s="134" t="s">
        <v>32</v>
      </c>
      <c r="C11" s="131" t="s">
        <v>2533</v>
      </c>
      <c r="D11" s="133"/>
      <c r="E11" s="131" t="s">
        <v>2543</v>
      </c>
      <c r="F11" s="131" t="s">
        <v>2544</v>
      </c>
      <c r="G11" s="131" t="s">
        <v>2545</v>
      </c>
      <c r="H11" s="131" t="s">
        <v>2546</v>
      </c>
      <c r="I11" s="131" t="s">
        <v>2549</v>
      </c>
      <c r="J11" s="131" t="s">
        <v>2548</v>
      </c>
      <c r="K11" s="131" t="s">
        <v>2539</v>
      </c>
      <c r="L11" s="131" t="s">
        <v>2540</v>
      </c>
      <c r="M11" s="131"/>
      <c r="N11" s="131"/>
      <c r="O11" s="131"/>
      <c r="P11" s="131"/>
      <c r="Q11" s="131" t="s">
        <v>443</v>
      </c>
      <c r="R11" s="134"/>
      <c r="S11" s="134"/>
      <c r="T11" s="134"/>
      <c r="U11" s="134"/>
      <c r="V11" s="134"/>
      <c r="W11" s="134"/>
      <c r="X11" s="134"/>
      <c r="Y11" s="134"/>
      <c r="Z11" s="134"/>
      <c r="AA11" s="134"/>
      <c r="AB11" s="134"/>
      <c r="AC11" s="164"/>
      <c r="AD11" s="134"/>
      <c r="AE11" s="134"/>
      <c r="AF11" s="134"/>
      <c r="AG11" s="134"/>
      <c r="AH11" s="131" t="str">
        <f t="shared" si="0"/>
        <v>PDHOLLANDIA DH-SM.15RétractablePuissance 1500 KgPlateforme acier / aluminium profondeur 1700 mm / largeur 2250 mmavec barre de torsion2 arrêtoirs de rolls manuelsBoitier de commande extérieur avec prise et commande filaire + Commande intérieure extra-plateVigil batterie</v>
      </c>
      <c r="AI11" s="139"/>
    </row>
    <row r="12" spans="1:35" s="124" customFormat="1" ht="33.75" outlineLevel="1" x14ac:dyDescent="0.25">
      <c r="A12" s="131" t="s">
        <v>1434</v>
      </c>
      <c r="B12" s="134" t="s">
        <v>32</v>
      </c>
      <c r="C12" s="131" t="s">
        <v>2533</v>
      </c>
      <c r="D12" s="133"/>
      <c r="E12" s="131" t="s">
        <v>2550</v>
      </c>
      <c r="F12" s="131" t="s">
        <v>2544</v>
      </c>
      <c r="G12" s="131" t="s">
        <v>2551</v>
      </c>
      <c r="H12" s="131" t="s">
        <v>2546</v>
      </c>
      <c r="I12" s="131" t="s">
        <v>2552</v>
      </c>
      <c r="J12" s="131" t="s">
        <v>2548</v>
      </c>
      <c r="K12" s="131" t="s">
        <v>2539</v>
      </c>
      <c r="L12" s="131" t="s">
        <v>2540</v>
      </c>
      <c r="M12" s="131"/>
      <c r="N12" s="131"/>
      <c r="O12" s="131"/>
      <c r="P12" s="131"/>
      <c r="Q12" s="131" t="s">
        <v>443</v>
      </c>
      <c r="R12" s="134"/>
      <c r="S12" s="134"/>
      <c r="T12" s="134"/>
      <c r="U12" s="134"/>
      <c r="V12" s="134"/>
      <c r="W12" s="134"/>
      <c r="X12" s="134"/>
      <c r="Y12" s="134"/>
      <c r="Z12" s="134"/>
      <c r="AA12" s="134"/>
      <c r="AB12" s="134"/>
      <c r="AC12" s="134"/>
      <c r="AD12" s="134"/>
      <c r="AE12" s="134"/>
      <c r="AF12" s="134"/>
      <c r="AG12" s="134"/>
      <c r="AH12" s="131" t="str">
        <f t="shared" si="0"/>
        <v>PDHOLLANDIA DH-SM.20RétractablePuissance 2000 KgPlateforme acier / aluminium profondeur 1700 mm / largeur 2300 mmavec barre de torsion2 arrêtoirs de rolls manuelsBoitier de commande extérieur avec prise et commande filaire + Commande intérieure extra-plateVigil batterie</v>
      </c>
      <c r="AI12" s="139"/>
    </row>
    <row r="13" spans="1:35" s="139" customFormat="1" ht="33.75" outlineLevel="1" x14ac:dyDescent="0.25">
      <c r="A13" s="131" t="s">
        <v>1555</v>
      </c>
      <c r="B13" s="134" t="s">
        <v>32</v>
      </c>
      <c r="C13" s="131" t="s">
        <v>2533</v>
      </c>
      <c r="E13" s="131" t="s">
        <v>2543</v>
      </c>
      <c r="F13" s="131" t="s">
        <v>2544</v>
      </c>
      <c r="G13" s="131" t="s">
        <v>2545</v>
      </c>
      <c r="H13" s="131" t="s">
        <v>2546</v>
      </c>
      <c r="I13" s="131" t="s">
        <v>2552</v>
      </c>
      <c r="J13" s="131" t="s">
        <v>2548</v>
      </c>
      <c r="K13" s="131" t="s">
        <v>2539</v>
      </c>
      <c r="L13" s="131" t="s">
        <v>2540</v>
      </c>
      <c r="M13" s="131"/>
      <c r="N13" s="131"/>
      <c r="O13" s="131"/>
      <c r="P13" s="131"/>
      <c r="Q13" s="131" t="s">
        <v>443</v>
      </c>
      <c r="R13" s="134"/>
      <c r="S13" s="134"/>
      <c r="T13" s="134"/>
      <c r="U13" s="134"/>
      <c r="V13" s="134"/>
      <c r="W13" s="134"/>
      <c r="X13" s="134"/>
      <c r="Y13" s="134"/>
      <c r="Z13" s="134"/>
      <c r="AA13" s="164"/>
      <c r="AB13" s="134"/>
      <c r="AC13" s="134"/>
      <c r="AD13" s="134"/>
      <c r="AE13" s="131"/>
      <c r="AF13" s="134"/>
      <c r="AG13" s="134"/>
      <c r="AH13" s="131" t="str">
        <f t="shared" si="0"/>
        <v>PDHOLLANDIA DH-SM.15RétractablePuissance 1500 KgPlateforme acier / aluminium profondeur 1700 mm / largeur 2300 mmavec barre de torsion2 arrêtoirs de rolls manuelsBoitier de commande extérieur avec prise et commande filaire + Commande intérieure extra-plateVigil batterie</v>
      </c>
    </row>
    <row r="14" spans="1:35" s="139" customFormat="1" ht="33.75" outlineLevel="1" x14ac:dyDescent="0.25">
      <c r="A14" s="131" t="s">
        <v>1563</v>
      </c>
      <c r="B14" s="134" t="s">
        <v>32</v>
      </c>
      <c r="C14" s="131" t="s">
        <v>2533</v>
      </c>
      <c r="D14" s="133"/>
      <c r="E14" s="131" t="s">
        <v>2550</v>
      </c>
      <c r="F14" s="131" t="s">
        <v>2544</v>
      </c>
      <c r="G14" s="131" t="s">
        <v>2551</v>
      </c>
      <c r="H14" s="131" t="s">
        <v>2546</v>
      </c>
      <c r="I14" s="131" t="s">
        <v>2553</v>
      </c>
      <c r="J14" s="131" t="s">
        <v>2548</v>
      </c>
      <c r="K14" s="131" t="s">
        <v>2539</v>
      </c>
      <c r="L14" s="131" t="s">
        <v>2540</v>
      </c>
      <c r="M14" s="131"/>
      <c r="N14" s="131"/>
      <c r="O14" s="131"/>
      <c r="P14" s="131"/>
      <c r="Q14" s="131" t="s">
        <v>443</v>
      </c>
      <c r="R14" s="134"/>
      <c r="S14" s="134"/>
      <c r="T14" s="134"/>
      <c r="U14" s="134"/>
      <c r="V14" s="134"/>
      <c r="W14" s="134"/>
      <c r="X14" s="134"/>
      <c r="Y14" s="134"/>
      <c r="Z14" s="134"/>
      <c r="AA14" s="134"/>
      <c r="AB14" s="134"/>
      <c r="AC14" s="134"/>
      <c r="AD14" s="134"/>
      <c r="AE14" s="131"/>
      <c r="AF14" s="134"/>
      <c r="AG14" s="134"/>
      <c r="AH14" s="131" t="str">
        <f t="shared" si="0"/>
        <v>PDHOLLANDIA DH-SM.20RétractablePuissance 2000 KgPlateforme acier / aluminium profondeur 1700 mm / largeur 2400 mmavec barre de torsion2 arrêtoirs de rolls manuelsBoitier de commande extérieur avec prise et commande filaire + Commande intérieure extra-plateVigil batterie</v>
      </c>
    </row>
    <row r="15" spans="1:35" s="139" customFormat="1" ht="45" outlineLevel="1" x14ac:dyDescent="0.25">
      <c r="A15" s="131" t="s">
        <v>1626</v>
      </c>
      <c r="B15" s="134" t="s">
        <v>32</v>
      </c>
      <c r="C15" s="131" t="s">
        <v>2533</v>
      </c>
      <c r="D15" s="133"/>
      <c r="E15" s="131" t="s">
        <v>2554</v>
      </c>
      <c r="F15" s="131" t="s">
        <v>2544</v>
      </c>
      <c r="G15" s="131" t="s">
        <v>2551</v>
      </c>
      <c r="H15" s="131" t="s">
        <v>2546</v>
      </c>
      <c r="I15" s="131" t="s">
        <v>2555</v>
      </c>
      <c r="J15" s="131" t="s">
        <v>2548</v>
      </c>
      <c r="K15" s="131" t="s">
        <v>2539</v>
      </c>
      <c r="L15" s="131" t="s">
        <v>2556</v>
      </c>
      <c r="M15" s="131" t="s">
        <v>2557</v>
      </c>
      <c r="N15" s="131"/>
      <c r="O15" s="131"/>
      <c r="P15" s="131"/>
      <c r="Q15" s="131" t="s">
        <v>443</v>
      </c>
      <c r="R15" s="134"/>
      <c r="S15" s="134"/>
      <c r="T15" s="134"/>
      <c r="U15" s="134"/>
      <c r="V15" s="134"/>
      <c r="W15" s="134"/>
      <c r="X15" s="134"/>
      <c r="Y15" s="134"/>
      <c r="Z15" s="134"/>
      <c r="AA15" s="134"/>
      <c r="AB15" s="134"/>
      <c r="AC15" s="134"/>
      <c r="AD15" s="134"/>
      <c r="AE15" s="134"/>
      <c r="AF15" s="134"/>
      <c r="AG15" s="134"/>
      <c r="AH15" s="131" t="str">
        <f t="shared" si="0"/>
        <v>PDHOLLANDIA DH-SMR.20RétractablePuissance 2000 KgPlateforme acier / aluminium profondeur 1800 mm / largeur 2400 mmavec barre de torsion2 arrêtoirs de rolls manuelsBoitier de commande extérieur + Commande intérieure extra-plate + Prise intérieure à l'arrière droit avec commande filaireAutonome avec batteries rechargées par le groupe frigoVigil batterie</v>
      </c>
    </row>
    <row r="16" spans="1:35" s="139" customFormat="1" ht="33.75" outlineLevel="1" x14ac:dyDescent="0.25">
      <c r="A16" s="131" t="s">
        <v>1444</v>
      </c>
      <c r="B16" s="134" t="s">
        <v>32</v>
      </c>
      <c r="C16" s="131" t="s">
        <v>2533</v>
      </c>
      <c r="D16" s="133"/>
      <c r="E16" s="131" t="s">
        <v>2550</v>
      </c>
      <c r="F16" s="131" t="s">
        <v>2544</v>
      </c>
      <c r="G16" s="131" t="s">
        <v>2551</v>
      </c>
      <c r="H16" s="131" t="s">
        <v>2546</v>
      </c>
      <c r="I16" s="131" t="s">
        <v>2555</v>
      </c>
      <c r="J16" s="131" t="s">
        <v>2548</v>
      </c>
      <c r="K16" s="131" t="s">
        <v>2539</v>
      </c>
      <c r="L16" s="131" t="s">
        <v>2540</v>
      </c>
      <c r="M16" s="131"/>
      <c r="N16" s="131"/>
      <c r="O16" s="131"/>
      <c r="P16" s="131"/>
      <c r="Q16" s="131" t="s">
        <v>443</v>
      </c>
      <c r="R16" s="134"/>
      <c r="S16" s="134"/>
      <c r="T16" s="134"/>
      <c r="U16" s="134"/>
      <c r="V16" s="134"/>
      <c r="W16" s="134"/>
      <c r="X16" s="134"/>
      <c r="Y16" s="134"/>
      <c r="Z16" s="134"/>
      <c r="AA16" s="164"/>
      <c r="AB16" s="134"/>
      <c r="AC16" s="134"/>
      <c r="AD16" s="134"/>
      <c r="AE16" s="134"/>
      <c r="AF16" s="134"/>
      <c r="AG16" s="134"/>
      <c r="AH16" s="131" t="str">
        <f t="shared" si="0"/>
        <v>PDHOLLANDIA DH-SM.20RétractablePuissance 2000 KgPlateforme acier / aluminium profondeur 1800 mm / largeur 2400 mmavec barre de torsion2 arrêtoirs de rolls manuelsBoitier de commande extérieur avec prise et commande filaire + Commande intérieure extra-plateVigil batterie</v>
      </c>
    </row>
    <row r="17" spans="1:35" s="139" customFormat="1" ht="33.75" outlineLevel="1" x14ac:dyDescent="0.25">
      <c r="A17" s="131" t="s">
        <v>1717</v>
      </c>
      <c r="B17" s="134" t="s">
        <v>32</v>
      </c>
      <c r="C17" s="131" t="s">
        <v>2533</v>
      </c>
      <c r="D17" s="133"/>
      <c r="E17" s="131" t="s">
        <v>2558</v>
      </c>
      <c r="F17" s="131" t="s">
        <v>2535</v>
      </c>
      <c r="G17" s="131" t="s">
        <v>2559</v>
      </c>
      <c r="H17" s="131" t="s">
        <v>2537</v>
      </c>
      <c r="I17" s="131" t="s">
        <v>2560</v>
      </c>
      <c r="J17" s="131"/>
      <c r="K17" s="131" t="s">
        <v>2539</v>
      </c>
      <c r="L17" s="131" t="s">
        <v>2561</v>
      </c>
      <c r="M17" s="131"/>
      <c r="N17" s="131"/>
      <c r="O17" s="131"/>
      <c r="P17" s="131"/>
      <c r="Q17" s="131" t="s">
        <v>443</v>
      </c>
      <c r="R17" s="134"/>
      <c r="S17" s="135"/>
      <c r="T17" s="134"/>
      <c r="U17" s="134"/>
      <c r="V17" s="134"/>
      <c r="W17" s="134"/>
      <c r="X17" s="134"/>
      <c r="Y17" s="134"/>
      <c r="Z17" s="134"/>
      <c r="AA17" s="164"/>
      <c r="AB17" s="164"/>
      <c r="AC17" s="164"/>
      <c r="AD17" s="134"/>
      <c r="AE17" s="131"/>
      <c r="AF17" s="134"/>
      <c r="AG17" s="134"/>
      <c r="AH17" s="131" t="str">
        <f t="shared" si="0"/>
        <v>PDHOLLANDIA DH-LMA.15RabattablePuissance 1000 KgPlateforme aluminium profondeur 1600 mm 2 arrêtoirs de rolls manuelsBoitier de commande extérieur (sans prise) + Commande filaire intérieure avec priseVigil batterie</v>
      </c>
    </row>
    <row r="18" spans="1:35" s="139" customFormat="1" ht="33.75" outlineLevel="1" x14ac:dyDescent="0.25">
      <c r="A18" s="131" t="s">
        <v>1681</v>
      </c>
      <c r="B18" s="134" t="s">
        <v>32</v>
      </c>
      <c r="C18" s="131" t="s">
        <v>2533</v>
      </c>
      <c r="D18" s="133"/>
      <c r="E18" s="131" t="s">
        <v>2534</v>
      </c>
      <c r="F18" s="131" t="s">
        <v>2535</v>
      </c>
      <c r="G18" s="131" t="s">
        <v>2536</v>
      </c>
      <c r="H18" s="131" t="s">
        <v>2537</v>
      </c>
      <c r="I18" s="131" t="s">
        <v>2560</v>
      </c>
      <c r="J18" s="131"/>
      <c r="K18" s="131" t="s">
        <v>2539</v>
      </c>
      <c r="L18" s="131" t="s">
        <v>2561</v>
      </c>
      <c r="M18" s="131"/>
      <c r="N18" s="131"/>
      <c r="O18" s="131"/>
      <c r="P18" s="131"/>
      <c r="Q18" s="131" t="s">
        <v>443</v>
      </c>
      <c r="R18" s="134"/>
      <c r="S18" s="135"/>
      <c r="T18" s="134"/>
      <c r="U18" s="134"/>
      <c r="V18" s="134"/>
      <c r="W18" s="134"/>
      <c r="X18" s="134"/>
      <c r="Y18" s="134"/>
      <c r="Z18" s="134"/>
      <c r="AA18" s="164"/>
      <c r="AB18" s="164"/>
      <c r="AC18" s="164"/>
      <c r="AD18" s="134"/>
      <c r="AE18" s="131"/>
      <c r="AF18" s="134"/>
      <c r="AG18" s="134"/>
      <c r="AH18" s="131" t="str">
        <f t="shared" si="0"/>
        <v>PDHOLLANDIA DH-LMA.08RabattablePuissance 750 KgPlateforme aluminium profondeur 1600 mm 2 arrêtoirs de rolls manuelsBoitier de commande extérieur (sans prise) + Commande filaire intérieure avec priseVigil batterie</v>
      </c>
    </row>
    <row r="19" spans="1:35" s="124" customFormat="1" ht="33.75" outlineLevel="1" x14ac:dyDescent="0.25">
      <c r="A19" s="131" t="s">
        <v>1704</v>
      </c>
      <c r="B19" s="134" t="s">
        <v>32</v>
      </c>
      <c r="C19" s="131" t="s">
        <v>2533</v>
      </c>
      <c r="D19" s="133"/>
      <c r="E19" s="131" t="s">
        <v>2541</v>
      </c>
      <c r="F19" s="131" t="s">
        <v>2535</v>
      </c>
      <c r="G19" s="131" t="s">
        <v>2536</v>
      </c>
      <c r="H19" s="131" t="s">
        <v>2537</v>
      </c>
      <c r="I19" s="131" t="s">
        <v>2560</v>
      </c>
      <c r="J19" s="131"/>
      <c r="K19" s="131" t="s">
        <v>2539</v>
      </c>
      <c r="L19" s="131" t="s">
        <v>2561</v>
      </c>
      <c r="M19" s="131"/>
      <c r="N19" s="131"/>
      <c r="O19" s="131"/>
      <c r="P19" s="131"/>
      <c r="Q19" s="131" t="s">
        <v>443</v>
      </c>
      <c r="R19" s="134"/>
      <c r="S19" s="135"/>
      <c r="T19" s="134"/>
      <c r="U19" s="134"/>
      <c r="V19" s="134"/>
      <c r="W19" s="134"/>
      <c r="X19" s="134"/>
      <c r="Y19" s="134"/>
      <c r="Z19" s="134"/>
      <c r="AA19" s="164"/>
      <c r="AB19" s="164"/>
      <c r="AC19" s="164"/>
      <c r="AD19" s="134"/>
      <c r="AE19" s="131"/>
      <c r="AF19" s="134"/>
      <c r="AG19" s="134"/>
      <c r="AH19" s="131" t="str">
        <f t="shared" si="0"/>
        <v>PDHOLLANDIA DH-LMA.10RabattablePuissance 750 KgPlateforme aluminium profondeur 1600 mm 2 arrêtoirs de rolls manuelsBoitier de commande extérieur (sans prise) + Commande filaire intérieure avec priseVigil batterie</v>
      </c>
      <c r="AI19" s="139"/>
    </row>
    <row r="20" spans="1:35" s="124" customFormat="1" ht="33.75" outlineLevel="1" x14ac:dyDescent="0.25">
      <c r="A20" s="131" t="s">
        <v>1726</v>
      </c>
      <c r="B20" s="134" t="s">
        <v>32</v>
      </c>
      <c r="C20" s="131" t="s">
        <v>2533</v>
      </c>
      <c r="D20" s="133"/>
      <c r="E20" s="131" t="s">
        <v>2562</v>
      </c>
      <c r="F20" s="131" t="s">
        <v>2535</v>
      </c>
      <c r="G20" s="131" t="s">
        <v>2559</v>
      </c>
      <c r="H20" s="131" t="s">
        <v>2563</v>
      </c>
      <c r="I20" s="131" t="s">
        <v>2564</v>
      </c>
      <c r="J20" s="131"/>
      <c r="K20" s="131" t="s">
        <v>2539</v>
      </c>
      <c r="L20" s="131" t="s">
        <v>2561</v>
      </c>
      <c r="M20" s="131"/>
      <c r="N20" s="131"/>
      <c r="O20" s="131"/>
      <c r="P20" s="131"/>
      <c r="Q20" s="131" t="s">
        <v>443</v>
      </c>
      <c r="R20" s="134"/>
      <c r="S20" s="135"/>
      <c r="T20" s="134"/>
      <c r="U20" s="134"/>
      <c r="V20" s="134"/>
      <c r="W20" s="134"/>
      <c r="X20" s="134"/>
      <c r="Y20" s="134"/>
      <c r="Z20" s="134"/>
      <c r="AA20" s="164"/>
      <c r="AB20" s="164"/>
      <c r="AC20" s="164"/>
      <c r="AD20" s="134"/>
      <c r="AE20" s="131"/>
      <c r="AF20" s="134"/>
      <c r="AG20" s="134"/>
      <c r="AH20" s="131" t="str">
        <f t="shared" si="0"/>
        <v>PDHOLLANDIA DH-LM.15RabattablePuissance 1000 KgPlateforme acier (Face extérieure peinte)profondeur 1750 mm 2 arrêtoirs de rolls manuelsBoitier de commande extérieur (sans prise) + Commande filaire intérieure avec priseVigil batterie</v>
      </c>
      <c r="AI20" s="139"/>
    </row>
    <row r="21" spans="1:35" s="139" customFormat="1" ht="33.75" outlineLevel="1" x14ac:dyDescent="0.25">
      <c r="A21" s="131" t="s">
        <v>1733</v>
      </c>
      <c r="B21" s="132" t="s">
        <v>32</v>
      </c>
      <c r="C21" s="131" t="s">
        <v>2533</v>
      </c>
      <c r="D21" s="133"/>
      <c r="E21" s="131" t="s">
        <v>2562</v>
      </c>
      <c r="F21" s="131" t="s">
        <v>2535</v>
      </c>
      <c r="G21" s="131" t="s">
        <v>2545</v>
      </c>
      <c r="H21" s="131" t="s">
        <v>2563</v>
      </c>
      <c r="I21" s="131" t="s">
        <v>2564</v>
      </c>
      <c r="J21" s="131"/>
      <c r="K21" s="131" t="s">
        <v>2539</v>
      </c>
      <c r="L21" s="131" t="s">
        <v>2561</v>
      </c>
      <c r="M21" s="131"/>
      <c r="N21" s="131"/>
      <c r="O21" s="131"/>
      <c r="P21" s="131"/>
      <c r="Q21" s="131" t="s">
        <v>443</v>
      </c>
      <c r="R21" s="134"/>
      <c r="S21" s="135"/>
      <c r="T21" s="134"/>
      <c r="U21" s="134"/>
      <c r="V21" s="134"/>
      <c r="W21" s="134"/>
      <c r="X21" s="134"/>
      <c r="Y21" s="134"/>
      <c r="Z21" s="134"/>
      <c r="AA21" s="164"/>
      <c r="AB21" s="164"/>
      <c r="AC21" s="164"/>
      <c r="AD21" s="134"/>
      <c r="AE21" s="131"/>
      <c r="AF21" s="134"/>
      <c r="AG21" s="134"/>
      <c r="AH21" s="131" t="str">
        <f t="shared" si="0"/>
        <v>PDHOLLANDIA DH-LM.15RabattablePuissance 1500 KgPlateforme acier (Face extérieure peinte)profondeur 1750 mm 2 arrêtoirs de rolls manuelsBoitier de commande extérieur (sans prise) + Commande filaire intérieure avec priseVigil batterie</v>
      </c>
    </row>
    <row r="22" spans="1:35" s="139" customFormat="1" ht="33.75" outlineLevel="1" x14ac:dyDescent="0.25">
      <c r="A22" s="131" t="s">
        <v>1740</v>
      </c>
      <c r="B22" s="134" t="s">
        <v>32</v>
      </c>
      <c r="C22" s="131" t="s">
        <v>2533</v>
      </c>
      <c r="D22" s="133"/>
      <c r="E22" s="131" t="s">
        <v>2565</v>
      </c>
      <c r="F22" s="131" t="s">
        <v>2535</v>
      </c>
      <c r="G22" s="131" t="s">
        <v>2551</v>
      </c>
      <c r="H22" s="131" t="s">
        <v>2563</v>
      </c>
      <c r="I22" s="131" t="s">
        <v>2564</v>
      </c>
      <c r="J22" s="131"/>
      <c r="K22" s="131" t="s">
        <v>2539</v>
      </c>
      <c r="L22" s="131" t="s">
        <v>2561</v>
      </c>
      <c r="M22" s="131"/>
      <c r="N22" s="131"/>
      <c r="O22" s="131"/>
      <c r="P22" s="131"/>
      <c r="Q22" s="131" t="s">
        <v>443</v>
      </c>
      <c r="R22" s="134"/>
      <c r="S22" s="135"/>
      <c r="T22" s="134"/>
      <c r="U22" s="134"/>
      <c r="V22" s="134"/>
      <c r="W22" s="134"/>
      <c r="X22" s="134"/>
      <c r="Y22" s="134"/>
      <c r="Z22" s="134"/>
      <c r="AA22" s="164"/>
      <c r="AB22" s="164"/>
      <c r="AC22" s="164"/>
      <c r="AD22" s="134"/>
      <c r="AE22" s="131"/>
      <c r="AF22" s="134"/>
      <c r="AG22" s="134"/>
      <c r="AH22" s="131" t="str">
        <f t="shared" si="0"/>
        <v>PDHOLLANDIA DH-LM.20RabattablePuissance 2000 KgPlateforme acier (Face extérieure peinte)profondeur 1750 mm 2 arrêtoirs de rolls manuelsBoitier de commande extérieur (sans prise) + Commande filaire intérieure avec priseVigil batterie</v>
      </c>
    </row>
    <row r="23" spans="1:35" s="124" customFormat="1" ht="33.75" outlineLevel="1" x14ac:dyDescent="0.25">
      <c r="A23" s="131" t="s">
        <v>2308</v>
      </c>
      <c r="B23" s="134" t="s">
        <v>32</v>
      </c>
      <c r="C23" s="131" t="s">
        <v>2533</v>
      </c>
      <c r="D23" s="133"/>
      <c r="E23" s="131" t="s">
        <v>2566</v>
      </c>
      <c r="F23" s="131" t="s">
        <v>2535</v>
      </c>
      <c r="G23" s="131" t="s">
        <v>2551</v>
      </c>
      <c r="H23" s="131" t="s">
        <v>2567</v>
      </c>
      <c r="I23" s="131" t="s">
        <v>2568</v>
      </c>
      <c r="J23" s="131"/>
      <c r="K23" s="131" t="s">
        <v>2539</v>
      </c>
      <c r="L23" s="131" t="s">
        <v>2561</v>
      </c>
      <c r="M23" s="131"/>
      <c r="N23" s="131"/>
      <c r="O23" s="131"/>
      <c r="P23" s="131"/>
      <c r="Q23" s="131" t="s">
        <v>443</v>
      </c>
      <c r="R23" s="134"/>
      <c r="S23" s="137" t="s">
        <v>2569</v>
      </c>
      <c r="T23" s="134"/>
      <c r="U23" s="134"/>
      <c r="V23" s="134"/>
      <c r="W23" s="134"/>
      <c r="X23" s="134"/>
      <c r="Y23" s="134"/>
      <c r="Z23" s="134"/>
      <c r="AA23" s="134"/>
      <c r="AB23" s="134"/>
      <c r="AC23" s="134"/>
      <c r="AD23" s="134"/>
      <c r="AE23" s="134"/>
      <c r="AF23" s="134"/>
      <c r="AG23" s="134"/>
      <c r="AH23" s="131" t="str">
        <f t="shared" si="0"/>
        <v>PDHOLLANDIA DH-LMA.20RabattablePuissance 2000 KgPlateforme aluminium (face extérieure peinte en blanc)profondeur 2050 mm 2 arrêtoirs de rolls manuelsBoitier de commande extérieur (sans prise) + Commande filaire intérieure avec priseVigil batterieFeux de sécurité avec protections</v>
      </c>
      <c r="AI23" s="139"/>
    </row>
    <row r="24" spans="1:35" s="139" customFormat="1" ht="33.75" outlineLevel="1" x14ac:dyDescent="0.25">
      <c r="A24" s="131" t="s">
        <v>2276</v>
      </c>
      <c r="B24" s="134" t="s">
        <v>32</v>
      </c>
      <c r="C24" s="131" t="s">
        <v>2533</v>
      </c>
      <c r="D24" s="133"/>
      <c r="E24" s="131" t="s">
        <v>2558</v>
      </c>
      <c r="F24" s="131" t="s">
        <v>2535</v>
      </c>
      <c r="G24" s="131" t="s">
        <v>2545</v>
      </c>
      <c r="H24" s="131" t="s">
        <v>2537</v>
      </c>
      <c r="I24" s="131" t="s">
        <v>2570</v>
      </c>
      <c r="J24" s="131"/>
      <c r="K24" s="131" t="s">
        <v>2539</v>
      </c>
      <c r="L24" s="131" t="s">
        <v>2561</v>
      </c>
      <c r="M24" s="131"/>
      <c r="N24" s="131"/>
      <c r="O24" s="131"/>
      <c r="P24" s="131"/>
      <c r="Q24" s="131" t="s">
        <v>443</v>
      </c>
      <c r="R24" s="134"/>
      <c r="S24" s="135"/>
      <c r="T24" s="134"/>
      <c r="U24" s="134"/>
      <c r="V24" s="134"/>
      <c r="W24" s="134"/>
      <c r="X24" s="134"/>
      <c r="Y24" s="134"/>
      <c r="Z24" s="134"/>
      <c r="AA24" s="164"/>
      <c r="AB24" s="164"/>
      <c r="AC24" s="164"/>
      <c r="AD24" s="134"/>
      <c r="AE24" s="131"/>
      <c r="AF24" s="134"/>
      <c r="AG24" s="134"/>
      <c r="AH24" s="131" t="str">
        <f t="shared" si="0"/>
        <v>PDHOLLANDIA DH-LMA.15RabattablePuissance 1500 KgPlateforme aluminium profondeur 1700 mm 2 arrêtoirs de rolls manuelsBoitier de commande extérieur (sans prise) + Commande filaire intérieure avec priseVigil batterie</v>
      </c>
    </row>
    <row r="25" spans="1:35" s="124" customFormat="1" ht="33.75" outlineLevel="1" x14ac:dyDescent="0.25">
      <c r="A25" s="131" t="s">
        <v>2281</v>
      </c>
      <c r="B25" s="134" t="s">
        <v>32</v>
      </c>
      <c r="C25" s="131" t="s">
        <v>2533</v>
      </c>
      <c r="D25" s="133"/>
      <c r="E25" s="131" t="s">
        <v>2566</v>
      </c>
      <c r="F25" s="131" t="s">
        <v>2535</v>
      </c>
      <c r="G25" s="131" t="s">
        <v>2551</v>
      </c>
      <c r="H25" s="131" t="s">
        <v>2537</v>
      </c>
      <c r="I25" s="131" t="s">
        <v>2571</v>
      </c>
      <c r="J25" s="131"/>
      <c r="K25" s="131" t="s">
        <v>2539</v>
      </c>
      <c r="L25" s="131" t="s">
        <v>2561</v>
      </c>
      <c r="M25" s="131"/>
      <c r="N25" s="131"/>
      <c r="O25" s="131"/>
      <c r="P25" s="131"/>
      <c r="Q25" s="131" t="s">
        <v>443</v>
      </c>
      <c r="R25" s="134"/>
      <c r="S25" s="134"/>
      <c r="T25" s="134"/>
      <c r="U25" s="134"/>
      <c r="V25" s="134"/>
      <c r="W25" s="134"/>
      <c r="X25" s="134"/>
      <c r="Y25" s="134"/>
      <c r="Z25" s="134"/>
      <c r="AA25" s="164"/>
      <c r="AB25" s="164"/>
      <c r="AC25" s="164"/>
      <c r="AD25" s="134"/>
      <c r="AE25" s="131"/>
      <c r="AF25" s="134"/>
      <c r="AG25" s="134"/>
      <c r="AH25" s="131" t="str">
        <f t="shared" si="0"/>
        <v>PDHOLLANDIA DH-LMA.20RabattablePuissance 2000 KgPlateforme aluminium profondeur 1800 mm 2 arrêtoirs de rolls manuelsBoitier de commande extérieur (sans prise) + Commande filaire intérieure avec priseVigil batterie</v>
      </c>
      <c r="AI25" s="139"/>
    </row>
    <row r="26" spans="1:35" x14ac:dyDescent="0.25">
      <c r="A26" s="69" t="s">
        <v>2576</v>
      </c>
      <c r="B26" s="141" t="s">
        <v>32</v>
      </c>
      <c r="C26" s="74" t="s">
        <v>1036</v>
      </c>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120"/>
      <c r="AE26" s="120"/>
      <c r="AF26" s="120"/>
      <c r="AG26" s="120"/>
      <c r="AH26" s="131" t="str">
        <f t="shared" si="0"/>
        <v>PSans hayon</v>
      </c>
    </row>
    <row r="27" spans="1:35" x14ac:dyDescent="0.25">
      <c r="A27" s="69" t="s">
        <v>2577</v>
      </c>
      <c r="B27" s="141" t="s">
        <v>424</v>
      </c>
      <c r="C27" s="74" t="s">
        <v>1035</v>
      </c>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120"/>
      <c r="AE27" s="120"/>
      <c r="AF27" s="120"/>
      <c r="AG27" s="120"/>
      <c r="AH27" s="131" t="str">
        <f t="shared" si="0"/>
        <v>OSans option</v>
      </c>
    </row>
    <row r="28" spans="1:35" ht="56.25" x14ac:dyDescent="0.25">
      <c r="A28" s="96" t="s">
        <v>2586</v>
      </c>
      <c r="B28" s="141" t="s">
        <v>32</v>
      </c>
      <c r="C28" s="74" t="s">
        <v>820</v>
      </c>
      <c r="D28" s="74"/>
      <c r="E28" s="74"/>
      <c r="F28" s="74"/>
      <c r="G28" s="74" t="s">
        <v>735</v>
      </c>
      <c r="H28" s="74" t="s">
        <v>821</v>
      </c>
      <c r="I28" s="74" t="s">
        <v>737</v>
      </c>
      <c r="J28" s="74"/>
      <c r="K28" s="74"/>
      <c r="L28" s="74" t="s">
        <v>738</v>
      </c>
      <c r="M28" s="131" t="s">
        <v>2584</v>
      </c>
      <c r="N28" s="74" t="s">
        <v>739</v>
      </c>
      <c r="O28" s="74" t="s">
        <v>740</v>
      </c>
      <c r="P28" s="64"/>
      <c r="Q28" s="74" t="s">
        <v>443</v>
      </c>
      <c r="R28" s="74"/>
      <c r="S28" s="74"/>
      <c r="T28" s="74"/>
      <c r="U28" s="74"/>
      <c r="V28" s="74"/>
      <c r="W28" s="74"/>
      <c r="X28" s="74"/>
      <c r="Y28" s="74"/>
      <c r="Z28" s="74"/>
      <c r="AA28" s="74"/>
      <c r="AB28" s="74"/>
      <c r="AC28" s="74"/>
      <c r="AD28" s="74"/>
      <c r="AE28" s="74"/>
      <c r="AF28" s="74"/>
      <c r="AG28" s="74"/>
      <c r="AH28" s="131" t="str">
        <f t="shared" si="0"/>
        <v>PDHOLLANDIA DH-LMA.10 rabattablePuissance 750 kg (charge maxi admissible à l'axe sur la largeur du plateau et à 750 mm du talon)Plateau aluminium profondeur 1600 mm2 arrêts de rolls manuelsCommande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29" spans="1:35" ht="22.5" x14ac:dyDescent="0.25">
      <c r="A29" s="69" t="s">
        <v>2581</v>
      </c>
      <c r="B29" s="141" t="s">
        <v>424</v>
      </c>
      <c r="C29" s="74"/>
      <c r="D29" s="74"/>
      <c r="E29" s="74"/>
      <c r="F29" s="74"/>
      <c r="G29" s="74"/>
      <c r="H29" s="74"/>
      <c r="I29" s="74"/>
      <c r="J29" s="74"/>
      <c r="K29" s="74"/>
      <c r="L29" s="74"/>
      <c r="M29" s="74"/>
      <c r="N29" s="74"/>
      <c r="O29" s="74"/>
      <c r="P29" s="74"/>
      <c r="Q29" s="74"/>
      <c r="R29" s="74"/>
      <c r="S29" s="74" t="s">
        <v>975</v>
      </c>
      <c r="T29" s="74"/>
      <c r="U29" s="74"/>
      <c r="V29" s="74" t="s">
        <v>741</v>
      </c>
      <c r="W29" s="74"/>
      <c r="X29" s="74"/>
      <c r="Y29" s="74"/>
      <c r="Z29" s="74"/>
      <c r="AA29" s="74"/>
      <c r="AB29" s="74"/>
      <c r="AC29" s="74"/>
      <c r="AD29" s="74"/>
      <c r="AE29" s="74"/>
      <c r="AF29" s="74"/>
      <c r="AG29" s="74"/>
      <c r="AH29" s="131" t="str">
        <f t="shared" si="0"/>
        <v>OFeux de protection piétons Orange SpotsEclairages LED latéraux du plateau</v>
      </c>
    </row>
    <row r="30" spans="1:35" ht="56.25" x14ac:dyDescent="0.25">
      <c r="A30" s="69" t="s">
        <v>2592</v>
      </c>
      <c r="B30" s="142" t="s">
        <v>32</v>
      </c>
      <c r="C30" s="74" t="s">
        <v>2575</v>
      </c>
      <c r="D30" s="74"/>
      <c r="E30" s="74"/>
      <c r="F30" s="74"/>
      <c r="G30" s="74" t="s">
        <v>742</v>
      </c>
      <c r="H30" s="74" t="s">
        <v>743</v>
      </c>
      <c r="I30" s="74" t="s">
        <v>737</v>
      </c>
      <c r="J30" s="74" t="s">
        <v>744</v>
      </c>
      <c r="K30" s="74"/>
      <c r="L30" s="74" t="s">
        <v>738</v>
      </c>
      <c r="M30" s="131" t="s">
        <v>2584</v>
      </c>
      <c r="N30" s="74" t="s">
        <v>739</v>
      </c>
      <c r="O30" s="74" t="s">
        <v>740</v>
      </c>
      <c r="P30" s="64"/>
      <c r="Q30" s="74" t="s">
        <v>443</v>
      </c>
      <c r="R30" s="74"/>
      <c r="S30" s="74"/>
      <c r="T30" s="74"/>
      <c r="U30" s="74"/>
      <c r="V30" s="74"/>
      <c r="W30" s="74"/>
      <c r="X30" s="74"/>
      <c r="Y30" s="74"/>
      <c r="Z30" s="74"/>
      <c r="AA30" s="74"/>
      <c r="AB30" s="74"/>
      <c r="AC30" s="74"/>
      <c r="AD30" s="74"/>
      <c r="AE30" s="74"/>
      <c r="AF30" s="74"/>
      <c r="AG30" s="74"/>
      <c r="AH30" s="131" t="str">
        <f t="shared" si="0"/>
        <v>PDHOLLANDIA DH-SM.15 rétractablePuissance 1500 kg (charge maxi admissible à l'axe sur la largeur du plateau et à 750 mm du talon)Plateau acier / aluminium profondeur 1800 mm - largeur 2250 mm2 arrêts de rolls manuelsBarre de torsionCommande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1" spans="1:35" ht="56.25" x14ac:dyDescent="0.25">
      <c r="A31" s="69" t="s">
        <v>2596</v>
      </c>
      <c r="B31" s="142" t="s">
        <v>32</v>
      </c>
      <c r="C31" s="74" t="s">
        <v>2573</v>
      </c>
      <c r="D31" s="74"/>
      <c r="E31" s="74"/>
      <c r="F31" s="74"/>
      <c r="G31" s="74" t="s">
        <v>822</v>
      </c>
      <c r="H31" s="74" t="s">
        <v>825</v>
      </c>
      <c r="I31" s="74" t="s">
        <v>737</v>
      </c>
      <c r="J31" s="74" t="s">
        <v>744</v>
      </c>
      <c r="K31" s="74"/>
      <c r="L31" s="74" t="s">
        <v>738</v>
      </c>
      <c r="M31" s="131" t="s">
        <v>2584</v>
      </c>
      <c r="N31" s="74" t="s">
        <v>739</v>
      </c>
      <c r="O31" s="74" t="s">
        <v>740</v>
      </c>
      <c r="P31" s="64"/>
      <c r="Q31" s="74" t="s">
        <v>443</v>
      </c>
      <c r="R31" s="74"/>
      <c r="S31" s="74"/>
      <c r="T31" s="74"/>
      <c r="U31" s="74"/>
      <c r="V31" s="74"/>
      <c r="W31" s="74"/>
      <c r="X31" s="74"/>
      <c r="Y31" s="74"/>
      <c r="Z31" s="74"/>
      <c r="AA31" s="74"/>
      <c r="AB31" s="74"/>
      <c r="AC31" s="74"/>
      <c r="AD31" s="74"/>
      <c r="AE31" s="74"/>
      <c r="AF31" s="74"/>
      <c r="AG31" s="74"/>
      <c r="AH31" s="131" t="str">
        <f t="shared" si="0"/>
        <v>PDHOLLANDIA DH-SM.30 rétractablePuissance 2000 kg (charge maxi admissible à l'axe sur la largeur du plateau et à 750 mm du talon)Plateau acier / aluminium profondeur 2000 mm - largeur 2400 mm2 arrêts de rolls manuelsBarre de torsionCommande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2" spans="1:35" ht="56.25" x14ac:dyDescent="0.25">
      <c r="A32" s="69" t="s">
        <v>2593</v>
      </c>
      <c r="B32" s="142" t="s">
        <v>32</v>
      </c>
      <c r="C32" s="74" t="s">
        <v>2575</v>
      </c>
      <c r="D32" s="74"/>
      <c r="E32" s="74"/>
      <c r="F32" s="74"/>
      <c r="G32" s="74" t="s">
        <v>742</v>
      </c>
      <c r="H32" s="74" t="s">
        <v>823</v>
      </c>
      <c r="I32" s="74" t="s">
        <v>737</v>
      </c>
      <c r="J32" s="74" t="s">
        <v>744</v>
      </c>
      <c r="K32" s="74"/>
      <c r="L32" s="74" t="s">
        <v>738</v>
      </c>
      <c r="M32" s="131" t="s">
        <v>2584</v>
      </c>
      <c r="N32" s="74" t="s">
        <v>739</v>
      </c>
      <c r="O32" s="74" t="s">
        <v>740</v>
      </c>
      <c r="P32" s="64"/>
      <c r="Q32" s="74" t="s">
        <v>443</v>
      </c>
      <c r="R32" s="74"/>
      <c r="S32" s="74"/>
      <c r="T32" s="74"/>
      <c r="U32" s="74"/>
      <c r="V32" s="74"/>
      <c r="W32" s="74"/>
      <c r="X32" s="74"/>
      <c r="Y32" s="74"/>
      <c r="Z32" s="74"/>
      <c r="AA32" s="74"/>
      <c r="AB32" s="74"/>
      <c r="AC32" s="74"/>
      <c r="AD32" s="74"/>
      <c r="AE32" s="74"/>
      <c r="AF32" s="74"/>
      <c r="AG32" s="74"/>
      <c r="AH32" s="131" t="str">
        <f t="shared" si="0"/>
        <v>PDHOLLANDIA DH-SM.15 rétractablePuissance 1500 kg (charge maxi admissible à l'axe sur la largeur du plateau et à 750 mm du talon)Plateau acier / aluminium profondeur 1800 mm - largeur 2300 mm2 arrêts de rolls manuelsBarre de torsionCommande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3" spans="1:34" ht="56.25" x14ac:dyDescent="0.25">
      <c r="A33" s="69" t="s">
        <v>2595</v>
      </c>
      <c r="B33" s="141" t="s">
        <v>32</v>
      </c>
      <c r="C33" s="74" t="s">
        <v>2573</v>
      </c>
      <c r="D33" s="74"/>
      <c r="E33" s="74"/>
      <c r="F33" s="74"/>
      <c r="G33" s="74" t="s">
        <v>822</v>
      </c>
      <c r="H33" s="74" t="s">
        <v>824</v>
      </c>
      <c r="I33" s="74" t="s">
        <v>737</v>
      </c>
      <c r="J33" s="74" t="s">
        <v>744</v>
      </c>
      <c r="K33" s="74"/>
      <c r="L33" s="74" t="s">
        <v>738</v>
      </c>
      <c r="M33" s="131" t="s">
        <v>2584</v>
      </c>
      <c r="N33" s="126" t="s">
        <v>739</v>
      </c>
      <c r="O33" s="74" t="s">
        <v>740</v>
      </c>
      <c r="P33" s="74" t="s">
        <v>920</v>
      </c>
      <c r="Q33" s="121" t="s">
        <v>443</v>
      </c>
      <c r="R33" s="74"/>
      <c r="S33" s="74"/>
      <c r="T33" s="74"/>
      <c r="U33" s="74"/>
      <c r="V33" s="74"/>
      <c r="W33" s="74"/>
      <c r="X33" s="74"/>
      <c r="Y33" s="74"/>
      <c r="Z33" s="74"/>
      <c r="AA33" s="74"/>
      <c r="AB33" s="74"/>
      <c r="AC33" s="74"/>
      <c r="AD33" s="74"/>
      <c r="AE33" s="74"/>
      <c r="AF33" s="74"/>
      <c r="AG33" s="74"/>
      <c r="AH33" s="131" t="str">
        <f t="shared" si="0"/>
        <v>PDHOLLANDIA DH-SM.30 rétractablePuissance 2000 kg (charge maxi admissible à l'axe sur la largeur du plateau et à 750 mm du talon)Plateau acier / aluminium profondeur 2000 mm - largeur 2400 mm2 arrêts de rolls manuelsBarre de torsionCommande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plateauBatteries autonomes rechargées par le groupe frigorifiqueVigil batterie</v>
      </c>
    </row>
    <row r="34" spans="1:34" ht="56.25" x14ac:dyDescent="0.25">
      <c r="A34" s="69" t="s">
        <v>2582</v>
      </c>
      <c r="B34" s="142" t="s">
        <v>32</v>
      </c>
      <c r="C34" s="74" t="s">
        <v>968</v>
      </c>
      <c r="D34" s="74"/>
      <c r="E34" s="74"/>
      <c r="F34" s="74"/>
      <c r="G34" s="168" t="s">
        <v>2572</v>
      </c>
      <c r="H34" s="74" t="s">
        <v>969</v>
      </c>
      <c r="I34" s="74" t="s">
        <v>737</v>
      </c>
      <c r="J34" s="74"/>
      <c r="K34" s="74"/>
      <c r="L34" s="74" t="s">
        <v>738</v>
      </c>
      <c r="M34" s="131" t="s">
        <v>2584</v>
      </c>
      <c r="N34" s="126" t="s">
        <v>739</v>
      </c>
      <c r="O34" s="74" t="s">
        <v>740</v>
      </c>
      <c r="P34" s="64"/>
      <c r="Q34" s="74" t="s">
        <v>443</v>
      </c>
      <c r="R34" s="96"/>
      <c r="S34" s="74"/>
      <c r="T34" s="74"/>
      <c r="U34" s="74"/>
      <c r="V34" s="74"/>
      <c r="W34" s="74"/>
      <c r="X34" s="74"/>
      <c r="Y34" s="74"/>
      <c r="Z34" s="74"/>
      <c r="AA34" s="74"/>
      <c r="AB34" s="74"/>
      <c r="AC34" s="74"/>
      <c r="AD34" s="74"/>
      <c r="AE34" s="74"/>
      <c r="AF34" s="74"/>
      <c r="AG34" s="74"/>
      <c r="AH34" s="131" t="str">
        <f t="shared" si="0"/>
        <v>PDHOLLANDIA DH-LMA.08 rabattablePuissance 750 kg (charge maxi admissible à l'axe sur la largeur du plateau et à 750 mm du talon)Plateau aluminium profondeur 1450 mm2 arrêts de rolls manuelsCommande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5" spans="1:34" ht="56.25" x14ac:dyDescent="0.25">
      <c r="A35" s="69" t="s">
        <v>2594</v>
      </c>
      <c r="B35" s="141" t="s">
        <v>32</v>
      </c>
      <c r="C35" s="74" t="s">
        <v>734</v>
      </c>
      <c r="D35" s="74"/>
      <c r="E35" s="74"/>
      <c r="F35" s="74"/>
      <c r="G35" s="74" t="s">
        <v>735</v>
      </c>
      <c r="H35" s="74" t="s">
        <v>736</v>
      </c>
      <c r="I35" s="74" t="s">
        <v>737</v>
      </c>
      <c r="J35" s="74"/>
      <c r="K35" s="74"/>
      <c r="L35" s="74" t="s">
        <v>738</v>
      </c>
      <c r="M35" s="131" t="s">
        <v>2584</v>
      </c>
      <c r="N35" s="126" t="s">
        <v>739</v>
      </c>
      <c r="O35" s="74" t="s">
        <v>740</v>
      </c>
      <c r="P35" s="64"/>
      <c r="Q35" s="74" t="s">
        <v>443</v>
      </c>
      <c r="R35" s="96"/>
      <c r="S35" s="74"/>
      <c r="T35" s="74"/>
      <c r="U35" s="74"/>
      <c r="V35" s="74"/>
      <c r="W35" s="74"/>
      <c r="X35" s="74"/>
      <c r="Y35" s="74"/>
      <c r="Z35" s="74"/>
      <c r="AA35" s="74"/>
      <c r="AB35" s="74"/>
      <c r="AC35" s="74"/>
      <c r="AD35" s="74"/>
      <c r="AE35" s="74"/>
      <c r="AF35" s="74"/>
      <c r="AG35" s="74"/>
      <c r="AH35" s="131" t="str">
        <f t="shared" si="0"/>
        <v>PDHOLLANDIA DH-SO.10 rétractablePuissance 750 kg (charge maxi admissible à l'axe sur la largeur du plateau et à 750 mm du talon)Plateau aluminium / aluminium profondeur 1600 mm2 arrêts de rolls manuelsCommande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6" spans="1:34" ht="56.25" x14ac:dyDescent="0.25">
      <c r="A36" s="96" t="s">
        <v>2591</v>
      </c>
      <c r="B36" s="141" t="s">
        <v>32</v>
      </c>
      <c r="C36" s="74" t="s">
        <v>2575</v>
      </c>
      <c r="D36" s="74"/>
      <c r="E36" s="74"/>
      <c r="F36" s="74"/>
      <c r="G36" s="74" t="s">
        <v>742</v>
      </c>
      <c r="H36" s="74" t="s">
        <v>745</v>
      </c>
      <c r="I36" s="74" t="s">
        <v>737</v>
      </c>
      <c r="J36" s="74" t="s">
        <v>744</v>
      </c>
      <c r="K36" s="74"/>
      <c r="L36" s="74" t="s">
        <v>738</v>
      </c>
      <c r="M36" s="131" t="s">
        <v>2584</v>
      </c>
      <c r="N36" s="126" t="s">
        <v>739</v>
      </c>
      <c r="O36" s="74" t="s">
        <v>740</v>
      </c>
      <c r="P36" s="64"/>
      <c r="Q36" s="74" t="s">
        <v>443</v>
      </c>
      <c r="R36" s="74"/>
      <c r="S36" s="74"/>
      <c r="T36" s="74"/>
      <c r="U36" s="74"/>
      <c r="V36" s="74"/>
      <c r="W36" s="74"/>
      <c r="X36" s="74"/>
      <c r="Y36" s="74"/>
      <c r="Z36" s="74"/>
      <c r="AA36" s="74"/>
      <c r="AB36" s="74"/>
      <c r="AC36" s="74"/>
      <c r="AD36" s="74"/>
      <c r="AE36" s="74"/>
      <c r="AF36" s="74"/>
      <c r="AG36" s="74"/>
      <c r="AH36" s="131" t="str">
        <f t="shared" si="0"/>
        <v>PDHOLLANDIA DH-SM.15 rétractablePuissance 1500 kg (charge maxi admissible à l'axe sur la largeur du plateau et à 750 mm du talon)Plateau acier / aluminium profondeur 1800 mm - largeur 2150 mm2 arrêts de rolls manuelsBarre de torsionCommande extra plate encastrée à l'intérieur de la caisse à l'arrière droitCommande à distance 2 boutons avec 1 prise à l'intérieur de la caisse au pavillon à l'arrière droitCommande extérieure principale avec coupe batterie à l'arrière droitPeinture jaune RAL 1023 sur le pourtour du plateauVigil batterie</v>
      </c>
    </row>
    <row r="37" spans="1:34" ht="22.5" x14ac:dyDescent="0.25">
      <c r="A37" s="69" t="s">
        <v>2578</v>
      </c>
      <c r="B37" s="141" t="s">
        <v>424</v>
      </c>
      <c r="C37" s="74"/>
      <c r="D37" s="74"/>
      <c r="E37" s="74"/>
      <c r="F37" s="74"/>
      <c r="G37" s="74"/>
      <c r="H37" s="74"/>
      <c r="I37" s="74"/>
      <c r="J37" s="74"/>
      <c r="K37" s="74"/>
      <c r="L37" s="74"/>
      <c r="M37" s="74"/>
      <c r="N37" s="126"/>
      <c r="O37" s="74"/>
      <c r="P37" s="74"/>
      <c r="Q37" s="74"/>
      <c r="R37" s="74"/>
      <c r="S37" s="74" t="s">
        <v>934</v>
      </c>
      <c r="T37" s="74"/>
      <c r="U37" s="74"/>
      <c r="V37" s="74" t="s">
        <v>741</v>
      </c>
      <c r="W37" s="74"/>
      <c r="X37" s="74"/>
      <c r="Y37" s="74"/>
      <c r="Z37" s="74"/>
      <c r="AA37" s="74"/>
      <c r="AB37" s="74"/>
      <c r="AC37" s="74"/>
      <c r="AD37" s="74"/>
      <c r="AE37" s="74"/>
      <c r="AF37" s="74"/>
      <c r="AG37" s="74"/>
      <c r="AH37" s="131" t="str">
        <f t="shared" si="0"/>
        <v>OFeux de protection piétons Blue SpotsEclairages LED latéraux du plateau</v>
      </c>
    </row>
    <row r="38" spans="1:34" ht="22.5" x14ac:dyDescent="0.25">
      <c r="A38" s="69" t="s">
        <v>2580</v>
      </c>
      <c r="B38" s="141" t="s">
        <v>424</v>
      </c>
      <c r="C38" s="74"/>
      <c r="D38" s="74"/>
      <c r="E38" s="74"/>
      <c r="F38" s="74"/>
      <c r="G38" s="74"/>
      <c r="H38" s="74"/>
      <c r="I38" s="74"/>
      <c r="J38" s="74"/>
      <c r="K38" s="74"/>
      <c r="L38" s="74"/>
      <c r="M38" s="74"/>
      <c r="N38" s="126"/>
      <c r="O38" s="74"/>
      <c r="P38" s="74"/>
      <c r="Q38" s="74"/>
      <c r="R38" s="74"/>
      <c r="S38" s="74" t="s">
        <v>2579</v>
      </c>
      <c r="T38" s="74"/>
      <c r="U38" s="74"/>
      <c r="V38" s="74" t="s">
        <v>741</v>
      </c>
      <c r="W38" s="74"/>
      <c r="X38" s="74"/>
      <c r="Y38" s="74"/>
      <c r="Z38" s="74"/>
      <c r="AA38" s="74"/>
      <c r="AB38" s="74"/>
      <c r="AC38" s="74"/>
      <c r="AD38" s="74"/>
      <c r="AE38" s="74"/>
      <c r="AF38" s="74"/>
      <c r="AG38" s="74"/>
      <c r="AH38" s="131" t="str">
        <f t="shared" si="0"/>
        <v>OFeux de protection piétons OrangeEclairages LED latéraux du plateau</v>
      </c>
    </row>
    <row r="39" spans="1:34" ht="78.75" x14ac:dyDescent="0.25">
      <c r="A39" s="69" t="s">
        <v>2583</v>
      </c>
      <c r="B39" s="142" t="s">
        <v>32</v>
      </c>
      <c r="C39" s="74" t="s">
        <v>820</v>
      </c>
      <c r="D39" s="74"/>
      <c r="E39" s="74"/>
      <c r="F39" s="74"/>
      <c r="G39" s="74" t="s">
        <v>735</v>
      </c>
      <c r="H39" s="74" t="s">
        <v>1068</v>
      </c>
      <c r="I39" s="74" t="s">
        <v>737</v>
      </c>
      <c r="J39" s="74"/>
      <c r="K39" s="74"/>
      <c r="L39" s="74"/>
      <c r="M39" s="74" t="s">
        <v>1026</v>
      </c>
      <c r="N39" s="74" t="s">
        <v>739</v>
      </c>
      <c r="O39" s="126" t="s">
        <v>740</v>
      </c>
      <c r="P39" s="74"/>
      <c r="Q39" s="74" t="s">
        <v>443</v>
      </c>
      <c r="R39" s="74"/>
      <c r="S39" s="74"/>
      <c r="T39" s="74"/>
      <c r="U39" s="74"/>
      <c r="V39" s="74"/>
      <c r="W39" s="74"/>
      <c r="X39" s="74"/>
      <c r="Y39" s="74"/>
      <c r="Z39" s="74"/>
      <c r="AA39" s="74"/>
      <c r="AB39" s="74"/>
      <c r="AC39" s="74"/>
      <c r="AD39" s="74"/>
      <c r="AE39" s="74"/>
      <c r="AF39" s="74"/>
      <c r="AG39" s="74"/>
      <c r="AH39" s="131" t="str">
        <f t="shared" si="0"/>
        <v>PDHOLLANDIA DH-LMA.10 rabattablePuissance 750 kg (charge maxi admissible à l'axe sur la largeur du plateau et à 750 mm du talon)Plateau aluminium profondeur 1600 mm2 arrêts de rolls manuelsCommande à distance 2 boutons avec 1 prise à l'intérieur de la caisse au pavillon à l'arrière droit et 1 prise extérieure à côté du coffret principalCommande extérieure principale avec coupe batterie à l'arrière droitPeinture jaune RAL 1023 sur le pourtour du plateauVigil batterie</v>
      </c>
    </row>
    <row r="40" spans="1:34" ht="78.75" x14ac:dyDescent="0.25">
      <c r="A40" s="69" t="s">
        <v>2587</v>
      </c>
      <c r="B40" s="142" t="s">
        <v>32</v>
      </c>
      <c r="C40" s="74" t="s">
        <v>1027</v>
      </c>
      <c r="D40" s="74"/>
      <c r="E40" s="74"/>
      <c r="F40" s="74"/>
      <c r="G40" s="74" t="s">
        <v>1028</v>
      </c>
      <c r="H40" s="74" t="s">
        <v>1069</v>
      </c>
      <c r="I40" s="74" t="s">
        <v>737</v>
      </c>
      <c r="J40" s="74"/>
      <c r="K40" s="74"/>
      <c r="L40" s="74"/>
      <c r="M40" s="74" t="s">
        <v>1026</v>
      </c>
      <c r="N40" s="74" t="s">
        <v>739</v>
      </c>
      <c r="O40" s="126" t="s">
        <v>740</v>
      </c>
      <c r="P40" s="74"/>
      <c r="Q40" s="74"/>
      <c r="R40" s="74"/>
      <c r="S40" s="74"/>
      <c r="T40" s="74"/>
      <c r="U40" s="74"/>
      <c r="V40" s="74"/>
      <c r="W40" s="74"/>
      <c r="X40" s="74"/>
      <c r="Y40" s="74"/>
      <c r="Z40" s="74"/>
      <c r="AA40" s="74"/>
      <c r="AB40" s="74"/>
      <c r="AC40" s="74"/>
      <c r="AD40" s="74"/>
      <c r="AE40" s="74"/>
      <c r="AF40" s="74"/>
      <c r="AG40" s="74"/>
      <c r="AH40" s="131" t="str">
        <f t="shared" si="0"/>
        <v>PDHOLLANDIA DH-LMA.15 rabattablePuissance 1000 kg (charge maxi admissible à l'axe sur la largeur du plateau et à 750 mm du talon)Plateau aluminium profondeur 2150 mm2 arrêts de rolls manuelsCommande à distance 2 boutons avec 1 prise à l'intérieur de la caisse au pavillon à l'arrière droit et 1 prise extérieure à côté du coffret principalCommande extérieure principale avec coupe batterie à l'arrière droitPeinture jaune RAL 1023 sur le pourtour du plateau</v>
      </c>
    </row>
    <row r="41" spans="1:34" ht="78.75" x14ac:dyDescent="0.25">
      <c r="A41" s="69" t="s">
        <v>2589</v>
      </c>
      <c r="B41" s="142" t="s">
        <v>32</v>
      </c>
      <c r="C41" s="74" t="s">
        <v>2574</v>
      </c>
      <c r="D41" s="74"/>
      <c r="E41" s="74"/>
      <c r="F41" s="74"/>
      <c r="G41" s="74" t="s">
        <v>822</v>
      </c>
      <c r="H41" s="74" t="s">
        <v>1029</v>
      </c>
      <c r="I41" s="74" t="s">
        <v>737</v>
      </c>
      <c r="J41" s="74"/>
      <c r="K41" s="74"/>
      <c r="L41" s="74"/>
      <c r="M41" s="74" t="s">
        <v>1026</v>
      </c>
      <c r="N41" s="74" t="s">
        <v>739</v>
      </c>
      <c r="O41" s="126" t="s">
        <v>740</v>
      </c>
      <c r="P41" s="74"/>
      <c r="Q41" s="74"/>
      <c r="R41" s="74"/>
      <c r="S41" s="74"/>
      <c r="T41" s="74"/>
      <c r="U41" s="74"/>
      <c r="V41" s="74"/>
      <c r="W41" s="74"/>
      <c r="X41" s="74"/>
      <c r="Y41" s="74"/>
      <c r="Z41" s="74"/>
      <c r="AA41" s="74"/>
      <c r="AB41" s="74"/>
      <c r="AC41" s="74"/>
      <c r="AD41" s="74"/>
      <c r="AE41" s="74"/>
      <c r="AF41" s="74"/>
      <c r="AG41" s="74"/>
      <c r="AH41" s="131" t="str">
        <f t="shared" si="0"/>
        <v>PDHOLLANDIA DH-LMA.30 rabattablePuissance 2000 kg (charge maxi admissible à l'axe sur la largeur du plateau et à 750 mm du talon)Plateau aluminium profondeur 2150 mm2 arrêts de rolls manuelsCommande à distance 2 boutons avec 1 prise à l'intérieur de la caisse au pavillon à l'arrière droit et 1 prise extérieure à côté du coffret principalCommande extérieure principale avec coupe batterie à l'arrière droitPeinture jaune RAL 1023 sur le pourtour du plateau</v>
      </c>
    </row>
    <row r="42" spans="1:34" ht="78.75" x14ac:dyDescent="0.25">
      <c r="A42" s="69" t="s">
        <v>2585</v>
      </c>
      <c r="B42" s="142" t="s">
        <v>32</v>
      </c>
      <c r="C42" s="74" t="s">
        <v>820</v>
      </c>
      <c r="D42" s="74"/>
      <c r="E42" s="74"/>
      <c r="F42" s="74"/>
      <c r="G42" s="74" t="s">
        <v>735</v>
      </c>
      <c r="H42" s="74" t="s">
        <v>821</v>
      </c>
      <c r="I42" s="74" t="s">
        <v>737</v>
      </c>
      <c r="J42" s="74"/>
      <c r="K42" s="74"/>
      <c r="L42" s="74" t="s">
        <v>738</v>
      </c>
      <c r="M42" s="74" t="s">
        <v>1026</v>
      </c>
      <c r="N42" s="126" t="s">
        <v>739</v>
      </c>
      <c r="O42" s="74" t="s">
        <v>740</v>
      </c>
      <c r="P42" s="64"/>
      <c r="Q42" s="74" t="s">
        <v>443</v>
      </c>
      <c r="R42" s="74"/>
      <c r="S42" s="74"/>
      <c r="T42" s="74"/>
      <c r="U42" s="74"/>
      <c r="V42" s="74"/>
      <c r="W42" s="74"/>
      <c r="X42" s="74"/>
      <c r="Y42" s="74"/>
      <c r="Z42" s="74"/>
      <c r="AA42" s="74"/>
      <c r="AB42" s="74"/>
      <c r="AC42" s="74"/>
      <c r="AD42" s="74"/>
      <c r="AE42" s="74"/>
      <c r="AF42" s="74"/>
      <c r="AG42" s="74"/>
      <c r="AH42" s="131" t="str">
        <f t="shared" si="0"/>
        <v>PDHOLLANDIA DH-LMA.10 rabattablePuissance 750 kg (charge maxi admissible à l'axe sur la largeur du plateau et à 750 mm du talon)Plateau aluminium profondeur 1600 mm2 arrêts de rolls manuelsCommande extra plate encastrée à l'intérieur de la caisse à l'arrière droitCommande à distance 2 boutons avec 1 prise à l'intérieur de la caisse au pavillon à l'arrière droit et 1 prise extérieure à côté du coffret principalCommande extérieure principale avec coupe batterie à l'arrière droitPeinture jaune RAL 1023 sur le pourtour du plateauVigil batterie</v>
      </c>
    </row>
    <row r="43" spans="1:34" ht="78.75" x14ac:dyDescent="0.25">
      <c r="A43" s="69" t="s">
        <v>2588</v>
      </c>
      <c r="B43" s="141" t="s">
        <v>32</v>
      </c>
      <c r="C43" s="74" t="s">
        <v>1027</v>
      </c>
      <c r="D43" s="74"/>
      <c r="E43" s="74"/>
      <c r="F43" s="74"/>
      <c r="G43" s="74" t="s">
        <v>1028</v>
      </c>
      <c r="H43" s="74" t="s">
        <v>1029</v>
      </c>
      <c r="I43" s="74" t="s">
        <v>737</v>
      </c>
      <c r="J43" s="74"/>
      <c r="K43" s="74"/>
      <c r="L43" s="74" t="s">
        <v>738</v>
      </c>
      <c r="M43" s="74" t="s">
        <v>1026</v>
      </c>
      <c r="N43" s="126" t="s">
        <v>739</v>
      </c>
      <c r="O43" s="74" t="s">
        <v>740</v>
      </c>
      <c r="P43" s="64"/>
      <c r="Q43" s="74" t="s">
        <v>443</v>
      </c>
      <c r="R43" s="96"/>
      <c r="S43" s="74"/>
      <c r="T43" s="74"/>
      <c r="U43" s="74"/>
      <c r="V43" s="74"/>
      <c r="W43" s="74"/>
      <c r="X43" s="74"/>
      <c r="Y43" s="74"/>
      <c r="Z43" s="74"/>
      <c r="AA43" s="74"/>
      <c r="AB43" s="74"/>
      <c r="AC43" s="74"/>
      <c r="AD43" s="74"/>
      <c r="AE43" s="74"/>
      <c r="AF43" s="74"/>
      <c r="AG43" s="74"/>
      <c r="AH43" s="131" t="str">
        <f t="shared" si="0"/>
        <v>PDHOLLANDIA DH-LMA.15 rabattablePuissance 1000 kg (charge maxi admissible à l'axe sur la largeur du plateau et à 750 mm du talon)Plateau aluminium profondeur 2150 mm2 arrêts de rolls manuelsCommande extra plate encastrée à l'intérieur de la caisse à l'arrière droitCommande à distance 2 boutons avec 1 prise à l'intérieur de la caisse au pavillon à l'arrière droit et 1 prise extérieure à côté du coffret principalCommande extérieure principale avec coupe batterie à l'arrière droitPeinture jaune RAL 1023 sur le pourtour du plateauVigil batterie</v>
      </c>
    </row>
    <row r="44" spans="1:34" ht="78.75" x14ac:dyDescent="0.25">
      <c r="A44" s="69" t="s">
        <v>2590</v>
      </c>
      <c r="B44" s="142" t="s">
        <v>32</v>
      </c>
      <c r="C44" s="74" t="s">
        <v>2574</v>
      </c>
      <c r="D44" s="74"/>
      <c r="E44" s="74"/>
      <c r="F44" s="74"/>
      <c r="G44" s="74" t="s">
        <v>822</v>
      </c>
      <c r="H44" s="74" t="s">
        <v>1030</v>
      </c>
      <c r="I44" s="74" t="s">
        <v>737</v>
      </c>
      <c r="J44" s="74"/>
      <c r="K44" s="74"/>
      <c r="L44" s="74"/>
      <c r="M44" s="74" t="s">
        <v>1026</v>
      </c>
      <c r="N44" s="74" t="s">
        <v>739</v>
      </c>
      <c r="O44" s="126" t="s">
        <v>740</v>
      </c>
      <c r="P44" s="74"/>
      <c r="Q44" s="74"/>
      <c r="R44" s="74"/>
      <c r="S44" s="74"/>
      <c r="T44" s="74"/>
      <c r="U44" s="74"/>
      <c r="V44" s="74"/>
      <c r="W44" s="74"/>
      <c r="X44" s="74"/>
      <c r="Y44" s="74"/>
      <c r="Z44" s="74"/>
      <c r="AA44" s="74"/>
      <c r="AB44" s="74"/>
      <c r="AC44" s="74"/>
      <c r="AD44" s="74"/>
      <c r="AE44" s="74"/>
      <c r="AF44" s="74"/>
      <c r="AG44" s="74"/>
      <c r="AH44" s="131" t="str">
        <f t="shared" si="0"/>
        <v>PDHOLLANDIA DH-LMA.30 rabattablePuissance 2000 kg (charge maxi admissible à l'axe sur la largeur du plateau et à 750 mm du talon)Plateau aluminium profondeur 2160 mm2 arrêts de rolls manuelsCommande à distance 2 boutons avec 1 prise à l'intérieur de la caisse au pavillon à l'arrière droit et 1 prise extérieure à côté du coffret principalCommande extérieure principale avec coupe batterie à l'arrière droitPeinture jaune RAL 1023 sur le pourtour du plateau</v>
      </c>
    </row>
  </sheetData>
  <autoFilter ref="A1:AI44" xr:uid="{F50E1BFF-693D-47C1-A14D-7BD64454DF3F}"/>
  <phoneticPr fontId="24" type="noConversion"/>
  <conditionalFormatting sqref="A1:A1048576">
    <cfRule type="duplicateValues" dxfId="3" priority="194"/>
  </conditionalFormatting>
  <conditionalFormatting sqref="AH1:AH1048576">
    <cfRule type="duplicateValues" dxfId="2" priority="5"/>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A298-0F52-4165-B9BB-6705DB0F32ED}">
  <dimension ref="A1:FW58"/>
  <sheetViews>
    <sheetView workbookViewId="0">
      <selection sqref="A1:XFD1"/>
    </sheetView>
  </sheetViews>
  <sheetFormatPr baseColWidth="10" defaultColWidth="10.7109375" defaultRowHeight="20.100000000000001" customHeight="1" x14ac:dyDescent="0.25"/>
  <cols>
    <col min="13" max="13" width="29.28515625" customWidth="1"/>
  </cols>
  <sheetData>
    <row r="1" spans="1:179" s="43" customFormat="1" ht="20.100000000000001" customHeight="1" x14ac:dyDescent="0.25">
      <c r="A1" s="3" t="s">
        <v>0</v>
      </c>
      <c r="B1" s="40" t="s">
        <v>77</v>
      </c>
      <c r="C1" s="40" t="s">
        <v>90</v>
      </c>
      <c r="D1" s="3" t="s">
        <v>91</v>
      </c>
      <c r="E1" s="3" t="s">
        <v>1</v>
      </c>
      <c r="F1" s="3" t="s">
        <v>2</v>
      </c>
      <c r="G1" s="3" t="s">
        <v>84</v>
      </c>
      <c r="H1" s="3" t="s">
        <v>83</v>
      </c>
      <c r="I1" s="3" t="s">
        <v>3</v>
      </c>
      <c r="J1" s="3" t="s">
        <v>145</v>
      </c>
      <c r="K1" s="3" t="s">
        <v>82</v>
      </c>
      <c r="L1" s="3" t="s">
        <v>81</v>
      </c>
      <c r="M1" s="3" t="s">
        <v>4</v>
      </c>
      <c r="N1" s="3" t="s">
        <v>5</v>
      </c>
      <c r="O1" s="3" t="s">
        <v>79</v>
      </c>
      <c r="P1" s="3" t="s">
        <v>78</v>
      </c>
      <c r="Q1" s="3" t="s">
        <v>6</v>
      </c>
      <c r="R1" s="3" t="s">
        <v>80</v>
      </c>
      <c r="S1" s="3" t="s">
        <v>7</v>
      </c>
      <c r="T1" s="3" t="s">
        <v>8</v>
      </c>
      <c r="U1" s="3" t="s">
        <v>9</v>
      </c>
      <c r="V1" s="3" t="s">
        <v>10</v>
      </c>
      <c r="W1" s="3" t="s">
        <v>11</v>
      </c>
      <c r="X1" s="3" t="s">
        <v>12</v>
      </c>
      <c r="Y1" s="3" t="s">
        <v>13</v>
      </c>
      <c r="Z1" s="3" t="s">
        <v>73</v>
      </c>
      <c r="AA1" s="3" t="s">
        <v>14</v>
      </c>
      <c r="AB1" s="3" t="s">
        <v>15</v>
      </c>
      <c r="AC1" s="24" t="s">
        <v>16</v>
      </c>
      <c r="AD1" s="3" t="s">
        <v>17</v>
      </c>
      <c r="AE1" s="3" t="s">
        <v>18</v>
      </c>
      <c r="AF1" s="3" t="s">
        <v>19</v>
      </c>
      <c r="AG1" s="3" t="s">
        <v>20</v>
      </c>
      <c r="AH1" s="3" t="s">
        <v>21</v>
      </c>
      <c r="AI1" s="3" t="s">
        <v>22</v>
      </c>
      <c r="AJ1" s="3" t="s">
        <v>23</v>
      </c>
      <c r="AK1" s="3" t="s">
        <v>24</v>
      </c>
      <c r="AL1" s="3" t="s">
        <v>25</v>
      </c>
      <c r="AM1" s="3" t="s">
        <v>26</v>
      </c>
      <c r="AN1" s="3" t="s">
        <v>27</v>
      </c>
      <c r="AO1" s="47" t="s">
        <v>28</v>
      </c>
      <c r="AP1" s="3" t="s">
        <v>148</v>
      </c>
      <c r="AQ1" s="3" t="s">
        <v>147</v>
      </c>
      <c r="AR1" s="3" t="s">
        <v>103</v>
      </c>
      <c r="AS1" s="3" t="s">
        <v>104</v>
      </c>
      <c r="AT1" s="3" t="s">
        <v>105</v>
      </c>
      <c r="AU1" s="3" t="s">
        <v>106</v>
      </c>
      <c r="AV1" s="3" t="s">
        <v>107</v>
      </c>
      <c r="AW1" s="3" t="s">
        <v>101</v>
      </c>
      <c r="AX1" s="3" t="s">
        <v>102</v>
      </c>
      <c r="AY1" s="3" t="s">
        <v>99</v>
      </c>
      <c r="AZ1" s="3" t="s">
        <v>100</v>
      </c>
      <c r="BA1" s="3" t="s">
        <v>52</v>
      </c>
      <c r="BB1" s="3" t="s">
        <v>53</v>
      </c>
      <c r="BC1" s="3" t="s">
        <v>54</v>
      </c>
      <c r="BD1" s="3" t="s">
        <v>55</v>
      </c>
      <c r="BE1" s="3" t="s">
        <v>56</v>
      </c>
      <c r="BF1" s="3" t="s">
        <v>57</v>
      </c>
      <c r="BG1" s="3" t="s">
        <v>58</v>
      </c>
      <c r="BH1" s="3" t="s">
        <v>59</v>
      </c>
      <c r="BI1" s="3" t="s">
        <v>60</v>
      </c>
      <c r="BJ1" s="3" t="s">
        <v>61</v>
      </c>
      <c r="BK1" s="3" t="s">
        <v>62</v>
      </c>
      <c r="BL1" s="29"/>
      <c r="BM1" s="3" t="s">
        <v>146</v>
      </c>
      <c r="BN1" s="3" t="s">
        <v>165</v>
      </c>
      <c r="BO1" s="3"/>
      <c r="BP1" s="3"/>
      <c r="BQ1" s="3"/>
      <c r="BR1" s="3"/>
      <c r="BS1" s="3"/>
      <c r="BT1" s="3"/>
      <c r="BU1" s="3"/>
      <c r="BV1" s="3"/>
      <c r="BW1" s="3"/>
      <c r="BX1" s="3"/>
      <c r="BY1" s="3"/>
      <c r="BZ1" s="25"/>
      <c r="CA1" s="24" t="s">
        <v>171</v>
      </c>
      <c r="CB1" s="24" t="s">
        <v>158</v>
      </c>
      <c r="CC1" s="2" t="s">
        <v>144</v>
      </c>
      <c r="CD1" s="3" t="s">
        <v>82</v>
      </c>
      <c r="CE1" s="20" t="s">
        <v>98</v>
      </c>
      <c r="CF1" s="212" t="s">
        <v>97</v>
      </c>
      <c r="CG1" s="213"/>
      <c r="CH1" s="27"/>
      <c r="CI1" s="41" t="s">
        <v>143</v>
      </c>
      <c r="CJ1" s="41" t="s">
        <v>143</v>
      </c>
      <c r="CK1" s="42" t="s">
        <v>193</v>
      </c>
      <c r="CL1" s="42" t="s">
        <v>231</v>
      </c>
      <c r="CM1" s="42" t="s">
        <v>228</v>
      </c>
      <c r="CN1" s="42" t="s">
        <v>227</v>
      </c>
      <c r="CO1" s="42" t="s">
        <v>220</v>
      </c>
      <c r="CP1" s="42" t="s">
        <v>229</v>
      </c>
      <c r="CQ1" s="42" t="s">
        <v>216</v>
      </c>
      <c r="CR1" s="42" t="s">
        <v>230</v>
      </c>
      <c r="CS1" s="42" t="s">
        <v>215</v>
      </c>
      <c r="CT1" s="42" t="s">
        <v>199</v>
      </c>
      <c r="CU1" s="42" t="s">
        <v>214</v>
      </c>
      <c r="CV1" s="42" t="s">
        <v>169</v>
      </c>
      <c r="CW1" s="42" t="s">
        <v>172</v>
      </c>
      <c r="CX1" s="42" t="s">
        <v>226</v>
      </c>
      <c r="CY1" s="42" t="s">
        <v>180</v>
      </c>
      <c r="CZ1" s="42" t="s">
        <v>173</v>
      </c>
      <c r="DA1" s="42" t="s">
        <v>341</v>
      </c>
      <c r="DB1" s="42" t="s">
        <v>340</v>
      </c>
      <c r="DC1" s="42" t="s">
        <v>219</v>
      </c>
      <c r="DD1" s="42" t="s">
        <v>208</v>
      </c>
      <c r="DE1" s="42" t="s">
        <v>209</v>
      </c>
      <c r="DF1" s="42" t="s">
        <v>174</v>
      </c>
      <c r="DG1" s="42" t="s">
        <v>182</v>
      </c>
      <c r="DH1" s="42" t="s">
        <v>198</v>
      </c>
      <c r="DI1" s="42" t="s">
        <v>210</v>
      </c>
      <c r="DJ1" s="42" t="s">
        <v>186</v>
      </c>
      <c r="DK1" s="42" t="s">
        <v>185</v>
      </c>
      <c r="DL1" s="42" t="s">
        <v>183</v>
      </c>
      <c r="DM1" s="42" t="s">
        <v>184</v>
      </c>
      <c r="DN1" s="42" t="s">
        <v>187</v>
      </c>
      <c r="DO1" s="42" t="s">
        <v>190</v>
      </c>
      <c r="DP1" s="42" t="s">
        <v>188</v>
      </c>
      <c r="DQ1" s="42" t="s">
        <v>189</v>
      </c>
      <c r="DR1" s="42" t="s">
        <v>191</v>
      </c>
      <c r="DS1" s="42" t="s">
        <v>192</v>
      </c>
      <c r="DT1" s="42" t="s">
        <v>175</v>
      </c>
      <c r="DU1" s="42" t="s">
        <v>203</v>
      </c>
      <c r="DV1" s="42" t="s">
        <v>176</v>
      </c>
      <c r="DW1" s="42" t="s">
        <v>177</v>
      </c>
      <c r="DX1" s="42" t="s">
        <v>217</v>
      </c>
      <c r="DY1" s="42" t="s">
        <v>179</v>
      </c>
      <c r="DZ1" s="42" t="s">
        <v>178</v>
      </c>
      <c r="EA1" s="42" t="s">
        <v>196</v>
      </c>
      <c r="EB1" s="42" t="s">
        <v>197</v>
      </c>
      <c r="EC1" s="42" t="s">
        <v>181</v>
      </c>
      <c r="ED1" s="42" t="s">
        <v>200</v>
      </c>
      <c r="EE1" s="42" t="s">
        <v>343</v>
      </c>
      <c r="EF1" s="42" t="s">
        <v>201</v>
      </c>
      <c r="EG1" s="42" t="s">
        <v>211</v>
      </c>
      <c r="EH1" s="42" t="s">
        <v>195</v>
      </c>
      <c r="EI1" s="42" t="s">
        <v>205</v>
      </c>
      <c r="EJ1" s="42" t="s">
        <v>207</v>
      </c>
      <c r="EK1" s="42" t="s">
        <v>206</v>
      </c>
      <c r="EL1" s="34" t="s">
        <v>159</v>
      </c>
      <c r="EM1" s="28"/>
      <c r="EN1" s="26" t="s">
        <v>119</v>
      </c>
      <c r="EO1" s="2" t="s">
        <v>109</v>
      </c>
      <c r="EP1" s="20" t="s">
        <v>110</v>
      </c>
      <c r="EQ1" s="20" t="s">
        <v>126</v>
      </c>
      <c r="ER1" s="20" t="s">
        <v>125</v>
      </c>
      <c r="ES1" s="26" t="s">
        <v>111</v>
      </c>
      <c r="ET1" s="20" t="s">
        <v>108</v>
      </c>
      <c r="EU1" s="20" t="s">
        <v>130</v>
      </c>
      <c r="EV1" s="20" t="s">
        <v>131</v>
      </c>
      <c r="EW1" s="20" t="s">
        <v>132</v>
      </c>
      <c r="EX1" s="20"/>
      <c r="EY1" s="20" t="s">
        <v>112</v>
      </c>
      <c r="EZ1" s="2" t="s">
        <v>113</v>
      </c>
      <c r="FA1" s="20" t="s">
        <v>114</v>
      </c>
      <c r="FB1" s="20" t="s">
        <v>129</v>
      </c>
      <c r="FC1" s="20" t="s">
        <v>125</v>
      </c>
      <c r="FD1" s="26" t="s">
        <v>120</v>
      </c>
      <c r="FE1" s="20" t="s">
        <v>149</v>
      </c>
      <c r="FF1" s="20"/>
      <c r="FG1" s="20" t="s">
        <v>121</v>
      </c>
      <c r="FH1" s="2" t="s">
        <v>117</v>
      </c>
      <c r="FI1" s="20" t="s">
        <v>118</v>
      </c>
      <c r="FJ1" s="20" t="s">
        <v>128</v>
      </c>
      <c r="FK1" s="20" t="s">
        <v>125</v>
      </c>
      <c r="FL1" s="26" t="s">
        <v>122</v>
      </c>
      <c r="FM1" s="26"/>
      <c r="FN1" s="26"/>
      <c r="FO1" s="20" t="s">
        <v>123</v>
      </c>
      <c r="FP1" s="2" t="s">
        <v>115</v>
      </c>
      <c r="FQ1" s="20" t="s">
        <v>116</v>
      </c>
      <c r="FR1" s="20" t="s">
        <v>127</v>
      </c>
      <c r="FS1" s="20" t="s">
        <v>125</v>
      </c>
      <c r="FT1" s="26" t="s">
        <v>96</v>
      </c>
      <c r="FU1" s="26"/>
      <c r="FV1" s="26"/>
      <c r="FW1" s="20" t="s">
        <v>124</v>
      </c>
    </row>
    <row r="2" spans="1:179" ht="20.100000000000001" customHeight="1" x14ac:dyDescent="0.25">
      <c r="A2" s="5" t="s">
        <v>74</v>
      </c>
      <c r="B2" s="5" t="s">
        <v>239</v>
      </c>
      <c r="C2" s="5" t="s">
        <v>240</v>
      </c>
      <c r="D2" s="1"/>
      <c r="E2" s="4" t="s">
        <v>33</v>
      </c>
      <c r="F2" s="5" t="s">
        <v>37</v>
      </c>
      <c r="G2" s="5" t="s">
        <v>38</v>
      </c>
      <c r="H2" s="5" t="s">
        <v>29</v>
      </c>
      <c r="I2" s="5" t="s">
        <v>7</v>
      </c>
      <c r="J2" s="4"/>
      <c r="K2" s="5" t="s">
        <v>30</v>
      </c>
      <c r="L2" s="5"/>
      <c r="M2" s="5" t="s">
        <v>241</v>
      </c>
      <c r="N2" s="6" t="s">
        <v>63</v>
      </c>
      <c r="O2" s="37">
        <v>5792</v>
      </c>
      <c r="P2" s="37">
        <v>2254</v>
      </c>
      <c r="Q2" s="5">
        <v>2300</v>
      </c>
      <c r="R2" s="5"/>
      <c r="S2" s="5">
        <v>3520</v>
      </c>
      <c r="T2" s="5">
        <v>2400</v>
      </c>
      <c r="U2" s="5">
        <v>7857</v>
      </c>
      <c r="V2" s="5">
        <v>1100</v>
      </c>
      <c r="W2" s="5">
        <v>4185</v>
      </c>
      <c r="X2" s="5">
        <v>2400</v>
      </c>
      <c r="Y2" s="5"/>
      <c r="Z2" s="37">
        <v>11</v>
      </c>
      <c r="AA2" s="5" t="s">
        <v>312</v>
      </c>
      <c r="AB2" s="5">
        <v>10000</v>
      </c>
      <c r="AC2" s="30">
        <v>3454</v>
      </c>
      <c r="AD2" s="10"/>
      <c r="AE2" s="10"/>
      <c r="AF2" s="10"/>
      <c r="AG2" s="10"/>
      <c r="AH2" s="5" t="s">
        <v>160</v>
      </c>
      <c r="AI2" s="4" t="s">
        <v>167</v>
      </c>
      <c r="AJ2" s="37" t="s">
        <v>342</v>
      </c>
      <c r="AK2" s="5" t="s">
        <v>76</v>
      </c>
      <c r="AL2" s="5" t="s">
        <v>39</v>
      </c>
      <c r="AM2" s="5" t="s">
        <v>170</v>
      </c>
      <c r="AN2" s="4" t="s">
        <v>345</v>
      </c>
      <c r="AO2" s="11" t="s">
        <v>65</v>
      </c>
      <c r="AP2" s="12"/>
      <c r="AQ2" s="12"/>
      <c r="AR2" s="12"/>
      <c r="AS2" s="12"/>
      <c r="AT2" s="12"/>
      <c r="AU2" s="12"/>
      <c r="AV2" s="12"/>
      <c r="AW2" s="12"/>
      <c r="AX2" s="12"/>
      <c r="AY2" s="12"/>
      <c r="AZ2" s="12"/>
      <c r="BA2" s="12"/>
      <c r="BB2" s="12"/>
      <c r="BC2" s="12"/>
      <c r="BD2" s="12"/>
      <c r="BE2" s="12"/>
      <c r="BF2" s="12"/>
      <c r="BG2" s="12"/>
      <c r="BH2" s="12"/>
      <c r="BI2" s="12"/>
      <c r="BJ2" s="12"/>
      <c r="BK2" s="12"/>
      <c r="BL2" s="20" t="e">
        <f>IF(CONCATENATE(A2,B2,C2,D2,E2,F2,G2,H2,I2,J2,K2,L2,M2,N2,O2,P2,Q2,R2,S2,T2,U2,V2,W2,X2,Y2,Z2,AA2,AB2,AC2,AD2,AE2,AF2,AG2,AH2,AI2,AJ2,AK2,AL2,AM2,AN2,AO2,AP2,AQ2,AR2,AS2,AT2,AU2,AV2,AW2,AX2,AY2,AZ2,BA2,BB2,BC2,BD2,BE2,BF2,BG2,BH2,BI2,BJ2,BK2)=(CONCATENATE(#REF!,#REF!,#REF!,#REF!,#REF!,#REF!,#REF!,#REF!,#REF!,#REF!,#REF!,#REF!,#REF!,#REF!,#REF!,#REF!,#REF!,#REF!,#REF!,#REF!,#REF!,#REF!,#REF!,#REF!,#REF!,#REF!,#REF!,#REF!,#REF!,#REF!,#REF!,#REF!,#REF!,#REF!,#REF!,#REF!,#REF!,#REF!,#REF!,#REF!,#REF!,#REF!,#REF!,#REF!,#REF!,#REF!,#REF!,#REF!,#REF!,#REF!,#REF!,#REF!,#REF!,#REF!,#REF!,#REF!,#REF!,#REF!,#REF!,#REF!,#REF!,#REF!,#REF!)),0,1)</f>
        <v>#REF!</v>
      </c>
      <c r="BM2" s="38" t="s">
        <v>236</v>
      </c>
      <c r="BN2" s="8" t="s">
        <v>133</v>
      </c>
      <c r="BO2" s="48"/>
      <c r="BP2" s="35" t="str">
        <f t="shared" ref="BP2:BP33" si="0">A2</f>
        <v>FR</v>
      </c>
      <c r="BQ2" s="35" t="str">
        <f t="shared" ref="BQ2:BQ33" si="1">B2</f>
        <v>FS_PF_Energie Alter</v>
      </c>
      <c r="BR2" s="35" t="str">
        <f t="shared" ref="BR2:BR33" si="2">E2</f>
        <v>IVECO</v>
      </c>
      <c r="BS2" s="35" t="str">
        <f t="shared" ref="BS2:BS33" si="3">F2</f>
        <v>EUROCARGO</v>
      </c>
      <c r="BT2" s="35" t="str">
        <f t="shared" ref="BT2:BT33" si="4">M2</f>
        <v>100E21 G CF</v>
      </c>
      <c r="BU2" s="35">
        <f t="shared" ref="BU2:BU33" si="5">IF(BT2=BV2,0,1)</f>
        <v>0</v>
      </c>
      <c r="BV2" s="5" t="s">
        <v>241</v>
      </c>
      <c r="BW2" s="6" t="s">
        <v>63</v>
      </c>
      <c r="BX2" s="35" t="str">
        <f t="shared" ref="BX2:BX33" si="6">N2</f>
        <v>H01</v>
      </c>
      <c r="BY2" s="44" t="str">
        <f t="shared" ref="BY2:BY33" si="7">CONCATENATE(BP2,BQ2,BT2,BX2)</f>
        <v>FRFS_PF_Energie Alter100E21 G CFH01</v>
      </c>
      <c r="BZ2" s="48"/>
      <c r="CA2" s="35">
        <v>10000</v>
      </c>
      <c r="CB2" s="35">
        <v>10000</v>
      </c>
      <c r="CC2" s="35" t="e">
        <f>VLOOKUP(BY2,#REF!,20,0)</f>
        <v>#REF!</v>
      </c>
      <c r="CD2" s="48"/>
      <c r="CE2" s="36">
        <v>3454</v>
      </c>
      <c r="CF2" s="36">
        <v>3454</v>
      </c>
      <c r="CG2" s="36"/>
    </row>
    <row r="3" spans="1:179" ht="20.100000000000001" customHeight="1" x14ac:dyDescent="0.25">
      <c r="A3" s="5" t="s">
        <v>74</v>
      </c>
      <c r="B3" s="5" t="s">
        <v>239</v>
      </c>
      <c r="C3" s="5" t="s">
        <v>240</v>
      </c>
      <c r="D3" s="1"/>
      <c r="E3" s="4" t="s">
        <v>33</v>
      </c>
      <c r="F3" s="5" t="s">
        <v>37</v>
      </c>
      <c r="G3" s="5" t="s">
        <v>38</v>
      </c>
      <c r="H3" s="5" t="s">
        <v>12</v>
      </c>
      <c r="I3" s="5" t="s">
        <v>7</v>
      </c>
      <c r="J3" s="5"/>
      <c r="K3" s="5" t="s">
        <v>30</v>
      </c>
      <c r="L3" s="5"/>
      <c r="M3" s="5" t="s">
        <v>241</v>
      </c>
      <c r="N3" s="5" t="s">
        <v>64</v>
      </c>
      <c r="O3" s="37">
        <v>5792</v>
      </c>
      <c r="P3" s="37">
        <v>2254</v>
      </c>
      <c r="Q3" s="5">
        <v>2300</v>
      </c>
      <c r="R3" s="5"/>
      <c r="S3" s="5">
        <v>3520</v>
      </c>
      <c r="T3" s="5">
        <v>2400</v>
      </c>
      <c r="U3" s="5">
        <v>7857</v>
      </c>
      <c r="V3" s="5">
        <v>1100</v>
      </c>
      <c r="W3" s="5">
        <v>4185</v>
      </c>
      <c r="X3" s="5">
        <v>2400</v>
      </c>
      <c r="Y3" s="5"/>
      <c r="Z3" s="37">
        <v>11</v>
      </c>
      <c r="AA3" s="5" t="s">
        <v>296</v>
      </c>
      <c r="AB3" s="5">
        <v>10000</v>
      </c>
      <c r="AC3" s="30">
        <v>2974</v>
      </c>
      <c r="AD3" s="10"/>
      <c r="AE3" s="10"/>
      <c r="AF3" s="10"/>
      <c r="AG3" s="10"/>
      <c r="AH3" s="5" t="s">
        <v>160</v>
      </c>
      <c r="AI3" s="4" t="s">
        <v>167</v>
      </c>
      <c r="AJ3" s="37" t="s">
        <v>342</v>
      </c>
      <c r="AK3" s="5" t="s">
        <v>76</v>
      </c>
      <c r="AL3" s="5" t="s">
        <v>40</v>
      </c>
      <c r="AM3" s="5" t="s">
        <v>138</v>
      </c>
      <c r="AN3" s="4" t="s">
        <v>345</v>
      </c>
      <c r="AO3" s="11" t="s">
        <v>66</v>
      </c>
      <c r="AP3" s="12"/>
      <c r="AQ3" s="12"/>
      <c r="AR3" s="12"/>
      <c r="AS3" s="12"/>
      <c r="AT3" s="12"/>
      <c r="AU3" s="12"/>
      <c r="AV3" s="12"/>
      <c r="AW3" s="12"/>
      <c r="AX3" s="12"/>
      <c r="AY3" s="12"/>
      <c r="AZ3" s="12"/>
      <c r="BA3" s="12"/>
      <c r="BB3" s="12"/>
      <c r="BC3" s="12"/>
      <c r="BD3" s="12"/>
      <c r="BE3" s="12"/>
      <c r="BF3" s="12"/>
      <c r="BG3" s="12"/>
      <c r="BH3" s="12"/>
      <c r="BI3" s="12"/>
      <c r="BJ3" s="12"/>
      <c r="BK3" s="12"/>
      <c r="BL3" s="20" t="e">
        <f>IF(CONCATENATE(A3,B3,C3,D3,E3,F3,G3,H3,I3,J3,K3,L3,M3,N3,O3,P3,Q3,R3,S3,T3,U3,V3,W3,X3,Y3,Z3,AA3,AB3,AC3,AD3,AE3,AF3,AG3,AH3,AI3,AJ3,AK3,AL3,AM3,AN3,AO3,AP3,AQ3,AR3,AS3,AT3,AU3,AV3,AW3,AX3,AY3,AZ3,BA3,BB3,BC3,BD3,BE3,BF3,BG3,BH3,BI3,BJ3,BK3)=(CONCATENATE(#REF!,#REF!,#REF!,#REF!,#REF!,#REF!,#REF!,#REF!,#REF!,#REF!,#REF!,#REF!,#REF!,#REF!,#REF!,#REF!,#REF!,#REF!,#REF!,#REF!,#REF!,#REF!,#REF!,#REF!,#REF!,#REF!,#REF!,#REF!,#REF!,#REF!,#REF!,#REF!,#REF!,#REF!,#REF!,#REF!,#REF!,#REF!,#REF!,#REF!,#REF!,#REF!,#REF!,#REF!,#REF!,#REF!,#REF!,#REF!,#REF!,#REF!,#REF!,#REF!,#REF!,#REF!,#REF!,#REF!,#REF!,#REF!,#REF!,#REF!,#REF!,#REF!,#REF!)),0,1)</f>
        <v>#REF!</v>
      </c>
      <c r="BM3" s="38" t="s">
        <v>236</v>
      </c>
      <c r="BN3" s="8" t="s">
        <v>141</v>
      </c>
      <c r="BO3" s="48"/>
      <c r="BP3" s="35" t="str">
        <f t="shared" si="0"/>
        <v>FR</v>
      </c>
      <c r="BQ3" s="35" t="str">
        <f t="shared" si="1"/>
        <v>FS_PF_Energie Alter</v>
      </c>
      <c r="BR3" s="35" t="str">
        <f t="shared" si="2"/>
        <v>IVECO</v>
      </c>
      <c r="BS3" s="35" t="str">
        <f t="shared" si="3"/>
        <v>EUROCARGO</v>
      </c>
      <c r="BT3" s="35" t="str">
        <f t="shared" si="4"/>
        <v>100E21 G CF</v>
      </c>
      <c r="BU3" s="35">
        <f t="shared" si="5"/>
        <v>0</v>
      </c>
      <c r="BV3" s="5" t="s">
        <v>241</v>
      </c>
      <c r="BW3" s="5" t="s">
        <v>64</v>
      </c>
      <c r="BX3" s="35" t="str">
        <f t="shared" si="6"/>
        <v>H02</v>
      </c>
      <c r="BY3" s="44" t="str">
        <f t="shared" si="7"/>
        <v>FRFS_PF_Energie Alter100E21 G CFH02</v>
      </c>
      <c r="BZ3" s="48"/>
      <c r="CA3" s="35">
        <v>10000</v>
      </c>
      <c r="CB3" s="35">
        <v>10000</v>
      </c>
      <c r="CC3" s="35" t="e">
        <f>VLOOKUP(BY3,#REF!,20,0)</f>
        <v>#REF!</v>
      </c>
      <c r="CD3" s="48"/>
      <c r="CE3" s="36">
        <v>2974</v>
      </c>
      <c r="CF3" s="36">
        <v>2974</v>
      </c>
      <c r="CG3" s="36"/>
    </row>
    <row r="4" spans="1:179" ht="20.100000000000001" customHeight="1" x14ac:dyDescent="0.25">
      <c r="A4" s="5" t="s">
        <v>74</v>
      </c>
      <c r="B4" s="5" t="s">
        <v>239</v>
      </c>
      <c r="C4" s="5" t="s">
        <v>240</v>
      </c>
      <c r="D4" s="1"/>
      <c r="E4" s="4" t="s">
        <v>33</v>
      </c>
      <c r="F4" s="5" t="s">
        <v>37</v>
      </c>
      <c r="G4" s="5" t="s">
        <v>38</v>
      </c>
      <c r="H4" s="5" t="s">
        <v>29</v>
      </c>
      <c r="I4" s="5" t="s">
        <v>7</v>
      </c>
      <c r="J4" s="4"/>
      <c r="K4" s="5" t="s">
        <v>30</v>
      </c>
      <c r="L4" s="5"/>
      <c r="M4" s="5" t="s">
        <v>242</v>
      </c>
      <c r="N4" s="6" t="s">
        <v>63</v>
      </c>
      <c r="O4" s="37">
        <v>5792</v>
      </c>
      <c r="P4" s="37">
        <v>2254</v>
      </c>
      <c r="Q4" s="5">
        <v>2300</v>
      </c>
      <c r="R4" s="5"/>
      <c r="S4" s="5">
        <v>3520</v>
      </c>
      <c r="T4" s="5">
        <v>2400</v>
      </c>
      <c r="U4" s="5">
        <v>7857</v>
      </c>
      <c r="V4" s="5">
        <v>1100</v>
      </c>
      <c r="W4" s="5">
        <v>4185</v>
      </c>
      <c r="X4" s="5">
        <v>2400</v>
      </c>
      <c r="Y4" s="5"/>
      <c r="Z4" s="37">
        <v>11</v>
      </c>
      <c r="AA4" s="5" t="s">
        <v>313</v>
      </c>
      <c r="AB4" s="5">
        <v>10000</v>
      </c>
      <c r="AC4" s="30">
        <v>3454</v>
      </c>
      <c r="AD4" s="10"/>
      <c r="AE4" s="10"/>
      <c r="AF4" s="10"/>
      <c r="AG4" s="10"/>
      <c r="AH4" s="5" t="s">
        <v>160</v>
      </c>
      <c r="AI4" s="4" t="s">
        <v>167</v>
      </c>
      <c r="AJ4" s="37" t="s">
        <v>342</v>
      </c>
      <c r="AK4" s="5" t="s">
        <v>76</v>
      </c>
      <c r="AL4" s="5" t="s">
        <v>39</v>
      </c>
      <c r="AM4" s="4" t="s">
        <v>336</v>
      </c>
      <c r="AN4" s="4" t="s">
        <v>345</v>
      </c>
      <c r="AO4" s="11" t="s">
        <v>65</v>
      </c>
      <c r="AP4" s="12"/>
      <c r="AQ4" s="12"/>
      <c r="AR4" s="12"/>
      <c r="AS4" s="12"/>
      <c r="AT4" s="12"/>
      <c r="AU4" s="12"/>
      <c r="AV4" s="12"/>
      <c r="AW4" s="12"/>
      <c r="AX4" s="12"/>
      <c r="AY4" s="12"/>
      <c r="AZ4" s="12"/>
      <c r="BA4" s="12"/>
      <c r="BB4" s="12"/>
      <c r="BC4" s="12"/>
      <c r="BD4" s="12"/>
      <c r="BE4" s="12"/>
      <c r="BF4" s="12"/>
      <c r="BG4" s="12"/>
      <c r="BH4" s="12"/>
      <c r="BI4" s="12"/>
      <c r="BJ4" s="12"/>
      <c r="BK4" s="12"/>
      <c r="BL4" s="20" t="e">
        <f>IF(CONCATENATE(A4,B4,C4,D4,E4,F4,G4,H4,I4,J4,K4,L4,M4,N4,O4,P4,Q4,R4,S4,T4,U4,V4,W4,X4,Y4,Z4,AA4,AB4,AC4,AD4,AE4,AF4,AG4,AH4,AI4,AJ4,AK4,AL4,AM4,AN4,AO4,AP4,AQ4,AR4,AS4,AT4,AU4,AV4,AW4,AX4,AY4,AZ4,BA4,BB4,BC4,BD4,BE4,BF4,BG4,BH4,BI4,BJ4,BK4)=(CONCATENATE(#REF!,#REF!,#REF!,#REF!,#REF!,#REF!,#REF!,#REF!,#REF!,#REF!,#REF!,#REF!,#REF!,#REF!,#REF!,#REF!,#REF!,#REF!,#REF!,#REF!,#REF!,#REF!,#REF!,#REF!,#REF!,#REF!,#REF!,#REF!,#REF!,#REF!,#REF!,#REF!,#REF!,#REF!,#REF!,#REF!,#REF!,#REF!,#REF!,#REF!,#REF!,#REF!,#REF!,#REF!,#REF!,#REF!,#REF!,#REF!,#REF!,#REF!,#REF!,#REF!,#REF!,#REF!,#REF!,#REF!,#REF!,#REF!,#REF!,#REF!,#REF!,#REF!,#REF!)),0,1)</f>
        <v>#REF!</v>
      </c>
      <c r="BM4" s="38" t="s">
        <v>236</v>
      </c>
      <c r="BN4" s="8" t="s">
        <v>133</v>
      </c>
      <c r="BO4" s="48"/>
      <c r="BP4" s="35" t="str">
        <f t="shared" si="0"/>
        <v>FR</v>
      </c>
      <c r="BQ4" s="35" t="str">
        <f t="shared" si="1"/>
        <v>FS_PF_Energie Alter</v>
      </c>
      <c r="BR4" s="35" t="str">
        <f t="shared" si="2"/>
        <v>IVECO</v>
      </c>
      <c r="BS4" s="35" t="str">
        <f t="shared" si="3"/>
        <v>EUROCARGO</v>
      </c>
      <c r="BT4" s="35" t="str">
        <f t="shared" si="4"/>
        <v>100E21 G CF - TK V1000</v>
      </c>
      <c r="BU4" s="35">
        <f t="shared" si="5"/>
        <v>0</v>
      </c>
      <c r="BV4" s="5" t="s">
        <v>242</v>
      </c>
      <c r="BW4" s="6" t="s">
        <v>63</v>
      </c>
      <c r="BX4" s="35" t="str">
        <f t="shared" si="6"/>
        <v>H01</v>
      </c>
      <c r="BY4" s="44" t="str">
        <f t="shared" si="7"/>
        <v>FRFS_PF_Energie Alter100E21 G CF - TK V1000H01</v>
      </c>
      <c r="BZ4" s="48"/>
      <c r="CA4" s="35">
        <v>10000</v>
      </c>
      <c r="CB4" s="35">
        <v>10000</v>
      </c>
      <c r="CC4" s="35" t="e">
        <f>VLOOKUP(BY4,#REF!,20,0)</f>
        <v>#REF!</v>
      </c>
      <c r="CD4" s="48"/>
      <c r="CE4" s="36">
        <v>3454</v>
      </c>
      <c r="CF4" s="36">
        <v>3454</v>
      </c>
      <c r="CG4" s="36"/>
    </row>
    <row r="5" spans="1:179" ht="20.100000000000001" customHeight="1" x14ac:dyDescent="0.25">
      <c r="A5" s="5" t="s">
        <v>74</v>
      </c>
      <c r="B5" s="5" t="s">
        <v>239</v>
      </c>
      <c r="C5" s="5" t="s">
        <v>240</v>
      </c>
      <c r="D5" s="1"/>
      <c r="E5" s="4" t="s">
        <v>33</v>
      </c>
      <c r="F5" s="5" t="s">
        <v>37</v>
      </c>
      <c r="G5" s="5" t="s">
        <v>38</v>
      </c>
      <c r="H5" s="5" t="s">
        <v>12</v>
      </c>
      <c r="I5" s="5" t="s">
        <v>7</v>
      </c>
      <c r="J5" s="5"/>
      <c r="K5" s="5" t="s">
        <v>30</v>
      </c>
      <c r="L5" s="5"/>
      <c r="M5" s="5" t="s">
        <v>243</v>
      </c>
      <c r="N5" s="5" t="s">
        <v>64</v>
      </c>
      <c r="O5" s="37">
        <v>5792</v>
      </c>
      <c r="P5" s="37">
        <v>2254</v>
      </c>
      <c r="Q5" s="5">
        <v>2300</v>
      </c>
      <c r="R5" s="5"/>
      <c r="S5" s="5">
        <v>3520</v>
      </c>
      <c r="T5" s="5">
        <v>2400</v>
      </c>
      <c r="U5" s="5">
        <v>7857</v>
      </c>
      <c r="V5" s="5">
        <v>1100</v>
      </c>
      <c r="W5" s="5">
        <v>4185</v>
      </c>
      <c r="X5" s="5">
        <v>2400</v>
      </c>
      <c r="Y5" s="5"/>
      <c r="Z5" s="37">
        <v>11</v>
      </c>
      <c r="AA5" s="5" t="s">
        <v>297</v>
      </c>
      <c r="AB5" s="5">
        <v>10000</v>
      </c>
      <c r="AC5" s="30">
        <v>2974</v>
      </c>
      <c r="AD5" s="10"/>
      <c r="AE5" s="10"/>
      <c r="AF5" s="10"/>
      <c r="AG5" s="10"/>
      <c r="AH5" s="5" t="s">
        <v>160</v>
      </c>
      <c r="AI5" s="4" t="s">
        <v>167</v>
      </c>
      <c r="AJ5" s="37" t="s">
        <v>342</v>
      </c>
      <c r="AK5" s="5" t="s">
        <v>76</v>
      </c>
      <c r="AL5" s="5" t="s">
        <v>40</v>
      </c>
      <c r="AM5" s="13" t="s">
        <v>337</v>
      </c>
      <c r="AN5" s="4" t="s">
        <v>345</v>
      </c>
      <c r="AO5" s="11" t="s">
        <v>66</v>
      </c>
      <c r="AP5" s="12"/>
      <c r="AQ5" s="12"/>
      <c r="AR5" s="12"/>
      <c r="AS5" s="12"/>
      <c r="AT5" s="12"/>
      <c r="AU5" s="12"/>
      <c r="AV5" s="12"/>
      <c r="AW5" s="12"/>
      <c r="AX5" s="12"/>
      <c r="AY5" s="12"/>
      <c r="AZ5" s="12"/>
      <c r="BA5" s="12"/>
      <c r="BB5" s="12"/>
      <c r="BC5" s="12"/>
      <c r="BD5" s="12"/>
      <c r="BE5" s="12"/>
      <c r="BF5" s="12"/>
      <c r="BG5" s="12"/>
      <c r="BH5" s="12"/>
      <c r="BI5" s="12"/>
      <c r="BJ5" s="12"/>
      <c r="BK5" s="12"/>
      <c r="BL5" s="20" t="e">
        <f>IF(CONCATENATE(A5,B5,C5,D5,E5,F5,G5,H5,I5,J5,K5,L5,M5,N5,O5,P5,Q5,R5,S5,T5,U5,V5,W5,X5,Y5,Z5,AA5,AB5,AC5,AD5,AE5,AF5,AG5,AH5,AI5,AJ5,AK5,AL5,AM5,AN5,AO5,AP5,AQ5,AR5,AS5,AT5,AU5,AV5,AW5,AX5,AY5,AZ5,BA5,BB5,BC5,BD5,BE5,BF5,BG5,BH5,BI5,BJ5,BK5)=(CONCATENATE(#REF!,#REF!,#REF!,#REF!,#REF!,#REF!,#REF!,#REF!,#REF!,#REF!,#REF!,#REF!,#REF!,#REF!,#REF!,#REF!,#REF!,#REF!,#REF!,#REF!,#REF!,#REF!,#REF!,#REF!,#REF!,#REF!,#REF!,#REF!,#REF!,#REF!,#REF!,#REF!,#REF!,#REF!,#REF!,#REF!,#REF!,#REF!,#REF!,#REF!,#REF!,#REF!,#REF!,#REF!,#REF!,#REF!,#REF!,#REF!,#REF!,#REF!,#REF!,#REF!,#REF!,#REF!,#REF!,#REF!,#REF!,#REF!,#REF!,#REF!,#REF!,#REF!,#REF!)),0,1)</f>
        <v>#REF!</v>
      </c>
      <c r="BM5" s="38" t="s">
        <v>236</v>
      </c>
      <c r="BN5" s="8" t="s">
        <v>141</v>
      </c>
      <c r="BO5" s="48"/>
      <c r="BP5" s="35" t="str">
        <f t="shared" si="0"/>
        <v>FR</v>
      </c>
      <c r="BQ5" s="35" t="str">
        <f t="shared" si="1"/>
        <v>FS_PF_Energie Alter</v>
      </c>
      <c r="BR5" s="35" t="str">
        <f t="shared" si="2"/>
        <v>IVECO</v>
      </c>
      <c r="BS5" s="35" t="str">
        <f t="shared" si="3"/>
        <v>EUROCARGO</v>
      </c>
      <c r="BT5" s="35" t="str">
        <f t="shared" si="4"/>
        <v>100E21 G CF - TK V1000 SP</v>
      </c>
      <c r="BU5" s="35">
        <f t="shared" si="5"/>
        <v>0</v>
      </c>
      <c r="BV5" s="5" t="s">
        <v>243</v>
      </c>
      <c r="BW5" s="5" t="s">
        <v>64</v>
      </c>
      <c r="BX5" s="35" t="str">
        <f t="shared" si="6"/>
        <v>H02</v>
      </c>
      <c r="BY5" s="44" t="str">
        <f t="shared" si="7"/>
        <v>FRFS_PF_Energie Alter100E21 G CF - TK V1000 SPH02</v>
      </c>
      <c r="BZ5" s="48"/>
      <c r="CA5" s="35">
        <v>10000</v>
      </c>
      <c r="CB5" s="35">
        <v>10000</v>
      </c>
      <c r="CC5" s="35" t="e">
        <f>VLOOKUP(BY5,#REF!,20,0)</f>
        <v>#REF!</v>
      </c>
      <c r="CD5" s="48"/>
      <c r="CE5" s="36">
        <v>2974</v>
      </c>
      <c r="CF5" s="36">
        <v>2974</v>
      </c>
      <c r="CG5" s="36"/>
    </row>
    <row r="6" spans="1:179" ht="20.100000000000001" customHeight="1" x14ac:dyDescent="0.25">
      <c r="A6" s="13" t="s">
        <v>74</v>
      </c>
      <c r="B6" s="5" t="s">
        <v>239</v>
      </c>
      <c r="C6" s="5" t="s">
        <v>240</v>
      </c>
      <c r="D6" s="1"/>
      <c r="E6" s="4" t="s">
        <v>33</v>
      </c>
      <c r="F6" s="13" t="s">
        <v>37</v>
      </c>
      <c r="G6" s="5" t="s">
        <v>41</v>
      </c>
      <c r="H6" s="13" t="s">
        <v>29</v>
      </c>
      <c r="I6" s="13" t="s">
        <v>7</v>
      </c>
      <c r="J6" s="4"/>
      <c r="K6" s="13" t="s">
        <v>30</v>
      </c>
      <c r="L6" s="13"/>
      <c r="M6" s="4" t="s">
        <v>250</v>
      </c>
      <c r="N6" s="6" t="s">
        <v>63</v>
      </c>
      <c r="O6" s="37">
        <v>5792</v>
      </c>
      <c r="P6" s="37">
        <v>2254</v>
      </c>
      <c r="Q6" s="5">
        <v>2300</v>
      </c>
      <c r="R6" s="13"/>
      <c r="S6" s="13">
        <v>3570</v>
      </c>
      <c r="T6" s="13">
        <v>2600</v>
      </c>
      <c r="U6" s="13">
        <v>8832</v>
      </c>
      <c r="V6" s="13">
        <v>1160</v>
      </c>
      <c r="W6" s="13">
        <v>4815</v>
      </c>
      <c r="X6" s="13">
        <v>2655</v>
      </c>
      <c r="Y6" s="13"/>
      <c r="Z6" s="37">
        <v>11</v>
      </c>
      <c r="AA6" s="13" t="s">
        <v>314</v>
      </c>
      <c r="AB6" s="13">
        <v>11990</v>
      </c>
      <c r="AC6" s="30">
        <v>3957</v>
      </c>
      <c r="AD6" s="14"/>
      <c r="AE6" s="14"/>
      <c r="AF6" s="14"/>
      <c r="AG6" s="14"/>
      <c r="AH6" s="13" t="s">
        <v>161</v>
      </c>
      <c r="AI6" s="4" t="s">
        <v>167</v>
      </c>
      <c r="AJ6" s="37" t="s">
        <v>342</v>
      </c>
      <c r="AK6" s="13" t="s">
        <v>76</v>
      </c>
      <c r="AL6" s="4" t="s">
        <v>150</v>
      </c>
      <c r="AM6" s="5" t="s">
        <v>170</v>
      </c>
      <c r="AN6" s="4" t="s">
        <v>194</v>
      </c>
      <c r="AO6" s="15" t="s">
        <v>67</v>
      </c>
      <c r="AP6" s="16"/>
      <c r="AQ6" s="16"/>
      <c r="AR6" s="16"/>
      <c r="AS6" s="16"/>
      <c r="AT6" s="16"/>
      <c r="AU6" s="16"/>
      <c r="AV6" s="16"/>
      <c r="AW6" s="16"/>
      <c r="AX6" s="16"/>
      <c r="AY6" s="16"/>
      <c r="AZ6" s="16"/>
      <c r="BA6" s="16"/>
      <c r="BB6" s="16"/>
      <c r="BC6" s="16"/>
      <c r="BD6" s="16"/>
      <c r="BE6" s="16"/>
      <c r="BF6" s="16"/>
      <c r="BG6" s="16"/>
      <c r="BH6" s="16"/>
      <c r="BI6" s="16"/>
      <c r="BJ6" s="16"/>
      <c r="BK6" s="16"/>
      <c r="BL6" s="20" t="e">
        <f>IF(CONCATENATE(A6,B6,C6,D6,E6,F6,G6,H6,I6,J6,K6,L6,M6,N6,O6,P6,Q6,R6,S6,T6,U6,V6,W6,X6,Y6,Z6,AA6,AB6,AC6,AD6,AE6,AF6,AG6,AH6,AI6,AJ6,AK6,AL6,AM6,AN6,AO6,AP6,AQ6,AR6,AS6,AT6,AU6,AV6,AW6,AX6,AY6,AZ6,BA6,BB6,BC6,BD6,BE6,BF6,BG6,BH6,BI6,BJ6,BK6)=(CONCATENATE(#REF!,#REF!,#REF!,#REF!,#REF!,#REF!,#REF!,#REF!,#REF!,#REF!,#REF!,#REF!,#REF!,#REF!,#REF!,#REF!,#REF!,#REF!,#REF!,#REF!,#REF!,#REF!,#REF!,#REF!,#REF!,#REF!,#REF!,#REF!,#REF!,#REF!,#REF!,#REF!,#REF!,#REF!,#REF!,#REF!,#REF!,#REF!,#REF!,#REF!,#REF!,#REF!,#REF!,#REF!,#REF!,#REF!,#REF!,#REF!,#REF!,#REF!,#REF!,#REF!,#REF!,#REF!,#REF!,#REF!,#REF!,#REF!,#REF!,#REF!,#REF!,#REF!,#REF!)),0,1)</f>
        <v>#REF!</v>
      </c>
      <c r="BM6" s="38" t="s">
        <v>236</v>
      </c>
      <c r="BN6" s="8" t="s">
        <v>134</v>
      </c>
      <c r="BO6" s="48"/>
      <c r="BP6" s="35" t="str">
        <f t="shared" si="0"/>
        <v>FR</v>
      </c>
      <c r="BQ6" s="35" t="str">
        <f t="shared" si="1"/>
        <v>FS_PF_Energie Alter</v>
      </c>
      <c r="BR6" s="35" t="str">
        <f t="shared" si="2"/>
        <v>IVECO</v>
      </c>
      <c r="BS6" s="35" t="str">
        <f t="shared" si="3"/>
        <v>EUROCARGO</v>
      </c>
      <c r="BT6" s="35" t="str">
        <f t="shared" si="4"/>
        <v>120EL21 G CF - 11 Pal - SUPRA 550</v>
      </c>
      <c r="BU6" s="35">
        <f t="shared" si="5"/>
        <v>0</v>
      </c>
      <c r="BV6" s="4" t="s">
        <v>250</v>
      </c>
      <c r="BW6" s="6" t="s">
        <v>63</v>
      </c>
      <c r="BX6" s="35" t="str">
        <f t="shared" si="6"/>
        <v>H01</v>
      </c>
      <c r="BY6" s="44" t="str">
        <f t="shared" si="7"/>
        <v>FRFS_PF_Energie Alter120EL21 G CF - 11 Pal - SUPRA 550H01</v>
      </c>
      <c r="BZ6" s="48"/>
      <c r="CA6" s="35">
        <v>11990</v>
      </c>
      <c r="CB6" s="35">
        <v>11990</v>
      </c>
      <c r="CC6" s="35" t="e">
        <f>VLOOKUP(BY6,#REF!,20,0)</f>
        <v>#REF!</v>
      </c>
      <c r="CD6" s="48"/>
      <c r="CE6" s="36">
        <v>3957</v>
      </c>
      <c r="CF6" s="36">
        <v>3957</v>
      </c>
      <c r="CG6" s="36"/>
    </row>
    <row r="7" spans="1:179" ht="20.100000000000001" customHeight="1" x14ac:dyDescent="0.25">
      <c r="A7" s="13" t="s">
        <v>74</v>
      </c>
      <c r="B7" s="5" t="s">
        <v>239</v>
      </c>
      <c r="C7" s="5" t="s">
        <v>240</v>
      </c>
      <c r="D7" s="1"/>
      <c r="E7" s="4" t="s">
        <v>33</v>
      </c>
      <c r="F7" s="13" t="s">
        <v>37</v>
      </c>
      <c r="G7" s="5" t="s">
        <v>41</v>
      </c>
      <c r="H7" s="13" t="s">
        <v>12</v>
      </c>
      <c r="I7" s="13" t="s">
        <v>7</v>
      </c>
      <c r="J7" s="13"/>
      <c r="K7" s="13" t="s">
        <v>30</v>
      </c>
      <c r="L7" s="13"/>
      <c r="M7" s="4" t="s">
        <v>251</v>
      </c>
      <c r="N7" s="5" t="s">
        <v>64</v>
      </c>
      <c r="O7" s="37">
        <v>5792</v>
      </c>
      <c r="P7" s="37">
        <v>2254</v>
      </c>
      <c r="Q7" s="5">
        <v>2300</v>
      </c>
      <c r="R7" s="13"/>
      <c r="S7" s="13">
        <v>3570</v>
      </c>
      <c r="T7" s="13">
        <v>2600</v>
      </c>
      <c r="U7" s="13">
        <v>8832</v>
      </c>
      <c r="V7" s="13">
        <v>1160</v>
      </c>
      <c r="W7" s="13">
        <v>4815</v>
      </c>
      <c r="X7" s="13">
        <v>2655</v>
      </c>
      <c r="Y7" s="13"/>
      <c r="Z7" s="37">
        <v>11</v>
      </c>
      <c r="AA7" s="13" t="s">
        <v>298</v>
      </c>
      <c r="AB7" s="13">
        <v>11990</v>
      </c>
      <c r="AC7" s="30">
        <v>3381</v>
      </c>
      <c r="AD7" s="14"/>
      <c r="AE7" s="14"/>
      <c r="AF7" s="14"/>
      <c r="AG7" s="14"/>
      <c r="AH7" s="13" t="s">
        <v>161</v>
      </c>
      <c r="AI7" s="4" t="s">
        <v>167</v>
      </c>
      <c r="AJ7" s="37" t="s">
        <v>342</v>
      </c>
      <c r="AK7" s="13" t="s">
        <v>76</v>
      </c>
      <c r="AL7" s="4" t="s">
        <v>151</v>
      </c>
      <c r="AM7" s="5" t="s">
        <v>138</v>
      </c>
      <c r="AN7" s="4" t="s">
        <v>194</v>
      </c>
      <c r="AO7" s="15" t="s">
        <v>68</v>
      </c>
      <c r="AP7" s="16"/>
      <c r="AQ7" s="16"/>
      <c r="AR7" s="16"/>
      <c r="AS7" s="16"/>
      <c r="AT7" s="16"/>
      <c r="AU7" s="16"/>
      <c r="AV7" s="16"/>
      <c r="AW7" s="16"/>
      <c r="AX7" s="16"/>
      <c r="AY7" s="16"/>
      <c r="AZ7" s="16"/>
      <c r="BA7" s="16"/>
      <c r="BB7" s="16"/>
      <c r="BC7" s="16"/>
      <c r="BD7" s="16"/>
      <c r="BE7" s="16"/>
      <c r="BF7" s="16"/>
      <c r="BG7" s="16"/>
      <c r="BH7" s="16"/>
      <c r="BI7" s="16"/>
      <c r="BJ7" s="16"/>
      <c r="BK7" s="16"/>
      <c r="BL7" s="20" t="e">
        <f>IF(CONCATENATE(A7,B7,C7,D7,E7,F7,G7,H7,I7,J7,K7,L7,M7,N7,O7,P7,Q7,R7,S7,T7,U7,V7,W7,X7,Y7,Z7,AA7,AB7,AC7,AD7,AE7,AF7,AG7,AH7,AI7,AJ7,AK7,AL7,AM7,AN7,AO7,AP7,AQ7,AR7,AS7,AT7,AU7,AV7,AW7,AX7,AY7,AZ7,BA7,BB7,BC7,BD7,BE7,BF7,BG7,BH7,BI7,BJ7,BK7)=(CONCATENATE(#REF!,#REF!,#REF!,#REF!,#REF!,#REF!,#REF!,#REF!,#REF!,#REF!,#REF!,#REF!,#REF!,#REF!,#REF!,#REF!,#REF!,#REF!,#REF!,#REF!,#REF!,#REF!,#REF!,#REF!,#REF!,#REF!,#REF!,#REF!,#REF!,#REF!,#REF!,#REF!,#REF!,#REF!,#REF!,#REF!,#REF!,#REF!,#REF!,#REF!,#REF!,#REF!,#REF!,#REF!,#REF!,#REF!,#REF!,#REF!,#REF!,#REF!,#REF!,#REF!,#REF!,#REF!,#REF!,#REF!,#REF!,#REF!,#REF!,#REF!,#REF!,#REF!,#REF!)),0,1)</f>
        <v>#REF!</v>
      </c>
      <c r="BM7" s="38" t="s">
        <v>236</v>
      </c>
      <c r="BN7" s="8" t="s">
        <v>140</v>
      </c>
      <c r="BO7" s="48"/>
      <c r="BP7" s="35" t="str">
        <f t="shared" si="0"/>
        <v>FR</v>
      </c>
      <c r="BQ7" s="35" t="str">
        <f t="shared" si="1"/>
        <v>FS_PF_Energie Alter</v>
      </c>
      <c r="BR7" s="35" t="str">
        <f t="shared" si="2"/>
        <v>IVECO</v>
      </c>
      <c r="BS7" s="35" t="str">
        <f t="shared" si="3"/>
        <v>EUROCARGO</v>
      </c>
      <c r="BT7" s="35" t="str">
        <f t="shared" si="4"/>
        <v>120EL21 G CF - 11 Pal - SUPRA 750 MT</v>
      </c>
      <c r="BU7" s="35">
        <f t="shared" si="5"/>
        <v>0</v>
      </c>
      <c r="BV7" s="4" t="s">
        <v>251</v>
      </c>
      <c r="BW7" s="5" t="s">
        <v>64</v>
      </c>
      <c r="BX7" s="35" t="str">
        <f t="shared" si="6"/>
        <v>H02</v>
      </c>
      <c r="BY7" s="44" t="str">
        <f t="shared" si="7"/>
        <v>FRFS_PF_Energie Alter120EL21 G CF - 11 Pal - SUPRA 750 MTH02</v>
      </c>
      <c r="BZ7" s="48"/>
      <c r="CA7" s="35">
        <v>11990</v>
      </c>
      <c r="CB7" s="35">
        <v>11990</v>
      </c>
      <c r="CC7" s="35" t="e">
        <f>VLOOKUP(BY7,#REF!,20,0)</f>
        <v>#REF!</v>
      </c>
      <c r="CD7" s="48"/>
      <c r="CE7" s="36">
        <v>3381</v>
      </c>
      <c r="CF7" s="36">
        <v>3381</v>
      </c>
      <c r="CG7" s="36"/>
    </row>
    <row r="8" spans="1:179" ht="20.100000000000001" customHeight="1" x14ac:dyDescent="0.25">
      <c r="A8" s="13" t="s">
        <v>74</v>
      </c>
      <c r="B8" s="5" t="s">
        <v>239</v>
      </c>
      <c r="C8" s="5" t="s">
        <v>240</v>
      </c>
      <c r="D8" s="1"/>
      <c r="E8" s="4" t="s">
        <v>33</v>
      </c>
      <c r="F8" s="13" t="s">
        <v>37</v>
      </c>
      <c r="G8" s="5" t="s">
        <v>41</v>
      </c>
      <c r="H8" s="13" t="s">
        <v>29</v>
      </c>
      <c r="I8" s="13" t="s">
        <v>7</v>
      </c>
      <c r="J8" s="4"/>
      <c r="K8" s="13" t="s">
        <v>30</v>
      </c>
      <c r="L8" s="13"/>
      <c r="M8" s="4" t="s">
        <v>252</v>
      </c>
      <c r="N8" s="6" t="s">
        <v>63</v>
      </c>
      <c r="O8" s="37">
        <v>5792</v>
      </c>
      <c r="P8" s="37">
        <v>2254</v>
      </c>
      <c r="Q8" s="5">
        <v>2300</v>
      </c>
      <c r="R8" s="13"/>
      <c r="S8" s="13">
        <v>3570</v>
      </c>
      <c r="T8" s="13">
        <v>2600</v>
      </c>
      <c r="U8" s="13">
        <v>8832</v>
      </c>
      <c r="V8" s="13">
        <v>1160</v>
      </c>
      <c r="W8" s="13">
        <v>4815</v>
      </c>
      <c r="X8" s="13">
        <v>2655</v>
      </c>
      <c r="Y8" s="13"/>
      <c r="Z8" s="37">
        <v>11</v>
      </c>
      <c r="AA8" s="13" t="s">
        <v>315</v>
      </c>
      <c r="AB8" s="13">
        <v>11990</v>
      </c>
      <c r="AC8" s="30">
        <v>3957</v>
      </c>
      <c r="AD8" s="14"/>
      <c r="AE8" s="14"/>
      <c r="AF8" s="14"/>
      <c r="AG8" s="14"/>
      <c r="AH8" s="13" t="s">
        <v>161</v>
      </c>
      <c r="AI8" s="4" t="s">
        <v>167</v>
      </c>
      <c r="AJ8" s="37" t="s">
        <v>342</v>
      </c>
      <c r="AK8" s="13" t="s">
        <v>76</v>
      </c>
      <c r="AL8" s="4" t="s">
        <v>150</v>
      </c>
      <c r="AM8" s="4" t="s">
        <v>336</v>
      </c>
      <c r="AN8" s="4" t="s">
        <v>194</v>
      </c>
      <c r="AO8" s="15" t="s">
        <v>67</v>
      </c>
      <c r="AP8" s="16"/>
      <c r="AQ8" s="16"/>
      <c r="AR8" s="16"/>
      <c r="AS8" s="16"/>
      <c r="AT8" s="16"/>
      <c r="AU8" s="16"/>
      <c r="AV8" s="16"/>
      <c r="AW8" s="16"/>
      <c r="AX8" s="16"/>
      <c r="AY8" s="16"/>
      <c r="AZ8" s="16"/>
      <c r="BA8" s="16"/>
      <c r="BB8" s="16"/>
      <c r="BC8" s="16"/>
      <c r="BD8" s="16"/>
      <c r="BE8" s="16"/>
      <c r="BF8" s="16"/>
      <c r="BG8" s="16"/>
      <c r="BH8" s="16"/>
      <c r="BI8" s="16"/>
      <c r="BJ8" s="16"/>
      <c r="BK8" s="16"/>
      <c r="BL8" s="20" t="e">
        <f>IF(CONCATENATE(A8,B8,C8,D8,E8,F8,G8,H8,I8,J8,K8,L8,M8,N8,O8,P8,Q8,R8,S8,T8,U8,V8,W8,X8,Y8,Z8,AA8,AB8,AC8,AD8,AE8,AF8,AG8,AH8,AI8,AJ8,AK8,AL8,AM8,AN8,AO8,AP8,AQ8,AR8,AS8,AT8,AU8,AV8,AW8,AX8,AY8,AZ8,BA8,BB8,BC8,BD8,BE8,BF8,BG8,BH8,BI8,BJ8,BK8)=(CONCATENATE(#REF!,#REF!,#REF!,#REF!,#REF!,#REF!,#REF!,#REF!,#REF!,#REF!,#REF!,#REF!,#REF!,#REF!,#REF!,#REF!,#REF!,#REF!,#REF!,#REF!,#REF!,#REF!,#REF!,#REF!,#REF!,#REF!,#REF!,#REF!,#REF!,#REF!,#REF!,#REF!,#REF!,#REF!,#REF!,#REF!,#REF!,#REF!,#REF!,#REF!,#REF!,#REF!,#REF!,#REF!,#REF!,#REF!,#REF!,#REF!,#REF!,#REF!,#REF!,#REF!,#REF!,#REF!,#REF!,#REF!,#REF!,#REF!,#REF!,#REF!,#REF!,#REF!,#REF!)),0,1)</f>
        <v>#REF!</v>
      </c>
      <c r="BM8" s="38" t="s">
        <v>236</v>
      </c>
      <c r="BN8" s="8" t="s">
        <v>134</v>
      </c>
      <c r="BO8" s="48"/>
      <c r="BP8" s="35" t="str">
        <f t="shared" si="0"/>
        <v>FR</v>
      </c>
      <c r="BQ8" s="35" t="str">
        <f t="shared" si="1"/>
        <v>FS_PF_Energie Alter</v>
      </c>
      <c r="BR8" s="35" t="str">
        <f t="shared" si="2"/>
        <v>IVECO</v>
      </c>
      <c r="BS8" s="35" t="str">
        <f t="shared" si="3"/>
        <v>EUROCARGO</v>
      </c>
      <c r="BT8" s="35" t="str">
        <f t="shared" si="4"/>
        <v>120EL21 G CF - 11 Pal - TK V1000</v>
      </c>
      <c r="BU8" s="35">
        <f t="shared" si="5"/>
        <v>0</v>
      </c>
      <c r="BV8" s="4" t="s">
        <v>252</v>
      </c>
      <c r="BW8" s="6" t="s">
        <v>63</v>
      </c>
      <c r="BX8" s="35" t="str">
        <f t="shared" si="6"/>
        <v>H01</v>
      </c>
      <c r="BY8" s="44" t="str">
        <f t="shared" si="7"/>
        <v>FRFS_PF_Energie Alter120EL21 G CF - 11 Pal - TK V1000H01</v>
      </c>
      <c r="BZ8" s="48"/>
      <c r="CA8" s="35">
        <v>11990</v>
      </c>
      <c r="CB8" s="35">
        <v>11990</v>
      </c>
      <c r="CC8" s="35" t="e">
        <f>VLOOKUP(BY8,#REF!,20,0)</f>
        <v>#REF!</v>
      </c>
      <c r="CD8" s="48"/>
      <c r="CE8" s="36">
        <v>3957</v>
      </c>
      <c r="CF8" s="36">
        <v>3957</v>
      </c>
      <c r="CG8" s="36"/>
    </row>
    <row r="9" spans="1:179" ht="20.100000000000001" customHeight="1" x14ac:dyDescent="0.25">
      <c r="A9" s="13" t="s">
        <v>74</v>
      </c>
      <c r="B9" s="5" t="s">
        <v>239</v>
      </c>
      <c r="C9" s="5" t="s">
        <v>240</v>
      </c>
      <c r="D9" s="1"/>
      <c r="E9" s="4" t="s">
        <v>33</v>
      </c>
      <c r="F9" s="13" t="s">
        <v>37</v>
      </c>
      <c r="G9" s="5" t="s">
        <v>41</v>
      </c>
      <c r="H9" s="13" t="s">
        <v>12</v>
      </c>
      <c r="I9" s="13" t="s">
        <v>7</v>
      </c>
      <c r="J9" s="13"/>
      <c r="K9" s="13" t="s">
        <v>30</v>
      </c>
      <c r="L9" s="13"/>
      <c r="M9" s="4" t="s">
        <v>253</v>
      </c>
      <c r="N9" s="5" t="s">
        <v>64</v>
      </c>
      <c r="O9" s="37">
        <v>5792</v>
      </c>
      <c r="P9" s="37">
        <v>2254</v>
      </c>
      <c r="Q9" s="5">
        <v>2300</v>
      </c>
      <c r="R9" s="13"/>
      <c r="S9" s="13">
        <v>3570</v>
      </c>
      <c r="T9" s="13">
        <v>2600</v>
      </c>
      <c r="U9" s="13">
        <v>8832</v>
      </c>
      <c r="V9" s="13">
        <v>1160</v>
      </c>
      <c r="W9" s="13">
        <v>4815</v>
      </c>
      <c r="X9" s="13">
        <v>2655</v>
      </c>
      <c r="Y9" s="13"/>
      <c r="Z9" s="37">
        <v>11</v>
      </c>
      <c r="AA9" s="13" t="s">
        <v>299</v>
      </c>
      <c r="AB9" s="13">
        <v>11990</v>
      </c>
      <c r="AC9" s="30">
        <v>3381</v>
      </c>
      <c r="AD9" s="14"/>
      <c r="AE9" s="14"/>
      <c r="AF9" s="14"/>
      <c r="AG9" s="14"/>
      <c r="AH9" s="13" t="s">
        <v>161</v>
      </c>
      <c r="AI9" s="4" t="s">
        <v>167</v>
      </c>
      <c r="AJ9" s="37" t="s">
        <v>342</v>
      </c>
      <c r="AK9" s="13" t="s">
        <v>76</v>
      </c>
      <c r="AL9" s="4" t="s">
        <v>151</v>
      </c>
      <c r="AM9" s="13" t="s">
        <v>337</v>
      </c>
      <c r="AN9" s="4" t="s">
        <v>194</v>
      </c>
      <c r="AO9" s="15" t="s">
        <v>68</v>
      </c>
      <c r="AP9" s="16"/>
      <c r="AQ9" s="16"/>
      <c r="AR9" s="16"/>
      <c r="AS9" s="16"/>
      <c r="AT9" s="16"/>
      <c r="AU9" s="16"/>
      <c r="AV9" s="16"/>
      <c r="AW9" s="16"/>
      <c r="AX9" s="16"/>
      <c r="AY9" s="16"/>
      <c r="AZ9" s="16"/>
      <c r="BA9" s="16"/>
      <c r="BB9" s="16"/>
      <c r="BC9" s="16"/>
      <c r="BD9" s="16"/>
      <c r="BE9" s="16"/>
      <c r="BF9" s="16"/>
      <c r="BG9" s="16"/>
      <c r="BH9" s="16"/>
      <c r="BI9" s="16"/>
      <c r="BJ9" s="16"/>
      <c r="BK9" s="16"/>
      <c r="BL9" s="20" t="e">
        <f>IF(CONCATENATE(A9,B9,C9,D9,E9,F9,G9,H9,I9,J9,K9,L9,M9,N9,O9,P9,Q9,R9,S9,T9,U9,V9,W9,X9,Y9,Z9,AA9,AB9,AC9,AD9,AE9,AF9,AG9,AH9,AI9,AJ9,AK9,AL9,AM9,AN9,AO9,AP9,AQ9,AR9,AS9,AT9,AU9,AV9,AW9,AX9,AY9,AZ9,BA9,BB9,BC9,BD9,BE9,BF9,BG9,BH9,BI9,BJ9,BK9)=(CONCATENATE(#REF!,#REF!,#REF!,#REF!,#REF!,#REF!,#REF!,#REF!,#REF!,#REF!,#REF!,#REF!,#REF!,#REF!,#REF!,#REF!,#REF!,#REF!,#REF!,#REF!,#REF!,#REF!,#REF!,#REF!,#REF!,#REF!,#REF!,#REF!,#REF!,#REF!,#REF!,#REF!,#REF!,#REF!,#REF!,#REF!,#REF!,#REF!,#REF!,#REF!,#REF!,#REF!,#REF!,#REF!,#REF!,#REF!,#REF!,#REF!,#REF!,#REF!,#REF!,#REF!,#REF!,#REF!,#REF!,#REF!,#REF!,#REF!,#REF!,#REF!,#REF!,#REF!,#REF!)),0,1)</f>
        <v>#REF!</v>
      </c>
      <c r="BM9" s="38" t="s">
        <v>236</v>
      </c>
      <c r="BN9" s="8" t="s">
        <v>140</v>
      </c>
      <c r="BO9" s="48"/>
      <c r="BP9" s="35" t="str">
        <f t="shared" si="0"/>
        <v>FR</v>
      </c>
      <c r="BQ9" s="35" t="str">
        <f t="shared" si="1"/>
        <v>FS_PF_Energie Alter</v>
      </c>
      <c r="BR9" s="35" t="str">
        <f t="shared" si="2"/>
        <v>IVECO</v>
      </c>
      <c r="BS9" s="35" t="str">
        <f t="shared" si="3"/>
        <v>EUROCARGO</v>
      </c>
      <c r="BT9" s="35" t="str">
        <f t="shared" si="4"/>
        <v>120EL21 G CF - 11 Pal - TK V1000 SP</v>
      </c>
      <c r="BU9" s="35">
        <f t="shared" si="5"/>
        <v>0</v>
      </c>
      <c r="BV9" s="4" t="s">
        <v>253</v>
      </c>
      <c r="BW9" s="5" t="s">
        <v>64</v>
      </c>
      <c r="BX9" s="35" t="str">
        <f t="shared" si="6"/>
        <v>H02</v>
      </c>
      <c r="BY9" s="44" t="str">
        <f t="shared" si="7"/>
        <v>FRFS_PF_Energie Alter120EL21 G CF - 11 Pal - TK V1000 SPH02</v>
      </c>
      <c r="BZ9" s="48"/>
      <c r="CA9" s="35">
        <v>11990</v>
      </c>
      <c r="CB9" s="35">
        <v>11990</v>
      </c>
      <c r="CC9" s="35" t="e">
        <f>VLOOKUP(BY9,#REF!,20,0)</f>
        <v>#REF!</v>
      </c>
      <c r="CD9" s="48"/>
      <c r="CE9" s="36">
        <v>3381</v>
      </c>
      <c r="CF9" s="36">
        <v>3381</v>
      </c>
      <c r="CG9" s="36"/>
    </row>
    <row r="10" spans="1:179" ht="20.100000000000001" customHeight="1" x14ac:dyDescent="0.25">
      <c r="A10" s="13" t="s">
        <v>74</v>
      </c>
      <c r="B10" s="5" t="s">
        <v>239</v>
      </c>
      <c r="C10" s="5" t="s">
        <v>240</v>
      </c>
      <c r="D10" s="1"/>
      <c r="E10" s="4" t="s">
        <v>33</v>
      </c>
      <c r="F10" s="13" t="s">
        <v>37</v>
      </c>
      <c r="G10" s="13" t="s">
        <v>41</v>
      </c>
      <c r="H10" s="13" t="s">
        <v>29</v>
      </c>
      <c r="I10" s="13" t="s">
        <v>7</v>
      </c>
      <c r="J10" s="4"/>
      <c r="K10" s="13" t="s">
        <v>30</v>
      </c>
      <c r="L10" s="13"/>
      <c r="M10" s="4" t="s">
        <v>254</v>
      </c>
      <c r="N10" s="6" t="s">
        <v>63</v>
      </c>
      <c r="O10" s="37">
        <v>6592</v>
      </c>
      <c r="P10" s="37">
        <v>2454</v>
      </c>
      <c r="Q10" s="37">
        <v>2400</v>
      </c>
      <c r="R10" s="13"/>
      <c r="S10" s="13">
        <v>3670</v>
      </c>
      <c r="T10" s="13">
        <v>2600</v>
      </c>
      <c r="U10" s="13">
        <v>8832</v>
      </c>
      <c r="V10" s="13">
        <v>1160</v>
      </c>
      <c r="W10" s="13">
        <v>4815</v>
      </c>
      <c r="X10" s="13">
        <v>2655</v>
      </c>
      <c r="Y10" s="13"/>
      <c r="Z10" s="37">
        <v>15</v>
      </c>
      <c r="AA10" s="13" t="s">
        <v>316</v>
      </c>
      <c r="AB10" s="13">
        <v>11990</v>
      </c>
      <c r="AC10" s="30">
        <v>3957</v>
      </c>
      <c r="AD10" s="14"/>
      <c r="AE10" s="14"/>
      <c r="AF10" s="14"/>
      <c r="AG10" s="14"/>
      <c r="AH10" s="13" t="s">
        <v>161</v>
      </c>
      <c r="AI10" s="4" t="s">
        <v>167</v>
      </c>
      <c r="AJ10" s="37" t="s">
        <v>342</v>
      </c>
      <c r="AK10" s="13" t="s">
        <v>76</v>
      </c>
      <c r="AL10" s="4" t="s">
        <v>150</v>
      </c>
      <c r="AM10" s="4" t="s">
        <v>233</v>
      </c>
      <c r="AN10" s="4" t="s">
        <v>194</v>
      </c>
      <c r="AO10" s="15" t="s">
        <v>67</v>
      </c>
      <c r="AP10" s="16"/>
      <c r="AQ10" s="16"/>
      <c r="AR10" s="16"/>
      <c r="AS10" s="16"/>
      <c r="AT10" s="16"/>
      <c r="AU10" s="16"/>
      <c r="AV10" s="16"/>
      <c r="AW10" s="16"/>
      <c r="AX10" s="16"/>
      <c r="AY10" s="16"/>
      <c r="AZ10" s="16"/>
      <c r="BA10" s="16"/>
      <c r="BB10" s="16"/>
      <c r="BC10" s="16"/>
      <c r="BD10" s="16"/>
      <c r="BE10" s="16"/>
      <c r="BF10" s="16"/>
      <c r="BG10" s="16"/>
      <c r="BH10" s="16"/>
      <c r="BI10" s="16"/>
      <c r="BJ10" s="16"/>
      <c r="BK10" s="16"/>
      <c r="BL10" s="20" t="e">
        <f>IF(CONCATENATE(A10,B10,C10,D10,E10,F10,G10,H10,I10,J10,K10,L10,M10,N10,O10,P10,Q10,R10,S10,T10,U10,V10,W10,X10,Y10,Z10,AA10,AB10,AC10,AD10,AE10,AF10,AG10,AH10,AI10,AJ10,AK10,AL10,AM10,AN10,AO10,AP10,AQ10,AR10,AS10,AT10,AU10,AV10,AW10,AX10,AY10,AZ10,BA10,BB10,BC10,BD10,BE10,BF10,BG10,BH10,BI10,BJ10,BK10)=(CONCATENATE(#REF!,#REF!,#REF!,#REF!,#REF!,#REF!,#REF!,#REF!,#REF!,#REF!,#REF!,#REF!,#REF!,#REF!,#REF!,#REF!,#REF!,#REF!,#REF!,#REF!,#REF!,#REF!,#REF!,#REF!,#REF!,#REF!,#REF!,#REF!,#REF!,#REF!,#REF!,#REF!,#REF!,#REF!,#REF!,#REF!,#REF!,#REF!,#REF!,#REF!,#REF!,#REF!,#REF!,#REF!,#REF!,#REF!,#REF!,#REF!,#REF!,#REF!,#REF!,#REF!,#REF!,#REF!,#REF!,#REF!,#REF!,#REF!,#REF!,#REF!,#REF!,#REF!,#REF!)),0,1)</f>
        <v>#REF!</v>
      </c>
      <c r="BM10" s="38" t="s">
        <v>236</v>
      </c>
      <c r="BN10" s="8" t="s">
        <v>134</v>
      </c>
      <c r="BO10" s="48"/>
      <c r="BP10" s="35" t="str">
        <f t="shared" si="0"/>
        <v>FR</v>
      </c>
      <c r="BQ10" s="35" t="str">
        <f t="shared" si="1"/>
        <v>FS_PF_Energie Alter</v>
      </c>
      <c r="BR10" s="35" t="str">
        <f t="shared" si="2"/>
        <v>IVECO</v>
      </c>
      <c r="BS10" s="35" t="str">
        <f t="shared" si="3"/>
        <v>EUROCARGO</v>
      </c>
      <c r="BT10" s="35" t="str">
        <f t="shared" si="4"/>
        <v>120EL21 G CF - SUPRA GAZ</v>
      </c>
      <c r="BU10" s="35">
        <f t="shared" si="5"/>
        <v>0</v>
      </c>
      <c r="BV10" s="4" t="s">
        <v>254</v>
      </c>
      <c r="BW10" s="6" t="s">
        <v>63</v>
      </c>
      <c r="BX10" s="35" t="str">
        <f t="shared" si="6"/>
        <v>H01</v>
      </c>
      <c r="BY10" s="44" t="str">
        <f t="shared" si="7"/>
        <v>FRFS_PF_Energie Alter120EL21 G CF - SUPRA GAZH01</v>
      </c>
      <c r="BZ10" s="48"/>
      <c r="CA10" s="35">
        <v>11990</v>
      </c>
      <c r="CB10" s="35">
        <v>11990</v>
      </c>
      <c r="CC10" s="35" t="e">
        <f>VLOOKUP(BY10,#REF!,20,0)</f>
        <v>#REF!</v>
      </c>
      <c r="CD10" s="48"/>
      <c r="CE10" s="36">
        <v>3957</v>
      </c>
      <c r="CF10" s="36">
        <v>3957</v>
      </c>
      <c r="CG10" s="36"/>
    </row>
    <row r="11" spans="1:179" ht="20.100000000000001" customHeight="1" x14ac:dyDescent="0.25">
      <c r="A11" s="13" t="s">
        <v>74</v>
      </c>
      <c r="B11" s="5" t="s">
        <v>239</v>
      </c>
      <c r="C11" s="5" t="s">
        <v>240</v>
      </c>
      <c r="D11" s="1"/>
      <c r="E11" s="4" t="s">
        <v>33</v>
      </c>
      <c r="F11" s="13" t="s">
        <v>37</v>
      </c>
      <c r="G11" s="13" t="s">
        <v>41</v>
      </c>
      <c r="H11" s="13" t="s">
        <v>12</v>
      </c>
      <c r="I11" s="13" t="s">
        <v>7</v>
      </c>
      <c r="J11" s="13"/>
      <c r="K11" s="13" t="s">
        <v>30</v>
      </c>
      <c r="L11" s="13"/>
      <c r="M11" s="4" t="s">
        <v>255</v>
      </c>
      <c r="N11" s="5" t="s">
        <v>64</v>
      </c>
      <c r="O11" s="37">
        <v>6592</v>
      </c>
      <c r="P11" s="37">
        <v>2454</v>
      </c>
      <c r="Q11" s="37">
        <v>2400</v>
      </c>
      <c r="R11" s="13"/>
      <c r="S11" s="13">
        <v>3670</v>
      </c>
      <c r="T11" s="13">
        <v>2600</v>
      </c>
      <c r="U11" s="13">
        <v>8832</v>
      </c>
      <c r="V11" s="13">
        <v>1160</v>
      </c>
      <c r="W11" s="13">
        <v>4815</v>
      </c>
      <c r="X11" s="13">
        <v>2655</v>
      </c>
      <c r="Y11" s="13"/>
      <c r="Z11" s="37">
        <v>15</v>
      </c>
      <c r="AA11" s="13" t="s">
        <v>300</v>
      </c>
      <c r="AB11" s="13">
        <v>11990</v>
      </c>
      <c r="AC11" s="30">
        <v>3381</v>
      </c>
      <c r="AD11" s="14"/>
      <c r="AE11" s="14"/>
      <c r="AF11" s="14"/>
      <c r="AG11" s="14"/>
      <c r="AH11" s="13" t="s">
        <v>161</v>
      </c>
      <c r="AI11" s="4" t="s">
        <v>167</v>
      </c>
      <c r="AJ11" s="37" t="s">
        <v>342</v>
      </c>
      <c r="AK11" s="13" t="s">
        <v>76</v>
      </c>
      <c r="AL11" s="4" t="s">
        <v>151</v>
      </c>
      <c r="AM11" s="13" t="s">
        <v>232</v>
      </c>
      <c r="AN11" s="4" t="s">
        <v>194</v>
      </c>
      <c r="AO11" s="15" t="s">
        <v>68</v>
      </c>
      <c r="AP11" s="16"/>
      <c r="AQ11" s="16"/>
      <c r="AR11" s="16"/>
      <c r="AS11" s="16"/>
      <c r="AT11" s="16"/>
      <c r="AU11" s="16"/>
      <c r="AV11" s="16"/>
      <c r="AW11" s="16"/>
      <c r="AX11" s="16"/>
      <c r="AY11" s="16"/>
      <c r="AZ11" s="16"/>
      <c r="BA11" s="16"/>
      <c r="BB11" s="16"/>
      <c r="BC11" s="16"/>
      <c r="BD11" s="16"/>
      <c r="BE11" s="16"/>
      <c r="BF11" s="16"/>
      <c r="BG11" s="16"/>
      <c r="BH11" s="16"/>
      <c r="BI11" s="16"/>
      <c r="BJ11" s="16"/>
      <c r="BK11" s="16"/>
      <c r="BL11" s="20" t="e">
        <f>IF(CONCATENATE(A11,B11,C11,D11,E11,F11,G11,H11,I11,J11,K11,L11,M11,N11,O11,P11,Q11,R11,S11,T11,U11,V11,W11,X11,Y11,Z11,AA11,AB11,AC11,AD11,AE11,AF11,AG11,AH11,AI11,AJ11,AK11,AL11,AM11,AN11,AO11,AP11,AQ11,AR11,AS11,AT11,AU11,AV11,AW11,AX11,AY11,AZ11,BA11,BB11,BC11,BD11,BE11,BF11,BG11,BH11,BI11,BJ11,BK11)=(CONCATENATE(#REF!,#REF!,#REF!,#REF!,#REF!,#REF!,#REF!,#REF!,#REF!,#REF!,#REF!,#REF!,#REF!,#REF!,#REF!,#REF!,#REF!,#REF!,#REF!,#REF!,#REF!,#REF!,#REF!,#REF!,#REF!,#REF!,#REF!,#REF!,#REF!,#REF!,#REF!,#REF!,#REF!,#REF!,#REF!,#REF!,#REF!,#REF!,#REF!,#REF!,#REF!,#REF!,#REF!,#REF!,#REF!,#REF!,#REF!,#REF!,#REF!,#REF!,#REF!,#REF!,#REF!,#REF!,#REF!,#REF!,#REF!,#REF!,#REF!,#REF!,#REF!,#REF!,#REF!)),0,1)</f>
        <v>#REF!</v>
      </c>
      <c r="BM11" s="38" t="s">
        <v>236</v>
      </c>
      <c r="BN11" s="8" t="s">
        <v>140</v>
      </c>
      <c r="BO11" s="48"/>
      <c r="BP11" s="35" t="str">
        <f t="shared" si="0"/>
        <v>FR</v>
      </c>
      <c r="BQ11" s="35" t="str">
        <f t="shared" si="1"/>
        <v>FS_PF_Energie Alter</v>
      </c>
      <c r="BR11" s="35" t="str">
        <f t="shared" si="2"/>
        <v>IVECO</v>
      </c>
      <c r="BS11" s="35" t="str">
        <f t="shared" si="3"/>
        <v>EUROCARGO</v>
      </c>
      <c r="BT11" s="35" t="str">
        <f t="shared" si="4"/>
        <v>120EL21 G CF - SUPRA GAZ MT</v>
      </c>
      <c r="BU11" s="35">
        <f t="shared" si="5"/>
        <v>0</v>
      </c>
      <c r="BV11" s="4" t="s">
        <v>255</v>
      </c>
      <c r="BW11" s="5" t="s">
        <v>64</v>
      </c>
      <c r="BX11" s="35" t="str">
        <f t="shared" si="6"/>
        <v>H02</v>
      </c>
      <c r="BY11" s="44" t="str">
        <f t="shared" si="7"/>
        <v>FRFS_PF_Energie Alter120EL21 G CF - SUPRA GAZ MTH02</v>
      </c>
      <c r="BZ11" s="48"/>
      <c r="CA11" s="35">
        <v>11990</v>
      </c>
      <c r="CB11" s="35">
        <v>11990</v>
      </c>
      <c r="CC11" s="35" t="e">
        <f>VLOOKUP(BY11,#REF!,20,0)</f>
        <v>#REF!</v>
      </c>
      <c r="CD11" s="48"/>
      <c r="CE11" s="36">
        <v>3381</v>
      </c>
      <c r="CF11" s="36">
        <v>3381</v>
      </c>
      <c r="CG11" s="36"/>
    </row>
    <row r="12" spans="1:179" ht="20.100000000000001" customHeight="1" x14ac:dyDescent="0.25">
      <c r="A12" s="13" t="s">
        <v>74</v>
      </c>
      <c r="B12" s="5" t="s">
        <v>239</v>
      </c>
      <c r="C12" s="5" t="s">
        <v>240</v>
      </c>
      <c r="D12" s="1"/>
      <c r="E12" s="4" t="s">
        <v>33</v>
      </c>
      <c r="F12" s="13" t="s">
        <v>37</v>
      </c>
      <c r="G12" s="1" t="s">
        <v>41</v>
      </c>
      <c r="H12" s="13" t="s">
        <v>29</v>
      </c>
      <c r="I12" s="13" t="s">
        <v>7</v>
      </c>
      <c r="J12" s="13"/>
      <c r="K12" s="13" t="s">
        <v>30</v>
      </c>
      <c r="L12" s="13"/>
      <c r="M12" s="4" t="s">
        <v>246</v>
      </c>
      <c r="N12" s="6" t="s">
        <v>63</v>
      </c>
      <c r="O12" s="37">
        <v>6592</v>
      </c>
      <c r="P12" s="37">
        <v>2454</v>
      </c>
      <c r="Q12" s="37">
        <v>2400</v>
      </c>
      <c r="R12" s="13"/>
      <c r="S12" s="13">
        <v>3670</v>
      </c>
      <c r="T12" s="13">
        <v>2600</v>
      </c>
      <c r="U12" s="13">
        <v>8832</v>
      </c>
      <c r="V12" s="13">
        <v>1150</v>
      </c>
      <c r="W12" s="13">
        <v>4815</v>
      </c>
      <c r="X12" s="13">
        <v>2655</v>
      </c>
      <c r="Y12" s="13"/>
      <c r="Z12" s="37">
        <v>15</v>
      </c>
      <c r="AA12" s="13" t="s">
        <v>317</v>
      </c>
      <c r="AB12" s="13">
        <v>16000</v>
      </c>
      <c r="AC12" s="30">
        <v>6883</v>
      </c>
      <c r="AD12" s="14"/>
      <c r="AE12" s="14"/>
      <c r="AF12" s="14"/>
      <c r="AG12" s="14"/>
      <c r="AH12" s="13" t="s">
        <v>162</v>
      </c>
      <c r="AI12" s="4" t="s">
        <v>167</v>
      </c>
      <c r="AJ12" s="37" t="s">
        <v>344</v>
      </c>
      <c r="AK12" s="13" t="s">
        <v>75</v>
      </c>
      <c r="AL12" s="4" t="s">
        <v>152</v>
      </c>
      <c r="AM12" s="13" t="s">
        <v>168</v>
      </c>
      <c r="AN12" s="4" t="s">
        <v>204</v>
      </c>
      <c r="AO12" s="15" t="s">
        <v>69</v>
      </c>
      <c r="AP12" s="16"/>
      <c r="AQ12" s="16"/>
      <c r="AR12" s="16"/>
      <c r="AS12" s="16"/>
      <c r="AT12" s="16"/>
      <c r="AU12" s="16"/>
      <c r="AV12" s="16"/>
      <c r="AW12" s="16"/>
      <c r="AX12" s="16"/>
      <c r="AY12" s="16"/>
      <c r="AZ12" s="16"/>
      <c r="BA12" s="16"/>
      <c r="BB12" s="16"/>
      <c r="BC12" s="16"/>
      <c r="BD12" s="16"/>
      <c r="BE12" s="16"/>
      <c r="BF12" s="16"/>
      <c r="BG12" s="16"/>
      <c r="BH12" s="16"/>
      <c r="BI12" s="16"/>
      <c r="BJ12" s="16"/>
      <c r="BK12" s="16"/>
      <c r="BL12" s="20" t="e">
        <f>IF(CONCATENATE(A12,B12,C12,D12,E12,F12,G12,H12,I12,J12,K12,L12,M12,N12,O12,P12,Q12,R12,S12,T12,U12,V12,W12,X12,Y12,Z12,AA12,AB12,AC12,AD12,AE12,AF12,AG12,AH12,AI12,AJ12,AK12,AL12,AM12,AN12,AO12,AP12,AQ12,AR12,AS12,AT12,AU12,AV12,AW12,AX12,AY12,AZ12,BA12,BB12,BC12,BD12,BE12,BF12,BG12,BH12,BI12,BJ12,BK12)=(CONCATENATE(#REF!,#REF!,#REF!,#REF!,#REF!,#REF!,#REF!,#REF!,#REF!,#REF!,#REF!,#REF!,#REF!,#REF!,#REF!,#REF!,#REF!,#REF!,#REF!,#REF!,#REF!,#REF!,#REF!,#REF!,#REF!,#REF!,#REF!,#REF!,#REF!,#REF!,#REF!,#REF!,#REF!,#REF!,#REF!,#REF!,#REF!,#REF!,#REF!,#REF!,#REF!,#REF!,#REF!,#REF!,#REF!,#REF!,#REF!,#REF!,#REF!,#REF!,#REF!,#REF!,#REF!,#REF!,#REF!,#REF!,#REF!,#REF!,#REF!,#REF!,#REF!,#REF!,#REF!)),0,1)</f>
        <v>#REF!</v>
      </c>
      <c r="BM12" s="38" t="s">
        <v>236</v>
      </c>
      <c r="BN12" s="8" t="s">
        <v>135</v>
      </c>
      <c r="BO12" s="48"/>
      <c r="BP12" s="35" t="str">
        <f t="shared" si="0"/>
        <v>FR</v>
      </c>
      <c r="BQ12" s="35" t="str">
        <f t="shared" si="1"/>
        <v>FS_PF_Energie Alter</v>
      </c>
      <c r="BR12" s="35" t="str">
        <f t="shared" si="2"/>
        <v>IVECO</v>
      </c>
      <c r="BS12" s="35" t="str">
        <f t="shared" si="3"/>
        <v>EUROCARGO</v>
      </c>
      <c r="BT12" s="35" t="str">
        <f t="shared" si="4"/>
        <v>160E21 G CF - 15 Pal - SUPRA 750</v>
      </c>
      <c r="BU12" s="35">
        <f t="shared" si="5"/>
        <v>0</v>
      </c>
      <c r="BV12" s="4" t="s">
        <v>246</v>
      </c>
      <c r="BW12" s="6" t="s">
        <v>63</v>
      </c>
      <c r="BX12" s="35" t="str">
        <f t="shared" si="6"/>
        <v>H01</v>
      </c>
      <c r="BY12" s="44" t="str">
        <f t="shared" si="7"/>
        <v>FRFS_PF_Energie Alter160E21 G CF - 15 Pal - SUPRA 750H01</v>
      </c>
      <c r="BZ12" s="48"/>
      <c r="CA12" s="35">
        <v>16000</v>
      </c>
      <c r="CB12" s="35">
        <v>16000</v>
      </c>
      <c r="CC12" s="35" t="e">
        <f>VLOOKUP(BY12,#REF!,20,0)</f>
        <v>#REF!</v>
      </c>
      <c r="CD12" s="48"/>
      <c r="CE12" s="36">
        <v>6883</v>
      </c>
      <c r="CF12" s="36">
        <v>6883</v>
      </c>
      <c r="CG12" s="36"/>
    </row>
    <row r="13" spans="1:179" ht="20.100000000000001" customHeight="1" x14ac:dyDescent="0.25">
      <c r="A13" s="13" t="s">
        <v>74</v>
      </c>
      <c r="B13" s="5" t="s">
        <v>239</v>
      </c>
      <c r="C13" s="5" t="s">
        <v>240</v>
      </c>
      <c r="D13" s="1"/>
      <c r="E13" s="4" t="s">
        <v>33</v>
      </c>
      <c r="F13" s="13" t="s">
        <v>37</v>
      </c>
      <c r="G13" s="1" t="s">
        <v>41</v>
      </c>
      <c r="H13" s="13" t="s">
        <v>12</v>
      </c>
      <c r="I13" s="13" t="s">
        <v>7</v>
      </c>
      <c r="J13" s="13"/>
      <c r="K13" s="13" t="s">
        <v>30</v>
      </c>
      <c r="L13" s="13"/>
      <c r="M13" s="4" t="s">
        <v>247</v>
      </c>
      <c r="N13" s="5" t="s">
        <v>64</v>
      </c>
      <c r="O13" s="37">
        <v>6592</v>
      </c>
      <c r="P13" s="37">
        <v>2454</v>
      </c>
      <c r="Q13" s="37">
        <v>2400</v>
      </c>
      <c r="R13" s="13"/>
      <c r="S13" s="13">
        <v>3670</v>
      </c>
      <c r="T13" s="13">
        <v>2600</v>
      </c>
      <c r="U13" s="13">
        <v>8832</v>
      </c>
      <c r="V13" s="13">
        <v>1150</v>
      </c>
      <c r="W13" s="13">
        <v>4815</v>
      </c>
      <c r="X13" s="13">
        <v>2655</v>
      </c>
      <c r="Y13" s="13"/>
      <c r="Z13" s="37">
        <v>15</v>
      </c>
      <c r="AA13" s="13" t="s">
        <v>301</v>
      </c>
      <c r="AB13" s="13">
        <v>16000</v>
      </c>
      <c r="AC13" s="30">
        <v>6337</v>
      </c>
      <c r="AD13" s="14"/>
      <c r="AE13" s="14"/>
      <c r="AF13" s="14"/>
      <c r="AG13" s="14"/>
      <c r="AH13" s="13" t="s">
        <v>162</v>
      </c>
      <c r="AI13" s="4" t="s">
        <v>167</v>
      </c>
      <c r="AJ13" s="37" t="s">
        <v>344</v>
      </c>
      <c r="AK13" s="13" t="s">
        <v>75</v>
      </c>
      <c r="AL13" s="4" t="s">
        <v>153</v>
      </c>
      <c r="AM13" s="13" t="s">
        <v>139</v>
      </c>
      <c r="AN13" s="4" t="s">
        <v>204</v>
      </c>
      <c r="AO13" s="15" t="s">
        <v>70</v>
      </c>
      <c r="AP13" s="16"/>
      <c r="AQ13" s="16"/>
      <c r="AR13" s="16"/>
      <c r="AS13" s="16"/>
      <c r="AT13" s="16"/>
      <c r="AU13" s="16"/>
      <c r="AV13" s="16"/>
      <c r="AW13" s="16"/>
      <c r="AX13" s="16"/>
      <c r="AY13" s="16"/>
      <c r="AZ13" s="16"/>
      <c r="BA13" s="16"/>
      <c r="BB13" s="16"/>
      <c r="BC13" s="16"/>
      <c r="BD13" s="16"/>
      <c r="BE13" s="16"/>
      <c r="BF13" s="16"/>
      <c r="BG13" s="16"/>
      <c r="BH13" s="16"/>
      <c r="BI13" s="16"/>
      <c r="BJ13" s="16"/>
      <c r="BK13" s="16"/>
      <c r="BL13" s="20" t="e">
        <f>IF(CONCATENATE(A13,B13,C13,D13,E13,F13,G13,H13,I13,J13,K13,L13,M13,N13,O13,P13,Q13,R13,S13,T13,U13,V13,W13,X13,Y13,Z13,AA13,AB13,AC13,AD13,AE13,AF13,AG13,AH13,AI13,AJ13,AK13,AL13,AM13,AN13,AO13,AP13,AQ13,AR13,AS13,AT13,AU13,AV13,AW13,AX13,AY13,AZ13,BA13,BB13,BC13,BD13,BE13,BF13,BG13,BH13,BI13,BJ13,BK13)=(CONCATENATE(#REF!,#REF!,#REF!,#REF!,#REF!,#REF!,#REF!,#REF!,#REF!,#REF!,#REF!,#REF!,#REF!,#REF!,#REF!,#REF!,#REF!,#REF!,#REF!,#REF!,#REF!,#REF!,#REF!,#REF!,#REF!,#REF!,#REF!,#REF!,#REF!,#REF!,#REF!,#REF!,#REF!,#REF!,#REF!,#REF!,#REF!,#REF!,#REF!,#REF!,#REF!,#REF!,#REF!,#REF!,#REF!,#REF!,#REF!,#REF!,#REF!,#REF!,#REF!,#REF!,#REF!,#REF!,#REF!,#REF!,#REF!,#REF!,#REF!,#REF!,#REF!,#REF!,#REF!)),0,1)</f>
        <v>#REF!</v>
      </c>
      <c r="BM13" s="38" t="s">
        <v>236</v>
      </c>
      <c r="BN13" s="8" t="s">
        <v>140</v>
      </c>
      <c r="BO13" s="48"/>
      <c r="BP13" s="35" t="str">
        <f t="shared" si="0"/>
        <v>FR</v>
      </c>
      <c r="BQ13" s="35" t="str">
        <f t="shared" si="1"/>
        <v>FS_PF_Energie Alter</v>
      </c>
      <c r="BR13" s="35" t="str">
        <f t="shared" si="2"/>
        <v>IVECO</v>
      </c>
      <c r="BS13" s="35" t="str">
        <f t="shared" si="3"/>
        <v>EUROCARGO</v>
      </c>
      <c r="BT13" s="35" t="str">
        <f t="shared" si="4"/>
        <v>160E21 G CF - 15 Pal - SUPRA 1150 MT</v>
      </c>
      <c r="BU13" s="35">
        <f t="shared" si="5"/>
        <v>0</v>
      </c>
      <c r="BV13" s="4" t="s">
        <v>247</v>
      </c>
      <c r="BW13" s="5" t="s">
        <v>64</v>
      </c>
      <c r="BX13" s="35" t="str">
        <f t="shared" si="6"/>
        <v>H02</v>
      </c>
      <c r="BY13" s="44" t="str">
        <f t="shared" si="7"/>
        <v>FRFS_PF_Energie Alter160E21 G CF - 15 Pal - SUPRA 1150 MTH02</v>
      </c>
      <c r="BZ13" s="48"/>
      <c r="CA13" s="35">
        <v>16000</v>
      </c>
      <c r="CB13" s="35">
        <v>16000</v>
      </c>
      <c r="CC13" s="35" t="e">
        <f>VLOOKUP(BY13,#REF!,20,0)</f>
        <v>#REF!</v>
      </c>
      <c r="CD13" s="48"/>
      <c r="CE13" s="36">
        <v>6337</v>
      </c>
      <c r="CF13" s="36">
        <v>6337</v>
      </c>
      <c r="CG13" s="36"/>
    </row>
    <row r="14" spans="1:179" ht="20.100000000000001" customHeight="1" x14ac:dyDescent="0.25">
      <c r="A14" s="13" t="s">
        <v>74</v>
      </c>
      <c r="B14" s="5" t="s">
        <v>239</v>
      </c>
      <c r="C14" s="5" t="s">
        <v>240</v>
      </c>
      <c r="D14" s="1"/>
      <c r="E14" s="4" t="s">
        <v>33</v>
      </c>
      <c r="F14" s="13" t="s">
        <v>37</v>
      </c>
      <c r="G14" s="1" t="s">
        <v>41</v>
      </c>
      <c r="H14" s="13" t="s">
        <v>29</v>
      </c>
      <c r="I14" s="13" t="s">
        <v>7</v>
      </c>
      <c r="J14" s="13"/>
      <c r="K14" s="13" t="s">
        <v>30</v>
      </c>
      <c r="L14" s="13"/>
      <c r="M14" s="4" t="s">
        <v>248</v>
      </c>
      <c r="N14" s="6" t="s">
        <v>63</v>
      </c>
      <c r="O14" s="37">
        <v>6592</v>
      </c>
      <c r="P14" s="37">
        <v>2454</v>
      </c>
      <c r="Q14" s="37">
        <v>2400</v>
      </c>
      <c r="R14" s="13"/>
      <c r="S14" s="13">
        <v>3670</v>
      </c>
      <c r="T14" s="13">
        <v>2600</v>
      </c>
      <c r="U14" s="13">
        <v>8832</v>
      </c>
      <c r="V14" s="13">
        <v>1150</v>
      </c>
      <c r="W14" s="13">
        <v>4815</v>
      </c>
      <c r="X14" s="13">
        <v>2655</v>
      </c>
      <c r="Y14" s="13"/>
      <c r="Z14" s="37">
        <v>15</v>
      </c>
      <c r="AA14" s="13" t="s">
        <v>318</v>
      </c>
      <c r="AB14" s="13">
        <v>16000</v>
      </c>
      <c r="AC14" s="30">
        <v>6883</v>
      </c>
      <c r="AD14" s="14"/>
      <c r="AE14" s="14"/>
      <c r="AF14" s="14"/>
      <c r="AG14" s="14"/>
      <c r="AH14" s="13" t="s">
        <v>162</v>
      </c>
      <c r="AI14" s="4" t="s">
        <v>167</v>
      </c>
      <c r="AJ14" s="37" t="s">
        <v>344</v>
      </c>
      <c r="AK14" s="13" t="s">
        <v>75</v>
      </c>
      <c r="AL14" s="4" t="s">
        <v>152</v>
      </c>
      <c r="AM14" s="13" t="s">
        <v>233</v>
      </c>
      <c r="AN14" s="4" t="s">
        <v>204</v>
      </c>
      <c r="AO14" s="15" t="s">
        <v>69</v>
      </c>
      <c r="AP14" s="16"/>
      <c r="AQ14" s="16"/>
      <c r="AR14" s="16"/>
      <c r="AS14" s="16"/>
      <c r="AT14" s="16"/>
      <c r="AU14" s="16"/>
      <c r="AV14" s="16"/>
      <c r="AW14" s="16"/>
      <c r="AX14" s="16"/>
      <c r="AY14" s="16"/>
      <c r="AZ14" s="16"/>
      <c r="BA14" s="16"/>
      <c r="BB14" s="16"/>
      <c r="BC14" s="16"/>
      <c r="BD14" s="16"/>
      <c r="BE14" s="16"/>
      <c r="BF14" s="16"/>
      <c r="BG14" s="16"/>
      <c r="BH14" s="16"/>
      <c r="BI14" s="16"/>
      <c r="BJ14" s="16"/>
      <c r="BK14" s="16"/>
      <c r="BL14" s="20" t="e">
        <f>IF(CONCATENATE(A14,B14,C14,D14,E14,F14,G14,H14,I14,J14,K14,L14,M14,N14,O14,P14,Q14,R14,S14,T14,U14,V14,W14,X14,Y14,Z14,AA14,AB14,AC14,AD14,AE14,AF14,AG14,AH14,AI14,AJ14,AK14,AL14,AM14,AN14,AO14,AP14,AQ14,AR14,AS14,AT14,AU14,AV14,AW14,AX14,AY14,AZ14,BA14,BB14,BC14,BD14,BE14,BF14,BG14,BH14,BI14,BJ14,BK14)=(CONCATENATE(#REF!,#REF!,#REF!,#REF!,#REF!,#REF!,#REF!,#REF!,#REF!,#REF!,#REF!,#REF!,#REF!,#REF!,#REF!,#REF!,#REF!,#REF!,#REF!,#REF!,#REF!,#REF!,#REF!,#REF!,#REF!,#REF!,#REF!,#REF!,#REF!,#REF!,#REF!,#REF!,#REF!,#REF!,#REF!,#REF!,#REF!,#REF!,#REF!,#REF!,#REF!,#REF!,#REF!,#REF!,#REF!,#REF!,#REF!,#REF!,#REF!,#REF!,#REF!,#REF!,#REF!,#REF!,#REF!,#REF!,#REF!,#REF!,#REF!,#REF!,#REF!,#REF!,#REF!)),0,1)</f>
        <v>#REF!</v>
      </c>
      <c r="BM14" s="38" t="s">
        <v>236</v>
      </c>
      <c r="BN14" s="8" t="s">
        <v>135</v>
      </c>
      <c r="BO14" s="48"/>
      <c r="BP14" s="35" t="str">
        <f t="shared" si="0"/>
        <v>FR</v>
      </c>
      <c r="BQ14" s="35" t="str">
        <f t="shared" si="1"/>
        <v>FS_PF_Energie Alter</v>
      </c>
      <c r="BR14" s="35" t="str">
        <f t="shared" si="2"/>
        <v>IVECO</v>
      </c>
      <c r="BS14" s="35" t="str">
        <f t="shared" si="3"/>
        <v>EUROCARGO</v>
      </c>
      <c r="BT14" s="35" t="str">
        <f t="shared" si="4"/>
        <v>160E21 G CF - 15 Pal - SUPRA GAZ</v>
      </c>
      <c r="BU14" s="35">
        <f t="shared" si="5"/>
        <v>0</v>
      </c>
      <c r="BV14" s="4" t="s">
        <v>248</v>
      </c>
      <c r="BW14" s="6" t="s">
        <v>63</v>
      </c>
      <c r="BX14" s="35" t="str">
        <f t="shared" si="6"/>
        <v>H01</v>
      </c>
      <c r="BY14" s="44" t="str">
        <f t="shared" si="7"/>
        <v>FRFS_PF_Energie Alter160E21 G CF - 15 Pal - SUPRA GAZH01</v>
      </c>
      <c r="BZ14" s="48"/>
      <c r="CA14" s="35">
        <v>16000</v>
      </c>
      <c r="CB14" s="35">
        <v>16000</v>
      </c>
      <c r="CC14" s="35" t="e">
        <f>VLOOKUP(BY14,#REF!,20,0)</f>
        <v>#REF!</v>
      </c>
      <c r="CD14" s="48"/>
      <c r="CE14" s="36">
        <v>6883</v>
      </c>
      <c r="CF14" s="36">
        <v>6883</v>
      </c>
      <c r="CG14" s="36"/>
    </row>
    <row r="15" spans="1:179" ht="20.100000000000001" customHeight="1" x14ac:dyDescent="0.25">
      <c r="A15" s="13" t="s">
        <v>74</v>
      </c>
      <c r="B15" s="5" t="s">
        <v>239</v>
      </c>
      <c r="C15" s="5" t="s">
        <v>240</v>
      </c>
      <c r="D15" s="1"/>
      <c r="E15" s="4" t="s">
        <v>33</v>
      </c>
      <c r="F15" s="13" t="s">
        <v>37</v>
      </c>
      <c r="G15" s="1" t="s">
        <v>41</v>
      </c>
      <c r="H15" s="13" t="s">
        <v>12</v>
      </c>
      <c r="I15" s="13" t="s">
        <v>7</v>
      </c>
      <c r="J15" s="13"/>
      <c r="K15" s="13" t="s">
        <v>30</v>
      </c>
      <c r="L15" s="13"/>
      <c r="M15" s="4" t="s">
        <v>249</v>
      </c>
      <c r="N15" s="5" t="s">
        <v>64</v>
      </c>
      <c r="O15" s="37">
        <v>6592</v>
      </c>
      <c r="P15" s="37">
        <v>2454</v>
      </c>
      <c r="Q15" s="37">
        <v>2400</v>
      </c>
      <c r="R15" s="13"/>
      <c r="S15" s="13">
        <v>3670</v>
      </c>
      <c r="T15" s="13">
        <v>2600</v>
      </c>
      <c r="U15" s="13">
        <v>8832</v>
      </c>
      <c r="V15" s="13">
        <v>1150</v>
      </c>
      <c r="W15" s="13">
        <v>4815</v>
      </c>
      <c r="X15" s="13">
        <v>2655</v>
      </c>
      <c r="Y15" s="13"/>
      <c r="Z15" s="37">
        <v>15</v>
      </c>
      <c r="AA15" s="13" t="s">
        <v>302</v>
      </c>
      <c r="AB15" s="13">
        <v>16000</v>
      </c>
      <c r="AC15" s="30">
        <v>6337</v>
      </c>
      <c r="AD15" s="14"/>
      <c r="AE15" s="14"/>
      <c r="AF15" s="14"/>
      <c r="AG15" s="14"/>
      <c r="AH15" s="13" t="s">
        <v>162</v>
      </c>
      <c r="AI15" s="4" t="s">
        <v>167</v>
      </c>
      <c r="AJ15" s="37" t="s">
        <v>344</v>
      </c>
      <c r="AK15" s="13" t="s">
        <v>75</v>
      </c>
      <c r="AL15" s="4" t="s">
        <v>153</v>
      </c>
      <c r="AM15" s="13" t="s">
        <v>232</v>
      </c>
      <c r="AN15" s="4" t="s">
        <v>204</v>
      </c>
      <c r="AO15" s="15" t="s">
        <v>70</v>
      </c>
      <c r="AP15" s="16"/>
      <c r="AQ15" s="16"/>
      <c r="AR15" s="16"/>
      <c r="AS15" s="16"/>
      <c r="AT15" s="16"/>
      <c r="AU15" s="16"/>
      <c r="AV15" s="16"/>
      <c r="AW15" s="16"/>
      <c r="AX15" s="16"/>
      <c r="AY15" s="16"/>
      <c r="AZ15" s="16"/>
      <c r="BA15" s="16"/>
      <c r="BB15" s="16"/>
      <c r="BC15" s="16"/>
      <c r="BD15" s="16"/>
      <c r="BE15" s="16"/>
      <c r="BF15" s="16"/>
      <c r="BG15" s="16"/>
      <c r="BH15" s="16"/>
      <c r="BI15" s="16"/>
      <c r="BJ15" s="16"/>
      <c r="BK15" s="16"/>
      <c r="BL15" s="20" t="e">
        <f>IF(CONCATENATE(A15,B15,C15,D15,E15,F15,G15,H15,I15,J15,K15,L15,M15,N15,O15,P15,Q15,R15,S15,T15,U15,V15,W15,X15,Y15,Z15,AA15,AB15,AC15,AD15,AE15,AF15,AG15,AH15,AI15,AJ15,AK15,AL15,AM15,AN15,AO15,AP15,AQ15,AR15,AS15,AT15,AU15,AV15,AW15,AX15,AY15,AZ15,BA15,BB15,BC15,BD15,BE15,BF15,BG15,BH15,BI15,BJ15,BK15)=(CONCATENATE(#REF!,#REF!,#REF!,#REF!,#REF!,#REF!,#REF!,#REF!,#REF!,#REF!,#REF!,#REF!,#REF!,#REF!,#REF!,#REF!,#REF!,#REF!,#REF!,#REF!,#REF!,#REF!,#REF!,#REF!,#REF!,#REF!,#REF!,#REF!,#REF!,#REF!,#REF!,#REF!,#REF!,#REF!,#REF!,#REF!,#REF!,#REF!,#REF!,#REF!,#REF!,#REF!,#REF!,#REF!,#REF!,#REF!,#REF!,#REF!,#REF!,#REF!,#REF!,#REF!,#REF!,#REF!,#REF!,#REF!,#REF!,#REF!,#REF!,#REF!,#REF!,#REF!,#REF!)),0,1)</f>
        <v>#REF!</v>
      </c>
      <c r="BM15" s="38" t="s">
        <v>236</v>
      </c>
      <c r="BN15" s="8" t="s">
        <v>140</v>
      </c>
      <c r="BO15" s="48"/>
      <c r="BP15" s="35" t="str">
        <f t="shared" si="0"/>
        <v>FR</v>
      </c>
      <c r="BQ15" s="35" t="str">
        <f t="shared" si="1"/>
        <v>FS_PF_Energie Alter</v>
      </c>
      <c r="BR15" s="35" t="str">
        <f t="shared" si="2"/>
        <v>IVECO</v>
      </c>
      <c r="BS15" s="35" t="str">
        <f t="shared" si="3"/>
        <v>EUROCARGO</v>
      </c>
      <c r="BT15" s="35" t="str">
        <f t="shared" si="4"/>
        <v>160E21 G CF - 15 Pal - SUPRA GAZ MT</v>
      </c>
      <c r="BU15" s="35">
        <f t="shared" si="5"/>
        <v>0</v>
      </c>
      <c r="BV15" s="4" t="s">
        <v>249</v>
      </c>
      <c r="BW15" s="5" t="s">
        <v>64</v>
      </c>
      <c r="BX15" s="35" t="str">
        <f t="shared" si="6"/>
        <v>H02</v>
      </c>
      <c r="BY15" s="44" t="str">
        <f t="shared" si="7"/>
        <v>FRFS_PF_Energie Alter160E21 G CF - 15 Pal - SUPRA GAZ MTH02</v>
      </c>
      <c r="BZ15" s="48"/>
      <c r="CA15" s="35">
        <v>16000</v>
      </c>
      <c r="CB15" s="35">
        <v>16000</v>
      </c>
      <c r="CC15" s="35" t="e">
        <f>VLOOKUP(BY15,#REF!,20,0)</f>
        <v>#REF!</v>
      </c>
      <c r="CD15" s="48"/>
      <c r="CE15" s="36">
        <v>6337</v>
      </c>
      <c r="CF15" s="36">
        <v>6337</v>
      </c>
      <c r="CG15" s="36"/>
    </row>
    <row r="16" spans="1:179" ht="20.100000000000001" customHeight="1" x14ac:dyDescent="0.25">
      <c r="A16" s="13" t="s">
        <v>74</v>
      </c>
      <c r="B16" s="5" t="s">
        <v>239</v>
      </c>
      <c r="C16" s="5" t="s">
        <v>240</v>
      </c>
      <c r="D16" s="1"/>
      <c r="E16" s="4" t="s">
        <v>33</v>
      </c>
      <c r="F16" s="13" t="s">
        <v>37</v>
      </c>
      <c r="G16" s="1" t="s">
        <v>41</v>
      </c>
      <c r="H16" s="13" t="s">
        <v>29</v>
      </c>
      <c r="I16" s="13" t="s">
        <v>7</v>
      </c>
      <c r="J16" s="13"/>
      <c r="K16" s="13" t="s">
        <v>30</v>
      </c>
      <c r="L16" s="13"/>
      <c r="M16" s="4" t="s">
        <v>244</v>
      </c>
      <c r="N16" s="6" t="s">
        <v>63</v>
      </c>
      <c r="O16" s="37">
        <v>6592</v>
      </c>
      <c r="P16" s="37">
        <v>2454</v>
      </c>
      <c r="Q16" s="37">
        <v>2400</v>
      </c>
      <c r="R16" s="13"/>
      <c r="S16" s="13">
        <v>3670</v>
      </c>
      <c r="T16" s="13">
        <v>2600</v>
      </c>
      <c r="U16" s="13">
        <v>8832</v>
      </c>
      <c r="V16" s="13">
        <v>1150</v>
      </c>
      <c r="W16" s="13">
        <v>4815</v>
      </c>
      <c r="X16" s="13">
        <v>2655</v>
      </c>
      <c r="Y16" s="13"/>
      <c r="Z16" s="37">
        <v>15</v>
      </c>
      <c r="AA16" s="13" t="s">
        <v>316</v>
      </c>
      <c r="AB16" s="13">
        <v>16000</v>
      </c>
      <c r="AC16" s="30">
        <v>6883</v>
      </c>
      <c r="AD16" s="14"/>
      <c r="AE16" s="14"/>
      <c r="AF16" s="14"/>
      <c r="AG16" s="14"/>
      <c r="AH16" s="13" t="s">
        <v>162</v>
      </c>
      <c r="AI16" s="4" t="s">
        <v>167</v>
      </c>
      <c r="AJ16" s="37" t="s">
        <v>344</v>
      </c>
      <c r="AK16" s="13" t="s">
        <v>75</v>
      </c>
      <c r="AL16" s="4" t="s">
        <v>152</v>
      </c>
      <c r="AM16" s="13" t="s">
        <v>233</v>
      </c>
      <c r="AN16" s="4" t="s">
        <v>204</v>
      </c>
      <c r="AO16" s="15" t="s">
        <v>69</v>
      </c>
      <c r="AP16" s="16"/>
      <c r="AQ16" s="16"/>
      <c r="AR16" s="16"/>
      <c r="AS16" s="16"/>
      <c r="AT16" s="16"/>
      <c r="AU16" s="16"/>
      <c r="AV16" s="16"/>
      <c r="AW16" s="16"/>
      <c r="AX16" s="16"/>
      <c r="AY16" s="16"/>
      <c r="AZ16" s="16"/>
      <c r="BA16" s="16"/>
      <c r="BB16" s="16"/>
      <c r="BC16" s="16"/>
      <c r="BD16" s="16"/>
      <c r="BE16" s="16"/>
      <c r="BF16" s="16"/>
      <c r="BG16" s="16"/>
      <c r="BH16" s="16"/>
      <c r="BI16" s="16"/>
      <c r="BJ16" s="16"/>
      <c r="BK16" s="16"/>
      <c r="BL16" s="20" t="e">
        <f>IF(CONCATENATE(A16,B16,C16,D16,E16,F16,G16,H16,I16,J16,K16,L16,M16,N16,O16,P16,Q16,R16,S16,T16,U16,V16,W16,X16,Y16,Z16,AA16,AB16,AC16,AD16,AE16,AF16,AG16,AH16,AI16,AJ16,AK16,AL16,AM16,AN16,AO16,AP16,AQ16,AR16,AS16,AT16,AU16,AV16,AW16,AX16,AY16,AZ16,BA16,BB16,BC16,BD16,BE16,BF16,BG16,BH16,BI16,BJ16,BK16)=(CONCATENATE(#REF!,#REF!,#REF!,#REF!,#REF!,#REF!,#REF!,#REF!,#REF!,#REF!,#REF!,#REF!,#REF!,#REF!,#REF!,#REF!,#REF!,#REF!,#REF!,#REF!,#REF!,#REF!,#REF!,#REF!,#REF!,#REF!,#REF!,#REF!,#REF!,#REF!,#REF!,#REF!,#REF!,#REF!,#REF!,#REF!,#REF!,#REF!,#REF!,#REF!,#REF!,#REF!,#REF!,#REF!,#REF!,#REF!,#REF!,#REF!,#REF!,#REF!,#REF!,#REF!,#REF!,#REF!,#REF!,#REF!,#REF!,#REF!,#REF!,#REF!,#REF!,#REF!,#REF!)),0,1)</f>
        <v>#REF!</v>
      </c>
      <c r="BM16" s="38" t="s">
        <v>236</v>
      </c>
      <c r="BN16" s="8" t="s">
        <v>135</v>
      </c>
      <c r="BO16" s="48"/>
      <c r="BP16" s="35" t="str">
        <f t="shared" si="0"/>
        <v>FR</v>
      </c>
      <c r="BQ16" s="35" t="str">
        <f t="shared" si="1"/>
        <v>FS_PF_Energie Alter</v>
      </c>
      <c r="BR16" s="35" t="str">
        <f t="shared" si="2"/>
        <v>IVECO</v>
      </c>
      <c r="BS16" s="35" t="str">
        <f t="shared" si="3"/>
        <v>EUROCARGO</v>
      </c>
      <c r="BT16" s="35" t="str">
        <f t="shared" si="4"/>
        <v>160E21 G CF - SUPRA GAZ</v>
      </c>
      <c r="BU16" s="35">
        <f t="shared" si="5"/>
        <v>0</v>
      </c>
      <c r="BV16" s="4" t="s">
        <v>244</v>
      </c>
      <c r="BW16" s="6" t="s">
        <v>63</v>
      </c>
      <c r="BX16" s="35" t="str">
        <f t="shared" si="6"/>
        <v>H01</v>
      </c>
      <c r="BY16" s="44" t="str">
        <f t="shared" si="7"/>
        <v>FRFS_PF_Energie Alter160E21 G CF - SUPRA GAZH01</v>
      </c>
      <c r="BZ16" s="48"/>
      <c r="CA16" s="35">
        <v>16000</v>
      </c>
      <c r="CB16" s="35">
        <v>16000</v>
      </c>
      <c r="CC16" s="35" t="e">
        <f>VLOOKUP(BY16,#REF!,20,0)</f>
        <v>#REF!</v>
      </c>
      <c r="CD16" s="48"/>
      <c r="CE16" s="36">
        <v>6883</v>
      </c>
      <c r="CF16" s="36">
        <v>6883</v>
      </c>
      <c r="CG16" s="36"/>
    </row>
    <row r="17" spans="1:85" ht="20.100000000000001" customHeight="1" x14ac:dyDescent="0.25">
      <c r="A17" s="13" t="s">
        <v>74</v>
      </c>
      <c r="B17" s="5" t="s">
        <v>239</v>
      </c>
      <c r="C17" s="5" t="s">
        <v>240</v>
      </c>
      <c r="D17" s="1"/>
      <c r="E17" s="4" t="s">
        <v>33</v>
      </c>
      <c r="F17" s="13" t="s">
        <v>37</v>
      </c>
      <c r="G17" s="1" t="s">
        <v>41</v>
      </c>
      <c r="H17" s="13" t="s">
        <v>12</v>
      </c>
      <c r="I17" s="13" t="s">
        <v>7</v>
      </c>
      <c r="J17" s="13"/>
      <c r="K17" s="13" t="s">
        <v>30</v>
      </c>
      <c r="L17" s="13"/>
      <c r="M17" s="4" t="s">
        <v>245</v>
      </c>
      <c r="N17" s="5" t="s">
        <v>64</v>
      </c>
      <c r="O17" s="37">
        <v>6592</v>
      </c>
      <c r="P17" s="37">
        <v>2454</v>
      </c>
      <c r="Q17" s="37">
        <v>2400</v>
      </c>
      <c r="R17" s="13"/>
      <c r="S17" s="13">
        <v>3670</v>
      </c>
      <c r="T17" s="13">
        <v>2600</v>
      </c>
      <c r="U17" s="13">
        <v>8832</v>
      </c>
      <c r="V17" s="13">
        <v>1150</v>
      </c>
      <c r="W17" s="13">
        <v>4815</v>
      </c>
      <c r="X17" s="13">
        <v>2655</v>
      </c>
      <c r="Y17" s="13"/>
      <c r="Z17" s="37">
        <v>15</v>
      </c>
      <c r="AA17" s="13" t="s">
        <v>300</v>
      </c>
      <c r="AB17" s="13">
        <v>16000</v>
      </c>
      <c r="AC17" s="30">
        <v>6337</v>
      </c>
      <c r="AD17" s="14"/>
      <c r="AE17" s="14"/>
      <c r="AF17" s="14"/>
      <c r="AG17" s="14"/>
      <c r="AH17" s="13" t="s">
        <v>162</v>
      </c>
      <c r="AI17" s="4" t="s">
        <v>167</v>
      </c>
      <c r="AJ17" s="37" t="s">
        <v>344</v>
      </c>
      <c r="AK17" s="13" t="s">
        <v>75</v>
      </c>
      <c r="AL17" s="4" t="s">
        <v>153</v>
      </c>
      <c r="AM17" s="13" t="s">
        <v>232</v>
      </c>
      <c r="AN17" s="4" t="s">
        <v>204</v>
      </c>
      <c r="AO17" s="15" t="s">
        <v>70</v>
      </c>
      <c r="AP17" s="16"/>
      <c r="AQ17" s="16"/>
      <c r="AR17" s="16"/>
      <c r="AS17" s="16"/>
      <c r="AT17" s="16"/>
      <c r="AU17" s="16"/>
      <c r="AV17" s="16"/>
      <c r="AW17" s="16"/>
      <c r="AX17" s="16"/>
      <c r="AY17" s="16"/>
      <c r="AZ17" s="16"/>
      <c r="BA17" s="16"/>
      <c r="BB17" s="16"/>
      <c r="BC17" s="16"/>
      <c r="BD17" s="16"/>
      <c r="BE17" s="16"/>
      <c r="BF17" s="16"/>
      <c r="BG17" s="16"/>
      <c r="BH17" s="16"/>
      <c r="BI17" s="16"/>
      <c r="BJ17" s="16"/>
      <c r="BK17" s="16"/>
      <c r="BL17" s="20" t="e">
        <f>IF(CONCATENATE(A17,B17,C17,D17,E17,F17,G17,H17,I17,J17,K17,L17,M17,N17,O17,P17,Q17,R17,S17,T17,U17,V17,W17,X17,Y17,Z17,AA17,AB17,AC17,AD17,AE17,AF17,AG17,AH17,AI17,AJ17,AK17,AL17,AM17,AN17,AO17,AP17,AQ17,AR17,AS17,AT17,AU17,AV17,AW17,AX17,AY17,AZ17,BA17,BB17,BC17,BD17,BE17,BF17,BG17,BH17,BI17,BJ17,BK17)=(CONCATENATE(#REF!,#REF!,#REF!,#REF!,#REF!,#REF!,#REF!,#REF!,#REF!,#REF!,#REF!,#REF!,#REF!,#REF!,#REF!,#REF!,#REF!,#REF!,#REF!,#REF!,#REF!,#REF!,#REF!,#REF!,#REF!,#REF!,#REF!,#REF!,#REF!,#REF!,#REF!,#REF!,#REF!,#REF!,#REF!,#REF!,#REF!,#REF!,#REF!,#REF!,#REF!,#REF!,#REF!,#REF!,#REF!,#REF!,#REF!,#REF!,#REF!,#REF!,#REF!,#REF!,#REF!,#REF!,#REF!,#REF!,#REF!,#REF!,#REF!,#REF!,#REF!,#REF!,#REF!)),0,1)</f>
        <v>#REF!</v>
      </c>
      <c r="BM17" s="38" t="s">
        <v>236</v>
      </c>
      <c r="BN17" s="8" t="s">
        <v>140</v>
      </c>
      <c r="BO17" s="48"/>
      <c r="BP17" s="35" t="str">
        <f t="shared" si="0"/>
        <v>FR</v>
      </c>
      <c r="BQ17" s="35" t="str">
        <f t="shared" si="1"/>
        <v>FS_PF_Energie Alter</v>
      </c>
      <c r="BR17" s="35" t="str">
        <f t="shared" si="2"/>
        <v>IVECO</v>
      </c>
      <c r="BS17" s="35" t="str">
        <f t="shared" si="3"/>
        <v>EUROCARGO</v>
      </c>
      <c r="BT17" s="35" t="str">
        <f t="shared" si="4"/>
        <v>160E21 G CF - SUPRA GAZ MT</v>
      </c>
      <c r="BU17" s="35">
        <f t="shared" si="5"/>
        <v>0</v>
      </c>
      <c r="BV17" s="4" t="s">
        <v>245</v>
      </c>
      <c r="BW17" s="5" t="s">
        <v>64</v>
      </c>
      <c r="BX17" s="35" t="str">
        <f t="shared" si="6"/>
        <v>H02</v>
      </c>
      <c r="BY17" s="44" t="str">
        <f t="shared" si="7"/>
        <v>FRFS_PF_Energie Alter160E21 G CF - SUPRA GAZ MTH02</v>
      </c>
      <c r="BZ17" s="48"/>
      <c r="CA17" s="35">
        <v>16000</v>
      </c>
      <c r="CB17" s="35">
        <v>16000</v>
      </c>
      <c r="CC17" s="35" t="e">
        <f>VLOOKUP(BY17,#REF!,20,0)</f>
        <v>#REF!</v>
      </c>
      <c r="CD17" s="48"/>
      <c r="CE17" s="36">
        <v>6337</v>
      </c>
      <c r="CF17" s="36">
        <v>6337</v>
      </c>
      <c r="CG17" s="36"/>
    </row>
    <row r="18" spans="1:85" ht="20.100000000000001" customHeight="1" x14ac:dyDescent="0.25">
      <c r="A18" s="13" t="s">
        <v>74</v>
      </c>
      <c r="B18" s="5" t="s">
        <v>239</v>
      </c>
      <c r="C18" s="5" t="s">
        <v>240</v>
      </c>
      <c r="D18" s="1"/>
      <c r="E18" s="13" t="s">
        <v>33</v>
      </c>
      <c r="F18" s="13" t="s">
        <v>212</v>
      </c>
      <c r="G18" s="1" t="s">
        <v>42</v>
      </c>
      <c r="H18" s="13" t="s">
        <v>29</v>
      </c>
      <c r="I18" s="13" t="s">
        <v>7</v>
      </c>
      <c r="J18" s="4"/>
      <c r="K18" s="5" t="s">
        <v>30</v>
      </c>
      <c r="L18" s="5"/>
      <c r="M18" s="13" t="s">
        <v>256</v>
      </c>
      <c r="N18" s="6" t="s">
        <v>63</v>
      </c>
      <c r="O18" s="37">
        <v>7692</v>
      </c>
      <c r="P18" s="37">
        <v>2454</v>
      </c>
      <c r="Q18" s="37">
        <v>2400</v>
      </c>
      <c r="R18" s="13"/>
      <c r="S18" s="13">
        <v>3830</v>
      </c>
      <c r="T18" s="13">
        <v>2600</v>
      </c>
      <c r="U18" s="13">
        <v>9897</v>
      </c>
      <c r="V18" s="13">
        <v>1265</v>
      </c>
      <c r="W18" s="13">
        <v>5670</v>
      </c>
      <c r="X18" s="13">
        <v>2865</v>
      </c>
      <c r="Y18" s="13"/>
      <c r="Z18" s="9">
        <v>18</v>
      </c>
      <c r="AA18" s="13" t="s">
        <v>319</v>
      </c>
      <c r="AB18" s="13">
        <v>19000</v>
      </c>
      <c r="AC18" s="17"/>
      <c r="AD18" s="14"/>
      <c r="AE18" s="14"/>
      <c r="AF18" s="14"/>
      <c r="AG18" s="14"/>
      <c r="AH18" s="13" t="s">
        <v>163</v>
      </c>
      <c r="AI18" s="13" t="s">
        <v>218</v>
      </c>
      <c r="AJ18" s="37" t="s">
        <v>238</v>
      </c>
      <c r="AK18" s="13" t="s">
        <v>223</v>
      </c>
      <c r="AL18" s="13" t="s">
        <v>154</v>
      </c>
      <c r="AM18" s="13" t="s">
        <v>224</v>
      </c>
      <c r="AN18" s="13" t="s">
        <v>204</v>
      </c>
      <c r="AO18" s="32" t="s">
        <v>213</v>
      </c>
      <c r="AP18" s="16"/>
      <c r="AQ18" s="16"/>
      <c r="AR18" s="16"/>
      <c r="AS18" s="16"/>
      <c r="AT18" s="16"/>
      <c r="AU18" s="16"/>
      <c r="AV18" s="16"/>
      <c r="AW18" s="16"/>
      <c r="AX18" s="16"/>
      <c r="AY18" s="16"/>
      <c r="AZ18" s="16"/>
      <c r="BA18" s="16"/>
      <c r="BB18" s="16"/>
      <c r="BC18" s="16"/>
      <c r="BD18" s="16"/>
      <c r="BE18" s="16"/>
      <c r="BF18" s="16"/>
      <c r="BG18" s="16"/>
      <c r="BH18" s="16"/>
      <c r="BI18" s="16"/>
      <c r="BJ18" s="16"/>
      <c r="BK18" s="16"/>
      <c r="BL18" s="20" t="e">
        <f>IF(CONCATENATE(A18,B18,C18,D18,E18,F18,G18,H18,I18,J18,K18,L18,M18,N18,O18,P18,Q18,R18,S18,T18,U18,V18,W18,X18,Y18,Z18,AA18,AB18,AC18,AD18,AE18,AF18,AG18,AH18,AI18,AJ18,AK18,AL18,AM18,AN18,AO18,AP18,AQ18,AR18,AS18,AT18,AU18,AV18,AW18,AX18,AY18,AZ18,BA18,BB18,BC18,BD18,BE18,BF18,BG18,BH18,BI18,BJ18,BK18)=(CONCATENATE(#REF!,#REF!,#REF!,#REF!,#REF!,#REF!,#REF!,#REF!,#REF!,#REF!,#REF!,#REF!,#REF!,#REF!,#REF!,#REF!,#REF!,#REF!,#REF!,#REF!,#REF!,#REF!,#REF!,#REF!,#REF!,#REF!,#REF!,#REF!,#REF!,#REF!,#REF!,#REF!,#REF!,#REF!,#REF!,#REF!,#REF!,#REF!,#REF!,#REF!,#REF!,#REF!,#REF!,#REF!,#REF!,#REF!,#REF!,#REF!,#REF!,#REF!,#REF!,#REF!,#REF!,#REF!,#REF!,#REF!,#REF!,#REF!,#REF!,#REF!,#REF!,#REF!,#REF!)),0,1)</f>
        <v>#REF!</v>
      </c>
      <c r="BM18" s="39" t="s">
        <v>236</v>
      </c>
      <c r="BN18" s="13" t="s">
        <v>136</v>
      </c>
      <c r="BO18" s="48"/>
      <c r="BP18" s="35" t="str">
        <f t="shared" si="0"/>
        <v>FR</v>
      </c>
      <c r="BQ18" s="35" t="str">
        <f t="shared" si="1"/>
        <v>FS_PF_Energie Alter</v>
      </c>
      <c r="BR18" s="35" t="str">
        <f t="shared" si="2"/>
        <v>IVECO</v>
      </c>
      <c r="BS18" s="35" t="str">
        <f t="shared" si="3"/>
        <v>S-WAY</v>
      </c>
      <c r="BT18" s="35" t="str">
        <f t="shared" si="4"/>
        <v>AD190S40 G CF - 18 Pal - SUPRA 850 S</v>
      </c>
      <c r="BU18" s="35">
        <f t="shared" si="5"/>
        <v>0</v>
      </c>
      <c r="BV18" s="13" t="s">
        <v>256</v>
      </c>
      <c r="BW18" s="6" t="s">
        <v>63</v>
      </c>
      <c r="BX18" s="35" t="str">
        <f t="shared" si="6"/>
        <v>H01</v>
      </c>
      <c r="BY18" s="44" t="str">
        <f t="shared" si="7"/>
        <v>FRFS_PF_Energie AlterAD190S40 G CF - 18 Pal - SUPRA 850 SH01</v>
      </c>
      <c r="BZ18" s="48"/>
      <c r="CA18" s="35">
        <v>19000</v>
      </c>
      <c r="CB18" s="35">
        <v>19000</v>
      </c>
      <c r="CC18" s="35" t="e">
        <f>VLOOKUP(BY18,#REF!,20,0)</f>
        <v>#REF!</v>
      </c>
      <c r="CD18" s="48"/>
      <c r="CE18" s="36"/>
      <c r="CF18" s="36"/>
      <c r="CG18" s="36"/>
    </row>
    <row r="19" spans="1:85" ht="20.100000000000001" customHeight="1" x14ac:dyDescent="0.25">
      <c r="A19" s="13" t="s">
        <v>74</v>
      </c>
      <c r="B19" s="5" t="s">
        <v>239</v>
      </c>
      <c r="C19" s="5" t="s">
        <v>240</v>
      </c>
      <c r="D19" s="1"/>
      <c r="E19" s="13" t="s">
        <v>33</v>
      </c>
      <c r="F19" s="13" t="s">
        <v>212</v>
      </c>
      <c r="G19" s="1" t="s">
        <v>42</v>
      </c>
      <c r="H19" s="13" t="s">
        <v>12</v>
      </c>
      <c r="I19" s="13" t="s">
        <v>7</v>
      </c>
      <c r="J19" s="4"/>
      <c r="K19" s="5" t="s">
        <v>30</v>
      </c>
      <c r="L19" s="5"/>
      <c r="M19" s="13" t="s">
        <v>257</v>
      </c>
      <c r="N19" s="5" t="s">
        <v>64</v>
      </c>
      <c r="O19" s="37">
        <v>7692</v>
      </c>
      <c r="P19" s="37">
        <v>2454</v>
      </c>
      <c r="Q19" s="37">
        <v>2400</v>
      </c>
      <c r="R19" s="13"/>
      <c r="S19" s="13">
        <v>3830</v>
      </c>
      <c r="T19" s="13">
        <v>2600</v>
      </c>
      <c r="U19" s="13">
        <v>9897</v>
      </c>
      <c r="V19" s="13">
        <v>1265</v>
      </c>
      <c r="W19" s="13">
        <v>5670</v>
      </c>
      <c r="X19" s="13">
        <v>2865</v>
      </c>
      <c r="Y19" s="13"/>
      <c r="Z19" s="9">
        <v>18</v>
      </c>
      <c r="AA19" s="13" t="s">
        <v>303</v>
      </c>
      <c r="AB19" s="13">
        <v>19000</v>
      </c>
      <c r="AC19" s="17"/>
      <c r="AD19" s="14"/>
      <c r="AE19" s="14"/>
      <c r="AF19" s="14"/>
      <c r="AG19" s="14"/>
      <c r="AH19" s="13" t="s">
        <v>163</v>
      </c>
      <c r="AI19" s="13" t="s">
        <v>218</v>
      </c>
      <c r="AJ19" s="37" t="s">
        <v>238</v>
      </c>
      <c r="AK19" s="13" t="s">
        <v>223</v>
      </c>
      <c r="AL19" s="13" t="s">
        <v>155</v>
      </c>
      <c r="AM19" s="13" t="s">
        <v>225</v>
      </c>
      <c r="AN19" s="13" t="s">
        <v>204</v>
      </c>
      <c r="AO19" s="32" t="s">
        <v>222</v>
      </c>
      <c r="AP19" s="16"/>
      <c r="AQ19" s="16"/>
      <c r="AR19" s="16"/>
      <c r="AS19" s="16"/>
      <c r="AT19" s="16"/>
      <c r="AU19" s="16"/>
      <c r="AV19" s="16"/>
      <c r="AW19" s="16"/>
      <c r="AX19" s="16"/>
      <c r="AY19" s="16"/>
      <c r="AZ19" s="16"/>
      <c r="BA19" s="16"/>
      <c r="BB19" s="16"/>
      <c r="BC19" s="16"/>
      <c r="BD19" s="16"/>
      <c r="BE19" s="16"/>
      <c r="BF19" s="16"/>
      <c r="BG19" s="16"/>
      <c r="BH19" s="16"/>
      <c r="BI19" s="16"/>
      <c r="BJ19" s="16"/>
      <c r="BK19" s="16"/>
      <c r="BL19" s="20" t="e">
        <f>IF(CONCATENATE(A19,B19,C19,D19,E19,F19,G19,H19,I19,J19,K19,L19,M19,N19,O19,P19,Q19,R19,S19,T19,U19,V19,W19,X19,Y19,Z19,AA19,AB19,AC19,AD19,AE19,AF19,AG19,AH19,AI19,AJ19,AK19,AL19,AM19,AN19,AO19,AP19,AQ19,AR19,AS19,AT19,AU19,AV19,AW19,AX19,AY19,AZ19,BA19,BB19,BC19,BD19,BE19,BF19,BG19,BH19,BI19,BJ19,BK19)=(CONCATENATE(#REF!,#REF!,#REF!,#REF!,#REF!,#REF!,#REF!,#REF!,#REF!,#REF!,#REF!,#REF!,#REF!,#REF!,#REF!,#REF!,#REF!,#REF!,#REF!,#REF!,#REF!,#REF!,#REF!,#REF!,#REF!,#REF!,#REF!,#REF!,#REF!,#REF!,#REF!,#REF!,#REF!,#REF!,#REF!,#REF!,#REF!,#REF!,#REF!,#REF!,#REF!,#REF!,#REF!,#REF!,#REF!,#REF!,#REF!,#REF!,#REF!,#REF!,#REF!,#REF!,#REF!,#REF!,#REF!,#REF!,#REF!,#REF!,#REF!,#REF!,#REF!,#REF!,#REF!)),0,1)</f>
        <v>#REF!</v>
      </c>
      <c r="BM19" s="39" t="s">
        <v>236</v>
      </c>
      <c r="BN19" s="13" t="s">
        <v>140</v>
      </c>
      <c r="BO19" s="48"/>
      <c r="BP19" s="35" t="str">
        <f t="shared" si="0"/>
        <v>FR</v>
      </c>
      <c r="BQ19" s="35" t="str">
        <f t="shared" si="1"/>
        <v>FS_PF_Energie Alter</v>
      </c>
      <c r="BR19" s="35" t="str">
        <f t="shared" si="2"/>
        <v>IVECO</v>
      </c>
      <c r="BS19" s="35" t="str">
        <f t="shared" si="3"/>
        <v>S-WAY</v>
      </c>
      <c r="BT19" s="35" t="str">
        <f t="shared" si="4"/>
        <v>AD190S40 G CF - 18 Pal - SUPRA 1150 S MT</v>
      </c>
      <c r="BU19" s="35">
        <f t="shared" si="5"/>
        <v>0</v>
      </c>
      <c r="BV19" s="13" t="s">
        <v>257</v>
      </c>
      <c r="BW19" s="5" t="s">
        <v>64</v>
      </c>
      <c r="BX19" s="35" t="str">
        <f t="shared" si="6"/>
        <v>H02</v>
      </c>
      <c r="BY19" s="44" t="str">
        <f t="shared" si="7"/>
        <v>FRFS_PF_Energie AlterAD190S40 G CF - 18 Pal - SUPRA 1150 S MTH02</v>
      </c>
      <c r="BZ19" s="48"/>
      <c r="CA19" s="35">
        <v>19000</v>
      </c>
      <c r="CB19" s="35">
        <v>19000</v>
      </c>
      <c r="CC19" s="35" t="e">
        <f>VLOOKUP(BY19,#REF!,20,0)</f>
        <v>#REF!</v>
      </c>
      <c r="CD19" s="48"/>
      <c r="CE19" s="36"/>
      <c r="CF19" s="36"/>
      <c r="CG19" s="36"/>
    </row>
    <row r="20" spans="1:85" ht="20.100000000000001" customHeight="1" x14ac:dyDescent="0.25">
      <c r="A20" s="13" t="s">
        <v>74</v>
      </c>
      <c r="B20" s="5" t="s">
        <v>239</v>
      </c>
      <c r="C20" s="5" t="s">
        <v>240</v>
      </c>
      <c r="D20" s="1"/>
      <c r="E20" s="13" t="s">
        <v>33</v>
      </c>
      <c r="F20" s="13" t="s">
        <v>212</v>
      </c>
      <c r="G20" s="1" t="s">
        <v>42</v>
      </c>
      <c r="H20" s="13" t="s">
        <v>29</v>
      </c>
      <c r="I20" s="13" t="s">
        <v>7</v>
      </c>
      <c r="J20" s="4"/>
      <c r="K20" s="5" t="s">
        <v>30</v>
      </c>
      <c r="L20" s="5"/>
      <c r="M20" s="13" t="s">
        <v>258</v>
      </c>
      <c r="N20" s="6" t="s">
        <v>63</v>
      </c>
      <c r="O20" s="37">
        <v>7692</v>
      </c>
      <c r="P20" s="37">
        <v>2454</v>
      </c>
      <c r="Q20" s="37">
        <v>2400</v>
      </c>
      <c r="R20" s="13"/>
      <c r="S20" s="13">
        <v>3830</v>
      </c>
      <c r="T20" s="13">
        <v>2600</v>
      </c>
      <c r="U20" s="13">
        <v>9897</v>
      </c>
      <c r="V20" s="13">
        <v>1265</v>
      </c>
      <c r="W20" s="13">
        <v>5670</v>
      </c>
      <c r="X20" s="13">
        <v>2865</v>
      </c>
      <c r="Y20" s="13"/>
      <c r="Z20" s="9">
        <v>18</v>
      </c>
      <c r="AA20" s="13" t="s">
        <v>320</v>
      </c>
      <c r="AB20" s="13">
        <v>19000</v>
      </c>
      <c r="AC20" s="17"/>
      <c r="AD20" s="14"/>
      <c r="AE20" s="14"/>
      <c r="AF20" s="14"/>
      <c r="AG20" s="14"/>
      <c r="AH20" s="13" t="s">
        <v>163</v>
      </c>
      <c r="AI20" s="13" t="s">
        <v>218</v>
      </c>
      <c r="AJ20" s="37" t="s">
        <v>238</v>
      </c>
      <c r="AK20" s="13" t="s">
        <v>223</v>
      </c>
      <c r="AL20" s="13" t="s">
        <v>154</v>
      </c>
      <c r="AM20" s="13" t="s">
        <v>233</v>
      </c>
      <c r="AN20" s="13" t="s">
        <v>204</v>
      </c>
      <c r="AO20" s="32" t="s">
        <v>213</v>
      </c>
      <c r="AP20" s="16"/>
      <c r="AQ20" s="16"/>
      <c r="AR20" s="16"/>
      <c r="AS20" s="16"/>
      <c r="AT20" s="16"/>
      <c r="AU20" s="16"/>
      <c r="AV20" s="16"/>
      <c r="AW20" s="16"/>
      <c r="AX20" s="16"/>
      <c r="AY20" s="16"/>
      <c r="AZ20" s="16"/>
      <c r="BA20" s="16"/>
      <c r="BB20" s="16"/>
      <c r="BC20" s="16"/>
      <c r="BD20" s="16"/>
      <c r="BE20" s="16"/>
      <c r="BF20" s="16"/>
      <c r="BG20" s="16"/>
      <c r="BH20" s="16"/>
      <c r="BI20" s="16"/>
      <c r="BJ20" s="16"/>
      <c r="BK20" s="16"/>
      <c r="BL20" s="20" t="e">
        <f>IF(CONCATENATE(A20,B20,C20,D20,E20,F20,G20,H20,I20,J20,K20,L20,M20,N20,O20,P20,Q20,R20,S20,T20,U20,V20,W20,X20,Y20,Z20,AA20,AB20,AC20,AD20,AE20,AF20,AG20,AH20,AI20,AJ20,AK20,AL20,AM20,AN20,AO20,AP20,AQ20,AR20,AS20,AT20,AU20,AV20,AW20,AX20,AY20,AZ20,BA20,BB20,BC20,BD20,BE20,BF20,BG20,BH20,BI20,BJ20,BK20)=(CONCATENATE(#REF!,#REF!,#REF!,#REF!,#REF!,#REF!,#REF!,#REF!,#REF!,#REF!,#REF!,#REF!,#REF!,#REF!,#REF!,#REF!,#REF!,#REF!,#REF!,#REF!,#REF!,#REF!,#REF!,#REF!,#REF!,#REF!,#REF!,#REF!,#REF!,#REF!,#REF!,#REF!,#REF!,#REF!,#REF!,#REF!,#REF!,#REF!,#REF!,#REF!,#REF!,#REF!,#REF!,#REF!,#REF!,#REF!,#REF!,#REF!,#REF!,#REF!,#REF!,#REF!,#REF!,#REF!,#REF!,#REF!,#REF!,#REF!,#REF!,#REF!,#REF!,#REF!,#REF!)),0,1)</f>
        <v>#REF!</v>
      </c>
      <c r="BM20" s="39" t="s">
        <v>236</v>
      </c>
      <c r="BN20" s="13" t="s">
        <v>136</v>
      </c>
      <c r="BO20" s="48"/>
      <c r="BP20" s="35" t="str">
        <f t="shared" si="0"/>
        <v>FR</v>
      </c>
      <c r="BQ20" s="35" t="str">
        <f t="shared" si="1"/>
        <v>FS_PF_Energie Alter</v>
      </c>
      <c r="BR20" s="35" t="str">
        <f t="shared" si="2"/>
        <v>IVECO</v>
      </c>
      <c r="BS20" s="35" t="str">
        <f t="shared" si="3"/>
        <v>S-WAY</v>
      </c>
      <c r="BT20" s="35" t="str">
        <f t="shared" si="4"/>
        <v>AD190S40 G CF - 18 Pal - SUPRA GAZ</v>
      </c>
      <c r="BU20" s="35">
        <f t="shared" si="5"/>
        <v>0</v>
      </c>
      <c r="BV20" s="13" t="s">
        <v>258</v>
      </c>
      <c r="BW20" s="6" t="s">
        <v>63</v>
      </c>
      <c r="BX20" s="35" t="str">
        <f t="shared" si="6"/>
        <v>H01</v>
      </c>
      <c r="BY20" s="44" t="str">
        <f t="shared" si="7"/>
        <v>FRFS_PF_Energie AlterAD190S40 G CF - 18 Pal - SUPRA GAZH01</v>
      </c>
      <c r="BZ20" s="48"/>
      <c r="CA20" s="35">
        <v>19000</v>
      </c>
      <c r="CB20" s="35">
        <v>19000</v>
      </c>
      <c r="CC20" s="35" t="e">
        <f>VLOOKUP(BY20,#REF!,20,0)</f>
        <v>#REF!</v>
      </c>
      <c r="CD20" s="48"/>
      <c r="CE20" s="36"/>
      <c r="CF20" s="36"/>
      <c r="CG20" s="36"/>
    </row>
    <row r="21" spans="1:85" ht="20.100000000000001" customHeight="1" x14ac:dyDescent="0.25">
      <c r="A21" s="13" t="s">
        <v>74</v>
      </c>
      <c r="B21" s="5" t="s">
        <v>239</v>
      </c>
      <c r="C21" s="5" t="s">
        <v>240</v>
      </c>
      <c r="D21" s="1"/>
      <c r="E21" s="13" t="s">
        <v>33</v>
      </c>
      <c r="F21" s="13" t="s">
        <v>212</v>
      </c>
      <c r="G21" s="1" t="s">
        <v>42</v>
      </c>
      <c r="H21" s="13" t="s">
        <v>12</v>
      </c>
      <c r="I21" s="13" t="s">
        <v>7</v>
      </c>
      <c r="J21" s="4"/>
      <c r="K21" s="5" t="s">
        <v>30</v>
      </c>
      <c r="L21" s="5"/>
      <c r="M21" s="13" t="s">
        <v>259</v>
      </c>
      <c r="N21" s="5" t="s">
        <v>64</v>
      </c>
      <c r="O21" s="37">
        <v>7692</v>
      </c>
      <c r="P21" s="37">
        <v>2454</v>
      </c>
      <c r="Q21" s="37">
        <v>2400</v>
      </c>
      <c r="R21" s="13"/>
      <c r="S21" s="13">
        <v>3830</v>
      </c>
      <c r="T21" s="13">
        <v>2600</v>
      </c>
      <c r="U21" s="13">
        <v>9897</v>
      </c>
      <c r="V21" s="13">
        <v>1265</v>
      </c>
      <c r="W21" s="13">
        <v>5670</v>
      </c>
      <c r="X21" s="13">
        <v>2865</v>
      </c>
      <c r="Y21" s="13"/>
      <c r="Z21" s="9">
        <v>18</v>
      </c>
      <c r="AA21" s="13" t="s">
        <v>304</v>
      </c>
      <c r="AB21" s="13">
        <v>19000</v>
      </c>
      <c r="AC21" s="17"/>
      <c r="AD21" s="14"/>
      <c r="AE21" s="14"/>
      <c r="AF21" s="14"/>
      <c r="AG21" s="14"/>
      <c r="AH21" s="13" t="s">
        <v>163</v>
      </c>
      <c r="AI21" s="13" t="s">
        <v>218</v>
      </c>
      <c r="AJ21" s="37" t="s">
        <v>238</v>
      </c>
      <c r="AK21" s="13" t="s">
        <v>223</v>
      </c>
      <c r="AL21" s="13" t="s">
        <v>155</v>
      </c>
      <c r="AM21" s="13" t="s">
        <v>232</v>
      </c>
      <c r="AN21" s="13" t="s">
        <v>204</v>
      </c>
      <c r="AO21" s="32" t="s">
        <v>222</v>
      </c>
      <c r="AP21" s="16"/>
      <c r="AQ21" s="16"/>
      <c r="AR21" s="16"/>
      <c r="AS21" s="16"/>
      <c r="AT21" s="16"/>
      <c r="AU21" s="16"/>
      <c r="AV21" s="16"/>
      <c r="AW21" s="16"/>
      <c r="AX21" s="16"/>
      <c r="AY21" s="16"/>
      <c r="AZ21" s="16"/>
      <c r="BA21" s="16"/>
      <c r="BB21" s="16"/>
      <c r="BC21" s="16"/>
      <c r="BD21" s="16"/>
      <c r="BE21" s="16"/>
      <c r="BF21" s="16"/>
      <c r="BG21" s="16"/>
      <c r="BH21" s="16"/>
      <c r="BI21" s="16"/>
      <c r="BJ21" s="16"/>
      <c r="BK21" s="16"/>
      <c r="BL21" s="20" t="e">
        <f>IF(CONCATENATE(A21,B21,C21,D21,E21,F21,G21,H21,I21,J21,K21,L21,M21,N21,O21,P21,Q21,R21,S21,T21,U21,V21,W21,X21,Y21,Z21,AA21,AB21,AC21,AD21,AE21,AF21,AG21,AH21,AI21,AJ21,AK21,AL21,AM21,AN21,AO21,AP21,AQ21,AR21,AS21,AT21,AU21,AV21,AW21,AX21,AY21,AZ21,BA21,BB21,BC21,BD21,BE21,BF21,BG21,BH21,BI21,BJ21,BK21)=(CONCATENATE(#REF!,#REF!,#REF!,#REF!,#REF!,#REF!,#REF!,#REF!,#REF!,#REF!,#REF!,#REF!,#REF!,#REF!,#REF!,#REF!,#REF!,#REF!,#REF!,#REF!,#REF!,#REF!,#REF!,#REF!,#REF!,#REF!,#REF!,#REF!,#REF!,#REF!,#REF!,#REF!,#REF!,#REF!,#REF!,#REF!,#REF!,#REF!,#REF!,#REF!,#REF!,#REF!,#REF!,#REF!,#REF!,#REF!,#REF!,#REF!,#REF!,#REF!,#REF!,#REF!,#REF!,#REF!,#REF!,#REF!,#REF!,#REF!,#REF!,#REF!,#REF!,#REF!,#REF!)),0,1)</f>
        <v>#REF!</v>
      </c>
      <c r="BM21" s="39" t="s">
        <v>236</v>
      </c>
      <c r="BN21" s="13" t="s">
        <v>140</v>
      </c>
      <c r="BO21" s="48"/>
      <c r="BP21" s="35" t="str">
        <f t="shared" si="0"/>
        <v>FR</v>
      </c>
      <c r="BQ21" s="35" t="str">
        <f t="shared" si="1"/>
        <v>FS_PF_Energie Alter</v>
      </c>
      <c r="BR21" s="35" t="str">
        <f t="shared" si="2"/>
        <v>IVECO</v>
      </c>
      <c r="BS21" s="35" t="str">
        <f t="shared" si="3"/>
        <v>S-WAY</v>
      </c>
      <c r="BT21" s="35" t="str">
        <f t="shared" si="4"/>
        <v>AD190S40 G CF - 18 Pal - SUPRA GAZ MT</v>
      </c>
      <c r="BU21" s="35">
        <f t="shared" si="5"/>
        <v>0</v>
      </c>
      <c r="BV21" s="13" t="s">
        <v>259</v>
      </c>
      <c r="BW21" s="5" t="s">
        <v>64</v>
      </c>
      <c r="BX21" s="35" t="str">
        <f t="shared" si="6"/>
        <v>H02</v>
      </c>
      <c r="BY21" s="44" t="str">
        <f t="shared" si="7"/>
        <v>FRFS_PF_Energie AlterAD190S40 G CF - 18 Pal - SUPRA GAZ MTH02</v>
      </c>
      <c r="BZ21" s="48"/>
      <c r="CA21" s="35">
        <v>19000</v>
      </c>
      <c r="CB21" s="35">
        <v>19000</v>
      </c>
      <c r="CC21" s="35" t="e">
        <f>VLOOKUP(BY21,#REF!,20,0)</f>
        <v>#REF!</v>
      </c>
      <c r="CD21" s="48"/>
      <c r="CE21" s="36"/>
      <c r="CF21" s="36"/>
      <c r="CG21" s="36"/>
    </row>
    <row r="22" spans="1:85" ht="20.100000000000001" customHeight="1" x14ac:dyDescent="0.25">
      <c r="A22" s="13" t="s">
        <v>74</v>
      </c>
      <c r="B22" s="5" t="s">
        <v>239</v>
      </c>
      <c r="C22" s="5" t="s">
        <v>240</v>
      </c>
      <c r="D22" s="1"/>
      <c r="E22" s="13" t="s">
        <v>33</v>
      </c>
      <c r="F22" s="13" t="s">
        <v>212</v>
      </c>
      <c r="G22" s="1" t="s">
        <v>42</v>
      </c>
      <c r="H22" s="13" t="s">
        <v>29</v>
      </c>
      <c r="I22" s="13" t="s">
        <v>7</v>
      </c>
      <c r="J22" s="4"/>
      <c r="K22" s="5" t="s">
        <v>30</v>
      </c>
      <c r="L22" s="5"/>
      <c r="M22" s="13" t="s">
        <v>272</v>
      </c>
      <c r="N22" s="6" t="s">
        <v>63</v>
      </c>
      <c r="O22" s="37">
        <v>7692</v>
      </c>
      <c r="P22" s="37">
        <v>2454</v>
      </c>
      <c r="Q22" s="37">
        <v>2400</v>
      </c>
      <c r="R22" s="13"/>
      <c r="S22" s="13">
        <v>3830</v>
      </c>
      <c r="T22" s="13">
        <v>2600</v>
      </c>
      <c r="U22" s="13">
        <v>9897</v>
      </c>
      <c r="V22" s="13">
        <v>1265</v>
      </c>
      <c r="W22" s="13">
        <v>5670</v>
      </c>
      <c r="X22" s="13">
        <v>2865</v>
      </c>
      <c r="Y22" s="13"/>
      <c r="Z22" s="9">
        <v>18</v>
      </c>
      <c r="AA22" s="13" t="s">
        <v>330</v>
      </c>
      <c r="AB22" s="13">
        <v>19000</v>
      </c>
      <c r="AC22" s="17"/>
      <c r="AD22" s="14"/>
      <c r="AE22" s="14"/>
      <c r="AF22" s="14"/>
      <c r="AG22" s="14"/>
      <c r="AH22" s="13" t="s">
        <v>163</v>
      </c>
      <c r="AI22" s="13" t="s">
        <v>218</v>
      </c>
      <c r="AJ22" s="37" t="s">
        <v>238</v>
      </c>
      <c r="AK22" s="13" t="s">
        <v>223</v>
      </c>
      <c r="AL22" s="13" t="s">
        <v>154</v>
      </c>
      <c r="AM22" s="13" t="s">
        <v>338</v>
      </c>
      <c r="AN22" s="13" t="s">
        <v>204</v>
      </c>
      <c r="AO22" s="32" t="s">
        <v>213</v>
      </c>
      <c r="AP22" s="16"/>
      <c r="AQ22" s="16"/>
      <c r="AR22" s="16"/>
      <c r="AS22" s="16"/>
      <c r="AT22" s="16"/>
      <c r="AU22" s="16"/>
      <c r="AV22" s="16"/>
      <c r="AW22" s="16"/>
      <c r="AX22" s="16"/>
      <c r="AY22" s="16"/>
      <c r="AZ22" s="16"/>
      <c r="BA22" s="16"/>
      <c r="BB22" s="16"/>
      <c r="BC22" s="16"/>
      <c r="BD22" s="16"/>
      <c r="BE22" s="16"/>
      <c r="BF22" s="16"/>
      <c r="BG22" s="16"/>
      <c r="BH22" s="16"/>
      <c r="BI22" s="16"/>
      <c r="BJ22" s="16"/>
      <c r="BK22" s="16"/>
      <c r="BL22" s="20" t="e">
        <f>IF(CONCATENATE(A22,B22,C22,D22,E22,F22,G22,H22,I22,J22,K22,L22,M22,N22,O22,P22,Q22,R22,S22,T22,U22,V22,W22,X22,Y22,Z22,AA22,AB22,AC22,AD22,AE22,AF22,AG22,AH22,AI22,AJ22,AK22,AL22,AM22,AN22,AO22,AP22,AQ22,AR22,AS22,AT22,AU22,AV22,AW22,AX22,AY22,AZ22,BA22,BB22,BC22,BD22,BE22,BF22,BG22,BH22,BI22,BJ22,BK22)=(CONCATENATE(#REF!,#REF!,#REF!,#REF!,#REF!,#REF!,#REF!,#REF!,#REF!,#REF!,#REF!,#REF!,#REF!,#REF!,#REF!,#REF!,#REF!,#REF!,#REF!,#REF!,#REF!,#REF!,#REF!,#REF!,#REF!,#REF!,#REF!,#REF!,#REF!,#REF!,#REF!,#REF!,#REF!,#REF!,#REF!,#REF!,#REF!,#REF!,#REF!,#REF!,#REF!,#REF!,#REF!,#REF!,#REF!,#REF!,#REF!,#REF!,#REF!,#REF!,#REF!,#REF!,#REF!,#REF!,#REF!,#REF!,#REF!,#REF!,#REF!,#REF!,#REF!,#REF!,#REF!)),0,1)</f>
        <v>#REF!</v>
      </c>
      <c r="BM22" s="39" t="s">
        <v>236</v>
      </c>
      <c r="BN22" s="13" t="s">
        <v>136</v>
      </c>
      <c r="BO22" s="48"/>
      <c r="BP22" s="35" t="str">
        <f t="shared" si="0"/>
        <v>FR</v>
      </c>
      <c r="BQ22" s="35" t="str">
        <f t="shared" si="1"/>
        <v>FS_PF_Energie Alter</v>
      </c>
      <c r="BR22" s="35" t="str">
        <f t="shared" si="2"/>
        <v>IVECO</v>
      </c>
      <c r="BS22" s="35" t="str">
        <f t="shared" si="3"/>
        <v>S-WAY</v>
      </c>
      <c r="BT22" s="35" t="str">
        <f t="shared" si="4"/>
        <v>AD190S40 G CF - 18 Pal - CARRIER SYBERIA</v>
      </c>
      <c r="BU22" s="35">
        <f t="shared" si="5"/>
        <v>0</v>
      </c>
      <c r="BV22" s="13" t="s">
        <v>272</v>
      </c>
      <c r="BW22" s="6" t="s">
        <v>63</v>
      </c>
      <c r="BX22" s="35" t="str">
        <f t="shared" si="6"/>
        <v>H01</v>
      </c>
      <c r="BY22" s="44" t="str">
        <f t="shared" si="7"/>
        <v>FRFS_PF_Energie AlterAD190S40 G CF - 18 Pal - CARRIER SYBERIAH01</v>
      </c>
      <c r="BZ22" s="48"/>
      <c r="CA22" s="35">
        <v>19000</v>
      </c>
      <c r="CB22" s="35">
        <v>19000</v>
      </c>
      <c r="CC22" s="35" t="e">
        <f>VLOOKUP(BY22,#REF!,20,0)</f>
        <v>#REF!</v>
      </c>
      <c r="CD22" s="48"/>
      <c r="CE22" s="36"/>
      <c r="CF22" s="36"/>
      <c r="CG22" s="36"/>
    </row>
    <row r="23" spans="1:85" ht="20.100000000000001" customHeight="1" x14ac:dyDescent="0.25">
      <c r="A23" s="13" t="s">
        <v>74</v>
      </c>
      <c r="B23" s="5" t="s">
        <v>239</v>
      </c>
      <c r="C23" s="5" t="s">
        <v>240</v>
      </c>
      <c r="D23" s="1"/>
      <c r="E23" s="13" t="s">
        <v>33</v>
      </c>
      <c r="F23" s="13" t="s">
        <v>212</v>
      </c>
      <c r="G23" s="1" t="s">
        <v>42</v>
      </c>
      <c r="H23" s="13" t="s">
        <v>12</v>
      </c>
      <c r="I23" s="13" t="s">
        <v>7</v>
      </c>
      <c r="J23" s="4"/>
      <c r="K23" s="5" t="s">
        <v>30</v>
      </c>
      <c r="L23" s="5"/>
      <c r="M23" s="13" t="s">
        <v>273</v>
      </c>
      <c r="N23" s="5" t="s">
        <v>64</v>
      </c>
      <c r="O23" s="37">
        <v>7692</v>
      </c>
      <c r="P23" s="37">
        <v>2454</v>
      </c>
      <c r="Q23" s="37">
        <v>2400</v>
      </c>
      <c r="R23" s="13"/>
      <c r="S23" s="13">
        <v>3830</v>
      </c>
      <c r="T23" s="13">
        <v>2600</v>
      </c>
      <c r="U23" s="13">
        <v>9897</v>
      </c>
      <c r="V23" s="13">
        <v>1265</v>
      </c>
      <c r="W23" s="13">
        <v>5670</v>
      </c>
      <c r="X23" s="13">
        <v>2865</v>
      </c>
      <c r="Y23" s="13"/>
      <c r="Z23" s="9">
        <v>18</v>
      </c>
      <c r="AA23" s="13" t="s">
        <v>331</v>
      </c>
      <c r="AB23" s="13">
        <v>19000</v>
      </c>
      <c r="AC23" s="17"/>
      <c r="AD23" s="14"/>
      <c r="AE23" s="14"/>
      <c r="AF23" s="14"/>
      <c r="AG23" s="14"/>
      <c r="AH23" s="13" t="s">
        <v>163</v>
      </c>
      <c r="AI23" s="13" t="s">
        <v>218</v>
      </c>
      <c r="AJ23" s="37" t="s">
        <v>238</v>
      </c>
      <c r="AK23" s="13" t="s">
        <v>223</v>
      </c>
      <c r="AL23" s="13" t="s">
        <v>155</v>
      </c>
      <c r="AM23" s="13" t="s">
        <v>339</v>
      </c>
      <c r="AN23" s="13" t="s">
        <v>204</v>
      </c>
      <c r="AO23" s="32" t="s">
        <v>222</v>
      </c>
      <c r="AP23" s="16"/>
      <c r="AQ23" s="16"/>
      <c r="AR23" s="16"/>
      <c r="AS23" s="16"/>
      <c r="AT23" s="16"/>
      <c r="AU23" s="16"/>
      <c r="AV23" s="16"/>
      <c r="AW23" s="16"/>
      <c r="AX23" s="16"/>
      <c r="AY23" s="16"/>
      <c r="AZ23" s="16"/>
      <c r="BA23" s="16"/>
      <c r="BB23" s="16"/>
      <c r="BC23" s="16"/>
      <c r="BD23" s="16"/>
      <c r="BE23" s="16"/>
      <c r="BF23" s="16"/>
      <c r="BG23" s="16"/>
      <c r="BH23" s="16"/>
      <c r="BI23" s="16"/>
      <c r="BJ23" s="16"/>
      <c r="BK23" s="16"/>
      <c r="BL23" s="20" t="e">
        <f>IF(CONCATENATE(A23,B23,C23,D23,E23,F23,G23,H23,I23,J23,K23,L23,M23,N23,O23,P23,Q23,R23,S23,T23,U23,V23,W23,X23,Y23,Z23,AA23,AB23,AC23,AD23,AE23,AF23,AG23,AH23,AI23,AJ23,AK23,AL23,AM23,AN23,AO23,AP23,AQ23,AR23,AS23,AT23,AU23,AV23,AW23,AX23,AY23,AZ23,BA23,BB23,BC23,BD23,BE23,BF23,BG23,BH23,BI23,BJ23,BK23)=(CONCATENATE(#REF!,#REF!,#REF!,#REF!,#REF!,#REF!,#REF!,#REF!,#REF!,#REF!,#REF!,#REF!,#REF!,#REF!,#REF!,#REF!,#REF!,#REF!,#REF!,#REF!,#REF!,#REF!,#REF!,#REF!,#REF!,#REF!,#REF!,#REF!,#REF!,#REF!,#REF!,#REF!,#REF!,#REF!,#REF!,#REF!,#REF!,#REF!,#REF!,#REF!,#REF!,#REF!,#REF!,#REF!,#REF!,#REF!,#REF!,#REF!,#REF!,#REF!,#REF!,#REF!,#REF!,#REF!,#REF!,#REF!,#REF!,#REF!,#REF!,#REF!,#REF!,#REF!,#REF!)),0,1)</f>
        <v>#REF!</v>
      </c>
      <c r="BM23" s="39" t="s">
        <v>236</v>
      </c>
      <c r="BN23" s="13" t="s">
        <v>140</v>
      </c>
      <c r="BO23" s="48"/>
      <c r="BP23" s="35" t="str">
        <f t="shared" si="0"/>
        <v>FR</v>
      </c>
      <c r="BQ23" s="35" t="str">
        <f t="shared" si="1"/>
        <v>FS_PF_Energie Alter</v>
      </c>
      <c r="BR23" s="35" t="str">
        <f t="shared" si="2"/>
        <v>IVECO</v>
      </c>
      <c r="BS23" s="35" t="str">
        <f t="shared" si="3"/>
        <v>S-WAY</v>
      </c>
      <c r="BT23" s="35" t="str">
        <f t="shared" si="4"/>
        <v>AD190S40 G CF - 18 Pal - CARRIER SYBERIA MT</v>
      </c>
      <c r="BU23" s="35">
        <f t="shared" si="5"/>
        <v>0</v>
      </c>
      <c r="BV23" s="13" t="s">
        <v>273</v>
      </c>
      <c r="BW23" s="5" t="s">
        <v>64</v>
      </c>
      <c r="BX23" s="35" t="str">
        <f t="shared" si="6"/>
        <v>H02</v>
      </c>
      <c r="BY23" s="44" t="str">
        <f t="shared" si="7"/>
        <v>FRFS_PF_Energie AlterAD190S40 G CF - 18 Pal - CARRIER SYBERIA MTH02</v>
      </c>
      <c r="BZ23" s="48"/>
      <c r="CA23" s="35">
        <v>19000</v>
      </c>
      <c r="CB23" s="35">
        <v>19000</v>
      </c>
      <c r="CC23" s="35" t="e">
        <f>VLOOKUP(BY23,#REF!,20,0)</f>
        <v>#REF!</v>
      </c>
      <c r="CD23" s="48"/>
      <c r="CE23" s="36"/>
      <c r="CF23" s="36"/>
      <c r="CG23" s="36"/>
    </row>
    <row r="24" spans="1:85" ht="20.100000000000001" customHeight="1" x14ac:dyDescent="0.25">
      <c r="A24" s="13" t="s">
        <v>74</v>
      </c>
      <c r="B24" s="5" t="s">
        <v>239</v>
      </c>
      <c r="C24" s="5" t="s">
        <v>240</v>
      </c>
      <c r="D24" s="1"/>
      <c r="E24" s="13" t="s">
        <v>33</v>
      </c>
      <c r="F24" s="13" t="s">
        <v>212</v>
      </c>
      <c r="G24" s="1" t="s">
        <v>42</v>
      </c>
      <c r="H24" s="13" t="s">
        <v>29</v>
      </c>
      <c r="I24" s="13" t="s">
        <v>7</v>
      </c>
      <c r="J24" s="4"/>
      <c r="K24" s="5" t="s">
        <v>30</v>
      </c>
      <c r="L24" s="5"/>
      <c r="M24" s="13" t="s">
        <v>260</v>
      </c>
      <c r="N24" s="6" t="s">
        <v>63</v>
      </c>
      <c r="O24" s="37">
        <v>7692</v>
      </c>
      <c r="P24" s="37">
        <v>2454</v>
      </c>
      <c r="Q24" s="37">
        <v>2400</v>
      </c>
      <c r="R24" s="13"/>
      <c r="S24" s="13">
        <v>3830</v>
      </c>
      <c r="T24" s="13">
        <v>2600</v>
      </c>
      <c r="U24" s="13">
        <v>9897</v>
      </c>
      <c r="V24" s="13">
        <v>1265</v>
      </c>
      <c r="W24" s="13">
        <v>5670</v>
      </c>
      <c r="X24" s="13">
        <v>2865</v>
      </c>
      <c r="Y24" s="13"/>
      <c r="Z24" s="9">
        <v>18</v>
      </c>
      <c r="AA24" s="13" t="s">
        <v>321</v>
      </c>
      <c r="AB24" s="13">
        <v>19000</v>
      </c>
      <c r="AC24" s="17"/>
      <c r="AD24" s="14"/>
      <c r="AE24" s="14"/>
      <c r="AF24" s="14"/>
      <c r="AG24" s="14"/>
      <c r="AH24" s="13" t="s">
        <v>163</v>
      </c>
      <c r="AI24" s="13" t="s">
        <v>218</v>
      </c>
      <c r="AJ24" s="37" t="s">
        <v>238</v>
      </c>
      <c r="AK24" s="13" t="s">
        <v>223</v>
      </c>
      <c r="AL24" s="13" t="s">
        <v>154</v>
      </c>
      <c r="AM24" s="13" t="s">
        <v>234</v>
      </c>
      <c r="AN24" s="13" t="s">
        <v>204</v>
      </c>
      <c r="AO24" s="32" t="s">
        <v>213</v>
      </c>
      <c r="AP24" s="16"/>
      <c r="AQ24" s="16"/>
      <c r="AR24" s="16"/>
      <c r="AS24" s="16"/>
      <c r="AT24" s="16"/>
      <c r="AU24" s="16"/>
      <c r="AV24" s="16"/>
      <c r="AW24" s="16"/>
      <c r="AX24" s="16"/>
      <c r="AY24" s="16"/>
      <c r="AZ24" s="16"/>
      <c r="BA24" s="16"/>
      <c r="BB24" s="16"/>
      <c r="BC24" s="16"/>
      <c r="BD24" s="16"/>
      <c r="BE24" s="16"/>
      <c r="BF24" s="16"/>
      <c r="BG24" s="16"/>
      <c r="BH24" s="16"/>
      <c r="BI24" s="16"/>
      <c r="BJ24" s="16"/>
      <c r="BK24" s="16"/>
      <c r="BL24" s="20" t="e">
        <f>IF(CONCATENATE(A24,B24,C24,D24,E24,F24,G24,H24,I24,J24,K24,L24,M24,N24,O24,P24,Q24,R24,S24,T24,U24,V24,W24,X24,Y24,Z24,AA24,AB24,AC24,AD24,AE24,AF24,AG24,AH24,AI24,AJ24,AK24,AL24,AM24,AN24,AO24,AP24,AQ24,AR24,AS24,AT24,AU24,AV24,AW24,AX24,AY24,AZ24,BA24,BB24,BC24,BD24,BE24,BF24,BG24,BH24,BI24,BJ24,BK24)=(CONCATENATE(#REF!,#REF!,#REF!,#REF!,#REF!,#REF!,#REF!,#REF!,#REF!,#REF!,#REF!,#REF!,#REF!,#REF!,#REF!,#REF!,#REF!,#REF!,#REF!,#REF!,#REF!,#REF!,#REF!,#REF!,#REF!,#REF!,#REF!,#REF!,#REF!,#REF!,#REF!,#REF!,#REF!,#REF!,#REF!,#REF!,#REF!,#REF!,#REF!,#REF!,#REF!,#REF!,#REF!,#REF!,#REF!,#REF!,#REF!,#REF!,#REF!,#REF!,#REF!,#REF!,#REF!,#REF!,#REF!,#REF!,#REF!,#REF!,#REF!,#REF!,#REF!,#REF!,#REF!)),0,1)</f>
        <v>#REF!</v>
      </c>
      <c r="BM24" s="39" t="s">
        <v>236</v>
      </c>
      <c r="BN24" s="13" t="s">
        <v>136</v>
      </c>
      <c r="BO24" s="48"/>
      <c r="BP24" s="35" t="str">
        <f t="shared" si="0"/>
        <v>FR</v>
      </c>
      <c r="BQ24" s="35" t="str">
        <f t="shared" si="1"/>
        <v>FS_PF_Energie Alter</v>
      </c>
      <c r="BR24" s="35" t="str">
        <f t="shared" si="2"/>
        <v>IVECO</v>
      </c>
      <c r="BS24" s="35" t="str">
        <f t="shared" si="3"/>
        <v>S-WAY</v>
      </c>
      <c r="BT24" s="35" t="str">
        <f t="shared" si="4"/>
        <v>AD190S40 G CF - 18 Pal - FK 25</v>
      </c>
      <c r="BU24" s="35">
        <f t="shared" si="5"/>
        <v>0</v>
      </c>
      <c r="BV24" s="13" t="s">
        <v>260</v>
      </c>
      <c r="BW24" s="6" t="s">
        <v>63</v>
      </c>
      <c r="BX24" s="35" t="str">
        <f t="shared" si="6"/>
        <v>H01</v>
      </c>
      <c r="BY24" s="44" t="str">
        <f t="shared" si="7"/>
        <v>FRFS_PF_Energie AlterAD190S40 G CF - 18 Pal - FK 25H01</v>
      </c>
      <c r="BZ24" s="48"/>
      <c r="CA24" s="35">
        <v>19000</v>
      </c>
      <c r="CB24" s="35">
        <v>19000</v>
      </c>
      <c r="CC24" s="35" t="e">
        <f>VLOOKUP(BY24,#REF!,20,0)</f>
        <v>#REF!</v>
      </c>
      <c r="CD24" s="48"/>
      <c r="CE24" s="36"/>
      <c r="CF24" s="36"/>
      <c r="CG24" s="36"/>
    </row>
    <row r="25" spans="1:85" ht="20.100000000000001" customHeight="1" x14ac:dyDescent="0.25">
      <c r="A25" s="13" t="s">
        <v>74</v>
      </c>
      <c r="B25" s="5" t="s">
        <v>239</v>
      </c>
      <c r="C25" s="5" t="s">
        <v>240</v>
      </c>
      <c r="D25" s="1"/>
      <c r="E25" s="13" t="s">
        <v>33</v>
      </c>
      <c r="F25" s="13" t="s">
        <v>212</v>
      </c>
      <c r="G25" s="1" t="s">
        <v>42</v>
      </c>
      <c r="H25" s="13" t="s">
        <v>12</v>
      </c>
      <c r="I25" s="13" t="s">
        <v>7</v>
      </c>
      <c r="J25" s="4"/>
      <c r="K25" s="5" t="s">
        <v>30</v>
      </c>
      <c r="L25" s="5"/>
      <c r="M25" s="13" t="s">
        <v>261</v>
      </c>
      <c r="N25" s="5" t="s">
        <v>64</v>
      </c>
      <c r="O25" s="37">
        <v>7692</v>
      </c>
      <c r="P25" s="37">
        <v>2454</v>
      </c>
      <c r="Q25" s="37">
        <v>2400</v>
      </c>
      <c r="R25" s="13"/>
      <c r="S25" s="13">
        <v>3830</v>
      </c>
      <c r="T25" s="13">
        <v>2600</v>
      </c>
      <c r="U25" s="13">
        <v>9897</v>
      </c>
      <c r="V25" s="13">
        <v>1265</v>
      </c>
      <c r="W25" s="13">
        <v>5670</v>
      </c>
      <c r="X25" s="13">
        <v>2865</v>
      </c>
      <c r="Y25" s="13"/>
      <c r="Z25" s="9">
        <v>18</v>
      </c>
      <c r="AA25" s="13" t="s">
        <v>305</v>
      </c>
      <c r="AB25" s="13">
        <v>19000</v>
      </c>
      <c r="AC25" s="17"/>
      <c r="AD25" s="14"/>
      <c r="AE25" s="14"/>
      <c r="AF25" s="14"/>
      <c r="AG25" s="14"/>
      <c r="AH25" s="13" t="s">
        <v>163</v>
      </c>
      <c r="AI25" s="13" t="s">
        <v>218</v>
      </c>
      <c r="AJ25" s="37" t="s">
        <v>238</v>
      </c>
      <c r="AK25" s="13" t="s">
        <v>223</v>
      </c>
      <c r="AL25" s="13" t="s">
        <v>155</v>
      </c>
      <c r="AM25" s="13" t="s">
        <v>235</v>
      </c>
      <c r="AN25" s="13" t="s">
        <v>204</v>
      </c>
      <c r="AO25" s="32" t="s">
        <v>222</v>
      </c>
      <c r="AP25" s="16"/>
      <c r="AQ25" s="16"/>
      <c r="AR25" s="16"/>
      <c r="AS25" s="16"/>
      <c r="AT25" s="16"/>
      <c r="AU25" s="16"/>
      <c r="AV25" s="16"/>
      <c r="AW25" s="16"/>
      <c r="AX25" s="16"/>
      <c r="AY25" s="16"/>
      <c r="AZ25" s="16"/>
      <c r="BA25" s="16"/>
      <c r="BB25" s="16"/>
      <c r="BC25" s="16"/>
      <c r="BD25" s="16"/>
      <c r="BE25" s="16"/>
      <c r="BF25" s="16"/>
      <c r="BG25" s="16"/>
      <c r="BH25" s="16"/>
      <c r="BI25" s="16"/>
      <c r="BJ25" s="16"/>
      <c r="BK25" s="16"/>
      <c r="BL25" s="20" t="e">
        <f>IF(CONCATENATE(A25,B25,C25,D25,E25,F25,G25,H25,I25,J25,K25,L25,M25,N25,O25,P25,Q25,R25,S25,T25,U25,V25,W25,X25,Y25,Z25,AA25,AB25,AC25,AD25,AE25,AF25,AG25,AH25,AI25,AJ25,AK25,AL25,AM25,AN25,AO25,AP25,AQ25,AR25,AS25,AT25,AU25,AV25,AW25,AX25,AY25,AZ25,BA25,BB25,BC25,BD25,BE25,BF25,BG25,BH25,BI25,BJ25,BK25)=(CONCATENATE(#REF!,#REF!,#REF!,#REF!,#REF!,#REF!,#REF!,#REF!,#REF!,#REF!,#REF!,#REF!,#REF!,#REF!,#REF!,#REF!,#REF!,#REF!,#REF!,#REF!,#REF!,#REF!,#REF!,#REF!,#REF!,#REF!,#REF!,#REF!,#REF!,#REF!,#REF!,#REF!,#REF!,#REF!,#REF!,#REF!,#REF!,#REF!,#REF!,#REF!,#REF!,#REF!,#REF!,#REF!,#REF!,#REF!,#REF!,#REF!,#REF!,#REF!,#REF!,#REF!,#REF!,#REF!,#REF!,#REF!,#REF!,#REF!,#REF!,#REF!,#REF!,#REF!,#REF!)),0,1)</f>
        <v>#REF!</v>
      </c>
      <c r="BM25" s="39" t="s">
        <v>236</v>
      </c>
      <c r="BN25" s="13" t="s">
        <v>140</v>
      </c>
      <c r="BO25" s="48"/>
      <c r="BP25" s="35" t="str">
        <f t="shared" si="0"/>
        <v>FR</v>
      </c>
      <c r="BQ25" s="35" t="str">
        <f t="shared" si="1"/>
        <v>FS_PF_Energie Alter</v>
      </c>
      <c r="BR25" s="35" t="str">
        <f t="shared" si="2"/>
        <v>IVECO</v>
      </c>
      <c r="BS25" s="35" t="str">
        <f t="shared" si="3"/>
        <v>S-WAY</v>
      </c>
      <c r="BT25" s="35" t="str">
        <f t="shared" si="4"/>
        <v>AD190S40 G CF - 18 Pal - FK 25I MT</v>
      </c>
      <c r="BU25" s="35">
        <f t="shared" si="5"/>
        <v>0</v>
      </c>
      <c r="BV25" s="13" t="s">
        <v>261</v>
      </c>
      <c r="BW25" s="5" t="s">
        <v>64</v>
      </c>
      <c r="BX25" s="35" t="str">
        <f t="shared" si="6"/>
        <v>H02</v>
      </c>
      <c r="BY25" s="44" t="str">
        <f t="shared" si="7"/>
        <v>FRFS_PF_Energie AlterAD190S40 G CF - 18 Pal - FK 25I MTH02</v>
      </c>
      <c r="BZ25" s="48"/>
      <c r="CA25" s="35">
        <v>19000</v>
      </c>
      <c r="CB25" s="35">
        <v>19000</v>
      </c>
      <c r="CC25" s="35" t="e">
        <f>VLOOKUP(BY25,#REF!,20,0)</f>
        <v>#REF!</v>
      </c>
      <c r="CD25" s="48"/>
      <c r="CE25" s="36"/>
      <c r="CF25" s="36"/>
      <c r="CG25" s="36"/>
    </row>
    <row r="26" spans="1:85" ht="20.100000000000001" customHeight="1" x14ac:dyDescent="0.25">
      <c r="A26" s="13" t="s">
        <v>74</v>
      </c>
      <c r="B26" s="5" t="s">
        <v>239</v>
      </c>
      <c r="C26" s="5" t="s">
        <v>240</v>
      </c>
      <c r="D26" s="1"/>
      <c r="E26" s="13" t="s">
        <v>33</v>
      </c>
      <c r="F26" s="13" t="s">
        <v>212</v>
      </c>
      <c r="G26" s="1" t="s">
        <v>43</v>
      </c>
      <c r="H26" s="13" t="s">
        <v>29</v>
      </c>
      <c r="I26" s="13" t="s">
        <v>7</v>
      </c>
      <c r="J26" s="4"/>
      <c r="K26" s="5" t="s">
        <v>30</v>
      </c>
      <c r="L26" s="5"/>
      <c r="M26" s="13" t="s">
        <v>262</v>
      </c>
      <c r="N26" s="6" t="s">
        <v>63</v>
      </c>
      <c r="O26" s="37">
        <v>8892</v>
      </c>
      <c r="P26" s="37">
        <v>2454</v>
      </c>
      <c r="Q26" s="37">
        <v>2400</v>
      </c>
      <c r="R26" s="13"/>
      <c r="S26" s="13">
        <v>3845</v>
      </c>
      <c r="T26" s="13">
        <v>2600</v>
      </c>
      <c r="U26" s="13">
        <v>11362</v>
      </c>
      <c r="V26" s="13">
        <v>1330</v>
      </c>
      <c r="W26" s="13">
        <v>6271</v>
      </c>
      <c r="X26" s="13">
        <v>3681</v>
      </c>
      <c r="Y26" s="13"/>
      <c r="Z26" s="1">
        <v>21</v>
      </c>
      <c r="AA26" s="13" t="s">
        <v>322</v>
      </c>
      <c r="AB26" s="13">
        <v>19000</v>
      </c>
      <c r="AC26" s="17"/>
      <c r="AD26" s="14"/>
      <c r="AE26" s="14"/>
      <c r="AF26" s="14"/>
      <c r="AG26" s="14"/>
      <c r="AH26" s="13" t="s">
        <v>163</v>
      </c>
      <c r="AI26" s="13" t="s">
        <v>218</v>
      </c>
      <c r="AJ26" s="37" t="s">
        <v>238</v>
      </c>
      <c r="AK26" s="13" t="s">
        <v>223</v>
      </c>
      <c r="AL26" s="13" t="s">
        <v>154</v>
      </c>
      <c r="AM26" s="13" t="s">
        <v>233</v>
      </c>
      <c r="AN26" s="13" t="s">
        <v>204</v>
      </c>
      <c r="AO26" s="32" t="s">
        <v>213</v>
      </c>
      <c r="AP26" s="16"/>
      <c r="AQ26" s="16"/>
      <c r="AR26" s="16"/>
      <c r="AS26" s="16"/>
      <c r="AT26" s="16"/>
      <c r="AU26" s="16"/>
      <c r="AV26" s="16"/>
      <c r="AW26" s="16"/>
      <c r="AX26" s="16"/>
      <c r="AY26" s="16"/>
      <c r="AZ26" s="16"/>
      <c r="BA26" s="16"/>
      <c r="BB26" s="16"/>
      <c r="BC26" s="16"/>
      <c r="BD26" s="16"/>
      <c r="BE26" s="16"/>
      <c r="BF26" s="16"/>
      <c r="BG26" s="16"/>
      <c r="BH26" s="16"/>
      <c r="BI26" s="16"/>
      <c r="BJ26" s="16"/>
      <c r="BK26" s="16"/>
      <c r="BL26" s="20" t="e">
        <f>IF(CONCATENATE(A26,B26,C26,D26,E26,F26,G26,H26,I26,J26,K26,L26,M26,N26,O26,P26,Q26,R26,S26,T26,U26,V26,W26,X26,Y26,Z26,AA26,AB26,AC26,AD26,AE26,AF26,AG26,AH26,AI26,AJ26,AK26,AL26,AM26,AN26,AO26,AP26,AQ26,AR26,AS26,AT26,AU26,AV26,AW26,AX26,AY26,AZ26,BA26,BB26,BC26,BD26,BE26,BF26,BG26,BH26,BI26,BJ26,BK26)=(CONCATENATE(#REF!,#REF!,#REF!,#REF!,#REF!,#REF!,#REF!,#REF!,#REF!,#REF!,#REF!,#REF!,#REF!,#REF!,#REF!,#REF!,#REF!,#REF!,#REF!,#REF!,#REF!,#REF!,#REF!,#REF!,#REF!,#REF!,#REF!,#REF!,#REF!,#REF!,#REF!,#REF!,#REF!,#REF!,#REF!,#REF!,#REF!,#REF!,#REF!,#REF!,#REF!,#REF!,#REF!,#REF!,#REF!,#REF!,#REF!,#REF!,#REF!,#REF!,#REF!,#REF!,#REF!,#REF!,#REF!,#REF!,#REF!,#REF!,#REF!,#REF!,#REF!,#REF!,#REF!)),0,1)</f>
        <v>#REF!</v>
      </c>
      <c r="BM26" s="39" t="s">
        <v>236</v>
      </c>
      <c r="BN26" s="13" t="s">
        <v>136</v>
      </c>
      <c r="BO26" s="48"/>
      <c r="BP26" s="35" t="str">
        <f t="shared" si="0"/>
        <v>FR</v>
      </c>
      <c r="BQ26" s="35" t="str">
        <f t="shared" si="1"/>
        <v>FS_PF_Energie Alter</v>
      </c>
      <c r="BR26" s="35" t="str">
        <f t="shared" si="2"/>
        <v>IVECO</v>
      </c>
      <c r="BS26" s="35" t="str">
        <f t="shared" si="3"/>
        <v>S-WAY</v>
      </c>
      <c r="BT26" s="35" t="str">
        <f t="shared" si="4"/>
        <v>AD190S40 G CF - SUPRA GAZ</v>
      </c>
      <c r="BU26" s="35">
        <f t="shared" si="5"/>
        <v>0</v>
      </c>
      <c r="BV26" s="13" t="s">
        <v>262</v>
      </c>
      <c r="BW26" s="6" t="s">
        <v>63</v>
      </c>
      <c r="BX26" s="35" t="str">
        <f t="shared" si="6"/>
        <v>H01</v>
      </c>
      <c r="BY26" s="44" t="str">
        <f t="shared" si="7"/>
        <v>FRFS_PF_Energie AlterAD190S40 G CF - SUPRA GAZH01</v>
      </c>
      <c r="BZ26" s="48"/>
      <c r="CA26" s="35">
        <v>19000</v>
      </c>
      <c r="CB26" s="35">
        <v>19000</v>
      </c>
      <c r="CC26" s="35" t="e">
        <f>VLOOKUP(BY26,#REF!,20,0)</f>
        <v>#REF!</v>
      </c>
      <c r="CD26" s="48"/>
      <c r="CE26" s="36"/>
      <c r="CF26" s="36"/>
      <c r="CG26" s="36"/>
    </row>
    <row r="27" spans="1:85" ht="20.100000000000001" customHeight="1" x14ac:dyDescent="0.25">
      <c r="A27" s="13" t="s">
        <v>74</v>
      </c>
      <c r="B27" s="5" t="s">
        <v>239</v>
      </c>
      <c r="C27" s="5" t="s">
        <v>240</v>
      </c>
      <c r="D27" s="1"/>
      <c r="E27" s="13" t="s">
        <v>33</v>
      </c>
      <c r="F27" s="13" t="s">
        <v>212</v>
      </c>
      <c r="G27" s="1" t="s">
        <v>43</v>
      </c>
      <c r="H27" s="13" t="s">
        <v>12</v>
      </c>
      <c r="I27" s="13" t="s">
        <v>7</v>
      </c>
      <c r="J27" s="4"/>
      <c r="K27" s="5" t="s">
        <v>30</v>
      </c>
      <c r="L27" s="5"/>
      <c r="M27" s="13" t="s">
        <v>263</v>
      </c>
      <c r="N27" s="5" t="s">
        <v>64</v>
      </c>
      <c r="O27" s="37">
        <v>8892</v>
      </c>
      <c r="P27" s="37">
        <v>2454</v>
      </c>
      <c r="Q27" s="37">
        <v>2400</v>
      </c>
      <c r="R27" s="13"/>
      <c r="S27" s="13">
        <v>3845</v>
      </c>
      <c r="T27" s="13">
        <v>2600</v>
      </c>
      <c r="U27" s="13">
        <v>11362</v>
      </c>
      <c r="V27" s="13">
        <v>1330</v>
      </c>
      <c r="W27" s="13">
        <v>6271</v>
      </c>
      <c r="X27" s="13">
        <v>3681</v>
      </c>
      <c r="Y27" s="13"/>
      <c r="Z27" s="1">
        <v>21</v>
      </c>
      <c r="AA27" s="13" t="s">
        <v>306</v>
      </c>
      <c r="AB27" s="13">
        <v>19000</v>
      </c>
      <c r="AC27" s="17"/>
      <c r="AD27" s="14"/>
      <c r="AE27" s="14"/>
      <c r="AF27" s="14"/>
      <c r="AG27" s="14"/>
      <c r="AH27" s="13" t="s">
        <v>163</v>
      </c>
      <c r="AI27" s="13" t="s">
        <v>218</v>
      </c>
      <c r="AJ27" s="37" t="s">
        <v>238</v>
      </c>
      <c r="AK27" s="13" t="s">
        <v>223</v>
      </c>
      <c r="AL27" s="13" t="s">
        <v>155</v>
      </c>
      <c r="AM27" s="13" t="s">
        <v>232</v>
      </c>
      <c r="AN27" s="13" t="s">
        <v>204</v>
      </c>
      <c r="AO27" s="32" t="s">
        <v>222</v>
      </c>
      <c r="AP27" s="16"/>
      <c r="AQ27" s="16"/>
      <c r="AR27" s="16"/>
      <c r="AS27" s="16"/>
      <c r="AT27" s="16"/>
      <c r="AU27" s="16"/>
      <c r="AV27" s="16"/>
      <c r="AW27" s="16"/>
      <c r="AX27" s="16"/>
      <c r="AY27" s="16"/>
      <c r="AZ27" s="16"/>
      <c r="BA27" s="16"/>
      <c r="BB27" s="16"/>
      <c r="BC27" s="16"/>
      <c r="BD27" s="16"/>
      <c r="BE27" s="16"/>
      <c r="BF27" s="16"/>
      <c r="BG27" s="16"/>
      <c r="BH27" s="16"/>
      <c r="BI27" s="16"/>
      <c r="BJ27" s="16"/>
      <c r="BK27" s="16"/>
      <c r="BL27" s="20" t="e">
        <f>IF(CONCATENATE(A27,B27,C27,D27,E27,F27,G27,H27,I27,J27,K27,L27,M27,N27,O27,P27,Q27,R27,S27,T27,U27,V27,W27,X27,Y27,Z27,AA27,AB27,AC27,AD27,AE27,AF27,AG27,AH27,AI27,AJ27,AK27,AL27,AM27,AN27,AO27,AP27,AQ27,AR27,AS27,AT27,AU27,AV27,AW27,AX27,AY27,AZ27,BA27,BB27,BC27,BD27,BE27,BF27,BG27,BH27,BI27,BJ27,BK27)=(CONCATENATE(#REF!,#REF!,#REF!,#REF!,#REF!,#REF!,#REF!,#REF!,#REF!,#REF!,#REF!,#REF!,#REF!,#REF!,#REF!,#REF!,#REF!,#REF!,#REF!,#REF!,#REF!,#REF!,#REF!,#REF!,#REF!,#REF!,#REF!,#REF!,#REF!,#REF!,#REF!,#REF!,#REF!,#REF!,#REF!,#REF!,#REF!,#REF!,#REF!,#REF!,#REF!,#REF!,#REF!,#REF!,#REF!,#REF!,#REF!,#REF!,#REF!,#REF!,#REF!,#REF!,#REF!,#REF!,#REF!,#REF!,#REF!,#REF!,#REF!,#REF!,#REF!,#REF!,#REF!)),0,1)</f>
        <v>#REF!</v>
      </c>
      <c r="BM27" s="39" t="s">
        <v>236</v>
      </c>
      <c r="BN27" s="13" t="s">
        <v>140</v>
      </c>
      <c r="BO27" s="48"/>
      <c r="BP27" s="35" t="str">
        <f t="shared" si="0"/>
        <v>FR</v>
      </c>
      <c r="BQ27" s="35" t="str">
        <f t="shared" si="1"/>
        <v>FS_PF_Energie Alter</v>
      </c>
      <c r="BR27" s="35" t="str">
        <f t="shared" si="2"/>
        <v>IVECO</v>
      </c>
      <c r="BS27" s="35" t="str">
        <f t="shared" si="3"/>
        <v>S-WAY</v>
      </c>
      <c r="BT27" s="35" t="str">
        <f t="shared" si="4"/>
        <v>AD190S40 G CF - SUPRA GAZ MT</v>
      </c>
      <c r="BU27" s="35">
        <f t="shared" si="5"/>
        <v>0</v>
      </c>
      <c r="BV27" s="13" t="s">
        <v>263</v>
      </c>
      <c r="BW27" s="5" t="s">
        <v>64</v>
      </c>
      <c r="BX27" s="35" t="str">
        <f t="shared" si="6"/>
        <v>H02</v>
      </c>
      <c r="BY27" s="44" t="str">
        <f t="shared" si="7"/>
        <v>FRFS_PF_Energie AlterAD190S40 G CF - SUPRA GAZ MTH02</v>
      </c>
      <c r="BZ27" s="48"/>
      <c r="CA27" s="35">
        <v>19000</v>
      </c>
      <c r="CB27" s="35">
        <v>19000</v>
      </c>
      <c r="CC27" s="35" t="e">
        <f>VLOOKUP(BY27,#REF!,20,0)</f>
        <v>#REF!</v>
      </c>
      <c r="CD27" s="48"/>
      <c r="CE27" s="36"/>
      <c r="CF27" s="36"/>
      <c r="CG27" s="36"/>
    </row>
    <row r="28" spans="1:85" ht="20.100000000000001" customHeight="1" x14ac:dyDescent="0.25">
      <c r="A28" s="13" t="s">
        <v>74</v>
      </c>
      <c r="B28" s="5" t="s">
        <v>239</v>
      </c>
      <c r="C28" s="5" t="s">
        <v>240</v>
      </c>
      <c r="D28" s="1"/>
      <c r="E28" s="13" t="s">
        <v>33</v>
      </c>
      <c r="F28" s="13" t="s">
        <v>212</v>
      </c>
      <c r="G28" s="1" t="s">
        <v>43</v>
      </c>
      <c r="H28" s="13" t="s">
        <v>29</v>
      </c>
      <c r="I28" s="13" t="s">
        <v>7</v>
      </c>
      <c r="J28" s="4"/>
      <c r="K28" s="5" t="s">
        <v>30</v>
      </c>
      <c r="L28" s="5"/>
      <c r="M28" s="13" t="s">
        <v>274</v>
      </c>
      <c r="N28" s="6" t="s">
        <v>63</v>
      </c>
      <c r="O28" s="37">
        <v>8892</v>
      </c>
      <c r="P28" s="37">
        <v>2454</v>
      </c>
      <c r="Q28" s="37">
        <v>2400</v>
      </c>
      <c r="R28" s="13"/>
      <c r="S28" s="13">
        <v>3845</v>
      </c>
      <c r="T28" s="13">
        <v>2600</v>
      </c>
      <c r="U28" s="13">
        <v>11362</v>
      </c>
      <c r="V28" s="13">
        <v>1330</v>
      </c>
      <c r="W28" s="13">
        <v>6271</v>
      </c>
      <c r="X28" s="13">
        <v>3681</v>
      </c>
      <c r="Y28" s="13"/>
      <c r="Z28" s="1">
        <v>21</v>
      </c>
      <c r="AA28" s="13" t="s">
        <v>330</v>
      </c>
      <c r="AB28" s="13">
        <v>19000</v>
      </c>
      <c r="AC28" s="17"/>
      <c r="AD28" s="14"/>
      <c r="AE28" s="14"/>
      <c r="AF28" s="14"/>
      <c r="AG28" s="14"/>
      <c r="AH28" s="13" t="s">
        <v>163</v>
      </c>
      <c r="AI28" s="13" t="s">
        <v>218</v>
      </c>
      <c r="AJ28" s="37" t="s">
        <v>238</v>
      </c>
      <c r="AK28" s="13" t="s">
        <v>223</v>
      </c>
      <c r="AL28" s="13" t="s">
        <v>154</v>
      </c>
      <c r="AM28" s="13" t="s">
        <v>338</v>
      </c>
      <c r="AN28" s="13" t="s">
        <v>204</v>
      </c>
      <c r="AO28" s="32" t="s">
        <v>213</v>
      </c>
      <c r="AP28" s="16"/>
      <c r="AQ28" s="16"/>
      <c r="AR28" s="16"/>
      <c r="AS28" s="16"/>
      <c r="AT28" s="16"/>
      <c r="AU28" s="16"/>
      <c r="AV28" s="16"/>
      <c r="AW28" s="16"/>
      <c r="AX28" s="16"/>
      <c r="AY28" s="16"/>
      <c r="AZ28" s="16"/>
      <c r="BA28" s="16"/>
      <c r="BB28" s="16"/>
      <c r="BC28" s="16"/>
      <c r="BD28" s="16"/>
      <c r="BE28" s="16"/>
      <c r="BF28" s="16"/>
      <c r="BG28" s="16"/>
      <c r="BH28" s="16"/>
      <c r="BI28" s="16"/>
      <c r="BJ28" s="16"/>
      <c r="BK28" s="16"/>
      <c r="BL28" s="20" t="e">
        <f>IF(CONCATENATE(A28,B28,C28,D28,E28,F28,G28,H28,I28,J28,K28,L28,M28,N28,O28,P28,Q28,R28,S28,T28,U28,V28,W28,X28,Y28,Z28,AA28,AB28,AC28,AD28,AE28,AF28,AG28,AH28,AI28,AJ28,AK28,AL28,AM28,AN28,AO28,AP28,AQ28,AR28,AS28,AT28,AU28,AV28,AW28,AX28,AY28,AZ28,BA28,BB28,BC28,BD28,BE28,BF28,BG28,BH28,BI28,BJ28,BK28)=(CONCATENATE(#REF!,#REF!,#REF!,#REF!,#REF!,#REF!,#REF!,#REF!,#REF!,#REF!,#REF!,#REF!,#REF!,#REF!,#REF!,#REF!,#REF!,#REF!,#REF!,#REF!,#REF!,#REF!,#REF!,#REF!,#REF!,#REF!,#REF!,#REF!,#REF!,#REF!,#REF!,#REF!,#REF!,#REF!,#REF!,#REF!,#REF!,#REF!,#REF!,#REF!,#REF!,#REF!,#REF!,#REF!,#REF!,#REF!,#REF!,#REF!,#REF!,#REF!,#REF!,#REF!,#REF!,#REF!,#REF!,#REF!,#REF!,#REF!,#REF!,#REF!,#REF!,#REF!,#REF!)),0,1)</f>
        <v>#REF!</v>
      </c>
      <c r="BM28" s="39" t="s">
        <v>236</v>
      </c>
      <c r="BN28" s="13" t="s">
        <v>136</v>
      </c>
      <c r="BO28" s="48"/>
      <c r="BP28" s="35" t="str">
        <f t="shared" si="0"/>
        <v>FR</v>
      </c>
      <c r="BQ28" s="35" t="str">
        <f t="shared" si="1"/>
        <v>FS_PF_Energie Alter</v>
      </c>
      <c r="BR28" s="35" t="str">
        <f t="shared" si="2"/>
        <v>IVECO</v>
      </c>
      <c r="BS28" s="35" t="str">
        <f t="shared" si="3"/>
        <v>S-WAY</v>
      </c>
      <c r="BT28" s="35" t="str">
        <f t="shared" si="4"/>
        <v>AD190S40 G CF - CARRIER SYBERIA</v>
      </c>
      <c r="BU28" s="35">
        <f t="shared" si="5"/>
        <v>0</v>
      </c>
      <c r="BV28" s="13" t="s">
        <v>274</v>
      </c>
      <c r="BW28" s="6" t="s">
        <v>63</v>
      </c>
      <c r="BX28" s="35" t="str">
        <f t="shared" si="6"/>
        <v>H01</v>
      </c>
      <c r="BY28" s="44" t="str">
        <f t="shared" si="7"/>
        <v>FRFS_PF_Energie AlterAD190S40 G CF - CARRIER SYBERIAH01</v>
      </c>
      <c r="BZ28" s="48"/>
      <c r="CA28" s="35">
        <v>19000</v>
      </c>
      <c r="CB28" s="35">
        <v>19000</v>
      </c>
      <c r="CC28" s="35" t="e">
        <f>VLOOKUP(BY28,#REF!,20,0)</f>
        <v>#REF!</v>
      </c>
      <c r="CD28" s="48"/>
      <c r="CE28" s="36"/>
      <c r="CF28" s="36"/>
      <c r="CG28" s="36"/>
    </row>
    <row r="29" spans="1:85" ht="20.100000000000001" customHeight="1" x14ac:dyDescent="0.25">
      <c r="A29" s="13" t="s">
        <v>74</v>
      </c>
      <c r="B29" s="5" t="s">
        <v>239</v>
      </c>
      <c r="C29" s="5" t="s">
        <v>240</v>
      </c>
      <c r="D29" s="1"/>
      <c r="E29" s="13" t="s">
        <v>33</v>
      </c>
      <c r="F29" s="13" t="s">
        <v>212</v>
      </c>
      <c r="G29" s="1" t="s">
        <v>43</v>
      </c>
      <c r="H29" s="13" t="s">
        <v>12</v>
      </c>
      <c r="I29" s="13" t="s">
        <v>7</v>
      </c>
      <c r="J29" s="4"/>
      <c r="K29" s="5" t="s">
        <v>30</v>
      </c>
      <c r="L29" s="5"/>
      <c r="M29" s="13" t="s">
        <v>275</v>
      </c>
      <c r="N29" s="5" t="s">
        <v>64</v>
      </c>
      <c r="O29" s="37">
        <v>8892</v>
      </c>
      <c r="P29" s="37">
        <v>2454</v>
      </c>
      <c r="Q29" s="37">
        <v>2400</v>
      </c>
      <c r="R29" s="13"/>
      <c r="S29" s="13">
        <v>3845</v>
      </c>
      <c r="T29" s="13">
        <v>2600</v>
      </c>
      <c r="U29" s="13">
        <v>11362</v>
      </c>
      <c r="V29" s="13">
        <v>1330</v>
      </c>
      <c r="W29" s="13">
        <v>6271</v>
      </c>
      <c r="X29" s="13">
        <v>3681</v>
      </c>
      <c r="Y29" s="13"/>
      <c r="Z29" s="1">
        <v>21</v>
      </c>
      <c r="AA29" s="13" t="s">
        <v>331</v>
      </c>
      <c r="AB29" s="13">
        <v>19000</v>
      </c>
      <c r="AC29" s="17"/>
      <c r="AD29" s="14"/>
      <c r="AE29" s="14"/>
      <c r="AF29" s="14"/>
      <c r="AG29" s="14"/>
      <c r="AH29" s="13" t="s">
        <v>163</v>
      </c>
      <c r="AI29" s="13" t="s">
        <v>218</v>
      </c>
      <c r="AJ29" s="37" t="s">
        <v>238</v>
      </c>
      <c r="AK29" s="13" t="s">
        <v>223</v>
      </c>
      <c r="AL29" s="13" t="s">
        <v>155</v>
      </c>
      <c r="AM29" s="13" t="s">
        <v>339</v>
      </c>
      <c r="AN29" s="13" t="s">
        <v>204</v>
      </c>
      <c r="AO29" s="32" t="s">
        <v>222</v>
      </c>
      <c r="AP29" s="16"/>
      <c r="AQ29" s="16"/>
      <c r="AR29" s="16"/>
      <c r="AS29" s="16"/>
      <c r="AT29" s="16"/>
      <c r="AU29" s="16"/>
      <c r="AV29" s="16"/>
      <c r="AW29" s="16"/>
      <c r="AX29" s="16"/>
      <c r="AY29" s="16"/>
      <c r="AZ29" s="16"/>
      <c r="BA29" s="16"/>
      <c r="BB29" s="16"/>
      <c r="BC29" s="16"/>
      <c r="BD29" s="16"/>
      <c r="BE29" s="16"/>
      <c r="BF29" s="16"/>
      <c r="BG29" s="16"/>
      <c r="BH29" s="16"/>
      <c r="BI29" s="16"/>
      <c r="BJ29" s="16"/>
      <c r="BK29" s="16"/>
      <c r="BL29" s="20" t="e">
        <f>IF(CONCATENATE(A29,B29,C29,D29,E29,F29,G29,H29,I29,J29,K29,L29,M29,N29,O29,P29,Q29,R29,S29,T29,U29,V29,W29,X29,Y29,Z29,AA29,AB29,AC29,AD29,AE29,AF29,AG29,AH29,AI29,AJ29,AK29,AL29,AM29,AN29,AO29,AP29,AQ29,AR29,AS29,AT29,AU29,AV29,AW29,AX29,AY29,AZ29,BA29,BB29,BC29,BD29,BE29,BF29,BG29,BH29,BI29,BJ29,BK29)=(CONCATENATE(#REF!,#REF!,#REF!,#REF!,#REF!,#REF!,#REF!,#REF!,#REF!,#REF!,#REF!,#REF!,#REF!,#REF!,#REF!,#REF!,#REF!,#REF!,#REF!,#REF!,#REF!,#REF!,#REF!,#REF!,#REF!,#REF!,#REF!,#REF!,#REF!,#REF!,#REF!,#REF!,#REF!,#REF!,#REF!,#REF!,#REF!,#REF!,#REF!,#REF!,#REF!,#REF!,#REF!,#REF!,#REF!,#REF!,#REF!,#REF!,#REF!,#REF!,#REF!,#REF!,#REF!,#REF!,#REF!,#REF!,#REF!,#REF!,#REF!,#REF!,#REF!,#REF!,#REF!)),0,1)</f>
        <v>#REF!</v>
      </c>
      <c r="BM29" s="39" t="s">
        <v>236</v>
      </c>
      <c r="BN29" s="13" t="s">
        <v>140</v>
      </c>
      <c r="BO29" s="48"/>
      <c r="BP29" s="35" t="str">
        <f t="shared" si="0"/>
        <v>FR</v>
      </c>
      <c r="BQ29" s="35" t="str">
        <f t="shared" si="1"/>
        <v>FS_PF_Energie Alter</v>
      </c>
      <c r="BR29" s="35" t="str">
        <f t="shared" si="2"/>
        <v>IVECO</v>
      </c>
      <c r="BS29" s="35" t="str">
        <f t="shared" si="3"/>
        <v>S-WAY</v>
      </c>
      <c r="BT29" s="35" t="str">
        <f t="shared" si="4"/>
        <v>AD190S40 G CF - CARRIER SYBERIA MT</v>
      </c>
      <c r="BU29" s="35">
        <f t="shared" si="5"/>
        <v>0</v>
      </c>
      <c r="BV29" s="13" t="s">
        <v>275</v>
      </c>
      <c r="BW29" s="5" t="s">
        <v>64</v>
      </c>
      <c r="BX29" s="35" t="str">
        <f t="shared" si="6"/>
        <v>H02</v>
      </c>
      <c r="BY29" s="44" t="str">
        <f t="shared" si="7"/>
        <v>FRFS_PF_Energie AlterAD190S40 G CF - CARRIER SYBERIA MTH02</v>
      </c>
      <c r="BZ29" s="48"/>
      <c r="CA29" s="35">
        <v>19000</v>
      </c>
      <c r="CB29" s="35">
        <v>19000</v>
      </c>
      <c r="CC29" s="35" t="e">
        <f>VLOOKUP(BY29,#REF!,20,0)</f>
        <v>#REF!</v>
      </c>
      <c r="CD29" s="48"/>
      <c r="CE29" s="36"/>
      <c r="CF29" s="36"/>
      <c r="CG29" s="36"/>
    </row>
    <row r="30" spans="1:85" ht="20.100000000000001" customHeight="1" x14ac:dyDescent="0.25">
      <c r="A30" s="13" t="s">
        <v>74</v>
      </c>
      <c r="B30" s="5" t="s">
        <v>239</v>
      </c>
      <c r="C30" s="5" t="s">
        <v>240</v>
      </c>
      <c r="D30" s="1"/>
      <c r="E30" s="13" t="s">
        <v>33</v>
      </c>
      <c r="F30" s="13" t="s">
        <v>212</v>
      </c>
      <c r="G30" s="1" t="s">
        <v>43</v>
      </c>
      <c r="H30" s="13" t="s">
        <v>29</v>
      </c>
      <c r="I30" s="13" t="s">
        <v>7</v>
      </c>
      <c r="J30" s="4"/>
      <c r="K30" s="5" t="s">
        <v>30</v>
      </c>
      <c r="L30" s="5"/>
      <c r="M30" s="13" t="s">
        <v>264</v>
      </c>
      <c r="N30" s="6" t="s">
        <v>63</v>
      </c>
      <c r="O30" s="37">
        <v>8892</v>
      </c>
      <c r="P30" s="37">
        <v>2454</v>
      </c>
      <c r="Q30" s="37">
        <v>2400</v>
      </c>
      <c r="R30" s="13"/>
      <c r="S30" s="13">
        <v>3845</v>
      </c>
      <c r="T30" s="13">
        <v>2600</v>
      </c>
      <c r="U30" s="13">
        <v>11362</v>
      </c>
      <c r="V30" s="13">
        <v>1330</v>
      </c>
      <c r="W30" s="13">
        <v>6271</v>
      </c>
      <c r="X30" s="13">
        <v>3681</v>
      </c>
      <c r="Y30" s="13"/>
      <c r="Z30" s="1">
        <v>21</v>
      </c>
      <c r="AA30" s="13" t="s">
        <v>321</v>
      </c>
      <c r="AB30" s="13">
        <v>19000</v>
      </c>
      <c r="AC30" s="17"/>
      <c r="AD30" s="14"/>
      <c r="AE30" s="14"/>
      <c r="AF30" s="14"/>
      <c r="AG30" s="14"/>
      <c r="AH30" s="13" t="s">
        <v>163</v>
      </c>
      <c r="AI30" s="13" t="s">
        <v>218</v>
      </c>
      <c r="AJ30" s="37" t="s">
        <v>238</v>
      </c>
      <c r="AK30" s="13" t="s">
        <v>223</v>
      </c>
      <c r="AL30" s="13" t="s">
        <v>154</v>
      </c>
      <c r="AM30" s="13" t="s">
        <v>234</v>
      </c>
      <c r="AN30" s="13" t="s">
        <v>204</v>
      </c>
      <c r="AO30" s="32" t="s">
        <v>213</v>
      </c>
      <c r="AP30" s="16"/>
      <c r="AQ30" s="16"/>
      <c r="AR30" s="16"/>
      <c r="AS30" s="16"/>
      <c r="AT30" s="16"/>
      <c r="AU30" s="16"/>
      <c r="AV30" s="16"/>
      <c r="AW30" s="16"/>
      <c r="AX30" s="16"/>
      <c r="AY30" s="16"/>
      <c r="AZ30" s="16"/>
      <c r="BA30" s="16"/>
      <c r="BB30" s="16"/>
      <c r="BC30" s="16"/>
      <c r="BD30" s="16"/>
      <c r="BE30" s="16"/>
      <c r="BF30" s="16"/>
      <c r="BG30" s="16"/>
      <c r="BH30" s="16"/>
      <c r="BI30" s="16"/>
      <c r="BJ30" s="16"/>
      <c r="BK30" s="16"/>
      <c r="BL30" s="20" t="e">
        <f>IF(CONCATENATE(A30,B30,C30,D30,E30,F30,G30,H30,I30,J30,K30,L30,M30,N30,O30,P30,Q30,R30,S30,T30,U30,V30,W30,X30,Y30,Z30,AA30,AB30,AC30,AD30,AE30,AF30,AG30,AH30,AI30,AJ30,AK30,AL30,AM30,AN30,AO30,AP30,AQ30,AR30,AS30,AT30,AU30,AV30,AW30,AX30,AY30,AZ30,BA30,BB30,BC30,BD30,BE30,BF30,BG30,BH30,BI30,BJ30,BK30)=(CONCATENATE(#REF!,#REF!,#REF!,#REF!,#REF!,#REF!,#REF!,#REF!,#REF!,#REF!,#REF!,#REF!,#REF!,#REF!,#REF!,#REF!,#REF!,#REF!,#REF!,#REF!,#REF!,#REF!,#REF!,#REF!,#REF!,#REF!,#REF!,#REF!,#REF!,#REF!,#REF!,#REF!,#REF!,#REF!,#REF!,#REF!,#REF!,#REF!,#REF!,#REF!,#REF!,#REF!,#REF!,#REF!,#REF!,#REF!,#REF!,#REF!,#REF!,#REF!,#REF!,#REF!,#REF!,#REF!,#REF!,#REF!,#REF!,#REF!,#REF!,#REF!,#REF!,#REF!,#REF!)),0,1)</f>
        <v>#REF!</v>
      </c>
      <c r="BM30" s="39" t="s">
        <v>236</v>
      </c>
      <c r="BN30" s="13" t="s">
        <v>136</v>
      </c>
      <c r="BO30" s="48"/>
      <c r="BP30" s="35" t="str">
        <f t="shared" si="0"/>
        <v>FR</v>
      </c>
      <c r="BQ30" s="35" t="str">
        <f t="shared" si="1"/>
        <v>FS_PF_Energie Alter</v>
      </c>
      <c r="BR30" s="35" t="str">
        <f t="shared" si="2"/>
        <v>IVECO</v>
      </c>
      <c r="BS30" s="35" t="str">
        <f t="shared" si="3"/>
        <v>S-WAY</v>
      </c>
      <c r="BT30" s="35" t="str">
        <f t="shared" si="4"/>
        <v>AD190S40 G CF - FK 25</v>
      </c>
      <c r="BU30" s="35">
        <f t="shared" si="5"/>
        <v>0</v>
      </c>
      <c r="BV30" s="13" t="s">
        <v>264</v>
      </c>
      <c r="BW30" s="6" t="s">
        <v>63</v>
      </c>
      <c r="BX30" s="35" t="str">
        <f t="shared" si="6"/>
        <v>H01</v>
      </c>
      <c r="BY30" s="44" t="str">
        <f t="shared" si="7"/>
        <v>FRFS_PF_Energie AlterAD190S40 G CF - FK 25H01</v>
      </c>
      <c r="BZ30" s="48"/>
      <c r="CA30" s="35">
        <v>19000</v>
      </c>
      <c r="CB30" s="35">
        <v>19000</v>
      </c>
      <c r="CC30" s="35" t="e">
        <f>VLOOKUP(BY30,#REF!,20,0)</f>
        <v>#REF!</v>
      </c>
      <c r="CD30" s="48"/>
      <c r="CE30" s="36"/>
      <c r="CF30" s="36"/>
      <c r="CG30" s="36"/>
    </row>
    <row r="31" spans="1:85" ht="20.100000000000001" customHeight="1" x14ac:dyDescent="0.25">
      <c r="A31" s="13" t="s">
        <v>74</v>
      </c>
      <c r="B31" s="5" t="s">
        <v>239</v>
      </c>
      <c r="C31" s="5" t="s">
        <v>240</v>
      </c>
      <c r="D31" s="1"/>
      <c r="E31" s="13" t="s">
        <v>33</v>
      </c>
      <c r="F31" s="13" t="s">
        <v>212</v>
      </c>
      <c r="G31" s="1" t="s">
        <v>43</v>
      </c>
      <c r="H31" s="13" t="s">
        <v>12</v>
      </c>
      <c r="I31" s="13" t="s">
        <v>7</v>
      </c>
      <c r="J31" s="4"/>
      <c r="K31" s="5" t="s">
        <v>30</v>
      </c>
      <c r="L31" s="5"/>
      <c r="M31" s="13" t="s">
        <v>265</v>
      </c>
      <c r="N31" s="5" t="s">
        <v>64</v>
      </c>
      <c r="O31" s="37">
        <v>8892</v>
      </c>
      <c r="P31" s="37">
        <v>2454</v>
      </c>
      <c r="Q31" s="37">
        <v>2400</v>
      </c>
      <c r="R31" s="13"/>
      <c r="S31" s="13">
        <v>3845</v>
      </c>
      <c r="T31" s="13">
        <v>2600</v>
      </c>
      <c r="U31" s="13">
        <v>11362</v>
      </c>
      <c r="V31" s="13">
        <v>1330</v>
      </c>
      <c r="W31" s="13">
        <v>6271</v>
      </c>
      <c r="X31" s="13">
        <v>3681</v>
      </c>
      <c r="Y31" s="13"/>
      <c r="Z31" s="1">
        <v>21</v>
      </c>
      <c r="AA31" s="13" t="s">
        <v>305</v>
      </c>
      <c r="AB31" s="13">
        <v>19000</v>
      </c>
      <c r="AC31" s="17"/>
      <c r="AD31" s="14"/>
      <c r="AE31" s="14"/>
      <c r="AF31" s="14"/>
      <c r="AG31" s="14"/>
      <c r="AH31" s="13" t="s">
        <v>163</v>
      </c>
      <c r="AI31" s="13" t="s">
        <v>218</v>
      </c>
      <c r="AJ31" s="37" t="s">
        <v>238</v>
      </c>
      <c r="AK31" s="13" t="s">
        <v>223</v>
      </c>
      <c r="AL31" s="13" t="s">
        <v>155</v>
      </c>
      <c r="AM31" s="13" t="s">
        <v>235</v>
      </c>
      <c r="AN31" s="13" t="s">
        <v>204</v>
      </c>
      <c r="AO31" s="32" t="s">
        <v>222</v>
      </c>
      <c r="AP31" s="16"/>
      <c r="AQ31" s="16"/>
      <c r="AR31" s="16"/>
      <c r="AS31" s="16"/>
      <c r="AT31" s="16"/>
      <c r="AU31" s="16"/>
      <c r="AV31" s="16"/>
      <c r="AW31" s="16"/>
      <c r="AX31" s="16"/>
      <c r="AY31" s="16"/>
      <c r="AZ31" s="16"/>
      <c r="BA31" s="16"/>
      <c r="BB31" s="16"/>
      <c r="BC31" s="16"/>
      <c r="BD31" s="16"/>
      <c r="BE31" s="16"/>
      <c r="BF31" s="16"/>
      <c r="BG31" s="16"/>
      <c r="BH31" s="16"/>
      <c r="BI31" s="16"/>
      <c r="BJ31" s="16"/>
      <c r="BK31" s="16"/>
      <c r="BL31" s="20" t="e">
        <f>IF(CONCATENATE(A31,B31,C31,D31,E31,F31,G31,H31,I31,J31,K31,L31,M31,N31,O31,P31,Q31,R31,S31,T31,U31,V31,W31,X31,Y31,Z31,AA31,AB31,AC31,AD31,AE31,AF31,AG31,AH31,AI31,AJ31,AK31,AL31,AM31,AN31,AO31,AP31,AQ31,AR31,AS31,AT31,AU31,AV31,AW31,AX31,AY31,AZ31,BA31,BB31,BC31,BD31,BE31,BF31,BG31,BH31,BI31,BJ31,BK31)=(CONCATENATE(#REF!,#REF!,#REF!,#REF!,#REF!,#REF!,#REF!,#REF!,#REF!,#REF!,#REF!,#REF!,#REF!,#REF!,#REF!,#REF!,#REF!,#REF!,#REF!,#REF!,#REF!,#REF!,#REF!,#REF!,#REF!,#REF!,#REF!,#REF!,#REF!,#REF!,#REF!,#REF!,#REF!,#REF!,#REF!,#REF!,#REF!,#REF!,#REF!,#REF!,#REF!,#REF!,#REF!,#REF!,#REF!,#REF!,#REF!,#REF!,#REF!,#REF!,#REF!,#REF!,#REF!,#REF!,#REF!,#REF!,#REF!,#REF!,#REF!,#REF!,#REF!,#REF!,#REF!)),0,1)</f>
        <v>#REF!</v>
      </c>
      <c r="BM31" s="39" t="s">
        <v>236</v>
      </c>
      <c r="BN31" s="13" t="s">
        <v>140</v>
      </c>
      <c r="BO31" s="48"/>
      <c r="BP31" s="35" t="str">
        <f t="shared" si="0"/>
        <v>FR</v>
      </c>
      <c r="BQ31" s="35" t="str">
        <f t="shared" si="1"/>
        <v>FS_PF_Energie Alter</v>
      </c>
      <c r="BR31" s="35" t="str">
        <f t="shared" si="2"/>
        <v>IVECO</v>
      </c>
      <c r="BS31" s="35" t="str">
        <f t="shared" si="3"/>
        <v>S-WAY</v>
      </c>
      <c r="BT31" s="35" t="str">
        <f t="shared" si="4"/>
        <v>AD190S40 G CF - FK 25I MT</v>
      </c>
      <c r="BU31" s="35">
        <f t="shared" si="5"/>
        <v>0</v>
      </c>
      <c r="BV31" s="13" t="s">
        <v>265</v>
      </c>
      <c r="BW31" s="5" t="s">
        <v>64</v>
      </c>
      <c r="BX31" s="35" t="str">
        <f t="shared" si="6"/>
        <v>H02</v>
      </c>
      <c r="BY31" s="44" t="str">
        <f t="shared" si="7"/>
        <v>FRFS_PF_Energie AlterAD190S40 G CF - FK 25I MTH02</v>
      </c>
      <c r="BZ31" s="48"/>
      <c r="CA31" s="35">
        <v>19000</v>
      </c>
      <c r="CB31" s="35">
        <v>19000</v>
      </c>
      <c r="CC31" s="35" t="e">
        <f>VLOOKUP(BY31,#REF!,20,0)</f>
        <v>#REF!</v>
      </c>
      <c r="CD31" s="48"/>
      <c r="CE31" s="36"/>
      <c r="CF31" s="36"/>
      <c r="CG31" s="36"/>
    </row>
    <row r="32" spans="1:85" ht="20.100000000000001" customHeight="1" x14ac:dyDescent="0.25">
      <c r="A32" s="4" t="s">
        <v>74</v>
      </c>
      <c r="B32" s="5" t="s">
        <v>239</v>
      </c>
      <c r="C32" s="5" t="s">
        <v>240</v>
      </c>
      <c r="D32" s="1"/>
      <c r="E32" s="4" t="s">
        <v>33</v>
      </c>
      <c r="F32" s="4" t="s">
        <v>212</v>
      </c>
      <c r="G32" s="4" t="s">
        <v>44</v>
      </c>
      <c r="H32" s="4" t="s">
        <v>29</v>
      </c>
      <c r="I32" s="4" t="s">
        <v>7</v>
      </c>
      <c r="J32" s="4"/>
      <c r="K32" s="4" t="s">
        <v>30</v>
      </c>
      <c r="L32" s="4"/>
      <c r="M32" s="4" t="s">
        <v>268</v>
      </c>
      <c r="N32" s="6" t="s">
        <v>63</v>
      </c>
      <c r="O32" s="4">
        <v>9490</v>
      </c>
      <c r="P32" s="4">
        <v>2454</v>
      </c>
      <c r="Q32" s="4">
        <v>2400</v>
      </c>
      <c r="R32" s="4"/>
      <c r="S32" s="4">
        <v>3845</v>
      </c>
      <c r="T32" s="4">
        <v>2600</v>
      </c>
      <c r="U32" s="4">
        <v>11930</v>
      </c>
      <c r="V32" s="4">
        <v>1330</v>
      </c>
      <c r="W32" s="4">
        <v>6050</v>
      </c>
      <c r="X32" s="4">
        <v>3075</v>
      </c>
      <c r="Y32" s="4"/>
      <c r="Z32" s="1">
        <v>23</v>
      </c>
      <c r="AA32" s="4" t="s">
        <v>322</v>
      </c>
      <c r="AB32" s="4">
        <v>26000</v>
      </c>
      <c r="AC32" s="30"/>
      <c r="AD32" s="6"/>
      <c r="AE32" s="6"/>
      <c r="AF32" s="6"/>
      <c r="AG32" s="6"/>
      <c r="AH32" s="4" t="s">
        <v>164</v>
      </c>
      <c r="AI32" s="4" t="s">
        <v>218</v>
      </c>
      <c r="AJ32" s="37" t="s">
        <v>238</v>
      </c>
      <c r="AK32" s="18" t="s">
        <v>223</v>
      </c>
      <c r="AL32" s="4" t="s">
        <v>156</v>
      </c>
      <c r="AM32" s="4" t="s">
        <v>233</v>
      </c>
      <c r="AN32" s="4" t="s">
        <v>204</v>
      </c>
      <c r="AO32" s="33" t="s">
        <v>87</v>
      </c>
      <c r="AP32" s="7"/>
      <c r="AQ32" s="7"/>
      <c r="AR32" s="7"/>
      <c r="AS32" s="7"/>
      <c r="AT32" s="7"/>
      <c r="AU32" s="7"/>
      <c r="AV32" s="7"/>
      <c r="AW32" s="7"/>
      <c r="AX32" s="7"/>
      <c r="AY32" s="7"/>
      <c r="AZ32" s="7"/>
      <c r="BA32" s="7"/>
      <c r="BB32" s="7"/>
      <c r="BC32" s="7"/>
      <c r="BD32" s="7"/>
      <c r="BE32" s="7"/>
      <c r="BF32" s="7"/>
      <c r="BG32" s="7"/>
      <c r="BH32" s="7"/>
      <c r="BI32" s="7"/>
      <c r="BJ32" s="7"/>
      <c r="BK32" s="7"/>
      <c r="BL32" s="20" t="e">
        <f>IF(CONCATENATE(A32,B32,C32,D32,E32,F32,G32,H32,I32,J32,K32,L32,M32,N32,O32,P32,Q32,R32,S32,T32,U32,V32,W32,X32,Y32,Z32,AA32,AB32,AC32,AD32,AE32,AF32,AG32,AH32,AI32,AJ32,AK32,AL32,AM32,AN32,AO32,AP32,AQ32,AR32,AS32,AT32,AU32,AV32,AW32,AX32,AY32,AZ32,BA32,BB32,BC32,BD32,BE32,BF32,BG32,BH32,BI32,BJ32,BK32)=(CONCATENATE(#REF!,#REF!,#REF!,#REF!,#REF!,#REF!,#REF!,#REF!,#REF!,#REF!,#REF!,#REF!,#REF!,#REF!,#REF!,#REF!,#REF!,#REF!,#REF!,#REF!,#REF!,#REF!,#REF!,#REF!,#REF!,#REF!,#REF!,#REF!,#REF!,#REF!,#REF!,#REF!,#REF!,#REF!,#REF!,#REF!,#REF!,#REF!,#REF!,#REF!,#REF!,#REF!,#REF!,#REF!,#REF!,#REF!,#REF!,#REF!,#REF!,#REF!,#REF!,#REF!,#REF!,#REF!,#REF!,#REF!,#REF!,#REF!,#REF!,#REF!,#REF!,#REF!,#REF!)),0,1)</f>
        <v>#REF!</v>
      </c>
      <c r="BM32" s="39" t="s">
        <v>236</v>
      </c>
      <c r="BN32" s="8" t="s">
        <v>137</v>
      </c>
      <c r="BO32" s="48"/>
      <c r="BP32" s="35" t="str">
        <f t="shared" si="0"/>
        <v>FR</v>
      </c>
      <c r="BQ32" s="35" t="str">
        <f t="shared" si="1"/>
        <v>FS_PF_Energie Alter</v>
      </c>
      <c r="BR32" s="35" t="str">
        <f t="shared" si="2"/>
        <v>IVECO</v>
      </c>
      <c r="BS32" s="35" t="str">
        <f t="shared" si="3"/>
        <v>S-WAY</v>
      </c>
      <c r="BT32" s="35" t="str">
        <f t="shared" si="4"/>
        <v>AD260S40 G CF - SUPRA GAZ</v>
      </c>
      <c r="BU32" s="35">
        <f t="shared" si="5"/>
        <v>0</v>
      </c>
      <c r="BV32" s="4" t="s">
        <v>268</v>
      </c>
      <c r="BW32" s="6" t="s">
        <v>63</v>
      </c>
      <c r="BX32" s="35" t="str">
        <f t="shared" si="6"/>
        <v>H01</v>
      </c>
      <c r="BY32" s="44" t="str">
        <f t="shared" si="7"/>
        <v>FRFS_PF_Energie AlterAD260S40 G CF - SUPRA GAZH01</v>
      </c>
      <c r="BZ32" s="48"/>
      <c r="CA32" s="35">
        <v>26000</v>
      </c>
      <c r="CB32" s="35">
        <v>26000</v>
      </c>
      <c r="CC32" s="35" t="e">
        <f>VLOOKUP(BY32,#REF!,20,0)</f>
        <v>#REF!</v>
      </c>
      <c r="CD32" s="48"/>
      <c r="CE32" s="36"/>
      <c r="CF32" s="36"/>
      <c r="CG32" s="36"/>
    </row>
    <row r="33" spans="1:85" ht="20.100000000000001" customHeight="1" x14ac:dyDescent="0.25">
      <c r="A33" s="4" t="s">
        <v>74</v>
      </c>
      <c r="B33" s="5" t="s">
        <v>239</v>
      </c>
      <c r="C33" s="5" t="s">
        <v>240</v>
      </c>
      <c r="D33" s="1"/>
      <c r="E33" s="4" t="s">
        <v>33</v>
      </c>
      <c r="F33" s="4" t="s">
        <v>212</v>
      </c>
      <c r="G33" s="4" t="s">
        <v>44</v>
      </c>
      <c r="H33" s="4" t="s">
        <v>12</v>
      </c>
      <c r="I33" s="4" t="s">
        <v>7</v>
      </c>
      <c r="J33" s="4"/>
      <c r="K33" s="4" t="s">
        <v>30</v>
      </c>
      <c r="L33" s="4"/>
      <c r="M33" s="4" t="s">
        <v>269</v>
      </c>
      <c r="N33" s="5" t="s">
        <v>64</v>
      </c>
      <c r="O33" s="4">
        <v>9490</v>
      </c>
      <c r="P33" s="4">
        <v>2454</v>
      </c>
      <c r="Q33" s="4">
        <v>2400</v>
      </c>
      <c r="R33" s="4"/>
      <c r="S33" s="4">
        <v>3845</v>
      </c>
      <c r="T33" s="4">
        <v>2600</v>
      </c>
      <c r="U33" s="4">
        <v>11930</v>
      </c>
      <c r="V33" s="4">
        <v>1330</v>
      </c>
      <c r="W33" s="4">
        <v>6050</v>
      </c>
      <c r="X33" s="4">
        <v>3075</v>
      </c>
      <c r="Y33" s="4"/>
      <c r="Z33" s="1">
        <v>23</v>
      </c>
      <c r="AA33" s="4" t="s">
        <v>306</v>
      </c>
      <c r="AB33" s="4">
        <v>26000</v>
      </c>
      <c r="AC33" s="30"/>
      <c r="AD33" s="6"/>
      <c r="AE33" s="6"/>
      <c r="AF33" s="6"/>
      <c r="AG33" s="6"/>
      <c r="AH33" s="4" t="s">
        <v>164</v>
      </c>
      <c r="AI33" s="4" t="s">
        <v>218</v>
      </c>
      <c r="AJ33" s="37" t="s">
        <v>238</v>
      </c>
      <c r="AK33" s="18" t="s">
        <v>223</v>
      </c>
      <c r="AL33" s="4" t="s">
        <v>157</v>
      </c>
      <c r="AM33" s="4" t="s">
        <v>232</v>
      </c>
      <c r="AN33" s="4" t="s">
        <v>204</v>
      </c>
      <c r="AO33" s="31" t="s">
        <v>88</v>
      </c>
      <c r="AP33" s="7"/>
      <c r="AQ33" s="7"/>
      <c r="AR33" s="7"/>
      <c r="AS33" s="7"/>
      <c r="AT33" s="7"/>
      <c r="AU33" s="7"/>
      <c r="AV33" s="7"/>
      <c r="AW33" s="7"/>
      <c r="AX33" s="7"/>
      <c r="AY33" s="7"/>
      <c r="AZ33" s="7"/>
      <c r="BA33" s="7"/>
      <c r="BB33" s="7"/>
      <c r="BC33" s="7"/>
      <c r="BD33" s="7"/>
      <c r="BE33" s="7"/>
      <c r="BF33" s="7"/>
      <c r="BG33" s="7"/>
      <c r="BH33" s="7"/>
      <c r="BI33" s="7"/>
      <c r="BJ33" s="7"/>
      <c r="BK33" s="7"/>
      <c r="BL33" s="20" t="e">
        <f>IF(CONCATENATE(A33,B33,C33,D33,E33,F33,G33,H33,I33,J33,K33,L33,M33,N33,O33,P33,Q33,R33,S33,T33,U33,V33,W33,X33,Y33,Z33,AA33,AB33,AC33,AD33,AE33,AF33,AG33,AH33,AI33,AJ33,AK33,AL33,AM33,AN33,AO33,AP33,AQ33,AR33,AS33,AT33,AU33,AV33,AW33,AX33,AY33,AZ33,BA33,BB33,BC33,BD33,BE33,BF33,BG33,BH33,BI33,BJ33,BK33)=(CONCATENATE(#REF!,#REF!,#REF!,#REF!,#REF!,#REF!,#REF!,#REF!,#REF!,#REF!,#REF!,#REF!,#REF!,#REF!,#REF!,#REF!,#REF!,#REF!,#REF!,#REF!,#REF!,#REF!,#REF!,#REF!,#REF!,#REF!,#REF!,#REF!,#REF!,#REF!,#REF!,#REF!,#REF!,#REF!,#REF!,#REF!,#REF!,#REF!,#REF!,#REF!,#REF!,#REF!,#REF!,#REF!,#REF!,#REF!,#REF!,#REF!,#REF!,#REF!,#REF!,#REF!,#REF!,#REF!,#REF!,#REF!,#REF!,#REF!,#REF!,#REF!,#REF!,#REF!,#REF!)),0,1)</f>
        <v>#REF!</v>
      </c>
      <c r="BM33" s="39" t="s">
        <v>236</v>
      </c>
      <c r="BN33" s="8" t="s">
        <v>142</v>
      </c>
      <c r="BO33" s="48"/>
      <c r="BP33" s="35" t="str">
        <f t="shared" si="0"/>
        <v>FR</v>
      </c>
      <c r="BQ33" s="35" t="str">
        <f t="shared" si="1"/>
        <v>FS_PF_Energie Alter</v>
      </c>
      <c r="BR33" s="35" t="str">
        <f t="shared" si="2"/>
        <v>IVECO</v>
      </c>
      <c r="BS33" s="35" t="str">
        <f t="shared" si="3"/>
        <v>S-WAY</v>
      </c>
      <c r="BT33" s="35" t="str">
        <f t="shared" si="4"/>
        <v>AD260S40 G CF - SUPRA GAZ MT</v>
      </c>
      <c r="BU33" s="35">
        <f t="shared" si="5"/>
        <v>0</v>
      </c>
      <c r="BV33" s="4" t="s">
        <v>269</v>
      </c>
      <c r="BW33" s="5" t="s">
        <v>64</v>
      </c>
      <c r="BX33" s="35" t="str">
        <f t="shared" si="6"/>
        <v>H02</v>
      </c>
      <c r="BY33" s="44" t="str">
        <f t="shared" si="7"/>
        <v>FRFS_PF_Energie AlterAD260S40 G CF - SUPRA GAZ MTH02</v>
      </c>
      <c r="BZ33" s="48"/>
      <c r="CA33" s="35">
        <v>26000</v>
      </c>
      <c r="CB33" s="35">
        <v>26000</v>
      </c>
      <c r="CC33" s="35" t="e">
        <f>VLOOKUP(BY33,#REF!,20,0)</f>
        <v>#REF!</v>
      </c>
      <c r="CD33" s="48"/>
      <c r="CE33" s="36"/>
      <c r="CF33" s="36"/>
      <c r="CG33" s="36"/>
    </row>
    <row r="34" spans="1:85" ht="20.100000000000001" customHeight="1" x14ac:dyDescent="0.25">
      <c r="A34" s="4" t="s">
        <v>74</v>
      </c>
      <c r="B34" s="5" t="s">
        <v>239</v>
      </c>
      <c r="C34" s="5" t="s">
        <v>240</v>
      </c>
      <c r="D34" s="1"/>
      <c r="E34" s="4" t="s">
        <v>33</v>
      </c>
      <c r="F34" s="4" t="s">
        <v>212</v>
      </c>
      <c r="G34" s="4" t="s">
        <v>44</v>
      </c>
      <c r="H34" s="4" t="s">
        <v>29</v>
      </c>
      <c r="I34" s="4" t="s">
        <v>7</v>
      </c>
      <c r="J34" s="4"/>
      <c r="K34" s="4" t="s">
        <v>30</v>
      </c>
      <c r="L34" s="4"/>
      <c r="M34" s="4" t="s">
        <v>276</v>
      </c>
      <c r="N34" s="6" t="s">
        <v>63</v>
      </c>
      <c r="O34" s="4">
        <v>9490</v>
      </c>
      <c r="P34" s="4">
        <v>2454</v>
      </c>
      <c r="Q34" s="4">
        <v>2400</v>
      </c>
      <c r="R34" s="4"/>
      <c r="S34" s="4">
        <v>3845</v>
      </c>
      <c r="T34" s="4">
        <v>2600</v>
      </c>
      <c r="U34" s="4">
        <v>11930</v>
      </c>
      <c r="V34" s="4">
        <v>1330</v>
      </c>
      <c r="W34" s="4">
        <v>6050</v>
      </c>
      <c r="X34" s="4">
        <v>3075</v>
      </c>
      <c r="Y34" s="4"/>
      <c r="Z34" s="1">
        <v>23</v>
      </c>
      <c r="AA34" s="4" t="s">
        <v>330</v>
      </c>
      <c r="AB34" s="4">
        <v>26000</v>
      </c>
      <c r="AC34" s="30"/>
      <c r="AD34" s="6"/>
      <c r="AE34" s="6"/>
      <c r="AF34" s="6"/>
      <c r="AG34" s="6"/>
      <c r="AH34" s="4" t="s">
        <v>164</v>
      </c>
      <c r="AI34" s="4" t="s">
        <v>218</v>
      </c>
      <c r="AJ34" s="37" t="s">
        <v>238</v>
      </c>
      <c r="AK34" s="18" t="s">
        <v>223</v>
      </c>
      <c r="AL34" s="4" t="s">
        <v>156</v>
      </c>
      <c r="AM34" s="4" t="s">
        <v>338</v>
      </c>
      <c r="AN34" s="4" t="s">
        <v>204</v>
      </c>
      <c r="AO34" s="31" t="s">
        <v>87</v>
      </c>
      <c r="AP34" s="7"/>
      <c r="AQ34" s="7"/>
      <c r="AR34" s="7"/>
      <c r="AS34" s="7"/>
      <c r="AT34" s="7"/>
      <c r="AU34" s="7"/>
      <c r="AV34" s="7"/>
      <c r="AW34" s="7"/>
      <c r="AX34" s="7"/>
      <c r="AY34" s="7"/>
      <c r="AZ34" s="7"/>
      <c r="BA34" s="7"/>
      <c r="BB34" s="7"/>
      <c r="BC34" s="7"/>
      <c r="BD34" s="7"/>
      <c r="BE34" s="7"/>
      <c r="BF34" s="7"/>
      <c r="BG34" s="7"/>
      <c r="BH34" s="7"/>
      <c r="BI34" s="7"/>
      <c r="BJ34" s="7"/>
      <c r="BK34" s="7"/>
      <c r="BL34" s="20" t="e">
        <f>IF(CONCATENATE(A34,B34,C34,D34,E34,F34,G34,H34,I34,J34,K34,L34,M34,N34,O34,P34,Q34,R34,S34,T34,U34,V34,W34,X34,Y34,Z34,AA34,AB34,AC34,AD34,AE34,AF34,AG34,AH34,AI34,AJ34,AK34,AL34,AM34,AN34,AO34,AP34,AQ34,AR34,AS34,AT34,AU34,AV34,AW34,AX34,AY34,AZ34,BA34,BB34,BC34,BD34,BE34,BF34,BG34,BH34,BI34,BJ34,BK34)=(CONCATENATE(#REF!,#REF!,#REF!,#REF!,#REF!,#REF!,#REF!,#REF!,#REF!,#REF!,#REF!,#REF!,#REF!,#REF!,#REF!,#REF!,#REF!,#REF!,#REF!,#REF!,#REF!,#REF!,#REF!,#REF!,#REF!,#REF!,#REF!,#REF!,#REF!,#REF!,#REF!,#REF!,#REF!,#REF!,#REF!,#REF!,#REF!,#REF!,#REF!,#REF!,#REF!,#REF!,#REF!,#REF!,#REF!,#REF!,#REF!,#REF!,#REF!,#REF!,#REF!,#REF!,#REF!,#REF!,#REF!,#REF!,#REF!,#REF!,#REF!,#REF!,#REF!,#REF!,#REF!)),0,1)</f>
        <v>#REF!</v>
      </c>
      <c r="BM34" s="39" t="s">
        <v>236</v>
      </c>
      <c r="BN34" s="8" t="s">
        <v>137</v>
      </c>
      <c r="BO34" s="48"/>
      <c r="BP34" s="35" t="str">
        <f t="shared" ref="BP34:BP58" si="8">A34</f>
        <v>FR</v>
      </c>
      <c r="BQ34" s="35" t="str">
        <f t="shared" ref="BQ34:BQ58" si="9">B34</f>
        <v>FS_PF_Energie Alter</v>
      </c>
      <c r="BR34" s="35" t="str">
        <f t="shared" ref="BR34:BR58" si="10">E34</f>
        <v>IVECO</v>
      </c>
      <c r="BS34" s="35" t="str">
        <f t="shared" ref="BS34:BS58" si="11">F34</f>
        <v>S-WAY</v>
      </c>
      <c r="BT34" s="35" t="str">
        <f t="shared" ref="BT34:BT58" si="12">M34</f>
        <v>AD260S40 G CF - CARRIER SYBERIA</v>
      </c>
      <c r="BU34" s="35">
        <f t="shared" ref="BU34:BU58" si="13">IF(BT34=BV34,0,1)</f>
        <v>0</v>
      </c>
      <c r="BV34" s="4" t="s">
        <v>276</v>
      </c>
      <c r="BW34" s="6" t="s">
        <v>63</v>
      </c>
      <c r="BX34" s="35" t="str">
        <f t="shared" ref="BX34:BX58" si="14">N34</f>
        <v>H01</v>
      </c>
      <c r="BY34" s="44" t="str">
        <f t="shared" ref="BY34:BY58" si="15">CONCATENATE(BP34,BQ34,BT34,BX34)</f>
        <v>FRFS_PF_Energie AlterAD260S40 G CF - CARRIER SYBERIAH01</v>
      </c>
      <c r="BZ34" s="48"/>
      <c r="CA34" s="35">
        <v>26000</v>
      </c>
      <c r="CB34" s="35">
        <v>26000</v>
      </c>
      <c r="CC34" s="35" t="e">
        <f>VLOOKUP(BY34,#REF!,20,0)</f>
        <v>#REF!</v>
      </c>
      <c r="CD34" s="48"/>
      <c r="CE34" s="36"/>
      <c r="CF34" s="36"/>
      <c r="CG34" s="36"/>
    </row>
    <row r="35" spans="1:85" ht="20.100000000000001" customHeight="1" x14ac:dyDescent="0.25">
      <c r="A35" s="4" t="s">
        <v>74</v>
      </c>
      <c r="B35" s="5" t="s">
        <v>239</v>
      </c>
      <c r="C35" s="5" t="s">
        <v>240</v>
      </c>
      <c r="D35" s="1"/>
      <c r="E35" s="4" t="s">
        <v>33</v>
      </c>
      <c r="F35" s="4" t="s">
        <v>212</v>
      </c>
      <c r="G35" s="4" t="s">
        <v>44</v>
      </c>
      <c r="H35" s="4" t="s">
        <v>12</v>
      </c>
      <c r="I35" s="4" t="s">
        <v>7</v>
      </c>
      <c r="J35" s="4"/>
      <c r="K35" s="4" t="s">
        <v>30</v>
      </c>
      <c r="L35" s="4"/>
      <c r="M35" s="4" t="s">
        <v>277</v>
      </c>
      <c r="N35" s="5" t="s">
        <v>64</v>
      </c>
      <c r="O35" s="4">
        <v>9490</v>
      </c>
      <c r="P35" s="4">
        <v>2454</v>
      </c>
      <c r="Q35" s="4">
        <v>2400</v>
      </c>
      <c r="R35" s="4"/>
      <c r="S35" s="4">
        <v>3845</v>
      </c>
      <c r="T35" s="4">
        <v>2600</v>
      </c>
      <c r="U35" s="4">
        <v>11930</v>
      </c>
      <c r="V35" s="4">
        <v>1330</v>
      </c>
      <c r="W35" s="4">
        <v>6050</v>
      </c>
      <c r="X35" s="4">
        <v>3075</v>
      </c>
      <c r="Y35" s="4"/>
      <c r="Z35" s="1">
        <v>23</v>
      </c>
      <c r="AA35" s="4" t="s">
        <v>331</v>
      </c>
      <c r="AB35" s="4">
        <v>26000</v>
      </c>
      <c r="AC35" s="30"/>
      <c r="AD35" s="6"/>
      <c r="AE35" s="6"/>
      <c r="AF35" s="6"/>
      <c r="AG35" s="6"/>
      <c r="AH35" s="4" t="s">
        <v>164</v>
      </c>
      <c r="AI35" s="4" t="s">
        <v>218</v>
      </c>
      <c r="AJ35" s="37" t="s">
        <v>238</v>
      </c>
      <c r="AK35" s="18" t="s">
        <v>223</v>
      </c>
      <c r="AL35" s="4" t="s">
        <v>157</v>
      </c>
      <c r="AM35" s="4" t="s">
        <v>339</v>
      </c>
      <c r="AN35" s="4" t="s">
        <v>204</v>
      </c>
      <c r="AO35" s="31" t="s">
        <v>88</v>
      </c>
      <c r="AP35" s="7"/>
      <c r="AQ35" s="7"/>
      <c r="AR35" s="7"/>
      <c r="AS35" s="7"/>
      <c r="AT35" s="7"/>
      <c r="AU35" s="7"/>
      <c r="AV35" s="7"/>
      <c r="AW35" s="7"/>
      <c r="AX35" s="7"/>
      <c r="AY35" s="7"/>
      <c r="AZ35" s="7"/>
      <c r="BA35" s="7"/>
      <c r="BB35" s="7"/>
      <c r="BC35" s="7"/>
      <c r="BD35" s="7"/>
      <c r="BE35" s="7"/>
      <c r="BF35" s="7"/>
      <c r="BG35" s="7"/>
      <c r="BH35" s="7"/>
      <c r="BI35" s="7"/>
      <c r="BJ35" s="7"/>
      <c r="BK35" s="7"/>
      <c r="BL35" s="20" t="e">
        <f>IF(CONCATENATE(A35,B35,C35,D35,E35,F35,G35,H35,I35,J35,K35,L35,M35,N35,O35,P35,Q35,R35,S35,T35,U35,V35,W35,X35,Y35,Z35,AA35,AB35,AC35,AD35,AE35,AF35,AG35,AH35,AI35,AJ35,AK35,AL35,AM35,AN35,AO35,AP35,AQ35,AR35,AS35,AT35,AU35,AV35,AW35,AX35,AY35,AZ35,BA35,BB35,BC35,BD35,BE35,BF35,BG35,BH35,BI35,BJ35,BK35)=(CONCATENATE(#REF!,#REF!,#REF!,#REF!,#REF!,#REF!,#REF!,#REF!,#REF!,#REF!,#REF!,#REF!,#REF!,#REF!,#REF!,#REF!,#REF!,#REF!,#REF!,#REF!,#REF!,#REF!,#REF!,#REF!,#REF!,#REF!,#REF!,#REF!,#REF!,#REF!,#REF!,#REF!,#REF!,#REF!,#REF!,#REF!,#REF!,#REF!,#REF!,#REF!,#REF!,#REF!,#REF!,#REF!,#REF!,#REF!,#REF!,#REF!,#REF!,#REF!,#REF!,#REF!,#REF!,#REF!,#REF!,#REF!,#REF!,#REF!,#REF!,#REF!,#REF!,#REF!,#REF!)),0,1)</f>
        <v>#REF!</v>
      </c>
      <c r="BM35" s="39" t="s">
        <v>236</v>
      </c>
      <c r="BN35" s="8" t="s">
        <v>142</v>
      </c>
      <c r="BO35" s="48"/>
      <c r="BP35" s="35" t="str">
        <f t="shared" si="8"/>
        <v>FR</v>
      </c>
      <c r="BQ35" s="35" t="str">
        <f t="shared" si="9"/>
        <v>FS_PF_Energie Alter</v>
      </c>
      <c r="BR35" s="35" t="str">
        <f t="shared" si="10"/>
        <v>IVECO</v>
      </c>
      <c r="BS35" s="35" t="str">
        <f t="shared" si="11"/>
        <v>S-WAY</v>
      </c>
      <c r="BT35" s="35" t="str">
        <f t="shared" si="12"/>
        <v>AD260S40 G CF - CARRIER SYBERIA MT</v>
      </c>
      <c r="BU35" s="35">
        <f t="shared" si="13"/>
        <v>0</v>
      </c>
      <c r="BV35" s="4" t="s">
        <v>277</v>
      </c>
      <c r="BW35" s="5" t="s">
        <v>64</v>
      </c>
      <c r="BX35" s="35" t="str">
        <f t="shared" si="14"/>
        <v>H02</v>
      </c>
      <c r="BY35" s="44" t="str">
        <f t="shared" si="15"/>
        <v>FRFS_PF_Energie AlterAD260S40 G CF - CARRIER SYBERIA MTH02</v>
      </c>
      <c r="BZ35" s="48"/>
      <c r="CA35" s="35">
        <v>26000</v>
      </c>
      <c r="CB35" s="35">
        <v>26000</v>
      </c>
      <c r="CC35" s="35" t="e">
        <f>VLOOKUP(BY35,#REF!,20,0)</f>
        <v>#REF!</v>
      </c>
      <c r="CD35" s="48"/>
      <c r="CE35" s="36"/>
      <c r="CF35" s="36"/>
      <c r="CG35" s="36"/>
    </row>
    <row r="36" spans="1:85" ht="20.100000000000001" customHeight="1" x14ac:dyDescent="0.25">
      <c r="A36" s="4" t="s">
        <v>74</v>
      </c>
      <c r="B36" s="5" t="s">
        <v>239</v>
      </c>
      <c r="C36" s="5" t="s">
        <v>240</v>
      </c>
      <c r="D36" s="1"/>
      <c r="E36" s="4" t="s">
        <v>33</v>
      </c>
      <c r="F36" s="4" t="s">
        <v>212</v>
      </c>
      <c r="G36" s="4" t="s">
        <v>44</v>
      </c>
      <c r="H36" s="4" t="s">
        <v>29</v>
      </c>
      <c r="I36" s="4" t="s">
        <v>7</v>
      </c>
      <c r="J36" s="4"/>
      <c r="K36" s="4" t="s">
        <v>30</v>
      </c>
      <c r="L36" s="4"/>
      <c r="M36" s="4" t="s">
        <v>270</v>
      </c>
      <c r="N36" s="6" t="s">
        <v>63</v>
      </c>
      <c r="O36" s="4">
        <v>9490</v>
      </c>
      <c r="P36" s="4">
        <v>2454</v>
      </c>
      <c r="Q36" s="4">
        <v>2400</v>
      </c>
      <c r="R36" s="4"/>
      <c r="S36" s="4">
        <v>3845</v>
      </c>
      <c r="T36" s="4">
        <v>2600</v>
      </c>
      <c r="U36" s="4">
        <v>11930</v>
      </c>
      <c r="V36" s="4">
        <v>1330</v>
      </c>
      <c r="W36" s="4">
        <v>6050</v>
      </c>
      <c r="X36" s="4">
        <v>3075</v>
      </c>
      <c r="Y36" s="4"/>
      <c r="Z36" s="1">
        <v>23</v>
      </c>
      <c r="AA36" s="4" t="s">
        <v>321</v>
      </c>
      <c r="AB36" s="4">
        <v>26000</v>
      </c>
      <c r="AC36" s="30"/>
      <c r="AD36" s="6"/>
      <c r="AE36" s="6"/>
      <c r="AF36" s="6"/>
      <c r="AG36" s="6"/>
      <c r="AH36" s="4" t="s">
        <v>164</v>
      </c>
      <c r="AI36" s="4" t="s">
        <v>218</v>
      </c>
      <c r="AJ36" s="37" t="s">
        <v>238</v>
      </c>
      <c r="AK36" s="18" t="s">
        <v>223</v>
      </c>
      <c r="AL36" s="4" t="s">
        <v>156</v>
      </c>
      <c r="AM36" s="4" t="s">
        <v>234</v>
      </c>
      <c r="AN36" s="4" t="s">
        <v>204</v>
      </c>
      <c r="AO36" s="31" t="s">
        <v>87</v>
      </c>
      <c r="AP36" s="7"/>
      <c r="AQ36" s="7"/>
      <c r="AR36" s="7"/>
      <c r="AS36" s="7"/>
      <c r="AT36" s="7"/>
      <c r="AU36" s="7"/>
      <c r="AV36" s="7"/>
      <c r="AW36" s="7"/>
      <c r="AX36" s="7"/>
      <c r="AY36" s="7"/>
      <c r="AZ36" s="7"/>
      <c r="BA36" s="7"/>
      <c r="BB36" s="7"/>
      <c r="BC36" s="7"/>
      <c r="BD36" s="7"/>
      <c r="BE36" s="7"/>
      <c r="BF36" s="7"/>
      <c r="BG36" s="7"/>
      <c r="BH36" s="7"/>
      <c r="BI36" s="7"/>
      <c r="BJ36" s="7"/>
      <c r="BK36" s="7"/>
      <c r="BL36" s="20" t="e">
        <f>IF(CONCATENATE(A36,B36,C36,D36,E36,F36,G36,H36,I36,J36,K36,L36,M36,N36,O36,P36,Q36,R36,S36,T36,U36,V36,W36,X36,Y36,Z36,AA36,AB36,AC36,AD36,AE36,AF36,AG36,AH36,AI36,AJ36,AK36,AL36,AM36,AN36,AO36,AP36,AQ36,AR36,AS36,AT36,AU36,AV36,AW36,AX36,AY36,AZ36,BA36,BB36,BC36,BD36,BE36,BF36,BG36,BH36,BI36,BJ36,BK36)=(CONCATENATE(#REF!,#REF!,#REF!,#REF!,#REF!,#REF!,#REF!,#REF!,#REF!,#REF!,#REF!,#REF!,#REF!,#REF!,#REF!,#REF!,#REF!,#REF!,#REF!,#REF!,#REF!,#REF!,#REF!,#REF!,#REF!,#REF!,#REF!,#REF!,#REF!,#REF!,#REF!,#REF!,#REF!,#REF!,#REF!,#REF!,#REF!,#REF!,#REF!,#REF!,#REF!,#REF!,#REF!,#REF!,#REF!,#REF!,#REF!,#REF!,#REF!,#REF!,#REF!,#REF!,#REF!,#REF!,#REF!,#REF!,#REF!,#REF!,#REF!,#REF!,#REF!,#REF!,#REF!)),0,1)</f>
        <v>#REF!</v>
      </c>
      <c r="BM36" s="39" t="s">
        <v>236</v>
      </c>
      <c r="BN36" s="8" t="s">
        <v>137</v>
      </c>
      <c r="BO36" s="48"/>
      <c r="BP36" s="35" t="str">
        <f t="shared" si="8"/>
        <v>FR</v>
      </c>
      <c r="BQ36" s="35" t="str">
        <f t="shared" si="9"/>
        <v>FS_PF_Energie Alter</v>
      </c>
      <c r="BR36" s="35" t="str">
        <f t="shared" si="10"/>
        <v>IVECO</v>
      </c>
      <c r="BS36" s="35" t="str">
        <f t="shared" si="11"/>
        <v>S-WAY</v>
      </c>
      <c r="BT36" s="35" t="str">
        <f t="shared" si="12"/>
        <v>AD260S40 G CF - FK 25</v>
      </c>
      <c r="BU36" s="35">
        <f t="shared" si="13"/>
        <v>0</v>
      </c>
      <c r="BV36" s="4" t="s">
        <v>270</v>
      </c>
      <c r="BW36" s="6" t="s">
        <v>63</v>
      </c>
      <c r="BX36" s="35" t="str">
        <f t="shared" si="14"/>
        <v>H01</v>
      </c>
      <c r="BY36" s="44" t="str">
        <f t="shared" si="15"/>
        <v>FRFS_PF_Energie AlterAD260S40 G CF - FK 25H01</v>
      </c>
      <c r="BZ36" s="48"/>
      <c r="CA36" s="35">
        <v>26000</v>
      </c>
      <c r="CB36" s="35">
        <v>26000</v>
      </c>
      <c r="CC36" s="35" t="e">
        <f>VLOOKUP(BY36,#REF!,20,0)</f>
        <v>#REF!</v>
      </c>
      <c r="CD36" s="48"/>
      <c r="CE36" s="36"/>
      <c r="CF36" s="36"/>
      <c r="CG36" s="36"/>
    </row>
    <row r="37" spans="1:85" ht="20.100000000000001" customHeight="1" x14ac:dyDescent="0.25">
      <c r="A37" s="4" t="s">
        <v>74</v>
      </c>
      <c r="B37" s="5" t="s">
        <v>239</v>
      </c>
      <c r="C37" s="5" t="s">
        <v>240</v>
      </c>
      <c r="D37" s="1"/>
      <c r="E37" s="4" t="s">
        <v>33</v>
      </c>
      <c r="F37" s="4" t="s">
        <v>212</v>
      </c>
      <c r="G37" s="4" t="s">
        <v>44</v>
      </c>
      <c r="H37" s="4" t="s">
        <v>12</v>
      </c>
      <c r="I37" s="4" t="s">
        <v>7</v>
      </c>
      <c r="J37" s="4"/>
      <c r="K37" s="4" t="s">
        <v>30</v>
      </c>
      <c r="L37" s="4"/>
      <c r="M37" s="4" t="s">
        <v>271</v>
      </c>
      <c r="N37" s="5" t="s">
        <v>64</v>
      </c>
      <c r="O37" s="4">
        <v>9490</v>
      </c>
      <c r="P37" s="4">
        <v>2454</v>
      </c>
      <c r="Q37" s="4">
        <v>2400</v>
      </c>
      <c r="R37" s="4"/>
      <c r="S37" s="4">
        <v>3845</v>
      </c>
      <c r="T37" s="4">
        <v>2600</v>
      </c>
      <c r="U37" s="4">
        <v>11930</v>
      </c>
      <c r="V37" s="4">
        <v>1330</v>
      </c>
      <c r="W37" s="4">
        <v>6050</v>
      </c>
      <c r="X37" s="4">
        <v>3075</v>
      </c>
      <c r="Y37" s="4"/>
      <c r="Z37" s="1">
        <v>23</v>
      </c>
      <c r="AA37" s="4" t="s">
        <v>305</v>
      </c>
      <c r="AB37" s="4">
        <v>26000</v>
      </c>
      <c r="AC37" s="30"/>
      <c r="AD37" s="6"/>
      <c r="AE37" s="6"/>
      <c r="AF37" s="6"/>
      <c r="AG37" s="6"/>
      <c r="AH37" s="4" t="s">
        <v>164</v>
      </c>
      <c r="AI37" s="4" t="s">
        <v>218</v>
      </c>
      <c r="AJ37" s="37" t="s">
        <v>238</v>
      </c>
      <c r="AK37" s="18" t="s">
        <v>223</v>
      </c>
      <c r="AL37" s="4" t="s">
        <v>157</v>
      </c>
      <c r="AM37" s="4" t="s">
        <v>235</v>
      </c>
      <c r="AN37" s="4" t="s">
        <v>204</v>
      </c>
      <c r="AO37" s="31" t="s">
        <v>88</v>
      </c>
      <c r="AP37" s="7"/>
      <c r="AQ37" s="7"/>
      <c r="AR37" s="7"/>
      <c r="AS37" s="7"/>
      <c r="AT37" s="7"/>
      <c r="AU37" s="7"/>
      <c r="AV37" s="7"/>
      <c r="AW37" s="7"/>
      <c r="AX37" s="7"/>
      <c r="AY37" s="7"/>
      <c r="AZ37" s="7"/>
      <c r="BA37" s="7"/>
      <c r="BB37" s="7"/>
      <c r="BC37" s="7"/>
      <c r="BD37" s="7"/>
      <c r="BE37" s="7"/>
      <c r="BF37" s="7"/>
      <c r="BG37" s="7"/>
      <c r="BH37" s="7"/>
      <c r="BI37" s="7"/>
      <c r="BJ37" s="7"/>
      <c r="BK37" s="7"/>
      <c r="BL37" s="20" t="e">
        <f>IF(CONCATENATE(A37,B37,C37,D37,E37,F37,G37,H37,I37,J37,K37,L37,M37,N37,O37,P37,Q37,R37,S37,T37,U37,V37,W37,X37,Y37,Z37,AA37,AB37,AC37,AD37,AE37,AF37,AG37,AH37,AI37,AJ37,AK37,AL37,AM37,AN37,AO37,AP37,AQ37,AR37,AS37,AT37,AU37,AV37,AW37,AX37,AY37,AZ37,BA37,BB37,BC37,BD37,BE37,BF37,BG37,BH37,BI37,BJ37,BK37)=(CONCATENATE(#REF!,#REF!,#REF!,#REF!,#REF!,#REF!,#REF!,#REF!,#REF!,#REF!,#REF!,#REF!,#REF!,#REF!,#REF!,#REF!,#REF!,#REF!,#REF!,#REF!,#REF!,#REF!,#REF!,#REF!,#REF!,#REF!,#REF!,#REF!,#REF!,#REF!,#REF!,#REF!,#REF!,#REF!,#REF!,#REF!,#REF!,#REF!,#REF!,#REF!,#REF!,#REF!,#REF!,#REF!,#REF!,#REF!,#REF!,#REF!,#REF!,#REF!,#REF!,#REF!,#REF!,#REF!,#REF!,#REF!,#REF!,#REF!,#REF!,#REF!,#REF!,#REF!,#REF!)),0,1)</f>
        <v>#REF!</v>
      </c>
      <c r="BM37" s="39" t="s">
        <v>236</v>
      </c>
      <c r="BN37" s="8" t="s">
        <v>142</v>
      </c>
      <c r="BO37" s="48"/>
      <c r="BP37" s="35" t="str">
        <f t="shared" si="8"/>
        <v>FR</v>
      </c>
      <c r="BQ37" s="35" t="str">
        <f t="shared" si="9"/>
        <v>FS_PF_Energie Alter</v>
      </c>
      <c r="BR37" s="35" t="str">
        <f t="shared" si="10"/>
        <v>IVECO</v>
      </c>
      <c r="BS37" s="35" t="str">
        <f t="shared" si="11"/>
        <v>S-WAY</v>
      </c>
      <c r="BT37" s="35" t="str">
        <f t="shared" si="12"/>
        <v>AD260S40 G CF - FK 25I MT</v>
      </c>
      <c r="BU37" s="35">
        <f t="shared" si="13"/>
        <v>0</v>
      </c>
      <c r="BV37" s="4" t="s">
        <v>271</v>
      </c>
      <c r="BW37" s="5" t="s">
        <v>64</v>
      </c>
      <c r="BX37" s="35" t="str">
        <f t="shared" si="14"/>
        <v>H02</v>
      </c>
      <c r="BY37" s="44" t="str">
        <f t="shared" si="15"/>
        <v>FRFS_PF_Energie AlterAD260S40 G CF - FK 25I MTH02</v>
      </c>
      <c r="BZ37" s="48"/>
      <c r="CA37" s="35">
        <v>26000</v>
      </c>
      <c r="CB37" s="35">
        <v>26000</v>
      </c>
      <c r="CC37" s="35" t="e">
        <f>VLOOKUP(BY37,#REF!,20,0)</f>
        <v>#REF!</v>
      </c>
      <c r="CD37" s="48"/>
      <c r="CE37" s="36"/>
      <c r="CF37" s="36"/>
      <c r="CG37" s="36"/>
    </row>
    <row r="38" spans="1:85" ht="20.100000000000001" customHeight="1" x14ac:dyDescent="0.25">
      <c r="A38" s="4" t="s">
        <v>74</v>
      </c>
      <c r="B38" s="5" t="s">
        <v>239</v>
      </c>
      <c r="C38" s="5" t="s">
        <v>240</v>
      </c>
      <c r="D38" s="1"/>
      <c r="E38" s="4" t="s">
        <v>33</v>
      </c>
      <c r="F38" s="4" t="s">
        <v>212</v>
      </c>
      <c r="G38" s="4" t="s">
        <v>45</v>
      </c>
      <c r="H38" s="4"/>
      <c r="I38" s="4"/>
      <c r="J38" s="4"/>
      <c r="K38" s="4" t="s">
        <v>33</v>
      </c>
      <c r="L38" s="4"/>
      <c r="M38" s="4" t="s">
        <v>266</v>
      </c>
      <c r="N38" s="6" t="s">
        <v>63</v>
      </c>
      <c r="O38" s="4"/>
      <c r="P38" s="4"/>
      <c r="Q38" s="4"/>
      <c r="R38" s="4"/>
      <c r="S38" s="4">
        <v>3505</v>
      </c>
      <c r="T38" s="4">
        <v>2550</v>
      </c>
      <c r="U38" s="4">
        <v>6252</v>
      </c>
      <c r="V38" s="4"/>
      <c r="W38" s="4">
        <v>3790</v>
      </c>
      <c r="X38" s="4">
        <v>1052</v>
      </c>
      <c r="Y38" s="4"/>
      <c r="Z38" s="4"/>
      <c r="AA38" s="4" t="s">
        <v>267</v>
      </c>
      <c r="AB38" s="6">
        <v>19000</v>
      </c>
      <c r="AC38" s="30"/>
      <c r="AD38" s="6"/>
      <c r="AE38" s="6"/>
      <c r="AF38" s="6">
        <v>44000</v>
      </c>
      <c r="AG38" s="6">
        <v>7280</v>
      </c>
      <c r="AH38" s="4"/>
      <c r="AI38" s="4" t="s">
        <v>47</v>
      </c>
      <c r="AJ38" s="4" t="s">
        <v>92</v>
      </c>
      <c r="AK38" s="4" t="s">
        <v>48</v>
      </c>
      <c r="AL38" s="4"/>
      <c r="AM38" s="4"/>
      <c r="AN38" s="4"/>
      <c r="AO38" s="19" t="s">
        <v>89</v>
      </c>
      <c r="AP38" s="7"/>
      <c r="AQ38" s="7"/>
      <c r="AR38" s="7"/>
      <c r="AS38" s="7"/>
      <c r="AT38" s="7"/>
      <c r="AU38" s="7"/>
      <c r="AV38" s="7"/>
      <c r="AW38" s="7"/>
      <c r="AX38" s="7"/>
      <c r="AY38" s="7"/>
      <c r="AZ38" s="7"/>
      <c r="BA38" s="7"/>
      <c r="BB38" s="7"/>
      <c r="BC38" s="7"/>
      <c r="BD38" s="7"/>
      <c r="BE38" s="7"/>
      <c r="BF38" s="7"/>
      <c r="BG38" s="7"/>
      <c r="BH38" s="7"/>
      <c r="BI38" s="7"/>
      <c r="BJ38" s="7"/>
      <c r="BK38" s="7"/>
      <c r="BL38" s="20" t="e">
        <f>IF(CONCATENATE(A38,B38,C38,D38,E38,F38,G38,H38,I38,J38,K38,L38,M38,N38,O38,P38,Q38,R38,S38,T38,U38,V38,W38,X38,Y38,Z38,AA38,AB38,AC38,AD38,AE38,AF38,AG38,AH38,AI38,AJ38,AK38,AL38,AM38,AN38,AO38,AP38,AQ38,AR38,AS38,AT38,AU38,AV38,AW38,AX38,AY38,AZ38,BA38,BB38,BC38,BD38,BE38,BF38,BG38,BH38,BI38,BJ38,BK38)=(CONCATENATE(#REF!,#REF!,#REF!,#REF!,#REF!,#REF!,#REF!,#REF!,#REF!,#REF!,#REF!,#REF!,#REF!,#REF!,#REF!,#REF!,#REF!,#REF!,#REF!,#REF!,#REF!,#REF!,#REF!,#REF!,#REF!,#REF!,#REF!,#REF!,#REF!,#REF!,#REF!,#REF!,#REF!,#REF!,#REF!,#REF!,#REF!,#REF!,#REF!,#REF!,#REF!,#REF!,#REF!,#REF!,#REF!,#REF!,#REF!,#REF!,#REF!,#REF!,#REF!,#REF!,#REF!,#REF!,#REF!,#REF!,#REF!,#REF!,#REF!,#REF!,#REF!,#REF!,#REF!)),0,1)</f>
        <v>#REF!</v>
      </c>
      <c r="BM38" s="4" t="s">
        <v>236</v>
      </c>
      <c r="BN38" s="4" t="s">
        <v>94</v>
      </c>
      <c r="BO38" s="48"/>
      <c r="BP38" s="35" t="str">
        <f t="shared" si="8"/>
        <v>FR</v>
      </c>
      <c r="BQ38" s="35" t="str">
        <f t="shared" si="9"/>
        <v>FS_PF_Energie Alter</v>
      </c>
      <c r="BR38" s="35" t="str">
        <f t="shared" si="10"/>
        <v>IVECO</v>
      </c>
      <c r="BS38" s="35" t="str">
        <f t="shared" si="11"/>
        <v>S-WAY</v>
      </c>
      <c r="BT38" s="35" t="str">
        <f t="shared" si="12"/>
        <v>AT440S46 G TR</v>
      </c>
      <c r="BU38" s="35">
        <f t="shared" si="13"/>
        <v>0</v>
      </c>
      <c r="BV38" s="4" t="s">
        <v>266</v>
      </c>
      <c r="BW38" s="6" t="s">
        <v>63</v>
      </c>
      <c r="BX38" s="35" t="str">
        <f t="shared" si="14"/>
        <v>H01</v>
      </c>
      <c r="BY38" s="44" t="str">
        <f t="shared" si="15"/>
        <v>FRFS_PF_Energie AlterAT440S46 G TRH01</v>
      </c>
      <c r="BZ38" s="48"/>
      <c r="CA38" s="45">
        <v>19000</v>
      </c>
      <c r="CB38" s="45">
        <v>19000</v>
      </c>
      <c r="CC38" s="35" t="e">
        <f>VLOOKUP(BY38,#REF!,20,0)</f>
        <v>#REF!</v>
      </c>
      <c r="CD38" s="48"/>
      <c r="CE38" s="36"/>
      <c r="CF38" s="36"/>
      <c r="CG38" s="36"/>
    </row>
    <row r="39" spans="1:85" ht="20.100000000000001" customHeight="1" x14ac:dyDescent="0.25">
      <c r="A39" s="13" t="s">
        <v>74</v>
      </c>
      <c r="B39" s="5" t="s">
        <v>239</v>
      </c>
      <c r="C39" s="5" t="s">
        <v>240</v>
      </c>
      <c r="D39" s="1"/>
      <c r="E39" s="4" t="s">
        <v>49</v>
      </c>
      <c r="F39" s="4" t="s">
        <v>50</v>
      </c>
      <c r="G39" s="1" t="s">
        <v>43</v>
      </c>
      <c r="H39" s="13" t="s">
        <v>29</v>
      </c>
      <c r="I39" s="13" t="s">
        <v>7</v>
      </c>
      <c r="J39" s="13"/>
      <c r="K39" s="13" t="s">
        <v>30</v>
      </c>
      <c r="L39" s="13"/>
      <c r="M39" s="4" t="s">
        <v>278</v>
      </c>
      <c r="N39" s="6" t="s">
        <v>63</v>
      </c>
      <c r="O39" s="37">
        <v>8892</v>
      </c>
      <c r="P39" s="37">
        <v>2454</v>
      </c>
      <c r="Q39" s="37">
        <v>2400</v>
      </c>
      <c r="R39" s="13"/>
      <c r="S39" s="13">
        <v>3802</v>
      </c>
      <c r="T39" s="13">
        <v>2600</v>
      </c>
      <c r="U39" s="13">
        <v>11200</v>
      </c>
      <c r="V39" s="13">
        <v>1287</v>
      </c>
      <c r="W39" s="13">
        <v>6450</v>
      </c>
      <c r="X39" s="13">
        <v>3330</v>
      </c>
      <c r="Y39" s="13"/>
      <c r="Z39" s="1">
        <v>21</v>
      </c>
      <c r="AA39" s="13" t="s">
        <v>323</v>
      </c>
      <c r="AB39" s="13">
        <v>19000</v>
      </c>
      <c r="AC39" s="30" t="s">
        <v>46</v>
      </c>
      <c r="AD39" s="13"/>
      <c r="AE39" s="13"/>
      <c r="AF39" s="13"/>
      <c r="AG39" s="13"/>
      <c r="AH39" s="13" t="s">
        <v>163</v>
      </c>
      <c r="AI39" s="13" t="s">
        <v>93</v>
      </c>
      <c r="AJ39" s="37" t="s">
        <v>237</v>
      </c>
      <c r="AK39" s="13" t="s">
        <v>221</v>
      </c>
      <c r="AL39" s="4" t="s">
        <v>154</v>
      </c>
      <c r="AM39" s="13" t="s">
        <v>224</v>
      </c>
      <c r="AN39" s="4" t="s">
        <v>204</v>
      </c>
      <c r="AO39" s="21" t="s">
        <v>71</v>
      </c>
      <c r="AP39" s="16"/>
      <c r="AQ39" s="16"/>
      <c r="AR39" s="16"/>
      <c r="AS39" s="16"/>
      <c r="AT39" s="16"/>
      <c r="AU39" s="16"/>
      <c r="AV39" s="16"/>
      <c r="AW39" s="16"/>
      <c r="AX39" s="16"/>
      <c r="AY39" s="16"/>
      <c r="AZ39" s="16"/>
      <c r="BA39" s="16"/>
      <c r="BB39" s="16"/>
      <c r="BC39" s="16"/>
      <c r="BD39" s="16"/>
      <c r="BE39" s="16"/>
      <c r="BF39" s="16"/>
      <c r="BG39" s="16"/>
      <c r="BH39" s="16"/>
      <c r="BI39" s="16"/>
      <c r="BJ39" s="16"/>
      <c r="BK39" s="16"/>
      <c r="BL39" s="20" t="e">
        <f>IF(CONCATENATE(A39,B39,C39,D39,E39,F39,G39,H39,I39,J39,K39,L39,M39,N39,O39,P39,Q39,R39,S39,T39,U39,V39,W39,X39,Y39,Z39,AA39,AB39,AC39,AD39,AE39,AF39,AG39,AH39,AI39,AJ39,AK39,AL39,AM39,AN39,AO39,AP39,AQ39,AR39,AS39,AT39,AU39,AV39,AW39,AX39,AY39,AZ39,BA39,BB39,BC39,BD39,BE39,BF39,BG39,BH39,BI39,BJ39,BK39)=(CONCATENATE(#REF!,#REF!,#REF!,#REF!,#REF!,#REF!,#REF!,#REF!,#REF!,#REF!,#REF!,#REF!,#REF!,#REF!,#REF!,#REF!,#REF!,#REF!,#REF!,#REF!,#REF!,#REF!,#REF!,#REF!,#REF!,#REF!,#REF!,#REF!,#REF!,#REF!,#REF!,#REF!,#REF!,#REF!,#REF!,#REF!,#REF!,#REF!,#REF!,#REF!,#REF!,#REF!,#REF!,#REF!,#REF!,#REF!,#REF!,#REF!,#REF!,#REF!,#REF!,#REF!,#REF!,#REF!,#REF!,#REF!,#REF!,#REF!,#REF!,#REF!,#REF!,#REF!,#REF!)),0,1)</f>
        <v>#REF!</v>
      </c>
      <c r="BM39" s="38" t="s">
        <v>236</v>
      </c>
      <c r="BN39" s="8" t="s">
        <v>136</v>
      </c>
      <c r="BO39" s="48"/>
      <c r="BP39" s="35" t="str">
        <f t="shared" si="8"/>
        <v>FR</v>
      </c>
      <c r="BQ39" s="35" t="str">
        <f t="shared" si="9"/>
        <v>FS_PF_Energie Alter</v>
      </c>
      <c r="BR39" s="35" t="str">
        <f t="shared" si="10"/>
        <v>RENAULT</v>
      </c>
      <c r="BS39" s="35" t="str">
        <f t="shared" si="11"/>
        <v>GAMME D</v>
      </c>
      <c r="BT39" s="35" t="str">
        <f t="shared" si="12"/>
        <v>D19.320 G CF - 18 Pal - SUPRA 850 S</v>
      </c>
      <c r="BU39" s="35">
        <f t="shared" si="13"/>
        <v>0</v>
      </c>
      <c r="BV39" s="4" t="s">
        <v>278</v>
      </c>
      <c r="BW39" s="6" t="s">
        <v>63</v>
      </c>
      <c r="BX39" s="35" t="str">
        <f t="shared" si="14"/>
        <v>H01</v>
      </c>
      <c r="BY39" s="44" t="str">
        <f t="shared" si="15"/>
        <v>FRFS_PF_Energie AlterD19.320 G CF - 18 Pal - SUPRA 850 SH01</v>
      </c>
      <c r="BZ39" s="48"/>
      <c r="CA39" s="35">
        <v>19000</v>
      </c>
      <c r="CB39" s="35">
        <v>19000</v>
      </c>
      <c r="CC39" s="35" t="e">
        <f>VLOOKUP(BY39,#REF!,20,0)</f>
        <v>#REF!</v>
      </c>
      <c r="CD39" s="48"/>
      <c r="CE39" s="36" t="s">
        <v>46</v>
      </c>
      <c r="CF39" s="36" t="s">
        <v>46</v>
      </c>
      <c r="CG39" s="36"/>
    </row>
    <row r="40" spans="1:85" ht="20.100000000000001" customHeight="1" x14ac:dyDescent="0.25">
      <c r="A40" s="13" t="s">
        <v>74</v>
      </c>
      <c r="B40" s="5" t="s">
        <v>239</v>
      </c>
      <c r="C40" s="5" t="s">
        <v>240</v>
      </c>
      <c r="D40" s="1"/>
      <c r="E40" s="4" t="s">
        <v>49</v>
      </c>
      <c r="F40" s="4" t="s">
        <v>50</v>
      </c>
      <c r="G40" s="1" t="s">
        <v>43</v>
      </c>
      <c r="H40" s="13" t="s">
        <v>12</v>
      </c>
      <c r="I40" s="13" t="s">
        <v>7</v>
      </c>
      <c r="J40" s="13"/>
      <c r="K40" s="13" t="s">
        <v>30</v>
      </c>
      <c r="L40" s="13"/>
      <c r="M40" s="4" t="s">
        <v>279</v>
      </c>
      <c r="N40" s="5" t="s">
        <v>64</v>
      </c>
      <c r="O40" s="37">
        <v>8892</v>
      </c>
      <c r="P40" s="37">
        <v>2454</v>
      </c>
      <c r="Q40" s="37">
        <v>2400</v>
      </c>
      <c r="R40" s="13"/>
      <c r="S40" s="13">
        <v>3802</v>
      </c>
      <c r="T40" s="13">
        <v>2600</v>
      </c>
      <c r="U40" s="13">
        <v>11200</v>
      </c>
      <c r="V40" s="13">
        <v>1287</v>
      </c>
      <c r="W40" s="13">
        <v>6450</v>
      </c>
      <c r="X40" s="13">
        <v>3330</v>
      </c>
      <c r="Y40" s="13"/>
      <c r="Z40" s="1">
        <v>21</v>
      </c>
      <c r="AA40" s="13" t="s">
        <v>307</v>
      </c>
      <c r="AB40" s="13">
        <v>19000</v>
      </c>
      <c r="AC40" s="30" t="s">
        <v>46</v>
      </c>
      <c r="AD40" s="13"/>
      <c r="AE40" s="13"/>
      <c r="AF40" s="13"/>
      <c r="AG40" s="13"/>
      <c r="AH40" s="13" t="s">
        <v>163</v>
      </c>
      <c r="AI40" s="13" t="s">
        <v>93</v>
      </c>
      <c r="AJ40" s="37" t="s">
        <v>237</v>
      </c>
      <c r="AK40" s="13" t="s">
        <v>221</v>
      </c>
      <c r="AL40" s="4" t="s">
        <v>155</v>
      </c>
      <c r="AM40" s="13" t="s">
        <v>225</v>
      </c>
      <c r="AN40" s="4" t="s">
        <v>204</v>
      </c>
      <c r="AO40" s="21" t="s">
        <v>72</v>
      </c>
      <c r="AP40" s="16"/>
      <c r="AQ40" s="16"/>
      <c r="AR40" s="16"/>
      <c r="AS40" s="16"/>
      <c r="AT40" s="16"/>
      <c r="AU40" s="16"/>
      <c r="AV40" s="16"/>
      <c r="AW40" s="16"/>
      <c r="AX40" s="16"/>
      <c r="AY40" s="16"/>
      <c r="AZ40" s="16"/>
      <c r="BA40" s="16"/>
      <c r="BB40" s="16"/>
      <c r="BC40" s="16"/>
      <c r="BD40" s="16"/>
      <c r="BE40" s="16"/>
      <c r="BF40" s="16"/>
      <c r="BG40" s="16"/>
      <c r="BH40" s="16"/>
      <c r="BI40" s="16"/>
      <c r="BJ40" s="16"/>
      <c r="BK40" s="16"/>
      <c r="BL40" s="20" t="e">
        <f>IF(CONCATENATE(A40,B40,C40,D40,E40,F40,G40,H40,I40,J40,K40,L40,M40,N40,O40,P40,Q40,R40,S40,T40,U40,V40,W40,X40,Y40,Z40,AA40,AB40,AC40,AD40,AE40,AF40,AG40,AH40,AI40,AJ40,AK40,AL40,AM40,AN40,AO40,AP40,AQ40,AR40,AS40,AT40,AU40,AV40,AW40,AX40,AY40,AZ40,BA40,BB40,BC40,BD40,BE40,BF40,BG40,BH40,BI40,BJ40,BK40)=(CONCATENATE(#REF!,#REF!,#REF!,#REF!,#REF!,#REF!,#REF!,#REF!,#REF!,#REF!,#REF!,#REF!,#REF!,#REF!,#REF!,#REF!,#REF!,#REF!,#REF!,#REF!,#REF!,#REF!,#REF!,#REF!,#REF!,#REF!,#REF!,#REF!,#REF!,#REF!,#REF!,#REF!,#REF!,#REF!,#REF!,#REF!,#REF!,#REF!,#REF!,#REF!,#REF!,#REF!,#REF!,#REF!,#REF!,#REF!,#REF!,#REF!,#REF!,#REF!,#REF!,#REF!,#REF!,#REF!,#REF!,#REF!,#REF!,#REF!,#REF!,#REF!,#REF!,#REF!,#REF!)),0,1)</f>
        <v>#REF!</v>
      </c>
      <c r="BM40" s="38" t="s">
        <v>236</v>
      </c>
      <c r="BN40" s="8" t="s">
        <v>140</v>
      </c>
      <c r="BO40" s="48"/>
      <c r="BP40" s="35" t="str">
        <f t="shared" si="8"/>
        <v>FR</v>
      </c>
      <c r="BQ40" s="35" t="str">
        <f t="shared" si="9"/>
        <v>FS_PF_Energie Alter</v>
      </c>
      <c r="BR40" s="35" t="str">
        <f t="shared" si="10"/>
        <v>RENAULT</v>
      </c>
      <c r="BS40" s="35" t="str">
        <f t="shared" si="11"/>
        <v>GAMME D</v>
      </c>
      <c r="BT40" s="35" t="str">
        <f t="shared" si="12"/>
        <v>D19.320 G CF - 18 Pal - SUPRA 1150 S MT</v>
      </c>
      <c r="BU40" s="35">
        <f t="shared" si="13"/>
        <v>0</v>
      </c>
      <c r="BV40" s="4" t="s">
        <v>279</v>
      </c>
      <c r="BW40" s="5" t="s">
        <v>64</v>
      </c>
      <c r="BX40" s="35" t="str">
        <f t="shared" si="14"/>
        <v>H02</v>
      </c>
      <c r="BY40" s="44" t="str">
        <f t="shared" si="15"/>
        <v>FRFS_PF_Energie AlterD19.320 G CF - 18 Pal - SUPRA 1150 S MTH02</v>
      </c>
      <c r="BZ40" s="48"/>
      <c r="CA40" s="35">
        <v>19000</v>
      </c>
      <c r="CB40" s="35">
        <v>19000</v>
      </c>
      <c r="CC40" s="35" t="e">
        <f>VLOOKUP(BY40,#REF!,20,0)</f>
        <v>#REF!</v>
      </c>
      <c r="CD40" s="48"/>
      <c r="CE40" s="36" t="s">
        <v>46</v>
      </c>
      <c r="CF40" s="36" t="s">
        <v>46</v>
      </c>
      <c r="CG40" s="36"/>
    </row>
    <row r="41" spans="1:85" ht="20.100000000000001" customHeight="1" x14ac:dyDescent="0.25">
      <c r="A41" s="13" t="s">
        <v>74</v>
      </c>
      <c r="B41" s="5" t="s">
        <v>239</v>
      </c>
      <c r="C41" s="5" t="s">
        <v>240</v>
      </c>
      <c r="D41" s="1"/>
      <c r="E41" s="4" t="s">
        <v>49</v>
      </c>
      <c r="F41" s="4" t="s">
        <v>50</v>
      </c>
      <c r="G41" s="1" t="s">
        <v>43</v>
      </c>
      <c r="H41" s="13" t="s">
        <v>29</v>
      </c>
      <c r="I41" s="13" t="s">
        <v>7</v>
      </c>
      <c r="J41" s="13"/>
      <c r="K41" s="13" t="s">
        <v>30</v>
      </c>
      <c r="L41" s="13"/>
      <c r="M41" s="4" t="s">
        <v>280</v>
      </c>
      <c r="N41" s="6" t="s">
        <v>63</v>
      </c>
      <c r="O41" s="37">
        <v>8892</v>
      </c>
      <c r="P41" s="37">
        <v>2454</v>
      </c>
      <c r="Q41" s="37">
        <v>2400</v>
      </c>
      <c r="R41" s="13"/>
      <c r="S41" s="13">
        <v>3802</v>
      </c>
      <c r="T41" s="13">
        <v>2600</v>
      </c>
      <c r="U41" s="13">
        <v>11200</v>
      </c>
      <c r="V41" s="13">
        <v>1287</v>
      </c>
      <c r="W41" s="13">
        <v>6450</v>
      </c>
      <c r="X41" s="13">
        <v>3330</v>
      </c>
      <c r="Y41" s="13"/>
      <c r="Z41" s="1">
        <v>21</v>
      </c>
      <c r="AA41" s="13" t="s">
        <v>324</v>
      </c>
      <c r="AB41" s="13">
        <v>19000</v>
      </c>
      <c r="AC41" s="30" t="s">
        <v>46</v>
      </c>
      <c r="AD41" s="13"/>
      <c r="AE41" s="13"/>
      <c r="AF41" s="13"/>
      <c r="AG41" s="13"/>
      <c r="AH41" s="13" t="s">
        <v>163</v>
      </c>
      <c r="AI41" s="13" t="s">
        <v>93</v>
      </c>
      <c r="AJ41" s="37" t="s">
        <v>237</v>
      </c>
      <c r="AK41" s="13" t="s">
        <v>221</v>
      </c>
      <c r="AL41" s="4" t="s">
        <v>154</v>
      </c>
      <c r="AM41" s="13" t="s">
        <v>233</v>
      </c>
      <c r="AN41" s="4" t="s">
        <v>204</v>
      </c>
      <c r="AO41" s="21" t="s">
        <v>71</v>
      </c>
      <c r="AP41" s="16"/>
      <c r="AQ41" s="16"/>
      <c r="AR41" s="16"/>
      <c r="AS41" s="16"/>
      <c r="AT41" s="16"/>
      <c r="AU41" s="16"/>
      <c r="AV41" s="16"/>
      <c r="AW41" s="16"/>
      <c r="AX41" s="16"/>
      <c r="AY41" s="16"/>
      <c r="AZ41" s="16"/>
      <c r="BA41" s="16"/>
      <c r="BB41" s="16"/>
      <c r="BC41" s="16"/>
      <c r="BD41" s="16"/>
      <c r="BE41" s="16"/>
      <c r="BF41" s="16"/>
      <c r="BG41" s="16"/>
      <c r="BH41" s="16"/>
      <c r="BI41" s="16"/>
      <c r="BJ41" s="16"/>
      <c r="BK41" s="16"/>
      <c r="BL41" s="20" t="e">
        <f>IF(CONCATENATE(A41,B41,C41,D41,E41,F41,G41,H41,I41,J41,K41,L41,M41,N41,O41,P41,Q41,R41,S41,T41,U41,V41,W41,X41,Y41,Z41,AA41,AB41,AC41,AD41,AE41,AF41,AG41,AH41,AI41,AJ41,AK41,AL41,AM41,AN41,AO41,AP41,AQ41,AR41,AS41,AT41,AU41,AV41,AW41,AX41,AY41,AZ41,BA41,BB41,BC41,BD41,BE41,BF41,BG41,BH41,BI41,BJ41,BK41)=(CONCATENATE(#REF!,#REF!,#REF!,#REF!,#REF!,#REF!,#REF!,#REF!,#REF!,#REF!,#REF!,#REF!,#REF!,#REF!,#REF!,#REF!,#REF!,#REF!,#REF!,#REF!,#REF!,#REF!,#REF!,#REF!,#REF!,#REF!,#REF!,#REF!,#REF!,#REF!,#REF!,#REF!,#REF!,#REF!,#REF!,#REF!,#REF!,#REF!,#REF!,#REF!,#REF!,#REF!,#REF!,#REF!,#REF!,#REF!,#REF!,#REF!,#REF!,#REF!,#REF!,#REF!,#REF!,#REF!,#REF!,#REF!,#REF!,#REF!,#REF!,#REF!,#REF!,#REF!,#REF!)),0,1)</f>
        <v>#REF!</v>
      </c>
      <c r="BM41" s="38" t="s">
        <v>236</v>
      </c>
      <c r="BN41" s="8" t="s">
        <v>136</v>
      </c>
      <c r="BO41" s="48"/>
      <c r="BP41" s="35" t="str">
        <f t="shared" si="8"/>
        <v>FR</v>
      </c>
      <c r="BQ41" s="35" t="str">
        <f t="shared" si="9"/>
        <v>FS_PF_Energie Alter</v>
      </c>
      <c r="BR41" s="35" t="str">
        <f t="shared" si="10"/>
        <v>RENAULT</v>
      </c>
      <c r="BS41" s="35" t="str">
        <f t="shared" si="11"/>
        <v>GAMME D</v>
      </c>
      <c r="BT41" s="35" t="str">
        <f t="shared" si="12"/>
        <v>D19.320 G CF - 18 Pal - SUPRA GAZ</v>
      </c>
      <c r="BU41" s="35">
        <f t="shared" si="13"/>
        <v>0</v>
      </c>
      <c r="BV41" s="4" t="s">
        <v>280</v>
      </c>
      <c r="BW41" s="6" t="s">
        <v>63</v>
      </c>
      <c r="BX41" s="35" t="str">
        <f t="shared" si="14"/>
        <v>H01</v>
      </c>
      <c r="BY41" s="44" t="str">
        <f t="shared" si="15"/>
        <v>FRFS_PF_Energie AlterD19.320 G CF - 18 Pal - SUPRA GAZH01</v>
      </c>
      <c r="BZ41" s="48"/>
      <c r="CA41" s="35">
        <v>19000</v>
      </c>
      <c r="CB41" s="35">
        <v>19000</v>
      </c>
      <c r="CC41" s="35" t="e">
        <f>VLOOKUP(BY41,#REF!,20,0)</f>
        <v>#REF!</v>
      </c>
      <c r="CD41" s="48"/>
      <c r="CE41" s="36" t="s">
        <v>46</v>
      </c>
      <c r="CF41" s="36" t="s">
        <v>46</v>
      </c>
      <c r="CG41" s="36"/>
    </row>
    <row r="42" spans="1:85" ht="20.100000000000001" customHeight="1" x14ac:dyDescent="0.25">
      <c r="A42" s="13" t="s">
        <v>74</v>
      </c>
      <c r="B42" s="5" t="s">
        <v>239</v>
      </c>
      <c r="C42" s="5" t="s">
        <v>240</v>
      </c>
      <c r="D42" s="1"/>
      <c r="E42" s="4" t="s">
        <v>49</v>
      </c>
      <c r="F42" s="4" t="s">
        <v>50</v>
      </c>
      <c r="G42" s="1" t="s">
        <v>43</v>
      </c>
      <c r="H42" s="13" t="s">
        <v>12</v>
      </c>
      <c r="I42" s="13" t="s">
        <v>7</v>
      </c>
      <c r="J42" s="13"/>
      <c r="K42" s="13" t="s">
        <v>30</v>
      </c>
      <c r="L42" s="13"/>
      <c r="M42" s="4" t="s">
        <v>281</v>
      </c>
      <c r="N42" s="5" t="s">
        <v>64</v>
      </c>
      <c r="O42" s="37">
        <v>8892</v>
      </c>
      <c r="P42" s="37">
        <v>2454</v>
      </c>
      <c r="Q42" s="37">
        <v>2400</v>
      </c>
      <c r="R42" s="13"/>
      <c r="S42" s="13">
        <v>3802</v>
      </c>
      <c r="T42" s="13">
        <v>2600</v>
      </c>
      <c r="U42" s="13">
        <v>11200</v>
      </c>
      <c r="V42" s="13">
        <v>1287</v>
      </c>
      <c r="W42" s="13">
        <v>6450</v>
      </c>
      <c r="X42" s="13">
        <v>3330</v>
      </c>
      <c r="Y42" s="13"/>
      <c r="Z42" s="1">
        <v>21</v>
      </c>
      <c r="AA42" s="13" t="s">
        <v>308</v>
      </c>
      <c r="AB42" s="13">
        <v>19000</v>
      </c>
      <c r="AC42" s="30" t="s">
        <v>46</v>
      </c>
      <c r="AD42" s="13"/>
      <c r="AE42" s="13"/>
      <c r="AF42" s="13"/>
      <c r="AG42" s="13"/>
      <c r="AH42" s="13" t="s">
        <v>163</v>
      </c>
      <c r="AI42" s="13" t="s">
        <v>93</v>
      </c>
      <c r="AJ42" s="37" t="s">
        <v>237</v>
      </c>
      <c r="AK42" s="13" t="s">
        <v>221</v>
      </c>
      <c r="AL42" s="4" t="s">
        <v>155</v>
      </c>
      <c r="AM42" s="13" t="s">
        <v>232</v>
      </c>
      <c r="AN42" s="4" t="s">
        <v>204</v>
      </c>
      <c r="AO42" s="21" t="s">
        <v>72</v>
      </c>
      <c r="AP42" s="16"/>
      <c r="AQ42" s="16"/>
      <c r="AR42" s="16"/>
      <c r="AS42" s="16"/>
      <c r="AT42" s="16"/>
      <c r="AU42" s="16"/>
      <c r="AV42" s="16"/>
      <c r="AW42" s="16"/>
      <c r="AX42" s="16"/>
      <c r="AY42" s="16"/>
      <c r="AZ42" s="16"/>
      <c r="BA42" s="16"/>
      <c r="BB42" s="16"/>
      <c r="BC42" s="16"/>
      <c r="BD42" s="16"/>
      <c r="BE42" s="16"/>
      <c r="BF42" s="16"/>
      <c r="BG42" s="16"/>
      <c r="BH42" s="16"/>
      <c r="BI42" s="16"/>
      <c r="BJ42" s="16"/>
      <c r="BK42" s="16"/>
      <c r="BL42" s="20" t="e">
        <f>IF(CONCATENATE(A42,B42,C42,D42,E42,F42,G42,H42,I42,J42,K42,L42,M42,N42,O42,P42,Q42,R42,S42,T42,U42,V42,W42,X42,Y42,Z42,AA42,AB42,AC42,AD42,AE42,AF42,AG42,AH42,AI42,AJ42,AK42,AL42,AM42,AN42,AO42,AP42,AQ42,AR42,AS42,AT42,AU42,AV42,AW42,AX42,AY42,AZ42,BA42,BB42,BC42,BD42,BE42,BF42,BG42,BH42,BI42,BJ42,BK42)=(CONCATENATE(#REF!,#REF!,#REF!,#REF!,#REF!,#REF!,#REF!,#REF!,#REF!,#REF!,#REF!,#REF!,#REF!,#REF!,#REF!,#REF!,#REF!,#REF!,#REF!,#REF!,#REF!,#REF!,#REF!,#REF!,#REF!,#REF!,#REF!,#REF!,#REF!,#REF!,#REF!,#REF!,#REF!,#REF!,#REF!,#REF!,#REF!,#REF!,#REF!,#REF!,#REF!,#REF!,#REF!,#REF!,#REF!,#REF!,#REF!,#REF!,#REF!,#REF!,#REF!,#REF!,#REF!,#REF!,#REF!,#REF!,#REF!,#REF!,#REF!,#REF!,#REF!,#REF!,#REF!)),0,1)</f>
        <v>#REF!</v>
      </c>
      <c r="BM42" s="38" t="s">
        <v>236</v>
      </c>
      <c r="BN42" s="8" t="s">
        <v>140</v>
      </c>
      <c r="BO42" s="48"/>
      <c r="BP42" s="35" t="str">
        <f t="shared" si="8"/>
        <v>FR</v>
      </c>
      <c r="BQ42" s="35" t="str">
        <f t="shared" si="9"/>
        <v>FS_PF_Energie Alter</v>
      </c>
      <c r="BR42" s="35" t="str">
        <f t="shared" si="10"/>
        <v>RENAULT</v>
      </c>
      <c r="BS42" s="35" t="str">
        <f t="shared" si="11"/>
        <v>GAMME D</v>
      </c>
      <c r="BT42" s="35" t="str">
        <f t="shared" si="12"/>
        <v>D19.320 G CF - 18 Pal - SUPRA GAZ MT</v>
      </c>
      <c r="BU42" s="35">
        <f t="shared" si="13"/>
        <v>0</v>
      </c>
      <c r="BV42" s="4" t="s">
        <v>281</v>
      </c>
      <c r="BW42" s="5" t="s">
        <v>64</v>
      </c>
      <c r="BX42" s="35" t="str">
        <f t="shared" si="14"/>
        <v>H02</v>
      </c>
      <c r="BY42" s="44" t="str">
        <f t="shared" si="15"/>
        <v>FRFS_PF_Energie AlterD19.320 G CF - 18 Pal - SUPRA GAZ MTH02</v>
      </c>
      <c r="BZ42" s="48"/>
      <c r="CA42" s="35">
        <v>19000</v>
      </c>
      <c r="CB42" s="35">
        <v>19000</v>
      </c>
      <c r="CC42" s="35" t="e">
        <f>VLOOKUP(BY42,#REF!,20,0)</f>
        <v>#REF!</v>
      </c>
      <c r="CD42" s="48"/>
      <c r="CE42" s="36" t="s">
        <v>46</v>
      </c>
      <c r="CF42" s="36" t="s">
        <v>46</v>
      </c>
      <c r="CG42" s="36"/>
    </row>
    <row r="43" spans="1:85" ht="20.100000000000001" customHeight="1" x14ac:dyDescent="0.25">
      <c r="A43" s="13" t="s">
        <v>74</v>
      </c>
      <c r="B43" s="5" t="s">
        <v>239</v>
      </c>
      <c r="C43" s="5" t="s">
        <v>240</v>
      </c>
      <c r="D43" s="1"/>
      <c r="E43" s="4" t="s">
        <v>49</v>
      </c>
      <c r="F43" s="4" t="s">
        <v>50</v>
      </c>
      <c r="G43" s="1" t="s">
        <v>43</v>
      </c>
      <c r="H43" s="13" t="s">
        <v>29</v>
      </c>
      <c r="I43" s="13" t="s">
        <v>7</v>
      </c>
      <c r="J43" s="13"/>
      <c r="K43" s="13" t="s">
        <v>30</v>
      </c>
      <c r="L43" s="13"/>
      <c r="M43" s="4" t="s">
        <v>292</v>
      </c>
      <c r="N43" s="6" t="s">
        <v>63</v>
      </c>
      <c r="O43" s="37">
        <v>8892</v>
      </c>
      <c r="P43" s="37">
        <v>2454</v>
      </c>
      <c r="Q43" s="37">
        <v>2400</v>
      </c>
      <c r="R43" s="13"/>
      <c r="S43" s="13">
        <v>3802</v>
      </c>
      <c r="T43" s="13">
        <v>2600</v>
      </c>
      <c r="U43" s="13">
        <v>11200</v>
      </c>
      <c r="V43" s="13">
        <v>1287</v>
      </c>
      <c r="W43" s="13">
        <v>6450</v>
      </c>
      <c r="X43" s="13">
        <v>3330</v>
      </c>
      <c r="Y43" s="13"/>
      <c r="Z43" s="1">
        <v>21</v>
      </c>
      <c r="AA43" s="13" t="s">
        <v>332</v>
      </c>
      <c r="AB43" s="13">
        <v>19000</v>
      </c>
      <c r="AC43" s="30" t="s">
        <v>46</v>
      </c>
      <c r="AD43" s="13"/>
      <c r="AE43" s="13"/>
      <c r="AF43" s="13"/>
      <c r="AG43" s="13"/>
      <c r="AH43" s="13" t="s">
        <v>163</v>
      </c>
      <c r="AI43" s="13" t="s">
        <v>93</v>
      </c>
      <c r="AJ43" s="37" t="s">
        <v>237</v>
      </c>
      <c r="AK43" s="13" t="s">
        <v>221</v>
      </c>
      <c r="AL43" s="4" t="s">
        <v>154</v>
      </c>
      <c r="AM43" s="13" t="s">
        <v>338</v>
      </c>
      <c r="AN43" s="4" t="s">
        <v>204</v>
      </c>
      <c r="AO43" s="21" t="s">
        <v>71</v>
      </c>
      <c r="AP43" s="16"/>
      <c r="AQ43" s="16"/>
      <c r="AR43" s="16"/>
      <c r="AS43" s="16"/>
      <c r="AT43" s="16"/>
      <c r="AU43" s="16"/>
      <c r="AV43" s="16"/>
      <c r="AW43" s="16"/>
      <c r="AX43" s="16"/>
      <c r="AY43" s="16"/>
      <c r="AZ43" s="16"/>
      <c r="BA43" s="16"/>
      <c r="BB43" s="16"/>
      <c r="BC43" s="16"/>
      <c r="BD43" s="16"/>
      <c r="BE43" s="16"/>
      <c r="BF43" s="16"/>
      <c r="BG43" s="16"/>
      <c r="BH43" s="16"/>
      <c r="BI43" s="16"/>
      <c r="BJ43" s="16"/>
      <c r="BK43" s="16"/>
      <c r="BL43" s="20" t="e">
        <f>IF(CONCATENATE(A43,B43,C43,D43,E43,F43,G43,H43,I43,J43,K43,L43,M43,N43,O43,P43,Q43,R43,S43,T43,U43,V43,W43,X43,Y43,Z43,AA43,AB43,AC43,AD43,AE43,AF43,AG43,AH43,AI43,AJ43,AK43,AL43,AM43,AN43,AO43,AP43,AQ43,AR43,AS43,AT43,AU43,AV43,AW43,AX43,AY43,AZ43,BA43,BB43,BC43,BD43,BE43,BF43,BG43,BH43,BI43,BJ43,BK43)=(CONCATENATE(#REF!,#REF!,#REF!,#REF!,#REF!,#REF!,#REF!,#REF!,#REF!,#REF!,#REF!,#REF!,#REF!,#REF!,#REF!,#REF!,#REF!,#REF!,#REF!,#REF!,#REF!,#REF!,#REF!,#REF!,#REF!,#REF!,#REF!,#REF!,#REF!,#REF!,#REF!,#REF!,#REF!,#REF!,#REF!,#REF!,#REF!,#REF!,#REF!,#REF!,#REF!,#REF!,#REF!,#REF!,#REF!,#REF!,#REF!,#REF!,#REF!,#REF!,#REF!,#REF!,#REF!,#REF!,#REF!,#REF!,#REF!,#REF!,#REF!,#REF!,#REF!,#REF!,#REF!)),0,1)</f>
        <v>#REF!</v>
      </c>
      <c r="BM43" s="38" t="s">
        <v>236</v>
      </c>
      <c r="BN43" s="8" t="s">
        <v>136</v>
      </c>
      <c r="BO43" s="48"/>
      <c r="BP43" s="35" t="str">
        <f t="shared" si="8"/>
        <v>FR</v>
      </c>
      <c r="BQ43" s="35" t="str">
        <f t="shared" si="9"/>
        <v>FS_PF_Energie Alter</v>
      </c>
      <c r="BR43" s="35" t="str">
        <f t="shared" si="10"/>
        <v>RENAULT</v>
      </c>
      <c r="BS43" s="35" t="str">
        <f t="shared" si="11"/>
        <v>GAMME D</v>
      </c>
      <c r="BT43" s="35" t="str">
        <f t="shared" si="12"/>
        <v>D19.320 G CF - 18 Pal - CARRIER SYBERIA</v>
      </c>
      <c r="BU43" s="35">
        <f t="shared" si="13"/>
        <v>0</v>
      </c>
      <c r="BV43" s="4" t="s">
        <v>292</v>
      </c>
      <c r="BW43" s="6" t="s">
        <v>63</v>
      </c>
      <c r="BX43" s="35" t="str">
        <f t="shared" si="14"/>
        <v>H01</v>
      </c>
      <c r="BY43" s="44" t="str">
        <f t="shared" si="15"/>
        <v>FRFS_PF_Energie AlterD19.320 G CF - 18 Pal - CARRIER SYBERIAH01</v>
      </c>
      <c r="BZ43" s="48"/>
      <c r="CA43" s="35">
        <v>19000</v>
      </c>
      <c r="CB43" s="35">
        <v>19000</v>
      </c>
      <c r="CC43" s="35" t="e">
        <f>VLOOKUP(BY43,#REF!,20,0)</f>
        <v>#REF!</v>
      </c>
      <c r="CD43" s="48"/>
      <c r="CE43" s="36" t="s">
        <v>46</v>
      </c>
      <c r="CF43" s="36" t="s">
        <v>46</v>
      </c>
      <c r="CG43" s="36"/>
    </row>
    <row r="44" spans="1:85" ht="20.100000000000001" customHeight="1" x14ac:dyDescent="0.25">
      <c r="A44" s="13" t="s">
        <v>74</v>
      </c>
      <c r="B44" s="5" t="s">
        <v>239</v>
      </c>
      <c r="C44" s="5" t="s">
        <v>240</v>
      </c>
      <c r="D44" s="1"/>
      <c r="E44" s="4" t="s">
        <v>49</v>
      </c>
      <c r="F44" s="4" t="s">
        <v>50</v>
      </c>
      <c r="G44" s="1" t="s">
        <v>43</v>
      </c>
      <c r="H44" s="13" t="s">
        <v>12</v>
      </c>
      <c r="I44" s="13" t="s">
        <v>7</v>
      </c>
      <c r="J44" s="13"/>
      <c r="K44" s="13" t="s">
        <v>30</v>
      </c>
      <c r="L44" s="13"/>
      <c r="M44" s="4" t="s">
        <v>293</v>
      </c>
      <c r="N44" s="5" t="s">
        <v>64</v>
      </c>
      <c r="O44" s="37">
        <v>8892</v>
      </c>
      <c r="P44" s="37">
        <v>2454</v>
      </c>
      <c r="Q44" s="37">
        <v>2400</v>
      </c>
      <c r="R44" s="13"/>
      <c r="S44" s="13">
        <v>3802</v>
      </c>
      <c r="T44" s="13">
        <v>2600</v>
      </c>
      <c r="U44" s="13">
        <v>11200</v>
      </c>
      <c r="V44" s="13">
        <v>1287</v>
      </c>
      <c r="W44" s="13">
        <v>6450</v>
      </c>
      <c r="X44" s="13">
        <v>3330</v>
      </c>
      <c r="Y44" s="13"/>
      <c r="Z44" s="1">
        <v>21</v>
      </c>
      <c r="AA44" s="13" t="s">
        <v>333</v>
      </c>
      <c r="AB44" s="13">
        <v>19000</v>
      </c>
      <c r="AC44" s="30" t="s">
        <v>46</v>
      </c>
      <c r="AD44" s="13"/>
      <c r="AE44" s="13"/>
      <c r="AF44" s="13"/>
      <c r="AG44" s="13"/>
      <c r="AH44" s="13" t="s">
        <v>163</v>
      </c>
      <c r="AI44" s="13" t="s">
        <v>93</v>
      </c>
      <c r="AJ44" s="37" t="s">
        <v>237</v>
      </c>
      <c r="AK44" s="13" t="s">
        <v>221</v>
      </c>
      <c r="AL44" s="4" t="s">
        <v>155</v>
      </c>
      <c r="AM44" s="13" t="s">
        <v>339</v>
      </c>
      <c r="AN44" s="4" t="s">
        <v>204</v>
      </c>
      <c r="AO44" s="21" t="s">
        <v>72</v>
      </c>
      <c r="AP44" s="16"/>
      <c r="AQ44" s="16"/>
      <c r="AR44" s="16"/>
      <c r="AS44" s="16"/>
      <c r="AT44" s="16"/>
      <c r="AU44" s="16"/>
      <c r="AV44" s="16"/>
      <c r="AW44" s="16"/>
      <c r="AX44" s="16"/>
      <c r="AY44" s="16"/>
      <c r="AZ44" s="16"/>
      <c r="BA44" s="16"/>
      <c r="BB44" s="16"/>
      <c r="BC44" s="16"/>
      <c r="BD44" s="16"/>
      <c r="BE44" s="16"/>
      <c r="BF44" s="16"/>
      <c r="BG44" s="16"/>
      <c r="BH44" s="16"/>
      <c r="BI44" s="16"/>
      <c r="BJ44" s="16"/>
      <c r="BK44" s="16"/>
      <c r="BL44" s="20" t="e">
        <f>IF(CONCATENATE(A44,B44,C44,D44,E44,F44,G44,H44,I44,J44,K44,L44,M44,N44,O44,P44,Q44,R44,S44,T44,U44,V44,W44,X44,Y44,Z44,AA44,AB44,AC44,AD44,AE44,AF44,AG44,AH44,AI44,AJ44,AK44,AL44,AM44,AN44,AO44,AP44,AQ44,AR44,AS44,AT44,AU44,AV44,AW44,AX44,AY44,AZ44,BA44,BB44,BC44,BD44,BE44,BF44,BG44,BH44,BI44,BJ44,BK44)=(CONCATENATE(#REF!,#REF!,#REF!,#REF!,#REF!,#REF!,#REF!,#REF!,#REF!,#REF!,#REF!,#REF!,#REF!,#REF!,#REF!,#REF!,#REF!,#REF!,#REF!,#REF!,#REF!,#REF!,#REF!,#REF!,#REF!,#REF!,#REF!,#REF!,#REF!,#REF!,#REF!,#REF!,#REF!,#REF!,#REF!,#REF!,#REF!,#REF!,#REF!,#REF!,#REF!,#REF!,#REF!,#REF!,#REF!,#REF!,#REF!,#REF!,#REF!,#REF!,#REF!,#REF!,#REF!,#REF!,#REF!,#REF!,#REF!,#REF!,#REF!,#REF!,#REF!,#REF!,#REF!)),0,1)</f>
        <v>#REF!</v>
      </c>
      <c r="BM44" s="38" t="s">
        <v>236</v>
      </c>
      <c r="BN44" s="8" t="s">
        <v>140</v>
      </c>
      <c r="BO44" s="48"/>
      <c r="BP44" s="35" t="str">
        <f t="shared" si="8"/>
        <v>FR</v>
      </c>
      <c r="BQ44" s="35" t="str">
        <f t="shared" si="9"/>
        <v>FS_PF_Energie Alter</v>
      </c>
      <c r="BR44" s="35" t="str">
        <f t="shared" si="10"/>
        <v>RENAULT</v>
      </c>
      <c r="BS44" s="35" t="str">
        <f t="shared" si="11"/>
        <v>GAMME D</v>
      </c>
      <c r="BT44" s="35" t="str">
        <f t="shared" si="12"/>
        <v>D19.320 G CF - 18 Pal - CARRIER SYBERIA MT</v>
      </c>
      <c r="BU44" s="35">
        <f t="shared" si="13"/>
        <v>0</v>
      </c>
      <c r="BV44" s="4" t="s">
        <v>293</v>
      </c>
      <c r="BW44" s="5" t="s">
        <v>64</v>
      </c>
      <c r="BX44" s="35" t="str">
        <f t="shared" si="14"/>
        <v>H02</v>
      </c>
      <c r="BY44" s="44" t="str">
        <f t="shared" si="15"/>
        <v>FRFS_PF_Energie AlterD19.320 G CF - 18 Pal - CARRIER SYBERIA MTH02</v>
      </c>
      <c r="BZ44" s="48"/>
      <c r="CA44" s="35">
        <v>19000</v>
      </c>
      <c r="CB44" s="35">
        <v>19000</v>
      </c>
      <c r="CC44" s="35" t="e">
        <f>VLOOKUP(BY44,#REF!,20,0)</f>
        <v>#REF!</v>
      </c>
      <c r="CD44" s="48"/>
      <c r="CE44" s="36" t="s">
        <v>46</v>
      </c>
      <c r="CF44" s="36" t="s">
        <v>46</v>
      </c>
      <c r="CG44" s="36"/>
    </row>
    <row r="45" spans="1:85" ht="20.100000000000001" customHeight="1" x14ac:dyDescent="0.25">
      <c r="A45" s="13" t="s">
        <v>74</v>
      </c>
      <c r="B45" s="5" t="s">
        <v>239</v>
      </c>
      <c r="C45" s="5" t="s">
        <v>240</v>
      </c>
      <c r="D45" s="1"/>
      <c r="E45" s="4" t="s">
        <v>49</v>
      </c>
      <c r="F45" s="4" t="s">
        <v>50</v>
      </c>
      <c r="G45" s="1" t="s">
        <v>43</v>
      </c>
      <c r="H45" s="13" t="s">
        <v>29</v>
      </c>
      <c r="I45" s="13" t="s">
        <v>7</v>
      </c>
      <c r="J45" s="13"/>
      <c r="K45" s="13" t="s">
        <v>30</v>
      </c>
      <c r="L45" s="13"/>
      <c r="M45" s="4" t="s">
        <v>282</v>
      </c>
      <c r="N45" s="6" t="s">
        <v>63</v>
      </c>
      <c r="O45" s="37">
        <v>8892</v>
      </c>
      <c r="P45" s="37">
        <v>2454</v>
      </c>
      <c r="Q45" s="37">
        <v>2400</v>
      </c>
      <c r="R45" s="13"/>
      <c r="S45" s="13">
        <v>3802</v>
      </c>
      <c r="T45" s="13">
        <v>2600</v>
      </c>
      <c r="U45" s="13">
        <v>11200</v>
      </c>
      <c r="V45" s="13">
        <v>1287</v>
      </c>
      <c r="W45" s="13">
        <v>6450</v>
      </c>
      <c r="X45" s="13">
        <v>3330</v>
      </c>
      <c r="Y45" s="13"/>
      <c r="Z45" s="1">
        <v>21</v>
      </c>
      <c r="AA45" s="13" t="s">
        <v>325</v>
      </c>
      <c r="AB45" s="13">
        <v>19000</v>
      </c>
      <c r="AC45" s="30" t="s">
        <v>46</v>
      </c>
      <c r="AD45" s="13"/>
      <c r="AE45" s="13"/>
      <c r="AF45" s="13"/>
      <c r="AG45" s="13"/>
      <c r="AH45" s="13" t="s">
        <v>163</v>
      </c>
      <c r="AI45" s="13" t="s">
        <v>93</v>
      </c>
      <c r="AJ45" s="37" t="s">
        <v>237</v>
      </c>
      <c r="AK45" s="13" t="s">
        <v>221</v>
      </c>
      <c r="AL45" s="4" t="s">
        <v>154</v>
      </c>
      <c r="AM45" s="13" t="s">
        <v>234</v>
      </c>
      <c r="AN45" s="4" t="s">
        <v>204</v>
      </c>
      <c r="AO45" s="21" t="s">
        <v>71</v>
      </c>
      <c r="AP45" s="16"/>
      <c r="AQ45" s="16"/>
      <c r="AR45" s="16"/>
      <c r="AS45" s="16"/>
      <c r="AT45" s="16"/>
      <c r="AU45" s="16"/>
      <c r="AV45" s="16"/>
      <c r="AW45" s="16"/>
      <c r="AX45" s="16"/>
      <c r="AY45" s="16"/>
      <c r="AZ45" s="16"/>
      <c r="BA45" s="16"/>
      <c r="BB45" s="16"/>
      <c r="BC45" s="16"/>
      <c r="BD45" s="16"/>
      <c r="BE45" s="16"/>
      <c r="BF45" s="16"/>
      <c r="BG45" s="16"/>
      <c r="BH45" s="16"/>
      <c r="BI45" s="16"/>
      <c r="BJ45" s="16"/>
      <c r="BK45" s="16"/>
      <c r="BL45" s="20" t="e">
        <f>IF(CONCATENATE(A45,B45,C45,D45,E45,F45,G45,H45,I45,J45,K45,L45,M45,N45,O45,P45,Q45,R45,S45,T45,U45,V45,W45,X45,Y45,Z45,AA45,AB45,AC45,AD45,AE45,AF45,AG45,AH45,AI45,AJ45,AK45,AL45,AM45,AN45,AO45,AP45,AQ45,AR45,AS45,AT45,AU45,AV45,AW45,AX45,AY45,AZ45,BA45,BB45,BC45,BD45,BE45,BF45,BG45,BH45,BI45,BJ45,BK45)=(CONCATENATE(#REF!,#REF!,#REF!,#REF!,#REF!,#REF!,#REF!,#REF!,#REF!,#REF!,#REF!,#REF!,#REF!,#REF!,#REF!,#REF!,#REF!,#REF!,#REF!,#REF!,#REF!,#REF!,#REF!,#REF!,#REF!,#REF!,#REF!,#REF!,#REF!,#REF!,#REF!,#REF!,#REF!,#REF!,#REF!,#REF!,#REF!,#REF!,#REF!,#REF!,#REF!,#REF!,#REF!,#REF!,#REF!,#REF!,#REF!,#REF!,#REF!,#REF!,#REF!,#REF!,#REF!,#REF!,#REF!,#REF!,#REF!,#REF!,#REF!,#REF!,#REF!,#REF!,#REF!)),0,1)</f>
        <v>#REF!</v>
      </c>
      <c r="BM45" s="38" t="s">
        <v>236</v>
      </c>
      <c r="BN45" s="8" t="s">
        <v>136</v>
      </c>
      <c r="BO45" s="48"/>
      <c r="BP45" s="35" t="str">
        <f t="shared" si="8"/>
        <v>FR</v>
      </c>
      <c r="BQ45" s="35" t="str">
        <f t="shared" si="9"/>
        <v>FS_PF_Energie Alter</v>
      </c>
      <c r="BR45" s="35" t="str">
        <f t="shared" si="10"/>
        <v>RENAULT</v>
      </c>
      <c r="BS45" s="35" t="str">
        <f t="shared" si="11"/>
        <v>GAMME D</v>
      </c>
      <c r="BT45" s="35" t="str">
        <f t="shared" si="12"/>
        <v>D19.320 G CF - 18 Pal - FK 25</v>
      </c>
      <c r="BU45" s="35">
        <f t="shared" si="13"/>
        <v>0</v>
      </c>
      <c r="BV45" s="4" t="s">
        <v>282</v>
      </c>
      <c r="BW45" s="6" t="s">
        <v>63</v>
      </c>
      <c r="BX45" s="35" t="str">
        <f t="shared" si="14"/>
        <v>H01</v>
      </c>
      <c r="BY45" s="44" t="str">
        <f t="shared" si="15"/>
        <v>FRFS_PF_Energie AlterD19.320 G CF - 18 Pal - FK 25H01</v>
      </c>
      <c r="BZ45" s="48"/>
      <c r="CA45" s="35">
        <v>19000</v>
      </c>
      <c r="CB45" s="35">
        <v>19000</v>
      </c>
      <c r="CC45" s="35" t="e">
        <f>VLOOKUP(BY45,#REF!,20,0)</f>
        <v>#REF!</v>
      </c>
      <c r="CD45" s="48"/>
      <c r="CE45" s="36" t="s">
        <v>46</v>
      </c>
      <c r="CF45" s="36" t="s">
        <v>46</v>
      </c>
      <c r="CG45" s="36"/>
    </row>
    <row r="46" spans="1:85" ht="20.100000000000001" customHeight="1" x14ac:dyDescent="0.25">
      <c r="A46" s="13" t="s">
        <v>74</v>
      </c>
      <c r="B46" s="5" t="s">
        <v>239</v>
      </c>
      <c r="C46" s="5" t="s">
        <v>240</v>
      </c>
      <c r="D46" s="1"/>
      <c r="E46" s="4" t="s">
        <v>49</v>
      </c>
      <c r="F46" s="4" t="s">
        <v>50</v>
      </c>
      <c r="G46" s="1" t="s">
        <v>43</v>
      </c>
      <c r="H46" s="13" t="s">
        <v>12</v>
      </c>
      <c r="I46" s="13" t="s">
        <v>7</v>
      </c>
      <c r="J46" s="13"/>
      <c r="K46" s="13" t="s">
        <v>30</v>
      </c>
      <c r="L46" s="13"/>
      <c r="M46" s="4" t="s">
        <v>283</v>
      </c>
      <c r="N46" s="5" t="s">
        <v>64</v>
      </c>
      <c r="O46" s="37">
        <v>8892</v>
      </c>
      <c r="P46" s="37">
        <v>2454</v>
      </c>
      <c r="Q46" s="37">
        <v>2400</v>
      </c>
      <c r="R46" s="13"/>
      <c r="S46" s="13">
        <v>3802</v>
      </c>
      <c r="T46" s="13">
        <v>2600</v>
      </c>
      <c r="U46" s="13">
        <v>11200</v>
      </c>
      <c r="V46" s="13">
        <v>1287</v>
      </c>
      <c r="W46" s="13">
        <v>6450</v>
      </c>
      <c r="X46" s="13">
        <v>3330</v>
      </c>
      <c r="Y46" s="13"/>
      <c r="Z46" s="1">
        <v>21</v>
      </c>
      <c r="AA46" s="13" t="s">
        <v>309</v>
      </c>
      <c r="AB46" s="13">
        <v>19000</v>
      </c>
      <c r="AC46" s="30" t="s">
        <v>46</v>
      </c>
      <c r="AD46" s="13"/>
      <c r="AE46" s="13"/>
      <c r="AF46" s="13"/>
      <c r="AG46" s="13"/>
      <c r="AH46" s="13" t="s">
        <v>163</v>
      </c>
      <c r="AI46" s="13" t="s">
        <v>93</v>
      </c>
      <c r="AJ46" s="37" t="s">
        <v>237</v>
      </c>
      <c r="AK46" s="13" t="s">
        <v>221</v>
      </c>
      <c r="AL46" s="4" t="s">
        <v>155</v>
      </c>
      <c r="AM46" s="13" t="s">
        <v>235</v>
      </c>
      <c r="AN46" s="4" t="s">
        <v>204</v>
      </c>
      <c r="AO46" s="21" t="s">
        <v>72</v>
      </c>
      <c r="AP46" s="16"/>
      <c r="AQ46" s="16"/>
      <c r="AR46" s="16"/>
      <c r="AS46" s="16"/>
      <c r="AT46" s="16"/>
      <c r="AU46" s="16"/>
      <c r="AV46" s="16"/>
      <c r="AW46" s="16"/>
      <c r="AX46" s="16"/>
      <c r="AY46" s="16"/>
      <c r="AZ46" s="16"/>
      <c r="BA46" s="16"/>
      <c r="BB46" s="16"/>
      <c r="BC46" s="16"/>
      <c r="BD46" s="16"/>
      <c r="BE46" s="16"/>
      <c r="BF46" s="16"/>
      <c r="BG46" s="16"/>
      <c r="BH46" s="16"/>
      <c r="BI46" s="16"/>
      <c r="BJ46" s="16"/>
      <c r="BK46" s="16"/>
      <c r="BL46" s="20" t="e">
        <f>IF(CONCATENATE(A46,B46,C46,D46,E46,F46,G46,H46,I46,J46,K46,L46,M46,N46,O46,P46,Q46,R46,S46,T46,U46,V46,W46,X46,Y46,Z46,AA46,AB46,AC46,AD46,AE46,AF46,AG46,AH46,AI46,AJ46,AK46,AL46,AM46,AN46,AO46,AP46,AQ46,AR46,AS46,AT46,AU46,AV46,AW46,AX46,AY46,AZ46,BA46,BB46,BC46,BD46,BE46,BF46,BG46,BH46,BI46,BJ46,BK46)=(CONCATENATE(#REF!,#REF!,#REF!,#REF!,#REF!,#REF!,#REF!,#REF!,#REF!,#REF!,#REF!,#REF!,#REF!,#REF!,#REF!,#REF!,#REF!,#REF!,#REF!,#REF!,#REF!,#REF!,#REF!,#REF!,#REF!,#REF!,#REF!,#REF!,#REF!,#REF!,#REF!,#REF!,#REF!,#REF!,#REF!,#REF!,#REF!,#REF!,#REF!,#REF!,#REF!,#REF!,#REF!,#REF!,#REF!,#REF!,#REF!,#REF!,#REF!,#REF!,#REF!,#REF!,#REF!,#REF!,#REF!,#REF!,#REF!,#REF!,#REF!,#REF!,#REF!,#REF!,#REF!)),0,1)</f>
        <v>#REF!</v>
      </c>
      <c r="BM46" s="38" t="s">
        <v>236</v>
      </c>
      <c r="BN46" s="8" t="s">
        <v>140</v>
      </c>
      <c r="BO46" s="48"/>
      <c r="BP46" s="35" t="str">
        <f t="shared" si="8"/>
        <v>FR</v>
      </c>
      <c r="BQ46" s="35" t="str">
        <f t="shared" si="9"/>
        <v>FS_PF_Energie Alter</v>
      </c>
      <c r="BR46" s="35" t="str">
        <f t="shared" si="10"/>
        <v>RENAULT</v>
      </c>
      <c r="BS46" s="35" t="str">
        <f t="shared" si="11"/>
        <v>GAMME D</v>
      </c>
      <c r="BT46" s="35" t="str">
        <f t="shared" si="12"/>
        <v>D19.320 G CF - 18 Pal - FK 25I MT</v>
      </c>
      <c r="BU46" s="35">
        <f t="shared" si="13"/>
        <v>0</v>
      </c>
      <c r="BV46" s="4" t="s">
        <v>283</v>
      </c>
      <c r="BW46" s="5" t="s">
        <v>64</v>
      </c>
      <c r="BX46" s="35" t="str">
        <f t="shared" si="14"/>
        <v>H02</v>
      </c>
      <c r="BY46" s="44" t="str">
        <f t="shared" si="15"/>
        <v>FRFS_PF_Energie AlterD19.320 G CF - 18 Pal - FK 25I MTH02</v>
      </c>
      <c r="BZ46" s="48"/>
      <c r="CA46" s="35">
        <v>19000</v>
      </c>
      <c r="CB46" s="35">
        <v>19000</v>
      </c>
      <c r="CC46" s="35" t="e">
        <f>VLOOKUP(BY46,#REF!,20,0)</f>
        <v>#REF!</v>
      </c>
      <c r="CD46" s="48"/>
      <c r="CE46" s="36" t="s">
        <v>46</v>
      </c>
      <c r="CF46" s="36" t="s">
        <v>46</v>
      </c>
      <c r="CG46" s="36"/>
    </row>
    <row r="47" spans="1:85" ht="20.100000000000001" customHeight="1" x14ac:dyDescent="0.25">
      <c r="A47" s="13" t="s">
        <v>74</v>
      </c>
      <c r="B47" s="5" t="s">
        <v>239</v>
      </c>
      <c r="C47" s="5" t="s">
        <v>240</v>
      </c>
      <c r="D47" s="1"/>
      <c r="E47" s="4" t="s">
        <v>49</v>
      </c>
      <c r="F47" s="4" t="s">
        <v>50</v>
      </c>
      <c r="G47" s="1" t="s">
        <v>43</v>
      </c>
      <c r="H47" s="13" t="s">
        <v>29</v>
      </c>
      <c r="I47" s="13" t="s">
        <v>7</v>
      </c>
      <c r="J47" s="13"/>
      <c r="K47" s="13" t="s">
        <v>30</v>
      </c>
      <c r="L47" s="13"/>
      <c r="M47" s="4" t="s">
        <v>284</v>
      </c>
      <c r="N47" s="6" t="s">
        <v>63</v>
      </c>
      <c r="O47" s="37">
        <v>8892</v>
      </c>
      <c r="P47" s="37">
        <v>2454</v>
      </c>
      <c r="Q47" s="37">
        <v>2400</v>
      </c>
      <c r="R47" s="13"/>
      <c r="S47" s="13">
        <v>3802</v>
      </c>
      <c r="T47" s="13">
        <v>2600</v>
      </c>
      <c r="U47" s="13">
        <v>11200</v>
      </c>
      <c r="V47" s="13">
        <v>1287</v>
      </c>
      <c r="W47" s="13">
        <v>6450</v>
      </c>
      <c r="X47" s="13">
        <v>3330</v>
      </c>
      <c r="Y47" s="13"/>
      <c r="Z47" s="1">
        <v>21</v>
      </c>
      <c r="AA47" s="13" t="s">
        <v>326</v>
      </c>
      <c r="AB47" s="13">
        <v>19000</v>
      </c>
      <c r="AC47" s="30" t="s">
        <v>46</v>
      </c>
      <c r="AD47" s="13"/>
      <c r="AE47" s="13"/>
      <c r="AF47" s="13"/>
      <c r="AG47" s="13"/>
      <c r="AH47" s="13" t="s">
        <v>163</v>
      </c>
      <c r="AI47" s="13" t="s">
        <v>93</v>
      </c>
      <c r="AJ47" s="37" t="s">
        <v>237</v>
      </c>
      <c r="AK47" s="13" t="s">
        <v>221</v>
      </c>
      <c r="AL47" s="4" t="s">
        <v>154</v>
      </c>
      <c r="AM47" s="13" t="s">
        <v>233</v>
      </c>
      <c r="AN47" s="4" t="s">
        <v>204</v>
      </c>
      <c r="AO47" s="21" t="s">
        <v>71</v>
      </c>
      <c r="AP47" s="16"/>
      <c r="AQ47" s="16"/>
      <c r="AR47" s="16"/>
      <c r="AS47" s="16"/>
      <c r="AT47" s="16"/>
      <c r="AU47" s="16"/>
      <c r="AV47" s="16"/>
      <c r="AW47" s="16"/>
      <c r="AX47" s="16"/>
      <c r="AY47" s="16"/>
      <c r="AZ47" s="16"/>
      <c r="BA47" s="16"/>
      <c r="BB47" s="16"/>
      <c r="BC47" s="16"/>
      <c r="BD47" s="16"/>
      <c r="BE47" s="16"/>
      <c r="BF47" s="16"/>
      <c r="BG47" s="16"/>
      <c r="BH47" s="16"/>
      <c r="BI47" s="16"/>
      <c r="BJ47" s="16"/>
      <c r="BK47" s="16"/>
      <c r="BL47" s="20" t="e">
        <f>IF(CONCATENATE(A47,B47,C47,D47,E47,F47,G47,H47,I47,J47,K47,L47,M47,N47,O47,P47,Q47,R47,S47,T47,U47,V47,W47,X47,Y47,Z47,AA47,AB47,AC47,AD47,AE47,AF47,AG47,AH47,AI47,AJ47,AK47,AL47,AM47,AN47,AO47,AP47,AQ47,AR47,AS47,AT47,AU47,AV47,AW47,AX47,AY47,AZ47,BA47,BB47,BC47,BD47,BE47,BF47,BG47,BH47,BI47,BJ47,BK47)=(CONCATENATE(#REF!,#REF!,#REF!,#REF!,#REF!,#REF!,#REF!,#REF!,#REF!,#REF!,#REF!,#REF!,#REF!,#REF!,#REF!,#REF!,#REF!,#REF!,#REF!,#REF!,#REF!,#REF!,#REF!,#REF!,#REF!,#REF!,#REF!,#REF!,#REF!,#REF!,#REF!,#REF!,#REF!,#REF!,#REF!,#REF!,#REF!,#REF!,#REF!,#REF!,#REF!,#REF!,#REF!,#REF!,#REF!,#REF!,#REF!,#REF!,#REF!,#REF!,#REF!,#REF!,#REF!,#REF!,#REF!,#REF!,#REF!,#REF!,#REF!,#REF!,#REF!,#REF!,#REF!)),0,1)</f>
        <v>#REF!</v>
      </c>
      <c r="BM47" s="38" t="s">
        <v>236</v>
      </c>
      <c r="BN47" s="8" t="s">
        <v>136</v>
      </c>
      <c r="BO47" s="48"/>
      <c r="BP47" s="35" t="str">
        <f t="shared" si="8"/>
        <v>FR</v>
      </c>
      <c r="BQ47" s="35" t="str">
        <f t="shared" si="9"/>
        <v>FS_PF_Energie Alter</v>
      </c>
      <c r="BR47" s="35" t="str">
        <f t="shared" si="10"/>
        <v>RENAULT</v>
      </c>
      <c r="BS47" s="35" t="str">
        <f t="shared" si="11"/>
        <v>GAMME D</v>
      </c>
      <c r="BT47" s="35" t="str">
        <f t="shared" si="12"/>
        <v>D19.320 G CF - SUPRA GAZ</v>
      </c>
      <c r="BU47" s="35">
        <f t="shared" si="13"/>
        <v>0</v>
      </c>
      <c r="BV47" s="4" t="s">
        <v>284</v>
      </c>
      <c r="BW47" s="6" t="s">
        <v>63</v>
      </c>
      <c r="BX47" s="35" t="str">
        <f t="shared" si="14"/>
        <v>H01</v>
      </c>
      <c r="BY47" s="44" t="str">
        <f t="shared" si="15"/>
        <v>FRFS_PF_Energie AlterD19.320 G CF - SUPRA GAZH01</v>
      </c>
      <c r="BZ47" s="48"/>
      <c r="CA47" s="35">
        <v>19000</v>
      </c>
      <c r="CB47" s="35">
        <v>19000</v>
      </c>
      <c r="CC47" s="35" t="e">
        <f>VLOOKUP(BY47,#REF!,20,0)</f>
        <v>#REF!</v>
      </c>
      <c r="CD47" s="48"/>
      <c r="CE47" s="36" t="s">
        <v>46</v>
      </c>
      <c r="CF47" s="36" t="s">
        <v>46</v>
      </c>
      <c r="CG47" s="36"/>
    </row>
    <row r="48" spans="1:85" ht="20.100000000000001" customHeight="1" x14ac:dyDescent="0.25">
      <c r="A48" s="13" t="s">
        <v>74</v>
      </c>
      <c r="B48" s="5" t="s">
        <v>239</v>
      </c>
      <c r="C48" s="5" t="s">
        <v>240</v>
      </c>
      <c r="D48" s="1"/>
      <c r="E48" s="4" t="s">
        <v>49</v>
      </c>
      <c r="F48" s="4" t="s">
        <v>50</v>
      </c>
      <c r="G48" s="1" t="s">
        <v>43</v>
      </c>
      <c r="H48" s="13" t="s">
        <v>12</v>
      </c>
      <c r="I48" s="13" t="s">
        <v>7</v>
      </c>
      <c r="J48" s="13"/>
      <c r="K48" s="13" t="s">
        <v>30</v>
      </c>
      <c r="L48" s="13"/>
      <c r="M48" s="4" t="s">
        <v>285</v>
      </c>
      <c r="N48" s="5" t="s">
        <v>64</v>
      </c>
      <c r="O48" s="37">
        <v>8892</v>
      </c>
      <c r="P48" s="37">
        <v>2454</v>
      </c>
      <c r="Q48" s="37">
        <v>2400</v>
      </c>
      <c r="R48" s="13"/>
      <c r="S48" s="13">
        <v>3802</v>
      </c>
      <c r="T48" s="13">
        <v>2600</v>
      </c>
      <c r="U48" s="13">
        <v>11200</v>
      </c>
      <c r="V48" s="13">
        <v>1287</v>
      </c>
      <c r="W48" s="13">
        <v>6450</v>
      </c>
      <c r="X48" s="13">
        <v>3330</v>
      </c>
      <c r="Y48" s="13"/>
      <c r="Z48" s="1">
        <v>21</v>
      </c>
      <c r="AA48" s="13" t="s">
        <v>310</v>
      </c>
      <c r="AB48" s="13">
        <v>19000</v>
      </c>
      <c r="AC48" s="30" t="s">
        <v>46</v>
      </c>
      <c r="AD48" s="13"/>
      <c r="AE48" s="13"/>
      <c r="AF48" s="13"/>
      <c r="AG48" s="13"/>
      <c r="AH48" s="13" t="s">
        <v>163</v>
      </c>
      <c r="AI48" s="13" t="s">
        <v>93</v>
      </c>
      <c r="AJ48" s="37" t="s">
        <v>237</v>
      </c>
      <c r="AK48" s="13" t="s">
        <v>221</v>
      </c>
      <c r="AL48" s="4" t="s">
        <v>155</v>
      </c>
      <c r="AM48" s="13" t="s">
        <v>232</v>
      </c>
      <c r="AN48" s="4" t="s">
        <v>204</v>
      </c>
      <c r="AO48" s="21" t="s">
        <v>72</v>
      </c>
      <c r="AP48" s="16"/>
      <c r="AQ48" s="16"/>
      <c r="AR48" s="16"/>
      <c r="AS48" s="16"/>
      <c r="AT48" s="16"/>
      <c r="AU48" s="16"/>
      <c r="AV48" s="16"/>
      <c r="AW48" s="16"/>
      <c r="AX48" s="16"/>
      <c r="AY48" s="16"/>
      <c r="AZ48" s="16"/>
      <c r="BA48" s="16"/>
      <c r="BB48" s="16"/>
      <c r="BC48" s="16"/>
      <c r="BD48" s="16"/>
      <c r="BE48" s="16"/>
      <c r="BF48" s="16"/>
      <c r="BG48" s="16"/>
      <c r="BH48" s="16"/>
      <c r="BI48" s="16"/>
      <c r="BJ48" s="16"/>
      <c r="BK48" s="16"/>
      <c r="BL48" s="20" t="e">
        <f>IF(CONCATENATE(A48,B48,C48,D48,E48,F48,G48,H48,I48,J48,K48,L48,M48,N48,O48,P48,Q48,R48,S48,T48,U48,V48,W48,X48,Y48,Z48,AA48,AB48,AC48,AD48,AE48,AF48,AG48,AH48,AI48,AJ48,AK48,AL48,AM48,AN48,AO48,AP48,AQ48,AR48,AS48,AT48,AU48,AV48,AW48,AX48,AY48,AZ48,BA48,BB48,BC48,BD48,BE48,BF48,BG48,BH48,BI48,BJ48,BK48)=(CONCATENATE(#REF!,#REF!,#REF!,#REF!,#REF!,#REF!,#REF!,#REF!,#REF!,#REF!,#REF!,#REF!,#REF!,#REF!,#REF!,#REF!,#REF!,#REF!,#REF!,#REF!,#REF!,#REF!,#REF!,#REF!,#REF!,#REF!,#REF!,#REF!,#REF!,#REF!,#REF!,#REF!,#REF!,#REF!,#REF!,#REF!,#REF!,#REF!,#REF!,#REF!,#REF!,#REF!,#REF!,#REF!,#REF!,#REF!,#REF!,#REF!,#REF!,#REF!,#REF!,#REF!,#REF!,#REF!,#REF!,#REF!,#REF!,#REF!,#REF!,#REF!,#REF!,#REF!,#REF!)),0,1)</f>
        <v>#REF!</v>
      </c>
      <c r="BM48" s="38" t="s">
        <v>236</v>
      </c>
      <c r="BN48" s="8" t="s">
        <v>140</v>
      </c>
      <c r="BO48" s="48"/>
      <c r="BP48" s="35" t="str">
        <f t="shared" si="8"/>
        <v>FR</v>
      </c>
      <c r="BQ48" s="35" t="str">
        <f t="shared" si="9"/>
        <v>FS_PF_Energie Alter</v>
      </c>
      <c r="BR48" s="35" t="str">
        <f t="shared" si="10"/>
        <v>RENAULT</v>
      </c>
      <c r="BS48" s="35" t="str">
        <f t="shared" si="11"/>
        <v>GAMME D</v>
      </c>
      <c r="BT48" s="35" t="str">
        <f t="shared" si="12"/>
        <v>D19.320 G CF - SUPRA GAZ MT</v>
      </c>
      <c r="BU48" s="35">
        <f t="shared" si="13"/>
        <v>0</v>
      </c>
      <c r="BV48" s="4" t="s">
        <v>285</v>
      </c>
      <c r="BW48" s="5" t="s">
        <v>64</v>
      </c>
      <c r="BX48" s="35" t="str">
        <f t="shared" si="14"/>
        <v>H02</v>
      </c>
      <c r="BY48" s="44" t="str">
        <f t="shared" si="15"/>
        <v>FRFS_PF_Energie AlterD19.320 G CF - SUPRA GAZ MTH02</v>
      </c>
      <c r="BZ48" s="48"/>
      <c r="CA48" s="35">
        <v>19000</v>
      </c>
      <c r="CB48" s="35">
        <v>19000</v>
      </c>
      <c r="CC48" s="35" t="e">
        <f>VLOOKUP(BY48,#REF!,20,0)</f>
        <v>#REF!</v>
      </c>
      <c r="CD48" s="48"/>
      <c r="CE48" s="36" t="s">
        <v>46</v>
      </c>
      <c r="CF48" s="36" t="s">
        <v>46</v>
      </c>
      <c r="CG48" s="36"/>
    </row>
    <row r="49" spans="1:85" ht="20.100000000000001" customHeight="1" x14ac:dyDescent="0.25">
      <c r="A49" s="13" t="s">
        <v>74</v>
      </c>
      <c r="B49" s="5" t="s">
        <v>239</v>
      </c>
      <c r="C49" s="5" t="s">
        <v>240</v>
      </c>
      <c r="D49" s="1"/>
      <c r="E49" s="4" t="s">
        <v>49</v>
      </c>
      <c r="F49" s="4" t="s">
        <v>50</v>
      </c>
      <c r="G49" s="1" t="s">
        <v>43</v>
      </c>
      <c r="H49" s="13" t="s">
        <v>29</v>
      </c>
      <c r="I49" s="13" t="s">
        <v>7</v>
      </c>
      <c r="J49" s="13"/>
      <c r="K49" s="13" t="s">
        <v>30</v>
      </c>
      <c r="L49" s="13"/>
      <c r="M49" s="4" t="s">
        <v>294</v>
      </c>
      <c r="N49" s="6" t="s">
        <v>63</v>
      </c>
      <c r="O49" s="37">
        <v>8892</v>
      </c>
      <c r="P49" s="37">
        <v>2454</v>
      </c>
      <c r="Q49" s="37">
        <v>2400</v>
      </c>
      <c r="R49" s="13"/>
      <c r="S49" s="13">
        <v>3802</v>
      </c>
      <c r="T49" s="13">
        <v>2600</v>
      </c>
      <c r="U49" s="13">
        <v>11200</v>
      </c>
      <c r="V49" s="13">
        <v>1287</v>
      </c>
      <c r="W49" s="13">
        <v>6450</v>
      </c>
      <c r="X49" s="13">
        <v>3330</v>
      </c>
      <c r="Y49" s="13"/>
      <c r="Z49" s="1">
        <v>21</v>
      </c>
      <c r="AA49" s="13" t="s">
        <v>334</v>
      </c>
      <c r="AB49" s="13">
        <v>19000</v>
      </c>
      <c r="AC49" s="30" t="s">
        <v>46</v>
      </c>
      <c r="AD49" s="13"/>
      <c r="AE49" s="13"/>
      <c r="AF49" s="13"/>
      <c r="AG49" s="13"/>
      <c r="AH49" s="13" t="s">
        <v>163</v>
      </c>
      <c r="AI49" s="13" t="s">
        <v>93</v>
      </c>
      <c r="AJ49" s="37" t="s">
        <v>237</v>
      </c>
      <c r="AK49" s="13" t="s">
        <v>221</v>
      </c>
      <c r="AL49" s="4" t="s">
        <v>154</v>
      </c>
      <c r="AM49" s="13" t="s">
        <v>338</v>
      </c>
      <c r="AN49" s="4" t="s">
        <v>204</v>
      </c>
      <c r="AO49" s="21" t="s">
        <v>71</v>
      </c>
      <c r="AP49" s="16"/>
      <c r="AQ49" s="16"/>
      <c r="AR49" s="16"/>
      <c r="AS49" s="16"/>
      <c r="AT49" s="16"/>
      <c r="AU49" s="16"/>
      <c r="AV49" s="16"/>
      <c r="AW49" s="16"/>
      <c r="AX49" s="16"/>
      <c r="AY49" s="16"/>
      <c r="AZ49" s="16"/>
      <c r="BA49" s="16"/>
      <c r="BB49" s="16"/>
      <c r="BC49" s="16"/>
      <c r="BD49" s="16"/>
      <c r="BE49" s="16"/>
      <c r="BF49" s="16"/>
      <c r="BG49" s="16"/>
      <c r="BH49" s="16"/>
      <c r="BI49" s="16"/>
      <c r="BJ49" s="16"/>
      <c r="BK49" s="16"/>
      <c r="BL49" s="20" t="e">
        <f>IF(CONCATENATE(A49,B49,C49,D49,E49,F49,G49,H49,I49,J49,K49,L49,M49,N49,O49,P49,Q49,R49,S49,T49,U49,V49,W49,X49,Y49,Z49,AA49,AB49,AC49,AD49,AE49,AF49,AG49,AH49,AI49,AJ49,AK49,AL49,AM49,AN49,AO49,AP49,AQ49,AR49,AS49,AT49,AU49,AV49,AW49,AX49,AY49,AZ49,BA49,BB49,BC49,BD49,BE49,BF49,BG49,BH49,BI49,BJ49,BK49)=(CONCATENATE(#REF!,#REF!,#REF!,#REF!,#REF!,#REF!,#REF!,#REF!,#REF!,#REF!,#REF!,#REF!,#REF!,#REF!,#REF!,#REF!,#REF!,#REF!,#REF!,#REF!,#REF!,#REF!,#REF!,#REF!,#REF!,#REF!,#REF!,#REF!,#REF!,#REF!,#REF!,#REF!,#REF!,#REF!,#REF!,#REF!,#REF!,#REF!,#REF!,#REF!,#REF!,#REF!,#REF!,#REF!,#REF!,#REF!,#REF!,#REF!,#REF!,#REF!,#REF!,#REF!,#REF!,#REF!,#REF!,#REF!,#REF!,#REF!,#REF!,#REF!,#REF!,#REF!,#REF!)),0,1)</f>
        <v>#REF!</v>
      </c>
      <c r="BM49" s="38" t="s">
        <v>236</v>
      </c>
      <c r="BN49" s="8" t="s">
        <v>136</v>
      </c>
      <c r="BO49" s="48"/>
      <c r="BP49" s="35" t="str">
        <f t="shared" si="8"/>
        <v>FR</v>
      </c>
      <c r="BQ49" s="35" t="str">
        <f t="shared" si="9"/>
        <v>FS_PF_Energie Alter</v>
      </c>
      <c r="BR49" s="35" t="str">
        <f t="shared" si="10"/>
        <v>RENAULT</v>
      </c>
      <c r="BS49" s="35" t="str">
        <f t="shared" si="11"/>
        <v>GAMME D</v>
      </c>
      <c r="BT49" s="35" t="str">
        <f t="shared" si="12"/>
        <v>D19.320 G CF - CARRIER SYBERIA</v>
      </c>
      <c r="BU49" s="35">
        <f t="shared" si="13"/>
        <v>0</v>
      </c>
      <c r="BV49" s="4" t="s">
        <v>294</v>
      </c>
      <c r="BW49" s="6" t="s">
        <v>63</v>
      </c>
      <c r="BX49" s="35" t="str">
        <f t="shared" si="14"/>
        <v>H01</v>
      </c>
      <c r="BY49" s="44" t="str">
        <f t="shared" si="15"/>
        <v>FRFS_PF_Energie AlterD19.320 G CF - CARRIER SYBERIAH01</v>
      </c>
      <c r="BZ49" s="48"/>
      <c r="CA49" s="35">
        <v>19000</v>
      </c>
      <c r="CB49" s="35">
        <v>19000</v>
      </c>
      <c r="CC49" s="35" t="e">
        <f>VLOOKUP(BY49,#REF!,20,0)</f>
        <v>#REF!</v>
      </c>
      <c r="CD49" s="48"/>
      <c r="CE49" s="36" t="s">
        <v>46</v>
      </c>
      <c r="CF49" s="36" t="s">
        <v>46</v>
      </c>
      <c r="CG49" s="36"/>
    </row>
    <row r="50" spans="1:85" ht="20.100000000000001" customHeight="1" x14ac:dyDescent="0.25">
      <c r="A50" s="13" t="s">
        <v>74</v>
      </c>
      <c r="B50" s="5" t="s">
        <v>239</v>
      </c>
      <c r="C50" s="5" t="s">
        <v>240</v>
      </c>
      <c r="D50" s="1"/>
      <c r="E50" s="4" t="s">
        <v>49</v>
      </c>
      <c r="F50" s="4" t="s">
        <v>50</v>
      </c>
      <c r="G50" s="1" t="s">
        <v>43</v>
      </c>
      <c r="H50" s="13" t="s">
        <v>12</v>
      </c>
      <c r="I50" s="13" t="s">
        <v>7</v>
      </c>
      <c r="J50" s="13"/>
      <c r="K50" s="13" t="s">
        <v>30</v>
      </c>
      <c r="L50" s="13"/>
      <c r="M50" s="4" t="s">
        <v>295</v>
      </c>
      <c r="N50" s="5" t="s">
        <v>64</v>
      </c>
      <c r="O50" s="37">
        <v>8892</v>
      </c>
      <c r="P50" s="37">
        <v>2454</v>
      </c>
      <c r="Q50" s="37">
        <v>2400</v>
      </c>
      <c r="R50" s="13"/>
      <c r="S50" s="13">
        <v>3802</v>
      </c>
      <c r="T50" s="13">
        <v>2600</v>
      </c>
      <c r="U50" s="13">
        <v>11200</v>
      </c>
      <c r="V50" s="13">
        <v>1287</v>
      </c>
      <c r="W50" s="13">
        <v>6450</v>
      </c>
      <c r="X50" s="13">
        <v>3330</v>
      </c>
      <c r="Y50" s="13"/>
      <c r="Z50" s="1">
        <v>21</v>
      </c>
      <c r="AA50" s="13" t="s">
        <v>335</v>
      </c>
      <c r="AB50" s="13">
        <v>19000</v>
      </c>
      <c r="AC50" s="30" t="s">
        <v>46</v>
      </c>
      <c r="AD50" s="13"/>
      <c r="AE50" s="13"/>
      <c r="AF50" s="13"/>
      <c r="AG50" s="13"/>
      <c r="AH50" s="13" t="s">
        <v>163</v>
      </c>
      <c r="AI50" s="13" t="s">
        <v>93</v>
      </c>
      <c r="AJ50" s="37" t="s">
        <v>237</v>
      </c>
      <c r="AK50" s="13" t="s">
        <v>221</v>
      </c>
      <c r="AL50" s="4" t="s">
        <v>155</v>
      </c>
      <c r="AM50" s="13" t="s">
        <v>339</v>
      </c>
      <c r="AN50" s="4" t="s">
        <v>204</v>
      </c>
      <c r="AO50" s="21" t="s">
        <v>72</v>
      </c>
      <c r="AP50" s="16"/>
      <c r="AQ50" s="16"/>
      <c r="AR50" s="16"/>
      <c r="AS50" s="16"/>
      <c r="AT50" s="16"/>
      <c r="AU50" s="16"/>
      <c r="AV50" s="16"/>
      <c r="AW50" s="16"/>
      <c r="AX50" s="16"/>
      <c r="AY50" s="16"/>
      <c r="AZ50" s="16"/>
      <c r="BA50" s="16"/>
      <c r="BB50" s="16"/>
      <c r="BC50" s="16"/>
      <c r="BD50" s="16"/>
      <c r="BE50" s="16"/>
      <c r="BF50" s="16"/>
      <c r="BG50" s="16"/>
      <c r="BH50" s="16"/>
      <c r="BI50" s="16"/>
      <c r="BJ50" s="16"/>
      <c r="BK50" s="16"/>
      <c r="BL50" s="20" t="e">
        <f>IF(CONCATENATE(A50,B50,C50,D50,E50,F50,G50,H50,I50,J50,K50,L50,M50,N50,O50,P50,Q50,R50,S50,T50,U50,V50,W50,X50,Y50,Z50,AA50,AB50,AC50,AD50,AE50,AF50,AG50,AH50,AI50,AJ50,AK50,AL50,AM50,AN50,AO50,AP50,AQ50,AR50,AS50,AT50,AU50,AV50,AW50,AX50,AY50,AZ50,BA50,BB50,BC50,BD50,BE50,BF50,BG50,BH50,BI50,BJ50,BK50)=(CONCATENATE(#REF!,#REF!,#REF!,#REF!,#REF!,#REF!,#REF!,#REF!,#REF!,#REF!,#REF!,#REF!,#REF!,#REF!,#REF!,#REF!,#REF!,#REF!,#REF!,#REF!,#REF!,#REF!,#REF!,#REF!,#REF!,#REF!,#REF!,#REF!,#REF!,#REF!,#REF!,#REF!,#REF!,#REF!,#REF!,#REF!,#REF!,#REF!,#REF!,#REF!,#REF!,#REF!,#REF!,#REF!,#REF!,#REF!,#REF!,#REF!,#REF!,#REF!,#REF!,#REF!,#REF!,#REF!,#REF!,#REF!,#REF!,#REF!,#REF!,#REF!,#REF!,#REF!,#REF!)),0,1)</f>
        <v>#REF!</v>
      </c>
      <c r="BM50" s="38" t="s">
        <v>236</v>
      </c>
      <c r="BN50" s="8" t="s">
        <v>140</v>
      </c>
      <c r="BO50" s="48"/>
      <c r="BP50" s="35" t="str">
        <f t="shared" si="8"/>
        <v>FR</v>
      </c>
      <c r="BQ50" s="35" t="str">
        <f t="shared" si="9"/>
        <v>FS_PF_Energie Alter</v>
      </c>
      <c r="BR50" s="35" t="str">
        <f t="shared" si="10"/>
        <v>RENAULT</v>
      </c>
      <c r="BS50" s="35" t="str">
        <f t="shared" si="11"/>
        <v>GAMME D</v>
      </c>
      <c r="BT50" s="35" t="str">
        <f t="shared" si="12"/>
        <v>D19.320 G CF - CARRIER SYBERIA MT</v>
      </c>
      <c r="BU50" s="35">
        <f t="shared" si="13"/>
        <v>0</v>
      </c>
      <c r="BV50" s="4" t="s">
        <v>295</v>
      </c>
      <c r="BW50" s="5" t="s">
        <v>64</v>
      </c>
      <c r="BX50" s="35" t="str">
        <f t="shared" si="14"/>
        <v>H02</v>
      </c>
      <c r="BY50" s="44" t="str">
        <f t="shared" si="15"/>
        <v>FRFS_PF_Energie AlterD19.320 G CF - CARRIER SYBERIA MTH02</v>
      </c>
      <c r="BZ50" s="48"/>
      <c r="CA50" s="35">
        <v>19000</v>
      </c>
      <c r="CB50" s="35">
        <v>19000</v>
      </c>
      <c r="CC50" s="35" t="e">
        <f>VLOOKUP(BY50,#REF!,20,0)</f>
        <v>#REF!</v>
      </c>
      <c r="CD50" s="48"/>
      <c r="CE50" s="36" t="s">
        <v>46</v>
      </c>
      <c r="CF50" s="36" t="s">
        <v>46</v>
      </c>
      <c r="CG50" s="36"/>
    </row>
    <row r="51" spans="1:85" ht="20.100000000000001" customHeight="1" x14ac:dyDescent="0.25">
      <c r="A51" s="13" t="s">
        <v>74</v>
      </c>
      <c r="B51" s="5" t="s">
        <v>239</v>
      </c>
      <c r="C51" s="5" t="s">
        <v>240</v>
      </c>
      <c r="D51" s="1"/>
      <c r="E51" s="4" t="s">
        <v>49</v>
      </c>
      <c r="F51" s="4" t="s">
        <v>50</v>
      </c>
      <c r="G51" s="1" t="s">
        <v>43</v>
      </c>
      <c r="H51" s="13" t="s">
        <v>29</v>
      </c>
      <c r="I51" s="13" t="s">
        <v>7</v>
      </c>
      <c r="J51" s="13"/>
      <c r="K51" s="13" t="s">
        <v>30</v>
      </c>
      <c r="L51" s="13"/>
      <c r="M51" s="4" t="s">
        <v>286</v>
      </c>
      <c r="N51" s="6" t="s">
        <v>63</v>
      </c>
      <c r="O51" s="37">
        <v>8892</v>
      </c>
      <c r="P51" s="37">
        <v>2454</v>
      </c>
      <c r="Q51" s="37">
        <v>2400</v>
      </c>
      <c r="R51" s="13"/>
      <c r="S51" s="13">
        <v>3802</v>
      </c>
      <c r="T51" s="13">
        <v>2600</v>
      </c>
      <c r="U51" s="13">
        <v>11200</v>
      </c>
      <c r="V51" s="13">
        <v>1287</v>
      </c>
      <c r="W51" s="13">
        <v>6450</v>
      </c>
      <c r="X51" s="13">
        <v>3330</v>
      </c>
      <c r="Y51" s="13"/>
      <c r="Z51" s="1">
        <v>21</v>
      </c>
      <c r="AA51" s="13" t="s">
        <v>327</v>
      </c>
      <c r="AB51" s="13">
        <v>19000</v>
      </c>
      <c r="AC51" s="30" t="s">
        <v>46</v>
      </c>
      <c r="AD51" s="13"/>
      <c r="AE51" s="13"/>
      <c r="AF51" s="13"/>
      <c r="AG51" s="13"/>
      <c r="AH51" s="13" t="s">
        <v>163</v>
      </c>
      <c r="AI51" s="13" t="s">
        <v>93</v>
      </c>
      <c r="AJ51" s="37" t="s">
        <v>237</v>
      </c>
      <c r="AK51" s="13" t="s">
        <v>221</v>
      </c>
      <c r="AL51" s="4" t="s">
        <v>154</v>
      </c>
      <c r="AM51" s="13" t="s">
        <v>234</v>
      </c>
      <c r="AN51" s="4" t="s">
        <v>204</v>
      </c>
      <c r="AO51" s="21" t="s">
        <v>71</v>
      </c>
      <c r="AP51" s="16"/>
      <c r="AQ51" s="16"/>
      <c r="AR51" s="16"/>
      <c r="AS51" s="16"/>
      <c r="AT51" s="16"/>
      <c r="AU51" s="16"/>
      <c r="AV51" s="16"/>
      <c r="AW51" s="16"/>
      <c r="AX51" s="16"/>
      <c r="AY51" s="16"/>
      <c r="AZ51" s="16"/>
      <c r="BA51" s="16"/>
      <c r="BB51" s="16"/>
      <c r="BC51" s="16"/>
      <c r="BD51" s="16"/>
      <c r="BE51" s="16"/>
      <c r="BF51" s="16"/>
      <c r="BG51" s="16"/>
      <c r="BH51" s="16"/>
      <c r="BI51" s="16"/>
      <c r="BJ51" s="16"/>
      <c r="BK51" s="16"/>
      <c r="BL51" s="20" t="e">
        <f>IF(CONCATENATE(A51,B51,C51,D51,E51,F51,G51,H51,I51,J51,K51,L51,M51,N51,O51,P51,Q51,R51,S51,T51,U51,V51,W51,X51,Y51,Z51,AA51,AB51,AC51,AD51,AE51,AF51,AG51,AH51,AI51,AJ51,AK51,AL51,AM51,AN51,AO51,AP51,AQ51,AR51,AS51,AT51,AU51,AV51,AW51,AX51,AY51,AZ51,BA51,BB51,BC51,BD51,BE51,BF51,BG51,BH51,BI51,BJ51,BK51)=(CONCATENATE(#REF!,#REF!,#REF!,#REF!,#REF!,#REF!,#REF!,#REF!,#REF!,#REF!,#REF!,#REF!,#REF!,#REF!,#REF!,#REF!,#REF!,#REF!,#REF!,#REF!,#REF!,#REF!,#REF!,#REF!,#REF!,#REF!,#REF!,#REF!,#REF!,#REF!,#REF!,#REF!,#REF!,#REF!,#REF!,#REF!,#REF!,#REF!,#REF!,#REF!,#REF!,#REF!,#REF!,#REF!,#REF!,#REF!,#REF!,#REF!,#REF!,#REF!,#REF!,#REF!,#REF!,#REF!,#REF!,#REF!,#REF!,#REF!,#REF!,#REF!,#REF!,#REF!,#REF!)),0,1)</f>
        <v>#REF!</v>
      </c>
      <c r="BM51" s="38" t="s">
        <v>236</v>
      </c>
      <c r="BN51" s="8" t="s">
        <v>136</v>
      </c>
      <c r="BO51" s="48"/>
      <c r="BP51" s="35" t="str">
        <f t="shared" si="8"/>
        <v>FR</v>
      </c>
      <c r="BQ51" s="35" t="str">
        <f t="shared" si="9"/>
        <v>FS_PF_Energie Alter</v>
      </c>
      <c r="BR51" s="35" t="str">
        <f t="shared" si="10"/>
        <v>RENAULT</v>
      </c>
      <c r="BS51" s="35" t="str">
        <f t="shared" si="11"/>
        <v>GAMME D</v>
      </c>
      <c r="BT51" s="35" t="str">
        <f t="shared" si="12"/>
        <v>D19.320 G CF - FK 25</v>
      </c>
      <c r="BU51" s="35">
        <f t="shared" si="13"/>
        <v>0</v>
      </c>
      <c r="BV51" s="4" t="s">
        <v>286</v>
      </c>
      <c r="BW51" s="6" t="s">
        <v>63</v>
      </c>
      <c r="BX51" s="35" t="str">
        <f t="shared" si="14"/>
        <v>H01</v>
      </c>
      <c r="BY51" s="44" t="str">
        <f t="shared" si="15"/>
        <v>FRFS_PF_Energie AlterD19.320 G CF - FK 25H01</v>
      </c>
      <c r="BZ51" s="48"/>
      <c r="CA51" s="35">
        <v>19000</v>
      </c>
      <c r="CB51" s="35">
        <v>19000</v>
      </c>
      <c r="CC51" s="35" t="e">
        <f>VLOOKUP(BY51,#REF!,20,0)</f>
        <v>#REF!</v>
      </c>
      <c r="CD51" s="48"/>
      <c r="CE51" s="36" t="s">
        <v>46</v>
      </c>
      <c r="CF51" s="36" t="s">
        <v>46</v>
      </c>
      <c r="CG51" s="36"/>
    </row>
    <row r="52" spans="1:85" ht="20.100000000000001" customHeight="1" x14ac:dyDescent="0.25">
      <c r="A52" s="13" t="s">
        <v>74</v>
      </c>
      <c r="B52" s="5" t="s">
        <v>239</v>
      </c>
      <c r="C52" s="5" t="s">
        <v>240</v>
      </c>
      <c r="D52" s="1"/>
      <c r="E52" s="4" t="s">
        <v>49</v>
      </c>
      <c r="F52" s="4" t="s">
        <v>50</v>
      </c>
      <c r="G52" s="1" t="s">
        <v>43</v>
      </c>
      <c r="H52" s="13" t="s">
        <v>12</v>
      </c>
      <c r="I52" s="13" t="s">
        <v>7</v>
      </c>
      <c r="J52" s="13"/>
      <c r="K52" s="13" t="s">
        <v>30</v>
      </c>
      <c r="L52" s="13"/>
      <c r="M52" s="4" t="s">
        <v>287</v>
      </c>
      <c r="N52" s="5" t="s">
        <v>64</v>
      </c>
      <c r="O52" s="37">
        <v>8892</v>
      </c>
      <c r="P52" s="37">
        <v>2454</v>
      </c>
      <c r="Q52" s="37">
        <v>2400</v>
      </c>
      <c r="R52" s="13"/>
      <c r="S52" s="13">
        <v>3802</v>
      </c>
      <c r="T52" s="13">
        <v>2600</v>
      </c>
      <c r="U52" s="13">
        <v>11200</v>
      </c>
      <c r="V52" s="13">
        <v>1287</v>
      </c>
      <c r="W52" s="13">
        <v>6450</v>
      </c>
      <c r="X52" s="13">
        <v>3330</v>
      </c>
      <c r="Y52" s="13"/>
      <c r="Z52" s="1">
        <v>21</v>
      </c>
      <c r="AA52" s="13" t="s">
        <v>311</v>
      </c>
      <c r="AB52" s="13">
        <v>19000</v>
      </c>
      <c r="AC52" s="30" t="s">
        <v>46</v>
      </c>
      <c r="AD52" s="13"/>
      <c r="AE52" s="13"/>
      <c r="AF52" s="13"/>
      <c r="AG52" s="13"/>
      <c r="AH52" s="13" t="s">
        <v>163</v>
      </c>
      <c r="AI52" s="13" t="s">
        <v>93</v>
      </c>
      <c r="AJ52" s="37" t="s">
        <v>237</v>
      </c>
      <c r="AK52" s="13" t="s">
        <v>221</v>
      </c>
      <c r="AL52" s="4" t="s">
        <v>155</v>
      </c>
      <c r="AM52" s="13" t="s">
        <v>235</v>
      </c>
      <c r="AN52" s="4" t="s">
        <v>204</v>
      </c>
      <c r="AO52" s="21" t="s">
        <v>72</v>
      </c>
      <c r="AP52" s="16"/>
      <c r="AQ52" s="16"/>
      <c r="AR52" s="16"/>
      <c r="AS52" s="16"/>
      <c r="AT52" s="16"/>
      <c r="AU52" s="16"/>
      <c r="AV52" s="16"/>
      <c r="AW52" s="16"/>
      <c r="AX52" s="16"/>
      <c r="AY52" s="16"/>
      <c r="AZ52" s="16"/>
      <c r="BA52" s="16"/>
      <c r="BB52" s="16"/>
      <c r="BC52" s="16"/>
      <c r="BD52" s="16"/>
      <c r="BE52" s="16"/>
      <c r="BF52" s="16"/>
      <c r="BG52" s="16"/>
      <c r="BH52" s="16"/>
      <c r="BI52" s="16"/>
      <c r="BJ52" s="16"/>
      <c r="BK52" s="16"/>
      <c r="BL52" s="20" t="e">
        <f>IF(CONCATENATE(A52,B52,C52,D52,E52,F52,G52,H52,I52,J52,K52,L52,M52,N52,O52,P52,Q52,R52,S52,T52,U52,V52,W52,X52,Y52,Z52,AA52,AB52,AC52,AD52,AE52,AF52,AG52,AH52,AI52,AJ52,AK52,AL52,AM52,AN52,AO52,AP52,AQ52,AR52,AS52,AT52,AU52,AV52,AW52,AX52,AY52,AZ52,BA52,BB52,BC52,BD52,BE52,BF52,BG52,BH52,BI52,BJ52,BK52)=(CONCATENATE(#REF!,#REF!,#REF!,#REF!,#REF!,#REF!,#REF!,#REF!,#REF!,#REF!,#REF!,#REF!,#REF!,#REF!,#REF!,#REF!,#REF!,#REF!,#REF!,#REF!,#REF!,#REF!,#REF!,#REF!,#REF!,#REF!,#REF!,#REF!,#REF!,#REF!,#REF!,#REF!,#REF!,#REF!,#REF!,#REF!,#REF!,#REF!,#REF!,#REF!,#REF!,#REF!,#REF!,#REF!,#REF!,#REF!,#REF!,#REF!,#REF!,#REF!,#REF!,#REF!,#REF!,#REF!,#REF!,#REF!,#REF!,#REF!,#REF!,#REF!,#REF!,#REF!,#REF!)),0,1)</f>
        <v>#REF!</v>
      </c>
      <c r="BM52" s="38" t="s">
        <v>236</v>
      </c>
      <c r="BN52" s="8" t="s">
        <v>140</v>
      </c>
      <c r="BO52" s="48"/>
      <c r="BP52" s="35" t="str">
        <f t="shared" si="8"/>
        <v>FR</v>
      </c>
      <c r="BQ52" s="35" t="str">
        <f t="shared" si="9"/>
        <v>FS_PF_Energie Alter</v>
      </c>
      <c r="BR52" s="35" t="str">
        <f t="shared" si="10"/>
        <v>RENAULT</v>
      </c>
      <c r="BS52" s="35" t="str">
        <f t="shared" si="11"/>
        <v>GAMME D</v>
      </c>
      <c r="BT52" s="35" t="str">
        <f t="shared" si="12"/>
        <v>D19.320 G CF - FK 25I MT</v>
      </c>
      <c r="BU52" s="35">
        <f t="shared" si="13"/>
        <v>0</v>
      </c>
      <c r="BV52" s="4" t="s">
        <v>287</v>
      </c>
      <c r="BW52" s="5" t="s">
        <v>64</v>
      </c>
      <c r="BX52" s="35" t="str">
        <f t="shared" si="14"/>
        <v>H02</v>
      </c>
      <c r="BY52" s="44" t="str">
        <f t="shared" si="15"/>
        <v>FRFS_PF_Energie AlterD19.320 G CF - FK 25I MTH02</v>
      </c>
      <c r="BZ52" s="48"/>
      <c r="CA52" s="35">
        <v>19000</v>
      </c>
      <c r="CB52" s="35">
        <v>19000</v>
      </c>
      <c r="CC52" s="35" t="e">
        <f>VLOOKUP(BY52,#REF!,20,0)</f>
        <v>#REF!</v>
      </c>
      <c r="CD52" s="48"/>
      <c r="CE52" s="36" t="s">
        <v>46</v>
      </c>
      <c r="CF52" s="36" t="s">
        <v>46</v>
      </c>
      <c r="CG52" s="36"/>
    </row>
    <row r="53" spans="1:85" ht="20.100000000000001" customHeight="1" x14ac:dyDescent="0.25">
      <c r="A53" s="4" t="s">
        <v>74</v>
      </c>
      <c r="B53" s="5" t="s">
        <v>239</v>
      </c>
      <c r="C53" s="5" t="s">
        <v>240</v>
      </c>
      <c r="D53" s="1"/>
      <c r="E53" s="4" t="s">
        <v>49</v>
      </c>
      <c r="F53" s="4" t="s">
        <v>50</v>
      </c>
      <c r="G53" s="4" t="s">
        <v>44</v>
      </c>
      <c r="H53" s="4" t="s">
        <v>29</v>
      </c>
      <c r="I53" s="4" t="s">
        <v>7</v>
      </c>
      <c r="J53" s="4"/>
      <c r="K53" s="4" t="s">
        <v>30</v>
      </c>
      <c r="L53" s="4"/>
      <c r="M53" s="4" t="s">
        <v>288</v>
      </c>
      <c r="N53" s="6" t="s">
        <v>63</v>
      </c>
      <c r="O53" s="4">
        <v>9490</v>
      </c>
      <c r="P53" s="4">
        <v>2450</v>
      </c>
      <c r="Q53" s="4">
        <v>2400</v>
      </c>
      <c r="R53" s="4"/>
      <c r="S53" s="4"/>
      <c r="T53" s="4"/>
      <c r="U53" s="4"/>
      <c r="V53" s="4"/>
      <c r="W53" s="4"/>
      <c r="X53" s="4"/>
      <c r="Y53" s="4"/>
      <c r="Z53" s="1">
        <v>23</v>
      </c>
      <c r="AA53" s="13" t="s">
        <v>326</v>
      </c>
      <c r="AB53" s="4">
        <v>26000</v>
      </c>
      <c r="AC53" s="30" t="s">
        <v>46</v>
      </c>
      <c r="AD53" s="6"/>
      <c r="AE53" s="6"/>
      <c r="AF53" s="6"/>
      <c r="AG53" s="6"/>
      <c r="AH53" s="4" t="s">
        <v>164</v>
      </c>
      <c r="AI53" s="4" t="s">
        <v>93</v>
      </c>
      <c r="AJ53" s="37" t="s">
        <v>237</v>
      </c>
      <c r="AK53" s="13" t="s">
        <v>221</v>
      </c>
      <c r="AL53" s="4" t="s">
        <v>156</v>
      </c>
      <c r="AM53" s="13" t="s">
        <v>233</v>
      </c>
      <c r="AN53" s="4" t="s">
        <v>204</v>
      </c>
      <c r="AO53" s="22" t="s">
        <v>86</v>
      </c>
      <c r="AP53" s="23"/>
      <c r="AQ53" s="23"/>
      <c r="AR53" s="23"/>
      <c r="AS53" s="23"/>
      <c r="AT53" s="23"/>
      <c r="AU53" s="23"/>
      <c r="AV53" s="23"/>
      <c r="AW53" s="23"/>
      <c r="AX53" s="23"/>
      <c r="AY53" s="23"/>
      <c r="AZ53" s="23"/>
      <c r="BA53" s="23"/>
      <c r="BB53" s="23"/>
      <c r="BC53" s="23"/>
      <c r="BD53" s="23"/>
      <c r="BE53" s="23"/>
      <c r="BF53" s="23"/>
      <c r="BG53" s="23"/>
      <c r="BH53" s="23"/>
      <c r="BI53" s="23"/>
      <c r="BJ53" s="23"/>
      <c r="BK53" s="23"/>
      <c r="BL53" s="20" t="e">
        <f>IF(CONCATENATE(A53,B53,C53,D53,E53,F53,G53,H53,I53,J53,K53,L53,M53,N53,O53,P53,Q53,R53,S53,T53,U53,V53,W53,X53,Y53,Z53,AA53,AB53,AC53,AD53,AE53,AF53,AG53,AH53,AI53,AJ53,AK53,AL53,AM53,AN53,AO53,AP53,AQ53,AR53,AS53,AT53,AU53,AV53,AW53,AX53,AY53,AZ53,BA53,BB53,BC53,BD53,BE53,BF53,BG53,BH53,BI53,BJ53,BK53)=(CONCATENATE(#REF!,#REF!,#REF!,#REF!,#REF!,#REF!,#REF!,#REF!,#REF!,#REF!,#REF!,#REF!,#REF!,#REF!,#REF!,#REF!,#REF!,#REF!,#REF!,#REF!,#REF!,#REF!,#REF!,#REF!,#REF!,#REF!,#REF!,#REF!,#REF!,#REF!,#REF!,#REF!,#REF!,#REF!,#REF!,#REF!,#REF!,#REF!,#REF!,#REF!,#REF!,#REF!,#REF!,#REF!,#REF!,#REF!,#REF!,#REF!,#REF!,#REF!,#REF!,#REF!,#REF!,#REF!,#REF!,#REF!,#REF!,#REF!,#REF!,#REF!,#REF!,#REF!,#REF!)),0,1)</f>
        <v>#REF!</v>
      </c>
      <c r="BM53" s="38" t="s">
        <v>236</v>
      </c>
      <c r="BN53" s="8" t="s">
        <v>95</v>
      </c>
      <c r="BO53" s="48"/>
      <c r="BP53" s="35" t="str">
        <f t="shared" si="8"/>
        <v>FR</v>
      </c>
      <c r="BQ53" s="35" t="str">
        <f t="shared" si="9"/>
        <v>FS_PF_Energie Alter</v>
      </c>
      <c r="BR53" s="35" t="str">
        <f t="shared" si="10"/>
        <v>RENAULT</v>
      </c>
      <c r="BS53" s="35" t="str">
        <f t="shared" si="11"/>
        <v>GAMME D</v>
      </c>
      <c r="BT53" s="35" t="str">
        <f t="shared" si="12"/>
        <v>D26.320 G CF - SUPRA GAZ</v>
      </c>
      <c r="BU53" s="35">
        <f t="shared" si="13"/>
        <v>0</v>
      </c>
      <c r="BV53" s="4" t="s">
        <v>288</v>
      </c>
      <c r="BW53" s="6" t="s">
        <v>63</v>
      </c>
      <c r="BX53" s="35" t="str">
        <f t="shared" si="14"/>
        <v>H01</v>
      </c>
      <c r="BY53" s="44" t="str">
        <f t="shared" si="15"/>
        <v>FRFS_PF_Energie AlterD26.320 G CF - SUPRA GAZH01</v>
      </c>
      <c r="BZ53" s="48"/>
      <c r="CA53" s="35">
        <v>26000</v>
      </c>
      <c r="CB53" s="35">
        <v>26000</v>
      </c>
      <c r="CC53" s="35" t="e">
        <f>VLOOKUP(BY53,#REF!,20,0)</f>
        <v>#REF!</v>
      </c>
      <c r="CD53" s="48"/>
      <c r="CE53" s="36" t="s">
        <v>46</v>
      </c>
      <c r="CF53" s="36" t="s">
        <v>46</v>
      </c>
      <c r="CG53" s="36"/>
    </row>
    <row r="54" spans="1:85" ht="20.100000000000001" customHeight="1" x14ac:dyDescent="0.25">
      <c r="A54" s="4" t="s">
        <v>74</v>
      </c>
      <c r="B54" s="5" t="s">
        <v>239</v>
      </c>
      <c r="C54" s="5" t="s">
        <v>240</v>
      </c>
      <c r="D54" s="1"/>
      <c r="E54" s="4" t="s">
        <v>49</v>
      </c>
      <c r="F54" s="4" t="s">
        <v>50</v>
      </c>
      <c r="G54" s="4" t="s">
        <v>44</v>
      </c>
      <c r="H54" s="4" t="s">
        <v>12</v>
      </c>
      <c r="I54" s="4" t="s">
        <v>7</v>
      </c>
      <c r="J54" s="4"/>
      <c r="K54" s="4" t="s">
        <v>30</v>
      </c>
      <c r="L54" s="4"/>
      <c r="M54" s="4" t="s">
        <v>289</v>
      </c>
      <c r="N54" s="5" t="s">
        <v>64</v>
      </c>
      <c r="O54" s="4">
        <v>9490</v>
      </c>
      <c r="P54" s="4">
        <v>2450</v>
      </c>
      <c r="Q54" s="4">
        <v>2400</v>
      </c>
      <c r="R54" s="4"/>
      <c r="S54" s="4"/>
      <c r="T54" s="4"/>
      <c r="U54" s="4"/>
      <c r="V54" s="4"/>
      <c r="W54" s="4"/>
      <c r="X54" s="4"/>
      <c r="Y54" s="4"/>
      <c r="Z54" s="1">
        <v>23</v>
      </c>
      <c r="AA54" s="4" t="s">
        <v>310</v>
      </c>
      <c r="AB54" s="4">
        <v>26000</v>
      </c>
      <c r="AC54" s="30" t="s">
        <v>46</v>
      </c>
      <c r="AD54" s="6"/>
      <c r="AE54" s="6"/>
      <c r="AF54" s="6"/>
      <c r="AG54" s="6"/>
      <c r="AH54" s="4" t="s">
        <v>164</v>
      </c>
      <c r="AI54" s="4" t="s">
        <v>93</v>
      </c>
      <c r="AJ54" s="37" t="s">
        <v>237</v>
      </c>
      <c r="AK54" s="13" t="s">
        <v>221</v>
      </c>
      <c r="AL54" s="4" t="s">
        <v>157</v>
      </c>
      <c r="AM54" s="13" t="s">
        <v>232</v>
      </c>
      <c r="AN54" s="4" t="s">
        <v>204</v>
      </c>
      <c r="AO54" s="22" t="s">
        <v>86</v>
      </c>
      <c r="AP54" s="23"/>
      <c r="AQ54" s="23"/>
      <c r="AR54" s="23"/>
      <c r="AS54" s="23"/>
      <c r="AT54" s="23"/>
      <c r="AU54" s="23"/>
      <c r="AV54" s="23"/>
      <c r="AW54" s="23"/>
      <c r="AX54" s="23"/>
      <c r="AY54" s="23"/>
      <c r="AZ54" s="23"/>
      <c r="BA54" s="23"/>
      <c r="BB54" s="23"/>
      <c r="BC54" s="23"/>
      <c r="BD54" s="23"/>
      <c r="BE54" s="23"/>
      <c r="BF54" s="23"/>
      <c r="BG54" s="23"/>
      <c r="BH54" s="23"/>
      <c r="BI54" s="23"/>
      <c r="BJ54" s="23"/>
      <c r="BK54" s="23"/>
      <c r="BL54" s="20" t="e">
        <f>IF(CONCATENATE(A54,B54,C54,D54,E54,F54,G54,H54,I54,J54,K54,L54,M54,N54,O54,P54,Q54,R54,S54,T54,U54,V54,W54,X54,Y54,Z54,AA54,AB54,AC54,AD54,AE54,AF54,AG54,AH54,AI54,AJ54,AK54,AL54,AM54,AN54,AO54,AP54,AQ54,AR54,AS54,AT54,AU54,AV54,AW54,AX54,AY54,AZ54,BA54,BB54,BC54,BD54,BE54,BF54,BG54,BH54,BI54,BJ54,BK54)=(CONCATENATE(#REF!,#REF!,#REF!,#REF!,#REF!,#REF!,#REF!,#REF!,#REF!,#REF!,#REF!,#REF!,#REF!,#REF!,#REF!,#REF!,#REF!,#REF!,#REF!,#REF!,#REF!,#REF!,#REF!,#REF!,#REF!,#REF!,#REF!,#REF!,#REF!,#REF!,#REF!,#REF!,#REF!,#REF!,#REF!,#REF!,#REF!,#REF!,#REF!,#REF!,#REF!,#REF!,#REF!,#REF!,#REF!,#REF!,#REF!,#REF!,#REF!,#REF!,#REF!,#REF!,#REF!,#REF!,#REF!,#REF!,#REF!,#REF!,#REF!,#REF!,#REF!,#REF!,#REF!)),0,1)</f>
        <v>#REF!</v>
      </c>
      <c r="BM54" s="38" t="s">
        <v>236</v>
      </c>
      <c r="BN54" s="8" t="s">
        <v>95</v>
      </c>
      <c r="BO54" s="48"/>
      <c r="BP54" s="35" t="str">
        <f t="shared" si="8"/>
        <v>FR</v>
      </c>
      <c r="BQ54" s="35" t="str">
        <f t="shared" si="9"/>
        <v>FS_PF_Energie Alter</v>
      </c>
      <c r="BR54" s="35" t="str">
        <f t="shared" si="10"/>
        <v>RENAULT</v>
      </c>
      <c r="BS54" s="35" t="str">
        <f t="shared" si="11"/>
        <v>GAMME D</v>
      </c>
      <c r="BT54" s="35" t="str">
        <f t="shared" si="12"/>
        <v>D26.320 G CF - SUPRA GAZ MT</v>
      </c>
      <c r="BU54" s="35">
        <f t="shared" si="13"/>
        <v>0</v>
      </c>
      <c r="BV54" s="4" t="s">
        <v>289</v>
      </c>
      <c r="BW54" s="5" t="s">
        <v>64</v>
      </c>
      <c r="BX54" s="35" t="str">
        <f t="shared" si="14"/>
        <v>H02</v>
      </c>
      <c r="BY54" s="44" t="str">
        <f t="shared" si="15"/>
        <v>FRFS_PF_Energie AlterD26.320 G CF - SUPRA GAZ MTH02</v>
      </c>
      <c r="BZ54" s="48"/>
      <c r="CA54" s="35">
        <v>26000</v>
      </c>
      <c r="CB54" s="35">
        <v>26000</v>
      </c>
      <c r="CC54" s="35" t="e">
        <f>VLOOKUP(BY54,#REF!,20,0)</f>
        <v>#REF!</v>
      </c>
      <c r="CD54" s="48"/>
      <c r="CE54" s="36" t="s">
        <v>46</v>
      </c>
      <c r="CF54" s="36" t="s">
        <v>46</v>
      </c>
      <c r="CG54" s="36"/>
    </row>
    <row r="55" spans="1:85" ht="20.100000000000001" customHeight="1" x14ac:dyDescent="0.25">
      <c r="A55" s="4" t="s">
        <v>74</v>
      </c>
      <c r="B55" s="5" t="s">
        <v>239</v>
      </c>
      <c r="C55" s="5" t="s">
        <v>240</v>
      </c>
      <c r="D55" s="1"/>
      <c r="E55" s="4" t="s">
        <v>49</v>
      </c>
      <c r="F55" s="4" t="s">
        <v>50</v>
      </c>
      <c r="G55" s="4" t="s">
        <v>44</v>
      </c>
      <c r="H55" s="4" t="s">
        <v>29</v>
      </c>
      <c r="I55" s="4" t="s">
        <v>7</v>
      </c>
      <c r="J55" s="4"/>
      <c r="K55" s="4" t="s">
        <v>30</v>
      </c>
      <c r="L55" s="4"/>
      <c r="M55" s="4" t="s">
        <v>328</v>
      </c>
      <c r="N55" s="6" t="s">
        <v>63</v>
      </c>
      <c r="O55" s="4">
        <v>9490</v>
      </c>
      <c r="P55" s="4">
        <v>2450</v>
      </c>
      <c r="Q55" s="4">
        <v>2400</v>
      </c>
      <c r="R55" s="4"/>
      <c r="S55" s="4"/>
      <c r="T55" s="4"/>
      <c r="U55" s="4"/>
      <c r="V55" s="4"/>
      <c r="W55" s="4"/>
      <c r="X55" s="4"/>
      <c r="Y55" s="4"/>
      <c r="Z55" s="1">
        <v>23</v>
      </c>
      <c r="AA55" s="13" t="s">
        <v>334</v>
      </c>
      <c r="AB55" s="4">
        <v>26000</v>
      </c>
      <c r="AC55" s="30" t="s">
        <v>46</v>
      </c>
      <c r="AD55" s="6"/>
      <c r="AE55" s="6"/>
      <c r="AF55" s="6"/>
      <c r="AG55" s="6"/>
      <c r="AH55" s="4" t="s">
        <v>164</v>
      </c>
      <c r="AI55" s="4" t="s">
        <v>93</v>
      </c>
      <c r="AJ55" s="37" t="s">
        <v>237</v>
      </c>
      <c r="AK55" s="13" t="s">
        <v>221</v>
      </c>
      <c r="AL55" s="4" t="s">
        <v>156</v>
      </c>
      <c r="AM55" s="13" t="s">
        <v>338</v>
      </c>
      <c r="AN55" s="4" t="s">
        <v>204</v>
      </c>
      <c r="AO55" s="22" t="s">
        <v>86</v>
      </c>
      <c r="AP55" s="23"/>
      <c r="AQ55" s="23"/>
      <c r="AR55" s="23"/>
      <c r="AS55" s="23"/>
      <c r="AT55" s="23"/>
      <c r="AU55" s="23"/>
      <c r="AV55" s="23"/>
      <c r="AW55" s="23"/>
      <c r="AX55" s="23"/>
      <c r="AY55" s="23"/>
      <c r="AZ55" s="23"/>
      <c r="BA55" s="23"/>
      <c r="BB55" s="23"/>
      <c r="BC55" s="23"/>
      <c r="BD55" s="23"/>
      <c r="BE55" s="23"/>
      <c r="BF55" s="23"/>
      <c r="BG55" s="23"/>
      <c r="BH55" s="23"/>
      <c r="BI55" s="23"/>
      <c r="BJ55" s="23"/>
      <c r="BK55" s="23"/>
      <c r="BL55" s="20" t="e">
        <f>IF(CONCATENATE(A55,B55,C55,D55,E55,F55,G55,H55,I55,J55,K55,L55,M55,N55,O55,P55,Q55,R55,S55,T55,U55,V55,W55,X55,Y55,Z55,AA55,AB55,AC55,AD55,AE55,AF55,AG55,AH55,AI55,AJ55,AK55,AL55,AM55,AN55,AO55,AP55,AQ55,AR55,AS55,AT55,AU55,AV55,AW55,AX55,AY55,AZ55,BA55,BB55,BC55,BD55,BE55,BF55,BG55,BH55,BI55,BJ55,BK55)=(CONCATENATE(#REF!,#REF!,#REF!,#REF!,#REF!,#REF!,#REF!,#REF!,#REF!,#REF!,#REF!,#REF!,#REF!,#REF!,#REF!,#REF!,#REF!,#REF!,#REF!,#REF!,#REF!,#REF!,#REF!,#REF!,#REF!,#REF!,#REF!,#REF!,#REF!,#REF!,#REF!,#REF!,#REF!,#REF!,#REF!,#REF!,#REF!,#REF!,#REF!,#REF!,#REF!,#REF!,#REF!,#REF!,#REF!,#REF!,#REF!,#REF!,#REF!,#REF!,#REF!,#REF!,#REF!,#REF!,#REF!,#REF!,#REF!,#REF!,#REF!,#REF!,#REF!,#REF!,#REF!)),0,1)</f>
        <v>#REF!</v>
      </c>
      <c r="BM55" s="38" t="s">
        <v>236</v>
      </c>
      <c r="BN55" s="8" t="s">
        <v>95</v>
      </c>
      <c r="BO55" s="48"/>
      <c r="BP55" s="35" t="str">
        <f t="shared" si="8"/>
        <v>FR</v>
      </c>
      <c r="BQ55" s="35" t="str">
        <f t="shared" si="9"/>
        <v>FS_PF_Energie Alter</v>
      </c>
      <c r="BR55" s="35" t="str">
        <f t="shared" si="10"/>
        <v>RENAULT</v>
      </c>
      <c r="BS55" s="35" t="str">
        <f t="shared" si="11"/>
        <v>GAMME D</v>
      </c>
      <c r="BT55" s="35" t="str">
        <f t="shared" si="12"/>
        <v>D26.320 G CF - CARRIER SYBERIA</v>
      </c>
      <c r="BU55" s="35">
        <f t="shared" si="13"/>
        <v>0</v>
      </c>
      <c r="BV55" s="4" t="s">
        <v>328</v>
      </c>
      <c r="BW55" s="6" t="s">
        <v>63</v>
      </c>
      <c r="BX55" s="35" t="str">
        <f t="shared" si="14"/>
        <v>H01</v>
      </c>
      <c r="BY55" s="44" t="str">
        <f t="shared" si="15"/>
        <v>FRFS_PF_Energie AlterD26.320 G CF - CARRIER SYBERIAH01</v>
      </c>
      <c r="BZ55" s="48"/>
      <c r="CA55" s="35">
        <v>26000</v>
      </c>
      <c r="CB55" s="35">
        <v>26000</v>
      </c>
      <c r="CC55" s="35" t="e">
        <f>VLOOKUP(BY55,#REF!,20,0)</f>
        <v>#REF!</v>
      </c>
      <c r="CD55" s="48"/>
      <c r="CE55" s="36" t="s">
        <v>46</v>
      </c>
      <c r="CF55" s="36" t="s">
        <v>46</v>
      </c>
      <c r="CG55" s="36"/>
    </row>
    <row r="56" spans="1:85" ht="20.100000000000001" customHeight="1" x14ac:dyDescent="0.25">
      <c r="A56" s="4" t="s">
        <v>74</v>
      </c>
      <c r="B56" s="5" t="s">
        <v>239</v>
      </c>
      <c r="C56" s="5" t="s">
        <v>240</v>
      </c>
      <c r="D56" s="1"/>
      <c r="E56" s="4" t="s">
        <v>49</v>
      </c>
      <c r="F56" s="4" t="s">
        <v>50</v>
      </c>
      <c r="G56" s="4" t="s">
        <v>44</v>
      </c>
      <c r="H56" s="4" t="s">
        <v>12</v>
      </c>
      <c r="I56" s="4" t="s">
        <v>7</v>
      </c>
      <c r="J56" s="4"/>
      <c r="K56" s="4" t="s">
        <v>30</v>
      </c>
      <c r="L56" s="4"/>
      <c r="M56" s="4" t="s">
        <v>329</v>
      </c>
      <c r="N56" s="5" t="s">
        <v>64</v>
      </c>
      <c r="O56" s="4">
        <v>9490</v>
      </c>
      <c r="P56" s="4">
        <v>2450</v>
      </c>
      <c r="Q56" s="4">
        <v>2400</v>
      </c>
      <c r="R56" s="4"/>
      <c r="S56" s="4"/>
      <c r="T56" s="4"/>
      <c r="U56" s="4"/>
      <c r="V56" s="4"/>
      <c r="W56" s="4"/>
      <c r="X56" s="4"/>
      <c r="Y56" s="4"/>
      <c r="Z56" s="1">
        <v>23</v>
      </c>
      <c r="AA56" s="4" t="s">
        <v>335</v>
      </c>
      <c r="AB56" s="4">
        <v>26000</v>
      </c>
      <c r="AC56" s="30" t="s">
        <v>46</v>
      </c>
      <c r="AD56" s="6"/>
      <c r="AE56" s="6"/>
      <c r="AF56" s="6"/>
      <c r="AG56" s="6"/>
      <c r="AH56" s="4" t="s">
        <v>164</v>
      </c>
      <c r="AI56" s="4" t="s">
        <v>93</v>
      </c>
      <c r="AJ56" s="37" t="s">
        <v>237</v>
      </c>
      <c r="AK56" s="13" t="s">
        <v>221</v>
      </c>
      <c r="AL56" s="4" t="s">
        <v>157</v>
      </c>
      <c r="AM56" s="13" t="s">
        <v>339</v>
      </c>
      <c r="AN56" s="4" t="s">
        <v>204</v>
      </c>
      <c r="AO56" s="22" t="s">
        <v>86</v>
      </c>
      <c r="AP56" s="23"/>
      <c r="AQ56" s="23"/>
      <c r="AR56" s="23"/>
      <c r="AS56" s="23"/>
      <c r="AT56" s="23"/>
      <c r="AU56" s="23"/>
      <c r="AV56" s="23"/>
      <c r="AW56" s="23"/>
      <c r="AX56" s="23"/>
      <c r="AY56" s="23"/>
      <c r="AZ56" s="23"/>
      <c r="BA56" s="23"/>
      <c r="BB56" s="23"/>
      <c r="BC56" s="23"/>
      <c r="BD56" s="23"/>
      <c r="BE56" s="23"/>
      <c r="BF56" s="23"/>
      <c r="BG56" s="23"/>
      <c r="BH56" s="23"/>
      <c r="BI56" s="23"/>
      <c r="BJ56" s="23"/>
      <c r="BK56" s="23"/>
      <c r="BL56" s="20" t="e">
        <f>IF(CONCATENATE(A56,B56,C56,D56,E56,F56,G56,H56,I56,J56,K56,L56,M56,N56,O56,P56,Q56,R56,S56,T56,U56,V56,W56,X56,Y56,Z56,AA56,AB56,AC56,AD56,AE56,AF56,AG56,AH56,AI56,AJ56,AK56,AL56,AM56,AN56,AO56,AP56,AQ56,AR56,AS56,AT56,AU56,AV56,AW56,AX56,AY56,AZ56,BA56,BB56,BC56,BD56,BE56,BF56,BG56,BH56,BI56,BJ56,BK56)=(CONCATENATE(#REF!,#REF!,#REF!,#REF!,#REF!,#REF!,#REF!,#REF!,#REF!,#REF!,#REF!,#REF!,#REF!,#REF!,#REF!,#REF!,#REF!,#REF!,#REF!,#REF!,#REF!,#REF!,#REF!,#REF!,#REF!,#REF!,#REF!,#REF!,#REF!,#REF!,#REF!,#REF!,#REF!,#REF!,#REF!,#REF!,#REF!,#REF!,#REF!,#REF!,#REF!,#REF!,#REF!,#REF!,#REF!,#REF!,#REF!,#REF!,#REF!,#REF!,#REF!,#REF!,#REF!,#REF!,#REF!,#REF!,#REF!,#REF!,#REF!,#REF!,#REF!,#REF!,#REF!)),0,1)</f>
        <v>#REF!</v>
      </c>
      <c r="BM56" s="38" t="s">
        <v>236</v>
      </c>
      <c r="BN56" s="8" t="s">
        <v>95</v>
      </c>
      <c r="BO56" s="48"/>
      <c r="BP56" s="35" t="str">
        <f t="shared" si="8"/>
        <v>FR</v>
      </c>
      <c r="BQ56" s="35" t="str">
        <f t="shared" si="9"/>
        <v>FS_PF_Energie Alter</v>
      </c>
      <c r="BR56" s="35" t="str">
        <f t="shared" si="10"/>
        <v>RENAULT</v>
      </c>
      <c r="BS56" s="35" t="str">
        <f t="shared" si="11"/>
        <v>GAMME D</v>
      </c>
      <c r="BT56" s="35" t="str">
        <f t="shared" si="12"/>
        <v>D26.320 G CF - CARRIER SYBERIA MT</v>
      </c>
      <c r="BU56" s="35">
        <f t="shared" si="13"/>
        <v>0</v>
      </c>
      <c r="BV56" s="4" t="s">
        <v>329</v>
      </c>
      <c r="BW56" s="5" t="s">
        <v>64</v>
      </c>
      <c r="BX56" s="35" t="str">
        <f t="shared" si="14"/>
        <v>H02</v>
      </c>
      <c r="BY56" s="44" t="str">
        <f t="shared" si="15"/>
        <v>FRFS_PF_Energie AlterD26.320 G CF - CARRIER SYBERIA MTH02</v>
      </c>
      <c r="BZ56" s="48"/>
      <c r="CA56" s="35">
        <v>26000</v>
      </c>
      <c r="CB56" s="35">
        <v>26000</v>
      </c>
      <c r="CC56" s="35" t="e">
        <f>VLOOKUP(BY56,#REF!,20,0)</f>
        <v>#REF!</v>
      </c>
      <c r="CD56" s="48"/>
      <c r="CE56" s="36" t="s">
        <v>46</v>
      </c>
      <c r="CF56" s="36" t="s">
        <v>46</v>
      </c>
      <c r="CG56" s="36"/>
    </row>
    <row r="57" spans="1:85" ht="20.100000000000001" customHeight="1" x14ac:dyDescent="0.25">
      <c r="A57" s="4" t="s">
        <v>74</v>
      </c>
      <c r="B57" s="5" t="s">
        <v>239</v>
      </c>
      <c r="C57" s="5" t="s">
        <v>240</v>
      </c>
      <c r="D57" s="1"/>
      <c r="E57" s="4" t="s">
        <v>49</v>
      </c>
      <c r="F57" s="4" t="s">
        <v>50</v>
      </c>
      <c r="G57" s="4" t="s">
        <v>44</v>
      </c>
      <c r="H57" s="4" t="s">
        <v>29</v>
      </c>
      <c r="I57" s="4" t="s">
        <v>7</v>
      </c>
      <c r="J57" s="4"/>
      <c r="K57" s="4" t="s">
        <v>30</v>
      </c>
      <c r="L57" s="4"/>
      <c r="M57" s="4" t="s">
        <v>290</v>
      </c>
      <c r="N57" s="6" t="s">
        <v>63</v>
      </c>
      <c r="O57" s="4">
        <v>9490</v>
      </c>
      <c r="P57" s="4">
        <v>2450</v>
      </c>
      <c r="Q57" s="4">
        <v>2400</v>
      </c>
      <c r="R57" s="4"/>
      <c r="S57" s="4"/>
      <c r="T57" s="4"/>
      <c r="U57" s="4"/>
      <c r="V57" s="4"/>
      <c r="W57" s="4"/>
      <c r="X57" s="4"/>
      <c r="Y57" s="4"/>
      <c r="Z57" s="1">
        <v>23</v>
      </c>
      <c r="AA57" s="13" t="s">
        <v>327</v>
      </c>
      <c r="AB57" s="4">
        <v>26000</v>
      </c>
      <c r="AC57" s="30" t="s">
        <v>46</v>
      </c>
      <c r="AD57" s="6"/>
      <c r="AE57" s="6"/>
      <c r="AF57" s="6"/>
      <c r="AG57" s="6"/>
      <c r="AH57" s="4" t="s">
        <v>164</v>
      </c>
      <c r="AI57" s="4" t="s">
        <v>93</v>
      </c>
      <c r="AJ57" s="37" t="s">
        <v>237</v>
      </c>
      <c r="AK57" s="13" t="s">
        <v>221</v>
      </c>
      <c r="AL57" s="4" t="s">
        <v>156</v>
      </c>
      <c r="AM57" s="13" t="s">
        <v>234</v>
      </c>
      <c r="AN57" s="4" t="s">
        <v>204</v>
      </c>
      <c r="AO57" s="22" t="s">
        <v>86</v>
      </c>
      <c r="AP57" s="23"/>
      <c r="AQ57" s="23"/>
      <c r="AR57" s="23"/>
      <c r="AS57" s="23"/>
      <c r="AT57" s="23"/>
      <c r="AU57" s="23"/>
      <c r="AV57" s="23"/>
      <c r="AW57" s="23"/>
      <c r="AX57" s="23"/>
      <c r="AY57" s="23"/>
      <c r="AZ57" s="23"/>
      <c r="BA57" s="23"/>
      <c r="BB57" s="23"/>
      <c r="BC57" s="23"/>
      <c r="BD57" s="23"/>
      <c r="BE57" s="23"/>
      <c r="BF57" s="23"/>
      <c r="BG57" s="23"/>
      <c r="BH57" s="23"/>
      <c r="BI57" s="23"/>
      <c r="BJ57" s="23"/>
      <c r="BK57" s="23"/>
      <c r="BL57" s="20" t="e">
        <f>IF(CONCATENATE(A57,B57,C57,D57,E57,F57,G57,H57,I57,J57,K57,L57,M57,N57,O57,P57,Q57,R57,S57,T57,U57,V57,W57,X57,Y57,Z57,AA57,AB57,AC57,AD57,AE57,AF57,AG57,AH57,AI57,AJ57,AK57,AL57,AM57,AN57,AO57,AP57,AQ57,AR57,AS57,AT57,AU57,AV57,AW57,AX57,AY57,AZ57,BA57,BB57,BC57,BD57,BE57,BF57,BG57,BH57,BI57,BJ57,BK57)=(CONCATENATE(#REF!,#REF!,#REF!,#REF!,#REF!,#REF!,#REF!,#REF!,#REF!,#REF!,#REF!,#REF!,#REF!,#REF!,#REF!,#REF!,#REF!,#REF!,#REF!,#REF!,#REF!,#REF!,#REF!,#REF!,#REF!,#REF!,#REF!,#REF!,#REF!,#REF!,#REF!,#REF!,#REF!,#REF!,#REF!,#REF!,#REF!,#REF!,#REF!,#REF!,#REF!,#REF!,#REF!,#REF!,#REF!,#REF!,#REF!,#REF!,#REF!,#REF!,#REF!,#REF!,#REF!,#REF!,#REF!,#REF!,#REF!,#REF!,#REF!,#REF!,#REF!,#REF!,#REF!)),0,1)</f>
        <v>#REF!</v>
      </c>
      <c r="BM57" s="38" t="s">
        <v>236</v>
      </c>
      <c r="BN57" s="8" t="s">
        <v>95</v>
      </c>
      <c r="BO57" s="48"/>
      <c r="BP57" s="35" t="str">
        <f t="shared" si="8"/>
        <v>FR</v>
      </c>
      <c r="BQ57" s="35" t="str">
        <f t="shared" si="9"/>
        <v>FS_PF_Energie Alter</v>
      </c>
      <c r="BR57" s="35" t="str">
        <f t="shared" si="10"/>
        <v>RENAULT</v>
      </c>
      <c r="BS57" s="35" t="str">
        <f t="shared" si="11"/>
        <v>GAMME D</v>
      </c>
      <c r="BT57" s="35" t="str">
        <f t="shared" si="12"/>
        <v>D26.320 G CF - FK 25</v>
      </c>
      <c r="BU57" s="35">
        <f t="shared" si="13"/>
        <v>0</v>
      </c>
      <c r="BV57" s="4" t="s">
        <v>290</v>
      </c>
      <c r="BW57" s="6" t="s">
        <v>63</v>
      </c>
      <c r="BX57" s="35" t="str">
        <f t="shared" si="14"/>
        <v>H01</v>
      </c>
      <c r="BY57" s="44" t="str">
        <f t="shared" si="15"/>
        <v>FRFS_PF_Energie AlterD26.320 G CF - FK 25H01</v>
      </c>
      <c r="BZ57" s="48"/>
      <c r="CA57" s="35">
        <v>26000</v>
      </c>
      <c r="CB57" s="35">
        <v>26000</v>
      </c>
      <c r="CC57" s="35" t="e">
        <f>VLOOKUP(BY57,#REF!,20,0)</f>
        <v>#REF!</v>
      </c>
      <c r="CD57" s="48"/>
      <c r="CE57" s="36" t="s">
        <v>46</v>
      </c>
      <c r="CF57" s="36" t="s">
        <v>46</v>
      </c>
      <c r="CG57" s="36"/>
    </row>
    <row r="58" spans="1:85" ht="20.100000000000001" customHeight="1" x14ac:dyDescent="0.25">
      <c r="A58" s="4" t="s">
        <v>74</v>
      </c>
      <c r="B58" s="5" t="s">
        <v>239</v>
      </c>
      <c r="C58" s="5" t="s">
        <v>240</v>
      </c>
      <c r="D58" s="1"/>
      <c r="E58" s="4" t="s">
        <v>49</v>
      </c>
      <c r="F58" s="4" t="s">
        <v>50</v>
      </c>
      <c r="G58" s="4" t="s">
        <v>44</v>
      </c>
      <c r="H58" s="4" t="s">
        <v>12</v>
      </c>
      <c r="I58" s="4" t="s">
        <v>7</v>
      </c>
      <c r="J58" s="4"/>
      <c r="K58" s="4" t="s">
        <v>30</v>
      </c>
      <c r="L58" s="4"/>
      <c r="M58" s="4" t="s">
        <v>291</v>
      </c>
      <c r="N58" s="5" t="s">
        <v>64</v>
      </c>
      <c r="O58" s="4">
        <v>9490</v>
      </c>
      <c r="P58" s="4">
        <v>2450</v>
      </c>
      <c r="Q58" s="4">
        <v>2400</v>
      </c>
      <c r="R58" s="4"/>
      <c r="S58" s="4"/>
      <c r="T58" s="4"/>
      <c r="U58" s="4"/>
      <c r="V58" s="4"/>
      <c r="W58" s="4"/>
      <c r="X58" s="4"/>
      <c r="Y58" s="4"/>
      <c r="Z58" s="1">
        <v>23</v>
      </c>
      <c r="AA58" s="4" t="s">
        <v>311</v>
      </c>
      <c r="AB58" s="4">
        <v>26000</v>
      </c>
      <c r="AC58" s="30" t="s">
        <v>46</v>
      </c>
      <c r="AD58" s="6"/>
      <c r="AE58" s="6"/>
      <c r="AF58" s="6"/>
      <c r="AG58" s="6"/>
      <c r="AH58" s="4" t="s">
        <v>164</v>
      </c>
      <c r="AI58" s="4" t="s">
        <v>93</v>
      </c>
      <c r="AJ58" s="37" t="s">
        <v>237</v>
      </c>
      <c r="AK58" s="13" t="s">
        <v>221</v>
      </c>
      <c r="AL58" s="4" t="s">
        <v>157</v>
      </c>
      <c r="AM58" s="13" t="s">
        <v>235</v>
      </c>
      <c r="AN58" s="4" t="s">
        <v>204</v>
      </c>
      <c r="AO58" s="22" t="s">
        <v>86</v>
      </c>
      <c r="AP58" s="23"/>
      <c r="AQ58" s="23"/>
      <c r="AR58" s="23"/>
      <c r="AS58" s="23"/>
      <c r="AT58" s="23"/>
      <c r="AU58" s="23"/>
      <c r="AV58" s="23"/>
      <c r="AW58" s="23"/>
      <c r="AX58" s="23"/>
      <c r="AY58" s="23"/>
      <c r="AZ58" s="23"/>
      <c r="BA58" s="23"/>
      <c r="BB58" s="23"/>
      <c r="BC58" s="23"/>
      <c r="BD58" s="23"/>
      <c r="BE58" s="23"/>
      <c r="BF58" s="23"/>
      <c r="BG58" s="23"/>
      <c r="BH58" s="23"/>
      <c r="BI58" s="23"/>
      <c r="BJ58" s="23"/>
      <c r="BK58" s="23"/>
      <c r="BL58" s="20" t="e">
        <f>IF(CONCATENATE(A58,B58,C58,D58,E58,F58,G58,H58,I58,J58,K58,L58,M58,N58,O58,P58,Q58,R58,S58,T58,U58,V58,W58,X58,Y58,Z58,AA58,AB58,AC58,AD58,AE58,AF58,AG58,AH58,AI58,AJ58,AK58,AL58,AM58,AN58,AO58,AP58,AQ58,AR58,AS58,AT58,AU58,AV58,AW58,AX58,AY58,AZ58,BA58,BB58,BC58,BD58,BE58,BF58,BG58,BH58,BI58,BJ58,BK58)=(CONCATENATE(#REF!,#REF!,#REF!,#REF!,#REF!,#REF!,#REF!,#REF!,#REF!,#REF!,#REF!,#REF!,#REF!,#REF!,#REF!,#REF!,#REF!,#REF!,#REF!,#REF!,#REF!,#REF!,#REF!,#REF!,#REF!,#REF!,#REF!,#REF!,#REF!,#REF!,#REF!,#REF!,#REF!,#REF!,#REF!,#REF!,#REF!,#REF!,#REF!,#REF!,#REF!,#REF!,#REF!,#REF!,#REF!,#REF!,#REF!,#REF!,#REF!,#REF!,#REF!,#REF!,#REF!,#REF!,#REF!,#REF!,#REF!,#REF!,#REF!,#REF!,#REF!,#REF!,#REF!)),0,1)</f>
        <v>#REF!</v>
      </c>
      <c r="BM58" s="38" t="s">
        <v>236</v>
      </c>
      <c r="BN58" s="8" t="s">
        <v>95</v>
      </c>
      <c r="BO58" s="48"/>
      <c r="BP58" s="35" t="str">
        <f t="shared" si="8"/>
        <v>FR</v>
      </c>
      <c r="BQ58" s="35" t="str">
        <f t="shared" si="9"/>
        <v>FS_PF_Energie Alter</v>
      </c>
      <c r="BR58" s="35" t="str">
        <f t="shared" si="10"/>
        <v>RENAULT</v>
      </c>
      <c r="BS58" s="35" t="str">
        <f t="shared" si="11"/>
        <v>GAMME D</v>
      </c>
      <c r="BT58" s="35" t="str">
        <f t="shared" si="12"/>
        <v>D26.320 G CF - FK 25I MT</v>
      </c>
      <c r="BU58" s="35">
        <f t="shared" si="13"/>
        <v>0</v>
      </c>
      <c r="BV58" s="4" t="s">
        <v>291</v>
      </c>
      <c r="BW58" s="5" t="s">
        <v>64</v>
      </c>
      <c r="BX58" s="35" t="str">
        <f t="shared" si="14"/>
        <v>H02</v>
      </c>
      <c r="BY58" s="44" t="str">
        <f t="shared" si="15"/>
        <v>FRFS_PF_Energie AlterD26.320 G CF - FK 25I MTH02</v>
      </c>
      <c r="BZ58" s="48"/>
      <c r="CA58" s="35">
        <v>26000</v>
      </c>
      <c r="CB58" s="35">
        <v>26000</v>
      </c>
      <c r="CC58" s="35" t="e">
        <f>VLOOKUP(BY58,#REF!,20,0)</f>
        <v>#REF!</v>
      </c>
      <c r="CD58" s="48"/>
      <c r="CE58" s="36" t="s">
        <v>46</v>
      </c>
      <c r="CF58" s="36" t="s">
        <v>46</v>
      </c>
      <c r="CG58" s="36"/>
    </row>
  </sheetData>
  <autoFilter ref="A1:FW58" xr:uid="{028DA298-0F52-4165-B9BB-6705DB0F32ED}">
    <filterColumn colId="83" showButton="0"/>
  </autoFilter>
  <mergeCells count="1">
    <mergeCell ref="CF1:CG1"/>
  </mergeCells>
  <conditionalFormatting sqref="BL2:BL58">
    <cfRule type="cellIs" dxfId="1" priority="1" operator="equal">
      <formula>0</formula>
    </cfRule>
    <cfRule type="cellIs" dxfId="0" priority="2"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35D-D40D-42A4-8742-BCF013399612}">
  <dimension ref="A2:U13"/>
  <sheetViews>
    <sheetView showGridLines="0" workbookViewId="0">
      <selection activeCell="L22" sqref="L22"/>
    </sheetView>
  </sheetViews>
  <sheetFormatPr baseColWidth="10" defaultColWidth="11.42578125" defaultRowHeight="15" x14ac:dyDescent="0.25"/>
  <cols>
    <col min="1" max="1" width="30.28515625" style="49" customWidth="1"/>
    <col min="2" max="3" width="10.7109375" style="46" customWidth="1"/>
    <col min="4" max="4" width="12.7109375" style="46" customWidth="1"/>
    <col min="5" max="7" width="8" style="46" customWidth="1"/>
    <col min="8" max="11" width="10.7109375" style="46" customWidth="1"/>
    <col min="12" max="13" width="17.5703125" style="46" customWidth="1"/>
    <col min="14" max="15" width="13.42578125" style="46" customWidth="1"/>
    <col min="16" max="21" width="10.7109375" style="46" customWidth="1"/>
    <col min="22" max="16384" width="11.42578125" style="49"/>
  </cols>
  <sheetData>
    <row r="2" spans="1:21" x14ac:dyDescent="0.25">
      <c r="B2" s="221" t="s">
        <v>387</v>
      </c>
      <c r="C2" s="221"/>
      <c r="D2" s="50" t="s">
        <v>392</v>
      </c>
      <c r="E2" s="221" t="s">
        <v>388</v>
      </c>
      <c r="F2" s="221"/>
      <c r="G2" s="221"/>
      <c r="H2" s="221" t="s">
        <v>389</v>
      </c>
      <c r="I2" s="221"/>
      <c r="J2" s="221" t="s">
        <v>393</v>
      </c>
      <c r="K2" s="221"/>
      <c r="L2" s="221" t="s">
        <v>394</v>
      </c>
      <c r="M2" s="221"/>
      <c r="N2" s="222" t="s">
        <v>395</v>
      </c>
      <c r="O2" s="223"/>
      <c r="P2" s="221" t="s">
        <v>390</v>
      </c>
      <c r="Q2" s="221"/>
      <c r="R2" s="221" t="s">
        <v>391</v>
      </c>
      <c r="S2" s="221"/>
      <c r="T2" s="221" t="s">
        <v>396</v>
      </c>
      <c r="U2" s="221"/>
    </row>
    <row r="3" spans="1:21" ht="23.25" x14ac:dyDescent="0.25">
      <c r="A3" s="63" t="s">
        <v>361</v>
      </c>
      <c r="B3" s="54" t="s">
        <v>352</v>
      </c>
      <c r="C3" s="55" t="s">
        <v>355</v>
      </c>
      <c r="D3" s="50" t="s">
        <v>354</v>
      </c>
      <c r="E3" s="54" t="s">
        <v>357</v>
      </c>
      <c r="F3" s="57" t="s">
        <v>358</v>
      </c>
      <c r="G3" s="55" t="s">
        <v>359</v>
      </c>
      <c r="H3" s="54" t="s">
        <v>353</v>
      </c>
      <c r="I3" s="55" t="s">
        <v>356</v>
      </c>
      <c r="J3" s="54" t="s">
        <v>369</v>
      </c>
      <c r="K3" s="55" t="s">
        <v>364</v>
      </c>
      <c r="L3" s="54" t="s">
        <v>370</v>
      </c>
      <c r="M3" s="55" t="s">
        <v>371</v>
      </c>
      <c r="N3" s="54" t="s">
        <v>376</v>
      </c>
      <c r="O3" s="55" t="s">
        <v>377</v>
      </c>
      <c r="P3" s="54" t="s">
        <v>374</v>
      </c>
      <c r="Q3" s="55" t="s">
        <v>375</v>
      </c>
      <c r="R3" s="54" t="s">
        <v>382</v>
      </c>
      <c r="S3" s="55" t="s">
        <v>383</v>
      </c>
      <c r="T3" s="54" t="s">
        <v>384</v>
      </c>
      <c r="U3" s="55" t="s">
        <v>385</v>
      </c>
    </row>
    <row r="4" spans="1:21" ht="45" customHeight="1" x14ac:dyDescent="0.25">
      <c r="A4" s="51" t="s">
        <v>360</v>
      </c>
      <c r="B4" s="214" t="s">
        <v>363</v>
      </c>
      <c r="C4" s="215"/>
      <c r="D4" s="50" t="s">
        <v>348</v>
      </c>
      <c r="E4" s="214" t="s">
        <v>363</v>
      </c>
      <c r="F4" s="216"/>
      <c r="G4" s="215"/>
      <c r="H4" s="214" t="s">
        <v>363</v>
      </c>
      <c r="I4" s="215"/>
      <c r="J4" s="214" t="s">
        <v>363</v>
      </c>
      <c r="K4" s="215"/>
      <c r="L4" s="217" t="s">
        <v>386</v>
      </c>
      <c r="M4" s="218"/>
      <c r="N4" s="217" t="s">
        <v>380</v>
      </c>
      <c r="O4" s="220"/>
      <c r="P4" s="217" t="s">
        <v>381</v>
      </c>
      <c r="Q4" s="220"/>
      <c r="R4" s="214" t="s">
        <v>363</v>
      </c>
      <c r="S4" s="215"/>
      <c r="T4" s="214" t="s">
        <v>363</v>
      </c>
      <c r="U4" s="215"/>
    </row>
    <row r="5" spans="1:21" x14ac:dyDescent="0.25">
      <c r="A5" s="52" t="s">
        <v>366</v>
      </c>
      <c r="B5" s="214" t="s">
        <v>30</v>
      </c>
      <c r="C5" s="215"/>
      <c r="D5" s="50" t="s">
        <v>30</v>
      </c>
      <c r="E5" s="214" t="s">
        <v>30</v>
      </c>
      <c r="F5" s="216"/>
      <c r="G5" s="215"/>
      <c r="H5" s="214" t="s">
        <v>30</v>
      </c>
      <c r="I5" s="215"/>
      <c r="J5" s="219" t="s">
        <v>368</v>
      </c>
      <c r="K5" s="218"/>
      <c r="L5" s="219" t="s">
        <v>373</v>
      </c>
      <c r="M5" s="218"/>
      <c r="N5" s="219" t="s">
        <v>368</v>
      </c>
      <c r="O5" s="218"/>
      <c r="P5" s="219" t="s">
        <v>373</v>
      </c>
      <c r="Q5" s="218"/>
      <c r="R5" s="214" t="s">
        <v>30</v>
      </c>
      <c r="S5" s="215"/>
      <c r="T5" s="214" t="s">
        <v>30</v>
      </c>
      <c r="U5" s="215"/>
    </row>
    <row r="6" spans="1:21" x14ac:dyDescent="0.25">
      <c r="A6" s="52" t="s">
        <v>367</v>
      </c>
      <c r="B6" s="214" t="s">
        <v>30</v>
      </c>
      <c r="C6" s="215"/>
      <c r="D6" s="50" t="s">
        <v>30</v>
      </c>
      <c r="E6" s="214" t="s">
        <v>30</v>
      </c>
      <c r="F6" s="216"/>
      <c r="G6" s="215"/>
      <c r="H6" s="214" t="s">
        <v>30</v>
      </c>
      <c r="I6" s="215"/>
      <c r="J6" s="214" t="s">
        <v>166</v>
      </c>
      <c r="K6" s="215"/>
      <c r="L6" s="214" t="s">
        <v>30</v>
      </c>
      <c r="M6" s="215"/>
      <c r="N6" s="214" t="s">
        <v>166</v>
      </c>
      <c r="O6" s="215"/>
      <c r="P6" s="214" t="s">
        <v>30</v>
      </c>
      <c r="Q6" s="215"/>
      <c r="R6" s="214" t="s">
        <v>30</v>
      </c>
      <c r="S6" s="215"/>
      <c r="T6" s="214" t="s">
        <v>30</v>
      </c>
      <c r="U6" s="215"/>
    </row>
    <row r="7" spans="1:21" x14ac:dyDescent="0.25">
      <c r="A7" s="52" t="s">
        <v>362</v>
      </c>
      <c r="B7" s="54">
        <v>31</v>
      </c>
      <c r="C7" s="55">
        <v>31</v>
      </c>
      <c r="D7" s="50">
        <v>36</v>
      </c>
      <c r="E7" s="54">
        <v>26</v>
      </c>
      <c r="F7" s="57">
        <v>26</v>
      </c>
      <c r="G7" s="55">
        <v>26</v>
      </c>
      <c r="H7" s="54">
        <v>55</v>
      </c>
      <c r="I7" s="55">
        <v>55</v>
      </c>
      <c r="J7" s="54">
        <v>23</v>
      </c>
      <c r="K7" s="55">
        <v>23</v>
      </c>
      <c r="L7" s="59">
        <v>112</v>
      </c>
      <c r="M7" s="60">
        <v>112</v>
      </c>
      <c r="N7" s="54">
        <v>23</v>
      </c>
      <c r="O7" s="55">
        <v>23</v>
      </c>
      <c r="P7" s="59">
        <v>0</v>
      </c>
      <c r="Q7" s="60">
        <v>0</v>
      </c>
      <c r="R7" s="54">
        <v>26</v>
      </c>
      <c r="S7" s="55">
        <v>26</v>
      </c>
      <c r="T7" s="54">
        <v>24</v>
      </c>
      <c r="U7" s="55">
        <v>24</v>
      </c>
    </row>
    <row r="8" spans="1:21" x14ac:dyDescent="0.25">
      <c r="A8" s="52" t="s">
        <v>349</v>
      </c>
      <c r="B8" s="54" t="s">
        <v>348</v>
      </c>
      <c r="C8" s="55" t="s">
        <v>348</v>
      </c>
      <c r="D8" s="50" t="s">
        <v>348</v>
      </c>
      <c r="E8" s="54" t="s">
        <v>348</v>
      </c>
      <c r="F8" s="57" t="s">
        <v>348</v>
      </c>
      <c r="G8" s="55" t="s">
        <v>348</v>
      </c>
      <c r="H8" s="54" t="s">
        <v>348</v>
      </c>
      <c r="I8" s="55" t="s">
        <v>348</v>
      </c>
      <c r="J8" s="54" t="s">
        <v>348</v>
      </c>
      <c r="K8" s="55" t="s">
        <v>348</v>
      </c>
      <c r="L8" s="219" t="s">
        <v>378</v>
      </c>
      <c r="M8" s="218"/>
      <c r="N8" s="54" t="s">
        <v>348</v>
      </c>
      <c r="O8" s="55" t="s">
        <v>348</v>
      </c>
      <c r="P8" s="219" t="s">
        <v>372</v>
      </c>
      <c r="Q8" s="218"/>
      <c r="R8" s="54" t="s">
        <v>348</v>
      </c>
      <c r="S8" s="55" t="s">
        <v>348</v>
      </c>
      <c r="T8" s="54" t="s">
        <v>348</v>
      </c>
      <c r="U8" s="55" t="s">
        <v>348</v>
      </c>
    </row>
    <row r="9" spans="1:21" ht="45" x14ac:dyDescent="0.25">
      <c r="A9" s="52" t="s">
        <v>347</v>
      </c>
      <c r="B9" s="54" t="s">
        <v>348</v>
      </c>
      <c r="C9" s="56"/>
      <c r="D9" s="53"/>
      <c r="E9" s="54" t="s">
        <v>348</v>
      </c>
      <c r="F9" s="58"/>
      <c r="G9" s="55" t="s">
        <v>348</v>
      </c>
      <c r="H9" s="54" t="s">
        <v>348</v>
      </c>
      <c r="I9" s="56"/>
      <c r="J9" s="61" t="s">
        <v>365</v>
      </c>
      <c r="K9" s="56"/>
      <c r="L9" s="59" t="s">
        <v>348</v>
      </c>
      <c r="M9" s="62"/>
      <c r="N9" s="61" t="s">
        <v>379</v>
      </c>
      <c r="O9" s="56"/>
      <c r="P9" s="59" t="s">
        <v>372</v>
      </c>
      <c r="Q9" s="56"/>
      <c r="R9" s="54" t="s">
        <v>348</v>
      </c>
      <c r="S9" s="56"/>
      <c r="T9" s="54" t="s">
        <v>348</v>
      </c>
      <c r="U9" s="56"/>
    </row>
    <row r="10" spans="1:21" x14ac:dyDescent="0.25">
      <c r="A10" s="52" t="s">
        <v>350</v>
      </c>
      <c r="B10" s="54" t="s">
        <v>348</v>
      </c>
      <c r="C10" s="55" t="s">
        <v>348</v>
      </c>
      <c r="D10" s="50" t="s">
        <v>348</v>
      </c>
      <c r="E10" s="54" t="s">
        <v>348</v>
      </c>
      <c r="F10" s="57" t="s">
        <v>348</v>
      </c>
      <c r="G10" s="55" t="s">
        <v>348</v>
      </c>
      <c r="H10" s="54" t="s">
        <v>348</v>
      </c>
      <c r="I10" s="55" t="s">
        <v>348</v>
      </c>
      <c r="J10" s="59" t="s">
        <v>372</v>
      </c>
      <c r="K10" s="55" t="s">
        <v>348</v>
      </c>
      <c r="L10" s="59" t="s">
        <v>348</v>
      </c>
      <c r="M10" s="60" t="s">
        <v>348</v>
      </c>
      <c r="N10" s="59" t="s">
        <v>372</v>
      </c>
      <c r="O10" s="55" t="s">
        <v>348</v>
      </c>
      <c r="P10" s="59" t="s">
        <v>372</v>
      </c>
      <c r="Q10" s="60" t="s">
        <v>372</v>
      </c>
      <c r="R10" s="54" t="s">
        <v>348</v>
      </c>
      <c r="S10" s="55" t="s">
        <v>348</v>
      </c>
      <c r="T10" s="54" t="s">
        <v>348</v>
      </c>
      <c r="U10" s="55" t="s">
        <v>348</v>
      </c>
    </row>
    <row r="11" spans="1:21" x14ac:dyDescent="0.25">
      <c r="A11" s="52" t="s">
        <v>351</v>
      </c>
      <c r="B11" s="54" t="s">
        <v>348</v>
      </c>
      <c r="C11" s="55" t="s">
        <v>348</v>
      </c>
      <c r="D11" s="50" t="s">
        <v>348</v>
      </c>
      <c r="E11" s="54" t="s">
        <v>348</v>
      </c>
      <c r="F11" s="57" t="s">
        <v>348</v>
      </c>
      <c r="G11" s="55" t="s">
        <v>348</v>
      </c>
      <c r="H11" s="54" t="s">
        <v>348</v>
      </c>
      <c r="I11" s="55" t="s">
        <v>348</v>
      </c>
      <c r="J11" s="59" t="s">
        <v>372</v>
      </c>
      <c r="K11" s="55" t="s">
        <v>348</v>
      </c>
      <c r="L11" s="59" t="s">
        <v>348</v>
      </c>
      <c r="M11" s="60" t="s">
        <v>348</v>
      </c>
      <c r="N11" s="59" t="s">
        <v>372</v>
      </c>
      <c r="O11" s="55" t="s">
        <v>348</v>
      </c>
      <c r="P11" s="59" t="s">
        <v>372</v>
      </c>
      <c r="Q11" s="60" t="s">
        <v>372</v>
      </c>
      <c r="R11" s="54" t="s">
        <v>348</v>
      </c>
      <c r="S11" s="55" t="s">
        <v>348</v>
      </c>
      <c r="T11" s="54" t="s">
        <v>348</v>
      </c>
      <c r="U11" s="55" t="s">
        <v>348</v>
      </c>
    </row>
    <row r="12" spans="1:21" x14ac:dyDescent="0.25">
      <c r="T12" s="224" t="s">
        <v>397</v>
      </c>
      <c r="U12" s="225"/>
    </row>
    <row r="13" spans="1:21" ht="43.5" customHeight="1" x14ac:dyDescent="0.25">
      <c r="T13" s="226"/>
      <c r="U13" s="227"/>
    </row>
  </sheetData>
  <mergeCells count="39">
    <mergeCell ref="R2:S2"/>
    <mergeCell ref="N2:O2"/>
    <mergeCell ref="T12:U13"/>
    <mergeCell ref="B2:C2"/>
    <mergeCell ref="E2:G2"/>
    <mergeCell ref="H2:I2"/>
    <mergeCell ref="J2:K2"/>
    <mergeCell ref="L2:M2"/>
    <mergeCell ref="T2:U2"/>
    <mergeCell ref="P2:Q2"/>
    <mergeCell ref="R4:S4"/>
    <mergeCell ref="R5:S5"/>
    <mergeCell ref="R6:S6"/>
    <mergeCell ref="T4:U4"/>
    <mergeCell ref="T5:U5"/>
    <mergeCell ref="T6:U6"/>
    <mergeCell ref="L8:M8"/>
    <mergeCell ref="P4:Q4"/>
    <mergeCell ref="P5:Q5"/>
    <mergeCell ref="P6:Q6"/>
    <mergeCell ref="P8:Q8"/>
    <mergeCell ref="N4:O4"/>
    <mergeCell ref="N5:O5"/>
    <mergeCell ref="N6:O6"/>
    <mergeCell ref="B6:C6"/>
    <mergeCell ref="E6:G6"/>
    <mergeCell ref="H6:I6"/>
    <mergeCell ref="J6:K6"/>
    <mergeCell ref="L4:M4"/>
    <mergeCell ref="L5:M5"/>
    <mergeCell ref="L6:M6"/>
    <mergeCell ref="B4:C4"/>
    <mergeCell ref="E4:G4"/>
    <mergeCell ref="H4:I4"/>
    <mergeCell ref="J4:K4"/>
    <mergeCell ref="B5:C5"/>
    <mergeCell ref="E5:G5"/>
    <mergeCell ref="H5:I5"/>
    <mergeCell ref="J5:K5"/>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e082d1c-7833-4fbe-9223-732e2260ac44">
      <Terms xmlns="http://schemas.microsoft.com/office/infopath/2007/PartnerControls"/>
    </lcf76f155ced4ddcb4097134ff3c332f>
    <TaxCatchAll xmlns="d13521d9-333b-4720-98fc-8e8e05da2585"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69D46C4ECED345909D2AE7E76D9204" ma:contentTypeVersion="17" ma:contentTypeDescription="Create a new document." ma:contentTypeScope="" ma:versionID="0cf75612aaf7d58a86c5172ebe9b57ae">
  <xsd:schema xmlns:xsd="http://www.w3.org/2001/XMLSchema" xmlns:xs="http://www.w3.org/2001/XMLSchema" xmlns:p="http://schemas.microsoft.com/office/2006/metadata/properties" xmlns:ns1="http://schemas.microsoft.com/sharepoint/v3" xmlns:ns2="5e082d1c-7833-4fbe-9223-732e2260ac44" xmlns:ns3="d13521d9-333b-4720-98fc-8e8e05da2585" targetNamespace="http://schemas.microsoft.com/office/2006/metadata/properties" ma:root="true" ma:fieldsID="c1b9ab8befd44d3f0ec8e37c511834f9" ns1:_="" ns2:_="" ns3:_="">
    <xsd:import namespace="http://schemas.microsoft.com/sharepoint/v3"/>
    <xsd:import namespace="5e082d1c-7833-4fbe-9223-732e2260ac44"/>
    <xsd:import namespace="d13521d9-333b-4720-98fc-8e8e05da25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082d1c-7833-4fbe-9223-732e2260ac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10dd63a-49c2-4c2a-9cc8-6fcf3cc9997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3521d9-333b-4720-98fc-8e8e05da25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ce0f470-e8a8-4977-acdf-da92a6556110}" ma:internalName="TaxCatchAll" ma:showField="CatchAllData" ma:web="d13521d9-333b-4720-98fc-8e8e05da25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5E03F1-51FC-42B7-B61A-5393E2ACBAB1}">
  <ds:schemaRefs>
    <ds:schemaRef ds:uri="http://www.w3.org/XML/1998/namespace"/>
    <ds:schemaRef ds:uri="d13521d9-333b-4720-98fc-8e8e05da2585"/>
    <ds:schemaRef ds:uri="5e082d1c-7833-4fbe-9223-732e2260ac44"/>
    <ds:schemaRef ds:uri="http://purl.org/dc/terms/"/>
    <ds:schemaRef ds:uri="http://purl.org/dc/dcmitype/"/>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5FDD9232-7850-42C0-BF0C-C132D56937C9}">
  <ds:schemaRefs>
    <ds:schemaRef ds:uri="http://schemas.microsoft.com/sharepoint/v3/contenttype/forms"/>
  </ds:schemaRefs>
</ds:datastoreItem>
</file>

<file path=customXml/itemProps3.xml><?xml version="1.0" encoding="utf-8"?>
<ds:datastoreItem xmlns:ds="http://schemas.openxmlformats.org/officeDocument/2006/customXml" ds:itemID="{4CDAD4D9-331A-4BC6-A3BF-5B6AC99508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FS_referentiel_produits_std_Ver</vt:lpstr>
      <vt:lpstr>CABINES</vt:lpstr>
      <vt:lpstr>MOTEURS</vt:lpstr>
      <vt:lpstr>CHASSIS</vt:lpstr>
      <vt:lpstr>CAISSES</vt:lpstr>
      <vt:lpstr>FRIGO</vt:lpstr>
      <vt:lpstr>HAYONS</vt:lpstr>
      <vt:lpstr>Energie Alter</vt:lpstr>
      <vt:lpstr>Synth NCEE</vt:lpstr>
    </vt:vector>
  </TitlesOfParts>
  <Company>Petit Forestier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Telmo MARTINS</dc:creator>
  <cp:lastModifiedBy>Hiba TACHFINE</cp:lastModifiedBy>
  <cp:lastPrinted>2022-02-21T14:47:35Z</cp:lastPrinted>
  <dcterms:created xsi:type="dcterms:W3CDTF">2015-01-23T06:33:12Z</dcterms:created>
  <dcterms:modified xsi:type="dcterms:W3CDTF">2026-02-02T10:50:14Z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0x010100A569D46C4ECED345909D2AE7E76D9204</vt:lpwstr>
  </property>
  <property fmtid="{D5CDD505-2E9C-101B-9397-08002B2CF9AE}" pid="3" name="MediaServiceImageTags">
    <vt:lpwstr/>
  </property>
</Properties>
</file>