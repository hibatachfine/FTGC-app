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0411088\Downloads\"/>
    </mc:Choice>
  </mc:AlternateContent>
  <xr:revisionPtr revIDLastSave="0" documentId="8_{A8F74BF0-4692-448E-BB2E-8000D72BE78B}" xr6:coauthVersionLast="47" xr6:coauthVersionMax="47" xr10:uidLastSave="{00000000-0000-0000-0000-000000000000}"/>
  <bookViews>
    <workbookView xWindow="-120" yWindow="-120" windowWidth="29040" windowHeight="15720" tabRatio="825" activeTab="1" xr2:uid="{00000000-000D-0000-FFFF-FFFF00000000}"/>
  </bookViews>
  <sheets>
    <sheet name="FS_referentiel_produits_std_Ver" sheetId="33" r:id="rId1"/>
    <sheet name="CABINES" sheetId="26" r:id="rId2"/>
    <sheet name="MOTEURS" sheetId="27" r:id="rId3"/>
    <sheet name="CHASSIS" sheetId="28" r:id="rId4"/>
    <sheet name="CAISSES" sheetId="29" r:id="rId5"/>
    <sheet name="FRIGO" sheetId="30" r:id="rId6"/>
    <sheet name="HAYONS" sheetId="31" r:id="rId7"/>
    <sheet name="Energie Alter" sheetId="19" state="hidden" r:id="rId8"/>
    <sheet name="Synth NCEE" sheetId="23" state="hidden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CABINES!$A$1:$AT$210</definedName>
    <definedName name="_xlnm._FilterDatabase" localSheetId="4" hidden="1">CAISSES!$A$1:$BB$210</definedName>
    <definedName name="_xlnm._FilterDatabase" localSheetId="3" hidden="1">CHASSIS!$A$1:$AR$210</definedName>
    <definedName name="_xlnm._FilterDatabase" localSheetId="7" hidden="1">'Energie Alter'!$A$1:$FW$58</definedName>
    <definedName name="_xlnm._FilterDatabase" localSheetId="5" hidden="1">FRIGO!$A$1:$AH$210</definedName>
    <definedName name="_xlnm._FilterDatabase" localSheetId="0" hidden="1">FS_referentiel_produits_std_Ver!$A$1:$BY$105</definedName>
    <definedName name="_xlnm._FilterDatabase" localSheetId="6" hidden="1">HAYONS!$A$1:$AG$210</definedName>
    <definedName name="_xlnm._FilterDatabase" localSheetId="2" hidden="1">MOTEURS!$A$1:$AL$210</definedName>
    <definedName name="_xlnm.Print_Area" localSheetId="0">FS_referentiel_produits_std_Ver!#REF!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L82" i="33" l="1"/>
  <c r="BL81" i="33"/>
  <c r="BR20" i="33" l="1"/>
  <c r="BR59" i="33"/>
  <c r="BR101" i="33"/>
  <c r="BR105" i="33"/>
  <c r="BR104" i="33"/>
  <c r="BR102" i="33"/>
  <c r="BR103" i="33"/>
  <c r="BR96" i="33"/>
  <c r="BR95" i="33"/>
  <c r="BR94" i="33"/>
  <c r="BR93" i="33"/>
  <c r="BR92" i="33"/>
  <c r="BR91" i="33"/>
  <c r="BR40" i="33" l="1"/>
  <c r="BR37" i="33"/>
  <c r="BR51" i="33"/>
  <c r="BR48" i="33"/>
  <c r="BR50" i="33"/>
  <c r="BR49" i="33"/>
  <c r="BR60" i="33" l="1"/>
  <c r="BR54" i="33"/>
  <c r="BR56" i="33"/>
  <c r="BR58" i="33"/>
  <c r="BR57" i="33"/>
  <c r="BR53" i="33"/>
  <c r="BR55" i="33"/>
  <c r="BR41" i="33"/>
  <c r="BR44" i="33"/>
  <c r="BR43" i="33" l="1"/>
  <c r="BR42" i="33"/>
  <c r="BR39" i="33"/>
  <c r="BR38" i="33"/>
  <c r="BR80" i="33" l="1"/>
  <c r="BR78" i="33"/>
  <c r="BR79" i="33"/>
  <c r="BR77" i="33"/>
  <c r="BR61" i="33" l="1"/>
  <c r="BR63" i="33"/>
  <c r="BR64" i="33"/>
  <c r="BR68" i="33"/>
  <c r="BR69" i="33"/>
  <c r="BR62" i="33"/>
  <c r="BR65" i="33"/>
  <c r="BR70" i="33"/>
  <c r="BR76" i="33"/>
  <c r="BR66" i="33"/>
  <c r="BR67" i="33"/>
  <c r="BR33" i="33"/>
  <c r="BR2" i="33"/>
  <c r="BR4" i="33"/>
  <c r="BR7" i="33"/>
  <c r="BR34" i="33"/>
  <c r="BR8" i="33"/>
  <c r="BR35" i="33"/>
  <c r="BR36" i="33"/>
  <c r="BR6" i="33"/>
  <c r="BR3" i="33"/>
  <c r="BR32" i="33"/>
  <c r="BR5" i="33"/>
  <c r="BR24" i="33"/>
  <c r="BR23" i="33"/>
  <c r="BR19" i="33"/>
  <c r="BR22" i="33"/>
  <c r="BR21" i="33"/>
  <c r="BR18" i="33"/>
  <c r="BR17" i="33"/>
  <c r="BR15" i="33"/>
  <c r="BR16" i="33"/>
  <c r="BR14" i="33"/>
  <c r="CC58" i="19" l="1"/>
  <c r="BY58" i="19"/>
  <c r="BX58" i="19"/>
  <c r="BU58" i="19"/>
  <c r="BT58" i="19"/>
  <c r="BS58" i="19"/>
  <c r="BR58" i="19"/>
  <c r="BQ58" i="19"/>
  <c r="BP58" i="19"/>
  <c r="CC57" i="19"/>
  <c r="BY57" i="19"/>
  <c r="BX57" i="19"/>
  <c r="BU57" i="19"/>
  <c r="BT57" i="19"/>
  <c r="BS57" i="19"/>
  <c r="BR57" i="19"/>
  <c r="BQ57" i="19"/>
  <c r="BP57" i="19"/>
  <c r="CC56" i="19"/>
  <c r="BY56" i="19"/>
  <c r="BX56" i="19"/>
  <c r="BU56" i="19"/>
  <c r="BT56" i="19"/>
  <c r="BS56" i="19"/>
  <c r="BR56" i="19"/>
  <c r="BQ56" i="19"/>
  <c r="BP56" i="19"/>
  <c r="CC55" i="19"/>
  <c r="BY55" i="19"/>
  <c r="BX55" i="19"/>
  <c r="BU55" i="19"/>
  <c r="BT55" i="19"/>
  <c r="BS55" i="19"/>
  <c r="BR55" i="19"/>
  <c r="BQ55" i="19"/>
  <c r="BP55" i="19"/>
  <c r="CC54" i="19"/>
  <c r="BY54" i="19"/>
  <c r="BX54" i="19"/>
  <c r="BU54" i="19"/>
  <c r="BT54" i="19"/>
  <c r="BS54" i="19"/>
  <c r="BR54" i="19"/>
  <c r="BQ54" i="19"/>
  <c r="BP54" i="19"/>
  <c r="CC53" i="19"/>
  <c r="BY53" i="19"/>
  <c r="BX53" i="19"/>
  <c r="BU53" i="19"/>
  <c r="BT53" i="19"/>
  <c r="BS53" i="19"/>
  <c r="BR53" i="19"/>
  <c r="BQ53" i="19"/>
  <c r="BP53" i="19"/>
  <c r="CC52" i="19"/>
  <c r="BY52" i="19"/>
  <c r="BX52" i="19"/>
  <c r="BU52" i="19"/>
  <c r="BT52" i="19"/>
  <c r="BS52" i="19"/>
  <c r="BR52" i="19"/>
  <c r="BQ52" i="19"/>
  <c r="BP52" i="19"/>
  <c r="CC51" i="19"/>
  <c r="BY51" i="19"/>
  <c r="BX51" i="19"/>
  <c r="BU51" i="19"/>
  <c r="BT51" i="19"/>
  <c r="BS51" i="19"/>
  <c r="BR51" i="19"/>
  <c r="BQ51" i="19"/>
  <c r="BP51" i="19"/>
  <c r="CC50" i="19"/>
  <c r="BY50" i="19"/>
  <c r="BX50" i="19"/>
  <c r="BU50" i="19"/>
  <c r="BT50" i="19"/>
  <c r="BS50" i="19"/>
  <c r="BR50" i="19"/>
  <c r="BQ50" i="19"/>
  <c r="BP50" i="19"/>
  <c r="CC49" i="19"/>
  <c r="BY49" i="19"/>
  <c r="BX49" i="19"/>
  <c r="BU49" i="19"/>
  <c r="BT49" i="19"/>
  <c r="BS49" i="19"/>
  <c r="BR49" i="19"/>
  <c r="BQ49" i="19"/>
  <c r="BP49" i="19"/>
  <c r="CC48" i="19"/>
  <c r="BY48" i="19"/>
  <c r="BX48" i="19"/>
  <c r="BU48" i="19"/>
  <c r="BT48" i="19"/>
  <c r="BS48" i="19"/>
  <c r="BR48" i="19"/>
  <c r="BQ48" i="19"/>
  <c r="BP48" i="19"/>
  <c r="CC47" i="19"/>
  <c r="BY47" i="19"/>
  <c r="BX47" i="19"/>
  <c r="BU47" i="19"/>
  <c r="BT47" i="19"/>
  <c r="BS47" i="19"/>
  <c r="BR47" i="19"/>
  <c r="BQ47" i="19"/>
  <c r="BP47" i="19"/>
  <c r="CC46" i="19"/>
  <c r="BY46" i="19"/>
  <c r="BX46" i="19"/>
  <c r="BU46" i="19"/>
  <c r="BT46" i="19"/>
  <c r="BS46" i="19"/>
  <c r="BR46" i="19"/>
  <c r="BQ46" i="19"/>
  <c r="BP46" i="19"/>
  <c r="CC45" i="19"/>
  <c r="BY45" i="19"/>
  <c r="BX45" i="19"/>
  <c r="BU45" i="19"/>
  <c r="BT45" i="19"/>
  <c r="BS45" i="19"/>
  <c r="BR45" i="19"/>
  <c r="BQ45" i="19"/>
  <c r="BP45" i="19"/>
  <c r="BL45" i="19"/>
  <c r="CC44" i="19"/>
  <c r="BY44" i="19"/>
  <c r="BX44" i="19"/>
  <c r="BU44" i="19"/>
  <c r="BT44" i="19"/>
  <c r="BS44" i="19"/>
  <c r="BR44" i="19"/>
  <c r="BQ44" i="19"/>
  <c r="BP44" i="19"/>
  <c r="CC43" i="19"/>
  <c r="BY43" i="19"/>
  <c r="BX43" i="19"/>
  <c r="BU43" i="19"/>
  <c r="BT43" i="19"/>
  <c r="BS43" i="19"/>
  <c r="BR43" i="19"/>
  <c r="BQ43" i="19"/>
  <c r="BP43" i="19"/>
  <c r="CC42" i="19"/>
  <c r="BY42" i="19"/>
  <c r="BX42" i="19"/>
  <c r="BU42" i="19"/>
  <c r="BT42" i="19"/>
  <c r="BS42" i="19"/>
  <c r="BR42" i="19"/>
  <c r="BQ42" i="19"/>
  <c r="BP42" i="19"/>
  <c r="CC41" i="19"/>
  <c r="BY41" i="19"/>
  <c r="BX41" i="19"/>
  <c r="BU41" i="19"/>
  <c r="BT41" i="19"/>
  <c r="BS41" i="19"/>
  <c r="BR41" i="19"/>
  <c r="BQ41" i="19"/>
  <c r="BP41" i="19"/>
  <c r="CC40" i="19"/>
  <c r="BY40" i="19"/>
  <c r="BX40" i="19"/>
  <c r="BU40" i="19"/>
  <c r="BT40" i="19"/>
  <c r="BS40" i="19"/>
  <c r="BR40" i="19"/>
  <c r="BQ40" i="19"/>
  <c r="BP40" i="19"/>
  <c r="CC39" i="19"/>
  <c r="BY39" i="19"/>
  <c r="BX39" i="19"/>
  <c r="BU39" i="19"/>
  <c r="BT39" i="19"/>
  <c r="BS39" i="19"/>
  <c r="BR39" i="19"/>
  <c r="BQ39" i="19"/>
  <c r="BP39" i="19"/>
  <c r="CC38" i="19"/>
  <c r="BY38" i="19"/>
  <c r="BX38" i="19"/>
  <c r="BU38" i="19"/>
  <c r="BT38" i="19"/>
  <c r="BS38" i="19"/>
  <c r="BR38" i="19"/>
  <c r="BQ38" i="19"/>
  <c r="BP38" i="19"/>
  <c r="CC37" i="19"/>
  <c r="BY37" i="19"/>
  <c r="BX37" i="19"/>
  <c r="BU37" i="19"/>
  <c r="BT37" i="19"/>
  <c r="BS37" i="19"/>
  <c r="BR37" i="19"/>
  <c r="BQ37" i="19"/>
  <c r="BP37" i="19"/>
  <c r="BL37" i="19"/>
  <c r="CC36" i="19"/>
  <c r="BY36" i="19"/>
  <c r="BX36" i="19"/>
  <c r="BU36" i="19"/>
  <c r="BT36" i="19"/>
  <c r="BS36" i="19"/>
  <c r="BR36" i="19"/>
  <c r="BQ36" i="19"/>
  <c r="BP36" i="19"/>
  <c r="CC35" i="19"/>
  <c r="BY35" i="19"/>
  <c r="BX35" i="19"/>
  <c r="BU35" i="19"/>
  <c r="BT35" i="19"/>
  <c r="BS35" i="19"/>
  <c r="BR35" i="19"/>
  <c r="BQ35" i="19"/>
  <c r="BP35" i="19"/>
  <c r="CC34" i="19"/>
  <c r="BY34" i="19"/>
  <c r="BX34" i="19"/>
  <c r="BU34" i="19"/>
  <c r="BT34" i="19"/>
  <c r="BS34" i="19"/>
  <c r="BR34" i="19"/>
  <c r="BQ34" i="19"/>
  <c r="BP34" i="19"/>
  <c r="CC33" i="19"/>
  <c r="BY33" i="19"/>
  <c r="BX33" i="19"/>
  <c r="BU33" i="19"/>
  <c r="BT33" i="19"/>
  <c r="BS33" i="19"/>
  <c r="BR33" i="19"/>
  <c r="BQ33" i="19"/>
  <c r="BP33" i="19"/>
  <c r="CC32" i="19"/>
  <c r="BY32" i="19"/>
  <c r="BX32" i="19"/>
  <c r="BU32" i="19"/>
  <c r="BT32" i="19"/>
  <c r="BS32" i="19"/>
  <c r="BR32" i="19"/>
  <c r="BQ32" i="19"/>
  <c r="BP32" i="19"/>
  <c r="CC31" i="19"/>
  <c r="BY31" i="19"/>
  <c r="BX31" i="19"/>
  <c r="BU31" i="19"/>
  <c r="BT31" i="19"/>
  <c r="BS31" i="19"/>
  <c r="BR31" i="19"/>
  <c r="BQ31" i="19"/>
  <c r="BP31" i="19"/>
  <c r="CC30" i="19"/>
  <c r="BY30" i="19"/>
  <c r="BX30" i="19"/>
  <c r="BU30" i="19"/>
  <c r="BT30" i="19"/>
  <c r="BS30" i="19"/>
  <c r="BR30" i="19"/>
  <c r="BQ30" i="19"/>
  <c r="BP30" i="19"/>
  <c r="CC29" i="19"/>
  <c r="BY29" i="19"/>
  <c r="BX29" i="19"/>
  <c r="BU29" i="19"/>
  <c r="BT29" i="19"/>
  <c r="BS29" i="19"/>
  <c r="BR29" i="19"/>
  <c r="BQ29" i="19"/>
  <c r="BP29" i="19"/>
  <c r="CC28" i="19"/>
  <c r="BY28" i="19"/>
  <c r="BX28" i="19"/>
  <c r="BU28" i="19"/>
  <c r="BT28" i="19"/>
  <c r="BS28" i="19"/>
  <c r="BR28" i="19"/>
  <c r="BQ28" i="19"/>
  <c r="BP28" i="19"/>
  <c r="CC27" i="19"/>
  <c r="BY27" i="19"/>
  <c r="BX27" i="19"/>
  <c r="BU27" i="19"/>
  <c r="BT27" i="19"/>
  <c r="BS27" i="19"/>
  <c r="BR27" i="19"/>
  <c r="BQ27" i="19"/>
  <c r="BP27" i="19"/>
  <c r="CC26" i="19"/>
  <c r="BY26" i="19"/>
  <c r="BX26" i="19"/>
  <c r="BU26" i="19"/>
  <c r="BT26" i="19"/>
  <c r="BS26" i="19"/>
  <c r="BR26" i="19"/>
  <c r="BQ26" i="19"/>
  <c r="BP26" i="19"/>
  <c r="CC25" i="19"/>
  <c r="BY25" i="19"/>
  <c r="BX25" i="19"/>
  <c r="BU25" i="19"/>
  <c r="BT25" i="19"/>
  <c r="BS25" i="19"/>
  <c r="BR25" i="19"/>
  <c r="BQ25" i="19"/>
  <c r="BP25" i="19"/>
  <c r="CC24" i="19"/>
  <c r="BY24" i="19"/>
  <c r="BX24" i="19"/>
  <c r="BU24" i="19"/>
  <c r="BT24" i="19"/>
  <c r="BS24" i="19"/>
  <c r="BR24" i="19"/>
  <c r="BQ24" i="19"/>
  <c r="BP24" i="19"/>
  <c r="CC23" i="19"/>
  <c r="BY23" i="19"/>
  <c r="BX23" i="19"/>
  <c r="BU23" i="19"/>
  <c r="BT23" i="19"/>
  <c r="BS23" i="19"/>
  <c r="BR23" i="19"/>
  <c r="BQ23" i="19"/>
  <c r="BP23" i="19"/>
  <c r="CC22" i="19"/>
  <c r="BY22" i="19"/>
  <c r="BX22" i="19"/>
  <c r="BU22" i="19"/>
  <c r="BT22" i="19"/>
  <c r="BS22" i="19"/>
  <c r="BR22" i="19"/>
  <c r="BQ22" i="19"/>
  <c r="BP22" i="19"/>
  <c r="CC21" i="19"/>
  <c r="BY21" i="19"/>
  <c r="BX21" i="19"/>
  <c r="BU21" i="19"/>
  <c r="BT21" i="19"/>
  <c r="BS21" i="19"/>
  <c r="BR21" i="19"/>
  <c r="BQ21" i="19"/>
  <c r="BP21" i="19"/>
  <c r="CC20" i="19"/>
  <c r="BY20" i="19"/>
  <c r="BX20" i="19"/>
  <c r="BU20" i="19"/>
  <c r="BT20" i="19"/>
  <c r="BS20" i="19"/>
  <c r="BR20" i="19"/>
  <c r="BQ20" i="19"/>
  <c r="BP20" i="19"/>
  <c r="CC19" i="19"/>
  <c r="BY19" i="19"/>
  <c r="BX19" i="19"/>
  <c r="BU19" i="19"/>
  <c r="BT19" i="19"/>
  <c r="BS19" i="19"/>
  <c r="BR19" i="19"/>
  <c r="BQ19" i="19"/>
  <c r="BP19" i="19"/>
  <c r="CC18" i="19"/>
  <c r="BY18" i="19"/>
  <c r="BX18" i="19"/>
  <c r="BU18" i="19"/>
  <c r="BT18" i="19"/>
  <c r="BS18" i="19"/>
  <c r="BR18" i="19"/>
  <c r="BQ18" i="19"/>
  <c r="BP18" i="19"/>
  <c r="CC17" i="19"/>
  <c r="BY17" i="19"/>
  <c r="BX17" i="19"/>
  <c r="BU17" i="19"/>
  <c r="BT17" i="19"/>
  <c r="BS17" i="19"/>
  <c r="BR17" i="19"/>
  <c r="BQ17" i="19"/>
  <c r="BP17" i="19"/>
  <c r="CC16" i="19"/>
  <c r="BY16" i="19"/>
  <c r="BX16" i="19"/>
  <c r="BU16" i="19"/>
  <c r="BT16" i="19"/>
  <c r="BS16" i="19"/>
  <c r="BR16" i="19"/>
  <c r="BQ16" i="19"/>
  <c r="BP16" i="19"/>
  <c r="CC15" i="19"/>
  <c r="BY15" i="19"/>
  <c r="BX15" i="19"/>
  <c r="BU15" i="19"/>
  <c r="BT15" i="19"/>
  <c r="BS15" i="19"/>
  <c r="BR15" i="19"/>
  <c r="BQ15" i="19"/>
  <c r="BP15" i="19"/>
  <c r="CC14" i="19"/>
  <c r="BY14" i="19"/>
  <c r="BX14" i="19"/>
  <c r="BU14" i="19"/>
  <c r="BT14" i="19"/>
  <c r="BS14" i="19"/>
  <c r="BR14" i="19"/>
  <c r="BQ14" i="19"/>
  <c r="BP14" i="19"/>
  <c r="CC13" i="19"/>
  <c r="BY13" i="19"/>
  <c r="BX13" i="19"/>
  <c r="BU13" i="19"/>
  <c r="BT13" i="19"/>
  <c r="BS13" i="19"/>
  <c r="BR13" i="19"/>
  <c r="BQ13" i="19"/>
  <c r="BP13" i="19"/>
  <c r="CC12" i="19"/>
  <c r="BY12" i="19"/>
  <c r="BX12" i="19"/>
  <c r="BU12" i="19"/>
  <c r="BT12" i="19"/>
  <c r="BS12" i="19"/>
  <c r="BR12" i="19"/>
  <c r="BQ12" i="19"/>
  <c r="BP12" i="19"/>
  <c r="CC11" i="19"/>
  <c r="BY11" i="19"/>
  <c r="BX11" i="19"/>
  <c r="BU11" i="19"/>
  <c r="BT11" i="19"/>
  <c r="BS11" i="19"/>
  <c r="BR11" i="19"/>
  <c r="BQ11" i="19"/>
  <c r="BP11" i="19"/>
  <c r="CC10" i="19"/>
  <c r="BY10" i="19"/>
  <c r="BX10" i="19"/>
  <c r="BU10" i="19"/>
  <c r="BT10" i="19"/>
  <c r="BS10" i="19"/>
  <c r="BR10" i="19"/>
  <c r="BQ10" i="19"/>
  <c r="BP10" i="19"/>
  <c r="CC9" i="19"/>
  <c r="BY9" i="19"/>
  <c r="BX9" i="19"/>
  <c r="BU9" i="19"/>
  <c r="BT9" i="19"/>
  <c r="BS9" i="19"/>
  <c r="BR9" i="19"/>
  <c r="BQ9" i="19"/>
  <c r="BP9" i="19"/>
  <c r="CC8" i="19"/>
  <c r="BY8" i="19"/>
  <c r="BX8" i="19"/>
  <c r="BU8" i="19"/>
  <c r="BT8" i="19"/>
  <c r="BS8" i="19"/>
  <c r="BR8" i="19"/>
  <c r="BQ8" i="19"/>
  <c r="BP8" i="19"/>
  <c r="CC7" i="19"/>
  <c r="BY7" i="19"/>
  <c r="BX7" i="19"/>
  <c r="BU7" i="19"/>
  <c r="BT7" i="19"/>
  <c r="BS7" i="19"/>
  <c r="BR7" i="19"/>
  <c r="BQ7" i="19"/>
  <c r="BP7" i="19"/>
  <c r="CC6" i="19"/>
  <c r="BY6" i="19"/>
  <c r="BX6" i="19"/>
  <c r="BU6" i="19"/>
  <c r="BT6" i="19"/>
  <c r="BS6" i="19"/>
  <c r="BR6" i="19"/>
  <c r="BQ6" i="19"/>
  <c r="BP6" i="19"/>
  <c r="CC5" i="19"/>
  <c r="BY5" i="19"/>
  <c r="BX5" i="19"/>
  <c r="BU5" i="19"/>
  <c r="BT5" i="19"/>
  <c r="BS5" i="19"/>
  <c r="BR5" i="19"/>
  <c r="BQ5" i="19"/>
  <c r="BP5" i="19"/>
  <c r="CC4" i="19"/>
  <c r="BY4" i="19"/>
  <c r="BX4" i="19"/>
  <c r="BU4" i="19"/>
  <c r="BT4" i="19"/>
  <c r="BS4" i="19"/>
  <c r="BR4" i="19"/>
  <c r="BQ4" i="19"/>
  <c r="BP4" i="19"/>
  <c r="CC3" i="19"/>
  <c r="BY3" i="19"/>
  <c r="BX3" i="19"/>
  <c r="BU3" i="19"/>
  <c r="BT3" i="19"/>
  <c r="BS3" i="19"/>
  <c r="BR3" i="19"/>
  <c r="BQ3" i="19"/>
  <c r="BP3" i="19"/>
  <c r="CC2" i="19"/>
  <c r="BY2" i="19"/>
  <c r="BX2" i="19"/>
  <c r="BU2" i="19"/>
  <c r="BT2" i="19"/>
  <c r="BS2" i="19"/>
  <c r="BR2" i="19"/>
  <c r="BQ2" i="19"/>
  <c r="BP2" i="19"/>
  <c r="BL15" i="19" l="1"/>
  <c r="BL17" i="19"/>
  <c r="BL35" i="19"/>
  <c r="BL41" i="19"/>
  <c r="BL43" i="19"/>
  <c r="BL48" i="19"/>
  <c r="BL4" i="19"/>
  <c r="BL28" i="19"/>
  <c r="BL36" i="19"/>
  <c r="BL38" i="19"/>
  <c r="BL44" i="19"/>
  <c r="BL10" i="19"/>
  <c r="BL18" i="19"/>
  <c r="BL26" i="19"/>
  <c r="BL56" i="19"/>
  <c r="BL14" i="19"/>
  <c r="BL16" i="19"/>
  <c r="BL25" i="19"/>
  <c r="BL20" i="19"/>
  <c r="BL52" i="19"/>
  <c r="BL50" i="19"/>
  <c r="BL21" i="19"/>
  <c r="BL11" i="19"/>
  <c r="BL2" i="19"/>
  <c r="BL6" i="19"/>
  <c r="BL7" i="19"/>
  <c r="BL8" i="19"/>
  <c r="BL22" i="19"/>
  <c r="BL30" i="19"/>
  <c r="BL27" i="19"/>
  <c r="BL58" i="19"/>
  <c r="BL19" i="19"/>
  <c r="BL31" i="19"/>
  <c r="BL5" i="19"/>
  <c r="BL13" i="19"/>
  <c r="BL29" i="19"/>
  <c r="BL33" i="19"/>
  <c r="BL40" i="19"/>
  <c r="BL49" i="19"/>
  <c r="BL53" i="19"/>
  <c r="BL54" i="19"/>
  <c r="BL55" i="19"/>
  <c r="BL12" i="19"/>
  <c r="BL3" i="19"/>
  <c r="BL57" i="19"/>
  <c r="BL23" i="19"/>
  <c r="BL42" i="19"/>
  <c r="BL51" i="19"/>
  <c r="BL24" i="19"/>
  <c r="BL39" i="19"/>
  <c r="BL46" i="19"/>
  <c r="BL47" i="19"/>
  <c r="BL9" i="19"/>
  <c r="BL34" i="19"/>
  <c r="BL32" i="19"/>
</calcChain>
</file>

<file path=xl/sharedStrings.xml><?xml version="1.0" encoding="utf-8"?>
<sst xmlns="http://schemas.openxmlformats.org/spreadsheetml/2006/main" count="16020" uniqueCount="2796">
  <si>
    <t>code_pays</t>
  </si>
  <si>
    <t>Marque</t>
  </si>
  <si>
    <t>Modele</t>
  </si>
  <si>
    <t>Catégorisation produit (Igloo) EQUIPEMENTS 2</t>
  </si>
  <si>
    <t>Code_PF</t>
  </si>
  <si>
    <t>Standard_PF</t>
  </si>
  <si>
    <t>H int</t>
  </si>
  <si>
    <t>H</t>
  </si>
  <si>
    <t>L</t>
  </si>
  <si>
    <t>Z</t>
  </si>
  <si>
    <t>Hc</t>
  </si>
  <si>
    <t>F</t>
  </si>
  <si>
    <t>X</t>
  </si>
  <si>
    <t>N</t>
  </si>
  <si>
    <t>Libelle_descriptif</t>
  </si>
  <si>
    <t>PTAC</t>
  </si>
  <si>
    <t>CU</t>
  </si>
  <si>
    <t>Table Masses_Tracteur</t>
  </si>
  <si>
    <t>PTAC_TR</t>
  </si>
  <si>
    <t>PTRA</t>
  </si>
  <si>
    <t>Pàvide</t>
  </si>
  <si>
    <t>Volume</t>
  </si>
  <si>
    <t>C_Cabine</t>
  </si>
  <si>
    <t>M_Moteur</t>
  </si>
  <si>
    <t>C_Chassis</t>
  </si>
  <si>
    <t>C_Caisse</t>
  </si>
  <si>
    <t>C_Groupe frigo</t>
  </si>
  <si>
    <t>C_Hayon elevateur</t>
  </si>
  <si>
    <t>Image</t>
  </si>
  <si>
    <t>M</t>
  </si>
  <si>
    <t>LECAPITAINE</t>
  </si>
  <si>
    <t>01</t>
  </si>
  <si>
    <t>P</t>
  </si>
  <si>
    <t>IVECO</t>
  </si>
  <si>
    <t>DAILY</t>
  </si>
  <si>
    <t>04</t>
  </si>
  <si>
    <t>IVECO DAILY - CAISSE FRIGORIFIQUE IRL / HAYON</t>
  </si>
  <si>
    <t>EUROCARGO</t>
  </si>
  <si>
    <t>P10</t>
  </si>
  <si>
    <t>CF_100_C1</t>
  </si>
  <si>
    <t>CF_100_C2</t>
  </si>
  <si>
    <t>P16</t>
  </si>
  <si>
    <t>P18</t>
  </si>
  <si>
    <t>P21</t>
  </si>
  <si>
    <t>P23</t>
  </si>
  <si>
    <t>T</t>
  </si>
  <si>
    <t/>
  </si>
  <si>
    <t>C_IVECO_AT_TRACTEUR</t>
  </si>
  <si>
    <t>CH_STRALIS_AT_TRACTEUR_315-70R22-5</t>
  </si>
  <si>
    <t>RENAULT</t>
  </si>
  <si>
    <t>GAMME D</t>
  </si>
  <si>
    <t>SCR</t>
  </si>
  <si>
    <t>Zone libre 10</t>
  </si>
  <si>
    <t>Zone libre 11</t>
  </si>
  <si>
    <t>Zone libre 12</t>
  </si>
  <si>
    <t>Zone libre 13</t>
  </si>
  <si>
    <t>Zone libre 14</t>
  </si>
  <si>
    <t>Zone libre 15</t>
  </si>
  <si>
    <t>Zone libre 16</t>
  </si>
  <si>
    <t>Zone libre 17</t>
  </si>
  <si>
    <t>Zone libre 18</t>
  </si>
  <si>
    <t>Zone libre 19</t>
  </si>
  <si>
    <t>Zone libre 20</t>
  </si>
  <si>
    <t>H01</t>
  </si>
  <si>
    <t>H02</t>
  </si>
  <si>
    <t>\\petitforestier.fr\siege\Applications\BaseProduits\Datas\Publipostage\Images\PUBLICATION - EURO 6\PLAN VEHICULES\IVECO_EUROCARGO_100E19CF01.jpg</t>
  </si>
  <si>
    <t>\\petitforestier.fr\siege\Applications\BaseProduits\Datas\Publipostage\Images\PUBLICATION - EURO 6\PLAN VEHICULES\IVECO_EUROCARGO_100E19CF02.jpg</t>
  </si>
  <si>
    <t>\\petitforestier.fr\siege\Applications\BaseProduits\Datas\Publipostage\Images\PUBLICATION - EURO 6\PLAN VEHICULES\IVECO_EUROCARGO_120E19CF01.jpg</t>
  </si>
  <si>
    <t>\\petitforestier.fr\siege\Applications\BaseProduits\Datas\Publipostage\Images\PUBLICATION - EURO 6\PLAN VEHICULES\IVECO_EUROCARGO_120E19CF02.jpg</t>
  </si>
  <si>
    <t>\\petitforestier.fr\siege\Applications\BaseProduits\Datas\Publipostage\Images\PUBLICATION - EURO 6\PLAN VEHICULES\IVECO_EUROCARGO_160E21CF01.jpg</t>
  </si>
  <si>
    <t>\\petitforestier.fr\siege\Applications\BaseProduits\Datas\Publipostage\Images\PUBLICATION - EURO 6\PLAN VEHICULES\IVECO_EUROCARGO_160E21CF02.jpg</t>
  </si>
  <si>
    <t>\\petitforestier.fr\siege\Applications\BaseProduits\Datas\Publipostage\Images\PUBLICATION - EURO 6\PLAN VEHICULES\RENAULT_D19.280CF01.jpg</t>
  </si>
  <si>
    <t>\\petitforestier.fr\siege\Applications\BaseProduits\Datas\Publipostage\Images\PUBLICATION - EURO 6\PLAN VEHICULES\RENAULT_D19.280CF02.jpg</t>
  </si>
  <si>
    <t>palettes</t>
  </si>
  <si>
    <t>FR</t>
  </si>
  <si>
    <t>CH_EUROCARGO_305-70R19-5_GNC</t>
  </si>
  <si>
    <t>CH_EUROCARGO_265-70R17-5_GNC</t>
  </si>
  <si>
    <t>catalogue_1
 PF</t>
  </si>
  <si>
    <t>L int 
utile 
sur plinthe</t>
  </si>
  <si>
    <t>W int
 utile 
sur plinthe</t>
  </si>
  <si>
    <t>H 
de 
passage</t>
  </si>
  <si>
    <t>Publication 
interne 3 
COMMERCIAL</t>
  </si>
  <si>
    <t>Publication 
interne 2 
LECAPITAINE</t>
  </si>
  <si>
    <t>Catégorisation 
produit (Igloo) 
EQUIPEMENTS 1</t>
  </si>
  <si>
    <t>Catégorisation 
produit (Igloo) 
CATEGORIE PTC 
+ CONTENANCE</t>
  </si>
  <si>
    <t>V11</t>
  </si>
  <si>
    <t>\\petitforestier.fr\siege\Applications\BaseProduits\Datas\Publipostage\Images\PUBLICATION - EURO 6\PLAN VEHICULES\VIDE.jpg</t>
  </si>
  <si>
    <t>\\petitforestier.fr\siege\Applications\BaseProduits\Datas\Publipostage\Images\PUBLICATION - EURO 6\PLAN VEHICULES\IVECO_STRALIS_AD260S33CF01.jpg</t>
  </si>
  <si>
    <t>\\petitforestier.fr\siege\Applications\BaseProduits\Datas\Publipostage\Images\PUBLICATION - EURO 6\PLAN VEHICULES\IVECO_STRALIS_AD260S33CF02.jpg</t>
  </si>
  <si>
    <t>\\petitforestier.fr\siege\Applications\BaseProduits\Datas\Publipostage\Images\PUBLICATION - EURO 6\PLAN VEHICULES\IVECO_TRACTEUR_AT_STRALIS_E6.jpg</t>
  </si>
  <si>
    <t>catalogue_2
ST</t>
  </si>
  <si>
    <t>catalogue_3
 LIBRE</t>
  </si>
  <si>
    <t>M_STRALIS_460-€VI-D</t>
  </si>
  <si>
    <t>HL_VIDE-OPTIONS</t>
  </si>
  <si>
    <t>C_D_2.3_CLIM</t>
  </si>
  <si>
    <t>SANS</t>
  </si>
  <si>
    <t>VIDE</t>
  </si>
  <si>
    <t>HAYON</t>
  </si>
  <si>
    <t>PTAC Kg</t>
  </si>
  <si>
    <t>Code PF</t>
  </si>
  <si>
    <t>Zone libre 8</t>
  </si>
  <si>
    <t>Zone libre 9</t>
  </si>
  <si>
    <t>Zone libre 6</t>
  </si>
  <si>
    <t>Zone libre 7</t>
  </si>
  <si>
    <t>Zone libre 1</t>
  </si>
  <si>
    <t>Zone libre 2</t>
  </si>
  <si>
    <t>Zone libre 3</t>
  </si>
  <si>
    <t>Zone libre 4</t>
  </si>
  <si>
    <t>Zone libre 5</t>
  </si>
  <si>
    <t>35C16-3L CF / 35C14 CF</t>
  </si>
  <si>
    <t>[CAMOCH_DEB_VLD]</t>
  </si>
  <si>
    <t>[CAMOCH_FIN_VLD]</t>
  </si>
  <si>
    <t>CHASSIS FR</t>
  </si>
  <si>
    <t>Poids 
CHASSIS</t>
  </si>
  <si>
    <t>[CAISSE_DEB_VLD]</t>
  </si>
  <si>
    <t>[CAISSE_FIN_VLD]</t>
  </si>
  <si>
    <t>[HAYON_DEB_VLD]</t>
  </si>
  <si>
    <t>[HAYON_FIN_VLD]</t>
  </si>
  <si>
    <t>[FRIGO_DEB_VLD]</t>
  </si>
  <si>
    <t>[FRIGO_FIN_VLD]</t>
  </si>
  <si>
    <t>Poids à vide</t>
  </si>
  <si>
    <t>CAISSE FR</t>
  </si>
  <si>
    <t xml:space="preserve">Poids 
CAISSE </t>
  </si>
  <si>
    <t>FRIGO</t>
  </si>
  <si>
    <t>Poids 
FRIGO</t>
  </si>
  <si>
    <t>Poids 
HAYON</t>
  </si>
  <si>
    <t>DELTA</t>
  </si>
  <si>
    <t>CHASSIS N-1</t>
  </si>
  <si>
    <t>HAYON N-1</t>
  </si>
  <si>
    <t>FRIGO N-1</t>
  </si>
  <si>
    <t>CAISSE N-1</t>
  </si>
  <si>
    <t>EUROCARGO 
220 cv / 210 cv
280 cv / 250 cv
320 cv / 280 cv</t>
  </si>
  <si>
    <t>EUROCARGO 
210 cv GNC / 210 cv</t>
  </si>
  <si>
    <t>GAMME D
250 cv / 240 cv</t>
  </si>
  <si>
    <t>S550 S</t>
  </si>
  <si>
    <t>S750 S</t>
  </si>
  <si>
    <t>S850 S</t>
  </si>
  <si>
    <t xml:space="preserve">S1150 S </t>
  </si>
  <si>
    <t>S1250 S</t>
  </si>
  <si>
    <t>GF_S750S-MT_2060mm</t>
  </si>
  <si>
    <t>GF_S1150S-MT_2160mm_GNC</t>
  </si>
  <si>
    <t>S1150-S MT</t>
  </si>
  <si>
    <t>S750-S MT</t>
  </si>
  <si>
    <t>S1250-S MT</t>
  </si>
  <si>
    <t>CU LECAP</t>
  </si>
  <si>
    <t>DELTA CU 
LECAP / N-1</t>
  </si>
  <si>
    <t xml:space="preserve">Publication 
interne  
</t>
  </si>
  <si>
    <t>Norme Euro</t>
  </si>
  <si>
    <t>C_Groupe frigo_V3</t>
  </si>
  <si>
    <t>C_Groupe frigo_V2</t>
  </si>
  <si>
    <t>Plinthe inox Lat 450 / Av 455</t>
  </si>
  <si>
    <t>CF_120_140_C1_Plint-Inox</t>
  </si>
  <si>
    <t>CF_120_140_C2_Plint-Inox</t>
  </si>
  <si>
    <t>CF_150_160_C1_Plint-Inox</t>
  </si>
  <si>
    <t>CF_150_160_C2_Plint-Inox</t>
  </si>
  <si>
    <t>CF_190_C1_Plint-Inox</t>
  </si>
  <si>
    <t>CF_190_C2_Plint-Inox</t>
  </si>
  <si>
    <t>CF_260_C1_Plint-Inox</t>
  </si>
  <si>
    <t>CF_260_C2_Plint-Inox</t>
  </si>
  <si>
    <t>CU n-1</t>
  </si>
  <si>
    <t>Plinthe Inox</t>
  </si>
  <si>
    <t>29.8</t>
  </si>
  <si>
    <t>38.7</t>
  </si>
  <si>
    <t>45.2</t>
  </si>
  <si>
    <t>52.2</t>
  </si>
  <si>
    <t>55.8</t>
  </si>
  <si>
    <t>Groupe Frigo</t>
  </si>
  <si>
    <t>GF_X350T_A_C_1560_1750mm_Cable10m</t>
  </si>
  <si>
    <t>IGLOOCAR</t>
  </si>
  <si>
    <t>C_EUROCARGO_CLIM_DAB</t>
  </si>
  <si>
    <t>GF_S850S_2480_2040mm_GNC</t>
  </si>
  <si>
    <t>S550 / S450</t>
  </si>
  <si>
    <t>GF_S550S_2210_1980mm</t>
  </si>
  <si>
    <t>CU n-2</t>
  </si>
  <si>
    <t>Clim</t>
  </si>
  <si>
    <t>B100/
NEOS100</t>
  </si>
  <si>
    <t>V200-50/
X200T</t>
  </si>
  <si>
    <t>3t5 / 3t3</t>
  </si>
  <si>
    <t>DCO GAZ / DIESEL</t>
  </si>
  <si>
    <t>35S / 35C</t>
  </si>
  <si>
    <t>X200T / X350T</t>
  </si>
  <si>
    <t>Sans
X350T</t>
  </si>
  <si>
    <t>Sans
NEOS100 / B100</t>
  </si>
  <si>
    <t>Passage de roue ALU</t>
  </si>
  <si>
    <t>V300-50 / X200T</t>
  </si>
  <si>
    <t>T800 / SUPRA 750</t>
  </si>
  <si>
    <t>T800SP / SUPRA 750MT</t>
  </si>
  <si>
    <t>T560 / T800</t>
  </si>
  <si>
    <t>T560 / SUPRA 550</t>
  </si>
  <si>
    <t>T1000 / SUPRA 850</t>
  </si>
  <si>
    <t>T1200 / SUPRA 1150</t>
  </si>
  <si>
    <t>T1200 / SUPRA 1250</t>
  </si>
  <si>
    <t>T1000SP / SUPRA 1150MT</t>
  </si>
  <si>
    <t>T1200SP / SUPRA 1150MT</t>
  </si>
  <si>
    <t>T1200SP / SUPRA 1250MT</t>
  </si>
  <si>
    <t>equipement</t>
  </si>
  <si>
    <t>HL_RT_DH-SM15_1500kg-CG750_1500mm-2250mm</t>
  </si>
  <si>
    <t>Porte lat bat</t>
  </si>
  <si>
    <t>40C / 3324 int ald 3224</t>
  </si>
  <si>
    <t>35C CF06 / 2824 int ald 2724</t>
  </si>
  <si>
    <t>V300-50 / X350T</t>
  </si>
  <si>
    <t>3 Rails en C - ES / 3 barres fixes et dents de loup</t>
  </si>
  <si>
    <t>serrure FAC</t>
  </si>
  <si>
    <t>Ajout Déflecteur</t>
  </si>
  <si>
    <t>FR_FR</t>
  </si>
  <si>
    <t>3t5 / 3t1</t>
  </si>
  <si>
    <t>HL_RT_DH-SM20_2000kg-CG750_1800mm-2400mm_pt</t>
  </si>
  <si>
    <t>DH-SM.20-1800mm / 1700mm</t>
  </si>
  <si>
    <t>DH-SM.20-1800mm / DH-SM.15-1500mm</t>
  </si>
  <si>
    <t>DH-SM.20-1800mm / DH-SM.20-1500mm</t>
  </si>
  <si>
    <t>X350T / X200T</t>
  </si>
  <si>
    <t>V200s-50/B100</t>
  </si>
  <si>
    <t>V300-50 / V200-50</t>
  </si>
  <si>
    <t>C_VIDE-OPTIONS</t>
  </si>
  <si>
    <t>CH_VIDE-OPTIONS</t>
  </si>
  <si>
    <t>M_VIDE-OPTIONS</t>
  </si>
  <si>
    <t>GF_VIDE-OPTIONS</t>
  </si>
  <si>
    <t>CF_VIDE-OPTIONS</t>
  </si>
  <si>
    <t>2 places / 3 places</t>
  </si>
  <si>
    <t>S-WAY</t>
  </si>
  <si>
    <t>\\petitforestier.fr\siege\Applications\BaseProduits\Datas\Publipostage\Images\PUBLICATION - EURO 6\PLAN VEHICULES\IVECO_S-WAY_AD190S40-G-CF01.jpg</t>
  </si>
  <si>
    <t>Réservoir 100 L / 70L</t>
  </si>
  <si>
    <t xml:space="preserve"> 2 porte AR totale / 2 portes ar 1105 mm</t>
  </si>
  <si>
    <t>Rigidlink</t>
  </si>
  <si>
    <t>40C / 35C - 38S / 35S</t>
  </si>
  <si>
    <t>C_IVECO_AD-S-WAY_PORTEUR-CLIM-MAN</t>
  </si>
  <si>
    <t>Sans X350T (145 Kg)</t>
  </si>
  <si>
    <t>DELTA CU FR</t>
  </si>
  <si>
    <t>CH_D_4x2_315-80R22-5_GNC-1200L</t>
  </si>
  <si>
    <t>\\petitforestier.fr\siege\Applications\BaseProduits\Datas\Publipostage\Images\PUBLICATION - EURO 6\PLAN VEHICULES\IVECO_S-WAY_AD190S40-G-CF02.jpg</t>
  </si>
  <si>
    <t>CH_S-WAY_315-80R22-5_GNC-400-1052L</t>
  </si>
  <si>
    <t>GF_S1150S_2820_2040mm_Réserv-90l</t>
  </si>
  <si>
    <t>GF_S1150S-MT_2160mm_Réserv-90l</t>
  </si>
  <si>
    <t>Clim + Régulateur</t>
  </si>
  <si>
    <t>1° essieu relevable</t>
  </si>
  <si>
    <t>EURO VI-E / VI-D</t>
  </si>
  <si>
    <t>1950  / 1900</t>
  </si>
  <si>
    <t>Porte lat double battant</t>
  </si>
  <si>
    <t>6590 mm / 7590</t>
  </si>
  <si>
    <t>GF_S1250S-MT-GNC-City_2160mm</t>
  </si>
  <si>
    <t>GF_S1250S-GNC-City_3453_2160mm</t>
  </si>
  <si>
    <t>GF_FK25</t>
  </si>
  <si>
    <t>GF_FK25I-MT_2200mm</t>
  </si>
  <si>
    <t>€ VI-E</t>
  </si>
  <si>
    <t>M_D_320_GNC-€VI-E</t>
  </si>
  <si>
    <t>M_S-WAY_400-€VI-E_GNC</t>
  </si>
  <si>
    <t>FS_PF_Energie Alter</t>
  </si>
  <si>
    <t>FS_ST_Energie Alter</t>
  </si>
  <si>
    <t>100E21 G CF</t>
  </si>
  <si>
    <t>100E21 G CF - TK V1000</t>
  </si>
  <si>
    <t>100E21 G CF - TK V1000 SP</t>
  </si>
  <si>
    <t>160E21 G CF - SUPRA GAZ</t>
  </si>
  <si>
    <t>160E21 G CF - SUPRA GAZ MT</t>
  </si>
  <si>
    <t>160E21 G CF - 15 Pal - SUPRA 750</t>
  </si>
  <si>
    <t>160E21 G CF - 15 Pal - SUPRA 1150 MT</t>
  </si>
  <si>
    <t>160E21 G CF - 15 Pal - SUPRA GAZ</t>
  </si>
  <si>
    <t>160E21 G CF - 15 Pal - SUPRA GAZ MT</t>
  </si>
  <si>
    <t>120EL21 G CF - 11 Pal - SUPRA 550</t>
  </si>
  <si>
    <t>120EL21 G CF - 11 Pal - SUPRA 750 MT</t>
  </si>
  <si>
    <t>120EL21 G CF - 11 Pal - TK V1000</t>
  </si>
  <si>
    <t>120EL21 G CF - 11 Pal - TK V1000 SP</t>
  </si>
  <si>
    <t>120EL21 G CF - SUPRA GAZ</t>
  </si>
  <si>
    <t>120EL21 G CF - SUPRA GAZ MT</t>
  </si>
  <si>
    <t>AD190S40 G CF - 18 Pal - SUPRA 850 S</t>
  </si>
  <si>
    <t>AD190S40 G CF - 18 Pal - SUPRA 1150 S MT</t>
  </si>
  <si>
    <t>AD190S40 G CF - 18 Pal - SUPRA GAZ</t>
  </si>
  <si>
    <t>AD190S40 G CF - 18 Pal - SUPRA GAZ MT</t>
  </si>
  <si>
    <t>AD190S40 G CF - 18 Pal - FK 25</t>
  </si>
  <si>
    <t>AD190S40 G CF - 18 Pal - FK 25I MT</t>
  </si>
  <si>
    <t>AD190S40 G CF - SUPRA GAZ</t>
  </si>
  <si>
    <t>AD190S40 G CF - SUPRA GAZ MT</t>
  </si>
  <si>
    <t>AD190S40 G CF - FK 25</t>
  </si>
  <si>
    <t>AD190S40 G CF - FK 25I MT</t>
  </si>
  <si>
    <t>AT440S46 G TR</t>
  </si>
  <si>
    <t>IVECO S-WAY GNC - TRACTEUR</t>
  </si>
  <si>
    <t>AD260S40 G CF - SUPRA GAZ</t>
  </si>
  <si>
    <t>AD260S40 G CF - SUPRA GAZ MT</t>
  </si>
  <si>
    <t>AD260S40 G CF - FK 25</t>
  </si>
  <si>
    <t>AD260S40 G CF - FK 25I MT</t>
  </si>
  <si>
    <t>AD190S40 G CF - 18 Pal - CARRIER SYBERIA</t>
  </si>
  <si>
    <t>AD190S40 G CF - 18 Pal - CARRIER SYBERIA MT</t>
  </si>
  <si>
    <t>AD190S40 G CF - CARRIER SYBERIA</t>
  </si>
  <si>
    <t>AD190S40 G CF - CARRIER SYBERIA MT</t>
  </si>
  <si>
    <t>AD260S40 G CF - CARRIER SYBERIA</t>
  </si>
  <si>
    <t>AD260S40 G CF - CARRIER SYBERIA MT</t>
  </si>
  <si>
    <t>D19.320 G CF - 18 Pal - SUPRA 850 S</t>
  </si>
  <si>
    <t>D19.320 G CF - 18 Pal - SUPRA 1150 S MT</t>
  </si>
  <si>
    <t>D19.320 G CF - 18 Pal - SUPRA GAZ</t>
  </si>
  <si>
    <t>D19.320 G CF - 18 Pal - SUPRA GAZ MT</t>
  </si>
  <si>
    <t>D19.320 G CF - 18 Pal - FK 25</t>
  </si>
  <si>
    <t>D19.320 G CF - 18 Pal - FK 25I MT</t>
  </si>
  <si>
    <t>D19.320 G CF - SUPRA GAZ</t>
  </si>
  <si>
    <t>D19.320 G CF - SUPRA GAZ MT</t>
  </si>
  <si>
    <t>D19.320 G CF - FK 25</t>
  </si>
  <si>
    <t>D19.320 G CF - FK 25I MT</t>
  </si>
  <si>
    <t>D26.320 G CF - SUPRA GAZ</t>
  </si>
  <si>
    <t>D26.320 G CF - SUPRA GAZ MT</t>
  </si>
  <si>
    <t>D26.320 G CF - FK 25</t>
  </si>
  <si>
    <t>D26.320 G CF - FK 25I MT</t>
  </si>
  <si>
    <t>D19.320 G CF - 18 Pal - CARRIER SYBERIA</t>
  </si>
  <si>
    <t>D19.320 G CF - 18 Pal - CARRIER SYBERIA MT</t>
  </si>
  <si>
    <t>D19.320 G CF - CARRIER SYBERIA</t>
  </si>
  <si>
    <t>D19.320 G CF - CARRIER SYBERIA MT</t>
  </si>
  <si>
    <t>IVECO EUROCARGO - CAISSE FRIGORIFIQUE / MULTI TEMP. / HAYON</t>
  </si>
  <si>
    <t>IVECO EUROCARGO - CAISSE FRIGORIFIQUE / MULTI TEMP. - TK V1000 SP / HAYON</t>
  </si>
  <si>
    <t>IVECO EUROCARGO GNC - CAISSE FRIGORIFIQUE - 11 Pal / MULTI TEMP. - SUPRA 750 MT / HAYON</t>
  </si>
  <si>
    <t>IVECO EUROCARGO GNC - CAISSE FRIGORIFIQUE - 11 Pal / MULTI TEMP. - TK V1000 SP / HAYON</t>
  </si>
  <si>
    <t>IVECO EUROCARGO GNC - CAISSE FRIGORIFIQUE / MULTI TEMP. - SUPRA GAZ MT / HAYON</t>
  </si>
  <si>
    <t>IVECO EUROCARGO GNC - CAISSE FRIGORIFIQUE - 15 Pal / MULTI TEMP. - SUPRA 1150 MT / HAYON</t>
  </si>
  <si>
    <t>IVECO EUROCARGO GNC - CAISSE FRIGORIFIQUE - 15 Pal / MULTI TEMP. - SUPRA GAZ MT / HAYON</t>
  </si>
  <si>
    <t>IVECO S-WAY GNC - CAISSE FRIGORIFIQUE - 18 Pal / MULTI TEMP.SUPRA 1150 S MT / HAYON</t>
  </si>
  <si>
    <t>IVECO S-WAY GNC - CAISSE FRIGORIFIQUE - 18 Pal / MULTI TEMP. - SUPRA GAZ MT / HAYON</t>
  </si>
  <si>
    <t>IVECO S-WAY GNC - CAISSE FRIGORIFIQUE / MULTI TEMP. - FK 25I MT / HAYON</t>
  </si>
  <si>
    <t>IVECO S-WAY GNC - CAISSE FRIGORIFIQUE / MULTI TEMP. - SUPRA GAZ MT / HAYON</t>
  </si>
  <si>
    <t>RENAULT GAMME D WIDE GNC - CAISSE FRIGORIFIQUE - 18 Pal / MULTI TEMP. - SUPRA 1150 S MT / HAYON</t>
  </si>
  <si>
    <t>RENAULT GAMME D WIDE GNC - CAISSE FRIGORIFIQUE - 18 Pal / MULTI TEMP. - SUPRA GAZ MT / HAYON</t>
  </si>
  <si>
    <t>RENAULT GAMME D WIDE GNC  - CAISSE FRIGORIFIQUE - 18 Pal / MULTI TEMP. - FK 25I MT / HAYON</t>
  </si>
  <si>
    <t>RENAULT GAMME D WIDE GNC  - CAISSE FRIGORIFIQUE / MULTI TEMP. - SUPRA GAZ MT / HAYON</t>
  </si>
  <si>
    <t>RENAULT GAMME D WIDE GNC  - CAISSE FRIGORIFIQUE / MULTI TEMP. - FK 25I MT / HAYON</t>
  </si>
  <si>
    <t>IVECO EUROCARGO - CAISSE FRIGORIFIQUE / MONO TEMP. / HAYON</t>
  </si>
  <si>
    <t>IVECO EUROCARGO - CAISSE FRIGORIFIQUE / MONO TEMP. - TK V1000 / HAYON</t>
  </si>
  <si>
    <t>IVECO EUROCARGO GNC - CAISSE FRIGORIFIQUE - 11 Pal / MONO TEMP. - SUPRA 550 / HAYON</t>
  </si>
  <si>
    <t>IVECO EUROCARGO GNC - CAISSE FRIGORIFIQUE - 11 Pal / MONO TEMP. - TK V1000 / HAYON</t>
  </si>
  <si>
    <t>IVECO EUROCARGO GNC - CAISSE FRIGORIFIQUE / MONO TEMP. - SUPRA GAZ / HAYON</t>
  </si>
  <si>
    <t>IVECO EUROCARGO GNC - CAISSE FRIGORIFIQUE - 15 Pal / MONO TEMP. - SUPRA 750 / HAYON</t>
  </si>
  <si>
    <t>IVECO EUROCARGO GNC - CAISSE FRIGORIFIQUE - 15 Pal / MONO TEMP. - SUPRA GAZ / HAYON</t>
  </si>
  <si>
    <t>IVECO S-WAY GNC - CAISSE FRIGORIFIQUE - 18 Pal / MONO TEMP.SUPRA 850 S / HAYON</t>
  </si>
  <si>
    <t>IVECO S-WAY GNC - CAISSE FRIGORIFIQUE - 18 Pal / MONO TEMP. - SUPRA GAZ / HAYON</t>
  </si>
  <si>
    <t>IVECO S-WAY GNC - CAISSE FRIGORIFIQUE / MONO TEMP. - FK 25 / HAYON</t>
  </si>
  <si>
    <t>IVECO S-WAY GNC - CAISSE FRIGORIFIQUE / MONO TEMP. - SUPRA GAZ / HAYON</t>
  </si>
  <si>
    <t>RENAULT GAMME D WIDE GNC - CAISSE FRIGORIFIQUE - 18 PalSUPRA 850 S / MONO TEMP. / HAYON</t>
  </si>
  <si>
    <t>RENAULT GAMME D WIDE GNC - CAISSE FRIGORIFIQUE - 18 Pal / MONO TEMP. - SUPRA GAZ / HAYON</t>
  </si>
  <si>
    <t>RENAULT GAMME D WIDE GNC - CAISSE FRIGORIFIQUE - 18 Pal / MONO TEMP. - FK 25 / HAYON</t>
  </si>
  <si>
    <t>RENAULT GAMME D WIDE GNC - CAISSE FRIGORIFIQUE / MONO TEMP. - SUPRA GAZ / HAYON</t>
  </si>
  <si>
    <t>RENAULT GAMME D WIDE GNC - CAISSE FRIGORIFIQUE / MONO TEMP. - FK 25 / HAYON</t>
  </si>
  <si>
    <t>D26.320 G CF - CARRIER SYBERIA</t>
  </si>
  <si>
    <t>D26.320 G CF - CARRIER SYBERIA MT</t>
  </si>
  <si>
    <t>IVECO S-WAY GNC - CAISSE FRIGORIFIQUE / MONO TEMP. - CARRIER SYBERIA / HAYON</t>
  </si>
  <si>
    <t>IVECO S-WAY GNC - CAISSE FRIGORIFIQUE / MULTI TEMP. - CARRIER SYBERIA MT / HAYON</t>
  </si>
  <si>
    <t>RENAULT GAMME D WIDE GNC - CAISSE FRIGORIFIQUE - 18 Pal / MONO TEMP. - CARRIER SYBERIA / HAYON</t>
  </si>
  <si>
    <t>RENAULT GAMME D WIDE GNC - CAISSE FRIGORIFIQUE - 18 Pal / MULTI TEMP. - CARRIER SYBERIA MT / HAYON</t>
  </si>
  <si>
    <t>RENAULT GAMME D WIDE GNC - CAISSE FRIGORIFIQUE / MONO TEMP. - CARRIER SYBERIA / HAYON</t>
  </si>
  <si>
    <t>RENAULT GAMME D WIDE GNC - CAISSE FRIGORIFIQUE / MULTI TEMP. - CARRIER SYBERIA MT / HAYON</t>
  </si>
  <si>
    <t>GF_V1000MAX-50_A_C_2060mm_Cable10m</t>
  </si>
  <si>
    <t>GF_V1000MAXSPEC-50_A_C_2060mm_Cable10m</t>
  </si>
  <si>
    <t>GF_SYB11_2200mm</t>
  </si>
  <si>
    <t>GF_SYB18-MT_2160mm</t>
  </si>
  <si>
    <t>X200T/
NEOS100 ou 200</t>
  </si>
  <si>
    <t>Sans X200T
 (90 Kg)</t>
  </si>
  <si>
    <t>M_EUROCARGO_210-€VI-E_GNC_BVM_B143Ah</t>
  </si>
  <si>
    <t>BV EDC / HIMATIC / 
BVR</t>
  </si>
  <si>
    <t>M_EUROCARGO_220-€VI-E_BVR_B170Ah</t>
  </si>
  <si>
    <t>HL_RT_DH-SM15_1000kg-CG750_1500mm-2150mm</t>
  </si>
  <si>
    <t>palettes 800 x 1200 mm</t>
  </si>
  <si>
    <t xml:space="preserve">Traduction </t>
  </si>
  <si>
    <t>Ok</t>
  </si>
  <si>
    <t>Création de fiches Techniques</t>
  </si>
  <si>
    <t>Intégration Salesforce</t>
  </si>
  <si>
    <t>Intégration Commun agence</t>
  </si>
  <si>
    <t>AT-DE</t>
  </si>
  <si>
    <t>DE-DE</t>
  </si>
  <si>
    <t>BE-FR</t>
  </si>
  <si>
    <t>AT-FR</t>
  </si>
  <si>
    <t>DE-FR</t>
  </si>
  <si>
    <t>CH-DE</t>
  </si>
  <si>
    <t>CH-FR</t>
  </si>
  <si>
    <t>CH-IT</t>
  </si>
  <si>
    <t>Définition et validation des standards par Pays</t>
  </si>
  <si>
    <t>PETIT FORESTIER</t>
  </si>
  <si>
    <t>Nbres Standard</t>
  </si>
  <si>
    <t>OK</t>
  </si>
  <si>
    <t>CZ-FR</t>
  </si>
  <si>
    <t>En attente retour Tchéquie</t>
  </si>
  <si>
    <t>Carrossier Fourgon</t>
  </si>
  <si>
    <t>Carrossier Caisse</t>
  </si>
  <si>
    <t>A définir</t>
  </si>
  <si>
    <t>CZ-CZ</t>
  </si>
  <si>
    <t>GB-EN</t>
  </si>
  <si>
    <t>GB-FR</t>
  </si>
  <si>
    <t>Nok</t>
  </si>
  <si>
    <t>???</t>
  </si>
  <si>
    <t>IR-EN</t>
  </si>
  <si>
    <t>IR-FR</t>
  </si>
  <si>
    <t>HU-HU</t>
  </si>
  <si>
    <t>HU-FR</t>
  </si>
  <si>
    <t>A mettre à à jour</t>
  </si>
  <si>
    <t>En attente retour Hongrie</t>
  </si>
  <si>
    <t>Nok ( 3 FT à reprendre en chassis cabine et non en plancher cabine)</t>
  </si>
  <si>
    <t>Nok (Pas de standard défini)</t>
  </si>
  <si>
    <t>LU-EN</t>
  </si>
  <si>
    <t>LU-FR</t>
  </si>
  <si>
    <t>NL-EN</t>
  </si>
  <si>
    <t>NL-FR</t>
  </si>
  <si>
    <t>Nok (Réalisée en 2019)
Travail en direct avec LECAPITAINE
Pas d'info si FT doivent évoluées</t>
  </si>
  <si>
    <t>Autriche</t>
  </si>
  <si>
    <t>SUISSE</t>
  </si>
  <si>
    <t>Allemagne</t>
  </si>
  <si>
    <t>Irlande</t>
  </si>
  <si>
    <t>Luxembourg</t>
  </si>
  <si>
    <t>Belgique</t>
  </si>
  <si>
    <t>R. Tcheque</t>
  </si>
  <si>
    <t>Angleterre</t>
  </si>
  <si>
    <t>Hongrie</t>
  </si>
  <si>
    <t>Hollande</t>
  </si>
  <si>
    <t>Pas de traduction en Hollandais par le cabinet extérieur</t>
  </si>
  <si>
    <t>M_moteur</t>
  </si>
  <si>
    <t>Climatisation manuelle</t>
  </si>
  <si>
    <t>Caméra de recul</t>
  </si>
  <si>
    <t>Radars de recul</t>
  </si>
  <si>
    <t>Verrouillage centralisé à distance</t>
  </si>
  <si>
    <t>Pré-équipement télématique</t>
  </si>
  <si>
    <t>Bluetooth</t>
  </si>
  <si>
    <t>Direction assistée</t>
  </si>
  <si>
    <t>Déflecteur</t>
  </si>
  <si>
    <t>Rétroviseurs électriques et dégivrants</t>
  </si>
  <si>
    <t>Chronotachygraphe</t>
  </si>
  <si>
    <t>Climatisation</t>
  </si>
  <si>
    <t>Prise FMS</t>
  </si>
  <si>
    <t>Volant multifonctions réglable en hauteur et en profondeur</t>
  </si>
  <si>
    <t>Frein stationnement électrique</t>
  </si>
  <si>
    <t>Feux et essuies vitres  automatiques</t>
  </si>
  <si>
    <t>Radio</t>
  </si>
  <si>
    <t>zone libre 20</t>
  </si>
  <si>
    <t>zone libre 19</t>
  </si>
  <si>
    <t>zone libre 18</t>
  </si>
  <si>
    <t>zone libre 17</t>
  </si>
  <si>
    <t>zone libre 16</t>
  </si>
  <si>
    <t>zone libre 15</t>
  </si>
  <si>
    <t>zone libre 14</t>
  </si>
  <si>
    <t>zone libre 13</t>
  </si>
  <si>
    <t>zone libre 12</t>
  </si>
  <si>
    <t>zone libre 11</t>
  </si>
  <si>
    <t>Triangle de signalisation</t>
  </si>
  <si>
    <t>Peinture</t>
  </si>
  <si>
    <t>Essuie vitre avant et allumage automatique des feux de croisement</t>
  </si>
  <si>
    <t>Détection de sous gonflage / Capteurs de pression des pneumatiques TPMS</t>
  </si>
  <si>
    <t>Kit fumeur</t>
  </si>
  <si>
    <t>Extincteur</t>
  </si>
  <si>
    <t>Elements de sécurité</t>
  </si>
  <si>
    <t>Boite de rangement</t>
  </si>
  <si>
    <t>Trappe de toit</t>
  </si>
  <si>
    <t xml:space="preserve">Tunnel Moteur / 
Rangement ouvert ou coffre sur tunnel moteur </t>
  </si>
  <si>
    <t>Chauffage autonome</t>
  </si>
  <si>
    <t>Suspension cabine</t>
  </si>
  <si>
    <t>Couchette</t>
  </si>
  <si>
    <t>Antibrouillard Av</t>
  </si>
  <si>
    <t>Prise 12V - 24 V</t>
  </si>
  <si>
    <t xml:space="preserve">Volant </t>
  </si>
  <si>
    <t>Régulateur</t>
  </si>
  <si>
    <t>Siège conducteur</t>
  </si>
  <si>
    <t>Airbag</t>
  </si>
  <si>
    <t>Rétroviseurs</t>
  </si>
  <si>
    <t>Vitres</t>
  </si>
  <si>
    <t>Verrouillage cabine</t>
  </si>
  <si>
    <t>Nb places</t>
  </si>
  <si>
    <t>Produit (P) / Option (O)</t>
  </si>
  <si>
    <t>O</t>
  </si>
  <si>
    <t>Déflecteur de cabine</t>
  </si>
  <si>
    <t>Norme pollution</t>
  </si>
  <si>
    <t>Type moteur</t>
  </si>
  <si>
    <t>Cylindrée en Litres</t>
  </si>
  <si>
    <t>Principe fonctionnement</t>
  </si>
  <si>
    <t>Puissance</t>
  </si>
  <si>
    <t>Nb cylindre</t>
  </si>
  <si>
    <t>Cylindrée en cm3</t>
  </si>
  <si>
    <t>Type de boite</t>
  </si>
  <si>
    <t>Batterie</t>
  </si>
  <si>
    <t>Alternateur</t>
  </si>
  <si>
    <t>Frein sur échappement</t>
  </si>
  <si>
    <t>Couple moteur</t>
  </si>
  <si>
    <t>Rapport de pont</t>
  </si>
  <si>
    <t>EGR</t>
  </si>
  <si>
    <t>FAP</t>
  </si>
  <si>
    <t>Baterie électrique</t>
  </si>
  <si>
    <t>Rechargement</t>
  </si>
  <si>
    <t>Récupération énergie</t>
  </si>
  <si>
    <t xml:space="preserve">Vitesse maxi </t>
  </si>
  <si>
    <t>Autonimie 1</t>
  </si>
  <si>
    <t>Autonimie 2</t>
  </si>
  <si>
    <t>Niv Sonore</t>
  </si>
  <si>
    <t>_</t>
  </si>
  <si>
    <t>Cable 1 / HU</t>
  </si>
  <si>
    <t>et</t>
  </si>
  <si>
    <t>Cable 2</t>
  </si>
  <si>
    <t>Dimensions PNEUMATIQUES</t>
  </si>
  <si>
    <t>Réservoir à carburant</t>
  </si>
  <si>
    <t>Type suspension arrière</t>
  </si>
  <si>
    <t>Type freinage</t>
  </si>
  <si>
    <t>Buzzer de marche arrière</t>
  </si>
  <si>
    <t>Réservoir AdBlue</t>
  </si>
  <si>
    <t>Sans support roue de secours et sans roue de secours</t>
  </si>
  <si>
    <t>Adaptateur prise remorque</t>
  </si>
  <si>
    <t>Hauteur attelage</t>
  </si>
  <si>
    <t>Aide au démarrage en côte</t>
  </si>
  <si>
    <t>SREM - Finition châssis</t>
  </si>
  <si>
    <t>SREM - Type Essieux</t>
  </si>
  <si>
    <t>SREM - Nb Odomètre</t>
  </si>
  <si>
    <t>SREM - Type béquille</t>
  </si>
  <si>
    <t>SREM - Nb anneaux</t>
  </si>
  <si>
    <t>SREM - Détails Frein</t>
  </si>
  <si>
    <t>SREM - Sécurité Travagem 1</t>
  </si>
  <si>
    <t>SREM - Sécurité Travagem 2</t>
  </si>
  <si>
    <t>SREM - Système mise à quai</t>
  </si>
  <si>
    <t>SREM - Système position route</t>
  </si>
  <si>
    <t>Blocage de différentiel</t>
  </si>
  <si>
    <t>ESP / GSRII (General Safety Regulation)</t>
  </si>
  <si>
    <t>LDWS</t>
  </si>
  <si>
    <t>AEBS</t>
  </si>
  <si>
    <t>Vitesse Maxi</t>
  </si>
  <si>
    <t>Autonomie 1</t>
  </si>
  <si>
    <t>Autonomie 2</t>
  </si>
  <si>
    <t>Grilles de protection feux arrière</t>
  </si>
  <si>
    <t>Poids en ordre de marche ± 5%</t>
  </si>
  <si>
    <t>Prise 13 broches</t>
  </si>
  <si>
    <t>Extincteur 6 Kg + coffre</t>
  </si>
  <si>
    <t>Lampe portable de détresse sur châssis</t>
  </si>
  <si>
    <t>Coffre à ouitils</t>
  </si>
  <si>
    <t>Fourgon tôlé / Transmission : Traction avant</t>
  </si>
  <si>
    <t>Produit (P) - Option (O)</t>
  </si>
  <si>
    <t>Type isolation</t>
  </si>
  <si>
    <t>Nb et dimensions portes arrières</t>
  </si>
  <si>
    <t>Nb et dimensions portes latérales</t>
  </si>
  <si>
    <t>Accès arrière</t>
  </si>
  <si>
    <t>Accès latéral</t>
  </si>
  <si>
    <t>Type plancher</t>
  </si>
  <si>
    <t>Nb siphons d'évacuation / faux chassis</t>
  </si>
  <si>
    <t>Nb plafonniers</t>
  </si>
  <si>
    <t>Plancher supplémentaire</t>
  </si>
  <si>
    <t>Nb et position rail d'arrimage</t>
  </si>
  <si>
    <t>Système de penderie à viande</t>
  </si>
  <si>
    <t>Type cloison</t>
  </si>
  <si>
    <t>Type rideau</t>
  </si>
  <si>
    <t>Protection portes</t>
  </si>
  <si>
    <t>Doublage parois</t>
  </si>
  <si>
    <t>Doublage passage de roues</t>
  </si>
  <si>
    <t>Protection parois</t>
  </si>
  <si>
    <t>Protection parois supplémentaires</t>
  </si>
  <si>
    <t>Protection évaporateur</t>
  </si>
  <si>
    <t>Protection entrée arrière</t>
  </si>
  <si>
    <t>Type cadre arrière</t>
  </si>
  <si>
    <t>NB gaines de ventilation</t>
  </si>
  <si>
    <t>Coffre à outils</t>
  </si>
  <si>
    <t>Boite à documents</t>
  </si>
  <si>
    <t>Tubes</t>
  </si>
  <si>
    <t>Capitons</t>
  </si>
  <si>
    <t>Capucine</t>
  </si>
  <si>
    <t>Pavillon</t>
  </si>
  <si>
    <t>Aérateurs</t>
  </si>
  <si>
    <t>Grilles d'aération</t>
  </si>
  <si>
    <t>Carénage de groupe</t>
  </si>
  <si>
    <t>zone libre 2</t>
  </si>
  <si>
    <t>zone libre 3</t>
  </si>
  <si>
    <t>zone libre 4</t>
  </si>
  <si>
    <t>zone libre 5</t>
  </si>
  <si>
    <t>zone libre 6</t>
  </si>
  <si>
    <t>zone libre 7</t>
  </si>
  <si>
    <t>zone libre 8</t>
  </si>
  <si>
    <t>zone libre 9</t>
  </si>
  <si>
    <t>zone libre 10</t>
  </si>
  <si>
    <t xml:space="preserve">Signalisation </t>
  </si>
  <si>
    <t>Protection évaporateur avant et arrière</t>
  </si>
  <si>
    <t>Marque groupe</t>
  </si>
  <si>
    <t>Modèle groupe</t>
  </si>
  <si>
    <t xml:space="preserve">Equipements
Chauffage gaz chaud
</t>
  </si>
  <si>
    <t>Classe froid</t>
  </si>
  <si>
    <t>Type fonctionnement</t>
  </si>
  <si>
    <t>Tension de fonctionnement</t>
  </si>
  <si>
    <t>Hauteur sous évaporateur</t>
  </si>
  <si>
    <t>Type évaporateur Multitemp.</t>
  </si>
  <si>
    <t>Blue Box Lite  / Blue Box / LYNX</t>
  </si>
  <si>
    <t>Enregistreur de température</t>
  </si>
  <si>
    <t>Puissance Frigorifique</t>
  </si>
  <si>
    <t>Débit d'air</t>
  </si>
  <si>
    <t xml:space="preserve">2 contacteurs de porte arrêt ventilation (portes lat + AR) </t>
  </si>
  <si>
    <t>Commande cabine à affichage numérique de la température</t>
  </si>
  <si>
    <t>1 câble de 10 m avec 1 fiche mâle</t>
  </si>
  <si>
    <t>Temps recharge</t>
  </si>
  <si>
    <t xml:space="preserve">Autonomie </t>
  </si>
  <si>
    <t>A la charge du Locataire : 1 prise</t>
  </si>
  <si>
    <t>Modèle</t>
  </si>
  <si>
    <t>Type</t>
  </si>
  <si>
    <t>Version</t>
  </si>
  <si>
    <t>Matière plateforme</t>
  </si>
  <si>
    <t>Dimension plateforme</t>
  </si>
  <si>
    <t>Accessoires plateforme</t>
  </si>
  <si>
    <t>Arrêtoirs</t>
  </si>
  <si>
    <t>Type commande</t>
  </si>
  <si>
    <t>Accessoires</t>
  </si>
  <si>
    <t>Indicateur batterie</t>
  </si>
  <si>
    <t>Fanions</t>
  </si>
  <si>
    <t>Feux de sécurité</t>
  </si>
  <si>
    <t>Prédispo pour interrupteur hayon en cabine</t>
  </si>
  <si>
    <t>Cable connexion batterie</t>
  </si>
  <si>
    <t>Vigil batterie</t>
  </si>
  <si>
    <t xml:space="preserve">Système de surveillance de la pression des pneus  </t>
  </si>
  <si>
    <t>Géolocalisation SAMSARA</t>
  </si>
  <si>
    <t>Key Out</t>
  </si>
  <si>
    <t>C_Hayon elevateur-OPTIONS</t>
  </si>
  <si>
    <t>C_Caisse-OPTIONS</t>
  </si>
  <si>
    <t>C_Groupe frigo-OPTIONS</t>
  </si>
  <si>
    <t>C_Chassis-OPTIONS</t>
  </si>
  <si>
    <t>M_moteur-OPTIONS</t>
  </si>
  <si>
    <t>C_Cabine-OPTIONS</t>
  </si>
  <si>
    <t>Image Vehicule</t>
  </si>
  <si>
    <t>Image Client</t>
  </si>
  <si>
    <t>Image Carburant</t>
  </si>
  <si>
    <t>FIAT</t>
  </si>
  <si>
    <t>DUCATO</t>
  </si>
  <si>
    <t>V9</t>
  </si>
  <si>
    <t>05</t>
  </si>
  <si>
    <t>C_DUCATO_PC_MY2025_CLIM-MAN_Ecran7''_Rad+Cam._Déflecteur_Sam.</t>
  </si>
  <si>
    <t>M_DUCATO_2.2_140_H3-POWER_BVAT8_220A_Bat105-LD-€6e</t>
  </si>
  <si>
    <t>CH_DUCATO-PC_225-75R16_ADB_SuspAr4GM_GSRII</t>
  </si>
  <si>
    <t>CF_DUCATO_5</t>
  </si>
  <si>
    <t>GF_X6T-MT_1845mm_Cable10m_DCOCF05</t>
  </si>
  <si>
    <t>\\petitforestier.fr\siege\Applications\BaseProduits\Datas\Publipostage\Images\PUBLICATION - EURO 6\PLAN VEHICULES\FIAT_DUCATO_DCOCF05-Déflecteur.jpg</t>
  </si>
  <si>
    <t>FS_PF_PASSION FROID</t>
  </si>
  <si>
    <t>C_DAILY_CC_3.5_06-2019_CLIM-MAN_Rad+Cam._Sam.</t>
  </si>
  <si>
    <t>M_DAILY_2.3_136-HD-€VI-E_Bat105Ah_BV.HIMATIC_ModeECO</t>
  </si>
  <si>
    <t>CH_DAILY-CC_35S_225-65R16_ADB_GSRII_86L_RS</t>
  </si>
  <si>
    <t>CF_DAILY_S5-3524*2050_FC allégé</t>
  </si>
  <si>
    <t>GF_X6T-MT_1850mm_Cable10m</t>
  </si>
  <si>
    <t>\\petitforestier.fr\siege\Applications\BaseProduits\Datas\Publipostage\Images\PUBLICATION - EURO 6\PLAN VEHICULES\IVECO_DAILY-1048_35S-CF05.jpg</t>
  </si>
  <si>
    <t>P8</t>
  </si>
  <si>
    <t>02</t>
  </si>
  <si>
    <t>18.4</t>
  </si>
  <si>
    <t>C_DAILY_CC_+3.5_MY24_CLIM-MAN_Rad+Cam._Sam.</t>
  </si>
  <si>
    <t>M_DAILY_3.0_180-HD-€VI-E_Bat105Ah_BV.HIMATIC</t>
  </si>
  <si>
    <t>CH_DAILY-CC_70C_225-75R16_GSRII_120L</t>
  </si>
  <si>
    <t>HL_RB_DH-LMA10_750kg-CG750_1450mm_Vbatt</t>
  </si>
  <si>
    <t>CF_DAILY_70_C5</t>
  </si>
  <si>
    <t>GF_X6T-MT_1950mm_Cable10m</t>
  </si>
  <si>
    <t>\\petitforestier.fr\siege\Applications\BaseProduits\Datas\Publipostage\Images\PUBLICATION - EURO 6\PLAN VEHICULES\IVECO_DAILY-1048_35C-CF05.jpg</t>
  </si>
  <si>
    <t>72C18CF - 7 PAL PASSION FROID</t>
  </si>
  <si>
    <t>03</t>
  </si>
  <si>
    <t>08</t>
  </si>
  <si>
    <t>IVECO DAILY - CAISSE FRIGORIFIQUE IRL / MULTI TEMP. / HAYON</t>
  </si>
  <si>
    <t>C_EUROCARGO_CLIM_DAB_Rang.Tunel_Sam.</t>
  </si>
  <si>
    <t>M_EUROCARGO_190-€VI-E_BVA8V_B170Ah</t>
  </si>
  <si>
    <t>CH_EUROCARGO_245-70R19-5_GSRII</t>
  </si>
  <si>
    <t>CF_120_140_C2_Plint-Inox_PrPavHE</t>
  </si>
  <si>
    <t>GF_SHE11-MT_2160mm_Cable10m</t>
  </si>
  <si>
    <t>HL_RT_DH-SM15_1500kg-CG750_1700mm-2250mm_Vbatt</t>
  </si>
  <si>
    <t>M_EUROCARGO_210-€VI-E_BVA8V_B170Ah</t>
  </si>
  <si>
    <t>CH_EUROCARGO_285-70R19-5_GSRII</t>
  </si>
  <si>
    <t>CF_150_160_C2_Plint-Inox_PrPavHE</t>
  </si>
  <si>
    <t>GF_T1100X-50-R452A_SPEC_S3-S3_2165mm_ Bbox_Cable10m</t>
  </si>
  <si>
    <t>HL_RT_DH-SM20_2000kg-CG750_1800mm-2400mm_pt_Vbatt</t>
  </si>
  <si>
    <t>\\petitforestier.fr\siege\Applications\BaseProduits\Datas\Publipostage\Images\PUBLICATION - EURO 6\PLAN VEHICULES\IVECO_EUROCARGO_160E25PCF02_TKT1000-Spec.jpg</t>
  </si>
  <si>
    <t>160E21CF - 15 PAL - EASY ACC'AIR - PASSION FROID</t>
  </si>
  <si>
    <t>160E21CF - 18 PAL - 3 VTX - PASSION FROID</t>
  </si>
  <si>
    <t>160E21CF - 18 PAL - EASY ACC'AIR - PASSION FROID</t>
  </si>
  <si>
    <t>C_EUROCARGO_REGUL_ADAPT_CLIM_DAB_Rang.Tunel_Sam.</t>
  </si>
  <si>
    <t>M_EUROCARGO_280-€VI-E_BVA8V_B170Ah</t>
  </si>
  <si>
    <t>CH_EUROCARGO_315-70R22-5_GSRII</t>
  </si>
  <si>
    <t>CF_190_C2_Plint-Inox_PrPavHE</t>
  </si>
  <si>
    <t>\\petitforestier.fr\siege\Applications\BaseProduits\Datas\Publipostage\Images\PUBLICATION - EURO 6\PLAN VEHICULES\IVECO_EUROCARGO_190EL28CF02.jpg</t>
  </si>
  <si>
    <t>190EL28 CF - 21 PAL - 3 VTX - PASSION FROID</t>
  </si>
  <si>
    <t>190EL28 CF - 21 PAL - EASY ACC'AIR - PASSION FROID</t>
  </si>
  <si>
    <t>RENAULT TRUCKS</t>
  </si>
  <si>
    <t>RENAULT GAMME D - CAISSE FRIGORIFIQUE / MULTI TEMP. / HAYON</t>
  </si>
  <si>
    <t>C_D_2.1_CLIM_Rang.Tunel_Sam.</t>
  </si>
  <si>
    <t>M_D_210-€VI-E_BVA-OPTISHIFT</t>
  </si>
  <si>
    <t>CH_D_245-70R19-5_GSRII</t>
  </si>
  <si>
    <t>HL_RT_DH-SM15_1500kg-CG750_1700mm-2300mm_Vbatt</t>
  </si>
  <si>
    <t>\\petitforestier.fr\siege\Applications\BaseProduits\Datas\Publipostage\Images\PUBLICATION - EURO 6\PLAN VEHICULES\RENAULT_D12.210PCF02_TKT1000-Spec.jpg</t>
  </si>
  <si>
    <t>CH_D_285-70R19-5_GSRII</t>
  </si>
  <si>
    <t>\\petitforestier.fr\siege\Applications\BaseProduits\Datas\Publipostage\Images\PUBLICATION - EURO 6\PLAN VEHICULES\RENAULT_D16.250PCF02_TKT1000-Spec.jpg</t>
  </si>
  <si>
    <t>RENAULT GAMME D WIDE - CAISSE FRIGORIFIQUE / MULTI TEMP. / HAYON</t>
  </si>
  <si>
    <t>C_D_2.3_CLIM_Rang.Tunel_Sam.</t>
  </si>
  <si>
    <t>M_D_280-€VI-E_BVR-OPTIDRIVER</t>
  </si>
  <si>
    <t>CH_D_4x2_315-80R22-5_GSRII</t>
  </si>
  <si>
    <t>D16.210 CF - 15 PAL - 3 VTX - PASSION FROID</t>
  </si>
  <si>
    <t>D16.210 CF - 15 PAL - EASY ACC'AIR - PASSION FROID</t>
  </si>
  <si>
    <t>D16.210 CF - 18 PAL - 3 VTX - PASSION FROID</t>
  </si>
  <si>
    <t>D16.210 CF - 18 PAL - EASY ACC'AIR - PASSION FROID</t>
  </si>
  <si>
    <t>GAMME T</t>
  </si>
  <si>
    <t>RT</t>
  </si>
  <si>
    <t>RENAULT GAMME T - TRACTEUR</t>
  </si>
  <si>
    <t>C_T_CLIM-AUTO_Sam.</t>
  </si>
  <si>
    <t>M_T_430-€VI-E_225Ah_BVR-OPTIDRIVER</t>
  </si>
  <si>
    <t>CH_T_315-70R22-5_GSRII</t>
  </si>
  <si>
    <t>\\petitforestier.fr\siege\Applications\BaseProduits\Datas\Publipostage\Images\PUBLICATION - EURO 6\PLAN VEHICULES\RENAULT_TRACTEUR_T_E6.jpg</t>
  </si>
  <si>
    <t>CHEREAU</t>
  </si>
  <si>
    <t>SEM CF</t>
  </si>
  <si>
    <t>S1</t>
  </si>
  <si>
    <t>84.8</t>
  </si>
  <si>
    <t>CH_SREM_385-65R22-5_3_essieu-av-rel_GSRII_Sam.</t>
  </si>
  <si>
    <t>CF_SREM02</t>
  </si>
  <si>
    <t>GF_V-HE19MT-CHEREAU_2360mm</t>
  </si>
  <si>
    <t>\\petitforestier.fr\siege\Applications\BaseProduits\Datas\Publipostage\Images\PUBLICATION - EURO 6\PLAN VEHICULES\SREM_CF03.jpg</t>
  </si>
  <si>
    <t>CF_SREM04_PrPavHE</t>
  </si>
  <si>
    <t>HL_RT_DH-SMR20_2000kg-CG750_1800mm-2400mm_Vbatt</t>
  </si>
  <si>
    <t>\\petitforestier.fr\siege\Applications\BaseProduits\Datas\Publipostage\Images\PUBLICATION - EURO 6\PLAN VEHICULES\SREM_CF04.jpg</t>
  </si>
  <si>
    <t>FS_PF_DELICE &amp; CREATION</t>
  </si>
  <si>
    <t>72C18CF - 7 PAL - DELICE ET CREATION</t>
  </si>
  <si>
    <t>IVECO DAILY - CAISSE FRIGORIFIQUE URBAN / HAYON</t>
  </si>
  <si>
    <t>C_DAILY_CC_3.5_06-2019_CLIM-MAN_Rad+Cam._URBAN_Sam.</t>
  </si>
  <si>
    <t>CH_DAILY-CC_35S_225-65R16_ADB_GSRII_86L_URBAN_SsRS</t>
  </si>
  <si>
    <t>CF_DAILY_S-C4-1950_FC allégé_URBAN_PrPavHE</t>
  </si>
  <si>
    <t>GF_V300MAX-50_A_C_1705mm_Cable10m_ BBLite</t>
  </si>
  <si>
    <t>HL_RB_DH-LMA08_750kg-CG600_1450mm_Vbatt</t>
  </si>
  <si>
    <t>\\petitforestier.fr\siege\Applications\BaseProduits\Datas\Publipostage\Images\PUBLICATION - EURO 6\PLAN VEHICULES\IVECO_DAILY-1048_35S-CF04-URBAN.jpg</t>
  </si>
  <si>
    <t>FS_PF_TERRE AZUR</t>
  </si>
  <si>
    <t>SEMI REMORQUE - CAISSE FRIGORIFIQUE / MONO TEMP.</t>
  </si>
  <si>
    <t>CF_SREM01</t>
  </si>
  <si>
    <t>GF_V-HE19-CHEREAU</t>
  </si>
  <si>
    <t>\\petitforestier.fr\siege\Applications\BaseProduits\Datas\Publipostage\Images\PUBLICATION - EURO 6\PLAN VEHICULES\SREM_CF01.jpg</t>
  </si>
  <si>
    <t>SEMI REMORQUE - CAISSE FRIGORIFIQUE / MONO TEMP. / HAYON</t>
  </si>
  <si>
    <t>CF_SREM03_PrPavHE</t>
  </si>
  <si>
    <t>\\petitforestier.fr\siege\Applications\BaseProduits\Datas\Publipostage\Images\PUBLICATION - EURO 6\PLAN VEHICULES\SREM_CF02.jpg</t>
  </si>
  <si>
    <t>catalogue_3
ZR</t>
  </si>
  <si>
    <t>FS_PF_RELAIS D'OR</t>
  </si>
  <si>
    <t>M_EUROCARGO_190-€VI-E_BVA8V_B143Ah</t>
  </si>
  <si>
    <t>CH_EUROCARGO_225-75R17-5_GSRII_Susp.Pneu.</t>
  </si>
  <si>
    <t>CF_100_C2_PrPavHE</t>
  </si>
  <si>
    <t>GF_SHE8-MT_2060mm_Cable10m</t>
  </si>
  <si>
    <t>HL_RT_DH-SM15_1500kg-CG750_1700mm-2150mm_Vbatt</t>
  </si>
  <si>
    <t>CH_D_235-75R17-5_GSRII_Susp.Pneu.</t>
  </si>
  <si>
    <t>\\petitforestier.fr\siege\Applications\BaseProduits\Datas\Publipostage\Images\PUBLICATION - EURO 6\PLAN VEHICULES\RENAULT_D10.210CF02.jpg</t>
  </si>
  <si>
    <t>FIAT DUCATO - CAISSE FRIGORIFIQUE IRL / 2 PORTES AR.</t>
  </si>
  <si>
    <t>10.6</t>
  </si>
  <si>
    <t>C_DUCATO_PC_MY2025_CLIM-MAN_Ecran7''_Rad+Cam._Sam.</t>
  </si>
  <si>
    <t>M_DUCATO_2.2_140_H3-POWER_220A_Bat105-LD-€6e</t>
  </si>
  <si>
    <t>CF_DUCATO_1</t>
  </si>
  <si>
    <t>\\petitforestier.fr\siege\Applications\BaseProduits\Datas\Publipostage\Images\PUBLICATION - EURO 6\PLAN VEHICULES\FIAT_DUCATO_DCOCF01.jpg</t>
  </si>
  <si>
    <t>IVECO DAILY - CAISSE FRIGORIFIQUE IRL / 2 PORTES AR.</t>
  </si>
  <si>
    <t>CF_DAILY_S1_FC allégé</t>
  </si>
  <si>
    <t>\\petitforestier.fr\siege\Applications\BaseProduits\Datas\Publipostage\Images\PUBLICATION - EURO 6\PLAN VEHICULES\IVECO_DAILY_35S-CF01_X350T.jpg</t>
  </si>
  <si>
    <t>FS_PF_SAVEURS D'ANTONE</t>
  </si>
  <si>
    <t>CF_DAILY_70_C2_PrPavHE</t>
  </si>
  <si>
    <t>GF_X6T_A_C_2192_2000mm_Cable10m</t>
  </si>
  <si>
    <t>\\petitforestier.fr\siege\Applications\BaseProduits\Datas\Publipostage\Images\PUBLICATION - EURO 6\PLAN VEHICULES\IVECO_DAILY-1048_65-70-72C-CF02.jpg</t>
  </si>
  <si>
    <t>CF_100_C1_PrPavHE</t>
  </si>
  <si>
    <t>GF_SHE6-R2S_2570_1980mm_Cable10m</t>
  </si>
  <si>
    <t>RENAULT GAMME D - CAISSE FRIGORIFIQUE / MONO TEMP. / HAYON</t>
  </si>
  <si>
    <t>\\petitforestier.fr\siege\Applications\BaseProduits\Datas\Publipostage\Images\PUBLICATION - EURO 6\PLAN VEHICULES\RENAULT_D10.210CF01.jpg</t>
  </si>
  <si>
    <t>FS_PF_EPISAVEURS</t>
  </si>
  <si>
    <t>160E21CF - 15 PAL - 3 VTX - DELICE ET CREATION</t>
  </si>
  <si>
    <t>160E21CF - 15 PAL - EASY ACC'AIR - DELICE ET CREATION</t>
  </si>
  <si>
    <t>160E21CF - 18 PAL - 3 VTX - DELICE ET CREATION</t>
  </si>
  <si>
    <t>160E21CF - 18 PAL - EASY ACC'AIR - DELICE ET CREATION</t>
  </si>
  <si>
    <t>D16.210 CF - 15 PAL - 3 VTX - DELICE ET CREATION</t>
  </si>
  <si>
    <t>D16.210 CF - 15 PAL - EASY ACC'AIR - DELICE ET CREATION</t>
  </si>
  <si>
    <t>D16.210 CF - 18 PAL - 3 VTX - DELICE ET CREATION</t>
  </si>
  <si>
    <t>D16.210 CF - 18 PAL - EASY ACC'AIR - DELICE ET CREATION</t>
  </si>
  <si>
    <t>SEMCF04- MULTI - HAYON - CHEREAU - RELAIS D'OR</t>
  </si>
  <si>
    <t>SEMCF04- MULTI - HAYON - DOUBLE PLANCHER - CHEREAU -RELAIS D'OR</t>
  </si>
  <si>
    <t>72C18CF - HAYON RABATTABLE - TERRE AZUR</t>
  </si>
  <si>
    <t>72C18CF - HAYON RETRACTABLE - TERRE AZUR</t>
  </si>
  <si>
    <t>120E19 CF - 12 PAL - TERRE AZUR</t>
  </si>
  <si>
    <t>160E21 CF - 15 PAL - TERRE AZUR</t>
  </si>
  <si>
    <t>160E21 CF - 18 PAL - TERRE AZUR</t>
  </si>
  <si>
    <t>190EL28CF  - 21 PAL  -TERRE AZUR</t>
  </si>
  <si>
    <t>D12.210 CF - 12 PAL - TERRE AZUR</t>
  </si>
  <si>
    <t>D16.210 CF - 15 PAL - TERRE AZUR</t>
  </si>
  <si>
    <t>D16.210 CF - 18 PAL - TERRE AZUR</t>
  </si>
  <si>
    <t>SEMCF01 - VECTOR HE 19 - SANS HAYON - CHEREAU - TERRE AZUR</t>
  </si>
  <si>
    <t>SEMCF02 - VECTOR HE 19 - HAYON - CHEREAU - TERRE AZUR</t>
  </si>
  <si>
    <t>160E21 CI - 15 PAL - EPISAVEURS</t>
  </si>
  <si>
    <t>160E21 CI - 18 PAL - EPISAVEURS</t>
  </si>
  <si>
    <t>190EL28 CI - 18 PAL - EPISAVEURS</t>
  </si>
  <si>
    <t>190EL28 CI - 21 PAL - EPISAVEURS</t>
  </si>
  <si>
    <t>D16.210 CI - 15 PAL - EPISAVEURS</t>
  </si>
  <si>
    <t>D16.210 CI - 18 PAL - EPISAVEURS</t>
  </si>
  <si>
    <t>DCOCF - SAVEURS D'ANTONE</t>
  </si>
  <si>
    <t>Cabine courte 3 places (couleur blanc)</t>
  </si>
  <si>
    <t>Vitres électriques teintées</t>
  </si>
  <si>
    <t>Airbags conducteur et passagers</t>
  </si>
  <si>
    <t>Radio Bluetooth avec écran 7'' couleur avec Android Auto / Apple CarPlay / double ports USB</t>
  </si>
  <si>
    <t>Siège conducteur NON SUSPENDU avec accoudoir</t>
  </si>
  <si>
    <t>Banquette passagers avec tablette écritoire Eat and Work dans le dossier</t>
  </si>
  <si>
    <t>Régulateur de vitesse</t>
  </si>
  <si>
    <t>Limiteur de vitesse réglable</t>
  </si>
  <si>
    <t>Allumage des feux et essuies glace automatiques</t>
  </si>
  <si>
    <t>Mesure de pression des pneumatiques</t>
  </si>
  <si>
    <t>Phares avant HALOGENES</t>
  </si>
  <si>
    <t>Marteau brise vitre avec coupe ceinture de sécurité</t>
  </si>
  <si>
    <t>Phares avant antibrouillard</t>
  </si>
  <si>
    <t>Phares avant full LED</t>
  </si>
  <si>
    <t>Run Lock avec contacts de coupure ventilation groupe frigorifique</t>
  </si>
  <si>
    <t>Radio Bluetooth avec écran tactile 7'' et réplication smartphone compatible Android Auto / Apple CarPlay / USB</t>
  </si>
  <si>
    <t>Siège conducteur suspendu pneumatique avec accoudoir</t>
  </si>
  <si>
    <t>Banquette passagers avec tablette écritoire dans le dossier</t>
  </si>
  <si>
    <t>Radars avant</t>
  </si>
  <si>
    <t>Airbag conducteur</t>
  </si>
  <si>
    <t>Chronotachygraphe paramétré distribution (Travail actif)</t>
  </si>
  <si>
    <t>Extincteur 2 kg</t>
  </si>
  <si>
    <t>GPS Poids lourds IVECO</t>
  </si>
  <si>
    <t>Cabine courte 2 places (couleur blanc)</t>
  </si>
  <si>
    <t>Radio Bluetooth / USB sans réplication smartphone</t>
  </si>
  <si>
    <t>Sans radars de recul</t>
  </si>
  <si>
    <t>Coffre de rangement sur tunnel moteur</t>
  </si>
  <si>
    <t>Phares avant LED</t>
  </si>
  <si>
    <t>Soufflette air comprimé</t>
  </si>
  <si>
    <t>Porte vison côté passager</t>
  </si>
  <si>
    <t>Pare chocs avant avec angles en acier</t>
  </si>
  <si>
    <t>GPS Poids lourds Snooper</t>
  </si>
  <si>
    <t>Pare chocs avant en acier</t>
  </si>
  <si>
    <t>HL_hayon elevateur</t>
  </si>
  <si>
    <t>Norme Euro 6e</t>
  </si>
  <si>
    <t>Turbo Diesel 140 ch.</t>
  </si>
  <si>
    <t>4 cylindres 2184 cm3</t>
  </si>
  <si>
    <t>Boîte de vitesses automatique 8 rapports avant et 1 arrière</t>
  </si>
  <si>
    <t>Batterie 105 Ah et alternateur 220 A</t>
  </si>
  <si>
    <t>Norme EURO VI E</t>
  </si>
  <si>
    <t>Turbo Diesel 136 ch.</t>
  </si>
  <si>
    <t>4 cylindres 2287 cm3</t>
  </si>
  <si>
    <t>Boîte de vitesses automatique HI-MATIC 8 rapports avant et 1 arrière</t>
  </si>
  <si>
    <t>Attention : Vitesse limitée à 90 km/h en mode ECO à la mise en route du moteur (désactivable sur le levier de vitesse)</t>
  </si>
  <si>
    <t>Turbo Diesel 180 ch.</t>
  </si>
  <si>
    <t>4 cylindres 2998 cm3</t>
  </si>
  <si>
    <t>Bridage 80 km/h</t>
  </si>
  <si>
    <t>Bridage 85 km/h</t>
  </si>
  <si>
    <t>Turbo Diesel 210 ch.</t>
  </si>
  <si>
    <t>4 cylindres 5100 cm3</t>
  </si>
  <si>
    <t>Boîte de vitesses automatique Optishift 8 rapports avant et 1 arrière</t>
  </si>
  <si>
    <t>Batterie 170 Ah et alternateur 130 A</t>
  </si>
  <si>
    <t>Ralentisseur sur échappement</t>
  </si>
  <si>
    <t>Motorisation 4 cylindres 5100 cm3 - 240 ch.</t>
  </si>
  <si>
    <t>Motorisation 4 cylindres 5100 cm3 - 240 ch. B100 Exclusif</t>
  </si>
  <si>
    <t>Turbo Diesel 190 ch.</t>
  </si>
  <si>
    <t>4 cylindres 4485 cm3</t>
  </si>
  <si>
    <t>Boîte de vitesses automatique ZF8AP 8 rapports avant et 1 arrière</t>
  </si>
  <si>
    <t>Batterie 170 Ah et alternateur 90 A</t>
  </si>
  <si>
    <t>Motorisation 4 cylindres 4485 cm3 - 210 ch.</t>
  </si>
  <si>
    <t>Motorisation 6 cylindres 6728 cm3 - 250 ch. (-150 kg CU)</t>
  </si>
  <si>
    <t>Pneumatiques 215/75R16</t>
  </si>
  <si>
    <t>Réservoir carburant 90 litres remplissage côté gauche</t>
  </si>
  <si>
    <t>Réservoir AdBlue 19 litres remplissage côté gauche</t>
  </si>
  <si>
    <t>Suspension arrière renforcée 4GM</t>
  </si>
  <si>
    <t>GSR II (General Safety Regulation)</t>
  </si>
  <si>
    <t>Roue de secours</t>
  </si>
  <si>
    <t>Bruiteur de marche arrière cri du lynx non déconnectable</t>
  </si>
  <si>
    <t>Pneumatiques montagne train avant</t>
  </si>
  <si>
    <t>Pneumatiques montagne trains avant et arrière</t>
  </si>
  <si>
    <t>Pneumatiques 225/65R16</t>
  </si>
  <si>
    <t>Réservoir carburant 86 litres remplissage côté gauche</t>
  </si>
  <si>
    <t>Réservoir AdBlue 20 litres remplissage côté gauche</t>
  </si>
  <si>
    <t>Suspension arrière renforcée</t>
  </si>
  <si>
    <t>Sans roue de secours</t>
  </si>
  <si>
    <t>Pneumatiques montagne train arrière</t>
  </si>
  <si>
    <t>Pneumatiques 225/75R16</t>
  </si>
  <si>
    <t>Réservoir carburant 120 litres remplissage côté gauche</t>
  </si>
  <si>
    <t>Suspension arrière lames + HELPER</t>
  </si>
  <si>
    <t>Témoins de desserage des roues</t>
  </si>
  <si>
    <t>Avec roue de secours</t>
  </si>
  <si>
    <t>Suspension arrière pneumatique (-30 kg CU)</t>
  </si>
  <si>
    <t>Pneumatiques 235/75R17,5</t>
  </si>
  <si>
    <t>Réservoir carburant 215 litres côté droit avec réchauffeur</t>
  </si>
  <si>
    <t>Réservoir AdBlue 32 litres côté droit</t>
  </si>
  <si>
    <t>Suspension arrière pneumatique</t>
  </si>
  <si>
    <t>Freinage EBS</t>
  </si>
  <si>
    <t>Blocage de différentiel (-3 kg CU)</t>
  </si>
  <si>
    <t>Chaînage automatique (- 40  kg CU)</t>
  </si>
  <si>
    <t>Ralentisseur TELMA (- 236  kg CU)</t>
  </si>
  <si>
    <t>Pneumatiques 225/75R17,5</t>
  </si>
  <si>
    <t>Réservoir carburant 200 litres côté droit avec réchauffeur</t>
  </si>
  <si>
    <t>Réservoir AdBlue 30 litres côté droit</t>
  </si>
  <si>
    <t>Blocage de différentiel (-7 kg CU)</t>
  </si>
  <si>
    <t>Ralentisseur TELMA (- 240  kg CU)</t>
  </si>
  <si>
    <t>Isolation renforcée CFL</t>
  </si>
  <si>
    <t>Cadre arrière 2 portes centrales largeur 1100 mm</t>
  </si>
  <si>
    <t>1 crémone avec poignée sur chaque vantail</t>
  </si>
  <si>
    <t>Fermeture manuelle à clé</t>
  </si>
  <si>
    <t>Arrêts de portes arrière à 180°</t>
  </si>
  <si>
    <t>Arrêts de portes arrière à 110°</t>
  </si>
  <si>
    <t>Rideaux d'air arrière (Hauteur sous rideaux d'air 1750 mm)</t>
  </si>
  <si>
    <t>Déverrouillage interne sur porte arrière droite</t>
  </si>
  <si>
    <t>Marchepied arrière fixe 1 marche</t>
  </si>
  <si>
    <t>AMENAGEMENTS : </t>
  </si>
  <si>
    <t>Revêtement extérieur et intérieur des parois en polyester blanc (RAL 9016)</t>
  </si>
  <si>
    <t>Protections bas de parois latérales et avant en aluminium hauteur 200 mm</t>
  </si>
  <si>
    <t>2 niveaux d'étagères relevables en aluminium à droite et à gauche largeur 500 mm.</t>
  </si>
  <si>
    <t>Plancher renforcé avec résine grise antidérapante et passages de roues</t>
  </si>
  <si>
    <t>2 siphons d'évacuation d'eau</t>
  </si>
  <si>
    <t>1 plafonnier LED avec détecteur de présence</t>
  </si>
  <si>
    <t>1 feu stop en haut de cadre</t>
  </si>
  <si>
    <t>Phare de travail en haut de cadre commandé à l'ouverture des portes</t>
  </si>
  <si>
    <t>Télématique SAMSARA pack PRO monotempérature</t>
  </si>
  <si>
    <t>1 niveau d'étagère relevable en aluminium à droite et à gauche largeur 500 mm (+26 kg CU)</t>
  </si>
  <si>
    <t>3 niveaux d'étagères relevables en aluminium à droite et à gauche largeur 500 mm (-29 kg CU)</t>
  </si>
  <si>
    <t>Isolation renforcée URBAN</t>
  </si>
  <si>
    <t>Cadre arrière 3 vantaux ouverture totale. Porte centrale largeur 1000 mm rabattable vers la droite avec déverrouillage interne</t>
  </si>
  <si>
    <t>1 crémone avec poignée sur porte centrale. Verrous intérieurs sur les 2 autres vantaux</t>
  </si>
  <si>
    <t>Fermeture centralisée</t>
  </si>
  <si>
    <t>Arrêts de portes arrière à 270° aimantés SimpleLock</t>
  </si>
  <si>
    <t xml:space="preserve">Arrêt de porte arrière centrale à 110° </t>
  </si>
  <si>
    <t>Rideau d'air arrière (hauteur de passage 1750 mm)</t>
  </si>
  <si>
    <t>Faux châssis RigidLink</t>
  </si>
  <si>
    <t>Profil face avant aérodynamique</t>
  </si>
  <si>
    <t>Protections bas de parois latérales et avant en aluminium hauteur 250 mm</t>
  </si>
  <si>
    <t>1 niveau de rail d'arrimage aluminium en applique sur 3 faces axé à 800 mm du plancher</t>
  </si>
  <si>
    <t>4 sangles d'arrimage à tension manuelle</t>
  </si>
  <si>
    <t>Plancher renforcé avec résine grise antidérapante</t>
  </si>
  <si>
    <t>Caillebotis plastique au sol sur toute la surface du plancher</t>
  </si>
  <si>
    <t>Ailes plastiques avec bavettes</t>
  </si>
  <si>
    <t>Pares cyclistes latéraux URBAN</t>
  </si>
  <si>
    <t>Phares de travail en haut de cadre. Bandeau LED commandé à l'ouverture des portes</t>
  </si>
  <si>
    <t>2 feux stop en haut de cadre</t>
  </si>
  <si>
    <t>2 niveaux d'étagères relevables en aluminium à droite et à gauche largeur 500 mm axées à 700 mm et 1300 mm du plancher</t>
  </si>
  <si>
    <t>Coffre (sans clé) pour rallonge électrique du groupe frigorifique positionné à l'arrière gauche (-12 kg CU)</t>
  </si>
  <si>
    <t>1 niveau d'étagère relevable en aluminium à droite et à gauche largeur 500 mm (+30 kg CU)</t>
  </si>
  <si>
    <t>3 niveaux d'étagères relevables en aluminium à droite et à gauche largeur 500 mm (-21 kg CU)</t>
  </si>
  <si>
    <t>2 niveaux de rails d'arrimage aluminium en applique sur 3 faces axés à 600 mm et 1000 mm du plancher</t>
  </si>
  <si>
    <t>1 niveau de rail d'arrimage spécial rolls sur 3 faces axé à ……. mm du plancher (-13 kg CU)</t>
  </si>
  <si>
    <t>Rideau d'air arrière (hauteur de passage 1900 mm)</t>
  </si>
  <si>
    <t>Protections bas de parois latérales et avant en aluminium hauteur 450 mm (250 mm + 200 mm)</t>
  </si>
  <si>
    <t>1 niveau de rail d'arrimage aluminium en applique sur 3 faces (sauf portes latérales) axé à 800 mm du plancher</t>
  </si>
  <si>
    <t>1 niveau de rail d'arrimage spécial rolls sur 3 faces axé à 1100 mm du plancher</t>
  </si>
  <si>
    <t>Poignée d'arrimage spécial rolls (Qté 10 / Diamètre 25 / 35 / 45 mm)</t>
  </si>
  <si>
    <t>2ème niveau de rail d'arrimage spécial rolls sur 3 faces axé à …….. mm du plancher (-13 kg cU)</t>
  </si>
  <si>
    <t>Poignée d'arrimage spécial rolls supplémentaire (Diamètre 25 / 35 / 45 mm) (-  1 kg CU par poignée)</t>
  </si>
  <si>
    <t>Cadre arrière 2 vantaux ouverture totale (porte droite prioritaire)</t>
  </si>
  <si>
    <t>Arrêts de portes arrière à ressort à 270°</t>
  </si>
  <si>
    <t>Rideau d'air arrière (Hauteur de passage 1850 mm)</t>
  </si>
  <si>
    <t>Escabeau arrière coulissant 4 marches avec poignée et première marche antipincement</t>
  </si>
  <si>
    <t>Plaque acier galvanisée 150 mm x 150 mm sur paroi latérale à l'arrière droit pour télécommande filaire du hayon</t>
  </si>
  <si>
    <t>Faux châssis acier galvanisé</t>
  </si>
  <si>
    <t>1 niveau de rail d'arrimage acier galvanisé en applique sur 3 faces axé à 800 mm du plancher</t>
  </si>
  <si>
    <t>2 plafonniers LED avec détecteur de présence</t>
  </si>
  <si>
    <t>Pares cyclistes latéraux</t>
  </si>
  <si>
    <t>Phares de travail en haut de cadre (commandés à l'alimentation du hayon élévateur)</t>
  </si>
  <si>
    <t>1 niveau de rail d'arrimage acier galvanisé supplémentaire en applique sur 3 faces axé à ....... mm du plancher (-28 kg CU)</t>
  </si>
  <si>
    <t>Phares de travail en haut de cadre (commandés à l'ouverture de la porte)</t>
  </si>
  <si>
    <t>Isolation renforcée CFR</t>
  </si>
  <si>
    <t>Cadre arrière 2 vantaux ouverture totale (porte droite prioritaire) avec déverrouillage interne</t>
  </si>
  <si>
    <t>Rideau d'air arrière (Hauteur de passage 2050 mm)</t>
  </si>
  <si>
    <t>1 niveau de rail d'arrimage spécial rolls sur 3 faces axé à 1000 mm du plancher</t>
  </si>
  <si>
    <t>Poignée d'arrimage spécial rolls (Qté 12 / Diamètre 25 / 35 / 45 mm)</t>
  </si>
  <si>
    <t>Feux de gabarits arrière multifonctions en haut de cadre</t>
  </si>
  <si>
    <t>1 niveau de rail d'arrimage acier galvanisé en applique sur 3 faces axé à ....... mm du plancher avec 4 sangles (-30 kg CU)</t>
  </si>
  <si>
    <t>Isolation renforcée</t>
  </si>
  <si>
    <t>Rideau d'air arrière (Hauteur de passage 2100 mm)</t>
  </si>
  <si>
    <t>Escabeau arrière coulissant 3 marches avec poignée et première marche antipincement</t>
  </si>
  <si>
    <t>Arrêts de portes arrière à 270°</t>
  </si>
  <si>
    <t>Déverrouillage interne porte arrière droite avec clapet de protection</t>
  </si>
  <si>
    <t>Poignée montoire en inox sur vantail gauche (parallèle à la crémone)</t>
  </si>
  <si>
    <t>Protections bas de parois latérales et avant en inox hauteur 450 mm </t>
  </si>
  <si>
    <t>1 niveau de rail d'arrimage acier galvanisé en applique sur 3 faces (sauf portes latérales) axé à 1100 mm du plancher</t>
  </si>
  <si>
    <t>4 siphons d'évacuation</t>
  </si>
  <si>
    <t>Traverse arrière renforcée avec butoirs à rouleaux en acier</t>
  </si>
  <si>
    <t>Coffre à outils plastique grand modèle</t>
  </si>
  <si>
    <t>Coffre (sans clé) pour rallonge électrique du groupe frigorifique positionné à l'arrière gauche</t>
  </si>
  <si>
    <t>Extincteur 6 kg</t>
  </si>
  <si>
    <t>Plage et échelle d'accès au groupe frigorifique</t>
  </si>
  <si>
    <t>Pares cyclistes latéraux relevables</t>
  </si>
  <si>
    <t>2 feux de recul supplémentaires à l'arrière dans le châssis</t>
  </si>
  <si>
    <t>1 niveau de rail d'arrimage en applique supplémentaire axé à ..... mm du plancher (-36 kg CU)</t>
  </si>
  <si>
    <t>1 niveau de rail d'arrimage spécial rolls sur 3 faces axé à ….. mm du plancher (-20 kg CU)</t>
  </si>
  <si>
    <t>Poignée d'arrimage spécial rolls (Qté …. / Diamètre 25 / 35 / 45 mm) (-  1 kg CU par poignée)</t>
  </si>
  <si>
    <t>Porte latérale battante double vantaux largeur 1000 mm à 700 mm de l'avant droit avec déverrouillage interne et étrier latéral télescopique 3 marches avec buzzer en cabine + rideau d'air (-84 kg CU)</t>
  </si>
  <si>
    <t>CARRIER XARIOS 350 poulie moteur ou équivalent - R452 A - Chauffage gaz chaud - ATP classe C</t>
  </si>
  <si>
    <t>Fonctionnement route 12V et secteur 230 V monophasé 16 A</t>
  </si>
  <si>
    <t>Evaporateur avant soufflant vers l'arrière</t>
  </si>
  <si>
    <t>Hauteur sous évaporateur 1760 mm</t>
  </si>
  <si>
    <t>Prise secteur à l'avant gauche sous la caisse</t>
  </si>
  <si>
    <t>Rallonge électrique de 10 mètres</t>
  </si>
  <si>
    <t>Groupe CARRIER PULSOR 350 (+10 kg CU)</t>
  </si>
  <si>
    <t>Enregistreur de température DATACOLD 300 R avec imprimante</t>
  </si>
  <si>
    <t>Groupe THERMOKING V300 Max 50 (+30 kg CU)</t>
  </si>
  <si>
    <t>Enregistreur de température Touch Print Prémium avec imprimante si groupe THERMOKING V300 Max 50</t>
  </si>
  <si>
    <t>Hauteur sous évaporateur 1685 mm</t>
  </si>
  <si>
    <t>Hauteur sous évaporateur 1835 mm</t>
  </si>
  <si>
    <t>CARRIER SUPRA HE 6 Silent autonome ou équivalent - R452 A - Chauffage gaz chaud - ATP classe C</t>
  </si>
  <si>
    <t>Fonctionnement route GNR et secteur 380 V triphasé 32 A</t>
  </si>
  <si>
    <t>Réservoir GNR 50 litres</t>
  </si>
  <si>
    <t>Hauteur sous évaporateur 1739 mm</t>
  </si>
  <si>
    <t>Contact arrêt ventilation porte arrière droite</t>
  </si>
  <si>
    <t>Enregistreur de température DATACOLD 600 R avec imprimante</t>
  </si>
  <si>
    <t>Démarrage automatique en mode thermique en cas de coupure du mode secteur</t>
  </si>
  <si>
    <t>Hauteur sous évaporateur 1939 mm</t>
  </si>
  <si>
    <t>Hauteur sous évaporateur 1989 mm</t>
  </si>
  <si>
    <t>Prise secteur dans un coffre sans clé à l'arrière gauche avec socle fixé à l'horizontale et rallonge de 10 mètres</t>
  </si>
  <si>
    <t>DHOLLANDIA DH-SO.10 rétractable</t>
  </si>
  <si>
    <t>Puissance 750 kg (charge maxi admissible à l'axe sur la largeur du plateau et à 750 mm du talon)</t>
  </si>
  <si>
    <t>Plateau aluminium / aluminium profondeur 1600 mm</t>
  </si>
  <si>
    <t>2 arrêts de rolls manuels</t>
  </si>
  <si>
    <t>Commande extra plate encastrée à l'intérieur de la caisse à l'arrière droit</t>
  </si>
  <si>
    <t>Commande à distance 2 boutons avec prise à l'intérieur de la caisse au pavillon à l'arrière droit</t>
  </si>
  <si>
    <t>Commande extérieure principale avec coupe batterie à l'arrière droit</t>
  </si>
  <si>
    <t>Peinture jaune RAL 1023 sur le pourtour du plateau</t>
  </si>
  <si>
    <t>Feux securité piétons orange spots</t>
  </si>
  <si>
    <t>Eclairages LED latéraux du plateau</t>
  </si>
  <si>
    <t>DHOLLANDIA DH-SM15 rétractable</t>
  </si>
  <si>
    <t>Puissance 1500 kg (charge maxi admissible à l'axe sur la largeur du plateau et à 750 mm du talon)</t>
  </si>
  <si>
    <t>Plateau acier / aluminium profondeur 1800 mm - largeur 2250 mm</t>
  </si>
  <si>
    <t>Barre de torsion</t>
  </si>
  <si>
    <t>Plateau acier / aluminium profondeur 1800 mm - largeur 2150 mm</t>
  </si>
  <si>
    <t>Feux securité piétons orange</t>
  </si>
  <si>
    <t>Run Lock</t>
  </si>
  <si>
    <t>Frein de parc électrique</t>
  </si>
  <si>
    <t>Chronotachygraphe avec paramétrage distribution travail actif</t>
  </si>
  <si>
    <t>Extincteur 2 kg en cabine</t>
  </si>
  <si>
    <t>120E19 CF - 12 PAL - 3 VTX - DELICE ET CREATION</t>
  </si>
  <si>
    <t>Motorisation 6 cylindres 7700 cm3 - 250 ch. (-195 kg CU)</t>
  </si>
  <si>
    <t>CH_chassis</t>
  </si>
  <si>
    <t>CF_caisse</t>
  </si>
  <si>
    <t>GF_groupe frigo</t>
  </si>
  <si>
    <t>Suspension arrièr à lames HELPER</t>
  </si>
  <si>
    <t>Suspension arrière pneumatique (- 13 kg CU)</t>
  </si>
  <si>
    <t>Pneumatiques 245/70R19,5</t>
  </si>
  <si>
    <t>Chaînage automatique (-40 kg CU)</t>
  </si>
  <si>
    <t>Ralentisseur TELMA (-236 kg CU)</t>
  </si>
  <si>
    <t>Pneumatiques 285/70R19,5</t>
  </si>
  <si>
    <t>Déverrouillage interne porte arrière droite</t>
  </si>
  <si>
    <t>Rideau d'air arrière (Hauteur sous rideau d'air 1850 mm)</t>
  </si>
  <si>
    <t>Marchepied arrière basculant 2 marches en aluminium</t>
  </si>
  <si>
    <t>Porte latérale battante double vantaux largeur 1000 mm à 100 mm de l'avant droit avec déverrouillage interne avec une sangle montoir à droite et à gauche fixée dans le champs de l'huisserie</t>
  </si>
  <si>
    <t>Etrier latéral télescopique 2 marches avec buzzer en cabine</t>
  </si>
  <si>
    <t>Arrêts de portes latéraux</t>
  </si>
  <si>
    <t>Rideau d'air latéral</t>
  </si>
  <si>
    <t>Sans profil face avant aérodynamique</t>
  </si>
  <si>
    <t>Protections bas de parois latérales, cloison et avant en aluminium hauteur 250 mm</t>
  </si>
  <si>
    <t>Cloison mobile légère relevable transversale (Hauteur sous cloisons 1794 mm)</t>
  </si>
  <si>
    <t>1 niveau de rail d'arrimage aluminium en applique sur 3 faces (sauf portes latérales) axé à 900 mm du plancher</t>
  </si>
  <si>
    <t>Protections évaporateurs</t>
  </si>
  <si>
    <t>Télématique SAMSARA pack PRO multitempératures</t>
  </si>
  <si>
    <t>1 niveau de rail d'arrimage aluminium supplémentaire en applique sur 3 faces axé à ..... mm du plancher (- 14 kg CU)</t>
  </si>
  <si>
    <t>Cadre arrière 2 vantaux dissymétriques ouverture totale (sans priorité d'ouverture)</t>
  </si>
  <si>
    <t>Déverrouillage interne sur chaque porte arrière</t>
  </si>
  <si>
    <t>Cloison longitudinale fixe sur toute la longueur positionnée à 850 mm de la paroi de droite</t>
  </si>
  <si>
    <t>Porte pivotante dans la cloison fixe largeur 880 mm et hauteur 2050 mm positionnée à 560 mm de l'arrière</t>
  </si>
  <si>
    <t>1 niveau de rail d'arrimage acier galvanisé en applique sur parois latérales (sauf portes latérales) et cloison longitudinale axé à 900 mm du plancher</t>
  </si>
  <si>
    <t>2 poutres alu (1 dans chaque compartiment)</t>
  </si>
  <si>
    <t>3 siphons d'évacuation d'eau</t>
  </si>
  <si>
    <t>3 plafonniers LED avec détecteur de présence</t>
  </si>
  <si>
    <t>1 niveau de rail d'arrimage acier galvanisé supplémentaire en applique sur parois latérales et cloison axé à ..... mm du plancher (- 46 kg CU)</t>
  </si>
  <si>
    <t>Cadre arrière 3 vantaux ouverture totale avec porte centrale largeur 950 mm rabattable vers la droite</t>
  </si>
  <si>
    <t>Rideau d'air arrière</t>
  </si>
  <si>
    <t>Déverrouillage interne porte arrière centrale avec clapet de protection</t>
  </si>
  <si>
    <t>Porte latérale battante double vantaux largeur 1000 mm à 135 mm de l'avant droit avec deverrouillage interne</t>
  </si>
  <si>
    <t>Porte latérale battante double vantaux largeur 1000 mm à 135 mm de l'avant gauche avec deverrouillage interne</t>
  </si>
  <si>
    <t>Rideaux d'air portes latérales</t>
  </si>
  <si>
    <t>Etriers latéraux télescopiques 3 marches avec buzzer en cabine</t>
  </si>
  <si>
    <t>Sangles montoire  à chaque porte latérale fixée dans le champs de l'huisserie côté droit</t>
  </si>
  <si>
    <t>Cloison longitudinale fixe démarrant à 1300 mm de la face avant jusqu'à 1600 mm des portes arrière à 825 mm de la paroi de gauche (Largeurs utiles sur plinthe 819 mm dans le compartiment gauche et 1626 mm dans le compartiment droit)</t>
  </si>
  <si>
    <t>Cloisons mobiles relevables dans chaque compartiment (Hauteur sous cloisons 2135 mm)</t>
  </si>
  <si>
    <t>3 palettes maxi en longueur dans le compartiment de gauche</t>
  </si>
  <si>
    <t>Protections bas de parois latérales, face avant et cloison longitudinale en inox hauteur 450 mm </t>
  </si>
  <si>
    <t>1 niveau de rail d'arrimage acier galvanisé encastré dans les parois latérales (sauf portes latérales) et la cloison longitudinale axé à 1025 mm du plancher dans le compartiment de gauche et à 1175 mm du plancher dans le compartiment de droite</t>
  </si>
  <si>
    <t>1 niveau de rail d'arrimage acier galvanisé en applique sur la face avant axé à 1100 mm du plancher</t>
  </si>
  <si>
    <t>Antidérapant renforcé sur 1600 mm à l'arrière et sur 300 mm devant chaque porte latérale</t>
  </si>
  <si>
    <t>5 plafonniers LED avec détecteur de présence</t>
  </si>
  <si>
    <t>Cadre arrière 2 vantaux (+24 kg CU)</t>
  </si>
  <si>
    <t>Label PIEK global. Largeur utile sur plinthe 816 mm dans le compartiment gauche et 1625 mm dans le compartiment droit (Caisse / groupe SUPRA 1250 City / hayon / -235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</si>
  <si>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.....mm du plancher et 2ème niveau axé à .....mm du plancher  (-53 kg CU)</t>
  </si>
  <si>
    <t>Phares de travail en haut de cadre (commandés par la porte arrière centrale)</t>
  </si>
  <si>
    <t>Label PIEK global. Largeur utile sur plinthe 816 mm dans le compartiment gauche et 1625 mm dans le compartiment droit (Caisse / groupe SUPRA 1250 City / hayon / -238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</si>
  <si>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.....mm du plancher et 2ème niveau axé à .....mm du plancher  (-55 kg CU)</t>
  </si>
  <si>
    <t>4 palettes maxi en longueur dans le compartiment de gauche</t>
  </si>
  <si>
    <t>Label PIEK global. Largeur utile sur plinthe 816 mm dans le compartiment gauche et 1625 mm dans le compartiment droit (Caisse / groupe SUPRA 1250 City / hayon / -249 kg CU)</t>
  </si>
  <si>
    <t>Cadre arrière rideau isotherme relevable Easy Acc'Air</t>
  </si>
  <si>
    <t>Condamnation extérieure manuelle à clé côté droit / Sangle intérieure de préhension</t>
  </si>
  <si>
    <t>Déverrouillage interne de sécurité par décompression (sur paroi à l'arrière droit)</t>
  </si>
  <si>
    <t>Label PIEK global. Largeur utile sur plinthe 816 mm dans le compartiment gauche et 1625 mm mm dans le compartiment droit (Caisse / groupe SUPRA 1250 City / hayon -253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</si>
  <si>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.....mm du plancher et 2ème niveau axé à .....mm du plancher  (-69 kg CU)</t>
  </si>
  <si>
    <t>Phares de travail en haut de cadre (commandés par le rideau Easy Acc'Air)</t>
  </si>
  <si>
    <t>5 palettes maxi en longueur dans le compartiment de gauche</t>
  </si>
  <si>
    <t>Label PIEK global. Largeur utile sur plinthe 816 mm dans le compartiment gauche et 1625 mm dans le compartiment droit (Caisse / groupe SUPRA 1250 City / hayon / -263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</si>
  <si>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.....mm du plancher et 2ème niveau axé à .....mm du plancher  (-80 kg CU)</t>
  </si>
  <si>
    <t>Label PIEK global. Largeur utile sur plinthe 816 mm dans le compartiment gauche et 1625 mm mm dans le compartiment droit (Caisse / groupe SUPRA 1250 City / hayon -263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</si>
  <si>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.....mm du plancher et 2ème niveau axé à .....mm du plancher  (-65 kg CU)</t>
  </si>
  <si>
    <t>Label PIEK global. Largeur utile sur plinthe 816 mm dans le compartiment gauche et 1625 mm mm dans le compartiment droit (Caisse / groupe SUPRA 1250 City / hayon -249 kg CU)</t>
  </si>
  <si>
    <t>CARRIER PULSOR 600 Multi température poulie moteur ou équivalent - R452 A - Chauffage électrique - ATP classes FRC-FRC</t>
  </si>
  <si>
    <t>Fonctionnement route 12V et secteur 380 V triphasé 32 A</t>
  </si>
  <si>
    <t>Evaporateur avant MXS 850 centré soufflant vers l'arrière et évaporateur arrière MXL 1100 centré soufflant vers l'avant</t>
  </si>
  <si>
    <t>Hauteur sous évaporateur arrière 1859 mm</t>
  </si>
  <si>
    <t>Contact arrêt ventilation porte latérale</t>
  </si>
  <si>
    <t>Thermomètre électronique en face avant côté conducteur</t>
  </si>
  <si>
    <t>CARRIER SUPRA HE 8 Multi température Silent autonome ou équivalent - R452 A - Chauffage gaz chaud - ATP classes FRC-FRC</t>
  </si>
  <si>
    <t>Evaporateur avant droit MSS 700 soufflant vers l'arrière et évaporateur avant gauche MSS 1100 soufflant vers l'arrière</t>
  </si>
  <si>
    <t>Hauteur sous évaporateurs 1817 mm</t>
  </si>
  <si>
    <t>Contact arrêt ventilation portes arrière droite et gauche</t>
  </si>
  <si>
    <t>CARRIER SUPRA HE 11 Multi température Silent autonome ou équivalent - R452 A - Chauffage gaz chaud - ATP classes FRC-FRC</t>
  </si>
  <si>
    <t>Evaporateur avant MSS 1450 centré soufflant vers l'arrière et évaporateur arrière MSS 1450 centré soufflant vers l'avant</t>
  </si>
  <si>
    <t>Réservoir GNR 90 litres</t>
  </si>
  <si>
    <t>Hauteur sous évaporateurs 2165 mm</t>
  </si>
  <si>
    <t>Contact arrêt ventilation porte arrière centrale</t>
  </si>
  <si>
    <t>Contacts arrêt ventilation portes latérales</t>
  </si>
  <si>
    <t>CARRIER SUPRA HE 13 Multi température Silent autonome ou équivalent - R452 A - Chauffage gaz chaud - ATP classes FRC-FRC</t>
  </si>
  <si>
    <t>Contact arrêt ventilation rideau Easy Acc'Air</t>
  </si>
  <si>
    <r>
      <rPr>
        <sz val="8"/>
        <color rgb="FF000000"/>
        <rFont val="Calibri"/>
        <family val="2"/>
        <scheme val="minor"/>
      </rPr>
      <t>Poignée d'arrimage spécial rolls (Qté …. / Diamètre 25 / 35 / 45 mm) (-  1 kg CU par poignée)</t>
    </r>
  </si>
  <si>
    <r>
      <t>Phares de travail en haut de cadre</t>
    </r>
    <r>
      <rPr>
        <sz val="8"/>
        <color rgb="FFFF0000"/>
        <rFont val="Calibri"/>
        <family val="2"/>
        <scheme val="minor"/>
      </rPr>
      <t xml:space="preserve"> (commandés à l'alimentation du hayon élévateur)</t>
    </r>
  </si>
  <si>
    <r>
      <t>Radio Bluetooth avec écran tactile</t>
    </r>
    <r>
      <rPr>
        <b/>
        <sz val="8"/>
        <rFont val="Calibri"/>
        <family val="2"/>
        <scheme val="minor"/>
      </rPr>
      <t xml:space="preserve"> 7''</t>
    </r>
    <r>
      <rPr>
        <sz val="8"/>
        <rFont val="Calibri"/>
        <family val="2"/>
        <scheme val="minor"/>
      </rPr>
      <t xml:space="preserve"> et réplication smartphone compatible Android Auto / Apple CarPlay / USB</t>
    </r>
  </si>
  <si>
    <t>DHOLLANDIA DH-LMA.10 rabattable</t>
  </si>
  <si>
    <t>Plateau aluminium profondeur 1600 mm</t>
  </si>
  <si>
    <t>Feux sécurité piétons orange spots</t>
  </si>
  <si>
    <t>DHOLLANDIA DH-SM30 rétractable</t>
  </si>
  <si>
    <t>Puissance 2000 kg (charge maxi admissible à l'axe sur la largeur du plateau et à 750 mm du talon)</t>
  </si>
  <si>
    <t>Vigil baterie</t>
  </si>
  <si>
    <t>Plateau acier / aluminium profondeur 1800 mm - largeur 2300 mm</t>
  </si>
  <si>
    <t>Plateau acier / aluminium profondeur 2000 mm - largeur 2400 mm</t>
  </si>
  <si>
    <r>
      <t xml:space="preserve">Plateau acier / aluminium profondeur </t>
    </r>
    <r>
      <rPr>
        <sz val="8"/>
        <color rgb="FFFF0000"/>
        <rFont val="Calibri"/>
        <family val="2"/>
        <scheme val="minor"/>
      </rPr>
      <t>2000</t>
    </r>
    <r>
      <rPr>
        <sz val="8"/>
        <color theme="1"/>
        <rFont val="Calibri"/>
        <family val="2"/>
        <scheme val="minor"/>
      </rPr>
      <t xml:space="preserve"> mm - largeur 2400 mm</t>
    </r>
  </si>
  <si>
    <t>DCOCF - BVA- PASSION FROID</t>
  </si>
  <si>
    <t>Siège conducteur non suspendu avec accoudoir</t>
  </si>
  <si>
    <t>KEYOUT</t>
  </si>
  <si>
    <r>
      <t>Radio Bluetooth avec écran</t>
    </r>
    <r>
      <rPr>
        <b/>
        <sz val="11"/>
        <rFont val="Aptos"/>
        <family val="2"/>
      </rPr>
      <t xml:space="preserve"> 7''</t>
    </r>
    <r>
      <rPr>
        <sz val="11"/>
        <rFont val="Aptos"/>
        <family val="2"/>
      </rPr>
      <t xml:space="preserve"> couleur avec Android Auto / Apple CarPlay / double ports USB</t>
    </r>
  </si>
  <si>
    <r>
      <t>Radio Bluetooth avec écran tactile</t>
    </r>
    <r>
      <rPr>
        <b/>
        <sz val="11"/>
        <rFont val="Aptos"/>
        <family val="2"/>
      </rPr>
      <t xml:space="preserve"> 7''</t>
    </r>
    <r>
      <rPr>
        <sz val="11"/>
        <rFont val="Aptos"/>
        <family val="2"/>
      </rPr>
      <t xml:space="preserve"> et réplication smartphone compatible Android Auto / Apple CarPlay / USB</t>
    </r>
  </si>
  <si>
    <t>Cabine profonde Sleeper Cab (couleur blanc EKLA)</t>
  </si>
  <si>
    <t>1 couchette</t>
  </si>
  <si>
    <t>Siège conducteur confort suspendu pneumatique avec réglage lombaire et 2 accoudoirs</t>
  </si>
  <si>
    <t>Climatisation à régulation électronique (sans fonctionnement à l'arrêt)</t>
  </si>
  <si>
    <t>Chauffage autonome air / air 2 kW</t>
  </si>
  <si>
    <r>
      <rPr>
        <sz val="11"/>
        <rFont val="Aptos"/>
        <family val="2"/>
      </rPr>
      <t xml:space="preserve">Chronotachygraphe avec paramétrage distribution </t>
    </r>
    <r>
      <rPr>
        <sz val="11"/>
        <rFont val="Aptos"/>
        <family val="2"/>
      </rPr>
      <t>travail actif</t>
    </r>
  </si>
  <si>
    <t>Prises 12V et 24 V au tableau de bord pour accessoires</t>
  </si>
  <si>
    <t>Coffre de rangement central sous couchette</t>
  </si>
  <si>
    <t>Déflecteur de toit réglable en hauteur</t>
  </si>
  <si>
    <t>Déflecteurs latéraux verticaux ouvrants des 2 côtés</t>
  </si>
  <si>
    <t>Suspension cabine 4 coussins d'air avec correcteur d'assiette</t>
  </si>
  <si>
    <t>Aérateur de pavillon électrique</t>
  </si>
  <si>
    <t>Télématique SAMSARA pack ACCESS</t>
  </si>
  <si>
    <t>Pneumatiques 385/65R22,5</t>
  </si>
  <si>
    <t>3 essieux monte simple avec premier essieu relevable automatiquement</t>
  </si>
  <si>
    <t xml:space="preserve">Freins à disques </t>
  </si>
  <si>
    <t>Panier double pour roues de secours dans l'empattement</t>
  </si>
  <si>
    <t>8 anneaux Ferry</t>
  </si>
  <si>
    <t>2 cales de roues dans l'empattement (1 à droite et 1 à gauche)</t>
  </si>
  <si>
    <t>Hauteur d'attelage 1150 mm (Hauteur hors tout 4020 mm)</t>
  </si>
  <si>
    <t>Potence avant coulissante</t>
  </si>
  <si>
    <t>1odomètre électronique + 1 odomètre mécanique</t>
  </si>
  <si>
    <t>Radars de recul Soft Docking</t>
  </si>
  <si>
    <t>Peinture gris foncé CHEREAU Exclusive Grey</t>
  </si>
  <si>
    <t>Norme EURO 6e</t>
  </si>
  <si>
    <t>Turbo Diesel 280 ch.</t>
  </si>
  <si>
    <t>6 cylindres 6728 cm3</t>
  </si>
  <si>
    <r>
      <t>Motorisation 6 cylindres 6728 cm3 - 320 ch. (- 40 kg CU</t>
    </r>
    <r>
      <rPr>
        <u/>
        <sz val="11"/>
        <color theme="1"/>
        <rFont val="Aptos"/>
        <family val="2"/>
      </rPr>
      <t>)</t>
    </r>
  </si>
  <si>
    <t>Motorisation 6 cylindres 6728 cm3 - 320 ch. (- 40 kg CU)</t>
  </si>
  <si>
    <t>6 cylindres 7700 cm3</t>
  </si>
  <si>
    <t>Boîte de vitesses robotisée Optidriver 12 rapports avant et 3 arrière</t>
  </si>
  <si>
    <t>Batterie 185 Ah et alternateur 110 A</t>
  </si>
  <si>
    <t>Motorisation 6 cylindres 7700 cm3 - 320 ch.</t>
  </si>
  <si>
    <t>Motorisation 6 cylindres 7700 cm3 - 320 ch. B100 Exclusif</t>
  </si>
  <si>
    <t>Turbo Diesel 440 ch.</t>
  </si>
  <si>
    <t>6 cylindres 12800 cm3</t>
  </si>
  <si>
    <t>Batterie 225 Ah et alternateur 110 A</t>
  </si>
  <si>
    <t>Ralentisseur OPTIBRAKE 340 kW</t>
  </si>
  <si>
    <t>Rapport de pont 2,47</t>
  </si>
  <si>
    <t>Motorisation 6 cylindres 12800 cm3 - 440 ch. B100 Exclusif</t>
  </si>
  <si>
    <t>Suspension arrière à lames HELPER</t>
  </si>
  <si>
    <t>Pneumatiques 315/80R22,5</t>
  </si>
  <si>
    <t>Réservoir carburant 255 litres côté droit avec réchauffeur</t>
  </si>
  <si>
    <t>Ralentisseur TELMA (-271 kg CU)</t>
  </si>
  <si>
    <t>Pneumatiques 315/70R22,5</t>
  </si>
  <si>
    <t>Réservoir carburant 610 litres côté gauche avec réchauffeur</t>
  </si>
  <si>
    <t>Réservoir AdBlue 64 litres côté droit</t>
  </si>
  <si>
    <t>Roue de secours dans l'empattement droit</t>
  </si>
  <si>
    <t>Ralentisseur hydraulique VOITH 450 kW en plus de l'OptiBrake (-118 kg CU)</t>
  </si>
  <si>
    <t>Rideaux d'air arrière (Hauteur sous rideaux d'air 1850 mm)</t>
  </si>
  <si>
    <t>Porte latérale battante double vantaux largeur 1000 mm à 100 mm de l'avant droit avec déverrouillage interne</t>
  </si>
  <si>
    <t>Cloison transversale fixe positionnée à 1400 mm de la face avant</t>
  </si>
  <si>
    <t>Porte pivotante dans la cloison fixe largeur 700 mm et hauteur 1950 mm positionnée au centre</t>
  </si>
  <si>
    <r>
      <t>1 niveau d'étagère relevable en aluminium à droite et à gauche dans le compartiment arrière. Largeur 4</t>
    </r>
    <r>
      <rPr>
        <sz val="11"/>
        <color rgb="FFFF0000"/>
        <rFont val="Aptos"/>
        <family val="2"/>
      </rPr>
      <t>00 mm</t>
    </r>
    <r>
      <rPr>
        <sz val="11"/>
        <color rgb="FF000000"/>
        <rFont val="Aptos"/>
        <family val="2"/>
      </rPr>
      <t>, longueur 1900 mm</t>
    </r>
  </si>
  <si>
    <t>Cadre arrière 2 vantaux ouverture totale (sans priorité d'ouverture)</t>
  </si>
  <si>
    <t>Rideaux d'air arrière dans chaque compartiment (Hauteur sous rideaux d'air 1700 mm)</t>
  </si>
  <si>
    <t>Cloison longitudinale fixe sur toute la longueur positionnée à 925 mm de la paroi de gauche</t>
  </si>
  <si>
    <t>Porte pivotante dans la cloison fixe largeur 925 mm et hauteur 1950 mm positionnée à 560 mm de l'arrière</t>
  </si>
  <si>
    <t>1 niveau de rail d'arrimage aluminium en applique sur parois latérales (sauf portes latérales) et cloison longitudinale axé à 900 mm du plancher</t>
  </si>
  <si>
    <t>1 niveau de rail d'arrimage aluminium supplémentaire en applique sur 3 faces axé à ..... mm du plancher (- 21 kg CU)</t>
  </si>
  <si>
    <t>Porte latérale battante double vantaux largeur 1000 mm à 135 mm de l'avant droit avec une sangle montoir à droite et à gauche fixée dans le champs de l'huisserie</t>
  </si>
  <si>
    <t>Porte latérale battante double vantaux largeur 1000 mm à 135 mm de l'avant gauche avec une sangle montoir à droite et à gauche fixée dans le champs de l'huisserie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</si>
  <si>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(-55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</si>
  <si>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(-65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</si>
  <si>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(-69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</si>
  <si>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(-80 kg CU)</t>
  </si>
  <si>
    <t>7 plafonniers LED avec détecteur de présence</t>
  </si>
  <si>
    <t>Label PIEK global. Largeur utile sur plinthe 816 mm dans le compartiment gauche et 1625 mm dans le compartiment droit (Caisse / groupe SUPRA 1250 City / hayon / -278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</si>
  <si>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(-91 kg CU)</t>
  </si>
  <si>
    <t>Label PIEK global. Largeur utile sur plinthe 816 mm dans le compartiment gauche et 1625 mm mm dans le compartiment droit (Caisse / groupe SUPRA 1250 City / hayon -278 kg CU)</t>
  </si>
  <si>
    <t>1 niveau de rail d'arrimage encastré supplémentaire. Côté gauche 1er niveau axé à ….. mm du plancher et 2ème niveau axé à ….. mm du plancher. Côté droit 1er niveau axé à …...mm du plancher et 2ème niveau axé à ….. mm du plancher. Face avant en applique 1er niveau axé à ..... mm du plancher et 2ème niveau axé à ..... mm du plancher (-53 kg CU)</t>
  </si>
  <si>
    <t>Cadre arrière 2 vantaux ouverture totale</t>
  </si>
  <si>
    <t>Escabeau arrière coulissant 4 marches avec rampe</t>
  </si>
  <si>
    <t>Cloison tranversale mobile et relevable EASYFLEX 1/2 - 1/2 avec sangles d'aide au relevage</t>
  </si>
  <si>
    <t>Protections bas de parois latérales en aluminium hauteur 250 mm </t>
  </si>
  <si>
    <t>1 niveau de rail d'arrimage acier galvanisé en applique sur parois latérales axé à 1200 mm du plancher</t>
  </si>
  <si>
    <t>2 poutres alu de calage</t>
  </si>
  <si>
    <t>2 siphons d'évacuation à l'arrière</t>
  </si>
  <si>
    <t>Platelage aluminium antidérapant à l'arrière profondeur 1200 mm</t>
  </si>
  <si>
    <t>Buse de diffusion d'air avec 1 gaine au pavillon</t>
  </si>
  <si>
    <t>4 plafonniers LED avec détecteur de présence</t>
  </si>
  <si>
    <t>Coffre à outils plastique grand modèle dans l'empattement gauche</t>
  </si>
  <si>
    <t>Coffre porte document en face avant</t>
  </si>
  <si>
    <t>Extincteur 6 kg dans son coffre</t>
  </si>
  <si>
    <t>Grille acier galvanisé en face avant pour protection évaporateur avec butoirs caoutchouc en partie basse</t>
  </si>
  <si>
    <t>Protection évaporateur arrière</t>
  </si>
  <si>
    <t>Guides latéraux de protection du hayon élévateur</t>
  </si>
  <si>
    <t>Rideau relevable isotherme Smart Open-C (-150 kg CU)</t>
  </si>
  <si>
    <t>1 niveau de rail d'arrimage en applique supplémentaire axé à ..... mm du plancher (-55 kg CU)</t>
  </si>
  <si>
    <t>Label PIEK global (Caisse / groupe VECTOR 19 HE MT S2 City / hayon -150 kg CU)</t>
  </si>
  <si>
    <t>Cloison mobile EASYFLEX 1/3 DR - 2/3 GA</t>
  </si>
  <si>
    <t>Cloison mobile EASYFLEX 1/3 GA - 2/3 DR</t>
  </si>
  <si>
    <t>1 niveau de rail d'arrimage acier galvanisé en applique sur parois latérales axé à 1400 mm du plancher</t>
  </si>
  <si>
    <t>1 niveau de rail d'arrimage acier galvanisé encastré sur parois latérales axé à 785 mm du plancher</t>
  </si>
  <si>
    <t>12 rails verticaux encastrés pour double plancher</t>
  </si>
  <si>
    <t>23 poutres capacité 1000 kg pour double plancher</t>
  </si>
  <si>
    <t>Hauteur intérieure 2700 mm (hauteur hors tout 4120 mm avec hauteur d'attelage 1150 mm)</t>
  </si>
  <si>
    <t>Hauteur intérieure 2800 mm (Hauteur hors tout 4220 mm avec hauteur d'attelage 1150 mm)</t>
  </si>
  <si>
    <t xml:space="preserve">Label PIEK global (Caisse / groupe VECTOR 19 HE MT S2 City / hayon -150 kg CU) </t>
  </si>
  <si>
    <t>Evaporateur avant MXS 850 à gauche soufflant vers la porte latérale et évaporateur arrière MXL 1100 centré soufflant vers l'arrière</t>
  </si>
  <si>
    <t>Hauteur sous évaporateur 1845 mm</t>
  </si>
  <si>
    <t>Contact arrêt ventilation portes arrière droite</t>
  </si>
  <si>
    <t>Evaporateur avant droit MCL 850 soufflant vers l'arrière et évaporateur avant gauche MCL 850 soufflant vers l'arrière</t>
  </si>
  <si>
    <t>Hauteur sous évaporateur 1705 mm</t>
  </si>
  <si>
    <t>160E21CF - 15 PAL -  3 VTX - PASSION FROID</t>
  </si>
  <si>
    <t>CARRIER VECTOR 19 HE MT S2 Insonorisé autonome ou équivalent - R452 A - Chauffage gaz chaud - ATP classes FRC-FRC</t>
  </si>
  <si>
    <t>Evaporateur arrière MHS 1100 à gauche soufflant vers l'avant</t>
  </si>
  <si>
    <t>Réservoir GNR 250 litres avec 2 goulottes de remplissage</t>
  </si>
  <si>
    <t>Affichage numérique de la température sur le groupe frigorifique</t>
  </si>
  <si>
    <t>Chargeur de batteries pour le hayon élévateur</t>
  </si>
  <si>
    <t>Enregistreur de température DATACOLD 600 T avec imprimante</t>
  </si>
  <si>
    <t>Batteries autonomes rechargées par le groupe frigorifique</t>
  </si>
  <si>
    <t>Vigil batteries</t>
  </si>
  <si>
    <t>GPS Poids lourd IVECO</t>
  </si>
  <si>
    <t xml:space="preserve">Chronotachygraphe avec paramétrage distribution </t>
  </si>
  <si>
    <t>travail actif</t>
  </si>
  <si>
    <t>Hauteur d'attelage 1150 mm</t>
  </si>
  <si>
    <t xml:space="preserve">Enregistreur de température DATACOLD 600T avec imprimante </t>
  </si>
  <si>
    <t>Feux sécurité piétons orange</t>
  </si>
  <si>
    <t>Norme Euro VI-E</t>
  </si>
  <si>
    <t>Turbo Diesel 280 ch</t>
  </si>
  <si>
    <t>Bridage 80km/h</t>
  </si>
  <si>
    <t>Bridage 85km/h</t>
  </si>
  <si>
    <t>Blocage différentiel (-8 kg CU)</t>
  </si>
  <si>
    <t xml:space="preserve">Isolation renforcée </t>
  </si>
  <si>
    <t>Porte latérale battante double vantaux largeur 1000 mm à 200 mm de l'avant droit avec deverrouillage interne</t>
  </si>
  <si>
    <t>Rideau fixe à lanières latéral</t>
  </si>
  <si>
    <t>Etrier latéral télescopique 3 marches avec buzzer en cabine</t>
  </si>
  <si>
    <t>Sangle montoire porte latérale fixée dans le champs de l'huisserie côté droit</t>
  </si>
  <si>
    <t>Cloison mobile relevable transversale avec porte coulissante double centrée largeur de passage 820 mm et hauteur 1920 mm (Hauteur sous cloison 2135 mm)</t>
  </si>
  <si>
    <t>Protections bas de parois latérales et face avant en inox hauteur 450 mm </t>
  </si>
  <si>
    <t>1 niveau de rail d'arrimage acier galvanisé en applique sur 3 faces (sauf portes latérales) axé à 700 mm du plancher</t>
  </si>
  <si>
    <t>1 niveau de rail d'arrimage spécial rolls sur 3 faces (sauf portes latérales) axé à 1050 mm du plancher</t>
  </si>
  <si>
    <t>Phares de travail en haut de cadre commandé à l'ouverture des portes</t>
  </si>
  <si>
    <t>Phares de travail en haut de cadre commandés à l'alimentation du hayon élévateur</t>
  </si>
  <si>
    <t>Poignée d'arrimage spécial rolls (Qté …... / Diamètre 25 / 35 / 45 mm) (-1 kg CU par poignée)</t>
  </si>
  <si>
    <t>Cloison mobile relevable 1/2 - 1/2</t>
  </si>
  <si>
    <t>Cloison mobile relevable 1/3 DR et 2/3 GA</t>
  </si>
  <si>
    <t>Cloison mobile relevable 1/3 GA et 2/3 DR</t>
  </si>
  <si>
    <t>Rideau relevable isotherme Easy Acc'Air (-150 kg CU)</t>
  </si>
  <si>
    <t>Enregistreur de température Datacold 600R avec imprimante</t>
  </si>
  <si>
    <t>Feux de protection piétons Blue Spots</t>
  </si>
  <si>
    <t xml:space="preserve">Radio Bluetooth avec écran tactile 7'' et réplication </t>
  </si>
  <si>
    <t xml:space="preserve">smartphone compatible Android Auto / Apple </t>
  </si>
  <si>
    <t>CarPlay / USB</t>
  </si>
  <si>
    <t xml:space="preserve">Volant multifonctions réglable en hauteur et en </t>
  </si>
  <si>
    <t>profondeur</t>
  </si>
  <si>
    <t xml:space="preserve">Siège conducteur suspendu pneumatique avec </t>
  </si>
  <si>
    <t>accoudoir</t>
  </si>
  <si>
    <t xml:space="preserve">Banquette passagers avec tablette écritoire dans le </t>
  </si>
  <si>
    <t>dossier</t>
  </si>
  <si>
    <t>Porte latérale battante double vantaux largeur 1000 mm à 100 mm de l'avant droit avec déverrouillage interne avec une sangle montoir à droite et à gauche fixée dans le</t>
  </si>
  <si>
    <t xml:space="preserve"> champs de l'huisserie</t>
  </si>
  <si>
    <t>1 niveau de rail d'arrimage aluminium supplémentaire en applique sur 3 faces axé à ..... mm du plancher (- 17 kg CU)</t>
  </si>
  <si>
    <t xml:space="preserve">Boîte de vitesses automatique HI-MATIC </t>
  </si>
  <si>
    <t>8 rapports avant et 1 arrière</t>
  </si>
  <si>
    <t xml:space="preserve">Attention : Vitesse limitée à 90 km/h en mode </t>
  </si>
  <si>
    <t xml:space="preserve">ECO à la mise en route du moteur (désactivable </t>
  </si>
  <si>
    <t>sur le levier de vitesse)</t>
  </si>
  <si>
    <t>Motorisation 6 cylindres 6728 cm3 - 220 ch. (-150 kg CU)</t>
  </si>
  <si>
    <t>Suspension arrière à lames + HELPER</t>
  </si>
  <si>
    <t>Suspension arrière pneumatique (-13 kg CU)</t>
  </si>
  <si>
    <t>Réservoir carburant 120 litres côté droit avec réchauffeur</t>
  </si>
  <si>
    <t>Réservoir carburant 130 litres côté droit avec réchauffeur</t>
  </si>
  <si>
    <t>Rideau d'air arrière (Hauteur sous rideau d'air 1900 mm)</t>
  </si>
  <si>
    <t>Porte latérale battante largeur 800 mm à 450 mm de l'avant droit avec déverrouillage interne avec une sangle montoir à droite et à gauche fixée dans le champs de l'huisserie</t>
  </si>
  <si>
    <t>Arrêt de porte latérale</t>
  </si>
  <si>
    <t>Rideau à lanières fixe latéral</t>
  </si>
  <si>
    <t>Cloison mobile légère relevable transversale (Hauteur sous cloisons 1790 mm)</t>
  </si>
  <si>
    <t>1 niveau de rail d'arrimage aluminium en applique sur 3 faces (sauf porte latérale) axé à 700 mm du plancher</t>
  </si>
  <si>
    <t>1 niveau de rail d'arrimage spécial rolls sur 3 faces (sauf porte latérale) axé à 1050 mm du plancher</t>
  </si>
  <si>
    <t>Cadre arrière 3 vantaux ouverture totale. Porte centrale largeur 950 mm rabattable vers la droite.</t>
  </si>
  <si>
    <t>Déverrouillage interne porte arrière centrale</t>
  </si>
  <si>
    <t>Rideau d'air arrière (Hauteur sous rideau d'air 2000 mm)</t>
  </si>
  <si>
    <t>Porte latérale battante double vantaux largeur 1000 mm à 200 mm de l'avant droit avec déverrouillage interne avec une sangle montoir à droite et à gauche fixée dans le champs de l'huisserie</t>
  </si>
  <si>
    <t>Cloison mobile relevable transversale avec porte coulissante double centrée largeur de passage 920 mm et hauteur 1920 mm (Hauteur sous cloison 1935 mm)</t>
  </si>
  <si>
    <t>4 siphons d'évacuation d'eau</t>
  </si>
  <si>
    <t>Phares de travail en haut de cadre commandés à l'ouverture des portes</t>
  </si>
  <si>
    <t>Prise secteur dans un coffre sans clé à l'arrière gauche avec socle fixé à l'horizontale et rallonge de 10 mètres (-12 kg CU)</t>
  </si>
  <si>
    <t>Porte latérale battante double vantaux largeur 1000 mm à 200 mm de l'avant droit avec deverrouillage interne avec une sangle montoir à droite et à gauche fixée dans le champs de l'huisserie</t>
  </si>
  <si>
    <t>Cloison mobile relevable transversale avec porte coulissante double centrée largeur de passage 920 mm et hauteur 1920 mm (Hauteur sous cloison 2035 mm)</t>
  </si>
  <si>
    <t>Poignée d'arrimage spécial rolls (Qté ….. / Diamètre 25 / 35 / 45 mm) (-1 kg CU par poignée)</t>
  </si>
  <si>
    <t>Cloison mobile relevable transversale avec porte coulissante double centrée largeur de passage 920 mm et hauteur 1920 mm (Hauteur sous cloison 2135 mm)</t>
  </si>
  <si>
    <t>Label PIEK global (Caisse / groupe SUPRA 1250 City / hayon / -247 kg CU)</t>
  </si>
  <si>
    <t>Label PIEK global (Caisse / groupe SUPRA 1250 City / hayon / -263 kg CU)</t>
  </si>
  <si>
    <t>THERMOKING V600 X Max 50 Spectrum poulie moteur ou équivalent - R452 A - Chauffage électrique - ATP classes FRC-FRC</t>
  </si>
  <si>
    <t>Evaporateur avant ES300 centré soufflant vers l'arrière et évaporateur arrière ES300 centré soufflant vers l'avant</t>
  </si>
  <si>
    <t>Hauteur sous évaporateurs avant 1846 mm et arrière 1910 mm</t>
  </si>
  <si>
    <t>Enregistreur de température Touch print Premium avec imprimante</t>
  </si>
  <si>
    <t>CARRIER SUPRA HE 9 Multi température Silent autonome ou équivalent - R452 A - Chauffage gaz chaud - ATP classes FRC-FRC</t>
  </si>
  <si>
    <t>Evaporateur avant gauche MSS 700 soufflant vers la porte latérale et évaporateur arrière MSS 1450 centré soufflant vers l'avant</t>
  </si>
  <si>
    <t>Hauteur sous évaporateurs 1970 mm</t>
  </si>
  <si>
    <t>Hauteur sous évaporateurs 2070 mm</t>
  </si>
  <si>
    <t>Hauteur sous évaporateurs 2170 mm</t>
  </si>
  <si>
    <t>DHOLLANDIA DH-LMA.08 rabattable</t>
  </si>
  <si>
    <t>Plateau aluminium profondeur 1450 mm</t>
  </si>
  <si>
    <t>C_DCOCF--PomSDA-20/05/2025</t>
  </si>
  <si>
    <t>C_DCOCF--PomSDA-20/05/2025-OPTIONS</t>
  </si>
  <si>
    <t>C_35S14CF-5PaL-Vrac--PomSDA-20/05/2025</t>
  </si>
  <si>
    <t>C_35S14CF-5PaL-Vrac--PomSDA-20/05/2025-OPTIONS</t>
  </si>
  <si>
    <t>C_35S14CF-2étagères--PomSDA-20/05/2025</t>
  </si>
  <si>
    <t>C_35S14CF-2étagères--PomSDA-20/05/2025-OPTIONS</t>
  </si>
  <si>
    <t>C_35S14CF-6PaL-large--PomSDA-20/05/2025</t>
  </si>
  <si>
    <t>C_35S14CF-6PaL-large--PomSDA-20/05/2025-OPTIONS</t>
  </si>
  <si>
    <t>C_35S14CF-8Rolls large--PomSDA-20/05/2025</t>
  </si>
  <si>
    <t>C_35S14CF-8Rolls large--PomSDA-20/05/2025-OPTIONS</t>
  </si>
  <si>
    <t>C_72C18CF-8Palettes--PomSDA-20/05/2025</t>
  </si>
  <si>
    <t>C_72C18CF-8Palettes--PomSDA-20/05/2025-OPTIONS</t>
  </si>
  <si>
    <t>C_72C18CF-15 Rolls--PomSDA-20/05/2025</t>
  </si>
  <si>
    <t>C_72C18CF-15 Rolls--PomSDA-20/05/2025-OPTIONS</t>
  </si>
  <si>
    <t>C_D10.210CF-10Palettes--PomSDA-20/05/2025</t>
  </si>
  <si>
    <t>C_D10.210CF-10Palettes--PomSDA-20/05/2025-OPTIONS</t>
  </si>
  <si>
    <t>C_100E19CF-10Palettes--PomSDA-20/05/2025</t>
  </si>
  <si>
    <t>C_100E19CF-10Palettes--PomSDA-20/05/2025-OPTIONS</t>
  </si>
  <si>
    <t>M_DCOCF--PomSDA-20/05/2025</t>
  </si>
  <si>
    <t>M_DCOCF--PomSDA-20/05/2025-OPTIONS</t>
  </si>
  <si>
    <t>M_35S14CF-5PaL-Vrac--PomSDA-20/05/2025</t>
  </si>
  <si>
    <t>M_35S14CF-5PaL-Vrac--PomSDA-20/05/2025-OPTIONS</t>
  </si>
  <si>
    <t>M_35S14CF-2étagères--PomSDA-20/05/2025</t>
  </si>
  <si>
    <t>M_35S14CF-2étagères--PomSDA-20/05/2025-OPTIONS</t>
  </si>
  <si>
    <t>M_35S14CF-6PaL-large--PomSDA-20/05/2025</t>
  </si>
  <si>
    <t>M_35S14CF-6PaL-large--PomSDA-20/05/2025-OPTIONS</t>
  </si>
  <si>
    <t>M_35S14CF-8Rolls large--PomSDA-20/05/2025</t>
  </si>
  <si>
    <t>M_35S14CF-8Rolls large--PomSDA-20/05/2025-OPTIONS</t>
  </si>
  <si>
    <t>M_72C18CF-8Palettes--PomSDA-20/05/2025</t>
  </si>
  <si>
    <t>M_72C18CF-8Palettes--PomSDA-20/05/2025-OPTIONS</t>
  </si>
  <si>
    <t>M_72C18CF-15 Rolls--PomSDA-20/05/2025</t>
  </si>
  <si>
    <t>M_72C18CF-15 Rolls--PomSDA-20/05/2025-OPTIONS</t>
  </si>
  <si>
    <t>M_D10.210CF-10Palettes--PomSDA-20/05/2025</t>
  </si>
  <si>
    <t>M_D10.210CF-10Palettes--PomSDA-20/05/2025-OPTIONS</t>
  </si>
  <si>
    <t>M_100E19CF-10Palettes--PomSDA-20/05/2025</t>
  </si>
  <si>
    <t>M_100E19CF-10Palettes--PomSDA-20/05/2025-OPTIONS</t>
  </si>
  <si>
    <t>CH_DCOCF--PomSDA-20/05/2025</t>
  </si>
  <si>
    <t>CH_DCOCF--PomSDA-20/05/2025-OPTIONS</t>
  </si>
  <si>
    <t>CH_35S14CF-5PaL-Vrac--PomSDA-20/05/2025</t>
  </si>
  <si>
    <t>CH_35S14CF-5PaL-Vrac--PomSDA-20/05/2025-OPTIONS</t>
  </si>
  <si>
    <t>CH_35S14CF-2étagères--PomSDA-20/05/2025</t>
  </si>
  <si>
    <t>CH_35S14CF-2étagères--PomSDA-20/05/2025-OPTIONS</t>
  </si>
  <si>
    <t>CH_35S14CF-6PaL-large--PomSDA-20/05/2025</t>
  </si>
  <si>
    <t>CH_35S14CF-6PaL-large--PomSDA-20/05/2025-OPTIONS</t>
  </si>
  <si>
    <t>CH_35S14CF-8Rolls large--PomSDA-20/05/2025</t>
  </si>
  <si>
    <t>CH_35S14CF-8Rolls large--PomSDA-20/05/2025-OPTIONS</t>
  </si>
  <si>
    <t>CH_72C18CF-8Palettes--PomSDA-20/05/2025</t>
  </si>
  <si>
    <t>CH_72C18CF-8Palettes--PomSDA-20/05/2025-OPTIONS</t>
  </si>
  <si>
    <t>CH_72C18CF-15 Rolls--PomSDA-20/05/2025</t>
  </si>
  <si>
    <t>CH_72C18CF-15 Rolls--PomSDA-20/05/2025-OPTIONS</t>
  </si>
  <si>
    <t>CH_D10.210CF-10Palettes--PomSDA-20/05/2025</t>
  </si>
  <si>
    <t>CH_D10.210CF-10Palettes--PomSDA-20/05/2025-OPTIONS</t>
  </si>
  <si>
    <t>CH_100E19CF-10Palettes--PomSDA-20/05/2025</t>
  </si>
  <si>
    <t>CH_100E19CF-10Palettes--PomSDA-20/05/2025-OPTIONS</t>
  </si>
  <si>
    <t>CF_DCOCF--PomSDA-20/05/2025</t>
  </si>
  <si>
    <t>CF_DCOCF--PomSDA-20/05/2025-OPTIONS</t>
  </si>
  <si>
    <t>CF_35S14CF-5PaL-Vrac--PomSDA-20/05/2025</t>
  </si>
  <si>
    <t>CF_35S14CF-5PaL-Vrac--PomSDA-20/05/2025-OPTIONS</t>
  </si>
  <si>
    <t>CF_35S14CF-2étagères--PomSDA-20/05/2025</t>
  </si>
  <si>
    <t>CF_35S14CF-2étagères--PomSDA-20/05/2025-OPTIONS</t>
  </si>
  <si>
    <t>CF_35S14CF-6PaL-large--PomSDA-20/05/2025</t>
  </si>
  <si>
    <t>CF_35S14CF-6PaL-large--PomSDA-20/05/2025-OPTIONS</t>
  </si>
  <si>
    <t>CF_35S14CF-8Rolls large--PomSDA-20/05/2025</t>
  </si>
  <si>
    <t>CF_35S14CF-8Rolls large--PomSDA-20/05/2025-OPTIONS</t>
  </si>
  <si>
    <t>CF_72C18CF-8Palettes--PomSDA-20/05/2025</t>
  </si>
  <si>
    <t>CF_72C18CF-8Palettes--PomSDA-20/05/2025-OPTIONS</t>
  </si>
  <si>
    <t>CF_72C18CF-15 Rolls--PomSDA-20/05/2025</t>
  </si>
  <si>
    <t>CF_72C18CF-15 Rolls--PomSDA-20/05/2025-OPTIONS</t>
  </si>
  <si>
    <t>CF_D10.210CF-10Palettes--PomSDA-20/05/2025</t>
  </si>
  <si>
    <t>CF_D10.210CF-10Palettes--PomSDA-20/05/2025-OPTIONS</t>
  </si>
  <si>
    <t>CF_100E19CF-10Palettes--PomSDA-20/05/2025</t>
  </si>
  <si>
    <t>CF_100E19CF-10Palettes--PomSDA-20/05/2025-OPTIONS</t>
  </si>
  <si>
    <t>GF_DCOCF--PomSDA-20/05/2025</t>
  </si>
  <si>
    <t>GF_DCOCF--PomSDA-20/05/2025-OPTIONS</t>
  </si>
  <si>
    <t>GF_35S14CF-5PaL-Vrac--PomSDA-20/05/2025</t>
  </si>
  <si>
    <t>GF_35S14CF-5PaL-Vrac--PomSDA-20/05/2025-OPTIONS</t>
  </si>
  <si>
    <t>GF_35S14CF-2étagères--PomSDA-20/05/2025</t>
  </si>
  <si>
    <t>GF_35S14CF-2étagères--PomSDA-20/05/2025-OPTIONS</t>
  </si>
  <si>
    <t>GF_35S14CF-6PaL-large--PomSDA-20/05/2025</t>
  </si>
  <si>
    <t>GF_35S14CF-6PaL-large--PomSDA-20/05/2025-OPTIONS</t>
  </si>
  <si>
    <t>GF_35S14CF-8Rolls large--PomSDA-20/05/2025</t>
  </si>
  <si>
    <t>GF_35S14CF-8Rolls large--PomSDA-20/05/2025-OPTIONS</t>
  </si>
  <si>
    <t>GF_72C18CF-8Palettes--PomSDA-20/05/2025</t>
  </si>
  <si>
    <t>GF_72C18CF-8Palettes--PomSDA-20/05/2025-OPTIONS</t>
  </si>
  <si>
    <t>GF_72C18CF-15 Rolls--PomSDA-20/05/2025</t>
  </si>
  <si>
    <t>GF_72C18CF-15 Rolls--PomSDA-20/05/2025-OPTIONS</t>
  </si>
  <si>
    <t>GF_D10.210CF-10Palettes--PomSDA-20/05/2025</t>
  </si>
  <si>
    <t>GF_D10.210CF-10Palettes--PomSDA-20/05/2025-OPTIONS</t>
  </si>
  <si>
    <t>GF_100E19CF-10Palettes--PomSDA-20/05/2025</t>
  </si>
  <si>
    <t>GF_100E19CF-10Palettes--PomSDA-20/05/2025-OPTIONS</t>
  </si>
  <si>
    <t>HL_DCOCF--PomSDA-20/05/2025</t>
  </si>
  <si>
    <t>HL_DCOCF--PomSDA-20/05/2025-OPTIONS</t>
  </si>
  <si>
    <t>HL_35S14CF-5PaL-Vrac--PomSDA-20/05/2025</t>
  </si>
  <si>
    <t>HL_35S14CF-5PaL-Vrac--PomSDA-20/05/2025-OPTIONS</t>
  </si>
  <si>
    <t>HL_35S14CF-2étagères--PomSDA-20/05/2025</t>
  </si>
  <si>
    <t>HL_35S14CF-2étagères--PomSDA-20/05/2025-OPTIONS</t>
  </si>
  <si>
    <t>HL_35S14CF-6PaL-large--PomSDA-20/05/2025</t>
  </si>
  <si>
    <t>HL_35S14CF-6PaL-large--PomSDA-20/05/2025-OPTIONS</t>
  </si>
  <si>
    <t>HL_35S14CF-8Rolls large--PomSDA-20/05/2025</t>
  </si>
  <si>
    <t>HL_35S14CF-8Rolls large--PomSDA-20/05/2025-OPTIONS</t>
  </si>
  <si>
    <t>HL_72C18CF-8Palettes--PomSDA-20/05/2025</t>
  </si>
  <si>
    <t>HL_72C18CF-8Palettes--PomSDA-20/05/2025-OPTIONS</t>
  </si>
  <si>
    <t>HL_72C18CF-15 Rolls--PomSDA-20/05/2025</t>
  </si>
  <si>
    <t>HL_72C18CF-15 Rolls--PomSDA-20/05/2025-OPTIONS</t>
  </si>
  <si>
    <t>HL_D10.210CF-10Palettes--PomSDA-20/05/2025</t>
  </si>
  <si>
    <t>HL_D10.210CF-10Palettes--PomSDA-20/05/2025-OPTIONS</t>
  </si>
  <si>
    <t>HL_100E19CF-10Palettes--PomSDA-20/05/2025</t>
  </si>
  <si>
    <t>HL_100E19CF-10Palettes--PomSDA-20/05/2025-OPTIONS</t>
  </si>
  <si>
    <t>C_72C18CF - 7 PAL -PomD&amp;C-24/06/2025</t>
  </si>
  <si>
    <t>C_72C18CF - 7 PAL -PomD&amp;C-24/06/2025-OPTIONS</t>
  </si>
  <si>
    <t>C_120E19 CF - 12 PAL - 3 VTX -PomD&amp;C-24/06/2025</t>
  </si>
  <si>
    <t>C_120E19 CF - 12 PAL - 3 VTX -PomD&amp;C-24/06/2025-OPTIONS</t>
  </si>
  <si>
    <t>C_160E21CF - 15 PAL - 3 VTX -PomD&amp;C-24/06/2025</t>
  </si>
  <si>
    <t>C_160E21CF - 15 PAL - 3 VTX -PomD&amp;C-24/06/2025-OPTIONS</t>
  </si>
  <si>
    <t>C_160E21CF - 15 PAL - EASY ACC'AIR -PomD&amp;C-24/06/2025</t>
  </si>
  <si>
    <t>C_160E21CF - 15 PAL - EASY ACC'AIR -PomD&amp;C-24/06/2025-OPTIONS</t>
  </si>
  <si>
    <t>C_160E21CF - 18 PAL - 3 VTX -PomD&amp;C-24/06/2025</t>
  </si>
  <si>
    <t>C_160E21CF - 18 PAL - 3 VTX -PomD&amp;C-24/06/2025-OPTIONS</t>
  </si>
  <si>
    <t>C_160E21CF - 18 PAL - EASY ACC'AIR -PomD&amp;C-24/06/2025</t>
  </si>
  <si>
    <t>C_160E21CF - 18 PAL - EASY ACC'AIR -PomD&amp;C-24/06/2025-OPTIONS</t>
  </si>
  <si>
    <t>C_D12.210 CF - 12 PAL - 3 VTX -  -PomD&amp;C-24/06/2025</t>
  </si>
  <si>
    <t>C_D12.210 CF - 12 PAL - 3 VTX -  -PomD&amp;C-24/06/2025-OPTIONS</t>
  </si>
  <si>
    <t>C_D16.210 CF - 15 PAL - 3 VTX -PomD&amp;C-24/06/2025</t>
  </si>
  <si>
    <t>C_D16.210 CF - 15 PAL - 3 VTX -PomD&amp;C-24/06/2025-OPTIONS</t>
  </si>
  <si>
    <t>C_D16.210 CF - 15 PAL - EASY ACC'AIR -PomD&amp;C-24/06/2025</t>
  </si>
  <si>
    <t>C_D16.210 CF - 15 PAL - EASY ACC'AIR -PomD&amp;C-24/06/2025-OPTIONS</t>
  </si>
  <si>
    <t>C_D16.210 CF - 18 PAL - 3 VTX -PomD&amp;C-24/06/2025</t>
  </si>
  <si>
    <t>C_D16.210 CF - 18 PAL - 3 VTX -PomD&amp;C-24/06/2025-OPTIONS</t>
  </si>
  <si>
    <t>C_D16.210 CF - 18 PAL - EASY ACC'AIR -PomD&amp;C-24/06/2025</t>
  </si>
  <si>
    <t>C_D16.210 CF - 18 PAL - EASY ACC'AIR -PomD&amp;C-24/06/2025-OPTIONS</t>
  </si>
  <si>
    <t>M_35S14CF - 5 Palettes -PomD&amp;C-24/06/2025</t>
  </si>
  <si>
    <t>M_35S14CF - 5 Palettes -PomD&amp;C-24/06/2025-OPTIONS</t>
  </si>
  <si>
    <t>M_72C18CF - 7 PAL -PomD&amp;C-24/06/2025</t>
  </si>
  <si>
    <t>M_72C18CF - 7 PAL -PomD&amp;C-24/06/2025-OPTIONS</t>
  </si>
  <si>
    <t>M_120E19 CF - 12 PAL - 3 VTX -PomD&amp;C-24/06/2025</t>
  </si>
  <si>
    <t>M_120E19 CF - 12 PAL - 3 VTX -PomD&amp;C-24/06/2025-OPTIONS</t>
  </si>
  <si>
    <t>M_160E21CF - 15 PAL - 3 VTX -PomD&amp;C-24/06/2025</t>
  </si>
  <si>
    <t>M_160E21CF - 15 PAL - 3 VTX -PomD&amp;C-24/06/2025-OPTIONS</t>
  </si>
  <si>
    <t>M_160E21CF - 15 PAL - EASY ACC'AIR -PomD&amp;C-24/06/2025</t>
  </si>
  <si>
    <t>M_160E21CF - 15 PAL - EASY ACC'AIR -PomD&amp;C-24/06/2025-OPTIONS</t>
  </si>
  <si>
    <t>M_160E21CF - 18 PAL - 3 VTX -PomD&amp;C-24/06/2025</t>
  </si>
  <si>
    <t>M_160E21CF - 18 PAL - 3 VTX -PomD&amp;C-24/06/2025-OPTIONS</t>
  </si>
  <si>
    <t>M_160E21CF - 18 PAL - EASY ACC'AIR -PomD&amp;C-24/06/2025</t>
  </si>
  <si>
    <t>M_160E21CF - 18 PAL - EASY ACC'AIR -PomD&amp;C-24/06/2025-OPTIONS</t>
  </si>
  <si>
    <t>M_D12.210 CF - 12 PAL - 3 VTX -  -PomD&amp;C-24/06/2025</t>
  </si>
  <si>
    <t>M_D12.210 CF - 12 PAL - 3 VTX -  -PomD&amp;C-24/06/2025-OPTIONS</t>
  </si>
  <si>
    <t>M_D16.210 CF - 15 PAL - 3 VTX -PomD&amp;C-24/06/2025</t>
  </si>
  <si>
    <t>M_D16.210 CF - 15 PAL - 3 VTX -PomD&amp;C-24/06/2025-OPTIONS</t>
  </si>
  <si>
    <t>M_D16.210 CF - 15 PAL - EASY ACC'AIR -PomD&amp;C-24/06/2025</t>
  </si>
  <si>
    <t>M_D16.210 CF - 15 PAL - EASY ACC'AIR -PomD&amp;C-24/06/2025-OPTIONS</t>
  </si>
  <si>
    <t>M_D16.210 CF - 18 PAL - 3 VTX -PomD&amp;C-24/06/2025</t>
  </si>
  <si>
    <t>M_D16.210 CF - 18 PAL - 3 VTX -PomD&amp;C-24/06/2025-OPTIONS</t>
  </si>
  <si>
    <t>M_D16.210 CF - 18 PAL - EASY ACC'AIR -PomD&amp;C-24/06/2025</t>
  </si>
  <si>
    <t>M_D16.210 CF - 18 PAL - EASY ACC'AIR -PomD&amp;C-24/06/2025-OPTIONS</t>
  </si>
  <si>
    <t>CH_35S14CF - 5 Palettes -PomD&amp;C-24/06/2025</t>
  </si>
  <si>
    <t>CH_35S14CF - 5 Palettes -PomD&amp;C-24/06/2025-OPTIONS</t>
  </si>
  <si>
    <t>CH_72C18CF - 7 PAL -PomD&amp;C-24/06/2025</t>
  </si>
  <si>
    <t>CH_72C18CF - 7 PAL -PomD&amp;C-24/06/2025-OPTIONS</t>
  </si>
  <si>
    <t>CH_120E19 CF - 12 PAL - 3 VTX -PomD&amp;C-24/06/2025</t>
  </si>
  <si>
    <t>CH_120E19 CF - 12 PAL - 3 VTX -PomD&amp;C-24/06/2025-OPTIONS</t>
  </si>
  <si>
    <t>CH_160E21CF - 15 PAL - 3 VTX -PomD&amp;C-24/06/2025</t>
  </si>
  <si>
    <t>CH_160E21CF - 15 PAL - 3 VTX -PomD&amp;C-24/06/2025-OPTIONS</t>
  </si>
  <si>
    <t>CH_160E21CF - 15 PAL - EASY ACC'AIR -PomD&amp;C-24/06/2025</t>
  </si>
  <si>
    <t>CH_160E21CF - 15 PAL - EASY ACC'AIR -PomD&amp;C-24/06/2025-OPTIONS</t>
  </si>
  <si>
    <t>CH_160E21CF - 18 PAL - 3 VTX -PomD&amp;C-24/06/2025</t>
  </si>
  <si>
    <t>CH_160E21CF - 18 PAL - 3 VTX -PomD&amp;C-24/06/2025-OPTIONS</t>
  </si>
  <si>
    <t>CH_160E21CF - 18 PAL - EASY ACC'AIR -PomD&amp;C-24/06/2025</t>
  </si>
  <si>
    <t>CH_160E21CF - 18 PAL - EASY ACC'AIR -PomD&amp;C-24/06/2025-OPTIONS</t>
  </si>
  <si>
    <t>CH_D12.210 CF - 12 PAL - 3 VTX -  -PomD&amp;C-24/06/2025</t>
  </si>
  <si>
    <t>CH_D12.210 CF - 12 PAL - 3 VTX -  -PomD&amp;C-24/06/2025-OPTIONS</t>
  </si>
  <si>
    <t>CH_D16.210 CF - 15 PAL - 3 VTX -PomD&amp;C-24/06/2025</t>
  </si>
  <si>
    <t>CH_D16.210 CF - 15 PAL - 3 VTX -PomD&amp;C-24/06/2025-OPTIONS</t>
  </si>
  <si>
    <t>CH_D16.210 CF - 15 PAL - EASY ACC'AIR -PomD&amp;C-24/06/2025-OPTIONS</t>
  </si>
  <si>
    <t>CH_D16.210 CF - 15 PAL - EASY ACC'AIR -PomD&amp;C-24/06/2025</t>
  </si>
  <si>
    <t>CH_D16.210 CF - 18 PAL - 3 VTX -PomD&amp;C-24/06/2025</t>
  </si>
  <si>
    <t>CH_D16.210 CF - 18 PAL - 3 VTX -PomD&amp;C-24/06/2025-OPTIONS</t>
  </si>
  <si>
    <t>CH_D16.210 CF - 18 PAL - EASY ACC'AIR -PomD&amp;C-24/06/2025</t>
  </si>
  <si>
    <t>CH_D16.210 CF - 18 PAL - EASY ACC'AIR -PomD&amp;C-24/06/2025-OPTIONS</t>
  </si>
  <si>
    <t>CF_35S14CF - 5 Palettes -PomD&amp;C-24/06/2025</t>
  </si>
  <si>
    <t>CF_35S14CF - 5 Palettes -PomD&amp;C-24/06/2025-OPTIONS</t>
  </si>
  <si>
    <t>CF_72C18CF - 7 PAL -PomD&amp;C-24/06/2025</t>
  </si>
  <si>
    <t>CF_72C18CF - 7 PAL -PomD&amp;C-24/06/2025-OPTIONS</t>
  </si>
  <si>
    <t>CF_120E19 CF - 12 PAL - 3 VTX -PomD&amp;C-24/06/2025</t>
  </si>
  <si>
    <t>CF_120E19 CF - 12 PAL - 3 VTX -PomD&amp;C-24/06/2025-OPTIONS</t>
  </si>
  <si>
    <t>CF_160E21CF - 15 PAL - 3 VTX -PomD&amp;C-24/06/2025</t>
  </si>
  <si>
    <t>CF_160E21CF - 15 PAL - 3 VTX -PomD&amp;C-24/06/2025-OPTIONS</t>
  </si>
  <si>
    <t>CF_160E21CF - 15 PAL - EASY ACC'AIR -PomD&amp;C-24/06/2025</t>
  </si>
  <si>
    <t>CF_160E21CF - 15 PAL - EASY ACC'AIR -PomD&amp;C-24/06/2025-OPTIONS</t>
  </si>
  <si>
    <t>CF_160E21CF - 18 PAL - 3 VTX -PomD&amp;C-24/06/2025</t>
  </si>
  <si>
    <t>CF_160E21CF - 18 PAL - 3 VTX -PomD&amp;C-24/06/2025-OPTIONS</t>
  </si>
  <si>
    <t>CF_160E21CF - 18 PAL - EASY ACC'AIR -PomD&amp;C-24/06/2025</t>
  </si>
  <si>
    <t>CF_160E21CF - 18 PAL - EASY ACC'AIR -PomD&amp;C-24/06/2025-OPTIONS</t>
  </si>
  <si>
    <t>CF_D12.210 CF - 12 PAL - 3 VTX -  -PomD&amp;C-24/06/2025</t>
  </si>
  <si>
    <t>CF_D12.210 CF - 12 PAL - 3 VTX -  -PomD&amp;C-24/06/2025-OPTIONS</t>
  </si>
  <si>
    <t>CF_D16.210 CF - 15 PAL - 3 VTX -PomD&amp;C-24/06/2025</t>
  </si>
  <si>
    <t>CF_D16.210 CF - 15 PAL - 3 VTX -PomD&amp;C-24/06/2025-OPTIONS</t>
  </si>
  <si>
    <t>CF_D16.210 CF - 15 PAL - EASY ACC'AIR -PomD&amp;C-24/06/2025</t>
  </si>
  <si>
    <t>CF_D16.210 CF - 15 PAL - EASY ACC'AIR -PomD&amp;C-24/06/2025-OPTIONS</t>
  </si>
  <si>
    <t>CF_D16.210 CF - 18 PAL - 3 VTX -PomD&amp;C-24/06/2025</t>
  </si>
  <si>
    <t>CF_D16.210 CF - 18 PAL - 3 VTX -PomD&amp;C-24/06/2025-OPTIONS</t>
  </si>
  <si>
    <t>CF_D16.210 CF - 18 PAL - EASY ACC'AIR -PomD&amp;C-24/06/2025</t>
  </si>
  <si>
    <t>CF_D16.210 CF - 18 PAL - EASY ACC'AIR -PomD&amp;C-24/06/2025-OPTIONS</t>
  </si>
  <si>
    <t>GF_35S14CF - 5 Palettes -PomD&amp;C-24/06/2025</t>
  </si>
  <si>
    <t>GF_35S14CF - 5 Palettes -PomD&amp;C-24/06/2025-OPTIONS</t>
  </si>
  <si>
    <t>GF_72C18CF - 7 PAL -PomD&amp;C-24/06/2025</t>
  </si>
  <si>
    <t>GF_72C18CF - 7 PAL -PomD&amp;C-24/06/2025-OPTIONS</t>
  </si>
  <si>
    <t>GF_120E19 CF - 12 PAL - 3 VTX -PomD&amp;C-24/06/2025</t>
  </si>
  <si>
    <t>GF_120E19 CF - 12 PAL - 3 VTX -PomD&amp;C-24/06/2025-OPTIONS</t>
  </si>
  <si>
    <t>GF_160E21CF - 15 PAL - 3 VTX -PomD&amp;C-24/06/2025</t>
  </si>
  <si>
    <t>GF_160E21CF - 15 PAL - 3 VTX -PomD&amp;C-24/06/2025-OPTIONS</t>
  </si>
  <si>
    <t>GF_160E21CF - 15 PAL - EASY ACC'AIR -PomD&amp;C-24/06/2025</t>
  </si>
  <si>
    <t>GF_160E21CF - 15 PAL - EASY ACC'AIR -PomD&amp;C-24/06/2025-OPTIONS</t>
  </si>
  <si>
    <t>GF_160E21CF - 18 PAL - 3 VTX -PomD&amp;C-24/06/2025</t>
  </si>
  <si>
    <t>GF_160E21CF - 18 PAL - 3 VTX -PomD&amp;C-24/06/2025-OPTIONS</t>
  </si>
  <si>
    <t>GF_160E21CF - 18 PAL - EASY ACC'AIR -PomD&amp;C-24/06/2025</t>
  </si>
  <si>
    <t>GF_160E21CF - 18 PAL - EASY ACC'AIR -PomD&amp;C-24/06/2025-OPTIONS</t>
  </si>
  <si>
    <t>GF_D12.210 CF - 12 PAL - 3 VTX -  -PomD&amp;C-24/06/2025</t>
  </si>
  <si>
    <t>GF_D12.210 CF - 12 PAL - 3 VTX -  -PomD&amp;C-24/06/2025-OPTIONS</t>
  </si>
  <si>
    <t>GF_D16.210 CF - 15 PAL - 3 VTX -PomD&amp;C-24/06/2025</t>
  </si>
  <si>
    <t>GF_D16.210 CF - 15 PAL - 3 VTX -PomD&amp;C-24/06/2025-OPTIONS</t>
  </si>
  <si>
    <t>GF_D16.210 CF - 15 PAL - EASY ACC'AIR -PomD&amp;C-24/06/2025</t>
  </si>
  <si>
    <t>GF_D16.210 CF - 15 PAL - EASY ACC'AIR -PomD&amp;C-24/06/2025-OPTIONS</t>
  </si>
  <si>
    <t>GF_D16.210 CF - 18 PAL - 3 VTX -PomD&amp;C-24/06/2025</t>
  </si>
  <si>
    <t>GF_D16.210 CF - 18 PAL - 3 VTX -PomD&amp;C-24/06/2025-OPTIONS</t>
  </si>
  <si>
    <t>GF_D16.210 CF - 18 PAL - EASY ACC'AIR -PomD&amp;C-24/06/2025</t>
  </si>
  <si>
    <t>GF_D16.210 CF - 18 PAL - EASY ACC'AIR -PomD&amp;C-24/06/2025-OPTIONS</t>
  </si>
  <si>
    <t>HL_35S14CF - 5 Palettes -PomD&amp;C-24/06/2025</t>
  </si>
  <si>
    <t>HL_35S14CF - 5 Palettes -PomD&amp;C-24/06/2025-OPTIONS</t>
  </si>
  <si>
    <t>HL_72C18CF - 7 PAL -PomD&amp;C-24/06/2025</t>
  </si>
  <si>
    <t>HL_72C18CF - 7 PAL -PomD&amp;C-24/06/2025-OPTIONS</t>
  </si>
  <si>
    <t>HL_120E19 CF - 12 PAL - 3 VTX -PomD&amp;C-24/06/2025</t>
  </si>
  <si>
    <t>HL_120E19 CF - 12 PAL - 3 VTX -PomD&amp;C-24/06/2025-OPTIONS</t>
  </si>
  <si>
    <t>HL_160E21CF - 15 PAL - 3 VTX -PomD&amp;C-24/06/2025</t>
  </si>
  <si>
    <t>HL_160E21CF - 15 PAL - 3 VTX -PomD&amp;C-24/06/2025-OPTIONS</t>
  </si>
  <si>
    <t>HL_160E21CF - 15 PAL - EASY ACC'AIR -PomD&amp;C-24/06/2025</t>
  </si>
  <si>
    <t>HL_160E21CF - 15 PAL - EASY ACC'AIR -PomD&amp;C-24/06/2025-OPTIONS</t>
  </si>
  <si>
    <t>HL_160E21CF - 18 PAL - 3 VTX -PomD&amp;C-24/06/2025</t>
  </si>
  <si>
    <t>HL_160E21CF - 18 PAL - 3 VTX -PomD&amp;C-24/06/2025-OPTIONS</t>
  </si>
  <si>
    <t>HL_160E21CF - 18 PAL - EASY ACC'AIR -PomD&amp;C-24/06/2025</t>
  </si>
  <si>
    <t>HL_160E21CF - 18 PAL - EASY ACC'AIR -PomD&amp;C-24/06/2025-OPTIONS</t>
  </si>
  <si>
    <t>HL_D12.210 CF - 12 PAL - 3 VTX -  -PomD&amp;C-24/06/2025</t>
  </si>
  <si>
    <t>HL_D12.210 CF - 12 PAL - 3 VTX -  -PomD&amp;C-24/06/2025-OPTIONS</t>
  </si>
  <si>
    <t>HL_D16.210 CF - 15 PAL - 3 VTX -PomD&amp;C-24/06/2025</t>
  </si>
  <si>
    <t>HL_D16.210 CF - 15 PAL - 3 VTX -PomD&amp;C-24/06/2025-OPTIONS</t>
  </si>
  <si>
    <t>HL_D16.210 CF - 15 PAL - EASY ACC'AIR -PomD&amp;C-24/06/2025</t>
  </si>
  <si>
    <t>HL_D16.210 CF - 15 PAL - EASY ACC'AIR -PomD&amp;C-24/06/2025-OPTIONS</t>
  </si>
  <si>
    <t>HL_D16.210 CF - 18 PAL - 3 VTX -PomD&amp;C-24/06/2025</t>
  </si>
  <si>
    <t>HL_D16.210 CF - 18 PAL - 3 VTX -PomD&amp;C-24/06/2025-OPTIONS</t>
  </si>
  <si>
    <t>HL_D16.210 CF - 18 PAL - EASY ACC'AIR -PomD&amp;C-24/06/2025</t>
  </si>
  <si>
    <t>HL_D16.210 CF - 18 PAL - EASY ACC'AIR -PomD&amp;C-24/06/2025-OPTIONS</t>
  </si>
  <si>
    <t>HL_DCOCF - BVA-PomPF-09/05/2025</t>
  </si>
  <si>
    <t>HL_DCOCF - BVA-PomPF-09/05/2025-OPTIONS</t>
  </si>
  <si>
    <t>HL_35S14CF - 4 Palettes-PomPF-09/05/2025</t>
  </si>
  <si>
    <t>HL_35S14CF - 4 Palettes-PomPF-09/05/2025-OPTIONS</t>
  </si>
  <si>
    <t>HL_35S14CF - 5 Palettes-PomPF-09/05/2025</t>
  </si>
  <si>
    <t>HL_35S14CF - 5 Palettes-PomPF-09/05/2025-OPTIONS</t>
  </si>
  <si>
    <t>HL_72C18CF - 7 PAL-PomPF-09/05/2025</t>
  </si>
  <si>
    <t>HL_72C18CF - 7 PAL-PomPF-09/05/2025-OPTIONS</t>
  </si>
  <si>
    <t>HL_120E19 CF-PomPF-09/05/2025</t>
  </si>
  <si>
    <t>HL_120E19 CF-PomPF-09/05/2025-OPTIONS</t>
  </si>
  <si>
    <t>HL_160E21CF - 15 PAL - 15 PAL - 3 VTX-PomPF-09/05/2025</t>
  </si>
  <si>
    <t>HL_160E21CF - 15 PAL - 15 PAL - 3 VTX-PomPF-09/05/2025-OPTIONS</t>
  </si>
  <si>
    <t>HL_160E21CF - 15 PAL - EASY ACC'AIR-PomPF-09/05/2025</t>
  </si>
  <si>
    <t>HL_160E21CF - 15 PAL - EASY ACC'AIR-PomPF-09/05/2025-OPTIONS</t>
  </si>
  <si>
    <t>HL_160E21CF - 18 PAL - 3 VTX-PomPF-09/05/2025</t>
  </si>
  <si>
    <t>HL_160E21CF - 18 PAL - 3 VTX-PomPF-09/05/2025-OPTIONS</t>
  </si>
  <si>
    <t>HL_160E21CF - 18 PAL - EASY ACC'AIR-PomPF-09/05/2025</t>
  </si>
  <si>
    <t>HL_160E21CF - 18 PAL - EASY ACC'AIR-PomPF-09/05/2025-OPTIONS</t>
  </si>
  <si>
    <t>HL_190EL28 CF - 21 PAL - 3 VTX-PomPF-09/05/2025</t>
  </si>
  <si>
    <t>HL_190EL28 CF - 21 PAL - 3 VTX-PomPF-09/05/2025-OPTIONS</t>
  </si>
  <si>
    <t>HL_190EL28 CF - 21 PAL - EASY ACC'AIR-PomPF-09/05/2025</t>
  </si>
  <si>
    <t>HL_190EL28 CF - 21 PAL - EASY ACC'AIR-PomPF-09/05/2025-OPTIONS</t>
  </si>
  <si>
    <t>HL_D12.210 CF-PomPF-09/05/2025</t>
  </si>
  <si>
    <t>HL_D12.210 CF-PomPF-09/05/2025-OPTIONS</t>
  </si>
  <si>
    <t>HL_D16.210 CF - 15 PAL - 3 VTX-PomPF-09/05/2025</t>
  </si>
  <si>
    <t>HL_D16.210 CF - 15 PAL - 3 VTX-PomPF-09/05/2025-OPTIONS</t>
  </si>
  <si>
    <t>HL_D16.210 CF - 15 PAL - EASY ACC'AIR-PomPF-09/05/2025</t>
  </si>
  <si>
    <t>HL_D16.210 CF - 15 PAL - EASY ACC'AIR-PomPF-09/05/2025-OPTIONS</t>
  </si>
  <si>
    <t>HL_D16.210 CF - 18 PAL - 3 VTX-PomPF-09/05/2025</t>
  </si>
  <si>
    <t>HL_D16.210 CF - 18 PAL - 3 VTX-PomPF-09/05/2025-OPTIONS</t>
  </si>
  <si>
    <t>HL_D16.210 CF - 18 PAL - EASY ACC'AIR-PomPF-09/05/2025</t>
  </si>
  <si>
    <t>HL_D16.210 CF - 18 PAL - EASY ACC'AIR-PomPF-09/05/2025-OPTIONS</t>
  </si>
  <si>
    <t>HL_D19.280 CF - 21 PAL - 3 VTX-PomPF-09/05/2025</t>
  </si>
  <si>
    <t>HL_D19.280 CF - 21 PAL - 3 VTX-PomPF-09/05/2025-OPTIONS</t>
  </si>
  <si>
    <t>HL_D19.280 CF - 21 PAL - EASY ACC'AIR-PomPF-09/05/2025</t>
  </si>
  <si>
    <t>HL_D19.280 CF - 21 PAL - EASY ACC'AIR-PomPF-09/05/2025-OPTIONS</t>
  </si>
  <si>
    <t>HL_TRACTEUR RENAULT T19.440TR-PomPF-09/05/2025</t>
  </si>
  <si>
    <t>HL_TRACTEUR RENAULT T19.440TR-PomPF-09/05/2025-OPTIONS</t>
  </si>
  <si>
    <t>HL_SEMCF04- MULTI - SANS HAYON - CHEREAU-PomPF-09/05/2025</t>
  </si>
  <si>
    <t>HL_SEMCF04- MULTI - SANS HAYON - CHEREAU-PomPF-09/05/2025-OPTIONS</t>
  </si>
  <si>
    <t>HL_SEMCF04- MULTI -SANS HAYON - DOUBLE PLANCHER - CHEREAU-PomPF-09/05/2025</t>
  </si>
  <si>
    <t>HL_SEMCF04- MULTI -SANS HAYON - DOUBLE PLANCHER - CHEREAU-PomPF-09/05/2025-OPTIONS</t>
  </si>
  <si>
    <t>HL_SEMCF04- MULTI - HAYON - CHEREAU-PomPF-09/05/2025</t>
  </si>
  <si>
    <t>HL_SEMCF04- MULTI - HAYON - CHEREAU-PomPF-09/05/2025-OPTIONS</t>
  </si>
  <si>
    <t>HL_SEMCF04- MULTI - HAYON - DOUBLE PLANCHER - CHEREAU-PomPF-09/05/2025</t>
  </si>
  <si>
    <t>HL_SEMCF04- MULTI - HAYON - DOUBLE PLANCHER - CHEREAU-PomPF-09/05/2025-OPTIONS</t>
  </si>
  <si>
    <t>GF_DCOCF - BVA-PomPF-09/05/2025</t>
  </si>
  <si>
    <t>GF_DCOCF - BVA-PomPF-09/05/2025-OPTIONS</t>
  </si>
  <si>
    <t>GF_35S14CF - 4 Palettes-PomPF-09/05/2025</t>
  </si>
  <si>
    <t>GF_35S14CF - 4 Palettes-PomPF-09/05/2025-OPTIONS</t>
  </si>
  <si>
    <t>GF_35S14CF - 5 Palettes-PomPF-09/05/2025</t>
  </si>
  <si>
    <t>GF_35S14CF - 5 Palettes-PomPF-09/05/2025-OPTIONS</t>
  </si>
  <si>
    <t>GF_72C18CF - 7 PAL-PomPF-09/05/2025</t>
  </si>
  <si>
    <t>GF_72C18CF - 7 PAL-PomPF-09/05/2025-OPTIONS</t>
  </si>
  <si>
    <t>GF_120E19 CF-PomPF-09/05/2025</t>
  </si>
  <si>
    <t>GF_120E19 CF-PomPF-09/05/2025-OPTIONS</t>
  </si>
  <si>
    <t>GF_160E21CF - 15 PAL - 3 VTX-PomPF-09/05/2025</t>
  </si>
  <si>
    <t>GF_160E21CF - 15 PAL - 3 VTX-PomPF-09/05/2025-OPTIONS</t>
  </si>
  <si>
    <t>GF_160E21CF - 15 PAL - EASY ACC'AIR-PomPF-09/05/2025</t>
  </si>
  <si>
    <t>GF_160E21CF - 15 PAL - EASY ACC'AIR-PomPF-09/05/2025-OPTIONS</t>
  </si>
  <si>
    <t>GF_160E21CF - 18 PAL - 3 VTX-PomPF-09/05/2025</t>
  </si>
  <si>
    <t>GF_160E21CF - 18 PAL - 3 VTX-PomPF-09/05/2025-OPTIONS</t>
  </si>
  <si>
    <t>GF_160E21CF - 18 PAL - EASY ACC'AIR-PomPF-09/05/2025</t>
  </si>
  <si>
    <t>GF_160E21CF - 18 PAL - EASY ACC'AIR-PomPF-09/05/2025-OPTIONS</t>
  </si>
  <si>
    <t>GF_190EL28 CF - 21 PAL - 3 VTX-PomPF-09/05/2025</t>
  </si>
  <si>
    <t>GF_190EL28 CF - 21 PAL - 3 VTX-PomPF-09/05/2025-OPTIONS</t>
  </si>
  <si>
    <t>GF_190EL28 CF - 21 PAL - EASY ACC'AIR-PomPF-09/05/2025</t>
  </si>
  <si>
    <t>GF_190EL28 CF - 21 PAL - EASY ACC'AIR-PomPF-09/05/2025-OPTIONS</t>
  </si>
  <si>
    <t>GF_D12.210 CF-PomPF-09/05/2025</t>
  </si>
  <si>
    <t>GF_D12.210 CF-PomPF-09/05/2025-OPTIONS</t>
  </si>
  <si>
    <t>GF_D16.210 CF - 15 PAL - 3 VTX-PomPF-09/05/2025</t>
  </si>
  <si>
    <t>GF_D16.210 CF - 15 PAL - 3 VTX-PomPF-09/05/2025-OPTIONS</t>
  </si>
  <si>
    <t>GF_D16.210 CF - 15 PAL - EASY ACC'AIR-PomPF-09/05/2025</t>
  </si>
  <si>
    <t>GF_D16.210 CF - 15 PAL - EASY ACC'AIR-PomPF-09/05/2025-OPTIONS</t>
  </si>
  <si>
    <t>GF_D16.210 CF - 18 PAL - 3 VTX-PomPF-09/05/2025</t>
  </si>
  <si>
    <t>GF_D16.210 CF - 18 PAL - 3 VTX-PomPF-09/05/2025-OPTIONS</t>
  </si>
  <si>
    <t>GF_D16.210 CF - 18 PAL - EASY ACC'AIR-PomPF-09/05/2025</t>
  </si>
  <si>
    <t>GF_D16.210 CF - 18 PAL - EASY ACC'AIR-PomPF-09/05/2025-OPTIONS</t>
  </si>
  <si>
    <t>GF_D19.280 CF - 21 PAL - 3 VTX-PomPF-09/05/2025</t>
  </si>
  <si>
    <t>GF_D19.280 CF - 21 PAL - 3 VTX-PomPF-09/05/2025-OPTIONS</t>
  </si>
  <si>
    <t>GF_D19.280 CF - 21 PAL - EASY ACC'AIR-PomPF-09/05/2025</t>
  </si>
  <si>
    <t>GF_D19.280 CF - 21 PAL - EASY ACC'AIR-PomPF-09/05/2025-OPTIONS</t>
  </si>
  <si>
    <t>GF_TRACTEUR RENAULT T19.440TR-PomPF-09/05/2025</t>
  </si>
  <si>
    <t>GF_TRACTEUR RENAULT T19.440TR-PomPF-09/05/2025-OPTIONS</t>
  </si>
  <si>
    <t>GF_SEMCF04- MULTI - SANS HAYON - CHEREAU-PomPF-09/05/2025</t>
  </si>
  <si>
    <t>GF_SEMCF04- MULTI - SANS HAYON - CHEREAU-PomPF-09/05/2025-OPTIONS</t>
  </si>
  <si>
    <t>GF_SEMCF04- MULTI -SANS HAYON - DOUBLE PLANCHER - CHEREAU-PomPF-09/05/2025</t>
  </si>
  <si>
    <t>GF_SEMCF04- MULTI -SANS HAYON - DOUBLE PLANCHER - CHEREAU-PomPF-09/05/2025-OPTIONS</t>
  </si>
  <si>
    <t>GF_SEMCF04- MULTI - HAYON - CHEREAU-PomPF-09/05/2025</t>
  </si>
  <si>
    <t>GF_SEMCF04- MULTI - HAYON - CHEREAU-PomPF-09/05/2025-OPTIONS</t>
  </si>
  <si>
    <t>GF_SEMCF04- MULTI - HAYON - DOUBLE PLANCHER - CHEREAU-PomPF-09/05/2025</t>
  </si>
  <si>
    <t>GF_SEMCF04- MULTI - HAYON - DOUBLE PLANCHER - CHEREAU-PomPF-09/05/2025-OPTIONS</t>
  </si>
  <si>
    <t>CF_DCOCF - BVA-PomPF-09/05/2025</t>
  </si>
  <si>
    <t>CF_DCOCF - BVA-PomPF-09/05/2025-OPTIONS</t>
  </si>
  <si>
    <t>CF_35S14CF - 4 Palettes-PomPF-09/05/2025</t>
  </si>
  <si>
    <t>CF_35S14CF - 4 Palettes-PomPF-09/05/2025-OPTIONS</t>
  </si>
  <si>
    <t>CF_35S14CF - 5 Palettes-PomPF-09/05/2025</t>
  </si>
  <si>
    <t>CF_35S14CF - 5 Palettes-PomPF-09/05/2025-OPTIONS</t>
  </si>
  <si>
    <t>CF_72C18CF - 7 PAL-PomPF-09/05/2025</t>
  </si>
  <si>
    <t>CF_72C18CF - 7 PAL-PomPF-09/05/2025-OPTIONS</t>
  </si>
  <si>
    <t>CF_120E19 CF-PomPF-09/05/2025</t>
  </si>
  <si>
    <t>CF_120E19 CF-PomPF-09/05/2025-OPTIONS</t>
  </si>
  <si>
    <t>CF_160E21CF - 15 PAL - 3 VTX-PomPF-09/05/2025</t>
  </si>
  <si>
    <t>CF_160E21CF - 15 PAL - 3 VTX-PomPF-09/05/2025-OPTIONS</t>
  </si>
  <si>
    <t>CF_160E21CF - 15 PAL - EASY ACC'AIR-PomPF-09/05/2025</t>
  </si>
  <si>
    <t>CF_160E21CF - 15 PAL - EASY ACC'AIR-PomPF-09/05/2025-OPTIONS</t>
  </si>
  <si>
    <t>CF_160E21CF - 18 PAL - 3 VTX-PomPF-09/05/2025</t>
  </si>
  <si>
    <t>CF_160E21CF - 18 PAL - 3 VTX-PomPF-09/05/2025-OPTIONS</t>
  </si>
  <si>
    <t>CF_160E21CF - 18 PAL - EASY ACC'AIR-PomPF-09/05/2025</t>
  </si>
  <si>
    <t>CF_160E21CF - 18 PAL - EASY ACC'AIR-PomPF-09/05/2025-OPTIONS</t>
  </si>
  <si>
    <t>CF_190EL28 CF - 21 PAL - 3 VTX-PomPF-09/05/2025</t>
  </si>
  <si>
    <t>CF_190EL28 CF - 21 PAL - 3 VTX-PomPF-09/05/2025-OPTIONS</t>
  </si>
  <si>
    <t>CF_190EL28 CF - 21 PAL - EASY ACC'AIR-PomPF-09/05/2025</t>
  </si>
  <si>
    <t>CF_190EL28 CF - 21 PAL - EASY ACC'AIR-PomPF-09/05/2025-OPTIONS</t>
  </si>
  <si>
    <t>CF_D12.210 CF-PomPF-09/05/2025</t>
  </si>
  <si>
    <t>CF_D12.210 CF-PomPF-09/05/2025-OPTIONS</t>
  </si>
  <si>
    <t>CF_D16.210 CF - 15 PAL - 3 VTX-PomPF-09/05/2025</t>
  </si>
  <si>
    <t>CF_D16.210 CF - 15 PAL - 3 VTX-PomPF-09/05/2025-OPTIONS</t>
  </si>
  <si>
    <t>CF_D16.210 CF - 15 PAL - EASY ACC'AIR-PomPF-09/05/2025</t>
  </si>
  <si>
    <t>CF_D16.210 CF - 15 PAL - EASY ACC'AIR-PomPF-09/05/2025-OPTIONS</t>
  </si>
  <si>
    <t>CF_D16.210 CF - 18 PAL - 3 VTX-PomPF-09/05/2025</t>
  </si>
  <si>
    <t>CF_D16.210 CF - 18 PAL - 3 VTX-PomPF-09/05/2025-OPTIONS</t>
  </si>
  <si>
    <t>CF_D16.210 CF - 18 PAL - EASY ACC'AIR-PomPF-09/05/2025</t>
  </si>
  <si>
    <t>CF_D16.210 CF - 18 PAL - EASY ACC'AIR-PomPF-09/05/2025-OPTIONS</t>
  </si>
  <si>
    <t>CF_D19.280 CF - 21 PAL - 3 VTX-PomPF-09/05/2025</t>
  </si>
  <si>
    <t>CF_D19.280 CF - 21 PAL - 3 VTX-PomPF-09/05/2025-OPTIONS</t>
  </si>
  <si>
    <t>CF_D19.280 CF - 21 PAL - EASY ACC'AIR-PomPF-09/05/2025</t>
  </si>
  <si>
    <t>CF_D19.280 CF - 21 PAL - EASY ACC'AIR-PomPF-09/05/2025-OPTIONS</t>
  </si>
  <si>
    <t>CF_TRACTEUR RENAULT T19.440TR-PomPF-09/05/2025</t>
  </si>
  <si>
    <t>CF_TRACTEUR RENAULT T19.440TR-PomPF-09/05/2025-OPTIONS</t>
  </si>
  <si>
    <t>CF_SEMCF04- MULTI - SANS HAYON - CHEREAU-PomPF-09/05/2025</t>
  </si>
  <si>
    <t>CF_SEMCF04- MULTI - SANS HAYON - CHEREAU-PomPF-09/05/2025-OPTIONS</t>
  </si>
  <si>
    <t>CF_SEMCF04- MULTI -SANS HAYON - DOUBLE PLANCHER - CHEREAU-PomPF-09/05/2025</t>
  </si>
  <si>
    <t>CF_SEMCF04- MULTI -SANS HAYON - DOUBLE PLANCHER - CHEREAU-PomPF-09/05/2025-OPTIONS</t>
  </si>
  <si>
    <t>CF_SEMCF04- MULTI - HAYON - CHEREAU-PomPF-09/05/2025</t>
  </si>
  <si>
    <t>CF_SEMCF04- MULTI - HAYON - CHEREAU-PomPF-09/05/2025-OPTIONS</t>
  </si>
  <si>
    <t>CF_SEMCF04- MULTI - HAYON - DOUBLE PLANCHER - CHEREAU-PomPF-09/05/2025</t>
  </si>
  <si>
    <t>CF_SEMCF04- MULTI - HAYON - DOUBLE PLANCHER - CHEREAU-PomPF-09/05/2025-OPTIONS</t>
  </si>
  <si>
    <t>CH_DCOCF - BVA-PomPF-09/05/2025</t>
  </si>
  <si>
    <t>CH_DCOCF - BVA-PomPF-09/05/2025-OPTIONS</t>
  </si>
  <si>
    <t>CH_35S14CF - 4 Palettes-PomPF-09/05/2025</t>
  </si>
  <si>
    <t>CH_35S14CF - 4 Palettes-PomPF-09/05/2025-OPTIONS</t>
  </si>
  <si>
    <t>CH_35S14CF - 5 Palettes-PomPF-09/05/2025</t>
  </si>
  <si>
    <t>CH_35S14CF - 5 Palettes-PomPF-09/05/2025-OPTIONS</t>
  </si>
  <si>
    <t>CH_72C18CF - 7 PAL-PomPF-09/05/2025</t>
  </si>
  <si>
    <t>CH_72C18CF - 7 PAL-PomPF-09/05/2025-OPTIONS</t>
  </si>
  <si>
    <t>CH_120E19 CF-PomPF-09/05/2025</t>
  </si>
  <si>
    <t>CH_120E19 CF-PomPF-09/05/2025-OPTIONS</t>
  </si>
  <si>
    <t>CH_160E21CF - 15 PAL - 3 VTX-PomPF-09/05/2025</t>
  </si>
  <si>
    <t>CH_160E21CF - 15 PAL- 3 VTX-PomPF-09/05/2025-OPTIONS</t>
  </si>
  <si>
    <t>CH_160E21CF - 15 PAL - EASY ACC'AIR-PomPF-09/05/2025</t>
  </si>
  <si>
    <t>CH_160E21CF - 15 PAL - EASY ACC'AIR-PomPF-09/05/2025-OPTIONS</t>
  </si>
  <si>
    <t>CH_160E21CF - 18 PAL - 3 VTX-PomPF-09/05/2025</t>
  </si>
  <si>
    <t>CH_160E21CF - 18 PAL - 3 VTX-PomPF-09/05/2025-OPTIONS</t>
  </si>
  <si>
    <t>CH_160E21CF - 18 PAL - EASY ACC'AIR-PomPF-09/05/2025</t>
  </si>
  <si>
    <t>CH_160E21CF - 18 PAL - EASY ACC'AIR-PomPF-09/05/2025-OPTIONS</t>
  </si>
  <si>
    <t>CH_190EL28 CF - 21 PAL - 3 VTX-PomPF-09/05/2025</t>
  </si>
  <si>
    <t>CH_190EL28 CF - 21 PAL - 3 VTX-PomPF-09/05/2025-OPTIONS</t>
  </si>
  <si>
    <t>CH_190EL28 CF - 21 PAL - EASY ACC'AIR-PomPF-09/05/2025</t>
  </si>
  <si>
    <t>CH_190EL28 CF - 21 PAL - EASY ACC'AIR-PomPF-09/05/2025-OPTIONS</t>
  </si>
  <si>
    <t>CH_D12.210 CF-PomPF-09/05/2025</t>
  </si>
  <si>
    <t>CH_D12.210 CF-PomPF-09/05/2025-OPTIONS</t>
  </si>
  <si>
    <t>CH_D16.210 CF - 15 PAL - 3 VTX-PomPF-09/05/2025</t>
  </si>
  <si>
    <t>CH_D16.210 CF - 15 PAL - 3 VTX-PomPF-09/05/2025-OPTIONS</t>
  </si>
  <si>
    <t>CH_D16.210 CF - 15 PAL - EASY ACC'AIR-PomPF-09/05/2025</t>
  </si>
  <si>
    <t>CH_D16.210 CF - 15 PAL - EASY ACC'AIR-PomPF-09/05/2025-OPTIONS</t>
  </si>
  <si>
    <t>CH_D16.210 CF - 18 PAL - 3 VTX-PomPF-09/05/2025</t>
  </si>
  <si>
    <t>CH_D16.210 CF - 18 PAL - 3 VTX-PomPF-09/05/2025-OPTIONS</t>
  </si>
  <si>
    <t>CH_D16.210 CF - 18 PAL - EASY ACC'AIR-PomPF-09/05/2025</t>
  </si>
  <si>
    <t>CH_D16.210 CF - 18 PAL - EASY ACC'AIR-PomPF-09/05/2025-OPTIONS</t>
  </si>
  <si>
    <t>CH_D19.280 CF - 21 PAL - 3 VTX-PomPF-09/05/2025</t>
  </si>
  <si>
    <t>CH_D19.280 CF - 21 PAL - 3 VTX-PomPF-09/05/2025-OPTIONS</t>
  </si>
  <si>
    <t>CH_D19.280 CF - 21 PAL - EASY ACC'AIR-PomPF-09/05/2025</t>
  </si>
  <si>
    <t>CH_D19.280 CF - 21 PAL - EASY ACC'AIR-PomPF-09/05/2025-OPTIONS</t>
  </si>
  <si>
    <t>CH_TRACTEUR RENAULT T19.440TR-PomPF-09/05/2025</t>
  </si>
  <si>
    <t>CH_TRACTEUR RENAULT T19.440TR-PomPF-09/05/2025-OPTIONS</t>
  </si>
  <si>
    <t>CH_SEMCF04- MULTI - SANS HAYON - CHEREAU-PomPF-09/05/2025</t>
  </si>
  <si>
    <t>CH_SEMCF04- MULTI - SANS HAYON - CHEREAU-PomPF-09/05/2025-OPTIONS</t>
  </si>
  <si>
    <t>CH_SEMCF04- MULTI -SANS HAYON - DOUBLE PLANCHER - CHEREAU-PomPF-09/05/2025</t>
  </si>
  <si>
    <t>CH_SEMCF04- MULTI -SANS HAYON - DOUBLE PLANCHER - CHEREAU-PomPF-09/05/2025-OPTIONS</t>
  </si>
  <si>
    <t>CH_SEMCF04- MULTI - HAYON - CHEREAU-PomPF-09/05/2025</t>
  </si>
  <si>
    <t>CH_SEMCF04- MULTI - HAYON - CHEREAU-PomPF-09/05/2025-OPTIONS</t>
  </si>
  <si>
    <t>CH_SEMCF04- MULTI - HAYON - DOUBLE PLANCHER - CHEREAU-PomPF-09/05/2025</t>
  </si>
  <si>
    <t>CH_SEMCF04- MULTI - HAYON - DOUBLE PLANCHER - CHEREAU-PomPF-09/05/2025-OPTIONS</t>
  </si>
  <si>
    <t>M_DCOCF - BVA-PomPF-09/05/2025</t>
  </si>
  <si>
    <t>M_DCOCF - BVA-PomPF-09/05/2025-OPTIONS</t>
  </si>
  <si>
    <t>M_35S14CF - 4 Palettes-PomPF-09/05/2025</t>
  </si>
  <si>
    <t>M_35S14CF - 4 Palettes-PomPF-09/05/2025-OPTIONS</t>
  </si>
  <si>
    <t>M_35S14CF - 5 Palettes-PomPF-09/05/2025</t>
  </si>
  <si>
    <t>M_35S14CF - 5 Palettes-PomPF-09/05/2025-OPTIONS</t>
  </si>
  <si>
    <t>M_72C18CF - 7 PAL-PomPF-09/05/2025</t>
  </si>
  <si>
    <t>M_72C18CF - 7 PAL-PomPF-09/05/2025-OPTIONS</t>
  </si>
  <si>
    <t>M_120E19 CF-PomPF-09/05/2025</t>
  </si>
  <si>
    <t>M_120E19 CF-PomPF-09/05/2025-OPTIONS</t>
  </si>
  <si>
    <t>M_160E21CF - 15 PAL - 3 VTX-PomPF-09/05/2025</t>
  </si>
  <si>
    <t>M_160E21CF - 15 PAL - 15 PAL - 3 VTX-PomPF-09/05/2025-OPTIONS</t>
  </si>
  <si>
    <t>M_160E21CF - 15 PAL - EASY ACC'AIR-PomPF-09/05/2025</t>
  </si>
  <si>
    <t>M_160E21CF - 15 PAL - EASY ACC'AIR-PomPF-09/05/2025-OPTIONS</t>
  </si>
  <si>
    <t>M_160E21CF - 18 PAL - 3 VTX-PomPF-09/05/2025</t>
  </si>
  <si>
    <t>M_160E21CF - 18 PAL - 3 VTX-PomPF-09/05/2025-OPTIONS</t>
  </si>
  <si>
    <t>M_160E21CF - 18 PAL - EASY ACC'AIR-PomPF-09/05/2025</t>
  </si>
  <si>
    <t>M_160E21CF - 18 PAL - EASY ACC'AIR-PomPF-09/05/2025-OPTIONS</t>
  </si>
  <si>
    <t>M_190EL28 CF - 21 PAL - 3 VTX-PomPF-09/05/2025</t>
  </si>
  <si>
    <t>M_190EL28 CF - 21 PAL - 3 VTX-PomPF-09/05/2025-OPTIONS</t>
  </si>
  <si>
    <t>M_190EL28 CF - 21 PAL - EASY ACC'AIR-PomPF-09/05/2025</t>
  </si>
  <si>
    <t>M_190EL28 CF - 21 PAL - EASY ACC'AIR-PomPF-09/05/2025-OPTIONS</t>
  </si>
  <si>
    <t>M_D12.210 CF-PomPF-09/05/2025</t>
  </si>
  <si>
    <t>M_D12.210 CF-PomPF-09/05/2025-OPTIONS</t>
  </si>
  <si>
    <t>M_D16.210 CF - 15 PAL - 3 VTX-PomPF-09/05/2025</t>
  </si>
  <si>
    <t>M_D16.210 CF - 15 PAL - 3 VTX-PomPF-09/05/2025-OPTIONS</t>
  </si>
  <si>
    <t>M_D16.210 CF - 15 PAL - EASY ACC'AIR-PomPF-09/05/2025</t>
  </si>
  <si>
    <t>M_D16.210 CF - 15 PAL - EASY ACC'AIR-PomPF-09/05/2025-OPTIONS</t>
  </si>
  <si>
    <t>M_D16.210 CF - 18 PAL - 3 VTX-PomPF-09/05/2025</t>
  </si>
  <si>
    <t>M_D16.210 CF - 18 PAL - 3 VTX-PomPF-09/05/2025-OPTIONS</t>
  </si>
  <si>
    <t>M_D16.210 CF - 18 PAL - EASY ACC'AIR-PomPF-09/05/2025</t>
  </si>
  <si>
    <t>M_D16.210 CF - 18 PAL - EASY ACC'AIR-PomPF-09/05/2025-OPTIONS</t>
  </si>
  <si>
    <t>M_D19.280 CF - 21 PAL - 3 VTX-PomPF-09/05/2025</t>
  </si>
  <si>
    <t>M_D19.280 CF - 21 PAL - 3 VTX-PomPF-09/05/2025-OPTIONS</t>
  </si>
  <si>
    <t>M_D19.280 CF - 21 PAL - EASY ACC'AIR-PomPF-09/05/2025</t>
  </si>
  <si>
    <t>M_D19.280 CF - 21 PAL - EASY ACC'AIR-PomPF-09/05/2025-OPTIONS</t>
  </si>
  <si>
    <t>M_TRACTEUR RENAULT T19.440TR-PomPF-09/05/2025</t>
  </si>
  <si>
    <t>M_TRACTEUR RENAULT T19.440TR-PomPF-09/05/2025-OPTIONS</t>
  </si>
  <si>
    <t>M_SEMCF04- MULTI - SANS HAYON - CHEREAU-PomPF-09/05/2025</t>
  </si>
  <si>
    <t>M_SEMCF04- MULTI - SANS HAYON - CHEREAU-PomPF-09/05/2025-OPTIONS</t>
  </si>
  <si>
    <t>M_SEMCF04- MULTI -SANS HAYON - DOUBLE PLANCHER - CHEREAU-PomPF-09/05/2025</t>
  </si>
  <si>
    <t>M_SEMCF04- MULTI -SANS HAYON - DOUBLE PLANCHER - CHEREAU-PomPF-09/05/2025-OPTIONS</t>
  </si>
  <si>
    <t>M_SEMCF04- MULTI - HAYON - CHEREAU-PomPF-09/05/2025</t>
  </si>
  <si>
    <t>M_SEMCF04- MULTI - HAYON - CHEREAU-PomPF-09/05/2025-OPTIONS</t>
  </si>
  <si>
    <t>M_SEMCF04- MULTI - HAYON - DOUBLE PLANCHER - CHEREAU-PomPF-09/05/2025</t>
  </si>
  <si>
    <t>M_SEMCF04- MULTI - HAYON - DOUBLE PLANCHER - CHEREAU-PomPF-09/05/2025-OPTIONS</t>
  </si>
  <si>
    <t>C_DCOCF - BVA-PomPF-09/05/2025</t>
  </si>
  <si>
    <t>C_DCOCF - BVA-PomPF-09/05/2025-OPTIONS</t>
  </si>
  <si>
    <t>C_35S14CF - 4 Palettes-PomPF-09/05/2025</t>
  </si>
  <si>
    <t>C_35S14CF - 4 Palettes-PomPF-09/05/2025-OPTIONS</t>
  </si>
  <si>
    <t>C_35S14CF - 5 Palettes-PomPF-09/05/2025</t>
  </si>
  <si>
    <t>C_35S14CF - 5 Palettes-PomPF-09/05/2025-OPTIONS</t>
  </si>
  <si>
    <t>C_72C18CF - 7 PAL-PomPF-09/05/2025</t>
  </si>
  <si>
    <t>C_72C18CF - 7 PAL-PomPF-09/05/2025-OPTIONS</t>
  </si>
  <si>
    <t>C_120E19 CF-PomPF-09/05/2025</t>
  </si>
  <si>
    <t>C_120E19 CF-PomPF-09/05/2025-OPTIONS</t>
  </si>
  <si>
    <t>C_160E21CF - 15 PAL - 3 VTX-PomPF-09/05/2025</t>
  </si>
  <si>
    <t>C_160E21CF - 15 PAL - 3 VTX-PomPF-09/05/2025-OPTIONS</t>
  </si>
  <si>
    <t>C_160E21CF - 15 PAL - EASY ACC'AIR-PomPF-09/05/2025</t>
  </si>
  <si>
    <t>C_160E21CF - 15 PAL - EASY ACC'AIR-PomPF-09/05/2025-OPTIONS</t>
  </si>
  <si>
    <t>C_160E21CF - 18 PAL - 3 VTX-PomPF-09/05/2025</t>
  </si>
  <si>
    <t>C_160E21CF - 18 PAL - 3 VTX-PomPF-09/05/2025-OPTIONS</t>
  </si>
  <si>
    <t>C_160E21CF - 18 PAL - EASY ACC'AIR-PomPF-09/05/2025</t>
  </si>
  <si>
    <t>C_160E21CF - 18 PAL - EASY ACC'AIR-PomPF-09/05/2025-OPTIONS</t>
  </si>
  <si>
    <t>C_190EL28 CF - 21 PAL - 3 VTX-PomPF-09/05/2025</t>
  </si>
  <si>
    <t>C_190EL28 CF - 21 PAL - 3 VTX-PomPF-09/05/2025-OPTIONS</t>
  </si>
  <si>
    <t>C_190EL28 CF - 21 PAL - EASY ACC'AIR-PomPF-09/05/2025</t>
  </si>
  <si>
    <t>C_190EL28 CF - 21 PAL - EASY ACC'AIR-PomPF-09/05/2025-OPTIONS</t>
  </si>
  <si>
    <t>C_D12.210 CF-PomPF-09/05/2025</t>
  </si>
  <si>
    <t>C_D12.210 CF-PomPF-09/05/2025-OPTIONS</t>
  </si>
  <si>
    <t>C_D16.210 CF - 15 PAL - 3 VTX-PomPF-09/05/2025</t>
  </si>
  <si>
    <t>C_D16.210 CF - 15 PAL - 3 VTX-PomPF-09/05/2025-OPTIONS</t>
  </si>
  <si>
    <t>C_D16.210 CF - 15 PAL - EASY ACC'AIR-PomPF-09/05/2025</t>
  </si>
  <si>
    <t>C_D16.210 CF - 15 PAL - EASY ACC'AIR-PomPF-09/05/2025-OPTIONS</t>
  </si>
  <si>
    <t>C_D16.210 CF - 18 PAL - 3 VTX-PomPF-09/05/2025</t>
  </si>
  <si>
    <t>C_D16.210 CF - 18 PAL - 3 VTX-PomPF-09/05/2025-OPTIONS</t>
  </si>
  <si>
    <t>C_D16.210 CF - 18 PAL - EASY ACC'AIR-PomPF-09/05/2025</t>
  </si>
  <si>
    <t>C_D16.210 CF - 18 PAL - EASY ACC'AIR-PomPF-09/05/2025-OPTIONS</t>
  </si>
  <si>
    <t>C_D19.280 CF - 21 PAL - 3 VTX-PomPF-09/05/2025</t>
  </si>
  <si>
    <t>C_D19.280 CF - 21 PAL - 3 VTX-PomPF-09/05/2025-OPTIONS</t>
  </si>
  <si>
    <t>C_D19.280 CF - 21 PAL - EASY ACC'AIR-PomPF-09/05/2025</t>
  </si>
  <si>
    <t>C_D19.280 CF - 21 PAL - EASY ACC'AIR-PomPF-09/05/2025-OPTIONS</t>
  </si>
  <si>
    <t>C_TRACTEUR RENAULT T19.440TR-PomPF-09/05/2025</t>
  </si>
  <si>
    <t>C_TRACTEUR RENAULT T19.440TR-PomPF-09/05/2025-OPTIONS</t>
  </si>
  <si>
    <t>C_SEMCF04- MULTI - SANS HAYON - CHEREAU-PomPF-09/05/2025</t>
  </si>
  <si>
    <t>C_SEMCF04- MULTI - SANS HAYON - CHEREAU-PomPF-09/05/2025-OPTIONS</t>
  </si>
  <si>
    <t>C_SEMCF04- MULTI -SANS HAYON - DOUBLE PLANCHER - CHEREAU-PomPF-09/05/2025</t>
  </si>
  <si>
    <t>C_SEMCF04- MULTI -SANS HAYON - DOUBLE PLANCHER - CHEREAU-PomPF-09/05/2025-OPTIONS</t>
  </si>
  <si>
    <t>C_SEMCF04- MULTI - HAYON - CHEREAU-PomPF-09/05/2025</t>
  </si>
  <si>
    <t>C_SEMCF04- MULTI - HAYON - CHEREAU-PomPF-09/05/2025-OPTIONS</t>
  </si>
  <si>
    <t>C_SEMCF04- MULTI - HAYON - DOUBLE PLANCHER - CHEREAU-PomPF-09/05/2025</t>
  </si>
  <si>
    <t>C_SEMCF04- MULTI - HAYON - DOUBLE PLANCHER - CHEREAU-PomPF-09/05/2025-OPTIONS</t>
  </si>
  <si>
    <t>C_35S14CF - 4 Palettes -PomRDO-02/04/2025</t>
  </si>
  <si>
    <t>C_35S14CF - 4 Palettes -PomRDO--02/04/2025-OPTIONS</t>
  </si>
  <si>
    <t>C_35S14CF 5 Pal-PomRDO-22/05/2025</t>
  </si>
  <si>
    <t>C_35S14CF 5 Pal-PomRDO-22/05/2025-OPTIONS</t>
  </si>
  <si>
    <t>C_35S14CF 5 Pal - HAYON-PomRDO-22/05/2025</t>
  </si>
  <si>
    <t>C_35S14CF 5 Pal - HAYON-PomRDO-22/05/2025-OPTIONS</t>
  </si>
  <si>
    <t>C_72C18CF- 8 Pal - hayon Rétractable -PomRDO-22/05/2025</t>
  </si>
  <si>
    <t>C_72C18CF- 8 Pal - hayon Rétractable -PomRDO-22/05/2025-OPTIONS</t>
  </si>
  <si>
    <t>C_100E19 CF- 11 Pal - hayon Rétractable -PomRDO-22/05/2025</t>
  </si>
  <si>
    <t>C_100E19 CF- 11 Pal - hayon Rétractable -PomRDO-22/05/2025-OPTIONS</t>
  </si>
  <si>
    <t>C_120E19 CF- 15 Pal - hayon Rétractable -PomRDO-22/05/2025</t>
  </si>
  <si>
    <t>C_120E19 CF- 15 Pal - hayon Rétractable -PomRDO-22/05/2025-OPTIONS</t>
  </si>
  <si>
    <t>C_160E21 CF- 18 Pal - hayon Rétractable -PomRDO-22/05/2025</t>
  </si>
  <si>
    <t>C_160E21 CF- 18 Pal - hayon Rétractable -PomRDO-22/05/2025-OPTIONS</t>
  </si>
  <si>
    <t>C_D10.210 CF- 11 Pal - hayon Rétractable -PomRDO-22/05/2025</t>
  </si>
  <si>
    <t>C_D10.210 CF- 11 Pal - hayon Rétractable -PomRDO-22/05/2025-OPTIONS</t>
  </si>
  <si>
    <t>C_D12.210 CF- 15 Pal - hayon Rétractable -PomRDO-22/05/2025</t>
  </si>
  <si>
    <t>C_D12.210 CF- 15 Pal - hayon Rétractable -PomRDO-22/05/2025-OPTIONS</t>
  </si>
  <si>
    <t>C_D16.210 CF- 18 Pal - hayon Rétractable -PomRDO-22/05/2025</t>
  </si>
  <si>
    <t>C_D16.210 CF- 18 Pal - hayon Rétractable -PomRDO-22/05/2025-OPTIONS</t>
  </si>
  <si>
    <t>C_D19.280 CF- 21 Pal - hayon Rétractable -PomRDO-11/03/2025 Slot1</t>
  </si>
  <si>
    <t>C_D19.280 CF- 21 Pal - hayon Rétractable -PomRDO-11/03/2025 Slot1-OPTIONS</t>
  </si>
  <si>
    <t>C_TRACTEUR RENAULT T19.440TR -PomRDO-22/05/2025 Slot1</t>
  </si>
  <si>
    <t>C_TRACTEUR RENAULT T19.440TR -PomRDO-22/05/2025 Slot1-OPTIONS</t>
  </si>
  <si>
    <t>C_SEMCF04- MULTI - HAYON - CHEREAU -PomRDO-22/05/2025</t>
  </si>
  <si>
    <t>C_SEMCF04- MULTI - HAYON - CHEREAU -PomRDO-22/05/2025-OPTIONS</t>
  </si>
  <si>
    <t>C_SEMCF04- MULTI - HAYON - DOUBLE PLANCHER - CHEREAU -PomRDO-22/05/2025</t>
  </si>
  <si>
    <t>C_SEMCF04- MULTI - HAYON - DOUBLE PLANCHER - CHEREAU -PomRDO-22/05/2025-OPTIONS</t>
  </si>
  <si>
    <t>M_35S14CF - 4 Palettes -PomRDO--02/04/2025</t>
  </si>
  <si>
    <t>M_35S14CF - 4 Palettes -PomRDO--02/04/2025-OPTIONS</t>
  </si>
  <si>
    <t>M_35S14CF 5 Pal-PomRDO-22/05/2025</t>
  </si>
  <si>
    <t>M_35S14CF 5 Pal-PomRDO-22/05/2025-OPTIONS</t>
  </si>
  <si>
    <t>M_35S14CF 5 Pal - HAYON-PomRDO-22/05/2025</t>
  </si>
  <si>
    <t>M_35S14CF 5 Pal - HAYON-PomRDO-22/05/2025-OPTIONS</t>
  </si>
  <si>
    <t>M_72C18CF- 8 Pal - hayon Rétractable -PomRDO-22/05/2025</t>
  </si>
  <si>
    <t>M_72C18CF- 8 Pal - hayon Rétractable -PomRDO-22/05/2025-OPTIONS</t>
  </si>
  <si>
    <t>M_100E19 CF- 11 Pal - hayon Rétractable -PomRDO-22/05/2025</t>
  </si>
  <si>
    <t>M_100E19 CF- 11 Pal - hayon Rétractable -PomRDO-22/05/2025-OPTIONS</t>
  </si>
  <si>
    <t>M_120E19 CF- 15 Pal - hayon Rétractable -PomRDO-22/05/2025</t>
  </si>
  <si>
    <t>M_120E19 CF- 15 Pal - hayon Rétractable -PomRDO-22/05/2025-OPTIONS</t>
  </si>
  <si>
    <t>M_160E21 CF- 18 Pal - hayon Rétractable -PomRDO-22/05/2025</t>
  </si>
  <si>
    <t>M_160E21 CF- 18 Pal - hayon Rétractable -PomRDO-22/05/2025-OPTIONS</t>
  </si>
  <si>
    <t>M_D10.210 CF- 11 Pal - hayon Rétractable -PomRDO-22/05/2025</t>
  </si>
  <si>
    <t>M_D10.210 CF- 11 Pal - hayon Rétractable -PomRDO-22/05/2025-OPTIONS</t>
  </si>
  <si>
    <t>M_D12.210 CF- 15 Pal - hayon Rétractable -PomRDO-22/05/2025</t>
  </si>
  <si>
    <t>M_D12.210 CF- 15 Pal - hayon Rétractable -PomRDO-22/05/2025-OPTIONS</t>
  </si>
  <si>
    <t>M_D16.210 CF- 18 Pal - hayon Rétractable -PomRDO-22/05/2025</t>
  </si>
  <si>
    <t>M_D16.210 CF- 18 Pal - hayon Rétractable -PomRDO-22/05/2025-OPTIONS</t>
  </si>
  <si>
    <t>M_D19.280 CF- 21 Pal - hayon Rétractable -PomRDO-11/03/2025 Slot1</t>
  </si>
  <si>
    <t>M_D19.280 CF- 21 Pal - hayon Rétractable -PomRDO-11/03/2025 Slot1-OPTIONS</t>
  </si>
  <si>
    <t>M_TRACTEUR RENAULT T19.440TR -PomRDO-22/05/2025 Slot1</t>
  </si>
  <si>
    <t>M_TRACTEUR RENAULT T19.440TR -PomRDO-22/05/2025 Slot1-OPTIONS</t>
  </si>
  <si>
    <t>M_SEMCF04- MULTI - HAYON - CHEREAU -PomRDO-22/05/2025</t>
  </si>
  <si>
    <t>M_SEMCF04- MULTI - HAYON - CHEREAU -PomRDO-22/05/2025-OPTIONS</t>
  </si>
  <si>
    <t>M_SEMCF04- MULTI - HAYON - DOUBLE PLANCHER - CHEREAU -PomRDO-22/05/2025</t>
  </si>
  <si>
    <t>M_SEMCF04- MULTI - HAYON - DOUBLE PLANCHER - CHEREAU -PomRDO-22/05/2025-OPTIONS</t>
  </si>
  <si>
    <t>CH_35S14CF - 4 Palettes -PomRDO--02/04/2025</t>
  </si>
  <si>
    <t>CH_35S14CF - 4 Palettes -PomRDO--02/04/2025-OPTIONS</t>
  </si>
  <si>
    <t>CH_35S14CF 5 Pal-PomRDO-22/05/2025</t>
  </si>
  <si>
    <t>CH_35S14CF 5 Pal-PomRDO-22/05/2025-OPTIONS</t>
  </si>
  <si>
    <t>CH_35S14CF 5 Pal - HAYON-PomRDO-22/05/2025</t>
  </si>
  <si>
    <t>CH_35S14CF 5 Pal - HAYON-PomRDO-22/05/2025-OPTIONS</t>
  </si>
  <si>
    <t>CH_72C18CF- 8 Pal - hayon Rétractable -PomRDO-22/05/2025</t>
  </si>
  <si>
    <t>CH_72C18CF- 8 Pal - hayon Rétractable -PomRDO-22/05/2025-OPTIONS</t>
  </si>
  <si>
    <t>CH_100E19 CF- 11 Pal - hayon Rétractable -PomRDO-22/05/2025</t>
  </si>
  <si>
    <t>CH_100E19 CF- 11 Pal - hayon Rétractable -PomRDO-22/05/2025-OPTIONS</t>
  </si>
  <si>
    <t>CH_120E19 CF- 15 Pal - hayon Rétractable -PomRDO-22/05/2025</t>
  </si>
  <si>
    <t>CH_120E19 CF- 15 Pal - hayon Rétractable -PomRDO-22/05/2025-OPTIONS</t>
  </si>
  <si>
    <t>CH_160E21 CF- 18 Pal - hayon Rétractable -PomRDO-22/05/2025</t>
  </si>
  <si>
    <t>CH_160E21 CF- 18 Pal - hayon Rétractable -PomRDO-22/05/2025-OPTIONS</t>
  </si>
  <si>
    <t>CH_D10.210 CF- 11 Pal - hayon Rétractable -PomRDO-22/05/2025</t>
  </si>
  <si>
    <t>CH_D10.210 CF- 11 Pal - hayon Rétractable -PomRDO-22/05/2025-OPTIONS</t>
  </si>
  <si>
    <t>CH_D12.210 CF- 15 Pal - hayon Rétractable -PomRDO-22/05/2025</t>
  </si>
  <si>
    <t>CH_D12.210 CF- 15 Pal - hayon Rétractable -PomRDO-22/05/2025-OPTIONS</t>
  </si>
  <si>
    <t>CH_D16.210 CF- 18 Pal - hayon Rétractable -PomRDO-22/05/2025</t>
  </si>
  <si>
    <t>CH_D16.210 CF- 18 Pal - hayon Rétractable -PomRDO-22/05/2025-OPTIONS</t>
  </si>
  <si>
    <t>CH_D19.280 CF- 21 Pal - hayon Rétractable -PomRDO-11/03/2025 Slot1</t>
  </si>
  <si>
    <t>CH_D19.280 CF- 21 Pal - hayon Rétractable -PomRDO-11/03/2025 Slot1-OPTIONS</t>
  </si>
  <si>
    <t>CH_TRACTEUR RENAULT T19.440TR -PomRDO-22/05/2025 Slot1</t>
  </si>
  <si>
    <t>CH_TRACTEUR RENAULT T19.440TR -PomRDO-22/05/2025 Slot1-OPTIONS</t>
  </si>
  <si>
    <t>CH_SEMCF04- MULTI - HAYON - CHEREAU -PomRDO-22/05/2025</t>
  </si>
  <si>
    <t>CH_SEMCF04- MULTI - HAYON - CHEREAU -PomRDO-22/05/2025-OPTIONS</t>
  </si>
  <si>
    <t>CH_SEMCF04- MULTI - HAYON - DOUBLE PLANCHER - CHEREAU -PomRDO-22/05/2025</t>
  </si>
  <si>
    <t>CH_SEMCF04- MULTI - HAYON - DOUBLE PLANCHER - CHEREAU -PomRDO-22/05/2025-OPTIONS</t>
  </si>
  <si>
    <t>CF_35S14CF - 4 Palettes -PomRDO--02/04/2025</t>
  </si>
  <si>
    <t>CF_35S14CF - 4 Palettes -PomRDO--02/04/2025-OPTIONS</t>
  </si>
  <si>
    <t>CF_35S14CF 5 Pal-PomRDO-22/05/2025</t>
  </si>
  <si>
    <t>CF_35S14CF 5 Pal-PomRDO-22/05/2025-OPTIONS</t>
  </si>
  <si>
    <t>CF_35S14CF 5 Pal - HAYON-PomRDO-22/05/2025</t>
  </si>
  <si>
    <t>CF_35S14CF 5 Pal - HAYON-PomRDO-22/05/2025-OPTIONS</t>
  </si>
  <si>
    <t>CF_72C18CF- 8 Pal - hayon Rétractable -PomRDO-22/05/2025</t>
  </si>
  <si>
    <t>CF_72C18CF- 8 Pal - hayon Rétractable -PomRDO-22/05/2025-OPTIONS</t>
  </si>
  <si>
    <t>CF_100E19 CF- 11 Pal - hayon Rétractable -PomRDO-22/05/2025</t>
  </si>
  <si>
    <t>CF_100E19 CF- 11 Pal - hayon Rétractable -PomRDO-22/05/2025-OPTIONS</t>
  </si>
  <si>
    <t>CF_120E19 CF- 15 Pal - hayon Rétractable -PomRDO-22/05/2025</t>
  </si>
  <si>
    <t>CF_120E19 CF- 15 Pal - hayon Rétractable -PomRDO-22/05/2025-OPTIONS</t>
  </si>
  <si>
    <t>CF_160E21 CF- 18 Pal - hayon Rétractable -PomRDO-22/05/2025</t>
  </si>
  <si>
    <t>CF_160E21 CF- 18 Pal - hayon Rétractable -PomRDO-22/05/2025-OPTIONS</t>
  </si>
  <si>
    <t>CF_D10.210 CF- 11 Pal - hayon Rétractable -PomRDO-22/05/2025</t>
  </si>
  <si>
    <t>CF_D10.210 CF- 11 Pal - hayon Rétractable -PomRDO-22/05/2025-OPTIONS</t>
  </si>
  <si>
    <t>CF_D12.210 CF- 15 Pal - hayon Rétractable -PomRDO-22/05/2025</t>
  </si>
  <si>
    <t>CF_D12.210 CF- 15 Pal - hayon Rétractable -PomRDO-22/05/2025-OPTIONS</t>
  </si>
  <si>
    <t>CF_D16.210 CF- 18 Pal - hayon Rétractable -PomRDO-22/05/2025</t>
  </si>
  <si>
    <t>CF_D16.210 CF- 18 Pal - hayon Rétractable -PomRDO-22/05/2025-OPTIONS</t>
  </si>
  <si>
    <t>CF_D19.280 CF- 21 Pal - hayon Rétractable -PomRDO-11/03/2025 Slot1</t>
  </si>
  <si>
    <t>CF_D19.280 CF- 21 Pal - hayon Rétractable -PomRDO-11/03/2025 Slot1-OPTIONS</t>
  </si>
  <si>
    <t>CF_TRACTEUR RENAULT T19.440TR -PomRDO-22/05/2025 Slot1</t>
  </si>
  <si>
    <t>CF_TRACTEUR RENAULT T19.440TR -PomRDO-22/05/2025 Slot1-OPTIONS</t>
  </si>
  <si>
    <t>CF_SEMCF04- MULTI - SANS HAYON - CHEREAU -PomRDO-22/05/2025-OPTIONS</t>
  </si>
  <si>
    <t>CF_SEMCF04- MULTI - HAYON - CHEREAU -PomRDO-22/05/2025</t>
  </si>
  <si>
    <t>CF_SEMCF04- MULTI - HAYON - CHEREAU -PomRDO-22/05/2025-OPTIONS</t>
  </si>
  <si>
    <t>CF_SEMCF04- MULTI - HAYON - DOUBLE PLANCHER - CHEREAU -PomRDO-22/05/2025</t>
  </si>
  <si>
    <t>CF_SEMCF04- MULTI - HAYON - DOUBLE PLANCHER - CHEREAU -PomRDO-22/05/2025-OPTIONS</t>
  </si>
  <si>
    <t>GF_35S14CF - 4 Palettes -PomRDO-02/04/2025</t>
  </si>
  <si>
    <t>GF_35S14CF - 4 Palettes -PomRDO--02/04/2025-OPTIONS</t>
  </si>
  <si>
    <t>GF_35S14CF 5 Pal-PomRDO-22/05/2025</t>
  </si>
  <si>
    <t>GF_35S14CF 5 Pal-PomRDO-22/05/2025-OPTIONS</t>
  </si>
  <si>
    <t>GF_35S14CF 5 Pal - HAYON-PomRDO-22/05/2025</t>
  </si>
  <si>
    <t>GF_35S14CF 5 Pal - HAYON-PomRDO-22/05/2025-OPTIONS</t>
  </si>
  <si>
    <t>GF_72C18CF- 8 Pal - hayon Rétractable -PomRDO-22/05/2025</t>
  </si>
  <si>
    <t>GF_72C18CF- 8 Pal - hayon Rétractable -PomRDO-22/05/2025-OPTIONS</t>
  </si>
  <si>
    <t>GF_100E19 CF- 11 Pal - hayon Rétractable -PomRDO-22/05/2025</t>
  </si>
  <si>
    <t>GF_100E19 CF- 11 Pal - hayon Rétractable -PomRDO-22/05/2025-OPTIONS</t>
  </si>
  <si>
    <t>GF_120E19 CF- 15 Pal - hayon Rétractable -PomRDO-22/05/2025</t>
  </si>
  <si>
    <t>GF_120E19 CF- 15 Pal - hayon Rétractable -PomRDO-22/05/2025-OPTIONS</t>
  </si>
  <si>
    <t>GF_160E21 CF- 18 Pal - hayon Rétractable -PomRDO-22/05/2025</t>
  </si>
  <si>
    <t>GF_160E21 CF- 18 Pal - hayon Rétractable -PomRDO-22/05/2025-OPTIONS</t>
  </si>
  <si>
    <t>GF_D10.210 CF- 11 Pal - hayon Rétractable -PomRDO-22/05/2025</t>
  </si>
  <si>
    <t>GF_D10.210 CF- 11 Pal - hayon Rétractable -PomRDO-22/05/2025-OPTIONS</t>
  </si>
  <si>
    <t>GF_D12.210 CF- 15 Pal - hayon Rétractable -PomRDO-22/05/2025</t>
  </si>
  <si>
    <t>GF_D12.210 CF- 15 Pal - hayon Rétractable -PomRDO-22/05/2025-OPTIONS</t>
  </si>
  <si>
    <t>GF_D16.210 CF- 18 Pal - hayon Rétractable -PomRDO-22/05/2025</t>
  </si>
  <si>
    <t>GF_D16.210 CF- 18 Pal - hayon Rétractable -PomRDO-22/05/2025-OPTIONS</t>
  </si>
  <si>
    <t>GF_D19.280 CF- 21 Pal - hayon Rétractable -PomRDO-11/03/2025 Slot1</t>
  </si>
  <si>
    <t>GF_D19.280 CF- 21 Pal - hayon Rétractable -PomRDO-11/03/2025 Slot1-OPTIONS</t>
  </si>
  <si>
    <t>GF_TRACTEUR RENAULT T19.440TR -PomRDO-22/05/2025 Slot1</t>
  </si>
  <si>
    <t>GF_TRACTEUR RENAULT T19.440TR -PomRDO-22/05/2025 Slot1-OPTIONS</t>
  </si>
  <si>
    <t>GF_SEMCF04- MULTI - HAYON - CHEREAU -PomRDO-22/05/2025</t>
  </si>
  <si>
    <t>GF_SEMCF04- MULTI - HAYON - CHEREAU -PomRDO-22/05/2025-OPTIONS</t>
  </si>
  <si>
    <t>GF_SEMCF04- MULTI - HAYON - DOUBLE PLANCHER - CHEREAU -PomRDO-22/05/2025</t>
  </si>
  <si>
    <t>GF_SEMCF04- MULTI - HAYON - DOUBLE PLANCHER - CHEREAU -PomRDO-22/05/2025-OPTIONS</t>
  </si>
  <si>
    <t>HL_35S14CF - 4 Palettes -PomRDO-02/04/2025</t>
  </si>
  <si>
    <t>HL_35S14CF - 4 Palettes -PomRDO-02/04/2025-OPTIONS</t>
  </si>
  <si>
    <t>HL_35S14CF 5 Pal-PomRDO-22/05/2025</t>
  </si>
  <si>
    <t>HL_35S14CF 5 Pal-PomRDO-22/05/2025-OPTIONS</t>
  </si>
  <si>
    <t>HL_35S14CF 5 Pal - HAYON-PomRDO-22/05/2025</t>
  </si>
  <si>
    <t>HL_35S14CF 5 Pal - HAYON-PomRDO-22/05/2025-OPTIONS</t>
  </si>
  <si>
    <t>HL_72C18CF- 8 Pal - hayon Rétractable -PomRDO-22/05/2025</t>
  </si>
  <si>
    <t>HL_72C18CF- 8 Pal - hayon Rétractable -PomRDO-22/05/2025-OPTIONS</t>
  </si>
  <si>
    <t>HL_100E19 CF- 11 Pal - hayon Rétractable -PomRDO-22/05/2025</t>
  </si>
  <si>
    <t>HL_100E19 CF- 11 Pal - hayon Rétractable -PomRDO-22/05/2025-OPTIONS</t>
  </si>
  <si>
    <t>HL_120E19 CF- 15 Pal - hayon Rétractable -PomRDO-22/05/2025</t>
  </si>
  <si>
    <t>HL_120E19 CF- 15 Pal - hayon Rétractable -PomRDO-22/05/2025-OPTIONS</t>
  </si>
  <si>
    <t>HL_160E21 CF- 18 Pal - hayon Rétractable -PomRDO-22/05/2025</t>
  </si>
  <si>
    <t>HL_160E21 CF- 18 Pal - hayon Rétractable -PomRDO-22/05/2025-OPTIONS</t>
  </si>
  <si>
    <t>HL_D10.210 CF- 11 Pal - hayon Rétractable -PomRDO-22/05/2025</t>
  </si>
  <si>
    <t>HL_D10.210 CF- 11 Pal - hayon Rétractable -PomRDO-22/05/2025-OPTIONS</t>
  </si>
  <si>
    <t>HL_D12.210 CF- 15 Pal - hayon Rétractable -PomRDO-22/05/2025</t>
  </si>
  <si>
    <t>HL_D12.210 CF- 15 Pal - hayon Rétractable -PomRDO-22/05/2025-OPTIONS</t>
  </si>
  <si>
    <t>HL_D16.210 CF- 18 Pal - hayon Rétractable -PomRDO-22/05/2025</t>
  </si>
  <si>
    <t>HL_D16.210 CF- 18 Pal - hayon Rétractable -PomRDO-22/05/2025-OPTIONS</t>
  </si>
  <si>
    <t>HL_D19.280 CF- 21 Pal - hayon Rétractable -PomRDO-11/03/2025 Slot1</t>
  </si>
  <si>
    <t>HL_D19.280 CF- 21 Pal - hayon Rétractable -PomRDO-11/03/2025 Slot1-OPTIONS</t>
  </si>
  <si>
    <t>HL_TRACTEUR RENAULT T19.440TR -PomRDO-22/05/2025 Slot1</t>
  </si>
  <si>
    <t>HL_TRACTEUR RENAULT T19.440TR -PomRDO-22/05/2025 Slot1-OPTIONS</t>
  </si>
  <si>
    <t>HL_SEMCF04- MULTI - HAYON - CHEREAU -PomRDO-22/05/2025</t>
  </si>
  <si>
    <t>HL_SEMCF04- MULTI - HAYON - CHEREAU -PomRDO-22/05/2025-OPTIONS</t>
  </si>
  <si>
    <t>HL_SEMCF04- MULTI - HAYON - DOUBLE PLANCHER - CHEREAU -PomRDO-22/05/2025</t>
  </si>
  <si>
    <t>HL_SEMCF04- MULTI - HAYON - DOUBLE PLANCHER - CHEREAU -PomRDO-22/05/2025-OPTIONS</t>
  </si>
  <si>
    <t>Motorisation 6 cylindres 6728 cm3 - 320 ch.</t>
  </si>
  <si>
    <t>1 odomètre électronique + 1 odomètre mécanique</t>
  </si>
  <si>
    <t>Buse de diffusion d'air avec 2 gaines au pavillon</t>
  </si>
  <si>
    <t>Rideau relevable isotherme  Smart Open -C (-150 kg CU)</t>
  </si>
  <si>
    <t>Label PIEK global (Caisse / groupe VECTOR 19 HE City  -120 kg CU)</t>
  </si>
  <si>
    <t>CARRIER VECTOR 19 HE Insonorisé autonome ou équivalent - R452 A - Chauffage gaz chaud - ATP classe C</t>
  </si>
  <si>
    <t>Feux de protection piétons Orange Spots</t>
  </si>
  <si>
    <t>Label PIEK global (Caisse / groupe VECTOR 19 HE City / hayon -150 kg CU)</t>
  </si>
  <si>
    <t>Porte latérale battante double vantaux largeur 1000 mm à 450 mm de l'avant droit avec déverrouillage interne avec une sangle montoir à droite et à gauche fixée dans le champs de l'huisserie</t>
  </si>
  <si>
    <t>1 niveau de rail d'arrimage aluminium supplémentaire en applique sur 3 faces axé à ....... mm du plancher (-13 kg CU)</t>
  </si>
  <si>
    <r>
      <rPr>
        <sz val="11"/>
        <color rgb="FF000000"/>
        <rFont val="Aptos"/>
        <family val="2"/>
      </rPr>
      <t xml:space="preserve">Poignée d'arrimage spécial rolls (Qté …. </t>
    </r>
    <r>
      <rPr>
        <sz val="11"/>
        <color rgb="FF000000"/>
        <rFont val="Aptos"/>
        <family val="2"/>
      </rPr>
      <t>/ Diamètre 25 / 35 / 45 mm</t>
    </r>
    <r>
      <rPr>
        <sz val="11"/>
        <color rgb="FF000000"/>
        <rFont val="Aptos"/>
        <family val="2"/>
      </rPr>
      <t xml:space="preserve">) </t>
    </r>
    <r>
      <rPr>
        <sz val="11"/>
        <color rgb="FF000000"/>
        <rFont val="Aptos"/>
        <family val="2"/>
      </rPr>
      <t>(-  1 kg CU par poignée)</t>
    </r>
  </si>
  <si>
    <t>1 niveau de rail d'arrimage aluminium supplémentaire en applique sur 3 faces axé à ....... mm du plancher (-15 kg CU)</t>
  </si>
  <si>
    <t>1 niveau de rail d'arrimage spécial rolls sur 3 faces axé à …….. mm du plancher (-15 kg CU)</t>
  </si>
  <si>
    <t>1 niveau de rail d'arrimage acier galvanisé en applique sur 3 faces (sauf portes latérales) axé à 900 mm du plancher</t>
  </si>
  <si>
    <t>Phares de travail en haut de cadre.</t>
  </si>
  <si>
    <t>1 niveau de rail d'arrimage aluminium supplémentaire en applique sur 3 faces axé à ....... mm du plancher (-26 kg CU)</t>
  </si>
  <si>
    <t>1 niveau de rail d'arrimage spécial rolls sur 3 faces axé à ……. mm du plancher (-15 kg CU)</t>
  </si>
  <si>
    <t>1 niveau de rail d'arrimage aluminium supplémentaire en applique sur 3 faces axé à ....... mm du plancher (-28 kg CU)</t>
  </si>
  <si>
    <t>1 niveau de rail d'arrimage spécial rolls sur 3 faces axé à ……. mm du plancher (-17 kg CU)</t>
  </si>
  <si>
    <t>Cadre arrière 3 vantaux (-24 kg CU)</t>
  </si>
  <si>
    <t>Label PIEK global (Caisse / groupe SUPRA 1250 City / hayon -298 kg CU)</t>
  </si>
  <si>
    <r>
      <rPr>
        <sz val="11"/>
        <rFont val="Aptos"/>
        <family val="2"/>
      </rPr>
      <t xml:space="preserve">Poignée d'arrimage spécial rolls (Qté …. </t>
    </r>
    <r>
      <rPr>
        <sz val="11"/>
        <rFont val="Aptos"/>
        <family val="2"/>
      </rPr>
      <t>/ Diamètre 25 / 35 / 45 mm</t>
    </r>
    <r>
      <rPr>
        <sz val="11"/>
        <rFont val="Aptos"/>
        <family val="2"/>
      </rPr>
      <t xml:space="preserve">) </t>
    </r>
    <r>
      <rPr>
        <sz val="11"/>
        <rFont val="Aptos"/>
        <family val="2"/>
      </rPr>
      <t>(-  1 kg CU par poignée)</t>
    </r>
  </si>
  <si>
    <t>Label PIEK global (Caisse / groupe SUPRA 1250 City / hayon -314 kg CU)</t>
  </si>
  <si>
    <t>1 niveau de rail d'arrimage en applique supplémentaire axé à ..... mm du plancher (-43 kg CU)</t>
  </si>
  <si>
    <t>1 niveau de rail d'arrimage spécial rolls sur 3 faces axé à ….. mm du plancher (-24 kg CU)</t>
  </si>
  <si>
    <t>Label PIEK global (Caisse / groupe SUPRA 1250 City / hayon -307 kg CU)</t>
  </si>
  <si>
    <t>1 niveau de rail d'arrimage en applique supplémentaire axé à ..... mm du plancher (-49 kg CU)</t>
  </si>
  <si>
    <t>1 niveau de rail d'arrimage spécial rolls sur 3 faces axé à ….. mm du plancher (-27 kg CU)</t>
  </si>
  <si>
    <t>Label PIEK global (Caisse / groupe SUPRA 1250 City / hayon -282 kg CU)</t>
  </si>
  <si>
    <t>1 niveau de rail d'arrimage en applique supplémentaire axé à ..... mm du plancher (-56 kg CU)</t>
  </si>
  <si>
    <t>1 niveau de rail d'arrimage spécial rolls sur 3 faces axé à ….. mm du plancher (-31 kg CU)</t>
  </si>
  <si>
    <t>2 crémones avec poignée sur chaque vantail</t>
  </si>
  <si>
    <t>Porte latérale battante double vantaux largeur 740 mm à 250 mm de l'avant droit avec déverrouillage intern avec une sangle montoir à droite et à gauche fixée dans le champs de l'huisserie</t>
  </si>
  <si>
    <t>Label PIEK global (Caisse / groupe SUPRA 1250 City / hayon - 314 kg CU)</t>
  </si>
  <si>
    <t>Porte latérale battante double vantaux largeur 740 mm à 250 mm de l'avant droit avec une sangle montoir à droite et à gauche fixée dans le champs de l'huisserie</t>
  </si>
  <si>
    <t>1 niveau de rail d'arrimage acier galvanisé en applique sur 3 faces (sauf porte latérale) axé à 1100 mm du plancher</t>
  </si>
  <si>
    <r>
      <t>8 rails encastrés verticaux à droite et à gauche pour poutres double planche</t>
    </r>
    <r>
      <rPr>
        <sz val="11"/>
        <color rgb="FFFF0000"/>
        <rFont val="Aptos"/>
        <family val="2"/>
      </rPr>
      <t>r</t>
    </r>
  </si>
  <si>
    <t>15 poutres alu avec crémaillères pour double plancher</t>
  </si>
  <si>
    <t>Hauteur sous évaporateur 1692 mm</t>
  </si>
  <si>
    <t>Hauteur sous évaporateur 1736 mm</t>
  </si>
  <si>
    <t>CARRIER SUPRA HE 8 Silent autonome ou équivalent - R452 A - Chauffage gaz chaud - ATP classe C</t>
  </si>
  <si>
    <t>Hauteur sous évaporateur 2074 mm</t>
  </si>
  <si>
    <t>Contac arrêt ventilation porte latérale</t>
  </si>
  <si>
    <t>CARRIER SUPRA HE 9 Silent autonome ou équivalent - R452 A - Chauffage gaz chaud - ATP classe C</t>
  </si>
  <si>
    <t>CARRIER SUPRA HE 11 Silent autonome ou équivalent - R452 A - Chauffage gaz chaud - ATP classe C</t>
  </si>
  <si>
    <r>
      <rPr>
        <sz val="11"/>
        <rFont val="Aptos"/>
        <family val="2"/>
      </rPr>
      <t xml:space="preserve">Réservoir GNR </t>
    </r>
    <r>
      <rPr>
        <sz val="11"/>
        <rFont val="Aptos"/>
        <family val="2"/>
      </rPr>
      <t>50</t>
    </r>
    <r>
      <rPr>
        <sz val="11"/>
        <rFont val="Aptos"/>
        <family val="2"/>
      </rPr>
      <t xml:space="preserve"> litres</t>
    </r>
  </si>
  <si>
    <t>S</t>
  </si>
  <si>
    <t>C_DAILY_+3.5_06-2019_CLIM-MAN_Rad+Cam._Sam.Paccess</t>
  </si>
  <si>
    <t>CH_DAILY-CC_70C_225-75R16_HELPER_GSRII_120L</t>
  </si>
  <si>
    <t>HL_RB_DH-LMA10_ALU_750kg-CG750_1600mm_CS-CH</t>
  </si>
  <si>
    <t>REGNAULT</t>
  </si>
  <si>
    <t>IVECO DAILY - CAISSE MESSAGERIE / HAYON</t>
  </si>
  <si>
    <t>CS_DAILY+_REGNAULT-C3</t>
  </si>
  <si>
    <t>\\petitforestier.fr\siege\Applications\BaseProduits\Datas\Publipostage\Images\PUBLICATION - SEC - HYGIENE - EURO 6\PLAN VEHICULES\PLANS 2014\IVECO\70C_CS03.jpg</t>
  </si>
  <si>
    <t>RENAULT GAMME D - CAISSE MESSAGERIE / HAYON</t>
  </si>
  <si>
    <t>C_D_2.1_CLIM_Rang.Tunel_Sam.Paccess</t>
  </si>
  <si>
    <t>M_D_240-€VI-E_BVA-OPTISHIFT</t>
  </si>
  <si>
    <t>CS_160_REGNAULT-C1</t>
  </si>
  <si>
    <t>HL_RB_ACI_DHLM20-CG1000_2000kg_1750mm_CS</t>
  </si>
  <si>
    <t>\\petitforestier.fr\siege\Applications\BaseProduits\Datas\Publipostage\Images\PUBLICATION - SEC - HYGIENE - EURO 6\\PLAN VEHICULES\\PLANS 2014\\RENAULT\\D16.210 CS 01.jpg</t>
  </si>
  <si>
    <t>C_D_2.3_CLIM_Rang.Tunel_Sam.Paccess</t>
  </si>
  <si>
    <t>M_D_280-€VI-E</t>
  </si>
  <si>
    <t>CS_190_REGNAULT-C1</t>
  </si>
  <si>
    <t>\\petitforestier.fr\siege\Applications\BaseProduits\Datas\Publipostage\Images\PUBLICATION - SEC - HYGIENE - EURO 6\\PLAN VEHICULES\\PLANS 2014\\RENAULT\\D19.280 CS 01.jpg</t>
  </si>
  <si>
    <t>160E21 CS - 15 PAL - EPISAVEURS</t>
  </si>
  <si>
    <t>160E21 CS - 18 PAL - EPISAVEURS</t>
  </si>
  <si>
    <t>190EL28 CS - 18 PAL - EPISAVEURS</t>
  </si>
  <si>
    <t>D16.210 CS - 15 PAL - EPISAVEURS</t>
  </si>
  <si>
    <t>D16.210 CS - 18 PAL - EPISAVEURS</t>
  </si>
  <si>
    <t>190EL28 CS - 21 PAL - EPISAVEURS</t>
  </si>
  <si>
    <t>IVECO EUROCARGO - CAISSE MESSAGERIE / HAYON</t>
  </si>
  <si>
    <t>C_72C18 CS - 8 PAL-PomEPS- 2 portes arrière-05/01/2025</t>
  </si>
  <si>
    <t>C_72C18 CS - 8 PAL-PomEPS- Hayon fermeture totale-05/01/2025</t>
  </si>
  <si>
    <t>C_160E21 CS - 15 PAL-PomEPS-05/01/2025</t>
  </si>
  <si>
    <t>C_160E21 CS - 18 PAL-PomEPS-05/01/2025</t>
  </si>
  <si>
    <t>C_190EL28 CS - 18 PAL-PomEPS-05/01/2025</t>
  </si>
  <si>
    <t>C_190EL28 CS - 21 PAL-PomEPS-05/01/2025</t>
  </si>
  <si>
    <t>C_D16.210 CS - 15 PAL-PomEPS-05/01/2025</t>
  </si>
  <si>
    <t>C_D16.210 CS - 18 PAL-PomEPS-05/01/2025</t>
  </si>
  <si>
    <t>C_D19.280 CS - 18 PAL-PomEPS-05/01/2025</t>
  </si>
  <si>
    <t>C_D19.280 CS - 21 PAL-PomEPS-05/01/2025</t>
  </si>
  <si>
    <t>C_72C18 CS - 8 PAL-PomEPS- 2 portes arrière-05/01/2025-OPTIONS</t>
  </si>
  <si>
    <t>C_72C18 CS - 8 PAL-PomEPS- Hayon fermeture totale-05/01/2025-OPTIONS</t>
  </si>
  <si>
    <t>C_160E21 CS - 15 PAL-PomEPS-05/01/2025-OPTIONS</t>
  </si>
  <si>
    <t>C_160E21 CS - 18 PAL-PomEPS-05/01/2025-OPTIONS</t>
  </si>
  <si>
    <t>C_190EL28 CS - 18 PAL-PomEPS-05/01/2025-OPTIONS</t>
  </si>
  <si>
    <t>C_190EL28 CS - 21 PAL-PomEPS-05/01/2025-OPTIONS</t>
  </si>
  <si>
    <t>C_D16.210 CS - 15 PAL-PomEPS-05/01/2025-OPTIONS</t>
  </si>
  <si>
    <t>C_D16.210 CS - 18 PAL-PomEPS-05/01/2025-OPTIONS</t>
  </si>
  <si>
    <t>C_D19.280 CS - 18 PAL-PomEPS-05/01/2025-OPTIONS</t>
  </si>
  <si>
    <t>C_D19.280 CS - 21 PAL-PomEPS-05/01/2025-OPTIONS</t>
  </si>
  <si>
    <t>C_TRACTEUR RENAULT T19.440TR-PomTA-20/02/2025</t>
  </si>
  <si>
    <t>C_TRACTEUR RENAULT T19.440TR-PomTA-20/02/2025-OPTIONS</t>
  </si>
  <si>
    <t>C_SEMCF01 - VECTOR HE 19 - SANS HAYON - CHEREAU-PomTA-16/01/2025</t>
  </si>
  <si>
    <t>C_SEMCF01 - VECTOR HE 19 - SANS HAYON - CHEREAU-PomTA-16/01/2025-OPTIONS</t>
  </si>
  <si>
    <t>C_SEMCF01 - VECTOR HE 19 - SANS HAYON - CHEREAU - DOUBLE PLANCHER-PomTA-16/01/2025</t>
  </si>
  <si>
    <t>C_SEMCF02 - VECTOR HE 19 - HAYON - CHEREAU-PomTA-16/01/2025</t>
  </si>
  <si>
    <t>C_SEMCF02 - VECTOR HE 19 - HAYON - CHEREAU - DOUBLE PLANCHER-PomTA-16/01/2025</t>
  </si>
  <si>
    <t>C_SEMCF01 - VECTOR HE 19 - SANS HAYON - CHEREAU - DOUBLE PLANCHER-PomTA-16/01/2025-OPTIONS</t>
  </si>
  <si>
    <t>C_SEMCF02 - VECTOR HE 19 - HAYON - CHEREAU-PomTA-16/01/2025-OPTIONS</t>
  </si>
  <si>
    <t>C_SEMCF02 - VECTOR HE 19 - HAYON - CHEREAU - DOUBLE PLANCHER-PomTA-16/01/2025-OPTIONS</t>
  </si>
  <si>
    <t>C_35S14CF04  URBAN -5 Pal - Hayon-PomTA-13/03/2025</t>
  </si>
  <si>
    <t>C_35S14CF04  URBAN -6 Pal large - Hayon-PomTA-13/03/2025</t>
  </si>
  <si>
    <t>C_35S14CF04  URBAN -6 Pal long- Hayon-PomTA-13/03/2025</t>
  </si>
  <si>
    <t>C_35S14CF04  URBAN -5 Pal - Hayon-PomTA-13/03/2025-OPTIONS</t>
  </si>
  <si>
    <t>C_35S14CF04  URBAN -6 Pal large - Hayon-PomTA-13/03/2025-OPTIONS</t>
  </si>
  <si>
    <t>C_35S14CF04  URBAN -6 Pal long- Hayon-PomTA-13/03/2025-OPTIONS</t>
  </si>
  <si>
    <t>C_72C18CF - HAYON RABATTABLE-PomTA-13/03/2025-OPTIONS</t>
  </si>
  <si>
    <t>C_72C18CF - HAYON RETRACTABLE-PomTA-13/03/2025-OPTIONS</t>
  </si>
  <si>
    <t>C_72C18CF - HAYON RABATTABLE-PomTA-13/03/2025</t>
  </si>
  <si>
    <t>C_72C18CF - HAYON RETRACTABLE-PomTA-13/03/2025</t>
  </si>
  <si>
    <t>C_120E19 CF - 12 PAL-PomTA-13/10/2025</t>
  </si>
  <si>
    <t>C_120E19 CF - 12 PAL-PomTA-13/10/2025-OPTIONS</t>
  </si>
  <si>
    <t>C_160E21 CF - 15 PAL-PomTA-13/10/2025</t>
  </si>
  <si>
    <t>C_160E21 CF - 18 PAL-PomTA-13/10/2025</t>
  </si>
  <si>
    <t>C_160E21 CF - 15 PAL-PomTA-13/10/2025-OPTIONS</t>
  </si>
  <si>
    <t>C_160E21 CF - 18 PAL-PomTA-13/10/2025-OPTIONS</t>
  </si>
  <si>
    <t>C_190EL28CF - 42 PAL - Double plancher-PomTA-11/08/2025</t>
  </si>
  <si>
    <t>C_190EL28CF - 42 PAL - Double plancher-PomTA-11/08/2025-OPTIONS</t>
  </si>
  <si>
    <t>C_190EL28CF  - 21 PAL -PomTA-11/08/2025</t>
  </si>
  <si>
    <t>C_190EL28CF  - 21 PAL -PomTA-11/08/2025-OPTIONS</t>
  </si>
  <si>
    <t>C_D12.210 CF - 12 PAL-PomTA-11/08/2025</t>
  </si>
  <si>
    <t>C_D12.210 CF - 12 PAL-PomTA-11/08/2025-OPTIONS</t>
  </si>
  <si>
    <t>C_D16.210 CF - 15 PAL-PomTA-11/08/2025</t>
  </si>
  <si>
    <t>C_D16.210 CF - 15 PAL-PomTA-11/08/2025-OPTIONS</t>
  </si>
  <si>
    <t>C_D16.210 CF - 18 PAL-PomTA-11/05/2025</t>
  </si>
  <si>
    <t>C_D16.210 CF - 18 PAL-PomTA-11/05/2025-OPTIONS</t>
  </si>
  <si>
    <t>C_D19.280 CF - 21 PAL-PomTA-11/08/2025</t>
  </si>
  <si>
    <t>C_D19.280 CF - 21 PAL-PomTA-11/08/2025-OPTIONS</t>
  </si>
  <si>
    <t>C_D19.280 CF - 42 PAL - Double plancher-PomTA-11/08/2025</t>
  </si>
  <si>
    <t>C_D19.280 CF - 42 PAL - Double plancher-PomTA-11/08/2025-OPTIONS</t>
  </si>
  <si>
    <t>C_72C18 CI - 8 PAL-PomEPS- Hayon 2 portes arrière-19/05/2025</t>
  </si>
  <si>
    <t>C_72C18 CI - 8 PAL-PomEPS- Hayon 2 portes arrière-19/05/2025-OPTIONS</t>
  </si>
  <si>
    <t>C_72C18 CI - 8 PAL-PomEPS- Hayon Fermeture totale-19/05/2025-OPTIONS</t>
  </si>
  <si>
    <t>C_72C18 CI - 8 PAL-PomEPS- Hayon Fermeture totale-19/05/2025</t>
  </si>
  <si>
    <t>C_160E21 CI - 15 PAL-PomEPS-19/05/2025-OPTIONS</t>
  </si>
  <si>
    <t>C_160E21 CI - 18 PAL-PomEPS-19/05/2025-OPTIONS</t>
  </si>
  <si>
    <t>C_190EL28 CI - 18 PAL-PomEPS-19/05/2025-OPTIONS</t>
  </si>
  <si>
    <t>C_190EL28 CI - 21 PAL-PomEPS-19/05/2025-OPTIONS</t>
  </si>
  <si>
    <t>C_160E21 CI - 15 PAL-PomEPS-19/05/2025</t>
  </si>
  <si>
    <t>C_160E21 CI - 18 PAL-PomEPS-19/05/2025</t>
  </si>
  <si>
    <t>C_190EL28 CI - 18 PAL-PomEPS-19/05/2025</t>
  </si>
  <si>
    <t>C_190EL28 CI - 21 PAL-PomEPS-19/05/2025</t>
  </si>
  <si>
    <t>C_D16.210 CI - 15 PAL-PomEPS-09/01/2025</t>
  </si>
  <si>
    <t>C_D16.210 CI - 18 PAL-PomEPS-09/01/2025</t>
  </si>
  <si>
    <t>C_D19.280 CI - 18 PAL-PomEPS-09/01/2025</t>
  </si>
  <si>
    <t>C_D19.280 CI - 21 PAL-PomEPS-09/01/2025</t>
  </si>
  <si>
    <t>C_D19.280 CI - 21 PAL-PomEPS-09/01/2025-OPTIONS</t>
  </si>
  <si>
    <t>C_D16.210 CI - 15 PAL-PomEPS-09/01/2025-OPTIONS</t>
  </si>
  <si>
    <t>C_D16.210 CI - 18 PAL-PomEPS-09/01/2025-OPTIONS</t>
  </si>
  <si>
    <t>C_D19.280 CI - 18 PAL-PomEPS-09/01/2025-OPTIONS</t>
  </si>
  <si>
    <t>C_SEMCI02 avec hayon-PomEPS-16/01/2025</t>
  </si>
  <si>
    <t>C_SEMCI02 avec hayon-PomEPS-16/01/2025-OPTIONS</t>
  </si>
  <si>
    <t>C_SEMCI02 Multiplancher - avec hayon-PomEPS-16/01/2025</t>
  </si>
  <si>
    <t>C_SEMCI02 Multiplancher - avec hayon-PomEPS-16/01/2025-OPTIONS</t>
  </si>
  <si>
    <t>C_SEMCI01 sans hayon-PomEPS-23/07/2025</t>
  </si>
  <si>
    <t>C_SEMCI01 sans hayon-PomEPS-23/07/2025-OPTIONS</t>
  </si>
  <si>
    <t>C_SEMCI01 Multiplancher - sans hayon-PomEPS-23/07/2025</t>
  </si>
  <si>
    <t>C_SEMCI01 Multiplancher - sans hayon-PomEPS-23/07/2025-OPTIONS</t>
  </si>
  <si>
    <t>HL_35S14CF04  URBAN -5 Pal - Hayon-PomTA-13/03/2025</t>
  </si>
  <si>
    <t>HL_35S14CF04  URBAN -5 Pal - Hayon-PomTA-13/03/2025-OPTIONS</t>
  </si>
  <si>
    <t>HL_35S14CF04  URBAN -6 Pal large - Hayon-PomTA-13/03/2025</t>
  </si>
  <si>
    <t>HL_35S14CF04  URBAN -6 Pal large - Hayon-PomTA-13/03/2025-OPTIONS</t>
  </si>
  <si>
    <t>HL_35S14CF04  URBAN -6 Pal long- Hayon-PomTA-13/03/2025</t>
  </si>
  <si>
    <t>HL_35S14CF04  URBAN -6 Pal long- Hayon-PomTA-13/03/2025-OPTIONS</t>
  </si>
  <si>
    <t>HL_72C18CF - HAYON RABATTABLE-PomTA-13/03/2025</t>
  </si>
  <si>
    <t>HL_72C18CF - HAYON RABATTABLE-PomTA-13/03/2025-OPTIONS</t>
  </si>
  <si>
    <t>HL_72C18CF - HAYON RETRACTABLE-PomTA-13/03/2025</t>
  </si>
  <si>
    <t>HL_72C18CF - HAYON RETRACTABLE-PomTA-13/03/2025-OPTIONS</t>
  </si>
  <si>
    <t>HL_120E19 CF - 12 PAL-PomTA-13/10/2025</t>
  </si>
  <si>
    <t>HL_120E19 CF - 12 PAL-PomTA-13/10/2025-OPTIONS</t>
  </si>
  <si>
    <t>HL_160E21 CF - 15 PAL-PomTA-13/10/2025</t>
  </si>
  <si>
    <t>HL_160E21 CF - 15 PAL-PomTA-13/10/2025-OPTIONS</t>
  </si>
  <si>
    <t>HL_160E21 CF - 18 PAL-PomTA-13/10/2025</t>
  </si>
  <si>
    <t>HL_160E21 CF - 18 PAL-PomTA-13/10/2025-OPTIONS</t>
  </si>
  <si>
    <t>HL_190EL28CF  - 21 PAL -PomTA-11/08/2025</t>
  </si>
  <si>
    <t>HL_190EL28CF  - 21 PAL -PomTA-11/08/2025-OPTIONS</t>
  </si>
  <si>
    <t>HL_190EL28CF - 42 PAL - Double plancher-PomTA-11/08/2025</t>
  </si>
  <si>
    <t>HL_190EL28CF - 42 PAL - Double plancher-PomTA-11/08/2025-OPTIONS</t>
  </si>
  <si>
    <t>HL_D12.210 CF - 12 PAL-PomTA-11/08/2025</t>
  </si>
  <si>
    <t>HL_D12.210 CF - 12 PAL-PomTA-11/08/2025-OPTIONS</t>
  </si>
  <si>
    <t>HL_D16.210 CF - 15 PAL-PomTA-11/08/2025</t>
  </si>
  <si>
    <t>HL_D16.210 CF - 15 PAL-PomTA-11/08/2025-OPTIONS</t>
  </si>
  <si>
    <t>HL_D16.210 CF - 18 PAL-PomTA-11/05/2025</t>
  </si>
  <si>
    <t>HL_D16.210 CF - 18 PAL-PomTA-11/05/2025-OPTIONS</t>
  </si>
  <si>
    <t>HL_D19.280 CF - 21 PAL-PomTA-11/08/2025</t>
  </si>
  <si>
    <t>HL_D19.280 CF - 21 PAL-PomTA-11/08/2025-OPTIONS</t>
  </si>
  <si>
    <t>HL_D19.280 CF - 42 PAL - Double plancher-PomTA-11/08/2025</t>
  </si>
  <si>
    <t>HL_D19.280 CF - 42 PAL - Double plancher-PomTA-11/08/2025-OPTIONS</t>
  </si>
  <si>
    <t>HL_TRACTEUR RENAULT T19.440TR-PomTA-20/02/2025</t>
  </si>
  <si>
    <t>HL_TRACTEUR RENAULT T19.440TR-PomTA-20/02/2025-OPTIONS</t>
  </si>
  <si>
    <t>HL_SEMCF01 - VECTOR HE 19 - SANS HAYON - CHEREAU-PomTA-16/01/2025</t>
  </si>
  <si>
    <t>HL_SEMCF01 - VECTOR HE 19 - SANS HAYON - CHEREAU-PomTA-16/01/2025-OPTIONS</t>
  </si>
  <si>
    <t>HL_SEMCF01 - VECTOR HE 19 - SANS HAYON - CHEREAU - DOUBLE PLANCHER-PomTA-16/01/2025</t>
  </si>
  <si>
    <t>HL_SEMCF01 - VECTOR HE 19 - SANS HAYON - CHEREAU - DOUBLE PLANCHER-PomTA-16/01/2025-OPTIONS</t>
  </si>
  <si>
    <t>HL_SEMCF02 - VECTOR HE 19 - HAYON - CHEREAU-PomTA-16/01/2025</t>
  </si>
  <si>
    <t>HL_SEMCF02 - VECTOR HE 19 - HAYON - CHEREAU-PomTA-16/01/2025-OPTIONS</t>
  </si>
  <si>
    <t>HL_SEMCF02 - VECTOR HE 19 - HAYON - CHEREAU - DOUBLE PLANCHER-PomTA-16/01/2025</t>
  </si>
  <si>
    <t>HL_SEMCF02 - VECTOR HE 19 - HAYON - CHEREAU - DOUBLE PLANCHER-PomTA-16/01/2025-OPTIONS</t>
  </si>
  <si>
    <t>HL_72C18 CS - 8 PAL-PomEPS- 2 portes arrière-05/01/2025</t>
  </si>
  <si>
    <t>HL_72C18 CS - 8 PAL-PomEPS- 2 portes arrière-05/01/2025-OPTIONS</t>
  </si>
  <si>
    <t>HL_72C18 CS - 8 PAL-PomEPS- Hayon fermeture totale-05/01/2025</t>
  </si>
  <si>
    <t>HL_72C18 CS - 8 PAL-PomEPS- Hayon fermeture totale-05/01/2025-OPTIONS</t>
  </si>
  <si>
    <t>HL_160E21 CS - 15 PAL-PomEPS-05/01/2025</t>
  </si>
  <si>
    <t>HL_160E21 CS - 15 PAL-PomEPS-05/01/2025-OPTIONS</t>
  </si>
  <si>
    <t>HL_160E21 CS - 18 PAL-PomEPS-05/01/2025</t>
  </si>
  <si>
    <t>HL_160E21 CS - 18 PAL-PomEPS-05/01/2025-OPTIONS</t>
  </si>
  <si>
    <t>HL_190EL28 CS - 18 PAL-PomEPS-05/01/2025</t>
  </si>
  <si>
    <t>HL_190EL28 CS - 18 PAL-PomEPS-05/01/2025-OPTIONS</t>
  </si>
  <si>
    <t>HL_190EL28 CS - 21 PAL-PomEPS-05/01/2025</t>
  </si>
  <si>
    <t>HL_190EL28 CS - 21 PAL-PomEPS-05/01/2025-OPTIONS</t>
  </si>
  <si>
    <t>HL_D16.210 CS - 15 PAL-PomEPS-05/01/2025</t>
  </si>
  <si>
    <t>HL_D16.210 CS - 15 PAL-PomEPS-05/01/2025-OPTIONS</t>
  </si>
  <si>
    <t>HL_D16.210 CS - 18 PAL-PomEPS-05/01/2025</t>
  </si>
  <si>
    <t>HL_D16.210 CS - 18 PAL-PomEPS-05/01/2025-OPTIONS</t>
  </si>
  <si>
    <t>HL_D19.280 CS - 18 PAL-PomEPS-05/01/2025</t>
  </si>
  <si>
    <t>HL_D19.280 CS - 18 PAL-PomEPS-05/01/2025-OPTIONS</t>
  </si>
  <si>
    <t>HL_D19.280 CS - 21 PAL-PomEPS-05/01/2025</t>
  </si>
  <si>
    <t>HL_D19.280 CS - 21 PAL-PomEPS-05/01/2025-OPTIONS</t>
  </si>
  <si>
    <t>HL_72C18 CI - 8 PAL-PomEPS- Hayon 2 portes arrière-19/05/2025</t>
  </si>
  <si>
    <t>HL_72C18 CI - 8 PAL-PomEPS- Hayon 2 portes arrière-19/05/2025-OPTIONS</t>
  </si>
  <si>
    <t>HL_72C18 CI - 8 PAL-PomEPS- Hayon Fermeture totale-19/05/2025</t>
  </si>
  <si>
    <t>HL_72C18 CI - 8 PAL-PomEPS- Hayon Fermeture totale-19/05/2025-OPTIONS</t>
  </si>
  <si>
    <t>HL_160E21 CI - 15 PAL-PomEPS-19/05/2025</t>
  </si>
  <si>
    <t>HL_160E21 CI - 15 PAL-PomEPS-19/05/2025-OPTIONS</t>
  </si>
  <si>
    <t>HL_160E21 CI - 18 PAL-PomEPS-19/05/2025</t>
  </si>
  <si>
    <t>HL_160E21 CI - 18 PAL-PomEPS-19/05/2025-OPTIONS</t>
  </si>
  <si>
    <t>HL_190EL28 CI - 18 PAL-PomEPS-19/05/2025</t>
  </si>
  <si>
    <t>HL_190EL28 CI - 18 PAL-PomEPS-19/05/2025-OPTIONS</t>
  </si>
  <si>
    <t>HL_190EL28 CI - 21 PAL-PomEPS-19/05/2025</t>
  </si>
  <si>
    <t>HL_190EL28 CI - 21 PAL-PomEPS-19/05/2025-OPTIONS</t>
  </si>
  <si>
    <t>HL_D16.210 CI - 15 PAL-PomEPS-09/01/2025</t>
  </si>
  <si>
    <t>HL_D16.210 CI - 15 PAL-PomEPS-09/01/2025-OPTIONS</t>
  </si>
  <si>
    <t>HL_D16.210 CI - 18 PAL-PomEPS-09/01/2025</t>
  </si>
  <si>
    <t>HL_D16.210 CI - 18 PAL-PomEPS-09/01/2025-OPTIONS</t>
  </si>
  <si>
    <t>HL_D19.280 CI - 18 PAL-PomEPS-09/01/2025</t>
  </si>
  <si>
    <t>HL_D19.280 CI - 18 PAL-PomEPS-09/01/2025-OPTIONS</t>
  </si>
  <si>
    <t>HL_D19.280 CI - 21 PAL-PomEPS-09/01/2025</t>
  </si>
  <si>
    <t>HL_D19.280 CI - 21 PAL-PomEPS-09/01/2025-OPTIONS</t>
  </si>
  <si>
    <t>HL_SEMCI01 sans hayon-PomEPS-23/07/2025</t>
  </si>
  <si>
    <t>HL_SEMCI01 sans hayon-PomEPS-23/07/2025-OPTIONS</t>
  </si>
  <si>
    <t>HL_SEMCI01 Multiplancher - sans hayon-PomEPS-23/07/2025</t>
  </si>
  <si>
    <t>HL_SEMCI01 Multiplancher - sans hayon-PomEPS-23/07/2025-OPTIONS</t>
  </si>
  <si>
    <t>HL_SEMCI02 avec hayon-PomEPS-16/01/2025</t>
  </si>
  <si>
    <t>HL_SEMCI02 avec hayon-PomEPS-16/01/2025-OPTIONS</t>
  </si>
  <si>
    <t>HL_SEMCI02 Multiplancher - avec hayon-PomEPS-16/01/2025</t>
  </si>
  <si>
    <t>HL_SEMCI02 Multiplancher - avec hayon-PomEPS-16/01/2025-OPTIONS</t>
  </si>
  <si>
    <t>GF_35S14CF04  URBAN -5 Pal - Hayon-PomTA-13/03/2025</t>
  </si>
  <si>
    <t>GF_35S14CF04  URBAN -5 Pal - Hayon-PomTA-13/03/2025-OPTIONS</t>
  </si>
  <si>
    <t>GF_35S14CF04  URBAN -6 Pal large - Hayon-PomTA-13/03/2025</t>
  </si>
  <si>
    <t>GF_35S14CF04  URBAN -6 Pal large - Hayon-PomTA-13/03/2025-OPTIONS</t>
  </si>
  <si>
    <t>GF_35S14CF04  URBAN -6 Pal long- Hayon-PomTA-13/03/2025</t>
  </si>
  <si>
    <t>GF_35S14CF04  URBAN -6 Pal long- Hayon-PomTA-13/03/2025-OPTIONS</t>
  </si>
  <si>
    <t>GF_72C18CF - HAYON RABATTABLE-PomTA-13/03/2025</t>
  </si>
  <si>
    <t>GF_72C18CF - HAYON RABATTABLE-PomTA-13/03/2025-OPTIONS</t>
  </si>
  <si>
    <t>GF_72C18CF - HAYON RETRACTABLE-PomTA-13/03/2025</t>
  </si>
  <si>
    <t>GF_72C18CF - HAYON RETRACTABLE-PomTA-13/03/2025-OPTIONS</t>
  </si>
  <si>
    <t>GF_120E19 CF - 12 PAL-PomTA-13/10/2025</t>
  </si>
  <si>
    <t>GF_120E19 CF - 12 PAL-PomTA-13/10/2025-OPTIONS</t>
  </si>
  <si>
    <t>GF_160E21 CF - 15 PAL-PomTA-13/10/2025</t>
  </si>
  <si>
    <t>GF_160E21 CF - 15 PAL-PomTA-13/10/2025-OPTIONS</t>
  </si>
  <si>
    <t>GF_160E21 CF - 18 PAL-PomTA-13/10/2025</t>
  </si>
  <si>
    <t>GF_160E21 CF - 18 PAL-PomTA-13/10/2025-OPTIONS</t>
  </si>
  <si>
    <t>GF_190EL28CF  - 21 PAL -PomTA-11/08/2025</t>
  </si>
  <si>
    <t>GF_190EL28CF  - 21 PAL -PomTA-11/08/2025-OPTIONS</t>
  </si>
  <si>
    <t>GF_190EL28CF - 42 PAL - Double plancher-PomTA-11/08/2025</t>
  </si>
  <si>
    <t>GF_190EL28CF - 42 PAL - Double plancher-PomTA-11/08/2025-OPTIONS</t>
  </si>
  <si>
    <t>GF_D12.210 CF - 12 PAL-PomTA-11/08/2025</t>
  </si>
  <si>
    <t>GF_D12.210 CF - 12 PAL-PomTA-11/08/2025-OPTIONS</t>
  </si>
  <si>
    <t>GF_D16.210 CF - 15 PAL-PomTA-11/08/2025</t>
  </si>
  <si>
    <t>GF_D16.210 CF - 15 PAL-PomTA-11/08/2025-OPTIONS</t>
  </si>
  <si>
    <t>GF_D16.210 CF - 18 PAL-PomTA-11/05/2025</t>
  </si>
  <si>
    <t>GF_D16.210 CF - 18 PAL-PomTA-11/05/2025-OPTIONS</t>
  </si>
  <si>
    <t>GF_D19.280 CF - 21 PAL-PomTA-11/08/2025</t>
  </si>
  <si>
    <t>GF_D19.280 CF - 21 PAL-PomTA-11/08/2025-OPTIONS</t>
  </si>
  <si>
    <t>GF_D19.280 CF - 42 PAL - Double plancher-PomTA-11/08/2025</t>
  </si>
  <si>
    <t>GF_D19.280 CF - 42 PAL - Double plancher-PomTA-11/08/2025-OPTIONS</t>
  </si>
  <si>
    <t>GF_TRACTEUR RENAULT T19.440TR-PomTA-20/02/2025</t>
  </si>
  <si>
    <t>GF_TRACTEUR RENAULT T19.440TR-PomTA-20/02/2025-OPTIONS</t>
  </si>
  <si>
    <t>GF_SEMCF01 - VECTOR HE 19 - SANS HAYON - CHEREAU-PomTA-16/01/2025</t>
  </si>
  <si>
    <t>GF_SEMCF01 - VECTOR HE 19 - SANS HAYON - CHEREAU-PomTA-16/01/2025-OPTIONS</t>
  </si>
  <si>
    <t>GF_SEMCF01 - VECTOR HE 19 - SANS HAYON - CHEREAU - DOUBLE PLANCHER-PomTA-16/01/2025</t>
  </si>
  <si>
    <t>GF_SEMCF01 - VECTOR HE 19 - SANS HAYON - CHEREAU - DOUBLE PLANCHER-PomTA-16/01/2025-OPTIONS</t>
  </si>
  <si>
    <t>GF_SEMCF02 - VECTOR HE 19 - HAYON - CHEREAU-PomTA-16/01/2025</t>
  </si>
  <si>
    <t>GF_SEMCF02 - VECTOR HE 19 - HAYON - CHEREAU-PomTA-16/01/2025-OPTIONS</t>
  </si>
  <si>
    <t>GF_SEMCF02 - VECTOR HE 19 - HAYON - CHEREAU - DOUBLE PLANCHER-PomTA-16/01/2025</t>
  </si>
  <si>
    <t>GF_SEMCF02 - VECTOR HE 19 - HAYON - CHEREAU - DOUBLE PLANCHER-PomTA-16/01/2025-OPTIONS</t>
  </si>
  <si>
    <t>GF_72C18 CS - 8 PAL-PomEPS- 2 portes arrière-05/01/2025</t>
  </si>
  <si>
    <t>GF_72C18 CS - 8 PAL-PomEPS- 2 portes arrière-05/01/2025-OPTIONS</t>
  </si>
  <si>
    <t>GF_72C18 CS - 8 PAL-PomEPS- Hayon fermeture totale-05/01/2025</t>
  </si>
  <si>
    <t>GF_72C18 CS - 8 PAL-PomEPS- Hayon fermeture totale-05/01/2025-OPTIONS</t>
  </si>
  <si>
    <t>GF_160E21 CS - 15 PAL-PomEPS-05/01/2025</t>
  </si>
  <si>
    <t>GF_160E21 CS - 15 PAL-PomEPS-05/01/2025-OPTIONS</t>
  </si>
  <si>
    <t>GF_160E21 CS - 18 PAL-PomEPS-05/01/2025</t>
  </si>
  <si>
    <t>GF_160E21 CS - 18 PAL-PomEPS-05/01/2025-OPTIONS</t>
  </si>
  <si>
    <t>GF_190EL28 CS - 18 PAL-PomEPS-05/01/2025</t>
  </si>
  <si>
    <t>GF_190EL28 CS - 18 PAL-PomEPS-05/01/2025-OPTIONS</t>
  </si>
  <si>
    <t>GF_190EL28 CS - 21 PAL-PomEPS-05/01/2025</t>
  </si>
  <si>
    <t>GF_190EL28 CS - 21 PAL-PomEPS-05/01/2025-OPTIONS</t>
  </si>
  <si>
    <t>GF_D16.210 CS - 15 PAL-PomEPS-05/01/2025</t>
  </si>
  <si>
    <t>GF_D16.210 CS - 15 PAL-PomEPS-05/01/2025-OPTIONS</t>
  </si>
  <si>
    <t>GF_D16.210 CS - 18 PAL-PomEPS-05/01/2025</t>
  </si>
  <si>
    <t>GF_D16.210 CS - 18 PAL-PomEPS-05/01/2025-OPTIONS</t>
  </si>
  <si>
    <t>GF_D19.280 CS - 18 PAL-PomEPS-05/01/2025</t>
  </si>
  <si>
    <t>GF_D19.280 CS - 18 PAL-PomEPS-05/01/2025-OPTIONS</t>
  </si>
  <si>
    <t>GF_D19.280 CS - 21 PAL-PomEPS-05/01/2025</t>
  </si>
  <si>
    <t>GF_D19.280 CS - 21 PAL-PomEPS-05/01/2025-OPTIONS</t>
  </si>
  <si>
    <t>GF_72C18 CI - 8 PAL-PomEPS- Hayon 2 portes arrière-19/05/2025</t>
  </si>
  <si>
    <t>GF_72C18 CI - 8 PAL-PomEPS- Hayon 2 portes arrière-19/05/2025-OPTIONS</t>
  </si>
  <si>
    <t>GF_72C18 CI - 8 PAL-PomEPS- Hayon Fermeture totale-19/05/2025</t>
  </si>
  <si>
    <t>GF_72C18 CI - 8 PAL-PomEPS- Hayon Fermeture totale-19/05/2025-OPTIONS</t>
  </si>
  <si>
    <t>GF_160E21 CI - 15 PAL-PomEPS-19/05/2025</t>
  </si>
  <si>
    <t>GF_160E21 CI - 15 PAL-PomEPS-19/05/2025-OPTIONS</t>
  </si>
  <si>
    <t>GF_160E21 CI - 18 PAL-PomEPS-19/05/2025</t>
  </si>
  <si>
    <t>GF_160E21 CI - 18 PAL-PomEPS-19/05/2025-OPTIONS</t>
  </si>
  <si>
    <t>GF_190EL28 CI - 18 PAL-PomEPS-19/05/2025</t>
  </si>
  <si>
    <t>GF_190EL28 CI - 18 PAL-PomEPS-19/05/2025-OPTIONS</t>
  </si>
  <si>
    <t>GF_190EL28 CI - 21 PAL-PomEPS-19/05/2025</t>
  </si>
  <si>
    <t>GF_190EL28 CI - 21 PAL-PomEPS-19/05/2025-OPTIONS</t>
  </si>
  <si>
    <t>GF_D16.210 CI - 15 PAL-PomEPS-09/01/2025</t>
  </si>
  <si>
    <t>GF_D16.210 CI - 15 PAL-PomEPS-09/01/2025-OPTIONS</t>
  </si>
  <si>
    <t>GF_D16.210 CI - 18 PAL-PomEPS-09/01/2025</t>
  </si>
  <si>
    <t>GF_D16.210 CI - 18 PAL-PomEPS-09/01/2025-OPTIONS</t>
  </si>
  <si>
    <t>GF_D19.280 CI - 18 PAL-PomEPS-09/01/2025</t>
  </si>
  <si>
    <t>GF_D19.280 CI - 18 PAL-PomEPS-09/01/2025-OPTIONS</t>
  </si>
  <si>
    <t>GF_D19.280 CI - 21 PAL-PomEPS-09/01/2025</t>
  </si>
  <si>
    <t>GF_D19.280 CI - 21 PAL-PomEPS-09/01/2025-OPTIONS</t>
  </si>
  <si>
    <t>GF_SEMCI01 sans hayon-PomEPS-23/07/2025</t>
  </si>
  <si>
    <t>GF_SEMCI01 sans hayon-PomEPS-23/07/2025-OPTIONS</t>
  </si>
  <si>
    <t>GF_SEMCI01 Multiplancher - sans hayon-PomEPS-23/07/2025</t>
  </si>
  <si>
    <t>GF_SEMCI01 Multiplancher - sans hayon-PomEPS-23/07/2025-OPTIONS</t>
  </si>
  <si>
    <t>GF_SEMCI02 avec hayon-PomEPS-16/01/2025</t>
  </si>
  <si>
    <t>GF_SEMCI02 avec hayon-PomEPS-16/01/2025-OPTIONS</t>
  </si>
  <si>
    <t>GF_SEMCI02 Multiplancher - avec hayon-PomEPS-16/01/2025</t>
  </si>
  <si>
    <t>GF_SEMCI02 Multiplancher - avec hayon-PomEPS-16/01/2025-OPTIONS</t>
  </si>
  <si>
    <t>CF_35S14CF04  URBAN -5 Pal - Hayon-PomTA-13/03/2025</t>
  </si>
  <si>
    <t>CF_35S14CF04  URBAN -5 Pal - Hayon-PomTA-13/03/2025-OPTIONS</t>
  </si>
  <si>
    <t>CF_35S14CF04  URBAN -6 Pal large - Hayon-PomTA-13/03/2025</t>
  </si>
  <si>
    <t>CF_35S14CF04  URBAN -6 Pal large - Hayon-PomTA-13/03/2025-OPTIONS</t>
  </si>
  <si>
    <t>CF_35S14CF04  URBAN -6 Pal long- Hayon-PomTA-13/03/2025</t>
  </si>
  <si>
    <t>CF_35S14CF04  URBAN -6 Pal long- Hayon-PomTA-13/03/2025-OPTIONS</t>
  </si>
  <si>
    <t>CF_72C18CF - HAYON RABATTABLE-PomTA-13/03/2025</t>
  </si>
  <si>
    <t>CF_72C18CF - HAYON RABATTABLE-PomTA-13/03/2025-OPTIONS</t>
  </si>
  <si>
    <t>CF_72C18CF - HAYON RETRACTABLE-PomTA-13/03/2025</t>
  </si>
  <si>
    <t>CF_72C18CF - HAYON RETRACTABLE-PomTA-13/03/2025-OPTIONS</t>
  </si>
  <si>
    <t>CF_120E19 CF - 12 PAL-PomTA-13/10/2025</t>
  </si>
  <si>
    <t>CF_120E19 CF - 12 PAL-PomTA-13/10/2025-OPTIONS</t>
  </si>
  <si>
    <t>CF_160E21 CF - 15 PAL-PomTA-13/10/2025</t>
  </si>
  <si>
    <t>CF_160E21 CF - 15 PAL-PomTA-13/10/2025-OPTIONS</t>
  </si>
  <si>
    <t>CF_160E21 CF - 18 PAL-PomTA-13/10/2025</t>
  </si>
  <si>
    <t>CF_160E21 CF - 18 PAL-PomTA-13/10/2025-OPTIONS</t>
  </si>
  <si>
    <t>CF_190EL28CF  - 21 PAL -PomTA-11/08/2025</t>
  </si>
  <si>
    <t>CF_190EL28CF  - 21 PAL -PomTA-11/08/2025-OPTIONS</t>
  </si>
  <si>
    <t>CF_190EL28CF - 42 PAL - Double plancher-PomTA-11/08/2025</t>
  </si>
  <si>
    <t>CF_190EL28CF - 42 PAL - Double plancher-PomTA-11/08/2025-OPTIONS</t>
  </si>
  <si>
    <t>CF_D12.210 CF - 12 PAL-PomTA-11/08/2025</t>
  </si>
  <si>
    <t>CF_D12.210 CF - 12 PAL-PomTA-11/08/2025-OPTIONS</t>
  </si>
  <si>
    <t>CF_D16.210 CF - 15 PAL-PomTA-11/08/2025</t>
  </si>
  <si>
    <t>CF_D16.210 CF - 15 PAL-PomTA-11/08/2025-OPTIONS</t>
  </si>
  <si>
    <t>CF_D16.210 CF - 18 PAL-PomTA-11/05/2025</t>
  </si>
  <si>
    <t>CF_D16.210 CF - 18 PAL-PomTA-11/05/2025-OPTIONS</t>
  </si>
  <si>
    <t>CF_D19.280 CF - 21 PAL-PomTA-11/08/2025</t>
  </si>
  <si>
    <t>CF_D19.280 CF - 21 PAL-PomTA-11/08/2025-OPTIONS</t>
  </si>
  <si>
    <t>CF_D19.280 CF - 42 PAL - Double plancher-PomTA-11/08/2025</t>
  </si>
  <si>
    <t>CF_D19.280 CF - 42 PAL - Double plancher-PomTA-11/08/2025-OPTIONS</t>
  </si>
  <si>
    <t>CF_TRACTEUR RENAULT T19.440TR-PomTA-20/02/2025</t>
  </si>
  <si>
    <t>CF_TRACTEUR RENAULT T19.440TR-PomTA-20/02/2025-OPTIONS</t>
  </si>
  <si>
    <t>CF_SEMCF01 - VECTOR HE 19 - SANS HAYON - CHEREAU-PomTA-16/01/2025</t>
  </si>
  <si>
    <t>CF_SEMCF01 - VECTOR HE 19 - SANS HAYON - CHEREAU-PomTA-16/01/2025-OPTIONS</t>
  </si>
  <si>
    <t>CF_SEMCF01 - VECTOR HE 19 - SANS HAYON - CHEREAU - DOUBLE PLANCHER-PomTA-16/01/2025</t>
  </si>
  <si>
    <t>CF_SEMCF01 - VECTOR HE 19 - SANS HAYON - CHEREAU - DOUBLE PLANCHER-PomTA-16/01/2025-OPTIONS</t>
  </si>
  <si>
    <t>CF_SEMCF02 - VECTOR HE 19 - HAYON - CHEREAU-PomTA-16/01/2025</t>
  </si>
  <si>
    <t>CF_SEMCF02 - VECTOR HE 19 - HAYON - CHEREAU-PomTA-16/01/2025-OPTIONS</t>
  </si>
  <si>
    <t>CF_SEMCF02 - VECTOR HE 19 - HAYON - CHEREAU - DOUBLE PLANCHER-PomTA-16/01/2025</t>
  </si>
  <si>
    <t>CF_SEMCF02 - VECTOR HE 19 - HAYON - CHEREAU - DOUBLE PLANCHER-PomTA-16/01/2025-OPTIONS</t>
  </si>
  <si>
    <t>CF_72C18 CS - 8 PAL-PomEPS- 2 portes arrière-05/01/2025</t>
  </si>
  <si>
    <t>CF_72C18 CS - 8 PAL-PomEPS- 2 portes arrière-05/01/2025-OPTIONS</t>
  </si>
  <si>
    <t>CF_72C18 CS - 8 PAL-PomEPS- Hayon fermeture totale-05/01/2025</t>
  </si>
  <si>
    <t>CF_72C18 CS - 8 PAL-PomEPS- Hayon fermeture totale-05/01/2025-OPTIONS</t>
  </si>
  <si>
    <t>CF_160E21 CS - 15 PAL-PomEPS-05/01/2025</t>
  </si>
  <si>
    <t>CF_160E21 CS - 15 PAL-PomEPS-05/01/2025-OPTIONS</t>
  </si>
  <si>
    <t>CF_160E21 CS - 18 PAL-PomEPS-05/01/2025</t>
  </si>
  <si>
    <t>CF_160E21 CS - 18 PAL-PomEPS-05/01/2025-OPTIONS</t>
  </si>
  <si>
    <t>CF_190EL28 CS - 18 PAL-PomEPS-05/01/2025</t>
  </si>
  <si>
    <t>CF_190EL28 CS - 18 PAL-PomEPS-05/01/2025-OPTIONS</t>
  </si>
  <si>
    <t>CF_190EL28 CS - 21 PAL-PomEPS-05/01/2025</t>
  </si>
  <si>
    <t>CF_190EL28 CS - 21 PAL-PomEPS-05/01/2025-OPTIONS</t>
  </si>
  <si>
    <t>CF_D16.210 CS - 15 PAL-PomEPS-05/01/2025</t>
  </si>
  <si>
    <t>CF_D16.210 CS - 15 PAL-PomEPS-05/01/2025-OPTIONS</t>
  </si>
  <si>
    <t>CF_D16.210 CS - 18 PAL-PomEPS-05/01/2025</t>
  </si>
  <si>
    <t>CF_D16.210 CS - 18 PAL-PomEPS-05/01/2025-OPTIONS</t>
  </si>
  <si>
    <t>CF_D19.280 CS - 18 PAL-PomEPS-05/01/2025</t>
  </si>
  <si>
    <t>CF_D19.280 CS - 18 PAL-PomEPS-05/01/2025-OPTIONS</t>
  </si>
  <si>
    <t>CF_D19.280 CS - 21 PAL-PomEPS-05/01/2025</t>
  </si>
  <si>
    <t>CF_D19.280 CS - 21 PAL-PomEPS-05/01/2025-OPTIONS</t>
  </si>
  <si>
    <t>CF_72C18 CI - 8 PAL-PomEPS- Hayon 2 portes arrière-19/05/2025</t>
  </si>
  <si>
    <t>CF_72C18 CI - 8 PAL-PomEPS- Hayon 2 portes arrière-19/05/2025-OPTIONS</t>
  </si>
  <si>
    <t>CF_72C18 CI - 8 PAL-PomEPS- Hayon Fermeture totale-19/05/2025</t>
  </si>
  <si>
    <t>CF_72C18 CI - 8 PAL-PomEPS- Hayon Fermeture totale-19/05/2025-OPTIONS</t>
  </si>
  <si>
    <t>CF_160E21 CI - 15 PAL-PomEPS-19/05/2025</t>
  </si>
  <si>
    <t>CF_160E21 CI - 15 PAL-PomEPS-19/05/2025-OPTIONS</t>
  </si>
  <si>
    <t>CF_160E21 CI - 18 PAL-PomEPS-19/05/2025</t>
  </si>
  <si>
    <t>CF_160E21 CI - 18 PAL-PomEPS-19/05/2025-OPTIONS</t>
  </si>
  <si>
    <t>CF_190EL28 CI - 18 PAL-PomEPS-19/05/2025</t>
  </si>
  <si>
    <t>CF_190EL28 CI - 18 PAL-PomEPS-19/05/2025-OPTIONS</t>
  </si>
  <si>
    <t>CF_190EL28 CI - 21 PAL-PomEPS-19/05/2025</t>
  </si>
  <si>
    <t>CF_190EL28 CI - 21 PAL-PomEPS-19/05/2025-OPTIONS</t>
  </si>
  <si>
    <t>CF_D16.210 CI - 15 PAL-PomEPS-09/01/2025</t>
  </si>
  <si>
    <t>CF_D16.210 CI - 15 PAL-PomEPS-09/01/2025-OPTIONS</t>
  </si>
  <si>
    <t>CF_D16.210 CI - 18 PAL-PomEPS-09/01/2025</t>
  </si>
  <si>
    <t>CF_D16.210 CI - 18 PAL-PomEPS-09/01/2025-OPTIONS</t>
  </si>
  <si>
    <t>CF_D19.280 CI - 18 PAL-PomEPS-09/01/2025</t>
  </si>
  <si>
    <t>CF_D19.280 CI - 18 PAL-PomEPS-09/01/2025-OPTIONS</t>
  </si>
  <si>
    <t>CF_D19.280 CI - 21 PAL-PomEPS-09/01/2025</t>
  </si>
  <si>
    <t>CF_D19.280 CI - 21 PAL-PomEPS-09/01/2025-OPTIONS</t>
  </si>
  <si>
    <t>CF_SEMCI01 sans hayon-PomEPS-23/07/2025</t>
  </si>
  <si>
    <t>CF_SEMCI01 sans hayon-PomEPS-23/07/2025-OPTIONS</t>
  </si>
  <si>
    <t>CF_SEMCI01 Multiplancher - sans hayon-PomEPS-23/07/2025</t>
  </si>
  <si>
    <t>CF_SEMCI01 Multiplancher - sans hayon-PomEPS-23/07/2025-OPTIONS</t>
  </si>
  <si>
    <t>CF_SEMCI02 avec hayon-PomEPS-16/01/2025</t>
  </si>
  <si>
    <t>CF_SEMCI02 avec hayon-PomEPS-16/01/2025-OPTIONS</t>
  </si>
  <si>
    <t>CF_SEMCI02 Multiplancher - avec hayon-PomEPS-16/01/2025</t>
  </si>
  <si>
    <t>CF_SEMCI02 Multiplancher - avec hayon-PomEPS-16/01/2025-OPTIONS</t>
  </si>
  <si>
    <t>CH_35S14CF04  URBAN -5 Pal - Hayon-PomTA-13/03/2025</t>
  </si>
  <si>
    <t>CH_35S14CF04  URBAN -5 Pal - Hayon-PomTA-13/03/2025-OPTIONS</t>
  </si>
  <si>
    <t>CH_35S14CF04  URBAN -6 Pal large - Hayon-PomTA-13/03/2025</t>
  </si>
  <si>
    <t>CH_35S14CF04  URBAN -6 Pal large - Hayon-PomTA-13/03/2025-OPTIONS</t>
  </si>
  <si>
    <t>CH_35S14CF04  URBAN -6 Pal long- Hayon-PomTA-13/03/2025</t>
  </si>
  <si>
    <t>CH_35S14CF04  URBAN -6 Pal long- Hayon-PomTA-13/03/2025-OPTIONS</t>
  </si>
  <si>
    <t>CH_72C18CF - HAYON RABATTABLE-PomTA-13/03/2025</t>
  </si>
  <si>
    <t>CH_72C18CF - HAYON RABATTABLE-PomTA-13/03/2025-OPTIONS</t>
  </si>
  <si>
    <t>CH_72C18CF - HAYON RETRACTABLE-PomTA-13/03/2025</t>
  </si>
  <si>
    <t>CH_72C18CF - HAYON RETRACTABLE-PomTA-13/03/2025-OPTIONS</t>
  </si>
  <si>
    <t>CH_120E19 CF - 12 PAL-PomTA-13/10/2025</t>
  </si>
  <si>
    <t>CH_120E19 CF - 12 PAL-PomTA-13/10/2025-OPTIONS</t>
  </si>
  <si>
    <t>CH_160E21 CF - 15 PAL-PomTA-13/10/2025</t>
  </si>
  <si>
    <t>CH_160E21 CF - 15 PAL-PomTA-13/10/2025-OPTIONS</t>
  </si>
  <si>
    <t>CH_160E21 CF - 18 PAL-PomTA-13/10/2025</t>
  </si>
  <si>
    <t>CH_160E21 CF - 18 PAL-PomTA-13/10/2025-OPTIONS</t>
  </si>
  <si>
    <t>CH_190EL28CF  - 21 PAL -PomTA-11/08/2025</t>
  </si>
  <si>
    <t>CH_190EL28CF  - 21 PAL -PomTA-11/08/2025-OPTIONS</t>
  </si>
  <si>
    <t>CH_190EL28CF - 42 PAL - Double plancher-PomTA-11/08/2025</t>
  </si>
  <si>
    <t>CH_190EL28CF - 42 PAL - Double plancher-PomTA-11/08/2025-OPTIONS</t>
  </si>
  <si>
    <t>CH_D12.210 CF - 12 PAL-PomTA-11/08/2025</t>
  </si>
  <si>
    <t>CH_D12.210 CF - 12 PAL-PomTA-11/08/2025-OPTIONS</t>
  </si>
  <si>
    <t>CH_D16.210 CF - 15 PAL-PomTA-11/08/2025</t>
  </si>
  <si>
    <t>CH_D16.210 CF - 15 PAL-PomTA-11/08/2025-OPTIONS</t>
  </si>
  <si>
    <t>CH_D16.210 CF - 18 PAL-PomTA-11/05/2025</t>
  </si>
  <si>
    <t>CH_D16.210 CF - 18 PAL-PomTA-11/05/2025-OPTIONS</t>
  </si>
  <si>
    <t>CH_D19.280 CF - 21 PAL-PomTA-11/08/2025</t>
  </si>
  <si>
    <t>CH_D19.280 CF - 21 PAL-PomTA-11/08/2025-OPTIONS</t>
  </si>
  <si>
    <t>CH_D19.280 CF - 42 PAL - Double plancher-PomTA-11/08/2025</t>
  </si>
  <si>
    <t>CH_D19.280 CF - 42 PAL - Double plancher-PomTA-11/08/2025-OPTIONS</t>
  </si>
  <si>
    <t>CH_TRACTEUR RENAULT T19.440TR-PomTA-20/02/2025</t>
  </si>
  <si>
    <t>CH_TRACTEUR RENAULT T19.440TR-PomTA-20/02/2025-OPTIONS</t>
  </si>
  <si>
    <t>CH_SEMCF01 - VECTOR HE 19 - SANS HAYON - CHEREAU-PomTA-16/01/2025</t>
  </si>
  <si>
    <t>CH_SEMCF01 - VECTOR HE 19 - SANS HAYON - CHEREAU-PomTA-16/01/2025-OPTIONS</t>
  </si>
  <si>
    <t>CH_SEMCF01 - VECTOR HE 19 - SANS HAYON - CHEREAU - DOUBLE PLANCHER-PomTA-16/01/2025</t>
  </si>
  <si>
    <t>CH_SEMCF01 - VECTOR HE 19 - SANS HAYON - CHEREAU - DOUBLE PLANCHER-PomTA-16/01/2025-OPTIONS</t>
  </si>
  <si>
    <t>CH_SEMCF02 - VECTOR HE 19 - HAYON - CHEREAU-PomTA-16/01/2025</t>
  </si>
  <si>
    <t>CH_SEMCF02 - VECTOR HE 19 - HAYON - CHEREAU-PomTA-16/01/2025-OPTIONS</t>
  </si>
  <si>
    <t>CH_SEMCF02 - VECTOR HE 19 - HAYON - CHEREAU - DOUBLE PLANCHER-PomTA-16/01/2025</t>
  </si>
  <si>
    <t>CH_SEMCF02 - VECTOR HE 19 - HAYON - CHEREAU - DOUBLE PLANCHER-PomTA-16/01/2025-OPTIONS</t>
  </si>
  <si>
    <t>CH_72C18 CS - 8 PAL-PomEPS- 2 portes arrière-05/01/2025</t>
  </si>
  <si>
    <t>CH_72C18 CS - 8 PAL-PomEPS- 2 portes arrière-05/01/2025-OPTIONS</t>
  </si>
  <si>
    <t>CH_72C18 CS - 8 PAL-PomEPS- Hayon fermeture totale-05/01/2025</t>
  </si>
  <si>
    <t>CH_72C18 CS - 8 PAL-PomEPS- Hayon fermeture totale-05/01/2025-OPTIONS</t>
  </si>
  <si>
    <t>CH_160E21 CS - 15 PAL-PomEPS-05/01/2025</t>
  </si>
  <si>
    <t>CH_160E21 CS - 15 PAL-PomEPS-05/01/2025-OPTIONS</t>
  </si>
  <si>
    <t>CH_160E21 CS - 18 PAL-PomEPS-05/01/2025</t>
  </si>
  <si>
    <t>CH_160E21 CS - 18 PAL-PomEPS-05/01/2025-OPTIONS</t>
  </si>
  <si>
    <t>CH_190EL28 CS - 18 PAL-PomEPS-05/01/2025</t>
  </si>
  <si>
    <t>CH_190EL28 CS - 18 PAL-PomEPS-05/01/2025-OPTIONS</t>
  </si>
  <si>
    <t>CH_190EL28 CS - 21 PAL-PomEPS-05/01/2025</t>
  </si>
  <si>
    <t>CH_190EL28 CS - 21 PAL-PomEPS-05/01/2025-OPTIONS</t>
  </si>
  <si>
    <t>CH_D16.210 CS - 15 PAL-PomEPS-05/01/2025</t>
  </si>
  <si>
    <t>CH_D16.210 CS - 15 PAL-PomEPS-05/01/2025-OPTIONS</t>
  </si>
  <si>
    <t>CH_D16.210 CS - 18 PAL-PomEPS-05/01/2025</t>
  </si>
  <si>
    <t>CH_D16.210 CS - 18 PAL-PomEPS-05/01/2025-OPTIONS</t>
  </si>
  <si>
    <t>CH_D19.280 CS - 18 PAL-PomEPS-05/01/2025</t>
  </si>
  <si>
    <t>CH_D19.280 CS - 18 PAL-PomEPS-05/01/2025-OPTIONS</t>
  </si>
  <si>
    <t>CH_D19.280 CS - 21 PAL-PomEPS-05/01/2025</t>
  </si>
  <si>
    <t>CH_D19.280 CS - 21 PAL-PomEPS-05/01/2025-OPTIONS</t>
  </si>
  <si>
    <t>CH_72C18 CI - 8 PAL-PomEPS- Hayon 2 portes arrière-19/05/2025</t>
  </si>
  <si>
    <t>CH_72C18 CI - 8 PAL-PomEPS- Hayon 2 portes arrière-19/05/2025-OPTIONS</t>
  </si>
  <si>
    <t>CH_72C18 CI - 8 PAL-PomEPS- Hayon Fermeture totale-19/05/2025</t>
  </si>
  <si>
    <t>CH_72C18 CI - 8 PAL-PomEPS- Hayon Fermeture totale-19/05/2025-OPTIONS</t>
  </si>
  <si>
    <t>CH_160E21 CI - 15 PAL-PomEPS-19/05/2025</t>
  </si>
  <si>
    <t>CH_160E21 CI - 15 PAL-PomEPS-19/05/2025-OPTIONS</t>
  </si>
  <si>
    <t>CH_160E21 CI - 18 PAL-PomEPS-19/05/2025</t>
  </si>
  <si>
    <t>CH_160E21 CI - 18 PAL-PomEPS-19/05/2025-OPTIONS</t>
  </si>
  <si>
    <t>CH_190EL28 CI - 18 PAL-PomEPS-19/05/2025</t>
  </si>
  <si>
    <t>CH_190EL28 CI - 18 PAL-PomEPS-19/05/2025-OPTIONS</t>
  </si>
  <si>
    <t>CH_190EL28 CI - 21 PAL-PomEPS-19/05/2025</t>
  </si>
  <si>
    <t>CH_190EL28 CI - 21 PAL-PomEPS-19/05/2025-OPTIONS</t>
  </si>
  <si>
    <t>CH_D16.210 CI - 15 PAL-PomEPS-09/01/2025</t>
  </si>
  <si>
    <t>CH_D16.210 CI - 15 PAL-PomEPS-09/01/2025-OPTIONS</t>
  </si>
  <si>
    <t>CH_D16.210 CI - 18 PAL-PomEPS-09/01/2025</t>
  </si>
  <si>
    <t>CH_D16.210 CI - 18 PAL-PomEPS-09/01/2025-OPTIONS</t>
  </si>
  <si>
    <t>CH_D19.280 CI - 18 PAL-PomEPS-09/01/2025</t>
  </si>
  <si>
    <t>CH_D19.280 CI - 18 PAL-PomEPS-09/01/2025-OPTIONS</t>
  </si>
  <si>
    <t>CH_D19.280 CI - 21 PAL-PomEPS-09/01/2025</t>
  </si>
  <si>
    <t>CH_D19.280 CI - 21 PAL-PomEPS-09/01/2025-OPTIONS</t>
  </si>
  <si>
    <t>CH_SEMCI01 sans hayon-PomEPS-23/07/2025</t>
  </si>
  <si>
    <t>CH_SEMCI01 sans hayon-PomEPS-23/07/2025-OPTIONS</t>
  </si>
  <si>
    <t>CH_SEMCI01 Multiplancher - sans hayon-PomEPS-23/07/2025</t>
  </si>
  <si>
    <t>CH_SEMCI01 Multiplancher - sans hayon-PomEPS-23/07/2025-OPTIONS</t>
  </si>
  <si>
    <t>CH_SEMCI02 avec hayon-PomEPS-16/01/2025</t>
  </si>
  <si>
    <t>CH_SEMCI02 avec hayon-PomEPS-16/01/2025-OPTIONS</t>
  </si>
  <si>
    <t>CH_SEMCI02 Multiplancher - avec hayon-PomEPS-16/01/2025</t>
  </si>
  <si>
    <t>CH_SEMCI02 Multiplancher - avec hayon-PomEPS-16/01/2025-OPTIONS</t>
  </si>
  <si>
    <t>M_35S14CF04  URBAN -5 Pal - Hayon-PomTA-13/03/2025</t>
  </si>
  <si>
    <t>M_35S14CF04  URBAN -5 Pal - Hayon-PomTA-13/03/2025-OPTIONS</t>
  </si>
  <si>
    <t>M_35S14CF04  URBAN -6 Pal large - Hayon-PomTA-13/03/2025</t>
  </si>
  <si>
    <t>M_35S14CF04  URBAN -6 Pal large - Hayon-PomTA-13/03/2025-OPTIONS</t>
  </si>
  <si>
    <t>M_35S14CF04  URBAN -6 Pal long- Hayon-PomTA-13/03/2025</t>
  </si>
  <si>
    <t>M_35S14CF04  URBAN -6 Pal long- Hayon-PomTA-13/03/2025-OPTIONS</t>
  </si>
  <si>
    <t>M_72C18CF - HAYON RABATTABLE-PomTA-13/03/2025</t>
  </si>
  <si>
    <t>M_72C18CF - HAYON RABATTABLE-PomTA-13/03/2025-OPTIONS</t>
  </si>
  <si>
    <t>M_72C18CF - HAYON RETRACTABLE-PomTA-13/03/2025</t>
  </si>
  <si>
    <t>M_72C18CF - HAYON RETRACTABLE-PomTA-13/03/2025-OPTIONS</t>
  </si>
  <si>
    <t>M_120E19 CF - 12 PAL-PomTA-13/10/2025</t>
  </si>
  <si>
    <t>M_120E19 CF - 12 PAL-PomTA-13/10/2025-OPTIONS</t>
  </si>
  <si>
    <t>M_160E21 CF - 15 PAL-PomTA-13/10/2025</t>
  </si>
  <si>
    <t>M_160E21 CF - 15 PAL-PomTA-13/10/2025-OPTIONS</t>
  </si>
  <si>
    <t>M_160E21 CF - 18 PAL-PomTA-13/10/2025</t>
  </si>
  <si>
    <t>M_160E21 CF - 18 PAL-PomTA-13/10/2025-OPTIONS</t>
  </si>
  <si>
    <t>M_190EL28CF  - 21 PAL -PomTA-11/08/2025</t>
  </si>
  <si>
    <t>M_190EL28CF  - 21 PAL -PomTA-11/08/2025-OPTIONS</t>
  </si>
  <si>
    <t>M_190EL28CF - 42 PAL - Double plancher-PomTA-11/08/2025</t>
  </si>
  <si>
    <t>M_190EL28CF - 42 PAL - Double plancher-PomTA-11/08/2025-OPTIONS</t>
  </si>
  <si>
    <t>M_D12.210 CF - 12 PAL-PomTA-11/08/2025</t>
  </si>
  <si>
    <t>M_D12.210 CF - 12 PAL-PomTA-11/08/2025-OPTIONS</t>
  </si>
  <si>
    <t>M_D16.210 CF - 15 PAL-PomTA-11/08/2025</t>
  </si>
  <si>
    <t>M_D16.210 CF - 15 PAL-PomTA-11/08/2025-OPTIONS</t>
  </si>
  <si>
    <t>M_D16.210 CF - 18 PAL-PomTA-11/05/2025</t>
  </si>
  <si>
    <t>M_D16.210 CF - 18 PAL-PomTA-11/05/2025-OPTIONS</t>
  </si>
  <si>
    <t>M_D19.280 CF - 21 PAL-PomTA-11/08/2025</t>
  </si>
  <si>
    <t>M_D19.280 CF - 21 PAL-PomTA-11/08/2025-OPTIONS</t>
  </si>
  <si>
    <t>M_D19.280 CF - 42 PAL - Double plancher-PomTA-11/08/2025</t>
  </si>
  <si>
    <t>M_D19.280 CF - 42 PAL - Double plancher-PomTA-11/08/2025-OPTIONS</t>
  </si>
  <si>
    <t>M_TRACTEUR RENAULT T19.440TR-PomTA-20/02/2025</t>
  </si>
  <si>
    <t>M_TRACTEUR RENAULT T19.440TR-PomTA-20/02/2025-OPTIONS</t>
  </si>
  <si>
    <t>M_SEMCF01 - VECTOR HE 19 - SANS HAYON - CHEREAU-PomTA-16/01/2025</t>
  </si>
  <si>
    <t>M_SEMCF01 - VECTOR HE 19 - SANS HAYON - CHEREAU-PomTA-16/01/2025-OPTIONS</t>
  </si>
  <si>
    <t>M_SEMCF01 - VECTOR HE 19 - SANS HAYON - CHEREAU - DOUBLE PLANCHER-PomTA-16/01/2025</t>
  </si>
  <si>
    <t>M_SEMCF01 - VECTOR HE 19 - SANS HAYON - CHEREAU - DOUBLE PLANCHER-PomTA-16/01/2025-OPTIONS</t>
  </si>
  <si>
    <t>M_SEMCF02 - VECTOR HE 19 - HAYON - CHEREAU-PomTA-16/01/2025</t>
  </si>
  <si>
    <t>M_SEMCF02 - VECTOR HE 19 - HAYON - CHEREAU-PomTA-16/01/2025-OPTIONS</t>
  </si>
  <si>
    <t>M_SEMCF02 - VECTOR HE 19 - HAYON - CHEREAU - DOUBLE PLANCHER-PomTA-16/01/2025</t>
  </si>
  <si>
    <t>M_SEMCF02 - VECTOR HE 19 - HAYON - CHEREAU - DOUBLE PLANCHER-PomTA-16/01/2025-OPTIONS</t>
  </si>
  <si>
    <t>M_72C18 CS - 8 PAL-PomEPS- 2 portes arrière-05/01/2025</t>
  </si>
  <si>
    <t>M_72C18 CS - 8 PAL-PomEPS- 2 portes arrière-05/01/2025-OPTIONS</t>
  </si>
  <si>
    <t>M_72C18 CS - 8 PAL-PomEPS- Hayon fermeture totale-05/01/2025</t>
  </si>
  <si>
    <t>M_72C18 CS - 8 PAL-PomEPS- Hayon fermeture totale-05/01/2025-OPTIONS</t>
  </si>
  <si>
    <t>M_160E21 CS - 15 PAL-PomEPS-05/01/2025</t>
  </si>
  <si>
    <t>M_160E21 CS - 15 PAL-PomEPS-05/01/2025-OPTIONS</t>
  </si>
  <si>
    <t>M_160E21 CS - 18 PAL-PomEPS-05/01/2025</t>
  </si>
  <si>
    <t>M_160E21 CS - 18 PAL-PomEPS-05/01/2025-OPTIONS</t>
  </si>
  <si>
    <t>M_190EL28 CS - 18 PAL-PomEPS-05/01/2025</t>
  </si>
  <si>
    <t>M_190EL28 CS - 18 PAL-PomEPS-05/01/2025-OPTIONS</t>
  </si>
  <si>
    <t>M_190EL28 CS - 21 PAL-PomEPS-05/01/2025</t>
  </si>
  <si>
    <t>M_190EL28 CS - 21 PAL-PomEPS-05/01/2025-OPTIONS</t>
  </si>
  <si>
    <t>M_D16.210 CS - 15 PAL-PomEPS-05/01/2025</t>
  </si>
  <si>
    <t>M_D16.210 CS - 15 PAL-PomEPS-05/01/2025-OPTIONS</t>
  </si>
  <si>
    <t>M_D16.210 CS - 18 PAL-PomEPS-05/01/2025</t>
  </si>
  <si>
    <t>M_D16.210 CS - 18 PAL-PomEPS-05/01/2025-OPTIONS</t>
  </si>
  <si>
    <t>M_D19.280 CS - 18 PAL-PomEPS-05/01/2025</t>
  </si>
  <si>
    <t>M_D19.280 CS - 18 PAL-PomEPS-05/01/2025-OPTIONS</t>
  </si>
  <si>
    <t>M_D19.280 CS - 21 PAL-PomEPS-05/01/2025</t>
  </si>
  <si>
    <t>M_D19.280 CS - 21 PAL-PomEPS-05/01/2025-OPTIONS</t>
  </si>
  <si>
    <t>M_72C18 CI - 8 PAL-PomEPS- Hayon 2 portes arrière-19/05/2025</t>
  </si>
  <si>
    <t>M_72C18 CI - 8 PAL-PomEPS- Hayon 2 portes arrière-19/05/2025-OPTIONS</t>
  </si>
  <si>
    <t>M_72C18 CI - 8 PAL-PomEPS- Hayon Fermeture totale-19/05/2025</t>
  </si>
  <si>
    <t>M_72C18 CI - 8 PAL-PomEPS- Hayon Fermeture totale-19/05/2025-OPTIONS</t>
  </si>
  <si>
    <t>M_160E21 CI - 15 PAL-PomEPS-19/05/2025</t>
  </si>
  <si>
    <t>M_160E21 CI - 15 PAL-PomEPS-19/05/2025-OPTIONS</t>
  </si>
  <si>
    <t>M_160E21 CI - 18 PAL-PomEPS-19/05/2025</t>
  </si>
  <si>
    <t>M_160E21 CI - 18 PAL-PomEPS-19/05/2025-OPTIONS</t>
  </si>
  <si>
    <t>M_190EL28 CI - 18 PAL-PomEPS-19/05/2025</t>
  </si>
  <si>
    <t>M_190EL28 CI - 18 PAL-PomEPS-19/05/2025-OPTIONS</t>
  </si>
  <si>
    <t>M_190EL28 CI - 21 PAL-PomEPS-19/05/2025</t>
  </si>
  <si>
    <t>M_190EL28 CI - 21 PAL-PomEPS-19/05/2025-OPTIONS</t>
  </si>
  <si>
    <t>M_D16.210 CI - 15 PAL-PomEPS-09/01/2025</t>
  </si>
  <si>
    <t>M_D16.210 CI - 15 PAL-PomEPS-09/01/2025-OPTIONS</t>
  </si>
  <si>
    <t>M_D16.210 CI - 18 PAL-PomEPS-09/01/2025</t>
  </si>
  <si>
    <t>M_D16.210 CI - 18 PAL-PomEPS-09/01/2025-OPTIONS</t>
  </si>
  <si>
    <t>M_D19.280 CI - 18 PAL-PomEPS-09/01/2025</t>
  </si>
  <si>
    <t>M_D19.280 CI - 18 PAL-PomEPS-09/01/2025-OPTIONS</t>
  </si>
  <si>
    <t>M_D19.280 CI - 21 PAL-PomEPS-09/01/2025</t>
  </si>
  <si>
    <t>M_D19.280 CI - 21 PAL-PomEPS-09/01/2025-OPTIONS</t>
  </si>
  <si>
    <t>M_SEMCI01 sans hayon-PomEPS-23/07/2025</t>
  </si>
  <si>
    <t>M_SEMCI01 sans hayon-PomEPS-23/07/2025-OPTIONS</t>
  </si>
  <si>
    <t>M_SEMCI01 Multiplancher - sans hayon-PomEPS-23/07/2025</t>
  </si>
  <si>
    <t>M_SEMCI01 Multiplancher - sans hayon-PomEPS-23/07/2025-OPTIONS</t>
  </si>
  <si>
    <t>M_SEMCI02 avec hayon-PomEPS-16/01/2025</t>
  </si>
  <si>
    <t>M_SEMCI02 avec hayon-PomEPS-16/01/2025-OPTIONS</t>
  </si>
  <si>
    <t>M_SEMCI02 Multiplancher - avec hayon-PomEPS-16/01/2025</t>
  </si>
  <si>
    <t>M_SEMCI02 Multiplancher - avec hayon-PomEPS-16/01/2025-OPTIONS</t>
  </si>
  <si>
    <t>Label PIEK global (Caisse  -80 kg CU)</t>
  </si>
  <si>
    <t>Hauteur intérieure 2800 mm (hauteur hors tout 4220 mm avec hauteur d'attelage 1150 mm)</t>
  </si>
  <si>
    <t>Label PIEK global (Caisse -80kg CU)</t>
  </si>
  <si>
    <t>Suspension arrière lames HELPER</t>
  </si>
  <si>
    <t>Pavillon isolé</t>
  </si>
  <si>
    <t>2 niveaux de rails d'arrimage acier galvanisé en applique sur 3 faces axés à 750 mm et 1400 mm du plancher</t>
  </si>
  <si>
    <t>Caméra de recul positionnée en partie haute de cadre arrière</t>
  </si>
  <si>
    <t>Déflecteur de cabine tridimensionnel</t>
  </si>
  <si>
    <t>Flèche de couleur rouge sur le montant de caisse avant gauche indiquant la hauteur hors tout</t>
  </si>
  <si>
    <t>Porte latérale double battants largeur 1000 mm (2 x 500 mm) (sans rails d'arrimage) à 250 mm de l'arrière droit + étrier coulissant 2 marches avec 1 sangle montoire de chaque côté et buzzer en cabine (-58 kg CU)</t>
  </si>
  <si>
    <t>Cadre arrière avec fermeture intégrale par hayon élévateur et joint d'étanchéité caoutchouc en périphérie</t>
  </si>
  <si>
    <t>Hauteur de passage 1980 mm</t>
  </si>
  <si>
    <t>Isolation normale</t>
  </si>
  <si>
    <t>Cadre arrière inox avec fermeture intégrale par hayon élévateur et joint d'étanchéité caoutchouc en périphérie</t>
  </si>
  <si>
    <t>Hauteur de passage 2030 mm</t>
  </si>
  <si>
    <t>Protections bas de parois latérales et avant en inox hauteur 450 mm</t>
  </si>
  <si>
    <t>Platelage d'entrée en tôle aluminium antidérapante profondeur 600 mm</t>
  </si>
  <si>
    <t>2 siphons d'évacuation</t>
  </si>
  <si>
    <t>Extincteur 6 kg dans un coffre rouge indépendant positionné dans le porte à faux arrière gauche</t>
  </si>
  <si>
    <t>Porte latérale double battants largeur 1000 mm (2 x 500 mm) (sans rails d'arrimage) à 250 mm de l'arrière droit + étrier coulissant 3 marches (1ère marche large) avec 1 sangle montoire de chaque côté et buzzer en cabine (-76 kg CU)</t>
  </si>
  <si>
    <t>Commande à distance 2 boutons avec 1 prise à l'intérieur de la caisse au pavillon à l'arrière droit et 1 prise extérieure à côté du coffret principal</t>
  </si>
  <si>
    <t>Feux de protection piétons orange spots</t>
  </si>
  <si>
    <t>DHOLLANDIA DH-LMA.15 rabattable</t>
  </si>
  <si>
    <t>Puissance 1000 kg (charge maxi admissible à l'axe sur la largeur du plateau et à 750 mm du talon)</t>
  </si>
  <si>
    <t>Plateau aluminium profondeur 2150 mm</t>
  </si>
  <si>
    <t>DHOLLANDIA DH-LMA30 rabattable</t>
  </si>
  <si>
    <t>Plateau aluminium profondeur 2160 mm</t>
  </si>
  <si>
    <r>
      <t>Radio Bluetooth avec écran tactile</t>
    </r>
    <r>
      <rPr>
        <b/>
        <sz val="11"/>
        <color rgb="FFFF0000"/>
        <rFont val="Aptos"/>
        <family val="2"/>
      </rPr>
      <t xml:space="preserve"> </t>
    </r>
    <r>
      <rPr>
        <b/>
        <sz val="11"/>
        <color rgb="FF00B050"/>
        <rFont val="Aptos"/>
        <family val="2"/>
      </rPr>
      <t>7''</t>
    </r>
    <r>
      <rPr>
        <sz val="11"/>
        <color rgb="FF00B050"/>
        <rFont val="Aptos"/>
        <family val="2"/>
      </rPr>
      <t xml:space="preserve"> </t>
    </r>
    <r>
      <rPr>
        <sz val="11"/>
        <color rgb="FF000000"/>
        <rFont val="Aptos"/>
        <family val="2"/>
      </rPr>
      <t>et réplication smartphone compatible Android Auto / Apple CarPlay / USB</t>
    </r>
  </si>
  <si>
    <t>Caméra de recul IVECO</t>
  </si>
  <si>
    <t>Radars de recul (fourniture carrossier)</t>
  </si>
  <si>
    <t>Chronotachygraphe paramétré distribution travail actif</t>
  </si>
  <si>
    <t>Caméra de recul RENAULT Trucks</t>
  </si>
  <si>
    <t>C_TRACTEUR RENAULT T19.440TR-PomEPS-25/07/2025</t>
  </si>
  <si>
    <t>C_TRACTEUR RENAULT T19.440TR-PomEPS-25/07/2025-OPTIONS</t>
  </si>
  <si>
    <t>Volant multifonctions réglable en hauteur et en</t>
  </si>
  <si>
    <t xml:space="preserve"> profondeur</t>
  </si>
  <si>
    <t xml:space="preserve">Siège conducteur confort suspendu pneumatique </t>
  </si>
  <si>
    <t>avec réglage lombaire et 2 accoudoirs</t>
  </si>
  <si>
    <t xml:space="preserve">Climatisation à régulation électronique (sans </t>
  </si>
  <si>
    <t>fonctionnement à l'arrêt)</t>
  </si>
  <si>
    <t xml:space="preserve">Prises 12V et 24 V au tableau de bord pour </t>
  </si>
  <si>
    <t>accessoires</t>
  </si>
  <si>
    <t xml:space="preserve">Suspension cabine 4 coussins d'air avec correcteur </t>
  </si>
  <si>
    <t>d'assiette</t>
  </si>
  <si>
    <t>Sans option</t>
  </si>
  <si>
    <t>Sans hayon</t>
  </si>
  <si>
    <t>Sans groupe frigorifique</t>
  </si>
  <si>
    <t>Sans caisse</t>
  </si>
  <si>
    <t>Sans moteur</t>
  </si>
  <si>
    <t>Sans cabine</t>
  </si>
  <si>
    <t>M_TRACTEUR RENAULT T19.440TR-PomEPS-25/07/2025</t>
  </si>
  <si>
    <t>M_TRACTEUR RENAULT T19.440TR-PomEPS-25/07/2025-OPTIONS</t>
  </si>
  <si>
    <t>CH_TRACTEUR RENAULT T19.440TR-PomEPS-25/07/2025-OPTIONS</t>
  </si>
  <si>
    <t>CF_TRACTEUR RENAULT T19.440TR-PomEPS-25/07/2025</t>
  </si>
  <si>
    <t>CH_TRACTEUR RENAULT T19.440TR-PomEPS-25/07/2025</t>
  </si>
  <si>
    <t>CF_TRACTEUR RENAULT T19.440TR-PomEPS-25/07/2025-OPTIONS</t>
  </si>
  <si>
    <t>GF_TRACTEUR RENAULT T19.440TR-PomEPS-25/07/2025</t>
  </si>
  <si>
    <t>GF_TRACTEUR RENAULT T19.440TR-PomEPS-25/07/2025-OPTIONS</t>
  </si>
  <si>
    <t>HL_TRACTEUR RENAULT T19.440TR-PomEPS-25/07/2025</t>
  </si>
  <si>
    <t>HL_TRACTEUR RENAULT T19.440TR-PomEPS-25/07/2025-OPTIONS</t>
  </si>
  <si>
    <t xml:space="preserve">Boîte de vitesses robotisée Optidriver </t>
  </si>
  <si>
    <t>12 rapports avant et 3 arrière</t>
  </si>
  <si>
    <t>Motorisation 6 cylindres 12800 cm3 - 440 ch.</t>
  </si>
  <si>
    <t xml:space="preserve"> B100 Exclusif</t>
  </si>
  <si>
    <t>Parois latérales et face avant PLYWOOD épaisseur 17 mm</t>
  </si>
  <si>
    <t>Cadre arrière en acier peint en blanc avec 2 portes ouverture 270° et 1 crémone anti rack sur chaque porte</t>
  </si>
  <si>
    <t>Hauteur de passage 2040 mm</t>
  </si>
  <si>
    <t>Traverse de renfort dans le cadre en partie basse</t>
  </si>
  <si>
    <t xml:space="preserve">Tôles acier verticales de chaque côté du cadre arrière pour protection et verrouillage du hayon </t>
  </si>
  <si>
    <t>Pavillon isolé PET épaisseur 30 mm</t>
  </si>
  <si>
    <t>Faux châssis en acier galvanisé avec traverses rapprochées au pas de 400 mm</t>
  </si>
  <si>
    <t>Revêtement extérieur et intérieur des parois en polyester blanc (RAL 9010)</t>
  </si>
  <si>
    <t>Renfort extérieur de la face avant par tôle acier galvanisée épaisseur 30/10 ème hauteur 400 mm boulonnée sur le faux châssis</t>
  </si>
  <si>
    <t>Protections intérieures bas de parois latérales en tôle acier galvanisée épaisseur 30/10 ème hauteur 470 mm avec retour sous le plancher de 30 mm</t>
  </si>
  <si>
    <t>Protection intérieure bas de parois face avant contreplaqué épaisseur 15 mm + tôle acier galvanisée épaisseur 30/10 ème hauteur 600 mm avec reprise dans le plancher</t>
  </si>
  <si>
    <t>4 sangles d'arrimage à tension manuelle longueur 5 mètres</t>
  </si>
  <si>
    <t>Plancher contreplaqué antidérapant épaisseur 21 mm</t>
  </si>
  <si>
    <t>Platelage d'entrée en tôle acier galvanisée antidérapante profondeur 500 mm</t>
  </si>
  <si>
    <t>Coffre à outils plastique grand modèle avec chaîne de retenue à 80° positionné dans l'empattement côté gauche</t>
  </si>
  <si>
    <t>Pares cyclistes latéraux fixes</t>
  </si>
  <si>
    <t>2 phares de travail en haut de cadre (commandés à l'alimentation du hayon élévateur)</t>
  </si>
  <si>
    <t xml:space="preserve">Caméra de recul positionnée en partie haute de caisse </t>
  </si>
  <si>
    <t>Flèche de couleur rouge sur le montant de caisse avant gauche indiquant la hauteur hors tout majorée de 100 mm</t>
  </si>
  <si>
    <t>Cadre arrière en acier peint en blanc avec fermeture intégrale par hayon élévateur et joint d'étanchéité caoutchouc en périphérie</t>
  </si>
  <si>
    <r>
      <t xml:space="preserve">Porte latérale coulissante largeur 1000 mm (sans rails d'arrimage) à 300 mm de l'arrière droit  + étrier coulissant 3 marches (1ère marche large) avec 1 sangle montoire rouge de chaque côté et buzzer en cabine </t>
    </r>
    <r>
      <rPr>
        <sz val="11"/>
        <color rgb="FFFF0000"/>
        <rFont val="Aptos"/>
        <family val="2"/>
      </rPr>
      <t>(- 80 kg CU)</t>
    </r>
  </si>
  <si>
    <r>
      <t xml:space="preserve">Porte latérale double battants largeur 1000 mm (2 x 500 mm) (sans rails d'arrimage) à 300 mm de l'arrière droit + étrier coulissant 3 marches (1ère marche large) avec 1 sangle montoire de chaque côté et buzzer en cabine </t>
    </r>
    <r>
      <rPr>
        <sz val="11"/>
        <color rgb="FFFF0000"/>
        <rFont val="Aptos"/>
        <family val="2"/>
      </rPr>
      <t>(-80 kg CU)</t>
    </r>
  </si>
  <si>
    <t>Motorisation 6 cylindres 6728 cm3 - 250 ch. (-240 kg CU)</t>
  </si>
  <si>
    <t>Suspension arrière lames</t>
  </si>
  <si>
    <t>Blocage de différentiel (-8 kg CU)</t>
  </si>
  <si>
    <t>Ralentisseur TELMA (-270 kg CU)</t>
  </si>
  <si>
    <t>Parois latérales et face avant PLYWOOD épaisseur 20 mm</t>
  </si>
  <si>
    <t>Plancher renforcé bois dur exotique épaisseur 35 mm avec omégas en acier galvanisé</t>
  </si>
  <si>
    <t xml:space="preserve">Caméra de recul positionnée en partie basse à l'extrémité de châssis </t>
  </si>
  <si>
    <r>
      <rPr>
        <sz val="11"/>
        <color rgb="FF000000"/>
        <rFont val="Aptos"/>
        <family val="2"/>
      </rPr>
      <t xml:space="preserve">Porte latérale double battants largeur 1000 mm (2 x 500 mm) (sans rails d'arrimage) à 300 mm de l'arrière droit + étrier coulissant 3 marches (1ère marche large) avec 1 sangle montoire de chaque côté et buzzer en cabine </t>
    </r>
    <r>
      <rPr>
        <sz val="11"/>
        <color rgb="FFFF0000"/>
        <rFont val="Aptos"/>
        <family val="2"/>
      </rPr>
      <t>(-80 kg CU)</t>
    </r>
  </si>
  <si>
    <r>
      <rPr>
        <sz val="11"/>
        <color rgb="FF000000"/>
        <rFont val="Aptos"/>
        <family val="2"/>
      </rPr>
      <t xml:space="preserve">Plancher contreplaqué épaisseur 27 mm avec stratification antidérapante lessivable + 2 siphons d'évacuation en remplacement du plancher bois dur + omégas </t>
    </r>
    <r>
      <rPr>
        <sz val="11"/>
        <color rgb="FFFF0000"/>
        <rFont val="Aptos"/>
        <family val="2"/>
      </rPr>
      <t>(+ 80 kg CU)</t>
    </r>
  </si>
  <si>
    <r>
      <t xml:space="preserve">Plancher contreplaqué épaisseur 27 mm avec stratification antidérapante lessivable + 2 siphons d'évacuation en remplacement du plancher bois dur + omégas </t>
    </r>
    <r>
      <rPr>
        <sz val="11"/>
        <color rgb="FFFF0000"/>
        <rFont val="Aptos"/>
        <family val="2"/>
      </rPr>
      <t>(+ 150 kg CU)</t>
    </r>
  </si>
  <si>
    <r>
      <t xml:space="preserve">Plancher contreplaqué épaisseur 27 mm avec stratification antidérapante lessivable + 2 siphons d'évacuation en remplacement du plancher bois dur + omégas </t>
    </r>
    <r>
      <rPr>
        <sz val="11"/>
        <color rgb="FFFF0000"/>
        <rFont val="Aptos"/>
        <family val="2"/>
      </rPr>
      <t>(+ 100 kg CU)</t>
    </r>
  </si>
  <si>
    <t>Feux de protection piétons orange</t>
  </si>
  <si>
    <t>DHOLLANDIA DH-LMA10 rabattable</t>
  </si>
  <si>
    <r>
      <t xml:space="preserve">Plateau aluminium profondeur </t>
    </r>
    <r>
      <rPr>
        <sz val="11"/>
        <color rgb="FFFF0000"/>
        <rFont val="Aptos"/>
        <family val="2"/>
      </rPr>
      <t>1600 mm</t>
    </r>
  </si>
  <si>
    <t>DHOLLANDIA DH-LMA15 rabattable</t>
  </si>
  <si>
    <r>
      <rPr>
        <sz val="11"/>
        <color rgb="FF000000"/>
        <rFont val="Aptos"/>
      </rPr>
      <t xml:space="preserve">Plateau aluminium profondeur </t>
    </r>
    <r>
      <rPr>
        <sz val="11"/>
        <color rgb="FFFF0000"/>
        <rFont val="Aptos"/>
      </rPr>
      <t>2150 mm</t>
    </r>
  </si>
  <si>
    <t xml:space="preserve">IVECO DAILY - CAISSE FRIGORIFIQUE / MULTI TEMPERATURE </t>
  </si>
  <si>
    <t>C_35S14CF - 5 Palettes -PomD&amp;C-11/08/2025</t>
  </si>
  <si>
    <t>C_35S14CF - 5 Palettes -PomD&amp;C-11/08/2025-OPTIONS</t>
  </si>
  <si>
    <t>IVECO DAILY - CAISSE FRIGORIFIQUE / MULTI TEMPERATURE / Cloison Transversale / HAYON</t>
  </si>
  <si>
    <t>IVECO EUROCARGO - CAISSE FRIGORIFIQUE / MULTI TEMPERATURE / 3 VANTAUX</t>
  </si>
  <si>
    <t>IVECO EUROCARGO - CAISSE FRIGORIFIQUE / MULTI TEMPERATURE /HAYON/ 3 VANTAUX</t>
  </si>
  <si>
    <t>IVECO EUROCARGO - CAISSE FRIGORIFIQUE / MULTI TEMPERATURE /HAYON/ EASY ACC'AIR</t>
  </si>
  <si>
    <t>RENAULT GAMME D - CAISSE FRIGORIFIQUE / MULTI TEMPERATURE /3 VANTAUX</t>
  </si>
  <si>
    <t>RENAULT GAMME D - CAISSE FRIGORIFIQUE / MULTI TEMPERATURE / 3 VANTAUX</t>
  </si>
  <si>
    <t>RENAULT GAMME D - CAISSE FRIGORIFIQUE / MULTI TEMPERATURE /HAYON/ 3 VANTAUX</t>
  </si>
  <si>
    <t>RENAULT GAMME D - CAISSE FRIGORIFIQUE / MULTI TEMPERATURE /HAYON/ EASY ACC'AIR</t>
  </si>
  <si>
    <t>IVECO EUROCARGO - CAISSE FRIGORIFIQUE / MULTI TEMPERATURE / HAYON/ 3 VANTAUX</t>
  </si>
  <si>
    <t>IVECO EUROCARGO - CAISSE FRIGORIFIQUE / MULTI TEMPERATURE / HAYON/ EASY ACC'AIR</t>
  </si>
  <si>
    <t>IVECO EUROCARGO - CAISSE FRIGORIFIQUE / MULTI TEMPERATURE / HAYON / 3 VANTAUX</t>
  </si>
  <si>
    <t>IVECO EUROCARGO - CAISSE FRIGORIFIQUE / MULTI TEMPERATURE / HAYON / EASY ACC'AIR</t>
  </si>
  <si>
    <t>RENAULT GAMME D - CAISSE FRIGORIFIQUE / MULTI TEMPERATURE / HAYON / 3 VANTAUX</t>
  </si>
  <si>
    <t>RENAULT GAMME D - CAISSE FRIGORIFIQUE / MULTI TEMPERATURE / HAYON / EASY ACC'AIR</t>
  </si>
  <si>
    <t>D12.210 CF - 12 PAL - 3 VTX - DELICE ET CREATION</t>
  </si>
  <si>
    <t xml:space="preserve">FIAT DUCATO - CAISSE FRIGORIFIQUE / MULTI TEMPERATURE </t>
  </si>
  <si>
    <t>IVECO DAILY - CAISSE FRIGORIFIQUE / MULTI TEMPERATURE / Cloison Transversale</t>
  </si>
  <si>
    <t>RENAULT GAMME D WIDE- CAISSE FRIGORIFIQUE / MULTI TEMPERATURE /HAYON/ EASY ACC'AIR</t>
  </si>
  <si>
    <t>RENAULT GAMME D WIDE- CAISSE FRIGORIFIQUE / MULTI TEMPERATURE /HAYON/ 3 VANTAUX</t>
  </si>
  <si>
    <t>SEMI REMORQUE - CAISSE FRIGORIFIQUE / MULTI TEMPERATURE / SANS HAYON</t>
  </si>
  <si>
    <t>SEMI REMORQUE - CAISSE FRIGORIFIQUE / MULTI TEMPERATURE / DOUBLE PLANCHER / SANS HAYON</t>
  </si>
  <si>
    <t>SEMCF04 - MULTI - HAYON - CHEREAU - PASSION FROID</t>
  </si>
  <si>
    <t>SEMCF03 - MULTI - SANS HAYON - CHEREAU - PASSION FROID</t>
  </si>
  <si>
    <t>SEMCF04 - MULTI - HAYON - DOUBLE PLANCHER - CHEREAU -PASSION FROID-</t>
  </si>
  <si>
    <t>SEMI REMORQUE - CAISSE FRIGORIFIQUE / MULTI TEMPERATURE / HAYON</t>
  </si>
  <si>
    <t>SEMI REMORQUE - CAISSE FRIGORIFIQUE / MULTI TEMPERATURE / DOUBLE PLANCHER / HAYON</t>
  </si>
  <si>
    <t>IVECO DAILY - CAISSE FRIGORIFIQUE / MULTI TEMPERATURE</t>
  </si>
  <si>
    <t>IVECO 35S14CF - 4 PAL - RELAIS D'OR</t>
  </si>
  <si>
    <t>IVECO DAILY - CAISSE FRIGORIFIQUE / MULTI TEMPERATURE / HAYON</t>
  </si>
  <si>
    <t xml:space="preserve"> 5 / 8</t>
  </si>
  <si>
    <t>IVECO DAILY - CAISSE FRIGORIFIQUE / MULTI TEMPERATURE / HAYON RETRACTABLE</t>
  </si>
  <si>
    <t>72C18CF- 8 PAL-15 ROLLS - HAYON RETRACTABLE - RELAIS D'OR</t>
  </si>
  <si>
    <t xml:space="preserve"> 8 / 15</t>
  </si>
  <si>
    <t>IVECO EUROCARGO - CAISSE FRIGORIFIQUE / MULTI TEMPERATURE / HAYON RETRACTABLE</t>
  </si>
  <si>
    <t xml:space="preserve"> 11 / 21</t>
  </si>
  <si>
    <t xml:space="preserve"> 15 / 24</t>
  </si>
  <si>
    <t xml:space="preserve"> 18 / 30</t>
  </si>
  <si>
    <t>D12.210 CF - 15 PAL-24 ROLLS - HAYON RETRACTABLE - RELAIS D'OR</t>
  </si>
  <si>
    <t>D10.210 CF - 11 PAL-21 ROLLS - HAYON RETRACTABLE - RELAIS D'OR</t>
  </si>
  <si>
    <t>D16.210 CF - 18 PALL-30 ROLLS - HAYON RETRACTABLE - RELAIS D'OR</t>
  </si>
  <si>
    <t>RENAULT GAMME D  - CAISSE FRIGORIFIQUE / MULTI TEMPERATURE / HAYON RETRACTABLE</t>
  </si>
  <si>
    <t>RENAULT GAMME D WIDE - CAISSE FRIGORIFIQUE / MULTI TEMPERATURE / HAYON RETRACTABLE</t>
  </si>
  <si>
    <t>SEMCF03- MULTI - SANS HAYON - CHEREAU - RELAIS D'OR</t>
  </si>
  <si>
    <t>35S14CF URBAN - 5 PAL-8 ROLLS - RELAIS D'OR - HAYON</t>
  </si>
  <si>
    <t>SEMI REMORQUE - CAISSE FRIGORIFIQUE / MULTI TEMPERATURE</t>
  </si>
  <si>
    <t>HL_SEMCF03- MULTI - SANS HAYON - CHEREAU -PomRDO-22/05/2025</t>
  </si>
  <si>
    <t>HL_SEMCF03- MULTI - SANS HAYON - CHEREAU -PomRDO-22/05/2025-OPTIONS</t>
  </si>
  <si>
    <t>GF_SEMCF03- MULTI - SANS HAYON - CHEREAU -PomRDO-22/05/2025</t>
  </si>
  <si>
    <t>CF_SEMCF03- MULTI - SANS HAYON - CHEREAU -PomRDO-22/05/2025</t>
  </si>
  <si>
    <t>GF_SEMCF03- MULTI - SANS HAYON - CHEREAU -PomRDO-22/05/2025-OPTIONS</t>
  </si>
  <si>
    <t>CH_SEMCF03- MULTI - SANS HAYON - CHEREAU -PomRDO-22/05/2025</t>
  </si>
  <si>
    <t>CH_SEMCF03- MULTI - SANS HAYON - CHEREAU -PomRDO-22/05/2025-OPTIONS</t>
  </si>
  <si>
    <t>M_SEMCF03- MULTI - SANS HAYON - CHEREAU -PomRDO-22/05/2025-OPTIONS</t>
  </si>
  <si>
    <t>M_SEMCF03- MULTI - SANS HAYON - CHEREAU -PomRDO-22/05/2025</t>
  </si>
  <si>
    <t>C_SEMCF03- MULTI - SANS HAYON - CHEREAU -PomRDO-22/05/2025</t>
  </si>
  <si>
    <t>C_SEMCF03- MULTI - SANS HAYON - CHEREAU -PomRDO-22/05/2025-OPTIONS</t>
  </si>
  <si>
    <t>35S14CF - 5 PAL - DELICE ET CREATION</t>
  </si>
  <si>
    <t>35S14CF - 4 PAL - PASSION FROID</t>
  </si>
  <si>
    <t>35S14CF - 5 PAL - PASSION FROID</t>
  </si>
  <si>
    <t>72C18CF  - 8 PAL - SAVEURS D'ANTONE</t>
  </si>
  <si>
    <t>35S14CF04  URBAN -6 PAL long- HAYON - TERRE AZUR</t>
  </si>
  <si>
    <t>T19.440TR - PASSION FROID</t>
  </si>
  <si>
    <t>T19.440TR - RELAIS D'OR</t>
  </si>
  <si>
    <t>T19.440TR - TERRE AZUR</t>
  </si>
  <si>
    <t>T19.440TR - EPISAVEURS</t>
  </si>
  <si>
    <t>35S14CF - 2 ETAGERES - SAVEURS D'ANTONE</t>
  </si>
  <si>
    <t>35S14CF04  URBAN - 6 PAL LARGE - HAYON - TERRE AZUR</t>
  </si>
  <si>
    <t>35S14CF04  URBAN - 5 PAL - HAYON - TERRE AZUR</t>
  </si>
  <si>
    <t>D10.210 CF - 10 PAL - SAVEURS D'ANTONE</t>
  </si>
  <si>
    <t>100E19 CF - 10 PAL - SAVEURS D'ANTONE</t>
  </si>
  <si>
    <t>190EL28CF - 42 PAL - DOUBLE PLANCHER - TERRE AZUR</t>
  </si>
  <si>
    <t>72C18 CS - 8 PAL - EPISAVEURS - 2 PORTES ARRIERE</t>
  </si>
  <si>
    <t>72C18 CI - 8 PAL - EPISAVEURS - HAYON 2 PORTES ARRIERE</t>
  </si>
  <si>
    <t>72C18 CS - 8 PAL - EPISAVEURS - HAYON FERMETURE TOTALE</t>
  </si>
  <si>
    <t>72C18 CI - 8 PAL - EPISAVEURS - HAYON FERMETURE TOTALE</t>
  </si>
  <si>
    <t>SEMCF01 - VECTOR HE 19 - SANS HAYON - DOUBLE PLANCHER - CHEREAU - TERRE AZUR</t>
  </si>
  <si>
    <t>SEMCF02 - VECTOR HE 19 - HAYON - DOUBLE PLANCHER - CHEREAU - TERRE AZUR</t>
  </si>
  <si>
    <t>SEMCI02 - DOUBLE PLANCHER - HAYON - EPISAVEURS</t>
  </si>
  <si>
    <t>SEMCF03 - MULTI -SANS HAYON - DOUBLE PLANCHER - CHEREAU - PASSION FROID</t>
  </si>
  <si>
    <t>SEMCI01 - SANS HAYON - EPISAVEURS</t>
  </si>
  <si>
    <t>SEMCI02 - HAYON - EPISAVEURS</t>
  </si>
  <si>
    <t>SEMCI01 - DOUBLE PLANCHER - SANS HAYON - EPISAVEURS</t>
  </si>
  <si>
    <t>120E19 CF - PASSION FROID</t>
  </si>
  <si>
    <t>100E19 CF - 11 PAL-21 ROLLS - HAYON RETRACTABLE - RELAIS D'OR</t>
  </si>
  <si>
    <t>120E19 CF - 15 PAL-24 ROLLS - HAYON RETRACTABLE - RELAIS D'OR</t>
  </si>
  <si>
    <t>160E21 CF - 18 PALL-30 ROLLS - HAYON RETRACTABLE - RELAIS D'OR</t>
  </si>
  <si>
    <t>35S14CF - 5 PAL - VRAC - SAVEURS D'ANTONE</t>
  </si>
  <si>
    <t>35S14CF - 5 PAL-8 ROLLS - RELAIS D'OR</t>
  </si>
  <si>
    <t>35S14CF - 6 PAL- LARGE - SAVEURS D'ANTONE</t>
  </si>
  <si>
    <t>35S14CF - 8 ROLLS LARGE - SAVEURS D'ANTONE</t>
  </si>
  <si>
    <t>72C18CF - 15 ROLLS - SAVEURS D'ANTONE</t>
  </si>
  <si>
    <t>D12.210 CF - PASSION FROID</t>
  </si>
  <si>
    <t>GAMME D WIDE -  D19.280 CF - 21 PAL - 3 VTX - PASSION FROID</t>
  </si>
  <si>
    <t>GAMME D WIDE -  D19.280 CF - 21 PAL - EASY ACC'AIR - PASSION FROID</t>
  </si>
  <si>
    <t>GAMME D WIDED19.280 CF - 21 PAL - HAYON RETRACTABLE - RELAIS D'OR</t>
  </si>
  <si>
    <t>GAMME D WIDED19.280 CF - 21 PAL - TERRE AZUR</t>
  </si>
  <si>
    <t>GAMME D WIDED19.280 CF - 42 PAL - DOUBLE PLANCHER - TERRE AZUR</t>
  </si>
  <si>
    <t>GAMME D WIDED19.280 CS - 18 PAL - EPISAVEURS</t>
  </si>
  <si>
    <t>GAMME D WIDED19.280 CS - 21 PAL - EPISAVEURS</t>
  </si>
  <si>
    <t>GAMME D WIDED19.280 CI - 18 PAL - EPISAVEURS</t>
  </si>
  <si>
    <t>GAMME D WIDED19.280 CI - 21 PAL - EPISAVEURS</t>
  </si>
  <si>
    <t>RENAULT GAMME D WIDE - CAISSE MESSAGERIE / HAYON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</si>
</sst>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&quot;F&quot;_-;\-* #,##0.00\ &quot;F&quot;_-;_-* &quot;-&quot;??\ &quot;F&quot;_-;_-@_-"/>
    <numFmt numFmtId="165" formatCode="_(* #,##0.00_);_(* \(#,##0.00\);_(* &quot;-&quot;??_);_(@_)"/>
    <numFmt numFmtId="166" formatCode="0.0"/>
  </numFmts>
  <fonts count="5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7030A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92D050"/>
      <name val="Calibri"/>
      <family val="2"/>
      <scheme val="minor"/>
    </font>
    <font>
      <sz val="8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u/>
      <sz val="11"/>
      <color theme="1"/>
      <name val="Aptos"/>
      <family val="2"/>
    </font>
    <font>
      <sz val="11"/>
      <color rgb="FFFF0000"/>
      <name val="Aptos"/>
      <family val="2"/>
    </font>
    <font>
      <sz val="11"/>
      <color rgb="FF000000"/>
      <name val="Aptos"/>
    </font>
    <font>
      <u/>
      <sz val="11"/>
      <color rgb="FF0070C0"/>
      <name val="Calibri"/>
      <family val="2"/>
      <scheme val="minor"/>
    </font>
    <font>
      <b/>
      <sz val="11"/>
      <color rgb="FFFF0000"/>
      <name val="Aptos"/>
      <family val="2"/>
    </font>
    <font>
      <b/>
      <sz val="11"/>
      <color rgb="FF00B050"/>
      <name val="Aptos"/>
      <family val="2"/>
    </font>
    <font>
      <sz val="11"/>
      <color rgb="FF00B050"/>
      <name val="Aptos"/>
      <family val="2"/>
    </font>
    <font>
      <sz val="11"/>
      <color rgb="FFFF0000"/>
      <name val="Aptos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0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19" fillId="0" borderId="0"/>
    <xf numFmtId="0" fontId="19" fillId="0" borderId="0"/>
    <xf numFmtId="0" fontId="2" fillId="0" borderId="0"/>
    <xf numFmtId="44" fontId="19" fillId="0" borderId="0" applyFont="0" applyFill="0" applyBorder="0" applyAlignment="0" applyProtection="0"/>
    <xf numFmtId="0" fontId="19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8" borderId="10" applyNumberFormat="0" applyFont="0" applyAlignment="0" applyProtection="0"/>
    <xf numFmtId="0" fontId="2" fillId="0" borderId="0"/>
    <xf numFmtId="0" fontId="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44" fontId="19" fillId="0" borderId="0" applyFont="0" applyFill="0" applyBorder="0" applyAlignment="0" applyProtection="0"/>
    <xf numFmtId="0" fontId="21" fillId="0" borderId="0"/>
    <xf numFmtId="0" fontId="21" fillId="0" borderId="0"/>
    <xf numFmtId="43" fontId="2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138">
    <xf numFmtId="0" fontId="0" fillId="0" borderId="0" xfId="0"/>
    <xf numFmtId="0" fontId="26" fillId="33" borderId="1" xfId="0" applyFont="1" applyFill="1" applyBorder="1" applyAlignment="1" applyProtection="1">
      <alignment horizontal="center" vertical="center" wrapText="1"/>
      <protection hidden="1"/>
    </xf>
    <xf numFmtId="0" fontId="27" fillId="34" borderId="0" xfId="0" applyFont="1" applyFill="1" applyAlignment="1">
      <alignment horizontal="center" vertical="center" wrapText="1"/>
    </xf>
    <xf numFmtId="0" fontId="27" fillId="34" borderId="1" xfId="0" applyFont="1" applyFill="1" applyBorder="1" applyAlignment="1" applyProtection="1">
      <alignment horizontal="center" vertical="center" wrapText="1"/>
      <protection hidden="1"/>
    </xf>
    <xf numFmtId="0" fontId="26" fillId="36" borderId="1" xfId="0" applyFont="1" applyFill="1" applyBorder="1" applyAlignment="1" applyProtection="1">
      <alignment horizontal="center" vertical="center" wrapText="1"/>
      <protection hidden="1"/>
    </xf>
    <xf numFmtId="0" fontId="28" fillId="36" borderId="1" xfId="0" applyFont="1" applyFill="1" applyBorder="1" applyAlignment="1" applyProtection="1">
      <alignment horizontal="center" vertical="center" wrapText="1"/>
      <protection hidden="1"/>
    </xf>
    <xf numFmtId="0" fontId="26" fillId="36" borderId="1" xfId="0" quotePrefix="1" applyFont="1" applyFill="1" applyBorder="1" applyAlignment="1" applyProtection="1">
      <alignment horizontal="center" vertical="center" wrapText="1"/>
      <protection hidden="1"/>
    </xf>
    <xf numFmtId="0" fontId="26" fillId="36" borderId="1" xfId="0" applyFont="1" applyFill="1" applyBorder="1" applyAlignment="1">
      <alignment horizontal="center" vertical="center" wrapText="1"/>
    </xf>
    <xf numFmtId="0" fontId="25" fillId="36" borderId="1" xfId="0" applyFont="1" applyFill="1" applyBorder="1" applyAlignment="1" applyProtection="1">
      <alignment horizontal="center" vertical="center" wrapText="1"/>
      <protection hidden="1"/>
    </xf>
    <xf numFmtId="0" fontId="29" fillId="33" borderId="1" xfId="0" applyFont="1" applyFill="1" applyBorder="1" applyAlignment="1" applyProtection="1">
      <alignment horizontal="center" vertical="center" wrapText="1"/>
      <protection hidden="1"/>
    </xf>
    <xf numFmtId="0" fontId="28" fillId="36" borderId="1" xfId="0" quotePrefix="1" applyFont="1" applyFill="1" applyBorder="1" applyAlignment="1" applyProtection="1">
      <alignment horizontal="center" vertical="center" wrapText="1"/>
      <protection hidden="1"/>
    </xf>
    <xf numFmtId="0" fontId="28" fillId="36" borderId="1" xfId="0" applyFont="1" applyFill="1" applyBorder="1" applyAlignment="1" applyProtection="1">
      <alignment horizontal="left" vertical="center" wrapText="1"/>
      <protection hidden="1"/>
    </xf>
    <xf numFmtId="0" fontId="28" fillId="36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 applyProtection="1">
      <alignment horizontal="center" vertical="center" wrapText="1"/>
      <protection hidden="1"/>
    </xf>
    <xf numFmtId="0" fontId="29" fillId="36" borderId="1" xfId="0" quotePrefix="1" applyFont="1" applyFill="1" applyBorder="1" applyAlignment="1" applyProtection="1">
      <alignment horizontal="center" vertical="center" wrapText="1"/>
      <protection hidden="1"/>
    </xf>
    <xf numFmtId="0" fontId="29" fillId="36" borderId="1" xfId="0" applyFont="1" applyFill="1" applyBorder="1" applyAlignment="1" applyProtection="1">
      <alignment horizontal="left" vertical="center" wrapText="1"/>
      <protection hidden="1"/>
    </xf>
    <xf numFmtId="0" fontId="29" fillId="36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 applyProtection="1">
      <alignment horizontal="center" vertical="center"/>
      <protection hidden="1"/>
    </xf>
    <xf numFmtId="0" fontId="30" fillId="36" borderId="1" xfId="0" applyFont="1" applyFill="1" applyBorder="1" applyAlignment="1" applyProtection="1">
      <alignment horizontal="center" vertical="center" wrapText="1"/>
      <protection hidden="1"/>
    </xf>
    <xf numFmtId="0" fontId="26" fillId="36" borderId="1" xfId="0" applyFont="1" applyFill="1" applyBorder="1" applyAlignment="1" applyProtection="1">
      <alignment horizontal="left" vertical="center" wrapText="1"/>
      <protection hidden="1"/>
    </xf>
    <xf numFmtId="0" fontId="27" fillId="34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>
      <alignment horizontal="left" vertical="center" wrapText="1"/>
    </xf>
    <xf numFmtId="0" fontId="31" fillId="36" borderId="1" xfId="0" applyFont="1" applyFill="1" applyBorder="1" applyAlignment="1" applyProtection="1">
      <alignment horizontal="left" vertical="center" wrapText="1"/>
      <protection hidden="1"/>
    </xf>
    <xf numFmtId="0" fontId="25" fillId="36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 applyProtection="1">
      <alignment horizontal="center" vertical="center"/>
      <protection hidden="1"/>
    </xf>
    <xf numFmtId="0" fontId="27" fillId="34" borderId="0" xfId="0" applyFont="1" applyFill="1" applyAlignment="1">
      <alignment horizontal="center" vertical="center"/>
    </xf>
    <xf numFmtId="0" fontId="27" fillId="34" borderId="1" xfId="0" applyFont="1" applyFill="1" applyBorder="1" applyAlignment="1">
      <alignment horizontal="center" vertical="center"/>
    </xf>
    <xf numFmtId="0" fontId="27" fillId="34" borderId="12" xfId="0" applyFont="1" applyFill="1" applyBorder="1" applyAlignment="1">
      <alignment horizontal="center" vertical="center"/>
    </xf>
    <xf numFmtId="0" fontId="27" fillId="34" borderId="13" xfId="0" applyFont="1" applyFill="1" applyBorder="1" applyAlignment="1">
      <alignment horizontal="center" vertical="center"/>
    </xf>
    <xf numFmtId="1" fontId="27" fillId="34" borderId="1" xfId="0" applyNumberFormat="1" applyFont="1" applyFill="1" applyBorder="1" applyAlignment="1" applyProtection="1">
      <alignment horizontal="center" vertical="center" wrapText="1"/>
      <protection hidden="1"/>
    </xf>
    <xf numFmtId="0" fontId="26" fillId="36" borderId="1" xfId="0" applyFont="1" applyFill="1" applyBorder="1" applyAlignment="1" applyProtection="1">
      <alignment horizontal="center" vertical="center"/>
      <protection hidden="1"/>
    </xf>
    <xf numFmtId="0" fontId="26" fillId="36" borderId="1" xfId="1" applyFont="1" applyFill="1" applyBorder="1" applyAlignment="1" applyProtection="1">
      <alignment horizontal="left" vertical="center" wrapText="1"/>
      <protection hidden="1"/>
    </xf>
    <xf numFmtId="0" fontId="29" fillId="36" borderId="1" xfId="1" applyFont="1" applyFill="1" applyBorder="1" applyAlignment="1" applyProtection="1">
      <alignment horizontal="left" vertical="center" wrapText="1"/>
      <protection hidden="1"/>
    </xf>
    <xf numFmtId="0" fontId="32" fillId="36" borderId="1" xfId="1" applyFont="1" applyFill="1" applyBorder="1" applyAlignment="1" applyProtection="1">
      <alignment horizontal="left" vertical="center" wrapText="1"/>
      <protection hidden="1"/>
    </xf>
    <xf numFmtId="0" fontId="27" fillId="34" borderId="13" xfId="0" applyFont="1" applyFill="1" applyBorder="1" applyAlignment="1">
      <alignment horizontal="center" vertical="center" wrapText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8" fillId="37" borderId="1" xfId="0" applyFont="1" applyFill="1" applyBorder="1" applyAlignment="1" applyProtection="1">
      <alignment horizontal="center" vertical="center" wrapText="1"/>
      <protection hidden="1"/>
    </xf>
    <xf numFmtId="1" fontId="28" fillId="37" borderId="1" xfId="0" applyNumberFormat="1" applyFont="1" applyFill="1" applyBorder="1" applyAlignment="1" applyProtection="1">
      <alignment horizontal="center" vertical="center" wrapText="1"/>
      <protection hidden="1"/>
    </xf>
    <xf numFmtId="0" fontId="29" fillId="37" borderId="1" xfId="0" applyFont="1" applyFill="1" applyBorder="1" applyAlignment="1" applyProtection="1">
      <alignment horizontal="center" vertical="center" wrapText="1"/>
      <protection hidden="1"/>
    </xf>
    <xf numFmtId="0" fontId="27" fillId="34" borderId="2" xfId="0" applyFont="1" applyFill="1" applyBorder="1" applyAlignment="1" applyProtection="1">
      <alignment horizontal="center" vertical="center" wrapText="1"/>
      <protection hidden="1"/>
    </xf>
    <xf numFmtId="1" fontId="27" fillId="34" borderId="12" xfId="0" applyNumberFormat="1" applyFont="1" applyFill="1" applyBorder="1" applyAlignment="1">
      <alignment horizontal="center" vertical="center"/>
    </xf>
    <xf numFmtId="0" fontId="27" fillId="34" borderId="14" xfId="0" applyFont="1" applyFill="1" applyBorder="1" applyAlignment="1">
      <alignment horizontal="center" vertical="center" wrapText="1"/>
    </xf>
    <xf numFmtId="0" fontId="33" fillId="34" borderId="0" xfId="0" applyFont="1" applyFill="1" applyAlignment="1">
      <alignment horizontal="center"/>
    </xf>
    <xf numFmtId="0" fontId="24" fillId="0" borderId="13" xfId="0" applyFont="1" applyBorder="1" applyAlignment="1" applyProtection="1">
      <alignment horizontal="center" vertical="center"/>
      <protection hidden="1"/>
    </xf>
    <xf numFmtId="0" fontId="24" fillId="0" borderId="1" xfId="0" quotePrefix="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27" fillId="34" borderId="1" xfId="0" applyFont="1" applyFill="1" applyBorder="1" applyAlignment="1" applyProtection="1">
      <alignment horizontal="left" vertical="center"/>
      <protection hidden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15" fillId="35" borderId="16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vertical="top" wrapText="1"/>
    </xf>
    <xf numFmtId="0" fontId="34" fillId="0" borderId="0" xfId="0" applyFont="1"/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 applyProtection="1">
      <alignment horizontal="left" vertical="top"/>
      <protection hidden="1"/>
    </xf>
    <xf numFmtId="0" fontId="24" fillId="0" borderId="1" xfId="0" applyFont="1" applyBorder="1" applyAlignment="1">
      <alignment vertical="top"/>
    </xf>
    <xf numFmtId="0" fontId="24" fillId="0" borderId="1" xfId="0" applyFont="1" applyBorder="1" applyAlignment="1" applyProtection="1">
      <alignment horizontal="left" vertical="top" wrapText="1"/>
      <protection hidden="1"/>
    </xf>
    <xf numFmtId="0" fontId="24" fillId="0" borderId="1" xfId="0" applyFont="1" applyBorder="1" applyAlignment="1" applyProtection="1">
      <alignment vertical="top"/>
      <protection hidden="1"/>
    </xf>
    <xf numFmtId="0" fontId="24" fillId="0" borderId="1" xfId="0" applyFont="1" applyBorder="1" applyAlignment="1" applyProtection="1">
      <alignment vertical="top" wrapText="1"/>
      <protection hidden="1"/>
    </xf>
    <xf numFmtId="0" fontId="24" fillId="0" borderId="22" xfId="0" applyFont="1" applyBorder="1" applyAlignment="1">
      <alignment vertical="top" wrapText="1"/>
    </xf>
    <xf numFmtId="0" fontId="24" fillId="0" borderId="1" xfId="0" quotePrefix="1" applyFont="1" applyBorder="1" applyAlignment="1">
      <alignment vertical="top" wrapText="1"/>
    </xf>
    <xf numFmtId="0" fontId="24" fillId="0" borderId="12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left" vertical="center" wrapText="1"/>
      <protection hidden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8" fillId="33" borderId="1" xfId="0" applyFont="1" applyFill="1" applyBorder="1" applyAlignment="1" applyProtection="1">
      <alignment horizontal="center" vertical="center" wrapText="1"/>
      <protection hidden="1"/>
    </xf>
    <xf numFmtId="0" fontId="28" fillId="0" borderId="1" xfId="0" applyFont="1" applyBorder="1" applyAlignment="1" applyProtection="1">
      <alignment horizontal="center" vertical="center" wrapText="1"/>
      <protection hidden="1"/>
    </xf>
    <xf numFmtId="0" fontId="28" fillId="38" borderId="1" xfId="0" applyFont="1" applyFill="1" applyBorder="1" applyAlignment="1" applyProtection="1">
      <alignment horizontal="center" vertical="center" wrapText="1"/>
      <protection hidden="1"/>
    </xf>
    <xf numFmtId="0" fontId="27" fillId="34" borderId="12" xfId="0" applyFont="1" applyFill="1" applyBorder="1" applyAlignment="1">
      <alignment horizontal="center" vertical="center" wrapText="1"/>
    </xf>
    <xf numFmtId="0" fontId="36" fillId="0" borderId="0" xfId="0" applyFont="1"/>
    <xf numFmtId="0" fontId="24" fillId="36" borderId="1" xfId="0" applyFont="1" applyFill="1" applyBorder="1" applyAlignment="1" applyProtection="1">
      <alignment horizontal="center" vertical="center"/>
      <protection hidden="1"/>
    </xf>
    <xf numFmtId="0" fontId="28" fillId="33" borderId="1" xfId="0" quotePrefix="1" applyFont="1" applyFill="1" applyBorder="1" applyAlignment="1" applyProtection="1">
      <alignment horizontal="center" vertical="center" wrapText="1"/>
      <protection hidden="1"/>
    </xf>
    <xf numFmtId="0" fontId="1" fillId="33" borderId="1" xfId="1" applyFill="1" applyBorder="1" applyAlignment="1" applyProtection="1">
      <alignment horizontal="center" vertical="center" wrapText="1"/>
      <protection hidden="1"/>
    </xf>
    <xf numFmtId="0" fontId="24" fillId="39" borderId="1" xfId="0" applyFont="1" applyFill="1" applyBorder="1" applyAlignment="1" applyProtection="1">
      <alignment horizontal="center" vertical="center"/>
      <protection hidden="1"/>
    </xf>
    <xf numFmtId="0" fontId="24" fillId="40" borderId="1" xfId="0" applyFont="1" applyFill="1" applyBorder="1" applyAlignment="1" applyProtection="1">
      <alignment horizontal="center" vertical="center"/>
      <protection hidden="1"/>
    </xf>
    <xf numFmtId="0" fontId="24" fillId="41" borderId="1" xfId="0" applyFont="1" applyFill="1" applyBorder="1" applyAlignment="1" applyProtection="1">
      <alignment horizontal="center" vertical="center"/>
      <protection hidden="1"/>
    </xf>
    <xf numFmtId="0" fontId="1" fillId="37" borderId="1" xfId="1" applyFill="1" applyBorder="1" applyAlignment="1" applyProtection="1">
      <alignment horizontal="center" vertical="center" wrapText="1"/>
      <protection hidden="1"/>
    </xf>
    <xf numFmtId="0" fontId="24" fillId="42" borderId="1" xfId="0" applyFont="1" applyFill="1" applyBorder="1" applyAlignment="1" applyProtection="1">
      <alignment horizontal="center" vertical="center"/>
      <protection hidden="1"/>
    </xf>
    <xf numFmtId="0" fontId="24" fillId="37" borderId="1" xfId="0" applyFont="1" applyFill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 wrapText="1"/>
      <protection hidden="1"/>
    </xf>
    <xf numFmtId="0" fontId="24" fillId="0" borderId="0" xfId="0" applyFont="1"/>
    <xf numFmtId="1" fontId="28" fillId="33" borderId="1" xfId="0" applyNumberFormat="1" applyFont="1" applyFill="1" applyBorder="1" applyAlignment="1" applyProtection="1">
      <alignment horizontal="center" vertical="center" wrapText="1"/>
      <protection hidden="1"/>
    </xf>
    <xf numFmtId="0" fontId="28" fillId="33" borderId="1" xfId="0" applyFont="1" applyFill="1" applyBorder="1" applyAlignment="1">
      <alignment horizontal="center" vertical="center" wrapText="1"/>
    </xf>
    <xf numFmtId="0" fontId="28" fillId="43" borderId="1" xfId="0" applyFont="1" applyFill="1" applyBorder="1" applyAlignment="1" applyProtection="1">
      <alignment horizontal="center" vertical="center" wrapText="1"/>
      <protection hidden="1"/>
    </xf>
    <xf numFmtId="1" fontId="28" fillId="33" borderId="1" xfId="0" quotePrefix="1" applyNumberFormat="1" applyFont="1" applyFill="1" applyBorder="1" applyAlignment="1" applyProtection="1">
      <alignment horizontal="center" vertical="center" wrapText="1"/>
      <protection hidden="1"/>
    </xf>
    <xf numFmtId="0" fontId="28" fillId="0" borderId="1" xfId="0" applyFont="1" applyBorder="1" applyAlignment="1">
      <alignment horizontal="center" vertical="center" wrapText="1"/>
    </xf>
    <xf numFmtId="1" fontId="28" fillId="33" borderId="0" xfId="0" applyNumberFormat="1" applyFont="1" applyFill="1" applyAlignment="1">
      <alignment horizontal="center" vertical="center" wrapText="1"/>
    </xf>
    <xf numFmtId="1" fontId="28" fillId="33" borderId="1" xfId="0" applyNumberFormat="1" applyFont="1" applyFill="1" applyBorder="1" applyAlignment="1">
      <alignment horizontal="center" vertical="center" wrapText="1"/>
    </xf>
    <xf numFmtId="0" fontId="28" fillId="33" borderId="0" xfId="0" applyFont="1" applyFill="1" applyAlignment="1">
      <alignment horizontal="center" vertical="center" wrapText="1"/>
    </xf>
    <xf numFmtId="0" fontId="24" fillId="37" borderId="1" xfId="0" applyFont="1" applyFill="1" applyBorder="1" applyAlignment="1">
      <alignment vertical="top" wrapText="1"/>
    </xf>
    <xf numFmtId="0" fontId="28" fillId="44" borderId="1" xfId="0" applyFont="1" applyFill="1" applyBorder="1" applyAlignment="1" applyProtection="1">
      <alignment horizontal="center" vertical="center" wrapText="1"/>
      <protection hidden="1"/>
    </xf>
    <xf numFmtId="166" fontId="28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24" fillId="44" borderId="1" xfId="0" applyFont="1" applyFill="1" applyBorder="1" applyAlignment="1" applyProtection="1">
      <alignment horizontal="center" vertical="center" wrapText="1"/>
      <protection hidden="1"/>
    </xf>
    <xf numFmtId="1" fontId="28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46" fillId="44" borderId="1" xfId="1" applyFont="1" applyFill="1" applyBorder="1" applyAlignment="1" applyProtection="1">
      <alignment vertical="center" wrapText="1"/>
      <protection hidden="1"/>
    </xf>
    <xf numFmtId="0" fontId="28" fillId="44" borderId="1" xfId="0" applyFont="1" applyFill="1" applyBorder="1" applyAlignment="1">
      <alignment horizontal="center" vertical="center" wrapText="1"/>
    </xf>
    <xf numFmtId="1" fontId="46" fillId="44" borderId="1" xfId="1" applyNumberFormat="1" applyFont="1" applyFill="1" applyBorder="1" applyAlignment="1" applyProtection="1">
      <alignment vertical="center" wrapText="1"/>
      <protection hidden="1"/>
    </xf>
    <xf numFmtId="1" fontId="28" fillId="44" borderId="1" xfId="0" applyNumberFormat="1" applyFont="1" applyFill="1" applyBorder="1" applyAlignment="1">
      <alignment horizontal="center" vertical="center" wrapText="1"/>
    </xf>
    <xf numFmtId="0" fontId="24" fillId="37" borderId="1" xfId="0" applyFont="1" applyFill="1" applyBorder="1" applyAlignment="1">
      <alignment horizontal="left" vertical="top" wrapText="1"/>
    </xf>
    <xf numFmtId="0" fontId="24" fillId="37" borderId="22" xfId="0" applyFont="1" applyFill="1" applyBorder="1" applyAlignment="1">
      <alignment vertical="top" wrapText="1"/>
    </xf>
    <xf numFmtId="0" fontId="24" fillId="37" borderId="0" xfId="0" applyFont="1" applyFill="1" applyAlignment="1">
      <alignment vertical="top"/>
    </xf>
    <xf numFmtId="0" fontId="24" fillId="37" borderId="1" xfId="0" applyFont="1" applyFill="1" applyBorder="1" applyAlignment="1" applyProtection="1">
      <alignment horizontal="left" vertical="top" wrapText="1"/>
      <protection hidden="1"/>
    </xf>
    <xf numFmtId="0" fontId="24" fillId="37" borderId="0" xfId="0" applyFont="1" applyFill="1"/>
    <xf numFmtId="0" fontId="24" fillId="37" borderId="0" xfId="0" applyFont="1" applyFill="1" applyAlignment="1">
      <alignment vertical="top" wrapText="1"/>
    </xf>
    <xf numFmtId="0" fontId="27" fillId="34" borderId="12" xfId="0" applyFont="1" applyFill="1" applyBorder="1" applyAlignment="1">
      <alignment horizontal="center" vertical="center"/>
    </xf>
    <xf numFmtId="0" fontId="27" fillId="34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408">
    <cellStyle name="20 % - Accent1" xfId="20" builtinId="30" customBuiltin="1"/>
    <cellStyle name="20 % - Accent1 2" xfId="72" xr:uid="{00000000-0005-0000-0000-000001000000}"/>
    <cellStyle name="20 % - Accent1 2 2" xfId="105" xr:uid="{00000000-0005-0000-0000-000002000000}"/>
    <cellStyle name="20 % - Accent1 2 2 2" xfId="240" xr:uid="{00000000-0005-0000-0000-000003000000}"/>
    <cellStyle name="20 % - Accent1 2 2 2 2" xfId="373" xr:uid="{00000000-0005-0000-0000-000004000000}"/>
    <cellStyle name="20 % - Accent1 2 2 3" xfId="171" xr:uid="{00000000-0005-0000-0000-000005000000}"/>
    <cellStyle name="20 % - Accent1 2 2 4" xfId="306" xr:uid="{00000000-0005-0000-0000-000006000000}"/>
    <cellStyle name="20 % - Accent1 2 3" xfId="207" xr:uid="{00000000-0005-0000-0000-000007000000}"/>
    <cellStyle name="20 % - Accent1 2 3 2" xfId="340" xr:uid="{00000000-0005-0000-0000-000008000000}"/>
    <cellStyle name="20 % - Accent1 2 4" xfId="138" xr:uid="{00000000-0005-0000-0000-000009000000}"/>
    <cellStyle name="20 % - Accent1 2 5" xfId="273" xr:uid="{00000000-0005-0000-0000-00000A000000}"/>
    <cellStyle name="20 % - Accent1 3" xfId="88" xr:uid="{00000000-0005-0000-0000-00000B000000}"/>
    <cellStyle name="20 % - Accent1 3 2" xfId="223" xr:uid="{00000000-0005-0000-0000-00000C000000}"/>
    <cellStyle name="20 % - Accent1 3 2 2" xfId="356" xr:uid="{00000000-0005-0000-0000-00000D000000}"/>
    <cellStyle name="20 % - Accent1 3 3" xfId="154" xr:uid="{00000000-0005-0000-0000-00000E000000}"/>
    <cellStyle name="20 % - Accent1 3 4" xfId="289" xr:uid="{00000000-0005-0000-0000-00000F000000}"/>
    <cellStyle name="20 % - Accent1 4" xfId="188" xr:uid="{00000000-0005-0000-0000-000010000000}"/>
    <cellStyle name="20 % - Accent1 4 2" xfId="323" xr:uid="{00000000-0005-0000-0000-000011000000}"/>
    <cellStyle name="20 % - Accent1 5" xfId="121" xr:uid="{00000000-0005-0000-0000-000012000000}"/>
    <cellStyle name="20 % - Accent1 6" xfId="256" xr:uid="{00000000-0005-0000-0000-000013000000}"/>
    <cellStyle name="20 % - Accent2" xfId="24" builtinId="34" customBuiltin="1"/>
    <cellStyle name="20 % - Accent2 2" xfId="74" xr:uid="{00000000-0005-0000-0000-000015000000}"/>
    <cellStyle name="20 % - Accent2 2 2" xfId="107" xr:uid="{00000000-0005-0000-0000-000016000000}"/>
    <cellStyle name="20 % - Accent2 2 2 2" xfId="242" xr:uid="{00000000-0005-0000-0000-000017000000}"/>
    <cellStyle name="20 % - Accent2 2 2 2 2" xfId="375" xr:uid="{00000000-0005-0000-0000-000018000000}"/>
    <cellStyle name="20 % - Accent2 2 2 3" xfId="173" xr:uid="{00000000-0005-0000-0000-000019000000}"/>
    <cellStyle name="20 % - Accent2 2 2 4" xfId="308" xr:uid="{00000000-0005-0000-0000-00001A000000}"/>
    <cellStyle name="20 % - Accent2 2 3" xfId="209" xr:uid="{00000000-0005-0000-0000-00001B000000}"/>
    <cellStyle name="20 % - Accent2 2 3 2" xfId="342" xr:uid="{00000000-0005-0000-0000-00001C000000}"/>
    <cellStyle name="20 % - Accent2 2 4" xfId="140" xr:uid="{00000000-0005-0000-0000-00001D000000}"/>
    <cellStyle name="20 % - Accent2 2 5" xfId="275" xr:uid="{00000000-0005-0000-0000-00001E000000}"/>
    <cellStyle name="20 % - Accent2 3" xfId="90" xr:uid="{00000000-0005-0000-0000-00001F000000}"/>
    <cellStyle name="20 % - Accent2 3 2" xfId="225" xr:uid="{00000000-0005-0000-0000-000020000000}"/>
    <cellStyle name="20 % - Accent2 3 2 2" xfId="358" xr:uid="{00000000-0005-0000-0000-000021000000}"/>
    <cellStyle name="20 % - Accent2 3 3" xfId="156" xr:uid="{00000000-0005-0000-0000-000022000000}"/>
    <cellStyle name="20 % - Accent2 3 4" xfId="291" xr:uid="{00000000-0005-0000-0000-000023000000}"/>
    <cellStyle name="20 % - Accent2 4" xfId="190" xr:uid="{00000000-0005-0000-0000-000024000000}"/>
    <cellStyle name="20 % - Accent2 4 2" xfId="325" xr:uid="{00000000-0005-0000-0000-000025000000}"/>
    <cellStyle name="20 % - Accent2 5" xfId="123" xr:uid="{00000000-0005-0000-0000-000026000000}"/>
    <cellStyle name="20 % - Accent2 6" xfId="258" xr:uid="{00000000-0005-0000-0000-000027000000}"/>
    <cellStyle name="20 % - Accent3" xfId="28" builtinId="38" customBuiltin="1"/>
    <cellStyle name="20 % - Accent3 2" xfId="76" xr:uid="{00000000-0005-0000-0000-000029000000}"/>
    <cellStyle name="20 % - Accent3 2 2" xfId="109" xr:uid="{00000000-0005-0000-0000-00002A000000}"/>
    <cellStyle name="20 % - Accent3 2 2 2" xfId="244" xr:uid="{00000000-0005-0000-0000-00002B000000}"/>
    <cellStyle name="20 % - Accent3 2 2 2 2" xfId="377" xr:uid="{00000000-0005-0000-0000-00002C000000}"/>
    <cellStyle name="20 % - Accent3 2 2 3" xfId="175" xr:uid="{00000000-0005-0000-0000-00002D000000}"/>
    <cellStyle name="20 % - Accent3 2 2 4" xfId="310" xr:uid="{00000000-0005-0000-0000-00002E000000}"/>
    <cellStyle name="20 % - Accent3 2 3" xfId="211" xr:uid="{00000000-0005-0000-0000-00002F000000}"/>
    <cellStyle name="20 % - Accent3 2 3 2" xfId="344" xr:uid="{00000000-0005-0000-0000-000030000000}"/>
    <cellStyle name="20 % - Accent3 2 4" xfId="142" xr:uid="{00000000-0005-0000-0000-000031000000}"/>
    <cellStyle name="20 % - Accent3 2 5" xfId="277" xr:uid="{00000000-0005-0000-0000-000032000000}"/>
    <cellStyle name="20 % - Accent3 3" xfId="92" xr:uid="{00000000-0005-0000-0000-000033000000}"/>
    <cellStyle name="20 % - Accent3 3 2" xfId="227" xr:uid="{00000000-0005-0000-0000-000034000000}"/>
    <cellStyle name="20 % - Accent3 3 2 2" xfId="360" xr:uid="{00000000-0005-0000-0000-000035000000}"/>
    <cellStyle name="20 % - Accent3 3 3" xfId="158" xr:uid="{00000000-0005-0000-0000-000036000000}"/>
    <cellStyle name="20 % - Accent3 3 4" xfId="293" xr:uid="{00000000-0005-0000-0000-000037000000}"/>
    <cellStyle name="20 % - Accent3 4" xfId="192" xr:uid="{00000000-0005-0000-0000-000038000000}"/>
    <cellStyle name="20 % - Accent3 4 2" xfId="327" xr:uid="{00000000-0005-0000-0000-000039000000}"/>
    <cellStyle name="20 % - Accent3 5" xfId="125" xr:uid="{00000000-0005-0000-0000-00003A000000}"/>
    <cellStyle name="20 % - Accent3 6" xfId="260" xr:uid="{00000000-0005-0000-0000-00003B000000}"/>
    <cellStyle name="20 % - Accent4" xfId="32" builtinId="42" customBuiltin="1"/>
    <cellStyle name="20 % - Accent4 2" xfId="78" xr:uid="{00000000-0005-0000-0000-00003D000000}"/>
    <cellStyle name="20 % - Accent4 2 2" xfId="111" xr:uid="{00000000-0005-0000-0000-00003E000000}"/>
    <cellStyle name="20 % - Accent4 2 2 2" xfId="246" xr:uid="{00000000-0005-0000-0000-00003F000000}"/>
    <cellStyle name="20 % - Accent4 2 2 2 2" xfId="379" xr:uid="{00000000-0005-0000-0000-000040000000}"/>
    <cellStyle name="20 % - Accent4 2 2 3" xfId="177" xr:uid="{00000000-0005-0000-0000-000041000000}"/>
    <cellStyle name="20 % - Accent4 2 2 4" xfId="312" xr:uid="{00000000-0005-0000-0000-000042000000}"/>
    <cellStyle name="20 % - Accent4 2 3" xfId="213" xr:uid="{00000000-0005-0000-0000-000043000000}"/>
    <cellStyle name="20 % - Accent4 2 3 2" xfId="346" xr:uid="{00000000-0005-0000-0000-000044000000}"/>
    <cellStyle name="20 % - Accent4 2 4" xfId="144" xr:uid="{00000000-0005-0000-0000-000045000000}"/>
    <cellStyle name="20 % - Accent4 2 5" xfId="279" xr:uid="{00000000-0005-0000-0000-000046000000}"/>
    <cellStyle name="20 % - Accent4 3" xfId="94" xr:uid="{00000000-0005-0000-0000-000047000000}"/>
    <cellStyle name="20 % - Accent4 3 2" xfId="229" xr:uid="{00000000-0005-0000-0000-000048000000}"/>
    <cellStyle name="20 % - Accent4 3 2 2" xfId="362" xr:uid="{00000000-0005-0000-0000-000049000000}"/>
    <cellStyle name="20 % - Accent4 3 3" xfId="160" xr:uid="{00000000-0005-0000-0000-00004A000000}"/>
    <cellStyle name="20 % - Accent4 3 4" xfId="295" xr:uid="{00000000-0005-0000-0000-00004B000000}"/>
    <cellStyle name="20 % - Accent4 4" xfId="194" xr:uid="{00000000-0005-0000-0000-00004C000000}"/>
    <cellStyle name="20 % - Accent4 4 2" xfId="329" xr:uid="{00000000-0005-0000-0000-00004D000000}"/>
    <cellStyle name="20 % - Accent4 5" xfId="127" xr:uid="{00000000-0005-0000-0000-00004E000000}"/>
    <cellStyle name="20 % - Accent4 6" xfId="262" xr:uid="{00000000-0005-0000-0000-00004F000000}"/>
    <cellStyle name="20 % - Accent5" xfId="36" builtinId="46" customBuiltin="1"/>
    <cellStyle name="20 % - Accent5 2" xfId="80" xr:uid="{00000000-0005-0000-0000-000051000000}"/>
    <cellStyle name="20 % - Accent5 2 2" xfId="113" xr:uid="{00000000-0005-0000-0000-000052000000}"/>
    <cellStyle name="20 % - Accent5 2 2 2" xfId="248" xr:uid="{00000000-0005-0000-0000-000053000000}"/>
    <cellStyle name="20 % - Accent5 2 2 2 2" xfId="381" xr:uid="{00000000-0005-0000-0000-000054000000}"/>
    <cellStyle name="20 % - Accent5 2 2 3" xfId="179" xr:uid="{00000000-0005-0000-0000-000055000000}"/>
    <cellStyle name="20 % - Accent5 2 2 4" xfId="314" xr:uid="{00000000-0005-0000-0000-000056000000}"/>
    <cellStyle name="20 % - Accent5 2 3" xfId="215" xr:uid="{00000000-0005-0000-0000-000057000000}"/>
    <cellStyle name="20 % - Accent5 2 3 2" xfId="348" xr:uid="{00000000-0005-0000-0000-000058000000}"/>
    <cellStyle name="20 % - Accent5 2 4" xfId="146" xr:uid="{00000000-0005-0000-0000-000059000000}"/>
    <cellStyle name="20 % - Accent5 2 5" xfId="281" xr:uid="{00000000-0005-0000-0000-00005A000000}"/>
    <cellStyle name="20 % - Accent5 3" xfId="96" xr:uid="{00000000-0005-0000-0000-00005B000000}"/>
    <cellStyle name="20 % - Accent5 3 2" xfId="231" xr:uid="{00000000-0005-0000-0000-00005C000000}"/>
    <cellStyle name="20 % - Accent5 3 2 2" xfId="364" xr:uid="{00000000-0005-0000-0000-00005D000000}"/>
    <cellStyle name="20 % - Accent5 3 3" xfId="162" xr:uid="{00000000-0005-0000-0000-00005E000000}"/>
    <cellStyle name="20 % - Accent5 3 4" xfId="297" xr:uid="{00000000-0005-0000-0000-00005F000000}"/>
    <cellStyle name="20 % - Accent5 4" xfId="196" xr:uid="{00000000-0005-0000-0000-000060000000}"/>
    <cellStyle name="20 % - Accent5 4 2" xfId="331" xr:uid="{00000000-0005-0000-0000-000061000000}"/>
    <cellStyle name="20 % - Accent5 5" xfId="129" xr:uid="{00000000-0005-0000-0000-000062000000}"/>
    <cellStyle name="20 % - Accent5 6" xfId="264" xr:uid="{00000000-0005-0000-0000-000063000000}"/>
    <cellStyle name="20 % - Accent6" xfId="40" builtinId="50" customBuiltin="1"/>
    <cellStyle name="20 % - Accent6 2" xfId="82" xr:uid="{00000000-0005-0000-0000-000065000000}"/>
    <cellStyle name="20 % - Accent6 2 2" xfId="115" xr:uid="{00000000-0005-0000-0000-000066000000}"/>
    <cellStyle name="20 % - Accent6 2 2 2" xfId="250" xr:uid="{00000000-0005-0000-0000-000067000000}"/>
    <cellStyle name="20 % - Accent6 2 2 2 2" xfId="383" xr:uid="{00000000-0005-0000-0000-000068000000}"/>
    <cellStyle name="20 % - Accent6 2 2 3" xfId="181" xr:uid="{00000000-0005-0000-0000-000069000000}"/>
    <cellStyle name="20 % - Accent6 2 2 4" xfId="316" xr:uid="{00000000-0005-0000-0000-00006A000000}"/>
    <cellStyle name="20 % - Accent6 2 3" xfId="217" xr:uid="{00000000-0005-0000-0000-00006B000000}"/>
    <cellStyle name="20 % - Accent6 2 3 2" xfId="350" xr:uid="{00000000-0005-0000-0000-00006C000000}"/>
    <cellStyle name="20 % - Accent6 2 4" xfId="148" xr:uid="{00000000-0005-0000-0000-00006D000000}"/>
    <cellStyle name="20 % - Accent6 2 5" xfId="283" xr:uid="{00000000-0005-0000-0000-00006E000000}"/>
    <cellStyle name="20 % - Accent6 3" xfId="98" xr:uid="{00000000-0005-0000-0000-00006F000000}"/>
    <cellStyle name="20 % - Accent6 3 2" xfId="233" xr:uid="{00000000-0005-0000-0000-000070000000}"/>
    <cellStyle name="20 % - Accent6 3 2 2" xfId="366" xr:uid="{00000000-0005-0000-0000-000071000000}"/>
    <cellStyle name="20 % - Accent6 3 3" xfId="164" xr:uid="{00000000-0005-0000-0000-000072000000}"/>
    <cellStyle name="20 % - Accent6 3 4" xfId="299" xr:uid="{00000000-0005-0000-0000-000073000000}"/>
    <cellStyle name="20 % - Accent6 4" xfId="198" xr:uid="{00000000-0005-0000-0000-000074000000}"/>
    <cellStyle name="20 % - Accent6 4 2" xfId="333" xr:uid="{00000000-0005-0000-0000-000075000000}"/>
    <cellStyle name="20 % - Accent6 5" xfId="131" xr:uid="{00000000-0005-0000-0000-000076000000}"/>
    <cellStyle name="20 % - Accent6 6" xfId="266" xr:uid="{00000000-0005-0000-0000-000077000000}"/>
    <cellStyle name="40 % - Accent1" xfId="21" builtinId="31" customBuiltin="1"/>
    <cellStyle name="40 % - Accent1 2" xfId="73" xr:uid="{00000000-0005-0000-0000-000079000000}"/>
    <cellStyle name="40 % - Accent1 2 2" xfId="106" xr:uid="{00000000-0005-0000-0000-00007A000000}"/>
    <cellStyle name="40 % - Accent1 2 2 2" xfId="241" xr:uid="{00000000-0005-0000-0000-00007B000000}"/>
    <cellStyle name="40 % - Accent1 2 2 2 2" xfId="374" xr:uid="{00000000-0005-0000-0000-00007C000000}"/>
    <cellStyle name="40 % - Accent1 2 2 3" xfId="172" xr:uid="{00000000-0005-0000-0000-00007D000000}"/>
    <cellStyle name="40 % - Accent1 2 2 4" xfId="307" xr:uid="{00000000-0005-0000-0000-00007E000000}"/>
    <cellStyle name="40 % - Accent1 2 3" xfId="208" xr:uid="{00000000-0005-0000-0000-00007F000000}"/>
    <cellStyle name="40 % - Accent1 2 3 2" xfId="341" xr:uid="{00000000-0005-0000-0000-000080000000}"/>
    <cellStyle name="40 % - Accent1 2 4" xfId="139" xr:uid="{00000000-0005-0000-0000-000081000000}"/>
    <cellStyle name="40 % - Accent1 2 5" xfId="274" xr:uid="{00000000-0005-0000-0000-000082000000}"/>
    <cellStyle name="40 % - Accent1 3" xfId="89" xr:uid="{00000000-0005-0000-0000-000083000000}"/>
    <cellStyle name="40 % - Accent1 3 2" xfId="224" xr:uid="{00000000-0005-0000-0000-000084000000}"/>
    <cellStyle name="40 % - Accent1 3 2 2" xfId="357" xr:uid="{00000000-0005-0000-0000-000085000000}"/>
    <cellStyle name="40 % - Accent1 3 3" xfId="155" xr:uid="{00000000-0005-0000-0000-000086000000}"/>
    <cellStyle name="40 % - Accent1 3 4" xfId="290" xr:uid="{00000000-0005-0000-0000-000087000000}"/>
    <cellStyle name="40 % - Accent1 4" xfId="189" xr:uid="{00000000-0005-0000-0000-000088000000}"/>
    <cellStyle name="40 % - Accent1 4 2" xfId="324" xr:uid="{00000000-0005-0000-0000-000089000000}"/>
    <cellStyle name="40 % - Accent1 5" xfId="122" xr:uid="{00000000-0005-0000-0000-00008A000000}"/>
    <cellStyle name="40 % - Accent1 6" xfId="257" xr:uid="{00000000-0005-0000-0000-00008B000000}"/>
    <cellStyle name="40 % - Accent2" xfId="25" builtinId="35" customBuiltin="1"/>
    <cellStyle name="40 % - Accent2 2" xfId="75" xr:uid="{00000000-0005-0000-0000-00008D000000}"/>
    <cellStyle name="40 % - Accent2 2 2" xfId="108" xr:uid="{00000000-0005-0000-0000-00008E000000}"/>
    <cellStyle name="40 % - Accent2 2 2 2" xfId="243" xr:uid="{00000000-0005-0000-0000-00008F000000}"/>
    <cellStyle name="40 % - Accent2 2 2 2 2" xfId="376" xr:uid="{00000000-0005-0000-0000-000090000000}"/>
    <cellStyle name="40 % - Accent2 2 2 3" xfId="174" xr:uid="{00000000-0005-0000-0000-000091000000}"/>
    <cellStyle name="40 % - Accent2 2 2 4" xfId="309" xr:uid="{00000000-0005-0000-0000-000092000000}"/>
    <cellStyle name="40 % - Accent2 2 3" xfId="210" xr:uid="{00000000-0005-0000-0000-000093000000}"/>
    <cellStyle name="40 % - Accent2 2 3 2" xfId="343" xr:uid="{00000000-0005-0000-0000-000094000000}"/>
    <cellStyle name="40 % - Accent2 2 4" xfId="141" xr:uid="{00000000-0005-0000-0000-000095000000}"/>
    <cellStyle name="40 % - Accent2 2 5" xfId="276" xr:uid="{00000000-0005-0000-0000-000096000000}"/>
    <cellStyle name="40 % - Accent2 3" xfId="91" xr:uid="{00000000-0005-0000-0000-000097000000}"/>
    <cellStyle name="40 % - Accent2 3 2" xfId="226" xr:uid="{00000000-0005-0000-0000-000098000000}"/>
    <cellStyle name="40 % - Accent2 3 2 2" xfId="359" xr:uid="{00000000-0005-0000-0000-000099000000}"/>
    <cellStyle name="40 % - Accent2 3 3" xfId="157" xr:uid="{00000000-0005-0000-0000-00009A000000}"/>
    <cellStyle name="40 % - Accent2 3 4" xfId="292" xr:uid="{00000000-0005-0000-0000-00009B000000}"/>
    <cellStyle name="40 % - Accent2 4" xfId="191" xr:uid="{00000000-0005-0000-0000-00009C000000}"/>
    <cellStyle name="40 % - Accent2 4 2" xfId="326" xr:uid="{00000000-0005-0000-0000-00009D000000}"/>
    <cellStyle name="40 % - Accent2 5" xfId="124" xr:uid="{00000000-0005-0000-0000-00009E000000}"/>
    <cellStyle name="40 % - Accent2 6" xfId="259" xr:uid="{00000000-0005-0000-0000-00009F000000}"/>
    <cellStyle name="40 % - Accent3" xfId="29" builtinId="39" customBuiltin="1"/>
    <cellStyle name="40 % - Accent3 2" xfId="77" xr:uid="{00000000-0005-0000-0000-0000A1000000}"/>
    <cellStyle name="40 % - Accent3 2 2" xfId="110" xr:uid="{00000000-0005-0000-0000-0000A2000000}"/>
    <cellStyle name="40 % - Accent3 2 2 2" xfId="245" xr:uid="{00000000-0005-0000-0000-0000A3000000}"/>
    <cellStyle name="40 % - Accent3 2 2 2 2" xfId="378" xr:uid="{00000000-0005-0000-0000-0000A4000000}"/>
    <cellStyle name="40 % - Accent3 2 2 3" xfId="176" xr:uid="{00000000-0005-0000-0000-0000A5000000}"/>
    <cellStyle name="40 % - Accent3 2 2 4" xfId="311" xr:uid="{00000000-0005-0000-0000-0000A6000000}"/>
    <cellStyle name="40 % - Accent3 2 3" xfId="212" xr:uid="{00000000-0005-0000-0000-0000A7000000}"/>
    <cellStyle name="40 % - Accent3 2 3 2" xfId="345" xr:uid="{00000000-0005-0000-0000-0000A8000000}"/>
    <cellStyle name="40 % - Accent3 2 4" xfId="143" xr:uid="{00000000-0005-0000-0000-0000A9000000}"/>
    <cellStyle name="40 % - Accent3 2 5" xfId="278" xr:uid="{00000000-0005-0000-0000-0000AA000000}"/>
    <cellStyle name="40 % - Accent3 3" xfId="93" xr:uid="{00000000-0005-0000-0000-0000AB000000}"/>
    <cellStyle name="40 % - Accent3 3 2" xfId="228" xr:uid="{00000000-0005-0000-0000-0000AC000000}"/>
    <cellStyle name="40 % - Accent3 3 2 2" xfId="361" xr:uid="{00000000-0005-0000-0000-0000AD000000}"/>
    <cellStyle name="40 % - Accent3 3 3" xfId="159" xr:uid="{00000000-0005-0000-0000-0000AE000000}"/>
    <cellStyle name="40 % - Accent3 3 4" xfId="294" xr:uid="{00000000-0005-0000-0000-0000AF000000}"/>
    <cellStyle name="40 % - Accent3 4" xfId="193" xr:uid="{00000000-0005-0000-0000-0000B0000000}"/>
    <cellStyle name="40 % - Accent3 4 2" xfId="328" xr:uid="{00000000-0005-0000-0000-0000B1000000}"/>
    <cellStyle name="40 % - Accent3 5" xfId="126" xr:uid="{00000000-0005-0000-0000-0000B2000000}"/>
    <cellStyle name="40 % - Accent3 6" xfId="261" xr:uid="{00000000-0005-0000-0000-0000B3000000}"/>
    <cellStyle name="40 % - Accent4" xfId="33" builtinId="43" customBuiltin="1"/>
    <cellStyle name="40 % - Accent4 2" xfId="79" xr:uid="{00000000-0005-0000-0000-0000B5000000}"/>
    <cellStyle name="40 % - Accent4 2 2" xfId="112" xr:uid="{00000000-0005-0000-0000-0000B6000000}"/>
    <cellStyle name="40 % - Accent4 2 2 2" xfId="247" xr:uid="{00000000-0005-0000-0000-0000B7000000}"/>
    <cellStyle name="40 % - Accent4 2 2 2 2" xfId="380" xr:uid="{00000000-0005-0000-0000-0000B8000000}"/>
    <cellStyle name="40 % - Accent4 2 2 3" xfId="178" xr:uid="{00000000-0005-0000-0000-0000B9000000}"/>
    <cellStyle name="40 % - Accent4 2 2 4" xfId="313" xr:uid="{00000000-0005-0000-0000-0000BA000000}"/>
    <cellStyle name="40 % - Accent4 2 3" xfId="214" xr:uid="{00000000-0005-0000-0000-0000BB000000}"/>
    <cellStyle name="40 % - Accent4 2 3 2" xfId="347" xr:uid="{00000000-0005-0000-0000-0000BC000000}"/>
    <cellStyle name="40 % - Accent4 2 4" xfId="145" xr:uid="{00000000-0005-0000-0000-0000BD000000}"/>
    <cellStyle name="40 % - Accent4 2 5" xfId="280" xr:uid="{00000000-0005-0000-0000-0000BE000000}"/>
    <cellStyle name="40 % - Accent4 3" xfId="95" xr:uid="{00000000-0005-0000-0000-0000BF000000}"/>
    <cellStyle name="40 % - Accent4 3 2" xfId="230" xr:uid="{00000000-0005-0000-0000-0000C0000000}"/>
    <cellStyle name="40 % - Accent4 3 2 2" xfId="363" xr:uid="{00000000-0005-0000-0000-0000C1000000}"/>
    <cellStyle name="40 % - Accent4 3 3" xfId="161" xr:uid="{00000000-0005-0000-0000-0000C2000000}"/>
    <cellStyle name="40 % - Accent4 3 4" xfId="296" xr:uid="{00000000-0005-0000-0000-0000C3000000}"/>
    <cellStyle name="40 % - Accent4 4" xfId="195" xr:uid="{00000000-0005-0000-0000-0000C4000000}"/>
    <cellStyle name="40 % - Accent4 4 2" xfId="330" xr:uid="{00000000-0005-0000-0000-0000C5000000}"/>
    <cellStyle name="40 % - Accent4 5" xfId="128" xr:uid="{00000000-0005-0000-0000-0000C6000000}"/>
    <cellStyle name="40 % - Accent4 6" xfId="263" xr:uid="{00000000-0005-0000-0000-0000C7000000}"/>
    <cellStyle name="40 % - Accent5" xfId="37" builtinId="47" customBuiltin="1"/>
    <cellStyle name="40 % - Accent5 2" xfId="81" xr:uid="{00000000-0005-0000-0000-0000C9000000}"/>
    <cellStyle name="40 % - Accent5 2 2" xfId="114" xr:uid="{00000000-0005-0000-0000-0000CA000000}"/>
    <cellStyle name="40 % - Accent5 2 2 2" xfId="249" xr:uid="{00000000-0005-0000-0000-0000CB000000}"/>
    <cellStyle name="40 % - Accent5 2 2 2 2" xfId="382" xr:uid="{00000000-0005-0000-0000-0000CC000000}"/>
    <cellStyle name="40 % - Accent5 2 2 3" xfId="180" xr:uid="{00000000-0005-0000-0000-0000CD000000}"/>
    <cellStyle name="40 % - Accent5 2 2 4" xfId="315" xr:uid="{00000000-0005-0000-0000-0000CE000000}"/>
    <cellStyle name="40 % - Accent5 2 3" xfId="216" xr:uid="{00000000-0005-0000-0000-0000CF000000}"/>
    <cellStyle name="40 % - Accent5 2 3 2" xfId="349" xr:uid="{00000000-0005-0000-0000-0000D0000000}"/>
    <cellStyle name="40 % - Accent5 2 4" xfId="147" xr:uid="{00000000-0005-0000-0000-0000D1000000}"/>
    <cellStyle name="40 % - Accent5 2 5" xfId="282" xr:uid="{00000000-0005-0000-0000-0000D2000000}"/>
    <cellStyle name="40 % - Accent5 3" xfId="97" xr:uid="{00000000-0005-0000-0000-0000D3000000}"/>
    <cellStyle name="40 % - Accent5 3 2" xfId="232" xr:uid="{00000000-0005-0000-0000-0000D4000000}"/>
    <cellStyle name="40 % - Accent5 3 2 2" xfId="365" xr:uid="{00000000-0005-0000-0000-0000D5000000}"/>
    <cellStyle name="40 % - Accent5 3 3" xfId="163" xr:uid="{00000000-0005-0000-0000-0000D6000000}"/>
    <cellStyle name="40 % - Accent5 3 4" xfId="298" xr:uid="{00000000-0005-0000-0000-0000D7000000}"/>
    <cellStyle name="40 % - Accent5 4" xfId="197" xr:uid="{00000000-0005-0000-0000-0000D8000000}"/>
    <cellStyle name="40 % - Accent5 4 2" xfId="332" xr:uid="{00000000-0005-0000-0000-0000D9000000}"/>
    <cellStyle name="40 % - Accent5 5" xfId="130" xr:uid="{00000000-0005-0000-0000-0000DA000000}"/>
    <cellStyle name="40 % - Accent5 6" xfId="265" xr:uid="{00000000-0005-0000-0000-0000DB000000}"/>
    <cellStyle name="40 % - Accent6" xfId="41" builtinId="51" customBuiltin="1"/>
    <cellStyle name="40 % - Accent6 2" xfId="83" xr:uid="{00000000-0005-0000-0000-0000DD000000}"/>
    <cellStyle name="40 % - Accent6 2 2" xfId="116" xr:uid="{00000000-0005-0000-0000-0000DE000000}"/>
    <cellStyle name="40 % - Accent6 2 2 2" xfId="251" xr:uid="{00000000-0005-0000-0000-0000DF000000}"/>
    <cellStyle name="40 % - Accent6 2 2 2 2" xfId="384" xr:uid="{00000000-0005-0000-0000-0000E0000000}"/>
    <cellStyle name="40 % - Accent6 2 2 3" xfId="182" xr:uid="{00000000-0005-0000-0000-0000E1000000}"/>
    <cellStyle name="40 % - Accent6 2 2 4" xfId="317" xr:uid="{00000000-0005-0000-0000-0000E2000000}"/>
    <cellStyle name="40 % - Accent6 2 3" xfId="218" xr:uid="{00000000-0005-0000-0000-0000E3000000}"/>
    <cellStyle name="40 % - Accent6 2 3 2" xfId="351" xr:uid="{00000000-0005-0000-0000-0000E4000000}"/>
    <cellStyle name="40 % - Accent6 2 4" xfId="149" xr:uid="{00000000-0005-0000-0000-0000E5000000}"/>
    <cellStyle name="40 % - Accent6 2 5" xfId="284" xr:uid="{00000000-0005-0000-0000-0000E6000000}"/>
    <cellStyle name="40 % - Accent6 3" xfId="99" xr:uid="{00000000-0005-0000-0000-0000E7000000}"/>
    <cellStyle name="40 % - Accent6 3 2" xfId="234" xr:uid="{00000000-0005-0000-0000-0000E8000000}"/>
    <cellStyle name="40 % - Accent6 3 2 2" xfId="367" xr:uid="{00000000-0005-0000-0000-0000E9000000}"/>
    <cellStyle name="40 % - Accent6 3 3" xfId="165" xr:uid="{00000000-0005-0000-0000-0000EA000000}"/>
    <cellStyle name="40 % - Accent6 3 4" xfId="300" xr:uid="{00000000-0005-0000-0000-0000EB000000}"/>
    <cellStyle name="40 % - Accent6 4" xfId="199" xr:uid="{00000000-0005-0000-0000-0000EC000000}"/>
    <cellStyle name="40 % - Accent6 4 2" xfId="334" xr:uid="{00000000-0005-0000-0000-0000ED000000}"/>
    <cellStyle name="40 % - Accent6 5" xfId="132" xr:uid="{00000000-0005-0000-0000-0000EE000000}"/>
    <cellStyle name="40 % - Accent6 6" xfId="267" xr:uid="{00000000-0005-0000-0000-0000EF000000}"/>
    <cellStyle name="60 % - Accent1" xfId="22" builtinId="32" customBuiltin="1"/>
    <cellStyle name="60 % - Accent1 2" xfId="397" xr:uid="{0DF9E1F0-9EAA-4445-8409-07509BCF224F}"/>
    <cellStyle name="60 % - Accent2" xfId="26" builtinId="36" customBuiltin="1"/>
    <cellStyle name="60 % - Accent2 2" xfId="398" xr:uid="{2CA891A5-D0D4-4126-98E5-469C90BD5BFD}"/>
    <cellStyle name="60 % - Accent3" xfId="30" builtinId="40" customBuiltin="1"/>
    <cellStyle name="60 % - Accent3 2" xfId="399" xr:uid="{D9BC5F3E-3274-4E3F-BF72-194135569FC9}"/>
    <cellStyle name="60 % - Accent4" xfId="34" builtinId="44" customBuiltin="1"/>
    <cellStyle name="60 % - Accent4 2" xfId="400" xr:uid="{9E5A7DAC-3ACD-4F07-AE6A-9C4315AEA45E}"/>
    <cellStyle name="60 % - Accent5" xfId="38" builtinId="48" customBuiltin="1"/>
    <cellStyle name="60 % - Accent5 2" xfId="401" xr:uid="{9B021365-7ADF-4C0E-9542-D112D4D6EE5B}"/>
    <cellStyle name="60 % - Accent6" xfId="42" builtinId="52" customBuiltin="1"/>
    <cellStyle name="60 % - Accent6 2" xfId="402" xr:uid="{1D60DD7D-FCD9-40B9-BB20-D34283098A15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 2" xfId="64" xr:uid="{00000000-0005-0000-0000-0000FF000000}"/>
    <cellStyle name="Commentaire 2 2" xfId="85" xr:uid="{00000000-0005-0000-0000-000000010000}"/>
    <cellStyle name="Commentaire 2 2 2" xfId="118" xr:uid="{00000000-0005-0000-0000-000001010000}"/>
    <cellStyle name="Commentaire 2 2 2 2" xfId="253" xr:uid="{00000000-0005-0000-0000-000002010000}"/>
    <cellStyle name="Commentaire 2 2 2 2 2" xfId="386" xr:uid="{00000000-0005-0000-0000-000003010000}"/>
    <cellStyle name="Commentaire 2 2 2 3" xfId="184" xr:uid="{00000000-0005-0000-0000-000004010000}"/>
    <cellStyle name="Commentaire 2 2 2 4" xfId="319" xr:uid="{00000000-0005-0000-0000-000005010000}"/>
    <cellStyle name="Commentaire 2 2 3" xfId="220" xr:uid="{00000000-0005-0000-0000-000006010000}"/>
    <cellStyle name="Commentaire 2 2 3 2" xfId="353" xr:uid="{00000000-0005-0000-0000-000007010000}"/>
    <cellStyle name="Commentaire 2 2 4" xfId="151" xr:uid="{00000000-0005-0000-0000-000008010000}"/>
    <cellStyle name="Commentaire 2 2 5" xfId="286" xr:uid="{00000000-0005-0000-0000-000009010000}"/>
    <cellStyle name="Commentaire 2 3" xfId="101" xr:uid="{00000000-0005-0000-0000-00000A010000}"/>
    <cellStyle name="Commentaire 2 3 2" xfId="236" xr:uid="{00000000-0005-0000-0000-00000B010000}"/>
    <cellStyle name="Commentaire 2 3 2 2" xfId="369" xr:uid="{00000000-0005-0000-0000-00000C010000}"/>
    <cellStyle name="Commentaire 2 3 3" xfId="167" xr:uid="{00000000-0005-0000-0000-00000D010000}"/>
    <cellStyle name="Commentaire 2 3 4" xfId="302" xr:uid="{00000000-0005-0000-0000-00000E010000}"/>
    <cellStyle name="Commentaire 2 4" xfId="203" xr:uid="{00000000-0005-0000-0000-00000F010000}"/>
    <cellStyle name="Commentaire 2 4 2" xfId="336" xr:uid="{00000000-0005-0000-0000-000010010000}"/>
    <cellStyle name="Commentaire 2 5" xfId="134" xr:uid="{00000000-0005-0000-0000-000011010000}"/>
    <cellStyle name="Commentaire 2 6" xfId="269" xr:uid="{00000000-0005-0000-0000-000012010000}"/>
    <cellStyle name="Commentaire 3" xfId="65" xr:uid="{00000000-0005-0000-0000-000013010000}"/>
    <cellStyle name="Commentaire 3 2" xfId="86" xr:uid="{00000000-0005-0000-0000-000014010000}"/>
    <cellStyle name="Commentaire 3 2 2" xfId="119" xr:uid="{00000000-0005-0000-0000-000015010000}"/>
    <cellStyle name="Commentaire 3 2 2 2" xfId="254" xr:uid="{00000000-0005-0000-0000-000016010000}"/>
    <cellStyle name="Commentaire 3 2 2 2 2" xfId="387" xr:uid="{00000000-0005-0000-0000-000017010000}"/>
    <cellStyle name="Commentaire 3 2 2 3" xfId="185" xr:uid="{00000000-0005-0000-0000-000018010000}"/>
    <cellStyle name="Commentaire 3 2 2 4" xfId="320" xr:uid="{00000000-0005-0000-0000-000019010000}"/>
    <cellStyle name="Commentaire 3 2 3" xfId="221" xr:uid="{00000000-0005-0000-0000-00001A010000}"/>
    <cellStyle name="Commentaire 3 2 3 2" xfId="354" xr:uid="{00000000-0005-0000-0000-00001B010000}"/>
    <cellStyle name="Commentaire 3 2 4" xfId="152" xr:uid="{00000000-0005-0000-0000-00001C010000}"/>
    <cellStyle name="Commentaire 3 2 5" xfId="287" xr:uid="{00000000-0005-0000-0000-00001D010000}"/>
    <cellStyle name="Commentaire 3 3" xfId="102" xr:uid="{00000000-0005-0000-0000-00001E010000}"/>
    <cellStyle name="Commentaire 3 3 2" xfId="237" xr:uid="{00000000-0005-0000-0000-00001F010000}"/>
    <cellStyle name="Commentaire 3 3 2 2" xfId="370" xr:uid="{00000000-0005-0000-0000-000020010000}"/>
    <cellStyle name="Commentaire 3 3 3" xfId="168" xr:uid="{00000000-0005-0000-0000-000021010000}"/>
    <cellStyle name="Commentaire 3 3 4" xfId="303" xr:uid="{00000000-0005-0000-0000-000022010000}"/>
    <cellStyle name="Commentaire 3 4" xfId="204" xr:uid="{00000000-0005-0000-0000-000023010000}"/>
    <cellStyle name="Commentaire 3 4 2" xfId="337" xr:uid="{00000000-0005-0000-0000-000024010000}"/>
    <cellStyle name="Commentaire 3 5" xfId="135" xr:uid="{00000000-0005-0000-0000-000025010000}"/>
    <cellStyle name="Commentaire 3 6" xfId="270" xr:uid="{00000000-0005-0000-0000-000026010000}"/>
    <cellStyle name="Entrée" xfId="11" builtinId="20" customBuiltin="1"/>
    <cellStyle name="Euro" xfId="69" xr:uid="{00000000-0005-0000-0000-000028010000}"/>
    <cellStyle name="Euro 2" xfId="407" xr:uid="{D7823231-A1A2-4418-9B36-E4E6CFE32B67}"/>
    <cellStyle name="Euro 3" xfId="403" xr:uid="{004CE9B6-5292-4877-8FAB-049B1AF92BCC}"/>
    <cellStyle name="Insatisfaisant" xfId="9" builtinId="27" customBuiltin="1"/>
    <cellStyle name="Lien hypertexte" xfId="1" builtinId="8"/>
    <cellStyle name="Lien hypertexte 2" xfId="201" xr:uid="{00000000-0005-0000-0000-00002B010000}"/>
    <cellStyle name="Lien hypertexte 3" xfId="44" xr:uid="{00000000-0005-0000-0000-00002C010000}"/>
    <cellStyle name="Milliers 2" xfId="394" xr:uid="{44DB2104-5F16-420A-BA8D-9DBD803C955E}"/>
    <cellStyle name="Milliers 2 2" xfId="406" xr:uid="{E7A63238-10F8-4B49-A06E-636486AA1855}"/>
    <cellStyle name="Monétaire 2" xfId="45" xr:uid="{00000000-0005-0000-0000-00002E010000}"/>
    <cellStyle name="Neutre" xfId="10" builtinId="28" customBuiltin="1"/>
    <cellStyle name="Neutre 2" xfId="396" xr:uid="{2B10C75A-048C-4554-B91F-5159D843FC27}"/>
    <cellStyle name="Normal" xfId="0" builtinId="0"/>
    <cellStyle name="Normal 10" xfId="46" xr:uid="{00000000-0005-0000-0000-000031010000}"/>
    <cellStyle name="Normal 11" xfId="47" xr:uid="{00000000-0005-0000-0000-000032010000}"/>
    <cellStyle name="Normal 12" xfId="48" xr:uid="{00000000-0005-0000-0000-000033010000}"/>
    <cellStyle name="Normal 13" xfId="49" xr:uid="{00000000-0005-0000-0000-000034010000}"/>
    <cellStyle name="Normal 14" xfId="43" xr:uid="{00000000-0005-0000-0000-000035010000}"/>
    <cellStyle name="Normal 15" xfId="50" xr:uid="{00000000-0005-0000-0000-000036010000}"/>
    <cellStyle name="Normal 16" xfId="51" xr:uid="{00000000-0005-0000-0000-000037010000}"/>
    <cellStyle name="Normal 17" xfId="52" xr:uid="{00000000-0005-0000-0000-000038010000}"/>
    <cellStyle name="Normal 18" xfId="53" xr:uid="{00000000-0005-0000-0000-000039010000}"/>
    <cellStyle name="Normal 19" xfId="54" xr:uid="{00000000-0005-0000-0000-00003A010000}"/>
    <cellStyle name="Normal 2" xfId="68" xr:uid="{00000000-0005-0000-0000-00003B010000}"/>
    <cellStyle name="Normal 2 2" xfId="66" xr:uid="{00000000-0005-0000-0000-00003C010000}"/>
    <cellStyle name="Normal 2 3" xfId="67" xr:uid="{00000000-0005-0000-0000-00003D010000}"/>
    <cellStyle name="Normal 2 4" xfId="87" xr:uid="{00000000-0005-0000-0000-00003E010000}"/>
    <cellStyle name="Normal 2 4 2" xfId="120" xr:uid="{00000000-0005-0000-0000-00003F010000}"/>
    <cellStyle name="Normal 2 4 2 2" xfId="255" xr:uid="{00000000-0005-0000-0000-000040010000}"/>
    <cellStyle name="Normal 2 4 2 2 2" xfId="388" xr:uid="{00000000-0005-0000-0000-000041010000}"/>
    <cellStyle name="Normal 2 4 2 3" xfId="186" xr:uid="{00000000-0005-0000-0000-000042010000}"/>
    <cellStyle name="Normal 2 4 2 4" xfId="321" xr:uid="{00000000-0005-0000-0000-000043010000}"/>
    <cellStyle name="Normal 2 4 3" xfId="222" xr:uid="{00000000-0005-0000-0000-000044010000}"/>
    <cellStyle name="Normal 2 4 3 2" xfId="355" xr:uid="{00000000-0005-0000-0000-000045010000}"/>
    <cellStyle name="Normal 2 4 4" xfId="153" xr:uid="{00000000-0005-0000-0000-000046010000}"/>
    <cellStyle name="Normal 2 4 5" xfId="288" xr:uid="{00000000-0005-0000-0000-000047010000}"/>
    <cellStyle name="Normal 2 5" xfId="71" xr:uid="{00000000-0005-0000-0000-000048010000}"/>
    <cellStyle name="Normal 2 5 2" xfId="104" xr:uid="{00000000-0005-0000-0000-000049010000}"/>
    <cellStyle name="Normal 2 5 2 2" xfId="239" xr:uid="{00000000-0005-0000-0000-00004A010000}"/>
    <cellStyle name="Normal 2 5 2 2 2" xfId="372" xr:uid="{00000000-0005-0000-0000-00004B010000}"/>
    <cellStyle name="Normal 2 5 2 3" xfId="170" xr:uid="{00000000-0005-0000-0000-00004C010000}"/>
    <cellStyle name="Normal 2 5 2 4" xfId="305" xr:uid="{00000000-0005-0000-0000-00004D010000}"/>
    <cellStyle name="Normal 2 5 3" xfId="206" xr:uid="{00000000-0005-0000-0000-00004E010000}"/>
    <cellStyle name="Normal 2 5 3 2" xfId="339" xr:uid="{00000000-0005-0000-0000-00004F010000}"/>
    <cellStyle name="Normal 2 5 4" xfId="137" xr:uid="{00000000-0005-0000-0000-000050010000}"/>
    <cellStyle name="Normal 2 5 5" xfId="272" xr:uid="{00000000-0005-0000-0000-000051010000}"/>
    <cellStyle name="Normal 2 6" xfId="103" xr:uid="{00000000-0005-0000-0000-000052010000}"/>
    <cellStyle name="Normal 2 6 2" xfId="238" xr:uid="{00000000-0005-0000-0000-000053010000}"/>
    <cellStyle name="Normal 2 6 2 2" xfId="371" xr:uid="{00000000-0005-0000-0000-000054010000}"/>
    <cellStyle name="Normal 2 6 3" xfId="169" xr:uid="{00000000-0005-0000-0000-000055010000}"/>
    <cellStyle name="Normal 2 6 4" xfId="304" xr:uid="{00000000-0005-0000-0000-000056010000}"/>
    <cellStyle name="Normal 2 7" xfId="205" xr:uid="{00000000-0005-0000-0000-000057010000}"/>
    <cellStyle name="Normal 2 7 2" xfId="338" xr:uid="{00000000-0005-0000-0000-000058010000}"/>
    <cellStyle name="Normal 2 8" xfId="136" xr:uid="{00000000-0005-0000-0000-000059010000}"/>
    <cellStyle name="Normal 2 9" xfId="271" xr:uid="{00000000-0005-0000-0000-00005A010000}"/>
    <cellStyle name="Normal 20" xfId="55" xr:uid="{00000000-0005-0000-0000-00005B010000}"/>
    <cellStyle name="Normal 21" xfId="390" xr:uid="{00000000-0005-0000-0000-00005C010000}"/>
    <cellStyle name="Normal 21 2" xfId="393" xr:uid="{1FA1CA85-F191-445A-AF79-8AD87D77C758}"/>
    <cellStyle name="Normal 22" xfId="391" xr:uid="{00000000-0005-0000-0000-00005D010000}"/>
    <cellStyle name="Normal 22 2" xfId="404" xr:uid="{66B852E6-2EBF-45D0-BEA1-E7A2E9FFF7CE}"/>
    <cellStyle name="Normal 23" xfId="392" xr:uid="{00000000-0005-0000-0000-00005E010000}"/>
    <cellStyle name="Normal 23 2" xfId="405" xr:uid="{0CA89504-1F08-4005-B38A-0BAC7E8B9774}"/>
    <cellStyle name="Normal 3" xfId="56" xr:uid="{00000000-0005-0000-0000-00005F010000}"/>
    <cellStyle name="Normal 3 2" xfId="84" xr:uid="{00000000-0005-0000-0000-000060010000}"/>
    <cellStyle name="Normal 3 2 2" xfId="117" xr:uid="{00000000-0005-0000-0000-000061010000}"/>
    <cellStyle name="Normal 3 2 2 2" xfId="252" xr:uid="{00000000-0005-0000-0000-000062010000}"/>
    <cellStyle name="Normal 3 2 2 2 2" xfId="385" xr:uid="{00000000-0005-0000-0000-000063010000}"/>
    <cellStyle name="Normal 3 2 2 3" xfId="183" xr:uid="{00000000-0005-0000-0000-000064010000}"/>
    <cellStyle name="Normal 3 2 2 4" xfId="318" xr:uid="{00000000-0005-0000-0000-000065010000}"/>
    <cellStyle name="Normal 3 2 3" xfId="219" xr:uid="{00000000-0005-0000-0000-000066010000}"/>
    <cellStyle name="Normal 3 2 3 2" xfId="352" xr:uid="{00000000-0005-0000-0000-000067010000}"/>
    <cellStyle name="Normal 3 2 4" xfId="150" xr:uid="{00000000-0005-0000-0000-000068010000}"/>
    <cellStyle name="Normal 3 2 5" xfId="285" xr:uid="{00000000-0005-0000-0000-000069010000}"/>
    <cellStyle name="Normal 3 3" xfId="70" xr:uid="{00000000-0005-0000-0000-00006A010000}"/>
    <cellStyle name="Normal 3 4" xfId="100" xr:uid="{00000000-0005-0000-0000-00006B010000}"/>
    <cellStyle name="Normal 3 4 2" xfId="235" xr:uid="{00000000-0005-0000-0000-00006C010000}"/>
    <cellStyle name="Normal 3 4 2 2" xfId="368" xr:uid="{00000000-0005-0000-0000-00006D010000}"/>
    <cellStyle name="Normal 3 4 3" xfId="166" xr:uid="{00000000-0005-0000-0000-00006E010000}"/>
    <cellStyle name="Normal 3 4 4" xfId="301" xr:uid="{00000000-0005-0000-0000-00006F010000}"/>
    <cellStyle name="Normal 3 5" xfId="63" xr:uid="{00000000-0005-0000-0000-000070010000}"/>
    <cellStyle name="Normal 3 5 2" xfId="202" xr:uid="{00000000-0005-0000-0000-000071010000}"/>
    <cellStyle name="Normal 3 5 3" xfId="335" xr:uid="{00000000-0005-0000-0000-000072010000}"/>
    <cellStyle name="Normal 3 6" xfId="133" xr:uid="{00000000-0005-0000-0000-000073010000}"/>
    <cellStyle name="Normal 3 7" xfId="268" xr:uid="{00000000-0005-0000-0000-000074010000}"/>
    <cellStyle name="Normal 4" xfId="2" xr:uid="{00000000-0005-0000-0000-000075010000}"/>
    <cellStyle name="Normal 4 2" xfId="187" xr:uid="{00000000-0005-0000-0000-000076010000}"/>
    <cellStyle name="Normal 4 3" xfId="322" xr:uid="{00000000-0005-0000-0000-000077010000}"/>
    <cellStyle name="Normal 4 4" xfId="57" xr:uid="{00000000-0005-0000-0000-000078010000}"/>
    <cellStyle name="Normal 5" xfId="58" xr:uid="{00000000-0005-0000-0000-000079010000}"/>
    <cellStyle name="Normal 5 2" xfId="200" xr:uid="{00000000-0005-0000-0000-00007A010000}"/>
    <cellStyle name="Normal 6" xfId="59" xr:uid="{00000000-0005-0000-0000-00007B010000}"/>
    <cellStyle name="Normal 6 2" xfId="389" xr:uid="{00000000-0005-0000-0000-00007C010000}"/>
    <cellStyle name="Normal 7" xfId="60" xr:uid="{00000000-0005-0000-0000-00007D010000}"/>
    <cellStyle name="Normal 8" xfId="61" xr:uid="{00000000-0005-0000-0000-00007E010000}"/>
    <cellStyle name="Normal 9" xfId="62" xr:uid="{00000000-0005-0000-0000-00007F010000}"/>
    <cellStyle name="Satisfaisant" xfId="8" builtinId="26" customBuiltin="1"/>
    <cellStyle name="Sortie" xfId="12" builtinId="21" customBuiltin="1"/>
    <cellStyle name="Texte explicatif" xfId="17" builtinId="53" customBuiltin="1"/>
    <cellStyle name="Titre" xfId="3" builtinId="15" customBuiltin="1"/>
    <cellStyle name="Titre 2" xfId="395" xr:uid="{9A6660A0-1758-4029-8072-B47FF19B4B42}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8" builtinId="25" customBuiltin="1"/>
    <cellStyle name="Vérification" xfId="15" builtinId="23" customBuiltin="1"/>
  </cellStyles>
  <dxfs count="48">
    <dxf>
      <font>
        <color theme="9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0000"/>
        </patternFill>
      </fill>
    </dxf>
    <dxf>
      <font>
        <color theme="9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92D050"/>
        </patternFill>
      </fill>
    </dxf>
    <dxf>
      <font>
        <color theme="9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92D050"/>
        </patternFill>
      </fill>
    </dxf>
    <dxf>
      <font>
        <color theme="9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92D050"/>
        </patternFill>
      </fill>
    </dxf>
    <dxf>
      <font>
        <color theme="9" tint="-0.499984740745262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F00"/>
      <color rgb="FFFFCCFF"/>
      <color rgb="FF99FF66"/>
      <color rgb="FFFF99FF"/>
      <color rgb="FFC60A83"/>
      <color rgb="FFFFE599"/>
      <color rgb="FFFF66CC"/>
      <color rgb="FFFF66FF"/>
      <color rgb="FFE9F57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its\BASE%20DE%20DONNEE_FICHES%20TECHNIQUES\BASE_DE_DONNEE_WFC\Lot%201%20-%20Froid\EXCEL\FS_referentiel_produits_standards.xlsx" TargetMode="External"/><Relationship Id="rId1" Type="http://schemas.openxmlformats.org/officeDocument/2006/relationships/externalLinkPath" Target="https://gpf365.sharepoint.com/Produits/BASE%20DE%20DONNEE_FICHES%20TECHNIQUES/BASE_DE_DONNEE_WFC/Lot%201%20-%20Froid/EXCEL/FS_referentiel_produits_standard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Produits\JL\FT%20POMONA\BASE_DE_DONNEE_WFC\Lot%201%20-%20Froid\EXCEL\FS_referentiel_produits_standards.xlsx" TargetMode="External"/><Relationship Id="rId2" Type="http://schemas.microsoft.com/office/2019/04/relationships/externalLinkLongPath" Target="https://gpf365.sharepoint.com/sites/ServiceProduits/Shared%20Documents/General/01_ACTIVITES_PRODUITS/02_ETUDES_ES/02_DEVELOPPEMENT/Outil%20collaboratif%20Grand%20Compte/BASE_DE_DONNEE_WFC/Lot%201%20-%20Froid/EXCEL/FS_referentiel_produits_standards.xlsx?CE5A4104" TargetMode="External"/><Relationship Id="rId1" Type="http://schemas.openxmlformats.org/officeDocument/2006/relationships/externalLinkPath" Target="file:///\\CE5A4104\FS_referentiel_produits_standard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Produits\JL\FT%20POMONA\BASE_DE_DONNEE_WFC\Lot%202%20-%20Sec\EXCEL\SE_referentiel_produits_standards.xlsx" TargetMode="External"/><Relationship Id="rId2" Type="http://schemas.microsoft.com/office/2019/04/relationships/externalLinkLongPath" Target="https://gpf365.sharepoint.com/sites/ServiceProduits/Shared%20Documents/General/01_ACTIVITES_PRODUITS/02_ETUDES_ES/02_DEVELOPPEMENT/Outil%20collaboratif%20Grand%20Compte/BASE_DE_DONNEE_WFC/Lot%202%20-%20Sec/EXCEL/SE_referentiel_produits_standards.xlsx?2C0B481F" TargetMode="External"/><Relationship Id="rId1" Type="http://schemas.openxmlformats.org/officeDocument/2006/relationships/externalLinkPath" Target="file:///\\2C0B481F\SE_referentiel_produits_standa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S_referentiel_produits_std"/>
      <sheetName val="FS_referentiel_produits_standar"/>
      <sheetName val="Energie Alter"/>
      <sheetName val="Synth NCEE"/>
      <sheetName val="FT parc FS"/>
      <sheetName val="Catégo."/>
    </sheetNames>
    <sheetDataSet>
      <sheetData sheetId="0">
        <row r="8">
          <cell r="A8" t="str">
            <v>FR_FR</v>
          </cell>
          <cell r="B8" t="str">
            <v>FS_PF</v>
          </cell>
          <cell r="C8" t="str">
            <v>FS_ST</v>
          </cell>
          <cell r="D8" t="str">
            <v/>
          </cell>
          <cell r="E8" t="str">
            <v>FIAT</v>
          </cell>
          <cell r="F8" t="str">
            <v>DOBLO</v>
          </cell>
          <cell r="G8" t="str">
            <v>V3</v>
          </cell>
          <cell r="H8" t="str">
            <v>M</v>
          </cell>
          <cell r="I8" t="str">
            <v/>
          </cell>
          <cell r="J8" t="str">
            <v/>
          </cell>
          <cell r="K8" t="str">
            <v>LC-STRATE FORME</v>
          </cell>
          <cell r="L8" t="str">
            <v/>
          </cell>
          <cell r="M8" t="str">
            <v>DBOFF - 130CV BVA</v>
          </cell>
          <cell r="N8" t="str">
            <v>02</v>
          </cell>
          <cell r="O8">
            <v>1845</v>
          </cell>
          <cell r="P8">
            <v>1245</v>
          </cell>
          <cell r="Q8">
            <v>1040</v>
          </cell>
          <cell r="R8" t="str">
            <v/>
          </cell>
          <cell r="S8">
            <v>1970</v>
          </cell>
          <cell r="T8">
            <v>1848</v>
          </cell>
          <cell r="U8">
            <v>4753</v>
          </cell>
          <cell r="V8">
            <v>640</v>
          </cell>
          <cell r="W8">
            <v>2975</v>
          </cell>
          <cell r="X8">
            <v>886</v>
          </cell>
          <cell r="Y8" t="str">
            <v/>
          </cell>
          <cell r="Z8" t="str">
            <v/>
          </cell>
          <cell r="AA8" t="str">
            <v>FIAT DOBLO VAN XL  - FOURGON FRIGORIFIQUE</v>
          </cell>
          <cell r="AB8">
            <v>2370</v>
          </cell>
          <cell r="AC8">
            <v>630</v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>2.2</v>
          </cell>
          <cell r="AI8" t="str">
            <v>C_DOBLO-VAN_Série3_CLIM-MAN_Rad+Cam._PHiver_Sam.</v>
          </cell>
          <cell r="AJ8" t="str">
            <v>M_DOBLO-VAN_1.5_130-€6ebis_EAT8_Alt220</v>
          </cell>
          <cell r="AK8" t="str">
            <v>CH_DOBLO-VAN_205-60R16-ADB_GSRII</v>
          </cell>
          <cell r="AL8" t="str">
            <v>FF_DOBLO-VAN_PLC_LC-STRATEFORME-IR</v>
          </cell>
          <cell r="AM8" t="str">
            <v>GF_N-HE-200S_A_C_790mm</v>
          </cell>
          <cell r="AN8" t="str">
            <v/>
          </cell>
          <cell r="AO8" t="str">
            <v>\\petitforestier.fr\siege\Applications\BaseProduits\Datas\Publipostage\Images\PUBLICATION - EURO 6\PLAN VEHICULES\FIAT_DOBLO-VAN_DBOFF02_TRIMAT_HE200S+CARENAGE.jpg</v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</row>
        <row r="9">
          <cell r="A9" t="str">
            <v>FR_FR</v>
          </cell>
          <cell r="B9" t="str">
            <v>FS_PF</v>
          </cell>
          <cell r="C9" t="str">
            <v>FS_ST</v>
          </cell>
          <cell r="D9" t="str">
            <v/>
          </cell>
          <cell r="E9" t="str">
            <v>FIAT</v>
          </cell>
          <cell r="F9" t="str">
            <v>E-DOBLO</v>
          </cell>
          <cell r="G9" t="str">
            <v>V3</v>
          </cell>
          <cell r="H9" t="str">
            <v>M</v>
          </cell>
          <cell r="I9" t="str">
            <v/>
          </cell>
          <cell r="J9" t="str">
            <v/>
          </cell>
          <cell r="K9" t="str">
            <v>LC-STRATE FORME</v>
          </cell>
          <cell r="L9" t="str">
            <v/>
          </cell>
          <cell r="M9" t="str">
            <v>DBOFF E</v>
          </cell>
          <cell r="N9" t="str">
            <v>01</v>
          </cell>
          <cell r="O9">
            <v>1495</v>
          </cell>
          <cell r="P9">
            <v>1245</v>
          </cell>
          <cell r="Q9">
            <v>1040</v>
          </cell>
          <cell r="R9" t="str">
            <v/>
          </cell>
          <cell r="S9">
            <v>1970</v>
          </cell>
          <cell r="T9">
            <v>1848</v>
          </cell>
          <cell r="U9">
            <v>4403</v>
          </cell>
          <cell r="V9">
            <v>640</v>
          </cell>
          <cell r="W9">
            <v>2785</v>
          </cell>
          <cell r="X9">
            <v>726</v>
          </cell>
          <cell r="Y9" t="str">
            <v/>
          </cell>
          <cell r="Z9" t="str">
            <v/>
          </cell>
          <cell r="AA9" t="str">
            <v>FIAT DOBLO VAN M ELECTRIQUE - FOURGON FRIGORIFIQUE</v>
          </cell>
          <cell r="AB9">
            <v>2390</v>
          </cell>
          <cell r="AC9">
            <v>415</v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>
            <v>1.7</v>
          </cell>
          <cell r="AI9" t="str">
            <v>C_E-DOBLO-VAN_Série3_Sam._Rad+Cam.</v>
          </cell>
          <cell r="AJ9" t="str">
            <v>M_E-DOBLO-VAN_100kW_54kWh_Smart-Câble</v>
          </cell>
          <cell r="AK9" t="str">
            <v>CH_E-DOBLO-VAN_215-60R16_GSRII_sansRS</v>
          </cell>
          <cell r="AL9" t="str">
            <v>FF_E-DOBLO-VAN_PLC_LC-STRATEFORME-IR</v>
          </cell>
          <cell r="AM9" t="str">
            <v>GF_N-HE-200S_A_C_790mm_Batt6kWh_Cable10m_2Cont.</v>
          </cell>
          <cell r="AN9" t="str">
            <v/>
          </cell>
          <cell r="AO9" t="str">
            <v>\\petitforestier.fr\siege\Applications\BaseProduits\Datas\Publipostage\Images\PUBLICATION - EURO 6\PLAN VEHICULES\FIAT_E-DOBLO-VAN_DBOFF01-PLC_TRIMAT_HE200S+CARENAGE.jpg</v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</row>
        <row r="10">
          <cell r="A10" t="str">
            <v>FR_FR</v>
          </cell>
          <cell r="B10" t="str">
            <v>FS_PF</v>
          </cell>
          <cell r="C10" t="str">
            <v>FS_ST</v>
          </cell>
          <cell r="D10" t="str">
            <v/>
          </cell>
          <cell r="E10" t="str">
            <v>FIAT</v>
          </cell>
          <cell r="F10" t="str">
            <v>E-DOBLO</v>
          </cell>
          <cell r="G10" t="str">
            <v>V3</v>
          </cell>
          <cell r="H10" t="str">
            <v>M</v>
          </cell>
          <cell r="I10" t="str">
            <v/>
          </cell>
          <cell r="J10" t="str">
            <v/>
          </cell>
          <cell r="K10" t="str">
            <v>LC-STRATE FORME</v>
          </cell>
          <cell r="L10" t="str">
            <v/>
          </cell>
          <cell r="M10" t="str">
            <v>DBOFF E</v>
          </cell>
          <cell r="N10" t="str">
            <v>02</v>
          </cell>
          <cell r="O10">
            <v>1845</v>
          </cell>
          <cell r="P10">
            <v>1245</v>
          </cell>
          <cell r="Q10">
            <v>1040</v>
          </cell>
          <cell r="R10" t="str">
            <v/>
          </cell>
          <cell r="S10">
            <v>1970</v>
          </cell>
          <cell r="T10">
            <v>1848</v>
          </cell>
          <cell r="U10">
            <v>4753</v>
          </cell>
          <cell r="V10">
            <v>640</v>
          </cell>
          <cell r="W10">
            <v>2975</v>
          </cell>
          <cell r="X10">
            <v>886</v>
          </cell>
          <cell r="Y10" t="str">
            <v/>
          </cell>
          <cell r="Z10" t="str">
            <v/>
          </cell>
          <cell r="AA10" t="str">
            <v>FIAT DOBLO VAN XL ELECTRIQUE - FOURGON FRIGORIFIQUE</v>
          </cell>
          <cell r="AB10">
            <v>2385</v>
          </cell>
          <cell r="AC10">
            <v>330</v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>2.2</v>
          </cell>
          <cell r="AI10" t="str">
            <v>C_E-DOBLO-VAN_Série3_Sam._Rad+Cam.</v>
          </cell>
          <cell r="AJ10" t="str">
            <v>M_E-DOBLO-VAN_100kW_54kWh_Smart-Câble</v>
          </cell>
          <cell r="AK10" t="str">
            <v>CH_E-DOBLO-VAN_215-60R16_GSRII</v>
          </cell>
          <cell r="AL10" t="str">
            <v>FF_E-DOBLO-VAN_PLC_LC-STRATEFORME-IR</v>
          </cell>
          <cell r="AM10" t="str">
            <v>GF_N-HE-200S_A_C_790mm_Batt6kWh_Cable10m_2Cont.</v>
          </cell>
          <cell r="AN10" t="str">
            <v/>
          </cell>
          <cell r="AO10" t="str">
            <v>\\petitforestier.fr\siege\Applications\BaseProduits\Datas\Publipostage\Images\PUBLICATION - EURO 6\PLAN VEHICULES\FIAT_E-DOBLO-VAN_DBOFF02_TRIMAT_HE200S+CARENAGE.jpg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</row>
        <row r="12">
          <cell r="A12" t="str">
            <v>FR_FR</v>
          </cell>
          <cell r="B12" t="str">
            <v>FS_PF</v>
          </cell>
          <cell r="C12" t="str">
            <v>FS_ST</v>
          </cell>
          <cell r="D12" t="str">
            <v/>
          </cell>
          <cell r="E12" t="str">
            <v>FIAT</v>
          </cell>
          <cell r="F12" t="str">
            <v>E-SCUDO</v>
          </cell>
          <cell r="G12" t="str">
            <v>V3</v>
          </cell>
          <cell r="H12" t="str">
            <v>M</v>
          </cell>
          <cell r="I12" t="str">
            <v/>
          </cell>
          <cell r="J12" t="str">
            <v/>
          </cell>
          <cell r="K12" t="str">
            <v>LC-STRATE FORME</v>
          </cell>
          <cell r="L12" t="str">
            <v/>
          </cell>
          <cell r="M12" t="str">
            <v>SCOFF E</v>
          </cell>
          <cell r="N12" t="str">
            <v>02</v>
          </cell>
          <cell r="O12">
            <v>2450</v>
          </cell>
          <cell r="P12">
            <v>1325</v>
          </cell>
          <cell r="Q12">
            <v>1120</v>
          </cell>
          <cell r="R12" t="str">
            <v/>
          </cell>
          <cell r="S12">
            <v>2090</v>
          </cell>
          <cell r="T12">
            <v>1920</v>
          </cell>
          <cell r="U12">
            <v>5306</v>
          </cell>
          <cell r="V12">
            <v>657</v>
          </cell>
          <cell r="W12">
            <v>3275</v>
          </cell>
          <cell r="X12">
            <v>1153</v>
          </cell>
          <cell r="Y12" t="str">
            <v/>
          </cell>
          <cell r="Z12" t="str">
            <v/>
          </cell>
          <cell r="AA12" t="str">
            <v>FIAT SCUDO ELECTRIQUE LONG - FOURGON FRIGORIFIQUE</v>
          </cell>
          <cell r="AB12">
            <v>3055</v>
          </cell>
          <cell r="AC12">
            <v>570</v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>
            <v>3.7</v>
          </cell>
          <cell r="AI12" t="str">
            <v>C_E-SCUDO-FGT-Série3_Sam._Rad+Cam.10''HD_Sam.</v>
          </cell>
          <cell r="AJ12" t="str">
            <v>M_E-SCUDO_100kW_75kWh_120km_ Smart-Câble</v>
          </cell>
          <cell r="AK12" t="str">
            <v>CH_E-SCUDO-FGT_215-65R16_GSRII_SsRS</v>
          </cell>
          <cell r="AL12" t="str">
            <v>FF_E-SCUDO_Renf_LC-STRATEFORME-IR</v>
          </cell>
          <cell r="AM12" t="str">
            <v>GF_N-HE-200S_A_870mm_Batterie_Cable10m_2Cont.</v>
          </cell>
          <cell r="AN12" t="str">
            <v/>
          </cell>
          <cell r="AO12" t="str">
            <v>\\petitforestier.fr\siege\Applications\BaseProduits\Datas\Publipostage\Images\PUBLICATION - EURO 6\PLAN VEHICULES\FIAT_E-SCUDO_SCOFF02-E_N-HE200S.jpg</v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</row>
        <row r="13">
          <cell r="A13" t="str">
            <v>FR_FR</v>
          </cell>
          <cell r="B13" t="str">
            <v>FS_PF</v>
          </cell>
          <cell r="C13" t="str">
            <v>FS_ST</v>
          </cell>
          <cell r="D13" t="str">
            <v/>
          </cell>
          <cell r="E13" t="str">
            <v>FIAT</v>
          </cell>
          <cell r="F13" t="str">
            <v>E-SCUDO</v>
          </cell>
          <cell r="G13" t="str">
            <v>V5</v>
          </cell>
          <cell r="H13" t="str">
            <v>M</v>
          </cell>
          <cell r="I13" t="str">
            <v/>
          </cell>
          <cell r="J13" t="str">
            <v/>
          </cell>
          <cell r="K13" t="str">
            <v>LECAPITAINE</v>
          </cell>
          <cell r="L13" t="str">
            <v/>
          </cell>
          <cell r="M13" t="str">
            <v>SCOCF E</v>
          </cell>
          <cell r="N13" t="str">
            <v>H01</v>
          </cell>
          <cell r="O13">
            <v>2364</v>
          </cell>
          <cell r="P13">
            <v>1824</v>
          </cell>
          <cell r="Q13">
            <v>1585</v>
          </cell>
          <cell r="R13" t="str">
            <v/>
          </cell>
          <cell r="S13">
            <v>2407</v>
          </cell>
          <cell r="T13">
            <v>1970</v>
          </cell>
          <cell r="U13">
            <v>5462</v>
          </cell>
          <cell r="V13">
            <v>740</v>
          </cell>
          <cell r="W13">
            <v>3275</v>
          </cell>
          <cell r="X13">
            <v>1307</v>
          </cell>
          <cell r="Y13" t="str">
            <v/>
          </cell>
          <cell r="Z13" t="str">
            <v/>
          </cell>
          <cell r="AA13" t="str">
            <v>FIAT SCUDO ELECTRIQUE - CAISSE FRIGORIFIQUE IRL</v>
          </cell>
          <cell r="AB13">
            <v>3100</v>
          </cell>
          <cell r="AC13">
            <v>615</v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>
            <v>6.5</v>
          </cell>
          <cell r="AI13" t="str">
            <v>C_E-SCUDO-PC-Série3_Sam._Rad+Cam.5''_Sam.</v>
          </cell>
          <cell r="AJ13" t="str">
            <v>M_E-SCUDO_100kW_75kWh_120km_ Smart-Câble</v>
          </cell>
          <cell r="AK13" t="str">
            <v>CH_E-SCUDO-PC_215-65R16_GSRII</v>
          </cell>
          <cell r="AL13" t="str">
            <v>CF_E-JUMPY_2022</v>
          </cell>
          <cell r="AM13" t="str">
            <v>GF_P350E-S-Batt12kWh_A_C_1390mm_Cable10m_1Cont.</v>
          </cell>
          <cell r="AN13" t="str">
            <v xml:space="preserve"> </v>
          </cell>
          <cell r="AO13" t="str">
            <v>\\petitforestier.fr\siege\Applications\BaseProduits\Datas\Publipostage\Images\PUBLICATION - EURO 6\PLAN VEHICULES\CITROEN_E-JUMPY_JYCF01-E_Pulsor350-Batterie.jpg</v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</row>
        <row r="14">
          <cell r="A14" t="str">
            <v>FR_FR</v>
          </cell>
          <cell r="B14" t="str">
            <v>FS_PF</v>
          </cell>
          <cell r="C14" t="str">
            <v>FS_ST</v>
          </cell>
          <cell r="D14" t="str">
            <v/>
          </cell>
          <cell r="E14" t="str">
            <v>FIAT</v>
          </cell>
          <cell r="F14" t="str">
            <v>DUCATO</v>
          </cell>
          <cell r="G14" t="str">
            <v>V9</v>
          </cell>
          <cell r="H14" t="str">
            <v>M</v>
          </cell>
          <cell r="I14" t="str">
            <v/>
          </cell>
          <cell r="J14" t="str">
            <v/>
          </cell>
          <cell r="K14" t="str">
            <v>LC-STRATE FORME</v>
          </cell>
          <cell r="L14" t="str">
            <v/>
          </cell>
          <cell r="M14" t="str">
            <v>DCOFF</v>
          </cell>
          <cell r="N14" t="str">
            <v>01</v>
          </cell>
          <cell r="O14">
            <v>2706</v>
          </cell>
          <cell r="P14">
            <v>1630</v>
          </cell>
          <cell r="Q14">
            <v>1725</v>
          </cell>
          <cell r="R14" t="str">
            <v/>
          </cell>
          <cell r="S14">
            <v>2522</v>
          </cell>
          <cell r="T14">
            <v>2050</v>
          </cell>
          <cell r="U14">
            <v>5413</v>
          </cell>
          <cell r="V14">
            <v>600</v>
          </cell>
          <cell r="W14">
            <v>3450</v>
          </cell>
          <cell r="X14">
            <v>1015</v>
          </cell>
          <cell r="Y14" t="str">
            <v/>
          </cell>
          <cell r="Z14" t="str">
            <v/>
          </cell>
          <cell r="AA14" t="str">
            <v>FIAT DUCATO L2H2 / MH2 - FOURGON FRIGORIFIQUE</v>
          </cell>
          <cell r="AB14">
            <v>3500</v>
          </cell>
          <cell r="AC14">
            <v>930</v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>7.9</v>
          </cell>
          <cell r="AI14" t="str">
            <v>C_DUCATO_FGT_MY2025_CLIM-MAN_Ecran7''_Rad+Cam._Sam.</v>
          </cell>
          <cell r="AJ14" t="str">
            <v>M_DUCATO_2.2_140_H3-POWER_220A_Bat105-LD-€6e</v>
          </cell>
          <cell r="AK14" t="str">
            <v>CH_DUCATO-FGT_Série9_225-75R16_ADB_GSRII</v>
          </cell>
          <cell r="AL14" t="str">
            <v>FF_DUCATO_LECAPITAINE / STRATE FORME-IR</v>
          </cell>
          <cell r="AM14" t="str">
            <v>GF_X200T-Muffler_A_790_1615mm_Cable10m</v>
          </cell>
          <cell r="AN14" t="str">
            <v/>
          </cell>
          <cell r="AO14" t="str">
            <v>\\petitforestier.fr\siege\Applications\BaseProduits\Datas\Publipostage\Images\PUBLICATION - EURO 6\PLAN VEHICULES\FIAT_DUCATO_DCOFF01-X200_LECAP.jpg</v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</row>
        <row r="15">
          <cell r="A15" t="str">
            <v>FR_FR</v>
          </cell>
          <cell r="B15" t="str">
            <v>FS_PF</v>
          </cell>
          <cell r="C15" t="str">
            <v>FS_ST</v>
          </cell>
          <cell r="D15" t="str">
            <v/>
          </cell>
          <cell r="E15" t="str">
            <v>FIAT</v>
          </cell>
          <cell r="F15" t="str">
            <v>DUCATO</v>
          </cell>
          <cell r="G15" t="str">
            <v>V9</v>
          </cell>
          <cell r="H15" t="str">
            <v>M</v>
          </cell>
          <cell r="I15" t="str">
            <v/>
          </cell>
          <cell r="J15" t="str">
            <v/>
          </cell>
          <cell r="K15" t="str">
            <v>LC-STRATE FORME</v>
          </cell>
          <cell r="L15" t="str">
            <v/>
          </cell>
          <cell r="M15" t="str">
            <v>DCOFF</v>
          </cell>
          <cell r="N15" t="str">
            <v>02</v>
          </cell>
          <cell r="O15">
            <v>3291</v>
          </cell>
          <cell r="P15">
            <v>1630</v>
          </cell>
          <cell r="Q15">
            <v>1725</v>
          </cell>
          <cell r="R15" t="str">
            <v/>
          </cell>
          <cell r="S15">
            <v>2522</v>
          </cell>
          <cell r="T15">
            <v>2050</v>
          </cell>
          <cell r="U15">
            <v>5998</v>
          </cell>
          <cell r="V15">
            <v>600</v>
          </cell>
          <cell r="W15">
            <v>4035</v>
          </cell>
          <cell r="X15">
            <v>1015</v>
          </cell>
          <cell r="Y15" t="str">
            <v/>
          </cell>
          <cell r="Z15" t="str">
            <v/>
          </cell>
          <cell r="AA15" t="str">
            <v>FIAT DUCATO L3H2 / LH2 - FOURGON FRIGORIFIQUE</v>
          </cell>
          <cell r="AB15">
            <v>3500</v>
          </cell>
          <cell r="AC15">
            <v>845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>9.5</v>
          </cell>
          <cell r="AI15" t="str">
            <v>C_DUCATO_FGT_MY2025_CLIM-MAN_Ecran7''_Rad+Cam._Sam.</v>
          </cell>
          <cell r="AJ15" t="str">
            <v>M_DUCATO_2.2_140_H3-POWER_220A_Bat105-LD-€6e</v>
          </cell>
          <cell r="AK15" t="str">
            <v>CH_DUCATO-FGT_Série9_225-75R16_ADB_GSRII</v>
          </cell>
          <cell r="AL15" t="str">
            <v>FF_DUCATO_LECAPITAINE / STRATE FORME-IR</v>
          </cell>
          <cell r="AM15" t="str">
            <v>GF_X200T-Muffler_A_790_1615mm_Cable10m</v>
          </cell>
          <cell r="AN15" t="str">
            <v/>
          </cell>
          <cell r="AO15" t="str">
            <v>\\petitforestier.fr\siege\Applications\BaseProduits\Datas\Publipostage\Images\PUBLICATION - EURO 6\PLAN VEHICULES\FIAT_DUCATO_DCOFF02-X200_LECAP.jpg</v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</row>
        <row r="16">
          <cell r="A16" t="str">
            <v>FR_FR</v>
          </cell>
          <cell r="B16" t="str">
            <v>FS_PF</v>
          </cell>
          <cell r="C16" t="str">
            <v>FS_ST</v>
          </cell>
          <cell r="D16" t="str">
            <v/>
          </cell>
          <cell r="E16" t="str">
            <v>FIAT</v>
          </cell>
          <cell r="F16" t="str">
            <v>DUCATO</v>
          </cell>
          <cell r="G16" t="str">
            <v>V9</v>
          </cell>
          <cell r="H16" t="str">
            <v>M</v>
          </cell>
          <cell r="I16" t="str">
            <v/>
          </cell>
          <cell r="J16" t="str">
            <v/>
          </cell>
          <cell r="K16" t="str">
            <v>LC-STRATE FORME</v>
          </cell>
          <cell r="L16" t="str">
            <v/>
          </cell>
          <cell r="M16" t="str">
            <v>DCOFF - BVA</v>
          </cell>
          <cell r="N16" t="str">
            <v>01</v>
          </cell>
          <cell r="O16">
            <v>2706</v>
          </cell>
          <cell r="P16">
            <v>1630</v>
          </cell>
          <cell r="Q16">
            <v>1725</v>
          </cell>
          <cell r="R16" t="str">
            <v/>
          </cell>
          <cell r="S16">
            <v>2522</v>
          </cell>
          <cell r="T16">
            <v>2050</v>
          </cell>
          <cell r="U16">
            <v>5413</v>
          </cell>
          <cell r="V16">
            <v>600</v>
          </cell>
          <cell r="W16">
            <v>3450</v>
          </cell>
          <cell r="X16">
            <v>1015</v>
          </cell>
          <cell r="Y16" t="str">
            <v/>
          </cell>
          <cell r="Z16" t="str">
            <v/>
          </cell>
          <cell r="AA16" t="str">
            <v>FIAT DUCATO L2H2 / MH2 - FOURGON FRIGORIFIQUE</v>
          </cell>
          <cell r="AB16">
            <v>3500</v>
          </cell>
          <cell r="AC16">
            <v>910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>7.9</v>
          </cell>
          <cell r="AI16" t="str">
            <v>C_DUCATO_FGT_MY2025_CLIM-MAN_Ecran7''_Rad+Cam._Sam.</v>
          </cell>
          <cell r="AJ16" t="str">
            <v>M_DUCATO_2.2_140_H3-POWER_BVAT8_220A_Bat105-LD-€6e</v>
          </cell>
          <cell r="AK16" t="str">
            <v>CH_DUCATO-FGT_Série9_225-75R16_ADB_GSRII</v>
          </cell>
          <cell r="AL16" t="str">
            <v>FF_DUCATO_LECAPITAINE / STRATE FORME-IR</v>
          </cell>
          <cell r="AM16" t="str">
            <v>GF_X200T-Muffler_A_790_1615mm_Cable10m</v>
          </cell>
          <cell r="AN16" t="str">
            <v/>
          </cell>
          <cell r="AO16" t="str">
            <v>\\petitforestier.fr\siege\Applications\BaseProduits\Datas\Publipostage\Images\PUBLICATION - EURO 6\PLAN VEHICULES\FIAT_DUCATO_DCOFF01-X200_LECAP.jpg</v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</row>
        <row r="17">
          <cell r="A17" t="str">
            <v>FR_FR</v>
          </cell>
          <cell r="B17" t="str">
            <v>FS_PF</v>
          </cell>
          <cell r="C17" t="str">
            <v>FS_ST</v>
          </cell>
          <cell r="D17" t="str">
            <v/>
          </cell>
          <cell r="E17" t="str">
            <v>FIAT</v>
          </cell>
          <cell r="F17" t="str">
            <v>DUCATO</v>
          </cell>
          <cell r="G17" t="str">
            <v>V9</v>
          </cell>
          <cell r="H17" t="str">
            <v>M</v>
          </cell>
          <cell r="I17" t="str">
            <v/>
          </cell>
          <cell r="J17" t="str">
            <v/>
          </cell>
          <cell r="K17" t="str">
            <v>LC-STRATE FORME</v>
          </cell>
          <cell r="L17" t="str">
            <v/>
          </cell>
          <cell r="M17" t="str">
            <v>DCOFF - BVA</v>
          </cell>
          <cell r="N17" t="str">
            <v>02</v>
          </cell>
          <cell r="O17">
            <v>3291</v>
          </cell>
          <cell r="P17">
            <v>1630</v>
          </cell>
          <cell r="Q17">
            <v>1725</v>
          </cell>
          <cell r="R17" t="str">
            <v/>
          </cell>
          <cell r="S17">
            <v>2522</v>
          </cell>
          <cell r="T17">
            <v>2050</v>
          </cell>
          <cell r="U17">
            <v>5998</v>
          </cell>
          <cell r="V17">
            <v>600</v>
          </cell>
          <cell r="W17">
            <v>4035</v>
          </cell>
          <cell r="X17">
            <v>1015</v>
          </cell>
          <cell r="Y17" t="str">
            <v/>
          </cell>
          <cell r="Z17" t="str">
            <v/>
          </cell>
          <cell r="AA17" t="str">
            <v>FIAT DUCATO L3H2 / LH2 - FOURGON FRIGORIFIQUE</v>
          </cell>
          <cell r="AB17">
            <v>3500</v>
          </cell>
          <cell r="AC17">
            <v>825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>9.5</v>
          </cell>
          <cell r="AI17" t="str">
            <v>C_DUCATO_FGT_MY2025_CLIM-MAN_Ecran7''_Rad+Cam._Sam.</v>
          </cell>
          <cell r="AJ17" t="str">
            <v>M_DUCATO_2.2_140_H3-POWER_BVAT8_220A_Bat105-LD-€6e</v>
          </cell>
          <cell r="AK17" t="str">
            <v>CH_DUCATO-FGT_Série9_225-75R16_ADB_GSRII</v>
          </cell>
          <cell r="AL17" t="str">
            <v>FF_DUCATO_LECAPITAINE / STRATE FORME-IR</v>
          </cell>
          <cell r="AM17" t="str">
            <v>GF_X200T-Muffler_A_790_1615mm_Cable10m</v>
          </cell>
          <cell r="AN17" t="str">
            <v/>
          </cell>
          <cell r="AO17" t="str">
            <v>\\petitforestier.fr\siege\Applications\BaseProduits\Datas\Publipostage\Images\PUBLICATION - EURO 6\PLAN VEHICULES\FIAT_DUCATO_DCOFF02-X200_LECAP.jpg</v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</row>
        <row r="25">
          <cell r="A25" t="str">
            <v>FR_FR</v>
          </cell>
          <cell r="B25" t="str">
            <v>FS_PF</v>
          </cell>
          <cell r="C25" t="str">
            <v>FS_ST</v>
          </cell>
          <cell r="D25" t="str">
            <v/>
          </cell>
          <cell r="E25" t="str">
            <v>FIAT</v>
          </cell>
          <cell r="F25" t="str">
            <v>DUCATO</v>
          </cell>
          <cell r="G25" t="str">
            <v>V9</v>
          </cell>
          <cell r="H25" t="str">
            <v>X</v>
          </cell>
          <cell r="I25" t="str">
            <v/>
          </cell>
          <cell r="J25" t="str">
            <v/>
          </cell>
          <cell r="K25" t="str">
            <v>LECAPITAINE</v>
          </cell>
          <cell r="L25" t="str">
            <v/>
          </cell>
          <cell r="M25" t="str">
            <v>DCOCF</v>
          </cell>
          <cell r="N25" t="str">
            <v>05</v>
          </cell>
          <cell r="O25">
            <v>2922</v>
          </cell>
          <cell r="P25">
            <v>1904</v>
          </cell>
          <cell r="Q25">
            <v>2050</v>
          </cell>
          <cell r="R25" t="str">
            <v/>
          </cell>
          <cell r="S25">
            <v>2799</v>
          </cell>
          <cell r="T25">
            <v>2050</v>
          </cell>
          <cell r="U25">
            <v>5743</v>
          </cell>
          <cell r="V25">
            <v>740</v>
          </cell>
          <cell r="W25">
            <v>3450</v>
          </cell>
          <cell r="X25">
            <v>1345</v>
          </cell>
          <cell r="Y25" t="str">
            <v/>
          </cell>
          <cell r="Z25" t="str">
            <v/>
          </cell>
          <cell r="AA25" t="str">
            <v>FIAT DUCATO - CAISSE FRIGORIFIQUE IRL / MULTI TEMP.</v>
          </cell>
          <cell r="AB25">
            <v>3500</v>
          </cell>
          <cell r="AC25">
            <v>905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>11.3</v>
          </cell>
          <cell r="AI25" t="str">
            <v>C_DUCATO_PC_MY2025_CLIM-MAN_Ecran7''_Rad+Cam._Déflecteur_Sam.</v>
          </cell>
          <cell r="AJ25" t="str">
            <v>M_DUCATO_2.2_140_H3-POWER_220A_Bat105-LD-€6e</v>
          </cell>
          <cell r="AK25" t="str">
            <v>CH_DUCATO-PC_225-75R16_ADB_SuspAr4GM_GSRII</v>
          </cell>
          <cell r="AL25" t="str">
            <v>CF_DUCATO_5</v>
          </cell>
          <cell r="AM25" t="str">
            <v>GF_X6T-MT_1845mm_Cable10m_DCOCF05</v>
          </cell>
          <cell r="AN25" t="str">
            <v/>
          </cell>
          <cell r="AO25" t="str">
            <v>\\petitforestier.fr\siege\Applications\BaseProduits\Datas\Publipostage\Images\PUBLICATION - EURO 6\PLAN VEHICULES\FIAT_DUCATO_DCOCF05-Déflecteur.jpg</v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</row>
        <row r="26">
          <cell r="A26" t="str">
            <v>FR_FR</v>
          </cell>
          <cell r="B26" t="str">
            <v>FS_PF</v>
          </cell>
          <cell r="C26" t="str">
            <v>FS_ST</v>
          </cell>
          <cell r="D26" t="str">
            <v/>
          </cell>
          <cell r="E26" t="str">
            <v>FIAT</v>
          </cell>
          <cell r="F26" t="str">
            <v>DUCATO</v>
          </cell>
          <cell r="G26" t="str">
            <v>V9</v>
          </cell>
          <cell r="H26" t="str">
            <v>M</v>
          </cell>
          <cell r="I26" t="str">
            <v/>
          </cell>
          <cell r="J26" t="str">
            <v/>
          </cell>
          <cell r="K26" t="str">
            <v>LECAPITAINE</v>
          </cell>
          <cell r="L26" t="str">
            <v/>
          </cell>
          <cell r="M26" t="str">
            <v>DCOCF- BVA</v>
          </cell>
          <cell r="N26" t="str">
            <v>01</v>
          </cell>
          <cell r="O26">
            <v>2922</v>
          </cell>
          <cell r="P26">
            <v>1904</v>
          </cell>
          <cell r="Q26">
            <v>1950</v>
          </cell>
          <cell r="R26" t="str">
            <v/>
          </cell>
          <cell r="S26">
            <v>2782</v>
          </cell>
          <cell r="T26">
            <v>2050</v>
          </cell>
          <cell r="U26">
            <v>5743</v>
          </cell>
          <cell r="V26">
            <v>740</v>
          </cell>
          <cell r="W26">
            <v>3450</v>
          </cell>
          <cell r="X26">
            <v>1345</v>
          </cell>
          <cell r="Y26" t="str">
            <v/>
          </cell>
          <cell r="Z26" t="str">
            <v/>
          </cell>
          <cell r="AA26" t="str">
            <v>FIAT DUCATO - CAISSE FRIGORIFIQUE IRL / 2 PORTES AR.</v>
          </cell>
          <cell r="AB26">
            <v>3500</v>
          </cell>
          <cell r="AC26">
            <v>1105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>10.6</v>
          </cell>
          <cell r="AI26" t="str">
            <v>C_DUCATO_PC_MY2025_CLIM-MAN_Ecran7''_Rad+Cam._Sam.</v>
          </cell>
          <cell r="AJ26" t="str">
            <v>M_DUCATO_2.2_140_H3-POWER_BVAT8_220A_Bat105-LD-€6e</v>
          </cell>
          <cell r="AK26" t="str">
            <v>CH_DUCATO-PC_225-75R16_ADB_SuspAr4GM_GSRII</v>
          </cell>
          <cell r="AL26" t="str">
            <v>CF_DUCATO_1</v>
          </cell>
          <cell r="AM26" t="str">
            <v>GF_X350T_A_C_1560_1750mm_Cable10m</v>
          </cell>
          <cell r="AN26" t="str">
            <v/>
          </cell>
          <cell r="AO26" t="str">
            <v>\\petitforestier.fr\siege\Applications\BaseProduits\Datas\Publipostage\Images\PUBLICATION - EURO 6\PLAN VEHICULES\FIAT_DUCATO_DCOCF01.jpg</v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</row>
        <row r="27">
          <cell r="A27" t="str">
            <v>FR_FR</v>
          </cell>
          <cell r="B27" t="str">
            <v>FS_PF</v>
          </cell>
          <cell r="C27" t="str">
            <v>FS_ST</v>
          </cell>
          <cell r="D27" t="str">
            <v/>
          </cell>
          <cell r="E27" t="str">
            <v>FIAT</v>
          </cell>
          <cell r="F27" t="str">
            <v>DUCATO</v>
          </cell>
          <cell r="G27" t="str">
            <v>V9</v>
          </cell>
          <cell r="H27" t="str">
            <v>M</v>
          </cell>
          <cell r="I27" t="str">
            <v/>
          </cell>
          <cell r="J27" t="str">
            <v/>
          </cell>
          <cell r="K27" t="str">
            <v>LECAPITAINE</v>
          </cell>
          <cell r="L27" t="str">
            <v/>
          </cell>
          <cell r="M27" t="str">
            <v>DCOCF- BVA</v>
          </cell>
          <cell r="N27" t="str">
            <v>02</v>
          </cell>
          <cell r="O27">
            <v>2922</v>
          </cell>
          <cell r="P27">
            <v>1904</v>
          </cell>
          <cell r="Q27">
            <v>1950</v>
          </cell>
          <cell r="R27" t="str">
            <v/>
          </cell>
          <cell r="S27">
            <v>2782</v>
          </cell>
          <cell r="T27">
            <v>2050</v>
          </cell>
          <cell r="U27">
            <v>5743</v>
          </cell>
          <cell r="V27">
            <v>740</v>
          </cell>
          <cell r="W27">
            <v>3450</v>
          </cell>
          <cell r="X27">
            <v>1345</v>
          </cell>
          <cell r="Y27" t="str">
            <v/>
          </cell>
          <cell r="Z27" t="str">
            <v/>
          </cell>
          <cell r="AA27" t="str">
            <v>FIAT DUCATO - CAISSE FRIGORIFIQUE IRL / 1 PORTE AR.</v>
          </cell>
          <cell r="AB27">
            <v>3500</v>
          </cell>
          <cell r="AC27">
            <v>1115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>10.6</v>
          </cell>
          <cell r="AI27" t="str">
            <v>C_DUCATO_PC_MY2025_CLIM-MAN_Ecran7''_Rad+Cam._Sam.</v>
          </cell>
          <cell r="AJ27" t="str">
            <v>M_DUCATO_2.2_140_H3-POWER_BVAT8_220A_Bat105-LD-€6e</v>
          </cell>
          <cell r="AK27" t="str">
            <v>CH_DUCATO-PC_225-75R16_ADB_SuspAr4GM_GSRII</v>
          </cell>
          <cell r="AL27" t="str">
            <v>CF_DUCATO_2</v>
          </cell>
          <cell r="AM27" t="str">
            <v>GF_X350T_A_C_1560_1750mm_Cable10m</v>
          </cell>
          <cell r="AN27" t="str">
            <v/>
          </cell>
          <cell r="AO27" t="str">
            <v>\\petitforestier.fr\siege\Applications\BaseProduits\Datas\Publipostage\Images\PUBLICATION - EURO 6\PLAN VEHICULES\FIAT_DUCATO_DCOCF02.jpg</v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</row>
        <row r="28">
          <cell r="A28" t="str">
            <v>FR_FR</v>
          </cell>
          <cell r="B28" t="str">
            <v>FS_PF</v>
          </cell>
          <cell r="C28" t="str">
            <v/>
          </cell>
          <cell r="D28" t="str">
            <v/>
          </cell>
          <cell r="E28" t="str">
            <v>FIAT</v>
          </cell>
          <cell r="F28" t="str">
            <v>DUCATO</v>
          </cell>
          <cell r="G28" t="str">
            <v>V9</v>
          </cell>
          <cell r="H28" t="str">
            <v>P</v>
          </cell>
          <cell r="I28" t="str">
            <v/>
          </cell>
          <cell r="J28" t="str">
            <v/>
          </cell>
          <cell r="K28" t="str">
            <v>LECAPITAINE</v>
          </cell>
          <cell r="L28" t="str">
            <v/>
          </cell>
          <cell r="M28" t="str">
            <v>DCOCF- BVA</v>
          </cell>
          <cell r="N28" t="str">
            <v>03</v>
          </cell>
          <cell r="O28">
            <v>2922</v>
          </cell>
          <cell r="P28">
            <v>1904</v>
          </cell>
          <cell r="Q28">
            <v>2150</v>
          </cell>
          <cell r="R28" t="str">
            <v/>
          </cell>
          <cell r="S28">
            <v>2982</v>
          </cell>
          <cell r="T28">
            <v>2050</v>
          </cell>
          <cell r="U28">
            <v>5743</v>
          </cell>
          <cell r="V28">
            <v>740</v>
          </cell>
          <cell r="W28">
            <v>3450</v>
          </cell>
          <cell r="X28">
            <v>1345</v>
          </cell>
          <cell r="Y28" t="str">
            <v/>
          </cell>
          <cell r="Z28" t="str">
            <v/>
          </cell>
          <cell r="AA28" t="str">
            <v>FIAT DUCATO - CAISSE FRIGORIFIQUE IRL / PENDERIE VIANDE</v>
          </cell>
          <cell r="AB28">
            <v>3500</v>
          </cell>
          <cell r="AC28">
            <v>930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>
            <v>12</v>
          </cell>
          <cell r="AI28" t="str">
            <v>C_DUCATO_PC_MY2025_CLIM-MAN_Ecran7''_Rad+Cam._Déflecteur_Sam.</v>
          </cell>
          <cell r="AJ28" t="str">
            <v>M_DUCATO_2.2_140_H3-POWER_BVAT8_220A_Bat105-LD-€6e</v>
          </cell>
          <cell r="AK28" t="str">
            <v>CH_DUCATO-PC_225-75R16_ADB_SuspAr4GM_GSRII_SsRS</v>
          </cell>
          <cell r="AL28" t="str">
            <v>CF_DUCATO_3</v>
          </cell>
          <cell r="AM28" t="str">
            <v>GF_X350T_A_C_1560_1950mm_Cable10m</v>
          </cell>
          <cell r="AN28" t="str">
            <v/>
          </cell>
          <cell r="AO28" t="str">
            <v>\\petitforestier.fr\siege\Applications\BaseProduits\Datas\Publipostage\Images\PUBLICATION - EURO 6\PLAN VEHICULES\FIAT_DUCATO_DCOCF03-Déflecteur.jpg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</row>
        <row r="29">
          <cell r="A29" t="str">
            <v>FR_FR</v>
          </cell>
          <cell r="B29" t="str">
            <v>FS_PF</v>
          </cell>
          <cell r="C29" t="str">
            <v>FS_ST</v>
          </cell>
          <cell r="D29" t="str">
            <v/>
          </cell>
          <cell r="E29" t="str">
            <v>FIAT</v>
          </cell>
          <cell r="F29" t="str">
            <v>DUCATO</v>
          </cell>
          <cell r="G29" t="str">
            <v>V9</v>
          </cell>
          <cell r="H29" t="str">
            <v>X</v>
          </cell>
          <cell r="I29" t="str">
            <v/>
          </cell>
          <cell r="J29" t="str">
            <v/>
          </cell>
          <cell r="K29" t="str">
            <v>LECAPITAINE</v>
          </cell>
          <cell r="L29" t="str">
            <v/>
          </cell>
          <cell r="M29" t="str">
            <v>DCOCF- BVA</v>
          </cell>
          <cell r="N29" t="str">
            <v>05</v>
          </cell>
          <cell r="O29">
            <v>2922</v>
          </cell>
          <cell r="P29">
            <v>1904</v>
          </cell>
          <cell r="Q29">
            <v>2050</v>
          </cell>
          <cell r="R29" t="str">
            <v/>
          </cell>
          <cell r="S29">
            <v>2799</v>
          </cell>
          <cell r="T29">
            <v>2050</v>
          </cell>
          <cell r="U29">
            <v>5743</v>
          </cell>
          <cell r="V29">
            <v>740</v>
          </cell>
          <cell r="W29">
            <v>3450</v>
          </cell>
          <cell r="X29">
            <v>1345</v>
          </cell>
          <cell r="Y29" t="str">
            <v/>
          </cell>
          <cell r="Z29" t="str">
            <v/>
          </cell>
          <cell r="AA29" t="str">
            <v>FIAT DUCATO - CAISSE FRIGORIFIQUE IRL / MULTI TEMP.</v>
          </cell>
          <cell r="AB29">
            <v>3500</v>
          </cell>
          <cell r="AC29">
            <v>885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>11.3</v>
          </cell>
          <cell r="AI29" t="str">
            <v>C_DUCATO_PC_MY2025_CLIM-MAN_Ecran7''_Rad+Cam._Déflecteur_Sam.</v>
          </cell>
          <cell r="AJ29" t="str">
            <v>M_DUCATO_2.2_140_H3-POWER_BVAT8_220A_Bat105-LD-€6e</v>
          </cell>
          <cell r="AK29" t="str">
            <v>CH_DUCATO-PC_225-75R16_ADB_SuspAr4GM_GSRII</v>
          </cell>
          <cell r="AL29" t="str">
            <v>CF_DUCATO_5</v>
          </cell>
          <cell r="AM29" t="str">
            <v>GF_X6T-MT_1845mm_Cable10m_DCOCF05</v>
          </cell>
          <cell r="AN29" t="str">
            <v/>
          </cell>
          <cell r="AO29" t="str">
            <v>\\petitforestier.fr\siege\Applications\BaseProduits\Datas\Publipostage\Images\PUBLICATION - EURO 6\PLAN VEHICULES\FIAT_DUCATO_DCOCF05-Déflecteur.jpg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</row>
        <row r="30">
          <cell r="A30" t="str">
            <v>FR_FR</v>
          </cell>
          <cell r="B30" t="str">
            <v>FS_PF</v>
          </cell>
          <cell r="C30" t="str">
            <v>FS_ST</v>
          </cell>
          <cell r="D30" t="str">
            <v/>
          </cell>
          <cell r="E30" t="str">
            <v>FIAT</v>
          </cell>
          <cell r="F30" t="str">
            <v>DUCATO</v>
          </cell>
          <cell r="G30" t="str">
            <v>V9</v>
          </cell>
          <cell r="H30" t="str">
            <v>M</v>
          </cell>
          <cell r="I30" t="str">
            <v/>
          </cell>
          <cell r="J30" t="str">
            <v/>
          </cell>
          <cell r="K30" t="str">
            <v>LECAPITAINE</v>
          </cell>
          <cell r="L30" t="str">
            <v/>
          </cell>
          <cell r="M30" t="str">
            <v>DCOCF - 180cv</v>
          </cell>
          <cell r="N30" t="str">
            <v>01</v>
          </cell>
          <cell r="O30">
            <v>2922</v>
          </cell>
          <cell r="P30">
            <v>1904</v>
          </cell>
          <cell r="Q30">
            <v>1950</v>
          </cell>
          <cell r="R30" t="str">
            <v/>
          </cell>
          <cell r="S30">
            <v>2782</v>
          </cell>
          <cell r="T30">
            <v>2050</v>
          </cell>
          <cell r="U30">
            <v>5743</v>
          </cell>
          <cell r="V30">
            <v>740</v>
          </cell>
          <cell r="W30">
            <v>3450</v>
          </cell>
          <cell r="X30">
            <v>1345</v>
          </cell>
          <cell r="Y30" t="str">
            <v/>
          </cell>
          <cell r="Z30" t="str">
            <v/>
          </cell>
          <cell r="AA30" t="str">
            <v>FIAT DUCATO - CAISSE FRIGORIFIQUE IRL / 2 PORTES AR.</v>
          </cell>
          <cell r="AB30">
            <v>3500</v>
          </cell>
          <cell r="AC30">
            <v>1105</v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>10.6</v>
          </cell>
          <cell r="AI30" t="str">
            <v>C_DUCATO_PC_MY2025_CLIM-MAN_Ecran7''_Rad+Cam._Sam.</v>
          </cell>
          <cell r="AJ30" t="str">
            <v>M_DUCATO_2.2_180_H3-POWER_220A_Bat105-LD-€6e-MaxI</v>
          </cell>
          <cell r="AK30" t="str">
            <v>CH_DUCATO-PC_225-75R16_ADB_SuspAr4GM_GSRII</v>
          </cell>
          <cell r="AL30" t="str">
            <v>CF_DUCATO_1</v>
          </cell>
          <cell r="AM30" t="str">
            <v>GF_X350T_A_C_1560_1750mm_Cable10m</v>
          </cell>
          <cell r="AN30" t="str">
            <v/>
          </cell>
          <cell r="AO30" t="str">
            <v>\\petitforestier.fr\siege\Applications\BaseProduits\Datas\Publipostage\Images\PUBLICATION - EURO 6\PLAN VEHICULES\FIAT_DUCATO_DCOCF01.jpg</v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</row>
        <row r="32">
          <cell r="A32" t="str">
            <v>FR_FR</v>
          </cell>
          <cell r="B32" t="str">
            <v>FS_PF</v>
          </cell>
          <cell r="C32" t="str">
            <v/>
          </cell>
          <cell r="D32" t="str">
            <v/>
          </cell>
          <cell r="E32" t="str">
            <v>FIAT</v>
          </cell>
          <cell r="F32" t="str">
            <v>DUCATO</v>
          </cell>
          <cell r="G32" t="str">
            <v>V9</v>
          </cell>
          <cell r="H32" t="str">
            <v>P</v>
          </cell>
          <cell r="I32" t="str">
            <v/>
          </cell>
          <cell r="J32" t="str">
            <v/>
          </cell>
          <cell r="K32" t="str">
            <v>LECAPITAINE</v>
          </cell>
          <cell r="L32" t="str">
            <v/>
          </cell>
          <cell r="M32" t="str">
            <v>DCOCF - 180cv</v>
          </cell>
          <cell r="N32" t="str">
            <v>03</v>
          </cell>
          <cell r="O32">
            <v>2922</v>
          </cell>
          <cell r="P32">
            <v>1904</v>
          </cell>
          <cell r="Q32">
            <v>2150</v>
          </cell>
          <cell r="R32" t="str">
            <v/>
          </cell>
          <cell r="S32">
            <v>2982</v>
          </cell>
          <cell r="T32">
            <v>2050</v>
          </cell>
          <cell r="U32">
            <v>5743</v>
          </cell>
          <cell r="V32">
            <v>740</v>
          </cell>
          <cell r="W32">
            <v>3450</v>
          </cell>
          <cell r="X32">
            <v>1345</v>
          </cell>
          <cell r="Y32" t="str">
            <v/>
          </cell>
          <cell r="Z32" t="str">
            <v/>
          </cell>
          <cell r="AA32" t="str">
            <v>FIAT DUCATO - CAISSE FRIGORIFIQUE IRL / PENDERIE VIANDE</v>
          </cell>
          <cell r="AB32">
            <v>3500</v>
          </cell>
          <cell r="AC32">
            <v>930</v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12</v>
          </cell>
          <cell r="AI32" t="str">
            <v>C_DUCATO_PC_MY2025_CLIM-MAN_Ecran7''_Rad+Cam._Déflecteur_Sam.</v>
          </cell>
          <cell r="AJ32" t="str">
            <v>M_DUCATO_2.2_180_H3-POWER_220A_Bat105-LD-€6e-MaxI</v>
          </cell>
          <cell r="AK32" t="str">
            <v>CH_DUCATO-PC_225-75R16_ADB_SuspAr4GM_GSRII_SsRS</v>
          </cell>
          <cell r="AL32" t="str">
            <v>CF_DUCATO_3</v>
          </cell>
          <cell r="AM32" t="str">
            <v>GF_X350T_A_C_1560_1950mm_Cable10m</v>
          </cell>
          <cell r="AN32" t="str">
            <v/>
          </cell>
          <cell r="AO32" t="str">
            <v>\\petitforestier.fr\siege\Applications\BaseProduits\Datas\Publipostage\Images\PUBLICATION - EURO 6\PLAN VEHICULES\FIAT_DUCATO_DCOCF03-Déflecteur.jpg</v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</row>
        <row r="33">
          <cell r="A33" t="str">
            <v>FR_FR</v>
          </cell>
          <cell r="B33" t="str">
            <v>FS_PF</v>
          </cell>
          <cell r="C33" t="str">
            <v>FS_ST</v>
          </cell>
          <cell r="D33" t="str">
            <v/>
          </cell>
          <cell r="E33" t="str">
            <v>FIAT</v>
          </cell>
          <cell r="F33" t="str">
            <v>DUCATO</v>
          </cell>
          <cell r="G33" t="str">
            <v>V9</v>
          </cell>
          <cell r="H33" t="str">
            <v>X</v>
          </cell>
          <cell r="I33" t="str">
            <v/>
          </cell>
          <cell r="J33" t="str">
            <v/>
          </cell>
          <cell r="K33" t="str">
            <v>LECAPITAINE</v>
          </cell>
          <cell r="L33" t="str">
            <v/>
          </cell>
          <cell r="M33" t="str">
            <v>DCOCF - 180cv</v>
          </cell>
          <cell r="N33" t="str">
            <v>05</v>
          </cell>
          <cell r="O33">
            <v>2922</v>
          </cell>
          <cell r="P33">
            <v>1904</v>
          </cell>
          <cell r="Q33">
            <v>2050</v>
          </cell>
          <cell r="R33" t="str">
            <v/>
          </cell>
          <cell r="S33">
            <v>2799</v>
          </cell>
          <cell r="T33">
            <v>2050</v>
          </cell>
          <cell r="U33">
            <v>5743</v>
          </cell>
          <cell r="V33">
            <v>740</v>
          </cell>
          <cell r="W33">
            <v>3450</v>
          </cell>
          <cell r="X33">
            <v>1345</v>
          </cell>
          <cell r="Y33" t="str">
            <v/>
          </cell>
          <cell r="Z33" t="str">
            <v/>
          </cell>
          <cell r="AA33" t="str">
            <v>FIAT DUCATO - CAISSE FRIGORIFIQUE IRL / MULTI TEMP.</v>
          </cell>
          <cell r="AB33">
            <v>3500</v>
          </cell>
          <cell r="AC33">
            <v>885</v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>11.3</v>
          </cell>
          <cell r="AI33" t="str">
            <v>C_DUCATO_PC_MY2025_CLIM-MAN_Ecran7''_Rad+Cam._Déflecteur_Sam.</v>
          </cell>
          <cell r="AJ33" t="str">
            <v>M_DUCATO_2.2_180_H3-POWER_220A_Bat105-LD-€6e-MaxI</v>
          </cell>
          <cell r="AK33" t="str">
            <v>CH_DUCATO-PC_225-75R16_ADB_SuspAr4GM_GSRII</v>
          </cell>
          <cell r="AL33" t="str">
            <v>CF_DUCATO_5</v>
          </cell>
          <cell r="AM33" t="str">
            <v>GF_X6T-MT_1845mm_Cable10m_DCOCF05</v>
          </cell>
          <cell r="AN33" t="str">
            <v/>
          </cell>
          <cell r="AO33" t="str">
            <v>\\petitforestier.fr\siege\Applications\BaseProduits\Datas\Publipostage\Images\PUBLICATION - EURO 6\PLAN VEHICULES\FIAT_DUCATO_DCOCF05-Déflecteur.jpg</v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</row>
        <row r="34">
          <cell r="A34" t="str">
            <v>FR_FR</v>
          </cell>
          <cell r="B34" t="str">
            <v>FS_PF</v>
          </cell>
          <cell r="C34" t="str">
            <v>FS_ST</v>
          </cell>
          <cell r="D34" t="str">
            <v/>
          </cell>
          <cell r="E34" t="str">
            <v>FIAT</v>
          </cell>
          <cell r="F34" t="str">
            <v>DUCATO</v>
          </cell>
          <cell r="G34" t="str">
            <v>V9</v>
          </cell>
          <cell r="H34" t="str">
            <v>M</v>
          </cell>
          <cell r="I34" t="str">
            <v/>
          </cell>
          <cell r="J34" t="str">
            <v/>
          </cell>
          <cell r="K34" t="str">
            <v>LECAPITAINE</v>
          </cell>
          <cell r="L34" t="str">
            <v/>
          </cell>
          <cell r="M34" t="str">
            <v>DCOCF - 180cv BVA</v>
          </cell>
          <cell r="N34" t="str">
            <v>01</v>
          </cell>
          <cell r="O34">
            <v>2922</v>
          </cell>
          <cell r="P34">
            <v>1904</v>
          </cell>
          <cell r="Q34">
            <v>1950</v>
          </cell>
          <cell r="R34" t="str">
            <v/>
          </cell>
          <cell r="S34">
            <v>2782</v>
          </cell>
          <cell r="T34">
            <v>2050</v>
          </cell>
          <cell r="U34">
            <v>5743</v>
          </cell>
          <cell r="V34">
            <v>740</v>
          </cell>
          <cell r="W34">
            <v>3450</v>
          </cell>
          <cell r="X34">
            <v>1345</v>
          </cell>
          <cell r="Y34" t="str">
            <v/>
          </cell>
          <cell r="Z34" t="str">
            <v/>
          </cell>
          <cell r="AA34" t="str">
            <v>FIAT DUCATO - CAISSE FRIGORIFIQUE IRL / 2 PORTES AR.</v>
          </cell>
          <cell r="AB34">
            <v>3500</v>
          </cell>
          <cell r="AC34">
            <v>1085</v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>10.6</v>
          </cell>
          <cell r="AI34" t="str">
            <v>C_DUCATO_PC_MY2025_CLIM-MAN_Ecran7''_Rad+Cam._Sam.</v>
          </cell>
          <cell r="AJ34" t="str">
            <v>M_DUCATO_2.2_180i_H3-POWER_BVAT8_220A_Bat105-LD-€6e-MaxI</v>
          </cell>
          <cell r="AK34" t="str">
            <v>CH_DUCATO-PC_225-75R16_ADB_SuspAr4GM_GSRII</v>
          </cell>
          <cell r="AL34" t="str">
            <v>CF_DUCATO_1</v>
          </cell>
          <cell r="AM34" t="str">
            <v>GF_X350T_A_C_1560_1750mm_Cable10m</v>
          </cell>
          <cell r="AN34" t="str">
            <v/>
          </cell>
          <cell r="AO34" t="str">
            <v>\\petitforestier.fr\siege\Applications\BaseProduits\Datas\Publipostage\Images\PUBLICATION - EURO 6\PLAN VEHICULES\FIAT_DUCATO_DCOCF01.jpg</v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</row>
        <row r="35">
          <cell r="A35" t="str">
            <v>FR_FR</v>
          </cell>
          <cell r="B35" t="str">
            <v>FS_PF</v>
          </cell>
          <cell r="C35" t="str">
            <v>FS_ST</v>
          </cell>
          <cell r="D35" t="str">
            <v/>
          </cell>
          <cell r="E35" t="str">
            <v>FIAT</v>
          </cell>
          <cell r="F35" t="str">
            <v>DUCATO</v>
          </cell>
          <cell r="G35" t="str">
            <v>V9</v>
          </cell>
          <cell r="H35" t="str">
            <v>M</v>
          </cell>
          <cell r="I35" t="str">
            <v/>
          </cell>
          <cell r="J35" t="str">
            <v/>
          </cell>
          <cell r="K35" t="str">
            <v>LECAPITAINE</v>
          </cell>
          <cell r="L35" t="str">
            <v/>
          </cell>
          <cell r="M35" t="str">
            <v>DCOCF - 180cv BVA</v>
          </cell>
          <cell r="N35" t="str">
            <v>02</v>
          </cell>
          <cell r="O35">
            <v>2922</v>
          </cell>
          <cell r="P35">
            <v>1904</v>
          </cell>
          <cell r="Q35">
            <v>1950</v>
          </cell>
          <cell r="R35" t="str">
            <v/>
          </cell>
          <cell r="S35">
            <v>2782</v>
          </cell>
          <cell r="T35">
            <v>2050</v>
          </cell>
          <cell r="U35">
            <v>5743</v>
          </cell>
          <cell r="V35">
            <v>740</v>
          </cell>
          <cell r="W35">
            <v>3450</v>
          </cell>
          <cell r="X35">
            <v>1345</v>
          </cell>
          <cell r="Y35" t="str">
            <v/>
          </cell>
          <cell r="Z35" t="str">
            <v/>
          </cell>
          <cell r="AA35" t="str">
            <v>FIAT DUCATO - CAISSE FRIGORIFIQUE IRL / 1 PORTE AR.</v>
          </cell>
          <cell r="AB35">
            <v>3500</v>
          </cell>
          <cell r="AC35">
            <v>1095</v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>10.6</v>
          </cell>
          <cell r="AI35" t="str">
            <v>C_DUCATO_PC_MY2025_CLIM-MAN_Ecran7''_Rad+Cam._Sam.</v>
          </cell>
          <cell r="AJ35" t="str">
            <v>M_DUCATO_2.2_180i_H3-POWER_BVAT8_220A_Bat105-LD-€6e-MaxI</v>
          </cell>
          <cell r="AK35" t="str">
            <v>CH_DUCATO-PC_225-75R16_ADB_SuspAr4GM_GSRII</v>
          </cell>
          <cell r="AL35" t="str">
            <v>CF_DUCATO_2</v>
          </cell>
          <cell r="AM35" t="str">
            <v>GF_X350T_A_C_1560_1750mm_Cable10m</v>
          </cell>
          <cell r="AN35" t="str">
            <v/>
          </cell>
          <cell r="AO35" t="str">
            <v>\\petitforestier.fr\siege\Applications\BaseProduits\Datas\Publipostage\Images\PUBLICATION - EURO 6\PLAN VEHICULES\FIAT_DUCATO_DCOCF02.jpg</v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</row>
        <row r="42">
          <cell r="A42" t="str">
            <v>FR_FR</v>
          </cell>
          <cell r="B42" t="str">
            <v>FS_PF</v>
          </cell>
          <cell r="C42" t="str">
            <v>FS_ST</v>
          </cell>
          <cell r="D42" t="str">
            <v/>
          </cell>
          <cell r="E42" t="str">
            <v>IVECO</v>
          </cell>
          <cell r="F42" t="str">
            <v>DAILY</v>
          </cell>
          <cell r="G42" t="str">
            <v>V11</v>
          </cell>
          <cell r="H42" t="str">
            <v>M</v>
          </cell>
          <cell r="I42" t="str">
            <v>H</v>
          </cell>
          <cell r="J42" t="str">
            <v/>
          </cell>
          <cell r="K42" t="str">
            <v>LECAPITAINE</v>
          </cell>
          <cell r="L42" t="str">
            <v/>
          </cell>
          <cell r="M42" t="str">
            <v>35C14 CF</v>
          </cell>
          <cell r="N42" t="str">
            <v>04</v>
          </cell>
          <cell r="O42">
            <v>3224</v>
          </cell>
          <cell r="P42">
            <v>1904</v>
          </cell>
          <cell r="Q42">
            <v>1950</v>
          </cell>
          <cell r="R42" t="str">
            <v/>
          </cell>
          <cell r="S42">
            <v>2942</v>
          </cell>
          <cell r="T42">
            <v>2050</v>
          </cell>
          <cell r="U42">
            <v>6124</v>
          </cell>
          <cell r="V42">
            <v>900</v>
          </cell>
          <cell r="W42">
            <v>3450</v>
          </cell>
          <cell r="X42">
            <v>1617</v>
          </cell>
          <cell r="Y42" t="str">
            <v/>
          </cell>
          <cell r="Z42">
            <v>5</v>
          </cell>
          <cell r="AA42" t="str">
            <v>IVECO DAILY - CAISSE FRIGORIFIQUE IRL / HAYON</v>
          </cell>
          <cell r="AB42">
            <v>3500</v>
          </cell>
          <cell r="AC42">
            <v>500</v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>
            <v>12</v>
          </cell>
          <cell r="AI42" t="str">
            <v>C_DAILY_CC_3.5_06-2019_CLIM-MAN_Rad+Cam._Sam.</v>
          </cell>
          <cell r="AJ42" t="str">
            <v>M_DAILY_2.3_136-HD-€VI-E_Bat105Ah_BV.HIMATIC</v>
          </cell>
          <cell r="AK42" t="str">
            <v>CH_DAILY-CC_35C_195-75R16_ADB_GSRII_86L_RS</v>
          </cell>
          <cell r="AL42" t="str">
            <v>CF_DAILY_C4-1950_FC allégé_PrPavHE</v>
          </cell>
          <cell r="AM42" t="str">
            <v>GF_X350T_A_C_1560_1750mm_Cable10m</v>
          </cell>
          <cell r="AN42" t="str">
            <v>HL_RB_DH-LMA08_750kg-CG600_1450mm_Vbatt</v>
          </cell>
          <cell r="AO42" t="str">
            <v>\\petitforestier.fr\siege\Applications\BaseProduits\Datas\Publipostage\Images\PUBLICATION - EURO 6\PLAN VEHICULES\IVECO_DAILY-1048_35C-CF04.jpg</v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</row>
        <row r="43">
          <cell r="A43" t="str">
            <v>FR_FR</v>
          </cell>
          <cell r="B43" t="str">
            <v>FS_PF</v>
          </cell>
          <cell r="C43" t="str">
            <v>FS_ST</v>
          </cell>
          <cell r="D43" t="str">
            <v/>
          </cell>
          <cell r="E43" t="str">
            <v>IVECO</v>
          </cell>
          <cell r="F43" t="str">
            <v>DAILY</v>
          </cell>
          <cell r="G43" t="str">
            <v>V11</v>
          </cell>
          <cell r="H43" t="str">
            <v>X</v>
          </cell>
          <cell r="I43" t="str">
            <v/>
          </cell>
          <cell r="J43" t="str">
            <v/>
          </cell>
          <cell r="K43" t="str">
            <v>LECAPITAINE</v>
          </cell>
          <cell r="L43" t="str">
            <v/>
          </cell>
          <cell r="M43" t="str">
            <v>35C14 CF</v>
          </cell>
          <cell r="N43" t="str">
            <v>05</v>
          </cell>
          <cell r="O43">
            <v>3524</v>
          </cell>
          <cell r="P43">
            <v>1904</v>
          </cell>
          <cell r="Q43">
            <v>2050</v>
          </cell>
          <cell r="R43" t="str">
            <v/>
          </cell>
          <cell r="S43">
            <v>3040</v>
          </cell>
          <cell r="T43">
            <v>2050</v>
          </cell>
          <cell r="U43">
            <v>6223</v>
          </cell>
          <cell r="V43">
            <v>900</v>
          </cell>
          <cell r="W43">
            <v>3450</v>
          </cell>
          <cell r="X43">
            <v>1725</v>
          </cell>
          <cell r="Y43" t="str">
            <v/>
          </cell>
          <cell r="Z43">
            <v>5</v>
          </cell>
          <cell r="AA43" t="str">
            <v>IVECO DAILY - CAISSE FRIGORIFIQUE IRL / MULTI TEMP.</v>
          </cell>
          <cell r="AB43">
            <v>3500</v>
          </cell>
          <cell r="AC43">
            <v>395</v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>13.8</v>
          </cell>
          <cell r="AI43" t="str">
            <v>C_DAILY_CC_3.5_06-2019_CLIM-MAN_Rad+Cam._Sam.</v>
          </cell>
          <cell r="AJ43" t="str">
            <v>M_DAILY_2.3_136-HD-€VI-E_Bat105Ah_BV.HIMATIC</v>
          </cell>
          <cell r="AK43" t="str">
            <v>CH_DAILY-CC_35C_195-75R16_ADB_GSRII_86L_RS</v>
          </cell>
          <cell r="AL43" t="str">
            <v>CF_DAILY_C5-3524*2050_FC allégé</v>
          </cell>
          <cell r="AM43" t="str">
            <v>GF_X6T-MT_1850mm_Cable10m</v>
          </cell>
          <cell r="AN43" t="str">
            <v/>
          </cell>
          <cell r="AO43" t="str">
            <v>\\petitforestier.fr\siege\Applications\BaseProduits\Datas\Publipostage\Images\PUBLICATION - EURO 6\PLAN VEHICULES\IVECO_DAILY-1048_35C-CF05.jpg</v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</row>
        <row r="44">
          <cell r="A44" t="str">
            <v>FR_FR</v>
          </cell>
          <cell r="B44" t="str">
            <v>FS_PF</v>
          </cell>
          <cell r="C44" t="str">
            <v>FS_ST</v>
          </cell>
          <cell r="D44" t="str">
            <v/>
          </cell>
          <cell r="E44" t="str">
            <v>IVECO</v>
          </cell>
          <cell r="F44" t="str">
            <v>DAILY</v>
          </cell>
          <cell r="G44" t="str">
            <v>V11</v>
          </cell>
          <cell r="H44" t="str">
            <v>M</v>
          </cell>
          <cell r="I44" t="str">
            <v/>
          </cell>
          <cell r="J44" t="str">
            <v/>
          </cell>
          <cell r="K44" t="str">
            <v>LECAPITAINE</v>
          </cell>
          <cell r="L44" t="str">
            <v/>
          </cell>
          <cell r="M44" t="str">
            <v>35C14 CF</v>
          </cell>
          <cell r="N44" t="str">
            <v>06</v>
          </cell>
          <cell r="O44">
            <v>2824</v>
          </cell>
          <cell r="P44">
            <v>1904</v>
          </cell>
          <cell r="Q44">
            <v>1950</v>
          </cell>
          <cell r="R44" t="str">
            <v/>
          </cell>
          <cell r="S44">
            <v>2940</v>
          </cell>
          <cell r="T44">
            <v>2050</v>
          </cell>
          <cell r="U44">
            <v>5523</v>
          </cell>
          <cell r="V44">
            <v>900</v>
          </cell>
          <cell r="W44">
            <v>3000</v>
          </cell>
          <cell r="X44">
            <v>1475</v>
          </cell>
          <cell r="Y44" t="str">
            <v/>
          </cell>
          <cell r="Z44">
            <v>4</v>
          </cell>
          <cell r="AA44" t="str">
            <v>IVECO DAILY - CAISSE FRIGORIFIQUE IRL / 2 PORTES AR.</v>
          </cell>
          <cell r="AB44">
            <v>3500</v>
          </cell>
          <cell r="AC44">
            <v>770</v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>10.1</v>
          </cell>
          <cell r="AI44" t="str">
            <v>C_DAILY_CC_3.5_06-2019_CLIM-MAN_Rad+Cam._Sam.</v>
          </cell>
          <cell r="AJ44" t="str">
            <v>M_DAILY_2.3_136-HD-€VI-E_Bat105Ah_BV.HIMATIC</v>
          </cell>
          <cell r="AK44" t="str">
            <v>CH_DAILY-CC_35C_195-75R16_3000_ADB_GSRII_63L_RS</v>
          </cell>
          <cell r="AL44" t="str">
            <v>CF_DAILY_C6_FC allégé</v>
          </cell>
          <cell r="AM44" t="str">
            <v>GF_X350T_A_C_1560_1750mm_Cable10m</v>
          </cell>
          <cell r="AN44" t="str">
            <v/>
          </cell>
          <cell r="AO44" t="str">
            <v>\\petitforestier.fr\siege\Applications\BaseProduits\Datas\Publipostage\Images\PUBLICATION - EURO 6\PLAN VEHICULES\IVECO_DAILY-1048_35-50-65-70C-CF01.jpg</v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</row>
        <row r="46">
          <cell r="A46" t="str">
            <v>FR_FR</v>
          </cell>
          <cell r="B46" t="str">
            <v>FS_PF</v>
          </cell>
          <cell r="C46" t="str">
            <v/>
          </cell>
          <cell r="D46" t="str">
            <v/>
          </cell>
          <cell r="E46" t="str">
            <v>IVECO</v>
          </cell>
          <cell r="F46" t="str">
            <v>DAILY</v>
          </cell>
          <cell r="G46" t="str">
            <v>V11</v>
          </cell>
          <cell r="H46" t="str">
            <v>M</v>
          </cell>
          <cell r="I46" t="str">
            <v/>
          </cell>
          <cell r="J46" t="str">
            <v/>
          </cell>
          <cell r="K46" t="str">
            <v>LECAPITAINE</v>
          </cell>
          <cell r="L46" t="str">
            <v/>
          </cell>
          <cell r="M46" t="str">
            <v>35C14 CF - URBAN</v>
          </cell>
          <cell r="N46" t="str">
            <v>02</v>
          </cell>
          <cell r="O46">
            <v>3228</v>
          </cell>
          <cell r="P46">
            <v>1908</v>
          </cell>
          <cell r="Q46">
            <v>1950</v>
          </cell>
          <cell r="R46" t="str">
            <v/>
          </cell>
          <cell r="S46">
            <v>2936</v>
          </cell>
          <cell r="T46">
            <v>2050</v>
          </cell>
          <cell r="U46">
            <v>5932</v>
          </cell>
          <cell r="V46">
            <v>895</v>
          </cell>
          <cell r="W46">
            <v>3450</v>
          </cell>
          <cell r="X46">
            <v>1425</v>
          </cell>
          <cell r="Y46" t="str">
            <v/>
          </cell>
          <cell r="Z46">
            <v>5</v>
          </cell>
          <cell r="AA46" t="str">
            <v>IVECO DAILY - CAISSE FRIGORIFIQUE URBAN / 3 PORTES AR.</v>
          </cell>
          <cell r="AB46">
            <v>3500</v>
          </cell>
          <cell r="AC46">
            <v>825</v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>
            <v>12</v>
          </cell>
          <cell r="AI46" t="str">
            <v>C_DAILY_CC_3.5_06-2019_CLIM-MAN_Rad+Cam._URBAN_Sam.</v>
          </cell>
          <cell r="AJ46" t="str">
            <v>M_DAILY_2.3_136-HD-€VI-E_Bat105Ah_BV.HIMATIC</v>
          </cell>
          <cell r="AK46" t="str">
            <v>CH_DAILY-CC_35C_195-75R16_ADB_GSRII_86L_URBAN_SsRS</v>
          </cell>
          <cell r="AL46" t="str">
            <v>CF_DAILY_S-C2_FC allégé_URBAN</v>
          </cell>
          <cell r="AM46" t="str">
            <v>GF_V300MAX-50_A_C_1705mm_Cable10m_ BBLite</v>
          </cell>
          <cell r="AN46" t="str">
            <v/>
          </cell>
          <cell r="AO46" t="str">
            <v>\\petitforestier.fr\siege\Applications\BaseProduits\Datas\Publipostage\Images\PUBLICATION - EURO 6\PLAN VEHICULES\IVECO_DAILY-1048_35C-CF02-URBAN.jpg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</row>
        <row r="47">
          <cell r="A47" t="str">
            <v>FR_FR</v>
          </cell>
          <cell r="B47" t="str">
            <v>FS_PF</v>
          </cell>
          <cell r="C47" t="str">
            <v>FS_ST</v>
          </cell>
          <cell r="D47" t="str">
            <v/>
          </cell>
          <cell r="E47" t="str">
            <v>IVECO</v>
          </cell>
          <cell r="F47" t="str">
            <v>DAILY</v>
          </cell>
          <cell r="G47" t="str">
            <v>V11</v>
          </cell>
          <cell r="H47" t="str">
            <v>M</v>
          </cell>
          <cell r="I47" t="str">
            <v>H</v>
          </cell>
          <cell r="J47" t="str">
            <v/>
          </cell>
          <cell r="K47" t="str">
            <v>LECAPITAINE</v>
          </cell>
          <cell r="L47" t="str">
            <v/>
          </cell>
          <cell r="M47" t="str">
            <v>35C14 CF - URBAN</v>
          </cell>
          <cell r="N47" t="str">
            <v>04</v>
          </cell>
          <cell r="O47">
            <v>3228</v>
          </cell>
          <cell r="P47">
            <v>1908</v>
          </cell>
          <cell r="Q47">
            <v>1950</v>
          </cell>
          <cell r="R47" t="str">
            <v/>
          </cell>
          <cell r="S47">
            <v>2936</v>
          </cell>
          <cell r="T47">
            <v>2050</v>
          </cell>
          <cell r="U47">
            <v>6124</v>
          </cell>
          <cell r="V47">
            <v>895</v>
          </cell>
          <cell r="W47">
            <v>3450</v>
          </cell>
          <cell r="X47">
            <v>1617</v>
          </cell>
          <cell r="Y47" t="str">
            <v/>
          </cell>
          <cell r="Z47">
            <v>5</v>
          </cell>
          <cell r="AA47" t="str">
            <v>IVECO DAILY - CAISSE FRIGORIFIQUE URBAN / HAYON</v>
          </cell>
          <cell r="AB47">
            <v>3500</v>
          </cell>
          <cell r="AC47">
            <v>625</v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>
            <v>12</v>
          </cell>
          <cell r="AI47" t="str">
            <v>C_DAILY_CC_3.5_06-2019_CLIM-MAN_Rad+Cam._URBAN_Sam.</v>
          </cell>
          <cell r="AJ47" t="str">
            <v>M_DAILY_2.3_136-HD-€VI-E_Bat105Ah_BV.HIMATIC</v>
          </cell>
          <cell r="AK47" t="str">
            <v>CH_DAILY-CC_35C_195-75R16_ADB_GSRII_86L_URBAN_SsRS</v>
          </cell>
          <cell r="AL47" t="str">
            <v>CF_DAILY_S-C4-1950_FC allégé_URBAN_PrPavHE</v>
          </cell>
          <cell r="AM47" t="str">
            <v>GF_V300MAX-50_A_C_1705mm_Cable10m_ BBLite</v>
          </cell>
          <cell r="AN47" t="str">
            <v>HL_RB_DH-LMA08_750kg-CG600_1450mm_Vbatt</v>
          </cell>
          <cell r="AO47" t="str">
            <v>\\petitforestier.fr\siege\Applications\BaseProduits\Datas\Publipostage\Images\PUBLICATION - EURO 6\PLAN VEHICULES\IVECO_DAILY-1048_35C-CF04-URBAN.jpg</v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</row>
        <row r="48">
          <cell r="A48" t="str">
            <v>FR_FR</v>
          </cell>
          <cell r="B48" t="str">
            <v>FS_PF</v>
          </cell>
          <cell r="C48" t="str">
            <v>FS_ST</v>
          </cell>
          <cell r="D48" t="str">
            <v/>
          </cell>
          <cell r="E48" t="str">
            <v>IVECO</v>
          </cell>
          <cell r="F48" t="str">
            <v>DAILY</v>
          </cell>
          <cell r="G48" t="str">
            <v>V11</v>
          </cell>
          <cell r="H48" t="str">
            <v>X</v>
          </cell>
          <cell r="I48" t="str">
            <v/>
          </cell>
          <cell r="J48" t="str">
            <v/>
          </cell>
          <cell r="K48" t="str">
            <v>LECAPITAINE</v>
          </cell>
          <cell r="L48" t="str">
            <v/>
          </cell>
          <cell r="M48" t="str">
            <v>35C14 CF - URBAN</v>
          </cell>
          <cell r="N48" t="str">
            <v>05</v>
          </cell>
          <cell r="O48">
            <v>3528</v>
          </cell>
          <cell r="P48">
            <v>1908</v>
          </cell>
          <cell r="Q48">
            <v>2050</v>
          </cell>
          <cell r="R48" t="str">
            <v/>
          </cell>
          <cell r="S48">
            <v>3036</v>
          </cell>
          <cell r="T48">
            <v>2050</v>
          </cell>
          <cell r="U48">
            <v>6223</v>
          </cell>
          <cell r="V48">
            <v>895</v>
          </cell>
          <cell r="W48">
            <v>3450</v>
          </cell>
          <cell r="X48">
            <v>1725</v>
          </cell>
          <cell r="Y48" t="str">
            <v/>
          </cell>
          <cell r="Z48">
            <v>5</v>
          </cell>
          <cell r="AA48" t="str">
            <v>IVECO DAILY - CAISSE FRIGORIFIQUE URBAN / MULTI TEMP.</v>
          </cell>
          <cell r="AB48">
            <v>3500</v>
          </cell>
          <cell r="AC48">
            <v>510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>13.8</v>
          </cell>
          <cell r="AI48" t="str">
            <v>C_DAILY_CC_3.5_06-2019_CLIM-MAN_Rad+Cam._URBAN_Sam.</v>
          </cell>
          <cell r="AJ48" t="str">
            <v>M_DAILY_2.3_136-HD-€VI-E_Bat105Ah_BV.HIMATIC</v>
          </cell>
          <cell r="AK48" t="str">
            <v>CH_DAILY-CC_35C_195-75R16_ADB_GSRII_86L_URBAN_SsRS</v>
          </cell>
          <cell r="AL48" t="str">
            <v>CF_DAILY_S-C5-3524*2050_FC allégé_URBAN</v>
          </cell>
          <cell r="AM48" t="str">
            <v>GF_X6T-MT_1845mm_Cable10m</v>
          </cell>
          <cell r="AN48" t="str">
            <v/>
          </cell>
          <cell r="AO48" t="str">
            <v>\\petitforestier.fr\siege\Applications\BaseProduits\Datas\Publipostage\Images\PUBLICATION - EURO 6\PLAN VEHICULES\IVECO_DAILY-1048_35C-CF05-URBAN.jpg</v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</row>
        <row r="50">
          <cell r="A50" t="str">
            <v>FR_FR</v>
          </cell>
          <cell r="B50" t="str">
            <v>FS_PF</v>
          </cell>
          <cell r="C50" t="str">
            <v/>
          </cell>
          <cell r="D50" t="str">
            <v/>
          </cell>
          <cell r="E50" t="str">
            <v>IVECO</v>
          </cell>
          <cell r="F50" t="str">
            <v>DAILY</v>
          </cell>
          <cell r="G50" t="str">
            <v>V11</v>
          </cell>
          <cell r="H50" t="str">
            <v>M</v>
          </cell>
          <cell r="I50" t="str">
            <v/>
          </cell>
          <cell r="J50" t="str">
            <v/>
          </cell>
          <cell r="K50" t="str">
            <v>LECAPITAINE</v>
          </cell>
          <cell r="L50" t="str">
            <v/>
          </cell>
          <cell r="M50" t="str">
            <v>35C16 CF</v>
          </cell>
          <cell r="N50" t="str">
            <v>02</v>
          </cell>
          <cell r="O50">
            <v>3224</v>
          </cell>
          <cell r="P50">
            <v>1904</v>
          </cell>
          <cell r="Q50">
            <v>1950</v>
          </cell>
          <cell r="R50" t="str">
            <v/>
          </cell>
          <cell r="S50">
            <v>2942</v>
          </cell>
          <cell r="T50">
            <v>2050</v>
          </cell>
          <cell r="U50">
            <v>5932</v>
          </cell>
          <cell r="V50">
            <v>900</v>
          </cell>
          <cell r="W50">
            <v>3450</v>
          </cell>
          <cell r="X50">
            <v>1425</v>
          </cell>
          <cell r="Y50" t="str">
            <v/>
          </cell>
          <cell r="Z50">
            <v>5</v>
          </cell>
          <cell r="AA50" t="str">
            <v>IVECO DAILY - CAISSE FRIGORIFIQUE IRL / 3 PORTES AR.</v>
          </cell>
          <cell r="AB50">
            <v>3500</v>
          </cell>
          <cell r="AC50">
            <v>690</v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>
            <v>12</v>
          </cell>
          <cell r="AI50" t="str">
            <v>C_DAILY_CC_3.5_06-2019_CLIM-MAN_Rad+Cam._Sam.</v>
          </cell>
          <cell r="AJ50" t="str">
            <v>M_DAILY_2.3_156-HD-€VI-E_Bat105Ah_BV.HIMATIC</v>
          </cell>
          <cell r="AK50" t="str">
            <v>CH_DAILY-CC_35C_195-75R16_ADB_GSRII_86L_RS</v>
          </cell>
          <cell r="AL50" t="str">
            <v>CF_DAILY_C2_FC allégé</v>
          </cell>
          <cell r="AM50" t="str">
            <v>GF_X350T_A_C_1560_1750mm_Cable10m</v>
          </cell>
          <cell r="AN50" t="str">
            <v/>
          </cell>
          <cell r="AO50" t="str">
            <v>\\petitforestier.fr\siege\Applications\BaseProduits\Datas\Publipostage\Images\PUBLICATION - EURO 6\PLAN VEHICULES\IVECO_DAILY-1048_35C-CF02.jpg</v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</row>
        <row r="51">
          <cell r="A51" t="str">
            <v>FR_FR</v>
          </cell>
          <cell r="B51" t="str">
            <v>FS_PF</v>
          </cell>
          <cell r="C51" t="str">
            <v>FS_ST</v>
          </cell>
          <cell r="D51" t="str">
            <v/>
          </cell>
          <cell r="E51" t="str">
            <v>IVECO</v>
          </cell>
          <cell r="F51" t="str">
            <v>DAILY</v>
          </cell>
          <cell r="G51" t="str">
            <v>V11</v>
          </cell>
          <cell r="H51" t="str">
            <v>P</v>
          </cell>
          <cell r="I51" t="str">
            <v/>
          </cell>
          <cell r="J51" t="str">
            <v/>
          </cell>
          <cell r="K51" t="str">
            <v>LECAPITAINE</v>
          </cell>
          <cell r="L51" t="str">
            <v/>
          </cell>
          <cell r="M51" t="str">
            <v>35C16 CF</v>
          </cell>
          <cell r="N51" t="str">
            <v>03</v>
          </cell>
          <cell r="O51">
            <v>3224</v>
          </cell>
          <cell r="P51">
            <v>1904</v>
          </cell>
          <cell r="Q51">
            <v>2200</v>
          </cell>
          <cell r="R51" t="str">
            <v/>
          </cell>
          <cell r="S51">
            <v>3190</v>
          </cell>
          <cell r="T51">
            <v>2050</v>
          </cell>
          <cell r="U51">
            <v>5932</v>
          </cell>
          <cell r="V51">
            <v>900</v>
          </cell>
          <cell r="W51">
            <v>3450</v>
          </cell>
          <cell r="X51">
            <v>1425</v>
          </cell>
          <cell r="Y51" t="str">
            <v/>
          </cell>
          <cell r="Z51">
            <v>5</v>
          </cell>
          <cell r="AA51" t="str">
            <v>IVECO DAILY - CAISSE FRIGORIFIQUE IRL / PENDERIE VIANDE</v>
          </cell>
          <cell r="AB51">
            <v>3500</v>
          </cell>
          <cell r="AC51">
            <v>540</v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>13.5</v>
          </cell>
          <cell r="AI51" t="str">
            <v>C_DAILY_CC_3.5_06-2019_CLIM-MAN_Rad+Cam._Sam.</v>
          </cell>
          <cell r="AJ51" t="str">
            <v>M_DAILY_2.3_156-HD-€VI-E_Bat105Ah_BV.HIMATIC</v>
          </cell>
          <cell r="AK51" t="str">
            <v>CH_DAILY-CC_35C_195-75R16_ADB_GSRII_86L_RS</v>
          </cell>
          <cell r="AL51" t="str">
            <v>CF_DAILY_C3_FC allégé</v>
          </cell>
          <cell r="AM51" t="str">
            <v>GF_X350T_A_C_1560_2000mm_Cable10m</v>
          </cell>
          <cell r="AN51" t="str">
            <v/>
          </cell>
          <cell r="AO51" t="str">
            <v>\\petitforestier.fr\siege\Applications\BaseProduits\Datas\Publipostage\Images\PUBLICATION - EURO 6\PLAN VEHICULES\IVECO_DAILY-1048_35-50-65-70C-CF03.jpg</v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</row>
        <row r="53">
          <cell r="A53" t="str">
            <v>FR_FR</v>
          </cell>
          <cell r="B53" t="str">
            <v>FS_PF</v>
          </cell>
          <cell r="C53" t="str">
            <v>FS_ST</v>
          </cell>
          <cell r="D53" t="str">
            <v/>
          </cell>
          <cell r="E53" t="str">
            <v>IVECO</v>
          </cell>
          <cell r="F53" t="str">
            <v>DAILY</v>
          </cell>
          <cell r="G53" t="str">
            <v>V11</v>
          </cell>
          <cell r="H53" t="str">
            <v>X</v>
          </cell>
          <cell r="I53" t="str">
            <v/>
          </cell>
          <cell r="J53" t="str">
            <v/>
          </cell>
          <cell r="K53" t="str">
            <v>LECAPITAINE</v>
          </cell>
          <cell r="L53" t="str">
            <v/>
          </cell>
          <cell r="M53" t="str">
            <v>35C16 CF</v>
          </cell>
          <cell r="N53" t="str">
            <v>05</v>
          </cell>
          <cell r="O53">
            <v>3524</v>
          </cell>
          <cell r="P53">
            <v>1904</v>
          </cell>
          <cell r="Q53">
            <v>2050</v>
          </cell>
          <cell r="R53" t="str">
            <v/>
          </cell>
          <cell r="S53">
            <v>3040</v>
          </cell>
          <cell r="T53">
            <v>2050</v>
          </cell>
          <cell r="U53">
            <v>6223</v>
          </cell>
          <cell r="V53">
            <v>900</v>
          </cell>
          <cell r="W53">
            <v>3450</v>
          </cell>
          <cell r="X53">
            <v>1725</v>
          </cell>
          <cell r="Y53" t="str">
            <v/>
          </cell>
          <cell r="Z53">
            <v>5</v>
          </cell>
          <cell r="AA53" t="str">
            <v>IVECO DAILY - CAISSE FRIGORIFIQUE IRL / MULTI TEMP.</v>
          </cell>
          <cell r="AB53">
            <v>3500</v>
          </cell>
          <cell r="AC53">
            <v>395</v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>13.8</v>
          </cell>
          <cell r="AI53" t="str">
            <v>C_DAILY_CC_3.5_06-2019_CLIM-MAN_Rad+Cam._Sam.</v>
          </cell>
          <cell r="AJ53" t="str">
            <v>M_DAILY_2.3_156-HD-€VI-E_Bat105Ah_BV.HIMATIC</v>
          </cell>
          <cell r="AK53" t="str">
            <v>CH_DAILY-CC_35C_195-75R16_ADB_GSRII_86L_RS</v>
          </cell>
          <cell r="AL53" t="str">
            <v>CF_DAILY_C5-3524*2050_FC allégé</v>
          </cell>
          <cell r="AM53" t="str">
            <v>GF_X6T-MT_1850mm_Cable10m</v>
          </cell>
          <cell r="AN53" t="str">
            <v/>
          </cell>
          <cell r="AO53" t="str">
            <v>\\petitforestier.fr\siege\Applications\BaseProduits\Datas\Publipostage\Images\PUBLICATION - EURO 6\PLAN VEHICULES\IVECO_DAILY-1048_35C-CF05.jpg</v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</row>
        <row r="54">
          <cell r="A54" t="str">
            <v>FR_FR</v>
          </cell>
          <cell r="B54" t="str">
            <v>FS_PF</v>
          </cell>
          <cell r="C54" t="str">
            <v>FS_ST</v>
          </cell>
          <cell r="D54" t="str">
            <v/>
          </cell>
          <cell r="E54" t="str">
            <v>IVECO</v>
          </cell>
          <cell r="F54" t="str">
            <v>DAILY</v>
          </cell>
          <cell r="G54" t="str">
            <v>V11</v>
          </cell>
          <cell r="H54" t="str">
            <v>M</v>
          </cell>
          <cell r="I54" t="str">
            <v/>
          </cell>
          <cell r="J54" t="str">
            <v/>
          </cell>
          <cell r="K54" t="str">
            <v>LECAPITAINE</v>
          </cell>
          <cell r="L54" t="str">
            <v/>
          </cell>
          <cell r="M54" t="str">
            <v>35C16 CF</v>
          </cell>
          <cell r="N54" t="str">
            <v>06</v>
          </cell>
          <cell r="O54">
            <v>2824</v>
          </cell>
          <cell r="P54">
            <v>1904</v>
          </cell>
          <cell r="Q54">
            <v>1950</v>
          </cell>
          <cell r="R54" t="str">
            <v/>
          </cell>
          <cell r="S54">
            <v>2940</v>
          </cell>
          <cell r="T54">
            <v>2050</v>
          </cell>
          <cell r="U54">
            <v>5523</v>
          </cell>
          <cell r="V54">
            <v>900</v>
          </cell>
          <cell r="W54">
            <v>3000</v>
          </cell>
          <cell r="X54">
            <v>1475</v>
          </cell>
          <cell r="Y54" t="str">
            <v/>
          </cell>
          <cell r="Z54">
            <v>4</v>
          </cell>
          <cell r="AA54" t="str">
            <v>IVECO DAILY - CAISSE FRIGORIFIQUE IRL / 2 PORTES AR.</v>
          </cell>
          <cell r="AB54">
            <v>3500</v>
          </cell>
          <cell r="AC54">
            <v>770</v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>10.1</v>
          </cell>
          <cell r="AI54" t="str">
            <v>C_DAILY_CC_3.5_06-2019_CLIM-MAN_Rad+Cam._Sam.</v>
          </cell>
          <cell r="AJ54" t="str">
            <v>M_DAILY_2.3_156-HD-€VI-E_Bat105Ah_BV.HIMATIC</v>
          </cell>
          <cell r="AK54" t="str">
            <v>CH_DAILY-CC_35C_195-75R16_3000_ADB_GSRII_63L_RS</v>
          </cell>
          <cell r="AL54" t="str">
            <v>CF_DAILY_C6_FC allégé</v>
          </cell>
          <cell r="AM54" t="str">
            <v>GF_X350T_A_C_1560_1750mm_Cable10m</v>
          </cell>
          <cell r="AN54" t="str">
            <v/>
          </cell>
          <cell r="AO54" t="str">
            <v>\\petitforestier.fr\siege\Applications\BaseProduits\Datas\Publipostage\Images\PUBLICATION - EURO 6\PLAN VEHICULES\IVECO_DAILY-1048_35C-CF06.jpg</v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</row>
        <row r="57">
          <cell r="A57" t="str">
            <v>FR_FR</v>
          </cell>
          <cell r="B57" t="str">
            <v>FS_PF</v>
          </cell>
          <cell r="C57" t="str">
            <v>FS_ST</v>
          </cell>
          <cell r="D57" t="str">
            <v/>
          </cell>
          <cell r="E57" t="str">
            <v>IVECO</v>
          </cell>
          <cell r="F57" t="str">
            <v>DAILY</v>
          </cell>
          <cell r="G57" t="str">
            <v>V11</v>
          </cell>
          <cell r="H57" t="str">
            <v>M</v>
          </cell>
          <cell r="I57" t="str">
            <v>H</v>
          </cell>
          <cell r="J57" t="str">
            <v/>
          </cell>
          <cell r="K57" t="str">
            <v>LECAPITAINE</v>
          </cell>
          <cell r="L57" t="str">
            <v/>
          </cell>
          <cell r="M57" t="str">
            <v>35C16 CF - URBAN</v>
          </cell>
          <cell r="N57" t="str">
            <v>04</v>
          </cell>
          <cell r="O57">
            <v>3228</v>
          </cell>
          <cell r="P57">
            <v>1908</v>
          </cell>
          <cell r="Q57">
            <v>1950</v>
          </cell>
          <cell r="R57" t="str">
            <v/>
          </cell>
          <cell r="S57">
            <v>2936</v>
          </cell>
          <cell r="T57">
            <v>2050</v>
          </cell>
          <cell r="U57">
            <v>6124</v>
          </cell>
          <cell r="V57">
            <v>895</v>
          </cell>
          <cell r="W57">
            <v>3450</v>
          </cell>
          <cell r="X57">
            <v>1617</v>
          </cell>
          <cell r="Y57" t="str">
            <v/>
          </cell>
          <cell r="Z57">
            <v>5</v>
          </cell>
          <cell r="AA57" t="str">
            <v>IVECO DAILY - CAISSE FRIGORIFIQUE URBAN / HAYON</v>
          </cell>
          <cell r="AB57">
            <v>3500</v>
          </cell>
          <cell r="AC57">
            <v>625</v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>
            <v>12</v>
          </cell>
          <cell r="AI57" t="str">
            <v>C_DAILY_CC_3.5_06-2019_CLIM-MAN_Rad+Cam._URBAN_Sam.</v>
          </cell>
          <cell r="AJ57" t="str">
            <v>M_DAILY_2.3_156-HD-€VI-E_Bat105Ah_BV.HIMATIC</v>
          </cell>
          <cell r="AK57" t="str">
            <v>CH_DAILY-CC_35C_195-75R16_ADB_GSRII_86L_URBAN_SsRS</v>
          </cell>
          <cell r="AL57" t="str">
            <v>CF_DAILY_S-C4-1950_FC allégé_URBAN_PrPavHE</v>
          </cell>
          <cell r="AM57" t="str">
            <v>GF_V300MAX-50_A_C_1705mm_Cable10m_ BBLite</v>
          </cell>
          <cell r="AN57" t="str">
            <v>HL_RB_DH-LMA08_750kg-CG600_1450mm_Vbatt</v>
          </cell>
          <cell r="AO57" t="str">
            <v>\\petitforestier.fr\siege\Applications\BaseProduits\Datas\Publipostage\Images\PUBLICATION - EURO 6\PLAN VEHICULES\IVECO_DAILY-1048_35C-CF04-URBAN.jpg</v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  <cell r="AX57" t="str">
            <v/>
          </cell>
          <cell r="AY57" t="str">
            <v/>
          </cell>
          <cell r="AZ57" t="str">
            <v/>
          </cell>
          <cell r="BA57" t="str">
            <v/>
          </cell>
          <cell r="BB57" t="str">
            <v/>
          </cell>
          <cell r="BC57" t="str">
            <v/>
          </cell>
          <cell r="BD57" t="str">
            <v/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</row>
        <row r="58">
          <cell r="A58" t="str">
            <v>FR_FR</v>
          </cell>
          <cell r="B58" t="str">
            <v>FS_PF</v>
          </cell>
          <cell r="C58" t="str">
            <v>FS_ST</v>
          </cell>
          <cell r="D58" t="str">
            <v/>
          </cell>
          <cell r="E58" t="str">
            <v>IVECO</v>
          </cell>
          <cell r="F58" t="str">
            <v>DAILY</v>
          </cell>
          <cell r="G58" t="str">
            <v>V11</v>
          </cell>
          <cell r="H58" t="str">
            <v>X</v>
          </cell>
          <cell r="I58" t="str">
            <v/>
          </cell>
          <cell r="J58" t="str">
            <v/>
          </cell>
          <cell r="K58" t="str">
            <v>LECAPITAINE</v>
          </cell>
          <cell r="L58" t="str">
            <v/>
          </cell>
          <cell r="M58" t="str">
            <v>35C16 CF - URBAN</v>
          </cell>
          <cell r="N58" t="str">
            <v>05</v>
          </cell>
          <cell r="O58">
            <v>3528</v>
          </cell>
          <cell r="P58">
            <v>1908</v>
          </cell>
          <cell r="Q58">
            <v>2050</v>
          </cell>
          <cell r="R58" t="str">
            <v/>
          </cell>
          <cell r="S58">
            <v>3036</v>
          </cell>
          <cell r="T58">
            <v>2050</v>
          </cell>
          <cell r="U58">
            <v>6223</v>
          </cell>
          <cell r="V58">
            <v>895</v>
          </cell>
          <cell r="W58">
            <v>3450</v>
          </cell>
          <cell r="X58">
            <v>1725</v>
          </cell>
          <cell r="Y58" t="str">
            <v/>
          </cell>
          <cell r="Z58">
            <v>5</v>
          </cell>
          <cell r="AA58" t="str">
            <v>IVECO DAILY - CAISSE FRIGORIFIQUE URBAN / MULTI TEMP.</v>
          </cell>
          <cell r="AB58">
            <v>3500</v>
          </cell>
          <cell r="AC58">
            <v>510</v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>13.8</v>
          </cell>
          <cell r="AI58" t="str">
            <v>C_DAILY_CC_3.5_06-2019_CLIM-MAN_Rad+Cam._URBAN_Sam.</v>
          </cell>
          <cell r="AJ58" t="str">
            <v>M_DAILY_2.3_156-HD-€VI-E_Bat105Ah_BV.HIMATIC</v>
          </cell>
          <cell r="AK58" t="str">
            <v>CH_DAILY-CC_35C_195-75R16_ADB_GSRII_86L_URBAN_SsRS</v>
          </cell>
          <cell r="AL58" t="str">
            <v>CF_DAILY_S-C5-3524*2050_FC allégé_URBAN</v>
          </cell>
          <cell r="AM58" t="str">
            <v>GF_X6T-MT_1845mm_Cable10m</v>
          </cell>
          <cell r="AN58" t="str">
            <v/>
          </cell>
          <cell r="AO58" t="str">
            <v>\\petitforestier.fr\siege\Applications\BaseProduits\Datas\Publipostage\Images\PUBLICATION - EURO 6\PLAN VEHICULES\IVECO_DAILY-1048_35C-CF05-URBAN.jpg</v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  <cell r="AX58" t="str">
            <v/>
          </cell>
          <cell r="AY58" t="str">
            <v/>
          </cell>
          <cell r="AZ58" t="str">
            <v/>
          </cell>
          <cell r="BA58" t="str">
            <v/>
          </cell>
          <cell r="BB58" t="str">
            <v/>
          </cell>
          <cell r="BC58" t="str">
            <v/>
          </cell>
          <cell r="BD58" t="str">
            <v/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</row>
        <row r="59">
          <cell r="A59" t="str">
            <v>FR_FR</v>
          </cell>
          <cell r="B59" t="str">
            <v>FS_PF</v>
          </cell>
          <cell r="C59" t="str">
            <v>FS_ST</v>
          </cell>
          <cell r="D59" t="str">
            <v/>
          </cell>
          <cell r="E59" t="str">
            <v>IVECO</v>
          </cell>
          <cell r="F59" t="str">
            <v>DAILY</v>
          </cell>
          <cell r="G59" t="str">
            <v>V11</v>
          </cell>
          <cell r="H59" t="str">
            <v>M</v>
          </cell>
          <cell r="I59" t="str">
            <v/>
          </cell>
          <cell r="J59" t="str">
            <v/>
          </cell>
          <cell r="K59" t="str">
            <v>LECAPITAINE</v>
          </cell>
          <cell r="L59" t="str">
            <v/>
          </cell>
          <cell r="M59" t="str">
            <v>35C16-3L CF</v>
          </cell>
          <cell r="N59" t="str">
            <v>01</v>
          </cell>
          <cell r="O59">
            <v>3224</v>
          </cell>
          <cell r="P59">
            <v>1904</v>
          </cell>
          <cell r="Q59">
            <v>1950</v>
          </cell>
          <cell r="R59" t="str">
            <v/>
          </cell>
          <cell r="S59">
            <v>2942</v>
          </cell>
          <cell r="T59">
            <v>2050</v>
          </cell>
          <cell r="U59">
            <v>5932</v>
          </cell>
          <cell r="V59">
            <v>900</v>
          </cell>
          <cell r="W59">
            <v>3450</v>
          </cell>
          <cell r="X59">
            <v>1425</v>
          </cell>
          <cell r="Y59" t="str">
            <v/>
          </cell>
          <cell r="Z59">
            <v>5</v>
          </cell>
          <cell r="AA59" t="str">
            <v>IVECO DAILY - CAISSE FRIGORIFIQUE IRL / 2 PORTES AR.</v>
          </cell>
          <cell r="AB59">
            <v>3500</v>
          </cell>
          <cell r="AC59">
            <v>625</v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>
            <v>12</v>
          </cell>
          <cell r="AI59" t="str">
            <v>C_DAILY_CC_3.5_06-2019_CLIM-MAN_Rad+Cam._Sam.</v>
          </cell>
          <cell r="AJ59" t="str">
            <v>M_DAILY_3.0_160-HD-€VI-E_Bat105Ah_BV.HIMATIC</v>
          </cell>
          <cell r="AK59" t="str">
            <v>CH_DAILY-CC_35C_195-75R16_ADB_GSRII_86L_RS</v>
          </cell>
          <cell r="AL59" t="str">
            <v>CF_DAILY_C1_FC allégé</v>
          </cell>
          <cell r="AM59" t="str">
            <v>GF_X350T_A_C_1560_1750mm_Cable10m</v>
          </cell>
          <cell r="AN59" t="str">
            <v/>
          </cell>
          <cell r="AO59" t="str">
            <v>\\petitforestier.fr\siege\Applications\BaseProduits\Datas\Publipostage\Images\PUBLICATION - EURO 6\PLAN VEHICULES\IVECO_DAILY-1048_35-50-65-70C-CF01.jpg</v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  <cell r="AX59" t="str">
            <v/>
          </cell>
          <cell r="AY59" t="str">
            <v/>
          </cell>
          <cell r="AZ59" t="str">
            <v/>
          </cell>
          <cell r="BA59" t="str">
            <v/>
          </cell>
          <cell r="BB59" t="str">
            <v/>
          </cell>
          <cell r="BC59" t="str">
            <v/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</row>
        <row r="60">
          <cell r="A60" t="str">
            <v>FR_FR</v>
          </cell>
          <cell r="B60" t="str">
            <v>FS_PF</v>
          </cell>
          <cell r="C60" t="str">
            <v/>
          </cell>
          <cell r="D60" t="str">
            <v/>
          </cell>
          <cell r="E60" t="str">
            <v>IVECO</v>
          </cell>
          <cell r="F60" t="str">
            <v>DAILY</v>
          </cell>
          <cell r="G60" t="str">
            <v>V11</v>
          </cell>
          <cell r="H60" t="str">
            <v>M</v>
          </cell>
          <cell r="I60" t="str">
            <v/>
          </cell>
          <cell r="J60" t="str">
            <v/>
          </cell>
          <cell r="K60" t="str">
            <v>LECAPITAINE</v>
          </cell>
          <cell r="L60" t="str">
            <v/>
          </cell>
          <cell r="M60" t="str">
            <v>35C16-3L CF</v>
          </cell>
          <cell r="N60" t="str">
            <v>02</v>
          </cell>
          <cell r="O60">
            <v>3224</v>
          </cell>
          <cell r="P60">
            <v>1904</v>
          </cell>
          <cell r="Q60">
            <v>1950</v>
          </cell>
          <cell r="R60" t="str">
            <v/>
          </cell>
          <cell r="S60">
            <v>2942</v>
          </cell>
          <cell r="T60">
            <v>2050</v>
          </cell>
          <cell r="U60">
            <v>5932</v>
          </cell>
          <cell r="V60">
            <v>900</v>
          </cell>
          <cell r="W60">
            <v>3450</v>
          </cell>
          <cell r="X60">
            <v>1425</v>
          </cell>
          <cell r="Y60" t="str">
            <v/>
          </cell>
          <cell r="Z60">
            <v>5</v>
          </cell>
          <cell r="AA60" t="str">
            <v>IVECO DAILY - CAISSE FRIGORIFIQUE IRL / 3 PORTES AR.</v>
          </cell>
          <cell r="AB60">
            <v>3500</v>
          </cell>
          <cell r="AC60">
            <v>630</v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>
            <v>12</v>
          </cell>
          <cell r="AI60" t="str">
            <v>C_DAILY_CC_3.5_06-2019_CLIM-MAN_Rad+Cam._Sam.</v>
          </cell>
          <cell r="AJ60" t="str">
            <v>M_DAILY_3.0_160-HD-€VI-E_Bat105Ah_BV.HIMATIC</v>
          </cell>
          <cell r="AK60" t="str">
            <v>CH_DAILY-CC_35C_195-75R16_ADB_GSRII_86L_RS</v>
          </cell>
          <cell r="AL60" t="str">
            <v>CF_DAILY_C2_FC allégé</v>
          </cell>
          <cell r="AM60" t="str">
            <v>GF_X350T_A_C_1560_1750mm_Cable10m</v>
          </cell>
          <cell r="AN60" t="str">
            <v/>
          </cell>
          <cell r="AO60" t="str">
            <v>\\petitforestier.fr\siege\Applications\BaseProduits\Datas\Publipostage\Images\PUBLICATION - EURO 6\PLAN VEHICULES\IVECO_DAILY-1048_35C-CF02.jpg</v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  <cell r="AX60" t="str">
            <v/>
          </cell>
          <cell r="AY60" t="str">
            <v/>
          </cell>
          <cell r="AZ60" t="str">
            <v/>
          </cell>
          <cell r="BA60" t="str">
            <v/>
          </cell>
          <cell r="BB60" t="str">
            <v/>
          </cell>
          <cell r="BC60" t="str">
            <v/>
          </cell>
          <cell r="BD60" t="str">
            <v/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</row>
        <row r="61">
          <cell r="A61" t="str">
            <v>FR_FR</v>
          </cell>
          <cell r="B61" t="str">
            <v>FS_PF</v>
          </cell>
          <cell r="C61" t="str">
            <v>FS_ST</v>
          </cell>
          <cell r="D61" t="str">
            <v/>
          </cell>
          <cell r="E61" t="str">
            <v>IVECO</v>
          </cell>
          <cell r="F61" t="str">
            <v>DAILY</v>
          </cell>
          <cell r="G61" t="str">
            <v>V11</v>
          </cell>
          <cell r="H61" t="str">
            <v>P</v>
          </cell>
          <cell r="I61" t="str">
            <v/>
          </cell>
          <cell r="J61" t="str">
            <v/>
          </cell>
          <cell r="K61" t="str">
            <v>LECAPITAINE</v>
          </cell>
          <cell r="L61" t="str">
            <v/>
          </cell>
          <cell r="M61" t="str">
            <v>35C16-3L CF</v>
          </cell>
          <cell r="N61" t="str">
            <v>03</v>
          </cell>
          <cell r="O61">
            <v>3224</v>
          </cell>
          <cell r="P61">
            <v>1904</v>
          </cell>
          <cell r="Q61">
            <v>2200</v>
          </cell>
          <cell r="R61" t="str">
            <v/>
          </cell>
          <cell r="S61">
            <v>3190</v>
          </cell>
          <cell r="T61">
            <v>2050</v>
          </cell>
          <cell r="U61">
            <v>5932</v>
          </cell>
          <cell r="V61">
            <v>900</v>
          </cell>
          <cell r="W61">
            <v>3450</v>
          </cell>
          <cell r="X61">
            <v>1425</v>
          </cell>
          <cell r="Y61" t="str">
            <v/>
          </cell>
          <cell r="Z61">
            <v>5</v>
          </cell>
          <cell r="AA61" t="str">
            <v>IVECO DAILY - CAISSE FRIGORIFIQUE IRL / PENDERIE VIANDE</v>
          </cell>
          <cell r="AB61">
            <v>3500</v>
          </cell>
          <cell r="AC61">
            <v>480</v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>13.5</v>
          </cell>
          <cell r="AI61" t="str">
            <v>C_DAILY_CC_3.5_06-2019_CLIM-MAN_Rad+Cam._Sam.</v>
          </cell>
          <cell r="AJ61" t="str">
            <v>M_DAILY_3.0_160-HD-€VI-E_Bat105Ah_BV.HIMATIC</v>
          </cell>
          <cell r="AK61" t="str">
            <v>CH_DAILY-CC_35C_195-75R16_ADB_GSRII_86L_RS</v>
          </cell>
          <cell r="AL61" t="str">
            <v>CF_DAILY_C3_FC allégé</v>
          </cell>
          <cell r="AM61" t="str">
            <v>GF_X350T_A_C_1560_2000mm_Cable10m</v>
          </cell>
          <cell r="AN61" t="str">
            <v/>
          </cell>
          <cell r="AO61" t="str">
            <v>\\petitforestier.fr\siege\Applications\BaseProduits\Datas\Publipostage\Images\PUBLICATION - EURO 6\PLAN VEHICULES\IVECO_DAILY-1048_35-50-65-70C-CF03.jpg</v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  <cell r="AX61" t="str">
            <v/>
          </cell>
          <cell r="AY61" t="str">
            <v/>
          </cell>
          <cell r="AZ61" t="str">
            <v/>
          </cell>
          <cell r="BA61" t="str">
            <v/>
          </cell>
          <cell r="BB61" t="str">
            <v/>
          </cell>
          <cell r="BC61" t="str">
            <v/>
          </cell>
          <cell r="BD61" t="str">
            <v/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</row>
        <row r="65">
          <cell r="A65" t="str">
            <v>FR_FR</v>
          </cell>
          <cell r="B65" t="str">
            <v>FS_PF</v>
          </cell>
          <cell r="C65" t="str">
            <v>FS_ST</v>
          </cell>
          <cell r="D65" t="str">
            <v/>
          </cell>
          <cell r="E65" t="str">
            <v>IVECO</v>
          </cell>
          <cell r="F65" t="str">
            <v>DAILY</v>
          </cell>
          <cell r="G65" t="str">
            <v>V11</v>
          </cell>
          <cell r="H65" t="str">
            <v>M</v>
          </cell>
          <cell r="I65" t="str">
            <v/>
          </cell>
          <cell r="J65" t="str">
            <v/>
          </cell>
          <cell r="K65" t="str">
            <v>LECAPITAINE</v>
          </cell>
          <cell r="L65" t="str">
            <v/>
          </cell>
          <cell r="M65" t="str">
            <v>35C16-3L CF - URBAN</v>
          </cell>
          <cell r="N65" t="str">
            <v>01</v>
          </cell>
          <cell r="O65">
            <v>3228</v>
          </cell>
          <cell r="P65">
            <v>1908</v>
          </cell>
          <cell r="Q65">
            <v>1950</v>
          </cell>
          <cell r="R65" t="str">
            <v/>
          </cell>
          <cell r="S65">
            <v>2936</v>
          </cell>
          <cell r="T65">
            <v>2050</v>
          </cell>
          <cell r="U65">
            <v>5932</v>
          </cell>
          <cell r="V65">
            <v>895</v>
          </cell>
          <cell r="W65">
            <v>3450</v>
          </cell>
          <cell r="X65">
            <v>1425</v>
          </cell>
          <cell r="Y65" t="str">
            <v/>
          </cell>
          <cell r="Z65">
            <v>5</v>
          </cell>
          <cell r="AA65" t="str">
            <v>IVECO DAILY - CAISSE FRIGORIFIQUE URBAN / 2 PORTES AR.</v>
          </cell>
          <cell r="AB65">
            <v>3500</v>
          </cell>
          <cell r="AC65">
            <v>760</v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>
            <v>12</v>
          </cell>
          <cell r="AI65" t="str">
            <v>C_DAILY_CC_3.5_06-2019_CLIM-MAN_Rad+Cam._URBAN_Sam.</v>
          </cell>
          <cell r="AJ65" t="str">
            <v>M_DAILY_3.0_160-HD-€VI-E_Bat105Ah_BV.HIMATIC</v>
          </cell>
          <cell r="AK65" t="str">
            <v>CH_DAILY-CC_35C_195-75R16_ADB_GSRII_86L_URBAN_SsRS</v>
          </cell>
          <cell r="AL65" t="str">
            <v>CF_DAILY_S-C1_FC allégé_URBAN</v>
          </cell>
          <cell r="AM65" t="str">
            <v>GF_V300MAX-50_A_C_1705mm_Cable10m_ BBLite</v>
          </cell>
          <cell r="AN65" t="str">
            <v/>
          </cell>
          <cell r="AO65" t="str">
            <v>\\petitforestier.fr\siege\Applications\BaseProduits\Datas\Publipostage\Images\PUBLICATION - EURO 6\PLAN VEHICULES\IVECO_DAILY-1048_35C-CF01-URBAN.jpg</v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  <cell r="AX65" t="str">
            <v/>
          </cell>
          <cell r="AY65" t="str">
            <v/>
          </cell>
          <cell r="AZ65" t="str">
            <v/>
          </cell>
          <cell r="BA65" t="str">
            <v/>
          </cell>
          <cell r="BB65" t="str">
            <v/>
          </cell>
          <cell r="BC65" t="str">
            <v/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</row>
        <row r="66">
          <cell r="A66" t="str">
            <v>FR_FR</v>
          </cell>
          <cell r="B66" t="str">
            <v>FS_PF</v>
          </cell>
          <cell r="C66" t="str">
            <v/>
          </cell>
          <cell r="D66" t="str">
            <v/>
          </cell>
          <cell r="E66" t="str">
            <v>IVECO</v>
          </cell>
          <cell r="F66" t="str">
            <v>DAILY</v>
          </cell>
          <cell r="G66" t="str">
            <v>V11</v>
          </cell>
          <cell r="H66" t="str">
            <v>M</v>
          </cell>
          <cell r="I66" t="str">
            <v/>
          </cell>
          <cell r="J66" t="str">
            <v/>
          </cell>
          <cell r="K66" t="str">
            <v>LECAPITAINE</v>
          </cell>
          <cell r="L66" t="str">
            <v/>
          </cell>
          <cell r="M66" t="str">
            <v>35C16-3L CF - URBAN</v>
          </cell>
          <cell r="N66" t="str">
            <v>02</v>
          </cell>
          <cell r="O66">
            <v>3228</v>
          </cell>
          <cell r="P66">
            <v>1908</v>
          </cell>
          <cell r="Q66">
            <v>1950</v>
          </cell>
          <cell r="R66" t="str">
            <v/>
          </cell>
          <cell r="S66">
            <v>2936</v>
          </cell>
          <cell r="T66">
            <v>2050</v>
          </cell>
          <cell r="U66">
            <v>5932</v>
          </cell>
          <cell r="V66">
            <v>895</v>
          </cell>
          <cell r="W66">
            <v>3450</v>
          </cell>
          <cell r="X66">
            <v>1425</v>
          </cell>
          <cell r="Y66" t="str">
            <v/>
          </cell>
          <cell r="Z66">
            <v>5</v>
          </cell>
          <cell r="AA66" t="str">
            <v>IVECO DAILY - CAISSE FRIGORIFIQUE URBAN / 3 PORTES AR.</v>
          </cell>
          <cell r="AB66">
            <v>3500</v>
          </cell>
          <cell r="AC66">
            <v>765</v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>
            <v>12</v>
          </cell>
          <cell r="AI66" t="str">
            <v>C_DAILY_CC_3.5_06-2019_CLIM-MAN_Rad+Cam._URBAN_Sam.</v>
          </cell>
          <cell r="AJ66" t="str">
            <v>M_DAILY_3.0_160-HD-€VI-E_Bat105Ah_BV.HIMATIC</v>
          </cell>
          <cell r="AK66" t="str">
            <v>CH_DAILY-CC_35C_195-75R16_ADB_GSRII_86L_URBAN_SsRS</v>
          </cell>
          <cell r="AL66" t="str">
            <v>CF_DAILY_S-C2_FC allégé_URBAN</v>
          </cell>
          <cell r="AM66" t="str">
            <v>GF_V300MAX-50_A_C_1705mm_Cable10m_ BBLite</v>
          </cell>
          <cell r="AN66" t="str">
            <v/>
          </cell>
          <cell r="AO66" t="str">
            <v>\\petitforestier.fr\siege\Applications\BaseProduits\Datas\Publipostage\Images\PUBLICATION - EURO 6\PLAN VEHICULES\IVECO_DAILY-1048_35C-CF02-URBAN.jpg</v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  <cell r="AX66" t="str">
            <v/>
          </cell>
          <cell r="AY66" t="str">
            <v/>
          </cell>
          <cell r="AZ66" t="str">
            <v/>
          </cell>
          <cell r="BA66" t="str">
            <v/>
          </cell>
          <cell r="BB66" t="str">
            <v/>
          </cell>
          <cell r="BC66" t="str">
            <v/>
          </cell>
          <cell r="BD66" t="str">
            <v/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</row>
        <row r="72">
          <cell r="A72" t="str">
            <v>FR_FR</v>
          </cell>
          <cell r="B72" t="str">
            <v>FS_PF</v>
          </cell>
          <cell r="C72" t="str">
            <v>FS_ST</v>
          </cell>
          <cell r="D72" t="str">
            <v/>
          </cell>
          <cell r="E72" t="str">
            <v>IVECO</v>
          </cell>
          <cell r="F72" t="str">
            <v>DAILY</v>
          </cell>
          <cell r="G72" t="str">
            <v>V11</v>
          </cell>
          <cell r="H72" t="str">
            <v>X</v>
          </cell>
          <cell r="I72" t="str">
            <v/>
          </cell>
          <cell r="J72" t="str">
            <v/>
          </cell>
          <cell r="K72" t="str">
            <v>LECAPITAINE</v>
          </cell>
          <cell r="L72" t="str">
            <v/>
          </cell>
          <cell r="M72" t="str">
            <v>35S14 CF</v>
          </cell>
          <cell r="N72" t="str">
            <v>05</v>
          </cell>
          <cell r="O72">
            <v>3524</v>
          </cell>
          <cell r="P72">
            <v>1904</v>
          </cell>
          <cell r="Q72">
            <v>2050</v>
          </cell>
          <cell r="R72" t="str">
            <v/>
          </cell>
          <cell r="S72">
            <v>3012</v>
          </cell>
          <cell r="T72">
            <v>2050</v>
          </cell>
          <cell r="U72">
            <v>6223</v>
          </cell>
          <cell r="V72">
            <v>870</v>
          </cell>
          <cell r="W72">
            <v>3450</v>
          </cell>
          <cell r="X72">
            <v>1725</v>
          </cell>
          <cell r="Y72" t="str">
            <v/>
          </cell>
          <cell r="Z72">
            <v>5</v>
          </cell>
          <cell r="AA72" t="str">
            <v>IVECO DAILY - CAISSE FRIGORIFIQUE IRL / MULTI TEMP.</v>
          </cell>
          <cell r="AB72">
            <v>3500</v>
          </cell>
          <cell r="AC72">
            <v>585</v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>13.8</v>
          </cell>
          <cell r="AI72" t="str">
            <v>C_DAILY_CC_3.5_06-2019_CLIM-MAN_Rad+Cam._Sam.</v>
          </cell>
          <cell r="AJ72" t="str">
            <v>M_DAILY_2.3_136-HD-€VI-E_Bat105Ah_BV.HIMATIC_ModeECO</v>
          </cell>
          <cell r="AK72" t="str">
            <v>CH_DAILY-CC_35S_225-65R16_ADB_GSRII_86L_RS</v>
          </cell>
          <cell r="AL72" t="str">
            <v>CF_DAILY_S5-3524*2050_FC allégé</v>
          </cell>
          <cell r="AM72" t="str">
            <v>GF_X6T-MT_1850mm_Cable10m</v>
          </cell>
          <cell r="AN72" t="str">
            <v/>
          </cell>
          <cell r="AO72" t="str">
            <v>\\petitforestier.fr\siege\Applications\BaseProduits\Datas\Publipostage\Images\PUBLICATION - EURO 6\PLAN VEHICULES\IVECO_DAILY-1048_35S-CF05.jpg</v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  <cell r="AX72" t="str">
            <v/>
          </cell>
          <cell r="AY72" t="str">
            <v/>
          </cell>
          <cell r="AZ72" t="str">
            <v/>
          </cell>
          <cell r="BA72" t="str">
            <v/>
          </cell>
          <cell r="BB72" t="str">
            <v/>
          </cell>
          <cell r="BC72" t="str">
            <v/>
          </cell>
          <cell r="BD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</row>
        <row r="73">
          <cell r="A73" t="str">
            <v>FR_FR</v>
          </cell>
          <cell r="B73" t="str">
            <v>FS_PF</v>
          </cell>
          <cell r="C73" t="str">
            <v>FS_ST</v>
          </cell>
          <cell r="D73" t="str">
            <v/>
          </cell>
          <cell r="E73" t="str">
            <v>IVECO</v>
          </cell>
          <cell r="F73" t="str">
            <v>DAILY</v>
          </cell>
          <cell r="G73" t="str">
            <v>V11</v>
          </cell>
          <cell r="H73" t="str">
            <v>M</v>
          </cell>
          <cell r="I73" t="str">
            <v/>
          </cell>
          <cell r="J73" t="str">
            <v/>
          </cell>
          <cell r="K73" t="str">
            <v>LECAPITAINE</v>
          </cell>
          <cell r="L73" t="str">
            <v/>
          </cell>
          <cell r="M73" t="str">
            <v>35S14 CF - URBAN</v>
          </cell>
          <cell r="N73" t="str">
            <v>01</v>
          </cell>
          <cell r="O73">
            <v>3228</v>
          </cell>
          <cell r="P73">
            <v>1908</v>
          </cell>
          <cell r="Q73">
            <v>1950</v>
          </cell>
          <cell r="R73" t="str">
            <v/>
          </cell>
          <cell r="S73">
            <v>2926</v>
          </cell>
          <cell r="T73">
            <v>2050</v>
          </cell>
          <cell r="U73">
            <v>5932</v>
          </cell>
          <cell r="V73">
            <v>865</v>
          </cell>
          <cell r="W73">
            <v>3450</v>
          </cell>
          <cell r="X73">
            <v>1425</v>
          </cell>
          <cell r="Y73" t="str">
            <v/>
          </cell>
          <cell r="Z73">
            <v>5</v>
          </cell>
          <cell r="AA73" t="str">
            <v>IVECO DAILY - CAISSE FRIGORIFIQUE URBAN / 2 PORTES AR.</v>
          </cell>
          <cell r="AB73">
            <v>3500</v>
          </cell>
          <cell r="AC73">
            <v>1010</v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>
            <v>12</v>
          </cell>
          <cell r="AI73" t="str">
            <v>C_DAILY_CC_3.5_06-2019_CLIM-MAN_Rad+Cam._URBAN_Sam.</v>
          </cell>
          <cell r="AJ73" t="str">
            <v>M_DAILY_2.3_136-HD-€VI-E_Bat105Ah_BV.HIMATIC_ModeECO</v>
          </cell>
          <cell r="AK73" t="str">
            <v>CH_DAILY-CC_35S_225-65R16_ADB_GSRII_86L_URBAN_SsRS</v>
          </cell>
          <cell r="AL73" t="str">
            <v>CF_DAILY_S-C1_FC allégé_URBAN</v>
          </cell>
          <cell r="AM73" t="str">
            <v>GF_V300MAX-50_A_C_1705mm_Cable10m_ BBLite</v>
          </cell>
          <cell r="AN73" t="str">
            <v/>
          </cell>
          <cell r="AO73" t="str">
            <v>\\petitforestier.fr\siege\Applications\BaseProduits\Datas\Publipostage\Images\PUBLICATION - EURO 6\PLAN VEHICULES\IVECO_DAILY-1048_35S-CF01-URBAN.jpg</v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  <cell r="AX73" t="str">
            <v/>
          </cell>
          <cell r="AY73" t="str">
            <v/>
          </cell>
          <cell r="AZ73" t="str">
            <v/>
          </cell>
          <cell r="BA73" t="str">
            <v/>
          </cell>
          <cell r="BB73" t="str">
            <v/>
          </cell>
          <cell r="BC73" t="str">
            <v/>
          </cell>
          <cell r="BD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</row>
        <row r="74">
          <cell r="A74" t="str">
            <v>FR_FR</v>
          </cell>
          <cell r="B74" t="str">
            <v>FS_PF</v>
          </cell>
          <cell r="C74" t="str">
            <v/>
          </cell>
          <cell r="D74" t="str">
            <v/>
          </cell>
          <cell r="E74" t="str">
            <v>IVECO</v>
          </cell>
          <cell r="F74" t="str">
            <v>DAILY</v>
          </cell>
          <cell r="G74" t="str">
            <v>V11</v>
          </cell>
          <cell r="H74" t="str">
            <v>M</v>
          </cell>
          <cell r="I74" t="str">
            <v/>
          </cell>
          <cell r="J74" t="str">
            <v/>
          </cell>
          <cell r="K74" t="str">
            <v>LECAPITAINE</v>
          </cell>
          <cell r="L74" t="str">
            <v/>
          </cell>
          <cell r="M74" t="str">
            <v>35S14 CF - URBAN</v>
          </cell>
          <cell r="N74" t="str">
            <v>02</v>
          </cell>
          <cell r="O74">
            <v>3228</v>
          </cell>
          <cell r="P74">
            <v>1908</v>
          </cell>
          <cell r="Q74">
            <v>1950</v>
          </cell>
          <cell r="R74" t="str">
            <v/>
          </cell>
          <cell r="S74">
            <v>2926</v>
          </cell>
          <cell r="T74">
            <v>2050</v>
          </cell>
          <cell r="U74">
            <v>5932</v>
          </cell>
          <cell r="V74">
            <v>865</v>
          </cell>
          <cell r="W74">
            <v>3450</v>
          </cell>
          <cell r="X74">
            <v>1425</v>
          </cell>
          <cell r="Y74" t="str">
            <v/>
          </cell>
          <cell r="Z74">
            <v>5</v>
          </cell>
          <cell r="AA74" t="str">
            <v>IVECO DAILY - CAISSE FRIGORIFIQUE URBAN / 3 PORTES AR.</v>
          </cell>
          <cell r="AB74">
            <v>3500</v>
          </cell>
          <cell r="AC74">
            <v>1015</v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>
            <v>12</v>
          </cell>
          <cell r="AI74" t="str">
            <v>C_DAILY_CC_3.5_06-2019_CLIM-MAN_Rad+Cam._URBAN_Sam.</v>
          </cell>
          <cell r="AJ74" t="str">
            <v>M_DAILY_2.3_136-HD-€VI-E_Bat105Ah_BV.HIMATIC_ModeECO</v>
          </cell>
          <cell r="AK74" t="str">
            <v>CH_DAILY-CC_35S_225-65R16_ADB_GSRII_86L_URBAN_SsRS</v>
          </cell>
          <cell r="AL74" t="str">
            <v>CF_DAILY_S-C2_FC allégé_URBAN</v>
          </cell>
          <cell r="AM74" t="str">
            <v>GF_V300MAX-50_A_C_1705mm_Cable10m_ BBLite</v>
          </cell>
          <cell r="AN74" t="str">
            <v/>
          </cell>
          <cell r="AO74" t="str">
            <v>\\petitforestier.fr\siege\Applications\BaseProduits\Datas\Publipostage\Images\PUBLICATION - EURO 6\PLAN VEHICULES\IVECO_DAILY-1048_35S-CF02-URBAN.jpg</v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  <cell r="AX74" t="str">
            <v/>
          </cell>
          <cell r="AY74" t="str">
            <v/>
          </cell>
          <cell r="AZ74" t="str">
            <v/>
          </cell>
          <cell r="BA74" t="str">
            <v/>
          </cell>
          <cell r="BB74" t="str">
            <v/>
          </cell>
          <cell r="BC74" t="str">
            <v/>
          </cell>
          <cell r="BD74" t="str">
            <v/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</row>
        <row r="75">
          <cell r="A75" t="str">
            <v>FR_FR</v>
          </cell>
          <cell r="B75" t="str">
            <v>FS_PF</v>
          </cell>
          <cell r="C75" t="str">
            <v>FS_ST</v>
          </cell>
          <cell r="D75" t="str">
            <v/>
          </cell>
          <cell r="E75" t="str">
            <v>IVECO</v>
          </cell>
          <cell r="F75" t="str">
            <v>DAILY</v>
          </cell>
          <cell r="G75" t="str">
            <v>V11</v>
          </cell>
          <cell r="H75" t="str">
            <v>M</v>
          </cell>
          <cell r="I75" t="str">
            <v>H</v>
          </cell>
          <cell r="J75" t="str">
            <v/>
          </cell>
          <cell r="K75" t="str">
            <v>LECAPITAINE</v>
          </cell>
          <cell r="L75" t="str">
            <v/>
          </cell>
          <cell r="M75" t="str">
            <v>35S14 CF - URBAN</v>
          </cell>
          <cell r="N75" t="str">
            <v>04</v>
          </cell>
          <cell r="O75">
            <v>3228</v>
          </cell>
          <cell r="P75">
            <v>1908</v>
          </cell>
          <cell r="Q75">
            <v>1950</v>
          </cell>
          <cell r="R75" t="str">
            <v/>
          </cell>
          <cell r="S75">
            <v>2926</v>
          </cell>
          <cell r="T75">
            <v>2050</v>
          </cell>
          <cell r="U75">
            <v>6124</v>
          </cell>
          <cell r="V75">
            <v>865</v>
          </cell>
          <cell r="W75">
            <v>3450</v>
          </cell>
          <cell r="X75">
            <v>1617</v>
          </cell>
          <cell r="Y75" t="str">
            <v/>
          </cell>
          <cell r="Z75">
            <v>5</v>
          </cell>
          <cell r="AA75" t="str">
            <v>IVECO DAILY - CAISSE FRIGORIFIQUE URBAN / HAYON</v>
          </cell>
          <cell r="AB75">
            <v>3500</v>
          </cell>
          <cell r="AC75">
            <v>805</v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>
            <v>12</v>
          </cell>
          <cell r="AI75" t="str">
            <v>C_DAILY_CC_3.5_06-2019_CLIM-MAN_Rad+Cam._URBAN_Sam.</v>
          </cell>
          <cell r="AJ75" t="str">
            <v>M_DAILY_2.3_136-HD-€VI-E_Bat105Ah_BV.HIMATIC_ModeECO</v>
          </cell>
          <cell r="AK75" t="str">
            <v>CH_DAILY-CC_35S_225-65R16_ADB_GSRII_86L_URBAN_SsRS</v>
          </cell>
          <cell r="AL75" t="str">
            <v>CF_DAILY_S-C4-1950_FC allégé_URBAN_PrPavHE</v>
          </cell>
          <cell r="AM75" t="str">
            <v>GF_V300MAX-50_A_C_1705mm_Cable10m_ BBLite</v>
          </cell>
          <cell r="AN75" t="str">
            <v>HL_RB_DH-LMA08_750kg-CG600_1450mm_Vbatt</v>
          </cell>
          <cell r="AO75" t="str">
            <v>\\petitforestier.fr\siege\Applications\BaseProduits\Datas\Publipostage\Images\PUBLICATION - EURO 6\PLAN VEHICULES\IVECO_DAILY-1048_35S-CF04-URBAN.jpg</v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/>
          </cell>
          <cell r="AY75" t="str">
            <v/>
          </cell>
          <cell r="AZ75" t="str">
            <v/>
          </cell>
          <cell r="BA75" t="str">
            <v/>
          </cell>
          <cell r="BB75" t="str">
            <v/>
          </cell>
          <cell r="BC75" t="str">
            <v/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</row>
        <row r="77">
          <cell r="A77" t="str">
            <v>FR_FR</v>
          </cell>
          <cell r="B77" t="str">
            <v>FS_PF</v>
          </cell>
          <cell r="C77" t="str">
            <v>FS_ST</v>
          </cell>
          <cell r="D77" t="str">
            <v/>
          </cell>
          <cell r="E77" t="str">
            <v>IVECO</v>
          </cell>
          <cell r="F77" t="str">
            <v>DAILY</v>
          </cell>
          <cell r="G77" t="str">
            <v>V11</v>
          </cell>
          <cell r="H77" t="str">
            <v>M</v>
          </cell>
          <cell r="I77" t="str">
            <v/>
          </cell>
          <cell r="J77" t="str">
            <v/>
          </cell>
          <cell r="K77" t="str">
            <v>LECAPITAINE</v>
          </cell>
          <cell r="L77" t="str">
            <v/>
          </cell>
          <cell r="M77" t="str">
            <v>35S16 CF</v>
          </cell>
          <cell r="N77" t="str">
            <v>01</v>
          </cell>
          <cell r="O77">
            <v>3224</v>
          </cell>
          <cell r="P77">
            <v>1904</v>
          </cell>
          <cell r="Q77">
            <v>1950</v>
          </cell>
          <cell r="R77" t="str">
            <v/>
          </cell>
          <cell r="S77">
            <v>2912</v>
          </cell>
          <cell r="T77">
            <v>2050</v>
          </cell>
          <cell r="U77">
            <v>5932</v>
          </cell>
          <cell r="V77">
            <v>870</v>
          </cell>
          <cell r="W77">
            <v>3450</v>
          </cell>
          <cell r="X77">
            <v>1425</v>
          </cell>
          <cell r="Y77" t="str">
            <v/>
          </cell>
          <cell r="Z77">
            <v>5</v>
          </cell>
          <cell r="AA77" t="str">
            <v>IVECO DAILY - CAISSE FRIGORIFIQUE IRL / 2 PORTES AR.</v>
          </cell>
          <cell r="AB77">
            <v>3500</v>
          </cell>
          <cell r="AC77">
            <v>875</v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>
            <v>12</v>
          </cell>
          <cell r="AI77" t="str">
            <v>C_DAILY_CC_3.5_06-2019_CLIM-MAN_Rad+Cam._Sam.</v>
          </cell>
          <cell r="AJ77" t="str">
            <v>M_DAILY_2.3_156-HD-€VI-E_Bat105Ah_BV.HIMATIC_ModeECO</v>
          </cell>
          <cell r="AK77" t="str">
            <v>CH_DAILY-CC_35S_225-65R16_ADB_GSRII_86L_RS</v>
          </cell>
          <cell r="AL77" t="str">
            <v>CF_DAILY_S1_FC allégé</v>
          </cell>
          <cell r="AM77" t="str">
            <v>GF_X350T_A_C_1560_1750mm_Cable10m</v>
          </cell>
          <cell r="AN77" t="str">
            <v/>
          </cell>
          <cell r="AO77" t="str">
            <v>\\petitforestier.fr\siege\Applications\BaseProduits\Datas\Publipostage\Images\PUBLICATION - EURO 6\PLAN VEHICULES\IVECO_DAILY_35S-CF01_X350T.jpg</v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AY77" t="str">
            <v/>
          </cell>
          <cell r="AZ77" t="str">
            <v/>
          </cell>
          <cell r="BA77" t="str">
            <v/>
          </cell>
          <cell r="BB77" t="str">
            <v/>
          </cell>
          <cell r="BC77" t="str">
            <v/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</row>
        <row r="78">
          <cell r="A78" t="str">
            <v>FR_FR</v>
          </cell>
          <cell r="B78" t="str">
            <v>FS_PF</v>
          </cell>
          <cell r="C78" t="str">
            <v>FS_ST</v>
          </cell>
          <cell r="D78" t="str">
            <v/>
          </cell>
          <cell r="E78" t="str">
            <v>IVECO</v>
          </cell>
          <cell r="F78" t="str">
            <v>DAILY</v>
          </cell>
          <cell r="G78" t="str">
            <v>V11</v>
          </cell>
          <cell r="H78" t="str">
            <v>M</v>
          </cell>
          <cell r="I78" t="str">
            <v/>
          </cell>
          <cell r="J78" t="str">
            <v/>
          </cell>
          <cell r="K78" t="str">
            <v>LECAPITAINE</v>
          </cell>
          <cell r="L78" t="str">
            <v/>
          </cell>
          <cell r="M78" t="str">
            <v>35S16 CF</v>
          </cell>
          <cell r="N78" t="str">
            <v>02</v>
          </cell>
          <cell r="O78">
            <v>3224</v>
          </cell>
          <cell r="P78">
            <v>1904</v>
          </cell>
          <cell r="Q78">
            <v>1950</v>
          </cell>
          <cell r="R78" t="str">
            <v/>
          </cell>
          <cell r="S78">
            <v>2912</v>
          </cell>
          <cell r="T78">
            <v>2050</v>
          </cell>
          <cell r="U78">
            <v>5932</v>
          </cell>
          <cell r="V78">
            <v>870</v>
          </cell>
          <cell r="W78">
            <v>3450</v>
          </cell>
          <cell r="X78">
            <v>1425</v>
          </cell>
          <cell r="Y78" t="str">
            <v/>
          </cell>
          <cell r="Z78">
            <v>5</v>
          </cell>
          <cell r="AA78" t="str">
            <v>IVECO DAILY - CAISSE FRIGORIFIQUE IRL / 3 PORTES AR.</v>
          </cell>
          <cell r="AB78">
            <v>3500</v>
          </cell>
          <cell r="AC78">
            <v>880</v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>
            <v>12</v>
          </cell>
          <cell r="AI78" t="str">
            <v>C_DAILY_CC_3.5_06-2019_CLIM-MAN_Rad+Cam._Sam.</v>
          </cell>
          <cell r="AJ78" t="str">
            <v>M_DAILY_2.3_156-HD-€VI-E_Bat105Ah_BV.HIMATIC_ModeECO</v>
          </cell>
          <cell r="AK78" t="str">
            <v>CH_DAILY-CC_35S_225-65R16_ADB_GSRII_86L_RS</v>
          </cell>
          <cell r="AL78" t="str">
            <v>CF_DAILY_S2_FC allégé</v>
          </cell>
          <cell r="AM78" t="str">
            <v>GF_X350T_A_C_1560_1750mm_Cable10m</v>
          </cell>
          <cell r="AN78" t="str">
            <v/>
          </cell>
          <cell r="AO78" t="str">
            <v>\\petitforestier.fr\siege\Applications\BaseProduits\Datas\Publipostage\Images\PUBLICATION - EURO 6\PLAN VEHICULES\IVECO_DAILY-1048_35S-CF02.jpg</v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/>
          </cell>
          <cell r="AY78" t="str">
            <v/>
          </cell>
          <cell r="AZ78" t="str">
            <v/>
          </cell>
          <cell r="BA78" t="str">
            <v/>
          </cell>
          <cell r="BB78" t="str">
            <v/>
          </cell>
          <cell r="BC78" t="str">
            <v/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</row>
        <row r="79">
          <cell r="A79" t="str">
            <v>FR_FR</v>
          </cell>
          <cell r="B79" t="str">
            <v>FS_PF</v>
          </cell>
          <cell r="C79" t="str">
            <v>FS_ST</v>
          </cell>
          <cell r="D79" t="str">
            <v/>
          </cell>
          <cell r="E79" t="str">
            <v>IVECO</v>
          </cell>
          <cell r="F79" t="str">
            <v>DAILY</v>
          </cell>
          <cell r="G79" t="str">
            <v>V11</v>
          </cell>
          <cell r="H79" t="str">
            <v>M</v>
          </cell>
          <cell r="I79" t="str">
            <v>H</v>
          </cell>
          <cell r="J79" t="str">
            <v/>
          </cell>
          <cell r="K79" t="str">
            <v>LECAPITAINE</v>
          </cell>
          <cell r="L79" t="str">
            <v/>
          </cell>
          <cell r="M79" t="str">
            <v>35S16 CF</v>
          </cell>
          <cell r="N79" t="str">
            <v>04</v>
          </cell>
          <cell r="O79">
            <v>3224</v>
          </cell>
          <cell r="P79">
            <v>1904</v>
          </cell>
          <cell r="Q79">
            <v>1950</v>
          </cell>
          <cell r="R79" t="str">
            <v/>
          </cell>
          <cell r="S79">
            <v>2912</v>
          </cell>
          <cell r="T79">
            <v>2050</v>
          </cell>
          <cell r="U79">
            <v>6124</v>
          </cell>
          <cell r="V79">
            <v>870</v>
          </cell>
          <cell r="W79">
            <v>3450</v>
          </cell>
          <cell r="X79">
            <v>1617</v>
          </cell>
          <cell r="Y79" t="str">
            <v/>
          </cell>
          <cell r="Z79">
            <v>5</v>
          </cell>
          <cell r="AA79" t="str">
            <v>IVECO DAILY - CAISSE FRIGORIFIQUE IRL / HAYON</v>
          </cell>
          <cell r="AB79">
            <v>3500</v>
          </cell>
          <cell r="AC79">
            <v>725</v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>
            <v>12</v>
          </cell>
          <cell r="AI79" t="str">
            <v>C_DAILY_CC_3.5_06-2019_CLIM-MAN_Rad+Cam._Sam.</v>
          </cell>
          <cell r="AJ79" t="str">
            <v>M_DAILY_2.3_156-HD-€VI-E_Bat105Ah_BV.HIMATIC_ModeECO</v>
          </cell>
          <cell r="AK79" t="str">
            <v>CH_DAILY-CC_35S_225-65R16_ADB_GSRII_86L_SsRS</v>
          </cell>
          <cell r="AL79" t="str">
            <v>CF_DAILY_S4-1950_FC allégé_PrPavHE</v>
          </cell>
          <cell r="AM79" t="str">
            <v>GF_X350T_A_C_1560_1750mm_Cable10m</v>
          </cell>
          <cell r="AN79" t="str">
            <v>HL_RB_DH-LMA08_750kg-CG600_1450mm_Vbatt</v>
          </cell>
          <cell r="AO79" t="str">
            <v>\\petitforestier.fr\siege\Applications\BaseProduits\Datas\Publipostage\Images\PUBLICATION - EURO 6\PLAN VEHICULES\IVECO_DAILY_35S-CF04_X350T.jpg</v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  <cell r="BB79" t="str">
            <v/>
          </cell>
          <cell r="BC79" t="str">
            <v/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</row>
        <row r="80">
          <cell r="A80" t="str">
            <v>FR_FR</v>
          </cell>
          <cell r="B80" t="str">
            <v>FS_PF</v>
          </cell>
          <cell r="C80" t="str">
            <v>FS_ST</v>
          </cell>
          <cell r="D80" t="str">
            <v/>
          </cell>
          <cell r="E80" t="str">
            <v>IVECO</v>
          </cell>
          <cell r="F80" t="str">
            <v>DAILY</v>
          </cell>
          <cell r="G80" t="str">
            <v>V11</v>
          </cell>
          <cell r="H80" t="str">
            <v>X</v>
          </cell>
          <cell r="I80" t="str">
            <v/>
          </cell>
          <cell r="J80" t="str">
            <v/>
          </cell>
          <cell r="K80" t="str">
            <v>LECAPITAINE</v>
          </cell>
          <cell r="L80" t="str">
            <v/>
          </cell>
          <cell r="M80" t="str">
            <v>35S16 CF</v>
          </cell>
          <cell r="N80" t="str">
            <v>05</v>
          </cell>
          <cell r="O80">
            <v>3524</v>
          </cell>
          <cell r="P80">
            <v>1904</v>
          </cell>
          <cell r="Q80">
            <v>2050</v>
          </cell>
          <cell r="R80" t="str">
            <v/>
          </cell>
          <cell r="S80">
            <v>3012</v>
          </cell>
          <cell r="T80">
            <v>2050</v>
          </cell>
          <cell r="U80">
            <v>6223</v>
          </cell>
          <cell r="V80">
            <v>870</v>
          </cell>
          <cell r="W80">
            <v>3450</v>
          </cell>
          <cell r="X80">
            <v>1725</v>
          </cell>
          <cell r="Y80" t="str">
            <v/>
          </cell>
          <cell r="Z80">
            <v>5</v>
          </cell>
          <cell r="AA80" t="str">
            <v>IVECO DAILY - CAISSE FRIGORIFIQUE IRL / MULTI TEMP.</v>
          </cell>
          <cell r="AB80">
            <v>3500</v>
          </cell>
          <cell r="AC80">
            <v>585</v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>13.8</v>
          </cell>
          <cell r="AI80" t="str">
            <v>C_DAILY_CC_3.5_06-2019_CLIM-MAN_Rad+Cam._Sam.</v>
          </cell>
          <cell r="AJ80" t="str">
            <v>M_DAILY_2.3_156-HD-€VI-E_Bat105Ah_BV.HIMATIC_ModeECO</v>
          </cell>
          <cell r="AK80" t="str">
            <v>CH_DAILY-CC_35S_225-65R16_ADB_GSRII_86L_RS</v>
          </cell>
          <cell r="AL80" t="str">
            <v>CF_DAILY_S5-3524*2050_FC allégé</v>
          </cell>
          <cell r="AM80" t="str">
            <v>GF_X6T-MT_1850mm_Cable10m</v>
          </cell>
          <cell r="AN80" t="str">
            <v/>
          </cell>
          <cell r="AO80" t="str">
            <v>\\petitforestier.fr\siege\Applications\BaseProduits\Datas\Publipostage\Images\PUBLICATION - EURO 6\PLAN VEHICULES\IVECO_DAILY-1048_35S-CF05.jpg</v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  <cell r="BB80" t="str">
            <v/>
          </cell>
          <cell r="BC80" t="str">
            <v/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S_referentiel_produits_std"/>
      <sheetName val="FS_referentiel_produits_standar"/>
      <sheetName val="Energie Alter"/>
      <sheetName val="Synth NCEE"/>
      <sheetName val="FT parc FS"/>
      <sheetName val="Catégo."/>
    </sheetNames>
    <sheetDataSet>
      <sheetData sheetId="0">
        <row r="65">
          <cell r="A65" t="str">
            <v>FR_FR</v>
          </cell>
          <cell r="B65" t="str">
            <v>FS_PF</v>
          </cell>
          <cell r="C65" t="str">
            <v>FS_ST</v>
          </cell>
          <cell r="D65" t="str">
            <v/>
          </cell>
          <cell r="E65" t="str">
            <v>IVECO</v>
          </cell>
          <cell r="F65" t="str">
            <v>DAILY</v>
          </cell>
          <cell r="G65" t="str">
            <v>V11</v>
          </cell>
          <cell r="H65" t="str">
            <v>M</v>
          </cell>
          <cell r="I65" t="str">
            <v/>
          </cell>
          <cell r="J65" t="str">
            <v/>
          </cell>
          <cell r="K65" t="str">
            <v>LECAPITAINE</v>
          </cell>
          <cell r="L65" t="str">
            <v/>
          </cell>
          <cell r="M65" t="str">
            <v>35C16-3L CF - URBAN</v>
          </cell>
          <cell r="N65" t="str">
            <v>01</v>
          </cell>
          <cell r="O65">
            <v>3228</v>
          </cell>
          <cell r="P65">
            <v>1908</v>
          </cell>
          <cell r="Q65">
            <v>1950</v>
          </cell>
          <cell r="R65" t="str">
            <v/>
          </cell>
          <cell r="S65">
            <v>2936</v>
          </cell>
          <cell r="T65">
            <v>2050</v>
          </cell>
          <cell r="U65">
            <v>5932</v>
          </cell>
          <cell r="V65">
            <v>895</v>
          </cell>
          <cell r="W65">
            <v>3450</v>
          </cell>
          <cell r="X65">
            <v>1425</v>
          </cell>
          <cell r="Y65" t="str">
            <v/>
          </cell>
          <cell r="Z65">
            <v>5</v>
          </cell>
          <cell r="AA65" t="str">
            <v>IVECO DAILY - CAISSE FRIGORIFIQUE URBAN / 2 PORTES AR.</v>
          </cell>
          <cell r="AB65">
            <v>3500</v>
          </cell>
          <cell r="AC65">
            <v>760</v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>
            <v>12</v>
          </cell>
          <cell r="AI65" t="str">
            <v>C_DAILY_CC_3.5_06-2019_CLIM-MAN_Rad+Cam._URBAN_Sam.</v>
          </cell>
          <cell r="AJ65" t="str">
            <v>M_DAILY_3.0_160-HD-€VI-E_Bat105Ah_BV.HIMATIC</v>
          </cell>
          <cell r="AK65" t="str">
            <v>CH_DAILY-CC_35C_195-75R16_ADB_GSRII_86L_URBAN_SsRS</v>
          </cell>
          <cell r="AL65" t="str">
            <v>CF_DAILY_S-C1_FC allégé_URBAN</v>
          </cell>
          <cell r="AM65" t="str">
            <v>GF_V300MAX-50_A_C_1705mm_Cable10m_ BBLite</v>
          </cell>
          <cell r="AN65" t="str">
            <v/>
          </cell>
          <cell r="AO65" t="str">
            <v>\\petitforestier.fr\siege\Applications\BaseProduits\Datas\Publipostage\Images\PUBLICATION - EURO 6\PLAN VEHICULES\IVECO_DAILY-1048_35C-CF01-URBAN.jpg</v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  <cell r="AX65" t="str">
            <v/>
          </cell>
          <cell r="AY65" t="str">
            <v/>
          </cell>
          <cell r="AZ65" t="str">
            <v/>
          </cell>
          <cell r="BA65" t="str">
            <v/>
          </cell>
          <cell r="BB65" t="str">
            <v/>
          </cell>
          <cell r="BC65" t="str">
            <v/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</row>
        <row r="68">
          <cell r="A68" t="str">
            <v>FR_FR</v>
          </cell>
          <cell r="B68" t="str">
            <v>FS_PF</v>
          </cell>
          <cell r="C68" t="str">
            <v>FS_ST</v>
          </cell>
          <cell r="D68" t="str">
            <v/>
          </cell>
          <cell r="E68" t="str">
            <v>IVECO</v>
          </cell>
          <cell r="F68" t="str">
            <v>DAILY</v>
          </cell>
          <cell r="G68" t="str">
            <v>V11</v>
          </cell>
          <cell r="H68" t="str">
            <v>X</v>
          </cell>
          <cell r="I68" t="str">
            <v/>
          </cell>
          <cell r="J68" t="str">
            <v/>
          </cell>
          <cell r="K68" t="str">
            <v>LECAPITAINE</v>
          </cell>
          <cell r="L68" t="str">
            <v/>
          </cell>
          <cell r="M68" t="str">
            <v>35C16-3L CF - URBAN</v>
          </cell>
          <cell r="N68" t="str">
            <v>05</v>
          </cell>
          <cell r="O68">
            <v>3528</v>
          </cell>
          <cell r="P68">
            <v>1908</v>
          </cell>
          <cell r="Q68">
            <v>2050</v>
          </cell>
          <cell r="R68" t="str">
            <v/>
          </cell>
          <cell r="S68">
            <v>3036</v>
          </cell>
          <cell r="T68">
            <v>2050</v>
          </cell>
          <cell r="U68">
            <v>6223</v>
          </cell>
          <cell r="V68">
            <v>895</v>
          </cell>
          <cell r="W68">
            <v>3450</v>
          </cell>
          <cell r="X68">
            <v>1725</v>
          </cell>
          <cell r="Y68" t="str">
            <v/>
          </cell>
          <cell r="Z68">
            <v>5</v>
          </cell>
          <cell r="AA68" t="str">
            <v>IVECO DAILY - CAISSE FRIGORIFIQUE URBAN / MULTI TEMP.</v>
          </cell>
          <cell r="AB68">
            <v>3500</v>
          </cell>
          <cell r="AC68">
            <v>450</v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>13.8</v>
          </cell>
          <cell r="AI68" t="str">
            <v>C_DAILY_CC_3.5_06-2019_CLIM-MAN_Rad+Cam._URBAN_Sam.</v>
          </cell>
          <cell r="AJ68" t="str">
            <v>M_DAILY_3.0_160-HD-€VI-E_Bat105Ah_BV.HIMATIC</v>
          </cell>
          <cell r="AK68" t="str">
            <v>CH_DAILY-CC_35C_195-75R16_ADB_GSRII_86L_URBAN_SsRS</v>
          </cell>
          <cell r="AL68" t="str">
            <v>CF_DAILY_S-C5-3524*2050_FC allégé_URBAN</v>
          </cell>
          <cell r="AM68" t="str">
            <v>GF_X6T-MT_1845mm_Cable10m</v>
          </cell>
          <cell r="AN68" t="str">
            <v/>
          </cell>
          <cell r="AO68" t="str">
            <v>\\petitforestier.fr\siege\Applications\BaseProduits\Datas\Publipostage\Images\PUBLICATION - EURO 6\PLAN VEHICULES\IVECO_DAILY-1048_35C-CF05-URBAN.jpg</v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  <cell r="AX68" t="str">
            <v/>
          </cell>
          <cell r="AY68" t="str">
            <v/>
          </cell>
          <cell r="AZ68" t="str">
            <v/>
          </cell>
          <cell r="BA68" t="str">
            <v/>
          </cell>
          <cell r="BB68" t="str">
            <v/>
          </cell>
          <cell r="BC68" t="str">
            <v/>
          </cell>
          <cell r="BD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</row>
        <row r="79">
          <cell r="A79" t="str">
            <v>FR_FR</v>
          </cell>
          <cell r="B79" t="str">
            <v>FS_PF</v>
          </cell>
          <cell r="C79" t="str">
            <v>FS_ST</v>
          </cell>
          <cell r="D79" t="str">
            <v/>
          </cell>
          <cell r="E79" t="str">
            <v>IVECO</v>
          </cell>
          <cell r="F79" t="str">
            <v>DAILY</v>
          </cell>
          <cell r="G79" t="str">
            <v>V11</v>
          </cell>
          <cell r="H79" t="str">
            <v>M</v>
          </cell>
          <cell r="I79" t="str">
            <v>H</v>
          </cell>
          <cell r="J79" t="str">
            <v/>
          </cell>
          <cell r="K79" t="str">
            <v>LECAPITAINE</v>
          </cell>
          <cell r="L79" t="str">
            <v/>
          </cell>
          <cell r="M79" t="str">
            <v>35S16 CF</v>
          </cell>
          <cell r="N79" t="str">
            <v>04</v>
          </cell>
          <cell r="O79">
            <v>3224</v>
          </cell>
          <cell r="P79">
            <v>1904</v>
          </cell>
          <cell r="Q79">
            <v>1950</v>
          </cell>
          <cell r="R79" t="str">
            <v/>
          </cell>
          <cell r="S79">
            <v>2912</v>
          </cell>
          <cell r="T79">
            <v>2050</v>
          </cell>
          <cell r="U79">
            <v>6124</v>
          </cell>
          <cell r="V79">
            <v>870</v>
          </cell>
          <cell r="W79">
            <v>3450</v>
          </cell>
          <cell r="X79">
            <v>1617</v>
          </cell>
          <cell r="Y79" t="str">
            <v/>
          </cell>
          <cell r="Z79">
            <v>5</v>
          </cell>
          <cell r="AA79" t="str">
            <v>IVECO DAILY - CAISSE FRIGORIFIQUE IRL / HAYON</v>
          </cell>
          <cell r="AB79">
            <v>3500</v>
          </cell>
          <cell r="AC79">
            <v>725</v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>
            <v>12</v>
          </cell>
          <cell r="AI79" t="str">
            <v>C_DAILY_CC_3.5_06-2019_CLIM-MAN_Rad+Cam._Sam.</v>
          </cell>
          <cell r="AJ79" t="str">
            <v>M_DAILY_2.3_156-HD-€VI-E_Bat105Ah_BV.HIMATIC_ModeECO</v>
          </cell>
          <cell r="AK79" t="str">
            <v>CH_DAILY-CC_35S_225-65R16_ADB_GSRII_86L_SsRS</v>
          </cell>
          <cell r="AL79" t="str">
            <v>CF_DAILY_S4-1950_FC allégé_PrPavHE</v>
          </cell>
          <cell r="AM79" t="str">
            <v>GF_X350T_A_C_1560_1750mm_Cable10m</v>
          </cell>
          <cell r="AN79" t="str">
            <v>HL_RB_DH-LMA08_750kg-CG600_1450mm_Vbatt</v>
          </cell>
          <cell r="AO79" t="str">
            <v>\\petitforestier.fr\siege\Applications\BaseProduits\Datas\Publipostage\Images\PUBLICATION - EURO 6\PLAN VEHICULES\IVECO_DAILY_35S-CF04_X350T.jpg</v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  <cell r="BB79" t="str">
            <v/>
          </cell>
          <cell r="BC79" t="str">
            <v/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</row>
        <row r="80">
          <cell r="A80" t="str">
            <v>FR_FR</v>
          </cell>
          <cell r="B80" t="str">
            <v>FS_PF</v>
          </cell>
          <cell r="C80" t="str">
            <v>FS_ST</v>
          </cell>
          <cell r="D80" t="str">
            <v/>
          </cell>
          <cell r="E80" t="str">
            <v>IVECO</v>
          </cell>
          <cell r="F80" t="str">
            <v>DAILY</v>
          </cell>
          <cell r="G80" t="str">
            <v>V11</v>
          </cell>
          <cell r="H80" t="str">
            <v>X</v>
          </cell>
          <cell r="I80" t="str">
            <v/>
          </cell>
          <cell r="J80" t="str">
            <v/>
          </cell>
          <cell r="K80" t="str">
            <v>LECAPITAINE</v>
          </cell>
          <cell r="L80" t="str">
            <v/>
          </cell>
          <cell r="M80" t="str">
            <v>35S16 CF</v>
          </cell>
          <cell r="N80" t="str">
            <v>05</v>
          </cell>
          <cell r="O80">
            <v>3524</v>
          </cell>
          <cell r="P80">
            <v>1904</v>
          </cell>
          <cell r="Q80">
            <v>2050</v>
          </cell>
          <cell r="R80" t="str">
            <v/>
          </cell>
          <cell r="S80">
            <v>3012</v>
          </cell>
          <cell r="T80">
            <v>2050</v>
          </cell>
          <cell r="U80">
            <v>6223</v>
          </cell>
          <cell r="V80">
            <v>870</v>
          </cell>
          <cell r="W80">
            <v>3450</v>
          </cell>
          <cell r="X80">
            <v>1725</v>
          </cell>
          <cell r="Y80" t="str">
            <v/>
          </cell>
          <cell r="Z80">
            <v>5</v>
          </cell>
          <cell r="AA80" t="str">
            <v>IVECO DAILY - CAISSE FRIGORIFIQUE IRL / MULTI TEMP.</v>
          </cell>
          <cell r="AB80">
            <v>3500</v>
          </cell>
          <cell r="AC80">
            <v>585</v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>13.8</v>
          </cell>
          <cell r="AI80" t="str">
            <v>C_DAILY_CC_3.5_06-2019_CLIM-MAN_Rad+Cam._Sam.</v>
          </cell>
          <cell r="AJ80" t="str">
            <v>M_DAILY_2.3_156-HD-€VI-E_Bat105Ah_BV.HIMATIC_ModeECO</v>
          </cell>
          <cell r="AK80" t="str">
            <v>CH_DAILY-CC_35S_225-65R16_ADB_GSRII_86L_RS</v>
          </cell>
          <cell r="AL80" t="str">
            <v>CF_DAILY_S5-3524*2050_FC allégé</v>
          </cell>
          <cell r="AM80" t="str">
            <v>GF_X6T-MT_1850mm_Cable10m</v>
          </cell>
          <cell r="AN80" t="str">
            <v/>
          </cell>
          <cell r="AO80" t="str">
            <v>\\petitforestier.fr\siege\Applications\BaseProduits\Datas\Publipostage\Images\PUBLICATION - EURO 6\PLAN VEHICULES\IVECO_DAILY-1048_35S-CF05.jpg</v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  <cell r="BB80" t="str">
            <v/>
          </cell>
          <cell r="BC80" t="str">
            <v/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</row>
        <row r="81">
          <cell r="A81" t="str">
            <v>FR_FR</v>
          </cell>
          <cell r="B81" t="str">
            <v>FS_PF</v>
          </cell>
          <cell r="C81" t="str">
            <v>FS_ST</v>
          </cell>
          <cell r="D81" t="str">
            <v/>
          </cell>
          <cell r="E81" t="str">
            <v>IVECO</v>
          </cell>
          <cell r="F81" t="str">
            <v>DAILY</v>
          </cell>
          <cell r="G81" t="str">
            <v>V11</v>
          </cell>
          <cell r="H81" t="str">
            <v>M</v>
          </cell>
          <cell r="I81" t="str">
            <v/>
          </cell>
          <cell r="J81" t="str">
            <v/>
          </cell>
          <cell r="K81" t="str">
            <v>LECAPITAINE</v>
          </cell>
          <cell r="L81" t="str">
            <v/>
          </cell>
          <cell r="M81" t="str">
            <v>35S16 CF - URBAN</v>
          </cell>
          <cell r="N81" t="str">
            <v>01</v>
          </cell>
          <cell r="O81">
            <v>3228</v>
          </cell>
          <cell r="P81">
            <v>1908</v>
          </cell>
          <cell r="Q81">
            <v>1950</v>
          </cell>
          <cell r="R81" t="str">
            <v/>
          </cell>
          <cell r="S81">
            <v>2926</v>
          </cell>
          <cell r="T81">
            <v>2050</v>
          </cell>
          <cell r="U81">
            <v>5932</v>
          </cell>
          <cell r="V81">
            <v>865</v>
          </cell>
          <cell r="W81">
            <v>3450</v>
          </cell>
          <cell r="X81">
            <v>1425</v>
          </cell>
          <cell r="Y81" t="str">
            <v/>
          </cell>
          <cell r="Z81">
            <v>5</v>
          </cell>
          <cell r="AA81" t="str">
            <v>IVECO DAILY - CAISSE FRIGORIFIQUE URBAN / 2 PORTES AR.</v>
          </cell>
          <cell r="AB81">
            <v>3500</v>
          </cell>
          <cell r="AC81">
            <v>1010</v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>
            <v>12</v>
          </cell>
          <cell r="AI81" t="str">
            <v>C_DAILY_CC_3.5_06-2019_CLIM-MAN_Rad+Cam._URBAN_Sam.</v>
          </cell>
          <cell r="AJ81" t="str">
            <v>M_DAILY_2.3_156-HD-€VI-E_Bat105Ah_BV.HIMATIC_ModeECO</v>
          </cell>
          <cell r="AK81" t="str">
            <v>CH_DAILY-CC_35S_225-65R16_ADB_GSRII_86L_URBAN_SsRS</v>
          </cell>
          <cell r="AL81" t="str">
            <v>CF_DAILY_S-C1_FC allégé_URBAN</v>
          </cell>
          <cell r="AM81" t="str">
            <v>GF_V300MAX-50_A_C_1705mm_Cable10m_ BBLite</v>
          </cell>
          <cell r="AN81" t="str">
            <v/>
          </cell>
          <cell r="AO81" t="str">
            <v>\\petitforestier.fr\siege\Applications\BaseProduits\Datas\Publipostage\Images\PUBLICATION - EURO 6\PLAN VEHICULES\IVECO_DAILY-1048_35S-CF01-URBAN.jpg</v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/>
          </cell>
          <cell r="AY81" t="str">
            <v/>
          </cell>
          <cell r="AZ81" t="str">
            <v/>
          </cell>
          <cell r="BA81" t="str">
            <v/>
          </cell>
          <cell r="BB81" t="str">
            <v/>
          </cell>
          <cell r="BC81" t="str">
            <v/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</row>
        <row r="82">
          <cell r="A82" t="str">
            <v>FR_FR</v>
          </cell>
          <cell r="B82" t="str">
            <v>FS_PF</v>
          </cell>
          <cell r="C82" t="str">
            <v/>
          </cell>
          <cell r="D82" t="str">
            <v/>
          </cell>
          <cell r="E82" t="str">
            <v>IVECO</v>
          </cell>
          <cell r="F82" t="str">
            <v>DAILY</v>
          </cell>
          <cell r="G82" t="str">
            <v>V11</v>
          </cell>
          <cell r="H82" t="str">
            <v>M</v>
          </cell>
          <cell r="I82" t="str">
            <v/>
          </cell>
          <cell r="J82" t="str">
            <v/>
          </cell>
          <cell r="K82" t="str">
            <v>LECAPITAINE</v>
          </cell>
          <cell r="L82" t="str">
            <v/>
          </cell>
          <cell r="M82" t="str">
            <v>35S16 CF - URBAN</v>
          </cell>
          <cell r="N82" t="str">
            <v>02</v>
          </cell>
          <cell r="O82">
            <v>3228</v>
          </cell>
          <cell r="P82">
            <v>1908</v>
          </cell>
          <cell r="Q82">
            <v>1950</v>
          </cell>
          <cell r="R82" t="str">
            <v/>
          </cell>
          <cell r="S82">
            <v>2926</v>
          </cell>
          <cell r="T82">
            <v>2050</v>
          </cell>
          <cell r="U82">
            <v>5932</v>
          </cell>
          <cell r="V82">
            <v>865</v>
          </cell>
          <cell r="W82">
            <v>3450</v>
          </cell>
          <cell r="X82">
            <v>1425</v>
          </cell>
          <cell r="Y82" t="str">
            <v/>
          </cell>
          <cell r="Z82">
            <v>5</v>
          </cell>
          <cell r="AA82" t="str">
            <v>IVECO DAILY - CAISSE FRIGORIFIQUE URBAN / 3 PORTES AR.</v>
          </cell>
          <cell r="AB82">
            <v>3500</v>
          </cell>
          <cell r="AC82">
            <v>1015</v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>
            <v>12</v>
          </cell>
          <cell r="AI82" t="str">
            <v>C_DAILY_CC_3.5_06-2019_CLIM-MAN_Rad+Cam._URBAN_Sam.</v>
          </cell>
          <cell r="AJ82" t="str">
            <v>M_DAILY_2.3_156-HD-€VI-E_Bat105Ah_BV.HIMATIC_ModeECO</v>
          </cell>
          <cell r="AK82" t="str">
            <v>CH_DAILY-CC_35S_225-65R16_ADB_GSRII_86L_URBAN_SsRS</v>
          </cell>
          <cell r="AL82" t="str">
            <v>CF_DAILY_S-C2_FC allégé_URBAN</v>
          </cell>
          <cell r="AM82" t="str">
            <v>GF_V300MAX-50_A_C_1705mm_Cable10m_ BBLite</v>
          </cell>
          <cell r="AN82" t="str">
            <v/>
          </cell>
          <cell r="AO82" t="str">
            <v>\\petitforestier.fr\siege\Applications\BaseProduits\Datas\Publipostage\Images\PUBLICATION - EURO 6\PLAN VEHICULES\IVECO_DAILY-1048_35S-CF02-URBAN.jpg</v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/>
          </cell>
          <cell r="AY82" t="str">
            <v/>
          </cell>
          <cell r="AZ82" t="str">
            <v/>
          </cell>
          <cell r="BA82" t="str">
            <v/>
          </cell>
          <cell r="BB82" t="str">
            <v/>
          </cell>
          <cell r="BC82" t="str">
            <v/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</row>
        <row r="83">
          <cell r="A83" t="str">
            <v>FR_FR</v>
          </cell>
          <cell r="B83" t="str">
            <v>FS_PF</v>
          </cell>
          <cell r="C83" t="str">
            <v>FS_ST</v>
          </cell>
          <cell r="D83" t="str">
            <v/>
          </cell>
          <cell r="E83" t="str">
            <v>IVECO</v>
          </cell>
          <cell r="F83" t="str">
            <v>DAILY</v>
          </cell>
          <cell r="G83" t="str">
            <v>V11</v>
          </cell>
          <cell r="H83" t="str">
            <v>M</v>
          </cell>
          <cell r="I83" t="str">
            <v>H</v>
          </cell>
          <cell r="J83" t="str">
            <v/>
          </cell>
          <cell r="K83" t="str">
            <v>LECAPITAINE</v>
          </cell>
          <cell r="L83" t="str">
            <v/>
          </cell>
          <cell r="M83" t="str">
            <v>35S16 CF - URBAN</v>
          </cell>
          <cell r="N83" t="str">
            <v>04</v>
          </cell>
          <cell r="O83">
            <v>3228</v>
          </cell>
          <cell r="P83">
            <v>1908</v>
          </cell>
          <cell r="Q83">
            <v>1950</v>
          </cell>
          <cell r="R83" t="str">
            <v/>
          </cell>
          <cell r="S83">
            <v>2926</v>
          </cell>
          <cell r="T83">
            <v>2050</v>
          </cell>
          <cell r="U83">
            <v>6124</v>
          </cell>
          <cell r="V83">
            <v>865</v>
          </cell>
          <cell r="W83">
            <v>3450</v>
          </cell>
          <cell r="X83">
            <v>1617</v>
          </cell>
          <cell r="Y83" t="str">
            <v/>
          </cell>
          <cell r="Z83">
            <v>5</v>
          </cell>
          <cell r="AA83" t="str">
            <v>IVECO DAILY - CAISSE FRIGORIFIQUE URBAN / HAYON</v>
          </cell>
          <cell r="AB83">
            <v>3500</v>
          </cell>
          <cell r="AC83">
            <v>805</v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>
            <v>12</v>
          </cell>
          <cell r="AI83" t="str">
            <v>C_DAILY_CC_3.5_06-2019_CLIM-MAN_Rad+Cam._URBAN_Sam.</v>
          </cell>
          <cell r="AJ83" t="str">
            <v>M_DAILY_2.3_156-HD-€VI-E_Bat105Ah_BV.HIMATIC_ModeECO</v>
          </cell>
          <cell r="AK83" t="str">
            <v>CH_DAILY-CC_35S_225-65R16_ADB_GSRII_86L_URBAN_SsRS</v>
          </cell>
          <cell r="AL83" t="str">
            <v>CF_DAILY_S-C4-1950_FC allégé_URBAN_PrPavHE</v>
          </cell>
          <cell r="AM83" t="str">
            <v>GF_V300MAX-50_A_C_1705mm_Cable10m_ BBLite</v>
          </cell>
          <cell r="AN83" t="str">
            <v>HL_RB_DH-LMA08_750kg-CG600_1450mm_Vbatt</v>
          </cell>
          <cell r="AO83" t="str">
            <v>\\petitforestier.fr\siege\Applications\BaseProduits\Datas\Publipostage\Images\PUBLICATION - EURO 6\PLAN VEHICULES\IVECO_DAILY-1048_35S-CF04-URBAN.jpg</v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/>
          </cell>
          <cell r="AY83" t="str">
            <v/>
          </cell>
          <cell r="AZ83" t="str">
            <v/>
          </cell>
          <cell r="BA83" t="str">
            <v/>
          </cell>
          <cell r="BB83" t="str">
            <v/>
          </cell>
          <cell r="BC83" t="str">
            <v/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</row>
        <row r="84">
          <cell r="A84" t="str">
            <v>FR_FR</v>
          </cell>
          <cell r="B84" t="str">
            <v>FS_PF</v>
          </cell>
          <cell r="C84" t="str">
            <v>FS_ST</v>
          </cell>
          <cell r="D84" t="str">
            <v/>
          </cell>
          <cell r="E84" t="str">
            <v>IVECO</v>
          </cell>
          <cell r="F84" t="str">
            <v>DAILY</v>
          </cell>
          <cell r="G84" t="str">
            <v>V11</v>
          </cell>
          <cell r="H84" t="str">
            <v>X</v>
          </cell>
          <cell r="I84" t="str">
            <v/>
          </cell>
          <cell r="J84" t="str">
            <v/>
          </cell>
          <cell r="K84" t="str">
            <v>LECAPITAINE</v>
          </cell>
          <cell r="L84" t="str">
            <v/>
          </cell>
          <cell r="M84" t="str">
            <v>35S16 CF - URBAN</v>
          </cell>
          <cell r="N84" t="str">
            <v>05</v>
          </cell>
          <cell r="O84">
            <v>3528</v>
          </cell>
          <cell r="P84">
            <v>1908</v>
          </cell>
          <cell r="Q84">
            <v>2050</v>
          </cell>
          <cell r="R84" t="str">
            <v/>
          </cell>
          <cell r="S84">
            <v>3006</v>
          </cell>
          <cell r="T84">
            <v>2050</v>
          </cell>
          <cell r="U84">
            <v>6223</v>
          </cell>
          <cell r="V84">
            <v>865</v>
          </cell>
          <cell r="W84">
            <v>3450</v>
          </cell>
          <cell r="X84">
            <v>1725</v>
          </cell>
          <cell r="Y84" t="str">
            <v/>
          </cell>
          <cell r="Z84">
            <v>5</v>
          </cell>
          <cell r="AA84" t="str">
            <v>IVECO DAILY - CAISSE FRIGORIFIQUE URBAN / MULTI TEMP.</v>
          </cell>
          <cell r="AB84">
            <v>3500</v>
          </cell>
          <cell r="AC84">
            <v>705</v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>13.8</v>
          </cell>
          <cell r="AI84" t="str">
            <v>C_DAILY_CC_3.5_06-2019_CLIM-MAN_Rad+Cam._URBAN_Sam.</v>
          </cell>
          <cell r="AJ84" t="str">
            <v>M_DAILY_2.3_156-HD-€VI-E_Bat105Ah_BV.HIMATIC_ModeECO</v>
          </cell>
          <cell r="AK84" t="str">
            <v>CH_DAILY-CC_35S_225-65R16_ADB_GSRII_86L_URBAN_SsRS</v>
          </cell>
          <cell r="AL84" t="str">
            <v>CF_DAILY_S-C5-3524*2050_FC allégé_URBAN</v>
          </cell>
          <cell r="AM84" t="str">
            <v>GF_X6T-MT_1845mm_Cable10m</v>
          </cell>
          <cell r="AN84" t="str">
            <v/>
          </cell>
          <cell r="AO84" t="str">
            <v>\\petitforestier.fr\siege\Applications\BaseProduits\Datas\Publipostage\Images\PUBLICATION - EURO 6\PLAN VEHICULES\IVECO_DAILY_35S-CF05-URBAN_X6MT.jpg</v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/>
          </cell>
          <cell r="AY84" t="str">
            <v/>
          </cell>
          <cell r="AZ84" t="str">
            <v/>
          </cell>
          <cell r="BA84" t="str">
            <v/>
          </cell>
          <cell r="BB84" t="str">
            <v/>
          </cell>
          <cell r="BC84" t="str">
            <v/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</row>
        <row r="85">
          <cell r="A85" t="str">
            <v>FR_FR</v>
          </cell>
          <cell r="B85" t="str">
            <v>FS_PF</v>
          </cell>
          <cell r="C85" t="str">
            <v>FS_ST</v>
          </cell>
          <cell r="D85" t="str">
            <v/>
          </cell>
          <cell r="E85" t="str">
            <v>IVECO</v>
          </cell>
          <cell r="F85" t="str">
            <v>DAILY</v>
          </cell>
          <cell r="G85" t="str">
            <v>V11</v>
          </cell>
          <cell r="H85" t="str">
            <v>M</v>
          </cell>
          <cell r="I85" t="str">
            <v/>
          </cell>
          <cell r="J85" t="str">
            <v/>
          </cell>
          <cell r="K85" t="str">
            <v>LECAPITAINE</v>
          </cell>
          <cell r="L85" t="str">
            <v/>
          </cell>
          <cell r="M85" t="str">
            <v>35S16-3L  CF</v>
          </cell>
          <cell r="N85" t="str">
            <v>01</v>
          </cell>
          <cell r="O85">
            <v>3224</v>
          </cell>
          <cell r="P85">
            <v>1904</v>
          </cell>
          <cell r="Q85">
            <v>1950</v>
          </cell>
          <cell r="R85" t="str">
            <v/>
          </cell>
          <cell r="S85">
            <v>2912</v>
          </cell>
          <cell r="T85">
            <v>2050</v>
          </cell>
          <cell r="U85">
            <v>5932</v>
          </cell>
          <cell r="V85">
            <v>870</v>
          </cell>
          <cell r="W85">
            <v>3450</v>
          </cell>
          <cell r="X85">
            <v>1425</v>
          </cell>
          <cell r="Y85" t="str">
            <v/>
          </cell>
          <cell r="Z85">
            <v>5</v>
          </cell>
          <cell r="AA85" t="str">
            <v>IVECO DAILY - CAISSE FRIGORIFIQUE IRL / 2 PORTES AR.</v>
          </cell>
          <cell r="AB85">
            <v>3500</v>
          </cell>
          <cell r="AC85">
            <v>810</v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>
            <v>12</v>
          </cell>
          <cell r="AI85" t="str">
            <v>C_DAILY_CC_3.5_06-2019_CLIM-MAN_Rad+Cam._Sam.</v>
          </cell>
          <cell r="AJ85" t="str">
            <v>M_DAILY_2.3_136-HD-€VI-E_Bat105Ah_BV.HIMATIC_ModeECO</v>
          </cell>
          <cell r="AK85" t="str">
            <v>CH_DAILY-CC_35S_225-65R16_ADB_GSRII_86L_RS</v>
          </cell>
          <cell r="AL85" t="str">
            <v>CF_DAILY_S1_FC allégé</v>
          </cell>
          <cell r="AM85" t="str">
            <v>GF_X350T_A_C_1560_1750mm_Cable10m</v>
          </cell>
          <cell r="AN85" t="str">
            <v/>
          </cell>
          <cell r="AO85" t="str">
            <v>\\petitforestier.fr\siege\Applications\BaseProduits\Datas\Publipostage\Images\PUBLICATION - EURO 6\PLAN VEHICULES\IVECO_DAILY_35S-CF01_X350T.jpg</v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/>
          </cell>
          <cell r="AY85" t="str">
            <v/>
          </cell>
          <cell r="AZ85" t="str">
            <v/>
          </cell>
          <cell r="BA85" t="str">
            <v/>
          </cell>
          <cell r="BB85" t="str">
            <v/>
          </cell>
          <cell r="BC85" t="str">
            <v/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</row>
        <row r="107">
          <cell r="A107" t="str">
            <v>FR_FR</v>
          </cell>
          <cell r="B107" t="str">
            <v>FS_PF</v>
          </cell>
          <cell r="C107" t="str">
            <v>FS_ST</v>
          </cell>
          <cell r="D107" t="str">
            <v/>
          </cell>
          <cell r="E107" t="str">
            <v>IVECO</v>
          </cell>
          <cell r="F107" t="str">
            <v>DAILY</v>
          </cell>
          <cell r="G107" t="str">
            <v>P8</v>
          </cell>
          <cell r="H107" t="str">
            <v>X</v>
          </cell>
          <cell r="I107" t="str">
            <v/>
          </cell>
          <cell r="J107" t="str">
            <v/>
          </cell>
          <cell r="K107" t="str">
            <v>LECAPITAINE</v>
          </cell>
          <cell r="L107" t="str">
            <v/>
          </cell>
          <cell r="M107" t="str">
            <v>72C21 CF</v>
          </cell>
          <cell r="N107" t="str">
            <v>05</v>
          </cell>
          <cell r="O107">
            <v>4118</v>
          </cell>
          <cell r="P107">
            <v>2054</v>
          </cell>
          <cell r="Q107">
            <v>2200</v>
          </cell>
          <cell r="R107" t="str">
            <v/>
          </cell>
          <cell r="S107">
            <v>3352</v>
          </cell>
          <cell r="T107">
            <v>2200</v>
          </cell>
          <cell r="U107">
            <v>6873</v>
          </cell>
          <cell r="V107">
            <v>1060</v>
          </cell>
          <cell r="W107">
            <v>4100</v>
          </cell>
          <cell r="X107">
            <v>1725</v>
          </cell>
          <cell r="Y107" t="str">
            <v/>
          </cell>
          <cell r="Z107">
            <v>7</v>
          </cell>
          <cell r="AA107" t="str">
            <v>IVECO DAILY - CAISSE FRIGORIFIQUE IRL / MULTI TEMP.</v>
          </cell>
          <cell r="AB107">
            <v>7200</v>
          </cell>
          <cell r="AC107">
            <v>3435</v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>18.4</v>
          </cell>
          <cell r="AI107" t="str">
            <v>C_DAILY_CC_+3.5_MY24_CLIM-MAN_Rad+Cam._Sam.</v>
          </cell>
          <cell r="AJ107" t="str">
            <v>M_DAILY_3.0_210-HD-€VI-E_Bat105Ah_BV.HIMATIC</v>
          </cell>
          <cell r="AK107" t="str">
            <v>CH_DAILY-CC_70C_225-75R16_GSRII_120L</v>
          </cell>
          <cell r="AL107" t="str">
            <v>CF_DAILY_70_C5</v>
          </cell>
          <cell r="AM107" t="str">
            <v>GF_X6T-MT_1950mm_Cable10m</v>
          </cell>
          <cell r="AN107" t="str">
            <v/>
          </cell>
          <cell r="AO107" t="str">
            <v>\\petitforestier.fr\siege\Applications\BaseProduits\Datas\Publipostage\Images\PUBLICATION - EURO 6\PLAN VEHICULES\IVECO_DAILY-1048_35C-CF05.jpg</v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  <cell r="BB107" t="str">
            <v/>
          </cell>
          <cell r="BC107" t="str">
            <v/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</row>
        <row r="108">
          <cell r="A108" t="str">
            <v>FR_FR</v>
          </cell>
          <cell r="B108" t="str">
            <v>FS_PF</v>
          </cell>
          <cell r="C108" t="str">
            <v>FS_ST</v>
          </cell>
          <cell r="D108" t="str">
            <v/>
          </cell>
          <cell r="E108" t="str">
            <v>IVECO</v>
          </cell>
          <cell r="F108" t="str">
            <v>E-DAILY</v>
          </cell>
          <cell r="G108" t="str">
            <v>P8</v>
          </cell>
          <cell r="H108" t="str">
            <v>M</v>
          </cell>
          <cell r="I108" t="str">
            <v/>
          </cell>
          <cell r="J108" t="str">
            <v/>
          </cell>
          <cell r="K108" t="str">
            <v>LECAPITAINE</v>
          </cell>
          <cell r="L108" t="str">
            <v/>
          </cell>
          <cell r="M108" t="str">
            <v>72C14 E CF</v>
          </cell>
          <cell r="N108" t="str">
            <v>01</v>
          </cell>
          <cell r="O108">
            <v>4118</v>
          </cell>
          <cell r="P108">
            <v>2054</v>
          </cell>
          <cell r="Q108">
            <v>2200</v>
          </cell>
          <cell r="R108" t="str">
            <v/>
          </cell>
          <cell r="S108">
            <v>3372</v>
          </cell>
          <cell r="T108">
            <v>2200</v>
          </cell>
          <cell r="U108">
            <v>6873</v>
          </cell>
          <cell r="V108">
            <v>1080</v>
          </cell>
          <cell r="W108">
            <v>4100</v>
          </cell>
          <cell r="X108">
            <v>1725</v>
          </cell>
          <cell r="Y108" t="str">
            <v/>
          </cell>
          <cell r="Z108">
            <v>8</v>
          </cell>
          <cell r="AA108" t="str">
            <v>IVECO DAILY ELECTRIQUE - CAISSE FRIGORIFIQUE IRL / MONO TEMP. / 2 PORTES AR.</v>
          </cell>
          <cell r="AB108">
            <v>7200</v>
          </cell>
          <cell r="AC108">
            <v>3075</v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>
            <v>18.5</v>
          </cell>
          <cell r="AI108" t="str">
            <v>C_E-DAILY_CC_+3.5_CLIM-AUTO_Rad+Cam._Defl_Sam.</v>
          </cell>
          <cell r="AJ108" t="str">
            <v>M_E-DAILY_140 kW_105kWh_ Smart-Câble</v>
          </cell>
          <cell r="AK108" t="str">
            <v>CH_E-DAILY-CC_70C_225-75R16_GSRII_RS</v>
          </cell>
          <cell r="AL108" t="str">
            <v>CF_E-DAILY_70_C1_2siph</v>
          </cell>
          <cell r="AM108" t="str">
            <v>GF_E500-E-PTO_BBLite_A-C_1970mm_1Cont.</v>
          </cell>
          <cell r="AN108" t="str">
            <v/>
          </cell>
          <cell r="AO108" t="str">
            <v>\\petitforestier.fr\siege\Applications\BaseProduits\Datas\Publipostage\Images\PUBLICATION - EURO 6\PLAN VEHICULES\IVECO_E-DAILY-1048_72C-CF01_TKE500.jpg</v>
          </cell>
          <cell r="AP108" t="str">
            <v/>
          </cell>
          <cell r="AQ108" t="str">
            <v/>
          </cell>
          <cell r="AR108" t="str">
            <v/>
          </cell>
          <cell r="AS108" t="str">
            <v/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  <cell r="BB108" t="str">
            <v/>
          </cell>
          <cell r="BC108" t="str">
            <v/>
          </cell>
          <cell r="BD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  <cell r="BJ108" t="str">
            <v/>
          </cell>
          <cell r="BK108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_referentiel_produits_std"/>
      <sheetName val="SE_referentiel_produits_standar"/>
      <sheetName val="FT parc SE"/>
    </sheetNames>
    <sheetDataSet>
      <sheetData sheetId="0">
        <row r="97">
          <cell r="A97" t="str">
            <v>PT_PT</v>
          </cell>
          <cell r="B97" t="str">
            <v/>
          </cell>
          <cell r="C97" t="str">
            <v>SE_ST</v>
          </cell>
          <cell r="D97" t="str">
            <v/>
          </cell>
          <cell r="E97" t="str">
            <v>IVECO</v>
          </cell>
          <cell r="F97" t="str">
            <v>DAILY</v>
          </cell>
          <cell r="G97" t="str">
            <v>V11</v>
          </cell>
          <cell r="H97" t="str">
            <v>S</v>
          </cell>
          <cell r="I97" t="str">
            <v>H</v>
          </cell>
          <cell r="J97" t="str">
            <v/>
          </cell>
          <cell r="K97" t="str">
            <v>LECAPITAINE</v>
          </cell>
          <cell r="L97" t="str">
            <v>COMMERCIAL</v>
          </cell>
          <cell r="M97" t="str">
            <v>35C14 CS</v>
          </cell>
          <cell r="N97" t="str">
            <v>03</v>
          </cell>
          <cell r="O97">
            <v>4246</v>
          </cell>
          <cell r="P97">
            <v>2146</v>
          </cell>
          <cell r="Q97">
            <v>2300</v>
          </cell>
          <cell r="R97" t="str">
            <v/>
          </cell>
          <cell r="S97">
            <v>3310</v>
          </cell>
          <cell r="T97">
            <v>2200</v>
          </cell>
          <cell r="U97">
            <v>6946</v>
          </cell>
          <cell r="V97">
            <v>940</v>
          </cell>
          <cell r="W97">
            <v>4100</v>
          </cell>
          <cell r="X97">
            <v>1798</v>
          </cell>
          <cell r="Y97" t="str">
            <v/>
          </cell>
          <cell r="Z97" t="str">
            <v/>
          </cell>
          <cell r="AA97" t="str">
            <v>IVECO DAILY - CAIXA / PLATAFORMA ELEVATÓRIA</v>
          </cell>
          <cell r="AB97">
            <v>3500</v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>
            <v>20.9</v>
          </cell>
          <cell r="AI97" t="str">
            <v>C_PT-PT_DAILY_3.5_06-2019_CS03</v>
          </cell>
          <cell r="AJ97" t="str">
            <v>M_PT-PT_DAILY_2.3_136-HD-€VI-E_Bat105Ah_BV.HIMATIC</v>
          </cell>
          <cell r="AK97" t="str">
            <v>CH_PT-PT_DAILY-CC_35C_195-75R16_GSRII_86L_HELPER_ADB</v>
          </cell>
          <cell r="AL97" t="str">
            <v>CS_PT-PT_DAILY_C3_Soub-Alu</v>
          </cell>
          <cell r="AM97" t="str">
            <v/>
          </cell>
          <cell r="AN97" t="str">
            <v>HL_PT-PT_RB_DH-LMA08_ALU_750kg-CG600_1600mm_CS-CH</v>
          </cell>
          <cell r="AO97" t="str">
            <v>\\petitforestier.fr\siege\Applications\BaseProduits\Datas\Publipostage\Images\PUBLICATION - SEC - HYGIENE - EURO 6\PLAN VEHICULES\PLANS 2014\IVECO\35C-1048_CS03.jpg</v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  <cell r="AX97" t="str">
            <v/>
          </cell>
          <cell r="AY97" t="str">
            <v/>
          </cell>
          <cell r="AZ97" t="str">
            <v/>
          </cell>
          <cell r="BA97" t="str">
            <v/>
          </cell>
          <cell r="BB97" t="str">
            <v/>
          </cell>
          <cell r="BC97" t="str">
            <v/>
          </cell>
          <cell r="BD97" t="str">
            <v/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</row>
        <row r="98">
          <cell r="A98" t="str">
            <v>PT_PT</v>
          </cell>
          <cell r="B98" t="str">
            <v/>
          </cell>
          <cell r="C98" t="str">
            <v>SE_ST</v>
          </cell>
          <cell r="D98" t="str">
            <v/>
          </cell>
          <cell r="E98" t="str">
            <v>IVECO</v>
          </cell>
          <cell r="F98" t="str">
            <v>DAILY</v>
          </cell>
          <cell r="G98" t="str">
            <v>P8</v>
          </cell>
          <cell r="H98" t="str">
            <v>S</v>
          </cell>
          <cell r="I98" t="str">
            <v>H</v>
          </cell>
          <cell r="J98" t="str">
            <v/>
          </cell>
          <cell r="K98" t="str">
            <v>LECAPITAINE</v>
          </cell>
          <cell r="L98" t="str">
            <v>COMMERCIAL</v>
          </cell>
          <cell r="M98" t="str">
            <v>72C18 CS</v>
          </cell>
          <cell r="N98" t="str">
            <v>03</v>
          </cell>
          <cell r="O98">
            <v>5038</v>
          </cell>
          <cell r="P98">
            <v>2236</v>
          </cell>
          <cell r="Q98">
            <v>2300</v>
          </cell>
          <cell r="R98" t="str">
            <v/>
          </cell>
          <cell r="S98">
            <v>3415</v>
          </cell>
          <cell r="T98">
            <v>2300</v>
          </cell>
          <cell r="U98">
            <v>7750</v>
          </cell>
          <cell r="V98">
            <v>1040</v>
          </cell>
          <cell r="W98">
            <v>4750</v>
          </cell>
          <cell r="X98">
            <v>1952</v>
          </cell>
          <cell r="Y98" t="str">
            <v/>
          </cell>
          <cell r="Z98" t="str">
            <v/>
          </cell>
          <cell r="AA98" t="str">
            <v>IVECO DAILY - CAIXA / PLATAFORMA ELEVATÓRIA</v>
          </cell>
          <cell r="AB98">
            <v>7200</v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>
            <v>25.9</v>
          </cell>
          <cell r="AI98" t="str">
            <v>C_PT-PT_DAILY_+3.5_06-2019_CS03</v>
          </cell>
          <cell r="AJ98" t="str">
            <v>M_PT-PT_DAILY_3.0_180-HD-€VI-E_Bat105A_BV.HIMATIC</v>
          </cell>
          <cell r="AK98" t="str">
            <v>CH_PT-PT_DAILY-CC_70C_225-75R16_HELPER_GSRII_120L</v>
          </cell>
          <cell r="AL98" t="str">
            <v>CS_PT-PT_DAILY+_C3</v>
          </cell>
          <cell r="AM98" t="str">
            <v/>
          </cell>
          <cell r="AN98" t="str">
            <v>HL_PT-PT_RB_DH-LMA10_ALU_750kg-CG750_1600mm_CS-CH</v>
          </cell>
          <cell r="AO98" t="str">
            <v>\\petitforestier.fr\siege\Applications\BaseProduits\Datas\Publipostage\Images\PUBLICATION - SEC - HYGIENE - EURO 6\PLAN VEHICULES\PLANS 2014\IVECO\70C-1048_CS03.jpg</v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petitforestier.fr\siege\Applications\BaseProduits\Datas\Publipostage\Images\PUBLICATION%20-%20EURO%206\PLAN%20VEHICULES\RENAULT_D12.210PCF02_TKT1000-Spec.jpg" TargetMode="External"/><Relationship Id="rId18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26" Type="http://schemas.openxmlformats.org/officeDocument/2006/relationships/hyperlink" Target="file:///\\petitforestier.fr\siege\Applications\BaseProduits\Datas\Publipostage\Images\PUBLICATION%20-%20EURO%206\PLAN%20VEHICULES\IVECO_DAILY_35S-CF01_X350T.jpg" TargetMode="External"/><Relationship Id="rId39" Type="http://schemas.openxmlformats.org/officeDocument/2006/relationships/hyperlink" Target="file:///\\petitforestier.fr\siege\Applications\BaseProduits\Datas\Publipostage\Images\PUBLICATION%20-%20SEC%20-%20HYGIENE%20-%20EURO%206\PLAN%20VEHICULES\PLANS%202014\RENAULT\D19.280%20CS%2001.jpg" TargetMode="External"/><Relationship Id="rId21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34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42" Type="http://schemas.openxmlformats.org/officeDocument/2006/relationships/hyperlink" Target="file:///\\petitforestier.fr\siege\Applications\BaseProduits\Datas\Publipostage\Images\PUBLICATION%20-%20SEC%20-%20HYGIENE%20-%20EURO%206\PLAN%20VEHICULES\PLANS%202014\RENAULT\D19.280%20CS%2001.jpg" TargetMode="External"/><Relationship Id="rId7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16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9" Type="http://schemas.openxmlformats.org/officeDocument/2006/relationships/hyperlink" Target="file:///\\petitforestier.fr\siege\Applications\BaseProduits\Datas\Publipostage\Images\PUBLICATION%20-%20EURO%206\PLAN%20VEHICULES\IVECO_DAILY_35S-CF01_X350T.jpg" TargetMode="External"/><Relationship Id="rId1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6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11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24" Type="http://schemas.openxmlformats.org/officeDocument/2006/relationships/hyperlink" Target="file:///\\petitforestier.fr\siege\Applications\BaseProduits\Datas\Publipostage\Images\PUBLICATION%20-%20EURO%206\PLAN%20VEHICULES\RENAULT_D12.210PCF02_TKT1000-Spec.jpg" TargetMode="External"/><Relationship Id="rId32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37" Type="http://schemas.openxmlformats.org/officeDocument/2006/relationships/hyperlink" Target="file:///\\petitforestier.fr\siege\Applications\BaseProduits\Datas\Publipostage\Images\PUBLICATION%20-%20SEC%20-%20HYGIENE%20-%20EURO%206\PLAN%20VEHICULES\PLANS%202014\RENAULT\D16.210%20CS%2001.jpg" TargetMode="External"/><Relationship Id="rId40" Type="http://schemas.openxmlformats.org/officeDocument/2006/relationships/hyperlink" Target="file:///\\petitforestier.fr\siege\Applications\BaseProduits\Datas\Publipostage\Images\PUBLICATION%20-%20SEC%20-%20HYGIENE%20-%20EURO%206\PLAN%20VEHICULES\PLANS%202014\RENAULT\D16.210%20CS%2001.jpg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15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3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28" Type="http://schemas.openxmlformats.org/officeDocument/2006/relationships/hyperlink" Target="file:///\\petitforestier.fr\siege\Applications\BaseProduits\Datas\Publipostage\Images\PUBLICATION%20-%20EURO%206\PLAN%20VEHICULES\IVECO_DAILY_35S-CF01_X350T.jpg" TargetMode="External"/><Relationship Id="rId36" Type="http://schemas.openxmlformats.org/officeDocument/2006/relationships/hyperlink" Target="file:///\\petitforestier.fr\siege\Applications\BaseProduits\Datas\Publipostage\Images\PUBLICATION%20-%20SEC%20-%20HYGIENE%20-%20EURO%206\PLAN%20VEHICULES\PLANS%202014\IVECO\70C_CS03.jpg" TargetMode="External"/><Relationship Id="rId10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19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31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44" Type="http://schemas.openxmlformats.org/officeDocument/2006/relationships/hyperlink" Target="file:///\\petitforestier.fr\siege\Applications\BaseProduits\Datas\Publipostage\Images\PUBLICATION%20-%20SEC%20-%20HYGIENE%20-%20EURO%206\PLAN%20VEHICULES\PLANS%202014\RENAULT\D16.210%20CS%2001.jpg" TargetMode="External"/><Relationship Id="rId4" Type="http://schemas.openxmlformats.org/officeDocument/2006/relationships/hyperlink" Target="file:///\\petitforestier.fr\siege\Applications\BaseProduits\Datas\Publipostage\Images\PUBLICATION%20-%20EURO%206\PLAN%20VEHICULES\RENAULT_D12.210PCF02_TKT1000-Spec.jpg" TargetMode="External"/><Relationship Id="rId9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14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2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7" Type="http://schemas.openxmlformats.org/officeDocument/2006/relationships/hyperlink" Target="file:///\\petitforestier.fr\siege\Applications\BaseProduits\Datas\Publipostage\Images\PUBLICATION%20-%20EURO%206\PLAN%20VEHICULES\IVECO_DAILY_35S-CF01_X350T.jpg" TargetMode="External"/><Relationship Id="rId30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35" Type="http://schemas.openxmlformats.org/officeDocument/2006/relationships/hyperlink" Target="file:///\\petitforestier.fr\siege\Applications\BaseProduits\Datas\Publipostage\Images\PUBLICATION%20-%20SEC%20-%20HYGIENE%20-%20EURO%206\PLAN%20VEHICULES\PLANS%202014\IVECO\70C_CS03.jpg" TargetMode="External"/><Relationship Id="rId43" Type="http://schemas.openxmlformats.org/officeDocument/2006/relationships/hyperlink" Target="file:///\\petitforestier.fr\siege\Applications\BaseProduits\Datas\Publipostage\Images\PUBLICATION%20-%20SEC%20-%20HYGIENE%20-%20EURO%206\PLAN%20VEHICULES\PLANS%202014\RENAULT\D19.280%20CS%2001.jpg" TargetMode="External"/><Relationship Id="rId8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3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12" Type="http://schemas.openxmlformats.org/officeDocument/2006/relationships/hyperlink" Target="file:///\\petitforestier.fr\siege\Applications\BaseProduits\Datas\Publipostage\Images\PUBLICATION%20-%20EURO%206\PLAN%20VEHICULES\IVECO_EUROCARGO_160E25PCF02_TKT1000-Spec.jpg" TargetMode="External"/><Relationship Id="rId17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25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33" Type="http://schemas.openxmlformats.org/officeDocument/2006/relationships/hyperlink" Target="file:///\\petitforestier.fr\siege\Applications\BaseProduits\Datas\Publipostage\Images\PUBLICATION%20-%20EURO%206\PLAN%20VEHICULES\RENAULT_D16.250PCF02_TKT1000-Spec.jpg" TargetMode="External"/><Relationship Id="rId38" Type="http://schemas.openxmlformats.org/officeDocument/2006/relationships/hyperlink" Target="file:///\\petitforestier.fr\siege\Applications\BaseProduits\Datas\Publipostage\Images\PUBLICATION%20-%20SEC%20-%20HYGIENE%20-%20EURO%206\PLAN%20VEHICULES\PLANS%202014\RENAULT\D19.280%20CS%2001.jpg" TargetMode="External"/><Relationship Id="rId20" Type="http://schemas.openxmlformats.org/officeDocument/2006/relationships/hyperlink" Target="file:///\\petitforestier.fr\siege\Applications\BaseProduits\Datas\Publipostage\Images\PUBLICATION%20-%20EURO%206\PLAN%20VEHICULES\RENAULT_D12.210PCF02_TKT1000-Spec.jpg" TargetMode="External"/><Relationship Id="rId41" Type="http://schemas.openxmlformats.org/officeDocument/2006/relationships/hyperlink" Target="file:///\\petitforestier.fr\siege\Applications\BaseProduits\Datas\Publipostage\Images\PUBLICATION%20-%20SEC%20-%20HYGIENE%20-%20EURO%206\PLAN%20VEHICULES\PLANS%202014\RENAULT\D16.210%20CS%2001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B007-EBF1-4D61-901B-FEECBCB81EC1}">
  <sheetPr>
    <pageSetUpPr fitToPage="1"/>
  </sheetPr>
  <dimension ref="A1:GAC105"/>
  <sheetViews>
    <sheetView zoomScale="80" zoomScaleNormal="80" workbookViewId="0">
      <pane xSplit="14" ySplit="1" topLeftCell="T102" activePane="bottomRight" state="frozen"/>
      <selection pane="topRight" activeCell="O1" sqref="O1"/>
      <selection pane="bottomLeft" activeCell="A2" sqref="A2"/>
      <selection pane="bottomRight" activeCell="X53" sqref="X53:Y53"/>
    </sheetView>
  </sheetViews>
  <sheetFormatPr baseColWidth="10" defaultColWidth="10.7109375" defaultRowHeight="24.95" customHeight="1" outlineLevelCol="1" x14ac:dyDescent="0.25"/>
  <cols>
    <col min="1" max="1" width="10.7109375" style="80"/>
    <col min="2" max="2" width="25.5703125" style="80" customWidth="1"/>
    <col min="3" max="4" width="19" style="80" hidden="1" customWidth="1" outlineLevel="1"/>
    <col min="5" max="5" width="13.85546875" style="80" customWidth="1" collapsed="1"/>
    <col min="6" max="6" width="13.28515625" style="80" customWidth="1"/>
    <col min="7" max="9" width="10.7109375" style="80" hidden="1" customWidth="1" outlineLevel="1"/>
    <col min="10" max="10" width="13.28515625" style="80" hidden="1" customWidth="1" outlineLevel="1"/>
    <col min="11" max="11" width="16.140625" style="80" hidden="1" customWidth="1" outlineLevel="1" collapsed="1"/>
    <col min="12" max="12" width="13.7109375" style="80" hidden="1" customWidth="1" outlineLevel="1"/>
    <col min="13" max="13" width="38.85546875" style="80" customWidth="1" collapsed="1"/>
    <col min="14" max="14" width="10.7109375" style="80"/>
    <col min="15" max="16" width="10.7109375" style="80" customWidth="1"/>
    <col min="17" max="17" width="10.7109375" style="80" customWidth="1" collapsed="1"/>
    <col min="18" max="18" width="8.7109375" style="80" customWidth="1"/>
    <col min="19" max="21" width="10.7109375" style="80" customWidth="1"/>
    <col min="22" max="22" width="10.7109375" style="48" customWidth="1"/>
    <col min="23" max="25" width="10.7109375" style="80" customWidth="1"/>
    <col min="26" max="26" width="10.7109375" style="80" customWidth="1" collapsed="1"/>
    <col min="27" max="27" width="67.42578125" style="81" customWidth="1"/>
    <col min="28" max="29" width="8.28515625" style="48" customWidth="1"/>
    <col min="30" max="31" width="10.7109375" style="80" customWidth="1" outlineLevel="1"/>
    <col min="32" max="33" width="10.7109375" style="80" customWidth="1" outlineLevel="1" collapsed="1"/>
    <col min="34" max="34" width="10.7109375" style="80" customWidth="1"/>
    <col min="35" max="35" width="51.140625" style="80" customWidth="1" collapsed="1"/>
    <col min="36" max="38" width="51.140625" style="80" customWidth="1"/>
    <col min="39" max="39" width="36.5703125" style="81" customWidth="1" collapsed="1"/>
    <col min="40" max="42" width="36.5703125" style="81" customWidth="1"/>
    <col min="43" max="43" width="46.28515625" style="80" customWidth="1" collapsed="1"/>
    <col min="44" max="46" width="46.28515625" style="80" customWidth="1"/>
    <col min="47" max="47" width="35.85546875" style="80" customWidth="1" collapsed="1"/>
    <col min="48" max="48" width="35.85546875" style="80" customWidth="1"/>
    <col min="49" max="50" width="44.140625" style="81" customWidth="1"/>
    <col min="51" max="52" width="42.5703125" style="80" customWidth="1"/>
    <col min="53" max="55" width="60.42578125" style="82" customWidth="1"/>
    <col min="56" max="56" width="10.7109375" style="80" customWidth="1" outlineLevel="1"/>
    <col min="57" max="57" width="10.7109375" style="80" customWidth="1" outlineLevel="1" collapsed="1"/>
    <col min="58" max="77" width="10.7109375" style="80" customWidth="1" outlineLevel="1"/>
    <col min="78" max="16384" width="10.7109375" style="80"/>
  </cols>
  <sheetData>
    <row r="1" spans="1:71" s="65" customFormat="1" ht="67.5" x14ac:dyDescent="0.25">
      <c r="A1" s="35" t="s">
        <v>0</v>
      </c>
      <c r="B1" s="78" t="s">
        <v>77</v>
      </c>
      <c r="C1" s="35" t="s">
        <v>90</v>
      </c>
      <c r="D1" s="35" t="s">
        <v>711</v>
      </c>
      <c r="E1" s="35" t="s">
        <v>1</v>
      </c>
      <c r="F1" s="35" t="s">
        <v>2</v>
      </c>
      <c r="G1" s="35" t="s">
        <v>84</v>
      </c>
      <c r="H1" s="35" t="s">
        <v>83</v>
      </c>
      <c r="I1" s="35" t="s">
        <v>3</v>
      </c>
      <c r="J1" s="35" t="s">
        <v>146</v>
      </c>
      <c r="K1" s="35" t="s">
        <v>82</v>
      </c>
      <c r="L1" s="35" t="s">
        <v>81</v>
      </c>
      <c r="M1" s="35" t="s">
        <v>4</v>
      </c>
      <c r="N1" s="35" t="s">
        <v>5</v>
      </c>
      <c r="O1" s="35" t="s">
        <v>79</v>
      </c>
      <c r="P1" s="35" t="s">
        <v>78</v>
      </c>
      <c r="Q1" s="35" t="s">
        <v>6</v>
      </c>
      <c r="R1" s="35" t="s">
        <v>80</v>
      </c>
      <c r="S1" s="35" t="s">
        <v>7</v>
      </c>
      <c r="T1" s="35" t="s">
        <v>8</v>
      </c>
      <c r="U1" s="35" t="s">
        <v>9</v>
      </c>
      <c r="V1" s="35" t="s">
        <v>10</v>
      </c>
      <c r="W1" s="35" t="s">
        <v>11</v>
      </c>
      <c r="X1" s="35" t="s">
        <v>12</v>
      </c>
      <c r="Y1" s="35" t="s">
        <v>13</v>
      </c>
      <c r="Z1" s="35" t="s">
        <v>353</v>
      </c>
      <c r="AA1" s="35" t="s">
        <v>14</v>
      </c>
      <c r="AB1" s="35" t="s">
        <v>15</v>
      </c>
      <c r="AC1" s="35" t="s">
        <v>16</v>
      </c>
      <c r="AD1" s="35" t="s">
        <v>17</v>
      </c>
      <c r="AE1" s="35" t="s">
        <v>18</v>
      </c>
      <c r="AF1" s="35" t="s">
        <v>19</v>
      </c>
      <c r="AG1" s="35" t="s">
        <v>20</v>
      </c>
      <c r="AH1" s="35" t="s">
        <v>21</v>
      </c>
      <c r="AI1" s="35" t="s">
        <v>22</v>
      </c>
      <c r="AJ1" s="35" t="s">
        <v>602</v>
      </c>
      <c r="AK1" s="35" t="s">
        <v>405</v>
      </c>
      <c r="AL1" s="35" t="s">
        <v>601</v>
      </c>
      <c r="AM1" s="35" t="s">
        <v>24</v>
      </c>
      <c r="AN1" s="35" t="s">
        <v>600</v>
      </c>
      <c r="AO1" s="35" t="s">
        <v>25</v>
      </c>
      <c r="AP1" s="35" t="s">
        <v>598</v>
      </c>
      <c r="AQ1" s="35" t="s">
        <v>26</v>
      </c>
      <c r="AR1" s="35" t="s">
        <v>599</v>
      </c>
      <c r="AS1" s="35" t="s">
        <v>27</v>
      </c>
      <c r="AT1" s="35" t="s">
        <v>597</v>
      </c>
      <c r="AU1" s="79" t="s">
        <v>603</v>
      </c>
      <c r="AV1" s="79" t="s">
        <v>604</v>
      </c>
      <c r="AW1" s="79" t="s">
        <v>605</v>
      </c>
      <c r="AX1" s="35" t="s">
        <v>149</v>
      </c>
      <c r="AY1" s="35" t="s">
        <v>148</v>
      </c>
      <c r="AZ1" s="35" t="s">
        <v>104</v>
      </c>
      <c r="BA1" s="35" t="s">
        <v>105</v>
      </c>
      <c r="BB1" s="35" t="s">
        <v>106</v>
      </c>
      <c r="BC1" s="35" t="s">
        <v>107</v>
      </c>
      <c r="BD1" s="35" t="s">
        <v>108</v>
      </c>
      <c r="BE1" s="35" t="s">
        <v>102</v>
      </c>
      <c r="BF1" s="35" t="s">
        <v>103</v>
      </c>
      <c r="BG1" s="35" t="s">
        <v>100</v>
      </c>
      <c r="BH1" s="35" t="s">
        <v>101</v>
      </c>
      <c r="BI1" s="35" t="s">
        <v>52</v>
      </c>
      <c r="BJ1" s="35" t="s">
        <v>53</v>
      </c>
      <c r="BK1" s="35" t="s">
        <v>54</v>
      </c>
      <c r="BL1" s="35" t="s">
        <v>55</v>
      </c>
      <c r="BM1" s="35" t="s">
        <v>56</v>
      </c>
      <c r="BN1" s="35" t="s">
        <v>57</v>
      </c>
      <c r="BO1" s="35" t="s">
        <v>58</v>
      </c>
      <c r="BP1" s="35" t="s">
        <v>59</v>
      </c>
      <c r="BQ1" s="35" t="s">
        <v>60</v>
      </c>
      <c r="BR1" s="35" t="s">
        <v>61</v>
      </c>
      <c r="BS1" s="35" t="s">
        <v>62</v>
      </c>
    </row>
    <row r="2" spans="1:71" s="87" customFormat="1" ht="24.95" customHeight="1" x14ac:dyDescent="0.25">
      <c r="A2" s="9" t="s">
        <v>204</v>
      </c>
      <c r="B2" s="91" t="s">
        <v>694</v>
      </c>
      <c r="C2" s="36"/>
      <c r="D2" s="84"/>
      <c r="E2" s="83" t="s">
        <v>33</v>
      </c>
      <c r="F2" s="83" t="s">
        <v>34</v>
      </c>
      <c r="G2" s="83" t="s">
        <v>85</v>
      </c>
      <c r="H2" s="83" t="s">
        <v>12</v>
      </c>
      <c r="I2" s="83"/>
      <c r="J2" s="97"/>
      <c r="K2" s="83" t="s">
        <v>30</v>
      </c>
      <c r="L2" s="97"/>
      <c r="M2" s="83" t="s">
        <v>2750</v>
      </c>
      <c r="N2" s="83" t="s">
        <v>609</v>
      </c>
      <c r="O2" s="37">
        <v>3527</v>
      </c>
      <c r="P2" s="37">
        <v>1906</v>
      </c>
      <c r="Q2" s="37">
        <v>2050</v>
      </c>
      <c r="R2" s="37"/>
      <c r="S2" s="37">
        <v>3006</v>
      </c>
      <c r="T2" s="37">
        <v>2050</v>
      </c>
      <c r="U2" s="37">
        <v>6212</v>
      </c>
      <c r="V2" s="37">
        <v>865</v>
      </c>
      <c r="W2" s="37">
        <v>3450</v>
      </c>
      <c r="X2" s="37">
        <v>1725</v>
      </c>
      <c r="Y2" s="37"/>
      <c r="Z2" s="37">
        <v>5</v>
      </c>
      <c r="AA2" s="37" t="s">
        <v>2691</v>
      </c>
      <c r="AB2" s="37">
        <v>3500</v>
      </c>
      <c r="AC2" s="37">
        <v>715</v>
      </c>
      <c r="AD2" s="83"/>
      <c r="AE2" s="83"/>
      <c r="AF2" s="83"/>
      <c r="AG2" s="83"/>
      <c r="AH2" s="37">
        <v>13.7</v>
      </c>
      <c r="AI2" s="108" t="s">
        <v>617</v>
      </c>
      <c r="AJ2" s="108"/>
      <c r="AK2" s="108" t="s">
        <v>618</v>
      </c>
      <c r="AL2" s="108"/>
      <c r="AM2" s="108" t="s">
        <v>619</v>
      </c>
      <c r="AN2" s="108"/>
      <c r="AO2" s="108" t="s">
        <v>620</v>
      </c>
      <c r="AP2" s="108"/>
      <c r="AQ2" s="108" t="s">
        <v>621</v>
      </c>
      <c r="AR2" s="108"/>
      <c r="AS2" s="108"/>
      <c r="AT2" s="108"/>
      <c r="AU2" s="83" t="s">
        <v>622</v>
      </c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6">
        <f>IF(CONCATENATE(A2,B2,C2,D2,E2,F2,G2,H2,I2,J2,K2,L2,M2,N2,O2,P2,Q2,R2,S2,T2,U2,V2,W2,X2,Y2,Z2,AA2,AB2,AC2,AD2,AE2,AF2,AG2,AH2,AI2,AK2,AM2,AO2,AQ2,AS2,AU2,AV2,AW2,AX2,AY2,AZ2,BA2,BB2,BC2,BD2,BE2,BF2,BG2,BH2,BI2,BJ2,BK2,BL2,BM2,BN2,BO2,BP2,BQ2)=(CONCATENATE([1]FS_referentiel_produits_std!A30,[1]FS_referentiel_produits_std!B30,[1]FS_referentiel_produits_std!C30,[1]FS_referentiel_produits_std!D30,[1]FS_referentiel_produits_std!E30,[1]FS_referentiel_produits_std!F30,[1]FS_referentiel_produits_std!G30,[1]FS_referentiel_produits_std!H30,[1]FS_referentiel_produits_std!I30,[1]FS_referentiel_produits_std!J30,[1]FS_referentiel_produits_std!K30,[1]FS_referentiel_produits_std!L30,[1]FS_referentiel_produits_std!M30,[1]FS_referentiel_produits_std!N30,[1]FS_referentiel_produits_std!O30,[1]FS_referentiel_produits_std!P30,[1]FS_referentiel_produits_std!Q30,[1]FS_referentiel_produits_std!R30,[1]FS_referentiel_produits_std!S30,[1]FS_referentiel_produits_std!T30,[1]FS_referentiel_produits_std!U30,[1]FS_referentiel_produits_std!V30,[1]FS_referentiel_produits_std!W30,[1]FS_referentiel_produits_std!X30,[1]FS_referentiel_produits_std!Y30,[1]FS_referentiel_produits_std!Z30,[1]FS_referentiel_produits_std!AA30,[1]FS_referentiel_produits_std!AB30,[1]FS_referentiel_produits_std!AC30,[1]FS_referentiel_produits_std!AD30,[1]FS_referentiel_produits_std!AE30,[1]FS_referentiel_produits_std!AF30,[1]FS_referentiel_produits_std!AG30,[1]FS_referentiel_produits_std!AH30,[1]FS_referentiel_produits_std!AI30,[1]FS_referentiel_produits_std!AJ30,[1]FS_referentiel_produits_std!AK30,[1]FS_referentiel_produits_std!AL30,[1]FS_referentiel_produits_std!AM30,[1]FS_referentiel_produits_std!AN30,[1]FS_referentiel_produits_std!AO30,[1]FS_referentiel_produits_std!AP30,[1]FS_referentiel_produits_std!AQ30,[1]FS_referentiel_produits_std!AR30,[1]FS_referentiel_produits_std!AS30,[1]FS_referentiel_produits_std!AT30,[1]FS_referentiel_produits_std!AU30,[1]FS_referentiel_produits_std!AV30,[1]FS_referentiel_produits_std!AW30,[1]FS_referentiel_produits_std!AX30,[1]FS_referentiel_produits_std!AY30,[1]FS_referentiel_produits_std!AZ30,[1]FS_referentiel_produits_std!BA30,[1]FS_referentiel_produits_std!BB30,[1]FS_referentiel_produits_std!BC30,[1]FS_referentiel_produits_std!BD30,[1]FS_referentiel_produits_std!BE30,[1]FS_referentiel_produits_std!BF30,[1]FS_referentiel_produits_std!BG30,[1]FS_referentiel_produits_std!BH30,[1]FS_referentiel_produits_std!BI30,[1]FS_referentiel_produits_std!BJ30,[1]FS_referentiel_produits_std!BK30)),0,1)</f>
        <v>1</v>
      </c>
    </row>
    <row r="3" spans="1:71" s="87" customFormat="1" ht="24.95" customHeight="1" x14ac:dyDescent="0.25">
      <c r="A3" s="9" t="s">
        <v>204</v>
      </c>
      <c r="B3" s="91" t="s">
        <v>694</v>
      </c>
      <c r="C3" s="36"/>
      <c r="D3" s="84"/>
      <c r="E3" s="83" t="s">
        <v>33</v>
      </c>
      <c r="F3" s="83" t="s">
        <v>34</v>
      </c>
      <c r="G3" s="83" t="s">
        <v>623</v>
      </c>
      <c r="H3" s="83" t="s">
        <v>12</v>
      </c>
      <c r="I3" s="83"/>
      <c r="J3" s="97"/>
      <c r="K3" s="83" t="s">
        <v>30</v>
      </c>
      <c r="L3" s="97"/>
      <c r="M3" s="83" t="s">
        <v>695</v>
      </c>
      <c r="N3" s="89" t="s">
        <v>635</v>
      </c>
      <c r="O3" s="37">
        <v>3722</v>
      </c>
      <c r="P3" s="37">
        <v>2146</v>
      </c>
      <c r="Q3" s="37">
        <v>2050</v>
      </c>
      <c r="R3" s="37"/>
      <c r="S3" s="37">
        <v>3232</v>
      </c>
      <c r="T3" s="37">
        <v>2300</v>
      </c>
      <c r="U3" s="37">
        <v>6482</v>
      </c>
      <c r="V3" s="37">
        <v>1090</v>
      </c>
      <c r="W3" s="37">
        <v>3750</v>
      </c>
      <c r="X3" s="37">
        <v>1675</v>
      </c>
      <c r="Y3" s="37"/>
      <c r="Z3" s="37">
        <v>7</v>
      </c>
      <c r="AA3" s="37" t="s">
        <v>2694</v>
      </c>
      <c r="AB3" s="37">
        <v>7200</v>
      </c>
      <c r="AC3" s="37">
        <v>2855</v>
      </c>
      <c r="AD3" s="37"/>
      <c r="AE3" s="37"/>
      <c r="AF3" s="37"/>
      <c r="AG3" s="37"/>
      <c r="AH3" s="37">
        <v>16.3</v>
      </c>
      <c r="AI3" s="108" t="s">
        <v>626</v>
      </c>
      <c r="AJ3" s="108"/>
      <c r="AK3" s="108" t="s">
        <v>627</v>
      </c>
      <c r="AL3" s="108"/>
      <c r="AM3" s="110" t="s">
        <v>628</v>
      </c>
      <c r="AN3" s="110"/>
      <c r="AO3" s="108" t="s">
        <v>630</v>
      </c>
      <c r="AP3" s="108"/>
      <c r="AQ3" s="108" t="s">
        <v>631</v>
      </c>
      <c r="AR3" s="108"/>
      <c r="AS3" s="108" t="s">
        <v>629</v>
      </c>
      <c r="AT3" s="108"/>
      <c r="AU3" s="83" t="s">
        <v>632</v>
      </c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6">
        <f>IF(CONCATENATE(A3,B3,C3,D3,E3,F3,G3,H3,I3,J3,K3,L3,M3,N3,O3,P3,Q3,R3,S3,T3,U3,V3,W3,X3,Y3,Z3,AA3,AB3,AC3,AD3,AE3,AF3,AG3,AH3,AI3,AK3,AM3,AO3,AQ3,AS3,AU3,AV3,AW3,AX3,AY3,AZ3,BA3,BB3,BC3,BD3,BE3,BF3,BG3,BH3,BI3,BJ3,BK3,BL3,BM3,BN3,BO3,BP3,BQ3)=(CONCATENATE([1]FS_referentiel_produits_std!A32,[1]FS_referentiel_produits_std!B32,[1]FS_referentiel_produits_std!C32,[1]FS_referentiel_produits_std!D32,[1]FS_referentiel_produits_std!E32,[1]FS_referentiel_produits_std!F32,[1]FS_referentiel_produits_std!G32,[1]FS_referentiel_produits_std!H32,[1]FS_referentiel_produits_std!I32,[1]FS_referentiel_produits_std!J32,[1]FS_referentiel_produits_std!K32,[1]FS_referentiel_produits_std!L32,[1]FS_referentiel_produits_std!M32,[1]FS_referentiel_produits_std!N32,[1]FS_referentiel_produits_std!O32,[1]FS_referentiel_produits_std!P32,[1]FS_referentiel_produits_std!Q32,[1]FS_referentiel_produits_std!R32,[1]FS_referentiel_produits_std!S32,[1]FS_referentiel_produits_std!T32,[1]FS_referentiel_produits_std!U32,[1]FS_referentiel_produits_std!V32,[1]FS_referentiel_produits_std!W32,[1]FS_referentiel_produits_std!X32,[1]FS_referentiel_produits_std!Y32,[1]FS_referentiel_produits_std!Z32,[1]FS_referentiel_produits_std!AA32,[1]FS_referentiel_produits_std!AB32,[1]FS_referentiel_produits_std!AC32,[1]FS_referentiel_produits_std!AD32,[1]FS_referentiel_produits_std!AE32,[1]FS_referentiel_produits_std!AF32,[1]FS_referentiel_produits_std!AG32,[1]FS_referentiel_produits_std!AH32,[1]FS_referentiel_produits_std!AI32,[1]FS_referentiel_produits_std!AJ32,[1]FS_referentiel_produits_std!AK32,[1]FS_referentiel_produits_std!AL32,[1]FS_referentiel_produits_std!AM32,[1]FS_referentiel_produits_std!AN32,[1]FS_referentiel_produits_std!AO32,[1]FS_referentiel_produits_std!AP32,[1]FS_referentiel_produits_std!AQ32,[1]FS_referentiel_produits_std!AR32,[1]FS_referentiel_produits_std!AS32,[1]FS_referentiel_produits_std!AT32,[1]FS_referentiel_produits_std!AU32,[1]FS_referentiel_produits_std!AV32,[1]FS_referentiel_produits_std!AW32,[1]FS_referentiel_produits_std!AX32,[1]FS_referentiel_produits_std!AY32,[1]FS_referentiel_produits_std!AZ32,[1]FS_referentiel_produits_std!BA32,[1]FS_referentiel_produits_std!BB32,[1]FS_referentiel_produits_std!BC32,[1]FS_referentiel_produits_std!BD32,[1]FS_referentiel_produits_std!BE32,[1]FS_referentiel_produits_std!BF32,[1]FS_referentiel_produits_std!BG32,[1]FS_referentiel_produits_std!BH32,[1]FS_referentiel_produits_std!BI32,[1]FS_referentiel_produits_std!BJ32,[1]FS_referentiel_produits_std!BK32)),0,1)</f>
        <v>1</v>
      </c>
    </row>
    <row r="4" spans="1:71" s="87" customFormat="1" ht="24.95" customHeight="1" x14ac:dyDescent="0.25">
      <c r="A4" s="9" t="s">
        <v>204</v>
      </c>
      <c r="B4" s="91" t="s">
        <v>694</v>
      </c>
      <c r="C4" s="36"/>
      <c r="D4" s="84"/>
      <c r="E4" s="83" t="s">
        <v>33</v>
      </c>
      <c r="F4" s="83" t="s">
        <v>37</v>
      </c>
      <c r="G4" s="83" t="s">
        <v>41</v>
      </c>
      <c r="H4" s="83" t="s">
        <v>12</v>
      </c>
      <c r="I4" s="83" t="s">
        <v>7</v>
      </c>
      <c r="J4" s="97"/>
      <c r="K4" s="83" t="s">
        <v>30</v>
      </c>
      <c r="L4" s="97"/>
      <c r="M4" s="83" t="s">
        <v>994</v>
      </c>
      <c r="N4" s="83" t="s">
        <v>624</v>
      </c>
      <c r="O4" s="37">
        <v>5770</v>
      </c>
      <c r="P4" s="37">
        <v>2478</v>
      </c>
      <c r="Q4" s="37">
        <v>2400</v>
      </c>
      <c r="R4" s="37"/>
      <c r="S4" s="37">
        <v>3685</v>
      </c>
      <c r="T4" s="37">
        <v>2600</v>
      </c>
      <c r="U4" s="37">
        <v>8012</v>
      </c>
      <c r="V4" s="37">
        <v>1150</v>
      </c>
      <c r="W4" s="37">
        <v>4185</v>
      </c>
      <c r="X4" s="37">
        <v>2465</v>
      </c>
      <c r="Y4" s="37"/>
      <c r="Z4" s="37">
        <v>12</v>
      </c>
      <c r="AA4" s="37" t="s">
        <v>2695</v>
      </c>
      <c r="AB4" s="37">
        <v>11990</v>
      </c>
      <c r="AC4" s="37">
        <v>3435</v>
      </c>
      <c r="AD4" s="37"/>
      <c r="AE4" s="37"/>
      <c r="AF4" s="37"/>
      <c r="AG4" s="37"/>
      <c r="AH4" s="37">
        <v>34</v>
      </c>
      <c r="AI4" s="108" t="s">
        <v>637</v>
      </c>
      <c r="AJ4" s="108"/>
      <c r="AK4" s="108" t="s">
        <v>638</v>
      </c>
      <c r="AL4" s="108"/>
      <c r="AM4" s="108" t="s">
        <v>639</v>
      </c>
      <c r="AN4" s="108"/>
      <c r="AO4" s="108" t="s">
        <v>640</v>
      </c>
      <c r="AP4" s="108"/>
      <c r="AQ4" s="108" t="s">
        <v>641</v>
      </c>
      <c r="AR4" s="108"/>
      <c r="AS4" s="108" t="s">
        <v>642</v>
      </c>
      <c r="AT4" s="108"/>
      <c r="AU4" s="83" t="s">
        <v>68</v>
      </c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6">
        <f>IF(CONCATENATE(A4,B4,C4,D4,E4,F4,G4,H4,I4,J4,K4,L4,M4,N4,O4,P4,Q4,R4,S4,T4,U4,V4,W4,X4,Y4,Z4,AA4,AB4,AC4,AD4,AE4,AF4,AG4,AH4,AI4,AK4,AM4,AO4,AQ4,AS4,AU4,AV4,AW4,AX4,AY4,AZ4,BA4,BB4,BC4,BD4,BE4,BF4,BG4,BH4,BI4,BJ4,BK4,BL4,BM4,BN4,BO4,BP4,BQ4)=(CONCATENATE([1]FS_referentiel_produits_std!A32,[1]FS_referentiel_produits_std!B32,[1]FS_referentiel_produits_std!C32,[1]FS_referentiel_produits_std!D32,[1]FS_referentiel_produits_std!E32,[1]FS_referentiel_produits_std!F32,[1]FS_referentiel_produits_std!G32,[1]FS_referentiel_produits_std!H32,[1]FS_referentiel_produits_std!I32,[1]FS_referentiel_produits_std!J32,[1]FS_referentiel_produits_std!K32,[1]FS_referentiel_produits_std!L32,[1]FS_referentiel_produits_std!M32,[1]FS_referentiel_produits_std!N32,[1]FS_referentiel_produits_std!O32,[1]FS_referentiel_produits_std!P32,[1]FS_referentiel_produits_std!Q32,[1]FS_referentiel_produits_std!R32,[1]FS_referentiel_produits_std!S32,[1]FS_referentiel_produits_std!T32,[1]FS_referentiel_produits_std!U32,[1]FS_referentiel_produits_std!V32,[1]FS_referentiel_produits_std!W32,[1]FS_referentiel_produits_std!X32,[1]FS_referentiel_produits_std!Y32,[1]FS_referentiel_produits_std!Z32,[1]FS_referentiel_produits_std!AA32,[1]FS_referentiel_produits_std!AB32,[1]FS_referentiel_produits_std!AC32,[1]FS_referentiel_produits_std!AD32,[1]FS_referentiel_produits_std!AE32,[1]FS_referentiel_produits_std!AF32,[1]FS_referentiel_produits_std!AG32,[1]FS_referentiel_produits_std!AH32,[1]FS_referentiel_produits_std!AI32,[1]FS_referentiel_produits_std!AJ32,[1]FS_referentiel_produits_std!AK32,[1]FS_referentiel_produits_std!AL32,[1]FS_referentiel_produits_std!AM32,[1]FS_referentiel_produits_std!AN32,[1]FS_referentiel_produits_std!AO32,[1]FS_referentiel_produits_std!AP32,[1]FS_referentiel_produits_std!AQ32,[1]FS_referentiel_produits_std!AR32,[1]FS_referentiel_produits_std!AS32,[1]FS_referentiel_produits_std!AT32,[1]FS_referentiel_produits_std!AU32,[1]FS_referentiel_produits_std!AV32,[1]FS_referentiel_produits_std!AW32,[1]FS_referentiel_produits_std!AX32,[1]FS_referentiel_produits_std!AY32,[1]FS_referentiel_produits_std!AZ32,[1]FS_referentiel_produits_std!BA32,[1]FS_referentiel_produits_std!BB32,[1]FS_referentiel_produits_std!BC32,[1]FS_referentiel_produits_std!BD32,[1]FS_referentiel_produits_std!BE32,[1]FS_referentiel_produits_std!BF32,[1]FS_referentiel_produits_std!BG32,[1]FS_referentiel_produits_std!BH32,[1]FS_referentiel_produits_std!BI32,[1]FS_referentiel_produits_std!BJ32,[1]FS_referentiel_produits_std!BK32)),0,1)</f>
        <v>1</v>
      </c>
    </row>
    <row r="5" spans="1:71" s="87" customFormat="1" ht="24.95" customHeight="1" x14ac:dyDescent="0.25">
      <c r="A5" s="9" t="s">
        <v>204</v>
      </c>
      <c r="B5" s="91" t="s">
        <v>694</v>
      </c>
      <c r="C5" s="36"/>
      <c r="D5" s="84"/>
      <c r="E5" s="83" t="s">
        <v>33</v>
      </c>
      <c r="F5" s="83" t="s">
        <v>37</v>
      </c>
      <c r="G5" s="83" t="s">
        <v>42</v>
      </c>
      <c r="H5" s="83" t="s">
        <v>12</v>
      </c>
      <c r="I5" s="83" t="s">
        <v>7</v>
      </c>
      <c r="J5" s="97"/>
      <c r="K5" s="83" t="s">
        <v>30</v>
      </c>
      <c r="L5" s="97"/>
      <c r="M5" s="83" t="s">
        <v>738</v>
      </c>
      <c r="N5" s="83" t="s">
        <v>624</v>
      </c>
      <c r="O5" s="37">
        <v>6770</v>
      </c>
      <c r="P5" s="37">
        <v>2478</v>
      </c>
      <c r="Q5" s="37">
        <v>2400</v>
      </c>
      <c r="R5" s="37"/>
      <c r="S5" s="37">
        <v>3695</v>
      </c>
      <c r="T5" s="37">
        <v>2600</v>
      </c>
      <c r="U5" s="37">
        <v>9012</v>
      </c>
      <c r="V5" s="37">
        <v>1160</v>
      </c>
      <c r="W5" s="37">
        <v>4815</v>
      </c>
      <c r="X5" s="37">
        <v>2835</v>
      </c>
      <c r="Y5" s="37"/>
      <c r="Z5" s="37">
        <v>15</v>
      </c>
      <c r="AA5" s="37" t="s">
        <v>2704</v>
      </c>
      <c r="AB5" s="37">
        <v>16000</v>
      </c>
      <c r="AC5" s="37">
        <v>6460</v>
      </c>
      <c r="AD5" s="37"/>
      <c r="AE5" s="37"/>
      <c r="AF5" s="37"/>
      <c r="AG5" s="37"/>
      <c r="AH5" s="37">
        <v>40</v>
      </c>
      <c r="AI5" s="108" t="s">
        <v>637</v>
      </c>
      <c r="AJ5" s="108"/>
      <c r="AK5" s="108" t="s">
        <v>643</v>
      </c>
      <c r="AL5" s="108"/>
      <c r="AM5" s="108" t="s">
        <v>644</v>
      </c>
      <c r="AN5" s="108"/>
      <c r="AO5" s="108" t="s">
        <v>645</v>
      </c>
      <c r="AP5" s="108"/>
      <c r="AQ5" s="108" t="s">
        <v>646</v>
      </c>
      <c r="AR5" s="108"/>
      <c r="AS5" s="108" t="s">
        <v>647</v>
      </c>
      <c r="AT5" s="108"/>
      <c r="AU5" s="90" t="s">
        <v>648</v>
      </c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6">
        <f>IF(CONCATENATE(A5,B5,C5,D5,E5,F5,G5,H5,I5,J5,K5,L5,M5,N5,O5,P5,Q5,R5,S5,T5,U5,V5,W5,X5,Y5,Z5,AA5,AB5,AC5,AD5,AE5,AF5,AG5,AH5,AI5,AK5,AM5,AO5,AQ5,AS5,AU5,AV5,AW5,AX5,AY5,AZ5,BA5,BB5,BC5,BD5,BE5,BF5,BG5,BH5,BI5,BJ5,BK5,BL5,BM5,BN5,BO5,BP5,BQ5)=(CONCATENATE([1]FS_referentiel_produits_std!A32,[1]FS_referentiel_produits_std!B32,[1]FS_referentiel_produits_std!C32,[1]FS_referentiel_produits_std!D32,[1]FS_referentiel_produits_std!E32,[1]FS_referentiel_produits_std!F32,[1]FS_referentiel_produits_std!G32,[1]FS_referentiel_produits_std!H32,[1]FS_referentiel_produits_std!I32,[1]FS_referentiel_produits_std!J32,[1]FS_referentiel_produits_std!K32,[1]FS_referentiel_produits_std!L32,[1]FS_referentiel_produits_std!M32,[1]FS_referentiel_produits_std!N32,[1]FS_referentiel_produits_std!O32,[1]FS_referentiel_produits_std!P32,[1]FS_referentiel_produits_std!Q32,[1]FS_referentiel_produits_std!R32,[1]FS_referentiel_produits_std!S32,[1]FS_referentiel_produits_std!T32,[1]FS_referentiel_produits_std!U32,[1]FS_referentiel_produits_std!V32,[1]FS_referentiel_produits_std!W32,[1]FS_referentiel_produits_std!X32,[1]FS_referentiel_produits_std!Y32,[1]FS_referentiel_produits_std!Z32,[1]FS_referentiel_produits_std!AA32,[1]FS_referentiel_produits_std!AB32,[1]FS_referentiel_produits_std!AC32,[1]FS_referentiel_produits_std!AD32,[1]FS_referentiel_produits_std!AE32,[1]FS_referentiel_produits_std!AF32,[1]FS_referentiel_produits_std!AG32,[1]FS_referentiel_produits_std!AH32,[1]FS_referentiel_produits_std!AI32,[1]FS_referentiel_produits_std!AJ32,[1]FS_referentiel_produits_std!AK32,[1]FS_referentiel_produits_std!AL32,[1]FS_referentiel_produits_std!AM32,[1]FS_referentiel_produits_std!AN32,[1]FS_referentiel_produits_std!AO32,[1]FS_referentiel_produits_std!AP32,[1]FS_referentiel_produits_std!AQ32,[1]FS_referentiel_produits_std!AR32,[1]FS_referentiel_produits_std!AS32,[1]FS_referentiel_produits_std!AT32,[1]FS_referentiel_produits_std!AU32,[1]FS_referentiel_produits_std!AV32,[1]FS_referentiel_produits_std!AW32,[1]FS_referentiel_produits_std!AX32,[1]FS_referentiel_produits_std!AY32,[1]FS_referentiel_produits_std!AZ32,[1]FS_referentiel_produits_std!BA32,[1]FS_referentiel_produits_std!BB32,[1]FS_referentiel_produits_std!BC32,[1]FS_referentiel_produits_std!BD32,[1]FS_referentiel_produits_std!BE32,[1]FS_referentiel_produits_std!BF32,[1]FS_referentiel_produits_std!BG32,[1]FS_referentiel_produits_std!BH32,[1]FS_referentiel_produits_std!BI32,[1]FS_referentiel_produits_std!BJ32,[1]FS_referentiel_produits_std!BK32)),0,1)</f>
        <v>1</v>
      </c>
    </row>
    <row r="6" spans="1:71" s="87" customFormat="1" ht="24.95" customHeight="1" x14ac:dyDescent="0.25">
      <c r="A6" s="9" t="s">
        <v>204</v>
      </c>
      <c r="B6" s="91" t="s">
        <v>694</v>
      </c>
      <c r="C6" s="36"/>
      <c r="D6" s="84"/>
      <c r="E6" s="83" t="s">
        <v>33</v>
      </c>
      <c r="F6" s="83" t="s">
        <v>37</v>
      </c>
      <c r="G6" s="83" t="s">
        <v>42</v>
      </c>
      <c r="H6" s="83" t="s">
        <v>12</v>
      </c>
      <c r="I6" s="83" t="s">
        <v>7</v>
      </c>
      <c r="J6" s="97"/>
      <c r="K6" s="83" t="s">
        <v>30</v>
      </c>
      <c r="L6" s="97"/>
      <c r="M6" s="83" t="s">
        <v>739</v>
      </c>
      <c r="N6" s="83" t="s">
        <v>624</v>
      </c>
      <c r="O6" s="37">
        <v>7070</v>
      </c>
      <c r="P6" s="37">
        <v>2478</v>
      </c>
      <c r="Q6" s="37">
        <v>2400</v>
      </c>
      <c r="R6" s="37"/>
      <c r="S6" s="37">
        <v>3769</v>
      </c>
      <c r="T6" s="37">
        <v>2600</v>
      </c>
      <c r="U6" s="37">
        <v>9311</v>
      </c>
      <c r="V6" s="37">
        <v>1160</v>
      </c>
      <c r="W6" s="37">
        <v>5175</v>
      </c>
      <c r="X6" s="37">
        <v>2775</v>
      </c>
      <c r="Y6" s="37"/>
      <c r="Z6" s="37">
        <v>15</v>
      </c>
      <c r="AA6" s="37" t="s">
        <v>2705</v>
      </c>
      <c r="AB6" s="37">
        <v>16000</v>
      </c>
      <c r="AC6" s="37">
        <v>6225</v>
      </c>
      <c r="AD6" s="37"/>
      <c r="AE6" s="37"/>
      <c r="AF6" s="37"/>
      <c r="AG6" s="37"/>
      <c r="AH6" s="37">
        <v>42</v>
      </c>
      <c r="AI6" s="108" t="s">
        <v>637</v>
      </c>
      <c r="AJ6" s="108"/>
      <c r="AK6" s="108" t="s">
        <v>643</v>
      </c>
      <c r="AL6" s="108"/>
      <c r="AM6" s="108" t="s">
        <v>644</v>
      </c>
      <c r="AN6" s="108"/>
      <c r="AO6" s="108" t="s">
        <v>645</v>
      </c>
      <c r="AP6" s="108"/>
      <c r="AQ6" s="108" t="s">
        <v>646</v>
      </c>
      <c r="AR6" s="108"/>
      <c r="AS6" s="108" t="s">
        <v>647</v>
      </c>
      <c r="AT6" s="108"/>
      <c r="AU6" s="90" t="s">
        <v>648</v>
      </c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6">
        <f>IF(CONCATENATE(A6,B6,C6,D6,E6,F6,G6,H6,I6,J6,K6,L6,M6,N6,O6,P6,Q6,R6,S6,T6,U6,V6,W6,X6,Y6,Z6,AA6,AB6,AC6,AD6,AE6,AF6,AG6,AH6,AI6,AK6,AM6,AO6,AQ6,AS6,AU6,AV6,AW6,AX6,AY6,AZ6,BA6,BB6,BC6,BD6,BE6,BF6,BG6,BH6,BI6,BJ6,BK6,BL6,BM6,BN6,BO6,BP6,BQ6)=(CONCATENATE([1]FS_referentiel_produits_std!A33,[1]FS_referentiel_produits_std!B33,[1]FS_referentiel_produits_std!C33,[1]FS_referentiel_produits_std!D33,[1]FS_referentiel_produits_std!E33,[1]FS_referentiel_produits_std!F33,[1]FS_referentiel_produits_std!G33,[1]FS_referentiel_produits_std!H33,[1]FS_referentiel_produits_std!I33,[1]FS_referentiel_produits_std!J33,[1]FS_referentiel_produits_std!K33,[1]FS_referentiel_produits_std!L33,[1]FS_referentiel_produits_std!M33,[1]FS_referentiel_produits_std!N33,[1]FS_referentiel_produits_std!O33,[1]FS_referentiel_produits_std!P33,[1]FS_referentiel_produits_std!Q33,[1]FS_referentiel_produits_std!R33,[1]FS_referentiel_produits_std!S33,[1]FS_referentiel_produits_std!T33,[1]FS_referentiel_produits_std!U33,[1]FS_referentiel_produits_std!V33,[1]FS_referentiel_produits_std!W33,[1]FS_referentiel_produits_std!X33,[1]FS_referentiel_produits_std!Y33,[1]FS_referentiel_produits_std!Z33,[1]FS_referentiel_produits_std!AA33,[1]FS_referentiel_produits_std!AB33,[1]FS_referentiel_produits_std!AC33,[1]FS_referentiel_produits_std!AD33,[1]FS_referentiel_produits_std!AE33,[1]FS_referentiel_produits_std!AF33,[1]FS_referentiel_produits_std!AG33,[1]FS_referentiel_produits_std!AH33,[1]FS_referentiel_produits_std!AI33,[1]FS_referentiel_produits_std!AJ33,[1]FS_referentiel_produits_std!AK33,[1]FS_referentiel_produits_std!AL33,[1]FS_referentiel_produits_std!AM33,[1]FS_referentiel_produits_std!AN33,[1]FS_referentiel_produits_std!AO33,[1]FS_referentiel_produits_std!AP33,[1]FS_referentiel_produits_std!AQ33,[1]FS_referentiel_produits_std!AR33,[1]FS_referentiel_produits_std!AS33,[1]FS_referentiel_produits_std!AT33,[1]FS_referentiel_produits_std!AU33,[1]FS_referentiel_produits_std!AV33,[1]FS_referentiel_produits_std!AW33,[1]FS_referentiel_produits_std!AX33,[1]FS_referentiel_produits_std!AY33,[1]FS_referentiel_produits_std!AZ33,[1]FS_referentiel_produits_std!BA33,[1]FS_referentiel_produits_std!BB33,[1]FS_referentiel_produits_std!BC33,[1]FS_referentiel_produits_std!BD33,[1]FS_referentiel_produits_std!BE33,[1]FS_referentiel_produits_std!BF33,[1]FS_referentiel_produits_std!BG33,[1]FS_referentiel_produits_std!BH33,[1]FS_referentiel_produits_std!BI33,[1]FS_referentiel_produits_std!BJ33,[1]FS_referentiel_produits_std!BK33)),0,1)</f>
        <v>1</v>
      </c>
    </row>
    <row r="7" spans="1:71" s="87" customFormat="1" ht="24.95" customHeight="1" x14ac:dyDescent="0.25">
      <c r="A7" s="9" t="s">
        <v>204</v>
      </c>
      <c r="B7" s="91" t="s">
        <v>694</v>
      </c>
      <c r="C7" s="36"/>
      <c r="D7" s="84"/>
      <c r="E7" s="83" t="s">
        <v>33</v>
      </c>
      <c r="F7" s="83" t="s">
        <v>37</v>
      </c>
      <c r="G7" s="83" t="s">
        <v>42</v>
      </c>
      <c r="H7" s="83" t="s">
        <v>12</v>
      </c>
      <c r="I7" s="83" t="s">
        <v>7</v>
      </c>
      <c r="J7" s="97"/>
      <c r="K7" s="83" t="s">
        <v>30</v>
      </c>
      <c r="L7" s="97"/>
      <c r="M7" s="83" t="s">
        <v>740</v>
      </c>
      <c r="N7" s="83" t="s">
        <v>624</v>
      </c>
      <c r="O7" s="37">
        <v>7970</v>
      </c>
      <c r="P7" s="37">
        <v>2478</v>
      </c>
      <c r="Q7" s="37">
        <v>2400</v>
      </c>
      <c r="R7" s="37"/>
      <c r="S7" s="37">
        <v>3695</v>
      </c>
      <c r="T7" s="37">
        <v>2600</v>
      </c>
      <c r="U7" s="37">
        <v>10162</v>
      </c>
      <c r="V7" s="37">
        <v>1160</v>
      </c>
      <c r="W7" s="37">
        <v>5670</v>
      </c>
      <c r="X7" s="37">
        <v>3130</v>
      </c>
      <c r="Y7" s="37"/>
      <c r="Z7" s="37">
        <v>18</v>
      </c>
      <c r="AA7" s="37" t="s">
        <v>2704</v>
      </c>
      <c r="AB7" s="37">
        <v>16000</v>
      </c>
      <c r="AC7" s="37">
        <v>5995</v>
      </c>
      <c r="AD7" s="37"/>
      <c r="AE7" s="37"/>
      <c r="AF7" s="37"/>
      <c r="AG7" s="37"/>
      <c r="AH7" s="37">
        <v>47.2</v>
      </c>
      <c r="AI7" s="108" t="s">
        <v>637</v>
      </c>
      <c r="AJ7" s="108"/>
      <c r="AK7" s="108" t="s">
        <v>643</v>
      </c>
      <c r="AL7" s="108"/>
      <c r="AM7" s="108" t="s">
        <v>644</v>
      </c>
      <c r="AN7" s="108"/>
      <c r="AO7" s="108" t="s">
        <v>645</v>
      </c>
      <c r="AP7" s="108"/>
      <c r="AQ7" s="108" t="s">
        <v>646</v>
      </c>
      <c r="AR7" s="108"/>
      <c r="AS7" s="108" t="s">
        <v>647</v>
      </c>
      <c r="AT7" s="108"/>
      <c r="AU7" s="90" t="s">
        <v>648</v>
      </c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6">
        <f>IF(CONCATENATE(A7,B7,C7,D7,E7,F7,G7,H7,I7,J7,K7,L7,M7,N7,O7,P7,Q7,R7,S7,T7,U7,V7,W7,X7,Y7,Z7,AA7,AB7,AC7,AD7,AE7,AF7,AG7,AH7,AI7,AK7,AM7,AO7,AQ7,AS7,AU7,AV7,AW7,AX7,AY7,AZ7,BA7,BB7,BC7,BD7,BE7,BF7,BG7,BH7,BI7,BJ7,BK7,BL7,BM7,BN7,BO7,BP7,BQ7)=(CONCATENATE([1]FS_referentiel_produits_std!A34,[1]FS_referentiel_produits_std!B34,[1]FS_referentiel_produits_std!C34,[1]FS_referentiel_produits_std!D34,[1]FS_referentiel_produits_std!E34,[1]FS_referentiel_produits_std!F34,[1]FS_referentiel_produits_std!G34,[1]FS_referentiel_produits_std!H34,[1]FS_referentiel_produits_std!I34,[1]FS_referentiel_produits_std!J34,[1]FS_referentiel_produits_std!K34,[1]FS_referentiel_produits_std!L34,[1]FS_referentiel_produits_std!M34,[1]FS_referentiel_produits_std!N34,[1]FS_referentiel_produits_std!O34,[1]FS_referentiel_produits_std!P34,[1]FS_referentiel_produits_std!Q34,[1]FS_referentiel_produits_std!R34,[1]FS_referentiel_produits_std!S34,[1]FS_referentiel_produits_std!T34,[1]FS_referentiel_produits_std!U34,[1]FS_referentiel_produits_std!V34,[1]FS_referentiel_produits_std!W34,[1]FS_referentiel_produits_std!X34,[1]FS_referentiel_produits_std!Y34,[1]FS_referentiel_produits_std!Z34,[1]FS_referentiel_produits_std!AA34,[1]FS_referentiel_produits_std!AB34,[1]FS_referentiel_produits_std!AC34,[1]FS_referentiel_produits_std!AD34,[1]FS_referentiel_produits_std!AE34,[1]FS_referentiel_produits_std!AF34,[1]FS_referentiel_produits_std!AG34,[1]FS_referentiel_produits_std!AH34,[1]FS_referentiel_produits_std!AI34,[1]FS_referentiel_produits_std!AJ34,[1]FS_referentiel_produits_std!AK34,[1]FS_referentiel_produits_std!AL34,[1]FS_referentiel_produits_std!AM34,[1]FS_referentiel_produits_std!AN34,[1]FS_referentiel_produits_std!AO34,[1]FS_referentiel_produits_std!AP34,[1]FS_referentiel_produits_std!AQ34,[1]FS_referentiel_produits_std!AR34,[1]FS_referentiel_produits_std!AS34,[1]FS_referentiel_produits_std!AT34,[1]FS_referentiel_produits_std!AU34,[1]FS_referentiel_produits_std!AV34,[1]FS_referentiel_produits_std!AW34,[1]FS_referentiel_produits_std!AX34,[1]FS_referentiel_produits_std!AY34,[1]FS_referentiel_produits_std!AZ34,[1]FS_referentiel_produits_std!BA34,[1]FS_referentiel_produits_std!BB34,[1]FS_referentiel_produits_std!BC34,[1]FS_referentiel_produits_std!BD34,[1]FS_referentiel_produits_std!BE34,[1]FS_referentiel_produits_std!BF34,[1]FS_referentiel_produits_std!BG34,[1]FS_referentiel_produits_std!BH34,[1]FS_referentiel_produits_std!BI34,[1]FS_referentiel_produits_std!BJ34,[1]FS_referentiel_produits_std!BK34)),0,1)</f>
        <v>1</v>
      </c>
    </row>
    <row r="8" spans="1:71" s="87" customFormat="1" ht="24.95" customHeight="1" x14ac:dyDescent="0.25">
      <c r="A8" s="9" t="s">
        <v>204</v>
      </c>
      <c r="B8" s="91" t="s">
        <v>694</v>
      </c>
      <c r="C8" s="36"/>
      <c r="D8" s="84"/>
      <c r="E8" s="83" t="s">
        <v>33</v>
      </c>
      <c r="F8" s="83" t="s">
        <v>37</v>
      </c>
      <c r="G8" s="83" t="s">
        <v>42</v>
      </c>
      <c r="H8" s="83" t="s">
        <v>12</v>
      </c>
      <c r="I8" s="83" t="s">
        <v>7</v>
      </c>
      <c r="J8" s="97"/>
      <c r="K8" s="83" t="s">
        <v>30</v>
      </c>
      <c r="L8" s="97"/>
      <c r="M8" s="83" t="s">
        <v>741</v>
      </c>
      <c r="N8" s="83" t="s">
        <v>624</v>
      </c>
      <c r="O8" s="37">
        <v>7970</v>
      </c>
      <c r="P8" s="37">
        <v>2478</v>
      </c>
      <c r="Q8" s="37">
        <v>2400</v>
      </c>
      <c r="R8" s="37"/>
      <c r="S8" s="37">
        <v>3695</v>
      </c>
      <c r="T8" s="37">
        <v>2600</v>
      </c>
      <c r="U8" s="37">
        <v>10162</v>
      </c>
      <c r="V8" s="37">
        <v>1160</v>
      </c>
      <c r="W8" s="37">
        <v>5670</v>
      </c>
      <c r="X8" s="37">
        <v>3130</v>
      </c>
      <c r="Y8" s="37"/>
      <c r="Z8" s="37">
        <v>18</v>
      </c>
      <c r="AA8" s="37" t="s">
        <v>2704</v>
      </c>
      <c r="AB8" s="37">
        <v>16000</v>
      </c>
      <c r="AC8" s="37">
        <v>5995</v>
      </c>
      <c r="AD8" s="37">
        <v>47.2</v>
      </c>
      <c r="AE8" s="83"/>
      <c r="AF8" s="83"/>
      <c r="AG8" s="83"/>
      <c r="AH8" s="37">
        <v>47.2</v>
      </c>
      <c r="AI8" s="108" t="s">
        <v>637</v>
      </c>
      <c r="AJ8" s="108"/>
      <c r="AK8" s="108" t="s">
        <v>643</v>
      </c>
      <c r="AL8" s="108"/>
      <c r="AM8" s="108" t="s">
        <v>644</v>
      </c>
      <c r="AN8" s="108"/>
      <c r="AO8" s="108" t="s">
        <v>645</v>
      </c>
      <c r="AP8" s="108"/>
      <c r="AQ8" s="108" t="s">
        <v>646</v>
      </c>
      <c r="AR8" s="108"/>
      <c r="AS8" s="108" t="s">
        <v>647</v>
      </c>
      <c r="AT8" s="108"/>
      <c r="AU8" s="90" t="s">
        <v>648</v>
      </c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6">
        <f>IF(CONCATENATE(A8,B8,C8,D8,E8,F8,G8,H8,I8,J8,K8,L8,M8,N8,O8,P8,Q8,R8,S8,T8,U8,V8,W8,X8,Y8,Z8,AA8,AB8,AC8,AD8,AE8,AF8,AG8,AH8,AI8,AK8,AM8,AO8,AQ8,AS8,AU8,AV8,AW8,AX8,AY8,AZ8,BA8,BB8,BC8,BD8,BE8,BF8,BG8,BH8,BI8,BJ8,BK8,BL8,BM8,BN8,BO8,BP8,BQ8)=(CONCATENATE([1]FS_referentiel_produits_std!A35,[1]FS_referentiel_produits_std!B35,[1]FS_referentiel_produits_std!C35,[1]FS_referentiel_produits_std!D35,[1]FS_referentiel_produits_std!E35,[1]FS_referentiel_produits_std!F35,[1]FS_referentiel_produits_std!G35,[1]FS_referentiel_produits_std!H35,[1]FS_referentiel_produits_std!I35,[1]FS_referentiel_produits_std!J35,[1]FS_referentiel_produits_std!K35,[1]FS_referentiel_produits_std!L35,[1]FS_referentiel_produits_std!M35,[1]FS_referentiel_produits_std!N35,[1]FS_referentiel_produits_std!O35,[1]FS_referentiel_produits_std!P35,[1]FS_referentiel_produits_std!Q35,[1]FS_referentiel_produits_std!R35,[1]FS_referentiel_produits_std!S35,[1]FS_referentiel_produits_std!T35,[1]FS_referentiel_produits_std!U35,[1]FS_referentiel_produits_std!V35,[1]FS_referentiel_produits_std!W35,[1]FS_referentiel_produits_std!X35,[1]FS_referentiel_produits_std!Y35,[1]FS_referentiel_produits_std!Z35,[1]FS_referentiel_produits_std!AA35,[1]FS_referentiel_produits_std!AB35,[1]FS_referentiel_produits_std!AC35,[1]FS_referentiel_produits_std!AD35,[1]FS_referentiel_produits_std!AE35,[1]FS_referentiel_produits_std!AF35,[1]FS_referentiel_produits_std!AG35,[1]FS_referentiel_produits_std!AH35,[1]FS_referentiel_produits_std!AI35,[1]FS_referentiel_produits_std!AJ35,[1]FS_referentiel_produits_std!AK35,[1]FS_referentiel_produits_std!AL35,[1]FS_referentiel_produits_std!AM35,[1]FS_referentiel_produits_std!AN35,[1]FS_referentiel_produits_std!AO35,[1]FS_referentiel_produits_std!AP35,[1]FS_referentiel_produits_std!AQ35,[1]FS_referentiel_produits_std!AR35,[1]FS_referentiel_produits_std!AS35,[1]FS_referentiel_produits_std!AT35,[1]FS_referentiel_produits_std!AU35,[1]FS_referentiel_produits_std!AV35,[1]FS_referentiel_produits_std!AW35,[1]FS_referentiel_produits_std!AX35,[1]FS_referentiel_produits_std!AY35,[1]FS_referentiel_produits_std!AZ35,[1]FS_referentiel_produits_std!BA35,[1]FS_referentiel_produits_std!BB35,[1]FS_referentiel_produits_std!BC35,[1]FS_referentiel_produits_std!BD35,[1]FS_referentiel_produits_std!BE35,[1]FS_referentiel_produits_std!BF35,[1]FS_referentiel_produits_std!BG35,[1]FS_referentiel_produits_std!BH35,[1]FS_referentiel_produits_std!BI35,[1]FS_referentiel_produits_std!BJ35,[1]FS_referentiel_produits_std!BK35)),0,1)</f>
        <v>1</v>
      </c>
    </row>
    <row r="9" spans="1:71" customFormat="1" ht="24.95" customHeight="1" x14ac:dyDescent="0.25">
      <c r="A9" s="9" t="s">
        <v>204</v>
      </c>
      <c r="B9" s="91" t="s">
        <v>694</v>
      </c>
      <c r="C9" s="36"/>
      <c r="D9" s="84"/>
      <c r="E9" s="83" t="s">
        <v>659</v>
      </c>
      <c r="F9" s="83" t="s">
        <v>50</v>
      </c>
      <c r="G9" s="83" t="s">
        <v>41</v>
      </c>
      <c r="H9" s="83" t="s">
        <v>12</v>
      </c>
      <c r="I9" s="83" t="s">
        <v>7</v>
      </c>
      <c r="J9" s="97"/>
      <c r="K9" s="83" t="s">
        <v>30</v>
      </c>
      <c r="L9" s="97"/>
      <c r="M9" s="83" t="s">
        <v>2708</v>
      </c>
      <c r="N9" s="83" t="s">
        <v>624</v>
      </c>
      <c r="O9" s="37">
        <v>5570</v>
      </c>
      <c r="P9" s="37">
        <v>2478</v>
      </c>
      <c r="Q9" s="37">
        <v>2400</v>
      </c>
      <c r="R9" s="37"/>
      <c r="S9" s="37">
        <v>3685</v>
      </c>
      <c r="T9" s="37">
        <v>2600</v>
      </c>
      <c r="U9" s="37">
        <v>7725</v>
      </c>
      <c r="V9" s="37">
        <v>1150</v>
      </c>
      <c r="W9" s="37">
        <v>3800</v>
      </c>
      <c r="X9" s="37">
        <v>2600</v>
      </c>
      <c r="Y9" s="37"/>
      <c r="Z9" s="37">
        <v>12</v>
      </c>
      <c r="AA9" s="37" t="s">
        <v>2699</v>
      </c>
      <c r="AB9" s="37">
        <v>11990</v>
      </c>
      <c r="AC9" s="37">
        <v>3390</v>
      </c>
      <c r="AD9" s="37"/>
      <c r="AE9" s="37"/>
      <c r="AF9" s="37"/>
      <c r="AG9" s="37"/>
      <c r="AH9" s="37">
        <v>33</v>
      </c>
      <c r="AI9" s="108" t="s">
        <v>661</v>
      </c>
      <c r="AJ9" s="108"/>
      <c r="AK9" s="108" t="s">
        <v>662</v>
      </c>
      <c r="AL9" s="108"/>
      <c r="AM9" s="108" t="s">
        <v>663</v>
      </c>
      <c r="AN9" s="108"/>
      <c r="AO9" s="108" t="s">
        <v>640</v>
      </c>
      <c r="AP9" s="108"/>
      <c r="AQ9" s="108" t="s">
        <v>646</v>
      </c>
      <c r="AR9" s="108"/>
      <c r="AS9" s="108" t="s">
        <v>664</v>
      </c>
      <c r="AT9" s="108"/>
      <c r="AU9" s="90" t="s">
        <v>665</v>
      </c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6">
        <v>0</v>
      </c>
    </row>
    <row r="10" spans="1:71" s="87" customFormat="1" ht="24.95" customHeight="1" x14ac:dyDescent="0.25">
      <c r="A10" s="9" t="s">
        <v>204</v>
      </c>
      <c r="B10" s="91" t="s">
        <v>694</v>
      </c>
      <c r="C10" s="36"/>
      <c r="D10" s="84"/>
      <c r="E10" s="83" t="s">
        <v>659</v>
      </c>
      <c r="F10" s="83" t="s">
        <v>50</v>
      </c>
      <c r="G10" s="83" t="s">
        <v>42</v>
      </c>
      <c r="H10" s="83" t="s">
        <v>12</v>
      </c>
      <c r="I10" s="83" t="s">
        <v>7</v>
      </c>
      <c r="J10" s="97"/>
      <c r="K10" s="83" t="s">
        <v>30</v>
      </c>
      <c r="L10" s="97"/>
      <c r="M10" s="83" t="s">
        <v>742</v>
      </c>
      <c r="N10" s="83" t="s">
        <v>624</v>
      </c>
      <c r="O10" s="37">
        <v>6770</v>
      </c>
      <c r="P10" s="37">
        <v>2478</v>
      </c>
      <c r="Q10" s="37">
        <v>2400</v>
      </c>
      <c r="R10" s="37"/>
      <c r="S10" s="37">
        <v>3725</v>
      </c>
      <c r="T10" s="37">
        <v>2600</v>
      </c>
      <c r="U10" s="37">
        <v>8975</v>
      </c>
      <c r="V10" s="37">
        <v>1190</v>
      </c>
      <c r="W10" s="37">
        <v>5000</v>
      </c>
      <c r="X10" s="37">
        <v>2650</v>
      </c>
      <c r="Y10" s="37"/>
      <c r="Z10" s="37">
        <v>15</v>
      </c>
      <c r="AA10" s="37" t="s">
        <v>2706</v>
      </c>
      <c r="AB10" s="37">
        <v>16000</v>
      </c>
      <c r="AC10" s="37">
        <v>6430</v>
      </c>
      <c r="AD10" s="37"/>
      <c r="AE10" s="37"/>
      <c r="AF10" s="37"/>
      <c r="AG10" s="37"/>
      <c r="AH10" s="37">
        <v>40</v>
      </c>
      <c r="AI10" s="108" t="s">
        <v>661</v>
      </c>
      <c r="AJ10" s="108"/>
      <c r="AK10" s="108" t="s">
        <v>662</v>
      </c>
      <c r="AL10" s="108"/>
      <c r="AM10" s="108" t="s">
        <v>666</v>
      </c>
      <c r="AN10" s="108"/>
      <c r="AO10" s="108" t="s">
        <v>645</v>
      </c>
      <c r="AP10" s="108"/>
      <c r="AQ10" s="108" t="s">
        <v>646</v>
      </c>
      <c r="AR10" s="108"/>
      <c r="AS10" s="108" t="s">
        <v>647</v>
      </c>
      <c r="AT10" s="108"/>
      <c r="AU10" s="90" t="s">
        <v>667</v>
      </c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6">
        <v>0</v>
      </c>
    </row>
    <row r="11" spans="1:71" s="87" customFormat="1" ht="24.95" customHeight="1" x14ac:dyDescent="0.25">
      <c r="A11" s="9" t="s">
        <v>204</v>
      </c>
      <c r="B11" s="91" t="s">
        <v>694</v>
      </c>
      <c r="C11" s="36"/>
      <c r="D11" s="84"/>
      <c r="E11" s="83" t="s">
        <v>659</v>
      </c>
      <c r="F11" s="83" t="s">
        <v>50</v>
      </c>
      <c r="G11" s="83" t="s">
        <v>42</v>
      </c>
      <c r="H11" s="83" t="s">
        <v>12</v>
      </c>
      <c r="I11" s="83" t="s">
        <v>7</v>
      </c>
      <c r="J11" s="97"/>
      <c r="K11" s="83" t="s">
        <v>30</v>
      </c>
      <c r="L11" s="97"/>
      <c r="M11" s="83" t="s">
        <v>743</v>
      </c>
      <c r="N11" s="83" t="s">
        <v>624</v>
      </c>
      <c r="O11" s="37">
        <v>6770</v>
      </c>
      <c r="P11" s="37">
        <v>2478</v>
      </c>
      <c r="Q11" s="37">
        <v>2400</v>
      </c>
      <c r="R11" s="37"/>
      <c r="S11" s="37">
        <v>2600</v>
      </c>
      <c r="T11" s="37">
        <v>8975</v>
      </c>
      <c r="U11" s="37">
        <v>1190</v>
      </c>
      <c r="V11" s="37">
        <v>5000</v>
      </c>
      <c r="W11" s="37">
        <v>2650</v>
      </c>
      <c r="X11" s="37">
        <v>2910</v>
      </c>
      <c r="Y11" s="37"/>
      <c r="Z11" s="37">
        <v>15</v>
      </c>
      <c r="AA11" s="37" t="s">
        <v>2707</v>
      </c>
      <c r="AB11" s="37">
        <v>16000</v>
      </c>
      <c r="AC11" s="37">
        <v>6300</v>
      </c>
      <c r="AD11" s="37"/>
      <c r="AE11" s="37"/>
      <c r="AF11" s="37"/>
      <c r="AG11" s="37"/>
      <c r="AH11" s="37">
        <v>40</v>
      </c>
      <c r="AI11" s="108" t="s">
        <v>661</v>
      </c>
      <c r="AJ11" s="108"/>
      <c r="AK11" s="108" t="s">
        <v>662</v>
      </c>
      <c r="AL11" s="108"/>
      <c r="AM11" s="108" t="s">
        <v>666</v>
      </c>
      <c r="AN11" s="108"/>
      <c r="AO11" s="108" t="s">
        <v>645</v>
      </c>
      <c r="AP11" s="108"/>
      <c r="AQ11" s="108" t="s">
        <v>646</v>
      </c>
      <c r="AR11" s="108"/>
      <c r="AS11" s="108" t="s">
        <v>647</v>
      </c>
      <c r="AT11" s="108"/>
      <c r="AU11" s="90" t="s">
        <v>667</v>
      </c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6">
        <v>0</v>
      </c>
    </row>
    <row r="12" spans="1:71" s="87" customFormat="1" ht="24.95" customHeight="1" x14ac:dyDescent="0.25">
      <c r="A12" s="9" t="s">
        <v>204</v>
      </c>
      <c r="B12" s="91" t="s">
        <v>694</v>
      </c>
      <c r="C12" s="36"/>
      <c r="D12" s="84"/>
      <c r="E12" s="83" t="s">
        <v>659</v>
      </c>
      <c r="F12" s="83" t="s">
        <v>50</v>
      </c>
      <c r="G12" s="83" t="s">
        <v>42</v>
      </c>
      <c r="H12" s="83" t="s">
        <v>12</v>
      </c>
      <c r="I12" s="83" t="s">
        <v>7</v>
      </c>
      <c r="J12" s="97"/>
      <c r="K12" s="83" t="s">
        <v>30</v>
      </c>
      <c r="L12" s="97"/>
      <c r="M12" s="83" t="s">
        <v>744</v>
      </c>
      <c r="N12" s="83" t="s">
        <v>624</v>
      </c>
      <c r="O12" s="37">
        <v>7970</v>
      </c>
      <c r="P12" s="37">
        <v>2478</v>
      </c>
      <c r="Q12" s="37">
        <v>2400</v>
      </c>
      <c r="R12" s="37"/>
      <c r="S12" s="37">
        <v>3725</v>
      </c>
      <c r="T12" s="37">
        <v>2600</v>
      </c>
      <c r="U12" s="37">
        <v>10125</v>
      </c>
      <c r="V12" s="37">
        <v>1190</v>
      </c>
      <c r="W12" s="37">
        <v>5600</v>
      </c>
      <c r="X12" s="37">
        <v>3200</v>
      </c>
      <c r="Y12" s="37"/>
      <c r="Z12" s="37">
        <v>18</v>
      </c>
      <c r="AA12" s="37" t="s">
        <v>2706</v>
      </c>
      <c r="AB12" s="37">
        <v>16000</v>
      </c>
      <c r="AC12" s="37">
        <v>6050</v>
      </c>
      <c r="AD12" s="37"/>
      <c r="AE12" s="37"/>
      <c r="AF12" s="37"/>
      <c r="AG12" s="37"/>
      <c r="AH12" s="37">
        <v>47</v>
      </c>
      <c r="AI12" s="108" t="s">
        <v>661</v>
      </c>
      <c r="AJ12" s="108"/>
      <c r="AK12" s="108" t="s">
        <v>662</v>
      </c>
      <c r="AL12" s="108"/>
      <c r="AM12" s="108" t="s">
        <v>666</v>
      </c>
      <c r="AN12" s="108"/>
      <c r="AO12" s="108" t="s">
        <v>645</v>
      </c>
      <c r="AP12" s="108"/>
      <c r="AQ12" s="108" t="s">
        <v>646</v>
      </c>
      <c r="AR12" s="108"/>
      <c r="AS12" s="108" t="s">
        <v>647</v>
      </c>
      <c r="AT12" s="108"/>
      <c r="AU12" s="90" t="s">
        <v>667</v>
      </c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6">
        <v>0</v>
      </c>
    </row>
    <row r="13" spans="1:71" s="87" customFormat="1" ht="24.95" customHeight="1" x14ac:dyDescent="0.25">
      <c r="A13" s="9" t="s">
        <v>204</v>
      </c>
      <c r="B13" s="91" t="s">
        <v>694</v>
      </c>
      <c r="C13" s="36"/>
      <c r="D13" s="84"/>
      <c r="E13" s="83" t="s">
        <v>659</v>
      </c>
      <c r="F13" s="83" t="s">
        <v>50</v>
      </c>
      <c r="G13" s="83" t="s">
        <v>42</v>
      </c>
      <c r="H13" s="83" t="s">
        <v>12</v>
      </c>
      <c r="I13" s="83" t="s">
        <v>7</v>
      </c>
      <c r="J13" s="97"/>
      <c r="K13" s="83" t="s">
        <v>30</v>
      </c>
      <c r="L13" s="97"/>
      <c r="M13" s="83" t="s">
        <v>745</v>
      </c>
      <c r="N13" s="83" t="s">
        <v>624</v>
      </c>
      <c r="O13" s="37">
        <v>7970</v>
      </c>
      <c r="P13" s="37">
        <v>2478</v>
      </c>
      <c r="Q13" s="37">
        <v>2400</v>
      </c>
      <c r="R13" s="37"/>
      <c r="S13" s="37">
        <v>3799</v>
      </c>
      <c r="T13" s="37">
        <v>2600</v>
      </c>
      <c r="U13" s="37">
        <v>10125</v>
      </c>
      <c r="V13" s="37">
        <v>1190</v>
      </c>
      <c r="W13" s="37">
        <v>5600</v>
      </c>
      <c r="X13" s="37">
        <v>3200</v>
      </c>
      <c r="Y13" s="37"/>
      <c r="Z13" s="37">
        <v>18</v>
      </c>
      <c r="AA13" s="37" t="s">
        <v>2707</v>
      </c>
      <c r="AB13" s="37">
        <v>16000</v>
      </c>
      <c r="AC13" s="37">
        <v>5625</v>
      </c>
      <c r="AD13" s="37"/>
      <c r="AE13" s="37"/>
      <c r="AF13" s="37"/>
      <c r="AG13" s="37"/>
      <c r="AH13" s="37">
        <v>47</v>
      </c>
      <c r="AI13" s="108" t="s">
        <v>661</v>
      </c>
      <c r="AJ13" s="108"/>
      <c r="AK13" s="108" t="s">
        <v>662</v>
      </c>
      <c r="AL13" s="108"/>
      <c r="AM13" s="108" t="s">
        <v>666</v>
      </c>
      <c r="AN13" s="108"/>
      <c r="AO13" s="108" t="s">
        <v>645</v>
      </c>
      <c r="AP13" s="108"/>
      <c r="AQ13" s="108" t="s">
        <v>646</v>
      </c>
      <c r="AR13" s="108"/>
      <c r="AS13" s="108" t="s">
        <v>647</v>
      </c>
      <c r="AT13" s="108"/>
      <c r="AU13" s="90" t="s">
        <v>667</v>
      </c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6">
        <v>0</v>
      </c>
    </row>
    <row r="14" spans="1:71" s="87" customFormat="1" ht="24.95" customHeight="1" x14ac:dyDescent="0.25">
      <c r="A14" s="9" t="s">
        <v>204</v>
      </c>
      <c r="B14" s="88" t="s">
        <v>616</v>
      </c>
      <c r="C14" s="36"/>
      <c r="D14" s="84"/>
      <c r="E14" s="83" t="s">
        <v>606</v>
      </c>
      <c r="F14" s="83" t="s">
        <v>607</v>
      </c>
      <c r="G14" s="83" t="s">
        <v>608</v>
      </c>
      <c r="H14" s="83" t="s">
        <v>12</v>
      </c>
      <c r="I14" s="83"/>
      <c r="J14" s="97"/>
      <c r="K14" s="83" t="s">
        <v>30</v>
      </c>
      <c r="L14" s="97"/>
      <c r="M14" s="83" t="s">
        <v>1094</v>
      </c>
      <c r="N14" s="83" t="s">
        <v>609</v>
      </c>
      <c r="O14" s="37">
        <v>3522</v>
      </c>
      <c r="P14" s="37">
        <v>1904</v>
      </c>
      <c r="Q14" s="37">
        <v>2050</v>
      </c>
      <c r="R14" s="37"/>
      <c r="S14" s="37">
        <v>2882</v>
      </c>
      <c r="T14" s="37">
        <v>2050</v>
      </c>
      <c r="U14" s="37">
        <v>6343</v>
      </c>
      <c r="V14" s="37">
        <v>740</v>
      </c>
      <c r="W14" s="37">
        <v>4035</v>
      </c>
      <c r="X14" s="37">
        <v>1360</v>
      </c>
      <c r="Y14" s="37"/>
      <c r="Z14" s="37"/>
      <c r="AA14" s="37" t="s">
        <v>2709</v>
      </c>
      <c r="AB14" s="37">
        <v>3500</v>
      </c>
      <c r="AC14" s="37">
        <v>775</v>
      </c>
      <c r="AD14" s="37"/>
      <c r="AE14" s="37"/>
      <c r="AF14" s="37"/>
      <c r="AG14" s="37"/>
      <c r="AH14" s="37">
        <v>13.7</v>
      </c>
      <c r="AI14" s="108" t="s">
        <v>610</v>
      </c>
      <c r="AJ14" s="108"/>
      <c r="AK14" s="108" t="s">
        <v>611</v>
      </c>
      <c r="AL14" s="108"/>
      <c r="AM14" s="108" t="s">
        <v>612</v>
      </c>
      <c r="AN14" s="108"/>
      <c r="AO14" s="108" t="s">
        <v>613</v>
      </c>
      <c r="AP14" s="108"/>
      <c r="AQ14" s="108" t="s">
        <v>614</v>
      </c>
      <c r="AR14" s="108"/>
      <c r="AS14" s="108"/>
      <c r="AT14" s="108"/>
      <c r="AU14" s="83" t="s">
        <v>615</v>
      </c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6">
        <f>IF(CONCATENATE(A14,B14,C14,D14,E14,F14,G14,H14,I14,J14,K14,L14,M14,N14,O14,P14,Q14,R14,S14,T14,U14,V14,W14,X14,Y14,Z14,AA14,AB14,AC14,AD14,AE14,AF14,AG14,AH14,AI14,AK14,AM14,AO14,AQ14,AS14,AU14,AV14,AW14,AX14,AY14,AZ14,BA14,BB14,BC14,BD14,BE14,BF14,BG14,BH14,BI14,BJ14,BK14,BL14,BM14,BN14,BO14,BP14,BQ14)=(CONCATENATE([1]FS_referentiel_produits_std!A8,[1]FS_referentiel_produits_std!B8,[1]FS_referentiel_produits_std!C8,[1]FS_referentiel_produits_std!D8,[1]FS_referentiel_produits_std!E8,[1]FS_referentiel_produits_std!F8,[1]FS_referentiel_produits_std!G8,[1]FS_referentiel_produits_std!H8,[1]FS_referentiel_produits_std!I8,[1]FS_referentiel_produits_std!J8,[1]FS_referentiel_produits_std!K8,[1]FS_referentiel_produits_std!L8,[1]FS_referentiel_produits_std!M8,[1]FS_referentiel_produits_std!N8,[1]FS_referentiel_produits_std!O8,[1]FS_referentiel_produits_std!P8,[1]FS_referentiel_produits_std!Q8,[1]FS_referentiel_produits_std!R8,[1]FS_referentiel_produits_std!S8,[1]FS_referentiel_produits_std!T8,[1]FS_referentiel_produits_std!U8,[1]FS_referentiel_produits_std!V8,[1]FS_referentiel_produits_std!W8,[1]FS_referentiel_produits_std!X8,[1]FS_referentiel_produits_std!Y8,[1]FS_referentiel_produits_std!Z8,[1]FS_referentiel_produits_std!AA8,[1]FS_referentiel_produits_std!AB8,[1]FS_referentiel_produits_std!AC8,[1]FS_referentiel_produits_std!AD8,[1]FS_referentiel_produits_std!AE8,[1]FS_referentiel_produits_std!AF8,[1]FS_referentiel_produits_std!AG8,[1]FS_referentiel_produits_std!AH8,[1]FS_referentiel_produits_std!AI8,[1]FS_referentiel_produits_std!AJ8,[1]FS_referentiel_produits_std!AK8,[1]FS_referentiel_produits_std!AL8,[1]FS_referentiel_produits_std!AM8,[1]FS_referentiel_produits_std!AN8,[1]FS_referentiel_produits_std!AO8,[1]FS_referentiel_produits_std!AP8,[1]FS_referentiel_produits_std!AQ8,[1]FS_referentiel_produits_std!AR8,[1]FS_referentiel_produits_std!AS8,[1]FS_referentiel_produits_std!AT8,[1]FS_referentiel_produits_std!AU8,[1]FS_referentiel_produits_std!AV8,[1]FS_referentiel_produits_std!AW8,[1]FS_referentiel_produits_std!AX8,[1]FS_referentiel_produits_std!AY8,[1]FS_referentiel_produits_std!AZ8,[1]FS_referentiel_produits_std!BA8,[1]FS_referentiel_produits_std!BB8,[1]FS_referentiel_produits_std!BC8,[1]FS_referentiel_produits_std!BD8,[1]FS_referentiel_produits_std!BE8,[1]FS_referentiel_produits_std!BF8,[1]FS_referentiel_produits_std!BG8,[1]FS_referentiel_produits_std!BH8,[1]FS_referentiel_produits_std!BI8,[1]FS_referentiel_produits_std!BJ8,[1]FS_referentiel_produits_std!BK8)),0,1)</f>
        <v>1</v>
      </c>
    </row>
    <row r="15" spans="1:71" s="87" customFormat="1" ht="24.95" customHeight="1" x14ac:dyDescent="0.25">
      <c r="A15" s="9" t="s">
        <v>204</v>
      </c>
      <c r="B15" s="88" t="s">
        <v>616</v>
      </c>
      <c r="C15" s="36"/>
      <c r="D15" s="84"/>
      <c r="E15" s="83" t="s">
        <v>33</v>
      </c>
      <c r="F15" s="83" t="s">
        <v>34</v>
      </c>
      <c r="G15" s="83" t="s">
        <v>85</v>
      </c>
      <c r="H15" s="83" t="s">
        <v>12</v>
      </c>
      <c r="I15" s="83"/>
      <c r="J15" s="97"/>
      <c r="K15" s="83" t="s">
        <v>30</v>
      </c>
      <c r="L15" s="97"/>
      <c r="M15" s="83" t="s">
        <v>2751</v>
      </c>
      <c r="N15" s="83" t="s">
        <v>609</v>
      </c>
      <c r="O15" s="37">
        <v>2927</v>
      </c>
      <c r="P15" s="37">
        <v>1908</v>
      </c>
      <c r="Q15" s="37">
        <v>1900</v>
      </c>
      <c r="R15" s="37"/>
      <c r="S15" s="37">
        <v>2856</v>
      </c>
      <c r="T15" s="37">
        <v>2050</v>
      </c>
      <c r="U15" s="37">
        <v>5603</v>
      </c>
      <c r="V15" s="37">
        <v>865</v>
      </c>
      <c r="W15" s="37">
        <v>3450</v>
      </c>
      <c r="X15" s="37">
        <v>1125</v>
      </c>
      <c r="Y15" s="37"/>
      <c r="Z15" s="37">
        <v>4</v>
      </c>
      <c r="AA15" s="37" t="s">
        <v>2691</v>
      </c>
      <c r="AB15" s="37">
        <v>3500</v>
      </c>
      <c r="AC15" s="37">
        <v>820</v>
      </c>
      <c r="AD15" s="37"/>
      <c r="AE15" s="37"/>
      <c r="AF15" s="37"/>
      <c r="AG15" s="37"/>
      <c r="AH15" s="37">
        <v>10.7</v>
      </c>
      <c r="AI15" s="108" t="s">
        <v>617</v>
      </c>
      <c r="AJ15" s="108"/>
      <c r="AK15" s="108" t="s">
        <v>618</v>
      </c>
      <c r="AL15" s="108"/>
      <c r="AM15" s="108" t="s">
        <v>619</v>
      </c>
      <c r="AN15" s="108"/>
      <c r="AO15" s="108" t="s">
        <v>620</v>
      </c>
      <c r="AP15" s="108"/>
      <c r="AQ15" s="108" t="s">
        <v>621</v>
      </c>
      <c r="AR15" s="108"/>
      <c r="AS15" s="108"/>
      <c r="AT15" s="108"/>
      <c r="AU15" s="83" t="s">
        <v>622</v>
      </c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6">
        <f>IF(CONCATENATE(A15,B15,C15,D15,E15,F15,G15,H15,I15,J15,K15,L15,M15,N15,O15,P15,Q15,R15,S15,T15,U15,V15,W15,X15,Y15,Z15,AA15,AB15,AC15,AD15,AE15,AF15,AG15,AH15,AI15,AK15,AM15,AO15,AQ15,AS15,AU15,AV15,AW15,AX15,AY15,AZ15,BA15,BB15,BC15,BD15,BE15,BF15,BG15,BH15,BI15,BJ15,BK15,BL15,BM15,BN15,BO15,BP15,BQ15)=(CONCATENATE([1]FS_referentiel_produits_std!A9,[1]FS_referentiel_produits_std!B9,[1]FS_referentiel_produits_std!C9,[1]FS_referentiel_produits_std!D9,[1]FS_referentiel_produits_std!E9,[1]FS_referentiel_produits_std!F9,[1]FS_referentiel_produits_std!G9,[1]FS_referentiel_produits_std!H9,[1]FS_referentiel_produits_std!I9,[1]FS_referentiel_produits_std!J9,[1]FS_referentiel_produits_std!K9,[1]FS_referentiel_produits_std!L9,[1]FS_referentiel_produits_std!M9,[1]FS_referentiel_produits_std!N9,[1]FS_referentiel_produits_std!O9,[1]FS_referentiel_produits_std!P9,[1]FS_referentiel_produits_std!Q9,[1]FS_referentiel_produits_std!R9,[1]FS_referentiel_produits_std!S9,[1]FS_referentiel_produits_std!T9,[1]FS_referentiel_produits_std!U9,[1]FS_referentiel_produits_std!V9,[1]FS_referentiel_produits_std!W9,[1]FS_referentiel_produits_std!X9,[1]FS_referentiel_produits_std!Y9,[1]FS_referentiel_produits_std!Z9,[1]FS_referentiel_produits_std!AA9,[1]FS_referentiel_produits_std!AB9,[1]FS_referentiel_produits_std!AC9,[1]FS_referentiel_produits_std!AD9,[1]FS_referentiel_produits_std!AE9,[1]FS_referentiel_produits_std!AF9,[1]FS_referentiel_produits_std!AG9,[1]FS_referentiel_produits_std!AH9,[1]FS_referentiel_produits_std!AI9,[1]FS_referentiel_produits_std!AJ9,[1]FS_referentiel_produits_std!AK9,[1]FS_referentiel_produits_std!AL9,[1]FS_referentiel_produits_std!AM9,[1]FS_referentiel_produits_std!AN9,[1]FS_referentiel_produits_std!AO9,[1]FS_referentiel_produits_std!AP9,[1]FS_referentiel_produits_std!AQ9,[1]FS_referentiel_produits_std!AR9,[1]FS_referentiel_produits_std!AS9,[1]FS_referentiel_produits_std!AT9,[1]FS_referentiel_produits_std!AU9,[1]FS_referentiel_produits_std!AV9,[1]FS_referentiel_produits_std!AW9,[1]FS_referentiel_produits_std!AX9,[1]FS_referentiel_produits_std!AY9,[1]FS_referentiel_produits_std!AZ9,[1]FS_referentiel_produits_std!BA9,[1]FS_referentiel_produits_std!BB9,[1]FS_referentiel_produits_std!BC9,[1]FS_referentiel_produits_std!BD9,[1]FS_referentiel_produits_std!BE9,[1]FS_referentiel_produits_std!BF9,[1]FS_referentiel_produits_std!BG9,[1]FS_referentiel_produits_std!BH9,[1]FS_referentiel_produits_std!BI9,[1]FS_referentiel_produits_std!BJ9,[1]FS_referentiel_produits_std!BK9)),0,1)</f>
        <v>1</v>
      </c>
    </row>
    <row r="16" spans="1:71" s="87" customFormat="1" ht="24.95" customHeight="1" x14ac:dyDescent="0.25">
      <c r="A16" s="9" t="s">
        <v>204</v>
      </c>
      <c r="B16" s="88" t="s">
        <v>616</v>
      </c>
      <c r="C16" s="36"/>
      <c r="D16" s="84"/>
      <c r="E16" s="83" t="s">
        <v>33</v>
      </c>
      <c r="F16" s="83" t="s">
        <v>34</v>
      </c>
      <c r="G16" s="83" t="s">
        <v>85</v>
      </c>
      <c r="H16" s="83" t="s">
        <v>12</v>
      </c>
      <c r="I16" s="83"/>
      <c r="J16" s="97"/>
      <c r="K16" s="83" t="s">
        <v>30</v>
      </c>
      <c r="L16" s="97"/>
      <c r="M16" s="83" t="s">
        <v>2752</v>
      </c>
      <c r="N16" s="83" t="s">
        <v>609</v>
      </c>
      <c r="O16" s="37">
        <v>3527</v>
      </c>
      <c r="P16" s="37">
        <v>1906</v>
      </c>
      <c r="Q16" s="37">
        <v>2050</v>
      </c>
      <c r="R16" s="37"/>
      <c r="S16" s="37">
        <v>3006</v>
      </c>
      <c r="T16" s="37">
        <v>2050</v>
      </c>
      <c r="U16" s="37">
        <v>6212</v>
      </c>
      <c r="V16" s="37">
        <v>865</v>
      </c>
      <c r="W16" s="37">
        <v>3450</v>
      </c>
      <c r="X16" s="37">
        <v>1725</v>
      </c>
      <c r="Y16" s="37"/>
      <c r="Z16" s="37">
        <v>5</v>
      </c>
      <c r="AA16" s="37" t="s">
        <v>2691</v>
      </c>
      <c r="AB16" s="37">
        <v>3500</v>
      </c>
      <c r="AC16" s="37">
        <v>715</v>
      </c>
      <c r="AD16" s="37"/>
      <c r="AE16" s="37"/>
      <c r="AF16" s="37"/>
      <c r="AG16" s="37"/>
      <c r="AH16" s="37">
        <v>13.7</v>
      </c>
      <c r="AI16" s="108" t="s">
        <v>617</v>
      </c>
      <c r="AJ16" s="108"/>
      <c r="AK16" s="108" t="s">
        <v>618</v>
      </c>
      <c r="AL16" s="108"/>
      <c r="AM16" s="108" t="s">
        <v>619</v>
      </c>
      <c r="AN16" s="108"/>
      <c r="AO16" s="108" t="s">
        <v>620</v>
      </c>
      <c r="AP16" s="108"/>
      <c r="AQ16" s="108" t="s">
        <v>621</v>
      </c>
      <c r="AR16" s="108"/>
      <c r="AS16" s="108"/>
      <c r="AT16" s="108"/>
      <c r="AU16" s="83" t="s">
        <v>622</v>
      </c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6">
        <f>IF(CONCATENATE(A16,B16,C16,D16,E16,F16,G16,H16,I16,J16,K16,L16,M16,N16,O16,P16,Q16,R16,S16,T16,U16,V16,W16,X16,Y16,Z16,AA16,AB16,AC16,AD16,AE16,AF16,AG16,AH16,AI16,AK16,AM16,AO16,AQ16,AS16,AU16,AV16,AW16,AX16,AY16,AZ16,BA16,BB16,BC16,BD16,BE16,BF16,BG16,BH16,BI16,BJ16,BK16,BL16,BM16,BN16,BO16,BP16,BQ16)=(CONCATENATE([1]FS_referentiel_produits_std!A10,[1]FS_referentiel_produits_std!B10,[1]FS_referentiel_produits_std!C10,[1]FS_referentiel_produits_std!D10,[1]FS_referentiel_produits_std!E10,[1]FS_referentiel_produits_std!F10,[1]FS_referentiel_produits_std!G10,[1]FS_referentiel_produits_std!H10,[1]FS_referentiel_produits_std!I10,[1]FS_referentiel_produits_std!J10,[1]FS_referentiel_produits_std!K10,[1]FS_referentiel_produits_std!L10,[1]FS_referentiel_produits_std!M10,[1]FS_referentiel_produits_std!N10,[1]FS_referentiel_produits_std!O10,[1]FS_referentiel_produits_std!P10,[1]FS_referentiel_produits_std!Q10,[1]FS_referentiel_produits_std!R10,[1]FS_referentiel_produits_std!S10,[1]FS_referentiel_produits_std!T10,[1]FS_referentiel_produits_std!U10,[1]FS_referentiel_produits_std!V10,[1]FS_referentiel_produits_std!W10,[1]FS_referentiel_produits_std!X10,[1]FS_referentiel_produits_std!Y10,[1]FS_referentiel_produits_std!Z10,[1]FS_referentiel_produits_std!AA10,[1]FS_referentiel_produits_std!AB10,[1]FS_referentiel_produits_std!AC10,[1]FS_referentiel_produits_std!AD10,[1]FS_referentiel_produits_std!AE10,[1]FS_referentiel_produits_std!AF10,[1]FS_referentiel_produits_std!AG10,[1]FS_referentiel_produits_std!AH10,[1]FS_referentiel_produits_std!AI10,[1]FS_referentiel_produits_std!AJ10,[1]FS_referentiel_produits_std!AK10,[1]FS_referentiel_produits_std!AL10,[1]FS_referentiel_produits_std!AM10,[1]FS_referentiel_produits_std!AN10,[1]FS_referentiel_produits_std!AO10,[1]FS_referentiel_produits_std!AP10,[1]FS_referentiel_produits_std!AQ10,[1]FS_referentiel_produits_std!AR10,[1]FS_referentiel_produits_std!AS10,[1]FS_referentiel_produits_std!AT10,[1]FS_referentiel_produits_std!AU10,[1]FS_referentiel_produits_std!AV10,[1]FS_referentiel_produits_std!AW10,[1]FS_referentiel_produits_std!AX10,[1]FS_referentiel_produits_std!AY10,[1]FS_referentiel_produits_std!AZ10,[1]FS_referentiel_produits_std!BA10,[1]FS_referentiel_produits_std!BB10,[1]FS_referentiel_produits_std!BC10,[1]FS_referentiel_produits_std!BD10,[1]FS_referentiel_produits_std!BE10,[1]FS_referentiel_produits_std!BF10,[1]FS_referentiel_produits_std!BG10,[1]FS_referentiel_produits_std!BH10,[1]FS_referentiel_produits_std!BI10,[1]FS_referentiel_produits_std!BJ10,[1]FS_referentiel_produits_std!BK10)),0,1)</f>
        <v>1</v>
      </c>
    </row>
    <row r="17" spans="1:70" s="87" customFormat="1" ht="24.95" customHeight="1" x14ac:dyDescent="0.25">
      <c r="A17" s="9" t="s">
        <v>204</v>
      </c>
      <c r="B17" s="88" t="s">
        <v>616</v>
      </c>
      <c r="C17" s="36"/>
      <c r="D17" s="84"/>
      <c r="E17" s="83" t="s">
        <v>33</v>
      </c>
      <c r="F17" s="83" t="s">
        <v>34</v>
      </c>
      <c r="G17" s="83" t="s">
        <v>623</v>
      </c>
      <c r="H17" s="83" t="s">
        <v>12</v>
      </c>
      <c r="I17" s="83"/>
      <c r="J17" s="97"/>
      <c r="K17" s="83" t="s">
        <v>30</v>
      </c>
      <c r="L17" s="97"/>
      <c r="M17" s="83" t="s">
        <v>633</v>
      </c>
      <c r="N17" s="89" t="s">
        <v>635</v>
      </c>
      <c r="O17" s="37">
        <v>3722</v>
      </c>
      <c r="P17" s="37">
        <v>2146</v>
      </c>
      <c r="Q17" s="37">
        <v>2050</v>
      </c>
      <c r="R17" s="37"/>
      <c r="S17" s="37">
        <v>3232</v>
      </c>
      <c r="T17" s="37">
        <v>2300</v>
      </c>
      <c r="U17" s="37">
        <v>6482</v>
      </c>
      <c r="V17" s="37">
        <v>1090</v>
      </c>
      <c r="W17" s="37">
        <v>3750</v>
      </c>
      <c r="X17" s="37">
        <v>1675</v>
      </c>
      <c r="Y17" s="37"/>
      <c r="Z17" s="37">
        <v>7</v>
      </c>
      <c r="AA17" s="37" t="s">
        <v>2710</v>
      </c>
      <c r="AB17" s="37">
        <v>7200</v>
      </c>
      <c r="AC17" s="37">
        <v>2855</v>
      </c>
      <c r="AD17" s="37"/>
      <c r="AE17" s="37"/>
      <c r="AF17" s="37"/>
      <c r="AG17" s="37"/>
      <c r="AH17" s="37">
        <v>16.3</v>
      </c>
      <c r="AI17" s="108" t="s">
        <v>626</v>
      </c>
      <c r="AJ17" s="108"/>
      <c r="AK17" s="108" t="s">
        <v>627</v>
      </c>
      <c r="AL17" s="108"/>
      <c r="AM17" s="110" t="s">
        <v>628</v>
      </c>
      <c r="AN17" s="110"/>
      <c r="AO17" s="108" t="s">
        <v>630</v>
      </c>
      <c r="AP17" s="108"/>
      <c r="AQ17" s="108" t="s">
        <v>631</v>
      </c>
      <c r="AR17" s="108"/>
      <c r="AS17" s="108" t="s">
        <v>629</v>
      </c>
      <c r="AT17" s="108"/>
      <c r="AU17" s="83" t="s">
        <v>632</v>
      </c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6">
        <f>IF(CONCATENATE(A17,B17,C17,D17,E17,F17,G17,H17,I17,J17,K17,L17,M17,N17,O17,P17,Q17,R17,S17,T17,U17,V17,W17,X17,Y17,Z17,AA17,AB17,AC17,AD17,AE17,AF17,AG17,AH17,AI17,AK17,AM17,AO17,AQ17,AS17,AU17,AV17,AW17,AX17,AY17,AZ17,BA17,BB17,BC17,BD17,BE17,BF17,BG17,BH17,BI17,BJ17,BK17,BL17,BM17,BN17,BO17,BP17,BQ17)=(CONCATENATE([1]FS_referentiel_produits_std!A12,[1]FS_referentiel_produits_std!B12,[1]FS_referentiel_produits_std!C12,[1]FS_referentiel_produits_std!D12,[1]FS_referentiel_produits_std!E12,[1]FS_referentiel_produits_std!F12,[1]FS_referentiel_produits_std!G12,[1]FS_referentiel_produits_std!H12,[1]FS_referentiel_produits_std!I12,[1]FS_referentiel_produits_std!J12,[1]FS_referentiel_produits_std!K12,[1]FS_referentiel_produits_std!L12,[1]FS_referentiel_produits_std!M12,[1]FS_referentiel_produits_std!N12,[1]FS_referentiel_produits_std!O12,[1]FS_referentiel_produits_std!P12,[1]FS_referentiel_produits_std!Q12,[1]FS_referentiel_produits_std!R12,[1]FS_referentiel_produits_std!S12,[1]FS_referentiel_produits_std!T12,[1]FS_referentiel_produits_std!U12,[1]FS_referentiel_produits_std!V12,[1]FS_referentiel_produits_std!W12,[1]FS_referentiel_produits_std!X12,[1]FS_referentiel_produits_std!Y12,[1]FS_referentiel_produits_std!Z12,[1]FS_referentiel_produits_std!AA12,[1]FS_referentiel_produits_std!AB12,[1]FS_referentiel_produits_std!AC12,[1]FS_referentiel_produits_std!AD12,[1]FS_referentiel_produits_std!AE12,[1]FS_referentiel_produits_std!AF12,[1]FS_referentiel_produits_std!AG12,[1]FS_referentiel_produits_std!AH12,[1]FS_referentiel_produits_std!AI12,[1]FS_referentiel_produits_std!AJ12,[1]FS_referentiel_produits_std!AK12,[1]FS_referentiel_produits_std!AL12,[1]FS_referentiel_produits_std!AM12,[1]FS_referentiel_produits_std!AN12,[1]FS_referentiel_produits_std!AO12,[1]FS_referentiel_produits_std!AP12,[1]FS_referentiel_produits_std!AQ12,[1]FS_referentiel_produits_std!AR12,[1]FS_referentiel_produits_std!AS12,[1]FS_referentiel_produits_std!AT12,[1]FS_referentiel_produits_std!AU12,[1]FS_referentiel_produits_std!AV12,[1]FS_referentiel_produits_std!AW12,[1]FS_referentiel_produits_std!AX12,[1]FS_referentiel_produits_std!AY12,[1]FS_referentiel_produits_std!AZ12,[1]FS_referentiel_produits_std!BA12,[1]FS_referentiel_produits_std!BB12,[1]FS_referentiel_produits_std!BC12,[1]FS_referentiel_produits_std!BD12,[1]FS_referentiel_produits_std!BE12,[1]FS_referentiel_produits_std!BF12,[1]FS_referentiel_produits_std!BG12,[1]FS_referentiel_produits_std!BH12,[1]FS_referentiel_produits_std!BI12,[1]FS_referentiel_produits_std!BJ12,[1]FS_referentiel_produits_std!BK12)),0,1)</f>
        <v>1</v>
      </c>
    </row>
    <row r="18" spans="1:70" s="87" customFormat="1" ht="24.95" customHeight="1" x14ac:dyDescent="0.25">
      <c r="A18" s="9" t="s">
        <v>204</v>
      </c>
      <c r="B18" s="88" t="s">
        <v>616</v>
      </c>
      <c r="C18" s="36"/>
      <c r="D18" s="84"/>
      <c r="E18" s="83" t="s">
        <v>33</v>
      </c>
      <c r="F18" s="83" t="s">
        <v>37</v>
      </c>
      <c r="G18" s="83" t="s">
        <v>41</v>
      </c>
      <c r="H18" s="83" t="s">
        <v>12</v>
      </c>
      <c r="I18" s="83" t="s">
        <v>7</v>
      </c>
      <c r="J18" s="97"/>
      <c r="K18" s="83" t="s">
        <v>30</v>
      </c>
      <c r="L18" s="97"/>
      <c r="M18" s="83" t="s">
        <v>2776</v>
      </c>
      <c r="N18" s="83" t="s">
        <v>624</v>
      </c>
      <c r="O18" s="37">
        <v>5770</v>
      </c>
      <c r="P18" s="37">
        <v>2478</v>
      </c>
      <c r="Q18" s="37">
        <v>2400</v>
      </c>
      <c r="R18" s="37"/>
      <c r="S18" s="37">
        <v>3685</v>
      </c>
      <c r="T18" s="37">
        <v>2600</v>
      </c>
      <c r="U18" s="37">
        <v>8012</v>
      </c>
      <c r="V18" s="37">
        <v>1150</v>
      </c>
      <c r="W18" s="37">
        <v>4185</v>
      </c>
      <c r="X18" s="37">
        <v>2465</v>
      </c>
      <c r="Y18" s="37"/>
      <c r="Z18" s="37">
        <v>12</v>
      </c>
      <c r="AA18" s="37" t="s">
        <v>2695</v>
      </c>
      <c r="AB18" s="37">
        <v>11990</v>
      </c>
      <c r="AC18" s="37">
        <v>3435</v>
      </c>
      <c r="AD18" s="37"/>
      <c r="AE18" s="37"/>
      <c r="AF18" s="37"/>
      <c r="AG18" s="37"/>
      <c r="AH18" s="37">
        <v>34</v>
      </c>
      <c r="AI18" s="108" t="s">
        <v>637</v>
      </c>
      <c r="AJ18" s="108"/>
      <c r="AK18" s="108" t="s">
        <v>638</v>
      </c>
      <c r="AL18" s="108"/>
      <c r="AM18" s="108" t="s">
        <v>639</v>
      </c>
      <c r="AN18" s="108"/>
      <c r="AO18" s="108" t="s">
        <v>640</v>
      </c>
      <c r="AP18" s="108"/>
      <c r="AQ18" s="108" t="s">
        <v>641</v>
      </c>
      <c r="AR18" s="108"/>
      <c r="AS18" s="108" t="s">
        <v>642</v>
      </c>
      <c r="AT18" s="108"/>
      <c r="AU18" s="83" t="s">
        <v>68</v>
      </c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6">
        <f>IF(CONCATENATE(A18,B18,C18,D18,E18,F18,G18,H18,I18,J18,K18,L18,M18,N18,O18,P18,Q18,R18,S18,T18,U18,V18,W18,X18,Y18,Z18,AA18,AB18,AC18,AD18,AE18,AF18,AG18,AH18,AI18,AK18,AM18,AO18,AQ18,AS18,AU18,AV18,AW18,AX18,AY18,AZ18,BA18,BB18,BC18,BD18,BE18,BF18,BG18,BH18,BI18,BJ18,BK18,BL18,BM18,BN18,BO18,BP18,BQ18)=(CONCATENATE([1]FS_referentiel_produits_std!A12,[1]FS_referentiel_produits_std!B12,[1]FS_referentiel_produits_std!C12,[1]FS_referentiel_produits_std!D12,[1]FS_referentiel_produits_std!E12,[1]FS_referentiel_produits_std!F12,[1]FS_referentiel_produits_std!G12,[1]FS_referentiel_produits_std!H12,[1]FS_referentiel_produits_std!I12,[1]FS_referentiel_produits_std!J12,[1]FS_referentiel_produits_std!K12,[1]FS_referentiel_produits_std!L12,[1]FS_referentiel_produits_std!M12,[1]FS_referentiel_produits_std!N12,[1]FS_referentiel_produits_std!O12,[1]FS_referentiel_produits_std!P12,[1]FS_referentiel_produits_std!Q12,[1]FS_referentiel_produits_std!R12,[1]FS_referentiel_produits_std!S12,[1]FS_referentiel_produits_std!T12,[1]FS_referentiel_produits_std!U12,[1]FS_referentiel_produits_std!V12,[1]FS_referentiel_produits_std!W12,[1]FS_referentiel_produits_std!X12,[1]FS_referentiel_produits_std!Y12,[1]FS_referentiel_produits_std!Z12,[1]FS_referentiel_produits_std!AA12,[1]FS_referentiel_produits_std!AB12,[1]FS_referentiel_produits_std!AC12,[1]FS_referentiel_produits_std!AD12,[1]FS_referentiel_produits_std!AE12,[1]FS_referentiel_produits_std!AF12,[1]FS_referentiel_produits_std!AG12,[1]FS_referentiel_produits_std!AH12,[1]FS_referentiel_produits_std!AI12,[1]FS_referentiel_produits_std!AJ12,[1]FS_referentiel_produits_std!AK12,[1]FS_referentiel_produits_std!AL12,[1]FS_referentiel_produits_std!AM12,[1]FS_referentiel_produits_std!AN12,[1]FS_referentiel_produits_std!AO12,[1]FS_referentiel_produits_std!AP12,[1]FS_referentiel_produits_std!AQ12,[1]FS_referentiel_produits_std!AR12,[1]FS_referentiel_produits_std!AS12,[1]FS_referentiel_produits_std!AT12,[1]FS_referentiel_produits_std!AU12,[1]FS_referentiel_produits_std!AV12,[1]FS_referentiel_produits_std!AW12,[1]FS_referentiel_produits_std!AX12,[1]FS_referentiel_produits_std!AY12,[1]FS_referentiel_produits_std!AZ12,[1]FS_referentiel_produits_std!BA12,[1]FS_referentiel_produits_std!BB12,[1]FS_referentiel_produits_std!BC12,[1]FS_referentiel_produits_std!BD12,[1]FS_referentiel_produits_std!BE12,[1]FS_referentiel_produits_std!BF12,[1]FS_referentiel_produits_std!BG12,[1]FS_referentiel_produits_std!BH12,[1]FS_referentiel_produits_std!BI12,[1]FS_referentiel_produits_std!BJ12,[1]FS_referentiel_produits_std!BK12)),0,1)</f>
        <v>1</v>
      </c>
    </row>
    <row r="19" spans="1:70" s="87" customFormat="1" ht="24.95" customHeight="1" x14ac:dyDescent="0.25">
      <c r="A19" s="9" t="s">
        <v>204</v>
      </c>
      <c r="B19" s="88" t="s">
        <v>616</v>
      </c>
      <c r="C19" s="36"/>
      <c r="D19" s="84"/>
      <c r="E19" s="83" t="s">
        <v>33</v>
      </c>
      <c r="F19" s="83" t="s">
        <v>37</v>
      </c>
      <c r="G19" s="83" t="s">
        <v>42</v>
      </c>
      <c r="H19" s="83" t="s">
        <v>12</v>
      </c>
      <c r="I19" s="83" t="s">
        <v>7</v>
      </c>
      <c r="J19" s="97"/>
      <c r="K19" s="83" t="s">
        <v>30</v>
      </c>
      <c r="L19" s="97"/>
      <c r="M19" s="83" t="s">
        <v>1203</v>
      </c>
      <c r="N19" s="83" t="s">
        <v>624</v>
      </c>
      <c r="O19" s="37">
        <v>6770</v>
      </c>
      <c r="P19" s="37">
        <v>2478</v>
      </c>
      <c r="Q19" s="37">
        <v>2400</v>
      </c>
      <c r="R19" s="37"/>
      <c r="S19" s="37">
        <v>3725</v>
      </c>
      <c r="T19" s="37">
        <v>2600</v>
      </c>
      <c r="U19" s="37">
        <v>8975</v>
      </c>
      <c r="V19" s="37">
        <v>1190</v>
      </c>
      <c r="W19" s="37">
        <v>5000</v>
      </c>
      <c r="X19" s="37">
        <v>2650</v>
      </c>
      <c r="Y19" s="37"/>
      <c r="Z19" s="37">
        <v>15</v>
      </c>
      <c r="AA19" s="37" t="s">
        <v>2695</v>
      </c>
      <c r="AB19" s="37">
        <v>16000</v>
      </c>
      <c r="AC19" s="37">
        <v>6460</v>
      </c>
      <c r="AD19" s="37"/>
      <c r="AE19" s="37"/>
      <c r="AF19" s="37"/>
      <c r="AG19" s="37"/>
      <c r="AH19" s="37">
        <v>40.1</v>
      </c>
      <c r="AI19" s="108" t="s">
        <v>637</v>
      </c>
      <c r="AJ19" s="108"/>
      <c r="AK19" s="108" t="s">
        <v>643</v>
      </c>
      <c r="AL19" s="108"/>
      <c r="AM19" s="108" t="s">
        <v>644</v>
      </c>
      <c r="AN19" s="108"/>
      <c r="AO19" s="108" t="s">
        <v>645</v>
      </c>
      <c r="AP19" s="108"/>
      <c r="AQ19" s="108" t="s">
        <v>646</v>
      </c>
      <c r="AR19" s="108"/>
      <c r="AS19" s="108" t="s">
        <v>647</v>
      </c>
      <c r="AT19" s="108"/>
      <c r="AU19" s="90" t="s">
        <v>648</v>
      </c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6">
        <f>IF(CONCATENATE(A19,B19,C19,D19,E19,F19,G19,H19,I19,J19,K19,L19,M19,N19,O19,P19,Q19,R19,S19,T19,U19,V19,W19,X19,Y19,Z19,AA19,AB19,AC19,AD19,AE19,AF19,AG19,AH19,AI19,AK19,AM19,AO19,AQ19,AS19,AU19,AV19,AW19,AX19,AY19,AZ19,BA19,BB19,BC19,BD19,BE19,BF19,BG19,BH19,BI19,BJ19,BK19,BL19,BM19,BN19,BO19,BP19,BQ19)=(CONCATENATE([1]FS_referentiel_produits_std!A13,[1]FS_referentiel_produits_std!B13,[1]FS_referentiel_produits_std!C13,[1]FS_referentiel_produits_std!D13,[1]FS_referentiel_produits_std!E13,[1]FS_referentiel_produits_std!F13,[1]FS_referentiel_produits_std!G13,[1]FS_referentiel_produits_std!H13,[1]FS_referentiel_produits_std!I13,[1]FS_referentiel_produits_std!J13,[1]FS_referentiel_produits_std!K13,[1]FS_referentiel_produits_std!L13,[1]FS_referentiel_produits_std!M13,[1]FS_referentiel_produits_std!N13,[1]FS_referentiel_produits_std!O13,[1]FS_referentiel_produits_std!P13,[1]FS_referentiel_produits_std!Q13,[1]FS_referentiel_produits_std!R13,[1]FS_referentiel_produits_std!S13,[1]FS_referentiel_produits_std!T13,[1]FS_referentiel_produits_std!U13,[1]FS_referentiel_produits_std!V13,[1]FS_referentiel_produits_std!W13,[1]FS_referentiel_produits_std!X13,[1]FS_referentiel_produits_std!Y13,[1]FS_referentiel_produits_std!Z13,[1]FS_referentiel_produits_std!AA13,[1]FS_referentiel_produits_std!AB13,[1]FS_referentiel_produits_std!AC13,[1]FS_referentiel_produits_std!AD13,[1]FS_referentiel_produits_std!AE13,[1]FS_referentiel_produits_std!AF13,[1]FS_referentiel_produits_std!AG13,[1]FS_referentiel_produits_std!AH13,[1]FS_referentiel_produits_std!AI13,[1]FS_referentiel_produits_std!AJ13,[1]FS_referentiel_produits_std!AK13,[1]FS_referentiel_produits_std!AL13,[1]FS_referentiel_produits_std!AM13,[1]FS_referentiel_produits_std!AN13,[1]FS_referentiel_produits_std!AO13,[1]FS_referentiel_produits_std!AP13,[1]FS_referentiel_produits_std!AQ13,[1]FS_referentiel_produits_std!AR13,[1]FS_referentiel_produits_std!AS13,[1]FS_referentiel_produits_std!AT13,[1]FS_referentiel_produits_std!AU13,[1]FS_referentiel_produits_std!AV13,[1]FS_referentiel_produits_std!AW13,[1]FS_referentiel_produits_std!AX13,[1]FS_referentiel_produits_std!AY13,[1]FS_referentiel_produits_std!AZ13,[1]FS_referentiel_produits_std!BA13,[1]FS_referentiel_produits_std!BB13,[1]FS_referentiel_produits_std!BC13,[1]FS_referentiel_produits_std!BD13,[1]FS_referentiel_produits_std!BE13,[1]FS_referentiel_produits_std!BF13,[1]FS_referentiel_produits_std!BG13,[1]FS_referentiel_produits_std!BH13,[1]FS_referentiel_produits_std!BI13,[1]FS_referentiel_produits_std!BJ13,[1]FS_referentiel_produits_std!BK13)),0,1)</f>
        <v>1</v>
      </c>
    </row>
    <row r="20" spans="1:70" s="87" customFormat="1" ht="24.95" customHeight="1" x14ac:dyDescent="0.25">
      <c r="A20" s="9" t="s">
        <v>204</v>
      </c>
      <c r="B20" s="88" t="s">
        <v>616</v>
      </c>
      <c r="C20" s="36"/>
      <c r="D20" s="84"/>
      <c r="E20" s="83" t="s">
        <v>33</v>
      </c>
      <c r="F20" s="83" t="s">
        <v>37</v>
      </c>
      <c r="G20" s="83" t="s">
        <v>42</v>
      </c>
      <c r="H20" s="83" t="s">
        <v>12</v>
      </c>
      <c r="I20" s="83" t="s">
        <v>7</v>
      </c>
      <c r="J20" s="97"/>
      <c r="K20" s="83" t="s">
        <v>30</v>
      </c>
      <c r="L20" s="97"/>
      <c r="M20" s="83" t="s">
        <v>649</v>
      </c>
      <c r="N20" s="83" t="s">
        <v>624</v>
      </c>
      <c r="O20" s="37">
        <v>7070</v>
      </c>
      <c r="P20" s="37">
        <v>2478</v>
      </c>
      <c r="Q20" s="37">
        <v>2400</v>
      </c>
      <c r="R20" s="37"/>
      <c r="S20" s="37">
        <v>3769</v>
      </c>
      <c r="T20" s="37">
        <v>2600</v>
      </c>
      <c r="U20" s="37">
        <v>9311</v>
      </c>
      <c r="V20" s="37">
        <v>1160</v>
      </c>
      <c r="W20" s="37">
        <v>5175</v>
      </c>
      <c r="X20" s="37">
        <v>2775</v>
      </c>
      <c r="Y20" s="37"/>
      <c r="Z20" s="37">
        <v>15</v>
      </c>
      <c r="AA20" s="37" t="s">
        <v>2703</v>
      </c>
      <c r="AB20" s="37">
        <v>16000</v>
      </c>
      <c r="AC20" s="37">
        <v>6225</v>
      </c>
      <c r="AD20" s="37"/>
      <c r="AE20" s="37"/>
      <c r="AF20" s="37"/>
      <c r="AG20" s="37"/>
      <c r="AH20" s="37">
        <v>42</v>
      </c>
      <c r="AI20" s="108" t="s">
        <v>637</v>
      </c>
      <c r="AJ20" s="108"/>
      <c r="AK20" s="108" t="s">
        <v>643</v>
      </c>
      <c r="AL20" s="108"/>
      <c r="AM20" s="108" t="s">
        <v>644</v>
      </c>
      <c r="AN20" s="108"/>
      <c r="AO20" s="108" t="s">
        <v>645</v>
      </c>
      <c r="AP20" s="108"/>
      <c r="AQ20" s="108" t="s">
        <v>646</v>
      </c>
      <c r="AR20" s="108"/>
      <c r="AS20" s="108" t="s">
        <v>647</v>
      </c>
      <c r="AT20" s="108"/>
      <c r="AU20" s="90" t="s">
        <v>648</v>
      </c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6">
        <f>IF(CONCATENATE(A20,B20,C20,D20,E20,F20,G20,H20,I20,J20,K20,L20,M20,N20,O20,P20,Q20,R20,S20,T20,U20,V20,W20,X20,Y20,Z20,AA20,AB20,AC20,AD20,AE20,AF20,AG20,AH20,AI20,AK20,AM20,AO20,AQ20,AS20,AU20,AV20,AW20,AX20,AY20,AZ20,BA20,BB20,BC20,BD20,BE20,BF20,BG20,BH20,BI20,BJ20,BK20,BL20,BM20,BN20,BO20,BP20,BQ20)=(CONCATENATE([1]FS_referentiel_produits_std!A12,[1]FS_referentiel_produits_std!B12,[1]FS_referentiel_produits_std!C12,[1]FS_referentiel_produits_std!D12,[1]FS_referentiel_produits_std!E12,[1]FS_referentiel_produits_std!F12,[1]FS_referentiel_produits_std!G12,[1]FS_referentiel_produits_std!H12,[1]FS_referentiel_produits_std!I12,[1]FS_referentiel_produits_std!J12,[1]FS_referentiel_produits_std!K12,[1]FS_referentiel_produits_std!L12,[1]FS_referentiel_produits_std!M12,[1]FS_referentiel_produits_std!N12,[1]FS_referentiel_produits_std!O12,[1]FS_referentiel_produits_std!P12,[1]FS_referentiel_produits_std!Q12,[1]FS_referentiel_produits_std!R12,[1]FS_referentiel_produits_std!S12,[1]FS_referentiel_produits_std!T12,[1]FS_referentiel_produits_std!U12,[1]FS_referentiel_produits_std!V12,[1]FS_referentiel_produits_std!W12,[1]FS_referentiel_produits_std!X12,[1]FS_referentiel_produits_std!Y12,[1]FS_referentiel_produits_std!Z12,[1]FS_referentiel_produits_std!AA12,[1]FS_referentiel_produits_std!AB12,[1]FS_referentiel_produits_std!AC12,[1]FS_referentiel_produits_std!AD12,[1]FS_referentiel_produits_std!AE12,[1]FS_referentiel_produits_std!AF12,[1]FS_referentiel_produits_std!AG12,[1]FS_referentiel_produits_std!AH12,[1]FS_referentiel_produits_std!AI12,[1]FS_referentiel_produits_std!AJ12,[1]FS_referentiel_produits_std!AK12,[1]FS_referentiel_produits_std!AL12,[1]FS_referentiel_produits_std!AM12,[1]FS_referentiel_produits_std!AN12,[1]FS_referentiel_produits_std!AO12,[1]FS_referentiel_produits_std!AP12,[1]FS_referentiel_produits_std!AQ12,[1]FS_referentiel_produits_std!AR12,[1]FS_referentiel_produits_std!AS12,[1]FS_referentiel_produits_std!AT12,[1]FS_referentiel_produits_std!AU12,[1]FS_referentiel_produits_std!AV12,[1]FS_referentiel_produits_std!AW12,[1]FS_referentiel_produits_std!AX12,[1]FS_referentiel_produits_std!AY12,[1]FS_referentiel_produits_std!AZ12,[1]FS_referentiel_produits_std!BA12,[1]FS_referentiel_produits_std!BB12,[1]FS_referentiel_produits_std!BC12,[1]FS_referentiel_produits_std!BD12,[1]FS_referentiel_produits_std!BE12,[1]FS_referentiel_produits_std!BF12,[1]FS_referentiel_produits_std!BG12,[1]FS_referentiel_produits_std!BH12,[1]FS_referentiel_produits_std!BI12,[1]FS_referentiel_produits_std!BJ12,[1]FS_referentiel_produits_std!BK12)),0,1)</f>
        <v>1</v>
      </c>
    </row>
    <row r="21" spans="1:70" s="87" customFormat="1" ht="24.95" customHeight="1" x14ac:dyDescent="0.25">
      <c r="A21" s="9" t="s">
        <v>204</v>
      </c>
      <c r="B21" s="88" t="s">
        <v>616</v>
      </c>
      <c r="C21" s="36"/>
      <c r="D21" s="84"/>
      <c r="E21" s="83" t="s">
        <v>33</v>
      </c>
      <c r="F21" s="83" t="s">
        <v>37</v>
      </c>
      <c r="G21" s="83" t="s">
        <v>42</v>
      </c>
      <c r="H21" s="83" t="s">
        <v>12</v>
      </c>
      <c r="I21" s="83" t="s">
        <v>7</v>
      </c>
      <c r="J21" s="97"/>
      <c r="K21" s="83" t="s">
        <v>30</v>
      </c>
      <c r="L21" s="97"/>
      <c r="M21" s="83" t="s">
        <v>650</v>
      </c>
      <c r="N21" s="83" t="s">
        <v>624</v>
      </c>
      <c r="O21" s="37">
        <v>7970</v>
      </c>
      <c r="P21" s="37">
        <v>2478</v>
      </c>
      <c r="Q21" s="37">
        <v>2400</v>
      </c>
      <c r="R21" s="37"/>
      <c r="S21" s="37">
        <v>3695</v>
      </c>
      <c r="T21" s="37">
        <v>2600</v>
      </c>
      <c r="U21" s="37">
        <v>10162</v>
      </c>
      <c r="V21" s="37">
        <v>1160</v>
      </c>
      <c r="W21" s="37">
        <v>5670</v>
      </c>
      <c r="X21" s="37">
        <v>3130</v>
      </c>
      <c r="Y21" s="37"/>
      <c r="Z21" s="37">
        <v>18</v>
      </c>
      <c r="AA21" s="37" t="s">
        <v>2696</v>
      </c>
      <c r="AB21" s="37">
        <v>16000</v>
      </c>
      <c r="AC21" s="37">
        <v>5995</v>
      </c>
      <c r="AD21" s="37"/>
      <c r="AE21" s="37"/>
      <c r="AF21" s="37"/>
      <c r="AG21" s="37"/>
      <c r="AH21" s="37">
        <v>47.2</v>
      </c>
      <c r="AI21" s="108"/>
      <c r="AJ21" s="108"/>
      <c r="AK21" s="108" t="s">
        <v>643</v>
      </c>
      <c r="AL21" s="108"/>
      <c r="AM21" s="108" t="s">
        <v>644</v>
      </c>
      <c r="AN21" s="108"/>
      <c r="AO21" s="108" t="s">
        <v>645</v>
      </c>
      <c r="AP21" s="108"/>
      <c r="AQ21" s="108" t="s">
        <v>646</v>
      </c>
      <c r="AR21" s="108"/>
      <c r="AS21" s="108" t="s">
        <v>647</v>
      </c>
      <c r="AT21" s="108"/>
      <c r="AU21" s="90" t="s">
        <v>648</v>
      </c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6">
        <f>IF(CONCATENATE(A21,B21,C21,D21,E21,F21,G21,H21,I21,J21,K21,L21,M21,N21,O21,P21,Q21,R21,S21,T21,U21,V21,W21,X21,Y21,Z21,AA21,AB21,AC21,AD21,AE21,AF21,AG21,AH21,AI21,AK21,AM21,AO21,AQ21,AS21,AU21,AV21,AW21,AX21,AY21,AZ21,BA21,BB21,BC21,BD21,BE21,BF21,BG21,BH21,BI21,BJ21,BK21,BL21,BM21,BN21,BO21,BP21,BQ21)=(CONCATENATE([1]FS_referentiel_produits_std!A14,[1]FS_referentiel_produits_std!B14,[1]FS_referentiel_produits_std!C14,[1]FS_referentiel_produits_std!D14,[1]FS_referentiel_produits_std!E14,[1]FS_referentiel_produits_std!F14,[1]FS_referentiel_produits_std!G14,[1]FS_referentiel_produits_std!H14,[1]FS_referentiel_produits_std!I14,[1]FS_referentiel_produits_std!J14,[1]FS_referentiel_produits_std!K14,[1]FS_referentiel_produits_std!L14,[1]FS_referentiel_produits_std!M14,[1]FS_referentiel_produits_std!N14,[1]FS_referentiel_produits_std!O14,[1]FS_referentiel_produits_std!P14,[1]FS_referentiel_produits_std!Q14,[1]FS_referentiel_produits_std!R14,[1]FS_referentiel_produits_std!S14,[1]FS_referentiel_produits_std!T14,[1]FS_referentiel_produits_std!U14,[1]FS_referentiel_produits_std!V14,[1]FS_referentiel_produits_std!W14,[1]FS_referentiel_produits_std!X14,[1]FS_referentiel_produits_std!Y14,[1]FS_referentiel_produits_std!Z14,[1]FS_referentiel_produits_std!AA14,[1]FS_referentiel_produits_std!AB14,[1]FS_referentiel_produits_std!AC14,[1]FS_referentiel_produits_std!AD14,[1]FS_referentiel_produits_std!AE14,[1]FS_referentiel_produits_std!AF14,[1]FS_referentiel_produits_std!AG14,[1]FS_referentiel_produits_std!AH14,[1]FS_referentiel_produits_std!AI14,[1]FS_referentiel_produits_std!AJ14,[1]FS_referentiel_produits_std!AK14,[1]FS_referentiel_produits_std!AL14,[1]FS_referentiel_produits_std!AM14,[1]FS_referentiel_produits_std!AN14,[1]FS_referentiel_produits_std!AO14,[1]FS_referentiel_produits_std!AP14,[1]FS_referentiel_produits_std!AQ14,[1]FS_referentiel_produits_std!AR14,[1]FS_referentiel_produits_std!AS14,[1]FS_referentiel_produits_std!AT14,[1]FS_referentiel_produits_std!AU14,[1]FS_referentiel_produits_std!AV14,[1]FS_referentiel_produits_std!AW14,[1]FS_referentiel_produits_std!AX14,[1]FS_referentiel_produits_std!AY14,[1]FS_referentiel_produits_std!AZ14,[1]FS_referentiel_produits_std!BA14,[1]FS_referentiel_produits_std!BB14,[1]FS_referentiel_produits_std!BC14,[1]FS_referentiel_produits_std!BD14,[1]FS_referentiel_produits_std!BE14,[1]FS_referentiel_produits_std!BF14,[1]FS_referentiel_produits_std!BG14,[1]FS_referentiel_produits_std!BH14,[1]FS_referentiel_produits_std!BI14,[1]FS_referentiel_produits_std!BJ14,[1]FS_referentiel_produits_std!BK14)),0,1)</f>
        <v>1</v>
      </c>
    </row>
    <row r="22" spans="1:70" s="87" customFormat="1" ht="24.95" customHeight="1" x14ac:dyDescent="0.25">
      <c r="A22" s="9" t="s">
        <v>204</v>
      </c>
      <c r="B22" s="88" t="s">
        <v>616</v>
      </c>
      <c r="C22" s="36"/>
      <c r="D22" s="84"/>
      <c r="E22" s="83" t="s">
        <v>33</v>
      </c>
      <c r="F22" s="83" t="s">
        <v>37</v>
      </c>
      <c r="G22" s="83" t="s">
        <v>42</v>
      </c>
      <c r="H22" s="83" t="s">
        <v>12</v>
      </c>
      <c r="I22" s="83" t="s">
        <v>7</v>
      </c>
      <c r="J22" s="97"/>
      <c r="K22" s="83" t="s">
        <v>30</v>
      </c>
      <c r="L22" s="97"/>
      <c r="M22" s="83" t="s">
        <v>651</v>
      </c>
      <c r="N22" s="83" t="s">
        <v>624</v>
      </c>
      <c r="O22" s="37">
        <v>7970</v>
      </c>
      <c r="P22" s="37">
        <v>2478</v>
      </c>
      <c r="Q22" s="37">
        <v>2400</v>
      </c>
      <c r="R22" s="37"/>
      <c r="S22" s="37">
        <v>3769</v>
      </c>
      <c r="T22" s="37">
        <v>2600</v>
      </c>
      <c r="U22" s="37">
        <v>10162</v>
      </c>
      <c r="V22" s="37">
        <v>1160</v>
      </c>
      <c r="W22" s="37">
        <v>5670</v>
      </c>
      <c r="X22" s="37">
        <v>3130</v>
      </c>
      <c r="Y22" s="37"/>
      <c r="Z22" s="37">
        <v>18</v>
      </c>
      <c r="AA22" s="37" t="s">
        <v>2697</v>
      </c>
      <c r="AB22" s="37">
        <v>16000</v>
      </c>
      <c r="AC22" s="37">
        <v>5870</v>
      </c>
      <c r="AD22" s="37"/>
      <c r="AE22" s="37"/>
      <c r="AF22" s="37"/>
      <c r="AG22" s="37"/>
      <c r="AH22" s="37">
        <v>47.2</v>
      </c>
      <c r="AI22" s="108" t="s">
        <v>637</v>
      </c>
      <c r="AJ22" s="108"/>
      <c r="AK22" s="108" t="s">
        <v>643</v>
      </c>
      <c r="AL22" s="108"/>
      <c r="AM22" s="108" t="s">
        <v>644</v>
      </c>
      <c r="AN22" s="108"/>
      <c r="AO22" s="108" t="s">
        <v>645</v>
      </c>
      <c r="AP22" s="108"/>
      <c r="AQ22" s="108" t="s">
        <v>646</v>
      </c>
      <c r="AR22" s="108"/>
      <c r="AS22" s="108" t="s">
        <v>647</v>
      </c>
      <c r="AT22" s="108"/>
      <c r="AU22" s="90" t="s">
        <v>648</v>
      </c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6">
        <f>IF(CONCATENATE(A22,B22,C22,D22,E22,F22,G22,H22,I22,J22,K22,L22,M22,N22,O22,P22,Q22,R22,S22,T22,U22,V22,W22,X22,Y22,Z22,AA22,AB22,AC22,AD22,AE22,AF22,AG22,AH22,AI22,AK22,AM22,AO22,AQ22,AS22,AU22,AV22,AW22,AX22,AY22,AZ22,BA22,BB22,BC22,BD22,BE22,BF22,BG22,BH22,BI22,BJ22,BK22,BL22,BM22,BN22,BO22,BP22,BQ22)=(CONCATENATE([1]FS_referentiel_produits_std!A15,[1]FS_referentiel_produits_std!B15,[1]FS_referentiel_produits_std!C15,[1]FS_referentiel_produits_std!D15,[1]FS_referentiel_produits_std!E15,[1]FS_referentiel_produits_std!F15,[1]FS_referentiel_produits_std!G15,[1]FS_referentiel_produits_std!H15,[1]FS_referentiel_produits_std!I15,[1]FS_referentiel_produits_std!J15,[1]FS_referentiel_produits_std!K15,[1]FS_referentiel_produits_std!L15,[1]FS_referentiel_produits_std!M15,[1]FS_referentiel_produits_std!N15,[1]FS_referentiel_produits_std!O15,[1]FS_referentiel_produits_std!P15,[1]FS_referentiel_produits_std!Q15,[1]FS_referentiel_produits_std!R15,[1]FS_referentiel_produits_std!S15,[1]FS_referentiel_produits_std!T15,[1]FS_referentiel_produits_std!U15,[1]FS_referentiel_produits_std!V15,[1]FS_referentiel_produits_std!W15,[1]FS_referentiel_produits_std!X15,[1]FS_referentiel_produits_std!Y15,[1]FS_referentiel_produits_std!Z15,[1]FS_referentiel_produits_std!AA15,[1]FS_referentiel_produits_std!AB15,[1]FS_referentiel_produits_std!AC15,[1]FS_referentiel_produits_std!AD15,[1]FS_referentiel_produits_std!AE15,[1]FS_referentiel_produits_std!AF15,[1]FS_referentiel_produits_std!AG15,[1]FS_referentiel_produits_std!AH15,[1]FS_referentiel_produits_std!AI15,[1]FS_referentiel_produits_std!AJ15,[1]FS_referentiel_produits_std!AK15,[1]FS_referentiel_produits_std!AL15,[1]FS_referentiel_produits_std!AM15,[1]FS_referentiel_produits_std!AN15,[1]FS_referentiel_produits_std!AO15,[1]FS_referentiel_produits_std!AP15,[1]FS_referentiel_produits_std!AQ15,[1]FS_referentiel_produits_std!AR15,[1]FS_referentiel_produits_std!AS15,[1]FS_referentiel_produits_std!AT15,[1]FS_referentiel_produits_std!AU15,[1]FS_referentiel_produits_std!AV15,[1]FS_referentiel_produits_std!AW15,[1]FS_referentiel_produits_std!AX15,[1]FS_referentiel_produits_std!AY15,[1]FS_referentiel_produits_std!AZ15,[1]FS_referentiel_produits_std!BA15,[1]FS_referentiel_produits_std!BB15,[1]FS_referentiel_produits_std!BC15,[1]FS_referentiel_produits_std!BD15,[1]FS_referentiel_produits_std!BE15,[1]FS_referentiel_produits_std!BF15,[1]FS_referentiel_produits_std!BG15,[1]FS_referentiel_produits_std!BH15,[1]FS_referentiel_produits_std!BI15,[1]FS_referentiel_produits_std!BJ15,[1]FS_referentiel_produits_std!BK15)),0,1)</f>
        <v>1</v>
      </c>
    </row>
    <row r="23" spans="1:70" s="87" customFormat="1" ht="24.95" customHeight="1" x14ac:dyDescent="0.25">
      <c r="A23" s="9" t="s">
        <v>204</v>
      </c>
      <c r="B23" s="88" t="s">
        <v>616</v>
      </c>
      <c r="C23" s="36"/>
      <c r="D23" s="84"/>
      <c r="E23" s="83" t="s">
        <v>33</v>
      </c>
      <c r="F23" s="83" t="s">
        <v>37</v>
      </c>
      <c r="G23" s="83" t="s">
        <v>43</v>
      </c>
      <c r="H23" s="83" t="s">
        <v>12</v>
      </c>
      <c r="I23" s="83" t="s">
        <v>7</v>
      </c>
      <c r="J23" s="97"/>
      <c r="K23" s="83" t="s">
        <v>30</v>
      </c>
      <c r="L23" s="97"/>
      <c r="M23" s="83" t="s">
        <v>657</v>
      </c>
      <c r="N23" s="83" t="s">
        <v>624</v>
      </c>
      <c r="O23" s="37">
        <v>9170</v>
      </c>
      <c r="P23" s="37">
        <v>2478</v>
      </c>
      <c r="Q23" s="37">
        <v>2400</v>
      </c>
      <c r="R23" s="37"/>
      <c r="S23" s="37">
        <v>3805</v>
      </c>
      <c r="T23" s="37">
        <v>2600</v>
      </c>
      <c r="U23" s="37">
        <v>11362</v>
      </c>
      <c r="V23" s="37">
        <v>1270</v>
      </c>
      <c r="W23" s="37">
        <v>6570</v>
      </c>
      <c r="X23" s="37">
        <v>3430</v>
      </c>
      <c r="Y23" s="37"/>
      <c r="Z23" s="37">
        <v>21</v>
      </c>
      <c r="AA23" s="37" t="s">
        <v>2702</v>
      </c>
      <c r="AB23" s="37">
        <v>19000</v>
      </c>
      <c r="AC23" s="37">
        <v>7730</v>
      </c>
      <c r="AD23" s="37"/>
      <c r="AE23" s="37"/>
      <c r="AF23" s="37"/>
      <c r="AG23" s="37"/>
      <c r="AH23" s="37">
        <v>54.3</v>
      </c>
      <c r="AI23" s="108" t="s">
        <v>652</v>
      </c>
      <c r="AJ23" s="108"/>
      <c r="AK23" s="108" t="s">
        <v>653</v>
      </c>
      <c r="AL23" s="108"/>
      <c r="AM23" s="108" t="s">
        <v>654</v>
      </c>
      <c r="AN23" s="108"/>
      <c r="AO23" s="108" t="s">
        <v>655</v>
      </c>
      <c r="AP23" s="108"/>
      <c r="AQ23" s="108" t="s">
        <v>641</v>
      </c>
      <c r="AR23" s="108"/>
      <c r="AS23" s="108" t="s">
        <v>647</v>
      </c>
      <c r="AT23" s="108"/>
      <c r="AU23" s="83" t="s">
        <v>656</v>
      </c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6">
        <f>IF(CONCATENATE(A23,B23,C23,D23,E23,F23,G23,H23,I23,J23,K23,L23,M23,N23,O23,P23,Q23,R23,S23,T23,U23,V23,W23,X23,Y23,Z23,AA23,AB23,AC23,AD23,AE23,AF23,AG23,AH23,AI23,AK23,AM23,AO23,AQ23,AS23,AU23,AV23,AW23,AX23,AY23,AZ23,BA23,BB23,BC23,BD23,BE23,BF23,BG23,BH23,BI23,BJ23,BK23,BL23,BM23,BN23,BO23,BP23,BQ23)=(CONCATENATE([1]FS_referentiel_produits_std!A16,[1]FS_referentiel_produits_std!B16,[1]FS_referentiel_produits_std!C16,[1]FS_referentiel_produits_std!D16,[1]FS_referentiel_produits_std!E16,[1]FS_referentiel_produits_std!F16,[1]FS_referentiel_produits_std!G16,[1]FS_referentiel_produits_std!H16,[1]FS_referentiel_produits_std!I16,[1]FS_referentiel_produits_std!J16,[1]FS_referentiel_produits_std!K16,[1]FS_referentiel_produits_std!L16,[1]FS_referentiel_produits_std!M16,[1]FS_referentiel_produits_std!N16,[1]FS_referentiel_produits_std!O16,[1]FS_referentiel_produits_std!P16,[1]FS_referentiel_produits_std!Q16,[1]FS_referentiel_produits_std!R16,[1]FS_referentiel_produits_std!S16,[1]FS_referentiel_produits_std!T16,[1]FS_referentiel_produits_std!U16,[1]FS_referentiel_produits_std!V16,[1]FS_referentiel_produits_std!W16,[1]FS_referentiel_produits_std!X16,[1]FS_referentiel_produits_std!Y16,[1]FS_referentiel_produits_std!Z16,[1]FS_referentiel_produits_std!AA16,[1]FS_referentiel_produits_std!AB16,[1]FS_referentiel_produits_std!AC16,[1]FS_referentiel_produits_std!AD16,[1]FS_referentiel_produits_std!AE16,[1]FS_referentiel_produits_std!AF16,[1]FS_referentiel_produits_std!AG16,[1]FS_referentiel_produits_std!AH16,[1]FS_referentiel_produits_std!AI16,[1]FS_referentiel_produits_std!AJ16,[1]FS_referentiel_produits_std!AK16,[1]FS_referentiel_produits_std!AL16,[1]FS_referentiel_produits_std!AM16,[1]FS_referentiel_produits_std!AN16,[1]FS_referentiel_produits_std!AO16,[1]FS_referentiel_produits_std!AP16,[1]FS_referentiel_produits_std!AQ16,[1]FS_referentiel_produits_std!AR16,[1]FS_referentiel_produits_std!AS16,[1]FS_referentiel_produits_std!AT16,[1]FS_referentiel_produits_std!AU16,[1]FS_referentiel_produits_std!AV16,[1]FS_referentiel_produits_std!AW16,[1]FS_referentiel_produits_std!AX16,[1]FS_referentiel_produits_std!AY16,[1]FS_referentiel_produits_std!AZ16,[1]FS_referentiel_produits_std!BA16,[1]FS_referentiel_produits_std!BB16,[1]FS_referentiel_produits_std!BC16,[1]FS_referentiel_produits_std!BD16,[1]FS_referentiel_produits_std!BE16,[1]FS_referentiel_produits_std!BF16,[1]FS_referentiel_produits_std!BG16,[1]FS_referentiel_produits_std!BH16,[1]FS_referentiel_produits_std!BI16,[1]FS_referentiel_produits_std!BJ16,[1]FS_referentiel_produits_std!BK16)),0,1)</f>
        <v>1</v>
      </c>
    </row>
    <row r="24" spans="1:70" s="87" customFormat="1" ht="24.95" customHeight="1" x14ac:dyDescent="0.25">
      <c r="A24" s="9" t="s">
        <v>204</v>
      </c>
      <c r="B24" s="88" t="s">
        <v>616</v>
      </c>
      <c r="C24" s="36"/>
      <c r="D24" s="84"/>
      <c r="E24" s="83" t="s">
        <v>33</v>
      </c>
      <c r="F24" s="83" t="s">
        <v>37</v>
      </c>
      <c r="G24" s="83" t="s">
        <v>43</v>
      </c>
      <c r="H24" s="83" t="s">
        <v>12</v>
      </c>
      <c r="I24" s="83" t="s">
        <v>7</v>
      </c>
      <c r="J24" s="97"/>
      <c r="K24" s="83" t="s">
        <v>30</v>
      </c>
      <c r="L24" s="97"/>
      <c r="M24" s="83" t="s">
        <v>658</v>
      </c>
      <c r="N24" s="83" t="s">
        <v>624</v>
      </c>
      <c r="O24" s="37">
        <v>9158</v>
      </c>
      <c r="P24" s="37">
        <v>2478</v>
      </c>
      <c r="Q24" s="37">
        <v>2400</v>
      </c>
      <c r="R24" s="37"/>
      <c r="S24" s="37">
        <v>3879</v>
      </c>
      <c r="T24" s="37">
        <v>2600</v>
      </c>
      <c r="U24" s="37">
        <v>11362</v>
      </c>
      <c r="V24" s="37">
        <v>1270</v>
      </c>
      <c r="W24" s="37">
        <v>6570</v>
      </c>
      <c r="X24" s="37">
        <v>3430</v>
      </c>
      <c r="Y24" s="37"/>
      <c r="Z24" s="37">
        <v>21</v>
      </c>
      <c r="AA24" s="37" t="s">
        <v>2697</v>
      </c>
      <c r="AB24" s="37">
        <v>19000</v>
      </c>
      <c r="AC24" s="37">
        <v>7605</v>
      </c>
      <c r="AD24" s="37"/>
      <c r="AE24" s="37"/>
      <c r="AF24" s="37"/>
      <c r="AG24" s="37"/>
      <c r="AH24" s="37">
        <v>54.3</v>
      </c>
      <c r="AI24" s="108" t="s">
        <v>652</v>
      </c>
      <c r="AJ24" s="108"/>
      <c r="AK24" s="108" t="s">
        <v>653</v>
      </c>
      <c r="AL24" s="108"/>
      <c r="AM24" s="108" t="s">
        <v>654</v>
      </c>
      <c r="AN24" s="108"/>
      <c r="AO24" s="108" t="s">
        <v>655</v>
      </c>
      <c r="AP24" s="108"/>
      <c r="AQ24" s="108" t="s">
        <v>641</v>
      </c>
      <c r="AR24" s="108"/>
      <c r="AS24" s="108" t="s">
        <v>647</v>
      </c>
      <c r="AT24" s="108"/>
      <c r="AU24" s="83" t="s">
        <v>656</v>
      </c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6">
        <f>IF(CONCATENATE(A24,B24,C24,D24,E24,F24,G24,H24,I24,J24,K24,L24,M24,N24,O24,P24,Q24,R24,S24,T24,U24,V24,W24,X24,Y24,Z24,AA24,AB24,AC24,AD24,AE24,AF24,AG24,AH24,AI24,AK24,AM24,AO24,AQ24,AS24,AU24,AV24,AW24,AX24,AY24,AZ24,BA24,BB24,BC24,BD24,BE24,BF24,BG24,BH24,BI24,BJ24,BK24,BL24,BM24,BN24,BO24,BP24,BQ24)=(CONCATENATE([1]FS_referentiel_produits_std!A17,[1]FS_referentiel_produits_std!B17,[1]FS_referentiel_produits_std!C17,[1]FS_referentiel_produits_std!D17,[1]FS_referentiel_produits_std!E17,[1]FS_referentiel_produits_std!F17,[1]FS_referentiel_produits_std!G17,[1]FS_referentiel_produits_std!H17,[1]FS_referentiel_produits_std!I17,[1]FS_referentiel_produits_std!J17,[1]FS_referentiel_produits_std!K17,[1]FS_referentiel_produits_std!L17,[1]FS_referentiel_produits_std!M17,[1]FS_referentiel_produits_std!N17,[1]FS_referentiel_produits_std!O17,[1]FS_referentiel_produits_std!P17,[1]FS_referentiel_produits_std!Q17,[1]FS_referentiel_produits_std!R17,[1]FS_referentiel_produits_std!S17,[1]FS_referentiel_produits_std!T17,[1]FS_referentiel_produits_std!U17,[1]FS_referentiel_produits_std!V17,[1]FS_referentiel_produits_std!W17,[1]FS_referentiel_produits_std!X17,[1]FS_referentiel_produits_std!Y17,[1]FS_referentiel_produits_std!Z17,[1]FS_referentiel_produits_std!AA17,[1]FS_referentiel_produits_std!AB17,[1]FS_referentiel_produits_std!AC17,[1]FS_referentiel_produits_std!AD17,[1]FS_referentiel_produits_std!AE17,[1]FS_referentiel_produits_std!AF17,[1]FS_referentiel_produits_std!AG17,[1]FS_referentiel_produits_std!AH17,[1]FS_referentiel_produits_std!AI17,[1]FS_referentiel_produits_std!AJ17,[1]FS_referentiel_produits_std!AK17,[1]FS_referentiel_produits_std!AL17,[1]FS_referentiel_produits_std!AM17,[1]FS_referentiel_produits_std!AN17,[1]FS_referentiel_produits_std!AO17,[1]FS_referentiel_produits_std!AP17,[1]FS_referentiel_produits_std!AQ17,[1]FS_referentiel_produits_std!AR17,[1]FS_referentiel_produits_std!AS17,[1]FS_referentiel_produits_std!AT17,[1]FS_referentiel_produits_std!AU17,[1]FS_referentiel_produits_std!AV17,[1]FS_referentiel_produits_std!AW17,[1]FS_referentiel_produits_std!AX17,[1]FS_referentiel_produits_std!AY17,[1]FS_referentiel_produits_std!AZ17,[1]FS_referentiel_produits_std!BA17,[1]FS_referentiel_produits_std!BB17,[1]FS_referentiel_produits_std!BC17,[1]FS_referentiel_produits_std!BD17,[1]FS_referentiel_produits_std!BE17,[1]FS_referentiel_produits_std!BF17,[1]FS_referentiel_produits_std!BG17,[1]FS_referentiel_produits_std!BH17,[1]FS_referentiel_produits_std!BI17,[1]FS_referentiel_produits_std!BJ17,[1]FS_referentiel_produits_std!BK17)),0,1)</f>
        <v>1</v>
      </c>
    </row>
    <row r="25" spans="1:70" customFormat="1" ht="24.95" customHeight="1" x14ac:dyDescent="0.25">
      <c r="A25" s="9" t="s">
        <v>204</v>
      </c>
      <c r="B25" s="88" t="s">
        <v>616</v>
      </c>
      <c r="C25" s="36"/>
      <c r="D25" s="84"/>
      <c r="E25" s="83" t="s">
        <v>659</v>
      </c>
      <c r="F25" s="83" t="s">
        <v>50</v>
      </c>
      <c r="G25" s="83" t="s">
        <v>41</v>
      </c>
      <c r="H25" s="83" t="s">
        <v>12</v>
      </c>
      <c r="I25" s="83" t="s">
        <v>7</v>
      </c>
      <c r="J25" s="97"/>
      <c r="K25" s="83" t="s">
        <v>30</v>
      </c>
      <c r="L25" s="97"/>
      <c r="M25" s="83" t="s">
        <v>2785</v>
      </c>
      <c r="N25" s="83" t="s">
        <v>624</v>
      </c>
      <c r="O25" s="37">
        <v>5570</v>
      </c>
      <c r="P25" s="37">
        <v>2478</v>
      </c>
      <c r="Q25" s="37">
        <v>2400</v>
      </c>
      <c r="R25" s="37"/>
      <c r="S25" s="37">
        <v>3685</v>
      </c>
      <c r="T25" s="37">
        <v>2600</v>
      </c>
      <c r="U25" s="37">
        <v>7725</v>
      </c>
      <c r="V25" s="37">
        <v>1150</v>
      </c>
      <c r="W25" s="37">
        <v>3800</v>
      </c>
      <c r="X25" s="37">
        <v>2600</v>
      </c>
      <c r="Y25" s="37"/>
      <c r="Z25" s="37">
        <v>15</v>
      </c>
      <c r="AA25" s="37" t="s">
        <v>2698</v>
      </c>
      <c r="AB25" s="37">
        <v>11990</v>
      </c>
      <c r="AC25" s="37">
        <v>3390</v>
      </c>
      <c r="AD25" s="37"/>
      <c r="AE25" s="37"/>
      <c r="AF25" s="37"/>
      <c r="AG25" s="37"/>
      <c r="AH25" s="37">
        <v>33</v>
      </c>
      <c r="AI25" s="108" t="s">
        <v>661</v>
      </c>
      <c r="AJ25" s="108"/>
      <c r="AK25" s="108" t="s">
        <v>662</v>
      </c>
      <c r="AL25" s="108"/>
      <c r="AM25" s="108" t="s">
        <v>663</v>
      </c>
      <c r="AN25" s="108"/>
      <c r="AO25" s="108" t="s">
        <v>640</v>
      </c>
      <c r="AP25" s="108"/>
      <c r="AQ25" s="108" t="s">
        <v>646</v>
      </c>
      <c r="AR25" s="108"/>
      <c r="AS25" s="108" t="s">
        <v>664</v>
      </c>
      <c r="AT25" s="108"/>
      <c r="AU25" s="90" t="s">
        <v>665</v>
      </c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6">
        <v>0</v>
      </c>
    </row>
    <row r="26" spans="1:70" s="87" customFormat="1" ht="24.95" customHeight="1" x14ac:dyDescent="0.25">
      <c r="A26" s="9" t="s">
        <v>204</v>
      </c>
      <c r="B26" s="88" t="s">
        <v>616</v>
      </c>
      <c r="C26" s="36"/>
      <c r="D26" s="84"/>
      <c r="E26" s="83" t="s">
        <v>659</v>
      </c>
      <c r="F26" s="83" t="s">
        <v>50</v>
      </c>
      <c r="G26" s="83" t="s">
        <v>42</v>
      </c>
      <c r="H26" s="83" t="s">
        <v>12</v>
      </c>
      <c r="I26" s="83" t="s">
        <v>7</v>
      </c>
      <c r="J26" s="97"/>
      <c r="K26" s="83" t="s">
        <v>30</v>
      </c>
      <c r="L26" s="97"/>
      <c r="M26" s="83" t="s">
        <v>672</v>
      </c>
      <c r="N26" s="83" t="s">
        <v>624</v>
      </c>
      <c r="O26" s="37">
        <v>6770</v>
      </c>
      <c r="P26" s="37">
        <v>2478</v>
      </c>
      <c r="Q26" s="37">
        <v>2400</v>
      </c>
      <c r="R26" s="37"/>
      <c r="S26" s="37">
        <v>3725</v>
      </c>
      <c r="T26" s="37">
        <v>2600</v>
      </c>
      <c r="U26" s="37">
        <v>8975</v>
      </c>
      <c r="V26" s="37">
        <v>1190</v>
      </c>
      <c r="W26" s="37">
        <v>5000</v>
      </c>
      <c r="X26" s="37">
        <v>2650</v>
      </c>
      <c r="Y26" s="37"/>
      <c r="Z26" s="37">
        <v>15</v>
      </c>
      <c r="AA26" s="37" t="s">
        <v>2700</v>
      </c>
      <c r="AB26" s="37">
        <v>16000</v>
      </c>
      <c r="AC26" s="37">
        <v>6430</v>
      </c>
      <c r="AD26" s="37"/>
      <c r="AE26" s="37"/>
      <c r="AF26" s="37"/>
      <c r="AG26" s="37"/>
      <c r="AH26" s="37">
        <v>40</v>
      </c>
      <c r="AI26" s="108" t="s">
        <v>661</v>
      </c>
      <c r="AJ26" s="108"/>
      <c r="AK26" s="108" t="s">
        <v>662</v>
      </c>
      <c r="AL26" s="108"/>
      <c r="AM26" s="108" t="s">
        <v>666</v>
      </c>
      <c r="AN26" s="108"/>
      <c r="AO26" s="108" t="s">
        <v>645</v>
      </c>
      <c r="AP26" s="108"/>
      <c r="AQ26" s="108" t="s">
        <v>646</v>
      </c>
      <c r="AR26" s="108"/>
      <c r="AS26" s="108" t="s">
        <v>647</v>
      </c>
      <c r="AT26" s="108"/>
      <c r="AU26" s="90" t="s">
        <v>667</v>
      </c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6">
        <v>0</v>
      </c>
    </row>
    <row r="27" spans="1:70" s="87" customFormat="1" ht="24.95" customHeight="1" x14ac:dyDescent="0.25">
      <c r="A27" s="9" t="s">
        <v>204</v>
      </c>
      <c r="B27" s="88" t="s">
        <v>616</v>
      </c>
      <c r="C27" s="36"/>
      <c r="D27" s="84"/>
      <c r="E27" s="83" t="s">
        <v>659</v>
      </c>
      <c r="F27" s="83" t="s">
        <v>50</v>
      </c>
      <c r="G27" s="83" t="s">
        <v>42</v>
      </c>
      <c r="H27" s="83" t="s">
        <v>12</v>
      </c>
      <c r="I27" s="83" t="s">
        <v>7</v>
      </c>
      <c r="J27" s="97"/>
      <c r="K27" s="83" t="s">
        <v>30</v>
      </c>
      <c r="L27" s="97"/>
      <c r="M27" s="83" t="s">
        <v>673</v>
      </c>
      <c r="N27" s="83" t="s">
        <v>624</v>
      </c>
      <c r="O27" s="37">
        <v>6770</v>
      </c>
      <c r="P27" s="37">
        <v>2478</v>
      </c>
      <c r="Q27" s="37">
        <v>2400</v>
      </c>
      <c r="R27" s="37"/>
      <c r="S27" s="37">
        <v>3799</v>
      </c>
      <c r="T27" s="37">
        <v>2600</v>
      </c>
      <c r="U27" s="37">
        <v>8975</v>
      </c>
      <c r="V27" s="37">
        <v>1190</v>
      </c>
      <c r="W27" s="37">
        <v>5000</v>
      </c>
      <c r="X27" s="37">
        <v>2650</v>
      </c>
      <c r="Y27" s="37"/>
      <c r="Z27" s="37">
        <v>15</v>
      </c>
      <c r="AA27" s="37" t="s">
        <v>2701</v>
      </c>
      <c r="AB27" s="37">
        <v>16000</v>
      </c>
      <c r="AC27" s="37">
        <v>6300</v>
      </c>
      <c r="AD27" s="37"/>
      <c r="AE27" s="37"/>
      <c r="AF27" s="37"/>
      <c r="AG27" s="37"/>
      <c r="AH27" s="37">
        <v>40</v>
      </c>
      <c r="AI27" s="108" t="s">
        <v>661</v>
      </c>
      <c r="AJ27" s="108"/>
      <c r="AK27" s="108" t="s">
        <v>662</v>
      </c>
      <c r="AL27" s="108"/>
      <c r="AM27" s="108" t="s">
        <v>666</v>
      </c>
      <c r="AN27" s="108"/>
      <c r="AO27" s="108" t="s">
        <v>645</v>
      </c>
      <c r="AP27" s="108"/>
      <c r="AQ27" s="108" t="s">
        <v>646</v>
      </c>
      <c r="AR27" s="108"/>
      <c r="AS27" s="108" t="s">
        <v>647</v>
      </c>
      <c r="AT27" s="108"/>
      <c r="AU27" s="90" t="s">
        <v>667</v>
      </c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6">
        <v>0</v>
      </c>
    </row>
    <row r="28" spans="1:70" s="87" customFormat="1" ht="24.95" customHeight="1" x14ac:dyDescent="0.25">
      <c r="A28" s="9" t="s">
        <v>204</v>
      </c>
      <c r="B28" s="88" t="s">
        <v>616</v>
      </c>
      <c r="C28" s="36"/>
      <c r="D28" s="84"/>
      <c r="E28" s="83" t="s">
        <v>659</v>
      </c>
      <c r="F28" s="83" t="s">
        <v>50</v>
      </c>
      <c r="G28" s="83" t="s">
        <v>42</v>
      </c>
      <c r="H28" s="83" t="s">
        <v>12</v>
      </c>
      <c r="I28" s="83" t="s">
        <v>7</v>
      </c>
      <c r="J28" s="97"/>
      <c r="K28" s="83" t="s">
        <v>30</v>
      </c>
      <c r="L28" s="97"/>
      <c r="M28" s="83" t="s">
        <v>674</v>
      </c>
      <c r="N28" s="83" t="s">
        <v>624</v>
      </c>
      <c r="O28" s="37">
        <v>7970</v>
      </c>
      <c r="P28" s="37">
        <v>2478</v>
      </c>
      <c r="Q28" s="37">
        <v>2400</v>
      </c>
      <c r="R28" s="37"/>
      <c r="S28" s="37">
        <v>3725</v>
      </c>
      <c r="T28" s="37">
        <v>2600</v>
      </c>
      <c r="U28" s="37">
        <v>10125</v>
      </c>
      <c r="V28" s="37">
        <v>1190</v>
      </c>
      <c r="W28" s="37">
        <v>5600</v>
      </c>
      <c r="X28" s="37">
        <v>3200</v>
      </c>
      <c r="Y28" s="37"/>
      <c r="Z28" s="37">
        <v>18</v>
      </c>
      <c r="AA28" s="37" t="s">
        <v>2700</v>
      </c>
      <c r="AB28" s="37">
        <v>16000</v>
      </c>
      <c r="AC28" s="37">
        <v>6050</v>
      </c>
      <c r="AD28" s="37"/>
      <c r="AE28" s="37"/>
      <c r="AF28" s="37"/>
      <c r="AG28" s="37"/>
      <c r="AH28" s="37">
        <v>47</v>
      </c>
      <c r="AI28" s="108" t="s">
        <v>661</v>
      </c>
      <c r="AJ28" s="108"/>
      <c r="AK28" s="108" t="s">
        <v>662</v>
      </c>
      <c r="AL28" s="108"/>
      <c r="AM28" s="108" t="s">
        <v>666</v>
      </c>
      <c r="AN28" s="108"/>
      <c r="AO28" s="108" t="s">
        <v>645</v>
      </c>
      <c r="AP28" s="108"/>
      <c r="AQ28" s="108" t="s">
        <v>646</v>
      </c>
      <c r="AR28" s="108"/>
      <c r="AS28" s="108" t="s">
        <v>647</v>
      </c>
      <c r="AT28" s="108"/>
      <c r="AU28" s="90" t="s">
        <v>667</v>
      </c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6">
        <v>0</v>
      </c>
    </row>
    <row r="29" spans="1:70" s="87" customFormat="1" ht="24.95" customHeight="1" x14ac:dyDescent="0.25">
      <c r="A29" s="9" t="s">
        <v>204</v>
      </c>
      <c r="B29" s="88" t="s">
        <v>616</v>
      </c>
      <c r="C29" s="36"/>
      <c r="D29" s="84"/>
      <c r="E29" s="83" t="s">
        <v>659</v>
      </c>
      <c r="F29" s="83" t="s">
        <v>50</v>
      </c>
      <c r="G29" s="83" t="s">
        <v>42</v>
      </c>
      <c r="H29" s="83" t="s">
        <v>12</v>
      </c>
      <c r="I29" s="83" t="s">
        <v>7</v>
      </c>
      <c r="J29" s="97"/>
      <c r="K29" s="83" t="s">
        <v>30</v>
      </c>
      <c r="L29" s="97"/>
      <c r="M29" s="83" t="s">
        <v>675</v>
      </c>
      <c r="N29" s="83" t="s">
        <v>624</v>
      </c>
      <c r="O29" s="37">
        <v>7970</v>
      </c>
      <c r="P29" s="37">
        <v>2478</v>
      </c>
      <c r="Q29" s="37">
        <v>2400</v>
      </c>
      <c r="R29" s="37"/>
      <c r="S29" s="37">
        <v>3799</v>
      </c>
      <c r="T29" s="37">
        <v>2600</v>
      </c>
      <c r="U29" s="37">
        <v>10125</v>
      </c>
      <c r="V29" s="37">
        <v>1190</v>
      </c>
      <c r="W29" s="37">
        <v>5600</v>
      </c>
      <c r="X29" s="37">
        <v>3200</v>
      </c>
      <c r="Y29" s="37"/>
      <c r="Z29" s="37">
        <v>18</v>
      </c>
      <c r="AA29" s="37" t="s">
        <v>2701</v>
      </c>
      <c r="AB29" s="37">
        <v>16000</v>
      </c>
      <c r="AC29" s="37">
        <v>5625</v>
      </c>
      <c r="AD29" s="37"/>
      <c r="AE29" s="37"/>
      <c r="AF29" s="37"/>
      <c r="AG29" s="37"/>
      <c r="AH29" s="37">
        <v>47</v>
      </c>
      <c r="AI29" s="108" t="s">
        <v>661</v>
      </c>
      <c r="AJ29" s="108"/>
      <c r="AK29" s="108" t="s">
        <v>662</v>
      </c>
      <c r="AL29" s="108"/>
      <c r="AM29" s="108" t="s">
        <v>666</v>
      </c>
      <c r="AN29" s="108"/>
      <c r="AO29" s="108" t="s">
        <v>645</v>
      </c>
      <c r="AP29" s="108"/>
      <c r="AQ29" s="108" t="s">
        <v>646</v>
      </c>
      <c r="AR29" s="108"/>
      <c r="AS29" s="108" t="s">
        <v>647</v>
      </c>
      <c r="AT29" s="108"/>
      <c r="AU29" s="90" t="s">
        <v>667</v>
      </c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6">
        <v>0</v>
      </c>
    </row>
    <row r="30" spans="1:70" s="87" customFormat="1" ht="24.95" customHeight="1" x14ac:dyDescent="0.25">
      <c r="A30" s="9" t="s">
        <v>204</v>
      </c>
      <c r="B30" s="88" t="s">
        <v>616</v>
      </c>
      <c r="C30" s="36"/>
      <c r="D30" s="84"/>
      <c r="E30" s="83" t="s">
        <v>659</v>
      </c>
      <c r="F30" s="83" t="s">
        <v>50</v>
      </c>
      <c r="G30" s="83" t="s">
        <v>43</v>
      </c>
      <c r="H30" s="83" t="s">
        <v>12</v>
      </c>
      <c r="I30" s="83" t="s">
        <v>7</v>
      </c>
      <c r="J30" s="97"/>
      <c r="K30" s="83" t="s">
        <v>30</v>
      </c>
      <c r="L30" s="97"/>
      <c r="M30" s="83" t="s">
        <v>2786</v>
      </c>
      <c r="N30" s="83" t="s">
        <v>624</v>
      </c>
      <c r="O30" s="37">
        <v>9170</v>
      </c>
      <c r="P30" s="37">
        <v>2478</v>
      </c>
      <c r="Q30" s="37">
        <v>2400</v>
      </c>
      <c r="R30" s="37"/>
      <c r="S30" s="37">
        <v>3845</v>
      </c>
      <c r="T30" s="37">
        <v>2600</v>
      </c>
      <c r="U30" s="37">
        <v>11420</v>
      </c>
      <c r="V30" s="37">
        <v>1310</v>
      </c>
      <c r="W30" s="37">
        <v>6450</v>
      </c>
      <c r="X30" s="37">
        <v>3550</v>
      </c>
      <c r="Y30" s="37"/>
      <c r="Z30" s="37">
        <v>21</v>
      </c>
      <c r="AA30" s="37" t="s">
        <v>2712</v>
      </c>
      <c r="AB30" s="37">
        <v>19000</v>
      </c>
      <c r="AC30" s="37">
        <v>7245</v>
      </c>
      <c r="AD30" s="37"/>
      <c r="AE30" s="37"/>
      <c r="AF30" s="37"/>
      <c r="AG30" s="37"/>
      <c r="AH30" s="37">
        <v>54.3</v>
      </c>
      <c r="AI30" s="108" t="s">
        <v>669</v>
      </c>
      <c r="AJ30" s="108"/>
      <c r="AK30" s="108" t="s">
        <v>670</v>
      </c>
      <c r="AL30" s="108"/>
      <c r="AM30" s="108" t="s">
        <v>671</v>
      </c>
      <c r="AN30" s="108"/>
      <c r="AO30" s="108" t="s">
        <v>655</v>
      </c>
      <c r="AP30" s="108"/>
      <c r="AQ30" s="108" t="s">
        <v>641</v>
      </c>
      <c r="AR30" s="108"/>
      <c r="AS30" s="108" t="s">
        <v>647</v>
      </c>
      <c r="AT30" s="108"/>
      <c r="AU30" s="83" t="s">
        <v>72</v>
      </c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6">
        <v>0</v>
      </c>
    </row>
    <row r="31" spans="1:70" s="87" customFormat="1" ht="24.95" customHeight="1" x14ac:dyDescent="0.25">
      <c r="A31" s="9" t="s">
        <v>204</v>
      </c>
      <c r="B31" s="88" t="s">
        <v>616</v>
      </c>
      <c r="C31" s="36"/>
      <c r="D31" s="84"/>
      <c r="E31" s="83" t="s">
        <v>659</v>
      </c>
      <c r="F31" s="83" t="s">
        <v>50</v>
      </c>
      <c r="G31" s="83" t="s">
        <v>43</v>
      </c>
      <c r="H31" s="83" t="s">
        <v>12</v>
      </c>
      <c r="I31" s="83" t="s">
        <v>7</v>
      </c>
      <c r="J31" s="97"/>
      <c r="K31" s="83" t="s">
        <v>30</v>
      </c>
      <c r="L31" s="97"/>
      <c r="M31" s="83" t="s">
        <v>2787</v>
      </c>
      <c r="N31" s="83" t="s">
        <v>624</v>
      </c>
      <c r="O31" s="37">
        <v>9158</v>
      </c>
      <c r="P31" s="37">
        <v>2478</v>
      </c>
      <c r="Q31" s="37">
        <v>2400</v>
      </c>
      <c r="R31" s="37"/>
      <c r="S31" s="37">
        <v>3919</v>
      </c>
      <c r="T31" s="37">
        <v>2600</v>
      </c>
      <c r="U31" s="37">
        <v>11420</v>
      </c>
      <c r="V31" s="37">
        <v>1310</v>
      </c>
      <c r="W31" s="37">
        <v>6450</v>
      </c>
      <c r="X31" s="37">
        <v>3550</v>
      </c>
      <c r="Y31" s="37"/>
      <c r="Z31" s="37">
        <v>21</v>
      </c>
      <c r="AA31" s="37" t="s">
        <v>2711</v>
      </c>
      <c r="AB31" s="37">
        <v>19000</v>
      </c>
      <c r="AC31" s="37">
        <v>7115</v>
      </c>
      <c r="AD31" s="37"/>
      <c r="AE31" s="37"/>
      <c r="AF31" s="37"/>
      <c r="AG31" s="37"/>
      <c r="AH31" s="37">
        <v>54.3</v>
      </c>
      <c r="AI31" s="108" t="s">
        <v>669</v>
      </c>
      <c r="AJ31" s="108"/>
      <c r="AK31" s="108" t="s">
        <v>670</v>
      </c>
      <c r="AL31" s="108"/>
      <c r="AM31" s="108" t="s">
        <v>671</v>
      </c>
      <c r="AN31" s="108"/>
      <c r="AO31" s="108" t="s">
        <v>655</v>
      </c>
      <c r="AP31" s="108"/>
      <c r="AQ31" s="108" t="s">
        <v>641</v>
      </c>
      <c r="AR31" s="108"/>
      <c r="AS31" s="108" t="s">
        <v>647</v>
      </c>
      <c r="AT31" s="108"/>
      <c r="AU31" s="83" t="s">
        <v>72</v>
      </c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6">
        <v>0</v>
      </c>
    </row>
    <row r="32" spans="1:70" s="87" customFormat="1" ht="24.95" customHeight="1" x14ac:dyDescent="0.25">
      <c r="A32" s="9" t="s">
        <v>204</v>
      </c>
      <c r="B32" s="88" t="s">
        <v>616</v>
      </c>
      <c r="C32" s="36"/>
      <c r="D32" s="84"/>
      <c r="E32" s="83" t="s">
        <v>659</v>
      </c>
      <c r="F32" s="83" t="s">
        <v>676</v>
      </c>
      <c r="G32" s="83" t="s">
        <v>45</v>
      </c>
      <c r="H32" s="83"/>
      <c r="I32" s="83"/>
      <c r="J32" s="97"/>
      <c r="K32" s="83" t="s">
        <v>677</v>
      </c>
      <c r="L32" s="97"/>
      <c r="M32" s="83" t="s">
        <v>2755</v>
      </c>
      <c r="N32" s="83" t="s">
        <v>31</v>
      </c>
      <c r="O32" s="37"/>
      <c r="P32" s="37"/>
      <c r="Q32" s="37"/>
      <c r="R32" s="37"/>
      <c r="S32" s="37">
        <v>3924</v>
      </c>
      <c r="T32" s="37">
        <v>2534</v>
      </c>
      <c r="U32" s="37">
        <v>5990</v>
      </c>
      <c r="V32" s="37"/>
      <c r="W32" s="37">
        <v>3800</v>
      </c>
      <c r="X32" s="37">
        <v>825</v>
      </c>
      <c r="Y32" s="37"/>
      <c r="Z32" s="37"/>
      <c r="AA32" s="37" t="s">
        <v>678</v>
      </c>
      <c r="AB32" s="37">
        <v>19000</v>
      </c>
      <c r="AC32" s="37"/>
      <c r="AD32" s="37"/>
      <c r="AE32" s="37"/>
      <c r="AF32" s="37">
        <v>44000</v>
      </c>
      <c r="AG32" s="37"/>
      <c r="AH32" s="37"/>
      <c r="AI32" s="108" t="s">
        <v>679</v>
      </c>
      <c r="AJ32" s="108"/>
      <c r="AK32" s="108" t="s">
        <v>680</v>
      </c>
      <c r="AL32" s="108"/>
      <c r="AM32" s="108" t="s">
        <v>681</v>
      </c>
      <c r="AN32" s="108"/>
      <c r="AO32" s="108"/>
      <c r="AP32" s="108"/>
      <c r="AQ32" s="108"/>
      <c r="AR32" s="108"/>
      <c r="AS32" s="108"/>
      <c r="AT32" s="108"/>
      <c r="AU32" s="83" t="s">
        <v>682</v>
      </c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6">
        <f>IF(CONCATENATE(A32,B32,C32,D32,E32,F32,G32,H32,I32,J32,K32,L32,M32,N32,O32,P32,Q32,R32,S32,T32,U32,V32,W32,X32,Y32,Z32,AA32,AB32,AC32,AD32,AE32,AF32,AG32,AH32,AI32,AK32,AM32,AO32,AQ32,AS32,AU32,AV32,AW32,AX32,AY32,AZ32,BA32,BB32,BC32,BD32,BE32,BF32,BG32,BH32,BI32,BJ32,BK32,BL32,BM32,BN32,BO32,BP32,BQ32)=(CONCATENATE([1]FS_referentiel_produits_std!A25,[1]FS_referentiel_produits_std!B25,[1]FS_referentiel_produits_std!C25,[1]FS_referentiel_produits_std!D25,[1]FS_referentiel_produits_std!E25,[1]FS_referentiel_produits_std!F25,[1]FS_referentiel_produits_std!G25,[1]FS_referentiel_produits_std!H25,[1]FS_referentiel_produits_std!I25,[1]FS_referentiel_produits_std!J25,[1]FS_referentiel_produits_std!K25,[1]FS_referentiel_produits_std!L25,[1]FS_referentiel_produits_std!M25,[1]FS_referentiel_produits_std!N25,[1]FS_referentiel_produits_std!O25,[1]FS_referentiel_produits_std!P25,[1]FS_referentiel_produits_std!Q25,[1]FS_referentiel_produits_std!R25,[1]FS_referentiel_produits_std!S25,[1]FS_referentiel_produits_std!T25,[1]FS_referentiel_produits_std!U25,[1]FS_referentiel_produits_std!V25,[1]FS_referentiel_produits_std!W25,[1]FS_referentiel_produits_std!X25,[1]FS_referentiel_produits_std!Y25,[1]FS_referentiel_produits_std!Z25,[1]FS_referentiel_produits_std!AA25,[1]FS_referentiel_produits_std!AB25,[1]FS_referentiel_produits_std!AC25,[1]FS_referentiel_produits_std!AD25,[1]FS_referentiel_produits_std!AE25,[1]FS_referentiel_produits_std!AF25,[1]FS_referentiel_produits_std!AG25,[1]FS_referentiel_produits_std!AH25,[1]FS_referentiel_produits_std!AI25,[1]FS_referentiel_produits_std!AJ25,[1]FS_referentiel_produits_std!AK25,[1]FS_referentiel_produits_std!AL25,[1]FS_referentiel_produits_std!AM25,[1]FS_referentiel_produits_std!AN25,[1]FS_referentiel_produits_std!AO25,[1]FS_referentiel_produits_std!AP25,[1]FS_referentiel_produits_std!AQ25,[1]FS_referentiel_produits_std!AR25,[1]FS_referentiel_produits_std!AS25,[1]FS_referentiel_produits_std!AT25,[1]FS_referentiel_produits_std!AU25,[1]FS_referentiel_produits_std!AV25,[1]FS_referentiel_produits_std!AW25,[1]FS_referentiel_produits_std!AX25,[1]FS_referentiel_produits_std!AY25,[1]FS_referentiel_produits_std!AZ25,[1]FS_referentiel_produits_std!BA25,[1]FS_referentiel_produits_std!BB25,[1]FS_referentiel_produits_std!BC25,[1]FS_referentiel_produits_std!BD25,[1]FS_referentiel_produits_std!BE25,[1]FS_referentiel_produits_std!BF25,[1]FS_referentiel_produits_std!BG25,[1]FS_referentiel_produits_std!BH25,[1]FS_referentiel_produits_std!BI25,[1]FS_referentiel_produits_std!BJ25,[1]FS_referentiel_produits_std!BK25)),0,1)</f>
        <v>1</v>
      </c>
    </row>
    <row r="33" spans="1:70" s="87" customFormat="1" ht="24.95" customHeight="1" x14ac:dyDescent="0.25">
      <c r="A33" s="9" t="s">
        <v>204</v>
      </c>
      <c r="B33" s="88" t="s">
        <v>616</v>
      </c>
      <c r="C33" s="36"/>
      <c r="D33" s="84"/>
      <c r="E33" s="83" t="s">
        <v>683</v>
      </c>
      <c r="F33" s="83" t="s">
        <v>684</v>
      </c>
      <c r="G33" s="83" t="s">
        <v>685</v>
      </c>
      <c r="H33" s="83" t="s">
        <v>12</v>
      </c>
      <c r="I33" s="83"/>
      <c r="J33" s="97"/>
      <c r="K33" s="83" t="s">
        <v>683</v>
      </c>
      <c r="L33" s="97"/>
      <c r="M33" s="83" t="s">
        <v>2716</v>
      </c>
      <c r="N33" s="83" t="s">
        <v>634</v>
      </c>
      <c r="O33" s="37">
        <v>13389</v>
      </c>
      <c r="P33" s="37">
        <v>2453</v>
      </c>
      <c r="Q33" s="37">
        <v>2600</v>
      </c>
      <c r="R33" s="37"/>
      <c r="S33" s="37"/>
      <c r="T33" s="37"/>
      <c r="U33" s="37"/>
      <c r="V33" s="37"/>
      <c r="W33" s="37">
        <v>7450</v>
      </c>
      <c r="X33" s="37"/>
      <c r="Y33" s="37"/>
      <c r="Z33" s="37">
        <v>33</v>
      </c>
      <c r="AA33" s="37" t="s">
        <v>2713</v>
      </c>
      <c r="AB33" s="37">
        <v>38000</v>
      </c>
      <c r="AC33" s="37"/>
      <c r="AD33" s="37"/>
      <c r="AE33" s="37"/>
      <c r="AF33" s="37"/>
      <c r="AG33" s="37"/>
      <c r="AH33" s="37">
        <v>85</v>
      </c>
      <c r="AI33" s="108"/>
      <c r="AJ33" s="108"/>
      <c r="AK33" s="108"/>
      <c r="AL33" s="108"/>
      <c r="AM33" s="108" t="s">
        <v>687</v>
      </c>
      <c r="AN33" s="108"/>
      <c r="AO33" s="108" t="s">
        <v>688</v>
      </c>
      <c r="AP33" s="108"/>
      <c r="AQ33" s="108" t="s">
        <v>689</v>
      </c>
      <c r="AR33" s="108"/>
      <c r="AS33" s="108"/>
      <c r="AT33" s="108"/>
      <c r="AU33" s="83" t="s">
        <v>690</v>
      </c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6">
        <f>IF(CONCATENATE(A33,B33,C33,D33,E33,F33,G33,H33,I33,J33,K33,L33,M33,N33,O33,P33,Q33,R33,S33,T33,U33,V33,W33,X33,Y33,Z33,AA33,AB33,AC33,AD33,AE33,AF33,AG33,AH33,AI33,AK33,AM33,AO33,AQ33,AS33,AU33,AV33,AW33,AX33,AY33,AZ33,BA33,BB33,BC33,BD33,BE33,BF33,BG33,BH33,BI33,BJ33,BK33,BL33,BM33,BN33,BO33,BP33,BQ33)=(CONCATENATE([1]FS_referentiel_produits_std!A26,[1]FS_referentiel_produits_std!B26,[1]FS_referentiel_produits_std!C26,[1]FS_referentiel_produits_std!D26,[1]FS_referentiel_produits_std!E26,[1]FS_referentiel_produits_std!F26,[1]FS_referentiel_produits_std!G26,[1]FS_referentiel_produits_std!H26,[1]FS_referentiel_produits_std!I26,[1]FS_referentiel_produits_std!J26,[1]FS_referentiel_produits_std!K26,[1]FS_referentiel_produits_std!L26,[1]FS_referentiel_produits_std!M26,[1]FS_referentiel_produits_std!N26,[1]FS_referentiel_produits_std!O26,[1]FS_referentiel_produits_std!P26,[1]FS_referentiel_produits_std!Q26,[1]FS_referentiel_produits_std!R26,[1]FS_referentiel_produits_std!S26,[1]FS_referentiel_produits_std!T26,[1]FS_referentiel_produits_std!U26,[1]FS_referentiel_produits_std!V26,[1]FS_referentiel_produits_std!W26,[1]FS_referentiel_produits_std!X26,[1]FS_referentiel_produits_std!Y26,[1]FS_referentiel_produits_std!Z26,[1]FS_referentiel_produits_std!AA26,[1]FS_referentiel_produits_std!AB26,[1]FS_referentiel_produits_std!AC26,[1]FS_referentiel_produits_std!AD26,[1]FS_referentiel_produits_std!AE26,[1]FS_referentiel_produits_std!AF26,[1]FS_referentiel_produits_std!AG26,[1]FS_referentiel_produits_std!AH26,[1]FS_referentiel_produits_std!AI26,[1]FS_referentiel_produits_std!AJ26,[1]FS_referentiel_produits_std!AK26,[1]FS_referentiel_produits_std!AL26,[1]FS_referentiel_produits_std!AM26,[1]FS_referentiel_produits_std!AN26,[1]FS_referentiel_produits_std!AO26,[1]FS_referentiel_produits_std!AP26,[1]FS_referentiel_produits_std!AQ26,[1]FS_referentiel_produits_std!AR26,[1]FS_referentiel_produits_std!AS26,[1]FS_referentiel_produits_std!AT26,[1]FS_referentiel_produits_std!AU26,[1]FS_referentiel_produits_std!AV26,[1]FS_referentiel_produits_std!AW26,[1]FS_referentiel_produits_std!AX26,[1]FS_referentiel_produits_std!AY26,[1]FS_referentiel_produits_std!AZ26,[1]FS_referentiel_produits_std!BA26,[1]FS_referentiel_produits_std!BB26,[1]FS_referentiel_produits_std!BC26,[1]FS_referentiel_produits_std!BD26,[1]FS_referentiel_produits_std!BE26,[1]FS_referentiel_produits_std!BF26,[1]FS_referentiel_produits_std!BG26,[1]FS_referentiel_produits_std!BH26,[1]FS_referentiel_produits_std!BI26,[1]FS_referentiel_produits_std!BJ26,[1]FS_referentiel_produits_std!BK26)),0,1)</f>
        <v>1</v>
      </c>
    </row>
    <row r="34" spans="1:70" s="87" customFormat="1" ht="24.95" customHeight="1" x14ac:dyDescent="0.25">
      <c r="A34" s="9" t="s">
        <v>204</v>
      </c>
      <c r="B34" s="88" t="s">
        <v>616</v>
      </c>
      <c r="C34" s="36"/>
      <c r="D34" s="84"/>
      <c r="E34" s="83" t="s">
        <v>683</v>
      </c>
      <c r="F34" s="83" t="s">
        <v>684</v>
      </c>
      <c r="G34" s="83" t="s">
        <v>685</v>
      </c>
      <c r="H34" s="83" t="s">
        <v>12</v>
      </c>
      <c r="I34" s="83"/>
      <c r="J34" s="97"/>
      <c r="K34" s="83" t="s">
        <v>683</v>
      </c>
      <c r="L34" s="97"/>
      <c r="M34" s="83" t="s">
        <v>2772</v>
      </c>
      <c r="N34" s="83" t="s">
        <v>634</v>
      </c>
      <c r="O34" s="37">
        <v>13389</v>
      </c>
      <c r="P34" s="37">
        <v>2453</v>
      </c>
      <c r="Q34" s="37">
        <v>2600</v>
      </c>
      <c r="R34" s="37"/>
      <c r="S34" s="37"/>
      <c r="T34" s="37"/>
      <c r="U34" s="37"/>
      <c r="V34" s="37"/>
      <c r="W34" s="37">
        <v>7450</v>
      </c>
      <c r="X34" s="37"/>
      <c r="Y34" s="37"/>
      <c r="Z34" s="37">
        <v>66</v>
      </c>
      <c r="AA34" s="37" t="s">
        <v>2714</v>
      </c>
      <c r="AB34" s="37">
        <v>38000</v>
      </c>
      <c r="AC34" s="37"/>
      <c r="AD34" s="37"/>
      <c r="AE34" s="37"/>
      <c r="AF34" s="37"/>
      <c r="AG34" s="37"/>
      <c r="AH34" s="37">
        <v>85</v>
      </c>
      <c r="AI34" s="108"/>
      <c r="AJ34" s="108"/>
      <c r="AK34" s="108"/>
      <c r="AL34" s="108"/>
      <c r="AM34" s="108" t="s">
        <v>687</v>
      </c>
      <c r="AN34" s="108"/>
      <c r="AO34" s="108" t="s">
        <v>688</v>
      </c>
      <c r="AP34" s="108"/>
      <c r="AQ34" s="108" t="s">
        <v>689</v>
      </c>
      <c r="AR34" s="108"/>
      <c r="AS34" s="108"/>
      <c r="AT34" s="108"/>
      <c r="AU34" s="83" t="s">
        <v>690</v>
      </c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6">
        <f>IF(CONCATENATE(A34,B34,C34,D34,E34,F34,G34,H34,I34,J34,K34,L34,M34,N34,O34,P34,Q34,R34,S34,T34,U34,V34,W34,X34,Y34,Z34,AA34,AB34,AC34,AD34,AE34,AF34,AG34,AH34,AI34,AK34,AM34,AO34,AQ34,AS34,AU34,AV34,AW34,AX34,AY34,AZ34,BA34,BB34,BC34,BD34,BE34,BF34,BG34,BH34,BI34,BJ34,BK34,BL34,BM34,BN34,BO34,BP34,BQ34)=(CONCATENATE([1]FS_referentiel_produits_std!A28,[1]FS_referentiel_produits_std!B28,[1]FS_referentiel_produits_std!C28,[1]FS_referentiel_produits_std!D28,[1]FS_referentiel_produits_std!E28,[1]FS_referentiel_produits_std!F28,[1]FS_referentiel_produits_std!G28,[1]FS_referentiel_produits_std!H28,[1]FS_referentiel_produits_std!I28,[1]FS_referentiel_produits_std!J28,[1]FS_referentiel_produits_std!K28,[1]FS_referentiel_produits_std!L28,[1]FS_referentiel_produits_std!M28,[1]FS_referentiel_produits_std!N28,[1]FS_referentiel_produits_std!O28,[1]FS_referentiel_produits_std!P28,[1]FS_referentiel_produits_std!Q28,[1]FS_referentiel_produits_std!R28,[1]FS_referentiel_produits_std!S28,[1]FS_referentiel_produits_std!T28,[1]FS_referentiel_produits_std!U28,[1]FS_referentiel_produits_std!V28,[1]FS_referentiel_produits_std!W28,[1]FS_referentiel_produits_std!X28,[1]FS_referentiel_produits_std!Y28,[1]FS_referentiel_produits_std!Z28,[1]FS_referentiel_produits_std!AA28,[1]FS_referentiel_produits_std!AB28,[1]FS_referentiel_produits_std!AC28,[1]FS_referentiel_produits_std!AD28,[1]FS_referentiel_produits_std!AE28,[1]FS_referentiel_produits_std!AF28,[1]FS_referentiel_produits_std!AG28,[1]FS_referentiel_produits_std!AH28,[1]FS_referentiel_produits_std!AI28,[1]FS_referentiel_produits_std!AJ28,[1]FS_referentiel_produits_std!AK28,[1]FS_referentiel_produits_std!AL28,[1]FS_referentiel_produits_std!AM28,[1]FS_referentiel_produits_std!AN28,[1]FS_referentiel_produits_std!AO28,[1]FS_referentiel_produits_std!AP28,[1]FS_referentiel_produits_std!AQ28,[1]FS_referentiel_produits_std!AR28,[1]FS_referentiel_produits_std!AS28,[1]FS_referentiel_produits_std!AT28,[1]FS_referentiel_produits_std!AU28,[1]FS_referentiel_produits_std!AV28,[1]FS_referentiel_produits_std!AW28,[1]FS_referentiel_produits_std!AX28,[1]FS_referentiel_produits_std!AY28,[1]FS_referentiel_produits_std!AZ28,[1]FS_referentiel_produits_std!BA28,[1]FS_referentiel_produits_std!BB28,[1]FS_referentiel_produits_std!BC28,[1]FS_referentiel_produits_std!BD28,[1]FS_referentiel_produits_std!BE28,[1]FS_referentiel_produits_std!BF28,[1]FS_referentiel_produits_std!BG28,[1]FS_referentiel_produits_std!BH28,[1]FS_referentiel_produits_std!BI28,[1]FS_referentiel_produits_std!BJ28,[1]FS_referentiel_produits_std!BK28)),0,1)</f>
        <v>1</v>
      </c>
    </row>
    <row r="35" spans="1:70" s="87" customFormat="1" ht="24.95" customHeight="1" x14ac:dyDescent="0.25">
      <c r="A35" s="9" t="s">
        <v>204</v>
      </c>
      <c r="B35" s="88" t="s">
        <v>616</v>
      </c>
      <c r="C35" s="36"/>
      <c r="D35" s="84"/>
      <c r="E35" s="83" t="s">
        <v>683</v>
      </c>
      <c r="F35" s="83" t="s">
        <v>684</v>
      </c>
      <c r="G35" s="83" t="s">
        <v>685</v>
      </c>
      <c r="H35" s="83" t="s">
        <v>12</v>
      </c>
      <c r="I35" s="83" t="s">
        <v>7</v>
      </c>
      <c r="J35" s="97"/>
      <c r="K35" s="83" t="s">
        <v>683</v>
      </c>
      <c r="L35" s="97"/>
      <c r="M35" s="83" t="s">
        <v>2715</v>
      </c>
      <c r="N35" s="83" t="s">
        <v>35</v>
      </c>
      <c r="O35" s="37">
        <v>13389</v>
      </c>
      <c r="P35" s="37">
        <v>2453</v>
      </c>
      <c r="Q35" s="37">
        <v>2600</v>
      </c>
      <c r="R35" s="37"/>
      <c r="S35" s="37"/>
      <c r="T35" s="37"/>
      <c r="U35" s="37"/>
      <c r="V35" s="37"/>
      <c r="W35" s="37">
        <v>7450</v>
      </c>
      <c r="X35" s="37"/>
      <c r="Y35" s="37"/>
      <c r="Z35" s="37">
        <v>33</v>
      </c>
      <c r="AA35" s="37" t="s">
        <v>2718</v>
      </c>
      <c r="AB35" s="37">
        <v>38000</v>
      </c>
      <c r="AC35" s="37"/>
      <c r="AD35" s="37"/>
      <c r="AE35" s="37"/>
      <c r="AF35" s="37"/>
      <c r="AG35" s="37"/>
      <c r="AH35" s="37">
        <v>85</v>
      </c>
      <c r="AI35" s="108"/>
      <c r="AJ35" s="108"/>
      <c r="AK35" s="108"/>
      <c r="AL35" s="108"/>
      <c r="AM35" s="108" t="s">
        <v>687</v>
      </c>
      <c r="AN35" s="108"/>
      <c r="AO35" s="108" t="s">
        <v>691</v>
      </c>
      <c r="AP35" s="108"/>
      <c r="AQ35" s="108" t="s">
        <v>689</v>
      </c>
      <c r="AR35" s="108"/>
      <c r="AS35" s="108" t="s">
        <v>692</v>
      </c>
      <c r="AT35" s="108"/>
      <c r="AU35" s="83" t="s">
        <v>693</v>
      </c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6">
        <f>IF(CONCATENATE(A35,B35,C35,D35,E35,F35,G35,H35,I35,J35,K35,L35,M35,N35,O35,P35,Q35,R35,S35,T35,U35,V35,W35,X35,Y35,Z35,AA35,AB35,AC35,AD35,AE35,AF35,AG35,AH35,AI35,AK35,AM35,AO35,AQ35,AS35,AU35,AV35,AW35,AX35,AY35,AZ35,BA35,BB35,BC35,BD35,BE35,BF35,BG35,BH35,BI35,BJ35,BK35,BL35,BM35,BN35,BO35,BP35,BQ35)=(CONCATENATE([1]FS_referentiel_produits_std!A27,[1]FS_referentiel_produits_std!B27,[1]FS_referentiel_produits_std!C27,[1]FS_referentiel_produits_std!D27,[1]FS_referentiel_produits_std!E27,[1]FS_referentiel_produits_std!F27,[1]FS_referentiel_produits_std!G27,[1]FS_referentiel_produits_std!H27,[1]FS_referentiel_produits_std!I27,[1]FS_referentiel_produits_std!J27,[1]FS_referentiel_produits_std!K27,[1]FS_referentiel_produits_std!L27,[1]FS_referentiel_produits_std!M27,[1]FS_referentiel_produits_std!N27,[1]FS_referentiel_produits_std!O27,[1]FS_referentiel_produits_std!P27,[1]FS_referentiel_produits_std!Q27,[1]FS_referentiel_produits_std!R27,[1]FS_referentiel_produits_std!S27,[1]FS_referentiel_produits_std!T27,[1]FS_referentiel_produits_std!U27,[1]FS_referentiel_produits_std!V27,[1]FS_referentiel_produits_std!W27,[1]FS_referentiel_produits_std!X27,[1]FS_referentiel_produits_std!Y27,[1]FS_referentiel_produits_std!Z27,[1]FS_referentiel_produits_std!AA27,[1]FS_referentiel_produits_std!AB27,[1]FS_referentiel_produits_std!AC27,[1]FS_referentiel_produits_std!AD27,[1]FS_referentiel_produits_std!AE27,[1]FS_referentiel_produits_std!AF27,[1]FS_referentiel_produits_std!AG27,[1]FS_referentiel_produits_std!AH27,[1]FS_referentiel_produits_std!AI27,[1]FS_referentiel_produits_std!AJ27,[1]FS_referentiel_produits_std!AK27,[1]FS_referentiel_produits_std!AL27,[1]FS_referentiel_produits_std!AM27,[1]FS_referentiel_produits_std!AN27,[1]FS_referentiel_produits_std!AO27,[1]FS_referentiel_produits_std!AP27,[1]FS_referentiel_produits_std!AQ27,[1]FS_referentiel_produits_std!AR27,[1]FS_referentiel_produits_std!AS27,[1]FS_referentiel_produits_std!AT27,[1]FS_referentiel_produits_std!AU27,[1]FS_referentiel_produits_std!AV27,[1]FS_referentiel_produits_std!AW27,[1]FS_referentiel_produits_std!AX27,[1]FS_referentiel_produits_std!AY27,[1]FS_referentiel_produits_std!AZ27,[1]FS_referentiel_produits_std!BA27,[1]FS_referentiel_produits_std!BB27,[1]FS_referentiel_produits_std!BC27,[1]FS_referentiel_produits_std!BD27,[1]FS_referentiel_produits_std!BE27,[1]FS_referentiel_produits_std!BF27,[1]FS_referentiel_produits_std!BG27,[1]FS_referentiel_produits_std!BH27,[1]FS_referentiel_produits_std!BI27,[1]FS_referentiel_produits_std!BJ27,[1]FS_referentiel_produits_std!BK27)),0,1)</f>
        <v>1</v>
      </c>
    </row>
    <row r="36" spans="1:70" s="87" customFormat="1" ht="24.95" customHeight="1" x14ac:dyDescent="0.25">
      <c r="A36" s="9" t="s">
        <v>204</v>
      </c>
      <c r="B36" s="88" t="s">
        <v>616</v>
      </c>
      <c r="C36" s="36"/>
      <c r="D36" s="84"/>
      <c r="E36" s="83" t="s">
        <v>683</v>
      </c>
      <c r="F36" s="83" t="s">
        <v>684</v>
      </c>
      <c r="G36" s="83" t="s">
        <v>685</v>
      </c>
      <c r="H36" s="83" t="s">
        <v>12</v>
      </c>
      <c r="I36" s="83" t="s">
        <v>7</v>
      </c>
      <c r="J36" s="97"/>
      <c r="K36" s="83" t="s">
        <v>683</v>
      </c>
      <c r="L36" s="97"/>
      <c r="M36" s="83" t="s">
        <v>2717</v>
      </c>
      <c r="N36" s="83" t="s">
        <v>35</v>
      </c>
      <c r="O36" s="37">
        <v>13389</v>
      </c>
      <c r="P36" s="37">
        <v>2453</v>
      </c>
      <c r="Q36" s="37">
        <v>2600</v>
      </c>
      <c r="R36" s="37"/>
      <c r="S36" s="37"/>
      <c r="T36" s="37"/>
      <c r="U36" s="37"/>
      <c r="V36" s="37"/>
      <c r="W36" s="37">
        <v>7450</v>
      </c>
      <c r="X36" s="37"/>
      <c r="Y36" s="37"/>
      <c r="Z36" s="37">
        <v>66</v>
      </c>
      <c r="AA36" s="37" t="s">
        <v>2719</v>
      </c>
      <c r="AB36" s="37">
        <v>38000</v>
      </c>
      <c r="AC36" s="37"/>
      <c r="AD36" s="37"/>
      <c r="AE36" s="37"/>
      <c r="AF36" s="37"/>
      <c r="AG36" s="37"/>
      <c r="AH36" s="37">
        <v>85</v>
      </c>
      <c r="AI36" s="108"/>
      <c r="AJ36" s="108"/>
      <c r="AK36" s="108"/>
      <c r="AL36" s="108"/>
      <c r="AM36" s="108" t="s">
        <v>687</v>
      </c>
      <c r="AN36" s="108"/>
      <c r="AO36" s="108" t="s">
        <v>691</v>
      </c>
      <c r="AP36" s="108"/>
      <c r="AQ36" s="108" t="s">
        <v>689</v>
      </c>
      <c r="AR36" s="108"/>
      <c r="AS36" s="108" t="s">
        <v>692</v>
      </c>
      <c r="AT36" s="108"/>
      <c r="AU36" s="83" t="s">
        <v>693</v>
      </c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6">
        <f>IF(CONCATENATE(A36,B36,C36,D36,E36,F36,G36,H36,I36,J36,K36,L36,M36,N36,O36,P36,Q36,R36,S36,T36,U36,V36,W36,X36,Y36,Z36,AA36,AB36,AC36,AD36,AE36,AF36,AG36,AH36,AI36,AK36,AM36,AO36,AQ36,AS36,AU36,AV36,AW36,AX36,AY36,AZ36,BA36,BB36,BC36,BD36,BE36,BF36,BG36,BH36,BI36,BJ36,BK36,BL36,BM36,BN36,BO36,BP36,BQ36)=(CONCATENATE([1]FS_referentiel_produits_std!A29,[1]FS_referentiel_produits_std!B29,[1]FS_referentiel_produits_std!C29,[1]FS_referentiel_produits_std!D29,[1]FS_referentiel_produits_std!E29,[1]FS_referentiel_produits_std!F29,[1]FS_referentiel_produits_std!G29,[1]FS_referentiel_produits_std!H29,[1]FS_referentiel_produits_std!I29,[1]FS_referentiel_produits_std!J29,[1]FS_referentiel_produits_std!K29,[1]FS_referentiel_produits_std!L29,[1]FS_referentiel_produits_std!M29,[1]FS_referentiel_produits_std!N29,[1]FS_referentiel_produits_std!O29,[1]FS_referentiel_produits_std!P29,[1]FS_referentiel_produits_std!Q29,[1]FS_referentiel_produits_std!R29,[1]FS_referentiel_produits_std!S29,[1]FS_referentiel_produits_std!T29,[1]FS_referentiel_produits_std!U29,[1]FS_referentiel_produits_std!V29,[1]FS_referentiel_produits_std!W29,[1]FS_referentiel_produits_std!X29,[1]FS_referentiel_produits_std!Y29,[1]FS_referentiel_produits_std!Z29,[1]FS_referentiel_produits_std!AA29,[1]FS_referentiel_produits_std!AB29,[1]FS_referentiel_produits_std!AC29,[1]FS_referentiel_produits_std!AD29,[1]FS_referentiel_produits_std!AE29,[1]FS_referentiel_produits_std!AF29,[1]FS_referentiel_produits_std!AG29,[1]FS_referentiel_produits_std!AH29,[1]FS_referentiel_produits_std!AI29,[1]FS_referentiel_produits_std!AJ29,[1]FS_referentiel_produits_std!AK29,[1]FS_referentiel_produits_std!AL29,[1]FS_referentiel_produits_std!AM29,[1]FS_referentiel_produits_std!AN29,[1]FS_referentiel_produits_std!AO29,[1]FS_referentiel_produits_std!AP29,[1]FS_referentiel_produits_std!AQ29,[1]FS_referentiel_produits_std!AR29,[1]FS_referentiel_produits_std!AS29,[1]FS_referentiel_produits_std!AT29,[1]FS_referentiel_produits_std!AU29,[1]FS_referentiel_produits_std!AV29,[1]FS_referentiel_produits_std!AW29,[1]FS_referentiel_produits_std!AX29,[1]FS_referentiel_produits_std!AY29,[1]FS_referentiel_produits_std!AZ29,[1]FS_referentiel_produits_std!BA29,[1]FS_referentiel_produits_std!BB29,[1]FS_referentiel_produits_std!BC29,[1]FS_referentiel_produits_std!BD29,[1]FS_referentiel_produits_std!BE29,[1]FS_referentiel_produits_std!BF29,[1]FS_referentiel_produits_std!BG29,[1]FS_referentiel_produits_std!BH29,[1]FS_referentiel_produits_std!BI29,[1]FS_referentiel_produits_std!BJ29,[1]FS_referentiel_produits_std!BK29)),0,1)</f>
        <v>1</v>
      </c>
    </row>
    <row r="37" spans="1:70" s="87" customFormat="1" ht="24.95" customHeight="1" x14ac:dyDescent="0.25">
      <c r="A37" s="9" t="s">
        <v>204</v>
      </c>
      <c r="B37" s="93" t="s">
        <v>712</v>
      </c>
      <c r="C37" s="36"/>
      <c r="D37" s="84"/>
      <c r="E37" s="83" t="s">
        <v>33</v>
      </c>
      <c r="F37" s="83" t="s">
        <v>34</v>
      </c>
      <c r="G37" s="83" t="s">
        <v>85</v>
      </c>
      <c r="H37" s="83" t="s">
        <v>12</v>
      </c>
      <c r="I37" s="83"/>
      <c r="J37" s="97"/>
      <c r="K37" s="83" t="s">
        <v>30</v>
      </c>
      <c r="L37" s="97"/>
      <c r="M37" s="83" t="s">
        <v>2721</v>
      </c>
      <c r="N37" s="83" t="s">
        <v>609</v>
      </c>
      <c r="O37" s="37">
        <v>2927</v>
      </c>
      <c r="P37" s="37">
        <v>1908</v>
      </c>
      <c r="Q37" s="37">
        <v>1900</v>
      </c>
      <c r="R37" s="37"/>
      <c r="S37" s="37">
        <v>2856</v>
      </c>
      <c r="T37" s="37">
        <v>2050</v>
      </c>
      <c r="U37" s="37">
        <v>5603</v>
      </c>
      <c r="V37" s="37">
        <v>865</v>
      </c>
      <c r="W37" s="37">
        <v>3450</v>
      </c>
      <c r="X37" s="37">
        <v>1125</v>
      </c>
      <c r="Y37" s="37"/>
      <c r="Z37" s="37">
        <v>4</v>
      </c>
      <c r="AA37" s="37" t="s">
        <v>2691</v>
      </c>
      <c r="AB37" s="37">
        <v>3500</v>
      </c>
      <c r="AC37" s="37">
        <v>810</v>
      </c>
      <c r="AD37" s="37"/>
      <c r="AE37" s="37"/>
      <c r="AF37" s="37"/>
      <c r="AG37" s="37"/>
      <c r="AH37" s="37">
        <v>10.6</v>
      </c>
      <c r="AI37" s="108"/>
      <c r="AJ37" s="108"/>
      <c r="AK37" s="108" t="s">
        <v>618</v>
      </c>
      <c r="AL37" s="108"/>
      <c r="AM37" s="108" t="s">
        <v>619</v>
      </c>
      <c r="AN37" s="108"/>
      <c r="AO37" s="108" t="s">
        <v>620</v>
      </c>
      <c r="AP37" s="108"/>
      <c r="AQ37" s="108" t="s">
        <v>621</v>
      </c>
      <c r="AR37" s="108"/>
      <c r="AS37" s="108"/>
      <c r="AT37" s="108"/>
      <c r="AU37" s="83" t="s">
        <v>622</v>
      </c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6">
        <f>IF(CONCATENATE(A37,B37,C37,D37,E37,F37,G37,H37,I37,J37,K37,L37,M37,N37,O37,P37,Q37,R37,S37,T37,U37,V37,W37,X37,Y37,Z37,AA37,AB37,AC37,AD37,AE37,AF37,AG37,AH37,AI37,AK37,AM37,AO37,AQ37,AS37,AU37,AV37,AW37,AX37,AY37,AZ37,BA37,BB37,BC37,BD37,BE37,BF37,BG37,BH37,BI37,BJ37,BK37,BL37,BM37,BN37,BO37,BP37,BQ37)=(CONCATENATE([1]FS_referentiel_produits_std!A50,[1]FS_referentiel_produits_std!B50,[1]FS_referentiel_produits_std!C50,[1]FS_referentiel_produits_std!D50,[1]FS_referentiel_produits_std!E50,[1]FS_referentiel_produits_std!F50,[1]FS_referentiel_produits_std!G50,[1]FS_referentiel_produits_std!H50,[1]FS_referentiel_produits_std!I50,[1]FS_referentiel_produits_std!J50,[1]FS_referentiel_produits_std!K50,[1]FS_referentiel_produits_std!L50,[1]FS_referentiel_produits_std!M50,[1]FS_referentiel_produits_std!N50,[1]FS_referentiel_produits_std!O50,[1]FS_referentiel_produits_std!P50,[1]FS_referentiel_produits_std!Q50,[1]FS_referentiel_produits_std!R50,[1]FS_referentiel_produits_std!S50,[1]FS_referentiel_produits_std!T50,[1]FS_referentiel_produits_std!U50,[1]FS_referentiel_produits_std!V50,[1]FS_referentiel_produits_std!W50,[1]FS_referentiel_produits_std!X50,[1]FS_referentiel_produits_std!Y50,[1]FS_referentiel_produits_std!Z50,[1]FS_referentiel_produits_std!AA50,[1]FS_referentiel_produits_std!AB50,[1]FS_referentiel_produits_std!AC50,[1]FS_referentiel_produits_std!AD50,[1]FS_referentiel_produits_std!AE50,[1]FS_referentiel_produits_std!AF50,[1]FS_referentiel_produits_std!AG50,[1]FS_referentiel_produits_std!AH50,[1]FS_referentiel_produits_std!AI50,[1]FS_referentiel_produits_std!AJ50,[1]FS_referentiel_produits_std!AK50,[1]FS_referentiel_produits_std!AL50,[1]FS_referentiel_produits_std!AM50,[1]FS_referentiel_produits_std!AN50,[1]FS_referentiel_produits_std!AO50,[1]FS_referentiel_produits_std!AP50,[1]FS_referentiel_produits_std!AQ50,[1]FS_referentiel_produits_std!AR50,[1]FS_referentiel_produits_std!AS50,[1]FS_referentiel_produits_std!AT50,[1]FS_referentiel_produits_std!AU50,[1]FS_referentiel_produits_std!AV50,[1]FS_referentiel_produits_std!AW50,[1]FS_referentiel_produits_std!AX50,[1]FS_referentiel_produits_std!AY50,[1]FS_referentiel_produits_std!AZ50,[1]FS_referentiel_produits_std!BA50,[1]FS_referentiel_produits_std!BB50,[1]FS_referentiel_produits_std!BC50,[1]FS_referentiel_produits_std!BD50,[1]FS_referentiel_produits_std!BE50,[1]FS_referentiel_produits_std!BF50,[1]FS_referentiel_produits_std!BG50,[1]FS_referentiel_produits_std!BH50,[1]FS_referentiel_produits_std!BI50,[1]FS_referentiel_produits_std!BJ50,[1]FS_referentiel_produits_std!BK50)),0,1)</f>
        <v>1</v>
      </c>
    </row>
    <row r="38" spans="1:70" s="87" customFormat="1" ht="24.95" customHeight="1" x14ac:dyDescent="0.25">
      <c r="A38" s="9" t="s">
        <v>204</v>
      </c>
      <c r="B38" s="93" t="s">
        <v>712</v>
      </c>
      <c r="C38" s="36"/>
      <c r="D38" s="84"/>
      <c r="E38" s="83" t="s">
        <v>33</v>
      </c>
      <c r="F38" s="83" t="s">
        <v>34</v>
      </c>
      <c r="G38" s="83" t="s">
        <v>85</v>
      </c>
      <c r="H38" s="83" t="s">
        <v>12</v>
      </c>
      <c r="I38" s="83"/>
      <c r="J38" s="97"/>
      <c r="K38" s="83" t="s">
        <v>30</v>
      </c>
      <c r="L38" s="97"/>
      <c r="M38" s="83" t="s">
        <v>2781</v>
      </c>
      <c r="N38" s="83" t="s">
        <v>609</v>
      </c>
      <c r="O38" s="37">
        <v>3528</v>
      </c>
      <c r="P38" s="37">
        <v>1908</v>
      </c>
      <c r="Q38" s="37">
        <v>2100</v>
      </c>
      <c r="R38" s="37"/>
      <c r="S38" s="37">
        <v>3086</v>
      </c>
      <c r="T38" s="37">
        <v>2050</v>
      </c>
      <c r="U38" s="37">
        <v>6213</v>
      </c>
      <c r="V38" s="37">
        <v>895</v>
      </c>
      <c r="W38" s="37">
        <v>3450</v>
      </c>
      <c r="X38" s="37">
        <v>1725</v>
      </c>
      <c r="Y38" s="37"/>
      <c r="Z38" s="37" t="s">
        <v>2723</v>
      </c>
      <c r="AA38" s="37" t="s">
        <v>2720</v>
      </c>
      <c r="AB38" s="37">
        <v>3500</v>
      </c>
      <c r="AC38" s="37">
        <v>720</v>
      </c>
      <c r="AD38" s="37"/>
      <c r="AE38" s="37"/>
      <c r="AF38" s="37"/>
      <c r="AG38" s="37"/>
      <c r="AH38" s="37">
        <v>14</v>
      </c>
      <c r="AI38" s="108"/>
      <c r="AJ38" s="108"/>
      <c r="AK38" s="108" t="s">
        <v>618</v>
      </c>
      <c r="AL38" s="108"/>
      <c r="AM38" s="108" t="s">
        <v>619</v>
      </c>
      <c r="AN38" s="108"/>
      <c r="AO38" s="108" t="s">
        <v>620</v>
      </c>
      <c r="AP38" s="108"/>
      <c r="AQ38" s="108" t="s">
        <v>621</v>
      </c>
      <c r="AR38" s="108"/>
      <c r="AS38" s="108"/>
      <c r="AT38" s="108"/>
      <c r="AU38" s="83" t="s">
        <v>622</v>
      </c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6">
        <f>IF(CONCATENATE(A38,B38,C38,D38,E38,F38,G38,H38,I38,J38,K38,L38,M38,N38,O38,P38,Q38,R38,S38,T38,U38,V38,W38,X38,Y38,Z38,AA38,AB38,AC38,AD38,AE38,AF38,AG38,AH38,AI38,AK38,AM38,AO38,AQ38,AS38,AU38,AV38,AW38,AX38,AY38,AZ38,BA38,BB38,BC38,BD38,BE38,BF38,BG38,BH38,BI38,BJ38,BK38,BL38,BM38,BN38,BO38,BP38,BQ38)=(CONCATENATE([1]FS_referentiel_produits_std!A50,[1]FS_referentiel_produits_std!B50,[1]FS_referentiel_produits_std!C50,[1]FS_referentiel_produits_std!D50,[1]FS_referentiel_produits_std!E50,[1]FS_referentiel_produits_std!F50,[1]FS_referentiel_produits_std!G50,[1]FS_referentiel_produits_std!H50,[1]FS_referentiel_produits_std!I50,[1]FS_referentiel_produits_std!J50,[1]FS_referentiel_produits_std!K50,[1]FS_referentiel_produits_std!L50,[1]FS_referentiel_produits_std!M50,[1]FS_referentiel_produits_std!N50,[1]FS_referentiel_produits_std!O50,[1]FS_referentiel_produits_std!P50,[1]FS_referentiel_produits_std!Q50,[1]FS_referentiel_produits_std!R50,[1]FS_referentiel_produits_std!S50,[1]FS_referentiel_produits_std!T50,[1]FS_referentiel_produits_std!U50,[1]FS_referentiel_produits_std!V50,[1]FS_referentiel_produits_std!W50,[1]FS_referentiel_produits_std!X50,[1]FS_referentiel_produits_std!Y50,[1]FS_referentiel_produits_std!Z50,[1]FS_referentiel_produits_std!AA50,[1]FS_referentiel_produits_std!AB50,[1]FS_referentiel_produits_std!AC50,[1]FS_referentiel_produits_std!AD50,[1]FS_referentiel_produits_std!AE50,[1]FS_referentiel_produits_std!AF50,[1]FS_referentiel_produits_std!AG50,[1]FS_referentiel_produits_std!AH50,[1]FS_referentiel_produits_std!AI50,[1]FS_referentiel_produits_std!AJ50,[1]FS_referentiel_produits_std!AK50,[1]FS_referentiel_produits_std!AL50,[1]FS_referentiel_produits_std!AM50,[1]FS_referentiel_produits_std!AN50,[1]FS_referentiel_produits_std!AO50,[1]FS_referentiel_produits_std!AP50,[1]FS_referentiel_produits_std!AQ50,[1]FS_referentiel_produits_std!AR50,[1]FS_referentiel_produits_std!AS50,[1]FS_referentiel_produits_std!AT50,[1]FS_referentiel_produits_std!AU50,[1]FS_referentiel_produits_std!AV50,[1]FS_referentiel_produits_std!AW50,[1]FS_referentiel_produits_std!AX50,[1]FS_referentiel_produits_std!AY50,[1]FS_referentiel_produits_std!AZ50,[1]FS_referentiel_produits_std!BA50,[1]FS_referentiel_produits_std!BB50,[1]FS_referentiel_produits_std!BC50,[1]FS_referentiel_produits_std!BD50,[1]FS_referentiel_produits_std!BE50,[1]FS_referentiel_produits_std!BF50,[1]FS_referentiel_produits_std!BG50,[1]FS_referentiel_produits_std!BH50,[1]FS_referentiel_produits_std!BI50,[1]FS_referentiel_produits_std!BJ50,[1]FS_referentiel_produits_std!BK50)),0,1)</f>
        <v>1</v>
      </c>
    </row>
    <row r="39" spans="1:70" s="87" customFormat="1" ht="24.95" customHeight="1" x14ac:dyDescent="0.25">
      <c r="A39" s="9" t="s">
        <v>204</v>
      </c>
      <c r="B39" s="93" t="s">
        <v>712</v>
      </c>
      <c r="C39" s="36"/>
      <c r="D39" s="84"/>
      <c r="E39" s="83" t="s">
        <v>33</v>
      </c>
      <c r="F39" s="83" t="s">
        <v>34</v>
      </c>
      <c r="G39" s="83" t="s">
        <v>623</v>
      </c>
      <c r="H39" s="83" t="s">
        <v>12</v>
      </c>
      <c r="I39" s="83"/>
      <c r="J39" s="97"/>
      <c r="K39" s="83" t="s">
        <v>30</v>
      </c>
      <c r="L39" s="97"/>
      <c r="M39" s="83" t="s">
        <v>2737</v>
      </c>
      <c r="N39" s="89" t="s">
        <v>635</v>
      </c>
      <c r="O39" s="37">
        <v>3528</v>
      </c>
      <c r="P39" s="37">
        <v>1908</v>
      </c>
      <c r="Q39" s="37">
        <v>2100</v>
      </c>
      <c r="R39" s="37"/>
      <c r="S39" s="37">
        <v>3086</v>
      </c>
      <c r="T39" s="37">
        <v>2050</v>
      </c>
      <c r="U39" s="37">
        <v>6425</v>
      </c>
      <c r="V39" s="37">
        <v>895</v>
      </c>
      <c r="W39" s="37">
        <v>3450</v>
      </c>
      <c r="X39" s="37">
        <v>1918</v>
      </c>
      <c r="Y39" s="37"/>
      <c r="Z39" s="37" t="s">
        <v>2723</v>
      </c>
      <c r="AA39" s="37" t="s">
        <v>2722</v>
      </c>
      <c r="AB39" s="37">
        <v>3500</v>
      </c>
      <c r="AC39" s="37">
        <v>535</v>
      </c>
      <c r="AD39" s="37"/>
      <c r="AE39" s="37"/>
      <c r="AF39" s="37"/>
      <c r="AG39" s="37"/>
      <c r="AH39" s="37">
        <v>14</v>
      </c>
      <c r="AI39" s="108" t="s">
        <v>626</v>
      </c>
      <c r="AJ39" s="108"/>
      <c r="AK39" s="108" t="s">
        <v>627</v>
      </c>
      <c r="AL39" s="108"/>
      <c r="AM39" s="110" t="s">
        <v>628</v>
      </c>
      <c r="AN39" s="110"/>
      <c r="AO39" s="108" t="s">
        <v>630</v>
      </c>
      <c r="AP39" s="108"/>
      <c r="AQ39" s="108" t="s">
        <v>631</v>
      </c>
      <c r="AR39" s="108"/>
      <c r="AS39" s="108" t="s">
        <v>629</v>
      </c>
      <c r="AT39" s="108"/>
      <c r="AU39" s="83" t="s">
        <v>632</v>
      </c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6">
        <f>IF(CONCATENATE(A39,B39,C39,D39,E39,F39,G39,H39,I39,J39,K39,L39,M39,N39,O39,P39,Q39,R39,S39,T39,U39,V39,W39,X39,Y39,Z39,AA39,AB39,AC39,AD39,AE39,AF39,AG39,AH39,AI39,AK39,AM39,AO39,AQ39,AS39,AU39,AV39,AW39,AX39,AY39,AZ39,BA39,BB39,BC39,BD39,BE39,BF39,BG39,BH39,BI39,BJ39,BK39,BL39,BM39,BN39,BO39,BP39,BQ39)=(CONCATENATE([1]FS_referentiel_produits_std!A65,[1]FS_referentiel_produits_std!B65,[1]FS_referentiel_produits_std!C65,[1]FS_referentiel_produits_std!D65,[1]FS_referentiel_produits_std!E65,[1]FS_referentiel_produits_std!F65,[1]FS_referentiel_produits_std!G65,[1]FS_referentiel_produits_std!H65,[1]FS_referentiel_produits_std!I65,[1]FS_referentiel_produits_std!J65,[1]FS_referentiel_produits_std!K65,[1]FS_referentiel_produits_std!L65,[1]FS_referentiel_produits_std!M65,[1]FS_referentiel_produits_std!N65,[1]FS_referentiel_produits_std!O65,[1]FS_referentiel_produits_std!P65,[1]FS_referentiel_produits_std!Q65,[1]FS_referentiel_produits_std!R65,[1]FS_referentiel_produits_std!S65,[1]FS_referentiel_produits_std!T65,[1]FS_referentiel_produits_std!U65,[1]FS_referentiel_produits_std!V65,[1]FS_referentiel_produits_std!W65,[1]FS_referentiel_produits_std!X65,[1]FS_referentiel_produits_std!Y65,[1]FS_referentiel_produits_std!Z65,[1]FS_referentiel_produits_std!AA65,[1]FS_referentiel_produits_std!AB65,[1]FS_referentiel_produits_std!AC65,[1]FS_referentiel_produits_std!AD65,[1]FS_referentiel_produits_std!AE65,[1]FS_referentiel_produits_std!AF65,[1]FS_referentiel_produits_std!AG65,[1]FS_referentiel_produits_std!AH65,[1]FS_referentiel_produits_std!AI65,[1]FS_referentiel_produits_std!AJ65,[1]FS_referentiel_produits_std!AK65,[1]FS_referentiel_produits_std!AL65,[1]FS_referentiel_produits_std!AM65,[1]FS_referentiel_produits_std!AN65,[1]FS_referentiel_produits_std!AO65,[1]FS_referentiel_produits_std!AP65,[1]FS_referentiel_produits_std!AQ65,[1]FS_referentiel_produits_std!AR65,[1]FS_referentiel_produits_std!AS65,[1]FS_referentiel_produits_std!AT65,[1]FS_referentiel_produits_std!AU65,[1]FS_referentiel_produits_std!AV65,[1]FS_referentiel_produits_std!AW65,[1]FS_referentiel_produits_std!AX65,[1]FS_referentiel_produits_std!AY65,[1]FS_referentiel_produits_std!AZ65,[1]FS_referentiel_produits_std!BA65,[1]FS_referentiel_produits_std!BB65,[1]FS_referentiel_produits_std!BC65,[1]FS_referentiel_produits_std!BD65,[1]FS_referentiel_produits_std!BE65,[1]FS_referentiel_produits_std!BF65,[1]FS_referentiel_produits_std!BG65,[1]FS_referentiel_produits_std!BH65,[1]FS_referentiel_produits_std!BI65,[1]FS_referentiel_produits_std!BJ65,[1]FS_referentiel_produits_std!BK65)),0,1)</f>
        <v>1</v>
      </c>
    </row>
    <row r="40" spans="1:70" s="87" customFormat="1" ht="24.95" customHeight="1" x14ac:dyDescent="0.25">
      <c r="A40" s="9" t="s">
        <v>204</v>
      </c>
      <c r="B40" s="93" t="s">
        <v>712</v>
      </c>
      <c r="C40" s="36"/>
      <c r="D40" s="84"/>
      <c r="E40" s="83" t="s">
        <v>33</v>
      </c>
      <c r="F40" s="83" t="s">
        <v>34</v>
      </c>
      <c r="G40" s="83" t="s">
        <v>623</v>
      </c>
      <c r="H40" s="83" t="s">
        <v>12</v>
      </c>
      <c r="I40" s="83"/>
      <c r="J40" s="97"/>
      <c r="K40" s="83" t="s">
        <v>30</v>
      </c>
      <c r="L40" s="97"/>
      <c r="M40" s="83" t="s">
        <v>2725</v>
      </c>
      <c r="N40" s="89" t="s">
        <v>635</v>
      </c>
      <c r="O40" s="37">
        <v>4922</v>
      </c>
      <c r="P40" s="37">
        <v>2154</v>
      </c>
      <c r="Q40" s="37">
        <v>2200</v>
      </c>
      <c r="R40" s="37"/>
      <c r="S40" s="37">
        <v>3352</v>
      </c>
      <c r="T40" s="37">
        <v>2300</v>
      </c>
      <c r="U40" s="37">
        <v>7682</v>
      </c>
      <c r="V40" s="37">
        <v>1060</v>
      </c>
      <c r="W40" s="37">
        <v>4350</v>
      </c>
      <c r="X40" s="37">
        <v>2275</v>
      </c>
      <c r="Y40" s="37"/>
      <c r="Z40" s="37" t="s">
        <v>2726</v>
      </c>
      <c r="AA40" s="37" t="s">
        <v>2724</v>
      </c>
      <c r="AB40" s="37">
        <v>7200</v>
      </c>
      <c r="AC40" s="37">
        <v>2230</v>
      </c>
      <c r="AD40" s="37"/>
      <c r="AE40" s="37"/>
      <c r="AF40" s="37"/>
      <c r="AG40" s="37"/>
      <c r="AH40" s="37">
        <v>23.2</v>
      </c>
      <c r="AI40" s="108" t="s">
        <v>626</v>
      </c>
      <c r="AJ40" s="108"/>
      <c r="AK40" s="108" t="s">
        <v>627</v>
      </c>
      <c r="AL40" s="108"/>
      <c r="AM40" s="110" t="s">
        <v>628</v>
      </c>
      <c r="AN40" s="110"/>
      <c r="AO40" s="108" t="s">
        <v>630</v>
      </c>
      <c r="AP40" s="108"/>
      <c r="AQ40" s="108" t="s">
        <v>631</v>
      </c>
      <c r="AR40" s="108"/>
      <c r="AS40" s="108" t="s">
        <v>629</v>
      </c>
      <c r="AT40" s="108"/>
      <c r="AU40" s="83" t="s">
        <v>632</v>
      </c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6">
        <f>IF(CONCATENATE(A40,B40,C40,D40,E40,F40,G40,H40,I40,J40,K40,L40,M40,N40,O40,P40,Q40,R40,S40,T40,U40,V40,W40,X40,Y40,Z40,AA40,AB40,AC40,AD40,AE40,AF40,AG40,AH40,AI40,AK40,AM40,AO40,AQ40,AS40,AU40,AV40,AW40,AX40,AY40,AZ40,BA40,BB40,BC40,BD40,BE40,BF40,BG40,BH40,BI40,BJ40,BK40,BL40,BM40,BN40,BO40,BP40,BQ40)=(CONCATENATE([1]FS_referentiel_produits_std!A66,[1]FS_referentiel_produits_std!B66,[1]FS_referentiel_produits_std!C66,[1]FS_referentiel_produits_std!D66,[1]FS_referentiel_produits_std!E66,[1]FS_referentiel_produits_std!F66,[1]FS_referentiel_produits_std!G66,[1]FS_referentiel_produits_std!H66,[1]FS_referentiel_produits_std!I66,[1]FS_referentiel_produits_std!J66,[1]FS_referentiel_produits_std!K66,[1]FS_referentiel_produits_std!L66,[1]FS_referentiel_produits_std!M66,[1]FS_referentiel_produits_std!N66,[1]FS_referentiel_produits_std!O66,[1]FS_referentiel_produits_std!P66,[1]FS_referentiel_produits_std!Q66,[1]FS_referentiel_produits_std!R66,[1]FS_referentiel_produits_std!S66,[1]FS_referentiel_produits_std!T66,[1]FS_referentiel_produits_std!U66,[1]FS_referentiel_produits_std!V66,[1]FS_referentiel_produits_std!W66,[1]FS_referentiel_produits_std!X66,[1]FS_referentiel_produits_std!Y66,[1]FS_referentiel_produits_std!Z66,[1]FS_referentiel_produits_std!AA66,[1]FS_referentiel_produits_std!AB66,[1]FS_referentiel_produits_std!AC66,[1]FS_referentiel_produits_std!AD66,[1]FS_referentiel_produits_std!AE66,[1]FS_referentiel_produits_std!AF66,[1]FS_referentiel_produits_std!AG66,[1]FS_referentiel_produits_std!AH66,[1]FS_referentiel_produits_std!AI66,[1]FS_referentiel_produits_std!AJ66,[1]FS_referentiel_produits_std!AK66,[1]FS_referentiel_produits_std!AL66,[1]FS_referentiel_produits_std!AM66,[1]FS_referentiel_produits_std!AN66,[1]FS_referentiel_produits_std!AO66,[1]FS_referentiel_produits_std!AP66,[1]FS_referentiel_produits_std!AQ66,[1]FS_referentiel_produits_std!AR66,[1]FS_referentiel_produits_std!AS66,[1]FS_referentiel_produits_std!AT66,[1]FS_referentiel_produits_std!AU66,[1]FS_referentiel_produits_std!AV66,[1]FS_referentiel_produits_std!AW66,[1]FS_referentiel_produits_std!AX66,[1]FS_referentiel_produits_std!AY66,[1]FS_referentiel_produits_std!AZ66,[1]FS_referentiel_produits_std!BA66,[1]FS_referentiel_produits_std!BB66,[1]FS_referentiel_produits_std!BC66,[1]FS_referentiel_produits_std!BD66,[1]FS_referentiel_produits_std!BE66,[1]FS_referentiel_produits_std!BF66,[1]FS_referentiel_produits_std!BG66,[1]FS_referentiel_produits_std!BH66,[1]FS_referentiel_produits_std!BI66,[1]FS_referentiel_produits_std!BJ66,[1]FS_referentiel_produits_std!BK66)),0,1)</f>
        <v>1</v>
      </c>
    </row>
    <row r="41" spans="1:70" s="87" customFormat="1" ht="24.95" customHeight="1" x14ac:dyDescent="0.25">
      <c r="A41" s="9" t="s">
        <v>204</v>
      </c>
      <c r="B41" s="93" t="s">
        <v>712</v>
      </c>
      <c r="C41" s="36"/>
      <c r="D41" s="84"/>
      <c r="E41" s="83" t="s">
        <v>33</v>
      </c>
      <c r="F41" s="83" t="s">
        <v>37</v>
      </c>
      <c r="G41" s="83" t="s">
        <v>38</v>
      </c>
      <c r="H41" s="83" t="s">
        <v>12</v>
      </c>
      <c r="I41" s="83" t="s">
        <v>7</v>
      </c>
      <c r="J41" s="97"/>
      <c r="K41" s="83" t="s">
        <v>30</v>
      </c>
      <c r="L41" s="97"/>
      <c r="M41" s="83" t="s">
        <v>2777</v>
      </c>
      <c r="N41" s="83" t="s">
        <v>624</v>
      </c>
      <c r="O41" s="37">
        <v>6190</v>
      </c>
      <c r="P41" s="37">
        <v>2354</v>
      </c>
      <c r="Q41" s="37">
        <v>2300</v>
      </c>
      <c r="R41" s="37"/>
      <c r="S41" s="37">
        <v>3502</v>
      </c>
      <c r="T41" s="37">
        <v>2500</v>
      </c>
      <c r="U41" s="37">
        <v>8242</v>
      </c>
      <c r="V41" s="37">
        <v>1110</v>
      </c>
      <c r="W41" s="37">
        <v>4185</v>
      </c>
      <c r="X41" s="37">
        <v>2795</v>
      </c>
      <c r="Y41" s="37"/>
      <c r="Z41" s="37" t="s">
        <v>2728</v>
      </c>
      <c r="AA41" s="37" t="s">
        <v>2727</v>
      </c>
      <c r="AB41" s="37">
        <v>10000</v>
      </c>
      <c r="AC41" s="37">
        <v>2255</v>
      </c>
      <c r="AD41" s="37"/>
      <c r="AE41" s="37"/>
      <c r="AF41" s="37"/>
      <c r="AG41" s="37"/>
      <c r="AH41" s="37">
        <v>33.5</v>
      </c>
      <c r="AI41" s="108" t="s">
        <v>637</v>
      </c>
      <c r="AJ41" s="108"/>
      <c r="AK41" s="108" t="s">
        <v>713</v>
      </c>
      <c r="AL41" s="108"/>
      <c r="AM41" s="108" t="s">
        <v>714</v>
      </c>
      <c r="AN41" s="108"/>
      <c r="AO41" s="108" t="s">
        <v>715</v>
      </c>
      <c r="AP41" s="108"/>
      <c r="AQ41" s="108" t="s">
        <v>716</v>
      </c>
      <c r="AR41" s="108"/>
      <c r="AS41" s="108" t="s">
        <v>717</v>
      </c>
      <c r="AT41" s="108"/>
      <c r="AU41" s="83" t="s">
        <v>66</v>
      </c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6">
        <f>IF(CONCATENATE(A41,B41,C41,D41,E41,F41,G41,H41,I41,J41,K41,L41,M41,N41,O41,P41,Q41,R41,S41,T41,U41,V41,W41,X41,Y41,Z41,AA41,AB41,AC41,AD41,AE41,AF41,AG41,AH41,AI41,AK41,AM41,AO41,AQ41,AS41,AU41,AV41,AW41,AX41,AY41,AZ41,BA41,BB41,BC41,BD41,BE41,BF41,BG41,BH41,BI41,BJ41,BK41,BL41,BM41,BN41,BO41,BP41,BQ41)=(CONCATENATE([2]FS_referentiel_produits_std!A65,[2]FS_referentiel_produits_std!B65,[2]FS_referentiel_produits_std!C65,[2]FS_referentiel_produits_std!D65,[2]FS_referentiel_produits_std!E65,[2]FS_referentiel_produits_std!F65,[2]FS_referentiel_produits_std!G65,[2]FS_referentiel_produits_std!H65,[2]FS_referentiel_produits_std!I65,[2]FS_referentiel_produits_std!J65,[2]FS_referentiel_produits_std!K65,[2]FS_referentiel_produits_std!L65,[2]FS_referentiel_produits_std!M65,[2]FS_referentiel_produits_std!N65,[2]FS_referentiel_produits_std!O65,[2]FS_referentiel_produits_std!P65,[2]FS_referentiel_produits_std!Q65,[2]FS_referentiel_produits_std!R65,[2]FS_referentiel_produits_std!S65,[2]FS_referentiel_produits_std!T65,[2]FS_referentiel_produits_std!U65,[2]FS_referentiel_produits_std!V65,[2]FS_referentiel_produits_std!W65,[2]FS_referentiel_produits_std!X65,[2]FS_referentiel_produits_std!Y65,[2]FS_referentiel_produits_std!Z65,[2]FS_referentiel_produits_std!AA65,[2]FS_referentiel_produits_std!AB65,[2]FS_referentiel_produits_std!AC65,[2]FS_referentiel_produits_std!AD65,[2]FS_referentiel_produits_std!AE65,[2]FS_referentiel_produits_std!AF65,[2]FS_referentiel_produits_std!AG65,[2]FS_referentiel_produits_std!AH65,[2]FS_referentiel_produits_std!AI65,[2]FS_referentiel_produits_std!AJ65,[2]FS_referentiel_produits_std!AK65,[2]FS_referentiel_produits_std!AL65,[2]FS_referentiel_produits_std!AM65,[2]FS_referentiel_produits_std!AN65,[2]FS_referentiel_produits_std!AO65,[2]FS_referentiel_produits_std!AP65,[2]FS_referentiel_produits_std!AQ65,[2]FS_referentiel_produits_std!AR65,[2]FS_referentiel_produits_std!AS65,[2]FS_referentiel_produits_std!AT65,[2]FS_referentiel_produits_std!AU65,[2]FS_referentiel_produits_std!AV65,[2]FS_referentiel_produits_std!AW65,[2]FS_referentiel_produits_std!AX65,[2]FS_referentiel_produits_std!AY65,[2]FS_referentiel_produits_std!AZ65,[2]FS_referentiel_produits_std!BA65,[2]FS_referentiel_produits_std!BB65,[2]FS_referentiel_produits_std!BC65,[2]FS_referentiel_produits_std!BD65,[2]FS_referentiel_produits_std!BE65,[2]FS_referentiel_produits_std!BF65,[2]FS_referentiel_produits_std!BG65,[2]FS_referentiel_produits_std!BH65,[2]FS_referentiel_produits_std!BI65,[2]FS_referentiel_produits_std!BJ65,[2]FS_referentiel_produits_std!BK65)),0,1)</f>
        <v>1</v>
      </c>
    </row>
    <row r="42" spans="1:70" s="87" customFormat="1" ht="24.95" customHeight="1" x14ac:dyDescent="0.25">
      <c r="A42" s="9" t="s">
        <v>204</v>
      </c>
      <c r="B42" s="93" t="s">
        <v>712</v>
      </c>
      <c r="C42" s="36"/>
      <c r="D42" s="84"/>
      <c r="E42" s="83" t="s">
        <v>33</v>
      </c>
      <c r="F42" s="83" t="s">
        <v>37</v>
      </c>
      <c r="G42" s="83" t="s">
        <v>41</v>
      </c>
      <c r="H42" s="83" t="s">
        <v>12</v>
      </c>
      <c r="I42" s="83" t="s">
        <v>7</v>
      </c>
      <c r="J42" s="97"/>
      <c r="K42" s="83" t="s">
        <v>30</v>
      </c>
      <c r="L42" s="97"/>
      <c r="M42" s="83" t="s">
        <v>2778</v>
      </c>
      <c r="N42" s="83" t="s">
        <v>624</v>
      </c>
      <c r="O42" s="37">
        <v>6590</v>
      </c>
      <c r="P42" s="37">
        <v>2454</v>
      </c>
      <c r="Q42" s="37">
        <v>2400</v>
      </c>
      <c r="R42" s="37"/>
      <c r="S42" s="37">
        <v>3652</v>
      </c>
      <c r="T42" s="37">
        <v>2600</v>
      </c>
      <c r="U42" s="37">
        <v>8762</v>
      </c>
      <c r="V42" s="37">
        <v>1160</v>
      </c>
      <c r="W42" s="37">
        <v>4815</v>
      </c>
      <c r="X42" s="37">
        <v>2585</v>
      </c>
      <c r="Y42" s="37"/>
      <c r="Z42" s="37" t="s">
        <v>2729</v>
      </c>
      <c r="AA42" s="37" t="s">
        <v>303</v>
      </c>
      <c r="AB42" s="37">
        <v>11990</v>
      </c>
      <c r="AC42" s="37">
        <v>3320</v>
      </c>
      <c r="AD42" s="37"/>
      <c r="AE42" s="37"/>
      <c r="AF42" s="37"/>
      <c r="AG42" s="37"/>
      <c r="AH42" s="37">
        <v>38.9</v>
      </c>
      <c r="AI42" s="108" t="s">
        <v>637</v>
      </c>
      <c r="AJ42" s="108"/>
      <c r="AK42" s="108" t="s">
        <v>638</v>
      </c>
      <c r="AL42" s="108"/>
      <c r="AM42" s="108" t="s">
        <v>639</v>
      </c>
      <c r="AN42" s="108"/>
      <c r="AO42" s="108" t="s">
        <v>640</v>
      </c>
      <c r="AP42" s="108"/>
      <c r="AQ42" s="108" t="s">
        <v>641</v>
      </c>
      <c r="AR42" s="108"/>
      <c r="AS42" s="108" t="s">
        <v>642</v>
      </c>
      <c r="AT42" s="108"/>
      <c r="AU42" s="83" t="s">
        <v>68</v>
      </c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6">
        <f>IF(CONCATENATE(A42,B42,C42,D42,E42,F42,G42,H42,I42,J42,K42,L42,M42,N42,O42,P42,Q42,R42,S42,T42,U42,V42,W42,X42,Y42,Z42,AA42,AB42,AC42,AD42,AE42,AF42,AG42,AH42,AI42,AK42,AM42,AO42,AQ42,AS42,AU42,AV42,AW42,AX42,AY42,AZ42,BA42,BB42,BC42,BD42,BE42,BF42,BG42,BH42,BI42,BJ42,BK42,BL42,BM42,BN42,BO42,BP42,BQ42)=(CONCATENATE([1]FS_referentiel_produits_std!A53,[1]FS_referentiel_produits_std!B53,[1]FS_referentiel_produits_std!C53,[1]FS_referentiel_produits_std!D53,[1]FS_referentiel_produits_std!E53,[1]FS_referentiel_produits_std!F53,[1]FS_referentiel_produits_std!G53,[1]FS_referentiel_produits_std!H53,[1]FS_referentiel_produits_std!I53,[1]FS_referentiel_produits_std!J53,[1]FS_referentiel_produits_std!K53,[1]FS_referentiel_produits_std!L53,[1]FS_referentiel_produits_std!M53,[1]FS_referentiel_produits_std!N53,[1]FS_referentiel_produits_std!O53,[1]FS_referentiel_produits_std!P53,[1]FS_referentiel_produits_std!Q53,[1]FS_referentiel_produits_std!R53,[1]FS_referentiel_produits_std!S53,[1]FS_referentiel_produits_std!T53,[1]FS_referentiel_produits_std!U53,[1]FS_referentiel_produits_std!V53,[1]FS_referentiel_produits_std!W53,[1]FS_referentiel_produits_std!X53,[1]FS_referentiel_produits_std!Y53,[1]FS_referentiel_produits_std!Z53,[1]FS_referentiel_produits_std!AA53,[1]FS_referentiel_produits_std!AB53,[1]FS_referentiel_produits_std!AC53,[1]FS_referentiel_produits_std!AD53,[1]FS_referentiel_produits_std!AE53,[1]FS_referentiel_produits_std!AF53,[1]FS_referentiel_produits_std!AG53,[1]FS_referentiel_produits_std!AH53,[1]FS_referentiel_produits_std!AI53,[1]FS_referentiel_produits_std!AJ53,[1]FS_referentiel_produits_std!AK53,[1]FS_referentiel_produits_std!AL53,[1]FS_referentiel_produits_std!AM53,[1]FS_referentiel_produits_std!AN53,[1]FS_referentiel_produits_std!AO53,[1]FS_referentiel_produits_std!AP53,[1]FS_referentiel_produits_std!AQ53,[1]FS_referentiel_produits_std!AR53,[1]FS_referentiel_produits_std!AS53,[1]FS_referentiel_produits_std!AT53,[1]FS_referentiel_produits_std!AU53,[1]FS_referentiel_produits_std!AV53,[1]FS_referentiel_produits_std!AW53,[1]FS_referentiel_produits_std!AX53,[1]FS_referentiel_produits_std!AY53,[1]FS_referentiel_produits_std!AZ53,[1]FS_referentiel_produits_std!BA53,[1]FS_referentiel_produits_std!BB53,[1]FS_referentiel_produits_std!BC53,[1]FS_referentiel_produits_std!BD53,[1]FS_referentiel_produits_std!BE53,[1]FS_referentiel_produits_std!BF53,[1]FS_referentiel_produits_std!BG53,[1]FS_referentiel_produits_std!BH53,[1]FS_referentiel_produits_std!BI53,[1]FS_referentiel_produits_std!BJ53,[1]FS_referentiel_produits_std!BK53)),0,1)</f>
        <v>1</v>
      </c>
    </row>
    <row r="43" spans="1:70" s="87" customFormat="1" ht="24.95" customHeight="1" x14ac:dyDescent="0.25">
      <c r="A43" s="9" t="s">
        <v>204</v>
      </c>
      <c r="B43" s="93" t="s">
        <v>712</v>
      </c>
      <c r="C43" s="36"/>
      <c r="D43" s="84"/>
      <c r="E43" s="83" t="s">
        <v>33</v>
      </c>
      <c r="F43" s="83" t="s">
        <v>37</v>
      </c>
      <c r="G43" s="83" t="s">
        <v>42</v>
      </c>
      <c r="H43" s="83" t="s">
        <v>12</v>
      </c>
      <c r="I43" s="83" t="s">
        <v>7</v>
      </c>
      <c r="J43" s="97"/>
      <c r="K43" s="83" t="s">
        <v>30</v>
      </c>
      <c r="L43" s="97"/>
      <c r="M43" s="83" t="s">
        <v>2779</v>
      </c>
      <c r="N43" s="83" t="s">
        <v>624</v>
      </c>
      <c r="O43" s="37">
        <v>7990</v>
      </c>
      <c r="P43" s="37">
        <v>2454</v>
      </c>
      <c r="Q43" s="37">
        <v>2400</v>
      </c>
      <c r="R43" s="37"/>
      <c r="S43" s="37">
        <v>3652</v>
      </c>
      <c r="T43" s="37">
        <v>2600</v>
      </c>
      <c r="U43" s="37">
        <v>10172</v>
      </c>
      <c r="V43" s="37">
        <v>1160</v>
      </c>
      <c r="W43" s="37">
        <v>5670</v>
      </c>
      <c r="X43" s="37">
        <v>3140</v>
      </c>
      <c r="Y43" s="37"/>
      <c r="Z43" s="37" t="s">
        <v>2730</v>
      </c>
      <c r="AA43" s="37" t="s">
        <v>2727</v>
      </c>
      <c r="AB43" s="37">
        <v>16000</v>
      </c>
      <c r="AC43" s="37">
        <v>6260</v>
      </c>
      <c r="AD43" s="37"/>
      <c r="AE43" s="37"/>
      <c r="AF43" s="37"/>
      <c r="AG43" s="37"/>
      <c r="AH43" s="37">
        <v>47</v>
      </c>
      <c r="AI43" s="108" t="s">
        <v>637</v>
      </c>
      <c r="AJ43" s="108"/>
      <c r="AK43" s="108" t="s">
        <v>643</v>
      </c>
      <c r="AL43" s="108"/>
      <c r="AM43" s="108" t="s">
        <v>644</v>
      </c>
      <c r="AN43" s="108"/>
      <c r="AO43" s="108" t="s">
        <v>645</v>
      </c>
      <c r="AP43" s="108"/>
      <c r="AQ43" s="108" t="s">
        <v>646</v>
      </c>
      <c r="AR43" s="108"/>
      <c r="AS43" s="108" t="s">
        <v>647</v>
      </c>
      <c r="AT43" s="108"/>
      <c r="AU43" s="90" t="s">
        <v>648</v>
      </c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6">
        <f>IF(CONCATENATE(A43,B43,C43,D43,E43,F43,G43,H43,I43,J43,K43,L43,M43,N43,O43,P43,Q43,R43,S43,T43,U43,V43,W43,X43,Y43,Z43,AA43,AB43,AC43,AD43,AE43,AF43,AG43,AH43,AI43,AK43,AM43,AO43,AQ43,AS43,AU43,AV43,AW43,AX43,AY43,AZ43,BA43,BB43,BC43,BD43,BE43,BF43,BG43,BH43,BI43,BJ43,BK43,BL43,BM43,BN43,BO43,BP43,BQ43)=(CONCATENATE([1]FS_referentiel_produits_std!A54,[1]FS_referentiel_produits_std!B54,[1]FS_referentiel_produits_std!C54,[1]FS_referentiel_produits_std!D54,[1]FS_referentiel_produits_std!E54,[1]FS_referentiel_produits_std!F54,[1]FS_referentiel_produits_std!G54,[1]FS_referentiel_produits_std!H54,[1]FS_referentiel_produits_std!I54,[1]FS_referentiel_produits_std!J54,[1]FS_referentiel_produits_std!K54,[1]FS_referentiel_produits_std!L54,[1]FS_referentiel_produits_std!M54,[1]FS_referentiel_produits_std!N54,[1]FS_referentiel_produits_std!O54,[1]FS_referentiel_produits_std!P54,[1]FS_referentiel_produits_std!Q54,[1]FS_referentiel_produits_std!R54,[1]FS_referentiel_produits_std!S54,[1]FS_referentiel_produits_std!T54,[1]FS_referentiel_produits_std!U54,[1]FS_referentiel_produits_std!V54,[1]FS_referentiel_produits_std!W54,[1]FS_referentiel_produits_std!X54,[1]FS_referentiel_produits_std!Y54,[1]FS_referentiel_produits_std!Z54,[1]FS_referentiel_produits_std!AA54,[1]FS_referentiel_produits_std!AB54,[1]FS_referentiel_produits_std!AC54,[1]FS_referentiel_produits_std!AD54,[1]FS_referentiel_produits_std!AE54,[1]FS_referentiel_produits_std!AF54,[1]FS_referentiel_produits_std!AG54,[1]FS_referentiel_produits_std!AH54,[1]FS_referentiel_produits_std!AI54,[1]FS_referentiel_produits_std!AJ54,[1]FS_referentiel_produits_std!AK54,[1]FS_referentiel_produits_std!AL54,[1]FS_referentiel_produits_std!AM54,[1]FS_referentiel_produits_std!AN54,[1]FS_referentiel_produits_std!AO54,[1]FS_referentiel_produits_std!AP54,[1]FS_referentiel_produits_std!AQ54,[1]FS_referentiel_produits_std!AR54,[1]FS_referentiel_produits_std!AS54,[1]FS_referentiel_produits_std!AT54,[1]FS_referentiel_produits_std!AU54,[1]FS_referentiel_produits_std!AV54,[1]FS_referentiel_produits_std!AW54,[1]FS_referentiel_produits_std!AX54,[1]FS_referentiel_produits_std!AY54,[1]FS_referentiel_produits_std!AZ54,[1]FS_referentiel_produits_std!BA54,[1]FS_referentiel_produits_std!BB54,[1]FS_referentiel_produits_std!BC54,[1]FS_referentiel_produits_std!BD54,[1]FS_referentiel_produits_std!BE54,[1]FS_referentiel_produits_std!BF54,[1]FS_referentiel_produits_std!BG54,[1]FS_referentiel_produits_std!BH54,[1]FS_referentiel_produits_std!BI54,[1]FS_referentiel_produits_std!BJ54,[1]FS_referentiel_produits_std!BK54)),0,1)</f>
        <v>1</v>
      </c>
    </row>
    <row r="44" spans="1:70" s="87" customFormat="1" ht="24.95" customHeight="1" x14ac:dyDescent="0.25">
      <c r="A44" s="9" t="s">
        <v>204</v>
      </c>
      <c r="B44" s="93" t="s">
        <v>712</v>
      </c>
      <c r="C44" s="36"/>
      <c r="D44" s="84"/>
      <c r="E44" s="83" t="s">
        <v>659</v>
      </c>
      <c r="F44" s="83" t="s">
        <v>50</v>
      </c>
      <c r="G44" s="83" t="s">
        <v>38</v>
      </c>
      <c r="H44" s="83" t="s">
        <v>12</v>
      </c>
      <c r="I44" s="83" t="s">
        <v>7</v>
      </c>
      <c r="J44" s="97"/>
      <c r="K44" s="83" t="s">
        <v>30</v>
      </c>
      <c r="L44" s="97"/>
      <c r="M44" s="83" t="s">
        <v>2732</v>
      </c>
      <c r="N44" s="83" t="s">
        <v>624</v>
      </c>
      <c r="O44" s="37">
        <v>6190</v>
      </c>
      <c r="P44" s="37">
        <v>2354</v>
      </c>
      <c r="Q44" s="37">
        <v>2300</v>
      </c>
      <c r="R44" s="37"/>
      <c r="S44" s="37">
        <v>3502</v>
      </c>
      <c r="T44" s="37">
        <v>2500</v>
      </c>
      <c r="U44" s="37">
        <v>8325</v>
      </c>
      <c r="V44" s="37">
        <v>1110</v>
      </c>
      <c r="W44" s="37">
        <v>4400</v>
      </c>
      <c r="X44" s="37">
        <v>2600</v>
      </c>
      <c r="Y44" s="37"/>
      <c r="Z44" s="37" t="s">
        <v>2728</v>
      </c>
      <c r="AA44" s="37" t="s">
        <v>2734</v>
      </c>
      <c r="AB44" s="37">
        <v>10000</v>
      </c>
      <c r="AC44" s="37">
        <v>1735</v>
      </c>
      <c r="AD44" s="37"/>
      <c r="AE44" s="37"/>
      <c r="AF44" s="37"/>
      <c r="AG44" s="37"/>
      <c r="AH44" s="37">
        <v>33.5</v>
      </c>
      <c r="AI44" s="108" t="s">
        <v>661</v>
      </c>
      <c r="AJ44" s="108"/>
      <c r="AK44" s="108" t="s">
        <v>662</v>
      </c>
      <c r="AL44" s="108"/>
      <c r="AM44" s="108" t="s">
        <v>718</v>
      </c>
      <c r="AN44" s="108"/>
      <c r="AO44" s="108" t="s">
        <v>715</v>
      </c>
      <c r="AP44" s="108"/>
      <c r="AQ44" s="108" t="s">
        <v>716</v>
      </c>
      <c r="AR44" s="108"/>
      <c r="AS44" s="108" t="s">
        <v>642</v>
      </c>
      <c r="AT44" s="108"/>
      <c r="AU44" s="83" t="s">
        <v>719</v>
      </c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6">
        <f>IF(CONCATENATE(A44,B44,C44,D44,E44,F44,G44,H44,I44,J44,K44,L44,M44,N44,O44,P44,Q44,R44,S44,T44,U44,V44,W44,X44,Y44,Z44,AA44,AB44,AC44,AD44,AE44,AF44,AG44,AH44,AI44,AK44,AM44,AO44,AQ44,AS44,AU44,AV44,AW44,AX44,AY44,AZ44,BA44,BB44,BC44,BD44,BE44,BF44,BG44,BH44,BI44,BJ44,BK44,BL44,BM44,BN44,BO44,BP44,BQ44)=(CONCATENATE([2]FS_referentiel_produits_std!A68,[2]FS_referentiel_produits_std!B68,[2]FS_referentiel_produits_std!C68,[2]FS_referentiel_produits_std!D68,[2]FS_referentiel_produits_std!E68,[2]FS_referentiel_produits_std!F68,[2]FS_referentiel_produits_std!G68,[2]FS_referentiel_produits_std!H68,[2]FS_referentiel_produits_std!I68,[2]FS_referentiel_produits_std!J68,[2]FS_referentiel_produits_std!K68,[2]FS_referentiel_produits_std!L68,[2]FS_referentiel_produits_std!M68,[2]FS_referentiel_produits_std!N68,[2]FS_referentiel_produits_std!O68,[2]FS_referentiel_produits_std!P68,[2]FS_referentiel_produits_std!Q68,[2]FS_referentiel_produits_std!R68,[2]FS_referentiel_produits_std!S68,[2]FS_referentiel_produits_std!T68,[2]FS_referentiel_produits_std!U68,[2]FS_referentiel_produits_std!V68,[2]FS_referentiel_produits_std!W68,[2]FS_referentiel_produits_std!X68,[2]FS_referentiel_produits_std!Y68,[2]FS_referentiel_produits_std!Z68,[2]FS_referentiel_produits_std!AA68,[2]FS_referentiel_produits_std!AB68,[2]FS_referentiel_produits_std!AC68,[2]FS_referentiel_produits_std!AD68,[2]FS_referentiel_produits_std!AE68,[2]FS_referentiel_produits_std!AF68,[2]FS_referentiel_produits_std!AG68,[2]FS_referentiel_produits_std!AH68,[2]FS_referentiel_produits_std!AI68,[2]FS_referentiel_produits_std!AJ68,[2]FS_referentiel_produits_std!AK68,[2]FS_referentiel_produits_std!AL68,[2]FS_referentiel_produits_std!AM68,[2]FS_referentiel_produits_std!AN68,[2]FS_referentiel_produits_std!AO68,[2]FS_referentiel_produits_std!AP68,[2]FS_referentiel_produits_std!AQ68,[2]FS_referentiel_produits_std!AR68,[2]FS_referentiel_produits_std!AS68,[2]FS_referentiel_produits_std!AT68,[2]FS_referentiel_produits_std!AU68,[2]FS_referentiel_produits_std!AV68,[2]FS_referentiel_produits_std!AW68,[2]FS_referentiel_produits_std!AX68,[2]FS_referentiel_produits_std!AY68,[2]FS_referentiel_produits_std!AZ68,[2]FS_referentiel_produits_std!BA68,[2]FS_referentiel_produits_std!BB68,[2]FS_referentiel_produits_std!BC68,[2]FS_referentiel_produits_std!BD68,[2]FS_referentiel_produits_std!BE68,[2]FS_referentiel_produits_std!BF68,[2]FS_referentiel_produits_std!BG68,[2]FS_referentiel_produits_std!BH68,[2]FS_referentiel_produits_std!BI68,[2]FS_referentiel_produits_std!BJ68,[2]FS_referentiel_produits_std!BK68)),0,1)</f>
        <v>1</v>
      </c>
    </row>
    <row r="45" spans="1:70" customFormat="1" ht="24.95" customHeight="1" x14ac:dyDescent="0.25">
      <c r="A45" s="9" t="s">
        <v>204</v>
      </c>
      <c r="B45" s="93" t="s">
        <v>712</v>
      </c>
      <c r="C45" s="36"/>
      <c r="D45" s="84"/>
      <c r="E45" s="83" t="s">
        <v>659</v>
      </c>
      <c r="F45" s="83" t="s">
        <v>50</v>
      </c>
      <c r="G45" s="83" t="s">
        <v>41</v>
      </c>
      <c r="H45" s="83" t="s">
        <v>12</v>
      </c>
      <c r="I45" s="83" t="s">
        <v>7</v>
      </c>
      <c r="J45" s="97"/>
      <c r="K45" s="83" t="s">
        <v>30</v>
      </c>
      <c r="L45" s="97"/>
      <c r="M45" s="83" t="s">
        <v>2731</v>
      </c>
      <c r="N45" s="83" t="s">
        <v>624</v>
      </c>
      <c r="O45" s="37">
        <v>6590</v>
      </c>
      <c r="P45" s="37">
        <v>2454</v>
      </c>
      <c r="Q45" s="37">
        <v>2400</v>
      </c>
      <c r="R45" s="37"/>
      <c r="S45" s="37">
        <v>3662</v>
      </c>
      <c r="T45" s="37">
        <v>2600</v>
      </c>
      <c r="U45" s="37">
        <v>8725</v>
      </c>
      <c r="V45" s="37">
        <v>1170</v>
      </c>
      <c r="W45" s="37">
        <v>4700</v>
      </c>
      <c r="X45" s="37">
        <v>2700</v>
      </c>
      <c r="Y45" s="37"/>
      <c r="Z45" s="37" t="s">
        <v>2729</v>
      </c>
      <c r="AA45" s="37" t="s">
        <v>2734</v>
      </c>
      <c r="AB45" s="37">
        <v>11990</v>
      </c>
      <c r="AC45" s="37">
        <v>3255</v>
      </c>
      <c r="AD45" s="37"/>
      <c r="AE45" s="37"/>
      <c r="AF45" s="37"/>
      <c r="AG45" s="37"/>
      <c r="AH45" s="37">
        <v>38.9</v>
      </c>
      <c r="AI45" s="108" t="s">
        <v>661</v>
      </c>
      <c r="AJ45" s="108"/>
      <c r="AK45" s="108" t="s">
        <v>662</v>
      </c>
      <c r="AL45" s="108"/>
      <c r="AM45" s="108" t="s">
        <v>663</v>
      </c>
      <c r="AN45" s="108"/>
      <c r="AO45" s="108" t="s">
        <v>640</v>
      </c>
      <c r="AP45" s="108"/>
      <c r="AQ45" s="108" t="s">
        <v>646</v>
      </c>
      <c r="AR45" s="108"/>
      <c r="AS45" s="108" t="s">
        <v>664</v>
      </c>
      <c r="AT45" s="108"/>
      <c r="AU45" s="90" t="s">
        <v>665</v>
      </c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6">
        <v>0</v>
      </c>
    </row>
    <row r="46" spans="1:70" s="87" customFormat="1" ht="24.95" customHeight="1" x14ac:dyDescent="0.25">
      <c r="A46" s="9" t="s">
        <v>204</v>
      </c>
      <c r="B46" s="93" t="s">
        <v>712</v>
      </c>
      <c r="C46" s="36"/>
      <c r="D46" s="84"/>
      <c r="E46" s="83" t="s">
        <v>659</v>
      </c>
      <c r="F46" s="83" t="s">
        <v>50</v>
      </c>
      <c r="G46" s="83" t="s">
        <v>42</v>
      </c>
      <c r="H46" s="83" t="s">
        <v>12</v>
      </c>
      <c r="I46" s="83" t="s">
        <v>7</v>
      </c>
      <c r="J46" s="97"/>
      <c r="K46" s="83" t="s">
        <v>30</v>
      </c>
      <c r="L46" s="97"/>
      <c r="M46" s="83" t="s">
        <v>2733</v>
      </c>
      <c r="N46" s="83" t="s">
        <v>624</v>
      </c>
      <c r="O46" s="37">
        <v>7990</v>
      </c>
      <c r="P46" s="37">
        <v>2454</v>
      </c>
      <c r="Q46" s="37">
        <v>2400</v>
      </c>
      <c r="R46" s="37"/>
      <c r="S46" s="37">
        <v>3702</v>
      </c>
      <c r="T46" s="37">
        <v>2600</v>
      </c>
      <c r="U46" s="37">
        <v>10125</v>
      </c>
      <c r="V46" s="37">
        <v>1210</v>
      </c>
      <c r="W46" s="37">
        <v>5600</v>
      </c>
      <c r="X46" s="37">
        <v>3200</v>
      </c>
      <c r="Y46" s="37"/>
      <c r="Z46" s="37" t="s">
        <v>2730</v>
      </c>
      <c r="AA46" s="37" t="s">
        <v>2734</v>
      </c>
      <c r="AB46" s="37">
        <v>16000</v>
      </c>
      <c r="AC46" s="37">
        <v>6340</v>
      </c>
      <c r="AD46" s="37"/>
      <c r="AE46" s="37"/>
      <c r="AF46" s="37"/>
      <c r="AG46" s="37"/>
      <c r="AH46" s="37">
        <v>47</v>
      </c>
      <c r="AI46" s="108" t="s">
        <v>661</v>
      </c>
      <c r="AJ46" s="108"/>
      <c r="AK46" s="108" t="s">
        <v>662</v>
      </c>
      <c r="AL46" s="108"/>
      <c r="AM46" s="108" t="s">
        <v>666</v>
      </c>
      <c r="AN46" s="108"/>
      <c r="AO46" s="108" t="s">
        <v>645</v>
      </c>
      <c r="AP46" s="108"/>
      <c r="AQ46" s="108" t="s">
        <v>646</v>
      </c>
      <c r="AR46" s="108"/>
      <c r="AS46" s="108" t="s">
        <v>647</v>
      </c>
      <c r="AT46" s="108"/>
      <c r="AU46" s="90" t="s">
        <v>667</v>
      </c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6">
        <v>0</v>
      </c>
    </row>
    <row r="47" spans="1:70" s="87" customFormat="1" ht="24.95" customHeight="1" x14ac:dyDescent="0.25">
      <c r="A47" s="9" t="s">
        <v>204</v>
      </c>
      <c r="B47" s="93" t="s">
        <v>712</v>
      </c>
      <c r="C47" s="36"/>
      <c r="D47" s="84"/>
      <c r="E47" s="83" t="s">
        <v>659</v>
      </c>
      <c r="F47" s="83" t="s">
        <v>50</v>
      </c>
      <c r="G47" s="83" t="s">
        <v>43</v>
      </c>
      <c r="H47" s="83" t="s">
        <v>12</v>
      </c>
      <c r="I47" s="83" t="s">
        <v>7</v>
      </c>
      <c r="J47" s="97"/>
      <c r="K47" s="83" t="s">
        <v>30</v>
      </c>
      <c r="L47" s="97"/>
      <c r="M47" s="83" t="s">
        <v>2788</v>
      </c>
      <c r="N47" s="83" t="s">
        <v>624</v>
      </c>
      <c r="O47" s="37">
        <v>9090</v>
      </c>
      <c r="P47" s="37">
        <v>2454</v>
      </c>
      <c r="Q47" s="37">
        <v>2400</v>
      </c>
      <c r="R47" s="37"/>
      <c r="S47" s="37">
        <v>3856</v>
      </c>
      <c r="T47" s="37">
        <v>2600</v>
      </c>
      <c r="U47" s="37">
        <v>11320</v>
      </c>
      <c r="V47" s="37">
        <v>1340</v>
      </c>
      <c r="W47" s="37">
        <v>6450</v>
      </c>
      <c r="X47" s="37">
        <v>3450</v>
      </c>
      <c r="Y47" s="37"/>
      <c r="Z47" s="37">
        <v>21</v>
      </c>
      <c r="AA47" s="37" t="s">
        <v>2735</v>
      </c>
      <c r="AB47" s="37">
        <v>19000</v>
      </c>
      <c r="AC47" s="37"/>
      <c r="AD47" s="37"/>
      <c r="AE47" s="37"/>
      <c r="AF47" s="37"/>
      <c r="AG47" s="37"/>
      <c r="AH47" s="37">
        <v>53.2</v>
      </c>
      <c r="AI47" s="108" t="s">
        <v>669</v>
      </c>
      <c r="AJ47" s="108"/>
      <c r="AK47" s="108" t="s">
        <v>670</v>
      </c>
      <c r="AL47" s="108"/>
      <c r="AM47" s="108" t="s">
        <v>671</v>
      </c>
      <c r="AN47" s="108"/>
      <c r="AO47" s="108" t="s">
        <v>655</v>
      </c>
      <c r="AP47" s="108"/>
      <c r="AQ47" s="108" t="s">
        <v>641</v>
      </c>
      <c r="AR47" s="108"/>
      <c r="AS47" s="108" t="s">
        <v>647</v>
      </c>
      <c r="AT47" s="108"/>
      <c r="AU47" s="83" t="s">
        <v>72</v>
      </c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6">
        <v>0</v>
      </c>
    </row>
    <row r="48" spans="1:70" s="87" customFormat="1" ht="24.95" customHeight="1" x14ac:dyDescent="0.25">
      <c r="A48" s="9" t="s">
        <v>204</v>
      </c>
      <c r="B48" s="93" t="s">
        <v>712</v>
      </c>
      <c r="C48" s="36"/>
      <c r="D48" s="84"/>
      <c r="E48" s="83" t="s">
        <v>659</v>
      </c>
      <c r="F48" s="83" t="s">
        <v>676</v>
      </c>
      <c r="G48" s="83" t="s">
        <v>45</v>
      </c>
      <c r="H48" s="83"/>
      <c r="I48" s="83"/>
      <c r="J48" s="97"/>
      <c r="K48" s="83" t="s">
        <v>677</v>
      </c>
      <c r="L48" s="97"/>
      <c r="M48" s="83" t="s">
        <v>2756</v>
      </c>
      <c r="N48" s="83" t="s">
        <v>31</v>
      </c>
      <c r="O48" s="37"/>
      <c r="P48" s="37"/>
      <c r="Q48" s="37"/>
      <c r="R48" s="37"/>
      <c r="S48" s="37">
        <v>3924</v>
      </c>
      <c r="T48" s="37">
        <v>2534</v>
      </c>
      <c r="U48" s="37">
        <v>5990</v>
      </c>
      <c r="V48" s="37"/>
      <c r="W48" s="37">
        <v>3800</v>
      </c>
      <c r="X48" s="37">
        <v>825</v>
      </c>
      <c r="Y48" s="37"/>
      <c r="Z48" s="37"/>
      <c r="AA48" s="37" t="s">
        <v>678</v>
      </c>
      <c r="AB48" s="37">
        <v>19000</v>
      </c>
      <c r="AC48" s="37"/>
      <c r="AD48" s="37"/>
      <c r="AE48" s="37"/>
      <c r="AF48" s="37">
        <v>44000</v>
      </c>
      <c r="AG48" s="37"/>
      <c r="AH48" s="37"/>
      <c r="AI48" s="108" t="s">
        <v>679</v>
      </c>
      <c r="AJ48" s="108"/>
      <c r="AK48" s="108" t="s">
        <v>680</v>
      </c>
      <c r="AL48" s="108"/>
      <c r="AM48" s="108" t="s">
        <v>681</v>
      </c>
      <c r="AN48" s="108"/>
      <c r="AO48" s="108"/>
      <c r="AP48" s="108"/>
      <c r="AQ48" s="108"/>
      <c r="AR48" s="108"/>
      <c r="AS48" s="108"/>
      <c r="AT48" s="108"/>
      <c r="AU48" s="83" t="s">
        <v>682</v>
      </c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6">
        <f>IF(CONCATENATE(A48,B48,C48,D48,E48,F48,G48,H48,I48,J48,K48,L48,M48,N48,O48,P48,Q48,R48,S48,T48,U48,V48,W48,X48,Y48,Z48,AA48,AB48,AC48,AD48,AE48,AF48,AG48,AH48,AI48,AK48,AM48,AO48,AQ48,AS48,AU48,AV48,AW48,AX48,AY48,AZ48,BA48,BB48,BC48,BD48,BE48,BF48,BG48,BH48,BI48,BJ48,BK48,BL48,BM48,BN48,BO48,BP48,BQ48)=(CONCATENATE([1]FS_referentiel_produits_std!A73,[1]FS_referentiel_produits_std!B73,[1]FS_referentiel_produits_std!C73,[1]FS_referentiel_produits_std!D73,[1]FS_referentiel_produits_std!E73,[1]FS_referentiel_produits_std!F73,[1]FS_referentiel_produits_std!G73,[1]FS_referentiel_produits_std!H73,[1]FS_referentiel_produits_std!I73,[1]FS_referentiel_produits_std!J73,[1]FS_referentiel_produits_std!K73,[1]FS_referentiel_produits_std!L73,[1]FS_referentiel_produits_std!M73,[1]FS_referentiel_produits_std!N73,[1]FS_referentiel_produits_std!O73,[1]FS_referentiel_produits_std!P73,[1]FS_referentiel_produits_std!Q73,[1]FS_referentiel_produits_std!R73,[1]FS_referentiel_produits_std!S73,[1]FS_referentiel_produits_std!T73,[1]FS_referentiel_produits_std!U73,[1]FS_referentiel_produits_std!V73,[1]FS_referentiel_produits_std!W73,[1]FS_referentiel_produits_std!X73,[1]FS_referentiel_produits_std!Y73,[1]FS_referentiel_produits_std!Z73,[1]FS_referentiel_produits_std!AA73,[1]FS_referentiel_produits_std!AB73,[1]FS_referentiel_produits_std!AC73,[1]FS_referentiel_produits_std!AD73,[1]FS_referentiel_produits_std!AE73,[1]FS_referentiel_produits_std!AF73,[1]FS_referentiel_produits_std!AG73,[1]FS_referentiel_produits_std!AH73,[1]FS_referentiel_produits_std!AI73,[1]FS_referentiel_produits_std!AJ73,[1]FS_referentiel_produits_std!AK73,[1]FS_referentiel_produits_std!AL73,[1]FS_referentiel_produits_std!AM73,[1]FS_referentiel_produits_std!AN73,[1]FS_referentiel_produits_std!AO73,[1]FS_referentiel_produits_std!AP73,[1]FS_referentiel_produits_std!AQ73,[1]FS_referentiel_produits_std!AR73,[1]FS_referentiel_produits_std!AS73,[1]FS_referentiel_produits_std!AT73,[1]FS_referentiel_produits_std!AU73,[1]FS_referentiel_produits_std!AV73,[1]FS_referentiel_produits_std!AW73,[1]FS_referentiel_produits_std!AX73,[1]FS_referentiel_produits_std!AY73,[1]FS_referentiel_produits_std!AZ73,[1]FS_referentiel_produits_std!BA73,[1]FS_referentiel_produits_std!BB73,[1]FS_referentiel_produits_std!BC73,[1]FS_referentiel_produits_std!BD73,[1]FS_referentiel_produits_std!BE73,[1]FS_referentiel_produits_std!BF73,[1]FS_referentiel_produits_std!BG73,[1]FS_referentiel_produits_std!BH73,[1]FS_referentiel_produits_std!BI73,[1]FS_referentiel_produits_std!BJ73,[1]FS_referentiel_produits_std!BK73)),0,1)</f>
        <v>1</v>
      </c>
    </row>
    <row r="49" spans="1:70" s="87" customFormat="1" ht="24.95" customHeight="1" x14ac:dyDescent="0.25">
      <c r="A49" s="9" t="s">
        <v>204</v>
      </c>
      <c r="B49" s="93" t="s">
        <v>712</v>
      </c>
      <c r="C49" s="36"/>
      <c r="D49" s="84"/>
      <c r="E49" s="83" t="s">
        <v>683</v>
      </c>
      <c r="F49" s="83" t="s">
        <v>684</v>
      </c>
      <c r="G49" s="83" t="s">
        <v>685</v>
      </c>
      <c r="H49" s="83" t="s">
        <v>12</v>
      </c>
      <c r="I49" s="83"/>
      <c r="J49" s="97"/>
      <c r="K49" s="83" t="s">
        <v>683</v>
      </c>
      <c r="L49" s="97"/>
      <c r="M49" s="83" t="s">
        <v>2736</v>
      </c>
      <c r="N49" s="83" t="s">
        <v>634</v>
      </c>
      <c r="O49" s="37">
        <v>13389</v>
      </c>
      <c r="P49" s="37">
        <v>2453</v>
      </c>
      <c r="Q49" s="37">
        <v>2600</v>
      </c>
      <c r="R49" s="37"/>
      <c r="S49" s="37"/>
      <c r="T49" s="37"/>
      <c r="U49" s="37"/>
      <c r="V49" s="37"/>
      <c r="W49" s="37">
        <v>7450</v>
      </c>
      <c r="X49" s="37"/>
      <c r="Y49" s="37"/>
      <c r="Z49" s="37">
        <v>33</v>
      </c>
      <c r="AA49" s="37" t="s">
        <v>2738</v>
      </c>
      <c r="AB49" s="37">
        <v>38000</v>
      </c>
      <c r="AC49" s="37"/>
      <c r="AD49" s="37"/>
      <c r="AE49" s="37"/>
      <c r="AF49" s="37"/>
      <c r="AG49" s="37"/>
      <c r="AH49" s="108">
        <v>85</v>
      </c>
      <c r="AI49" s="108"/>
      <c r="AJ49" s="108"/>
      <c r="AK49" s="108"/>
      <c r="AL49" s="108"/>
      <c r="AM49" s="108" t="s">
        <v>687</v>
      </c>
      <c r="AN49" s="108"/>
      <c r="AO49" s="108" t="s">
        <v>688</v>
      </c>
      <c r="AP49" s="108"/>
      <c r="AQ49" s="108" t="s">
        <v>689</v>
      </c>
      <c r="AR49" s="108"/>
      <c r="AS49" s="108"/>
      <c r="AT49" s="108"/>
      <c r="AU49" s="83" t="s">
        <v>690</v>
      </c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6">
        <f>IF(CONCATENATE(A49,B49,C49,D49,E49,F49,G49,H49,I49,J49,K49,L49,M49,N49,O49,P49,Q49,R49,S49,T49,U49,V49,W49,X49,Y49,Z49,AA49,AB49,AC49,AD49,AE49,AF49,AG49,AH49,AI49,AK49,AM49,AO49,AQ49,AS49,AU49,AV49,AW49,AX49,AY49,AZ49,BA49,BB49,BC49,BD49,BE49,BF49,BG49,BH49,BI49,BJ49,BK49,BL49,BM49,BN49,BO49,BP49,BQ49)=(CONCATENATE([1]FS_referentiel_produits_std!A59,[1]FS_referentiel_produits_std!B59,[1]FS_referentiel_produits_std!C59,[1]FS_referentiel_produits_std!D59,[1]FS_referentiel_produits_std!E59,[1]FS_referentiel_produits_std!F59,[1]FS_referentiel_produits_std!G59,[1]FS_referentiel_produits_std!H59,[1]FS_referentiel_produits_std!I59,[1]FS_referentiel_produits_std!J59,[1]FS_referentiel_produits_std!K59,[1]FS_referentiel_produits_std!L59,[1]FS_referentiel_produits_std!M59,[1]FS_referentiel_produits_std!N59,[1]FS_referentiel_produits_std!O59,[1]FS_referentiel_produits_std!P59,[1]FS_referentiel_produits_std!Q59,[1]FS_referentiel_produits_std!R59,[1]FS_referentiel_produits_std!S59,[1]FS_referentiel_produits_std!T59,[1]FS_referentiel_produits_std!U59,[1]FS_referentiel_produits_std!V59,[1]FS_referentiel_produits_std!W59,[1]FS_referentiel_produits_std!X59,[1]FS_referentiel_produits_std!Y59,[1]FS_referentiel_produits_std!Z59,[1]FS_referentiel_produits_std!AA59,[1]FS_referentiel_produits_std!AB59,[1]FS_referentiel_produits_std!AC59,[1]FS_referentiel_produits_std!AD59,[1]FS_referentiel_produits_std!AE59,[1]FS_referentiel_produits_std!AF59,[1]FS_referentiel_produits_std!AG59,[1]FS_referentiel_produits_std!AH59,[1]FS_referentiel_produits_std!AI59,[1]FS_referentiel_produits_std!AJ59,[1]FS_referentiel_produits_std!AK59,[1]FS_referentiel_produits_std!AL59,[1]FS_referentiel_produits_std!AM59,[1]FS_referentiel_produits_std!AN59,[1]FS_referentiel_produits_std!AO59,[1]FS_referentiel_produits_std!AP59,[1]FS_referentiel_produits_std!AQ59,[1]FS_referentiel_produits_std!AR59,[1]FS_referentiel_produits_std!AS59,[1]FS_referentiel_produits_std!AT59,[1]FS_referentiel_produits_std!AU59,[1]FS_referentiel_produits_std!AV59,[1]FS_referentiel_produits_std!AW59,[1]FS_referentiel_produits_std!AX59,[1]FS_referentiel_produits_std!AY59,[1]FS_referentiel_produits_std!AZ59,[1]FS_referentiel_produits_std!BA59,[1]FS_referentiel_produits_std!BB59,[1]FS_referentiel_produits_std!BC59,[1]FS_referentiel_produits_std!BD59,[1]FS_referentiel_produits_std!BE59,[1]FS_referentiel_produits_std!BF59,[1]FS_referentiel_produits_std!BG59,[1]FS_referentiel_produits_std!BH59,[1]FS_referentiel_produits_std!BI59,[1]FS_referentiel_produits_std!BJ59,[1]FS_referentiel_produits_std!BK59)),0,1)</f>
        <v>1</v>
      </c>
    </row>
    <row r="50" spans="1:70" s="87" customFormat="1" ht="24.95" customHeight="1" x14ac:dyDescent="0.25">
      <c r="A50" s="9" t="s">
        <v>204</v>
      </c>
      <c r="B50" s="93" t="s">
        <v>712</v>
      </c>
      <c r="C50" s="36"/>
      <c r="D50" s="84"/>
      <c r="E50" s="83" t="s">
        <v>683</v>
      </c>
      <c r="F50" s="83" t="s">
        <v>684</v>
      </c>
      <c r="G50" s="83" t="s">
        <v>685</v>
      </c>
      <c r="H50" s="83" t="s">
        <v>12</v>
      </c>
      <c r="I50" s="83" t="s">
        <v>7</v>
      </c>
      <c r="J50" s="97"/>
      <c r="K50" s="83" t="s">
        <v>683</v>
      </c>
      <c r="L50" s="97"/>
      <c r="M50" s="83" t="s">
        <v>746</v>
      </c>
      <c r="N50" s="83" t="s">
        <v>35</v>
      </c>
      <c r="O50" s="37">
        <v>13389</v>
      </c>
      <c r="P50" s="37">
        <v>2453</v>
      </c>
      <c r="Q50" s="37">
        <v>2600</v>
      </c>
      <c r="R50" s="37"/>
      <c r="S50" s="37"/>
      <c r="T50" s="37"/>
      <c r="U50" s="37"/>
      <c r="V50" s="37"/>
      <c r="W50" s="37">
        <v>7450</v>
      </c>
      <c r="X50" s="37"/>
      <c r="Y50" s="37"/>
      <c r="Z50" s="37">
        <v>33</v>
      </c>
      <c r="AA50" s="37" t="s">
        <v>2718</v>
      </c>
      <c r="AB50" s="37">
        <v>38000</v>
      </c>
      <c r="AC50" s="37"/>
      <c r="AD50" s="37"/>
      <c r="AE50" s="37"/>
      <c r="AF50" s="37"/>
      <c r="AG50" s="37"/>
      <c r="AH50" s="108">
        <v>85</v>
      </c>
      <c r="AI50" s="108"/>
      <c r="AJ50" s="108"/>
      <c r="AK50" s="108"/>
      <c r="AL50" s="108"/>
      <c r="AM50" s="108" t="s">
        <v>687</v>
      </c>
      <c r="AN50" s="108"/>
      <c r="AO50" s="108" t="s">
        <v>691</v>
      </c>
      <c r="AP50" s="108"/>
      <c r="AQ50" s="108" t="s">
        <v>689</v>
      </c>
      <c r="AR50" s="108"/>
      <c r="AS50" s="108" t="s">
        <v>692</v>
      </c>
      <c r="AT50" s="108"/>
      <c r="AU50" s="83" t="s">
        <v>693</v>
      </c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6">
        <f>IF(CONCATENATE(A50,B50,C50,D50,E50,F50,G50,H50,I50,J50,K50,L50,M50,N50,O50,P50,Q50,R50,S50,T50,U50,V50,W50,X50,Y50,Z50,AA50,AB50,AC50,AD50,AE50,AF50,AG50,AH50,AI50,AK50,AM50,AO50,AQ50,AS50,AU50,AV50,AW50,AX50,AY50,AZ50,BA50,BB50,BC50,BD50,BE50,BF50,BG50,BH50,BI50,BJ50,BK50,BL50,BM50,BN50,BO50,BP50,BQ50)=(CONCATENATE([1]FS_referentiel_produits_std!A59,[1]FS_referentiel_produits_std!B59,[1]FS_referentiel_produits_std!C59,[1]FS_referentiel_produits_std!D59,[1]FS_referentiel_produits_std!E59,[1]FS_referentiel_produits_std!F59,[1]FS_referentiel_produits_std!G59,[1]FS_referentiel_produits_std!H59,[1]FS_referentiel_produits_std!I59,[1]FS_referentiel_produits_std!J59,[1]FS_referentiel_produits_std!K59,[1]FS_referentiel_produits_std!L59,[1]FS_referentiel_produits_std!M59,[1]FS_referentiel_produits_std!N59,[1]FS_referentiel_produits_std!O59,[1]FS_referentiel_produits_std!P59,[1]FS_referentiel_produits_std!Q59,[1]FS_referentiel_produits_std!R59,[1]FS_referentiel_produits_std!S59,[1]FS_referentiel_produits_std!T59,[1]FS_referentiel_produits_std!U59,[1]FS_referentiel_produits_std!V59,[1]FS_referentiel_produits_std!W59,[1]FS_referentiel_produits_std!X59,[1]FS_referentiel_produits_std!Y59,[1]FS_referentiel_produits_std!Z59,[1]FS_referentiel_produits_std!AA59,[1]FS_referentiel_produits_std!AB59,[1]FS_referentiel_produits_std!AC59,[1]FS_referentiel_produits_std!AD59,[1]FS_referentiel_produits_std!AE59,[1]FS_referentiel_produits_std!AF59,[1]FS_referentiel_produits_std!AG59,[1]FS_referentiel_produits_std!AH59,[1]FS_referentiel_produits_std!AI59,[1]FS_referentiel_produits_std!AJ59,[1]FS_referentiel_produits_std!AK59,[1]FS_referentiel_produits_std!AL59,[1]FS_referentiel_produits_std!AM59,[1]FS_referentiel_produits_std!AN59,[1]FS_referentiel_produits_std!AO59,[1]FS_referentiel_produits_std!AP59,[1]FS_referentiel_produits_std!AQ59,[1]FS_referentiel_produits_std!AR59,[1]FS_referentiel_produits_std!AS59,[1]FS_referentiel_produits_std!AT59,[1]FS_referentiel_produits_std!AU59,[1]FS_referentiel_produits_std!AV59,[1]FS_referentiel_produits_std!AW59,[1]FS_referentiel_produits_std!AX59,[1]FS_referentiel_produits_std!AY59,[1]FS_referentiel_produits_std!AZ59,[1]FS_referentiel_produits_std!BA59,[1]FS_referentiel_produits_std!BB59,[1]FS_referentiel_produits_std!BC59,[1]FS_referentiel_produits_std!BD59,[1]FS_referentiel_produits_std!BE59,[1]FS_referentiel_produits_std!BF59,[1]FS_referentiel_produits_std!BG59,[1]FS_referentiel_produits_std!BH59,[1]FS_referentiel_produits_std!BI59,[1]FS_referentiel_produits_std!BJ59,[1]FS_referentiel_produits_std!BK59)),0,1)</f>
        <v>1</v>
      </c>
    </row>
    <row r="51" spans="1:70" s="87" customFormat="1" ht="24.95" customHeight="1" x14ac:dyDescent="0.25">
      <c r="A51" s="9" t="s">
        <v>204</v>
      </c>
      <c r="B51" s="93" t="s">
        <v>712</v>
      </c>
      <c r="C51" s="36"/>
      <c r="D51" s="84"/>
      <c r="E51" s="83" t="s">
        <v>683</v>
      </c>
      <c r="F51" s="83" t="s">
        <v>684</v>
      </c>
      <c r="G51" s="83" t="s">
        <v>685</v>
      </c>
      <c r="H51" s="83" t="s">
        <v>29</v>
      </c>
      <c r="I51" s="83" t="s">
        <v>7</v>
      </c>
      <c r="J51" s="97"/>
      <c r="K51" s="83" t="s">
        <v>683</v>
      </c>
      <c r="L51" s="97"/>
      <c r="M51" s="83" t="s">
        <v>747</v>
      </c>
      <c r="N51" s="83" t="s">
        <v>35</v>
      </c>
      <c r="O51" s="37">
        <v>13389</v>
      </c>
      <c r="P51" s="37">
        <v>2453</v>
      </c>
      <c r="Q51" s="37">
        <v>2600</v>
      </c>
      <c r="R51" s="37"/>
      <c r="S51" s="37"/>
      <c r="T51" s="37"/>
      <c r="U51" s="37"/>
      <c r="V51" s="37"/>
      <c r="W51" s="37">
        <v>7450</v>
      </c>
      <c r="X51" s="37"/>
      <c r="Y51" s="37"/>
      <c r="Z51" s="37">
        <v>66</v>
      </c>
      <c r="AA51" s="37" t="s">
        <v>2719</v>
      </c>
      <c r="AB51" s="37">
        <v>38000</v>
      </c>
      <c r="AC51" s="37"/>
      <c r="AD51" s="37"/>
      <c r="AE51" s="37"/>
      <c r="AF51" s="37"/>
      <c r="AG51" s="37"/>
      <c r="AH51" s="108">
        <v>85</v>
      </c>
      <c r="AI51" s="108"/>
      <c r="AJ51" s="108"/>
      <c r="AK51" s="108"/>
      <c r="AL51" s="108"/>
      <c r="AM51" s="108" t="s">
        <v>687</v>
      </c>
      <c r="AN51" s="108"/>
      <c r="AO51" s="108" t="s">
        <v>709</v>
      </c>
      <c r="AP51" s="108"/>
      <c r="AQ51" s="108" t="s">
        <v>706</v>
      </c>
      <c r="AR51" s="108"/>
      <c r="AS51" s="108" t="s">
        <v>692</v>
      </c>
      <c r="AT51" s="108"/>
      <c r="AU51" s="83" t="s">
        <v>710</v>
      </c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6">
        <f>IF(CONCATENATE(A51,B51,C51,D51,E51,F51,G51,H51,I51,J51,K51,L51,M51,N51,O51,P51,Q51,R51,S51,T51,U51,V51,W51,X51,Y51,Z51,AA51,AB51,AC51,AD51,AE51,AF51,AG51,AH51,AI51,AK51,AM51,AO51,AQ51,AS51,AU51,AV51,AW51,AX51,AY51,AZ51,BA51,BB51,BC51,BD51,BE51,BF51,BG51,BH51,BI51,BJ51,BK51,BL51,BM51,BN51,BO51,BP51,BQ51)=(CONCATENATE([1]FS_referentiel_produits_std!A73,[1]FS_referentiel_produits_std!B73,[1]FS_referentiel_produits_std!C73,[1]FS_referentiel_produits_std!D73,[1]FS_referentiel_produits_std!E73,[1]FS_referentiel_produits_std!F73,[1]FS_referentiel_produits_std!G73,[1]FS_referentiel_produits_std!H73,[1]FS_referentiel_produits_std!I73,[1]FS_referentiel_produits_std!J73,[1]FS_referentiel_produits_std!K73,[1]FS_referentiel_produits_std!L73,[1]FS_referentiel_produits_std!M73,[1]FS_referentiel_produits_std!N73,[1]FS_referentiel_produits_std!O73,[1]FS_referentiel_produits_std!P73,[1]FS_referentiel_produits_std!Q73,[1]FS_referentiel_produits_std!R73,[1]FS_referentiel_produits_std!S73,[1]FS_referentiel_produits_std!T73,[1]FS_referentiel_produits_std!U73,[1]FS_referentiel_produits_std!V73,[1]FS_referentiel_produits_std!W73,[1]FS_referentiel_produits_std!X73,[1]FS_referentiel_produits_std!Y73,[1]FS_referentiel_produits_std!Z73,[1]FS_referentiel_produits_std!AA73,[1]FS_referentiel_produits_std!AB73,[1]FS_referentiel_produits_std!AC73,[1]FS_referentiel_produits_std!AD73,[1]FS_referentiel_produits_std!AE73,[1]FS_referentiel_produits_std!AF73,[1]FS_referentiel_produits_std!AG73,[1]FS_referentiel_produits_std!AH73,[1]FS_referentiel_produits_std!AI73,[1]FS_referentiel_produits_std!AJ73,[1]FS_referentiel_produits_std!AK73,[1]FS_referentiel_produits_std!AL73,[1]FS_referentiel_produits_std!AM73,[1]FS_referentiel_produits_std!AN73,[1]FS_referentiel_produits_std!AO73,[1]FS_referentiel_produits_std!AP73,[1]FS_referentiel_produits_std!AQ73,[1]FS_referentiel_produits_std!AR73,[1]FS_referentiel_produits_std!AS73,[1]FS_referentiel_produits_std!AT73,[1]FS_referentiel_produits_std!AU73,[1]FS_referentiel_produits_std!AV73,[1]FS_referentiel_produits_std!AW73,[1]FS_referentiel_produits_std!AX73,[1]FS_referentiel_produits_std!AY73,[1]FS_referentiel_produits_std!AZ73,[1]FS_referentiel_produits_std!BA73,[1]FS_referentiel_produits_std!BB73,[1]FS_referentiel_produits_std!BC73,[1]FS_referentiel_produits_std!BD73,[1]FS_referentiel_produits_std!BE73,[1]FS_referentiel_produits_std!BF73,[1]FS_referentiel_produits_std!BG73,[1]FS_referentiel_produits_std!BH73,[1]FS_referentiel_produits_std!BI73,[1]FS_referentiel_produits_std!BJ73,[1]FS_referentiel_produits_std!BK73)),0,1)</f>
        <v>1</v>
      </c>
    </row>
    <row r="52" spans="1:70" s="87" customFormat="1" ht="24.95" customHeight="1" x14ac:dyDescent="0.25">
      <c r="A52" s="9" t="s">
        <v>204</v>
      </c>
      <c r="B52" s="95" t="s">
        <v>729</v>
      </c>
      <c r="C52" s="36"/>
      <c r="D52" s="84"/>
      <c r="E52" s="83" t="s">
        <v>606</v>
      </c>
      <c r="F52" s="83" t="s">
        <v>607</v>
      </c>
      <c r="G52" s="83" t="s">
        <v>608</v>
      </c>
      <c r="H52" s="83" t="s">
        <v>29</v>
      </c>
      <c r="I52" s="83"/>
      <c r="J52" s="97"/>
      <c r="K52" s="83" t="s">
        <v>30</v>
      </c>
      <c r="L52" s="97"/>
      <c r="M52" s="83" t="s">
        <v>765</v>
      </c>
      <c r="N52" s="83" t="s">
        <v>31</v>
      </c>
      <c r="O52" s="108">
        <v>2922</v>
      </c>
      <c r="P52" s="108">
        <v>1904</v>
      </c>
      <c r="Q52" s="108">
        <v>1950</v>
      </c>
      <c r="R52" s="108"/>
      <c r="S52" s="108">
        <v>2782</v>
      </c>
      <c r="T52" s="108">
        <v>2050</v>
      </c>
      <c r="U52" s="108">
        <v>5743</v>
      </c>
      <c r="V52" s="108">
        <v>740</v>
      </c>
      <c r="W52" s="108">
        <v>3450</v>
      </c>
      <c r="X52" s="108">
        <v>1345</v>
      </c>
      <c r="Y52" s="108"/>
      <c r="Z52" s="108"/>
      <c r="AA52" s="83" t="s">
        <v>720</v>
      </c>
      <c r="AB52" s="85">
        <v>3500</v>
      </c>
      <c r="AC52" s="108">
        <v>1125</v>
      </c>
      <c r="AD52" s="37"/>
      <c r="AE52" s="37"/>
      <c r="AF52" s="37"/>
      <c r="AG52" s="37"/>
      <c r="AH52" s="108" t="s">
        <v>721</v>
      </c>
      <c r="AI52" s="108" t="s">
        <v>722</v>
      </c>
      <c r="AJ52" s="108"/>
      <c r="AK52" s="108" t="s">
        <v>723</v>
      </c>
      <c r="AL52" s="108"/>
      <c r="AM52" s="108" t="s">
        <v>612</v>
      </c>
      <c r="AN52" s="108"/>
      <c r="AO52" s="108" t="s">
        <v>724</v>
      </c>
      <c r="AP52" s="108"/>
      <c r="AQ52" s="108" t="s">
        <v>167</v>
      </c>
      <c r="AR52" s="108"/>
      <c r="AS52" s="108"/>
      <c r="AT52" s="108"/>
      <c r="AU52" s="83" t="s">
        <v>725</v>
      </c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6">
        <v>0</v>
      </c>
    </row>
    <row r="53" spans="1:70" s="87" customFormat="1" ht="24.95" customHeight="1" x14ac:dyDescent="0.25">
      <c r="A53" s="9" t="s">
        <v>204</v>
      </c>
      <c r="B53" s="95" t="s">
        <v>729</v>
      </c>
      <c r="C53" s="36"/>
      <c r="D53" s="84"/>
      <c r="E53" s="83" t="s">
        <v>33</v>
      </c>
      <c r="F53" s="83" t="s">
        <v>34</v>
      </c>
      <c r="G53" s="83" t="s">
        <v>85</v>
      </c>
      <c r="H53" s="83" t="s">
        <v>29</v>
      </c>
      <c r="I53" s="83"/>
      <c r="J53" s="97"/>
      <c r="K53" s="83" t="s">
        <v>30</v>
      </c>
      <c r="L53" s="97"/>
      <c r="M53" s="83" t="s">
        <v>2759</v>
      </c>
      <c r="N53" s="83" t="s">
        <v>31</v>
      </c>
      <c r="O53" s="108">
        <v>3224</v>
      </c>
      <c r="P53" s="108">
        <v>1904</v>
      </c>
      <c r="Q53" s="108">
        <v>1950</v>
      </c>
      <c r="R53" s="108"/>
      <c r="S53" s="108">
        <v>2912</v>
      </c>
      <c r="T53" s="108">
        <v>2050</v>
      </c>
      <c r="U53" s="108">
        <v>5932</v>
      </c>
      <c r="V53" s="108">
        <v>870</v>
      </c>
      <c r="W53" s="108">
        <v>3450</v>
      </c>
      <c r="X53" s="108">
        <v>1425</v>
      </c>
      <c r="Y53" s="108"/>
      <c r="Z53" s="108">
        <v>5</v>
      </c>
      <c r="AA53" s="83" t="s">
        <v>726</v>
      </c>
      <c r="AB53" s="5">
        <v>3500</v>
      </c>
      <c r="AC53" s="108">
        <v>875</v>
      </c>
      <c r="AD53" s="37"/>
      <c r="AE53" s="37"/>
      <c r="AF53" s="37"/>
      <c r="AG53" s="37"/>
      <c r="AH53" s="108">
        <v>12</v>
      </c>
      <c r="AI53" s="108" t="s">
        <v>617</v>
      </c>
      <c r="AJ53" s="108"/>
      <c r="AK53" s="108" t="s">
        <v>618</v>
      </c>
      <c r="AL53" s="108"/>
      <c r="AM53" s="108" t="s">
        <v>619</v>
      </c>
      <c r="AN53" s="108"/>
      <c r="AO53" s="108" t="s">
        <v>727</v>
      </c>
      <c r="AP53" s="108"/>
      <c r="AQ53" s="108" t="s">
        <v>167</v>
      </c>
      <c r="AR53" s="108"/>
      <c r="AS53" s="108"/>
      <c r="AT53" s="108"/>
      <c r="AU53" s="94" t="s">
        <v>728</v>
      </c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6">
        <f>IF(CONCATENATE(A53,B53,C53,D53,E53,F53,G53,H53,I53,J53,K53,L53,M53,N53,O53,P53,Q53,R53,S53,T53,U53,V53,W53,X53,Y53,Z53,AA53,AB53,AC53,AD53,AE53,AF53,AG53,AH53,AI53,AK53,AM53,AO53,AQ53,AS53,AU53,AV53,AW53,AX53,AY53,AZ53,BA53,BB53,BC53,BD53,BE53,BF53,BG53,BH53,BI53,BJ53,BK53,BL53,BM53,BN53,BO53,BP53,BQ53)=(CONCATENATE([2]FS_referentiel_produits_std!A79,[2]FS_referentiel_produits_std!B79,[2]FS_referentiel_produits_std!C79,[2]FS_referentiel_produits_std!D79,[2]FS_referentiel_produits_std!E79,[2]FS_referentiel_produits_std!F79,[2]FS_referentiel_produits_std!G79,[2]FS_referentiel_produits_std!H79,[2]FS_referentiel_produits_std!I79,[2]FS_referentiel_produits_std!J79,[2]FS_referentiel_produits_std!K79,[2]FS_referentiel_produits_std!L79,[2]FS_referentiel_produits_std!M79,[2]FS_referentiel_produits_std!N79,[2]FS_referentiel_produits_std!O79,[2]FS_referentiel_produits_std!P79,[2]FS_referentiel_produits_std!Q79,[2]FS_referentiel_produits_std!R79,[2]FS_referentiel_produits_std!S79,[2]FS_referentiel_produits_std!T79,[2]FS_referentiel_produits_std!U79,[2]FS_referentiel_produits_std!V79,[2]FS_referentiel_produits_std!W79,[2]FS_referentiel_produits_std!X79,[2]FS_referentiel_produits_std!Y79,[2]FS_referentiel_produits_std!Z79,[2]FS_referentiel_produits_std!AA79,[2]FS_referentiel_produits_std!AB79,[2]FS_referentiel_produits_std!AC79,[2]FS_referentiel_produits_std!AD79,[2]FS_referentiel_produits_std!AE79,[2]FS_referentiel_produits_std!AF79,[2]FS_referentiel_produits_std!AG79,[2]FS_referentiel_produits_std!AH79,[2]FS_referentiel_produits_std!AI79,[2]FS_referentiel_produits_std!AJ79,[2]FS_referentiel_produits_std!AK79,[2]FS_referentiel_produits_std!AL79,[2]FS_referentiel_produits_std!AM79,[2]FS_referentiel_produits_std!AN79,[2]FS_referentiel_produits_std!AO79,[2]FS_referentiel_produits_std!AP79,[2]FS_referentiel_produits_std!AQ79,[2]FS_referentiel_produits_std!AR79,[2]FS_referentiel_produits_std!AS79,[2]FS_referentiel_produits_std!AT79,[2]FS_referentiel_produits_std!AU79,[2]FS_referentiel_produits_std!AV79,[2]FS_referentiel_produits_std!AW79,[2]FS_referentiel_produits_std!AX79,[2]FS_referentiel_produits_std!AY79,[2]FS_referentiel_produits_std!AZ79,[2]FS_referentiel_produits_std!BA79,[2]FS_referentiel_produits_std!BB79,[2]FS_referentiel_produits_std!BC79,[2]FS_referentiel_produits_std!BD79,[2]FS_referentiel_produits_std!BE79,[2]FS_referentiel_produits_std!BF79,[2]FS_referentiel_produits_std!BG79,[2]FS_referentiel_produits_std!BH79,[2]FS_referentiel_produits_std!BI79,[2]FS_referentiel_produits_std!BJ79,[2]FS_referentiel_produits_std!BK79)),0,1)</f>
        <v>1</v>
      </c>
    </row>
    <row r="54" spans="1:70" s="87" customFormat="1" ht="24.95" customHeight="1" x14ac:dyDescent="0.25">
      <c r="A54" s="9" t="s">
        <v>204</v>
      </c>
      <c r="B54" s="95" t="s">
        <v>729</v>
      </c>
      <c r="C54" s="36"/>
      <c r="D54" s="84"/>
      <c r="E54" s="83" t="s">
        <v>33</v>
      </c>
      <c r="F54" s="83" t="s">
        <v>34</v>
      </c>
      <c r="G54" s="83" t="s">
        <v>85</v>
      </c>
      <c r="H54" s="83" t="s">
        <v>29</v>
      </c>
      <c r="I54" s="83"/>
      <c r="J54" s="97"/>
      <c r="K54" s="83" t="s">
        <v>30</v>
      </c>
      <c r="L54" s="97"/>
      <c r="M54" s="83" t="s">
        <v>2780</v>
      </c>
      <c r="N54" s="83" t="s">
        <v>31</v>
      </c>
      <c r="O54" s="108">
        <v>3224</v>
      </c>
      <c r="P54" s="108">
        <v>1904</v>
      </c>
      <c r="Q54" s="108">
        <v>1950</v>
      </c>
      <c r="R54" s="108"/>
      <c r="S54" s="108">
        <v>2912</v>
      </c>
      <c r="T54" s="108">
        <v>2050</v>
      </c>
      <c r="U54" s="108">
        <v>5932</v>
      </c>
      <c r="V54" s="108">
        <v>870</v>
      </c>
      <c r="W54" s="108">
        <v>3450</v>
      </c>
      <c r="X54" s="108">
        <v>1425</v>
      </c>
      <c r="Y54" s="108"/>
      <c r="Z54" s="108">
        <v>5</v>
      </c>
      <c r="AA54" s="83" t="s">
        <v>726</v>
      </c>
      <c r="AB54" s="5">
        <v>3500</v>
      </c>
      <c r="AC54" s="108">
        <v>875</v>
      </c>
      <c r="AD54" s="37"/>
      <c r="AE54" s="37"/>
      <c r="AF54" s="37"/>
      <c r="AG54" s="37"/>
      <c r="AH54" s="108">
        <v>12</v>
      </c>
      <c r="AI54" s="108" t="s">
        <v>617</v>
      </c>
      <c r="AJ54" s="108"/>
      <c r="AK54" s="108" t="s">
        <v>618</v>
      </c>
      <c r="AL54" s="108"/>
      <c r="AM54" s="108" t="s">
        <v>619</v>
      </c>
      <c r="AN54" s="108"/>
      <c r="AO54" s="108" t="s">
        <v>727</v>
      </c>
      <c r="AP54" s="108"/>
      <c r="AQ54" s="108" t="s">
        <v>167</v>
      </c>
      <c r="AR54" s="108"/>
      <c r="AS54" s="108"/>
      <c r="AT54" s="108"/>
      <c r="AU54" s="94" t="s">
        <v>728</v>
      </c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6">
        <f>IF(CONCATENATE(A54,B54,C54,D54,E54,F54,G54,H54,I54,J54,K54,L54,M54,N54,O54,P54,Q54,R54,S54,T54,U54,V54,W54,X54,Y54,Z54,AA54,AB54,AC54,AD54,AE54,AF54,AG54,AH54,AI54,AK54,AM54,AO54,AQ54,AS54,AU54,AV54,AW54,AX54,AY54,AZ54,BA54,BB54,BC54,BD54,BE54,BF54,BG54,BH54,BI54,BJ54,BK54,BL54,BM54,BN54,BO54,BP54,BQ54)=(CONCATENATE([2]FS_referentiel_produits_std!A80,[2]FS_referentiel_produits_std!B80,[2]FS_referentiel_produits_std!C80,[2]FS_referentiel_produits_std!D80,[2]FS_referentiel_produits_std!E80,[2]FS_referentiel_produits_std!F80,[2]FS_referentiel_produits_std!G80,[2]FS_referentiel_produits_std!H80,[2]FS_referentiel_produits_std!I80,[2]FS_referentiel_produits_std!J80,[2]FS_referentiel_produits_std!K80,[2]FS_referentiel_produits_std!L80,[2]FS_referentiel_produits_std!M80,[2]FS_referentiel_produits_std!N80,[2]FS_referentiel_produits_std!O80,[2]FS_referentiel_produits_std!P80,[2]FS_referentiel_produits_std!Q80,[2]FS_referentiel_produits_std!R80,[2]FS_referentiel_produits_std!S80,[2]FS_referentiel_produits_std!T80,[2]FS_referentiel_produits_std!U80,[2]FS_referentiel_produits_std!V80,[2]FS_referentiel_produits_std!W80,[2]FS_referentiel_produits_std!X80,[2]FS_referentiel_produits_std!Y80,[2]FS_referentiel_produits_std!Z80,[2]FS_referentiel_produits_std!AA80,[2]FS_referentiel_produits_std!AB80,[2]FS_referentiel_produits_std!AC80,[2]FS_referentiel_produits_std!AD80,[2]FS_referentiel_produits_std!AE80,[2]FS_referentiel_produits_std!AF80,[2]FS_referentiel_produits_std!AG80,[2]FS_referentiel_produits_std!AH80,[2]FS_referentiel_produits_std!AI80,[2]FS_referentiel_produits_std!AJ80,[2]FS_referentiel_produits_std!AK80,[2]FS_referentiel_produits_std!AL80,[2]FS_referentiel_produits_std!AM80,[2]FS_referentiel_produits_std!AN80,[2]FS_referentiel_produits_std!AO80,[2]FS_referentiel_produits_std!AP80,[2]FS_referentiel_produits_std!AQ80,[2]FS_referentiel_produits_std!AR80,[2]FS_referentiel_produits_std!AS80,[2]FS_referentiel_produits_std!AT80,[2]FS_referentiel_produits_std!AU80,[2]FS_referentiel_produits_std!AV80,[2]FS_referentiel_produits_std!AW80,[2]FS_referentiel_produits_std!AX80,[2]FS_referentiel_produits_std!AY80,[2]FS_referentiel_produits_std!AZ80,[2]FS_referentiel_produits_std!BA80,[2]FS_referentiel_produits_std!BB80,[2]FS_referentiel_produits_std!BC80,[2]FS_referentiel_produits_std!BD80,[2]FS_referentiel_produits_std!BE80,[2]FS_referentiel_produits_std!BF80,[2]FS_referentiel_produits_std!BG80,[2]FS_referentiel_produits_std!BH80,[2]FS_referentiel_produits_std!BI80,[2]FS_referentiel_produits_std!BJ80,[2]FS_referentiel_produits_std!BK80)),0,1)</f>
        <v>1</v>
      </c>
    </row>
    <row r="55" spans="1:70" s="87" customFormat="1" ht="24.95" customHeight="1" x14ac:dyDescent="0.25">
      <c r="A55" s="9" t="s">
        <v>204</v>
      </c>
      <c r="B55" s="95" t="s">
        <v>729</v>
      </c>
      <c r="C55" s="36"/>
      <c r="D55" s="84"/>
      <c r="E55" s="83" t="s">
        <v>33</v>
      </c>
      <c r="F55" s="83" t="s">
        <v>34</v>
      </c>
      <c r="G55" s="83" t="s">
        <v>85</v>
      </c>
      <c r="H55" s="83" t="s">
        <v>29</v>
      </c>
      <c r="I55" s="83"/>
      <c r="J55" s="97"/>
      <c r="K55" s="83" t="s">
        <v>30</v>
      </c>
      <c r="L55" s="97"/>
      <c r="M55" s="83" t="s">
        <v>2782</v>
      </c>
      <c r="N55" s="83" t="s">
        <v>31</v>
      </c>
      <c r="O55" s="108">
        <v>3224</v>
      </c>
      <c r="P55" s="108">
        <v>1904</v>
      </c>
      <c r="Q55" s="108">
        <v>1950</v>
      </c>
      <c r="R55" s="108"/>
      <c r="S55" s="108">
        <v>2912</v>
      </c>
      <c r="T55" s="108">
        <v>2050</v>
      </c>
      <c r="U55" s="108">
        <v>5932</v>
      </c>
      <c r="V55" s="108">
        <v>870</v>
      </c>
      <c r="W55" s="108">
        <v>3450</v>
      </c>
      <c r="X55" s="108">
        <v>1425</v>
      </c>
      <c r="Y55" s="108"/>
      <c r="Z55" s="108">
        <v>5</v>
      </c>
      <c r="AA55" s="83" t="s">
        <v>726</v>
      </c>
      <c r="AB55" s="5">
        <v>3500</v>
      </c>
      <c r="AC55" s="108">
        <v>875</v>
      </c>
      <c r="AD55" s="37"/>
      <c r="AE55" s="37"/>
      <c r="AF55" s="37"/>
      <c r="AG55" s="37"/>
      <c r="AH55" s="108">
        <v>12</v>
      </c>
      <c r="AI55" s="108" t="s">
        <v>617</v>
      </c>
      <c r="AJ55" s="108"/>
      <c r="AK55" s="108" t="s">
        <v>618</v>
      </c>
      <c r="AL55" s="108"/>
      <c r="AM55" s="108" t="s">
        <v>619</v>
      </c>
      <c r="AN55" s="108"/>
      <c r="AO55" s="108" t="s">
        <v>727</v>
      </c>
      <c r="AP55" s="108"/>
      <c r="AQ55" s="108" t="s">
        <v>167</v>
      </c>
      <c r="AR55" s="108"/>
      <c r="AS55" s="108"/>
      <c r="AT55" s="108"/>
      <c r="AU55" s="94" t="s">
        <v>728</v>
      </c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6">
        <f>IF(CONCATENATE(A55,B55,C55,D55,E55,F55,G55,H55,I55,J55,K55,L55,M55,N55,O55,P55,Q55,R55,S55,T55,U55,V55,W55,X55,Y55,Z55,AA55,AB55,AC55,AD55,AE55,AF55,AG55,AH55,AI55,AK55,AM55,AO55,AQ55,AS55,AU55,AV55,AW55,AX55,AY55,AZ55,BA55,BB55,BC55,BD55,BE55,BF55,BG55,BH55,BI55,BJ55,BK55,BL55,BM55,BN55,BO55,BP55,BQ55)=(CONCATENATE([2]FS_referentiel_produits_std!A81,[2]FS_referentiel_produits_std!B81,[2]FS_referentiel_produits_std!C81,[2]FS_referentiel_produits_std!D81,[2]FS_referentiel_produits_std!E81,[2]FS_referentiel_produits_std!F81,[2]FS_referentiel_produits_std!G81,[2]FS_referentiel_produits_std!H81,[2]FS_referentiel_produits_std!I81,[2]FS_referentiel_produits_std!J81,[2]FS_referentiel_produits_std!K81,[2]FS_referentiel_produits_std!L81,[2]FS_referentiel_produits_std!M81,[2]FS_referentiel_produits_std!N81,[2]FS_referentiel_produits_std!O81,[2]FS_referentiel_produits_std!P81,[2]FS_referentiel_produits_std!Q81,[2]FS_referentiel_produits_std!R81,[2]FS_referentiel_produits_std!S81,[2]FS_referentiel_produits_std!T81,[2]FS_referentiel_produits_std!U81,[2]FS_referentiel_produits_std!V81,[2]FS_referentiel_produits_std!W81,[2]FS_referentiel_produits_std!X81,[2]FS_referentiel_produits_std!Y81,[2]FS_referentiel_produits_std!Z81,[2]FS_referentiel_produits_std!AA81,[2]FS_referentiel_produits_std!AB81,[2]FS_referentiel_produits_std!AC81,[2]FS_referentiel_produits_std!AD81,[2]FS_referentiel_produits_std!AE81,[2]FS_referentiel_produits_std!AF81,[2]FS_referentiel_produits_std!AG81,[2]FS_referentiel_produits_std!AH81,[2]FS_referentiel_produits_std!AI81,[2]FS_referentiel_produits_std!AJ81,[2]FS_referentiel_produits_std!AK81,[2]FS_referentiel_produits_std!AL81,[2]FS_referentiel_produits_std!AM81,[2]FS_referentiel_produits_std!AN81,[2]FS_referentiel_produits_std!AO81,[2]FS_referentiel_produits_std!AP81,[2]FS_referentiel_produits_std!AQ81,[2]FS_referentiel_produits_std!AR81,[2]FS_referentiel_produits_std!AS81,[2]FS_referentiel_produits_std!AT81,[2]FS_referentiel_produits_std!AU81,[2]FS_referentiel_produits_std!AV81,[2]FS_referentiel_produits_std!AW81,[2]FS_referentiel_produits_std!AX81,[2]FS_referentiel_produits_std!AY81,[2]FS_referentiel_produits_std!AZ81,[2]FS_referentiel_produits_std!BA81,[2]FS_referentiel_produits_std!BB81,[2]FS_referentiel_produits_std!BC81,[2]FS_referentiel_produits_std!BD81,[2]FS_referentiel_produits_std!BE81,[2]FS_referentiel_produits_std!BF81,[2]FS_referentiel_produits_std!BG81,[2]FS_referentiel_produits_std!BH81,[2]FS_referentiel_produits_std!BI81,[2]FS_referentiel_produits_std!BJ81,[2]FS_referentiel_produits_std!BK81)),0,1)</f>
        <v>1</v>
      </c>
    </row>
    <row r="56" spans="1:70" s="87" customFormat="1" ht="24.95" customHeight="1" x14ac:dyDescent="0.25">
      <c r="A56" s="9" t="s">
        <v>204</v>
      </c>
      <c r="B56" s="95" t="s">
        <v>729</v>
      </c>
      <c r="C56" s="36"/>
      <c r="D56" s="84"/>
      <c r="E56" s="83" t="s">
        <v>33</v>
      </c>
      <c r="F56" s="83" t="s">
        <v>34</v>
      </c>
      <c r="G56" s="83" t="s">
        <v>85</v>
      </c>
      <c r="H56" s="83" t="s">
        <v>29</v>
      </c>
      <c r="I56" s="83"/>
      <c r="J56" s="97"/>
      <c r="K56" s="83" t="s">
        <v>30</v>
      </c>
      <c r="L56" s="97"/>
      <c r="M56" s="83" t="s">
        <v>2783</v>
      </c>
      <c r="N56" s="83" t="s">
        <v>31</v>
      </c>
      <c r="O56" s="108">
        <v>3224</v>
      </c>
      <c r="P56" s="108">
        <v>1904</v>
      </c>
      <c r="Q56" s="108">
        <v>1950</v>
      </c>
      <c r="R56" s="108"/>
      <c r="S56" s="108">
        <v>2912</v>
      </c>
      <c r="T56" s="108">
        <v>2050</v>
      </c>
      <c r="U56" s="108">
        <v>5932</v>
      </c>
      <c r="V56" s="108">
        <v>870</v>
      </c>
      <c r="W56" s="108">
        <v>3450</v>
      </c>
      <c r="X56" s="108">
        <v>1425</v>
      </c>
      <c r="Y56" s="108"/>
      <c r="Z56" s="108">
        <v>5</v>
      </c>
      <c r="AA56" s="83" t="s">
        <v>726</v>
      </c>
      <c r="AB56" s="5">
        <v>3500</v>
      </c>
      <c r="AC56" s="108">
        <v>875</v>
      </c>
      <c r="AD56" s="37"/>
      <c r="AE56" s="37"/>
      <c r="AF56" s="37"/>
      <c r="AG56" s="37"/>
      <c r="AH56" s="108">
        <v>12</v>
      </c>
      <c r="AI56" s="108" t="s">
        <v>617</v>
      </c>
      <c r="AJ56" s="108"/>
      <c r="AK56" s="108" t="s">
        <v>618</v>
      </c>
      <c r="AL56" s="108"/>
      <c r="AM56" s="108" t="s">
        <v>619</v>
      </c>
      <c r="AN56" s="108"/>
      <c r="AO56" s="108" t="s">
        <v>727</v>
      </c>
      <c r="AP56" s="108"/>
      <c r="AQ56" s="108" t="s">
        <v>167</v>
      </c>
      <c r="AR56" s="108"/>
      <c r="AS56" s="108"/>
      <c r="AT56" s="108"/>
      <c r="AU56" s="94" t="s">
        <v>728</v>
      </c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6">
        <f>IF(CONCATENATE(A56,B56,C56,D56,E56,F56,G56,H56,I56,J56,K56,L56,M56,N56,O56,P56,Q56,R56,S56,T56,U56,V56,W56,X56,Y56,Z56,AA56,AB56,AC56,AD56,AE56,AF56,AG56,AH56,AI56,AK56,AM56,AO56,AQ56,AS56,AU56,AV56,AW56,AX56,AY56,AZ56,BA56,BB56,BC56,BD56,BE56,BF56,BG56,BH56,BI56,BJ56,BK56,BL56,BM56,BN56,BO56,BP56,BQ56)=(CONCATENATE([2]FS_referentiel_produits_std!A82,[2]FS_referentiel_produits_std!B82,[2]FS_referentiel_produits_std!C82,[2]FS_referentiel_produits_std!D82,[2]FS_referentiel_produits_std!E82,[2]FS_referentiel_produits_std!F82,[2]FS_referentiel_produits_std!G82,[2]FS_referentiel_produits_std!H82,[2]FS_referentiel_produits_std!I82,[2]FS_referentiel_produits_std!J82,[2]FS_referentiel_produits_std!K82,[2]FS_referentiel_produits_std!L82,[2]FS_referentiel_produits_std!M82,[2]FS_referentiel_produits_std!N82,[2]FS_referentiel_produits_std!O82,[2]FS_referentiel_produits_std!P82,[2]FS_referentiel_produits_std!Q82,[2]FS_referentiel_produits_std!R82,[2]FS_referentiel_produits_std!S82,[2]FS_referentiel_produits_std!T82,[2]FS_referentiel_produits_std!U82,[2]FS_referentiel_produits_std!V82,[2]FS_referentiel_produits_std!W82,[2]FS_referentiel_produits_std!X82,[2]FS_referentiel_produits_std!Y82,[2]FS_referentiel_produits_std!Z82,[2]FS_referentiel_produits_std!AA82,[2]FS_referentiel_produits_std!AB82,[2]FS_referentiel_produits_std!AC82,[2]FS_referentiel_produits_std!AD82,[2]FS_referentiel_produits_std!AE82,[2]FS_referentiel_produits_std!AF82,[2]FS_referentiel_produits_std!AG82,[2]FS_referentiel_produits_std!AH82,[2]FS_referentiel_produits_std!AI82,[2]FS_referentiel_produits_std!AJ82,[2]FS_referentiel_produits_std!AK82,[2]FS_referentiel_produits_std!AL82,[2]FS_referentiel_produits_std!AM82,[2]FS_referentiel_produits_std!AN82,[2]FS_referentiel_produits_std!AO82,[2]FS_referentiel_produits_std!AP82,[2]FS_referentiel_produits_std!AQ82,[2]FS_referentiel_produits_std!AR82,[2]FS_referentiel_produits_std!AS82,[2]FS_referentiel_produits_std!AT82,[2]FS_referentiel_produits_std!AU82,[2]FS_referentiel_produits_std!AV82,[2]FS_referentiel_produits_std!AW82,[2]FS_referentiel_produits_std!AX82,[2]FS_referentiel_produits_std!AY82,[2]FS_referentiel_produits_std!AZ82,[2]FS_referentiel_produits_std!BA82,[2]FS_referentiel_produits_std!BB82,[2]FS_referentiel_produits_std!BC82,[2]FS_referentiel_produits_std!BD82,[2]FS_referentiel_produits_std!BE82,[2]FS_referentiel_produits_std!BF82,[2]FS_referentiel_produits_std!BG82,[2]FS_referentiel_produits_std!BH82,[2]FS_referentiel_produits_std!BI82,[2]FS_referentiel_produits_std!BJ82,[2]FS_referentiel_produits_std!BK82)),0,1)</f>
        <v>1</v>
      </c>
    </row>
    <row r="57" spans="1:70" s="87" customFormat="1" ht="24.95" customHeight="1" x14ac:dyDescent="0.25">
      <c r="A57" s="9" t="s">
        <v>204</v>
      </c>
      <c r="B57" s="95" t="s">
        <v>729</v>
      </c>
      <c r="C57" s="36"/>
      <c r="D57" s="84"/>
      <c r="E57" s="83" t="s">
        <v>33</v>
      </c>
      <c r="F57" s="83" t="s">
        <v>34</v>
      </c>
      <c r="G57" s="83" t="s">
        <v>623</v>
      </c>
      <c r="H57" s="83" t="s">
        <v>29</v>
      </c>
      <c r="I57" s="83" t="s">
        <v>7</v>
      </c>
      <c r="J57" s="97"/>
      <c r="K57" s="83" t="s">
        <v>30</v>
      </c>
      <c r="L57" s="97"/>
      <c r="M57" s="83" t="s">
        <v>2753</v>
      </c>
      <c r="N57" s="83" t="s">
        <v>624</v>
      </c>
      <c r="O57" s="108">
        <v>4118</v>
      </c>
      <c r="P57" s="108">
        <v>2054</v>
      </c>
      <c r="Q57" s="108">
        <v>2200</v>
      </c>
      <c r="R57" s="108"/>
      <c r="S57" s="108">
        <v>3352</v>
      </c>
      <c r="T57" s="108">
        <v>2200</v>
      </c>
      <c r="U57" s="108">
        <v>7073</v>
      </c>
      <c r="V57" s="108">
        <v>1060</v>
      </c>
      <c r="W57" s="108">
        <v>4100</v>
      </c>
      <c r="X57" s="108">
        <v>1925</v>
      </c>
      <c r="Y57" s="108"/>
      <c r="Z57" s="108">
        <v>8</v>
      </c>
      <c r="AA57" s="83" t="s">
        <v>36</v>
      </c>
      <c r="AB57" s="37">
        <v>7200</v>
      </c>
      <c r="AC57" s="108">
        <v>3365</v>
      </c>
      <c r="AD57" s="37"/>
      <c r="AE57" s="37"/>
      <c r="AF57" s="37"/>
      <c r="AG57" s="37"/>
      <c r="AH57" s="108" t="s">
        <v>625</v>
      </c>
      <c r="AI57" s="108" t="s">
        <v>626</v>
      </c>
      <c r="AJ57" s="108"/>
      <c r="AK57" s="108" t="s">
        <v>627</v>
      </c>
      <c r="AL57" s="108"/>
      <c r="AM57" s="110" t="s">
        <v>628</v>
      </c>
      <c r="AN57" s="110"/>
      <c r="AO57" s="108" t="s">
        <v>730</v>
      </c>
      <c r="AP57" s="108"/>
      <c r="AQ57" s="108" t="s">
        <v>731</v>
      </c>
      <c r="AR57" s="108"/>
      <c r="AS57" s="108" t="s">
        <v>629</v>
      </c>
      <c r="AT57" s="108"/>
      <c r="AU57" s="83" t="s">
        <v>732</v>
      </c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6">
        <f>IF(CONCATENATE(A57,B57,C57,D57,E57,F57,G57,H57,I57,J57,K57,L57,M57,N57,O57,P57,Q57,R57,S57,T57,U57,V57,W57,X57,Y57,Z57,AA57,AB57,AC57,AD57,AE57,AF57,AG57,AH57,AI57,AK57,AM57,AO57,AQ57,AS57,AU57,AV57,AW57,AX57,AY57,AZ57,BA57,BB57,BC57,BD57,BE57,BF57,BG57,BH57,BI57,BJ57,BK57,BL57,BM57,BN57,BO57,BP57,BQ57)=(CONCATENATE([2]FS_referentiel_produits_std!A83,[2]FS_referentiel_produits_std!B83,[2]FS_referentiel_produits_std!C83,[2]FS_referentiel_produits_std!D83,[2]FS_referentiel_produits_std!E83,[2]FS_referentiel_produits_std!F83,[2]FS_referentiel_produits_std!G83,[2]FS_referentiel_produits_std!H83,[2]FS_referentiel_produits_std!I83,[2]FS_referentiel_produits_std!J83,[2]FS_referentiel_produits_std!K83,[2]FS_referentiel_produits_std!L83,[2]FS_referentiel_produits_std!M83,[2]FS_referentiel_produits_std!N83,[2]FS_referentiel_produits_std!O83,[2]FS_referentiel_produits_std!P83,[2]FS_referentiel_produits_std!Q83,[2]FS_referentiel_produits_std!R83,[2]FS_referentiel_produits_std!S83,[2]FS_referentiel_produits_std!T83,[2]FS_referentiel_produits_std!U83,[2]FS_referentiel_produits_std!V83,[2]FS_referentiel_produits_std!W83,[2]FS_referentiel_produits_std!X83,[2]FS_referentiel_produits_std!Y83,[2]FS_referentiel_produits_std!Z83,[2]FS_referentiel_produits_std!AA83,[2]FS_referentiel_produits_std!AB83,[2]FS_referentiel_produits_std!AC83,[2]FS_referentiel_produits_std!AD83,[2]FS_referentiel_produits_std!AE83,[2]FS_referentiel_produits_std!AF83,[2]FS_referentiel_produits_std!AG83,[2]FS_referentiel_produits_std!AH83,[2]FS_referentiel_produits_std!AI83,[2]FS_referentiel_produits_std!AJ83,[2]FS_referentiel_produits_std!AK83,[2]FS_referentiel_produits_std!AL83,[2]FS_referentiel_produits_std!AM83,[2]FS_referentiel_produits_std!AN83,[2]FS_referentiel_produits_std!AO83,[2]FS_referentiel_produits_std!AP83,[2]FS_referentiel_produits_std!AQ83,[2]FS_referentiel_produits_std!AR83,[2]FS_referentiel_produits_std!AS83,[2]FS_referentiel_produits_std!AT83,[2]FS_referentiel_produits_std!AU83,[2]FS_referentiel_produits_std!AV83,[2]FS_referentiel_produits_std!AW83,[2]FS_referentiel_produits_std!AX83,[2]FS_referentiel_produits_std!AY83,[2]FS_referentiel_produits_std!AZ83,[2]FS_referentiel_produits_std!BA83,[2]FS_referentiel_produits_std!BB83,[2]FS_referentiel_produits_std!BC83,[2]FS_referentiel_produits_std!BD83,[2]FS_referentiel_produits_std!BE83,[2]FS_referentiel_produits_std!BF83,[2]FS_referentiel_produits_std!BG83,[2]FS_referentiel_produits_std!BH83,[2]FS_referentiel_produits_std!BI83,[2]FS_referentiel_produits_std!BJ83,[2]FS_referentiel_produits_std!BK83)),0,1)</f>
        <v>1</v>
      </c>
    </row>
    <row r="58" spans="1:70" s="87" customFormat="1" ht="24.95" customHeight="1" x14ac:dyDescent="0.25">
      <c r="A58" s="9" t="s">
        <v>204</v>
      </c>
      <c r="B58" s="95" t="s">
        <v>729</v>
      </c>
      <c r="C58" s="36"/>
      <c r="D58" s="84"/>
      <c r="E58" s="83" t="s">
        <v>33</v>
      </c>
      <c r="F58" s="83" t="s">
        <v>34</v>
      </c>
      <c r="G58" s="83" t="s">
        <v>623</v>
      </c>
      <c r="H58" s="83" t="s">
        <v>29</v>
      </c>
      <c r="I58" s="83" t="s">
        <v>7</v>
      </c>
      <c r="J58" s="97"/>
      <c r="K58" s="83" t="s">
        <v>30</v>
      </c>
      <c r="L58" s="97"/>
      <c r="M58" s="83" t="s">
        <v>2784</v>
      </c>
      <c r="N58" s="83" t="s">
        <v>624</v>
      </c>
      <c r="O58" s="108">
        <v>4118</v>
      </c>
      <c r="P58" s="108">
        <v>2054</v>
      </c>
      <c r="Q58" s="108">
        <v>2200</v>
      </c>
      <c r="R58" s="108"/>
      <c r="S58" s="108">
        <v>3352</v>
      </c>
      <c r="T58" s="108">
        <v>2200</v>
      </c>
      <c r="U58" s="108">
        <v>7073</v>
      </c>
      <c r="V58" s="108">
        <v>1060</v>
      </c>
      <c r="W58" s="108">
        <v>4100</v>
      </c>
      <c r="X58" s="108">
        <v>1925</v>
      </c>
      <c r="Y58" s="108"/>
      <c r="Z58" s="108">
        <v>8</v>
      </c>
      <c r="AA58" s="83" t="s">
        <v>36</v>
      </c>
      <c r="AB58" s="37">
        <v>7200</v>
      </c>
      <c r="AC58" s="108">
        <v>3365</v>
      </c>
      <c r="AD58" s="37"/>
      <c r="AE58" s="37"/>
      <c r="AF58" s="37"/>
      <c r="AG58" s="37"/>
      <c r="AH58" s="108" t="s">
        <v>625</v>
      </c>
      <c r="AI58" s="108" t="s">
        <v>626</v>
      </c>
      <c r="AJ58" s="108"/>
      <c r="AK58" s="108" t="s">
        <v>627</v>
      </c>
      <c r="AL58" s="108"/>
      <c r="AM58" s="110" t="s">
        <v>628</v>
      </c>
      <c r="AN58" s="110"/>
      <c r="AO58" s="108" t="s">
        <v>730</v>
      </c>
      <c r="AP58" s="108"/>
      <c r="AQ58" s="108" t="s">
        <v>731</v>
      </c>
      <c r="AR58" s="108"/>
      <c r="AS58" s="108" t="s">
        <v>629</v>
      </c>
      <c r="AT58" s="108"/>
      <c r="AU58" s="83" t="s">
        <v>732</v>
      </c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6">
        <f>IF(CONCATENATE(A58,B58,C58,D58,E58,F58,G58,H58,I58,J58,K58,L58,M58,N58,O58,P58,Q58,R58,S58,T58,U58,V58,W58,X58,Y58,Z58,AA58,AB58,AC58,AD58,AE58,AF58,AG58,AH58,AI58,AK58,AM58,AO58,AQ58,AS58,AU58,AV58,AW58,AX58,AY58,AZ58,BA58,BB58,BC58,BD58,BE58,BF58,BG58,BH58,BI58,BJ58,BK58,BL58,BM58,BN58,BO58,BP58,BQ58)=(CONCATENATE([2]FS_referentiel_produits_std!A84,[2]FS_referentiel_produits_std!B84,[2]FS_referentiel_produits_std!C84,[2]FS_referentiel_produits_std!D84,[2]FS_referentiel_produits_std!E84,[2]FS_referentiel_produits_std!F84,[2]FS_referentiel_produits_std!G84,[2]FS_referentiel_produits_std!H84,[2]FS_referentiel_produits_std!I84,[2]FS_referentiel_produits_std!J84,[2]FS_referentiel_produits_std!K84,[2]FS_referentiel_produits_std!L84,[2]FS_referentiel_produits_std!M84,[2]FS_referentiel_produits_std!N84,[2]FS_referentiel_produits_std!O84,[2]FS_referentiel_produits_std!P84,[2]FS_referentiel_produits_std!Q84,[2]FS_referentiel_produits_std!R84,[2]FS_referentiel_produits_std!S84,[2]FS_referentiel_produits_std!T84,[2]FS_referentiel_produits_std!U84,[2]FS_referentiel_produits_std!V84,[2]FS_referentiel_produits_std!W84,[2]FS_referentiel_produits_std!X84,[2]FS_referentiel_produits_std!Y84,[2]FS_referentiel_produits_std!Z84,[2]FS_referentiel_produits_std!AA84,[2]FS_referentiel_produits_std!AB84,[2]FS_referentiel_produits_std!AC84,[2]FS_referentiel_produits_std!AD84,[2]FS_referentiel_produits_std!AE84,[2]FS_referentiel_produits_std!AF84,[2]FS_referentiel_produits_std!AG84,[2]FS_referentiel_produits_std!AH84,[2]FS_referentiel_produits_std!AI84,[2]FS_referentiel_produits_std!AJ84,[2]FS_referentiel_produits_std!AK84,[2]FS_referentiel_produits_std!AL84,[2]FS_referentiel_produits_std!AM84,[2]FS_referentiel_produits_std!AN84,[2]FS_referentiel_produits_std!AO84,[2]FS_referentiel_produits_std!AP84,[2]FS_referentiel_produits_std!AQ84,[2]FS_referentiel_produits_std!AR84,[2]FS_referentiel_produits_std!AS84,[2]FS_referentiel_produits_std!AT84,[2]FS_referentiel_produits_std!AU84,[2]FS_referentiel_produits_std!AV84,[2]FS_referentiel_produits_std!AW84,[2]FS_referentiel_produits_std!AX84,[2]FS_referentiel_produits_std!AY84,[2]FS_referentiel_produits_std!AZ84,[2]FS_referentiel_produits_std!BA84,[2]FS_referentiel_produits_std!BB84,[2]FS_referentiel_produits_std!BC84,[2]FS_referentiel_produits_std!BD84,[2]FS_referentiel_produits_std!BE84,[2]FS_referentiel_produits_std!BF84,[2]FS_referentiel_produits_std!BG84,[2]FS_referentiel_produits_std!BH84,[2]FS_referentiel_produits_std!BI84,[2]FS_referentiel_produits_std!BJ84,[2]FS_referentiel_produits_std!BK84)),0,1)</f>
        <v>1</v>
      </c>
    </row>
    <row r="59" spans="1:70" s="87" customFormat="1" ht="24.95" customHeight="1" x14ac:dyDescent="0.25">
      <c r="A59" s="9" t="s">
        <v>204</v>
      </c>
      <c r="B59" s="95" t="s">
        <v>729</v>
      </c>
      <c r="C59" s="36"/>
      <c r="D59" s="84"/>
      <c r="E59" s="83" t="s">
        <v>659</v>
      </c>
      <c r="F59" s="83" t="s">
        <v>50</v>
      </c>
      <c r="G59" s="83" t="s">
        <v>38</v>
      </c>
      <c r="H59" s="83" t="s">
        <v>29</v>
      </c>
      <c r="I59" s="83" t="s">
        <v>7</v>
      </c>
      <c r="J59" s="97"/>
      <c r="K59" s="83" t="s">
        <v>30</v>
      </c>
      <c r="L59" s="97"/>
      <c r="M59" s="83" t="s">
        <v>2762</v>
      </c>
      <c r="N59" s="83" t="s">
        <v>31</v>
      </c>
      <c r="O59" s="108">
        <v>5990</v>
      </c>
      <c r="P59" s="108">
        <v>2254</v>
      </c>
      <c r="Q59" s="108">
        <v>2300</v>
      </c>
      <c r="R59" s="108"/>
      <c r="S59" s="108">
        <v>3525</v>
      </c>
      <c r="T59" s="108">
        <v>2400</v>
      </c>
      <c r="U59" s="108">
        <v>8125</v>
      </c>
      <c r="V59" s="108">
        <v>1110</v>
      </c>
      <c r="W59" s="108">
        <v>4100</v>
      </c>
      <c r="X59" s="108">
        <v>2700</v>
      </c>
      <c r="Y59" s="108"/>
      <c r="Z59" s="108">
        <v>11</v>
      </c>
      <c r="AA59" s="83" t="s">
        <v>735</v>
      </c>
      <c r="AB59" s="37">
        <v>10000</v>
      </c>
      <c r="AC59" s="108">
        <v>2925</v>
      </c>
      <c r="AD59" s="37"/>
      <c r="AE59" s="37"/>
      <c r="AF59" s="37"/>
      <c r="AG59" s="37"/>
      <c r="AH59" s="108" t="s">
        <v>161</v>
      </c>
      <c r="AI59" s="108" t="s">
        <v>661</v>
      </c>
      <c r="AJ59" s="108"/>
      <c r="AK59" s="108" t="s">
        <v>662</v>
      </c>
      <c r="AL59" s="108"/>
      <c r="AM59" s="108" t="s">
        <v>718</v>
      </c>
      <c r="AN59" s="108"/>
      <c r="AO59" s="108" t="s">
        <v>733</v>
      </c>
      <c r="AP59" s="108"/>
      <c r="AQ59" s="108" t="s">
        <v>734</v>
      </c>
      <c r="AR59" s="108"/>
      <c r="AS59" s="108" t="s">
        <v>642</v>
      </c>
      <c r="AT59" s="108"/>
      <c r="AU59" s="83" t="s">
        <v>736</v>
      </c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6">
        <f>IF(CONCATENATE(A59,B59,C59,D59,E59,F59,G59,H59,I59,J59,K59,L59,M59,N59,O59,P59,Q59,R59,S59,T59,U59,V59,W59,X59,Y59,Z59,AA59,AB59,AC59,AD59,AE59,AF59,AG59,AH59,AI59,AK59,AM59,AO59,AQ59,AS59,AU59,AV59,AW59,AX59,AY59,AZ59,BA59,BB59,BC59,BD59,BE59,BF59,BG59,BH59,BI59,BJ59,BK59,BL59,BM59,BN59,BO59,BP59,BQ59)=(CONCATENATE([2]FS_referentiel_produits_std!A84,[2]FS_referentiel_produits_std!B84,[2]FS_referentiel_produits_std!C84,[2]FS_referentiel_produits_std!D84,[2]FS_referentiel_produits_std!E84,[2]FS_referentiel_produits_std!F84,[2]FS_referentiel_produits_std!G84,[2]FS_referentiel_produits_std!H84,[2]FS_referentiel_produits_std!I84,[2]FS_referentiel_produits_std!J84,[2]FS_referentiel_produits_std!K84,[2]FS_referentiel_produits_std!L84,[2]FS_referentiel_produits_std!M84,[2]FS_referentiel_produits_std!N84,[2]FS_referentiel_produits_std!O84,[2]FS_referentiel_produits_std!P84,[2]FS_referentiel_produits_std!Q84,[2]FS_referentiel_produits_std!R84,[2]FS_referentiel_produits_std!S84,[2]FS_referentiel_produits_std!T84,[2]FS_referentiel_produits_std!U84,[2]FS_referentiel_produits_std!V84,[2]FS_referentiel_produits_std!W84,[2]FS_referentiel_produits_std!X84,[2]FS_referentiel_produits_std!Y84,[2]FS_referentiel_produits_std!Z84,[2]FS_referentiel_produits_std!AA84,[2]FS_referentiel_produits_std!AB84,[2]FS_referentiel_produits_std!AC84,[2]FS_referentiel_produits_std!AD84,[2]FS_referentiel_produits_std!AE84,[2]FS_referentiel_produits_std!AF84,[2]FS_referentiel_produits_std!AG84,[2]FS_referentiel_produits_std!AH84,[2]FS_referentiel_produits_std!AI84,[2]FS_referentiel_produits_std!AJ84,[2]FS_referentiel_produits_std!AK84,[2]FS_referentiel_produits_std!AL84,[2]FS_referentiel_produits_std!AM84,[2]FS_referentiel_produits_std!AN84,[2]FS_referentiel_produits_std!AO84,[2]FS_referentiel_produits_std!AP84,[2]FS_referentiel_produits_std!AQ84,[2]FS_referentiel_produits_std!AR84,[2]FS_referentiel_produits_std!AS84,[2]FS_referentiel_produits_std!AT84,[2]FS_referentiel_produits_std!AU84,[2]FS_referentiel_produits_std!AV84,[2]FS_referentiel_produits_std!AW84,[2]FS_referentiel_produits_std!AX84,[2]FS_referentiel_produits_std!AY84,[2]FS_referentiel_produits_std!AZ84,[2]FS_referentiel_produits_std!BA84,[2]FS_referentiel_produits_std!BB84,[2]FS_referentiel_produits_std!BC84,[2]FS_referentiel_produits_std!BD84,[2]FS_referentiel_produits_std!BE84,[2]FS_referentiel_produits_std!BF84,[2]FS_referentiel_produits_std!BG84,[2]FS_referentiel_produits_std!BH84,[2]FS_referentiel_produits_std!BI84,[2]FS_referentiel_produits_std!BJ84,[2]FS_referentiel_produits_std!BK84)),0,1)</f>
        <v>1</v>
      </c>
    </row>
    <row r="60" spans="1:70" s="87" customFormat="1" ht="24.95" customHeight="1" x14ac:dyDescent="0.25">
      <c r="A60" s="9" t="s">
        <v>204</v>
      </c>
      <c r="B60" s="95" t="s">
        <v>729</v>
      </c>
      <c r="C60" s="36"/>
      <c r="D60" s="84"/>
      <c r="E60" s="83" t="s">
        <v>33</v>
      </c>
      <c r="F60" s="83" t="s">
        <v>37</v>
      </c>
      <c r="G60" s="83" t="s">
        <v>38</v>
      </c>
      <c r="H60" s="83" t="s">
        <v>29</v>
      </c>
      <c r="I60" s="83" t="s">
        <v>7</v>
      </c>
      <c r="J60" s="97"/>
      <c r="K60" s="83" t="s">
        <v>30</v>
      </c>
      <c r="L60" s="97"/>
      <c r="M60" s="83" t="s">
        <v>2763</v>
      </c>
      <c r="N60" s="83" t="s">
        <v>31</v>
      </c>
      <c r="O60" s="108">
        <v>5990</v>
      </c>
      <c r="P60" s="108">
        <v>2254</v>
      </c>
      <c r="Q60" s="108">
        <v>2300</v>
      </c>
      <c r="R60" s="108"/>
      <c r="S60" s="108">
        <v>3500</v>
      </c>
      <c r="T60" s="108">
        <v>2400</v>
      </c>
      <c r="U60" s="108">
        <v>8062</v>
      </c>
      <c r="V60" s="108">
        <v>1085</v>
      </c>
      <c r="W60" s="108">
        <v>4185</v>
      </c>
      <c r="X60" s="108">
        <v>2615</v>
      </c>
      <c r="Y60" s="108"/>
      <c r="Z60" s="108">
        <v>11</v>
      </c>
      <c r="AA60" s="83" t="s">
        <v>319</v>
      </c>
      <c r="AB60" s="37">
        <v>10000</v>
      </c>
      <c r="AC60" s="108">
        <v>3295</v>
      </c>
      <c r="AD60" s="37"/>
      <c r="AE60" s="37"/>
      <c r="AF60" s="37"/>
      <c r="AG60" s="37"/>
      <c r="AH60" s="108" t="s">
        <v>161</v>
      </c>
      <c r="AI60" s="108" t="s">
        <v>637</v>
      </c>
      <c r="AJ60" s="108"/>
      <c r="AK60" s="108" t="s">
        <v>713</v>
      </c>
      <c r="AL60" s="108"/>
      <c r="AM60" s="108" t="s">
        <v>714</v>
      </c>
      <c r="AN60" s="108"/>
      <c r="AO60" s="108" t="s">
        <v>733</v>
      </c>
      <c r="AP60" s="108"/>
      <c r="AQ60" s="108" t="s">
        <v>734</v>
      </c>
      <c r="AR60" s="108"/>
      <c r="AS60" s="108" t="s">
        <v>717</v>
      </c>
      <c r="AT60" s="108"/>
      <c r="AU60" s="83" t="s">
        <v>65</v>
      </c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6">
        <f>IF(CONCATENATE(A60,B60,C60,D60,E60,F60,G60,H60,I60,J60,K60,L60,M60,N60,O60,P60,Q60,R60,S60,T60,U60,V60,W60,X60,Y60,Z60,AA60,AB60,AC60,AD60,AE60,AF60,AG60,AH60,AI60,AK60,AM60,AO60,AQ60,AS60,AU60,AV60,AW60,AX60,AY60,AZ60,BA60,BB60,BC60,BD60,BE60,BF60,BG60,BH60,BI60,BJ60,BK60,BL60,BM60,BN60,BO60,BP60,BQ60)=(CONCATENATE([2]FS_referentiel_produits_std!A85,[2]FS_referentiel_produits_std!B85,[2]FS_referentiel_produits_std!C85,[2]FS_referentiel_produits_std!D85,[2]FS_referentiel_produits_std!E85,[2]FS_referentiel_produits_std!F85,[2]FS_referentiel_produits_std!G85,[2]FS_referentiel_produits_std!H85,[2]FS_referentiel_produits_std!I85,[2]FS_referentiel_produits_std!J85,[2]FS_referentiel_produits_std!K85,[2]FS_referentiel_produits_std!L85,[2]FS_referentiel_produits_std!M85,[2]FS_referentiel_produits_std!N85,[2]FS_referentiel_produits_std!O85,[2]FS_referentiel_produits_std!P85,[2]FS_referentiel_produits_std!Q85,[2]FS_referentiel_produits_std!R85,[2]FS_referentiel_produits_std!S85,[2]FS_referentiel_produits_std!T85,[2]FS_referentiel_produits_std!U85,[2]FS_referentiel_produits_std!V85,[2]FS_referentiel_produits_std!W85,[2]FS_referentiel_produits_std!X85,[2]FS_referentiel_produits_std!Y85,[2]FS_referentiel_produits_std!Z85,[2]FS_referentiel_produits_std!AA85,[2]FS_referentiel_produits_std!AB85,[2]FS_referentiel_produits_std!AC85,[2]FS_referentiel_produits_std!AD85,[2]FS_referentiel_produits_std!AE85,[2]FS_referentiel_produits_std!AF85,[2]FS_referentiel_produits_std!AG85,[2]FS_referentiel_produits_std!AH85,[2]FS_referentiel_produits_std!AI85,[2]FS_referentiel_produits_std!AJ85,[2]FS_referentiel_produits_std!AK85,[2]FS_referentiel_produits_std!AL85,[2]FS_referentiel_produits_std!AM85,[2]FS_referentiel_produits_std!AN85,[2]FS_referentiel_produits_std!AO85,[2]FS_referentiel_produits_std!AP85,[2]FS_referentiel_produits_std!AQ85,[2]FS_referentiel_produits_std!AR85,[2]FS_referentiel_produits_std!AS85,[2]FS_referentiel_produits_std!AT85,[2]FS_referentiel_produits_std!AU85,[2]FS_referentiel_produits_std!AV85,[2]FS_referentiel_produits_std!AW85,[2]FS_referentiel_produits_std!AX85,[2]FS_referentiel_produits_std!AY85,[2]FS_referentiel_produits_std!AZ85,[2]FS_referentiel_produits_std!BA85,[2]FS_referentiel_produits_std!BB85,[2]FS_referentiel_produits_std!BC85,[2]FS_referentiel_produits_std!BD85,[2]FS_referentiel_produits_std!BE85,[2]FS_referentiel_produits_std!BF85,[2]FS_referentiel_produits_std!BG85,[2]FS_referentiel_produits_std!BH85,[2]FS_referentiel_produits_std!BI85,[2]FS_referentiel_produits_std!BJ85,[2]FS_referentiel_produits_std!BK85)),0,1)</f>
        <v>1</v>
      </c>
    </row>
    <row r="61" spans="1:70" s="87" customFormat="1" ht="24.95" customHeight="1" x14ac:dyDescent="0.25">
      <c r="A61" s="9" t="s">
        <v>204</v>
      </c>
      <c r="B61" s="92" t="s">
        <v>703</v>
      </c>
      <c r="C61" s="36"/>
      <c r="D61" s="84"/>
      <c r="E61" s="83" t="s">
        <v>33</v>
      </c>
      <c r="F61" s="83" t="s">
        <v>34</v>
      </c>
      <c r="G61" s="83" t="s">
        <v>85</v>
      </c>
      <c r="H61" s="83" t="s">
        <v>29</v>
      </c>
      <c r="I61" s="83" t="s">
        <v>7</v>
      </c>
      <c r="J61" s="97"/>
      <c r="K61" s="83" t="s">
        <v>30</v>
      </c>
      <c r="L61" s="97"/>
      <c r="M61" s="83" t="s">
        <v>2761</v>
      </c>
      <c r="N61" s="83" t="s">
        <v>35</v>
      </c>
      <c r="O61" s="108">
        <v>3228</v>
      </c>
      <c r="P61" s="108">
        <v>1908</v>
      </c>
      <c r="Q61" s="108">
        <v>1950</v>
      </c>
      <c r="R61" s="108"/>
      <c r="S61" s="108">
        <v>2926</v>
      </c>
      <c r="T61" s="108">
        <v>2050</v>
      </c>
      <c r="U61" s="108">
        <v>6124</v>
      </c>
      <c r="V61" s="108">
        <v>865</v>
      </c>
      <c r="W61" s="108">
        <v>3450</v>
      </c>
      <c r="X61" s="108">
        <v>1617</v>
      </c>
      <c r="Y61" s="108"/>
      <c r="Z61" s="108">
        <v>5</v>
      </c>
      <c r="AA61" s="83" t="s">
        <v>696</v>
      </c>
      <c r="AB61" s="37">
        <v>3500</v>
      </c>
      <c r="AC61" s="108">
        <v>805</v>
      </c>
      <c r="AD61" s="37"/>
      <c r="AE61" s="37"/>
      <c r="AF61" s="37"/>
      <c r="AG61" s="37"/>
      <c r="AH61" s="108">
        <v>12</v>
      </c>
      <c r="AI61" s="108" t="s">
        <v>697</v>
      </c>
      <c r="AJ61" s="108"/>
      <c r="AK61" s="108" t="s">
        <v>618</v>
      </c>
      <c r="AL61" s="108"/>
      <c r="AM61" s="108" t="s">
        <v>698</v>
      </c>
      <c r="AN61" s="108"/>
      <c r="AO61" s="108" t="s">
        <v>699</v>
      </c>
      <c r="AP61" s="108"/>
      <c r="AQ61" s="108" t="s">
        <v>700</v>
      </c>
      <c r="AR61" s="108"/>
      <c r="AS61" s="108" t="s">
        <v>701</v>
      </c>
      <c r="AT61" s="108"/>
      <c r="AU61" s="83" t="s">
        <v>702</v>
      </c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6">
        <f>IF(CONCATENATE(A61,B61,C61,D61,E61,F61,G61,H61,I61,J61,K61,L61,M61,N61,O61,P61,Q61,R61,S61,T61,U61,V61,W61,X61,Y61,Z61,AA61,AB61,AC61,AD61,AE61,AF61,AG61,AH61,AI61,AK61,AM61,AO61,AQ61,AS61,AU61,AV61,AW61,AX61,AY61,AZ61,BA61,BB61,BC61,BD61,BE61,BF61,BG61,BH61,BI61,BJ61,BK61,BL61,BM61,BN61,BO61,BP61,BQ61)=(CONCATENATE([1]FS_referentiel_produits_std!A42,[1]FS_referentiel_produits_std!B42,[1]FS_referentiel_produits_std!C42,[1]FS_referentiel_produits_std!D42,[1]FS_referentiel_produits_std!E42,[1]FS_referentiel_produits_std!F42,[1]FS_referentiel_produits_std!G42,[1]FS_referentiel_produits_std!H42,[1]FS_referentiel_produits_std!I42,[1]FS_referentiel_produits_std!J42,[1]FS_referentiel_produits_std!K42,[1]FS_referentiel_produits_std!L42,[1]FS_referentiel_produits_std!M42,[1]FS_referentiel_produits_std!N42,[1]FS_referentiel_produits_std!O42,[1]FS_referentiel_produits_std!P42,[1]FS_referentiel_produits_std!Q42,[1]FS_referentiel_produits_std!R42,[1]FS_referentiel_produits_std!S42,[1]FS_referentiel_produits_std!T42,[1]FS_referentiel_produits_std!U42,[1]FS_referentiel_produits_std!V42,[1]FS_referentiel_produits_std!W42,[1]FS_referentiel_produits_std!X42,[1]FS_referentiel_produits_std!Y42,[1]FS_referentiel_produits_std!Z42,[1]FS_referentiel_produits_std!AA42,[1]FS_referentiel_produits_std!AB42,[1]FS_referentiel_produits_std!AC42,[1]FS_referentiel_produits_std!AD42,[1]FS_referentiel_produits_std!AE42,[1]FS_referentiel_produits_std!AF42,[1]FS_referentiel_produits_std!AG42,[1]FS_referentiel_produits_std!AH42,[1]FS_referentiel_produits_std!AI42,[1]FS_referentiel_produits_std!AJ42,[1]FS_referentiel_produits_std!AK42,[1]FS_referentiel_produits_std!AL42,[1]FS_referentiel_produits_std!AM42,[1]FS_referentiel_produits_std!AN42,[1]FS_referentiel_produits_std!AO42,[1]FS_referentiel_produits_std!AP42,[1]FS_referentiel_produits_std!AQ42,[1]FS_referentiel_produits_std!AR42,[1]FS_referentiel_produits_std!AS42,[1]FS_referentiel_produits_std!AT42,[1]FS_referentiel_produits_std!AU42,[1]FS_referentiel_produits_std!AV42,[1]FS_referentiel_produits_std!AW42,[1]FS_referentiel_produits_std!AX42,[1]FS_referentiel_produits_std!AY42,[1]FS_referentiel_produits_std!AZ42,[1]FS_referentiel_produits_std!BA42,[1]FS_referentiel_produits_std!BB42,[1]FS_referentiel_produits_std!BC42,[1]FS_referentiel_produits_std!BD42,[1]FS_referentiel_produits_std!BE42,[1]FS_referentiel_produits_std!BF42,[1]FS_referentiel_produits_std!BG42,[1]FS_referentiel_produits_std!BH42,[1]FS_referentiel_produits_std!BI42,[1]FS_referentiel_produits_std!BJ42,[1]FS_referentiel_produits_std!BK42)),0,1)</f>
        <v>1</v>
      </c>
    </row>
    <row r="62" spans="1:70" s="87" customFormat="1" ht="24.95" customHeight="1" x14ac:dyDescent="0.25">
      <c r="A62" s="9" t="s">
        <v>204</v>
      </c>
      <c r="B62" s="92" t="s">
        <v>703</v>
      </c>
      <c r="C62" s="36"/>
      <c r="D62" s="84"/>
      <c r="E62" s="83" t="s">
        <v>33</v>
      </c>
      <c r="F62" s="83" t="s">
        <v>34</v>
      </c>
      <c r="G62" s="83" t="s">
        <v>85</v>
      </c>
      <c r="H62" s="83" t="s">
        <v>29</v>
      </c>
      <c r="I62" s="83" t="s">
        <v>7</v>
      </c>
      <c r="J62" s="97"/>
      <c r="K62" s="83" t="s">
        <v>30</v>
      </c>
      <c r="L62" s="97"/>
      <c r="M62" s="83" t="s">
        <v>2760</v>
      </c>
      <c r="N62" s="83" t="s">
        <v>35</v>
      </c>
      <c r="O62" s="108">
        <v>3228</v>
      </c>
      <c r="P62" s="108">
        <v>1908</v>
      </c>
      <c r="Q62" s="108">
        <v>1950</v>
      </c>
      <c r="R62" s="108"/>
      <c r="S62" s="108">
        <v>2926</v>
      </c>
      <c r="T62" s="108">
        <v>2050</v>
      </c>
      <c r="U62" s="108">
        <v>6124</v>
      </c>
      <c r="V62" s="108">
        <v>865</v>
      </c>
      <c r="W62" s="108">
        <v>3450</v>
      </c>
      <c r="X62" s="108">
        <v>1617</v>
      </c>
      <c r="Y62" s="108"/>
      <c r="Z62" s="108">
        <v>5</v>
      </c>
      <c r="AA62" s="83" t="s">
        <v>696</v>
      </c>
      <c r="AB62" s="37">
        <v>3500</v>
      </c>
      <c r="AC62" s="108">
        <v>805</v>
      </c>
      <c r="AD62" s="37"/>
      <c r="AE62" s="37"/>
      <c r="AF62" s="37"/>
      <c r="AG62" s="37"/>
      <c r="AH62" s="108">
        <v>12</v>
      </c>
      <c r="AI62" s="108" t="s">
        <v>697</v>
      </c>
      <c r="AJ62" s="108"/>
      <c r="AK62" s="108" t="s">
        <v>618</v>
      </c>
      <c r="AL62" s="108"/>
      <c r="AM62" s="108" t="s">
        <v>698</v>
      </c>
      <c r="AN62" s="108"/>
      <c r="AO62" s="108" t="s">
        <v>699</v>
      </c>
      <c r="AP62" s="108"/>
      <c r="AQ62" s="108" t="s">
        <v>700</v>
      </c>
      <c r="AR62" s="108"/>
      <c r="AS62" s="108" t="s">
        <v>701</v>
      </c>
      <c r="AT62" s="108"/>
      <c r="AU62" s="83" t="s">
        <v>702</v>
      </c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6">
        <f>IF(CONCATENATE(A62,B62,C62,D62,E62,F62,G62,H62,I62,J62,K62,L62,M62,N62,O62,P62,Q62,R62,S62,T62,U62,V62,W62,X62,Y62,Z62,AA62,AB62,AC62,AD62,AE62,AF62,AG62,AH62,AI62,AK62,AM62,AO62,AQ62,AS62,AU62,AV62,AW62,AX62,AY62,AZ62,BA62,BB62,BC62,BD62,BE62,BF62,BG62,BH62,BI62,BJ62,BK62,BL62,BM62,BN62,BO62,BP62,BQ62)=(CONCATENATE([1]FS_referentiel_produits_std!A43,[1]FS_referentiel_produits_std!B43,[1]FS_referentiel_produits_std!C43,[1]FS_referentiel_produits_std!D43,[1]FS_referentiel_produits_std!E43,[1]FS_referentiel_produits_std!F43,[1]FS_referentiel_produits_std!G43,[1]FS_referentiel_produits_std!H43,[1]FS_referentiel_produits_std!I43,[1]FS_referentiel_produits_std!J43,[1]FS_referentiel_produits_std!K43,[1]FS_referentiel_produits_std!L43,[1]FS_referentiel_produits_std!M43,[1]FS_referentiel_produits_std!N43,[1]FS_referentiel_produits_std!O43,[1]FS_referentiel_produits_std!P43,[1]FS_referentiel_produits_std!Q43,[1]FS_referentiel_produits_std!R43,[1]FS_referentiel_produits_std!S43,[1]FS_referentiel_produits_std!T43,[1]FS_referentiel_produits_std!U43,[1]FS_referentiel_produits_std!V43,[1]FS_referentiel_produits_std!W43,[1]FS_referentiel_produits_std!X43,[1]FS_referentiel_produits_std!Y43,[1]FS_referentiel_produits_std!Z43,[1]FS_referentiel_produits_std!AA43,[1]FS_referentiel_produits_std!AB43,[1]FS_referentiel_produits_std!AC43,[1]FS_referentiel_produits_std!AD43,[1]FS_referentiel_produits_std!AE43,[1]FS_referentiel_produits_std!AF43,[1]FS_referentiel_produits_std!AG43,[1]FS_referentiel_produits_std!AH43,[1]FS_referentiel_produits_std!AI43,[1]FS_referentiel_produits_std!AJ43,[1]FS_referentiel_produits_std!AK43,[1]FS_referentiel_produits_std!AL43,[1]FS_referentiel_produits_std!AM43,[1]FS_referentiel_produits_std!AN43,[1]FS_referentiel_produits_std!AO43,[1]FS_referentiel_produits_std!AP43,[1]FS_referentiel_produits_std!AQ43,[1]FS_referentiel_produits_std!AR43,[1]FS_referentiel_produits_std!AS43,[1]FS_referentiel_produits_std!AT43,[1]FS_referentiel_produits_std!AU43,[1]FS_referentiel_produits_std!AV43,[1]FS_referentiel_produits_std!AW43,[1]FS_referentiel_produits_std!AX43,[1]FS_referentiel_produits_std!AY43,[1]FS_referentiel_produits_std!AZ43,[1]FS_referentiel_produits_std!BA43,[1]FS_referentiel_produits_std!BB43,[1]FS_referentiel_produits_std!BC43,[1]FS_referentiel_produits_std!BD43,[1]FS_referentiel_produits_std!BE43,[1]FS_referentiel_produits_std!BF43,[1]FS_referentiel_produits_std!BG43,[1]FS_referentiel_produits_std!BH43,[1]FS_referentiel_produits_std!BI43,[1]FS_referentiel_produits_std!BJ43,[1]FS_referentiel_produits_std!BK43)),0,1)</f>
        <v>1</v>
      </c>
    </row>
    <row r="63" spans="1:70" s="87" customFormat="1" ht="24.95" customHeight="1" x14ac:dyDescent="0.25">
      <c r="A63" s="9" t="s">
        <v>204</v>
      </c>
      <c r="B63" s="92" t="s">
        <v>703</v>
      </c>
      <c r="C63" s="36"/>
      <c r="D63" s="84"/>
      <c r="E63" s="83" t="s">
        <v>33</v>
      </c>
      <c r="F63" s="83" t="s">
        <v>34</v>
      </c>
      <c r="G63" s="83" t="s">
        <v>85</v>
      </c>
      <c r="H63" s="83" t="s">
        <v>29</v>
      </c>
      <c r="I63" s="83" t="s">
        <v>7</v>
      </c>
      <c r="J63" s="97"/>
      <c r="K63" s="83" t="s">
        <v>30</v>
      </c>
      <c r="L63" s="97"/>
      <c r="M63" s="83" t="s">
        <v>2754</v>
      </c>
      <c r="N63" s="83" t="s">
        <v>35</v>
      </c>
      <c r="O63" s="108">
        <v>3228</v>
      </c>
      <c r="P63" s="108">
        <v>1908</v>
      </c>
      <c r="Q63" s="108">
        <v>1950</v>
      </c>
      <c r="R63" s="108"/>
      <c r="S63" s="108">
        <v>2926</v>
      </c>
      <c r="T63" s="108">
        <v>2050</v>
      </c>
      <c r="U63" s="108">
        <v>6124</v>
      </c>
      <c r="V63" s="108">
        <v>865</v>
      </c>
      <c r="W63" s="108">
        <v>3450</v>
      </c>
      <c r="X63" s="108">
        <v>1617</v>
      </c>
      <c r="Y63" s="108"/>
      <c r="Z63" s="108">
        <v>5</v>
      </c>
      <c r="AA63" s="83" t="s">
        <v>696</v>
      </c>
      <c r="AB63" s="37">
        <v>3500</v>
      </c>
      <c r="AC63" s="108">
        <v>805</v>
      </c>
      <c r="AD63" s="37"/>
      <c r="AE63" s="37"/>
      <c r="AF63" s="37"/>
      <c r="AG63" s="37"/>
      <c r="AH63" s="108">
        <v>12</v>
      </c>
      <c r="AI63" s="108" t="s">
        <v>697</v>
      </c>
      <c r="AJ63" s="108"/>
      <c r="AK63" s="108" t="s">
        <v>618</v>
      </c>
      <c r="AL63" s="108"/>
      <c r="AM63" s="108" t="s">
        <v>698</v>
      </c>
      <c r="AN63" s="108"/>
      <c r="AO63" s="108" t="s">
        <v>699</v>
      </c>
      <c r="AP63" s="108"/>
      <c r="AQ63" s="108" t="s">
        <v>700</v>
      </c>
      <c r="AR63" s="108"/>
      <c r="AS63" s="108" t="s">
        <v>701</v>
      </c>
      <c r="AT63" s="108"/>
      <c r="AU63" s="83" t="s">
        <v>702</v>
      </c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6">
        <f>IF(CONCATENATE(A63,B63,C63,D63,E63,F63,G63,H63,I63,J63,K63,L63,M63,N63,O63,P63,Q63,R63,S63,T63,U63,V63,W63,X63,Y63,Z63,AA63,AB63,AC63,AD63,AE63,AF63,AG63,AH63,AI63,AK63,AM63,AO63,AQ63,AS63,AU63,AV63,AW63,AX63,AY63,AZ63,BA63,BB63,BC63,BD63,BE63,BF63,BG63,BH63,BI63,BJ63,BK63,BL63,BM63,BN63,BO63,BP63,BQ63)=(CONCATENATE([1]FS_referentiel_produits_std!A44,[1]FS_referentiel_produits_std!B44,[1]FS_referentiel_produits_std!C44,[1]FS_referentiel_produits_std!D44,[1]FS_referentiel_produits_std!E44,[1]FS_referentiel_produits_std!F44,[1]FS_referentiel_produits_std!G44,[1]FS_referentiel_produits_std!H44,[1]FS_referentiel_produits_std!I44,[1]FS_referentiel_produits_std!J44,[1]FS_referentiel_produits_std!K44,[1]FS_referentiel_produits_std!L44,[1]FS_referentiel_produits_std!M44,[1]FS_referentiel_produits_std!N44,[1]FS_referentiel_produits_std!O44,[1]FS_referentiel_produits_std!P44,[1]FS_referentiel_produits_std!Q44,[1]FS_referentiel_produits_std!R44,[1]FS_referentiel_produits_std!S44,[1]FS_referentiel_produits_std!T44,[1]FS_referentiel_produits_std!U44,[1]FS_referentiel_produits_std!V44,[1]FS_referentiel_produits_std!W44,[1]FS_referentiel_produits_std!X44,[1]FS_referentiel_produits_std!Y44,[1]FS_referentiel_produits_std!Z44,[1]FS_referentiel_produits_std!AA44,[1]FS_referentiel_produits_std!AB44,[1]FS_referentiel_produits_std!AC44,[1]FS_referentiel_produits_std!AD44,[1]FS_referentiel_produits_std!AE44,[1]FS_referentiel_produits_std!AF44,[1]FS_referentiel_produits_std!AG44,[1]FS_referentiel_produits_std!AH44,[1]FS_referentiel_produits_std!AI44,[1]FS_referentiel_produits_std!AJ44,[1]FS_referentiel_produits_std!AK44,[1]FS_referentiel_produits_std!AL44,[1]FS_referentiel_produits_std!AM44,[1]FS_referentiel_produits_std!AN44,[1]FS_referentiel_produits_std!AO44,[1]FS_referentiel_produits_std!AP44,[1]FS_referentiel_produits_std!AQ44,[1]FS_referentiel_produits_std!AR44,[1]FS_referentiel_produits_std!AS44,[1]FS_referentiel_produits_std!AT44,[1]FS_referentiel_produits_std!AU44,[1]FS_referentiel_produits_std!AV44,[1]FS_referentiel_produits_std!AW44,[1]FS_referentiel_produits_std!AX44,[1]FS_referentiel_produits_std!AY44,[1]FS_referentiel_produits_std!AZ44,[1]FS_referentiel_produits_std!BA44,[1]FS_referentiel_produits_std!BB44,[1]FS_referentiel_produits_std!BC44,[1]FS_referentiel_produits_std!BD44,[1]FS_referentiel_produits_std!BE44,[1]FS_referentiel_produits_std!BF44,[1]FS_referentiel_produits_std!BG44,[1]FS_referentiel_produits_std!BH44,[1]FS_referentiel_produits_std!BI44,[1]FS_referentiel_produits_std!BJ44,[1]FS_referentiel_produits_std!BK44)),0,1)</f>
        <v>1</v>
      </c>
    </row>
    <row r="64" spans="1:70" s="87" customFormat="1" ht="24.95" customHeight="1" x14ac:dyDescent="0.25">
      <c r="A64" s="9" t="s">
        <v>204</v>
      </c>
      <c r="B64" s="92" t="s">
        <v>703</v>
      </c>
      <c r="C64" s="36"/>
      <c r="D64" s="84"/>
      <c r="E64" s="83" t="s">
        <v>33</v>
      </c>
      <c r="F64" s="83" t="s">
        <v>34</v>
      </c>
      <c r="G64" s="83" t="s">
        <v>623</v>
      </c>
      <c r="H64" s="83" t="s">
        <v>12</v>
      </c>
      <c r="I64" s="83"/>
      <c r="J64" s="97"/>
      <c r="K64" s="83" t="s">
        <v>30</v>
      </c>
      <c r="L64" s="97"/>
      <c r="M64" s="83" t="s">
        <v>748</v>
      </c>
      <c r="N64" s="89" t="s">
        <v>635</v>
      </c>
      <c r="O64" s="108">
        <v>4118</v>
      </c>
      <c r="P64" s="108">
        <v>2054</v>
      </c>
      <c r="Q64" s="108">
        <v>2200</v>
      </c>
      <c r="R64" s="108"/>
      <c r="S64" s="108">
        <v>3352</v>
      </c>
      <c r="T64" s="108">
        <v>2200</v>
      </c>
      <c r="U64" s="108">
        <v>6873</v>
      </c>
      <c r="V64" s="108">
        <v>1060</v>
      </c>
      <c r="W64" s="108">
        <v>4100</v>
      </c>
      <c r="X64" s="108">
        <v>1725</v>
      </c>
      <c r="Y64" s="108"/>
      <c r="Z64" s="108">
        <v>7</v>
      </c>
      <c r="AA64" s="83" t="s">
        <v>636</v>
      </c>
      <c r="AB64" s="37">
        <v>7200</v>
      </c>
      <c r="AC64" s="108">
        <v>3435</v>
      </c>
      <c r="AD64" s="37"/>
      <c r="AE64" s="37"/>
      <c r="AF64" s="37"/>
      <c r="AG64" s="37"/>
      <c r="AH64" s="108" t="s">
        <v>625</v>
      </c>
      <c r="AI64" s="108" t="s">
        <v>626</v>
      </c>
      <c r="AJ64" s="108"/>
      <c r="AK64" s="108" t="s">
        <v>627</v>
      </c>
      <c r="AL64" s="108"/>
      <c r="AM64" s="110" t="s">
        <v>628</v>
      </c>
      <c r="AN64" s="110"/>
      <c r="AO64" s="108" t="s">
        <v>630</v>
      </c>
      <c r="AP64" s="108"/>
      <c r="AQ64" s="108" t="s">
        <v>631</v>
      </c>
      <c r="AR64" s="108"/>
      <c r="AS64" s="108" t="s">
        <v>629</v>
      </c>
      <c r="AT64" s="108"/>
      <c r="AU64" s="83" t="s">
        <v>632</v>
      </c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6">
        <f>IF(CONCATENATE(A64,B64,C64,D64,E64,F64,G64,H64,I64,J64,K64,L64,M64,N64,O64,P64,Q64,R64,S64,T64,U64,V64,W64,X64,Y64,Z64,AA64,AB64,AC64,AD64,AE64,AF64,AG64,AH64,AI64,AK64,AM64,AO64,AQ64,AS64,AU64,AV64,AW64,AX64,AY64,AZ64,BA64,BB64,BC64,BD64,BE64,BF64,BG64,BH64,BI64,BJ64,BK64,BL64,BM64,BN64,BO64,BP64,BQ64)=(CONCATENATE([1]FS_referentiel_produits_std!A46,[1]FS_referentiel_produits_std!B46,[1]FS_referentiel_produits_std!C46,[1]FS_referentiel_produits_std!D46,[1]FS_referentiel_produits_std!E46,[1]FS_referentiel_produits_std!F46,[1]FS_referentiel_produits_std!G46,[1]FS_referentiel_produits_std!H46,[1]FS_referentiel_produits_std!I46,[1]FS_referentiel_produits_std!J46,[1]FS_referentiel_produits_std!K46,[1]FS_referentiel_produits_std!L46,[1]FS_referentiel_produits_std!M46,[1]FS_referentiel_produits_std!N46,[1]FS_referentiel_produits_std!O46,[1]FS_referentiel_produits_std!P46,[1]FS_referentiel_produits_std!Q46,[1]FS_referentiel_produits_std!R46,[1]FS_referentiel_produits_std!S46,[1]FS_referentiel_produits_std!T46,[1]FS_referentiel_produits_std!U46,[1]FS_referentiel_produits_std!V46,[1]FS_referentiel_produits_std!W46,[1]FS_referentiel_produits_std!X46,[1]FS_referentiel_produits_std!Y46,[1]FS_referentiel_produits_std!Z46,[1]FS_referentiel_produits_std!AA46,[1]FS_referentiel_produits_std!AB46,[1]FS_referentiel_produits_std!AC46,[1]FS_referentiel_produits_std!AD46,[1]FS_referentiel_produits_std!AE46,[1]FS_referentiel_produits_std!AF46,[1]FS_referentiel_produits_std!AG46,[1]FS_referentiel_produits_std!AH46,[1]FS_referentiel_produits_std!AI46,[1]FS_referentiel_produits_std!AJ46,[1]FS_referentiel_produits_std!AK46,[1]FS_referentiel_produits_std!AL46,[1]FS_referentiel_produits_std!AM46,[1]FS_referentiel_produits_std!AN46,[1]FS_referentiel_produits_std!AO46,[1]FS_referentiel_produits_std!AP46,[1]FS_referentiel_produits_std!AQ46,[1]FS_referentiel_produits_std!AR46,[1]FS_referentiel_produits_std!AS46,[1]FS_referentiel_produits_std!AT46,[1]FS_referentiel_produits_std!AU46,[1]FS_referentiel_produits_std!AV46,[1]FS_referentiel_produits_std!AW46,[1]FS_referentiel_produits_std!AX46,[1]FS_referentiel_produits_std!AY46,[1]FS_referentiel_produits_std!AZ46,[1]FS_referentiel_produits_std!BA46,[1]FS_referentiel_produits_std!BB46,[1]FS_referentiel_produits_std!BC46,[1]FS_referentiel_produits_std!BD46,[1]FS_referentiel_produits_std!BE46,[1]FS_referentiel_produits_std!BF46,[1]FS_referentiel_produits_std!BG46,[1]FS_referentiel_produits_std!BH46,[1]FS_referentiel_produits_std!BI46,[1]FS_referentiel_produits_std!BJ46,[1]FS_referentiel_produits_std!BK46)),0,1)</f>
        <v>1</v>
      </c>
    </row>
    <row r="65" spans="1:70" s="87" customFormat="1" ht="24.95" customHeight="1" x14ac:dyDescent="0.25">
      <c r="A65" s="9" t="s">
        <v>204</v>
      </c>
      <c r="B65" s="92" t="s">
        <v>703</v>
      </c>
      <c r="C65" s="36"/>
      <c r="D65" s="84"/>
      <c r="E65" s="83" t="s">
        <v>33</v>
      </c>
      <c r="F65" s="83" t="s">
        <v>34</v>
      </c>
      <c r="G65" s="83" t="s">
        <v>623</v>
      </c>
      <c r="H65" s="83" t="s">
        <v>12</v>
      </c>
      <c r="I65" s="83"/>
      <c r="J65" s="97"/>
      <c r="K65" s="83" t="s">
        <v>30</v>
      </c>
      <c r="L65" s="97"/>
      <c r="M65" s="83" t="s">
        <v>749</v>
      </c>
      <c r="N65" s="89" t="s">
        <v>635</v>
      </c>
      <c r="O65" s="108">
        <v>4118</v>
      </c>
      <c r="P65" s="108">
        <v>2054</v>
      </c>
      <c r="Q65" s="108">
        <v>2200</v>
      </c>
      <c r="R65" s="108"/>
      <c r="S65" s="108">
        <v>3352</v>
      </c>
      <c r="T65" s="108">
        <v>2200</v>
      </c>
      <c r="U65" s="108">
        <v>6873</v>
      </c>
      <c r="V65" s="108">
        <v>1060</v>
      </c>
      <c r="W65" s="108">
        <v>4100</v>
      </c>
      <c r="X65" s="108">
        <v>1725</v>
      </c>
      <c r="Y65" s="108"/>
      <c r="Z65" s="108">
        <v>7</v>
      </c>
      <c r="AA65" s="83" t="s">
        <v>636</v>
      </c>
      <c r="AB65" s="37">
        <v>7200</v>
      </c>
      <c r="AC65" s="108">
        <v>3435</v>
      </c>
      <c r="AD65" s="37"/>
      <c r="AE65" s="37"/>
      <c r="AF65" s="37"/>
      <c r="AG65" s="37"/>
      <c r="AH65" s="108" t="s">
        <v>625</v>
      </c>
      <c r="AI65" s="108" t="s">
        <v>626</v>
      </c>
      <c r="AJ65" s="108"/>
      <c r="AK65" s="108" t="s">
        <v>627</v>
      </c>
      <c r="AL65" s="108"/>
      <c r="AM65" s="110" t="s">
        <v>628</v>
      </c>
      <c r="AN65" s="110"/>
      <c r="AO65" s="108" t="s">
        <v>630</v>
      </c>
      <c r="AP65" s="108"/>
      <c r="AQ65" s="108" t="s">
        <v>631</v>
      </c>
      <c r="AR65" s="108"/>
      <c r="AS65" s="108" t="s">
        <v>629</v>
      </c>
      <c r="AT65" s="108"/>
      <c r="AU65" s="83" t="s">
        <v>632</v>
      </c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6">
        <f>IF(CONCATENATE(A65,B65,C65,D65,E65,F65,G65,H65,I65,J65,K65,L65,M65,N65,O65,P65,Q65,R65,S65,T65,U65,V65,W65,X65,Y65,Z65,AA65,AB65,AC65,AD65,AE65,AF65,AG65,AH65,AI65,AK65,AM65,AO65,AQ65,AS65,AU65,AV65,AW65,AX65,AY65,AZ65,BA65,BB65,BC65,BD65,BE65,BF65,BG65,BH65,BI65,BJ65,BK65,BL65,BM65,BN65,BO65,BP65,BQ65)=(CONCATENATE([1]FS_referentiel_produits_std!A47,[1]FS_referentiel_produits_std!B47,[1]FS_referentiel_produits_std!C47,[1]FS_referentiel_produits_std!D47,[1]FS_referentiel_produits_std!E47,[1]FS_referentiel_produits_std!F47,[1]FS_referentiel_produits_std!G47,[1]FS_referentiel_produits_std!H47,[1]FS_referentiel_produits_std!I47,[1]FS_referentiel_produits_std!J47,[1]FS_referentiel_produits_std!K47,[1]FS_referentiel_produits_std!L47,[1]FS_referentiel_produits_std!M47,[1]FS_referentiel_produits_std!N47,[1]FS_referentiel_produits_std!O47,[1]FS_referentiel_produits_std!P47,[1]FS_referentiel_produits_std!Q47,[1]FS_referentiel_produits_std!R47,[1]FS_referentiel_produits_std!S47,[1]FS_referentiel_produits_std!T47,[1]FS_referentiel_produits_std!U47,[1]FS_referentiel_produits_std!V47,[1]FS_referentiel_produits_std!W47,[1]FS_referentiel_produits_std!X47,[1]FS_referentiel_produits_std!Y47,[1]FS_referentiel_produits_std!Z47,[1]FS_referentiel_produits_std!AA47,[1]FS_referentiel_produits_std!AB47,[1]FS_referentiel_produits_std!AC47,[1]FS_referentiel_produits_std!AD47,[1]FS_referentiel_produits_std!AE47,[1]FS_referentiel_produits_std!AF47,[1]FS_referentiel_produits_std!AG47,[1]FS_referentiel_produits_std!AH47,[1]FS_referentiel_produits_std!AI47,[1]FS_referentiel_produits_std!AJ47,[1]FS_referentiel_produits_std!AK47,[1]FS_referentiel_produits_std!AL47,[1]FS_referentiel_produits_std!AM47,[1]FS_referentiel_produits_std!AN47,[1]FS_referentiel_produits_std!AO47,[1]FS_referentiel_produits_std!AP47,[1]FS_referentiel_produits_std!AQ47,[1]FS_referentiel_produits_std!AR47,[1]FS_referentiel_produits_std!AS47,[1]FS_referentiel_produits_std!AT47,[1]FS_referentiel_produits_std!AU47,[1]FS_referentiel_produits_std!AV47,[1]FS_referentiel_produits_std!AW47,[1]FS_referentiel_produits_std!AX47,[1]FS_referentiel_produits_std!AY47,[1]FS_referentiel_produits_std!AZ47,[1]FS_referentiel_produits_std!BA47,[1]FS_referentiel_produits_std!BB47,[1]FS_referentiel_produits_std!BC47,[1]FS_referentiel_produits_std!BD47,[1]FS_referentiel_produits_std!BE47,[1]FS_referentiel_produits_std!BF47,[1]FS_referentiel_produits_std!BG47,[1]FS_referentiel_produits_std!BH47,[1]FS_referentiel_produits_std!BI47,[1]FS_referentiel_produits_std!BJ47,[1]FS_referentiel_produits_std!BK47)),0,1)</f>
        <v>1</v>
      </c>
    </row>
    <row r="66" spans="1:70" s="87" customFormat="1" ht="24.95" customHeight="1" x14ac:dyDescent="0.25">
      <c r="A66" s="9" t="s">
        <v>204</v>
      </c>
      <c r="B66" s="92" t="s">
        <v>703</v>
      </c>
      <c r="C66" s="36"/>
      <c r="D66" s="84"/>
      <c r="E66" s="83" t="s">
        <v>33</v>
      </c>
      <c r="F66" s="83" t="s">
        <v>37</v>
      </c>
      <c r="G66" s="83" t="s">
        <v>41</v>
      </c>
      <c r="H66" s="83" t="s">
        <v>12</v>
      </c>
      <c r="I66" s="83" t="s">
        <v>7</v>
      </c>
      <c r="J66" s="97"/>
      <c r="K66" s="83" t="s">
        <v>30</v>
      </c>
      <c r="L66" s="97"/>
      <c r="M66" s="83" t="s">
        <v>750</v>
      </c>
      <c r="N66" s="83" t="s">
        <v>624</v>
      </c>
      <c r="O66" s="108">
        <v>6590</v>
      </c>
      <c r="P66" s="108">
        <v>2454</v>
      </c>
      <c r="Q66" s="108">
        <v>2400</v>
      </c>
      <c r="R66" s="108"/>
      <c r="S66" s="108">
        <v>3675</v>
      </c>
      <c r="T66" s="108">
        <v>2600</v>
      </c>
      <c r="U66" s="108">
        <v>8772</v>
      </c>
      <c r="V66" s="108">
        <v>1160</v>
      </c>
      <c r="W66" s="108">
        <v>4815</v>
      </c>
      <c r="X66" s="108">
        <v>2595</v>
      </c>
      <c r="Y66" s="108"/>
      <c r="Z66" s="108">
        <v>15</v>
      </c>
      <c r="AA66" s="83" t="s">
        <v>303</v>
      </c>
      <c r="AB66" s="37">
        <v>11990</v>
      </c>
      <c r="AC66" s="108">
        <v>3585</v>
      </c>
      <c r="AD66" s="37"/>
      <c r="AE66" s="37"/>
      <c r="AF66" s="37"/>
      <c r="AG66" s="37"/>
      <c r="AH66" s="108" t="s">
        <v>162</v>
      </c>
      <c r="AI66" s="108" t="s">
        <v>637</v>
      </c>
      <c r="AJ66" s="108"/>
      <c r="AK66" s="108" t="s">
        <v>638</v>
      </c>
      <c r="AL66" s="108"/>
      <c r="AM66" s="108" t="s">
        <v>639</v>
      </c>
      <c r="AN66" s="108"/>
      <c r="AO66" s="108" t="s">
        <v>640</v>
      </c>
      <c r="AP66" s="108"/>
      <c r="AQ66" s="108" t="s">
        <v>641</v>
      </c>
      <c r="AR66" s="108"/>
      <c r="AS66" s="108" t="s">
        <v>642</v>
      </c>
      <c r="AT66" s="108"/>
      <c r="AU66" s="83" t="s">
        <v>68</v>
      </c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6">
        <f>IF(CONCATENATE(A66,B66,C66,D66,E66,F66,G66,H66,I66,J66,K66,L66,M66,N66,O66,P66,Q66,R66,S66,T66,U66,V66,W66,X66,Y66,Z66,AA66,AB66,AC66,AD66,AE66,AF66,AG66,AH66,AI66,AK66,AM66,AO66,AQ66,AS66,AU66,AV66,AW66,AX66,AY66,AZ66,BA66,BB66,BC66,BD66,BE66,BF66,BG66,BH66,BI66,BJ66,BK66,BL66,BM66,BN66,BO66,BP66,BQ66)=(CONCATENATE([1]FS_referentiel_produits_std!A47,[1]FS_referentiel_produits_std!B47,[1]FS_referentiel_produits_std!C47,[1]FS_referentiel_produits_std!D47,[1]FS_referentiel_produits_std!E47,[1]FS_referentiel_produits_std!F47,[1]FS_referentiel_produits_std!G47,[1]FS_referentiel_produits_std!H47,[1]FS_referentiel_produits_std!I47,[1]FS_referentiel_produits_std!J47,[1]FS_referentiel_produits_std!K47,[1]FS_referentiel_produits_std!L47,[1]FS_referentiel_produits_std!M47,[1]FS_referentiel_produits_std!N47,[1]FS_referentiel_produits_std!O47,[1]FS_referentiel_produits_std!P47,[1]FS_referentiel_produits_std!Q47,[1]FS_referentiel_produits_std!R47,[1]FS_referentiel_produits_std!S47,[1]FS_referentiel_produits_std!T47,[1]FS_referentiel_produits_std!U47,[1]FS_referentiel_produits_std!V47,[1]FS_referentiel_produits_std!W47,[1]FS_referentiel_produits_std!X47,[1]FS_referentiel_produits_std!Y47,[1]FS_referentiel_produits_std!Z47,[1]FS_referentiel_produits_std!AA47,[1]FS_referentiel_produits_std!AB47,[1]FS_referentiel_produits_std!AC47,[1]FS_referentiel_produits_std!AD47,[1]FS_referentiel_produits_std!AE47,[1]FS_referentiel_produits_std!AF47,[1]FS_referentiel_produits_std!AG47,[1]FS_referentiel_produits_std!AH47,[1]FS_referentiel_produits_std!AI47,[1]FS_referentiel_produits_std!AJ47,[1]FS_referentiel_produits_std!AK47,[1]FS_referentiel_produits_std!AL47,[1]FS_referentiel_produits_std!AM47,[1]FS_referentiel_produits_std!AN47,[1]FS_referentiel_produits_std!AO47,[1]FS_referentiel_produits_std!AP47,[1]FS_referentiel_produits_std!AQ47,[1]FS_referentiel_produits_std!AR47,[1]FS_referentiel_produits_std!AS47,[1]FS_referentiel_produits_std!AT47,[1]FS_referentiel_produits_std!AU47,[1]FS_referentiel_produits_std!AV47,[1]FS_referentiel_produits_std!AW47,[1]FS_referentiel_produits_std!AX47,[1]FS_referentiel_produits_std!AY47,[1]FS_referentiel_produits_std!AZ47,[1]FS_referentiel_produits_std!BA47,[1]FS_referentiel_produits_std!BB47,[1]FS_referentiel_produits_std!BC47,[1]FS_referentiel_produits_std!BD47,[1]FS_referentiel_produits_std!BE47,[1]FS_referentiel_produits_std!BF47,[1]FS_referentiel_produits_std!BG47,[1]FS_referentiel_produits_std!BH47,[1]FS_referentiel_produits_std!BI47,[1]FS_referentiel_produits_std!BJ47,[1]FS_referentiel_produits_std!BK47)),0,1)</f>
        <v>1</v>
      </c>
    </row>
    <row r="67" spans="1:70" s="87" customFormat="1" ht="24.95" customHeight="1" x14ac:dyDescent="0.25">
      <c r="A67" s="9" t="s">
        <v>204</v>
      </c>
      <c r="B67" s="92" t="s">
        <v>703</v>
      </c>
      <c r="C67" s="36"/>
      <c r="D67" s="84"/>
      <c r="E67" s="83" t="s">
        <v>33</v>
      </c>
      <c r="F67" s="83" t="s">
        <v>37</v>
      </c>
      <c r="G67" s="83" t="s">
        <v>42</v>
      </c>
      <c r="H67" s="83" t="s">
        <v>12</v>
      </c>
      <c r="I67" s="83" t="s">
        <v>7</v>
      </c>
      <c r="J67" s="97"/>
      <c r="K67" s="83" t="s">
        <v>30</v>
      </c>
      <c r="L67" s="97"/>
      <c r="M67" s="83" t="s">
        <v>751</v>
      </c>
      <c r="N67" s="83" t="s">
        <v>624</v>
      </c>
      <c r="O67" s="108">
        <v>7690</v>
      </c>
      <c r="P67" s="108">
        <v>2454</v>
      </c>
      <c r="Q67" s="108">
        <v>2400</v>
      </c>
      <c r="R67" s="108"/>
      <c r="S67" s="108">
        <v>3675</v>
      </c>
      <c r="T67" s="108">
        <v>2600</v>
      </c>
      <c r="U67" s="108">
        <v>9872</v>
      </c>
      <c r="V67" s="108">
        <v>1160</v>
      </c>
      <c r="W67" s="108">
        <v>5670</v>
      </c>
      <c r="X67" s="108">
        <v>2840</v>
      </c>
      <c r="Y67" s="108"/>
      <c r="Z67" s="108">
        <v>18</v>
      </c>
      <c r="AA67" s="83" t="s">
        <v>303</v>
      </c>
      <c r="AB67" s="37">
        <v>16000</v>
      </c>
      <c r="AC67" s="108">
        <v>6790</v>
      </c>
      <c r="AD67" s="37"/>
      <c r="AE67" s="37"/>
      <c r="AF67" s="37"/>
      <c r="AG67" s="37"/>
      <c r="AH67" s="108" t="s">
        <v>163</v>
      </c>
      <c r="AI67" s="108" t="s">
        <v>637</v>
      </c>
      <c r="AJ67" s="108"/>
      <c r="AK67" s="108" t="s">
        <v>643</v>
      </c>
      <c r="AL67" s="108"/>
      <c r="AM67" s="108" t="s">
        <v>644</v>
      </c>
      <c r="AN67" s="108"/>
      <c r="AO67" s="108" t="s">
        <v>645</v>
      </c>
      <c r="AP67" s="108"/>
      <c r="AQ67" s="108" t="s">
        <v>646</v>
      </c>
      <c r="AR67" s="108"/>
      <c r="AS67" s="108" t="s">
        <v>647</v>
      </c>
      <c r="AT67" s="108"/>
      <c r="AU67" s="90" t="s">
        <v>648</v>
      </c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6">
        <f>IF(CONCATENATE(A67,B67,C67,D67,E67,F67,G67,H67,I67,J67,K67,L67,M67,N67,O67,P67,Q67,R67,S67,T67,U67,V67,W67,X67,Y67,Z67,AA67,AB67,AC67,AD67,AE67,AF67,AG67,AH67,AI67,AK67,AM67,AO67,AQ67,AS67,AU67,AV67,AW67,AX67,AY67,AZ67,BA67,BB67,BC67,BD67,BE67,BF67,BG67,BH67,BI67,BJ67,BK67,BL67,BM67,BN67,BO67,BP67,BQ67)=(CONCATENATE([1]FS_referentiel_produits_std!A47,[1]FS_referentiel_produits_std!B47,[1]FS_referentiel_produits_std!C47,[1]FS_referentiel_produits_std!D47,[1]FS_referentiel_produits_std!E47,[1]FS_referentiel_produits_std!F47,[1]FS_referentiel_produits_std!G47,[1]FS_referentiel_produits_std!H47,[1]FS_referentiel_produits_std!I47,[1]FS_referentiel_produits_std!J47,[1]FS_referentiel_produits_std!K47,[1]FS_referentiel_produits_std!L47,[1]FS_referentiel_produits_std!M47,[1]FS_referentiel_produits_std!N47,[1]FS_referentiel_produits_std!O47,[1]FS_referentiel_produits_std!P47,[1]FS_referentiel_produits_std!Q47,[1]FS_referentiel_produits_std!R47,[1]FS_referentiel_produits_std!S47,[1]FS_referentiel_produits_std!T47,[1]FS_referentiel_produits_std!U47,[1]FS_referentiel_produits_std!V47,[1]FS_referentiel_produits_std!W47,[1]FS_referentiel_produits_std!X47,[1]FS_referentiel_produits_std!Y47,[1]FS_referentiel_produits_std!Z47,[1]FS_referentiel_produits_std!AA47,[1]FS_referentiel_produits_std!AB47,[1]FS_referentiel_produits_std!AC47,[1]FS_referentiel_produits_std!AD47,[1]FS_referentiel_produits_std!AE47,[1]FS_referentiel_produits_std!AF47,[1]FS_referentiel_produits_std!AG47,[1]FS_referentiel_produits_std!AH47,[1]FS_referentiel_produits_std!AI47,[1]FS_referentiel_produits_std!AJ47,[1]FS_referentiel_produits_std!AK47,[1]FS_referentiel_produits_std!AL47,[1]FS_referentiel_produits_std!AM47,[1]FS_referentiel_produits_std!AN47,[1]FS_referentiel_produits_std!AO47,[1]FS_referentiel_produits_std!AP47,[1]FS_referentiel_produits_std!AQ47,[1]FS_referentiel_produits_std!AR47,[1]FS_referentiel_produits_std!AS47,[1]FS_referentiel_produits_std!AT47,[1]FS_referentiel_produits_std!AU47,[1]FS_referentiel_produits_std!AV47,[1]FS_referentiel_produits_std!AW47,[1]FS_referentiel_produits_std!AX47,[1]FS_referentiel_produits_std!AY47,[1]FS_referentiel_produits_std!AZ47,[1]FS_referentiel_produits_std!BA47,[1]FS_referentiel_produits_std!BB47,[1]FS_referentiel_produits_std!BC47,[1]FS_referentiel_produits_std!BD47,[1]FS_referentiel_produits_std!BE47,[1]FS_referentiel_produits_std!BF47,[1]FS_referentiel_produits_std!BG47,[1]FS_referentiel_produits_std!BH47,[1]FS_referentiel_produits_std!BI47,[1]FS_referentiel_produits_std!BJ47,[1]FS_referentiel_produits_std!BK47)),0,1)</f>
        <v>1</v>
      </c>
    </row>
    <row r="68" spans="1:70" s="87" customFormat="1" ht="24.95" customHeight="1" x14ac:dyDescent="0.25">
      <c r="A68" s="9" t="s">
        <v>204</v>
      </c>
      <c r="B68" s="92" t="s">
        <v>703</v>
      </c>
      <c r="C68" s="36"/>
      <c r="D68" s="84"/>
      <c r="E68" s="83" t="s">
        <v>33</v>
      </c>
      <c r="F68" s="83" t="s">
        <v>37</v>
      </c>
      <c r="G68" s="83" t="s">
        <v>42</v>
      </c>
      <c r="H68" s="83" t="s">
        <v>12</v>
      </c>
      <c r="I68" s="83" t="s">
        <v>7</v>
      </c>
      <c r="J68" s="97"/>
      <c r="K68" s="83" t="s">
        <v>30</v>
      </c>
      <c r="L68" s="97"/>
      <c r="M68" s="83" t="s">
        <v>752</v>
      </c>
      <c r="N68" s="83" t="s">
        <v>624</v>
      </c>
      <c r="O68" s="108">
        <v>7690</v>
      </c>
      <c r="P68" s="108">
        <v>2454</v>
      </c>
      <c r="Q68" s="108">
        <v>2400</v>
      </c>
      <c r="R68" s="108"/>
      <c r="S68" s="108">
        <v>3675</v>
      </c>
      <c r="T68" s="108">
        <v>2600</v>
      </c>
      <c r="U68" s="108">
        <v>9872</v>
      </c>
      <c r="V68" s="108">
        <v>1160</v>
      </c>
      <c r="W68" s="108">
        <v>5670</v>
      </c>
      <c r="X68" s="108">
        <v>2840</v>
      </c>
      <c r="Y68" s="108"/>
      <c r="Z68" s="108">
        <v>18</v>
      </c>
      <c r="AA68" s="83" t="s">
        <v>303</v>
      </c>
      <c r="AB68" s="37">
        <v>16000</v>
      </c>
      <c r="AC68" s="108">
        <v>6790</v>
      </c>
      <c r="AD68" s="37"/>
      <c r="AE68" s="37"/>
      <c r="AF68" s="37"/>
      <c r="AG68" s="37"/>
      <c r="AH68" s="108" t="s">
        <v>163</v>
      </c>
      <c r="AI68" s="108" t="s">
        <v>637</v>
      </c>
      <c r="AJ68" s="108"/>
      <c r="AK68" s="108" t="s">
        <v>643</v>
      </c>
      <c r="AL68" s="108"/>
      <c r="AM68" s="108" t="s">
        <v>644</v>
      </c>
      <c r="AN68" s="108"/>
      <c r="AO68" s="108" t="s">
        <v>645</v>
      </c>
      <c r="AP68" s="108"/>
      <c r="AQ68" s="108" t="s">
        <v>646</v>
      </c>
      <c r="AR68" s="108"/>
      <c r="AS68" s="108" t="s">
        <v>647</v>
      </c>
      <c r="AT68" s="108"/>
      <c r="AU68" s="90" t="s">
        <v>648</v>
      </c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6">
        <f>IF(CONCATENATE(A68,B68,C68,D68,E68,F68,G68,H68,I68,J68,K68,L68,M68,N68,O68,P68,Q68,R68,S68,T68,U68,V68,W68,X68,Y68,Z68,AA68,AB68,AC68,AD68,AE68,AF68,AG68,AH68,AI68,AK68,AM68,AO68,AQ68,AS68,AU68,AV68,AW68,AX68,AY68,AZ68,BA68,BB68,BC68,BD68,BE68,BF68,BG68,BH68,BI68,BJ68,BK68,BL68,BM68,BN68,BO68,BP68,BQ68)=(CONCATENATE([1]FS_referentiel_produits_std!A48,[1]FS_referentiel_produits_std!B48,[1]FS_referentiel_produits_std!C48,[1]FS_referentiel_produits_std!D48,[1]FS_referentiel_produits_std!E48,[1]FS_referentiel_produits_std!F48,[1]FS_referentiel_produits_std!G48,[1]FS_referentiel_produits_std!H48,[1]FS_referentiel_produits_std!I48,[1]FS_referentiel_produits_std!J48,[1]FS_referentiel_produits_std!K48,[1]FS_referentiel_produits_std!L48,[1]FS_referentiel_produits_std!M48,[1]FS_referentiel_produits_std!N48,[1]FS_referentiel_produits_std!O48,[1]FS_referentiel_produits_std!P48,[1]FS_referentiel_produits_std!Q48,[1]FS_referentiel_produits_std!R48,[1]FS_referentiel_produits_std!S48,[1]FS_referentiel_produits_std!T48,[1]FS_referentiel_produits_std!U48,[1]FS_referentiel_produits_std!V48,[1]FS_referentiel_produits_std!W48,[1]FS_referentiel_produits_std!X48,[1]FS_referentiel_produits_std!Y48,[1]FS_referentiel_produits_std!Z48,[1]FS_referentiel_produits_std!AA48,[1]FS_referentiel_produits_std!AB48,[1]FS_referentiel_produits_std!AC48,[1]FS_referentiel_produits_std!AD48,[1]FS_referentiel_produits_std!AE48,[1]FS_referentiel_produits_std!AF48,[1]FS_referentiel_produits_std!AG48,[1]FS_referentiel_produits_std!AH48,[1]FS_referentiel_produits_std!AI48,[1]FS_referentiel_produits_std!AJ48,[1]FS_referentiel_produits_std!AK48,[1]FS_referentiel_produits_std!AL48,[1]FS_referentiel_produits_std!AM48,[1]FS_referentiel_produits_std!AN48,[1]FS_referentiel_produits_std!AO48,[1]FS_referentiel_produits_std!AP48,[1]FS_referentiel_produits_std!AQ48,[1]FS_referentiel_produits_std!AR48,[1]FS_referentiel_produits_std!AS48,[1]FS_referentiel_produits_std!AT48,[1]FS_referentiel_produits_std!AU48,[1]FS_referentiel_produits_std!AV48,[1]FS_referentiel_produits_std!AW48,[1]FS_referentiel_produits_std!AX48,[1]FS_referentiel_produits_std!AY48,[1]FS_referentiel_produits_std!AZ48,[1]FS_referentiel_produits_std!BA48,[1]FS_referentiel_produits_std!BB48,[1]FS_referentiel_produits_std!BC48,[1]FS_referentiel_produits_std!BD48,[1]FS_referentiel_produits_std!BE48,[1]FS_referentiel_produits_std!BF48,[1]FS_referentiel_produits_std!BG48,[1]FS_referentiel_produits_std!BH48,[1]FS_referentiel_produits_std!BI48,[1]FS_referentiel_produits_std!BJ48,[1]FS_referentiel_produits_std!BK48)),0,1)</f>
        <v>1</v>
      </c>
    </row>
    <row r="69" spans="1:70" s="87" customFormat="1" ht="24.95" customHeight="1" x14ac:dyDescent="0.25">
      <c r="A69" s="9" t="s">
        <v>204</v>
      </c>
      <c r="B69" s="92" t="s">
        <v>703</v>
      </c>
      <c r="C69" s="36"/>
      <c r="D69" s="84"/>
      <c r="E69" s="83" t="s">
        <v>33</v>
      </c>
      <c r="F69" s="83" t="s">
        <v>37</v>
      </c>
      <c r="G69" s="83" t="s">
        <v>43</v>
      </c>
      <c r="H69" s="83" t="s">
        <v>12</v>
      </c>
      <c r="I69" s="83" t="s">
        <v>7</v>
      </c>
      <c r="J69" s="97"/>
      <c r="K69" s="83" t="s">
        <v>30</v>
      </c>
      <c r="L69" s="97"/>
      <c r="M69" s="83" t="s">
        <v>753</v>
      </c>
      <c r="N69" s="83" t="s">
        <v>624</v>
      </c>
      <c r="O69" s="108">
        <v>8890</v>
      </c>
      <c r="P69" s="108">
        <v>2454</v>
      </c>
      <c r="Q69" s="108">
        <v>2400</v>
      </c>
      <c r="R69" s="108"/>
      <c r="S69" s="108">
        <v>3785</v>
      </c>
      <c r="T69" s="108">
        <v>2600</v>
      </c>
      <c r="U69" s="108">
        <v>11032</v>
      </c>
      <c r="V69" s="108">
        <v>1270</v>
      </c>
      <c r="W69" s="108">
        <v>6570</v>
      </c>
      <c r="X69" s="108">
        <v>3100</v>
      </c>
      <c r="Y69" s="108"/>
      <c r="Z69" s="108">
        <v>21</v>
      </c>
      <c r="AA69" s="83" t="s">
        <v>303</v>
      </c>
      <c r="AB69" s="37">
        <v>19000</v>
      </c>
      <c r="AC69" s="108">
        <v>8520</v>
      </c>
      <c r="AD69" s="37"/>
      <c r="AE69" s="37"/>
      <c r="AF69" s="37"/>
      <c r="AG69" s="37"/>
      <c r="AH69" s="108" t="s">
        <v>164</v>
      </c>
      <c r="AI69" s="108" t="s">
        <v>652</v>
      </c>
      <c r="AJ69" s="108"/>
      <c r="AK69" s="108" t="s">
        <v>653</v>
      </c>
      <c r="AL69" s="108"/>
      <c r="AM69" s="108" t="s">
        <v>654</v>
      </c>
      <c r="AN69" s="108"/>
      <c r="AO69" s="108" t="s">
        <v>655</v>
      </c>
      <c r="AP69" s="108"/>
      <c r="AQ69" s="108" t="s">
        <v>641</v>
      </c>
      <c r="AR69" s="108"/>
      <c r="AS69" s="108" t="s">
        <v>647</v>
      </c>
      <c r="AT69" s="108"/>
      <c r="AU69" s="83" t="s">
        <v>656</v>
      </c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6">
        <f>IF(CONCATENATE(A69,B69,C69,D69,E69,F69,G69,H69,I69,J69,K69,L69,M69,N69,O69,P69,Q69,R69,S69,T69,U69,V69,W69,X69,Y69,Z69,AA69,AB69,AC69,AD69,AE69,AF69,AG69,AH69,AI69,AK69,AM69,AO69,AQ69,AS69,AU69,AV69,AW69,AX69,AY69,AZ69,BA69,BB69,BC69,BD69,BE69,BF69,BG69,BH69,BI69,BJ69,BK69,BL69,BM69,BN69,BO69,BP69,BQ69)=(CONCATENATE([1]FS_referentiel_produits_std!A50,[1]FS_referentiel_produits_std!B50,[1]FS_referentiel_produits_std!C50,[1]FS_referentiel_produits_std!D50,[1]FS_referentiel_produits_std!E50,[1]FS_referentiel_produits_std!F50,[1]FS_referentiel_produits_std!G50,[1]FS_referentiel_produits_std!H50,[1]FS_referentiel_produits_std!I50,[1]FS_referentiel_produits_std!J50,[1]FS_referentiel_produits_std!K50,[1]FS_referentiel_produits_std!L50,[1]FS_referentiel_produits_std!M50,[1]FS_referentiel_produits_std!N50,[1]FS_referentiel_produits_std!O50,[1]FS_referentiel_produits_std!P50,[1]FS_referentiel_produits_std!Q50,[1]FS_referentiel_produits_std!R50,[1]FS_referentiel_produits_std!S50,[1]FS_referentiel_produits_std!T50,[1]FS_referentiel_produits_std!U50,[1]FS_referentiel_produits_std!V50,[1]FS_referentiel_produits_std!W50,[1]FS_referentiel_produits_std!X50,[1]FS_referentiel_produits_std!Y50,[1]FS_referentiel_produits_std!Z50,[1]FS_referentiel_produits_std!AA50,[1]FS_referentiel_produits_std!AB50,[1]FS_referentiel_produits_std!AC50,[1]FS_referentiel_produits_std!AD50,[1]FS_referentiel_produits_std!AE50,[1]FS_referentiel_produits_std!AF50,[1]FS_referentiel_produits_std!AG50,[1]FS_referentiel_produits_std!AH50,[1]FS_referentiel_produits_std!AI50,[1]FS_referentiel_produits_std!AJ50,[1]FS_referentiel_produits_std!AK50,[1]FS_referentiel_produits_std!AL50,[1]FS_referentiel_produits_std!AM50,[1]FS_referentiel_produits_std!AN50,[1]FS_referentiel_produits_std!AO50,[1]FS_referentiel_produits_std!AP50,[1]FS_referentiel_produits_std!AQ50,[1]FS_referentiel_produits_std!AR50,[1]FS_referentiel_produits_std!AS50,[1]FS_referentiel_produits_std!AT50,[1]FS_referentiel_produits_std!AU50,[1]FS_referentiel_produits_std!AV50,[1]FS_referentiel_produits_std!AW50,[1]FS_referentiel_produits_std!AX50,[1]FS_referentiel_produits_std!AY50,[1]FS_referentiel_produits_std!AZ50,[1]FS_referentiel_produits_std!BA50,[1]FS_referentiel_produits_std!BB50,[1]FS_referentiel_produits_std!BC50,[1]FS_referentiel_produits_std!BD50,[1]FS_referentiel_produits_std!BE50,[1]FS_referentiel_produits_std!BF50,[1]FS_referentiel_produits_std!BG50,[1]FS_referentiel_produits_std!BH50,[1]FS_referentiel_produits_std!BI50,[1]FS_referentiel_produits_std!BJ50,[1]FS_referentiel_produits_std!BK50)),0,1)</f>
        <v>1</v>
      </c>
    </row>
    <row r="70" spans="1:70" s="87" customFormat="1" ht="24.95" customHeight="1" x14ac:dyDescent="0.25">
      <c r="A70" s="9" t="s">
        <v>204</v>
      </c>
      <c r="B70" s="92" t="s">
        <v>703</v>
      </c>
      <c r="C70" s="36"/>
      <c r="D70" s="84"/>
      <c r="E70" s="83" t="s">
        <v>33</v>
      </c>
      <c r="F70" s="83" t="s">
        <v>37</v>
      </c>
      <c r="G70" s="83" t="s">
        <v>43</v>
      </c>
      <c r="H70" s="83" t="s">
        <v>12</v>
      </c>
      <c r="I70" s="83" t="s">
        <v>7</v>
      </c>
      <c r="J70" s="97"/>
      <c r="K70" s="83" t="s">
        <v>30</v>
      </c>
      <c r="L70" s="97"/>
      <c r="M70" s="83" t="s">
        <v>2764</v>
      </c>
      <c r="N70" s="83" t="s">
        <v>624</v>
      </c>
      <c r="O70" s="108">
        <v>8890</v>
      </c>
      <c r="P70" s="108">
        <v>2454</v>
      </c>
      <c r="Q70" s="108">
        <v>2400</v>
      </c>
      <c r="R70" s="108"/>
      <c r="S70" s="108">
        <v>3785</v>
      </c>
      <c r="T70" s="108">
        <v>2600</v>
      </c>
      <c r="U70" s="108">
        <v>11032</v>
      </c>
      <c r="V70" s="108">
        <v>1270</v>
      </c>
      <c r="W70" s="108">
        <v>6570</v>
      </c>
      <c r="X70" s="108">
        <v>3100</v>
      </c>
      <c r="Y70" s="108"/>
      <c r="Z70" s="108">
        <v>21</v>
      </c>
      <c r="AA70" s="83" t="s">
        <v>303</v>
      </c>
      <c r="AB70" s="37">
        <v>19000</v>
      </c>
      <c r="AC70" s="108">
        <v>8520</v>
      </c>
      <c r="AD70" s="37"/>
      <c r="AE70" s="37"/>
      <c r="AF70" s="37"/>
      <c r="AG70" s="37"/>
      <c r="AH70" s="108" t="s">
        <v>164</v>
      </c>
      <c r="AI70" s="108" t="s">
        <v>652</v>
      </c>
      <c r="AJ70" s="108"/>
      <c r="AK70" s="108" t="s">
        <v>653</v>
      </c>
      <c r="AL70" s="108"/>
      <c r="AM70" s="108" t="s">
        <v>654</v>
      </c>
      <c r="AN70" s="108"/>
      <c r="AO70" s="108" t="s">
        <v>655</v>
      </c>
      <c r="AP70" s="108"/>
      <c r="AQ70" s="108" t="s">
        <v>641</v>
      </c>
      <c r="AR70" s="108"/>
      <c r="AS70" s="108" t="s">
        <v>647</v>
      </c>
      <c r="AT70" s="108"/>
      <c r="AU70" s="83" t="s">
        <v>656</v>
      </c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6">
        <f>IF(CONCATENATE(A70,B70,C70,D70,E70,F70,G70,H70,I70,J70,K70,L70,M70,N70,O70,P70,Q70,R70,S70,T70,U70,V70,W70,X70,Y70,Z70,AA70,AB70,AC70,AD70,AE70,AF70,AG70,AH70,AI70,AK70,AM70,AO70,AQ70,AS70,AU70,AV70,AW70,AX70,AY70,AZ70,BA70,BB70,BC70,BD70,BE70,BF70,BG70,BH70,BI70,BJ70,BK70,BL70,BM70,BN70,BO70,BP70,BQ70)=(CONCATENATE([1]FS_referentiel_produits_std!A51,[1]FS_referentiel_produits_std!B51,[1]FS_referentiel_produits_std!C51,[1]FS_referentiel_produits_std!D51,[1]FS_referentiel_produits_std!E51,[1]FS_referentiel_produits_std!F51,[1]FS_referentiel_produits_std!G51,[1]FS_referentiel_produits_std!H51,[1]FS_referentiel_produits_std!I51,[1]FS_referentiel_produits_std!J51,[1]FS_referentiel_produits_std!K51,[1]FS_referentiel_produits_std!L51,[1]FS_referentiel_produits_std!M51,[1]FS_referentiel_produits_std!N51,[1]FS_referentiel_produits_std!O51,[1]FS_referentiel_produits_std!P51,[1]FS_referentiel_produits_std!Q51,[1]FS_referentiel_produits_std!R51,[1]FS_referentiel_produits_std!S51,[1]FS_referentiel_produits_std!T51,[1]FS_referentiel_produits_std!U51,[1]FS_referentiel_produits_std!V51,[1]FS_referentiel_produits_std!W51,[1]FS_referentiel_produits_std!X51,[1]FS_referentiel_produits_std!Y51,[1]FS_referentiel_produits_std!Z51,[1]FS_referentiel_produits_std!AA51,[1]FS_referentiel_produits_std!AB51,[1]FS_referentiel_produits_std!AC51,[1]FS_referentiel_produits_std!AD51,[1]FS_referentiel_produits_std!AE51,[1]FS_referentiel_produits_std!AF51,[1]FS_referentiel_produits_std!AG51,[1]FS_referentiel_produits_std!AH51,[1]FS_referentiel_produits_std!AI51,[1]FS_referentiel_produits_std!AJ51,[1]FS_referentiel_produits_std!AK51,[1]FS_referentiel_produits_std!AL51,[1]FS_referentiel_produits_std!AM51,[1]FS_referentiel_produits_std!AN51,[1]FS_referentiel_produits_std!AO51,[1]FS_referentiel_produits_std!AP51,[1]FS_referentiel_produits_std!AQ51,[1]FS_referentiel_produits_std!AR51,[1]FS_referentiel_produits_std!AS51,[1]FS_referentiel_produits_std!AT51,[1]FS_referentiel_produits_std!AU51,[1]FS_referentiel_produits_std!AV51,[1]FS_referentiel_produits_std!AW51,[1]FS_referentiel_produits_std!AX51,[1]FS_referentiel_produits_std!AY51,[1]FS_referentiel_produits_std!AZ51,[1]FS_referentiel_produits_std!BA51,[1]FS_referentiel_produits_std!BB51,[1]FS_referentiel_produits_std!BC51,[1]FS_referentiel_produits_std!BD51,[1]FS_referentiel_produits_std!BE51,[1]FS_referentiel_produits_std!BF51,[1]FS_referentiel_produits_std!BG51,[1]FS_referentiel_produits_std!BH51,[1]FS_referentiel_produits_std!BI51,[1]FS_referentiel_produits_std!BJ51,[1]FS_referentiel_produits_std!BK51)),0,1)</f>
        <v>1</v>
      </c>
    </row>
    <row r="71" spans="1:70" customFormat="1" ht="24.95" customHeight="1" x14ac:dyDescent="0.25">
      <c r="A71" s="9" t="s">
        <v>204</v>
      </c>
      <c r="B71" s="92" t="s">
        <v>703</v>
      </c>
      <c r="C71" s="36"/>
      <c r="D71" s="84"/>
      <c r="E71" s="83" t="s">
        <v>659</v>
      </c>
      <c r="F71" s="83" t="s">
        <v>50</v>
      </c>
      <c r="G71" s="83" t="s">
        <v>41</v>
      </c>
      <c r="H71" s="83" t="s">
        <v>12</v>
      </c>
      <c r="I71" s="83" t="s">
        <v>7</v>
      </c>
      <c r="J71" s="97"/>
      <c r="K71" s="83" t="s">
        <v>30</v>
      </c>
      <c r="L71" s="97"/>
      <c r="M71" s="83" t="s">
        <v>754</v>
      </c>
      <c r="N71" s="83" t="s">
        <v>624</v>
      </c>
      <c r="O71" s="108">
        <v>6590</v>
      </c>
      <c r="P71" s="108">
        <v>2454</v>
      </c>
      <c r="Q71" s="108">
        <v>2400</v>
      </c>
      <c r="R71" s="108"/>
      <c r="S71" s="108">
        <v>3675</v>
      </c>
      <c r="T71" s="108">
        <v>2600</v>
      </c>
      <c r="U71" s="108">
        <v>8735</v>
      </c>
      <c r="V71" s="108">
        <v>1160</v>
      </c>
      <c r="W71" s="108">
        <v>4700</v>
      </c>
      <c r="X71" s="108">
        <v>2710</v>
      </c>
      <c r="Y71" s="108"/>
      <c r="Z71" s="108">
        <v>15</v>
      </c>
      <c r="AA71" s="83" t="s">
        <v>660</v>
      </c>
      <c r="AB71" s="37">
        <v>11990</v>
      </c>
      <c r="AC71" s="108">
        <v>3655</v>
      </c>
      <c r="AD71" s="37"/>
      <c r="AE71" s="37"/>
      <c r="AF71" s="37"/>
      <c r="AG71" s="37"/>
      <c r="AH71" s="108" t="s">
        <v>162</v>
      </c>
      <c r="AI71" s="108" t="s">
        <v>661</v>
      </c>
      <c r="AJ71" s="108"/>
      <c r="AK71" s="108" t="s">
        <v>662</v>
      </c>
      <c r="AL71" s="108"/>
      <c r="AM71" s="108" t="s">
        <v>663</v>
      </c>
      <c r="AN71" s="108"/>
      <c r="AO71" s="108" t="s">
        <v>640</v>
      </c>
      <c r="AP71" s="108"/>
      <c r="AQ71" s="108" t="s">
        <v>646</v>
      </c>
      <c r="AR71" s="108"/>
      <c r="AS71" s="108" t="s">
        <v>664</v>
      </c>
      <c r="AT71" s="108"/>
      <c r="AU71" s="90" t="s">
        <v>665</v>
      </c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6">
        <v>0</v>
      </c>
    </row>
    <row r="72" spans="1:70" s="87" customFormat="1" ht="24.95" customHeight="1" x14ac:dyDescent="0.25">
      <c r="A72" s="9" t="s">
        <v>204</v>
      </c>
      <c r="B72" s="92" t="s">
        <v>703</v>
      </c>
      <c r="C72" s="36"/>
      <c r="D72" s="84"/>
      <c r="E72" s="83" t="s">
        <v>659</v>
      </c>
      <c r="F72" s="83" t="s">
        <v>50</v>
      </c>
      <c r="G72" s="83" t="s">
        <v>42</v>
      </c>
      <c r="H72" s="83" t="s">
        <v>12</v>
      </c>
      <c r="I72" s="83" t="s">
        <v>7</v>
      </c>
      <c r="J72" s="97"/>
      <c r="K72" s="83" t="s">
        <v>30</v>
      </c>
      <c r="L72" s="97"/>
      <c r="M72" s="83" t="s">
        <v>755</v>
      </c>
      <c r="N72" s="83" t="s">
        <v>624</v>
      </c>
      <c r="O72" s="108">
        <v>7690</v>
      </c>
      <c r="P72" s="108">
        <v>2454</v>
      </c>
      <c r="Q72" s="108">
        <v>2400</v>
      </c>
      <c r="R72" s="108"/>
      <c r="S72" s="108">
        <v>3715</v>
      </c>
      <c r="T72" s="108">
        <v>2600</v>
      </c>
      <c r="U72" s="108">
        <v>9825</v>
      </c>
      <c r="V72" s="108">
        <v>1200</v>
      </c>
      <c r="W72" s="108">
        <v>5600</v>
      </c>
      <c r="X72" s="108">
        <v>2910</v>
      </c>
      <c r="Y72" s="108"/>
      <c r="Z72" s="108">
        <v>18</v>
      </c>
      <c r="AA72" s="83" t="s">
        <v>660</v>
      </c>
      <c r="AB72" s="37">
        <v>16000</v>
      </c>
      <c r="AC72" s="108">
        <v>6770</v>
      </c>
      <c r="AD72" s="37"/>
      <c r="AE72" s="37"/>
      <c r="AF72" s="37"/>
      <c r="AG72" s="37"/>
      <c r="AH72" s="108" t="s">
        <v>163</v>
      </c>
      <c r="AI72" s="108" t="s">
        <v>661</v>
      </c>
      <c r="AJ72" s="108"/>
      <c r="AK72" s="108" t="s">
        <v>662</v>
      </c>
      <c r="AL72" s="108"/>
      <c r="AM72" s="108" t="s">
        <v>666</v>
      </c>
      <c r="AN72" s="108"/>
      <c r="AO72" s="108" t="s">
        <v>645</v>
      </c>
      <c r="AP72" s="108"/>
      <c r="AQ72" s="108" t="s">
        <v>646</v>
      </c>
      <c r="AR72" s="108"/>
      <c r="AS72" s="108" t="s">
        <v>647</v>
      </c>
      <c r="AT72" s="108"/>
      <c r="AU72" s="90" t="s">
        <v>667</v>
      </c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6">
        <v>0</v>
      </c>
    </row>
    <row r="73" spans="1:70" s="87" customFormat="1" ht="24.95" customHeight="1" x14ac:dyDescent="0.25">
      <c r="A73" s="9" t="s">
        <v>204</v>
      </c>
      <c r="B73" s="92" t="s">
        <v>703</v>
      </c>
      <c r="C73" s="36"/>
      <c r="D73" s="84"/>
      <c r="E73" s="83" t="s">
        <v>659</v>
      </c>
      <c r="F73" s="83" t="s">
        <v>50</v>
      </c>
      <c r="G73" s="83" t="s">
        <v>42</v>
      </c>
      <c r="H73" s="83" t="s">
        <v>12</v>
      </c>
      <c r="I73" s="83" t="s">
        <v>7</v>
      </c>
      <c r="J73" s="97"/>
      <c r="K73" s="83" t="s">
        <v>30</v>
      </c>
      <c r="L73" s="97"/>
      <c r="M73" s="83" t="s">
        <v>756</v>
      </c>
      <c r="N73" s="83" t="s">
        <v>624</v>
      </c>
      <c r="O73" s="108">
        <v>7690</v>
      </c>
      <c r="P73" s="108">
        <v>2454</v>
      </c>
      <c r="Q73" s="108">
        <v>2400</v>
      </c>
      <c r="R73" s="108"/>
      <c r="S73" s="108">
        <v>3715</v>
      </c>
      <c r="T73" s="108">
        <v>2600</v>
      </c>
      <c r="U73" s="108">
        <v>9825</v>
      </c>
      <c r="V73" s="108">
        <v>1200</v>
      </c>
      <c r="W73" s="108">
        <v>5600</v>
      </c>
      <c r="X73" s="108">
        <v>2910</v>
      </c>
      <c r="Y73" s="108"/>
      <c r="Z73" s="108">
        <v>18</v>
      </c>
      <c r="AA73" s="83" t="s">
        <v>660</v>
      </c>
      <c r="AB73" s="37">
        <v>16000</v>
      </c>
      <c r="AC73" s="108">
        <v>6770</v>
      </c>
      <c r="AD73" s="37"/>
      <c r="AE73" s="37"/>
      <c r="AF73" s="37"/>
      <c r="AG73" s="37"/>
      <c r="AH73" s="108" t="s">
        <v>163</v>
      </c>
      <c r="AI73" s="108" t="s">
        <v>661</v>
      </c>
      <c r="AJ73" s="108"/>
      <c r="AK73" s="108" t="s">
        <v>662</v>
      </c>
      <c r="AL73" s="108"/>
      <c r="AM73" s="108" t="s">
        <v>666</v>
      </c>
      <c r="AN73" s="108"/>
      <c r="AO73" s="108" t="s">
        <v>645</v>
      </c>
      <c r="AP73" s="108"/>
      <c r="AQ73" s="108" t="s">
        <v>646</v>
      </c>
      <c r="AR73" s="108"/>
      <c r="AS73" s="108" t="s">
        <v>647</v>
      </c>
      <c r="AT73" s="108"/>
      <c r="AU73" s="90" t="s">
        <v>667</v>
      </c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6">
        <v>0</v>
      </c>
    </row>
    <row r="74" spans="1:70" s="87" customFormat="1" ht="24.95" customHeight="1" x14ac:dyDescent="0.25">
      <c r="A74" s="9" t="s">
        <v>204</v>
      </c>
      <c r="B74" s="92" t="s">
        <v>703</v>
      </c>
      <c r="C74" s="36"/>
      <c r="D74" s="84"/>
      <c r="E74" s="83" t="s">
        <v>659</v>
      </c>
      <c r="F74" s="83" t="s">
        <v>50</v>
      </c>
      <c r="G74" s="83" t="s">
        <v>43</v>
      </c>
      <c r="H74" s="83" t="s">
        <v>12</v>
      </c>
      <c r="I74" s="83" t="s">
        <v>7</v>
      </c>
      <c r="J74" s="97"/>
      <c r="K74" s="83" t="s">
        <v>30</v>
      </c>
      <c r="L74" s="97"/>
      <c r="M74" s="83" t="s">
        <v>2789</v>
      </c>
      <c r="N74" s="83" t="s">
        <v>624</v>
      </c>
      <c r="O74" s="108">
        <v>8890</v>
      </c>
      <c r="P74" s="108">
        <v>2454</v>
      </c>
      <c r="Q74" s="108">
        <v>2400</v>
      </c>
      <c r="R74" s="108"/>
      <c r="S74" s="108">
        <v>3802</v>
      </c>
      <c r="T74" s="108">
        <v>2600</v>
      </c>
      <c r="U74" s="108">
        <v>11200</v>
      </c>
      <c r="V74" s="108">
        <v>1287</v>
      </c>
      <c r="W74" s="108">
        <v>6450</v>
      </c>
      <c r="X74" s="108">
        <v>3330</v>
      </c>
      <c r="Y74" s="108"/>
      <c r="Z74" s="108">
        <v>21</v>
      </c>
      <c r="AA74" s="83" t="s">
        <v>668</v>
      </c>
      <c r="AB74" s="85">
        <v>19000</v>
      </c>
      <c r="AC74" s="108">
        <v>8030</v>
      </c>
      <c r="AD74" s="37"/>
      <c r="AE74" s="37"/>
      <c r="AF74" s="37"/>
      <c r="AG74" s="37"/>
      <c r="AH74" s="108" t="s">
        <v>164</v>
      </c>
      <c r="AI74" s="108" t="s">
        <v>669</v>
      </c>
      <c r="AJ74" s="108"/>
      <c r="AK74" s="108" t="s">
        <v>670</v>
      </c>
      <c r="AL74" s="108"/>
      <c r="AM74" s="108" t="s">
        <v>671</v>
      </c>
      <c r="AN74" s="108"/>
      <c r="AO74" s="108" t="s">
        <v>655</v>
      </c>
      <c r="AP74" s="108"/>
      <c r="AQ74" s="108" t="s">
        <v>641</v>
      </c>
      <c r="AR74" s="108"/>
      <c r="AS74" s="108" t="s">
        <v>647</v>
      </c>
      <c r="AT74" s="108"/>
      <c r="AU74" s="83" t="s">
        <v>72</v>
      </c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6">
        <v>0</v>
      </c>
    </row>
    <row r="75" spans="1:70" s="87" customFormat="1" ht="24.95" customHeight="1" x14ac:dyDescent="0.25">
      <c r="A75" s="9" t="s">
        <v>204</v>
      </c>
      <c r="B75" s="92" t="s">
        <v>703</v>
      </c>
      <c r="C75" s="36"/>
      <c r="D75" s="84"/>
      <c r="E75" s="83" t="s">
        <v>659</v>
      </c>
      <c r="F75" s="83" t="s">
        <v>50</v>
      </c>
      <c r="G75" s="83" t="s">
        <v>43</v>
      </c>
      <c r="H75" s="83" t="s">
        <v>12</v>
      </c>
      <c r="I75" s="83" t="s">
        <v>7</v>
      </c>
      <c r="J75" s="97"/>
      <c r="K75" s="83" t="s">
        <v>30</v>
      </c>
      <c r="L75" s="97"/>
      <c r="M75" s="83" t="s">
        <v>2790</v>
      </c>
      <c r="N75" s="83" t="s">
        <v>624</v>
      </c>
      <c r="O75" s="108">
        <v>8890</v>
      </c>
      <c r="P75" s="108">
        <v>2454</v>
      </c>
      <c r="Q75" s="108">
        <v>2400</v>
      </c>
      <c r="R75" s="108"/>
      <c r="S75" s="108">
        <v>3802</v>
      </c>
      <c r="T75" s="108">
        <v>2600</v>
      </c>
      <c r="U75" s="108">
        <v>11200</v>
      </c>
      <c r="V75" s="108">
        <v>1287</v>
      </c>
      <c r="W75" s="108">
        <v>6450</v>
      </c>
      <c r="X75" s="108">
        <v>3330</v>
      </c>
      <c r="Y75" s="108"/>
      <c r="Z75" s="108">
        <v>21</v>
      </c>
      <c r="AA75" s="83" t="s">
        <v>668</v>
      </c>
      <c r="AB75" s="85">
        <v>19000</v>
      </c>
      <c r="AC75" s="108">
        <v>8030</v>
      </c>
      <c r="AD75" s="37"/>
      <c r="AE75" s="37"/>
      <c r="AF75" s="37"/>
      <c r="AG75" s="37"/>
      <c r="AH75" s="108" t="s">
        <v>164</v>
      </c>
      <c r="AI75" s="108" t="s">
        <v>669</v>
      </c>
      <c r="AJ75" s="108"/>
      <c r="AK75" s="108" t="s">
        <v>670</v>
      </c>
      <c r="AL75" s="108"/>
      <c r="AM75" s="108" t="s">
        <v>671</v>
      </c>
      <c r="AN75" s="108"/>
      <c r="AO75" s="108" t="s">
        <v>655</v>
      </c>
      <c r="AP75" s="108"/>
      <c r="AQ75" s="108" t="s">
        <v>641</v>
      </c>
      <c r="AR75" s="108"/>
      <c r="AS75" s="108" t="s">
        <v>647</v>
      </c>
      <c r="AT75" s="108"/>
      <c r="AU75" s="83" t="s">
        <v>72</v>
      </c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6">
        <v>0</v>
      </c>
    </row>
    <row r="76" spans="1:70" s="87" customFormat="1" ht="24.95" customHeight="1" x14ac:dyDescent="0.25">
      <c r="A76" s="9" t="s">
        <v>204</v>
      </c>
      <c r="B76" s="92" t="s">
        <v>703</v>
      </c>
      <c r="C76" s="36"/>
      <c r="D76" s="84"/>
      <c r="E76" s="83" t="s">
        <v>659</v>
      </c>
      <c r="F76" s="83" t="s">
        <v>676</v>
      </c>
      <c r="G76" s="83" t="s">
        <v>45</v>
      </c>
      <c r="H76" s="83"/>
      <c r="I76" s="83"/>
      <c r="J76" s="97"/>
      <c r="K76" s="83" t="s">
        <v>677</v>
      </c>
      <c r="L76" s="97"/>
      <c r="M76" s="83" t="s">
        <v>2757</v>
      </c>
      <c r="N76" s="83" t="s">
        <v>31</v>
      </c>
      <c r="O76" s="37"/>
      <c r="P76" s="37"/>
      <c r="Q76" s="37"/>
      <c r="R76" s="37"/>
      <c r="S76" s="37">
        <v>3924</v>
      </c>
      <c r="T76" s="37">
        <v>2534</v>
      </c>
      <c r="U76" s="37">
        <v>5990</v>
      </c>
      <c r="V76" s="37"/>
      <c r="W76" s="37">
        <v>3800</v>
      </c>
      <c r="X76" s="37">
        <v>825</v>
      </c>
      <c r="Y76" s="37"/>
      <c r="Z76" s="37"/>
      <c r="AA76" s="37" t="s">
        <v>678</v>
      </c>
      <c r="AB76" s="37">
        <v>19000</v>
      </c>
      <c r="AC76" s="37"/>
      <c r="AD76" s="37"/>
      <c r="AE76" s="37"/>
      <c r="AF76" s="37">
        <v>44000</v>
      </c>
      <c r="AG76" s="37"/>
      <c r="AH76" s="37"/>
      <c r="AI76" s="108" t="s">
        <v>679</v>
      </c>
      <c r="AJ76" s="108"/>
      <c r="AK76" s="108" t="s">
        <v>680</v>
      </c>
      <c r="AL76" s="108"/>
      <c r="AM76" s="108" t="s">
        <v>681</v>
      </c>
      <c r="AN76" s="108"/>
      <c r="AO76" s="108"/>
      <c r="AP76" s="108"/>
      <c r="AQ76" s="108"/>
      <c r="AR76" s="108"/>
      <c r="AS76" s="108"/>
      <c r="AT76" s="108"/>
      <c r="AU76" s="83" t="s">
        <v>682</v>
      </c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6">
        <f>IF(CONCATENATE(A76,B76,C76,D76,E76,F76,G76,H76,I76,J76,K76,L76,M76,N76,O76,P76,Q76,R76,S76,T76,U76,V76,W76,X76,Y76,Z76,AA76,AB76,AC76,AD76,AE76,AF76,AG76,AH76,AI76,AK76,AM76,AO76,AQ76,AS76,AU76,AV76,AW76,AX76,AY76,AZ76,BA76,BB76,BC76,BD76,BE76,BF76,BG76,BH76,BI76,BJ76,BK76,BL76,BM76,BN76,BO76,BP76,BQ76)=(CONCATENATE([1]FS_referentiel_produits_std!A57,[1]FS_referentiel_produits_std!B57,[1]FS_referentiel_produits_std!C57,[1]FS_referentiel_produits_std!D57,[1]FS_referentiel_produits_std!E57,[1]FS_referentiel_produits_std!F57,[1]FS_referentiel_produits_std!G57,[1]FS_referentiel_produits_std!H57,[1]FS_referentiel_produits_std!I57,[1]FS_referentiel_produits_std!J57,[1]FS_referentiel_produits_std!K57,[1]FS_referentiel_produits_std!L57,[1]FS_referentiel_produits_std!M57,[1]FS_referentiel_produits_std!N57,[1]FS_referentiel_produits_std!O57,[1]FS_referentiel_produits_std!P57,[1]FS_referentiel_produits_std!Q57,[1]FS_referentiel_produits_std!R57,[1]FS_referentiel_produits_std!S57,[1]FS_referentiel_produits_std!T57,[1]FS_referentiel_produits_std!U57,[1]FS_referentiel_produits_std!V57,[1]FS_referentiel_produits_std!W57,[1]FS_referentiel_produits_std!X57,[1]FS_referentiel_produits_std!Y57,[1]FS_referentiel_produits_std!Z57,[1]FS_referentiel_produits_std!AA57,[1]FS_referentiel_produits_std!AB57,[1]FS_referentiel_produits_std!AC57,[1]FS_referentiel_produits_std!AD57,[1]FS_referentiel_produits_std!AE57,[1]FS_referentiel_produits_std!AF57,[1]FS_referentiel_produits_std!AG57,[1]FS_referentiel_produits_std!AH57,[1]FS_referentiel_produits_std!AI57,[1]FS_referentiel_produits_std!AJ57,[1]FS_referentiel_produits_std!AK57,[1]FS_referentiel_produits_std!AL57,[1]FS_referentiel_produits_std!AM57,[1]FS_referentiel_produits_std!AN57,[1]FS_referentiel_produits_std!AO57,[1]FS_referentiel_produits_std!AP57,[1]FS_referentiel_produits_std!AQ57,[1]FS_referentiel_produits_std!AR57,[1]FS_referentiel_produits_std!AS57,[1]FS_referentiel_produits_std!AT57,[1]FS_referentiel_produits_std!AU57,[1]FS_referentiel_produits_std!AV57,[1]FS_referentiel_produits_std!AW57,[1]FS_referentiel_produits_std!AX57,[1]FS_referentiel_produits_std!AY57,[1]FS_referentiel_produits_std!AZ57,[1]FS_referentiel_produits_std!BA57,[1]FS_referentiel_produits_std!BB57,[1]FS_referentiel_produits_std!BC57,[1]FS_referentiel_produits_std!BD57,[1]FS_referentiel_produits_std!BE57,[1]FS_referentiel_produits_std!BF57,[1]FS_referentiel_produits_std!BG57,[1]FS_referentiel_produits_std!BH57,[1]FS_referentiel_produits_std!BI57,[1]FS_referentiel_produits_std!BJ57,[1]FS_referentiel_produits_std!BK57)),0,1)</f>
        <v>1</v>
      </c>
    </row>
    <row r="77" spans="1:70" s="87" customFormat="1" ht="24.95" customHeight="1" x14ac:dyDescent="0.25">
      <c r="A77" s="9" t="s">
        <v>204</v>
      </c>
      <c r="B77" s="92" t="s">
        <v>703</v>
      </c>
      <c r="C77" s="36"/>
      <c r="D77" s="84"/>
      <c r="E77" s="83" t="s">
        <v>683</v>
      </c>
      <c r="F77" s="83" t="s">
        <v>684</v>
      </c>
      <c r="G77" s="83" t="s">
        <v>685</v>
      </c>
      <c r="H77" s="83" t="s">
        <v>29</v>
      </c>
      <c r="I77" s="83"/>
      <c r="J77" s="97"/>
      <c r="K77" s="83" t="s">
        <v>683</v>
      </c>
      <c r="L77" s="97"/>
      <c r="M77" s="83" t="s">
        <v>757</v>
      </c>
      <c r="N77" s="83" t="s">
        <v>31</v>
      </c>
      <c r="O77" s="37">
        <v>13389</v>
      </c>
      <c r="P77" s="37">
        <v>2453</v>
      </c>
      <c r="Q77" s="37">
        <v>2600</v>
      </c>
      <c r="R77" s="37"/>
      <c r="S77" s="37"/>
      <c r="T77" s="37"/>
      <c r="U77" s="37"/>
      <c r="V77" s="37"/>
      <c r="W77" s="37">
        <v>7450</v>
      </c>
      <c r="X77" s="37"/>
      <c r="Y77" s="37"/>
      <c r="Z77" s="108">
        <v>33</v>
      </c>
      <c r="AA77" s="83" t="s">
        <v>704</v>
      </c>
      <c r="AB77" s="37">
        <v>38000</v>
      </c>
      <c r="AC77" s="37"/>
      <c r="AD77" s="37"/>
      <c r="AE77" s="37"/>
      <c r="AF77" s="37"/>
      <c r="AG77" s="37"/>
      <c r="AH77" s="108" t="s">
        <v>686</v>
      </c>
      <c r="AI77" s="108"/>
      <c r="AJ77" s="108"/>
      <c r="AK77" s="108"/>
      <c r="AL77" s="108"/>
      <c r="AM77" s="108" t="s">
        <v>687</v>
      </c>
      <c r="AN77" s="108"/>
      <c r="AO77" s="108" t="s">
        <v>705</v>
      </c>
      <c r="AP77" s="108"/>
      <c r="AQ77" s="108" t="s">
        <v>706</v>
      </c>
      <c r="AR77" s="108"/>
      <c r="AS77" s="108"/>
      <c r="AT77" s="108"/>
      <c r="AU77" s="83" t="s">
        <v>707</v>
      </c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6">
        <f>IF(CONCATENATE(A77,B77,C77,D77,E77,F77,G77,H77,I77,J77,K77,L77,M77,N77,O77,P77,Q77,R77,S77,T77,U77,V77,W77,X77,Y77,Z77,AA77,AB77,AC77,AD77,AE77,AF77,AG77,AH77,AI77,AK77,AM77,AO77,AQ77,AS77,AU77,AV77,AW77,AX77,AY77,AZ77,BA77,BB77,BC77,BD77,BE77,BF77,BG77,BH77,BI77,BJ77,BK77,BL77,BM77,BN77,BO77,BP77,BQ77)=(CONCATENATE([1]FS_referentiel_produits_std!A58,[1]FS_referentiel_produits_std!B58,[1]FS_referentiel_produits_std!C58,[1]FS_referentiel_produits_std!D58,[1]FS_referentiel_produits_std!E58,[1]FS_referentiel_produits_std!F58,[1]FS_referentiel_produits_std!G58,[1]FS_referentiel_produits_std!H58,[1]FS_referentiel_produits_std!I58,[1]FS_referentiel_produits_std!J58,[1]FS_referentiel_produits_std!K58,[1]FS_referentiel_produits_std!L58,[1]FS_referentiel_produits_std!M58,[1]FS_referentiel_produits_std!N58,[1]FS_referentiel_produits_std!O58,[1]FS_referentiel_produits_std!P58,[1]FS_referentiel_produits_std!Q58,[1]FS_referentiel_produits_std!R58,[1]FS_referentiel_produits_std!S58,[1]FS_referentiel_produits_std!T58,[1]FS_referentiel_produits_std!U58,[1]FS_referentiel_produits_std!V58,[1]FS_referentiel_produits_std!W58,[1]FS_referentiel_produits_std!X58,[1]FS_referentiel_produits_std!Y58,[1]FS_referentiel_produits_std!Z58,[1]FS_referentiel_produits_std!AA58,[1]FS_referentiel_produits_std!AB58,[1]FS_referentiel_produits_std!AC58,[1]FS_referentiel_produits_std!AD58,[1]FS_referentiel_produits_std!AE58,[1]FS_referentiel_produits_std!AF58,[1]FS_referentiel_produits_std!AG58,[1]FS_referentiel_produits_std!AH58,[1]FS_referentiel_produits_std!AI58,[1]FS_referentiel_produits_std!AJ58,[1]FS_referentiel_produits_std!AK58,[1]FS_referentiel_produits_std!AL58,[1]FS_referentiel_produits_std!AM58,[1]FS_referentiel_produits_std!AN58,[1]FS_referentiel_produits_std!AO58,[1]FS_referentiel_produits_std!AP58,[1]FS_referentiel_produits_std!AQ58,[1]FS_referentiel_produits_std!AR58,[1]FS_referentiel_produits_std!AS58,[1]FS_referentiel_produits_std!AT58,[1]FS_referentiel_produits_std!AU58,[1]FS_referentiel_produits_std!AV58,[1]FS_referentiel_produits_std!AW58,[1]FS_referentiel_produits_std!AX58,[1]FS_referentiel_produits_std!AY58,[1]FS_referentiel_produits_std!AZ58,[1]FS_referentiel_produits_std!BA58,[1]FS_referentiel_produits_std!BB58,[1]FS_referentiel_produits_std!BC58,[1]FS_referentiel_produits_std!BD58,[1]FS_referentiel_produits_std!BE58,[1]FS_referentiel_produits_std!BF58,[1]FS_referentiel_produits_std!BG58,[1]FS_referentiel_produits_std!BH58,[1]FS_referentiel_produits_std!BI58,[1]FS_referentiel_produits_std!BJ58,[1]FS_referentiel_produits_std!BK58)),0,1)</f>
        <v>1</v>
      </c>
    </row>
    <row r="78" spans="1:70" s="87" customFormat="1" ht="24.95" customHeight="1" x14ac:dyDescent="0.25">
      <c r="A78" s="9" t="s">
        <v>204</v>
      </c>
      <c r="B78" s="92" t="s">
        <v>703</v>
      </c>
      <c r="C78" s="36"/>
      <c r="D78" s="84"/>
      <c r="E78" s="83" t="s">
        <v>683</v>
      </c>
      <c r="F78" s="83" t="s">
        <v>684</v>
      </c>
      <c r="G78" s="83" t="s">
        <v>685</v>
      </c>
      <c r="H78" s="83" t="s">
        <v>29</v>
      </c>
      <c r="I78" s="83"/>
      <c r="J78" s="97"/>
      <c r="K78" s="83" t="s">
        <v>683</v>
      </c>
      <c r="L78" s="97"/>
      <c r="M78" s="83" t="s">
        <v>2769</v>
      </c>
      <c r="N78" s="83" t="s">
        <v>31</v>
      </c>
      <c r="O78" s="37">
        <v>13389</v>
      </c>
      <c r="P78" s="37">
        <v>2453</v>
      </c>
      <c r="Q78" s="37">
        <v>2600</v>
      </c>
      <c r="R78" s="37"/>
      <c r="S78" s="37"/>
      <c r="T78" s="37"/>
      <c r="U78" s="37"/>
      <c r="V78" s="37"/>
      <c r="W78" s="37">
        <v>7450</v>
      </c>
      <c r="X78" s="37"/>
      <c r="Y78" s="37"/>
      <c r="Z78" s="108">
        <v>33</v>
      </c>
      <c r="AA78" s="83" t="s">
        <v>704</v>
      </c>
      <c r="AB78" s="37">
        <v>38000</v>
      </c>
      <c r="AC78" s="37"/>
      <c r="AD78" s="37"/>
      <c r="AE78" s="37"/>
      <c r="AF78" s="37"/>
      <c r="AG78" s="37"/>
      <c r="AH78" s="108" t="s">
        <v>686</v>
      </c>
      <c r="AI78" s="108"/>
      <c r="AJ78" s="108"/>
      <c r="AK78" s="108"/>
      <c r="AL78" s="108"/>
      <c r="AM78" s="108" t="s">
        <v>687</v>
      </c>
      <c r="AN78" s="108"/>
      <c r="AO78" s="108" t="s">
        <v>705</v>
      </c>
      <c r="AP78" s="108"/>
      <c r="AQ78" s="108" t="s">
        <v>706</v>
      </c>
      <c r="AR78" s="108"/>
      <c r="AS78" s="108"/>
      <c r="AT78" s="108"/>
      <c r="AU78" s="83" t="s">
        <v>707</v>
      </c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6">
        <f>IF(CONCATENATE(A78,B78,C78,D78,E78,F78,G78,H78,I78,J78,K78,L78,M78,N78,O78,P78,Q78,R78,S78,T78,U78,V78,W78,X78,Y78,Z78,AA78,AB78,AC78,AD78,AE78,AF78,AG78,AH78,AI78,AK78,AM78,AO78,AQ78,AS78,AU78,AV78,AW78,AX78,AY78,AZ78,BA78,BB78,BC78,BD78,BE78,BF78,BG78,BH78,BI78,BJ78,BK78,BL78,BM78,BN78,BO78,BP78,BQ78)=(CONCATENATE([1]FS_referentiel_produits_std!A60,[1]FS_referentiel_produits_std!B60,[1]FS_referentiel_produits_std!C60,[1]FS_referentiel_produits_std!D60,[1]FS_referentiel_produits_std!E60,[1]FS_referentiel_produits_std!F60,[1]FS_referentiel_produits_std!G60,[1]FS_referentiel_produits_std!H60,[1]FS_referentiel_produits_std!I60,[1]FS_referentiel_produits_std!J60,[1]FS_referentiel_produits_std!K60,[1]FS_referentiel_produits_std!L60,[1]FS_referentiel_produits_std!M60,[1]FS_referentiel_produits_std!N60,[1]FS_referentiel_produits_std!O60,[1]FS_referentiel_produits_std!P60,[1]FS_referentiel_produits_std!Q60,[1]FS_referentiel_produits_std!R60,[1]FS_referentiel_produits_std!S60,[1]FS_referentiel_produits_std!T60,[1]FS_referentiel_produits_std!U60,[1]FS_referentiel_produits_std!V60,[1]FS_referentiel_produits_std!W60,[1]FS_referentiel_produits_std!X60,[1]FS_referentiel_produits_std!Y60,[1]FS_referentiel_produits_std!Z60,[1]FS_referentiel_produits_std!AA60,[1]FS_referentiel_produits_std!AB60,[1]FS_referentiel_produits_std!AC60,[1]FS_referentiel_produits_std!AD60,[1]FS_referentiel_produits_std!AE60,[1]FS_referentiel_produits_std!AF60,[1]FS_referentiel_produits_std!AG60,[1]FS_referentiel_produits_std!AH60,[1]FS_referentiel_produits_std!AI60,[1]FS_referentiel_produits_std!AJ60,[1]FS_referentiel_produits_std!AK60,[1]FS_referentiel_produits_std!AL60,[1]FS_referentiel_produits_std!AM60,[1]FS_referentiel_produits_std!AN60,[1]FS_referentiel_produits_std!AO60,[1]FS_referentiel_produits_std!AP60,[1]FS_referentiel_produits_std!AQ60,[1]FS_referentiel_produits_std!AR60,[1]FS_referentiel_produits_std!AS60,[1]FS_referentiel_produits_std!AT60,[1]FS_referentiel_produits_std!AU60,[1]FS_referentiel_produits_std!AV60,[1]FS_referentiel_produits_std!AW60,[1]FS_referentiel_produits_std!AX60,[1]FS_referentiel_produits_std!AY60,[1]FS_referentiel_produits_std!AZ60,[1]FS_referentiel_produits_std!BA60,[1]FS_referentiel_produits_std!BB60,[1]FS_referentiel_produits_std!BC60,[1]FS_referentiel_produits_std!BD60,[1]FS_referentiel_produits_std!BE60,[1]FS_referentiel_produits_std!BF60,[1]FS_referentiel_produits_std!BG60,[1]FS_referentiel_produits_std!BH60,[1]FS_referentiel_produits_std!BI60,[1]FS_referentiel_produits_std!BJ60,[1]FS_referentiel_produits_std!BK60)),0,1)</f>
        <v>1</v>
      </c>
    </row>
    <row r="79" spans="1:70" s="87" customFormat="1" ht="24.95" customHeight="1" x14ac:dyDescent="0.25">
      <c r="A79" s="9" t="s">
        <v>204</v>
      </c>
      <c r="B79" s="92" t="s">
        <v>703</v>
      </c>
      <c r="C79" s="36"/>
      <c r="D79" s="84"/>
      <c r="E79" s="83" t="s">
        <v>683</v>
      </c>
      <c r="F79" s="83" t="s">
        <v>684</v>
      </c>
      <c r="G79" s="83" t="s">
        <v>685</v>
      </c>
      <c r="H79" s="83" t="s">
        <v>29</v>
      </c>
      <c r="I79" s="83" t="s">
        <v>7</v>
      </c>
      <c r="J79" s="97"/>
      <c r="K79" s="83" t="s">
        <v>683</v>
      </c>
      <c r="L79" s="97"/>
      <c r="M79" s="83" t="s">
        <v>758</v>
      </c>
      <c r="N79" s="83" t="s">
        <v>624</v>
      </c>
      <c r="O79" s="37">
        <v>13389</v>
      </c>
      <c r="P79" s="37">
        <v>2453</v>
      </c>
      <c r="Q79" s="37">
        <v>2600</v>
      </c>
      <c r="R79" s="37"/>
      <c r="S79" s="37"/>
      <c r="T79" s="37"/>
      <c r="U79" s="37"/>
      <c r="V79" s="37"/>
      <c r="W79" s="37">
        <v>7450</v>
      </c>
      <c r="X79" s="37"/>
      <c r="Y79" s="37"/>
      <c r="Z79" s="108">
        <v>33</v>
      </c>
      <c r="AA79" s="83" t="s">
        <v>708</v>
      </c>
      <c r="AB79" s="37">
        <v>38000</v>
      </c>
      <c r="AC79" s="37"/>
      <c r="AD79" s="37"/>
      <c r="AE79" s="37"/>
      <c r="AF79" s="37"/>
      <c r="AG79" s="37"/>
      <c r="AH79" s="108" t="s">
        <v>686</v>
      </c>
      <c r="AI79" s="108"/>
      <c r="AJ79" s="108"/>
      <c r="AK79" s="108"/>
      <c r="AL79" s="108"/>
      <c r="AM79" s="108" t="s">
        <v>687</v>
      </c>
      <c r="AN79" s="108"/>
      <c r="AO79" s="108" t="s">
        <v>709</v>
      </c>
      <c r="AP79" s="108"/>
      <c r="AQ79" s="108" t="s">
        <v>706</v>
      </c>
      <c r="AR79" s="108"/>
      <c r="AS79" s="108" t="s">
        <v>692</v>
      </c>
      <c r="AT79" s="108"/>
      <c r="AU79" s="83" t="s">
        <v>710</v>
      </c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6">
        <f>IF(CONCATENATE(A79,B79,C79,D79,E79,F79,G79,H79,I79,J79,K79,L79,M79,N79,O79,P79,Q79,R79,S79,T79,U79,V79,W79,X79,Y79,Z79,AA79,AB79,AC79,AD79,AE79,AF79,AG79,AH79,AI79,AK79,AM79,AO79,AQ79,AS79,AU79,AV79,AW79,AX79,AY79,AZ79,BA79,BB79,BC79,BD79,BE79,BF79,BG79,BH79,BI79,BJ79,BK79,BL79,BM79,BN79,BO79,BP79,BQ79)=(CONCATENATE([1]FS_referentiel_produits_std!A59,[1]FS_referentiel_produits_std!B59,[1]FS_referentiel_produits_std!C59,[1]FS_referentiel_produits_std!D59,[1]FS_referentiel_produits_std!E59,[1]FS_referentiel_produits_std!F59,[1]FS_referentiel_produits_std!G59,[1]FS_referentiel_produits_std!H59,[1]FS_referentiel_produits_std!I59,[1]FS_referentiel_produits_std!J59,[1]FS_referentiel_produits_std!K59,[1]FS_referentiel_produits_std!L59,[1]FS_referentiel_produits_std!M59,[1]FS_referentiel_produits_std!N59,[1]FS_referentiel_produits_std!O59,[1]FS_referentiel_produits_std!P59,[1]FS_referentiel_produits_std!Q59,[1]FS_referentiel_produits_std!R59,[1]FS_referentiel_produits_std!S59,[1]FS_referentiel_produits_std!T59,[1]FS_referentiel_produits_std!U59,[1]FS_referentiel_produits_std!V59,[1]FS_referentiel_produits_std!W59,[1]FS_referentiel_produits_std!X59,[1]FS_referentiel_produits_std!Y59,[1]FS_referentiel_produits_std!Z59,[1]FS_referentiel_produits_std!AA59,[1]FS_referentiel_produits_std!AB59,[1]FS_referentiel_produits_std!AC59,[1]FS_referentiel_produits_std!AD59,[1]FS_referentiel_produits_std!AE59,[1]FS_referentiel_produits_std!AF59,[1]FS_referentiel_produits_std!AG59,[1]FS_referentiel_produits_std!AH59,[1]FS_referentiel_produits_std!AI59,[1]FS_referentiel_produits_std!AJ59,[1]FS_referentiel_produits_std!AK59,[1]FS_referentiel_produits_std!AL59,[1]FS_referentiel_produits_std!AM59,[1]FS_referentiel_produits_std!AN59,[1]FS_referentiel_produits_std!AO59,[1]FS_referentiel_produits_std!AP59,[1]FS_referentiel_produits_std!AQ59,[1]FS_referentiel_produits_std!AR59,[1]FS_referentiel_produits_std!AS59,[1]FS_referentiel_produits_std!AT59,[1]FS_referentiel_produits_std!AU59,[1]FS_referentiel_produits_std!AV59,[1]FS_referentiel_produits_std!AW59,[1]FS_referentiel_produits_std!AX59,[1]FS_referentiel_produits_std!AY59,[1]FS_referentiel_produits_std!AZ59,[1]FS_referentiel_produits_std!BA59,[1]FS_referentiel_produits_std!BB59,[1]FS_referentiel_produits_std!BC59,[1]FS_referentiel_produits_std!BD59,[1]FS_referentiel_produits_std!BE59,[1]FS_referentiel_produits_std!BF59,[1]FS_referentiel_produits_std!BG59,[1]FS_referentiel_produits_std!BH59,[1]FS_referentiel_produits_std!BI59,[1]FS_referentiel_produits_std!BJ59,[1]FS_referentiel_produits_std!BK59)),0,1)</f>
        <v>1</v>
      </c>
    </row>
    <row r="80" spans="1:70" s="87" customFormat="1" ht="24.95" customHeight="1" x14ac:dyDescent="0.25">
      <c r="A80" s="9" t="s">
        <v>204</v>
      </c>
      <c r="B80" s="92" t="s">
        <v>703</v>
      </c>
      <c r="C80" s="36"/>
      <c r="D80" s="84"/>
      <c r="E80" s="83" t="s">
        <v>683</v>
      </c>
      <c r="F80" s="83" t="s">
        <v>684</v>
      </c>
      <c r="G80" s="83" t="s">
        <v>685</v>
      </c>
      <c r="H80" s="83" t="s">
        <v>29</v>
      </c>
      <c r="I80" s="83" t="s">
        <v>7</v>
      </c>
      <c r="J80" s="97"/>
      <c r="K80" s="83" t="s">
        <v>683</v>
      </c>
      <c r="L80" s="97"/>
      <c r="M80" s="83" t="s">
        <v>2770</v>
      </c>
      <c r="N80" s="83" t="s">
        <v>624</v>
      </c>
      <c r="O80" s="37">
        <v>13389</v>
      </c>
      <c r="P80" s="37">
        <v>2453</v>
      </c>
      <c r="Q80" s="37">
        <v>2600</v>
      </c>
      <c r="R80" s="37"/>
      <c r="S80" s="37"/>
      <c r="T80" s="37"/>
      <c r="U80" s="37"/>
      <c r="V80" s="37"/>
      <c r="W80" s="37">
        <v>7450</v>
      </c>
      <c r="X80" s="37"/>
      <c r="Y80" s="37"/>
      <c r="Z80" s="108">
        <v>33</v>
      </c>
      <c r="AA80" s="83" t="s">
        <v>708</v>
      </c>
      <c r="AB80" s="37">
        <v>38000</v>
      </c>
      <c r="AC80" s="37"/>
      <c r="AD80" s="37"/>
      <c r="AE80" s="37"/>
      <c r="AF80" s="37"/>
      <c r="AG80" s="37"/>
      <c r="AH80" s="108" t="s">
        <v>686</v>
      </c>
      <c r="AI80" s="108"/>
      <c r="AJ80" s="108"/>
      <c r="AK80" s="108"/>
      <c r="AL80" s="108"/>
      <c r="AM80" s="108" t="s">
        <v>687</v>
      </c>
      <c r="AN80" s="108"/>
      <c r="AO80" s="108" t="s">
        <v>709</v>
      </c>
      <c r="AP80" s="108"/>
      <c r="AQ80" s="108" t="s">
        <v>706</v>
      </c>
      <c r="AR80" s="108"/>
      <c r="AS80" s="108" t="s">
        <v>692</v>
      </c>
      <c r="AT80" s="108"/>
      <c r="AU80" s="83" t="s">
        <v>710</v>
      </c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6">
        <f>IF(CONCATENATE(A80,B80,C80,D80,E80,F80,G80,H80,I80,J80,K80,L80,M80,N80,O80,P80,Q80,R80,S80,T80,U80,V80,W80,X80,Y80,Z80,AA80,AB80,AC80,AD80,AE80,AF80,AG80,AH80,AI80,AK80,AM80,AO80,AQ80,AS80,AU80,AV80,AW80,AX80,AY80,AZ80,BA80,BB80,BC80,BD80,BE80,BF80,BG80,BH80,BI80,BJ80,BK80,BL80,BM80,BN80,BO80,BP80,BQ80)=(CONCATENATE([1]FS_referentiel_produits_std!A61,[1]FS_referentiel_produits_std!B61,[1]FS_referentiel_produits_std!C61,[1]FS_referentiel_produits_std!D61,[1]FS_referentiel_produits_std!E61,[1]FS_referentiel_produits_std!F61,[1]FS_referentiel_produits_std!G61,[1]FS_referentiel_produits_std!H61,[1]FS_referentiel_produits_std!I61,[1]FS_referentiel_produits_std!J61,[1]FS_referentiel_produits_std!K61,[1]FS_referentiel_produits_std!L61,[1]FS_referentiel_produits_std!M61,[1]FS_referentiel_produits_std!N61,[1]FS_referentiel_produits_std!O61,[1]FS_referentiel_produits_std!P61,[1]FS_referentiel_produits_std!Q61,[1]FS_referentiel_produits_std!R61,[1]FS_referentiel_produits_std!S61,[1]FS_referentiel_produits_std!T61,[1]FS_referentiel_produits_std!U61,[1]FS_referentiel_produits_std!V61,[1]FS_referentiel_produits_std!W61,[1]FS_referentiel_produits_std!X61,[1]FS_referentiel_produits_std!Y61,[1]FS_referentiel_produits_std!Z61,[1]FS_referentiel_produits_std!AA61,[1]FS_referentiel_produits_std!AB61,[1]FS_referentiel_produits_std!AC61,[1]FS_referentiel_produits_std!AD61,[1]FS_referentiel_produits_std!AE61,[1]FS_referentiel_produits_std!AF61,[1]FS_referentiel_produits_std!AG61,[1]FS_referentiel_produits_std!AH61,[1]FS_referentiel_produits_std!AI61,[1]FS_referentiel_produits_std!AJ61,[1]FS_referentiel_produits_std!AK61,[1]FS_referentiel_produits_std!AL61,[1]FS_referentiel_produits_std!AM61,[1]FS_referentiel_produits_std!AN61,[1]FS_referentiel_produits_std!AO61,[1]FS_referentiel_produits_std!AP61,[1]FS_referentiel_produits_std!AQ61,[1]FS_referentiel_produits_std!AR61,[1]FS_referentiel_produits_std!AS61,[1]FS_referentiel_produits_std!AT61,[1]FS_referentiel_produits_std!AU61,[1]FS_referentiel_produits_std!AV61,[1]FS_referentiel_produits_std!AW61,[1]FS_referentiel_produits_std!AX61,[1]FS_referentiel_produits_std!AY61,[1]FS_referentiel_produits_std!AZ61,[1]FS_referentiel_produits_std!BA61,[1]FS_referentiel_produits_std!BB61,[1]FS_referentiel_produits_std!BC61,[1]FS_referentiel_produits_std!BD61,[1]FS_referentiel_produits_std!BE61,[1]FS_referentiel_produits_std!BF61,[1]FS_referentiel_produits_std!BG61,[1]FS_referentiel_produits_std!BH61,[1]FS_referentiel_produits_std!BI61,[1]FS_referentiel_produits_std!BJ61,[1]FS_referentiel_produits_std!BK61)),0,1)</f>
        <v>1</v>
      </c>
    </row>
    <row r="81" spans="1:4761" s="104" customFormat="1" ht="30" customHeight="1" x14ac:dyDescent="0.25">
      <c r="A81" s="83" t="s">
        <v>204</v>
      </c>
      <c r="B81" s="36"/>
      <c r="C81" s="36"/>
      <c r="D81" s="96" t="s">
        <v>737</v>
      </c>
      <c r="E81" s="99" t="s">
        <v>33</v>
      </c>
      <c r="F81" s="83" t="s">
        <v>34</v>
      </c>
      <c r="G81" s="83" t="s">
        <v>623</v>
      </c>
      <c r="H81" s="83" t="s">
        <v>2036</v>
      </c>
      <c r="I81" s="83" t="s">
        <v>7</v>
      </c>
      <c r="J81" s="97"/>
      <c r="K81" s="99" t="s">
        <v>2040</v>
      </c>
      <c r="L81" s="97"/>
      <c r="M81" s="83" t="s">
        <v>2765</v>
      </c>
      <c r="N81" s="89" t="s">
        <v>634</v>
      </c>
      <c r="O81" s="113">
        <v>5038</v>
      </c>
      <c r="P81" s="113">
        <v>2218</v>
      </c>
      <c r="Q81" s="113">
        <v>2300</v>
      </c>
      <c r="R81" s="113"/>
      <c r="S81" s="113">
        <v>3500</v>
      </c>
      <c r="T81" s="113">
        <v>2300</v>
      </c>
      <c r="U81" s="113">
        <v>7800</v>
      </c>
      <c r="V81" s="113">
        <v>1150</v>
      </c>
      <c r="W81" s="113">
        <v>4750</v>
      </c>
      <c r="X81" s="113">
        <v>1993</v>
      </c>
      <c r="Y81" s="113"/>
      <c r="Z81" s="113"/>
      <c r="AA81" s="37" t="s">
        <v>2041</v>
      </c>
      <c r="AB81" s="101">
        <v>7200</v>
      </c>
      <c r="AC81" s="108">
        <v>2910</v>
      </c>
      <c r="AD81" s="37"/>
      <c r="AE81" s="37"/>
      <c r="AF81" s="37"/>
      <c r="AG81" s="37"/>
      <c r="AH81" s="109">
        <v>25.9</v>
      </c>
      <c r="AI81" s="111" t="s">
        <v>2037</v>
      </c>
      <c r="AJ81" s="111" t="s">
        <v>627</v>
      </c>
      <c r="AK81" s="111" t="s">
        <v>2038</v>
      </c>
      <c r="AL81" s="108" t="s">
        <v>2042</v>
      </c>
      <c r="AM81" s="111"/>
      <c r="AN81" s="111" t="s">
        <v>2039</v>
      </c>
      <c r="AO81" s="112" t="s">
        <v>2043</v>
      </c>
      <c r="AP81" s="113"/>
      <c r="AQ81" s="113"/>
      <c r="AR81" s="113"/>
      <c r="AS81" s="113"/>
      <c r="AT81" s="113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3">
        <f>IF(CONCATENATE(A81,B81,C81,D81,E81,F81,G81,H81,I81,J81,K81,L81,M81,N81,O81,P81,Q81,R81,S81,T81,U81,V81,W81,X81,Y81,Z81,AA81,AB81,AC81,AD81,AE81,AF81,AG81,AH81,AI81,AJ81,AK81,AL81,AM81,AN81,AO81,AP81,AQ81,AR81,AS81,AT81,AU81,AV81,AW81,AX81,AY81,AZ81,BA81,BB81,BC81,BD81,BE81,BF81,BG81,BH81,BI81,BJ81,BK81)=(CONCATENATE([3]SE_referentiel_produits_std!A97,[3]SE_referentiel_produits_std!B97,[3]SE_referentiel_produits_std!C97,[3]SE_referentiel_produits_std!D97,[3]SE_referentiel_produits_std!E97,[3]SE_referentiel_produits_std!F97,[3]SE_referentiel_produits_std!G97,[3]SE_referentiel_produits_std!H97,[3]SE_referentiel_produits_std!I97,[3]SE_referentiel_produits_std!J97,[3]SE_referentiel_produits_std!K97,[3]SE_referentiel_produits_std!L97,[3]SE_referentiel_produits_std!M97,[3]SE_referentiel_produits_std!N97,[3]SE_referentiel_produits_std!O97,[3]SE_referentiel_produits_std!P97,[3]SE_referentiel_produits_std!Q97,[3]SE_referentiel_produits_std!R97,[3]SE_referentiel_produits_std!S97,[3]SE_referentiel_produits_std!T97,[3]SE_referentiel_produits_std!U97,[3]SE_referentiel_produits_std!V97,[3]SE_referentiel_produits_std!W97,[3]SE_referentiel_produits_std!X97,[3]SE_referentiel_produits_std!Y97,[3]SE_referentiel_produits_std!Z97,[3]SE_referentiel_produits_std!AA97,[3]SE_referentiel_produits_std!AB97,[3]SE_referentiel_produits_std!AC97,[3]SE_referentiel_produits_std!AD97,[3]SE_referentiel_produits_std!AE97,[3]SE_referentiel_produits_std!AF97,[3]SE_referentiel_produits_std!AG97,[3]SE_referentiel_produits_std!AH97,[3]SE_referentiel_produits_std!AI97,[3]SE_referentiel_produits_std!AJ97,[3]SE_referentiel_produits_std!AK97,[3]SE_referentiel_produits_std!AL97,[3]SE_referentiel_produits_std!AM97,[3]SE_referentiel_produits_std!AN97,[3]SE_referentiel_produits_std!AO97,[3]SE_referentiel_produits_std!AP97,[3]SE_referentiel_produits_std!AQ97,[3]SE_referentiel_produits_std!AR97,[3]SE_referentiel_produits_std!AS97,[3]SE_referentiel_produits_std!AT97,[3]SE_referentiel_produits_std!AU97,[3]SE_referentiel_produits_std!AV97,[3]SE_referentiel_produits_std!AW97,[3]SE_referentiel_produits_std!AX97,[3]SE_referentiel_produits_std!AY97,[3]SE_referentiel_produits_std!AZ97,[3]SE_referentiel_produits_std!BA97,[3]SE_referentiel_produits_std!BB97,[3]SE_referentiel_produits_std!BC97,[3]SE_referentiel_produits_std!BD97,[3]SE_referentiel_produits_std!BE97,[3]SE_referentiel_produits_std!BF97,[3]SE_referentiel_produits_std!BG97,[3]SE_referentiel_produits_std!BH97,[3]SE_referentiel_produits_std!BI97,[3]SE_referentiel_produits_std!BJ97,[3]SE_referentiel_produits_std!BK97)),0,1)</f>
        <v>1</v>
      </c>
    </row>
    <row r="82" spans="1:4761" s="104" customFormat="1" ht="30" customHeight="1" x14ac:dyDescent="0.25">
      <c r="A82" s="83" t="s">
        <v>204</v>
      </c>
      <c r="B82" s="36"/>
      <c r="C82" s="36"/>
      <c r="D82" s="96" t="s">
        <v>737</v>
      </c>
      <c r="E82" s="99" t="s">
        <v>33</v>
      </c>
      <c r="F82" s="83" t="s">
        <v>34</v>
      </c>
      <c r="G82" s="83" t="s">
        <v>623</v>
      </c>
      <c r="H82" s="83" t="s">
        <v>2036</v>
      </c>
      <c r="I82" s="83" t="s">
        <v>7</v>
      </c>
      <c r="J82" s="97"/>
      <c r="K82" s="99" t="s">
        <v>2040</v>
      </c>
      <c r="L82" s="97"/>
      <c r="M82" s="83" t="s">
        <v>2767</v>
      </c>
      <c r="N82" s="89" t="s">
        <v>634</v>
      </c>
      <c r="O82" s="113">
        <v>5038</v>
      </c>
      <c r="P82" s="113">
        <v>2218</v>
      </c>
      <c r="Q82" s="113">
        <v>2300</v>
      </c>
      <c r="R82" s="113"/>
      <c r="S82" s="113">
        <v>3500</v>
      </c>
      <c r="T82" s="113">
        <v>2300</v>
      </c>
      <c r="U82" s="113">
        <v>7800</v>
      </c>
      <c r="V82" s="113">
        <v>1150</v>
      </c>
      <c r="W82" s="113">
        <v>4750</v>
      </c>
      <c r="X82" s="113">
        <v>1993</v>
      </c>
      <c r="Y82" s="113"/>
      <c r="Z82" s="113"/>
      <c r="AA82" s="37" t="s">
        <v>2041</v>
      </c>
      <c r="AB82" s="101">
        <v>7200</v>
      </c>
      <c r="AC82" s="108">
        <v>2910</v>
      </c>
      <c r="AD82" s="37"/>
      <c r="AE82" s="37"/>
      <c r="AF82" s="37"/>
      <c r="AG82" s="37"/>
      <c r="AH82" s="109">
        <v>25.9</v>
      </c>
      <c r="AI82" s="111" t="s">
        <v>2037</v>
      </c>
      <c r="AJ82" s="111" t="s">
        <v>627</v>
      </c>
      <c r="AK82" s="111" t="s">
        <v>2038</v>
      </c>
      <c r="AL82" s="108" t="s">
        <v>2042</v>
      </c>
      <c r="AM82" s="111"/>
      <c r="AN82" s="111" t="s">
        <v>2039</v>
      </c>
      <c r="AO82" s="112" t="s">
        <v>2043</v>
      </c>
      <c r="AP82" s="113"/>
      <c r="AQ82" s="113"/>
      <c r="AR82" s="113"/>
      <c r="AS82" s="113"/>
      <c r="AT82" s="113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3">
        <f>IF(CONCATENATE(A82,B82,C82,D82,E82,F82,G82,H82,I82,J82,K82,L82,M82,N82,O82,P82,Q82,R82,S82,T82,U82,V82,W82,X82,Y82,Z82,AA82,AB82,AC82,AD82,AE82,AF82,AG82,AH82,AI82,AJ82,AK82,AL82,AM82,AN82,AO82,AP82,AQ82,AR82,AS82,AT82,AU82,AV82,AW82,AX82,AY82,AZ82,BA82,BB82,BC82,BD82,BE82,BF82,BG82,BH82,BI82,BJ82,BK82)=(CONCATENATE([3]SE_referentiel_produits_std!A98,[3]SE_referentiel_produits_std!B98,[3]SE_referentiel_produits_std!C98,[3]SE_referentiel_produits_std!D98,[3]SE_referentiel_produits_std!E98,[3]SE_referentiel_produits_std!F98,[3]SE_referentiel_produits_std!G98,[3]SE_referentiel_produits_std!H98,[3]SE_referentiel_produits_std!I98,[3]SE_referentiel_produits_std!J98,[3]SE_referentiel_produits_std!K98,[3]SE_referentiel_produits_std!L98,[3]SE_referentiel_produits_std!M98,[3]SE_referentiel_produits_std!N98,[3]SE_referentiel_produits_std!O98,[3]SE_referentiel_produits_std!P98,[3]SE_referentiel_produits_std!Q98,[3]SE_referentiel_produits_std!R98,[3]SE_referentiel_produits_std!S98,[3]SE_referentiel_produits_std!T98,[3]SE_referentiel_produits_std!U98,[3]SE_referentiel_produits_std!V98,[3]SE_referentiel_produits_std!W98,[3]SE_referentiel_produits_std!X98,[3]SE_referentiel_produits_std!Y98,[3]SE_referentiel_produits_std!Z98,[3]SE_referentiel_produits_std!AA98,[3]SE_referentiel_produits_std!AB98,[3]SE_referentiel_produits_std!AC98,[3]SE_referentiel_produits_std!AD98,[3]SE_referentiel_produits_std!AE98,[3]SE_referentiel_produits_std!AF98,[3]SE_referentiel_produits_std!AG98,[3]SE_referentiel_produits_std!AH98,[3]SE_referentiel_produits_std!AI98,[3]SE_referentiel_produits_std!AJ98,[3]SE_referentiel_produits_std!AK98,[3]SE_referentiel_produits_std!AL98,[3]SE_referentiel_produits_std!AM98,[3]SE_referentiel_produits_std!AN98,[3]SE_referentiel_produits_std!AO98,[3]SE_referentiel_produits_std!AP98,[3]SE_referentiel_produits_std!AQ98,[3]SE_referentiel_produits_std!AR98,[3]SE_referentiel_produits_std!AS98,[3]SE_referentiel_produits_std!AT98,[3]SE_referentiel_produits_std!AU98,[3]SE_referentiel_produits_std!AV98,[3]SE_referentiel_produits_std!AW98,[3]SE_referentiel_produits_std!AX98,[3]SE_referentiel_produits_std!AY98,[3]SE_referentiel_produits_std!AZ98,[3]SE_referentiel_produits_std!BA98,[3]SE_referentiel_produits_std!BB98,[3]SE_referentiel_produits_std!BC98,[3]SE_referentiel_produits_std!BD98,[3]SE_referentiel_produits_std!BE98,[3]SE_referentiel_produits_std!BF98,[3]SE_referentiel_produits_std!BG98,[3]SE_referentiel_produits_std!BH98,[3]SE_referentiel_produits_std!BI98,[3]SE_referentiel_produits_std!BJ98,[3]SE_referentiel_produits_std!BK98)),0,1)</f>
        <v>1</v>
      </c>
    </row>
    <row r="83" spans="1:4761" s="104" customFormat="1" ht="30" customHeight="1" x14ac:dyDescent="0.25">
      <c r="A83" s="83" t="s">
        <v>204</v>
      </c>
      <c r="B83" s="36"/>
      <c r="C83" s="36"/>
      <c r="D83" s="96" t="s">
        <v>737</v>
      </c>
      <c r="E83" s="83" t="s">
        <v>33</v>
      </c>
      <c r="F83" s="83" t="s">
        <v>37</v>
      </c>
      <c r="G83" s="83" t="s">
        <v>41</v>
      </c>
      <c r="H83" s="83" t="s">
        <v>2036</v>
      </c>
      <c r="I83" s="83" t="s">
        <v>7</v>
      </c>
      <c r="J83" s="97"/>
      <c r="K83" s="99" t="s">
        <v>2040</v>
      </c>
      <c r="L83" s="97"/>
      <c r="M83" s="99" t="s">
        <v>2054</v>
      </c>
      <c r="N83" s="102" t="s">
        <v>31</v>
      </c>
      <c r="O83" s="115">
        <v>7925</v>
      </c>
      <c r="P83" s="115">
        <v>2468</v>
      </c>
      <c r="Q83" s="115">
        <v>2400</v>
      </c>
      <c r="R83" s="115"/>
      <c r="S83" s="115">
        <v>3650</v>
      </c>
      <c r="T83" s="115">
        <v>2550</v>
      </c>
      <c r="U83" s="115">
        <v>10100</v>
      </c>
      <c r="V83" s="115">
        <v>1198</v>
      </c>
      <c r="W83" s="115">
        <v>5900</v>
      </c>
      <c r="X83" s="115">
        <v>2875</v>
      </c>
      <c r="Y83" s="115"/>
      <c r="Z83" s="115">
        <v>18</v>
      </c>
      <c r="AA83" s="38" t="s">
        <v>2060</v>
      </c>
      <c r="AB83" s="101">
        <v>16000</v>
      </c>
      <c r="AC83" s="108">
        <v>8050</v>
      </c>
      <c r="AD83" s="37"/>
      <c r="AE83" s="37"/>
      <c r="AF83" s="37"/>
      <c r="AG83" s="37"/>
      <c r="AH83" s="109">
        <v>46.9</v>
      </c>
      <c r="AI83" s="111" t="s">
        <v>2045</v>
      </c>
      <c r="AJ83" s="111" t="s">
        <v>2046</v>
      </c>
      <c r="AK83" s="111" t="s">
        <v>666</v>
      </c>
      <c r="AL83" s="111" t="s">
        <v>2047</v>
      </c>
      <c r="AM83" s="111"/>
      <c r="AN83" s="111" t="s">
        <v>2048</v>
      </c>
      <c r="AO83" s="114" t="s">
        <v>2049</v>
      </c>
      <c r="AP83" s="115"/>
      <c r="AQ83" s="115"/>
      <c r="AR83" s="115"/>
      <c r="AS83" s="115"/>
      <c r="AT83" s="11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3">
        <v>0</v>
      </c>
    </row>
    <row r="84" spans="1:4761" s="104" customFormat="1" ht="30" customHeight="1" x14ac:dyDescent="0.25">
      <c r="A84" s="83" t="s">
        <v>204</v>
      </c>
      <c r="B84" s="36"/>
      <c r="C84" s="36"/>
      <c r="D84" s="96" t="s">
        <v>737</v>
      </c>
      <c r="E84" s="83" t="s">
        <v>33</v>
      </c>
      <c r="F84" s="83" t="s">
        <v>37</v>
      </c>
      <c r="G84" s="83" t="s">
        <v>42</v>
      </c>
      <c r="H84" s="83" t="s">
        <v>2036</v>
      </c>
      <c r="I84" s="83" t="s">
        <v>7</v>
      </c>
      <c r="J84" s="97"/>
      <c r="K84" s="99" t="s">
        <v>2040</v>
      </c>
      <c r="L84" s="97"/>
      <c r="M84" s="99" t="s">
        <v>2055</v>
      </c>
      <c r="N84" s="102" t="s">
        <v>31</v>
      </c>
      <c r="O84" s="115">
        <v>7925</v>
      </c>
      <c r="P84" s="115">
        <v>2468</v>
      </c>
      <c r="Q84" s="115">
        <v>2400</v>
      </c>
      <c r="R84" s="115"/>
      <c r="S84" s="115">
        <v>3650</v>
      </c>
      <c r="T84" s="115">
        <v>2550</v>
      </c>
      <c r="U84" s="115">
        <v>10100</v>
      </c>
      <c r="V84" s="115">
        <v>1198</v>
      </c>
      <c r="W84" s="115">
        <v>5900</v>
      </c>
      <c r="X84" s="115">
        <v>2875</v>
      </c>
      <c r="Y84" s="115"/>
      <c r="Z84" s="115">
        <v>18</v>
      </c>
      <c r="AA84" s="38" t="s">
        <v>2060</v>
      </c>
      <c r="AB84" s="101">
        <v>16000</v>
      </c>
      <c r="AC84" s="108">
        <v>8050</v>
      </c>
      <c r="AD84" s="37"/>
      <c r="AE84" s="37"/>
      <c r="AF84" s="37"/>
      <c r="AG84" s="37"/>
      <c r="AH84" s="109">
        <v>46.9</v>
      </c>
      <c r="AI84" s="111" t="s">
        <v>2045</v>
      </c>
      <c r="AJ84" s="111" t="s">
        <v>2046</v>
      </c>
      <c r="AK84" s="111" t="s">
        <v>666</v>
      </c>
      <c r="AL84" s="111" t="s">
        <v>2047</v>
      </c>
      <c r="AM84" s="111"/>
      <c r="AN84" s="111" t="s">
        <v>2048</v>
      </c>
      <c r="AO84" s="114" t="s">
        <v>2049</v>
      </c>
      <c r="AP84" s="115"/>
      <c r="AQ84" s="115"/>
      <c r="AR84" s="115"/>
      <c r="AS84" s="115"/>
      <c r="AT84" s="11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3">
        <v>0</v>
      </c>
    </row>
    <row r="85" spans="1:4761" s="106" customFormat="1" ht="30" customHeight="1" x14ac:dyDescent="0.25">
      <c r="A85" s="83" t="s">
        <v>204</v>
      </c>
      <c r="B85" s="36"/>
      <c r="C85" s="36"/>
      <c r="D85" s="96" t="s">
        <v>737</v>
      </c>
      <c r="E85" s="83" t="s">
        <v>33</v>
      </c>
      <c r="F85" s="83" t="s">
        <v>37</v>
      </c>
      <c r="G85" s="83" t="s">
        <v>42</v>
      </c>
      <c r="H85" s="83" t="s">
        <v>2036</v>
      </c>
      <c r="I85" s="83" t="s">
        <v>7</v>
      </c>
      <c r="J85" s="97"/>
      <c r="K85" s="99" t="s">
        <v>2040</v>
      </c>
      <c r="L85" s="97"/>
      <c r="M85" s="83" t="s">
        <v>2056</v>
      </c>
      <c r="N85" s="102" t="s">
        <v>31</v>
      </c>
      <c r="O85" s="113">
        <v>8922</v>
      </c>
      <c r="P85" s="115">
        <v>2468</v>
      </c>
      <c r="Q85" s="113">
        <v>2500</v>
      </c>
      <c r="R85" s="115"/>
      <c r="S85" s="113">
        <v>3850</v>
      </c>
      <c r="T85" s="115">
        <v>2550</v>
      </c>
      <c r="U85" s="113">
        <v>11200</v>
      </c>
      <c r="V85" s="113">
        <v>1300</v>
      </c>
      <c r="W85" s="113">
        <v>6450</v>
      </c>
      <c r="X85" s="113">
        <v>3330</v>
      </c>
      <c r="Y85" s="113"/>
      <c r="Z85" s="113">
        <v>21</v>
      </c>
      <c r="AA85" s="83" t="s">
        <v>2060</v>
      </c>
      <c r="AB85" s="101">
        <v>19000</v>
      </c>
      <c r="AC85" s="108">
        <v>9275</v>
      </c>
      <c r="AD85" s="37"/>
      <c r="AE85" s="37"/>
      <c r="AF85" s="37"/>
      <c r="AG85" s="37"/>
      <c r="AH85" s="109">
        <v>55</v>
      </c>
      <c r="AI85" s="111" t="s">
        <v>2050</v>
      </c>
      <c r="AJ85" s="111" t="s">
        <v>2051</v>
      </c>
      <c r="AK85" s="111" t="s">
        <v>671</v>
      </c>
      <c r="AL85" s="108" t="s">
        <v>2052</v>
      </c>
      <c r="AM85" s="111"/>
      <c r="AN85" s="111" t="s">
        <v>2048</v>
      </c>
      <c r="AO85" s="112" t="s">
        <v>2053</v>
      </c>
      <c r="AP85" s="113"/>
      <c r="AQ85" s="113"/>
      <c r="AR85" s="113"/>
      <c r="AS85" s="113"/>
      <c r="AT85" s="113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3">
        <v>0</v>
      </c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  <c r="CV85" s="104"/>
      <c r="CW85" s="104"/>
      <c r="CX85" s="104"/>
      <c r="CY85" s="104"/>
      <c r="CZ85" s="104"/>
      <c r="DA85" s="104"/>
      <c r="DB85" s="104"/>
      <c r="DC85" s="104"/>
      <c r="DD85" s="104"/>
      <c r="DE85" s="104"/>
      <c r="DF85" s="104"/>
      <c r="DG85" s="104"/>
      <c r="DH85" s="104"/>
      <c r="DI85" s="104"/>
      <c r="DJ85" s="104"/>
      <c r="DK85" s="104"/>
      <c r="DL85" s="104"/>
      <c r="DM85" s="104"/>
      <c r="DN85" s="104"/>
      <c r="DO85" s="104"/>
      <c r="DP85" s="104"/>
      <c r="DQ85" s="104"/>
      <c r="DR85" s="104"/>
      <c r="DS85" s="104"/>
      <c r="DT85" s="104"/>
      <c r="DU85" s="104"/>
      <c r="DV85" s="104"/>
      <c r="DW85" s="104"/>
      <c r="DX85" s="104"/>
      <c r="DY85" s="104"/>
      <c r="DZ85" s="104"/>
      <c r="EA85" s="104"/>
      <c r="EB85" s="104"/>
      <c r="EC85" s="104"/>
      <c r="ED85" s="104"/>
      <c r="EE85" s="104"/>
      <c r="EF85" s="104"/>
      <c r="EG85" s="104"/>
      <c r="EH85" s="104"/>
      <c r="EI85" s="104"/>
      <c r="EJ85" s="104"/>
      <c r="EK85" s="104"/>
      <c r="EL85" s="104"/>
      <c r="EM85" s="104"/>
      <c r="EN85" s="104"/>
      <c r="EO85" s="104"/>
      <c r="EP85" s="104"/>
      <c r="EQ85" s="104"/>
      <c r="ER85" s="104"/>
      <c r="ES85" s="104"/>
      <c r="ET85" s="104"/>
      <c r="EU85" s="104"/>
      <c r="EV85" s="104"/>
      <c r="EW85" s="104"/>
      <c r="EX85" s="104"/>
      <c r="EY85" s="104"/>
      <c r="EZ85" s="104"/>
      <c r="FA85" s="104"/>
      <c r="FB85" s="104"/>
      <c r="FC85" s="104"/>
      <c r="FD85" s="104"/>
      <c r="FE85" s="104"/>
      <c r="FF85" s="104"/>
      <c r="FG85" s="104"/>
      <c r="FH85" s="104"/>
      <c r="FI85" s="104"/>
      <c r="FJ85" s="104"/>
      <c r="FK85" s="104"/>
      <c r="FL85" s="104"/>
      <c r="FM85" s="104"/>
      <c r="FN85" s="104"/>
      <c r="FO85" s="104"/>
      <c r="FP85" s="104"/>
      <c r="FQ85" s="104"/>
      <c r="FR85" s="104"/>
      <c r="FS85" s="104"/>
      <c r="FT85" s="104"/>
      <c r="FU85" s="104"/>
      <c r="FV85" s="104"/>
      <c r="FW85" s="104"/>
      <c r="FX85" s="104"/>
      <c r="FY85" s="104"/>
      <c r="FZ85" s="104"/>
      <c r="GA85" s="104"/>
      <c r="GB85" s="104"/>
      <c r="GC85" s="104"/>
      <c r="GD85" s="104"/>
      <c r="GE85" s="104"/>
      <c r="GF85" s="104"/>
      <c r="GG85" s="104"/>
      <c r="GH85" s="104"/>
      <c r="GI85" s="104"/>
      <c r="GJ85" s="104"/>
      <c r="GK85" s="104"/>
      <c r="GL85" s="104"/>
      <c r="GM85" s="104"/>
      <c r="GN85" s="104"/>
      <c r="GO85" s="104"/>
      <c r="GP85" s="104"/>
      <c r="GQ85" s="104"/>
      <c r="GR85" s="104"/>
      <c r="GS85" s="104"/>
      <c r="GT85" s="104"/>
      <c r="GU85" s="104"/>
      <c r="GV85" s="104"/>
      <c r="GW85" s="104"/>
      <c r="GX85" s="104"/>
      <c r="GY85" s="104"/>
      <c r="GZ85" s="104"/>
      <c r="HA85" s="104"/>
      <c r="HB85" s="104"/>
      <c r="HC85" s="104"/>
      <c r="HD85" s="104"/>
      <c r="HE85" s="104"/>
      <c r="HF85" s="104"/>
      <c r="HG85" s="104"/>
      <c r="HH85" s="104"/>
      <c r="HI85" s="104"/>
      <c r="HJ85" s="104"/>
      <c r="HK85" s="104"/>
      <c r="HL85" s="104"/>
      <c r="HM85" s="104"/>
      <c r="HN85" s="104"/>
      <c r="HO85" s="104"/>
      <c r="HP85" s="104"/>
      <c r="HQ85" s="104"/>
      <c r="HR85" s="104"/>
      <c r="HS85" s="104"/>
      <c r="HT85" s="104"/>
      <c r="HU85" s="104"/>
      <c r="HV85" s="104"/>
      <c r="HW85" s="104"/>
      <c r="HX85" s="104"/>
      <c r="HY85" s="104"/>
      <c r="HZ85" s="104"/>
      <c r="IA85" s="104"/>
      <c r="IB85" s="104"/>
      <c r="IC85" s="104"/>
      <c r="ID85" s="104"/>
      <c r="IE85" s="104"/>
      <c r="IF85" s="104"/>
      <c r="IG85" s="104"/>
      <c r="IH85" s="104"/>
      <c r="II85" s="104"/>
      <c r="IJ85" s="104"/>
      <c r="IK85" s="104"/>
      <c r="IL85" s="104"/>
      <c r="IM85" s="104"/>
      <c r="IN85" s="104"/>
      <c r="IO85" s="104"/>
      <c r="IP85" s="104"/>
      <c r="IQ85" s="104"/>
      <c r="IR85" s="104"/>
      <c r="IS85" s="104"/>
      <c r="IT85" s="104"/>
      <c r="IU85" s="104"/>
      <c r="IV85" s="104"/>
      <c r="IW85" s="104"/>
      <c r="IX85" s="104"/>
      <c r="IY85" s="104"/>
      <c r="IZ85" s="104"/>
      <c r="JA85" s="104"/>
      <c r="JB85" s="104"/>
      <c r="JC85" s="104"/>
      <c r="JD85" s="104"/>
      <c r="JE85" s="104"/>
      <c r="JF85" s="104"/>
      <c r="JG85" s="104"/>
      <c r="JH85" s="104"/>
      <c r="JI85" s="104"/>
      <c r="JJ85" s="104"/>
      <c r="JK85" s="104"/>
      <c r="JL85" s="104"/>
      <c r="JM85" s="104"/>
      <c r="JN85" s="104"/>
      <c r="JO85" s="104"/>
      <c r="JP85" s="104"/>
      <c r="JQ85" s="104"/>
      <c r="JR85" s="104"/>
      <c r="JS85" s="104"/>
      <c r="JT85" s="104"/>
      <c r="JU85" s="104"/>
      <c r="JV85" s="104"/>
      <c r="JW85" s="104"/>
      <c r="JX85" s="104"/>
      <c r="JY85" s="104"/>
      <c r="JZ85" s="104"/>
      <c r="KA85" s="104"/>
      <c r="KB85" s="104"/>
      <c r="KC85" s="104"/>
      <c r="KD85" s="104"/>
      <c r="KE85" s="104"/>
      <c r="KF85" s="104"/>
      <c r="KG85" s="104"/>
      <c r="KH85" s="104"/>
      <c r="KI85" s="104"/>
      <c r="KJ85" s="104"/>
      <c r="KK85" s="104"/>
      <c r="KL85" s="104"/>
      <c r="KM85" s="104"/>
      <c r="KN85" s="104"/>
      <c r="KO85" s="104"/>
      <c r="KP85" s="104"/>
      <c r="KQ85" s="104"/>
      <c r="KR85" s="104"/>
      <c r="KS85" s="104"/>
      <c r="KT85" s="104"/>
      <c r="KU85" s="104"/>
      <c r="KV85" s="104"/>
      <c r="KW85" s="104"/>
      <c r="KX85" s="104"/>
      <c r="KY85" s="104"/>
      <c r="KZ85" s="104"/>
      <c r="LA85" s="104"/>
      <c r="LB85" s="104"/>
      <c r="LC85" s="104"/>
      <c r="LD85" s="104"/>
      <c r="LE85" s="104"/>
      <c r="LF85" s="104"/>
      <c r="LG85" s="104"/>
      <c r="LH85" s="104"/>
      <c r="LI85" s="104"/>
      <c r="LJ85" s="104"/>
      <c r="LK85" s="104"/>
      <c r="LL85" s="104"/>
      <c r="LM85" s="104"/>
      <c r="LN85" s="104"/>
      <c r="LO85" s="104"/>
      <c r="LP85" s="104"/>
      <c r="LQ85" s="104"/>
      <c r="LR85" s="104"/>
      <c r="LS85" s="104"/>
      <c r="LT85" s="104"/>
      <c r="LU85" s="104"/>
      <c r="LV85" s="104"/>
      <c r="LW85" s="104"/>
      <c r="LX85" s="104"/>
      <c r="LY85" s="104"/>
      <c r="LZ85" s="104"/>
      <c r="MA85" s="104"/>
      <c r="MB85" s="104"/>
      <c r="MC85" s="104"/>
      <c r="MD85" s="104"/>
      <c r="ME85" s="104"/>
      <c r="MF85" s="104"/>
      <c r="MG85" s="104"/>
      <c r="MH85" s="104"/>
      <c r="MI85" s="104"/>
      <c r="MJ85" s="104"/>
      <c r="MK85" s="104"/>
      <c r="ML85" s="104"/>
      <c r="MM85" s="104"/>
      <c r="MN85" s="104"/>
      <c r="MO85" s="104"/>
      <c r="MP85" s="104"/>
      <c r="MQ85" s="104"/>
      <c r="MR85" s="104"/>
      <c r="MS85" s="104"/>
      <c r="MT85" s="104"/>
      <c r="MU85" s="104"/>
      <c r="MV85" s="104"/>
      <c r="MW85" s="104"/>
      <c r="MX85" s="104"/>
      <c r="MY85" s="104"/>
      <c r="MZ85" s="104"/>
      <c r="NA85" s="104"/>
      <c r="NB85" s="104"/>
      <c r="NC85" s="104"/>
      <c r="ND85" s="104"/>
      <c r="NE85" s="104"/>
      <c r="NF85" s="104"/>
      <c r="NG85" s="104"/>
      <c r="NH85" s="104"/>
      <c r="NI85" s="104"/>
      <c r="NJ85" s="104"/>
      <c r="NK85" s="104"/>
      <c r="NL85" s="104"/>
      <c r="NM85" s="104"/>
      <c r="NN85" s="104"/>
      <c r="NO85" s="104"/>
      <c r="NP85" s="104"/>
      <c r="NQ85" s="104"/>
      <c r="NR85" s="104"/>
      <c r="NS85" s="104"/>
      <c r="NT85" s="104"/>
      <c r="NU85" s="104"/>
      <c r="NV85" s="104"/>
      <c r="NW85" s="104"/>
      <c r="NX85" s="104"/>
      <c r="NY85" s="104"/>
      <c r="NZ85" s="104"/>
      <c r="OA85" s="104"/>
      <c r="OB85" s="104"/>
      <c r="OC85" s="104"/>
      <c r="OD85" s="104"/>
      <c r="OE85" s="104"/>
      <c r="OF85" s="104"/>
      <c r="OG85" s="104"/>
      <c r="OH85" s="104"/>
      <c r="OI85" s="104"/>
      <c r="OJ85" s="104"/>
      <c r="OK85" s="104"/>
      <c r="OL85" s="104"/>
      <c r="OM85" s="104"/>
      <c r="ON85" s="104"/>
      <c r="OO85" s="104"/>
      <c r="OP85" s="104"/>
      <c r="OQ85" s="104"/>
      <c r="OR85" s="104"/>
      <c r="OS85" s="104"/>
      <c r="OT85" s="104"/>
      <c r="OU85" s="104"/>
      <c r="OV85" s="104"/>
      <c r="OW85" s="104"/>
      <c r="OX85" s="104"/>
      <c r="OY85" s="104"/>
      <c r="OZ85" s="104"/>
      <c r="PA85" s="104"/>
      <c r="PB85" s="104"/>
      <c r="PC85" s="104"/>
      <c r="PD85" s="104"/>
      <c r="PE85" s="104"/>
      <c r="PF85" s="104"/>
      <c r="PG85" s="104"/>
      <c r="PH85" s="104"/>
      <c r="PI85" s="104"/>
      <c r="PJ85" s="104"/>
      <c r="PK85" s="104"/>
      <c r="PL85" s="104"/>
      <c r="PM85" s="104"/>
      <c r="PN85" s="104"/>
      <c r="PO85" s="104"/>
      <c r="PP85" s="104"/>
      <c r="PQ85" s="104"/>
      <c r="PR85" s="104"/>
      <c r="PS85" s="104"/>
      <c r="PT85" s="104"/>
      <c r="PU85" s="104"/>
      <c r="PV85" s="104"/>
      <c r="PW85" s="104"/>
      <c r="PX85" s="104"/>
      <c r="PY85" s="104"/>
      <c r="PZ85" s="104"/>
      <c r="QA85" s="104"/>
      <c r="QB85" s="104"/>
      <c r="QC85" s="104"/>
      <c r="QD85" s="104"/>
      <c r="QE85" s="104"/>
      <c r="QF85" s="104"/>
      <c r="QG85" s="104"/>
      <c r="QH85" s="104"/>
      <c r="QI85" s="104"/>
      <c r="QJ85" s="104"/>
      <c r="QK85" s="104"/>
      <c r="QL85" s="104"/>
      <c r="QM85" s="104"/>
      <c r="QN85" s="104"/>
      <c r="QO85" s="104"/>
      <c r="QP85" s="104"/>
      <c r="QQ85" s="104"/>
      <c r="QR85" s="104"/>
      <c r="QS85" s="104"/>
      <c r="QT85" s="104"/>
      <c r="QU85" s="104"/>
      <c r="QV85" s="104"/>
      <c r="QW85" s="104"/>
      <c r="QX85" s="104"/>
      <c r="QY85" s="104"/>
      <c r="QZ85" s="104"/>
      <c r="RA85" s="104"/>
      <c r="RB85" s="104"/>
      <c r="RC85" s="104"/>
      <c r="RD85" s="104"/>
      <c r="RE85" s="104"/>
      <c r="RF85" s="104"/>
      <c r="RG85" s="104"/>
      <c r="RH85" s="104"/>
      <c r="RI85" s="104"/>
      <c r="RJ85" s="104"/>
      <c r="RK85" s="104"/>
      <c r="RL85" s="104"/>
      <c r="RM85" s="104"/>
      <c r="RN85" s="104"/>
      <c r="RO85" s="104"/>
      <c r="RP85" s="104"/>
      <c r="RQ85" s="104"/>
      <c r="RR85" s="104"/>
      <c r="RS85" s="104"/>
      <c r="RT85" s="104"/>
      <c r="RU85" s="104"/>
      <c r="RV85" s="104"/>
      <c r="RW85" s="104"/>
      <c r="RX85" s="104"/>
      <c r="RY85" s="104"/>
      <c r="RZ85" s="104"/>
      <c r="SA85" s="104"/>
      <c r="SB85" s="104"/>
      <c r="SC85" s="104"/>
      <c r="SD85" s="104"/>
      <c r="SE85" s="104"/>
      <c r="SF85" s="104"/>
      <c r="SG85" s="104"/>
      <c r="SH85" s="104"/>
      <c r="SI85" s="104"/>
      <c r="SJ85" s="104"/>
      <c r="SK85" s="104"/>
      <c r="SL85" s="104"/>
      <c r="SM85" s="104"/>
      <c r="SN85" s="104"/>
      <c r="SO85" s="104"/>
      <c r="SP85" s="104"/>
      <c r="SQ85" s="104"/>
      <c r="SR85" s="104"/>
      <c r="SS85" s="104"/>
      <c r="ST85" s="104"/>
      <c r="SU85" s="104"/>
      <c r="SV85" s="104"/>
      <c r="SW85" s="104"/>
      <c r="SX85" s="104"/>
      <c r="SY85" s="104"/>
      <c r="SZ85" s="104"/>
      <c r="TA85" s="104"/>
      <c r="TB85" s="104"/>
      <c r="TC85" s="104"/>
      <c r="TD85" s="104"/>
      <c r="TE85" s="104"/>
      <c r="TF85" s="104"/>
      <c r="TG85" s="104"/>
      <c r="TH85" s="104"/>
      <c r="TI85" s="104"/>
      <c r="TJ85" s="104"/>
      <c r="TK85" s="104"/>
      <c r="TL85" s="104"/>
      <c r="TM85" s="104"/>
      <c r="TN85" s="104"/>
      <c r="TO85" s="104"/>
      <c r="TP85" s="104"/>
      <c r="TQ85" s="104"/>
      <c r="TR85" s="104"/>
      <c r="TS85" s="104"/>
      <c r="TT85" s="104"/>
      <c r="TU85" s="104"/>
      <c r="TV85" s="104"/>
      <c r="TW85" s="104"/>
      <c r="TX85" s="104"/>
      <c r="TY85" s="104"/>
      <c r="TZ85" s="104"/>
      <c r="UA85" s="104"/>
      <c r="UB85" s="104"/>
      <c r="UC85" s="104"/>
      <c r="UD85" s="104"/>
      <c r="UE85" s="104"/>
      <c r="UF85" s="104"/>
      <c r="UG85" s="104"/>
      <c r="UH85" s="104"/>
      <c r="UI85" s="104"/>
      <c r="UJ85" s="104"/>
      <c r="UK85" s="104"/>
      <c r="UL85" s="104"/>
      <c r="UM85" s="104"/>
      <c r="UN85" s="104"/>
      <c r="UO85" s="104"/>
      <c r="UP85" s="104"/>
      <c r="UQ85" s="104"/>
      <c r="UR85" s="104"/>
      <c r="US85" s="104"/>
      <c r="UT85" s="104"/>
      <c r="UU85" s="104"/>
      <c r="UV85" s="104"/>
      <c r="UW85" s="104"/>
      <c r="UX85" s="104"/>
      <c r="UY85" s="104"/>
      <c r="UZ85" s="104"/>
      <c r="VA85" s="104"/>
      <c r="VB85" s="104"/>
      <c r="VC85" s="104"/>
      <c r="VD85" s="104"/>
      <c r="VE85" s="104"/>
      <c r="VF85" s="104"/>
      <c r="VG85" s="104"/>
      <c r="VH85" s="104"/>
      <c r="VI85" s="104"/>
      <c r="VJ85" s="104"/>
      <c r="VK85" s="104"/>
      <c r="VL85" s="104"/>
      <c r="VM85" s="104"/>
      <c r="VN85" s="104"/>
      <c r="VO85" s="104"/>
      <c r="VP85" s="104"/>
      <c r="VQ85" s="104"/>
      <c r="VR85" s="104"/>
      <c r="VS85" s="104"/>
      <c r="VT85" s="104"/>
      <c r="VU85" s="104"/>
      <c r="VV85" s="104"/>
      <c r="VW85" s="104"/>
      <c r="VX85" s="104"/>
      <c r="VY85" s="104"/>
      <c r="VZ85" s="104"/>
      <c r="WA85" s="104"/>
      <c r="WB85" s="104"/>
      <c r="WC85" s="104"/>
      <c r="WD85" s="104"/>
      <c r="WE85" s="104"/>
      <c r="WF85" s="104"/>
      <c r="WG85" s="104"/>
      <c r="WH85" s="104"/>
      <c r="WI85" s="104"/>
      <c r="WJ85" s="104"/>
      <c r="WK85" s="104"/>
      <c r="WL85" s="104"/>
      <c r="WM85" s="104"/>
      <c r="WN85" s="104"/>
      <c r="WO85" s="104"/>
      <c r="WP85" s="104"/>
      <c r="WQ85" s="104"/>
      <c r="WR85" s="104"/>
      <c r="WS85" s="104"/>
      <c r="WT85" s="104"/>
      <c r="WU85" s="104"/>
      <c r="WV85" s="104"/>
      <c r="WW85" s="104"/>
      <c r="WX85" s="104"/>
      <c r="WY85" s="104"/>
      <c r="WZ85" s="104"/>
      <c r="XA85" s="104"/>
      <c r="XB85" s="104"/>
      <c r="XC85" s="104"/>
      <c r="XD85" s="104"/>
      <c r="XE85" s="104"/>
      <c r="XF85" s="104"/>
      <c r="XG85" s="104"/>
      <c r="XH85" s="104"/>
      <c r="XI85" s="104"/>
      <c r="XJ85" s="104"/>
      <c r="XK85" s="104"/>
      <c r="XL85" s="104"/>
      <c r="XM85" s="104"/>
      <c r="XN85" s="104"/>
      <c r="XO85" s="104"/>
      <c r="XP85" s="104"/>
      <c r="XQ85" s="104"/>
      <c r="XR85" s="104"/>
      <c r="XS85" s="104"/>
      <c r="XT85" s="104"/>
      <c r="XU85" s="104"/>
      <c r="XV85" s="104"/>
      <c r="XW85" s="104"/>
      <c r="XX85" s="104"/>
      <c r="XY85" s="104"/>
      <c r="XZ85" s="104"/>
      <c r="YA85" s="104"/>
      <c r="YB85" s="104"/>
      <c r="YC85" s="104"/>
      <c r="YD85" s="104"/>
      <c r="YE85" s="104"/>
      <c r="YF85" s="104"/>
      <c r="YG85" s="104"/>
      <c r="YH85" s="104"/>
      <c r="YI85" s="104"/>
      <c r="YJ85" s="104"/>
      <c r="YK85" s="104"/>
      <c r="YL85" s="104"/>
      <c r="YM85" s="104"/>
      <c r="YN85" s="104"/>
      <c r="YO85" s="104"/>
      <c r="YP85" s="104"/>
      <c r="YQ85" s="104"/>
      <c r="YR85" s="104"/>
      <c r="YS85" s="104"/>
      <c r="YT85" s="104"/>
      <c r="YU85" s="104"/>
      <c r="YV85" s="104"/>
      <c r="YW85" s="104"/>
      <c r="YX85" s="104"/>
      <c r="YY85" s="104"/>
      <c r="YZ85" s="104"/>
      <c r="ZA85" s="104"/>
      <c r="ZB85" s="104"/>
      <c r="ZC85" s="104"/>
      <c r="ZD85" s="104"/>
      <c r="ZE85" s="104"/>
      <c r="ZF85" s="104"/>
      <c r="ZG85" s="104"/>
      <c r="ZH85" s="104"/>
      <c r="ZI85" s="104"/>
      <c r="ZJ85" s="104"/>
      <c r="ZK85" s="104"/>
      <c r="ZL85" s="104"/>
      <c r="ZM85" s="104"/>
      <c r="ZN85" s="104"/>
      <c r="ZO85" s="104"/>
      <c r="ZP85" s="104"/>
      <c r="ZQ85" s="104"/>
      <c r="ZR85" s="104"/>
      <c r="ZS85" s="104"/>
      <c r="ZT85" s="104"/>
      <c r="ZU85" s="104"/>
      <c r="ZV85" s="104"/>
      <c r="ZW85" s="104"/>
      <c r="ZX85" s="104"/>
      <c r="ZY85" s="104"/>
      <c r="ZZ85" s="104"/>
      <c r="AAA85" s="104"/>
      <c r="AAB85" s="104"/>
      <c r="AAC85" s="104"/>
      <c r="AAD85" s="104"/>
      <c r="AAE85" s="104"/>
      <c r="AAF85" s="104"/>
      <c r="AAG85" s="104"/>
      <c r="AAH85" s="104"/>
      <c r="AAI85" s="104"/>
      <c r="AAJ85" s="104"/>
      <c r="AAK85" s="104"/>
      <c r="AAL85" s="104"/>
      <c r="AAM85" s="104"/>
      <c r="AAN85" s="104"/>
      <c r="AAO85" s="104"/>
      <c r="AAP85" s="104"/>
      <c r="AAQ85" s="104"/>
      <c r="AAR85" s="104"/>
      <c r="AAS85" s="104"/>
      <c r="AAT85" s="104"/>
      <c r="AAU85" s="104"/>
      <c r="AAV85" s="104"/>
      <c r="AAW85" s="104"/>
      <c r="AAX85" s="104"/>
      <c r="AAY85" s="104"/>
      <c r="AAZ85" s="104"/>
      <c r="ABA85" s="104"/>
      <c r="ABB85" s="104"/>
      <c r="ABC85" s="104"/>
      <c r="ABD85" s="104"/>
      <c r="ABE85" s="104"/>
      <c r="ABF85" s="104"/>
      <c r="ABG85" s="104"/>
      <c r="ABH85" s="104"/>
      <c r="ABI85" s="104"/>
      <c r="ABJ85" s="104"/>
      <c r="ABK85" s="104"/>
      <c r="ABL85" s="104"/>
      <c r="ABM85" s="104"/>
      <c r="ABN85" s="104"/>
      <c r="ABO85" s="104"/>
      <c r="ABP85" s="104"/>
      <c r="ABQ85" s="104"/>
      <c r="ABR85" s="104"/>
      <c r="ABS85" s="104"/>
      <c r="ABT85" s="104"/>
      <c r="ABU85" s="104"/>
      <c r="ABV85" s="104"/>
      <c r="ABW85" s="104"/>
      <c r="ABX85" s="104"/>
      <c r="ABY85" s="104"/>
      <c r="ABZ85" s="104"/>
      <c r="ACA85" s="104"/>
      <c r="ACB85" s="104"/>
      <c r="ACC85" s="104"/>
      <c r="ACD85" s="104"/>
      <c r="ACE85" s="104"/>
      <c r="ACF85" s="104"/>
      <c r="ACG85" s="104"/>
      <c r="ACH85" s="104"/>
      <c r="ACI85" s="104"/>
      <c r="ACJ85" s="104"/>
      <c r="ACK85" s="104"/>
      <c r="ACL85" s="104"/>
      <c r="ACM85" s="104"/>
      <c r="ACN85" s="104"/>
      <c r="ACO85" s="104"/>
      <c r="ACP85" s="104"/>
      <c r="ACQ85" s="104"/>
      <c r="ACR85" s="104"/>
      <c r="ACS85" s="104"/>
      <c r="ACT85" s="104"/>
      <c r="ACU85" s="104"/>
      <c r="ACV85" s="104"/>
      <c r="ACW85" s="104"/>
      <c r="ACX85" s="104"/>
      <c r="ACY85" s="104"/>
      <c r="ACZ85" s="104"/>
      <c r="ADA85" s="104"/>
      <c r="ADB85" s="104"/>
      <c r="ADC85" s="104"/>
      <c r="ADD85" s="104"/>
      <c r="ADE85" s="104"/>
      <c r="ADF85" s="104"/>
      <c r="ADG85" s="104"/>
      <c r="ADH85" s="104"/>
      <c r="ADI85" s="104"/>
      <c r="ADJ85" s="104"/>
      <c r="ADK85" s="104"/>
      <c r="ADL85" s="104"/>
      <c r="ADM85" s="104"/>
      <c r="ADN85" s="104"/>
      <c r="ADO85" s="104"/>
      <c r="ADP85" s="104"/>
      <c r="ADQ85" s="104"/>
      <c r="ADR85" s="104"/>
      <c r="ADS85" s="104"/>
      <c r="ADT85" s="104"/>
      <c r="ADU85" s="104"/>
      <c r="ADV85" s="104"/>
      <c r="ADW85" s="104"/>
      <c r="ADX85" s="104"/>
      <c r="ADY85" s="104"/>
      <c r="ADZ85" s="104"/>
      <c r="AEA85" s="104"/>
      <c r="AEB85" s="104"/>
      <c r="AEC85" s="104"/>
      <c r="AED85" s="104"/>
      <c r="AEE85" s="104"/>
      <c r="AEF85" s="104"/>
      <c r="AEG85" s="104"/>
      <c r="AEH85" s="104"/>
      <c r="AEI85" s="104"/>
      <c r="AEJ85" s="104"/>
      <c r="AEK85" s="104"/>
      <c r="AEL85" s="104"/>
      <c r="AEM85" s="104"/>
      <c r="AEN85" s="104"/>
      <c r="AEO85" s="104"/>
      <c r="AEP85" s="104"/>
      <c r="AEQ85" s="104"/>
      <c r="AER85" s="104"/>
      <c r="AES85" s="104"/>
      <c r="AET85" s="104"/>
      <c r="AEU85" s="104"/>
      <c r="AEV85" s="104"/>
      <c r="AEW85" s="104"/>
      <c r="AEX85" s="104"/>
      <c r="AEY85" s="104"/>
      <c r="AEZ85" s="104"/>
      <c r="AFA85" s="104"/>
      <c r="AFB85" s="104"/>
      <c r="AFC85" s="104"/>
      <c r="AFD85" s="104"/>
      <c r="AFE85" s="104"/>
      <c r="AFF85" s="104"/>
      <c r="AFG85" s="104"/>
      <c r="AFH85" s="104"/>
      <c r="AFI85" s="104"/>
      <c r="AFJ85" s="104"/>
      <c r="AFK85" s="104"/>
      <c r="AFL85" s="104"/>
      <c r="AFM85" s="104"/>
      <c r="AFN85" s="104"/>
      <c r="AFO85" s="104"/>
      <c r="AFP85" s="104"/>
      <c r="AFQ85" s="104"/>
      <c r="AFR85" s="104"/>
      <c r="AFS85" s="104"/>
      <c r="AFT85" s="104"/>
      <c r="AFU85" s="104"/>
      <c r="AFV85" s="104"/>
      <c r="AFW85" s="104"/>
      <c r="AFX85" s="104"/>
      <c r="AFY85" s="104"/>
      <c r="AFZ85" s="104"/>
      <c r="AGA85" s="104"/>
      <c r="AGB85" s="104"/>
      <c r="AGC85" s="104"/>
      <c r="AGD85" s="104"/>
      <c r="AGE85" s="104"/>
      <c r="AGF85" s="104"/>
      <c r="AGG85" s="104"/>
      <c r="AGH85" s="104"/>
      <c r="AGI85" s="104"/>
      <c r="AGJ85" s="104"/>
      <c r="AGK85" s="104"/>
      <c r="AGL85" s="104"/>
      <c r="AGM85" s="104"/>
      <c r="AGN85" s="104"/>
      <c r="AGO85" s="104"/>
      <c r="AGP85" s="104"/>
      <c r="AGQ85" s="104"/>
      <c r="AGR85" s="104"/>
      <c r="AGS85" s="104"/>
      <c r="AGT85" s="104"/>
      <c r="AGU85" s="104"/>
      <c r="AGV85" s="104"/>
      <c r="AGW85" s="104"/>
      <c r="AGX85" s="104"/>
      <c r="AGY85" s="104"/>
      <c r="AGZ85" s="104"/>
      <c r="AHA85" s="104"/>
      <c r="AHB85" s="104"/>
      <c r="AHC85" s="104"/>
      <c r="AHD85" s="104"/>
      <c r="AHE85" s="104"/>
      <c r="AHF85" s="104"/>
      <c r="AHG85" s="104"/>
      <c r="AHH85" s="104"/>
      <c r="AHI85" s="104"/>
      <c r="AHJ85" s="104"/>
      <c r="AHK85" s="104"/>
      <c r="AHL85" s="104"/>
      <c r="AHM85" s="104"/>
      <c r="AHN85" s="104"/>
      <c r="AHO85" s="104"/>
      <c r="AHP85" s="104"/>
      <c r="AHQ85" s="104"/>
      <c r="AHR85" s="104"/>
      <c r="AHS85" s="104"/>
      <c r="AHT85" s="104"/>
      <c r="AHU85" s="104"/>
      <c r="AHV85" s="104"/>
      <c r="AHW85" s="104"/>
      <c r="AHX85" s="104"/>
      <c r="AHY85" s="104"/>
      <c r="AHZ85" s="104"/>
      <c r="AIA85" s="104"/>
      <c r="AIB85" s="104"/>
      <c r="AIC85" s="104"/>
      <c r="AID85" s="104"/>
      <c r="AIE85" s="104"/>
      <c r="AIF85" s="104"/>
      <c r="AIG85" s="104"/>
      <c r="AIH85" s="104"/>
      <c r="AII85" s="104"/>
      <c r="AIJ85" s="104"/>
      <c r="AIK85" s="104"/>
      <c r="AIL85" s="104"/>
      <c r="AIM85" s="104"/>
      <c r="AIN85" s="104"/>
      <c r="AIO85" s="104"/>
      <c r="AIP85" s="104"/>
      <c r="AIQ85" s="104"/>
      <c r="AIR85" s="104"/>
      <c r="AIS85" s="104"/>
      <c r="AIT85" s="104"/>
      <c r="AIU85" s="104"/>
      <c r="AIV85" s="104"/>
      <c r="AIW85" s="104"/>
      <c r="AIX85" s="104"/>
      <c r="AIY85" s="104"/>
      <c r="AIZ85" s="104"/>
      <c r="AJA85" s="104"/>
      <c r="AJB85" s="104"/>
      <c r="AJC85" s="104"/>
      <c r="AJD85" s="104"/>
      <c r="AJE85" s="104"/>
      <c r="AJF85" s="104"/>
      <c r="AJG85" s="104"/>
      <c r="AJH85" s="104"/>
      <c r="AJI85" s="104"/>
      <c r="AJJ85" s="104"/>
      <c r="AJK85" s="104"/>
      <c r="AJL85" s="104"/>
      <c r="AJM85" s="104"/>
      <c r="AJN85" s="104"/>
      <c r="AJO85" s="104"/>
      <c r="AJP85" s="104"/>
      <c r="AJQ85" s="104"/>
      <c r="AJR85" s="104"/>
      <c r="AJS85" s="104"/>
      <c r="AJT85" s="104"/>
      <c r="AJU85" s="104"/>
      <c r="AJV85" s="104"/>
      <c r="AJW85" s="104"/>
      <c r="AJX85" s="104"/>
      <c r="AJY85" s="104"/>
      <c r="AJZ85" s="104"/>
      <c r="AKA85" s="104"/>
      <c r="AKB85" s="104"/>
      <c r="AKC85" s="104"/>
      <c r="AKD85" s="104"/>
      <c r="AKE85" s="104"/>
      <c r="AKF85" s="104"/>
      <c r="AKG85" s="104"/>
      <c r="AKH85" s="104"/>
      <c r="AKI85" s="104"/>
      <c r="AKJ85" s="104"/>
      <c r="AKK85" s="104"/>
      <c r="AKL85" s="104"/>
      <c r="AKM85" s="104"/>
      <c r="AKN85" s="104"/>
      <c r="AKO85" s="104"/>
      <c r="AKP85" s="104"/>
      <c r="AKQ85" s="104"/>
      <c r="AKR85" s="104"/>
      <c r="AKS85" s="104"/>
      <c r="AKT85" s="104"/>
      <c r="AKU85" s="104"/>
      <c r="AKV85" s="104"/>
      <c r="AKW85" s="104"/>
      <c r="AKX85" s="104"/>
      <c r="AKY85" s="104"/>
      <c r="AKZ85" s="104"/>
      <c r="ALA85" s="104"/>
      <c r="ALB85" s="104"/>
      <c r="ALC85" s="104"/>
      <c r="ALD85" s="104"/>
      <c r="ALE85" s="104"/>
      <c r="ALF85" s="104"/>
      <c r="ALG85" s="104"/>
      <c r="ALH85" s="104"/>
      <c r="ALI85" s="104"/>
      <c r="ALJ85" s="104"/>
      <c r="ALK85" s="104"/>
      <c r="ALL85" s="104"/>
      <c r="ALM85" s="104"/>
      <c r="ALN85" s="104"/>
      <c r="ALO85" s="104"/>
      <c r="ALP85" s="104"/>
      <c r="ALQ85" s="104"/>
      <c r="ALR85" s="104"/>
      <c r="ALS85" s="104"/>
      <c r="ALT85" s="104"/>
      <c r="ALU85" s="104"/>
      <c r="ALV85" s="104"/>
      <c r="ALW85" s="104"/>
      <c r="ALX85" s="104"/>
      <c r="ALY85" s="104"/>
      <c r="ALZ85" s="104"/>
      <c r="AMA85" s="104"/>
      <c r="AMB85" s="104"/>
      <c r="AMC85" s="104"/>
      <c r="AMD85" s="104"/>
      <c r="AME85" s="104"/>
      <c r="AMF85" s="104"/>
      <c r="AMG85" s="104"/>
      <c r="AMH85" s="104"/>
      <c r="AMI85" s="104"/>
      <c r="AMJ85" s="104"/>
      <c r="AMK85" s="104"/>
      <c r="AML85" s="104"/>
      <c r="AMM85" s="104"/>
      <c r="AMN85" s="104"/>
      <c r="AMO85" s="104"/>
      <c r="AMP85" s="104"/>
      <c r="AMQ85" s="104"/>
      <c r="AMR85" s="104"/>
      <c r="AMS85" s="104"/>
      <c r="AMT85" s="104"/>
      <c r="AMU85" s="104"/>
      <c r="AMV85" s="104"/>
      <c r="AMW85" s="104"/>
      <c r="AMX85" s="104"/>
      <c r="AMY85" s="104"/>
      <c r="AMZ85" s="104"/>
      <c r="ANA85" s="104"/>
      <c r="ANB85" s="104"/>
      <c r="ANC85" s="104"/>
      <c r="AND85" s="104"/>
      <c r="ANE85" s="104"/>
      <c r="ANF85" s="104"/>
      <c r="ANG85" s="104"/>
      <c r="ANH85" s="104"/>
      <c r="ANI85" s="104"/>
      <c r="ANJ85" s="104"/>
      <c r="ANK85" s="104"/>
      <c r="ANL85" s="104"/>
      <c r="ANM85" s="104"/>
      <c r="ANN85" s="104"/>
      <c r="ANO85" s="104"/>
      <c r="ANP85" s="104"/>
      <c r="ANQ85" s="104"/>
      <c r="ANR85" s="104"/>
      <c r="ANS85" s="104"/>
      <c r="ANT85" s="104"/>
      <c r="ANU85" s="104"/>
      <c r="ANV85" s="104"/>
      <c r="ANW85" s="104"/>
      <c r="ANX85" s="104"/>
      <c r="ANY85" s="104"/>
      <c r="ANZ85" s="104"/>
      <c r="AOA85" s="104"/>
      <c r="AOB85" s="104"/>
      <c r="AOC85" s="104"/>
      <c r="AOD85" s="104"/>
      <c r="AOE85" s="104"/>
      <c r="AOF85" s="104"/>
      <c r="AOG85" s="104"/>
      <c r="AOH85" s="104"/>
      <c r="AOI85" s="104"/>
      <c r="AOJ85" s="104"/>
      <c r="AOK85" s="104"/>
      <c r="AOL85" s="104"/>
      <c r="AOM85" s="104"/>
      <c r="AON85" s="104"/>
      <c r="AOO85" s="104"/>
      <c r="AOP85" s="104"/>
      <c r="AOQ85" s="104"/>
      <c r="AOR85" s="104"/>
      <c r="AOS85" s="104"/>
      <c r="AOT85" s="104"/>
      <c r="AOU85" s="104"/>
      <c r="AOV85" s="104"/>
      <c r="AOW85" s="104"/>
      <c r="AOX85" s="104"/>
      <c r="AOY85" s="104"/>
      <c r="AOZ85" s="104"/>
      <c r="APA85" s="104"/>
      <c r="APB85" s="104"/>
      <c r="APC85" s="104"/>
      <c r="APD85" s="104"/>
      <c r="APE85" s="104"/>
      <c r="APF85" s="104"/>
      <c r="APG85" s="104"/>
      <c r="APH85" s="104"/>
      <c r="API85" s="104"/>
      <c r="APJ85" s="104"/>
      <c r="APK85" s="104"/>
      <c r="APL85" s="104"/>
      <c r="APM85" s="104"/>
      <c r="APN85" s="104"/>
      <c r="APO85" s="104"/>
      <c r="APP85" s="104"/>
      <c r="APQ85" s="104"/>
      <c r="APR85" s="104"/>
      <c r="APS85" s="104"/>
      <c r="APT85" s="104"/>
      <c r="APU85" s="104"/>
      <c r="APV85" s="104"/>
      <c r="APW85" s="104"/>
      <c r="APX85" s="104"/>
      <c r="APY85" s="104"/>
      <c r="APZ85" s="104"/>
      <c r="AQA85" s="104"/>
      <c r="AQB85" s="104"/>
      <c r="AQC85" s="104"/>
      <c r="AQD85" s="104"/>
      <c r="AQE85" s="104"/>
      <c r="AQF85" s="104"/>
      <c r="AQG85" s="104"/>
      <c r="AQH85" s="104"/>
      <c r="AQI85" s="104"/>
      <c r="AQJ85" s="104"/>
      <c r="AQK85" s="104"/>
      <c r="AQL85" s="104"/>
      <c r="AQM85" s="104"/>
      <c r="AQN85" s="104"/>
      <c r="AQO85" s="104"/>
      <c r="AQP85" s="104"/>
      <c r="AQQ85" s="104"/>
      <c r="AQR85" s="104"/>
      <c r="AQS85" s="104"/>
      <c r="AQT85" s="104"/>
      <c r="AQU85" s="104"/>
      <c r="AQV85" s="104"/>
      <c r="AQW85" s="104"/>
      <c r="AQX85" s="104"/>
      <c r="AQY85" s="104"/>
      <c r="AQZ85" s="104"/>
      <c r="ARA85" s="104"/>
      <c r="ARB85" s="104"/>
      <c r="ARC85" s="104"/>
      <c r="ARD85" s="104"/>
      <c r="ARE85" s="104"/>
      <c r="ARF85" s="104"/>
      <c r="ARG85" s="104"/>
      <c r="ARH85" s="104"/>
      <c r="ARI85" s="104"/>
      <c r="ARJ85" s="104"/>
      <c r="ARK85" s="104"/>
      <c r="ARL85" s="104"/>
      <c r="ARM85" s="104"/>
      <c r="ARN85" s="104"/>
      <c r="ARO85" s="104"/>
      <c r="ARP85" s="104"/>
      <c r="ARQ85" s="104"/>
      <c r="ARR85" s="104"/>
      <c r="ARS85" s="104"/>
      <c r="ART85" s="104"/>
      <c r="ARU85" s="104"/>
      <c r="ARV85" s="104"/>
      <c r="ARW85" s="104"/>
      <c r="ARX85" s="104"/>
      <c r="ARY85" s="104"/>
      <c r="ARZ85" s="104"/>
      <c r="ASA85" s="104"/>
      <c r="ASB85" s="104"/>
      <c r="ASC85" s="104"/>
      <c r="ASD85" s="104"/>
      <c r="ASE85" s="104"/>
      <c r="ASF85" s="104"/>
      <c r="ASG85" s="104"/>
      <c r="ASH85" s="104"/>
      <c r="ASI85" s="104"/>
      <c r="ASJ85" s="104"/>
      <c r="ASK85" s="104"/>
      <c r="ASL85" s="104"/>
      <c r="ASM85" s="104"/>
      <c r="ASN85" s="104"/>
      <c r="ASO85" s="104"/>
      <c r="ASP85" s="104"/>
      <c r="ASQ85" s="104"/>
      <c r="ASR85" s="104"/>
      <c r="ASS85" s="104"/>
      <c r="AST85" s="104"/>
      <c r="ASU85" s="104"/>
      <c r="ASV85" s="104"/>
      <c r="ASW85" s="104"/>
      <c r="ASX85" s="104"/>
      <c r="ASY85" s="104"/>
      <c r="ASZ85" s="104"/>
      <c r="ATA85" s="104"/>
      <c r="ATB85" s="104"/>
      <c r="ATC85" s="104"/>
      <c r="ATD85" s="104"/>
      <c r="ATE85" s="104"/>
      <c r="ATF85" s="104"/>
      <c r="ATG85" s="104"/>
      <c r="ATH85" s="104"/>
      <c r="ATI85" s="104"/>
      <c r="ATJ85" s="104"/>
      <c r="ATK85" s="104"/>
      <c r="ATL85" s="104"/>
      <c r="ATM85" s="104"/>
      <c r="ATN85" s="104"/>
      <c r="ATO85" s="104"/>
      <c r="ATP85" s="104"/>
      <c r="ATQ85" s="104"/>
      <c r="ATR85" s="104"/>
      <c r="ATS85" s="104"/>
      <c r="ATT85" s="104"/>
      <c r="ATU85" s="104"/>
      <c r="ATV85" s="104"/>
      <c r="ATW85" s="104"/>
      <c r="ATX85" s="104"/>
      <c r="ATY85" s="104"/>
      <c r="ATZ85" s="104"/>
      <c r="AUA85" s="104"/>
      <c r="AUB85" s="104"/>
      <c r="AUC85" s="104"/>
      <c r="AUD85" s="104"/>
      <c r="AUE85" s="104"/>
      <c r="AUF85" s="104"/>
      <c r="AUG85" s="104"/>
      <c r="AUH85" s="104"/>
      <c r="AUI85" s="104"/>
      <c r="AUJ85" s="104"/>
      <c r="AUK85" s="104"/>
      <c r="AUL85" s="104"/>
      <c r="AUM85" s="104"/>
      <c r="AUN85" s="104"/>
      <c r="AUO85" s="104"/>
      <c r="AUP85" s="104"/>
      <c r="AUQ85" s="104"/>
      <c r="AUR85" s="104"/>
      <c r="AUS85" s="104"/>
      <c r="AUT85" s="104"/>
      <c r="AUU85" s="104"/>
      <c r="AUV85" s="104"/>
      <c r="AUW85" s="104"/>
      <c r="AUX85" s="104"/>
      <c r="AUY85" s="104"/>
      <c r="AUZ85" s="104"/>
      <c r="AVA85" s="104"/>
      <c r="AVB85" s="104"/>
      <c r="AVC85" s="104"/>
      <c r="AVD85" s="104"/>
      <c r="AVE85" s="104"/>
      <c r="AVF85" s="104"/>
      <c r="AVG85" s="104"/>
      <c r="AVH85" s="104"/>
      <c r="AVI85" s="104"/>
      <c r="AVJ85" s="104"/>
      <c r="AVK85" s="104"/>
      <c r="AVL85" s="104"/>
      <c r="AVM85" s="104"/>
      <c r="AVN85" s="104"/>
      <c r="AVO85" s="104"/>
      <c r="AVP85" s="104"/>
      <c r="AVQ85" s="104"/>
      <c r="AVR85" s="104"/>
      <c r="AVS85" s="104"/>
      <c r="AVT85" s="104"/>
      <c r="AVU85" s="104"/>
      <c r="AVV85" s="104"/>
      <c r="AVW85" s="104"/>
      <c r="AVX85" s="104"/>
      <c r="AVY85" s="104"/>
      <c r="AVZ85" s="104"/>
      <c r="AWA85" s="104"/>
      <c r="AWB85" s="104"/>
      <c r="AWC85" s="104"/>
      <c r="AWD85" s="104"/>
      <c r="AWE85" s="104"/>
      <c r="AWF85" s="104"/>
      <c r="AWG85" s="104"/>
      <c r="AWH85" s="104"/>
      <c r="AWI85" s="104"/>
      <c r="AWJ85" s="104"/>
      <c r="AWK85" s="104"/>
      <c r="AWL85" s="104"/>
      <c r="AWM85" s="104"/>
      <c r="AWN85" s="104"/>
      <c r="AWO85" s="104"/>
      <c r="AWP85" s="104"/>
      <c r="AWQ85" s="104"/>
      <c r="AWR85" s="104"/>
      <c r="AWS85" s="104"/>
      <c r="AWT85" s="104"/>
      <c r="AWU85" s="104"/>
      <c r="AWV85" s="104"/>
      <c r="AWW85" s="104"/>
      <c r="AWX85" s="104"/>
      <c r="AWY85" s="104"/>
      <c r="AWZ85" s="104"/>
      <c r="AXA85" s="104"/>
      <c r="AXB85" s="104"/>
      <c r="AXC85" s="104"/>
      <c r="AXD85" s="104"/>
      <c r="AXE85" s="104"/>
      <c r="AXF85" s="104"/>
      <c r="AXG85" s="104"/>
      <c r="AXH85" s="104"/>
      <c r="AXI85" s="104"/>
      <c r="AXJ85" s="104"/>
      <c r="AXK85" s="104"/>
      <c r="AXL85" s="104"/>
      <c r="AXM85" s="104"/>
      <c r="AXN85" s="104"/>
      <c r="AXO85" s="104"/>
      <c r="AXP85" s="104"/>
      <c r="AXQ85" s="104"/>
      <c r="AXR85" s="104"/>
      <c r="AXS85" s="104"/>
      <c r="AXT85" s="104"/>
      <c r="AXU85" s="104"/>
      <c r="AXV85" s="104"/>
      <c r="AXW85" s="104"/>
      <c r="AXX85" s="104"/>
      <c r="AXY85" s="104"/>
      <c r="AXZ85" s="104"/>
      <c r="AYA85" s="104"/>
      <c r="AYB85" s="104"/>
      <c r="AYC85" s="104"/>
      <c r="AYD85" s="104"/>
      <c r="AYE85" s="104"/>
      <c r="AYF85" s="104"/>
      <c r="AYG85" s="104"/>
      <c r="AYH85" s="104"/>
      <c r="AYI85" s="104"/>
      <c r="AYJ85" s="104"/>
      <c r="AYK85" s="104"/>
      <c r="AYL85" s="104"/>
      <c r="AYM85" s="104"/>
      <c r="AYN85" s="104"/>
      <c r="AYO85" s="104"/>
      <c r="AYP85" s="104"/>
      <c r="AYQ85" s="104"/>
      <c r="AYR85" s="104"/>
      <c r="AYS85" s="104"/>
      <c r="AYT85" s="104"/>
      <c r="AYU85" s="104"/>
      <c r="AYV85" s="104"/>
      <c r="AYW85" s="104"/>
      <c r="AYX85" s="104"/>
      <c r="AYY85" s="104"/>
      <c r="AYZ85" s="104"/>
      <c r="AZA85" s="104"/>
      <c r="AZB85" s="104"/>
      <c r="AZC85" s="104"/>
      <c r="AZD85" s="104"/>
      <c r="AZE85" s="104"/>
      <c r="AZF85" s="104"/>
      <c r="AZG85" s="104"/>
      <c r="AZH85" s="104"/>
      <c r="AZI85" s="104"/>
      <c r="AZJ85" s="104"/>
      <c r="AZK85" s="104"/>
      <c r="AZL85" s="104"/>
      <c r="AZM85" s="104"/>
      <c r="AZN85" s="104"/>
      <c r="AZO85" s="104"/>
      <c r="AZP85" s="104"/>
      <c r="AZQ85" s="104"/>
      <c r="AZR85" s="104"/>
      <c r="AZS85" s="104"/>
      <c r="AZT85" s="104"/>
      <c r="AZU85" s="104"/>
      <c r="AZV85" s="104"/>
      <c r="AZW85" s="104"/>
      <c r="AZX85" s="104"/>
      <c r="AZY85" s="104"/>
      <c r="AZZ85" s="104"/>
      <c r="BAA85" s="104"/>
      <c r="BAB85" s="104"/>
      <c r="BAC85" s="104"/>
      <c r="BAD85" s="104"/>
      <c r="BAE85" s="104"/>
      <c r="BAF85" s="104"/>
      <c r="BAG85" s="104"/>
      <c r="BAH85" s="104"/>
      <c r="BAI85" s="104"/>
      <c r="BAJ85" s="104"/>
      <c r="BAK85" s="104"/>
      <c r="BAL85" s="104"/>
      <c r="BAM85" s="104"/>
      <c r="BAN85" s="104"/>
      <c r="BAO85" s="104"/>
      <c r="BAP85" s="104"/>
      <c r="BAQ85" s="104"/>
      <c r="BAR85" s="104"/>
      <c r="BAS85" s="104"/>
      <c r="BAT85" s="104"/>
      <c r="BAU85" s="104"/>
      <c r="BAV85" s="104"/>
      <c r="BAW85" s="104"/>
      <c r="BAX85" s="104"/>
      <c r="BAY85" s="104"/>
      <c r="BAZ85" s="104"/>
      <c r="BBA85" s="104"/>
      <c r="BBB85" s="104"/>
      <c r="BBC85" s="104"/>
      <c r="BBD85" s="104"/>
      <c r="BBE85" s="104"/>
      <c r="BBF85" s="104"/>
      <c r="BBG85" s="104"/>
      <c r="BBH85" s="104"/>
      <c r="BBI85" s="104"/>
      <c r="BBJ85" s="104"/>
      <c r="BBK85" s="104"/>
      <c r="BBL85" s="104"/>
      <c r="BBM85" s="104"/>
      <c r="BBN85" s="104"/>
      <c r="BBO85" s="104"/>
      <c r="BBP85" s="104"/>
      <c r="BBQ85" s="104"/>
      <c r="BBR85" s="104"/>
      <c r="BBS85" s="104"/>
      <c r="BBT85" s="104"/>
      <c r="BBU85" s="104"/>
      <c r="BBV85" s="104"/>
      <c r="BBW85" s="104"/>
      <c r="BBX85" s="104"/>
      <c r="BBY85" s="104"/>
      <c r="BBZ85" s="104"/>
      <c r="BCA85" s="104"/>
      <c r="BCB85" s="104"/>
      <c r="BCC85" s="104"/>
      <c r="BCD85" s="104"/>
      <c r="BCE85" s="104"/>
      <c r="BCF85" s="104"/>
      <c r="BCG85" s="104"/>
      <c r="BCH85" s="104"/>
      <c r="BCI85" s="104"/>
      <c r="BCJ85" s="104"/>
      <c r="BCK85" s="104"/>
      <c r="BCL85" s="104"/>
      <c r="BCM85" s="104"/>
      <c r="BCN85" s="104"/>
      <c r="BCO85" s="104"/>
      <c r="BCP85" s="104"/>
      <c r="BCQ85" s="104"/>
      <c r="BCR85" s="104"/>
      <c r="BCS85" s="104"/>
      <c r="BCT85" s="104"/>
      <c r="BCU85" s="104"/>
      <c r="BCV85" s="104"/>
      <c r="BCW85" s="104"/>
      <c r="BCX85" s="104"/>
      <c r="BCY85" s="104"/>
      <c r="BCZ85" s="104"/>
      <c r="BDA85" s="104"/>
      <c r="BDB85" s="104"/>
      <c r="BDC85" s="104"/>
      <c r="BDD85" s="104"/>
      <c r="BDE85" s="104"/>
      <c r="BDF85" s="104"/>
      <c r="BDG85" s="104"/>
      <c r="BDH85" s="104"/>
      <c r="BDI85" s="104"/>
      <c r="BDJ85" s="104"/>
      <c r="BDK85" s="104"/>
      <c r="BDL85" s="104"/>
      <c r="BDM85" s="104"/>
      <c r="BDN85" s="104"/>
      <c r="BDO85" s="104"/>
      <c r="BDP85" s="104"/>
      <c r="BDQ85" s="104"/>
      <c r="BDR85" s="104"/>
      <c r="BDS85" s="104"/>
      <c r="BDT85" s="104"/>
      <c r="BDU85" s="104"/>
      <c r="BDV85" s="104"/>
      <c r="BDW85" s="104"/>
      <c r="BDX85" s="104"/>
      <c r="BDY85" s="104"/>
      <c r="BDZ85" s="104"/>
      <c r="BEA85" s="104"/>
      <c r="BEB85" s="104"/>
      <c r="BEC85" s="104"/>
      <c r="BED85" s="104"/>
      <c r="BEE85" s="104"/>
      <c r="BEF85" s="104"/>
      <c r="BEG85" s="104"/>
      <c r="BEH85" s="104"/>
      <c r="BEI85" s="104"/>
      <c r="BEJ85" s="104"/>
      <c r="BEK85" s="104"/>
      <c r="BEL85" s="104"/>
      <c r="BEM85" s="104"/>
      <c r="BEN85" s="104"/>
      <c r="BEO85" s="104"/>
      <c r="BEP85" s="104"/>
      <c r="BEQ85" s="104"/>
      <c r="BER85" s="104"/>
      <c r="BES85" s="104"/>
      <c r="BET85" s="104"/>
      <c r="BEU85" s="104"/>
      <c r="BEV85" s="104"/>
      <c r="BEW85" s="104"/>
      <c r="BEX85" s="104"/>
      <c r="BEY85" s="104"/>
      <c r="BEZ85" s="104"/>
      <c r="BFA85" s="104"/>
      <c r="BFB85" s="104"/>
      <c r="BFC85" s="104"/>
      <c r="BFD85" s="104"/>
      <c r="BFE85" s="104"/>
      <c r="BFF85" s="104"/>
      <c r="BFG85" s="104"/>
      <c r="BFH85" s="104"/>
      <c r="BFI85" s="104"/>
      <c r="BFJ85" s="104"/>
      <c r="BFK85" s="104"/>
      <c r="BFL85" s="104"/>
      <c r="BFM85" s="104"/>
      <c r="BFN85" s="104"/>
      <c r="BFO85" s="104"/>
      <c r="BFP85" s="104"/>
      <c r="BFQ85" s="104"/>
      <c r="BFR85" s="104"/>
      <c r="BFS85" s="104"/>
      <c r="BFT85" s="104"/>
      <c r="BFU85" s="104"/>
      <c r="BFV85" s="104"/>
      <c r="BFW85" s="104"/>
      <c r="BFX85" s="104"/>
      <c r="BFY85" s="104"/>
      <c r="BFZ85" s="104"/>
      <c r="BGA85" s="104"/>
      <c r="BGB85" s="104"/>
      <c r="BGC85" s="104"/>
      <c r="BGD85" s="104"/>
      <c r="BGE85" s="104"/>
      <c r="BGF85" s="104"/>
      <c r="BGG85" s="104"/>
      <c r="BGH85" s="104"/>
      <c r="BGI85" s="104"/>
      <c r="BGJ85" s="104"/>
      <c r="BGK85" s="104"/>
      <c r="BGL85" s="104"/>
      <c r="BGM85" s="104"/>
      <c r="BGN85" s="104"/>
      <c r="BGO85" s="104"/>
      <c r="BGP85" s="104"/>
      <c r="BGQ85" s="104"/>
      <c r="BGR85" s="104"/>
      <c r="BGS85" s="104"/>
      <c r="BGT85" s="104"/>
      <c r="BGU85" s="104"/>
      <c r="BGV85" s="104"/>
      <c r="BGW85" s="104"/>
      <c r="BGX85" s="104"/>
      <c r="BGY85" s="104"/>
      <c r="BGZ85" s="104"/>
      <c r="BHA85" s="104"/>
      <c r="BHB85" s="104"/>
      <c r="BHC85" s="104"/>
      <c r="BHD85" s="104"/>
      <c r="BHE85" s="104"/>
      <c r="BHF85" s="104"/>
      <c r="BHG85" s="104"/>
      <c r="BHH85" s="104"/>
      <c r="BHI85" s="104"/>
      <c r="BHJ85" s="104"/>
      <c r="BHK85" s="104"/>
      <c r="BHL85" s="104"/>
      <c r="BHM85" s="104"/>
      <c r="BHN85" s="104"/>
      <c r="BHO85" s="104"/>
      <c r="BHP85" s="104"/>
      <c r="BHQ85" s="104"/>
      <c r="BHR85" s="104"/>
      <c r="BHS85" s="104"/>
      <c r="BHT85" s="104"/>
      <c r="BHU85" s="104"/>
      <c r="BHV85" s="104"/>
      <c r="BHW85" s="104"/>
      <c r="BHX85" s="104"/>
      <c r="BHY85" s="104"/>
      <c r="BHZ85" s="104"/>
      <c r="BIA85" s="104"/>
      <c r="BIB85" s="104"/>
      <c r="BIC85" s="104"/>
      <c r="BID85" s="104"/>
      <c r="BIE85" s="104"/>
      <c r="BIF85" s="104"/>
      <c r="BIG85" s="104"/>
      <c r="BIH85" s="104"/>
      <c r="BII85" s="104"/>
      <c r="BIJ85" s="104"/>
      <c r="BIK85" s="104"/>
      <c r="BIL85" s="104"/>
      <c r="BIM85" s="104"/>
      <c r="BIN85" s="104"/>
      <c r="BIO85" s="104"/>
      <c r="BIP85" s="104"/>
      <c r="BIQ85" s="104"/>
      <c r="BIR85" s="104"/>
      <c r="BIS85" s="104"/>
      <c r="BIT85" s="104"/>
      <c r="BIU85" s="104"/>
      <c r="BIV85" s="104"/>
      <c r="BIW85" s="104"/>
      <c r="BIX85" s="104"/>
      <c r="BIY85" s="104"/>
      <c r="BIZ85" s="104"/>
      <c r="BJA85" s="104"/>
      <c r="BJB85" s="104"/>
      <c r="BJC85" s="104"/>
      <c r="BJD85" s="104"/>
      <c r="BJE85" s="104"/>
      <c r="BJF85" s="104"/>
      <c r="BJG85" s="104"/>
      <c r="BJH85" s="104"/>
      <c r="BJI85" s="104"/>
      <c r="BJJ85" s="104"/>
      <c r="BJK85" s="104"/>
      <c r="BJL85" s="104"/>
      <c r="BJM85" s="104"/>
      <c r="BJN85" s="104"/>
      <c r="BJO85" s="104"/>
      <c r="BJP85" s="104"/>
      <c r="BJQ85" s="104"/>
      <c r="BJR85" s="104"/>
      <c r="BJS85" s="104"/>
      <c r="BJT85" s="104"/>
      <c r="BJU85" s="104"/>
      <c r="BJV85" s="104"/>
      <c r="BJW85" s="104"/>
      <c r="BJX85" s="104"/>
      <c r="BJY85" s="104"/>
      <c r="BJZ85" s="104"/>
      <c r="BKA85" s="104"/>
      <c r="BKB85" s="104"/>
      <c r="BKC85" s="104"/>
      <c r="BKD85" s="104"/>
      <c r="BKE85" s="104"/>
      <c r="BKF85" s="104"/>
      <c r="BKG85" s="104"/>
      <c r="BKH85" s="104"/>
      <c r="BKI85" s="104"/>
      <c r="BKJ85" s="104"/>
      <c r="BKK85" s="104"/>
      <c r="BKL85" s="104"/>
      <c r="BKM85" s="104"/>
      <c r="BKN85" s="104"/>
      <c r="BKO85" s="104"/>
      <c r="BKP85" s="104"/>
      <c r="BKQ85" s="104"/>
      <c r="BKR85" s="104"/>
      <c r="BKS85" s="104"/>
      <c r="BKT85" s="104"/>
      <c r="BKU85" s="104"/>
      <c r="BKV85" s="104"/>
      <c r="BKW85" s="104"/>
      <c r="BKX85" s="104"/>
      <c r="BKY85" s="104"/>
      <c r="BKZ85" s="104"/>
      <c r="BLA85" s="104"/>
      <c r="BLB85" s="104"/>
      <c r="BLC85" s="104"/>
      <c r="BLD85" s="104"/>
      <c r="BLE85" s="104"/>
      <c r="BLF85" s="104"/>
      <c r="BLG85" s="104"/>
      <c r="BLH85" s="104"/>
      <c r="BLI85" s="104"/>
      <c r="BLJ85" s="104"/>
      <c r="BLK85" s="104"/>
      <c r="BLL85" s="104"/>
      <c r="BLM85" s="104"/>
      <c r="BLN85" s="104"/>
      <c r="BLO85" s="104"/>
      <c r="BLP85" s="104"/>
      <c r="BLQ85" s="104"/>
      <c r="BLR85" s="104"/>
      <c r="BLS85" s="104"/>
      <c r="BLT85" s="104"/>
      <c r="BLU85" s="104"/>
      <c r="BLV85" s="104"/>
      <c r="BLW85" s="104"/>
      <c r="BLX85" s="104"/>
      <c r="BLY85" s="104"/>
      <c r="BLZ85" s="104"/>
      <c r="BMA85" s="104"/>
      <c r="BMB85" s="104"/>
      <c r="BMC85" s="104"/>
      <c r="BMD85" s="104"/>
      <c r="BME85" s="104"/>
      <c r="BMF85" s="104"/>
      <c r="BMG85" s="104"/>
      <c r="BMH85" s="104"/>
      <c r="BMI85" s="104"/>
      <c r="BMJ85" s="104"/>
      <c r="BMK85" s="104"/>
      <c r="BML85" s="104"/>
      <c r="BMM85" s="104"/>
      <c r="BMN85" s="104"/>
      <c r="BMO85" s="104"/>
      <c r="BMP85" s="104"/>
      <c r="BMQ85" s="104"/>
      <c r="BMR85" s="104"/>
      <c r="BMS85" s="104"/>
      <c r="BMT85" s="104"/>
      <c r="BMU85" s="104"/>
      <c r="BMV85" s="104"/>
      <c r="BMW85" s="104"/>
      <c r="BMX85" s="104"/>
      <c r="BMY85" s="104"/>
      <c r="BMZ85" s="104"/>
      <c r="BNA85" s="104"/>
      <c r="BNB85" s="104"/>
      <c r="BNC85" s="104"/>
      <c r="BND85" s="104"/>
      <c r="BNE85" s="104"/>
      <c r="BNF85" s="104"/>
      <c r="BNG85" s="104"/>
      <c r="BNH85" s="104"/>
      <c r="BNI85" s="104"/>
      <c r="BNJ85" s="104"/>
      <c r="BNK85" s="104"/>
      <c r="BNL85" s="104"/>
      <c r="BNM85" s="104"/>
      <c r="BNN85" s="104"/>
      <c r="BNO85" s="104"/>
      <c r="BNP85" s="104"/>
      <c r="BNQ85" s="104"/>
      <c r="BNR85" s="104"/>
      <c r="BNS85" s="104"/>
      <c r="BNT85" s="104"/>
      <c r="BNU85" s="104"/>
      <c r="BNV85" s="104"/>
      <c r="BNW85" s="104"/>
      <c r="BNX85" s="104"/>
      <c r="BNY85" s="104"/>
      <c r="BNZ85" s="104"/>
      <c r="BOA85" s="104"/>
      <c r="BOB85" s="104"/>
      <c r="BOC85" s="104"/>
      <c r="BOD85" s="104"/>
      <c r="BOE85" s="104"/>
      <c r="BOF85" s="104"/>
      <c r="BOG85" s="104"/>
      <c r="BOH85" s="104"/>
      <c r="BOI85" s="104"/>
      <c r="BOJ85" s="104"/>
      <c r="BOK85" s="104"/>
      <c r="BOL85" s="104"/>
      <c r="BOM85" s="104"/>
      <c r="BON85" s="104"/>
      <c r="BOO85" s="104"/>
      <c r="BOP85" s="104"/>
      <c r="BOQ85" s="104"/>
      <c r="BOR85" s="104"/>
      <c r="BOS85" s="104"/>
      <c r="BOT85" s="104"/>
      <c r="BOU85" s="104"/>
      <c r="BOV85" s="104"/>
      <c r="BOW85" s="104"/>
      <c r="BOX85" s="104"/>
      <c r="BOY85" s="104"/>
      <c r="BOZ85" s="104"/>
      <c r="BPA85" s="104"/>
      <c r="BPB85" s="104"/>
      <c r="BPC85" s="104"/>
      <c r="BPD85" s="104"/>
      <c r="BPE85" s="104"/>
      <c r="BPF85" s="104"/>
      <c r="BPG85" s="104"/>
      <c r="BPH85" s="104"/>
      <c r="BPI85" s="104"/>
      <c r="BPJ85" s="104"/>
      <c r="BPK85" s="104"/>
      <c r="BPL85" s="104"/>
      <c r="BPM85" s="104"/>
      <c r="BPN85" s="104"/>
      <c r="BPO85" s="104"/>
      <c r="BPP85" s="104"/>
      <c r="BPQ85" s="104"/>
      <c r="BPR85" s="104"/>
      <c r="BPS85" s="104"/>
      <c r="BPT85" s="104"/>
      <c r="BPU85" s="104"/>
      <c r="BPV85" s="104"/>
      <c r="BPW85" s="104"/>
      <c r="BPX85" s="104"/>
      <c r="BPY85" s="104"/>
      <c r="BPZ85" s="104"/>
      <c r="BQA85" s="104"/>
      <c r="BQB85" s="104"/>
      <c r="BQC85" s="104"/>
      <c r="BQD85" s="104"/>
      <c r="BQE85" s="104"/>
      <c r="BQF85" s="104"/>
      <c r="BQG85" s="104"/>
      <c r="BQH85" s="104"/>
      <c r="BQI85" s="104"/>
      <c r="BQJ85" s="104"/>
      <c r="BQK85" s="104"/>
      <c r="BQL85" s="104"/>
      <c r="BQM85" s="104"/>
      <c r="BQN85" s="104"/>
      <c r="BQO85" s="104"/>
      <c r="BQP85" s="104"/>
      <c r="BQQ85" s="104"/>
      <c r="BQR85" s="104"/>
      <c r="BQS85" s="104"/>
      <c r="BQT85" s="104"/>
      <c r="BQU85" s="104"/>
      <c r="BQV85" s="104"/>
      <c r="BQW85" s="104"/>
      <c r="BQX85" s="104"/>
      <c r="BQY85" s="104"/>
      <c r="BQZ85" s="104"/>
      <c r="BRA85" s="104"/>
      <c r="BRB85" s="104"/>
      <c r="BRC85" s="104"/>
      <c r="BRD85" s="104"/>
      <c r="BRE85" s="104"/>
      <c r="BRF85" s="104"/>
      <c r="BRG85" s="104"/>
      <c r="BRH85" s="104"/>
      <c r="BRI85" s="104"/>
      <c r="BRJ85" s="104"/>
      <c r="BRK85" s="104"/>
      <c r="BRL85" s="104"/>
      <c r="BRM85" s="104"/>
      <c r="BRN85" s="104"/>
      <c r="BRO85" s="104"/>
      <c r="BRP85" s="104"/>
      <c r="BRQ85" s="104"/>
      <c r="BRR85" s="104"/>
      <c r="BRS85" s="104"/>
      <c r="BRT85" s="104"/>
      <c r="BRU85" s="104"/>
      <c r="BRV85" s="104"/>
      <c r="BRW85" s="104"/>
      <c r="BRX85" s="104"/>
      <c r="BRY85" s="104"/>
      <c r="BRZ85" s="104"/>
      <c r="BSA85" s="104"/>
      <c r="BSB85" s="104"/>
      <c r="BSC85" s="104"/>
      <c r="BSD85" s="104"/>
      <c r="BSE85" s="104"/>
      <c r="BSF85" s="104"/>
      <c r="BSG85" s="104"/>
      <c r="BSH85" s="104"/>
      <c r="BSI85" s="104"/>
      <c r="BSJ85" s="104"/>
      <c r="BSK85" s="104"/>
      <c r="BSL85" s="104"/>
      <c r="BSM85" s="104"/>
      <c r="BSN85" s="104"/>
      <c r="BSO85" s="104"/>
      <c r="BSP85" s="104"/>
      <c r="BSQ85" s="104"/>
      <c r="BSR85" s="104"/>
      <c r="BSS85" s="104"/>
      <c r="BST85" s="104"/>
      <c r="BSU85" s="104"/>
      <c r="BSV85" s="104"/>
      <c r="BSW85" s="104"/>
      <c r="BSX85" s="104"/>
      <c r="BSY85" s="104"/>
      <c r="BSZ85" s="104"/>
      <c r="BTA85" s="104"/>
      <c r="BTB85" s="104"/>
      <c r="BTC85" s="104"/>
      <c r="BTD85" s="104"/>
      <c r="BTE85" s="104"/>
      <c r="BTF85" s="104"/>
      <c r="BTG85" s="104"/>
      <c r="BTH85" s="104"/>
      <c r="BTI85" s="104"/>
      <c r="BTJ85" s="104"/>
      <c r="BTK85" s="104"/>
      <c r="BTL85" s="104"/>
      <c r="BTM85" s="104"/>
      <c r="BTN85" s="104"/>
      <c r="BTO85" s="104"/>
      <c r="BTP85" s="104"/>
      <c r="BTQ85" s="104"/>
      <c r="BTR85" s="104"/>
      <c r="BTS85" s="104"/>
      <c r="BTT85" s="104"/>
      <c r="BTU85" s="104"/>
      <c r="BTV85" s="104"/>
      <c r="BTW85" s="104"/>
      <c r="BTX85" s="104"/>
      <c r="BTY85" s="104"/>
      <c r="BTZ85" s="104"/>
      <c r="BUA85" s="104"/>
      <c r="BUB85" s="104"/>
      <c r="BUC85" s="104"/>
      <c r="BUD85" s="104"/>
      <c r="BUE85" s="104"/>
      <c r="BUF85" s="104"/>
      <c r="BUG85" s="104"/>
      <c r="BUH85" s="104"/>
      <c r="BUI85" s="104"/>
      <c r="BUJ85" s="104"/>
      <c r="BUK85" s="104"/>
      <c r="BUL85" s="104"/>
      <c r="BUM85" s="104"/>
      <c r="BUN85" s="104"/>
      <c r="BUO85" s="104"/>
      <c r="BUP85" s="104"/>
      <c r="BUQ85" s="104"/>
      <c r="BUR85" s="104"/>
      <c r="BUS85" s="104"/>
      <c r="BUT85" s="104"/>
      <c r="BUU85" s="104"/>
      <c r="BUV85" s="104"/>
      <c r="BUW85" s="104"/>
      <c r="BUX85" s="104"/>
      <c r="BUY85" s="104"/>
      <c r="BUZ85" s="104"/>
      <c r="BVA85" s="104"/>
      <c r="BVB85" s="104"/>
      <c r="BVC85" s="104"/>
      <c r="BVD85" s="104"/>
      <c r="BVE85" s="104"/>
      <c r="BVF85" s="104"/>
      <c r="BVG85" s="104"/>
      <c r="BVH85" s="104"/>
      <c r="BVI85" s="104"/>
      <c r="BVJ85" s="104"/>
      <c r="BVK85" s="104"/>
      <c r="BVL85" s="104"/>
      <c r="BVM85" s="104"/>
      <c r="BVN85" s="104"/>
      <c r="BVO85" s="104"/>
      <c r="BVP85" s="104"/>
      <c r="BVQ85" s="104"/>
      <c r="BVR85" s="104"/>
      <c r="BVS85" s="104"/>
      <c r="BVT85" s="104"/>
      <c r="BVU85" s="104"/>
      <c r="BVV85" s="104"/>
      <c r="BVW85" s="104"/>
      <c r="BVX85" s="104"/>
      <c r="BVY85" s="104"/>
      <c r="BVZ85" s="104"/>
      <c r="BWA85" s="104"/>
      <c r="BWB85" s="104"/>
      <c r="BWC85" s="104"/>
      <c r="BWD85" s="104"/>
      <c r="BWE85" s="104"/>
      <c r="BWF85" s="104"/>
      <c r="BWG85" s="104"/>
      <c r="BWH85" s="104"/>
      <c r="BWI85" s="104"/>
      <c r="BWJ85" s="104"/>
      <c r="BWK85" s="104"/>
      <c r="BWL85" s="104"/>
      <c r="BWM85" s="104"/>
      <c r="BWN85" s="104"/>
      <c r="BWO85" s="104"/>
      <c r="BWP85" s="104"/>
      <c r="BWQ85" s="104"/>
      <c r="BWR85" s="104"/>
      <c r="BWS85" s="104"/>
      <c r="BWT85" s="104"/>
      <c r="BWU85" s="104"/>
      <c r="BWV85" s="104"/>
      <c r="BWW85" s="104"/>
      <c r="BWX85" s="104"/>
      <c r="BWY85" s="104"/>
      <c r="BWZ85" s="104"/>
      <c r="BXA85" s="104"/>
      <c r="BXB85" s="104"/>
      <c r="BXC85" s="104"/>
      <c r="BXD85" s="104"/>
      <c r="BXE85" s="104"/>
      <c r="BXF85" s="104"/>
      <c r="BXG85" s="104"/>
      <c r="BXH85" s="104"/>
      <c r="BXI85" s="104"/>
      <c r="BXJ85" s="104"/>
      <c r="BXK85" s="104"/>
      <c r="BXL85" s="104"/>
      <c r="BXM85" s="104"/>
      <c r="BXN85" s="104"/>
      <c r="BXO85" s="104"/>
      <c r="BXP85" s="104"/>
      <c r="BXQ85" s="104"/>
      <c r="BXR85" s="104"/>
      <c r="BXS85" s="104"/>
      <c r="BXT85" s="104"/>
      <c r="BXU85" s="104"/>
      <c r="BXV85" s="104"/>
      <c r="BXW85" s="104"/>
      <c r="BXX85" s="104"/>
      <c r="BXY85" s="104"/>
      <c r="BXZ85" s="104"/>
      <c r="BYA85" s="104"/>
      <c r="BYB85" s="104"/>
      <c r="BYC85" s="104"/>
      <c r="BYD85" s="104"/>
      <c r="BYE85" s="104"/>
      <c r="BYF85" s="104"/>
      <c r="BYG85" s="104"/>
      <c r="BYH85" s="104"/>
      <c r="BYI85" s="104"/>
      <c r="BYJ85" s="104"/>
      <c r="BYK85" s="104"/>
      <c r="BYL85" s="104"/>
      <c r="BYM85" s="104"/>
      <c r="BYN85" s="104"/>
      <c r="BYO85" s="104"/>
      <c r="BYP85" s="104"/>
      <c r="BYQ85" s="104"/>
      <c r="BYR85" s="104"/>
      <c r="BYS85" s="104"/>
      <c r="BYT85" s="104"/>
      <c r="BYU85" s="104"/>
      <c r="BYV85" s="104"/>
      <c r="BYW85" s="104"/>
      <c r="BYX85" s="104"/>
      <c r="BYY85" s="104"/>
      <c r="BYZ85" s="104"/>
      <c r="BZA85" s="104"/>
      <c r="BZB85" s="104"/>
      <c r="BZC85" s="104"/>
      <c r="BZD85" s="104"/>
      <c r="BZE85" s="104"/>
      <c r="BZF85" s="104"/>
      <c r="BZG85" s="104"/>
      <c r="BZH85" s="104"/>
      <c r="BZI85" s="104"/>
      <c r="BZJ85" s="104"/>
      <c r="BZK85" s="104"/>
      <c r="BZL85" s="104"/>
      <c r="BZM85" s="104"/>
      <c r="BZN85" s="104"/>
      <c r="BZO85" s="104"/>
      <c r="BZP85" s="104"/>
      <c r="BZQ85" s="104"/>
      <c r="BZR85" s="104"/>
      <c r="BZS85" s="104"/>
      <c r="BZT85" s="104"/>
      <c r="BZU85" s="104"/>
      <c r="BZV85" s="104"/>
      <c r="BZW85" s="104"/>
      <c r="BZX85" s="104"/>
      <c r="BZY85" s="104"/>
      <c r="BZZ85" s="104"/>
      <c r="CAA85" s="104"/>
      <c r="CAB85" s="104"/>
      <c r="CAC85" s="104"/>
      <c r="CAD85" s="104"/>
      <c r="CAE85" s="104"/>
      <c r="CAF85" s="104"/>
      <c r="CAG85" s="104"/>
      <c r="CAH85" s="104"/>
      <c r="CAI85" s="104"/>
      <c r="CAJ85" s="104"/>
      <c r="CAK85" s="104"/>
      <c r="CAL85" s="104"/>
      <c r="CAM85" s="104"/>
      <c r="CAN85" s="104"/>
      <c r="CAO85" s="104"/>
      <c r="CAP85" s="104"/>
      <c r="CAQ85" s="104"/>
      <c r="CAR85" s="104"/>
      <c r="CAS85" s="104"/>
      <c r="CAT85" s="104"/>
      <c r="CAU85" s="104"/>
      <c r="CAV85" s="104"/>
      <c r="CAW85" s="104"/>
      <c r="CAX85" s="104"/>
      <c r="CAY85" s="104"/>
      <c r="CAZ85" s="104"/>
      <c r="CBA85" s="104"/>
      <c r="CBB85" s="104"/>
      <c r="CBC85" s="104"/>
      <c r="CBD85" s="104"/>
      <c r="CBE85" s="104"/>
      <c r="CBF85" s="104"/>
      <c r="CBG85" s="104"/>
      <c r="CBH85" s="104"/>
      <c r="CBI85" s="104"/>
      <c r="CBJ85" s="104"/>
      <c r="CBK85" s="104"/>
      <c r="CBL85" s="104"/>
      <c r="CBM85" s="104"/>
      <c r="CBN85" s="104"/>
      <c r="CBO85" s="104"/>
      <c r="CBP85" s="104"/>
      <c r="CBQ85" s="104"/>
      <c r="CBR85" s="104"/>
      <c r="CBS85" s="104"/>
      <c r="CBT85" s="104"/>
      <c r="CBU85" s="104"/>
      <c r="CBV85" s="104"/>
      <c r="CBW85" s="104"/>
      <c r="CBX85" s="104"/>
      <c r="CBY85" s="104"/>
      <c r="CBZ85" s="104"/>
      <c r="CCA85" s="104"/>
      <c r="CCB85" s="104"/>
      <c r="CCC85" s="104"/>
      <c r="CCD85" s="104"/>
      <c r="CCE85" s="104"/>
      <c r="CCF85" s="104"/>
      <c r="CCG85" s="104"/>
      <c r="CCH85" s="104"/>
      <c r="CCI85" s="104"/>
      <c r="CCJ85" s="104"/>
      <c r="CCK85" s="104"/>
      <c r="CCL85" s="104"/>
      <c r="CCM85" s="104"/>
      <c r="CCN85" s="104"/>
      <c r="CCO85" s="104"/>
      <c r="CCP85" s="104"/>
      <c r="CCQ85" s="104"/>
      <c r="CCR85" s="104"/>
      <c r="CCS85" s="104"/>
      <c r="CCT85" s="104"/>
      <c r="CCU85" s="104"/>
      <c r="CCV85" s="104"/>
      <c r="CCW85" s="104"/>
      <c r="CCX85" s="104"/>
      <c r="CCY85" s="104"/>
      <c r="CCZ85" s="104"/>
      <c r="CDA85" s="104"/>
      <c r="CDB85" s="104"/>
      <c r="CDC85" s="104"/>
      <c r="CDD85" s="104"/>
      <c r="CDE85" s="104"/>
      <c r="CDF85" s="104"/>
      <c r="CDG85" s="104"/>
      <c r="CDH85" s="104"/>
      <c r="CDI85" s="104"/>
      <c r="CDJ85" s="104"/>
      <c r="CDK85" s="104"/>
      <c r="CDL85" s="104"/>
      <c r="CDM85" s="104"/>
      <c r="CDN85" s="104"/>
      <c r="CDO85" s="104"/>
      <c r="CDP85" s="104"/>
      <c r="CDQ85" s="104"/>
      <c r="CDR85" s="104"/>
      <c r="CDS85" s="104"/>
      <c r="CDT85" s="104"/>
      <c r="CDU85" s="104"/>
      <c r="CDV85" s="104"/>
      <c r="CDW85" s="104"/>
      <c r="CDX85" s="104"/>
      <c r="CDY85" s="104"/>
      <c r="CDZ85" s="104"/>
      <c r="CEA85" s="104"/>
      <c r="CEB85" s="104"/>
      <c r="CEC85" s="104"/>
      <c r="CED85" s="104"/>
      <c r="CEE85" s="104"/>
      <c r="CEF85" s="104"/>
      <c r="CEG85" s="104"/>
      <c r="CEH85" s="104"/>
      <c r="CEI85" s="104"/>
      <c r="CEJ85" s="104"/>
      <c r="CEK85" s="104"/>
      <c r="CEL85" s="104"/>
      <c r="CEM85" s="104"/>
      <c r="CEN85" s="104"/>
      <c r="CEO85" s="104"/>
      <c r="CEP85" s="104"/>
      <c r="CEQ85" s="104"/>
      <c r="CER85" s="104"/>
      <c r="CES85" s="104"/>
      <c r="CET85" s="104"/>
      <c r="CEU85" s="104"/>
      <c r="CEV85" s="104"/>
      <c r="CEW85" s="104"/>
      <c r="CEX85" s="104"/>
      <c r="CEY85" s="104"/>
      <c r="CEZ85" s="104"/>
      <c r="CFA85" s="104"/>
      <c r="CFB85" s="104"/>
      <c r="CFC85" s="104"/>
      <c r="CFD85" s="104"/>
      <c r="CFE85" s="104"/>
      <c r="CFF85" s="104"/>
      <c r="CFG85" s="104"/>
      <c r="CFH85" s="104"/>
      <c r="CFI85" s="104"/>
      <c r="CFJ85" s="104"/>
      <c r="CFK85" s="104"/>
      <c r="CFL85" s="104"/>
      <c r="CFM85" s="104"/>
      <c r="CFN85" s="104"/>
      <c r="CFO85" s="104"/>
      <c r="CFP85" s="104"/>
      <c r="CFQ85" s="104"/>
      <c r="CFR85" s="104"/>
      <c r="CFS85" s="104"/>
      <c r="CFT85" s="104"/>
      <c r="CFU85" s="104"/>
      <c r="CFV85" s="104"/>
      <c r="CFW85" s="104"/>
      <c r="CFX85" s="104"/>
      <c r="CFY85" s="104"/>
      <c r="CFZ85" s="104"/>
      <c r="CGA85" s="104"/>
      <c r="CGB85" s="104"/>
      <c r="CGC85" s="104"/>
      <c r="CGD85" s="104"/>
      <c r="CGE85" s="104"/>
      <c r="CGF85" s="104"/>
      <c r="CGG85" s="104"/>
      <c r="CGH85" s="104"/>
      <c r="CGI85" s="104"/>
      <c r="CGJ85" s="104"/>
      <c r="CGK85" s="104"/>
      <c r="CGL85" s="104"/>
      <c r="CGM85" s="104"/>
      <c r="CGN85" s="104"/>
      <c r="CGO85" s="104"/>
      <c r="CGP85" s="104"/>
      <c r="CGQ85" s="104"/>
      <c r="CGR85" s="104"/>
      <c r="CGS85" s="104"/>
      <c r="CGT85" s="104"/>
      <c r="CGU85" s="104"/>
      <c r="CGV85" s="104"/>
      <c r="CGW85" s="104"/>
      <c r="CGX85" s="104"/>
      <c r="CGY85" s="104"/>
      <c r="CGZ85" s="104"/>
      <c r="CHA85" s="104"/>
      <c r="CHB85" s="104"/>
      <c r="CHC85" s="104"/>
      <c r="CHD85" s="104"/>
      <c r="CHE85" s="104"/>
      <c r="CHF85" s="104"/>
      <c r="CHG85" s="104"/>
      <c r="CHH85" s="104"/>
      <c r="CHI85" s="104"/>
      <c r="CHJ85" s="104"/>
      <c r="CHK85" s="104"/>
      <c r="CHL85" s="104"/>
      <c r="CHM85" s="104"/>
      <c r="CHN85" s="104"/>
      <c r="CHO85" s="104"/>
      <c r="CHP85" s="104"/>
      <c r="CHQ85" s="104"/>
      <c r="CHR85" s="104"/>
      <c r="CHS85" s="104"/>
      <c r="CHT85" s="104"/>
      <c r="CHU85" s="104"/>
      <c r="CHV85" s="104"/>
      <c r="CHW85" s="104"/>
      <c r="CHX85" s="104"/>
      <c r="CHY85" s="104"/>
      <c r="CHZ85" s="104"/>
      <c r="CIA85" s="104"/>
      <c r="CIB85" s="104"/>
      <c r="CIC85" s="104"/>
      <c r="CID85" s="104"/>
      <c r="CIE85" s="104"/>
      <c r="CIF85" s="104"/>
      <c r="CIG85" s="104"/>
      <c r="CIH85" s="104"/>
      <c r="CII85" s="104"/>
      <c r="CIJ85" s="104"/>
      <c r="CIK85" s="104"/>
      <c r="CIL85" s="104"/>
      <c r="CIM85" s="104"/>
      <c r="CIN85" s="104"/>
      <c r="CIO85" s="104"/>
      <c r="CIP85" s="104"/>
      <c r="CIQ85" s="104"/>
      <c r="CIR85" s="104"/>
      <c r="CIS85" s="104"/>
      <c r="CIT85" s="104"/>
      <c r="CIU85" s="104"/>
      <c r="CIV85" s="104"/>
      <c r="CIW85" s="104"/>
      <c r="CIX85" s="104"/>
      <c r="CIY85" s="104"/>
      <c r="CIZ85" s="104"/>
      <c r="CJA85" s="104"/>
      <c r="CJB85" s="104"/>
      <c r="CJC85" s="104"/>
      <c r="CJD85" s="104"/>
      <c r="CJE85" s="104"/>
      <c r="CJF85" s="104"/>
      <c r="CJG85" s="104"/>
      <c r="CJH85" s="104"/>
      <c r="CJI85" s="104"/>
      <c r="CJJ85" s="104"/>
      <c r="CJK85" s="104"/>
      <c r="CJL85" s="104"/>
      <c r="CJM85" s="104"/>
      <c r="CJN85" s="104"/>
      <c r="CJO85" s="104"/>
      <c r="CJP85" s="104"/>
      <c r="CJQ85" s="104"/>
      <c r="CJR85" s="104"/>
      <c r="CJS85" s="104"/>
      <c r="CJT85" s="104"/>
      <c r="CJU85" s="104"/>
      <c r="CJV85" s="104"/>
      <c r="CJW85" s="104"/>
      <c r="CJX85" s="104"/>
      <c r="CJY85" s="104"/>
      <c r="CJZ85" s="104"/>
      <c r="CKA85" s="104"/>
      <c r="CKB85" s="104"/>
      <c r="CKC85" s="104"/>
      <c r="CKD85" s="104"/>
      <c r="CKE85" s="104"/>
      <c r="CKF85" s="104"/>
      <c r="CKG85" s="104"/>
      <c r="CKH85" s="104"/>
      <c r="CKI85" s="104"/>
      <c r="CKJ85" s="104"/>
      <c r="CKK85" s="104"/>
      <c r="CKL85" s="104"/>
      <c r="CKM85" s="104"/>
      <c r="CKN85" s="104"/>
      <c r="CKO85" s="104"/>
      <c r="CKP85" s="104"/>
      <c r="CKQ85" s="104"/>
      <c r="CKR85" s="104"/>
      <c r="CKS85" s="104"/>
      <c r="CKT85" s="104"/>
      <c r="CKU85" s="104"/>
      <c r="CKV85" s="104"/>
      <c r="CKW85" s="104"/>
      <c r="CKX85" s="104"/>
      <c r="CKY85" s="104"/>
      <c r="CKZ85" s="104"/>
      <c r="CLA85" s="104"/>
      <c r="CLB85" s="104"/>
      <c r="CLC85" s="104"/>
      <c r="CLD85" s="104"/>
      <c r="CLE85" s="104"/>
      <c r="CLF85" s="104"/>
      <c r="CLG85" s="104"/>
      <c r="CLH85" s="104"/>
      <c r="CLI85" s="104"/>
      <c r="CLJ85" s="104"/>
      <c r="CLK85" s="104"/>
      <c r="CLL85" s="104"/>
      <c r="CLM85" s="104"/>
      <c r="CLN85" s="104"/>
      <c r="CLO85" s="104"/>
      <c r="CLP85" s="104"/>
      <c r="CLQ85" s="104"/>
      <c r="CLR85" s="104"/>
      <c r="CLS85" s="104"/>
      <c r="CLT85" s="104"/>
      <c r="CLU85" s="104"/>
      <c r="CLV85" s="104"/>
      <c r="CLW85" s="104"/>
      <c r="CLX85" s="104"/>
      <c r="CLY85" s="104"/>
      <c r="CLZ85" s="104"/>
      <c r="CMA85" s="104"/>
      <c r="CMB85" s="104"/>
      <c r="CMC85" s="104"/>
      <c r="CMD85" s="104"/>
      <c r="CME85" s="104"/>
      <c r="CMF85" s="104"/>
      <c r="CMG85" s="104"/>
      <c r="CMH85" s="104"/>
      <c r="CMI85" s="104"/>
      <c r="CMJ85" s="104"/>
      <c r="CMK85" s="104"/>
      <c r="CML85" s="104"/>
      <c r="CMM85" s="104"/>
      <c r="CMN85" s="104"/>
      <c r="CMO85" s="104"/>
      <c r="CMP85" s="104"/>
      <c r="CMQ85" s="104"/>
      <c r="CMR85" s="104"/>
      <c r="CMS85" s="104"/>
      <c r="CMT85" s="104"/>
      <c r="CMU85" s="104"/>
      <c r="CMV85" s="104"/>
      <c r="CMW85" s="104"/>
      <c r="CMX85" s="104"/>
      <c r="CMY85" s="104"/>
      <c r="CMZ85" s="104"/>
      <c r="CNA85" s="104"/>
      <c r="CNB85" s="104"/>
      <c r="CNC85" s="104"/>
      <c r="CND85" s="104"/>
      <c r="CNE85" s="104"/>
      <c r="CNF85" s="104"/>
      <c r="CNG85" s="104"/>
      <c r="CNH85" s="104"/>
      <c r="CNI85" s="104"/>
      <c r="CNJ85" s="104"/>
      <c r="CNK85" s="104"/>
      <c r="CNL85" s="104"/>
      <c r="CNM85" s="104"/>
      <c r="CNN85" s="104"/>
      <c r="CNO85" s="104"/>
      <c r="CNP85" s="104"/>
      <c r="CNQ85" s="104"/>
      <c r="CNR85" s="104"/>
      <c r="CNS85" s="104"/>
      <c r="CNT85" s="104"/>
      <c r="CNU85" s="104"/>
      <c r="CNV85" s="104"/>
      <c r="CNW85" s="104"/>
      <c r="CNX85" s="104"/>
      <c r="CNY85" s="104"/>
      <c r="CNZ85" s="104"/>
      <c r="COA85" s="104"/>
      <c r="COB85" s="104"/>
      <c r="COC85" s="104"/>
      <c r="COD85" s="104"/>
      <c r="COE85" s="104"/>
      <c r="COF85" s="104"/>
      <c r="COG85" s="104"/>
      <c r="COH85" s="104"/>
      <c r="COI85" s="104"/>
      <c r="COJ85" s="104"/>
      <c r="COK85" s="104"/>
      <c r="COL85" s="104"/>
      <c r="COM85" s="104"/>
      <c r="CON85" s="104"/>
      <c r="COO85" s="104"/>
      <c r="COP85" s="104"/>
      <c r="COQ85" s="104"/>
      <c r="COR85" s="104"/>
      <c r="COS85" s="104"/>
      <c r="COT85" s="104"/>
      <c r="COU85" s="104"/>
      <c r="COV85" s="104"/>
      <c r="COW85" s="104"/>
      <c r="COX85" s="104"/>
      <c r="COY85" s="104"/>
      <c r="COZ85" s="104"/>
      <c r="CPA85" s="104"/>
      <c r="CPB85" s="104"/>
      <c r="CPC85" s="104"/>
      <c r="CPD85" s="104"/>
      <c r="CPE85" s="104"/>
      <c r="CPF85" s="104"/>
      <c r="CPG85" s="104"/>
      <c r="CPH85" s="104"/>
      <c r="CPI85" s="104"/>
      <c r="CPJ85" s="104"/>
      <c r="CPK85" s="104"/>
      <c r="CPL85" s="104"/>
      <c r="CPM85" s="104"/>
      <c r="CPN85" s="104"/>
      <c r="CPO85" s="104"/>
      <c r="CPP85" s="104"/>
      <c r="CPQ85" s="104"/>
      <c r="CPR85" s="104"/>
      <c r="CPS85" s="104"/>
      <c r="CPT85" s="104"/>
      <c r="CPU85" s="104"/>
      <c r="CPV85" s="104"/>
      <c r="CPW85" s="104"/>
      <c r="CPX85" s="104"/>
      <c r="CPY85" s="104"/>
      <c r="CPZ85" s="104"/>
      <c r="CQA85" s="104"/>
      <c r="CQB85" s="104"/>
      <c r="CQC85" s="104"/>
      <c r="CQD85" s="104"/>
      <c r="CQE85" s="104"/>
      <c r="CQF85" s="104"/>
      <c r="CQG85" s="104"/>
      <c r="CQH85" s="104"/>
      <c r="CQI85" s="104"/>
      <c r="CQJ85" s="104"/>
      <c r="CQK85" s="104"/>
      <c r="CQL85" s="104"/>
      <c r="CQM85" s="104"/>
      <c r="CQN85" s="104"/>
      <c r="CQO85" s="104"/>
      <c r="CQP85" s="104"/>
      <c r="CQQ85" s="104"/>
      <c r="CQR85" s="104"/>
      <c r="CQS85" s="104"/>
      <c r="CQT85" s="104"/>
      <c r="CQU85" s="104"/>
      <c r="CQV85" s="104"/>
      <c r="CQW85" s="104"/>
      <c r="CQX85" s="104"/>
      <c r="CQY85" s="104"/>
      <c r="CQZ85" s="104"/>
      <c r="CRA85" s="104"/>
      <c r="CRB85" s="104"/>
      <c r="CRC85" s="104"/>
      <c r="CRD85" s="104"/>
      <c r="CRE85" s="104"/>
      <c r="CRF85" s="104"/>
      <c r="CRG85" s="104"/>
      <c r="CRH85" s="104"/>
      <c r="CRI85" s="104"/>
      <c r="CRJ85" s="104"/>
      <c r="CRK85" s="104"/>
      <c r="CRL85" s="104"/>
      <c r="CRM85" s="104"/>
      <c r="CRN85" s="104"/>
      <c r="CRO85" s="104"/>
      <c r="CRP85" s="104"/>
      <c r="CRQ85" s="104"/>
      <c r="CRR85" s="104"/>
      <c r="CRS85" s="104"/>
      <c r="CRT85" s="104"/>
      <c r="CRU85" s="104"/>
      <c r="CRV85" s="104"/>
      <c r="CRW85" s="104"/>
      <c r="CRX85" s="104"/>
      <c r="CRY85" s="104"/>
      <c r="CRZ85" s="104"/>
      <c r="CSA85" s="104"/>
      <c r="CSB85" s="104"/>
      <c r="CSC85" s="104"/>
      <c r="CSD85" s="104"/>
      <c r="CSE85" s="104"/>
      <c r="CSF85" s="104"/>
      <c r="CSG85" s="104"/>
      <c r="CSH85" s="104"/>
      <c r="CSI85" s="104"/>
      <c r="CSJ85" s="104"/>
      <c r="CSK85" s="104"/>
      <c r="CSL85" s="104"/>
      <c r="CSM85" s="104"/>
      <c r="CSN85" s="104"/>
      <c r="CSO85" s="104"/>
      <c r="CSP85" s="104"/>
      <c r="CSQ85" s="104"/>
      <c r="CSR85" s="104"/>
      <c r="CSS85" s="104"/>
      <c r="CST85" s="104"/>
      <c r="CSU85" s="104"/>
      <c r="CSV85" s="104"/>
      <c r="CSW85" s="104"/>
      <c r="CSX85" s="104"/>
      <c r="CSY85" s="104"/>
      <c r="CSZ85" s="104"/>
      <c r="CTA85" s="104"/>
      <c r="CTB85" s="104"/>
      <c r="CTC85" s="104"/>
      <c r="CTD85" s="104"/>
      <c r="CTE85" s="104"/>
      <c r="CTF85" s="104"/>
      <c r="CTG85" s="104"/>
      <c r="CTH85" s="104"/>
      <c r="CTI85" s="104"/>
      <c r="CTJ85" s="104"/>
      <c r="CTK85" s="104"/>
      <c r="CTL85" s="104"/>
      <c r="CTM85" s="104"/>
      <c r="CTN85" s="104"/>
      <c r="CTO85" s="104"/>
      <c r="CTP85" s="104"/>
      <c r="CTQ85" s="104"/>
      <c r="CTR85" s="104"/>
      <c r="CTS85" s="104"/>
      <c r="CTT85" s="104"/>
      <c r="CTU85" s="104"/>
      <c r="CTV85" s="104"/>
      <c r="CTW85" s="104"/>
      <c r="CTX85" s="104"/>
      <c r="CTY85" s="104"/>
      <c r="CTZ85" s="104"/>
      <c r="CUA85" s="104"/>
      <c r="CUB85" s="104"/>
      <c r="CUC85" s="104"/>
      <c r="CUD85" s="104"/>
      <c r="CUE85" s="104"/>
      <c r="CUF85" s="104"/>
      <c r="CUG85" s="104"/>
      <c r="CUH85" s="104"/>
      <c r="CUI85" s="104"/>
      <c r="CUJ85" s="104"/>
      <c r="CUK85" s="104"/>
      <c r="CUL85" s="104"/>
      <c r="CUM85" s="104"/>
      <c r="CUN85" s="104"/>
      <c r="CUO85" s="104"/>
      <c r="CUP85" s="104"/>
      <c r="CUQ85" s="104"/>
      <c r="CUR85" s="104"/>
      <c r="CUS85" s="104"/>
      <c r="CUT85" s="104"/>
      <c r="CUU85" s="104"/>
      <c r="CUV85" s="104"/>
      <c r="CUW85" s="104"/>
      <c r="CUX85" s="104"/>
      <c r="CUY85" s="104"/>
      <c r="CUZ85" s="104"/>
      <c r="CVA85" s="104"/>
      <c r="CVB85" s="104"/>
      <c r="CVC85" s="104"/>
      <c r="CVD85" s="104"/>
      <c r="CVE85" s="104"/>
      <c r="CVF85" s="104"/>
      <c r="CVG85" s="104"/>
      <c r="CVH85" s="104"/>
      <c r="CVI85" s="104"/>
      <c r="CVJ85" s="104"/>
      <c r="CVK85" s="104"/>
      <c r="CVL85" s="104"/>
      <c r="CVM85" s="104"/>
      <c r="CVN85" s="104"/>
      <c r="CVO85" s="104"/>
      <c r="CVP85" s="104"/>
      <c r="CVQ85" s="104"/>
      <c r="CVR85" s="104"/>
      <c r="CVS85" s="104"/>
      <c r="CVT85" s="104"/>
      <c r="CVU85" s="104"/>
      <c r="CVV85" s="104"/>
      <c r="CVW85" s="104"/>
      <c r="CVX85" s="104"/>
      <c r="CVY85" s="104"/>
      <c r="CVZ85" s="104"/>
      <c r="CWA85" s="104"/>
      <c r="CWB85" s="104"/>
      <c r="CWC85" s="104"/>
      <c r="CWD85" s="104"/>
      <c r="CWE85" s="104"/>
      <c r="CWF85" s="104"/>
      <c r="CWG85" s="104"/>
      <c r="CWH85" s="104"/>
      <c r="CWI85" s="104"/>
      <c r="CWJ85" s="104"/>
      <c r="CWK85" s="104"/>
      <c r="CWL85" s="104"/>
      <c r="CWM85" s="104"/>
      <c r="CWN85" s="104"/>
      <c r="CWO85" s="104"/>
      <c r="CWP85" s="104"/>
      <c r="CWQ85" s="104"/>
      <c r="CWR85" s="104"/>
      <c r="CWS85" s="104"/>
      <c r="CWT85" s="104"/>
      <c r="CWU85" s="104"/>
      <c r="CWV85" s="104"/>
      <c r="CWW85" s="104"/>
      <c r="CWX85" s="104"/>
      <c r="CWY85" s="104"/>
      <c r="CWZ85" s="104"/>
      <c r="CXA85" s="104"/>
      <c r="CXB85" s="104"/>
      <c r="CXC85" s="104"/>
      <c r="CXD85" s="104"/>
      <c r="CXE85" s="104"/>
      <c r="CXF85" s="104"/>
      <c r="CXG85" s="104"/>
      <c r="CXH85" s="104"/>
      <c r="CXI85" s="104"/>
      <c r="CXJ85" s="104"/>
      <c r="CXK85" s="104"/>
      <c r="CXL85" s="104"/>
      <c r="CXM85" s="104"/>
      <c r="CXN85" s="104"/>
      <c r="CXO85" s="104"/>
      <c r="CXP85" s="104"/>
      <c r="CXQ85" s="104"/>
      <c r="CXR85" s="104"/>
      <c r="CXS85" s="104"/>
      <c r="CXT85" s="104"/>
      <c r="CXU85" s="104"/>
      <c r="CXV85" s="104"/>
      <c r="CXW85" s="104"/>
      <c r="CXX85" s="104"/>
      <c r="CXY85" s="104"/>
      <c r="CXZ85" s="104"/>
      <c r="CYA85" s="104"/>
      <c r="CYB85" s="104"/>
      <c r="CYC85" s="104"/>
      <c r="CYD85" s="104"/>
      <c r="CYE85" s="104"/>
      <c r="CYF85" s="104"/>
      <c r="CYG85" s="104"/>
      <c r="CYH85" s="104"/>
      <c r="CYI85" s="104"/>
      <c r="CYJ85" s="104"/>
      <c r="CYK85" s="104"/>
      <c r="CYL85" s="104"/>
      <c r="CYM85" s="104"/>
      <c r="CYN85" s="104"/>
      <c r="CYO85" s="104"/>
      <c r="CYP85" s="104"/>
      <c r="CYQ85" s="104"/>
      <c r="CYR85" s="104"/>
      <c r="CYS85" s="104"/>
      <c r="CYT85" s="104"/>
      <c r="CYU85" s="104"/>
      <c r="CYV85" s="104"/>
      <c r="CYW85" s="104"/>
      <c r="CYX85" s="104"/>
      <c r="CYY85" s="104"/>
      <c r="CYZ85" s="104"/>
      <c r="CZA85" s="104"/>
      <c r="CZB85" s="104"/>
      <c r="CZC85" s="104"/>
      <c r="CZD85" s="104"/>
      <c r="CZE85" s="104"/>
      <c r="CZF85" s="104"/>
      <c r="CZG85" s="104"/>
      <c r="CZH85" s="104"/>
      <c r="CZI85" s="104"/>
      <c r="CZJ85" s="104"/>
      <c r="CZK85" s="104"/>
      <c r="CZL85" s="104"/>
      <c r="CZM85" s="104"/>
      <c r="CZN85" s="104"/>
      <c r="CZO85" s="104"/>
      <c r="CZP85" s="104"/>
      <c r="CZQ85" s="104"/>
      <c r="CZR85" s="104"/>
      <c r="CZS85" s="104"/>
      <c r="CZT85" s="104"/>
      <c r="CZU85" s="104"/>
      <c r="CZV85" s="104"/>
      <c r="CZW85" s="104"/>
      <c r="CZX85" s="104"/>
      <c r="CZY85" s="104"/>
      <c r="CZZ85" s="104"/>
      <c r="DAA85" s="104"/>
      <c r="DAB85" s="104"/>
      <c r="DAC85" s="104"/>
      <c r="DAD85" s="104"/>
      <c r="DAE85" s="104"/>
      <c r="DAF85" s="104"/>
      <c r="DAG85" s="104"/>
      <c r="DAH85" s="104"/>
      <c r="DAI85" s="104"/>
      <c r="DAJ85" s="104"/>
      <c r="DAK85" s="104"/>
      <c r="DAL85" s="104"/>
      <c r="DAM85" s="104"/>
      <c r="DAN85" s="104"/>
      <c r="DAO85" s="104"/>
      <c r="DAP85" s="104"/>
      <c r="DAQ85" s="104"/>
      <c r="DAR85" s="104"/>
      <c r="DAS85" s="104"/>
      <c r="DAT85" s="104"/>
      <c r="DAU85" s="104"/>
      <c r="DAV85" s="104"/>
      <c r="DAW85" s="104"/>
      <c r="DAX85" s="104"/>
      <c r="DAY85" s="104"/>
      <c r="DAZ85" s="104"/>
      <c r="DBA85" s="104"/>
      <c r="DBB85" s="104"/>
      <c r="DBC85" s="104"/>
      <c r="DBD85" s="104"/>
      <c r="DBE85" s="104"/>
      <c r="DBF85" s="104"/>
      <c r="DBG85" s="104"/>
      <c r="DBH85" s="104"/>
      <c r="DBI85" s="104"/>
      <c r="DBJ85" s="104"/>
      <c r="DBK85" s="104"/>
      <c r="DBL85" s="104"/>
      <c r="DBM85" s="104"/>
      <c r="DBN85" s="104"/>
      <c r="DBO85" s="104"/>
      <c r="DBP85" s="104"/>
      <c r="DBQ85" s="104"/>
      <c r="DBR85" s="104"/>
      <c r="DBS85" s="104"/>
      <c r="DBT85" s="104"/>
      <c r="DBU85" s="104"/>
      <c r="DBV85" s="104"/>
      <c r="DBW85" s="104"/>
      <c r="DBX85" s="104"/>
      <c r="DBY85" s="104"/>
      <c r="DBZ85" s="104"/>
      <c r="DCA85" s="104"/>
      <c r="DCB85" s="104"/>
      <c r="DCC85" s="104"/>
      <c r="DCD85" s="104"/>
      <c r="DCE85" s="104"/>
      <c r="DCF85" s="104"/>
      <c r="DCG85" s="104"/>
      <c r="DCH85" s="104"/>
      <c r="DCI85" s="104"/>
      <c r="DCJ85" s="104"/>
      <c r="DCK85" s="104"/>
      <c r="DCL85" s="104"/>
      <c r="DCM85" s="104"/>
      <c r="DCN85" s="104"/>
      <c r="DCO85" s="104"/>
      <c r="DCP85" s="104"/>
      <c r="DCQ85" s="104"/>
      <c r="DCR85" s="104"/>
      <c r="DCS85" s="104"/>
      <c r="DCT85" s="104"/>
      <c r="DCU85" s="104"/>
      <c r="DCV85" s="104"/>
      <c r="DCW85" s="104"/>
      <c r="DCX85" s="104"/>
      <c r="DCY85" s="104"/>
      <c r="DCZ85" s="104"/>
      <c r="DDA85" s="104"/>
      <c r="DDB85" s="104"/>
      <c r="DDC85" s="104"/>
      <c r="DDD85" s="104"/>
      <c r="DDE85" s="104"/>
      <c r="DDF85" s="104"/>
      <c r="DDG85" s="104"/>
      <c r="DDH85" s="104"/>
      <c r="DDI85" s="104"/>
      <c r="DDJ85" s="104"/>
      <c r="DDK85" s="104"/>
      <c r="DDL85" s="104"/>
      <c r="DDM85" s="104"/>
      <c r="DDN85" s="104"/>
      <c r="DDO85" s="104"/>
      <c r="DDP85" s="104"/>
      <c r="DDQ85" s="104"/>
      <c r="DDR85" s="104"/>
      <c r="DDS85" s="104"/>
      <c r="DDT85" s="104"/>
      <c r="DDU85" s="104"/>
      <c r="DDV85" s="104"/>
      <c r="DDW85" s="104"/>
      <c r="DDX85" s="104"/>
      <c r="DDY85" s="104"/>
      <c r="DDZ85" s="104"/>
      <c r="DEA85" s="104"/>
      <c r="DEB85" s="104"/>
      <c r="DEC85" s="104"/>
      <c r="DED85" s="104"/>
      <c r="DEE85" s="104"/>
      <c r="DEF85" s="104"/>
      <c r="DEG85" s="104"/>
      <c r="DEH85" s="104"/>
      <c r="DEI85" s="104"/>
      <c r="DEJ85" s="104"/>
      <c r="DEK85" s="104"/>
      <c r="DEL85" s="104"/>
      <c r="DEM85" s="104"/>
      <c r="DEN85" s="104"/>
      <c r="DEO85" s="104"/>
      <c r="DEP85" s="104"/>
      <c r="DEQ85" s="104"/>
      <c r="DER85" s="104"/>
      <c r="DES85" s="104"/>
      <c r="DET85" s="104"/>
      <c r="DEU85" s="104"/>
      <c r="DEV85" s="104"/>
      <c r="DEW85" s="104"/>
      <c r="DEX85" s="104"/>
      <c r="DEY85" s="104"/>
      <c r="DEZ85" s="104"/>
      <c r="DFA85" s="104"/>
      <c r="DFB85" s="104"/>
      <c r="DFC85" s="104"/>
      <c r="DFD85" s="104"/>
      <c r="DFE85" s="104"/>
      <c r="DFF85" s="104"/>
      <c r="DFG85" s="104"/>
      <c r="DFH85" s="104"/>
      <c r="DFI85" s="104"/>
      <c r="DFJ85" s="104"/>
      <c r="DFK85" s="104"/>
      <c r="DFL85" s="104"/>
      <c r="DFM85" s="104"/>
      <c r="DFN85" s="104"/>
      <c r="DFO85" s="104"/>
      <c r="DFP85" s="104"/>
      <c r="DFQ85" s="104"/>
      <c r="DFR85" s="104"/>
      <c r="DFS85" s="104"/>
      <c r="DFT85" s="104"/>
      <c r="DFU85" s="104"/>
      <c r="DFV85" s="104"/>
      <c r="DFW85" s="104"/>
      <c r="DFX85" s="104"/>
      <c r="DFY85" s="104"/>
      <c r="DFZ85" s="104"/>
      <c r="DGA85" s="104"/>
      <c r="DGB85" s="104"/>
      <c r="DGC85" s="104"/>
      <c r="DGD85" s="104"/>
      <c r="DGE85" s="104"/>
      <c r="DGF85" s="104"/>
      <c r="DGG85" s="104"/>
      <c r="DGH85" s="104"/>
      <c r="DGI85" s="104"/>
      <c r="DGJ85" s="104"/>
      <c r="DGK85" s="104"/>
      <c r="DGL85" s="104"/>
      <c r="DGM85" s="104"/>
      <c r="DGN85" s="104"/>
      <c r="DGO85" s="104"/>
      <c r="DGP85" s="104"/>
      <c r="DGQ85" s="104"/>
      <c r="DGR85" s="104"/>
      <c r="DGS85" s="104"/>
      <c r="DGT85" s="104"/>
      <c r="DGU85" s="104"/>
      <c r="DGV85" s="104"/>
      <c r="DGW85" s="104"/>
      <c r="DGX85" s="104"/>
      <c r="DGY85" s="104"/>
      <c r="DGZ85" s="104"/>
      <c r="DHA85" s="104"/>
      <c r="DHB85" s="104"/>
      <c r="DHC85" s="104"/>
      <c r="DHD85" s="104"/>
      <c r="DHE85" s="104"/>
      <c r="DHF85" s="104"/>
      <c r="DHG85" s="104"/>
      <c r="DHH85" s="104"/>
      <c r="DHI85" s="104"/>
      <c r="DHJ85" s="104"/>
      <c r="DHK85" s="104"/>
      <c r="DHL85" s="104"/>
      <c r="DHM85" s="104"/>
      <c r="DHN85" s="104"/>
      <c r="DHO85" s="104"/>
      <c r="DHP85" s="104"/>
      <c r="DHQ85" s="104"/>
      <c r="DHR85" s="104"/>
      <c r="DHS85" s="104"/>
      <c r="DHT85" s="104"/>
      <c r="DHU85" s="104"/>
      <c r="DHV85" s="104"/>
      <c r="DHW85" s="104"/>
      <c r="DHX85" s="104"/>
      <c r="DHY85" s="104"/>
      <c r="DHZ85" s="104"/>
      <c r="DIA85" s="104"/>
      <c r="DIB85" s="104"/>
      <c r="DIC85" s="104"/>
      <c r="DID85" s="104"/>
      <c r="DIE85" s="104"/>
      <c r="DIF85" s="104"/>
      <c r="DIG85" s="104"/>
      <c r="DIH85" s="104"/>
      <c r="DII85" s="104"/>
      <c r="DIJ85" s="104"/>
      <c r="DIK85" s="104"/>
      <c r="DIL85" s="104"/>
      <c r="DIM85" s="104"/>
      <c r="DIN85" s="104"/>
      <c r="DIO85" s="104"/>
      <c r="DIP85" s="104"/>
      <c r="DIQ85" s="104"/>
      <c r="DIR85" s="104"/>
      <c r="DIS85" s="104"/>
      <c r="DIT85" s="104"/>
      <c r="DIU85" s="104"/>
      <c r="DIV85" s="104"/>
      <c r="DIW85" s="104"/>
      <c r="DIX85" s="104"/>
      <c r="DIY85" s="104"/>
      <c r="DIZ85" s="104"/>
      <c r="DJA85" s="104"/>
      <c r="DJB85" s="104"/>
      <c r="DJC85" s="104"/>
      <c r="DJD85" s="104"/>
      <c r="DJE85" s="104"/>
      <c r="DJF85" s="104"/>
      <c r="DJG85" s="104"/>
      <c r="DJH85" s="104"/>
      <c r="DJI85" s="104"/>
      <c r="DJJ85" s="104"/>
      <c r="DJK85" s="104"/>
      <c r="DJL85" s="104"/>
      <c r="DJM85" s="104"/>
      <c r="DJN85" s="104"/>
      <c r="DJO85" s="104"/>
      <c r="DJP85" s="104"/>
      <c r="DJQ85" s="104"/>
      <c r="DJR85" s="104"/>
      <c r="DJS85" s="104"/>
      <c r="DJT85" s="104"/>
      <c r="DJU85" s="104"/>
      <c r="DJV85" s="104"/>
      <c r="DJW85" s="104"/>
      <c r="DJX85" s="104"/>
      <c r="DJY85" s="104"/>
      <c r="DJZ85" s="104"/>
      <c r="DKA85" s="104"/>
      <c r="DKB85" s="104"/>
      <c r="DKC85" s="104"/>
      <c r="DKD85" s="104"/>
      <c r="DKE85" s="104"/>
      <c r="DKF85" s="104"/>
      <c r="DKG85" s="104"/>
      <c r="DKH85" s="104"/>
      <c r="DKI85" s="104"/>
      <c r="DKJ85" s="104"/>
      <c r="DKK85" s="104"/>
      <c r="DKL85" s="104"/>
      <c r="DKM85" s="104"/>
      <c r="DKN85" s="104"/>
      <c r="DKO85" s="104"/>
      <c r="DKP85" s="104"/>
      <c r="DKQ85" s="104"/>
      <c r="DKR85" s="104"/>
      <c r="DKS85" s="104"/>
      <c r="DKT85" s="104"/>
      <c r="DKU85" s="104"/>
      <c r="DKV85" s="104"/>
      <c r="DKW85" s="104"/>
      <c r="DKX85" s="104"/>
      <c r="DKY85" s="104"/>
      <c r="DKZ85" s="104"/>
      <c r="DLA85" s="104"/>
      <c r="DLB85" s="104"/>
      <c r="DLC85" s="104"/>
      <c r="DLD85" s="104"/>
      <c r="DLE85" s="104"/>
      <c r="DLF85" s="104"/>
      <c r="DLG85" s="104"/>
      <c r="DLH85" s="104"/>
      <c r="DLI85" s="104"/>
      <c r="DLJ85" s="104"/>
      <c r="DLK85" s="104"/>
      <c r="DLL85" s="104"/>
      <c r="DLM85" s="104"/>
      <c r="DLN85" s="104"/>
      <c r="DLO85" s="104"/>
      <c r="DLP85" s="104"/>
      <c r="DLQ85" s="104"/>
      <c r="DLR85" s="104"/>
      <c r="DLS85" s="104"/>
      <c r="DLT85" s="104"/>
      <c r="DLU85" s="104"/>
      <c r="DLV85" s="104"/>
      <c r="DLW85" s="104"/>
      <c r="DLX85" s="104"/>
      <c r="DLY85" s="104"/>
      <c r="DLZ85" s="104"/>
      <c r="DMA85" s="104"/>
      <c r="DMB85" s="104"/>
      <c r="DMC85" s="104"/>
      <c r="DMD85" s="104"/>
      <c r="DME85" s="104"/>
      <c r="DMF85" s="104"/>
      <c r="DMG85" s="104"/>
      <c r="DMH85" s="104"/>
      <c r="DMI85" s="104"/>
      <c r="DMJ85" s="104"/>
      <c r="DMK85" s="104"/>
      <c r="DML85" s="104"/>
      <c r="DMM85" s="104"/>
      <c r="DMN85" s="104"/>
      <c r="DMO85" s="104"/>
      <c r="DMP85" s="104"/>
      <c r="DMQ85" s="104"/>
      <c r="DMR85" s="104"/>
      <c r="DMS85" s="104"/>
      <c r="DMT85" s="104"/>
      <c r="DMU85" s="104"/>
      <c r="DMV85" s="104"/>
      <c r="DMW85" s="104"/>
      <c r="DMX85" s="104"/>
      <c r="DMY85" s="104"/>
      <c r="DMZ85" s="104"/>
      <c r="DNA85" s="104"/>
      <c r="DNB85" s="104"/>
      <c r="DNC85" s="104"/>
      <c r="DND85" s="104"/>
      <c r="DNE85" s="104"/>
      <c r="DNF85" s="104"/>
      <c r="DNG85" s="104"/>
      <c r="DNH85" s="104"/>
      <c r="DNI85" s="104"/>
      <c r="DNJ85" s="104"/>
      <c r="DNK85" s="104"/>
      <c r="DNL85" s="104"/>
      <c r="DNM85" s="104"/>
      <c r="DNN85" s="104"/>
      <c r="DNO85" s="104"/>
      <c r="DNP85" s="104"/>
      <c r="DNQ85" s="104"/>
      <c r="DNR85" s="104"/>
      <c r="DNS85" s="104"/>
      <c r="DNT85" s="104"/>
      <c r="DNU85" s="104"/>
      <c r="DNV85" s="104"/>
      <c r="DNW85" s="104"/>
      <c r="DNX85" s="104"/>
      <c r="DNY85" s="104"/>
      <c r="DNZ85" s="104"/>
      <c r="DOA85" s="104"/>
      <c r="DOB85" s="104"/>
      <c r="DOC85" s="104"/>
      <c r="DOD85" s="104"/>
      <c r="DOE85" s="104"/>
      <c r="DOF85" s="104"/>
      <c r="DOG85" s="104"/>
      <c r="DOH85" s="104"/>
      <c r="DOI85" s="104"/>
      <c r="DOJ85" s="104"/>
      <c r="DOK85" s="104"/>
      <c r="DOL85" s="104"/>
      <c r="DOM85" s="104"/>
      <c r="DON85" s="104"/>
      <c r="DOO85" s="104"/>
      <c r="DOP85" s="104"/>
      <c r="DOQ85" s="104"/>
      <c r="DOR85" s="104"/>
      <c r="DOS85" s="104"/>
      <c r="DOT85" s="104"/>
      <c r="DOU85" s="104"/>
      <c r="DOV85" s="104"/>
      <c r="DOW85" s="104"/>
      <c r="DOX85" s="104"/>
      <c r="DOY85" s="104"/>
      <c r="DOZ85" s="104"/>
      <c r="DPA85" s="104"/>
      <c r="DPB85" s="104"/>
      <c r="DPC85" s="104"/>
      <c r="DPD85" s="104"/>
      <c r="DPE85" s="104"/>
      <c r="DPF85" s="104"/>
      <c r="DPG85" s="104"/>
      <c r="DPH85" s="104"/>
      <c r="DPI85" s="104"/>
      <c r="DPJ85" s="104"/>
      <c r="DPK85" s="104"/>
      <c r="DPL85" s="104"/>
      <c r="DPM85" s="104"/>
      <c r="DPN85" s="104"/>
      <c r="DPO85" s="104"/>
      <c r="DPP85" s="104"/>
      <c r="DPQ85" s="104"/>
      <c r="DPR85" s="104"/>
      <c r="DPS85" s="104"/>
      <c r="DPT85" s="104"/>
      <c r="DPU85" s="104"/>
      <c r="DPV85" s="104"/>
      <c r="DPW85" s="104"/>
      <c r="DPX85" s="104"/>
      <c r="DPY85" s="104"/>
      <c r="DPZ85" s="104"/>
      <c r="DQA85" s="104"/>
      <c r="DQB85" s="104"/>
      <c r="DQC85" s="104"/>
      <c r="DQD85" s="104"/>
      <c r="DQE85" s="104"/>
      <c r="DQF85" s="104"/>
      <c r="DQG85" s="104"/>
      <c r="DQH85" s="104"/>
      <c r="DQI85" s="104"/>
      <c r="DQJ85" s="104"/>
      <c r="DQK85" s="104"/>
      <c r="DQL85" s="104"/>
      <c r="DQM85" s="104"/>
      <c r="DQN85" s="104"/>
      <c r="DQO85" s="104"/>
      <c r="DQP85" s="104"/>
      <c r="DQQ85" s="104"/>
      <c r="DQR85" s="104"/>
      <c r="DQS85" s="104"/>
      <c r="DQT85" s="104"/>
      <c r="DQU85" s="104"/>
      <c r="DQV85" s="104"/>
      <c r="DQW85" s="104"/>
      <c r="DQX85" s="104"/>
      <c r="DQY85" s="104"/>
      <c r="DQZ85" s="104"/>
      <c r="DRA85" s="104"/>
      <c r="DRB85" s="104"/>
      <c r="DRC85" s="104"/>
      <c r="DRD85" s="104"/>
      <c r="DRE85" s="104"/>
      <c r="DRF85" s="104"/>
      <c r="DRG85" s="104"/>
      <c r="DRH85" s="104"/>
      <c r="DRI85" s="104"/>
      <c r="DRJ85" s="104"/>
      <c r="DRK85" s="104"/>
      <c r="DRL85" s="104"/>
      <c r="DRM85" s="104"/>
      <c r="DRN85" s="104"/>
      <c r="DRO85" s="104"/>
      <c r="DRP85" s="104"/>
      <c r="DRQ85" s="104"/>
      <c r="DRR85" s="104"/>
      <c r="DRS85" s="104"/>
      <c r="DRT85" s="104"/>
      <c r="DRU85" s="104"/>
      <c r="DRV85" s="104"/>
      <c r="DRW85" s="104"/>
      <c r="DRX85" s="104"/>
      <c r="DRY85" s="104"/>
      <c r="DRZ85" s="104"/>
      <c r="DSA85" s="104"/>
      <c r="DSB85" s="104"/>
      <c r="DSC85" s="104"/>
      <c r="DSD85" s="104"/>
      <c r="DSE85" s="104"/>
      <c r="DSF85" s="104"/>
      <c r="DSG85" s="104"/>
      <c r="DSH85" s="104"/>
      <c r="DSI85" s="104"/>
      <c r="DSJ85" s="104"/>
      <c r="DSK85" s="104"/>
      <c r="DSL85" s="104"/>
      <c r="DSM85" s="104"/>
      <c r="DSN85" s="104"/>
      <c r="DSO85" s="104"/>
      <c r="DSP85" s="104"/>
      <c r="DSQ85" s="104"/>
      <c r="DSR85" s="104"/>
      <c r="DSS85" s="104"/>
      <c r="DST85" s="104"/>
      <c r="DSU85" s="104"/>
      <c r="DSV85" s="104"/>
      <c r="DSW85" s="104"/>
      <c r="DSX85" s="104"/>
      <c r="DSY85" s="104"/>
      <c r="DSZ85" s="104"/>
      <c r="DTA85" s="104"/>
      <c r="DTB85" s="104"/>
      <c r="DTC85" s="104"/>
      <c r="DTD85" s="104"/>
      <c r="DTE85" s="104"/>
      <c r="DTF85" s="104"/>
      <c r="DTG85" s="104"/>
      <c r="DTH85" s="104"/>
      <c r="DTI85" s="104"/>
      <c r="DTJ85" s="104"/>
      <c r="DTK85" s="104"/>
      <c r="DTL85" s="104"/>
      <c r="DTM85" s="104"/>
      <c r="DTN85" s="104"/>
      <c r="DTO85" s="104"/>
      <c r="DTP85" s="104"/>
      <c r="DTQ85" s="104"/>
      <c r="DTR85" s="104"/>
      <c r="DTS85" s="104"/>
      <c r="DTT85" s="104"/>
      <c r="DTU85" s="104"/>
      <c r="DTV85" s="104"/>
      <c r="DTW85" s="104"/>
      <c r="DTX85" s="104"/>
      <c r="DTY85" s="104"/>
      <c r="DTZ85" s="104"/>
      <c r="DUA85" s="104"/>
      <c r="DUB85" s="104"/>
      <c r="DUC85" s="104"/>
      <c r="DUD85" s="104"/>
      <c r="DUE85" s="104"/>
      <c r="DUF85" s="104"/>
      <c r="DUG85" s="104"/>
      <c r="DUH85" s="104"/>
      <c r="DUI85" s="104"/>
      <c r="DUJ85" s="104"/>
      <c r="DUK85" s="104"/>
      <c r="DUL85" s="104"/>
      <c r="DUM85" s="104"/>
      <c r="DUN85" s="104"/>
      <c r="DUO85" s="104"/>
      <c r="DUP85" s="104"/>
      <c r="DUQ85" s="104"/>
      <c r="DUR85" s="104"/>
      <c r="DUS85" s="104"/>
      <c r="DUT85" s="104"/>
      <c r="DUU85" s="104"/>
      <c r="DUV85" s="104"/>
      <c r="DUW85" s="104"/>
      <c r="DUX85" s="104"/>
      <c r="DUY85" s="104"/>
      <c r="DUZ85" s="104"/>
      <c r="DVA85" s="104"/>
      <c r="DVB85" s="104"/>
      <c r="DVC85" s="104"/>
      <c r="DVD85" s="104"/>
      <c r="DVE85" s="104"/>
      <c r="DVF85" s="104"/>
      <c r="DVG85" s="104"/>
      <c r="DVH85" s="104"/>
      <c r="DVI85" s="104"/>
      <c r="DVJ85" s="104"/>
      <c r="DVK85" s="104"/>
      <c r="DVL85" s="104"/>
      <c r="DVM85" s="104"/>
      <c r="DVN85" s="104"/>
      <c r="DVO85" s="104"/>
      <c r="DVP85" s="104"/>
      <c r="DVQ85" s="104"/>
      <c r="DVR85" s="104"/>
      <c r="DVS85" s="104"/>
      <c r="DVT85" s="104"/>
      <c r="DVU85" s="104"/>
      <c r="DVV85" s="104"/>
      <c r="DVW85" s="104"/>
      <c r="DVX85" s="104"/>
      <c r="DVY85" s="104"/>
      <c r="DVZ85" s="104"/>
      <c r="DWA85" s="104"/>
      <c r="DWB85" s="104"/>
      <c r="DWC85" s="104"/>
      <c r="DWD85" s="104"/>
      <c r="DWE85" s="104"/>
      <c r="DWF85" s="104"/>
      <c r="DWG85" s="104"/>
      <c r="DWH85" s="104"/>
      <c r="DWI85" s="104"/>
      <c r="DWJ85" s="104"/>
      <c r="DWK85" s="104"/>
      <c r="DWL85" s="104"/>
      <c r="DWM85" s="104"/>
      <c r="DWN85" s="104"/>
      <c r="DWO85" s="104"/>
      <c r="DWP85" s="104"/>
      <c r="DWQ85" s="104"/>
      <c r="DWR85" s="104"/>
      <c r="DWS85" s="104"/>
      <c r="DWT85" s="104"/>
      <c r="DWU85" s="104"/>
      <c r="DWV85" s="104"/>
      <c r="DWW85" s="104"/>
      <c r="DWX85" s="104"/>
      <c r="DWY85" s="104"/>
      <c r="DWZ85" s="104"/>
      <c r="DXA85" s="104"/>
      <c r="DXB85" s="104"/>
      <c r="DXC85" s="104"/>
      <c r="DXD85" s="104"/>
      <c r="DXE85" s="104"/>
      <c r="DXF85" s="104"/>
      <c r="DXG85" s="104"/>
      <c r="DXH85" s="104"/>
      <c r="DXI85" s="104"/>
      <c r="DXJ85" s="104"/>
      <c r="DXK85" s="104"/>
      <c r="DXL85" s="104"/>
      <c r="DXM85" s="104"/>
      <c r="DXN85" s="104"/>
      <c r="DXO85" s="104"/>
      <c r="DXP85" s="104"/>
      <c r="DXQ85" s="104"/>
      <c r="DXR85" s="104"/>
      <c r="DXS85" s="104"/>
      <c r="DXT85" s="104"/>
      <c r="DXU85" s="104"/>
      <c r="DXV85" s="104"/>
      <c r="DXW85" s="104"/>
      <c r="DXX85" s="104"/>
      <c r="DXY85" s="104"/>
      <c r="DXZ85" s="104"/>
      <c r="DYA85" s="104"/>
      <c r="DYB85" s="104"/>
      <c r="DYC85" s="104"/>
      <c r="DYD85" s="104"/>
      <c r="DYE85" s="104"/>
      <c r="DYF85" s="104"/>
      <c r="DYG85" s="104"/>
      <c r="DYH85" s="104"/>
      <c r="DYI85" s="104"/>
      <c r="DYJ85" s="104"/>
      <c r="DYK85" s="104"/>
      <c r="DYL85" s="104"/>
      <c r="DYM85" s="104"/>
      <c r="DYN85" s="104"/>
      <c r="DYO85" s="104"/>
      <c r="DYP85" s="104"/>
      <c r="DYQ85" s="104"/>
      <c r="DYR85" s="104"/>
      <c r="DYS85" s="104"/>
      <c r="DYT85" s="104"/>
      <c r="DYU85" s="104"/>
      <c r="DYV85" s="104"/>
      <c r="DYW85" s="104"/>
      <c r="DYX85" s="104"/>
      <c r="DYY85" s="104"/>
      <c r="DYZ85" s="104"/>
      <c r="DZA85" s="104"/>
      <c r="DZB85" s="104"/>
      <c r="DZC85" s="104"/>
      <c r="DZD85" s="104"/>
      <c r="DZE85" s="104"/>
      <c r="DZF85" s="104"/>
      <c r="DZG85" s="104"/>
      <c r="DZH85" s="104"/>
      <c r="DZI85" s="104"/>
      <c r="DZJ85" s="104"/>
      <c r="DZK85" s="104"/>
      <c r="DZL85" s="104"/>
      <c r="DZM85" s="104"/>
      <c r="DZN85" s="104"/>
      <c r="DZO85" s="104"/>
      <c r="DZP85" s="104"/>
      <c r="DZQ85" s="104"/>
      <c r="DZR85" s="104"/>
      <c r="DZS85" s="104"/>
      <c r="DZT85" s="104"/>
      <c r="DZU85" s="104"/>
      <c r="DZV85" s="104"/>
      <c r="DZW85" s="104"/>
      <c r="DZX85" s="104"/>
      <c r="DZY85" s="104"/>
      <c r="DZZ85" s="104"/>
      <c r="EAA85" s="104"/>
      <c r="EAB85" s="104"/>
      <c r="EAC85" s="104"/>
      <c r="EAD85" s="104"/>
      <c r="EAE85" s="104"/>
      <c r="EAF85" s="104"/>
      <c r="EAG85" s="104"/>
      <c r="EAH85" s="104"/>
      <c r="EAI85" s="104"/>
      <c r="EAJ85" s="104"/>
      <c r="EAK85" s="104"/>
      <c r="EAL85" s="104"/>
      <c r="EAM85" s="104"/>
      <c r="EAN85" s="104"/>
      <c r="EAO85" s="104"/>
      <c r="EAP85" s="104"/>
      <c r="EAQ85" s="104"/>
      <c r="EAR85" s="104"/>
      <c r="EAS85" s="104"/>
      <c r="EAT85" s="104"/>
      <c r="EAU85" s="104"/>
      <c r="EAV85" s="104"/>
      <c r="EAW85" s="104"/>
      <c r="EAX85" s="104"/>
      <c r="EAY85" s="104"/>
      <c r="EAZ85" s="104"/>
      <c r="EBA85" s="104"/>
      <c r="EBB85" s="104"/>
      <c r="EBC85" s="104"/>
      <c r="EBD85" s="104"/>
      <c r="EBE85" s="104"/>
      <c r="EBF85" s="104"/>
      <c r="EBG85" s="104"/>
      <c r="EBH85" s="104"/>
      <c r="EBI85" s="104"/>
      <c r="EBJ85" s="104"/>
      <c r="EBK85" s="104"/>
      <c r="EBL85" s="104"/>
      <c r="EBM85" s="104"/>
      <c r="EBN85" s="104"/>
      <c r="EBO85" s="104"/>
      <c r="EBP85" s="104"/>
      <c r="EBQ85" s="104"/>
      <c r="EBR85" s="104"/>
      <c r="EBS85" s="104"/>
      <c r="EBT85" s="104"/>
      <c r="EBU85" s="104"/>
      <c r="EBV85" s="104"/>
      <c r="EBW85" s="104"/>
      <c r="EBX85" s="104"/>
      <c r="EBY85" s="104"/>
      <c r="EBZ85" s="104"/>
      <c r="ECA85" s="104"/>
      <c r="ECB85" s="104"/>
      <c r="ECC85" s="104"/>
      <c r="ECD85" s="104"/>
      <c r="ECE85" s="104"/>
      <c r="ECF85" s="104"/>
      <c r="ECG85" s="104"/>
      <c r="ECH85" s="104"/>
      <c r="ECI85" s="104"/>
      <c r="ECJ85" s="104"/>
      <c r="ECK85" s="104"/>
      <c r="ECL85" s="104"/>
      <c r="ECM85" s="104"/>
      <c r="ECN85" s="104"/>
      <c r="ECO85" s="104"/>
      <c r="ECP85" s="104"/>
      <c r="ECQ85" s="104"/>
      <c r="ECR85" s="104"/>
      <c r="ECS85" s="104"/>
      <c r="ECT85" s="104"/>
      <c r="ECU85" s="104"/>
      <c r="ECV85" s="104"/>
      <c r="ECW85" s="104"/>
      <c r="ECX85" s="104"/>
      <c r="ECY85" s="104"/>
      <c r="ECZ85" s="104"/>
      <c r="EDA85" s="104"/>
      <c r="EDB85" s="104"/>
      <c r="EDC85" s="104"/>
      <c r="EDD85" s="104"/>
      <c r="EDE85" s="104"/>
      <c r="EDF85" s="104"/>
      <c r="EDG85" s="104"/>
      <c r="EDH85" s="104"/>
      <c r="EDI85" s="104"/>
      <c r="EDJ85" s="104"/>
      <c r="EDK85" s="104"/>
      <c r="EDL85" s="104"/>
      <c r="EDM85" s="104"/>
      <c r="EDN85" s="104"/>
      <c r="EDO85" s="104"/>
      <c r="EDP85" s="104"/>
      <c r="EDQ85" s="104"/>
      <c r="EDR85" s="104"/>
      <c r="EDS85" s="104"/>
      <c r="EDT85" s="104"/>
      <c r="EDU85" s="104"/>
      <c r="EDV85" s="104"/>
      <c r="EDW85" s="104"/>
      <c r="EDX85" s="104"/>
      <c r="EDY85" s="104"/>
      <c r="EDZ85" s="104"/>
      <c r="EEA85" s="104"/>
      <c r="EEB85" s="104"/>
      <c r="EEC85" s="104"/>
      <c r="EED85" s="104"/>
      <c r="EEE85" s="104"/>
      <c r="EEF85" s="104"/>
      <c r="EEG85" s="104"/>
      <c r="EEH85" s="104"/>
      <c r="EEI85" s="104"/>
      <c r="EEJ85" s="104"/>
      <c r="EEK85" s="104"/>
      <c r="EEL85" s="104"/>
      <c r="EEM85" s="104"/>
      <c r="EEN85" s="104"/>
      <c r="EEO85" s="104"/>
      <c r="EEP85" s="104"/>
      <c r="EEQ85" s="104"/>
      <c r="EER85" s="104"/>
      <c r="EES85" s="104"/>
      <c r="EET85" s="104"/>
      <c r="EEU85" s="104"/>
      <c r="EEV85" s="104"/>
      <c r="EEW85" s="104"/>
      <c r="EEX85" s="104"/>
      <c r="EEY85" s="104"/>
      <c r="EEZ85" s="104"/>
      <c r="EFA85" s="104"/>
      <c r="EFB85" s="104"/>
      <c r="EFC85" s="104"/>
      <c r="EFD85" s="104"/>
      <c r="EFE85" s="104"/>
      <c r="EFF85" s="104"/>
      <c r="EFG85" s="104"/>
      <c r="EFH85" s="104"/>
      <c r="EFI85" s="104"/>
      <c r="EFJ85" s="104"/>
      <c r="EFK85" s="104"/>
      <c r="EFL85" s="104"/>
      <c r="EFM85" s="104"/>
      <c r="EFN85" s="104"/>
      <c r="EFO85" s="104"/>
      <c r="EFP85" s="104"/>
      <c r="EFQ85" s="104"/>
      <c r="EFR85" s="104"/>
      <c r="EFS85" s="104"/>
      <c r="EFT85" s="104"/>
      <c r="EFU85" s="104"/>
      <c r="EFV85" s="104"/>
      <c r="EFW85" s="104"/>
      <c r="EFX85" s="104"/>
      <c r="EFY85" s="104"/>
      <c r="EFZ85" s="104"/>
      <c r="EGA85" s="104"/>
      <c r="EGB85" s="104"/>
      <c r="EGC85" s="104"/>
      <c r="EGD85" s="104"/>
      <c r="EGE85" s="104"/>
      <c r="EGF85" s="104"/>
      <c r="EGG85" s="104"/>
      <c r="EGH85" s="104"/>
      <c r="EGI85" s="104"/>
      <c r="EGJ85" s="104"/>
      <c r="EGK85" s="104"/>
      <c r="EGL85" s="104"/>
      <c r="EGM85" s="104"/>
      <c r="EGN85" s="104"/>
      <c r="EGO85" s="104"/>
      <c r="EGP85" s="104"/>
      <c r="EGQ85" s="104"/>
      <c r="EGR85" s="104"/>
      <c r="EGS85" s="104"/>
      <c r="EGT85" s="104"/>
      <c r="EGU85" s="104"/>
      <c r="EGV85" s="104"/>
      <c r="EGW85" s="104"/>
      <c r="EGX85" s="104"/>
      <c r="EGY85" s="104"/>
      <c r="EGZ85" s="104"/>
      <c r="EHA85" s="104"/>
      <c r="EHB85" s="104"/>
      <c r="EHC85" s="104"/>
      <c r="EHD85" s="104"/>
      <c r="EHE85" s="104"/>
      <c r="EHF85" s="104"/>
      <c r="EHG85" s="104"/>
      <c r="EHH85" s="104"/>
      <c r="EHI85" s="104"/>
      <c r="EHJ85" s="104"/>
      <c r="EHK85" s="104"/>
      <c r="EHL85" s="104"/>
      <c r="EHM85" s="104"/>
      <c r="EHN85" s="104"/>
      <c r="EHO85" s="104"/>
      <c r="EHP85" s="104"/>
      <c r="EHQ85" s="104"/>
      <c r="EHR85" s="104"/>
      <c r="EHS85" s="104"/>
      <c r="EHT85" s="104"/>
      <c r="EHU85" s="104"/>
      <c r="EHV85" s="104"/>
      <c r="EHW85" s="104"/>
      <c r="EHX85" s="104"/>
      <c r="EHY85" s="104"/>
      <c r="EHZ85" s="104"/>
      <c r="EIA85" s="104"/>
      <c r="EIB85" s="104"/>
      <c r="EIC85" s="104"/>
      <c r="EID85" s="104"/>
      <c r="EIE85" s="104"/>
      <c r="EIF85" s="104"/>
      <c r="EIG85" s="104"/>
      <c r="EIH85" s="104"/>
      <c r="EII85" s="104"/>
      <c r="EIJ85" s="104"/>
      <c r="EIK85" s="104"/>
      <c r="EIL85" s="104"/>
      <c r="EIM85" s="104"/>
      <c r="EIN85" s="104"/>
      <c r="EIO85" s="104"/>
      <c r="EIP85" s="104"/>
      <c r="EIQ85" s="104"/>
      <c r="EIR85" s="104"/>
      <c r="EIS85" s="104"/>
      <c r="EIT85" s="104"/>
      <c r="EIU85" s="104"/>
      <c r="EIV85" s="104"/>
      <c r="EIW85" s="104"/>
      <c r="EIX85" s="104"/>
      <c r="EIY85" s="104"/>
      <c r="EIZ85" s="104"/>
      <c r="EJA85" s="104"/>
      <c r="EJB85" s="104"/>
      <c r="EJC85" s="104"/>
      <c r="EJD85" s="104"/>
      <c r="EJE85" s="104"/>
      <c r="EJF85" s="104"/>
      <c r="EJG85" s="104"/>
      <c r="EJH85" s="104"/>
      <c r="EJI85" s="104"/>
      <c r="EJJ85" s="104"/>
      <c r="EJK85" s="104"/>
      <c r="EJL85" s="104"/>
      <c r="EJM85" s="104"/>
      <c r="EJN85" s="104"/>
      <c r="EJO85" s="104"/>
      <c r="EJP85" s="104"/>
      <c r="EJQ85" s="104"/>
      <c r="EJR85" s="104"/>
      <c r="EJS85" s="104"/>
      <c r="EJT85" s="104"/>
      <c r="EJU85" s="104"/>
      <c r="EJV85" s="104"/>
      <c r="EJW85" s="104"/>
      <c r="EJX85" s="104"/>
      <c r="EJY85" s="104"/>
      <c r="EJZ85" s="104"/>
      <c r="EKA85" s="104"/>
      <c r="EKB85" s="104"/>
      <c r="EKC85" s="104"/>
      <c r="EKD85" s="104"/>
      <c r="EKE85" s="104"/>
      <c r="EKF85" s="104"/>
      <c r="EKG85" s="104"/>
      <c r="EKH85" s="104"/>
      <c r="EKI85" s="104"/>
      <c r="EKJ85" s="104"/>
      <c r="EKK85" s="104"/>
      <c r="EKL85" s="104"/>
      <c r="EKM85" s="104"/>
      <c r="EKN85" s="104"/>
      <c r="EKO85" s="104"/>
      <c r="EKP85" s="104"/>
      <c r="EKQ85" s="104"/>
      <c r="EKR85" s="104"/>
      <c r="EKS85" s="104"/>
      <c r="EKT85" s="104"/>
      <c r="EKU85" s="104"/>
      <c r="EKV85" s="104"/>
      <c r="EKW85" s="104"/>
      <c r="EKX85" s="104"/>
      <c r="EKY85" s="104"/>
      <c r="EKZ85" s="104"/>
      <c r="ELA85" s="104"/>
      <c r="ELB85" s="104"/>
      <c r="ELC85" s="104"/>
      <c r="ELD85" s="104"/>
      <c r="ELE85" s="104"/>
      <c r="ELF85" s="104"/>
      <c r="ELG85" s="104"/>
      <c r="ELH85" s="104"/>
      <c r="ELI85" s="104"/>
      <c r="ELJ85" s="104"/>
      <c r="ELK85" s="104"/>
      <c r="ELL85" s="104"/>
      <c r="ELM85" s="104"/>
      <c r="ELN85" s="104"/>
      <c r="ELO85" s="104"/>
      <c r="ELP85" s="104"/>
      <c r="ELQ85" s="104"/>
      <c r="ELR85" s="104"/>
      <c r="ELS85" s="104"/>
      <c r="ELT85" s="104"/>
      <c r="ELU85" s="104"/>
      <c r="ELV85" s="104"/>
      <c r="ELW85" s="104"/>
      <c r="ELX85" s="104"/>
      <c r="ELY85" s="104"/>
      <c r="ELZ85" s="104"/>
      <c r="EMA85" s="104"/>
      <c r="EMB85" s="104"/>
      <c r="EMC85" s="104"/>
      <c r="EMD85" s="104"/>
      <c r="EME85" s="104"/>
      <c r="EMF85" s="104"/>
      <c r="EMG85" s="104"/>
      <c r="EMH85" s="104"/>
      <c r="EMI85" s="104"/>
      <c r="EMJ85" s="104"/>
      <c r="EMK85" s="104"/>
      <c r="EML85" s="104"/>
      <c r="EMM85" s="104"/>
      <c r="EMN85" s="104"/>
      <c r="EMO85" s="104"/>
      <c r="EMP85" s="104"/>
      <c r="EMQ85" s="104"/>
      <c r="EMR85" s="104"/>
      <c r="EMS85" s="104"/>
      <c r="EMT85" s="104"/>
      <c r="EMU85" s="104"/>
      <c r="EMV85" s="104"/>
      <c r="EMW85" s="104"/>
      <c r="EMX85" s="104"/>
      <c r="EMY85" s="104"/>
      <c r="EMZ85" s="104"/>
      <c r="ENA85" s="104"/>
      <c r="ENB85" s="104"/>
      <c r="ENC85" s="104"/>
      <c r="END85" s="104"/>
      <c r="ENE85" s="104"/>
      <c r="ENF85" s="104"/>
      <c r="ENG85" s="104"/>
      <c r="ENH85" s="104"/>
      <c r="ENI85" s="104"/>
      <c r="ENJ85" s="104"/>
      <c r="ENK85" s="104"/>
      <c r="ENL85" s="104"/>
      <c r="ENM85" s="104"/>
      <c r="ENN85" s="104"/>
      <c r="ENO85" s="104"/>
      <c r="ENP85" s="104"/>
      <c r="ENQ85" s="104"/>
      <c r="ENR85" s="104"/>
      <c r="ENS85" s="104"/>
      <c r="ENT85" s="104"/>
      <c r="ENU85" s="104"/>
      <c r="ENV85" s="104"/>
      <c r="ENW85" s="104"/>
      <c r="ENX85" s="104"/>
      <c r="ENY85" s="104"/>
      <c r="ENZ85" s="104"/>
      <c r="EOA85" s="104"/>
      <c r="EOB85" s="104"/>
      <c r="EOC85" s="104"/>
      <c r="EOD85" s="104"/>
      <c r="EOE85" s="104"/>
      <c r="EOF85" s="104"/>
      <c r="EOG85" s="104"/>
      <c r="EOH85" s="104"/>
      <c r="EOI85" s="104"/>
      <c r="EOJ85" s="104"/>
      <c r="EOK85" s="104"/>
      <c r="EOL85" s="104"/>
      <c r="EOM85" s="104"/>
      <c r="EON85" s="104"/>
      <c r="EOO85" s="104"/>
      <c r="EOP85" s="104"/>
      <c r="EOQ85" s="104"/>
      <c r="EOR85" s="104"/>
      <c r="EOS85" s="104"/>
      <c r="EOT85" s="104"/>
      <c r="EOU85" s="104"/>
      <c r="EOV85" s="104"/>
      <c r="EOW85" s="104"/>
      <c r="EOX85" s="104"/>
      <c r="EOY85" s="104"/>
      <c r="EOZ85" s="104"/>
      <c r="EPA85" s="104"/>
      <c r="EPB85" s="104"/>
      <c r="EPC85" s="104"/>
      <c r="EPD85" s="104"/>
      <c r="EPE85" s="104"/>
      <c r="EPF85" s="104"/>
      <c r="EPG85" s="104"/>
      <c r="EPH85" s="104"/>
      <c r="EPI85" s="104"/>
      <c r="EPJ85" s="104"/>
      <c r="EPK85" s="104"/>
      <c r="EPL85" s="104"/>
      <c r="EPM85" s="104"/>
      <c r="EPN85" s="104"/>
      <c r="EPO85" s="104"/>
      <c r="EPP85" s="104"/>
      <c r="EPQ85" s="104"/>
      <c r="EPR85" s="104"/>
      <c r="EPS85" s="104"/>
      <c r="EPT85" s="104"/>
      <c r="EPU85" s="104"/>
      <c r="EPV85" s="104"/>
      <c r="EPW85" s="104"/>
      <c r="EPX85" s="104"/>
      <c r="EPY85" s="104"/>
      <c r="EPZ85" s="104"/>
      <c r="EQA85" s="104"/>
      <c r="EQB85" s="104"/>
      <c r="EQC85" s="104"/>
      <c r="EQD85" s="104"/>
      <c r="EQE85" s="104"/>
      <c r="EQF85" s="104"/>
      <c r="EQG85" s="104"/>
      <c r="EQH85" s="104"/>
      <c r="EQI85" s="104"/>
      <c r="EQJ85" s="104"/>
      <c r="EQK85" s="104"/>
      <c r="EQL85" s="104"/>
      <c r="EQM85" s="104"/>
      <c r="EQN85" s="104"/>
      <c r="EQO85" s="104"/>
      <c r="EQP85" s="104"/>
      <c r="EQQ85" s="104"/>
      <c r="EQR85" s="104"/>
      <c r="EQS85" s="104"/>
      <c r="EQT85" s="104"/>
      <c r="EQU85" s="104"/>
      <c r="EQV85" s="104"/>
      <c r="EQW85" s="104"/>
      <c r="EQX85" s="104"/>
      <c r="EQY85" s="104"/>
      <c r="EQZ85" s="104"/>
      <c r="ERA85" s="104"/>
      <c r="ERB85" s="104"/>
      <c r="ERC85" s="104"/>
      <c r="ERD85" s="104"/>
      <c r="ERE85" s="104"/>
      <c r="ERF85" s="104"/>
      <c r="ERG85" s="104"/>
      <c r="ERH85" s="104"/>
      <c r="ERI85" s="104"/>
      <c r="ERJ85" s="104"/>
      <c r="ERK85" s="104"/>
      <c r="ERL85" s="104"/>
      <c r="ERM85" s="104"/>
      <c r="ERN85" s="104"/>
      <c r="ERO85" s="104"/>
      <c r="ERP85" s="104"/>
      <c r="ERQ85" s="104"/>
      <c r="ERR85" s="104"/>
      <c r="ERS85" s="104"/>
      <c r="ERT85" s="104"/>
      <c r="ERU85" s="104"/>
      <c r="ERV85" s="104"/>
      <c r="ERW85" s="104"/>
      <c r="ERX85" s="104"/>
      <c r="ERY85" s="104"/>
      <c r="ERZ85" s="104"/>
      <c r="ESA85" s="104"/>
      <c r="ESB85" s="104"/>
      <c r="ESC85" s="104"/>
      <c r="ESD85" s="104"/>
      <c r="ESE85" s="104"/>
      <c r="ESF85" s="104"/>
      <c r="ESG85" s="104"/>
      <c r="ESH85" s="104"/>
      <c r="ESI85" s="104"/>
      <c r="ESJ85" s="104"/>
      <c r="ESK85" s="104"/>
      <c r="ESL85" s="104"/>
      <c r="ESM85" s="104"/>
      <c r="ESN85" s="104"/>
      <c r="ESO85" s="104"/>
      <c r="ESP85" s="104"/>
      <c r="ESQ85" s="104"/>
      <c r="ESR85" s="104"/>
      <c r="ESS85" s="104"/>
      <c r="EST85" s="104"/>
      <c r="ESU85" s="104"/>
      <c r="ESV85" s="104"/>
      <c r="ESW85" s="104"/>
      <c r="ESX85" s="104"/>
      <c r="ESY85" s="104"/>
      <c r="ESZ85" s="104"/>
      <c r="ETA85" s="104"/>
      <c r="ETB85" s="104"/>
      <c r="ETC85" s="104"/>
      <c r="ETD85" s="104"/>
      <c r="ETE85" s="104"/>
      <c r="ETF85" s="104"/>
      <c r="ETG85" s="104"/>
      <c r="ETH85" s="104"/>
      <c r="ETI85" s="104"/>
      <c r="ETJ85" s="104"/>
      <c r="ETK85" s="104"/>
      <c r="ETL85" s="104"/>
      <c r="ETM85" s="104"/>
      <c r="ETN85" s="104"/>
      <c r="ETO85" s="104"/>
      <c r="ETP85" s="104"/>
      <c r="ETQ85" s="104"/>
      <c r="ETR85" s="104"/>
      <c r="ETS85" s="104"/>
      <c r="ETT85" s="104"/>
      <c r="ETU85" s="104"/>
      <c r="ETV85" s="104"/>
      <c r="ETW85" s="104"/>
      <c r="ETX85" s="104"/>
      <c r="ETY85" s="104"/>
      <c r="ETZ85" s="104"/>
      <c r="EUA85" s="104"/>
      <c r="EUB85" s="104"/>
      <c r="EUC85" s="104"/>
      <c r="EUD85" s="104"/>
      <c r="EUE85" s="104"/>
      <c r="EUF85" s="104"/>
      <c r="EUG85" s="104"/>
      <c r="EUH85" s="104"/>
      <c r="EUI85" s="104"/>
      <c r="EUJ85" s="104"/>
      <c r="EUK85" s="104"/>
      <c r="EUL85" s="104"/>
      <c r="EUM85" s="104"/>
      <c r="EUN85" s="104"/>
      <c r="EUO85" s="104"/>
      <c r="EUP85" s="104"/>
      <c r="EUQ85" s="104"/>
      <c r="EUR85" s="104"/>
      <c r="EUS85" s="104"/>
      <c r="EUT85" s="104"/>
      <c r="EUU85" s="104"/>
      <c r="EUV85" s="104"/>
      <c r="EUW85" s="104"/>
      <c r="EUX85" s="104"/>
      <c r="EUY85" s="104"/>
      <c r="EUZ85" s="104"/>
      <c r="EVA85" s="104"/>
      <c r="EVB85" s="104"/>
      <c r="EVC85" s="104"/>
      <c r="EVD85" s="104"/>
      <c r="EVE85" s="104"/>
      <c r="EVF85" s="104"/>
      <c r="EVG85" s="104"/>
      <c r="EVH85" s="104"/>
      <c r="EVI85" s="104"/>
      <c r="EVJ85" s="104"/>
      <c r="EVK85" s="104"/>
      <c r="EVL85" s="104"/>
      <c r="EVM85" s="104"/>
      <c r="EVN85" s="104"/>
      <c r="EVO85" s="104"/>
      <c r="EVP85" s="104"/>
      <c r="EVQ85" s="104"/>
      <c r="EVR85" s="104"/>
      <c r="EVS85" s="104"/>
      <c r="EVT85" s="104"/>
      <c r="EVU85" s="104"/>
      <c r="EVV85" s="104"/>
      <c r="EVW85" s="104"/>
      <c r="EVX85" s="104"/>
      <c r="EVY85" s="104"/>
      <c r="EVZ85" s="104"/>
      <c r="EWA85" s="104"/>
      <c r="EWB85" s="104"/>
      <c r="EWC85" s="104"/>
      <c r="EWD85" s="104"/>
      <c r="EWE85" s="104"/>
      <c r="EWF85" s="104"/>
      <c r="EWG85" s="104"/>
      <c r="EWH85" s="104"/>
      <c r="EWI85" s="104"/>
      <c r="EWJ85" s="104"/>
      <c r="EWK85" s="104"/>
      <c r="EWL85" s="104"/>
      <c r="EWM85" s="104"/>
      <c r="EWN85" s="104"/>
      <c r="EWO85" s="104"/>
      <c r="EWP85" s="104"/>
      <c r="EWQ85" s="104"/>
      <c r="EWR85" s="104"/>
      <c r="EWS85" s="104"/>
      <c r="EWT85" s="104"/>
      <c r="EWU85" s="104"/>
      <c r="EWV85" s="104"/>
      <c r="EWW85" s="104"/>
      <c r="EWX85" s="104"/>
      <c r="EWY85" s="104"/>
      <c r="EWZ85" s="104"/>
      <c r="EXA85" s="104"/>
      <c r="EXB85" s="104"/>
      <c r="EXC85" s="104"/>
      <c r="EXD85" s="104"/>
      <c r="EXE85" s="104"/>
      <c r="EXF85" s="104"/>
      <c r="EXG85" s="104"/>
      <c r="EXH85" s="104"/>
      <c r="EXI85" s="104"/>
      <c r="EXJ85" s="104"/>
      <c r="EXK85" s="104"/>
      <c r="EXL85" s="104"/>
      <c r="EXM85" s="104"/>
      <c r="EXN85" s="104"/>
      <c r="EXO85" s="104"/>
      <c r="EXP85" s="104"/>
      <c r="EXQ85" s="104"/>
      <c r="EXR85" s="104"/>
      <c r="EXS85" s="104"/>
      <c r="EXT85" s="104"/>
      <c r="EXU85" s="104"/>
      <c r="EXV85" s="104"/>
      <c r="EXW85" s="104"/>
      <c r="EXX85" s="104"/>
      <c r="EXY85" s="104"/>
      <c r="EXZ85" s="104"/>
      <c r="EYA85" s="104"/>
      <c r="EYB85" s="104"/>
      <c r="EYC85" s="104"/>
      <c r="EYD85" s="104"/>
      <c r="EYE85" s="104"/>
      <c r="EYF85" s="104"/>
      <c r="EYG85" s="104"/>
      <c r="EYH85" s="104"/>
      <c r="EYI85" s="104"/>
      <c r="EYJ85" s="104"/>
      <c r="EYK85" s="104"/>
      <c r="EYL85" s="104"/>
      <c r="EYM85" s="104"/>
      <c r="EYN85" s="104"/>
      <c r="EYO85" s="104"/>
      <c r="EYP85" s="104"/>
      <c r="EYQ85" s="104"/>
      <c r="EYR85" s="104"/>
      <c r="EYS85" s="104"/>
      <c r="EYT85" s="104"/>
      <c r="EYU85" s="104"/>
      <c r="EYV85" s="104"/>
      <c r="EYW85" s="104"/>
      <c r="EYX85" s="104"/>
      <c r="EYY85" s="104"/>
      <c r="EYZ85" s="104"/>
      <c r="EZA85" s="104"/>
      <c r="EZB85" s="104"/>
      <c r="EZC85" s="104"/>
      <c r="EZD85" s="104"/>
      <c r="EZE85" s="104"/>
      <c r="EZF85" s="104"/>
      <c r="EZG85" s="104"/>
      <c r="EZH85" s="104"/>
      <c r="EZI85" s="104"/>
      <c r="EZJ85" s="104"/>
      <c r="EZK85" s="104"/>
      <c r="EZL85" s="104"/>
      <c r="EZM85" s="104"/>
      <c r="EZN85" s="104"/>
      <c r="EZO85" s="104"/>
      <c r="EZP85" s="104"/>
      <c r="EZQ85" s="104"/>
      <c r="EZR85" s="104"/>
      <c r="EZS85" s="104"/>
      <c r="EZT85" s="104"/>
      <c r="EZU85" s="104"/>
      <c r="EZV85" s="104"/>
      <c r="EZW85" s="104"/>
      <c r="EZX85" s="104"/>
      <c r="EZY85" s="104"/>
      <c r="EZZ85" s="104"/>
      <c r="FAA85" s="104"/>
      <c r="FAB85" s="104"/>
      <c r="FAC85" s="104"/>
      <c r="FAD85" s="104"/>
      <c r="FAE85" s="104"/>
      <c r="FAF85" s="104"/>
      <c r="FAG85" s="104"/>
      <c r="FAH85" s="104"/>
      <c r="FAI85" s="104"/>
      <c r="FAJ85" s="104"/>
      <c r="FAK85" s="104"/>
      <c r="FAL85" s="104"/>
      <c r="FAM85" s="104"/>
      <c r="FAN85" s="104"/>
      <c r="FAO85" s="104"/>
      <c r="FAP85" s="104"/>
      <c r="FAQ85" s="104"/>
      <c r="FAR85" s="104"/>
      <c r="FAS85" s="104"/>
      <c r="FAT85" s="104"/>
      <c r="FAU85" s="104"/>
      <c r="FAV85" s="104"/>
      <c r="FAW85" s="104"/>
      <c r="FAX85" s="104"/>
      <c r="FAY85" s="104"/>
      <c r="FAZ85" s="104"/>
      <c r="FBA85" s="104"/>
      <c r="FBB85" s="104"/>
      <c r="FBC85" s="104"/>
      <c r="FBD85" s="104"/>
      <c r="FBE85" s="104"/>
      <c r="FBF85" s="104"/>
      <c r="FBG85" s="104"/>
      <c r="FBH85" s="104"/>
      <c r="FBI85" s="104"/>
      <c r="FBJ85" s="104"/>
      <c r="FBK85" s="104"/>
      <c r="FBL85" s="104"/>
      <c r="FBM85" s="104"/>
      <c r="FBN85" s="104"/>
      <c r="FBO85" s="104"/>
      <c r="FBP85" s="104"/>
      <c r="FBQ85" s="104"/>
      <c r="FBR85" s="104"/>
      <c r="FBS85" s="104"/>
      <c r="FBT85" s="104"/>
      <c r="FBU85" s="104"/>
      <c r="FBV85" s="104"/>
      <c r="FBW85" s="104"/>
      <c r="FBX85" s="104"/>
      <c r="FBY85" s="104"/>
      <c r="FBZ85" s="104"/>
      <c r="FCA85" s="104"/>
      <c r="FCB85" s="104"/>
      <c r="FCC85" s="104"/>
      <c r="FCD85" s="104"/>
      <c r="FCE85" s="104"/>
      <c r="FCF85" s="104"/>
      <c r="FCG85" s="104"/>
      <c r="FCH85" s="104"/>
      <c r="FCI85" s="104"/>
      <c r="FCJ85" s="104"/>
      <c r="FCK85" s="104"/>
      <c r="FCL85" s="104"/>
      <c r="FCM85" s="104"/>
      <c r="FCN85" s="104"/>
      <c r="FCO85" s="104"/>
      <c r="FCP85" s="104"/>
      <c r="FCQ85" s="104"/>
      <c r="FCR85" s="104"/>
      <c r="FCS85" s="104"/>
      <c r="FCT85" s="104"/>
      <c r="FCU85" s="104"/>
      <c r="FCV85" s="104"/>
      <c r="FCW85" s="104"/>
      <c r="FCX85" s="104"/>
      <c r="FCY85" s="104"/>
      <c r="FCZ85" s="104"/>
      <c r="FDA85" s="104"/>
      <c r="FDB85" s="104"/>
      <c r="FDC85" s="104"/>
      <c r="FDD85" s="104"/>
      <c r="FDE85" s="104"/>
      <c r="FDF85" s="104"/>
      <c r="FDG85" s="104"/>
      <c r="FDH85" s="104"/>
      <c r="FDI85" s="104"/>
      <c r="FDJ85" s="104"/>
      <c r="FDK85" s="104"/>
      <c r="FDL85" s="104"/>
      <c r="FDM85" s="104"/>
      <c r="FDN85" s="104"/>
      <c r="FDO85" s="104"/>
      <c r="FDP85" s="104"/>
      <c r="FDQ85" s="104"/>
      <c r="FDR85" s="104"/>
      <c r="FDS85" s="104"/>
      <c r="FDT85" s="104"/>
      <c r="FDU85" s="104"/>
      <c r="FDV85" s="104"/>
      <c r="FDW85" s="104"/>
      <c r="FDX85" s="104"/>
      <c r="FDY85" s="104"/>
      <c r="FDZ85" s="104"/>
      <c r="FEA85" s="104"/>
      <c r="FEB85" s="104"/>
      <c r="FEC85" s="104"/>
      <c r="FED85" s="104"/>
      <c r="FEE85" s="104"/>
      <c r="FEF85" s="104"/>
      <c r="FEG85" s="104"/>
      <c r="FEH85" s="104"/>
      <c r="FEI85" s="104"/>
      <c r="FEJ85" s="104"/>
      <c r="FEK85" s="104"/>
      <c r="FEL85" s="104"/>
      <c r="FEM85" s="104"/>
      <c r="FEN85" s="104"/>
      <c r="FEO85" s="104"/>
      <c r="FEP85" s="104"/>
      <c r="FEQ85" s="104"/>
      <c r="FER85" s="104"/>
      <c r="FES85" s="104"/>
      <c r="FET85" s="104"/>
      <c r="FEU85" s="104"/>
      <c r="FEV85" s="104"/>
      <c r="FEW85" s="104"/>
      <c r="FEX85" s="104"/>
      <c r="FEY85" s="104"/>
      <c r="FEZ85" s="104"/>
      <c r="FFA85" s="104"/>
      <c r="FFB85" s="104"/>
      <c r="FFC85" s="104"/>
      <c r="FFD85" s="104"/>
      <c r="FFE85" s="104"/>
      <c r="FFF85" s="104"/>
      <c r="FFG85" s="104"/>
      <c r="FFH85" s="104"/>
      <c r="FFI85" s="104"/>
      <c r="FFJ85" s="104"/>
      <c r="FFK85" s="104"/>
      <c r="FFL85" s="104"/>
      <c r="FFM85" s="104"/>
      <c r="FFN85" s="104"/>
      <c r="FFO85" s="104"/>
      <c r="FFP85" s="104"/>
      <c r="FFQ85" s="104"/>
      <c r="FFR85" s="104"/>
      <c r="FFS85" s="104"/>
      <c r="FFT85" s="104"/>
      <c r="FFU85" s="104"/>
      <c r="FFV85" s="104"/>
      <c r="FFW85" s="104"/>
      <c r="FFX85" s="104"/>
      <c r="FFY85" s="104"/>
      <c r="FFZ85" s="104"/>
      <c r="FGA85" s="104"/>
      <c r="FGB85" s="104"/>
      <c r="FGC85" s="104"/>
      <c r="FGD85" s="104"/>
      <c r="FGE85" s="104"/>
      <c r="FGF85" s="104"/>
      <c r="FGG85" s="104"/>
      <c r="FGH85" s="104"/>
      <c r="FGI85" s="104"/>
      <c r="FGJ85" s="104"/>
      <c r="FGK85" s="104"/>
      <c r="FGL85" s="104"/>
      <c r="FGM85" s="104"/>
      <c r="FGN85" s="104"/>
      <c r="FGO85" s="104"/>
      <c r="FGP85" s="104"/>
      <c r="FGQ85" s="104"/>
      <c r="FGR85" s="104"/>
      <c r="FGS85" s="104"/>
      <c r="FGT85" s="104"/>
      <c r="FGU85" s="104"/>
      <c r="FGV85" s="104"/>
      <c r="FGW85" s="104"/>
      <c r="FGX85" s="104"/>
      <c r="FGY85" s="104"/>
      <c r="FGZ85" s="104"/>
      <c r="FHA85" s="104"/>
      <c r="FHB85" s="104"/>
      <c r="FHC85" s="104"/>
      <c r="FHD85" s="104"/>
      <c r="FHE85" s="104"/>
      <c r="FHF85" s="104"/>
      <c r="FHG85" s="104"/>
      <c r="FHH85" s="104"/>
      <c r="FHI85" s="104"/>
      <c r="FHJ85" s="104"/>
      <c r="FHK85" s="104"/>
      <c r="FHL85" s="104"/>
      <c r="FHM85" s="104"/>
      <c r="FHN85" s="104"/>
      <c r="FHO85" s="104"/>
      <c r="FHP85" s="104"/>
      <c r="FHQ85" s="104"/>
      <c r="FHR85" s="104"/>
      <c r="FHS85" s="104"/>
      <c r="FHT85" s="104"/>
      <c r="FHU85" s="104"/>
      <c r="FHV85" s="104"/>
      <c r="FHW85" s="104"/>
      <c r="FHX85" s="104"/>
      <c r="FHY85" s="104"/>
      <c r="FHZ85" s="104"/>
      <c r="FIA85" s="104"/>
      <c r="FIB85" s="104"/>
      <c r="FIC85" s="104"/>
      <c r="FID85" s="104"/>
      <c r="FIE85" s="104"/>
      <c r="FIF85" s="104"/>
      <c r="FIG85" s="104"/>
      <c r="FIH85" s="104"/>
      <c r="FII85" s="104"/>
      <c r="FIJ85" s="104"/>
      <c r="FIK85" s="104"/>
      <c r="FIL85" s="104"/>
      <c r="FIM85" s="104"/>
      <c r="FIN85" s="104"/>
      <c r="FIO85" s="104"/>
      <c r="FIP85" s="104"/>
      <c r="FIQ85" s="104"/>
      <c r="FIR85" s="104"/>
      <c r="FIS85" s="104"/>
      <c r="FIT85" s="104"/>
      <c r="FIU85" s="104"/>
      <c r="FIV85" s="104"/>
      <c r="FIW85" s="104"/>
      <c r="FIX85" s="104"/>
      <c r="FIY85" s="104"/>
      <c r="FIZ85" s="104"/>
      <c r="FJA85" s="104"/>
      <c r="FJB85" s="104"/>
      <c r="FJC85" s="104"/>
      <c r="FJD85" s="104"/>
      <c r="FJE85" s="104"/>
      <c r="FJF85" s="104"/>
      <c r="FJG85" s="104"/>
      <c r="FJH85" s="104"/>
      <c r="FJI85" s="104"/>
      <c r="FJJ85" s="104"/>
      <c r="FJK85" s="104"/>
      <c r="FJL85" s="104"/>
      <c r="FJM85" s="104"/>
      <c r="FJN85" s="104"/>
      <c r="FJO85" s="104"/>
      <c r="FJP85" s="104"/>
      <c r="FJQ85" s="104"/>
      <c r="FJR85" s="104"/>
      <c r="FJS85" s="104"/>
      <c r="FJT85" s="104"/>
      <c r="FJU85" s="104"/>
      <c r="FJV85" s="104"/>
      <c r="FJW85" s="104"/>
      <c r="FJX85" s="104"/>
      <c r="FJY85" s="104"/>
      <c r="FJZ85" s="104"/>
      <c r="FKA85" s="104"/>
      <c r="FKB85" s="104"/>
      <c r="FKC85" s="104"/>
      <c r="FKD85" s="104"/>
      <c r="FKE85" s="104"/>
      <c r="FKF85" s="104"/>
      <c r="FKG85" s="104"/>
      <c r="FKH85" s="104"/>
      <c r="FKI85" s="104"/>
      <c r="FKJ85" s="104"/>
      <c r="FKK85" s="104"/>
      <c r="FKL85" s="104"/>
      <c r="FKM85" s="104"/>
      <c r="FKN85" s="104"/>
      <c r="FKO85" s="104"/>
      <c r="FKP85" s="104"/>
      <c r="FKQ85" s="104"/>
      <c r="FKR85" s="104"/>
      <c r="FKS85" s="104"/>
      <c r="FKT85" s="104"/>
      <c r="FKU85" s="104"/>
      <c r="FKV85" s="104"/>
      <c r="FKW85" s="104"/>
      <c r="FKX85" s="104"/>
      <c r="FKY85" s="104"/>
      <c r="FKZ85" s="104"/>
      <c r="FLA85" s="104"/>
      <c r="FLB85" s="104"/>
      <c r="FLC85" s="104"/>
      <c r="FLD85" s="104"/>
      <c r="FLE85" s="104"/>
      <c r="FLF85" s="104"/>
      <c r="FLG85" s="104"/>
      <c r="FLH85" s="104"/>
      <c r="FLI85" s="104"/>
      <c r="FLJ85" s="104"/>
      <c r="FLK85" s="104"/>
      <c r="FLL85" s="104"/>
      <c r="FLM85" s="104"/>
      <c r="FLN85" s="104"/>
      <c r="FLO85" s="104"/>
      <c r="FLP85" s="104"/>
      <c r="FLQ85" s="104"/>
      <c r="FLR85" s="104"/>
      <c r="FLS85" s="104"/>
      <c r="FLT85" s="104"/>
      <c r="FLU85" s="104"/>
      <c r="FLV85" s="104"/>
      <c r="FLW85" s="104"/>
      <c r="FLX85" s="104"/>
      <c r="FLY85" s="104"/>
      <c r="FLZ85" s="104"/>
      <c r="FMA85" s="104"/>
      <c r="FMB85" s="104"/>
      <c r="FMC85" s="104"/>
      <c r="FMD85" s="104"/>
      <c r="FME85" s="104"/>
      <c r="FMF85" s="104"/>
      <c r="FMG85" s="104"/>
      <c r="FMH85" s="104"/>
      <c r="FMI85" s="104"/>
      <c r="FMJ85" s="104"/>
      <c r="FMK85" s="104"/>
      <c r="FML85" s="104"/>
      <c r="FMM85" s="104"/>
      <c r="FMN85" s="104"/>
      <c r="FMO85" s="104"/>
      <c r="FMP85" s="104"/>
      <c r="FMQ85" s="104"/>
      <c r="FMR85" s="104"/>
      <c r="FMS85" s="104"/>
      <c r="FMT85" s="104"/>
      <c r="FMU85" s="104"/>
      <c r="FMV85" s="104"/>
      <c r="FMW85" s="104"/>
      <c r="FMX85" s="104"/>
      <c r="FMY85" s="104"/>
      <c r="FMZ85" s="104"/>
      <c r="FNA85" s="104"/>
      <c r="FNB85" s="104"/>
      <c r="FNC85" s="104"/>
      <c r="FND85" s="104"/>
      <c r="FNE85" s="104"/>
      <c r="FNF85" s="104"/>
      <c r="FNG85" s="104"/>
      <c r="FNH85" s="104"/>
      <c r="FNI85" s="104"/>
      <c r="FNJ85" s="104"/>
      <c r="FNK85" s="104"/>
      <c r="FNL85" s="104"/>
      <c r="FNM85" s="104"/>
      <c r="FNN85" s="104"/>
      <c r="FNO85" s="104"/>
      <c r="FNP85" s="104"/>
      <c r="FNQ85" s="104"/>
      <c r="FNR85" s="104"/>
      <c r="FNS85" s="104"/>
      <c r="FNT85" s="104"/>
      <c r="FNU85" s="104"/>
      <c r="FNV85" s="104"/>
      <c r="FNW85" s="104"/>
      <c r="FNX85" s="104"/>
      <c r="FNY85" s="104"/>
      <c r="FNZ85" s="104"/>
      <c r="FOA85" s="104"/>
      <c r="FOB85" s="104"/>
      <c r="FOC85" s="104"/>
      <c r="FOD85" s="104"/>
      <c r="FOE85" s="104"/>
      <c r="FOF85" s="104"/>
      <c r="FOG85" s="104"/>
      <c r="FOH85" s="104"/>
      <c r="FOI85" s="104"/>
      <c r="FOJ85" s="104"/>
      <c r="FOK85" s="104"/>
      <c r="FOL85" s="104"/>
      <c r="FOM85" s="104"/>
      <c r="FON85" s="104"/>
      <c r="FOO85" s="104"/>
      <c r="FOP85" s="104"/>
      <c r="FOQ85" s="104"/>
      <c r="FOR85" s="104"/>
      <c r="FOS85" s="104"/>
      <c r="FOT85" s="104"/>
      <c r="FOU85" s="104"/>
      <c r="FOV85" s="104"/>
      <c r="FOW85" s="104"/>
      <c r="FOX85" s="104"/>
      <c r="FOY85" s="104"/>
      <c r="FOZ85" s="104"/>
      <c r="FPA85" s="104"/>
      <c r="FPB85" s="104"/>
      <c r="FPC85" s="104"/>
      <c r="FPD85" s="104"/>
      <c r="FPE85" s="104"/>
      <c r="FPF85" s="104"/>
      <c r="FPG85" s="104"/>
      <c r="FPH85" s="104"/>
      <c r="FPI85" s="104"/>
      <c r="FPJ85" s="104"/>
      <c r="FPK85" s="104"/>
      <c r="FPL85" s="104"/>
      <c r="FPM85" s="104"/>
      <c r="FPN85" s="104"/>
      <c r="FPO85" s="104"/>
      <c r="FPP85" s="104"/>
      <c r="FPQ85" s="104"/>
      <c r="FPR85" s="104"/>
      <c r="FPS85" s="104"/>
      <c r="FPT85" s="104"/>
      <c r="FPU85" s="104"/>
      <c r="FPV85" s="104"/>
      <c r="FPW85" s="104"/>
      <c r="FPX85" s="104"/>
      <c r="FPY85" s="104"/>
      <c r="FPZ85" s="104"/>
      <c r="FQA85" s="104"/>
      <c r="FQB85" s="104"/>
      <c r="FQC85" s="104"/>
      <c r="FQD85" s="104"/>
      <c r="FQE85" s="104"/>
      <c r="FQF85" s="104"/>
      <c r="FQG85" s="104"/>
      <c r="FQH85" s="104"/>
      <c r="FQI85" s="104"/>
      <c r="FQJ85" s="104"/>
      <c r="FQK85" s="104"/>
      <c r="FQL85" s="104"/>
      <c r="FQM85" s="104"/>
      <c r="FQN85" s="104"/>
      <c r="FQO85" s="104"/>
      <c r="FQP85" s="104"/>
      <c r="FQQ85" s="104"/>
      <c r="FQR85" s="104"/>
      <c r="FQS85" s="104"/>
      <c r="FQT85" s="104"/>
      <c r="FQU85" s="104"/>
      <c r="FQV85" s="104"/>
      <c r="FQW85" s="104"/>
      <c r="FQX85" s="104"/>
      <c r="FQY85" s="104"/>
      <c r="FQZ85" s="104"/>
      <c r="FRA85" s="104"/>
      <c r="FRB85" s="104"/>
      <c r="FRC85" s="104"/>
      <c r="FRD85" s="104"/>
      <c r="FRE85" s="104"/>
      <c r="FRF85" s="104"/>
      <c r="FRG85" s="104"/>
      <c r="FRH85" s="104"/>
      <c r="FRI85" s="104"/>
      <c r="FRJ85" s="104"/>
      <c r="FRK85" s="104"/>
      <c r="FRL85" s="104"/>
      <c r="FRM85" s="104"/>
      <c r="FRN85" s="104"/>
      <c r="FRO85" s="104"/>
      <c r="FRP85" s="104"/>
      <c r="FRQ85" s="104"/>
      <c r="FRR85" s="104"/>
      <c r="FRS85" s="104"/>
      <c r="FRT85" s="104"/>
      <c r="FRU85" s="104"/>
      <c r="FRV85" s="104"/>
      <c r="FRW85" s="104"/>
      <c r="FRX85" s="104"/>
      <c r="FRY85" s="104"/>
      <c r="FRZ85" s="104"/>
      <c r="FSA85" s="104"/>
      <c r="FSB85" s="104"/>
      <c r="FSC85" s="104"/>
      <c r="FSD85" s="104"/>
      <c r="FSE85" s="104"/>
      <c r="FSF85" s="104"/>
      <c r="FSG85" s="104"/>
      <c r="FSH85" s="104"/>
      <c r="FSI85" s="104"/>
      <c r="FSJ85" s="104"/>
      <c r="FSK85" s="104"/>
      <c r="FSL85" s="104"/>
      <c r="FSM85" s="104"/>
      <c r="FSN85" s="104"/>
      <c r="FSO85" s="104"/>
      <c r="FSP85" s="104"/>
      <c r="FSQ85" s="104"/>
      <c r="FSR85" s="104"/>
      <c r="FSS85" s="104"/>
      <c r="FST85" s="104"/>
      <c r="FSU85" s="104"/>
      <c r="FSV85" s="104"/>
      <c r="FSW85" s="104"/>
      <c r="FSX85" s="104"/>
      <c r="FSY85" s="104"/>
      <c r="FSZ85" s="104"/>
      <c r="FTA85" s="104"/>
      <c r="FTB85" s="104"/>
      <c r="FTC85" s="104"/>
      <c r="FTD85" s="104"/>
      <c r="FTE85" s="104"/>
      <c r="FTF85" s="104"/>
      <c r="FTG85" s="104"/>
      <c r="FTH85" s="104"/>
      <c r="FTI85" s="104"/>
      <c r="FTJ85" s="104"/>
      <c r="FTK85" s="104"/>
      <c r="FTL85" s="104"/>
      <c r="FTM85" s="104"/>
      <c r="FTN85" s="104"/>
      <c r="FTO85" s="104"/>
      <c r="FTP85" s="104"/>
      <c r="FTQ85" s="104"/>
      <c r="FTR85" s="104"/>
      <c r="FTS85" s="104"/>
      <c r="FTT85" s="104"/>
      <c r="FTU85" s="104"/>
      <c r="FTV85" s="104"/>
      <c r="FTW85" s="104"/>
      <c r="FTX85" s="104"/>
      <c r="FTY85" s="104"/>
      <c r="FTZ85" s="104"/>
      <c r="FUA85" s="104"/>
      <c r="FUB85" s="104"/>
      <c r="FUC85" s="104"/>
      <c r="FUD85" s="104"/>
      <c r="FUE85" s="104"/>
      <c r="FUF85" s="104"/>
      <c r="FUG85" s="104"/>
      <c r="FUH85" s="104"/>
      <c r="FUI85" s="104"/>
      <c r="FUJ85" s="104"/>
      <c r="FUK85" s="104"/>
      <c r="FUL85" s="104"/>
      <c r="FUM85" s="104"/>
      <c r="FUN85" s="104"/>
      <c r="FUO85" s="104"/>
      <c r="FUP85" s="104"/>
      <c r="FUQ85" s="104"/>
      <c r="FUR85" s="104"/>
      <c r="FUS85" s="104"/>
      <c r="FUT85" s="104"/>
      <c r="FUU85" s="104"/>
      <c r="FUV85" s="104"/>
      <c r="FUW85" s="104"/>
      <c r="FUX85" s="104"/>
      <c r="FUY85" s="104"/>
      <c r="FUZ85" s="104"/>
      <c r="FVA85" s="104"/>
      <c r="FVB85" s="104"/>
      <c r="FVC85" s="104"/>
      <c r="FVD85" s="104"/>
      <c r="FVE85" s="104"/>
      <c r="FVF85" s="104"/>
      <c r="FVG85" s="104"/>
      <c r="FVH85" s="104"/>
      <c r="FVI85" s="104"/>
      <c r="FVJ85" s="104"/>
      <c r="FVK85" s="104"/>
      <c r="FVL85" s="104"/>
      <c r="FVM85" s="104"/>
      <c r="FVN85" s="104"/>
      <c r="FVO85" s="104"/>
      <c r="FVP85" s="104"/>
      <c r="FVQ85" s="104"/>
      <c r="FVR85" s="104"/>
      <c r="FVS85" s="104"/>
      <c r="FVT85" s="104"/>
      <c r="FVU85" s="104"/>
      <c r="FVV85" s="104"/>
      <c r="FVW85" s="104"/>
      <c r="FVX85" s="104"/>
      <c r="FVY85" s="104"/>
      <c r="FVZ85" s="104"/>
      <c r="FWA85" s="104"/>
      <c r="FWB85" s="104"/>
      <c r="FWC85" s="104"/>
      <c r="FWD85" s="104"/>
      <c r="FWE85" s="104"/>
      <c r="FWF85" s="104"/>
      <c r="FWG85" s="104"/>
      <c r="FWH85" s="104"/>
      <c r="FWI85" s="104"/>
      <c r="FWJ85" s="104"/>
      <c r="FWK85" s="104"/>
      <c r="FWL85" s="104"/>
      <c r="FWM85" s="104"/>
      <c r="FWN85" s="104"/>
      <c r="FWO85" s="104"/>
      <c r="FWP85" s="104"/>
      <c r="FWQ85" s="104"/>
      <c r="FWR85" s="104"/>
      <c r="FWS85" s="104"/>
      <c r="FWT85" s="104"/>
      <c r="FWU85" s="104"/>
      <c r="FWV85" s="104"/>
      <c r="FWW85" s="104"/>
      <c r="FWX85" s="104"/>
      <c r="FWY85" s="104"/>
      <c r="FWZ85" s="104"/>
      <c r="FXA85" s="104"/>
      <c r="FXB85" s="104"/>
      <c r="FXC85" s="104"/>
      <c r="FXD85" s="104"/>
      <c r="FXE85" s="104"/>
      <c r="FXF85" s="104"/>
      <c r="FXG85" s="104"/>
      <c r="FXH85" s="104"/>
      <c r="FXI85" s="104"/>
      <c r="FXJ85" s="104"/>
      <c r="FXK85" s="104"/>
      <c r="FXL85" s="104"/>
      <c r="FXM85" s="104"/>
      <c r="FXN85" s="104"/>
      <c r="FXO85" s="104"/>
      <c r="FXP85" s="104"/>
      <c r="FXQ85" s="104"/>
      <c r="FXR85" s="104"/>
      <c r="FXS85" s="104"/>
      <c r="FXT85" s="104"/>
      <c r="FXU85" s="104"/>
      <c r="FXV85" s="104"/>
      <c r="FXW85" s="104"/>
      <c r="FXX85" s="104"/>
      <c r="FXY85" s="104"/>
      <c r="FXZ85" s="104"/>
      <c r="FYA85" s="104"/>
      <c r="FYB85" s="104"/>
      <c r="FYC85" s="104"/>
      <c r="FYD85" s="104"/>
      <c r="FYE85" s="104"/>
      <c r="FYF85" s="104"/>
      <c r="FYG85" s="104"/>
      <c r="FYH85" s="104"/>
      <c r="FYI85" s="104"/>
      <c r="FYJ85" s="104"/>
      <c r="FYK85" s="104"/>
      <c r="FYL85" s="104"/>
      <c r="FYM85" s="104"/>
      <c r="FYN85" s="104"/>
      <c r="FYO85" s="104"/>
      <c r="FYP85" s="104"/>
      <c r="FYQ85" s="104"/>
      <c r="FYR85" s="104"/>
      <c r="FYS85" s="104"/>
      <c r="FYT85" s="104"/>
      <c r="FYU85" s="104"/>
      <c r="FYV85" s="104"/>
      <c r="FYW85" s="104"/>
      <c r="FYX85" s="104"/>
      <c r="FYY85" s="104"/>
      <c r="FYZ85" s="104"/>
      <c r="FZA85" s="104"/>
      <c r="FZB85" s="104"/>
      <c r="FZC85" s="104"/>
      <c r="FZD85" s="104"/>
      <c r="FZE85" s="104"/>
      <c r="FZF85" s="104"/>
      <c r="FZG85" s="104"/>
      <c r="FZH85" s="104"/>
      <c r="FZI85" s="104"/>
      <c r="FZJ85" s="104"/>
      <c r="FZK85" s="104"/>
      <c r="FZL85" s="104"/>
      <c r="FZM85" s="104"/>
      <c r="FZN85" s="104"/>
      <c r="FZO85" s="104"/>
      <c r="FZP85" s="104"/>
      <c r="FZQ85" s="104"/>
      <c r="FZR85" s="104"/>
      <c r="FZS85" s="104"/>
      <c r="FZT85" s="104"/>
      <c r="FZU85" s="104"/>
      <c r="FZV85" s="104"/>
      <c r="FZW85" s="104"/>
      <c r="FZX85" s="104"/>
      <c r="FZY85" s="104"/>
      <c r="FZZ85" s="104"/>
      <c r="GAA85" s="104"/>
      <c r="GAB85" s="104"/>
      <c r="GAC85" s="104"/>
    </row>
    <row r="86" spans="1:4761" s="106" customFormat="1" ht="30" customHeight="1" x14ac:dyDescent="0.25">
      <c r="A86" s="83" t="s">
        <v>204</v>
      </c>
      <c r="B86" s="36"/>
      <c r="C86" s="36"/>
      <c r="D86" s="96" t="s">
        <v>737</v>
      </c>
      <c r="E86" s="83" t="s">
        <v>33</v>
      </c>
      <c r="F86" s="83" t="s">
        <v>37</v>
      </c>
      <c r="G86" s="83" t="s">
        <v>43</v>
      </c>
      <c r="H86" s="83" t="s">
        <v>2036</v>
      </c>
      <c r="I86" s="83" t="s">
        <v>7</v>
      </c>
      <c r="J86" s="97"/>
      <c r="K86" s="99" t="s">
        <v>2040</v>
      </c>
      <c r="L86" s="97"/>
      <c r="M86" s="83" t="s">
        <v>2059</v>
      </c>
      <c r="N86" s="102" t="s">
        <v>31</v>
      </c>
      <c r="O86" s="113">
        <v>8922</v>
      </c>
      <c r="P86" s="115">
        <v>2468</v>
      </c>
      <c r="Q86" s="113">
        <v>2500</v>
      </c>
      <c r="R86" s="115"/>
      <c r="S86" s="113">
        <v>3850</v>
      </c>
      <c r="T86" s="115">
        <v>2550</v>
      </c>
      <c r="U86" s="113">
        <v>11200</v>
      </c>
      <c r="V86" s="113">
        <v>1300</v>
      </c>
      <c r="W86" s="113">
        <v>6450</v>
      </c>
      <c r="X86" s="113">
        <v>3330</v>
      </c>
      <c r="Y86" s="113"/>
      <c r="Z86" s="113">
        <v>21</v>
      </c>
      <c r="AA86" s="83" t="s">
        <v>2060</v>
      </c>
      <c r="AB86" s="101">
        <v>19000</v>
      </c>
      <c r="AC86" s="108">
        <v>9275</v>
      </c>
      <c r="AD86" s="37"/>
      <c r="AE86" s="37"/>
      <c r="AF86" s="37"/>
      <c r="AG86" s="37"/>
      <c r="AH86" s="109">
        <v>55</v>
      </c>
      <c r="AI86" s="111" t="s">
        <v>2050</v>
      </c>
      <c r="AJ86" s="111" t="s">
        <v>2051</v>
      </c>
      <c r="AK86" s="111" t="s">
        <v>671</v>
      </c>
      <c r="AL86" s="108" t="s">
        <v>2052</v>
      </c>
      <c r="AM86" s="111"/>
      <c r="AN86" s="111" t="s">
        <v>2048</v>
      </c>
      <c r="AO86" s="112" t="s">
        <v>2053</v>
      </c>
      <c r="AP86" s="113"/>
      <c r="AQ86" s="113"/>
      <c r="AR86" s="113"/>
      <c r="AS86" s="113"/>
      <c r="AT86" s="113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3">
        <v>0</v>
      </c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  <c r="CV86" s="104"/>
      <c r="CW86" s="104"/>
      <c r="CX86" s="104"/>
      <c r="CY86" s="104"/>
      <c r="CZ86" s="104"/>
      <c r="DA86" s="104"/>
      <c r="DB86" s="104"/>
      <c r="DC86" s="104"/>
      <c r="DD86" s="104"/>
      <c r="DE86" s="104"/>
      <c r="DF86" s="104"/>
      <c r="DG86" s="104"/>
      <c r="DH86" s="104"/>
      <c r="DI86" s="104"/>
      <c r="DJ86" s="104"/>
      <c r="DK86" s="104"/>
      <c r="DL86" s="104"/>
      <c r="DM86" s="104"/>
      <c r="DN86" s="104"/>
      <c r="DO86" s="104"/>
      <c r="DP86" s="104"/>
      <c r="DQ86" s="104"/>
      <c r="DR86" s="104"/>
      <c r="DS86" s="104"/>
      <c r="DT86" s="104"/>
      <c r="DU86" s="104"/>
      <c r="DV86" s="104"/>
      <c r="DW86" s="104"/>
      <c r="DX86" s="104"/>
      <c r="DY86" s="104"/>
      <c r="DZ86" s="104"/>
      <c r="EA86" s="104"/>
      <c r="EB86" s="104"/>
      <c r="EC86" s="104"/>
      <c r="ED86" s="104"/>
      <c r="EE86" s="104"/>
      <c r="EF86" s="104"/>
      <c r="EG86" s="104"/>
      <c r="EH86" s="104"/>
      <c r="EI86" s="104"/>
      <c r="EJ86" s="104"/>
      <c r="EK86" s="104"/>
      <c r="EL86" s="104"/>
      <c r="EM86" s="104"/>
      <c r="EN86" s="104"/>
      <c r="EO86" s="104"/>
      <c r="EP86" s="104"/>
      <c r="EQ86" s="104"/>
      <c r="ER86" s="104"/>
      <c r="ES86" s="104"/>
      <c r="ET86" s="104"/>
      <c r="EU86" s="104"/>
      <c r="EV86" s="104"/>
      <c r="EW86" s="104"/>
      <c r="EX86" s="104"/>
      <c r="EY86" s="104"/>
      <c r="EZ86" s="104"/>
      <c r="FA86" s="104"/>
      <c r="FB86" s="104"/>
      <c r="FC86" s="104"/>
      <c r="FD86" s="104"/>
      <c r="FE86" s="104"/>
      <c r="FF86" s="104"/>
      <c r="FG86" s="104"/>
      <c r="FH86" s="104"/>
      <c r="FI86" s="104"/>
      <c r="FJ86" s="104"/>
      <c r="FK86" s="104"/>
      <c r="FL86" s="104"/>
      <c r="FM86" s="104"/>
      <c r="FN86" s="104"/>
      <c r="FO86" s="104"/>
      <c r="FP86" s="104"/>
      <c r="FQ86" s="104"/>
      <c r="FR86" s="104"/>
      <c r="FS86" s="104"/>
      <c r="FT86" s="104"/>
      <c r="FU86" s="104"/>
      <c r="FV86" s="104"/>
      <c r="FW86" s="104"/>
      <c r="FX86" s="104"/>
      <c r="FY86" s="104"/>
      <c r="FZ86" s="104"/>
      <c r="GA86" s="104"/>
      <c r="GB86" s="104"/>
      <c r="GC86" s="104"/>
      <c r="GD86" s="104"/>
      <c r="GE86" s="104"/>
      <c r="GF86" s="104"/>
      <c r="GG86" s="104"/>
      <c r="GH86" s="104"/>
      <c r="GI86" s="104"/>
      <c r="GJ86" s="104"/>
      <c r="GK86" s="104"/>
      <c r="GL86" s="104"/>
      <c r="GM86" s="104"/>
      <c r="GN86" s="104"/>
      <c r="GO86" s="104"/>
      <c r="GP86" s="104"/>
      <c r="GQ86" s="104"/>
      <c r="GR86" s="104"/>
      <c r="GS86" s="104"/>
      <c r="GT86" s="104"/>
      <c r="GU86" s="104"/>
      <c r="GV86" s="104"/>
      <c r="GW86" s="104"/>
      <c r="GX86" s="104"/>
      <c r="GY86" s="104"/>
      <c r="GZ86" s="104"/>
      <c r="HA86" s="104"/>
      <c r="HB86" s="104"/>
      <c r="HC86" s="104"/>
      <c r="HD86" s="104"/>
      <c r="HE86" s="104"/>
      <c r="HF86" s="104"/>
      <c r="HG86" s="104"/>
      <c r="HH86" s="104"/>
      <c r="HI86" s="104"/>
      <c r="HJ86" s="104"/>
      <c r="HK86" s="104"/>
      <c r="HL86" s="104"/>
      <c r="HM86" s="104"/>
      <c r="HN86" s="104"/>
      <c r="HO86" s="104"/>
      <c r="HP86" s="104"/>
      <c r="HQ86" s="104"/>
      <c r="HR86" s="104"/>
      <c r="HS86" s="104"/>
      <c r="HT86" s="104"/>
      <c r="HU86" s="104"/>
      <c r="HV86" s="104"/>
      <c r="HW86" s="104"/>
      <c r="HX86" s="104"/>
      <c r="HY86" s="104"/>
      <c r="HZ86" s="104"/>
      <c r="IA86" s="104"/>
      <c r="IB86" s="104"/>
      <c r="IC86" s="104"/>
      <c r="ID86" s="104"/>
      <c r="IE86" s="104"/>
      <c r="IF86" s="104"/>
      <c r="IG86" s="104"/>
      <c r="IH86" s="104"/>
      <c r="II86" s="104"/>
      <c r="IJ86" s="104"/>
      <c r="IK86" s="104"/>
      <c r="IL86" s="104"/>
      <c r="IM86" s="104"/>
      <c r="IN86" s="104"/>
      <c r="IO86" s="104"/>
      <c r="IP86" s="104"/>
      <c r="IQ86" s="104"/>
      <c r="IR86" s="104"/>
      <c r="IS86" s="104"/>
      <c r="IT86" s="104"/>
      <c r="IU86" s="104"/>
      <c r="IV86" s="104"/>
      <c r="IW86" s="104"/>
      <c r="IX86" s="104"/>
      <c r="IY86" s="104"/>
      <c r="IZ86" s="104"/>
      <c r="JA86" s="104"/>
      <c r="JB86" s="104"/>
      <c r="JC86" s="104"/>
      <c r="JD86" s="104"/>
      <c r="JE86" s="104"/>
      <c r="JF86" s="104"/>
      <c r="JG86" s="104"/>
      <c r="JH86" s="104"/>
      <c r="JI86" s="104"/>
      <c r="JJ86" s="104"/>
      <c r="JK86" s="104"/>
      <c r="JL86" s="104"/>
      <c r="JM86" s="104"/>
      <c r="JN86" s="104"/>
      <c r="JO86" s="104"/>
      <c r="JP86" s="104"/>
      <c r="JQ86" s="104"/>
      <c r="JR86" s="104"/>
      <c r="JS86" s="104"/>
      <c r="JT86" s="104"/>
      <c r="JU86" s="104"/>
      <c r="JV86" s="104"/>
      <c r="JW86" s="104"/>
      <c r="JX86" s="104"/>
      <c r="JY86" s="104"/>
      <c r="JZ86" s="104"/>
      <c r="KA86" s="104"/>
      <c r="KB86" s="104"/>
      <c r="KC86" s="104"/>
      <c r="KD86" s="104"/>
      <c r="KE86" s="104"/>
      <c r="KF86" s="104"/>
      <c r="KG86" s="104"/>
      <c r="KH86" s="104"/>
      <c r="KI86" s="104"/>
      <c r="KJ86" s="104"/>
      <c r="KK86" s="104"/>
      <c r="KL86" s="104"/>
      <c r="KM86" s="104"/>
      <c r="KN86" s="104"/>
      <c r="KO86" s="104"/>
      <c r="KP86" s="104"/>
      <c r="KQ86" s="104"/>
      <c r="KR86" s="104"/>
      <c r="KS86" s="104"/>
      <c r="KT86" s="104"/>
      <c r="KU86" s="104"/>
      <c r="KV86" s="104"/>
      <c r="KW86" s="104"/>
      <c r="KX86" s="104"/>
      <c r="KY86" s="104"/>
      <c r="KZ86" s="104"/>
      <c r="LA86" s="104"/>
      <c r="LB86" s="104"/>
      <c r="LC86" s="104"/>
      <c r="LD86" s="104"/>
      <c r="LE86" s="104"/>
      <c r="LF86" s="104"/>
      <c r="LG86" s="104"/>
      <c r="LH86" s="104"/>
      <c r="LI86" s="104"/>
      <c r="LJ86" s="104"/>
      <c r="LK86" s="104"/>
      <c r="LL86" s="104"/>
      <c r="LM86" s="104"/>
      <c r="LN86" s="104"/>
      <c r="LO86" s="104"/>
      <c r="LP86" s="104"/>
      <c r="LQ86" s="104"/>
      <c r="LR86" s="104"/>
      <c r="LS86" s="104"/>
      <c r="LT86" s="104"/>
      <c r="LU86" s="104"/>
      <c r="LV86" s="104"/>
      <c r="LW86" s="104"/>
      <c r="LX86" s="104"/>
      <c r="LY86" s="104"/>
      <c r="LZ86" s="104"/>
      <c r="MA86" s="104"/>
      <c r="MB86" s="104"/>
      <c r="MC86" s="104"/>
      <c r="MD86" s="104"/>
      <c r="ME86" s="104"/>
      <c r="MF86" s="104"/>
      <c r="MG86" s="104"/>
      <c r="MH86" s="104"/>
      <c r="MI86" s="104"/>
      <c r="MJ86" s="104"/>
      <c r="MK86" s="104"/>
      <c r="ML86" s="104"/>
      <c r="MM86" s="104"/>
      <c r="MN86" s="104"/>
      <c r="MO86" s="104"/>
      <c r="MP86" s="104"/>
      <c r="MQ86" s="104"/>
      <c r="MR86" s="104"/>
      <c r="MS86" s="104"/>
      <c r="MT86" s="104"/>
      <c r="MU86" s="104"/>
      <c r="MV86" s="104"/>
      <c r="MW86" s="104"/>
      <c r="MX86" s="104"/>
      <c r="MY86" s="104"/>
      <c r="MZ86" s="104"/>
      <c r="NA86" s="104"/>
      <c r="NB86" s="104"/>
      <c r="NC86" s="104"/>
      <c r="ND86" s="104"/>
      <c r="NE86" s="104"/>
      <c r="NF86" s="104"/>
      <c r="NG86" s="104"/>
      <c r="NH86" s="104"/>
      <c r="NI86" s="104"/>
      <c r="NJ86" s="104"/>
      <c r="NK86" s="104"/>
      <c r="NL86" s="104"/>
      <c r="NM86" s="104"/>
      <c r="NN86" s="104"/>
      <c r="NO86" s="104"/>
      <c r="NP86" s="104"/>
      <c r="NQ86" s="104"/>
      <c r="NR86" s="104"/>
      <c r="NS86" s="104"/>
      <c r="NT86" s="104"/>
      <c r="NU86" s="104"/>
      <c r="NV86" s="104"/>
      <c r="NW86" s="104"/>
      <c r="NX86" s="104"/>
      <c r="NY86" s="104"/>
      <c r="NZ86" s="104"/>
      <c r="OA86" s="104"/>
      <c r="OB86" s="104"/>
      <c r="OC86" s="104"/>
      <c r="OD86" s="104"/>
      <c r="OE86" s="104"/>
      <c r="OF86" s="104"/>
      <c r="OG86" s="104"/>
      <c r="OH86" s="104"/>
      <c r="OI86" s="104"/>
      <c r="OJ86" s="104"/>
      <c r="OK86" s="104"/>
      <c r="OL86" s="104"/>
      <c r="OM86" s="104"/>
      <c r="ON86" s="104"/>
      <c r="OO86" s="104"/>
      <c r="OP86" s="104"/>
      <c r="OQ86" s="104"/>
      <c r="OR86" s="104"/>
      <c r="OS86" s="104"/>
      <c r="OT86" s="104"/>
      <c r="OU86" s="104"/>
      <c r="OV86" s="104"/>
      <c r="OW86" s="104"/>
      <c r="OX86" s="104"/>
      <c r="OY86" s="104"/>
      <c r="OZ86" s="104"/>
      <c r="PA86" s="104"/>
      <c r="PB86" s="104"/>
      <c r="PC86" s="104"/>
      <c r="PD86" s="104"/>
      <c r="PE86" s="104"/>
      <c r="PF86" s="104"/>
      <c r="PG86" s="104"/>
      <c r="PH86" s="104"/>
      <c r="PI86" s="104"/>
      <c r="PJ86" s="104"/>
      <c r="PK86" s="104"/>
      <c r="PL86" s="104"/>
      <c r="PM86" s="104"/>
      <c r="PN86" s="104"/>
      <c r="PO86" s="104"/>
      <c r="PP86" s="104"/>
      <c r="PQ86" s="104"/>
      <c r="PR86" s="104"/>
      <c r="PS86" s="104"/>
      <c r="PT86" s="104"/>
      <c r="PU86" s="104"/>
      <c r="PV86" s="104"/>
      <c r="PW86" s="104"/>
      <c r="PX86" s="104"/>
      <c r="PY86" s="104"/>
      <c r="PZ86" s="104"/>
      <c r="QA86" s="104"/>
      <c r="QB86" s="104"/>
      <c r="QC86" s="104"/>
      <c r="QD86" s="104"/>
      <c r="QE86" s="104"/>
      <c r="QF86" s="104"/>
      <c r="QG86" s="104"/>
      <c r="QH86" s="104"/>
      <c r="QI86" s="104"/>
      <c r="QJ86" s="104"/>
      <c r="QK86" s="104"/>
      <c r="QL86" s="104"/>
      <c r="QM86" s="104"/>
      <c r="QN86" s="104"/>
      <c r="QO86" s="104"/>
      <c r="QP86" s="104"/>
      <c r="QQ86" s="104"/>
      <c r="QR86" s="104"/>
      <c r="QS86" s="104"/>
      <c r="QT86" s="104"/>
      <c r="QU86" s="104"/>
      <c r="QV86" s="104"/>
      <c r="QW86" s="104"/>
      <c r="QX86" s="104"/>
      <c r="QY86" s="104"/>
      <c r="QZ86" s="104"/>
      <c r="RA86" s="104"/>
      <c r="RB86" s="104"/>
      <c r="RC86" s="104"/>
      <c r="RD86" s="104"/>
      <c r="RE86" s="104"/>
      <c r="RF86" s="104"/>
      <c r="RG86" s="104"/>
      <c r="RH86" s="104"/>
      <c r="RI86" s="104"/>
      <c r="RJ86" s="104"/>
      <c r="RK86" s="104"/>
      <c r="RL86" s="104"/>
      <c r="RM86" s="104"/>
      <c r="RN86" s="104"/>
      <c r="RO86" s="104"/>
      <c r="RP86" s="104"/>
      <c r="RQ86" s="104"/>
      <c r="RR86" s="104"/>
      <c r="RS86" s="104"/>
      <c r="RT86" s="104"/>
      <c r="RU86" s="104"/>
      <c r="RV86" s="104"/>
      <c r="RW86" s="104"/>
      <c r="RX86" s="104"/>
      <c r="RY86" s="104"/>
      <c r="RZ86" s="104"/>
      <c r="SA86" s="104"/>
      <c r="SB86" s="104"/>
      <c r="SC86" s="104"/>
      <c r="SD86" s="104"/>
      <c r="SE86" s="104"/>
      <c r="SF86" s="104"/>
      <c r="SG86" s="104"/>
      <c r="SH86" s="104"/>
      <c r="SI86" s="104"/>
      <c r="SJ86" s="104"/>
      <c r="SK86" s="104"/>
      <c r="SL86" s="104"/>
      <c r="SM86" s="104"/>
      <c r="SN86" s="104"/>
      <c r="SO86" s="104"/>
      <c r="SP86" s="104"/>
      <c r="SQ86" s="104"/>
      <c r="SR86" s="104"/>
      <c r="SS86" s="104"/>
      <c r="ST86" s="104"/>
      <c r="SU86" s="104"/>
      <c r="SV86" s="104"/>
      <c r="SW86" s="104"/>
      <c r="SX86" s="104"/>
      <c r="SY86" s="104"/>
      <c r="SZ86" s="104"/>
      <c r="TA86" s="104"/>
      <c r="TB86" s="104"/>
      <c r="TC86" s="104"/>
      <c r="TD86" s="104"/>
      <c r="TE86" s="104"/>
      <c r="TF86" s="104"/>
      <c r="TG86" s="104"/>
      <c r="TH86" s="104"/>
      <c r="TI86" s="104"/>
      <c r="TJ86" s="104"/>
      <c r="TK86" s="104"/>
      <c r="TL86" s="104"/>
      <c r="TM86" s="104"/>
      <c r="TN86" s="104"/>
      <c r="TO86" s="104"/>
      <c r="TP86" s="104"/>
      <c r="TQ86" s="104"/>
      <c r="TR86" s="104"/>
      <c r="TS86" s="104"/>
      <c r="TT86" s="104"/>
      <c r="TU86" s="104"/>
      <c r="TV86" s="104"/>
      <c r="TW86" s="104"/>
      <c r="TX86" s="104"/>
      <c r="TY86" s="104"/>
      <c r="TZ86" s="104"/>
      <c r="UA86" s="104"/>
      <c r="UB86" s="104"/>
      <c r="UC86" s="104"/>
      <c r="UD86" s="104"/>
      <c r="UE86" s="104"/>
      <c r="UF86" s="104"/>
      <c r="UG86" s="104"/>
      <c r="UH86" s="104"/>
      <c r="UI86" s="104"/>
      <c r="UJ86" s="104"/>
      <c r="UK86" s="104"/>
      <c r="UL86" s="104"/>
      <c r="UM86" s="104"/>
      <c r="UN86" s="104"/>
      <c r="UO86" s="104"/>
      <c r="UP86" s="104"/>
      <c r="UQ86" s="104"/>
      <c r="UR86" s="104"/>
      <c r="US86" s="104"/>
      <c r="UT86" s="104"/>
      <c r="UU86" s="104"/>
      <c r="UV86" s="104"/>
      <c r="UW86" s="104"/>
      <c r="UX86" s="104"/>
      <c r="UY86" s="104"/>
      <c r="UZ86" s="104"/>
      <c r="VA86" s="104"/>
      <c r="VB86" s="104"/>
      <c r="VC86" s="104"/>
      <c r="VD86" s="104"/>
      <c r="VE86" s="104"/>
      <c r="VF86" s="104"/>
      <c r="VG86" s="104"/>
      <c r="VH86" s="104"/>
      <c r="VI86" s="104"/>
      <c r="VJ86" s="104"/>
      <c r="VK86" s="104"/>
      <c r="VL86" s="104"/>
      <c r="VM86" s="104"/>
      <c r="VN86" s="104"/>
      <c r="VO86" s="104"/>
      <c r="VP86" s="104"/>
      <c r="VQ86" s="104"/>
      <c r="VR86" s="104"/>
      <c r="VS86" s="104"/>
      <c r="VT86" s="104"/>
      <c r="VU86" s="104"/>
      <c r="VV86" s="104"/>
      <c r="VW86" s="104"/>
      <c r="VX86" s="104"/>
      <c r="VY86" s="104"/>
      <c r="VZ86" s="104"/>
      <c r="WA86" s="104"/>
      <c r="WB86" s="104"/>
      <c r="WC86" s="104"/>
      <c r="WD86" s="104"/>
      <c r="WE86" s="104"/>
      <c r="WF86" s="104"/>
      <c r="WG86" s="104"/>
      <c r="WH86" s="104"/>
      <c r="WI86" s="104"/>
      <c r="WJ86" s="104"/>
      <c r="WK86" s="104"/>
      <c r="WL86" s="104"/>
      <c r="WM86" s="104"/>
      <c r="WN86" s="104"/>
      <c r="WO86" s="104"/>
      <c r="WP86" s="104"/>
      <c r="WQ86" s="104"/>
      <c r="WR86" s="104"/>
      <c r="WS86" s="104"/>
      <c r="WT86" s="104"/>
      <c r="WU86" s="104"/>
      <c r="WV86" s="104"/>
      <c r="WW86" s="104"/>
      <c r="WX86" s="104"/>
      <c r="WY86" s="104"/>
      <c r="WZ86" s="104"/>
      <c r="XA86" s="104"/>
      <c r="XB86" s="104"/>
      <c r="XC86" s="104"/>
      <c r="XD86" s="104"/>
      <c r="XE86" s="104"/>
      <c r="XF86" s="104"/>
      <c r="XG86" s="104"/>
      <c r="XH86" s="104"/>
      <c r="XI86" s="104"/>
      <c r="XJ86" s="104"/>
      <c r="XK86" s="104"/>
      <c r="XL86" s="104"/>
      <c r="XM86" s="104"/>
      <c r="XN86" s="104"/>
      <c r="XO86" s="104"/>
      <c r="XP86" s="104"/>
      <c r="XQ86" s="104"/>
      <c r="XR86" s="104"/>
      <c r="XS86" s="104"/>
      <c r="XT86" s="104"/>
      <c r="XU86" s="104"/>
      <c r="XV86" s="104"/>
      <c r="XW86" s="104"/>
      <c r="XX86" s="104"/>
      <c r="XY86" s="104"/>
      <c r="XZ86" s="104"/>
      <c r="YA86" s="104"/>
      <c r="YB86" s="104"/>
      <c r="YC86" s="104"/>
      <c r="YD86" s="104"/>
      <c r="YE86" s="104"/>
      <c r="YF86" s="104"/>
      <c r="YG86" s="104"/>
      <c r="YH86" s="104"/>
      <c r="YI86" s="104"/>
      <c r="YJ86" s="104"/>
      <c r="YK86" s="104"/>
      <c r="YL86" s="104"/>
      <c r="YM86" s="104"/>
      <c r="YN86" s="104"/>
      <c r="YO86" s="104"/>
      <c r="YP86" s="104"/>
      <c r="YQ86" s="104"/>
      <c r="YR86" s="104"/>
      <c r="YS86" s="104"/>
      <c r="YT86" s="104"/>
      <c r="YU86" s="104"/>
      <c r="YV86" s="104"/>
      <c r="YW86" s="104"/>
      <c r="YX86" s="104"/>
      <c r="YY86" s="104"/>
      <c r="YZ86" s="104"/>
      <c r="ZA86" s="104"/>
      <c r="ZB86" s="104"/>
      <c r="ZC86" s="104"/>
      <c r="ZD86" s="104"/>
      <c r="ZE86" s="104"/>
      <c r="ZF86" s="104"/>
      <c r="ZG86" s="104"/>
      <c r="ZH86" s="104"/>
      <c r="ZI86" s="104"/>
      <c r="ZJ86" s="104"/>
      <c r="ZK86" s="104"/>
      <c r="ZL86" s="104"/>
      <c r="ZM86" s="104"/>
      <c r="ZN86" s="104"/>
      <c r="ZO86" s="104"/>
      <c r="ZP86" s="104"/>
      <c r="ZQ86" s="104"/>
      <c r="ZR86" s="104"/>
      <c r="ZS86" s="104"/>
      <c r="ZT86" s="104"/>
      <c r="ZU86" s="104"/>
      <c r="ZV86" s="104"/>
      <c r="ZW86" s="104"/>
      <c r="ZX86" s="104"/>
      <c r="ZY86" s="104"/>
      <c r="ZZ86" s="104"/>
      <c r="AAA86" s="104"/>
      <c r="AAB86" s="104"/>
      <c r="AAC86" s="104"/>
      <c r="AAD86" s="104"/>
      <c r="AAE86" s="104"/>
      <c r="AAF86" s="104"/>
      <c r="AAG86" s="104"/>
      <c r="AAH86" s="104"/>
      <c r="AAI86" s="104"/>
      <c r="AAJ86" s="104"/>
      <c r="AAK86" s="104"/>
      <c r="AAL86" s="104"/>
      <c r="AAM86" s="104"/>
      <c r="AAN86" s="104"/>
      <c r="AAO86" s="104"/>
      <c r="AAP86" s="104"/>
      <c r="AAQ86" s="104"/>
      <c r="AAR86" s="104"/>
      <c r="AAS86" s="104"/>
      <c r="AAT86" s="104"/>
      <c r="AAU86" s="104"/>
      <c r="AAV86" s="104"/>
      <c r="AAW86" s="104"/>
      <c r="AAX86" s="104"/>
      <c r="AAY86" s="104"/>
      <c r="AAZ86" s="104"/>
      <c r="ABA86" s="104"/>
      <c r="ABB86" s="104"/>
      <c r="ABC86" s="104"/>
      <c r="ABD86" s="104"/>
      <c r="ABE86" s="104"/>
      <c r="ABF86" s="104"/>
      <c r="ABG86" s="104"/>
      <c r="ABH86" s="104"/>
      <c r="ABI86" s="104"/>
      <c r="ABJ86" s="104"/>
      <c r="ABK86" s="104"/>
      <c r="ABL86" s="104"/>
      <c r="ABM86" s="104"/>
      <c r="ABN86" s="104"/>
      <c r="ABO86" s="104"/>
      <c r="ABP86" s="104"/>
      <c r="ABQ86" s="104"/>
      <c r="ABR86" s="104"/>
      <c r="ABS86" s="104"/>
      <c r="ABT86" s="104"/>
      <c r="ABU86" s="104"/>
      <c r="ABV86" s="104"/>
      <c r="ABW86" s="104"/>
      <c r="ABX86" s="104"/>
      <c r="ABY86" s="104"/>
      <c r="ABZ86" s="104"/>
      <c r="ACA86" s="104"/>
      <c r="ACB86" s="104"/>
      <c r="ACC86" s="104"/>
      <c r="ACD86" s="104"/>
      <c r="ACE86" s="104"/>
      <c r="ACF86" s="104"/>
      <c r="ACG86" s="104"/>
      <c r="ACH86" s="104"/>
      <c r="ACI86" s="104"/>
      <c r="ACJ86" s="104"/>
      <c r="ACK86" s="104"/>
      <c r="ACL86" s="104"/>
      <c r="ACM86" s="104"/>
      <c r="ACN86" s="104"/>
      <c r="ACO86" s="104"/>
      <c r="ACP86" s="104"/>
      <c r="ACQ86" s="104"/>
      <c r="ACR86" s="104"/>
      <c r="ACS86" s="104"/>
      <c r="ACT86" s="104"/>
      <c r="ACU86" s="104"/>
      <c r="ACV86" s="104"/>
      <c r="ACW86" s="104"/>
      <c r="ACX86" s="104"/>
      <c r="ACY86" s="104"/>
      <c r="ACZ86" s="104"/>
      <c r="ADA86" s="104"/>
      <c r="ADB86" s="104"/>
      <c r="ADC86" s="104"/>
      <c r="ADD86" s="104"/>
      <c r="ADE86" s="104"/>
      <c r="ADF86" s="104"/>
      <c r="ADG86" s="104"/>
      <c r="ADH86" s="104"/>
      <c r="ADI86" s="104"/>
      <c r="ADJ86" s="104"/>
      <c r="ADK86" s="104"/>
      <c r="ADL86" s="104"/>
      <c r="ADM86" s="104"/>
      <c r="ADN86" s="104"/>
      <c r="ADO86" s="104"/>
      <c r="ADP86" s="104"/>
      <c r="ADQ86" s="104"/>
      <c r="ADR86" s="104"/>
      <c r="ADS86" s="104"/>
      <c r="ADT86" s="104"/>
      <c r="ADU86" s="104"/>
      <c r="ADV86" s="104"/>
      <c r="ADW86" s="104"/>
      <c r="ADX86" s="104"/>
      <c r="ADY86" s="104"/>
      <c r="ADZ86" s="104"/>
      <c r="AEA86" s="104"/>
      <c r="AEB86" s="104"/>
      <c r="AEC86" s="104"/>
      <c r="AED86" s="104"/>
      <c r="AEE86" s="104"/>
      <c r="AEF86" s="104"/>
      <c r="AEG86" s="104"/>
      <c r="AEH86" s="104"/>
      <c r="AEI86" s="104"/>
      <c r="AEJ86" s="104"/>
      <c r="AEK86" s="104"/>
      <c r="AEL86" s="104"/>
      <c r="AEM86" s="104"/>
      <c r="AEN86" s="104"/>
      <c r="AEO86" s="104"/>
      <c r="AEP86" s="104"/>
      <c r="AEQ86" s="104"/>
      <c r="AER86" s="104"/>
      <c r="AES86" s="104"/>
      <c r="AET86" s="104"/>
      <c r="AEU86" s="104"/>
      <c r="AEV86" s="104"/>
      <c r="AEW86" s="104"/>
      <c r="AEX86" s="104"/>
      <c r="AEY86" s="104"/>
      <c r="AEZ86" s="104"/>
      <c r="AFA86" s="104"/>
      <c r="AFB86" s="104"/>
      <c r="AFC86" s="104"/>
      <c r="AFD86" s="104"/>
      <c r="AFE86" s="104"/>
      <c r="AFF86" s="104"/>
      <c r="AFG86" s="104"/>
      <c r="AFH86" s="104"/>
      <c r="AFI86" s="104"/>
      <c r="AFJ86" s="104"/>
      <c r="AFK86" s="104"/>
      <c r="AFL86" s="104"/>
      <c r="AFM86" s="104"/>
      <c r="AFN86" s="104"/>
      <c r="AFO86" s="104"/>
      <c r="AFP86" s="104"/>
      <c r="AFQ86" s="104"/>
      <c r="AFR86" s="104"/>
      <c r="AFS86" s="104"/>
      <c r="AFT86" s="104"/>
      <c r="AFU86" s="104"/>
      <c r="AFV86" s="104"/>
      <c r="AFW86" s="104"/>
      <c r="AFX86" s="104"/>
      <c r="AFY86" s="104"/>
      <c r="AFZ86" s="104"/>
      <c r="AGA86" s="104"/>
      <c r="AGB86" s="104"/>
      <c r="AGC86" s="104"/>
      <c r="AGD86" s="104"/>
      <c r="AGE86" s="104"/>
      <c r="AGF86" s="104"/>
      <c r="AGG86" s="104"/>
      <c r="AGH86" s="104"/>
      <c r="AGI86" s="104"/>
      <c r="AGJ86" s="104"/>
      <c r="AGK86" s="104"/>
      <c r="AGL86" s="104"/>
      <c r="AGM86" s="104"/>
      <c r="AGN86" s="104"/>
      <c r="AGO86" s="104"/>
      <c r="AGP86" s="104"/>
      <c r="AGQ86" s="104"/>
      <c r="AGR86" s="104"/>
      <c r="AGS86" s="104"/>
      <c r="AGT86" s="104"/>
      <c r="AGU86" s="104"/>
      <c r="AGV86" s="104"/>
      <c r="AGW86" s="104"/>
      <c r="AGX86" s="104"/>
      <c r="AGY86" s="104"/>
      <c r="AGZ86" s="104"/>
      <c r="AHA86" s="104"/>
      <c r="AHB86" s="104"/>
      <c r="AHC86" s="104"/>
      <c r="AHD86" s="104"/>
      <c r="AHE86" s="104"/>
      <c r="AHF86" s="104"/>
      <c r="AHG86" s="104"/>
      <c r="AHH86" s="104"/>
      <c r="AHI86" s="104"/>
      <c r="AHJ86" s="104"/>
      <c r="AHK86" s="104"/>
      <c r="AHL86" s="104"/>
      <c r="AHM86" s="104"/>
      <c r="AHN86" s="104"/>
      <c r="AHO86" s="104"/>
      <c r="AHP86" s="104"/>
      <c r="AHQ86" s="104"/>
      <c r="AHR86" s="104"/>
      <c r="AHS86" s="104"/>
      <c r="AHT86" s="104"/>
      <c r="AHU86" s="104"/>
      <c r="AHV86" s="104"/>
      <c r="AHW86" s="104"/>
      <c r="AHX86" s="104"/>
      <c r="AHY86" s="104"/>
      <c r="AHZ86" s="104"/>
      <c r="AIA86" s="104"/>
      <c r="AIB86" s="104"/>
      <c r="AIC86" s="104"/>
      <c r="AID86" s="104"/>
      <c r="AIE86" s="104"/>
      <c r="AIF86" s="104"/>
      <c r="AIG86" s="104"/>
      <c r="AIH86" s="104"/>
      <c r="AII86" s="104"/>
      <c r="AIJ86" s="104"/>
      <c r="AIK86" s="104"/>
      <c r="AIL86" s="104"/>
      <c r="AIM86" s="104"/>
      <c r="AIN86" s="104"/>
      <c r="AIO86" s="104"/>
      <c r="AIP86" s="104"/>
      <c r="AIQ86" s="104"/>
      <c r="AIR86" s="104"/>
      <c r="AIS86" s="104"/>
      <c r="AIT86" s="104"/>
      <c r="AIU86" s="104"/>
      <c r="AIV86" s="104"/>
      <c r="AIW86" s="104"/>
      <c r="AIX86" s="104"/>
      <c r="AIY86" s="104"/>
      <c r="AIZ86" s="104"/>
      <c r="AJA86" s="104"/>
      <c r="AJB86" s="104"/>
      <c r="AJC86" s="104"/>
      <c r="AJD86" s="104"/>
      <c r="AJE86" s="104"/>
      <c r="AJF86" s="104"/>
      <c r="AJG86" s="104"/>
      <c r="AJH86" s="104"/>
      <c r="AJI86" s="104"/>
      <c r="AJJ86" s="104"/>
      <c r="AJK86" s="104"/>
      <c r="AJL86" s="104"/>
      <c r="AJM86" s="104"/>
      <c r="AJN86" s="104"/>
      <c r="AJO86" s="104"/>
      <c r="AJP86" s="104"/>
      <c r="AJQ86" s="104"/>
      <c r="AJR86" s="104"/>
      <c r="AJS86" s="104"/>
      <c r="AJT86" s="104"/>
      <c r="AJU86" s="104"/>
      <c r="AJV86" s="104"/>
      <c r="AJW86" s="104"/>
      <c r="AJX86" s="104"/>
      <c r="AJY86" s="104"/>
      <c r="AJZ86" s="104"/>
      <c r="AKA86" s="104"/>
      <c r="AKB86" s="104"/>
      <c r="AKC86" s="104"/>
      <c r="AKD86" s="104"/>
      <c r="AKE86" s="104"/>
      <c r="AKF86" s="104"/>
      <c r="AKG86" s="104"/>
      <c r="AKH86" s="104"/>
      <c r="AKI86" s="104"/>
      <c r="AKJ86" s="104"/>
      <c r="AKK86" s="104"/>
      <c r="AKL86" s="104"/>
      <c r="AKM86" s="104"/>
      <c r="AKN86" s="104"/>
      <c r="AKO86" s="104"/>
      <c r="AKP86" s="104"/>
      <c r="AKQ86" s="104"/>
      <c r="AKR86" s="104"/>
      <c r="AKS86" s="104"/>
      <c r="AKT86" s="104"/>
      <c r="AKU86" s="104"/>
      <c r="AKV86" s="104"/>
      <c r="AKW86" s="104"/>
      <c r="AKX86" s="104"/>
      <c r="AKY86" s="104"/>
      <c r="AKZ86" s="104"/>
      <c r="ALA86" s="104"/>
      <c r="ALB86" s="104"/>
      <c r="ALC86" s="104"/>
      <c r="ALD86" s="104"/>
      <c r="ALE86" s="104"/>
      <c r="ALF86" s="104"/>
      <c r="ALG86" s="104"/>
      <c r="ALH86" s="104"/>
      <c r="ALI86" s="104"/>
      <c r="ALJ86" s="104"/>
      <c r="ALK86" s="104"/>
      <c r="ALL86" s="104"/>
      <c r="ALM86" s="104"/>
      <c r="ALN86" s="104"/>
      <c r="ALO86" s="104"/>
      <c r="ALP86" s="104"/>
      <c r="ALQ86" s="104"/>
      <c r="ALR86" s="104"/>
      <c r="ALS86" s="104"/>
      <c r="ALT86" s="104"/>
      <c r="ALU86" s="104"/>
      <c r="ALV86" s="104"/>
      <c r="ALW86" s="104"/>
      <c r="ALX86" s="104"/>
      <c r="ALY86" s="104"/>
      <c r="ALZ86" s="104"/>
      <c r="AMA86" s="104"/>
      <c r="AMB86" s="104"/>
      <c r="AMC86" s="104"/>
      <c r="AMD86" s="104"/>
      <c r="AME86" s="104"/>
      <c r="AMF86" s="104"/>
      <c r="AMG86" s="104"/>
      <c r="AMH86" s="104"/>
      <c r="AMI86" s="104"/>
      <c r="AMJ86" s="104"/>
      <c r="AMK86" s="104"/>
      <c r="AML86" s="104"/>
      <c r="AMM86" s="104"/>
      <c r="AMN86" s="104"/>
      <c r="AMO86" s="104"/>
      <c r="AMP86" s="104"/>
      <c r="AMQ86" s="104"/>
      <c r="AMR86" s="104"/>
      <c r="AMS86" s="104"/>
      <c r="AMT86" s="104"/>
      <c r="AMU86" s="104"/>
      <c r="AMV86" s="104"/>
      <c r="AMW86" s="104"/>
      <c r="AMX86" s="104"/>
      <c r="AMY86" s="104"/>
      <c r="AMZ86" s="104"/>
      <c r="ANA86" s="104"/>
      <c r="ANB86" s="104"/>
      <c r="ANC86" s="104"/>
      <c r="AND86" s="104"/>
      <c r="ANE86" s="104"/>
      <c r="ANF86" s="104"/>
      <c r="ANG86" s="104"/>
      <c r="ANH86" s="104"/>
      <c r="ANI86" s="104"/>
      <c r="ANJ86" s="104"/>
      <c r="ANK86" s="104"/>
      <c r="ANL86" s="104"/>
      <c r="ANM86" s="104"/>
      <c r="ANN86" s="104"/>
      <c r="ANO86" s="104"/>
      <c r="ANP86" s="104"/>
      <c r="ANQ86" s="104"/>
      <c r="ANR86" s="104"/>
      <c r="ANS86" s="104"/>
      <c r="ANT86" s="104"/>
      <c r="ANU86" s="104"/>
      <c r="ANV86" s="104"/>
      <c r="ANW86" s="104"/>
      <c r="ANX86" s="104"/>
      <c r="ANY86" s="104"/>
      <c r="ANZ86" s="104"/>
      <c r="AOA86" s="104"/>
      <c r="AOB86" s="104"/>
      <c r="AOC86" s="104"/>
      <c r="AOD86" s="104"/>
      <c r="AOE86" s="104"/>
      <c r="AOF86" s="104"/>
      <c r="AOG86" s="104"/>
      <c r="AOH86" s="104"/>
      <c r="AOI86" s="104"/>
      <c r="AOJ86" s="104"/>
      <c r="AOK86" s="104"/>
      <c r="AOL86" s="104"/>
      <c r="AOM86" s="104"/>
      <c r="AON86" s="104"/>
      <c r="AOO86" s="104"/>
      <c r="AOP86" s="104"/>
      <c r="AOQ86" s="104"/>
      <c r="AOR86" s="104"/>
      <c r="AOS86" s="104"/>
      <c r="AOT86" s="104"/>
      <c r="AOU86" s="104"/>
      <c r="AOV86" s="104"/>
      <c r="AOW86" s="104"/>
      <c r="AOX86" s="104"/>
      <c r="AOY86" s="104"/>
      <c r="AOZ86" s="104"/>
      <c r="APA86" s="104"/>
      <c r="APB86" s="104"/>
      <c r="APC86" s="104"/>
      <c r="APD86" s="104"/>
      <c r="APE86" s="104"/>
      <c r="APF86" s="104"/>
      <c r="APG86" s="104"/>
      <c r="APH86" s="104"/>
      <c r="API86" s="104"/>
      <c r="APJ86" s="104"/>
      <c r="APK86" s="104"/>
      <c r="APL86" s="104"/>
      <c r="APM86" s="104"/>
      <c r="APN86" s="104"/>
      <c r="APO86" s="104"/>
      <c r="APP86" s="104"/>
      <c r="APQ86" s="104"/>
      <c r="APR86" s="104"/>
      <c r="APS86" s="104"/>
      <c r="APT86" s="104"/>
      <c r="APU86" s="104"/>
      <c r="APV86" s="104"/>
      <c r="APW86" s="104"/>
      <c r="APX86" s="104"/>
      <c r="APY86" s="104"/>
      <c r="APZ86" s="104"/>
      <c r="AQA86" s="104"/>
      <c r="AQB86" s="104"/>
      <c r="AQC86" s="104"/>
      <c r="AQD86" s="104"/>
      <c r="AQE86" s="104"/>
      <c r="AQF86" s="104"/>
      <c r="AQG86" s="104"/>
      <c r="AQH86" s="104"/>
      <c r="AQI86" s="104"/>
      <c r="AQJ86" s="104"/>
      <c r="AQK86" s="104"/>
      <c r="AQL86" s="104"/>
      <c r="AQM86" s="104"/>
      <c r="AQN86" s="104"/>
      <c r="AQO86" s="104"/>
      <c r="AQP86" s="104"/>
      <c r="AQQ86" s="104"/>
      <c r="AQR86" s="104"/>
      <c r="AQS86" s="104"/>
      <c r="AQT86" s="104"/>
      <c r="AQU86" s="104"/>
      <c r="AQV86" s="104"/>
      <c r="AQW86" s="104"/>
      <c r="AQX86" s="104"/>
      <c r="AQY86" s="104"/>
      <c r="AQZ86" s="104"/>
      <c r="ARA86" s="104"/>
      <c r="ARB86" s="104"/>
      <c r="ARC86" s="104"/>
      <c r="ARD86" s="104"/>
      <c r="ARE86" s="104"/>
      <c r="ARF86" s="104"/>
      <c r="ARG86" s="104"/>
      <c r="ARH86" s="104"/>
      <c r="ARI86" s="104"/>
      <c r="ARJ86" s="104"/>
      <c r="ARK86" s="104"/>
      <c r="ARL86" s="104"/>
      <c r="ARM86" s="104"/>
      <c r="ARN86" s="104"/>
      <c r="ARO86" s="104"/>
      <c r="ARP86" s="104"/>
      <c r="ARQ86" s="104"/>
      <c r="ARR86" s="104"/>
      <c r="ARS86" s="104"/>
      <c r="ART86" s="104"/>
      <c r="ARU86" s="104"/>
      <c r="ARV86" s="104"/>
      <c r="ARW86" s="104"/>
      <c r="ARX86" s="104"/>
      <c r="ARY86" s="104"/>
      <c r="ARZ86" s="104"/>
      <c r="ASA86" s="104"/>
      <c r="ASB86" s="104"/>
      <c r="ASC86" s="104"/>
      <c r="ASD86" s="104"/>
      <c r="ASE86" s="104"/>
      <c r="ASF86" s="104"/>
      <c r="ASG86" s="104"/>
      <c r="ASH86" s="104"/>
      <c r="ASI86" s="104"/>
      <c r="ASJ86" s="104"/>
      <c r="ASK86" s="104"/>
      <c r="ASL86" s="104"/>
      <c r="ASM86" s="104"/>
      <c r="ASN86" s="104"/>
      <c r="ASO86" s="104"/>
      <c r="ASP86" s="104"/>
      <c r="ASQ86" s="104"/>
      <c r="ASR86" s="104"/>
      <c r="ASS86" s="104"/>
      <c r="AST86" s="104"/>
      <c r="ASU86" s="104"/>
      <c r="ASV86" s="104"/>
      <c r="ASW86" s="104"/>
      <c r="ASX86" s="104"/>
      <c r="ASY86" s="104"/>
      <c r="ASZ86" s="104"/>
      <c r="ATA86" s="104"/>
      <c r="ATB86" s="104"/>
      <c r="ATC86" s="104"/>
      <c r="ATD86" s="104"/>
      <c r="ATE86" s="104"/>
      <c r="ATF86" s="104"/>
      <c r="ATG86" s="104"/>
      <c r="ATH86" s="104"/>
      <c r="ATI86" s="104"/>
      <c r="ATJ86" s="104"/>
      <c r="ATK86" s="104"/>
      <c r="ATL86" s="104"/>
      <c r="ATM86" s="104"/>
      <c r="ATN86" s="104"/>
      <c r="ATO86" s="104"/>
      <c r="ATP86" s="104"/>
      <c r="ATQ86" s="104"/>
      <c r="ATR86" s="104"/>
      <c r="ATS86" s="104"/>
      <c r="ATT86" s="104"/>
      <c r="ATU86" s="104"/>
      <c r="ATV86" s="104"/>
      <c r="ATW86" s="104"/>
      <c r="ATX86" s="104"/>
      <c r="ATY86" s="104"/>
      <c r="ATZ86" s="104"/>
      <c r="AUA86" s="104"/>
      <c r="AUB86" s="104"/>
      <c r="AUC86" s="104"/>
      <c r="AUD86" s="104"/>
      <c r="AUE86" s="104"/>
      <c r="AUF86" s="104"/>
      <c r="AUG86" s="104"/>
      <c r="AUH86" s="104"/>
      <c r="AUI86" s="104"/>
      <c r="AUJ86" s="104"/>
      <c r="AUK86" s="104"/>
      <c r="AUL86" s="104"/>
      <c r="AUM86" s="104"/>
      <c r="AUN86" s="104"/>
      <c r="AUO86" s="104"/>
      <c r="AUP86" s="104"/>
      <c r="AUQ86" s="104"/>
      <c r="AUR86" s="104"/>
      <c r="AUS86" s="104"/>
      <c r="AUT86" s="104"/>
      <c r="AUU86" s="104"/>
      <c r="AUV86" s="104"/>
      <c r="AUW86" s="104"/>
      <c r="AUX86" s="104"/>
      <c r="AUY86" s="104"/>
      <c r="AUZ86" s="104"/>
      <c r="AVA86" s="104"/>
      <c r="AVB86" s="104"/>
      <c r="AVC86" s="104"/>
      <c r="AVD86" s="104"/>
      <c r="AVE86" s="104"/>
      <c r="AVF86" s="104"/>
      <c r="AVG86" s="104"/>
      <c r="AVH86" s="104"/>
      <c r="AVI86" s="104"/>
      <c r="AVJ86" s="104"/>
      <c r="AVK86" s="104"/>
      <c r="AVL86" s="104"/>
      <c r="AVM86" s="104"/>
      <c r="AVN86" s="104"/>
      <c r="AVO86" s="104"/>
      <c r="AVP86" s="104"/>
      <c r="AVQ86" s="104"/>
      <c r="AVR86" s="104"/>
      <c r="AVS86" s="104"/>
      <c r="AVT86" s="104"/>
      <c r="AVU86" s="104"/>
      <c r="AVV86" s="104"/>
      <c r="AVW86" s="104"/>
      <c r="AVX86" s="104"/>
      <c r="AVY86" s="104"/>
      <c r="AVZ86" s="104"/>
      <c r="AWA86" s="104"/>
      <c r="AWB86" s="104"/>
      <c r="AWC86" s="104"/>
      <c r="AWD86" s="104"/>
      <c r="AWE86" s="104"/>
      <c r="AWF86" s="104"/>
      <c r="AWG86" s="104"/>
      <c r="AWH86" s="104"/>
      <c r="AWI86" s="104"/>
      <c r="AWJ86" s="104"/>
      <c r="AWK86" s="104"/>
      <c r="AWL86" s="104"/>
      <c r="AWM86" s="104"/>
      <c r="AWN86" s="104"/>
      <c r="AWO86" s="104"/>
      <c r="AWP86" s="104"/>
      <c r="AWQ86" s="104"/>
      <c r="AWR86" s="104"/>
      <c r="AWS86" s="104"/>
      <c r="AWT86" s="104"/>
      <c r="AWU86" s="104"/>
      <c r="AWV86" s="104"/>
      <c r="AWW86" s="104"/>
      <c r="AWX86" s="104"/>
      <c r="AWY86" s="104"/>
      <c r="AWZ86" s="104"/>
      <c r="AXA86" s="104"/>
      <c r="AXB86" s="104"/>
      <c r="AXC86" s="104"/>
      <c r="AXD86" s="104"/>
      <c r="AXE86" s="104"/>
      <c r="AXF86" s="104"/>
      <c r="AXG86" s="104"/>
      <c r="AXH86" s="104"/>
      <c r="AXI86" s="104"/>
      <c r="AXJ86" s="104"/>
      <c r="AXK86" s="104"/>
      <c r="AXL86" s="104"/>
      <c r="AXM86" s="104"/>
      <c r="AXN86" s="104"/>
      <c r="AXO86" s="104"/>
      <c r="AXP86" s="104"/>
      <c r="AXQ86" s="104"/>
      <c r="AXR86" s="104"/>
      <c r="AXS86" s="104"/>
      <c r="AXT86" s="104"/>
      <c r="AXU86" s="104"/>
      <c r="AXV86" s="104"/>
      <c r="AXW86" s="104"/>
      <c r="AXX86" s="104"/>
      <c r="AXY86" s="104"/>
      <c r="AXZ86" s="104"/>
      <c r="AYA86" s="104"/>
      <c r="AYB86" s="104"/>
      <c r="AYC86" s="104"/>
      <c r="AYD86" s="104"/>
      <c r="AYE86" s="104"/>
      <c r="AYF86" s="104"/>
      <c r="AYG86" s="104"/>
      <c r="AYH86" s="104"/>
      <c r="AYI86" s="104"/>
      <c r="AYJ86" s="104"/>
      <c r="AYK86" s="104"/>
      <c r="AYL86" s="104"/>
      <c r="AYM86" s="104"/>
      <c r="AYN86" s="104"/>
      <c r="AYO86" s="104"/>
      <c r="AYP86" s="104"/>
      <c r="AYQ86" s="104"/>
      <c r="AYR86" s="104"/>
      <c r="AYS86" s="104"/>
      <c r="AYT86" s="104"/>
      <c r="AYU86" s="104"/>
      <c r="AYV86" s="104"/>
      <c r="AYW86" s="104"/>
      <c r="AYX86" s="104"/>
      <c r="AYY86" s="104"/>
      <c r="AYZ86" s="104"/>
      <c r="AZA86" s="104"/>
      <c r="AZB86" s="104"/>
      <c r="AZC86" s="104"/>
      <c r="AZD86" s="104"/>
      <c r="AZE86" s="104"/>
      <c r="AZF86" s="104"/>
      <c r="AZG86" s="104"/>
      <c r="AZH86" s="104"/>
      <c r="AZI86" s="104"/>
      <c r="AZJ86" s="104"/>
      <c r="AZK86" s="104"/>
      <c r="AZL86" s="104"/>
      <c r="AZM86" s="104"/>
      <c r="AZN86" s="104"/>
      <c r="AZO86" s="104"/>
      <c r="AZP86" s="104"/>
      <c r="AZQ86" s="104"/>
      <c r="AZR86" s="104"/>
      <c r="AZS86" s="104"/>
      <c r="AZT86" s="104"/>
      <c r="AZU86" s="104"/>
      <c r="AZV86" s="104"/>
      <c r="AZW86" s="104"/>
      <c r="AZX86" s="104"/>
      <c r="AZY86" s="104"/>
      <c r="AZZ86" s="104"/>
      <c r="BAA86" s="104"/>
      <c r="BAB86" s="104"/>
      <c r="BAC86" s="104"/>
      <c r="BAD86" s="104"/>
      <c r="BAE86" s="104"/>
      <c r="BAF86" s="104"/>
      <c r="BAG86" s="104"/>
      <c r="BAH86" s="104"/>
      <c r="BAI86" s="104"/>
      <c r="BAJ86" s="104"/>
      <c r="BAK86" s="104"/>
      <c r="BAL86" s="104"/>
      <c r="BAM86" s="104"/>
      <c r="BAN86" s="104"/>
      <c r="BAO86" s="104"/>
      <c r="BAP86" s="104"/>
      <c r="BAQ86" s="104"/>
      <c r="BAR86" s="104"/>
      <c r="BAS86" s="104"/>
      <c r="BAT86" s="104"/>
      <c r="BAU86" s="104"/>
      <c r="BAV86" s="104"/>
      <c r="BAW86" s="104"/>
      <c r="BAX86" s="104"/>
      <c r="BAY86" s="104"/>
      <c r="BAZ86" s="104"/>
      <c r="BBA86" s="104"/>
      <c r="BBB86" s="104"/>
      <c r="BBC86" s="104"/>
      <c r="BBD86" s="104"/>
      <c r="BBE86" s="104"/>
      <c r="BBF86" s="104"/>
      <c r="BBG86" s="104"/>
      <c r="BBH86" s="104"/>
      <c r="BBI86" s="104"/>
      <c r="BBJ86" s="104"/>
      <c r="BBK86" s="104"/>
      <c r="BBL86" s="104"/>
      <c r="BBM86" s="104"/>
      <c r="BBN86" s="104"/>
      <c r="BBO86" s="104"/>
      <c r="BBP86" s="104"/>
      <c r="BBQ86" s="104"/>
      <c r="BBR86" s="104"/>
      <c r="BBS86" s="104"/>
      <c r="BBT86" s="104"/>
      <c r="BBU86" s="104"/>
      <c r="BBV86" s="104"/>
      <c r="BBW86" s="104"/>
      <c r="BBX86" s="104"/>
      <c r="BBY86" s="104"/>
      <c r="BBZ86" s="104"/>
      <c r="BCA86" s="104"/>
      <c r="BCB86" s="104"/>
      <c r="BCC86" s="104"/>
      <c r="BCD86" s="104"/>
      <c r="BCE86" s="104"/>
      <c r="BCF86" s="104"/>
      <c r="BCG86" s="104"/>
      <c r="BCH86" s="104"/>
      <c r="BCI86" s="104"/>
      <c r="BCJ86" s="104"/>
      <c r="BCK86" s="104"/>
      <c r="BCL86" s="104"/>
      <c r="BCM86" s="104"/>
      <c r="BCN86" s="104"/>
      <c r="BCO86" s="104"/>
      <c r="BCP86" s="104"/>
      <c r="BCQ86" s="104"/>
      <c r="BCR86" s="104"/>
      <c r="BCS86" s="104"/>
      <c r="BCT86" s="104"/>
      <c r="BCU86" s="104"/>
      <c r="BCV86" s="104"/>
      <c r="BCW86" s="104"/>
      <c r="BCX86" s="104"/>
      <c r="BCY86" s="104"/>
      <c r="BCZ86" s="104"/>
      <c r="BDA86" s="104"/>
      <c r="BDB86" s="104"/>
      <c r="BDC86" s="104"/>
      <c r="BDD86" s="104"/>
      <c r="BDE86" s="104"/>
      <c r="BDF86" s="104"/>
      <c r="BDG86" s="104"/>
      <c r="BDH86" s="104"/>
      <c r="BDI86" s="104"/>
      <c r="BDJ86" s="104"/>
      <c r="BDK86" s="104"/>
      <c r="BDL86" s="104"/>
      <c r="BDM86" s="104"/>
      <c r="BDN86" s="104"/>
      <c r="BDO86" s="104"/>
      <c r="BDP86" s="104"/>
      <c r="BDQ86" s="104"/>
      <c r="BDR86" s="104"/>
      <c r="BDS86" s="104"/>
      <c r="BDT86" s="104"/>
      <c r="BDU86" s="104"/>
      <c r="BDV86" s="104"/>
      <c r="BDW86" s="104"/>
      <c r="BDX86" s="104"/>
      <c r="BDY86" s="104"/>
      <c r="BDZ86" s="104"/>
      <c r="BEA86" s="104"/>
      <c r="BEB86" s="104"/>
      <c r="BEC86" s="104"/>
      <c r="BED86" s="104"/>
      <c r="BEE86" s="104"/>
      <c r="BEF86" s="104"/>
      <c r="BEG86" s="104"/>
      <c r="BEH86" s="104"/>
      <c r="BEI86" s="104"/>
      <c r="BEJ86" s="104"/>
      <c r="BEK86" s="104"/>
      <c r="BEL86" s="104"/>
      <c r="BEM86" s="104"/>
      <c r="BEN86" s="104"/>
      <c r="BEO86" s="104"/>
      <c r="BEP86" s="104"/>
      <c r="BEQ86" s="104"/>
      <c r="BER86" s="104"/>
      <c r="BES86" s="104"/>
      <c r="BET86" s="104"/>
      <c r="BEU86" s="104"/>
      <c r="BEV86" s="104"/>
      <c r="BEW86" s="104"/>
      <c r="BEX86" s="104"/>
      <c r="BEY86" s="104"/>
      <c r="BEZ86" s="104"/>
      <c r="BFA86" s="104"/>
      <c r="BFB86" s="104"/>
      <c r="BFC86" s="104"/>
      <c r="BFD86" s="104"/>
      <c r="BFE86" s="104"/>
      <c r="BFF86" s="104"/>
      <c r="BFG86" s="104"/>
      <c r="BFH86" s="104"/>
      <c r="BFI86" s="104"/>
      <c r="BFJ86" s="104"/>
      <c r="BFK86" s="104"/>
      <c r="BFL86" s="104"/>
      <c r="BFM86" s="104"/>
      <c r="BFN86" s="104"/>
      <c r="BFO86" s="104"/>
      <c r="BFP86" s="104"/>
      <c r="BFQ86" s="104"/>
      <c r="BFR86" s="104"/>
      <c r="BFS86" s="104"/>
      <c r="BFT86" s="104"/>
      <c r="BFU86" s="104"/>
      <c r="BFV86" s="104"/>
      <c r="BFW86" s="104"/>
      <c r="BFX86" s="104"/>
      <c r="BFY86" s="104"/>
      <c r="BFZ86" s="104"/>
      <c r="BGA86" s="104"/>
      <c r="BGB86" s="104"/>
      <c r="BGC86" s="104"/>
      <c r="BGD86" s="104"/>
      <c r="BGE86" s="104"/>
      <c r="BGF86" s="104"/>
      <c r="BGG86" s="104"/>
      <c r="BGH86" s="104"/>
      <c r="BGI86" s="104"/>
      <c r="BGJ86" s="104"/>
      <c r="BGK86" s="104"/>
      <c r="BGL86" s="104"/>
      <c r="BGM86" s="104"/>
      <c r="BGN86" s="104"/>
      <c r="BGO86" s="104"/>
      <c r="BGP86" s="104"/>
      <c r="BGQ86" s="104"/>
      <c r="BGR86" s="104"/>
      <c r="BGS86" s="104"/>
      <c r="BGT86" s="104"/>
      <c r="BGU86" s="104"/>
      <c r="BGV86" s="104"/>
      <c r="BGW86" s="104"/>
      <c r="BGX86" s="104"/>
      <c r="BGY86" s="104"/>
      <c r="BGZ86" s="104"/>
      <c r="BHA86" s="104"/>
      <c r="BHB86" s="104"/>
      <c r="BHC86" s="104"/>
      <c r="BHD86" s="104"/>
      <c r="BHE86" s="104"/>
      <c r="BHF86" s="104"/>
      <c r="BHG86" s="104"/>
      <c r="BHH86" s="104"/>
      <c r="BHI86" s="104"/>
      <c r="BHJ86" s="104"/>
      <c r="BHK86" s="104"/>
      <c r="BHL86" s="104"/>
      <c r="BHM86" s="104"/>
      <c r="BHN86" s="104"/>
      <c r="BHO86" s="104"/>
      <c r="BHP86" s="104"/>
      <c r="BHQ86" s="104"/>
      <c r="BHR86" s="104"/>
      <c r="BHS86" s="104"/>
      <c r="BHT86" s="104"/>
      <c r="BHU86" s="104"/>
      <c r="BHV86" s="104"/>
      <c r="BHW86" s="104"/>
      <c r="BHX86" s="104"/>
      <c r="BHY86" s="104"/>
      <c r="BHZ86" s="104"/>
      <c r="BIA86" s="104"/>
      <c r="BIB86" s="104"/>
      <c r="BIC86" s="104"/>
      <c r="BID86" s="104"/>
      <c r="BIE86" s="104"/>
      <c r="BIF86" s="104"/>
      <c r="BIG86" s="104"/>
      <c r="BIH86" s="104"/>
      <c r="BII86" s="104"/>
      <c r="BIJ86" s="104"/>
      <c r="BIK86" s="104"/>
      <c r="BIL86" s="104"/>
      <c r="BIM86" s="104"/>
      <c r="BIN86" s="104"/>
      <c r="BIO86" s="104"/>
      <c r="BIP86" s="104"/>
      <c r="BIQ86" s="104"/>
      <c r="BIR86" s="104"/>
      <c r="BIS86" s="104"/>
      <c r="BIT86" s="104"/>
      <c r="BIU86" s="104"/>
      <c r="BIV86" s="104"/>
      <c r="BIW86" s="104"/>
      <c r="BIX86" s="104"/>
      <c r="BIY86" s="104"/>
      <c r="BIZ86" s="104"/>
      <c r="BJA86" s="104"/>
      <c r="BJB86" s="104"/>
      <c r="BJC86" s="104"/>
      <c r="BJD86" s="104"/>
      <c r="BJE86" s="104"/>
      <c r="BJF86" s="104"/>
      <c r="BJG86" s="104"/>
      <c r="BJH86" s="104"/>
      <c r="BJI86" s="104"/>
      <c r="BJJ86" s="104"/>
      <c r="BJK86" s="104"/>
      <c r="BJL86" s="104"/>
      <c r="BJM86" s="104"/>
      <c r="BJN86" s="104"/>
      <c r="BJO86" s="104"/>
      <c r="BJP86" s="104"/>
      <c r="BJQ86" s="104"/>
      <c r="BJR86" s="104"/>
      <c r="BJS86" s="104"/>
      <c r="BJT86" s="104"/>
      <c r="BJU86" s="104"/>
      <c r="BJV86" s="104"/>
      <c r="BJW86" s="104"/>
      <c r="BJX86" s="104"/>
      <c r="BJY86" s="104"/>
      <c r="BJZ86" s="104"/>
      <c r="BKA86" s="104"/>
      <c r="BKB86" s="104"/>
      <c r="BKC86" s="104"/>
      <c r="BKD86" s="104"/>
      <c r="BKE86" s="104"/>
      <c r="BKF86" s="104"/>
      <c r="BKG86" s="104"/>
      <c r="BKH86" s="104"/>
      <c r="BKI86" s="104"/>
      <c r="BKJ86" s="104"/>
      <c r="BKK86" s="104"/>
      <c r="BKL86" s="104"/>
      <c r="BKM86" s="104"/>
      <c r="BKN86" s="104"/>
      <c r="BKO86" s="104"/>
      <c r="BKP86" s="104"/>
      <c r="BKQ86" s="104"/>
      <c r="BKR86" s="104"/>
      <c r="BKS86" s="104"/>
      <c r="BKT86" s="104"/>
      <c r="BKU86" s="104"/>
      <c r="BKV86" s="104"/>
      <c r="BKW86" s="104"/>
      <c r="BKX86" s="104"/>
      <c r="BKY86" s="104"/>
      <c r="BKZ86" s="104"/>
      <c r="BLA86" s="104"/>
      <c r="BLB86" s="104"/>
      <c r="BLC86" s="104"/>
      <c r="BLD86" s="104"/>
      <c r="BLE86" s="104"/>
      <c r="BLF86" s="104"/>
      <c r="BLG86" s="104"/>
      <c r="BLH86" s="104"/>
      <c r="BLI86" s="104"/>
      <c r="BLJ86" s="104"/>
      <c r="BLK86" s="104"/>
      <c r="BLL86" s="104"/>
      <c r="BLM86" s="104"/>
      <c r="BLN86" s="104"/>
      <c r="BLO86" s="104"/>
      <c r="BLP86" s="104"/>
      <c r="BLQ86" s="104"/>
      <c r="BLR86" s="104"/>
      <c r="BLS86" s="104"/>
      <c r="BLT86" s="104"/>
      <c r="BLU86" s="104"/>
      <c r="BLV86" s="104"/>
      <c r="BLW86" s="104"/>
      <c r="BLX86" s="104"/>
      <c r="BLY86" s="104"/>
      <c r="BLZ86" s="104"/>
      <c r="BMA86" s="104"/>
      <c r="BMB86" s="104"/>
      <c r="BMC86" s="104"/>
      <c r="BMD86" s="104"/>
      <c r="BME86" s="104"/>
      <c r="BMF86" s="104"/>
      <c r="BMG86" s="104"/>
      <c r="BMH86" s="104"/>
      <c r="BMI86" s="104"/>
      <c r="BMJ86" s="104"/>
      <c r="BMK86" s="104"/>
      <c r="BML86" s="104"/>
      <c r="BMM86" s="104"/>
      <c r="BMN86" s="104"/>
      <c r="BMO86" s="104"/>
      <c r="BMP86" s="104"/>
      <c r="BMQ86" s="104"/>
      <c r="BMR86" s="104"/>
      <c r="BMS86" s="104"/>
      <c r="BMT86" s="104"/>
      <c r="BMU86" s="104"/>
      <c r="BMV86" s="104"/>
      <c r="BMW86" s="104"/>
      <c r="BMX86" s="104"/>
      <c r="BMY86" s="104"/>
      <c r="BMZ86" s="104"/>
      <c r="BNA86" s="104"/>
      <c r="BNB86" s="104"/>
      <c r="BNC86" s="104"/>
      <c r="BND86" s="104"/>
      <c r="BNE86" s="104"/>
      <c r="BNF86" s="104"/>
      <c r="BNG86" s="104"/>
      <c r="BNH86" s="104"/>
      <c r="BNI86" s="104"/>
      <c r="BNJ86" s="104"/>
      <c r="BNK86" s="104"/>
      <c r="BNL86" s="104"/>
      <c r="BNM86" s="104"/>
      <c r="BNN86" s="104"/>
      <c r="BNO86" s="104"/>
      <c r="BNP86" s="104"/>
      <c r="BNQ86" s="104"/>
      <c r="BNR86" s="104"/>
      <c r="BNS86" s="104"/>
      <c r="BNT86" s="104"/>
      <c r="BNU86" s="104"/>
      <c r="BNV86" s="104"/>
      <c r="BNW86" s="104"/>
      <c r="BNX86" s="104"/>
      <c r="BNY86" s="104"/>
      <c r="BNZ86" s="104"/>
      <c r="BOA86" s="104"/>
      <c r="BOB86" s="104"/>
      <c r="BOC86" s="104"/>
      <c r="BOD86" s="104"/>
      <c r="BOE86" s="104"/>
      <c r="BOF86" s="104"/>
      <c r="BOG86" s="104"/>
      <c r="BOH86" s="104"/>
      <c r="BOI86" s="104"/>
      <c r="BOJ86" s="104"/>
      <c r="BOK86" s="104"/>
      <c r="BOL86" s="104"/>
      <c r="BOM86" s="104"/>
      <c r="BON86" s="104"/>
      <c r="BOO86" s="104"/>
      <c r="BOP86" s="104"/>
      <c r="BOQ86" s="104"/>
      <c r="BOR86" s="104"/>
      <c r="BOS86" s="104"/>
      <c r="BOT86" s="104"/>
      <c r="BOU86" s="104"/>
      <c r="BOV86" s="104"/>
      <c r="BOW86" s="104"/>
      <c r="BOX86" s="104"/>
      <c r="BOY86" s="104"/>
      <c r="BOZ86" s="104"/>
      <c r="BPA86" s="104"/>
      <c r="BPB86" s="104"/>
      <c r="BPC86" s="104"/>
      <c r="BPD86" s="104"/>
      <c r="BPE86" s="104"/>
      <c r="BPF86" s="104"/>
      <c r="BPG86" s="104"/>
      <c r="BPH86" s="104"/>
      <c r="BPI86" s="104"/>
      <c r="BPJ86" s="104"/>
      <c r="BPK86" s="104"/>
      <c r="BPL86" s="104"/>
      <c r="BPM86" s="104"/>
      <c r="BPN86" s="104"/>
      <c r="BPO86" s="104"/>
      <c r="BPP86" s="104"/>
      <c r="BPQ86" s="104"/>
      <c r="BPR86" s="104"/>
      <c r="BPS86" s="104"/>
      <c r="BPT86" s="104"/>
      <c r="BPU86" s="104"/>
      <c r="BPV86" s="104"/>
      <c r="BPW86" s="104"/>
      <c r="BPX86" s="104"/>
      <c r="BPY86" s="104"/>
      <c r="BPZ86" s="104"/>
      <c r="BQA86" s="104"/>
      <c r="BQB86" s="104"/>
      <c r="BQC86" s="104"/>
      <c r="BQD86" s="104"/>
      <c r="BQE86" s="104"/>
      <c r="BQF86" s="104"/>
      <c r="BQG86" s="104"/>
      <c r="BQH86" s="104"/>
      <c r="BQI86" s="104"/>
      <c r="BQJ86" s="104"/>
      <c r="BQK86" s="104"/>
      <c r="BQL86" s="104"/>
      <c r="BQM86" s="104"/>
      <c r="BQN86" s="104"/>
      <c r="BQO86" s="104"/>
      <c r="BQP86" s="104"/>
      <c r="BQQ86" s="104"/>
      <c r="BQR86" s="104"/>
      <c r="BQS86" s="104"/>
      <c r="BQT86" s="104"/>
      <c r="BQU86" s="104"/>
      <c r="BQV86" s="104"/>
      <c r="BQW86" s="104"/>
      <c r="BQX86" s="104"/>
      <c r="BQY86" s="104"/>
      <c r="BQZ86" s="104"/>
      <c r="BRA86" s="104"/>
      <c r="BRB86" s="104"/>
      <c r="BRC86" s="104"/>
      <c r="BRD86" s="104"/>
      <c r="BRE86" s="104"/>
      <c r="BRF86" s="104"/>
      <c r="BRG86" s="104"/>
      <c r="BRH86" s="104"/>
      <c r="BRI86" s="104"/>
      <c r="BRJ86" s="104"/>
      <c r="BRK86" s="104"/>
      <c r="BRL86" s="104"/>
      <c r="BRM86" s="104"/>
      <c r="BRN86" s="104"/>
      <c r="BRO86" s="104"/>
      <c r="BRP86" s="104"/>
      <c r="BRQ86" s="104"/>
      <c r="BRR86" s="104"/>
      <c r="BRS86" s="104"/>
      <c r="BRT86" s="104"/>
      <c r="BRU86" s="104"/>
      <c r="BRV86" s="104"/>
      <c r="BRW86" s="104"/>
      <c r="BRX86" s="104"/>
      <c r="BRY86" s="104"/>
      <c r="BRZ86" s="104"/>
      <c r="BSA86" s="104"/>
      <c r="BSB86" s="104"/>
      <c r="BSC86" s="104"/>
      <c r="BSD86" s="104"/>
      <c r="BSE86" s="104"/>
      <c r="BSF86" s="104"/>
      <c r="BSG86" s="104"/>
      <c r="BSH86" s="104"/>
      <c r="BSI86" s="104"/>
      <c r="BSJ86" s="104"/>
      <c r="BSK86" s="104"/>
      <c r="BSL86" s="104"/>
      <c r="BSM86" s="104"/>
      <c r="BSN86" s="104"/>
      <c r="BSO86" s="104"/>
      <c r="BSP86" s="104"/>
      <c r="BSQ86" s="104"/>
      <c r="BSR86" s="104"/>
      <c r="BSS86" s="104"/>
      <c r="BST86" s="104"/>
      <c r="BSU86" s="104"/>
      <c r="BSV86" s="104"/>
      <c r="BSW86" s="104"/>
      <c r="BSX86" s="104"/>
      <c r="BSY86" s="104"/>
      <c r="BSZ86" s="104"/>
      <c r="BTA86" s="104"/>
      <c r="BTB86" s="104"/>
      <c r="BTC86" s="104"/>
      <c r="BTD86" s="104"/>
      <c r="BTE86" s="104"/>
      <c r="BTF86" s="104"/>
      <c r="BTG86" s="104"/>
      <c r="BTH86" s="104"/>
      <c r="BTI86" s="104"/>
      <c r="BTJ86" s="104"/>
      <c r="BTK86" s="104"/>
      <c r="BTL86" s="104"/>
      <c r="BTM86" s="104"/>
      <c r="BTN86" s="104"/>
      <c r="BTO86" s="104"/>
      <c r="BTP86" s="104"/>
      <c r="BTQ86" s="104"/>
      <c r="BTR86" s="104"/>
      <c r="BTS86" s="104"/>
      <c r="BTT86" s="104"/>
      <c r="BTU86" s="104"/>
      <c r="BTV86" s="104"/>
      <c r="BTW86" s="104"/>
      <c r="BTX86" s="104"/>
      <c r="BTY86" s="104"/>
      <c r="BTZ86" s="104"/>
      <c r="BUA86" s="104"/>
      <c r="BUB86" s="104"/>
      <c r="BUC86" s="104"/>
      <c r="BUD86" s="104"/>
      <c r="BUE86" s="104"/>
      <c r="BUF86" s="104"/>
      <c r="BUG86" s="104"/>
      <c r="BUH86" s="104"/>
      <c r="BUI86" s="104"/>
      <c r="BUJ86" s="104"/>
      <c r="BUK86" s="104"/>
      <c r="BUL86" s="104"/>
      <c r="BUM86" s="104"/>
      <c r="BUN86" s="104"/>
      <c r="BUO86" s="104"/>
      <c r="BUP86" s="104"/>
      <c r="BUQ86" s="104"/>
      <c r="BUR86" s="104"/>
      <c r="BUS86" s="104"/>
      <c r="BUT86" s="104"/>
      <c r="BUU86" s="104"/>
      <c r="BUV86" s="104"/>
      <c r="BUW86" s="104"/>
      <c r="BUX86" s="104"/>
      <c r="BUY86" s="104"/>
      <c r="BUZ86" s="104"/>
      <c r="BVA86" s="104"/>
      <c r="BVB86" s="104"/>
      <c r="BVC86" s="104"/>
      <c r="BVD86" s="104"/>
      <c r="BVE86" s="104"/>
      <c r="BVF86" s="104"/>
      <c r="BVG86" s="104"/>
      <c r="BVH86" s="104"/>
      <c r="BVI86" s="104"/>
      <c r="BVJ86" s="104"/>
      <c r="BVK86" s="104"/>
      <c r="BVL86" s="104"/>
      <c r="BVM86" s="104"/>
      <c r="BVN86" s="104"/>
      <c r="BVO86" s="104"/>
      <c r="BVP86" s="104"/>
      <c r="BVQ86" s="104"/>
      <c r="BVR86" s="104"/>
      <c r="BVS86" s="104"/>
      <c r="BVT86" s="104"/>
      <c r="BVU86" s="104"/>
      <c r="BVV86" s="104"/>
      <c r="BVW86" s="104"/>
      <c r="BVX86" s="104"/>
      <c r="BVY86" s="104"/>
      <c r="BVZ86" s="104"/>
      <c r="BWA86" s="104"/>
      <c r="BWB86" s="104"/>
      <c r="BWC86" s="104"/>
      <c r="BWD86" s="104"/>
      <c r="BWE86" s="104"/>
      <c r="BWF86" s="104"/>
      <c r="BWG86" s="104"/>
      <c r="BWH86" s="104"/>
      <c r="BWI86" s="104"/>
      <c r="BWJ86" s="104"/>
      <c r="BWK86" s="104"/>
      <c r="BWL86" s="104"/>
      <c r="BWM86" s="104"/>
      <c r="BWN86" s="104"/>
      <c r="BWO86" s="104"/>
      <c r="BWP86" s="104"/>
      <c r="BWQ86" s="104"/>
      <c r="BWR86" s="104"/>
      <c r="BWS86" s="104"/>
      <c r="BWT86" s="104"/>
      <c r="BWU86" s="104"/>
      <c r="BWV86" s="104"/>
      <c r="BWW86" s="104"/>
      <c r="BWX86" s="104"/>
      <c r="BWY86" s="104"/>
      <c r="BWZ86" s="104"/>
      <c r="BXA86" s="104"/>
      <c r="BXB86" s="104"/>
      <c r="BXC86" s="104"/>
      <c r="BXD86" s="104"/>
      <c r="BXE86" s="104"/>
      <c r="BXF86" s="104"/>
      <c r="BXG86" s="104"/>
      <c r="BXH86" s="104"/>
      <c r="BXI86" s="104"/>
      <c r="BXJ86" s="104"/>
      <c r="BXK86" s="104"/>
      <c r="BXL86" s="104"/>
      <c r="BXM86" s="104"/>
      <c r="BXN86" s="104"/>
      <c r="BXO86" s="104"/>
      <c r="BXP86" s="104"/>
      <c r="BXQ86" s="104"/>
      <c r="BXR86" s="104"/>
      <c r="BXS86" s="104"/>
      <c r="BXT86" s="104"/>
      <c r="BXU86" s="104"/>
      <c r="BXV86" s="104"/>
      <c r="BXW86" s="104"/>
      <c r="BXX86" s="104"/>
      <c r="BXY86" s="104"/>
      <c r="BXZ86" s="104"/>
      <c r="BYA86" s="104"/>
      <c r="BYB86" s="104"/>
      <c r="BYC86" s="104"/>
      <c r="BYD86" s="104"/>
      <c r="BYE86" s="104"/>
      <c r="BYF86" s="104"/>
      <c r="BYG86" s="104"/>
      <c r="BYH86" s="104"/>
      <c r="BYI86" s="104"/>
      <c r="BYJ86" s="104"/>
      <c r="BYK86" s="104"/>
      <c r="BYL86" s="104"/>
      <c r="BYM86" s="104"/>
      <c r="BYN86" s="104"/>
      <c r="BYO86" s="104"/>
      <c r="BYP86" s="104"/>
      <c r="BYQ86" s="104"/>
      <c r="BYR86" s="104"/>
      <c r="BYS86" s="104"/>
      <c r="BYT86" s="104"/>
      <c r="BYU86" s="104"/>
      <c r="BYV86" s="104"/>
      <c r="BYW86" s="104"/>
      <c r="BYX86" s="104"/>
      <c r="BYY86" s="104"/>
      <c r="BYZ86" s="104"/>
      <c r="BZA86" s="104"/>
      <c r="BZB86" s="104"/>
      <c r="BZC86" s="104"/>
      <c r="BZD86" s="104"/>
      <c r="BZE86" s="104"/>
      <c r="BZF86" s="104"/>
      <c r="BZG86" s="104"/>
      <c r="BZH86" s="104"/>
      <c r="BZI86" s="104"/>
      <c r="BZJ86" s="104"/>
      <c r="BZK86" s="104"/>
      <c r="BZL86" s="104"/>
      <c r="BZM86" s="104"/>
      <c r="BZN86" s="104"/>
      <c r="BZO86" s="104"/>
      <c r="BZP86" s="104"/>
      <c r="BZQ86" s="104"/>
      <c r="BZR86" s="104"/>
      <c r="BZS86" s="104"/>
      <c r="BZT86" s="104"/>
      <c r="BZU86" s="104"/>
      <c r="BZV86" s="104"/>
      <c r="BZW86" s="104"/>
      <c r="BZX86" s="104"/>
      <c r="BZY86" s="104"/>
      <c r="BZZ86" s="104"/>
      <c r="CAA86" s="104"/>
      <c r="CAB86" s="104"/>
      <c r="CAC86" s="104"/>
      <c r="CAD86" s="104"/>
      <c r="CAE86" s="104"/>
      <c r="CAF86" s="104"/>
      <c r="CAG86" s="104"/>
      <c r="CAH86" s="104"/>
      <c r="CAI86" s="104"/>
      <c r="CAJ86" s="104"/>
      <c r="CAK86" s="104"/>
      <c r="CAL86" s="104"/>
      <c r="CAM86" s="104"/>
      <c r="CAN86" s="104"/>
      <c r="CAO86" s="104"/>
      <c r="CAP86" s="104"/>
      <c r="CAQ86" s="104"/>
      <c r="CAR86" s="104"/>
      <c r="CAS86" s="104"/>
      <c r="CAT86" s="104"/>
      <c r="CAU86" s="104"/>
      <c r="CAV86" s="104"/>
      <c r="CAW86" s="104"/>
      <c r="CAX86" s="104"/>
      <c r="CAY86" s="104"/>
      <c r="CAZ86" s="104"/>
      <c r="CBA86" s="104"/>
      <c r="CBB86" s="104"/>
      <c r="CBC86" s="104"/>
      <c r="CBD86" s="104"/>
      <c r="CBE86" s="104"/>
      <c r="CBF86" s="104"/>
      <c r="CBG86" s="104"/>
      <c r="CBH86" s="104"/>
      <c r="CBI86" s="104"/>
      <c r="CBJ86" s="104"/>
      <c r="CBK86" s="104"/>
      <c r="CBL86" s="104"/>
      <c r="CBM86" s="104"/>
      <c r="CBN86" s="104"/>
      <c r="CBO86" s="104"/>
      <c r="CBP86" s="104"/>
      <c r="CBQ86" s="104"/>
      <c r="CBR86" s="104"/>
      <c r="CBS86" s="104"/>
      <c r="CBT86" s="104"/>
      <c r="CBU86" s="104"/>
      <c r="CBV86" s="104"/>
      <c r="CBW86" s="104"/>
      <c r="CBX86" s="104"/>
      <c r="CBY86" s="104"/>
      <c r="CBZ86" s="104"/>
      <c r="CCA86" s="104"/>
      <c r="CCB86" s="104"/>
      <c r="CCC86" s="104"/>
      <c r="CCD86" s="104"/>
      <c r="CCE86" s="104"/>
      <c r="CCF86" s="104"/>
      <c r="CCG86" s="104"/>
      <c r="CCH86" s="104"/>
      <c r="CCI86" s="104"/>
      <c r="CCJ86" s="104"/>
      <c r="CCK86" s="104"/>
      <c r="CCL86" s="104"/>
      <c r="CCM86" s="104"/>
      <c r="CCN86" s="104"/>
      <c r="CCO86" s="104"/>
      <c r="CCP86" s="104"/>
      <c r="CCQ86" s="104"/>
      <c r="CCR86" s="104"/>
      <c r="CCS86" s="104"/>
      <c r="CCT86" s="104"/>
      <c r="CCU86" s="104"/>
      <c r="CCV86" s="104"/>
      <c r="CCW86" s="104"/>
      <c r="CCX86" s="104"/>
      <c r="CCY86" s="104"/>
      <c r="CCZ86" s="104"/>
      <c r="CDA86" s="104"/>
      <c r="CDB86" s="104"/>
      <c r="CDC86" s="104"/>
      <c r="CDD86" s="104"/>
      <c r="CDE86" s="104"/>
      <c r="CDF86" s="104"/>
      <c r="CDG86" s="104"/>
      <c r="CDH86" s="104"/>
      <c r="CDI86" s="104"/>
      <c r="CDJ86" s="104"/>
      <c r="CDK86" s="104"/>
      <c r="CDL86" s="104"/>
      <c r="CDM86" s="104"/>
      <c r="CDN86" s="104"/>
      <c r="CDO86" s="104"/>
      <c r="CDP86" s="104"/>
      <c r="CDQ86" s="104"/>
      <c r="CDR86" s="104"/>
      <c r="CDS86" s="104"/>
      <c r="CDT86" s="104"/>
      <c r="CDU86" s="104"/>
      <c r="CDV86" s="104"/>
      <c r="CDW86" s="104"/>
      <c r="CDX86" s="104"/>
      <c r="CDY86" s="104"/>
      <c r="CDZ86" s="104"/>
      <c r="CEA86" s="104"/>
      <c r="CEB86" s="104"/>
      <c r="CEC86" s="104"/>
      <c r="CED86" s="104"/>
      <c r="CEE86" s="104"/>
      <c r="CEF86" s="104"/>
      <c r="CEG86" s="104"/>
      <c r="CEH86" s="104"/>
      <c r="CEI86" s="104"/>
      <c r="CEJ86" s="104"/>
      <c r="CEK86" s="104"/>
      <c r="CEL86" s="104"/>
      <c r="CEM86" s="104"/>
      <c r="CEN86" s="104"/>
      <c r="CEO86" s="104"/>
      <c r="CEP86" s="104"/>
      <c r="CEQ86" s="104"/>
      <c r="CER86" s="104"/>
      <c r="CES86" s="104"/>
      <c r="CET86" s="104"/>
      <c r="CEU86" s="104"/>
      <c r="CEV86" s="104"/>
      <c r="CEW86" s="104"/>
      <c r="CEX86" s="104"/>
      <c r="CEY86" s="104"/>
      <c r="CEZ86" s="104"/>
      <c r="CFA86" s="104"/>
      <c r="CFB86" s="104"/>
      <c r="CFC86" s="104"/>
      <c r="CFD86" s="104"/>
      <c r="CFE86" s="104"/>
      <c r="CFF86" s="104"/>
      <c r="CFG86" s="104"/>
      <c r="CFH86" s="104"/>
      <c r="CFI86" s="104"/>
      <c r="CFJ86" s="104"/>
      <c r="CFK86" s="104"/>
      <c r="CFL86" s="104"/>
      <c r="CFM86" s="104"/>
      <c r="CFN86" s="104"/>
      <c r="CFO86" s="104"/>
      <c r="CFP86" s="104"/>
      <c r="CFQ86" s="104"/>
      <c r="CFR86" s="104"/>
      <c r="CFS86" s="104"/>
      <c r="CFT86" s="104"/>
      <c r="CFU86" s="104"/>
      <c r="CFV86" s="104"/>
      <c r="CFW86" s="104"/>
      <c r="CFX86" s="104"/>
      <c r="CFY86" s="104"/>
      <c r="CFZ86" s="104"/>
      <c r="CGA86" s="104"/>
      <c r="CGB86" s="104"/>
      <c r="CGC86" s="104"/>
      <c r="CGD86" s="104"/>
      <c r="CGE86" s="104"/>
      <c r="CGF86" s="104"/>
      <c r="CGG86" s="104"/>
      <c r="CGH86" s="104"/>
      <c r="CGI86" s="104"/>
      <c r="CGJ86" s="104"/>
      <c r="CGK86" s="104"/>
      <c r="CGL86" s="104"/>
      <c r="CGM86" s="104"/>
      <c r="CGN86" s="104"/>
      <c r="CGO86" s="104"/>
      <c r="CGP86" s="104"/>
      <c r="CGQ86" s="104"/>
      <c r="CGR86" s="104"/>
      <c r="CGS86" s="104"/>
      <c r="CGT86" s="104"/>
      <c r="CGU86" s="104"/>
      <c r="CGV86" s="104"/>
      <c r="CGW86" s="104"/>
      <c r="CGX86" s="104"/>
      <c r="CGY86" s="104"/>
      <c r="CGZ86" s="104"/>
      <c r="CHA86" s="104"/>
      <c r="CHB86" s="104"/>
      <c r="CHC86" s="104"/>
      <c r="CHD86" s="104"/>
      <c r="CHE86" s="104"/>
      <c r="CHF86" s="104"/>
      <c r="CHG86" s="104"/>
      <c r="CHH86" s="104"/>
      <c r="CHI86" s="104"/>
      <c r="CHJ86" s="104"/>
      <c r="CHK86" s="104"/>
      <c r="CHL86" s="104"/>
      <c r="CHM86" s="104"/>
      <c r="CHN86" s="104"/>
      <c r="CHO86" s="104"/>
      <c r="CHP86" s="104"/>
      <c r="CHQ86" s="104"/>
      <c r="CHR86" s="104"/>
      <c r="CHS86" s="104"/>
      <c r="CHT86" s="104"/>
      <c r="CHU86" s="104"/>
      <c r="CHV86" s="104"/>
      <c r="CHW86" s="104"/>
      <c r="CHX86" s="104"/>
      <c r="CHY86" s="104"/>
      <c r="CHZ86" s="104"/>
      <c r="CIA86" s="104"/>
      <c r="CIB86" s="104"/>
      <c r="CIC86" s="104"/>
      <c r="CID86" s="104"/>
      <c r="CIE86" s="104"/>
      <c r="CIF86" s="104"/>
      <c r="CIG86" s="104"/>
      <c r="CIH86" s="104"/>
      <c r="CII86" s="104"/>
      <c r="CIJ86" s="104"/>
      <c r="CIK86" s="104"/>
      <c r="CIL86" s="104"/>
      <c r="CIM86" s="104"/>
      <c r="CIN86" s="104"/>
      <c r="CIO86" s="104"/>
      <c r="CIP86" s="104"/>
      <c r="CIQ86" s="104"/>
      <c r="CIR86" s="104"/>
      <c r="CIS86" s="104"/>
      <c r="CIT86" s="104"/>
      <c r="CIU86" s="104"/>
      <c r="CIV86" s="104"/>
      <c r="CIW86" s="104"/>
      <c r="CIX86" s="104"/>
      <c r="CIY86" s="104"/>
      <c r="CIZ86" s="104"/>
      <c r="CJA86" s="104"/>
      <c r="CJB86" s="104"/>
      <c r="CJC86" s="104"/>
      <c r="CJD86" s="104"/>
      <c r="CJE86" s="104"/>
      <c r="CJF86" s="104"/>
      <c r="CJG86" s="104"/>
      <c r="CJH86" s="104"/>
      <c r="CJI86" s="104"/>
      <c r="CJJ86" s="104"/>
      <c r="CJK86" s="104"/>
      <c r="CJL86" s="104"/>
      <c r="CJM86" s="104"/>
      <c r="CJN86" s="104"/>
      <c r="CJO86" s="104"/>
      <c r="CJP86" s="104"/>
      <c r="CJQ86" s="104"/>
      <c r="CJR86" s="104"/>
      <c r="CJS86" s="104"/>
      <c r="CJT86" s="104"/>
      <c r="CJU86" s="104"/>
      <c r="CJV86" s="104"/>
      <c r="CJW86" s="104"/>
      <c r="CJX86" s="104"/>
      <c r="CJY86" s="104"/>
      <c r="CJZ86" s="104"/>
      <c r="CKA86" s="104"/>
      <c r="CKB86" s="104"/>
      <c r="CKC86" s="104"/>
      <c r="CKD86" s="104"/>
      <c r="CKE86" s="104"/>
      <c r="CKF86" s="104"/>
      <c r="CKG86" s="104"/>
      <c r="CKH86" s="104"/>
      <c r="CKI86" s="104"/>
      <c r="CKJ86" s="104"/>
      <c r="CKK86" s="104"/>
      <c r="CKL86" s="104"/>
      <c r="CKM86" s="104"/>
      <c r="CKN86" s="104"/>
      <c r="CKO86" s="104"/>
      <c r="CKP86" s="104"/>
      <c r="CKQ86" s="104"/>
      <c r="CKR86" s="104"/>
      <c r="CKS86" s="104"/>
      <c r="CKT86" s="104"/>
      <c r="CKU86" s="104"/>
      <c r="CKV86" s="104"/>
      <c r="CKW86" s="104"/>
      <c r="CKX86" s="104"/>
      <c r="CKY86" s="104"/>
      <c r="CKZ86" s="104"/>
      <c r="CLA86" s="104"/>
      <c r="CLB86" s="104"/>
      <c r="CLC86" s="104"/>
      <c r="CLD86" s="104"/>
      <c r="CLE86" s="104"/>
      <c r="CLF86" s="104"/>
      <c r="CLG86" s="104"/>
      <c r="CLH86" s="104"/>
      <c r="CLI86" s="104"/>
      <c r="CLJ86" s="104"/>
      <c r="CLK86" s="104"/>
      <c r="CLL86" s="104"/>
      <c r="CLM86" s="104"/>
      <c r="CLN86" s="104"/>
      <c r="CLO86" s="104"/>
      <c r="CLP86" s="104"/>
      <c r="CLQ86" s="104"/>
      <c r="CLR86" s="104"/>
      <c r="CLS86" s="104"/>
      <c r="CLT86" s="104"/>
      <c r="CLU86" s="104"/>
      <c r="CLV86" s="104"/>
      <c r="CLW86" s="104"/>
      <c r="CLX86" s="104"/>
      <c r="CLY86" s="104"/>
      <c r="CLZ86" s="104"/>
      <c r="CMA86" s="104"/>
      <c r="CMB86" s="104"/>
      <c r="CMC86" s="104"/>
      <c r="CMD86" s="104"/>
      <c r="CME86" s="104"/>
      <c r="CMF86" s="104"/>
      <c r="CMG86" s="104"/>
      <c r="CMH86" s="104"/>
      <c r="CMI86" s="104"/>
      <c r="CMJ86" s="104"/>
      <c r="CMK86" s="104"/>
      <c r="CML86" s="104"/>
      <c r="CMM86" s="104"/>
      <c r="CMN86" s="104"/>
      <c r="CMO86" s="104"/>
      <c r="CMP86" s="104"/>
      <c r="CMQ86" s="104"/>
      <c r="CMR86" s="104"/>
      <c r="CMS86" s="104"/>
      <c r="CMT86" s="104"/>
      <c r="CMU86" s="104"/>
      <c r="CMV86" s="104"/>
      <c r="CMW86" s="104"/>
      <c r="CMX86" s="104"/>
      <c r="CMY86" s="104"/>
      <c r="CMZ86" s="104"/>
      <c r="CNA86" s="104"/>
      <c r="CNB86" s="104"/>
      <c r="CNC86" s="104"/>
      <c r="CND86" s="104"/>
      <c r="CNE86" s="104"/>
      <c r="CNF86" s="104"/>
      <c r="CNG86" s="104"/>
      <c r="CNH86" s="104"/>
      <c r="CNI86" s="104"/>
      <c r="CNJ86" s="104"/>
      <c r="CNK86" s="104"/>
      <c r="CNL86" s="104"/>
      <c r="CNM86" s="104"/>
      <c r="CNN86" s="104"/>
      <c r="CNO86" s="104"/>
      <c r="CNP86" s="104"/>
      <c r="CNQ86" s="104"/>
      <c r="CNR86" s="104"/>
      <c r="CNS86" s="104"/>
      <c r="CNT86" s="104"/>
      <c r="CNU86" s="104"/>
      <c r="CNV86" s="104"/>
      <c r="CNW86" s="104"/>
      <c r="CNX86" s="104"/>
      <c r="CNY86" s="104"/>
      <c r="CNZ86" s="104"/>
      <c r="COA86" s="104"/>
      <c r="COB86" s="104"/>
      <c r="COC86" s="104"/>
      <c r="COD86" s="104"/>
      <c r="COE86" s="104"/>
      <c r="COF86" s="104"/>
      <c r="COG86" s="104"/>
      <c r="COH86" s="104"/>
      <c r="COI86" s="104"/>
      <c r="COJ86" s="104"/>
      <c r="COK86" s="104"/>
      <c r="COL86" s="104"/>
      <c r="COM86" s="104"/>
      <c r="CON86" s="104"/>
      <c r="COO86" s="104"/>
      <c r="COP86" s="104"/>
      <c r="COQ86" s="104"/>
      <c r="COR86" s="104"/>
      <c r="COS86" s="104"/>
      <c r="COT86" s="104"/>
      <c r="COU86" s="104"/>
      <c r="COV86" s="104"/>
      <c r="COW86" s="104"/>
      <c r="COX86" s="104"/>
      <c r="COY86" s="104"/>
      <c r="COZ86" s="104"/>
      <c r="CPA86" s="104"/>
      <c r="CPB86" s="104"/>
      <c r="CPC86" s="104"/>
      <c r="CPD86" s="104"/>
      <c r="CPE86" s="104"/>
      <c r="CPF86" s="104"/>
      <c r="CPG86" s="104"/>
      <c r="CPH86" s="104"/>
      <c r="CPI86" s="104"/>
      <c r="CPJ86" s="104"/>
      <c r="CPK86" s="104"/>
      <c r="CPL86" s="104"/>
      <c r="CPM86" s="104"/>
      <c r="CPN86" s="104"/>
      <c r="CPO86" s="104"/>
      <c r="CPP86" s="104"/>
      <c r="CPQ86" s="104"/>
      <c r="CPR86" s="104"/>
      <c r="CPS86" s="104"/>
      <c r="CPT86" s="104"/>
      <c r="CPU86" s="104"/>
      <c r="CPV86" s="104"/>
      <c r="CPW86" s="104"/>
      <c r="CPX86" s="104"/>
      <c r="CPY86" s="104"/>
      <c r="CPZ86" s="104"/>
      <c r="CQA86" s="104"/>
      <c r="CQB86" s="104"/>
      <c r="CQC86" s="104"/>
      <c r="CQD86" s="104"/>
      <c r="CQE86" s="104"/>
      <c r="CQF86" s="104"/>
      <c r="CQG86" s="104"/>
      <c r="CQH86" s="104"/>
      <c r="CQI86" s="104"/>
      <c r="CQJ86" s="104"/>
      <c r="CQK86" s="104"/>
      <c r="CQL86" s="104"/>
      <c r="CQM86" s="104"/>
      <c r="CQN86" s="104"/>
      <c r="CQO86" s="104"/>
      <c r="CQP86" s="104"/>
      <c r="CQQ86" s="104"/>
      <c r="CQR86" s="104"/>
      <c r="CQS86" s="104"/>
      <c r="CQT86" s="104"/>
      <c r="CQU86" s="104"/>
      <c r="CQV86" s="104"/>
      <c r="CQW86" s="104"/>
      <c r="CQX86" s="104"/>
      <c r="CQY86" s="104"/>
      <c r="CQZ86" s="104"/>
      <c r="CRA86" s="104"/>
      <c r="CRB86" s="104"/>
      <c r="CRC86" s="104"/>
      <c r="CRD86" s="104"/>
      <c r="CRE86" s="104"/>
      <c r="CRF86" s="104"/>
      <c r="CRG86" s="104"/>
      <c r="CRH86" s="104"/>
      <c r="CRI86" s="104"/>
      <c r="CRJ86" s="104"/>
      <c r="CRK86" s="104"/>
      <c r="CRL86" s="104"/>
      <c r="CRM86" s="104"/>
      <c r="CRN86" s="104"/>
      <c r="CRO86" s="104"/>
      <c r="CRP86" s="104"/>
      <c r="CRQ86" s="104"/>
      <c r="CRR86" s="104"/>
      <c r="CRS86" s="104"/>
      <c r="CRT86" s="104"/>
      <c r="CRU86" s="104"/>
      <c r="CRV86" s="104"/>
      <c r="CRW86" s="104"/>
      <c r="CRX86" s="104"/>
      <c r="CRY86" s="104"/>
      <c r="CRZ86" s="104"/>
      <c r="CSA86" s="104"/>
      <c r="CSB86" s="104"/>
      <c r="CSC86" s="104"/>
      <c r="CSD86" s="104"/>
      <c r="CSE86" s="104"/>
      <c r="CSF86" s="104"/>
      <c r="CSG86" s="104"/>
      <c r="CSH86" s="104"/>
      <c r="CSI86" s="104"/>
      <c r="CSJ86" s="104"/>
      <c r="CSK86" s="104"/>
      <c r="CSL86" s="104"/>
      <c r="CSM86" s="104"/>
      <c r="CSN86" s="104"/>
      <c r="CSO86" s="104"/>
      <c r="CSP86" s="104"/>
      <c r="CSQ86" s="104"/>
      <c r="CSR86" s="104"/>
      <c r="CSS86" s="104"/>
      <c r="CST86" s="104"/>
      <c r="CSU86" s="104"/>
      <c r="CSV86" s="104"/>
      <c r="CSW86" s="104"/>
      <c r="CSX86" s="104"/>
      <c r="CSY86" s="104"/>
      <c r="CSZ86" s="104"/>
      <c r="CTA86" s="104"/>
      <c r="CTB86" s="104"/>
      <c r="CTC86" s="104"/>
      <c r="CTD86" s="104"/>
      <c r="CTE86" s="104"/>
      <c r="CTF86" s="104"/>
      <c r="CTG86" s="104"/>
      <c r="CTH86" s="104"/>
      <c r="CTI86" s="104"/>
      <c r="CTJ86" s="104"/>
      <c r="CTK86" s="104"/>
      <c r="CTL86" s="104"/>
      <c r="CTM86" s="104"/>
      <c r="CTN86" s="104"/>
      <c r="CTO86" s="104"/>
      <c r="CTP86" s="104"/>
      <c r="CTQ86" s="104"/>
      <c r="CTR86" s="104"/>
      <c r="CTS86" s="104"/>
      <c r="CTT86" s="104"/>
      <c r="CTU86" s="104"/>
      <c r="CTV86" s="104"/>
      <c r="CTW86" s="104"/>
      <c r="CTX86" s="104"/>
      <c r="CTY86" s="104"/>
      <c r="CTZ86" s="104"/>
      <c r="CUA86" s="104"/>
      <c r="CUB86" s="104"/>
      <c r="CUC86" s="104"/>
      <c r="CUD86" s="104"/>
      <c r="CUE86" s="104"/>
      <c r="CUF86" s="104"/>
      <c r="CUG86" s="104"/>
      <c r="CUH86" s="104"/>
      <c r="CUI86" s="104"/>
      <c r="CUJ86" s="104"/>
      <c r="CUK86" s="104"/>
      <c r="CUL86" s="104"/>
      <c r="CUM86" s="104"/>
      <c r="CUN86" s="104"/>
      <c r="CUO86" s="104"/>
      <c r="CUP86" s="104"/>
      <c r="CUQ86" s="104"/>
      <c r="CUR86" s="104"/>
      <c r="CUS86" s="104"/>
      <c r="CUT86" s="104"/>
      <c r="CUU86" s="104"/>
      <c r="CUV86" s="104"/>
      <c r="CUW86" s="104"/>
      <c r="CUX86" s="104"/>
      <c r="CUY86" s="104"/>
      <c r="CUZ86" s="104"/>
      <c r="CVA86" s="104"/>
      <c r="CVB86" s="104"/>
      <c r="CVC86" s="104"/>
      <c r="CVD86" s="104"/>
      <c r="CVE86" s="104"/>
      <c r="CVF86" s="104"/>
      <c r="CVG86" s="104"/>
      <c r="CVH86" s="104"/>
      <c r="CVI86" s="104"/>
      <c r="CVJ86" s="104"/>
      <c r="CVK86" s="104"/>
      <c r="CVL86" s="104"/>
      <c r="CVM86" s="104"/>
      <c r="CVN86" s="104"/>
      <c r="CVO86" s="104"/>
      <c r="CVP86" s="104"/>
      <c r="CVQ86" s="104"/>
      <c r="CVR86" s="104"/>
      <c r="CVS86" s="104"/>
      <c r="CVT86" s="104"/>
      <c r="CVU86" s="104"/>
      <c r="CVV86" s="104"/>
      <c r="CVW86" s="104"/>
      <c r="CVX86" s="104"/>
      <c r="CVY86" s="104"/>
      <c r="CVZ86" s="104"/>
      <c r="CWA86" s="104"/>
      <c r="CWB86" s="104"/>
      <c r="CWC86" s="104"/>
      <c r="CWD86" s="104"/>
      <c r="CWE86" s="104"/>
      <c r="CWF86" s="104"/>
      <c r="CWG86" s="104"/>
      <c r="CWH86" s="104"/>
      <c r="CWI86" s="104"/>
      <c r="CWJ86" s="104"/>
      <c r="CWK86" s="104"/>
      <c r="CWL86" s="104"/>
      <c r="CWM86" s="104"/>
      <c r="CWN86" s="104"/>
      <c r="CWO86" s="104"/>
      <c r="CWP86" s="104"/>
      <c r="CWQ86" s="104"/>
      <c r="CWR86" s="104"/>
      <c r="CWS86" s="104"/>
      <c r="CWT86" s="104"/>
      <c r="CWU86" s="104"/>
      <c r="CWV86" s="104"/>
      <c r="CWW86" s="104"/>
      <c r="CWX86" s="104"/>
      <c r="CWY86" s="104"/>
      <c r="CWZ86" s="104"/>
      <c r="CXA86" s="104"/>
      <c r="CXB86" s="104"/>
      <c r="CXC86" s="104"/>
      <c r="CXD86" s="104"/>
      <c r="CXE86" s="104"/>
      <c r="CXF86" s="104"/>
      <c r="CXG86" s="104"/>
      <c r="CXH86" s="104"/>
      <c r="CXI86" s="104"/>
      <c r="CXJ86" s="104"/>
      <c r="CXK86" s="104"/>
      <c r="CXL86" s="104"/>
      <c r="CXM86" s="104"/>
      <c r="CXN86" s="104"/>
      <c r="CXO86" s="104"/>
      <c r="CXP86" s="104"/>
      <c r="CXQ86" s="104"/>
      <c r="CXR86" s="104"/>
      <c r="CXS86" s="104"/>
      <c r="CXT86" s="104"/>
      <c r="CXU86" s="104"/>
      <c r="CXV86" s="104"/>
      <c r="CXW86" s="104"/>
      <c r="CXX86" s="104"/>
      <c r="CXY86" s="104"/>
      <c r="CXZ86" s="104"/>
      <c r="CYA86" s="104"/>
      <c r="CYB86" s="104"/>
      <c r="CYC86" s="104"/>
      <c r="CYD86" s="104"/>
      <c r="CYE86" s="104"/>
      <c r="CYF86" s="104"/>
      <c r="CYG86" s="104"/>
      <c r="CYH86" s="104"/>
      <c r="CYI86" s="104"/>
      <c r="CYJ86" s="104"/>
      <c r="CYK86" s="104"/>
      <c r="CYL86" s="104"/>
      <c r="CYM86" s="104"/>
      <c r="CYN86" s="104"/>
      <c r="CYO86" s="104"/>
      <c r="CYP86" s="104"/>
      <c r="CYQ86" s="104"/>
      <c r="CYR86" s="104"/>
      <c r="CYS86" s="104"/>
      <c r="CYT86" s="104"/>
      <c r="CYU86" s="104"/>
      <c r="CYV86" s="104"/>
      <c r="CYW86" s="104"/>
      <c r="CYX86" s="104"/>
      <c r="CYY86" s="104"/>
      <c r="CYZ86" s="104"/>
      <c r="CZA86" s="104"/>
      <c r="CZB86" s="104"/>
      <c r="CZC86" s="104"/>
      <c r="CZD86" s="104"/>
      <c r="CZE86" s="104"/>
      <c r="CZF86" s="104"/>
      <c r="CZG86" s="104"/>
      <c r="CZH86" s="104"/>
      <c r="CZI86" s="104"/>
      <c r="CZJ86" s="104"/>
      <c r="CZK86" s="104"/>
      <c r="CZL86" s="104"/>
      <c r="CZM86" s="104"/>
      <c r="CZN86" s="104"/>
      <c r="CZO86" s="104"/>
      <c r="CZP86" s="104"/>
      <c r="CZQ86" s="104"/>
      <c r="CZR86" s="104"/>
      <c r="CZS86" s="104"/>
      <c r="CZT86" s="104"/>
      <c r="CZU86" s="104"/>
      <c r="CZV86" s="104"/>
      <c r="CZW86" s="104"/>
      <c r="CZX86" s="104"/>
      <c r="CZY86" s="104"/>
      <c r="CZZ86" s="104"/>
      <c r="DAA86" s="104"/>
      <c r="DAB86" s="104"/>
      <c r="DAC86" s="104"/>
      <c r="DAD86" s="104"/>
      <c r="DAE86" s="104"/>
      <c r="DAF86" s="104"/>
      <c r="DAG86" s="104"/>
      <c r="DAH86" s="104"/>
      <c r="DAI86" s="104"/>
      <c r="DAJ86" s="104"/>
      <c r="DAK86" s="104"/>
      <c r="DAL86" s="104"/>
      <c r="DAM86" s="104"/>
      <c r="DAN86" s="104"/>
      <c r="DAO86" s="104"/>
      <c r="DAP86" s="104"/>
      <c r="DAQ86" s="104"/>
      <c r="DAR86" s="104"/>
      <c r="DAS86" s="104"/>
      <c r="DAT86" s="104"/>
      <c r="DAU86" s="104"/>
      <c r="DAV86" s="104"/>
      <c r="DAW86" s="104"/>
      <c r="DAX86" s="104"/>
      <c r="DAY86" s="104"/>
      <c r="DAZ86" s="104"/>
      <c r="DBA86" s="104"/>
      <c r="DBB86" s="104"/>
      <c r="DBC86" s="104"/>
      <c r="DBD86" s="104"/>
      <c r="DBE86" s="104"/>
      <c r="DBF86" s="104"/>
      <c r="DBG86" s="104"/>
      <c r="DBH86" s="104"/>
      <c r="DBI86" s="104"/>
      <c r="DBJ86" s="104"/>
      <c r="DBK86" s="104"/>
      <c r="DBL86" s="104"/>
      <c r="DBM86" s="104"/>
      <c r="DBN86" s="104"/>
      <c r="DBO86" s="104"/>
      <c r="DBP86" s="104"/>
      <c r="DBQ86" s="104"/>
      <c r="DBR86" s="104"/>
      <c r="DBS86" s="104"/>
      <c r="DBT86" s="104"/>
      <c r="DBU86" s="104"/>
      <c r="DBV86" s="104"/>
      <c r="DBW86" s="104"/>
      <c r="DBX86" s="104"/>
      <c r="DBY86" s="104"/>
      <c r="DBZ86" s="104"/>
      <c r="DCA86" s="104"/>
      <c r="DCB86" s="104"/>
      <c r="DCC86" s="104"/>
      <c r="DCD86" s="104"/>
      <c r="DCE86" s="104"/>
      <c r="DCF86" s="104"/>
      <c r="DCG86" s="104"/>
      <c r="DCH86" s="104"/>
      <c r="DCI86" s="104"/>
      <c r="DCJ86" s="104"/>
      <c r="DCK86" s="104"/>
      <c r="DCL86" s="104"/>
      <c r="DCM86" s="104"/>
      <c r="DCN86" s="104"/>
      <c r="DCO86" s="104"/>
      <c r="DCP86" s="104"/>
      <c r="DCQ86" s="104"/>
      <c r="DCR86" s="104"/>
      <c r="DCS86" s="104"/>
      <c r="DCT86" s="104"/>
      <c r="DCU86" s="104"/>
      <c r="DCV86" s="104"/>
      <c r="DCW86" s="104"/>
      <c r="DCX86" s="104"/>
      <c r="DCY86" s="104"/>
      <c r="DCZ86" s="104"/>
      <c r="DDA86" s="104"/>
      <c r="DDB86" s="104"/>
      <c r="DDC86" s="104"/>
      <c r="DDD86" s="104"/>
      <c r="DDE86" s="104"/>
      <c r="DDF86" s="104"/>
      <c r="DDG86" s="104"/>
      <c r="DDH86" s="104"/>
      <c r="DDI86" s="104"/>
      <c r="DDJ86" s="104"/>
      <c r="DDK86" s="104"/>
      <c r="DDL86" s="104"/>
      <c r="DDM86" s="104"/>
      <c r="DDN86" s="104"/>
      <c r="DDO86" s="104"/>
      <c r="DDP86" s="104"/>
      <c r="DDQ86" s="104"/>
      <c r="DDR86" s="104"/>
      <c r="DDS86" s="104"/>
      <c r="DDT86" s="104"/>
      <c r="DDU86" s="104"/>
      <c r="DDV86" s="104"/>
      <c r="DDW86" s="104"/>
      <c r="DDX86" s="104"/>
      <c r="DDY86" s="104"/>
      <c r="DDZ86" s="104"/>
      <c r="DEA86" s="104"/>
      <c r="DEB86" s="104"/>
      <c r="DEC86" s="104"/>
      <c r="DED86" s="104"/>
      <c r="DEE86" s="104"/>
      <c r="DEF86" s="104"/>
      <c r="DEG86" s="104"/>
      <c r="DEH86" s="104"/>
      <c r="DEI86" s="104"/>
      <c r="DEJ86" s="104"/>
      <c r="DEK86" s="104"/>
      <c r="DEL86" s="104"/>
      <c r="DEM86" s="104"/>
      <c r="DEN86" s="104"/>
      <c r="DEO86" s="104"/>
      <c r="DEP86" s="104"/>
      <c r="DEQ86" s="104"/>
      <c r="DER86" s="104"/>
      <c r="DES86" s="104"/>
      <c r="DET86" s="104"/>
      <c r="DEU86" s="104"/>
      <c r="DEV86" s="104"/>
      <c r="DEW86" s="104"/>
      <c r="DEX86" s="104"/>
      <c r="DEY86" s="104"/>
      <c r="DEZ86" s="104"/>
      <c r="DFA86" s="104"/>
      <c r="DFB86" s="104"/>
      <c r="DFC86" s="104"/>
      <c r="DFD86" s="104"/>
      <c r="DFE86" s="104"/>
      <c r="DFF86" s="104"/>
      <c r="DFG86" s="104"/>
      <c r="DFH86" s="104"/>
      <c r="DFI86" s="104"/>
      <c r="DFJ86" s="104"/>
      <c r="DFK86" s="104"/>
      <c r="DFL86" s="104"/>
      <c r="DFM86" s="104"/>
      <c r="DFN86" s="104"/>
      <c r="DFO86" s="104"/>
      <c r="DFP86" s="104"/>
      <c r="DFQ86" s="104"/>
      <c r="DFR86" s="104"/>
      <c r="DFS86" s="104"/>
      <c r="DFT86" s="104"/>
      <c r="DFU86" s="104"/>
      <c r="DFV86" s="104"/>
      <c r="DFW86" s="104"/>
      <c r="DFX86" s="104"/>
      <c r="DFY86" s="104"/>
      <c r="DFZ86" s="104"/>
      <c r="DGA86" s="104"/>
      <c r="DGB86" s="104"/>
      <c r="DGC86" s="104"/>
      <c r="DGD86" s="104"/>
      <c r="DGE86" s="104"/>
      <c r="DGF86" s="104"/>
      <c r="DGG86" s="104"/>
      <c r="DGH86" s="104"/>
      <c r="DGI86" s="104"/>
      <c r="DGJ86" s="104"/>
      <c r="DGK86" s="104"/>
      <c r="DGL86" s="104"/>
      <c r="DGM86" s="104"/>
      <c r="DGN86" s="104"/>
      <c r="DGO86" s="104"/>
      <c r="DGP86" s="104"/>
      <c r="DGQ86" s="104"/>
      <c r="DGR86" s="104"/>
      <c r="DGS86" s="104"/>
      <c r="DGT86" s="104"/>
      <c r="DGU86" s="104"/>
      <c r="DGV86" s="104"/>
      <c r="DGW86" s="104"/>
      <c r="DGX86" s="104"/>
      <c r="DGY86" s="104"/>
      <c r="DGZ86" s="104"/>
      <c r="DHA86" s="104"/>
      <c r="DHB86" s="104"/>
      <c r="DHC86" s="104"/>
      <c r="DHD86" s="104"/>
      <c r="DHE86" s="104"/>
      <c r="DHF86" s="104"/>
      <c r="DHG86" s="104"/>
      <c r="DHH86" s="104"/>
      <c r="DHI86" s="104"/>
      <c r="DHJ86" s="104"/>
      <c r="DHK86" s="104"/>
      <c r="DHL86" s="104"/>
      <c r="DHM86" s="104"/>
      <c r="DHN86" s="104"/>
      <c r="DHO86" s="104"/>
      <c r="DHP86" s="104"/>
      <c r="DHQ86" s="104"/>
      <c r="DHR86" s="104"/>
      <c r="DHS86" s="104"/>
      <c r="DHT86" s="104"/>
      <c r="DHU86" s="104"/>
      <c r="DHV86" s="104"/>
      <c r="DHW86" s="104"/>
      <c r="DHX86" s="104"/>
      <c r="DHY86" s="104"/>
      <c r="DHZ86" s="104"/>
      <c r="DIA86" s="104"/>
      <c r="DIB86" s="104"/>
      <c r="DIC86" s="104"/>
      <c r="DID86" s="104"/>
      <c r="DIE86" s="104"/>
      <c r="DIF86" s="104"/>
      <c r="DIG86" s="104"/>
      <c r="DIH86" s="104"/>
      <c r="DII86" s="104"/>
      <c r="DIJ86" s="104"/>
      <c r="DIK86" s="104"/>
      <c r="DIL86" s="104"/>
      <c r="DIM86" s="104"/>
      <c r="DIN86" s="104"/>
      <c r="DIO86" s="104"/>
      <c r="DIP86" s="104"/>
      <c r="DIQ86" s="104"/>
      <c r="DIR86" s="104"/>
      <c r="DIS86" s="104"/>
      <c r="DIT86" s="104"/>
      <c r="DIU86" s="104"/>
      <c r="DIV86" s="104"/>
      <c r="DIW86" s="104"/>
      <c r="DIX86" s="104"/>
      <c r="DIY86" s="104"/>
      <c r="DIZ86" s="104"/>
      <c r="DJA86" s="104"/>
      <c r="DJB86" s="104"/>
      <c r="DJC86" s="104"/>
      <c r="DJD86" s="104"/>
      <c r="DJE86" s="104"/>
      <c r="DJF86" s="104"/>
      <c r="DJG86" s="104"/>
      <c r="DJH86" s="104"/>
      <c r="DJI86" s="104"/>
      <c r="DJJ86" s="104"/>
      <c r="DJK86" s="104"/>
      <c r="DJL86" s="104"/>
      <c r="DJM86" s="104"/>
      <c r="DJN86" s="104"/>
      <c r="DJO86" s="104"/>
      <c r="DJP86" s="104"/>
      <c r="DJQ86" s="104"/>
      <c r="DJR86" s="104"/>
      <c r="DJS86" s="104"/>
      <c r="DJT86" s="104"/>
      <c r="DJU86" s="104"/>
      <c r="DJV86" s="104"/>
      <c r="DJW86" s="104"/>
      <c r="DJX86" s="104"/>
      <c r="DJY86" s="104"/>
      <c r="DJZ86" s="104"/>
      <c r="DKA86" s="104"/>
      <c r="DKB86" s="104"/>
      <c r="DKC86" s="104"/>
      <c r="DKD86" s="104"/>
      <c r="DKE86" s="104"/>
      <c r="DKF86" s="104"/>
      <c r="DKG86" s="104"/>
      <c r="DKH86" s="104"/>
      <c r="DKI86" s="104"/>
      <c r="DKJ86" s="104"/>
      <c r="DKK86" s="104"/>
      <c r="DKL86" s="104"/>
      <c r="DKM86" s="104"/>
      <c r="DKN86" s="104"/>
      <c r="DKO86" s="104"/>
      <c r="DKP86" s="104"/>
      <c r="DKQ86" s="104"/>
      <c r="DKR86" s="104"/>
      <c r="DKS86" s="104"/>
      <c r="DKT86" s="104"/>
      <c r="DKU86" s="104"/>
      <c r="DKV86" s="104"/>
      <c r="DKW86" s="104"/>
      <c r="DKX86" s="104"/>
      <c r="DKY86" s="104"/>
      <c r="DKZ86" s="104"/>
      <c r="DLA86" s="104"/>
      <c r="DLB86" s="104"/>
      <c r="DLC86" s="104"/>
      <c r="DLD86" s="104"/>
      <c r="DLE86" s="104"/>
      <c r="DLF86" s="104"/>
      <c r="DLG86" s="104"/>
      <c r="DLH86" s="104"/>
      <c r="DLI86" s="104"/>
      <c r="DLJ86" s="104"/>
      <c r="DLK86" s="104"/>
      <c r="DLL86" s="104"/>
      <c r="DLM86" s="104"/>
      <c r="DLN86" s="104"/>
      <c r="DLO86" s="104"/>
      <c r="DLP86" s="104"/>
      <c r="DLQ86" s="104"/>
      <c r="DLR86" s="104"/>
      <c r="DLS86" s="104"/>
      <c r="DLT86" s="104"/>
      <c r="DLU86" s="104"/>
      <c r="DLV86" s="104"/>
      <c r="DLW86" s="104"/>
      <c r="DLX86" s="104"/>
      <c r="DLY86" s="104"/>
      <c r="DLZ86" s="104"/>
      <c r="DMA86" s="104"/>
      <c r="DMB86" s="104"/>
      <c r="DMC86" s="104"/>
      <c r="DMD86" s="104"/>
      <c r="DME86" s="104"/>
      <c r="DMF86" s="104"/>
      <c r="DMG86" s="104"/>
      <c r="DMH86" s="104"/>
      <c r="DMI86" s="104"/>
      <c r="DMJ86" s="104"/>
      <c r="DMK86" s="104"/>
      <c r="DML86" s="104"/>
      <c r="DMM86" s="104"/>
      <c r="DMN86" s="104"/>
      <c r="DMO86" s="104"/>
      <c r="DMP86" s="104"/>
      <c r="DMQ86" s="104"/>
      <c r="DMR86" s="104"/>
      <c r="DMS86" s="104"/>
      <c r="DMT86" s="104"/>
      <c r="DMU86" s="104"/>
      <c r="DMV86" s="104"/>
      <c r="DMW86" s="104"/>
      <c r="DMX86" s="104"/>
      <c r="DMY86" s="104"/>
      <c r="DMZ86" s="104"/>
      <c r="DNA86" s="104"/>
      <c r="DNB86" s="104"/>
      <c r="DNC86" s="104"/>
      <c r="DND86" s="104"/>
      <c r="DNE86" s="104"/>
      <c r="DNF86" s="104"/>
      <c r="DNG86" s="104"/>
      <c r="DNH86" s="104"/>
      <c r="DNI86" s="104"/>
      <c r="DNJ86" s="104"/>
      <c r="DNK86" s="104"/>
      <c r="DNL86" s="104"/>
      <c r="DNM86" s="104"/>
      <c r="DNN86" s="104"/>
      <c r="DNO86" s="104"/>
      <c r="DNP86" s="104"/>
      <c r="DNQ86" s="104"/>
      <c r="DNR86" s="104"/>
      <c r="DNS86" s="104"/>
      <c r="DNT86" s="104"/>
      <c r="DNU86" s="104"/>
      <c r="DNV86" s="104"/>
      <c r="DNW86" s="104"/>
      <c r="DNX86" s="104"/>
      <c r="DNY86" s="104"/>
      <c r="DNZ86" s="104"/>
      <c r="DOA86" s="104"/>
      <c r="DOB86" s="104"/>
      <c r="DOC86" s="104"/>
      <c r="DOD86" s="104"/>
      <c r="DOE86" s="104"/>
      <c r="DOF86" s="104"/>
      <c r="DOG86" s="104"/>
      <c r="DOH86" s="104"/>
      <c r="DOI86" s="104"/>
      <c r="DOJ86" s="104"/>
      <c r="DOK86" s="104"/>
      <c r="DOL86" s="104"/>
      <c r="DOM86" s="104"/>
      <c r="DON86" s="104"/>
      <c r="DOO86" s="104"/>
      <c r="DOP86" s="104"/>
      <c r="DOQ86" s="104"/>
      <c r="DOR86" s="104"/>
      <c r="DOS86" s="104"/>
      <c r="DOT86" s="104"/>
      <c r="DOU86" s="104"/>
      <c r="DOV86" s="104"/>
      <c r="DOW86" s="104"/>
      <c r="DOX86" s="104"/>
      <c r="DOY86" s="104"/>
      <c r="DOZ86" s="104"/>
      <c r="DPA86" s="104"/>
      <c r="DPB86" s="104"/>
      <c r="DPC86" s="104"/>
      <c r="DPD86" s="104"/>
      <c r="DPE86" s="104"/>
      <c r="DPF86" s="104"/>
      <c r="DPG86" s="104"/>
      <c r="DPH86" s="104"/>
      <c r="DPI86" s="104"/>
      <c r="DPJ86" s="104"/>
      <c r="DPK86" s="104"/>
      <c r="DPL86" s="104"/>
      <c r="DPM86" s="104"/>
      <c r="DPN86" s="104"/>
      <c r="DPO86" s="104"/>
      <c r="DPP86" s="104"/>
      <c r="DPQ86" s="104"/>
      <c r="DPR86" s="104"/>
      <c r="DPS86" s="104"/>
      <c r="DPT86" s="104"/>
      <c r="DPU86" s="104"/>
      <c r="DPV86" s="104"/>
      <c r="DPW86" s="104"/>
      <c r="DPX86" s="104"/>
      <c r="DPY86" s="104"/>
      <c r="DPZ86" s="104"/>
      <c r="DQA86" s="104"/>
      <c r="DQB86" s="104"/>
      <c r="DQC86" s="104"/>
      <c r="DQD86" s="104"/>
      <c r="DQE86" s="104"/>
      <c r="DQF86" s="104"/>
      <c r="DQG86" s="104"/>
      <c r="DQH86" s="104"/>
      <c r="DQI86" s="104"/>
      <c r="DQJ86" s="104"/>
      <c r="DQK86" s="104"/>
      <c r="DQL86" s="104"/>
      <c r="DQM86" s="104"/>
      <c r="DQN86" s="104"/>
      <c r="DQO86" s="104"/>
      <c r="DQP86" s="104"/>
      <c r="DQQ86" s="104"/>
      <c r="DQR86" s="104"/>
      <c r="DQS86" s="104"/>
      <c r="DQT86" s="104"/>
      <c r="DQU86" s="104"/>
      <c r="DQV86" s="104"/>
      <c r="DQW86" s="104"/>
      <c r="DQX86" s="104"/>
      <c r="DQY86" s="104"/>
      <c r="DQZ86" s="104"/>
      <c r="DRA86" s="104"/>
      <c r="DRB86" s="104"/>
      <c r="DRC86" s="104"/>
      <c r="DRD86" s="104"/>
      <c r="DRE86" s="104"/>
      <c r="DRF86" s="104"/>
      <c r="DRG86" s="104"/>
      <c r="DRH86" s="104"/>
      <c r="DRI86" s="104"/>
      <c r="DRJ86" s="104"/>
      <c r="DRK86" s="104"/>
      <c r="DRL86" s="104"/>
      <c r="DRM86" s="104"/>
      <c r="DRN86" s="104"/>
      <c r="DRO86" s="104"/>
      <c r="DRP86" s="104"/>
      <c r="DRQ86" s="104"/>
      <c r="DRR86" s="104"/>
      <c r="DRS86" s="104"/>
      <c r="DRT86" s="104"/>
      <c r="DRU86" s="104"/>
      <c r="DRV86" s="104"/>
      <c r="DRW86" s="104"/>
      <c r="DRX86" s="104"/>
      <c r="DRY86" s="104"/>
      <c r="DRZ86" s="104"/>
      <c r="DSA86" s="104"/>
      <c r="DSB86" s="104"/>
      <c r="DSC86" s="104"/>
      <c r="DSD86" s="104"/>
      <c r="DSE86" s="104"/>
      <c r="DSF86" s="104"/>
      <c r="DSG86" s="104"/>
      <c r="DSH86" s="104"/>
      <c r="DSI86" s="104"/>
      <c r="DSJ86" s="104"/>
      <c r="DSK86" s="104"/>
      <c r="DSL86" s="104"/>
      <c r="DSM86" s="104"/>
      <c r="DSN86" s="104"/>
      <c r="DSO86" s="104"/>
      <c r="DSP86" s="104"/>
      <c r="DSQ86" s="104"/>
      <c r="DSR86" s="104"/>
      <c r="DSS86" s="104"/>
      <c r="DST86" s="104"/>
      <c r="DSU86" s="104"/>
      <c r="DSV86" s="104"/>
      <c r="DSW86" s="104"/>
      <c r="DSX86" s="104"/>
      <c r="DSY86" s="104"/>
      <c r="DSZ86" s="104"/>
      <c r="DTA86" s="104"/>
      <c r="DTB86" s="104"/>
      <c r="DTC86" s="104"/>
      <c r="DTD86" s="104"/>
      <c r="DTE86" s="104"/>
      <c r="DTF86" s="104"/>
      <c r="DTG86" s="104"/>
      <c r="DTH86" s="104"/>
      <c r="DTI86" s="104"/>
      <c r="DTJ86" s="104"/>
      <c r="DTK86" s="104"/>
      <c r="DTL86" s="104"/>
      <c r="DTM86" s="104"/>
      <c r="DTN86" s="104"/>
      <c r="DTO86" s="104"/>
      <c r="DTP86" s="104"/>
      <c r="DTQ86" s="104"/>
      <c r="DTR86" s="104"/>
      <c r="DTS86" s="104"/>
      <c r="DTT86" s="104"/>
      <c r="DTU86" s="104"/>
      <c r="DTV86" s="104"/>
      <c r="DTW86" s="104"/>
      <c r="DTX86" s="104"/>
      <c r="DTY86" s="104"/>
      <c r="DTZ86" s="104"/>
      <c r="DUA86" s="104"/>
      <c r="DUB86" s="104"/>
      <c r="DUC86" s="104"/>
      <c r="DUD86" s="104"/>
      <c r="DUE86" s="104"/>
      <c r="DUF86" s="104"/>
      <c r="DUG86" s="104"/>
      <c r="DUH86" s="104"/>
      <c r="DUI86" s="104"/>
      <c r="DUJ86" s="104"/>
      <c r="DUK86" s="104"/>
      <c r="DUL86" s="104"/>
      <c r="DUM86" s="104"/>
      <c r="DUN86" s="104"/>
      <c r="DUO86" s="104"/>
      <c r="DUP86" s="104"/>
      <c r="DUQ86" s="104"/>
      <c r="DUR86" s="104"/>
      <c r="DUS86" s="104"/>
      <c r="DUT86" s="104"/>
      <c r="DUU86" s="104"/>
      <c r="DUV86" s="104"/>
      <c r="DUW86" s="104"/>
      <c r="DUX86" s="104"/>
      <c r="DUY86" s="104"/>
      <c r="DUZ86" s="104"/>
      <c r="DVA86" s="104"/>
      <c r="DVB86" s="104"/>
      <c r="DVC86" s="104"/>
      <c r="DVD86" s="104"/>
      <c r="DVE86" s="104"/>
      <c r="DVF86" s="104"/>
      <c r="DVG86" s="104"/>
      <c r="DVH86" s="104"/>
      <c r="DVI86" s="104"/>
      <c r="DVJ86" s="104"/>
      <c r="DVK86" s="104"/>
      <c r="DVL86" s="104"/>
      <c r="DVM86" s="104"/>
      <c r="DVN86" s="104"/>
      <c r="DVO86" s="104"/>
      <c r="DVP86" s="104"/>
      <c r="DVQ86" s="104"/>
      <c r="DVR86" s="104"/>
      <c r="DVS86" s="104"/>
      <c r="DVT86" s="104"/>
      <c r="DVU86" s="104"/>
      <c r="DVV86" s="104"/>
      <c r="DVW86" s="104"/>
      <c r="DVX86" s="104"/>
      <c r="DVY86" s="104"/>
      <c r="DVZ86" s="104"/>
      <c r="DWA86" s="104"/>
      <c r="DWB86" s="104"/>
      <c r="DWC86" s="104"/>
      <c r="DWD86" s="104"/>
      <c r="DWE86" s="104"/>
      <c r="DWF86" s="104"/>
      <c r="DWG86" s="104"/>
      <c r="DWH86" s="104"/>
      <c r="DWI86" s="104"/>
      <c r="DWJ86" s="104"/>
      <c r="DWK86" s="104"/>
      <c r="DWL86" s="104"/>
      <c r="DWM86" s="104"/>
      <c r="DWN86" s="104"/>
      <c r="DWO86" s="104"/>
      <c r="DWP86" s="104"/>
      <c r="DWQ86" s="104"/>
      <c r="DWR86" s="104"/>
      <c r="DWS86" s="104"/>
      <c r="DWT86" s="104"/>
      <c r="DWU86" s="104"/>
      <c r="DWV86" s="104"/>
      <c r="DWW86" s="104"/>
      <c r="DWX86" s="104"/>
      <c r="DWY86" s="104"/>
      <c r="DWZ86" s="104"/>
      <c r="DXA86" s="104"/>
      <c r="DXB86" s="104"/>
      <c r="DXC86" s="104"/>
      <c r="DXD86" s="104"/>
      <c r="DXE86" s="104"/>
      <c r="DXF86" s="104"/>
      <c r="DXG86" s="104"/>
      <c r="DXH86" s="104"/>
      <c r="DXI86" s="104"/>
      <c r="DXJ86" s="104"/>
      <c r="DXK86" s="104"/>
      <c r="DXL86" s="104"/>
      <c r="DXM86" s="104"/>
      <c r="DXN86" s="104"/>
      <c r="DXO86" s="104"/>
      <c r="DXP86" s="104"/>
      <c r="DXQ86" s="104"/>
      <c r="DXR86" s="104"/>
      <c r="DXS86" s="104"/>
      <c r="DXT86" s="104"/>
      <c r="DXU86" s="104"/>
      <c r="DXV86" s="104"/>
      <c r="DXW86" s="104"/>
      <c r="DXX86" s="104"/>
      <c r="DXY86" s="104"/>
      <c r="DXZ86" s="104"/>
      <c r="DYA86" s="104"/>
      <c r="DYB86" s="104"/>
      <c r="DYC86" s="104"/>
      <c r="DYD86" s="104"/>
      <c r="DYE86" s="104"/>
      <c r="DYF86" s="104"/>
      <c r="DYG86" s="104"/>
      <c r="DYH86" s="104"/>
      <c r="DYI86" s="104"/>
      <c r="DYJ86" s="104"/>
      <c r="DYK86" s="104"/>
      <c r="DYL86" s="104"/>
      <c r="DYM86" s="104"/>
      <c r="DYN86" s="104"/>
      <c r="DYO86" s="104"/>
      <c r="DYP86" s="104"/>
      <c r="DYQ86" s="104"/>
      <c r="DYR86" s="104"/>
      <c r="DYS86" s="104"/>
      <c r="DYT86" s="104"/>
      <c r="DYU86" s="104"/>
      <c r="DYV86" s="104"/>
      <c r="DYW86" s="104"/>
      <c r="DYX86" s="104"/>
      <c r="DYY86" s="104"/>
      <c r="DYZ86" s="104"/>
      <c r="DZA86" s="104"/>
      <c r="DZB86" s="104"/>
      <c r="DZC86" s="104"/>
      <c r="DZD86" s="104"/>
      <c r="DZE86" s="104"/>
      <c r="DZF86" s="104"/>
      <c r="DZG86" s="104"/>
      <c r="DZH86" s="104"/>
      <c r="DZI86" s="104"/>
      <c r="DZJ86" s="104"/>
      <c r="DZK86" s="104"/>
      <c r="DZL86" s="104"/>
      <c r="DZM86" s="104"/>
      <c r="DZN86" s="104"/>
      <c r="DZO86" s="104"/>
      <c r="DZP86" s="104"/>
      <c r="DZQ86" s="104"/>
      <c r="DZR86" s="104"/>
      <c r="DZS86" s="104"/>
      <c r="DZT86" s="104"/>
      <c r="DZU86" s="104"/>
      <c r="DZV86" s="104"/>
      <c r="DZW86" s="104"/>
      <c r="DZX86" s="104"/>
      <c r="DZY86" s="104"/>
      <c r="DZZ86" s="104"/>
      <c r="EAA86" s="104"/>
      <c r="EAB86" s="104"/>
      <c r="EAC86" s="104"/>
      <c r="EAD86" s="104"/>
      <c r="EAE86" s="104"/>
      <c r="EAF86" s="104"/>
      <c r="EAG86" s="104"/>
      <c r="EAH86" s="104"/>
      <c r="EAI86" s="104"/>
      <c r="EAJ86" s="104"/>
      <c r="EAK86" s="104"/>
      <c r="EAL86" s="104"/>
      <c r="EAM86" s="104"/>
      <c r="EAN86" s="104"/>
      <c r="EAO86" s="104"/>
      <c r="EAP86" s="104"/>
      <c r="EAQ86" s="104"/>
      <c r="EAR86" s="104"/>
      <c r="EAS86" s="104"/>
      <c r="EAT86" s="104"/>
      <c r="EAU86" s="104"/>
      <c r="EAV86" s="104"/>
      <c r="EAW86" s="104"/>
      <c r="EAX86" s="104"/>
      <c r="EAY86" s="104"/>
      <c r="EAZ86" s="104"/>
      <c r="EBA86" s="104"/>
      <c r="EBB86" s="104"/>
      <c r="EBC86" s="104"/>
      <c r="EBD86" s="104"/>
      <c r="EBE86" s="104"/>
      <c r="EBF86" s="104"/>
      <c r="EBG86" s="104"/>
      <c r="EBH86" s="104"/>
      <c r="EBI86" s="104"/>
      <c r="EBJ86" s="104"/>
      <c r="EBK86" s="104"/>
      <c r="EBL86" s="104"/>
      <c r="EBM86" s="104"/>
      <c r="EBN86" s="104"/>
      <c r="EBO86" s="104"/>
      <c r="EBP86" s="104"/>
      <c r="EBQ86" s="104"/>
      <c r="EBR86" s="104"/>
      <c r="EBS86" s="104"/>
      <c r="EBT86" s="104"/>
      <c r="EBU86" s="104"/>
      <c r="EBV86" s="104"/>
      <c r="EBW86" s="104"/>
      <c r="EBX86" s="104"/>
      <c r="EBY86" s="104"/>
      <c r="EBZ86" s="104"/>
      <c r="ECA86" s="104"/>
      <c r="ECB86" s="104"/>
      <c r="ECC86" s="104"/>
      <c r="ECD86" s="104"/>
      <c r="ECE86" s="104"/>
      <c r="ECF86" s="104"/>
      <c r="ECG86" s="104"/>
      <c r="ECH86" s="104"/>
      <c r="ECI86" s="104"/>
      <c r="ECJ86" s="104"/>
      <c r="ECK86" s="104"/>
      <c r="ECL86" s="104"/>
      <c r="ECM86" s="104"/>
      <c r="ECN86" s="104"/>
      <c r="ECO86" s="104"/>
      <c r="ECP86" s="104"/>
      <c r="ECQ86" s="104"/>
      <c r="ECR86" s="104"/>
      <c r="ECS86" s="104"/>
      <c r="ECT86" s="104"/>
      <c r="ECU86" s="104"/>
      <c r="ECV86" s="104"/>
      <c r="ECW86" s="104"/>
      <c r="ECX86" s="104"/>
      <c r="ECY86" s="104"/>
      <c r="ECZ86" s="104"/>
      <c r="EDA86" s="104"/>
      <c r="EDB86" s="104"/>
      <c r="EDC86" s="104"/>
      <c r="EDD86" s="104"/>
      <c r="EDE86" s="104"/>
      <c r="EDF86" s="104"/>
      <c r="EDG86" s="104"/>
      <c r="EDH86" s="104"/>
      <c r="EDI86" s="104"/>
      <c r="EDJ86" s="104"/>
      <c r="EDK86" s="104"/>
      <c r="EDL86" s="104"/>
      <c r="EDM86" s="104"/>
      <c r="EDN86" s="104"/>
      <c r="EDO86" s="104"/>
      <c r="EDP86" s="104"/>
      <c r="EDQ86" s="104"/>
      <c r="EDR86" s="104"/>
      <c r="EDS86" s="104"/>
      <c r="EDT86" s="104"/>
      <c r="EDU86" s="104"/>
      <c r="EDV86" s="104"/>
      <c r="EDW86" s="104"/>
      <c r="EDX86" s="104"/>
      <c r="EDY86" s="104"/>
      <c r="EDZ86" s="104"/>
      <c r="EEA86" s="104"/>
      <c r="EEB86" s="104"/>
      <c r="EEC86" s="104"/>
      <c r="EED86" s="104"/>
      <c r="EEE86" s="104"/>
      <c r="EEF86" s="104"/>
      <c r="EEG86" s="104"/>
      <c r="EEH86" s="104"/>
      <c r="EEI86" s="104"/>
      <c r="EEJ86" s="104"/>
      <c r="EEK86" s="104"/>
      <c r="EEL86" s="104"/>
      <c r="EEM86" s="104"/>
      <c r="EEN86" s="104"/>
      <c r="EEO86" s="104"/>
      <c r="EEP86" s="104"/>
      <c r="EEQ86" s="104"/>
      <c r="EER86" s="104"/>
      <c r="EES86" s="104"/>
      <c r="EET86" s="104"/>
      <c r="EEU86" s="104"/>
      <c r="EEV86" s="104"/>
      <c r="EEW86" s="104"/>
      <c r="EEX86" s="104"/>
      <c r="EEY86" s="104"/>
      <c r="EEZ86" s="104"/>
      <c r="EFA86" s="104"/>
      <c r="EFB86" s="104"/>
      <c r="EFC86" s="104"/>
      <c r="EFD86" s="104"/>
      <c r="EFE86" s="104"/>
      <c r="EFF86" s="104"/>
      <c r="EFG86" s="104"/>
      <c r="EFH86" s="104"/>
      <c r="EFI86" s="104"/>
      <c r="EFJ86" s="104"/>
      <c r="EFK86" s="104"/>
      <c r="EFL86" s="104"/>
      <c r="EFM86" s="104"/>
      <c r="EFN86" s="104"/>
      <c r="EFO86" s="104"/>
      <c r="EFP86" s="104"/>
      <c r="EFQ86" s="104"/>
      <c r="EFR86" s="104"/>
      <c r="EFS86" s="104"/>
      <c r="EFT86" s="104"/>
      <c r="EFU86" s="104"/>
      <c r="EFV86" s="104"/>
      <c r="EFW86" s="104"/>
      <c r="EFX86" s="104"/>
      <c r="EFY86" s="104"/>
      <c r="EFZ86" s="104"/>
      <c r="EGA86" s="104"/>
      <c r="EGB86" s="104"/>
      <c r="EGC86" s="104"/>
      <c r="EGD86" s="104"/>
      <c r="EGE86" s="104"/>
      <c r="EGF86" s="104"/>
      <c r="EGG86" s="104"/>
      <c r="EGH86" s="104"/>
      <c r="EGI86" s="104"/>
      <c r="EGJ86" s="104"/>
      <c r="EGK86" s="104"/>
      <c r="EGL86" s="104"/>
      <c r="EGM86" s="104"/>
      <c r="EGN86" s="104"/>
      <c r="EGO86" s="104"/>
      <c r="EGP86" s="104"/>
      <c r="EGQ86" s="104"/>
      <c r="EGR86" s="104"/>
      <c r="EGS86" s="104"/>
      <c r="EGT86" s="104"/>
      <c r="EGU86" s="104"/>
      <c r="EGV86" s="104"/>
      <c r="EGW86" s="104"/>
      <c r="EGX86" s="104"/>
      <c r="EGY86" s="104"/>
      <c r="EGZ86" s="104"/>
      <c r="EHA86" s="104"/>
      <c r="EHB86" s="104"/>
      <c r="EHC86" s="104"/>
      <c r="EHD86" s="104"/>
      <c r="EHE86" s="104"/>
      <c r="EHF86" s="104"/>
      <c r="EHG86" s="104"/>
      <c r="EHH86" s="104"/>
      <c r="EHI86" s="104"/>
      <c r="EHJ86" s="104"/>
      <c r="EHK86" s="104"/>
      <c r="EHL86" s="104"/>
      <c r="EHM86" s="104"/>
      <c r="EHN86" s="104"/>
      <c r="EHO86" s="104"/>
      <c r="EHP86" s="104"/>
      <c r="EHQ86" s="104"/>
      <c r="EHR86" s="104"/>
      <c r="EHS86" s="104"/>
      <c r="EHT86" s="104"/>
      <c r="EHU86" s="104"/>
      <c r="EHV86" s="104"/>
      <c r="EHW86" s="104"/>
      <c r="EHX86" s="104"/>
      <c r="EHY86" s="104"/>
      <c r="EHZ86" s="104"/>
      <c r="EIA86" s="104"/>
      <c r="EIB86" s="104"/>
      <c r="EIC86" s="104"/>
      <c r="EID86" s="104"/>
      <c r="EIE86" s="104"/>
      <c r="EIF86" s="104"/>
      <c r="EIG86" s="104"/>
      <c r="EIH86" s="104"/>
      <c r="EII86" s="104"/>
      <c r="EIJ86" s="104"/>
      <c r="EIK86" s="104"/>
      <c r="EIL86" s="104"/>
      <c r="EIM86" s="104"/>
      <c r="EIN86" s="104"/>
      <c r="EIO86" s="104"/>
      <c r="EIP86" s="104"/>
      <c r="EIQ86" s="104"/>
      <c r="EIR86" s="104"/>
      <c r="EIS86" s="104"/>
      <c r="EIT86" s="104"/>
      <c r="EIU86" s="104"/>
      <c r="EIV86" s="104"/>
      <c r="EIW86" s="104"/>
      <c r="EIX86" s="104"/>
      <c r="EIY86" s="104"/>
      <c r="EIZ86" s="104"/>
      <c r="EJA86" s="104"/>
      <c r="EJB86" s="104"/>
      <c r="EJC86" s="104"/>
      <c r="EJD86" s="104"/>
      <c r="EJE86" s="104"/>
      <c r="EJF86" s="104"/>
      <c r="EJG86" s="104"/>
      <c r="EJH86" s="104"/>
      <c r="EJI86" s="104"/>
      <c r="EJJ86" s="104"/>
      <c r="EJK86" s="104"/>
      <c r="EJL86" s="104"/>
      <c r="EJM86" s="104"/>
      <c r="EJN86" s="104"/>
      <c r="EJO86" s="104"/>
      <c r="EJP86" s="104"/>
      <c r="EJQ86" s="104"/>
      <c r="EJR86" s="104"/>
      <c r="EJS86" s="104"/>
      <c r="EJT86" s="104"/>
      <c r="EJU86" s="104"/>
      <c r="EJV86" s="104"/>
      <c r="EJW86" s="104"/>
      <c r="EJX86" s="104"/>
      <c r="EJY86" s="104"/>
      <c r="EJZ86" s="104"/>
      <c r="EKA86" s="104"/>
      <c r="EKB86" s="104"/>
      <c r="EKC86" s="104"/>
      <c r="EKD86" s="104"/>
      <c r="EKE86" s="104"/>
      <c r="EKF86" s="104"/>
      <c r="EKG86" s="104"/>
      <c r="EKH86" s="104"/>
      <c r="EKI86" s="104"/>
      <c r="EKJ86" s="104"/>
      <c r="EKK86" s="104"/>
      <c r="EKL86" s="104"/>
      <c r="EKM86" s="104"/>
      <c r="EKN86" s="104"/>
      <c r="EKO86" s="104"/>
      <c r="EKP86" s="104"/>
      <c r="EKQ86" s="104"/>
      <c r="EKR86" s="104"/>
      <c r="EKS86" s="104"/>
      <c r="EKT86" s="104"/>
      <c r="EKU86" s="104"/>
      <c r="EKV86" s="104"/>
      <c r="EKW86" s="104"/>
      <c r="EKX86" s="104"/>
      <c r="EKY86" s="104"/>
      <c r="EKZ86" s="104"/>
      <c r="ELA86" s="104"/>
      <c r="ELB86" s="104"/>
      <c r="ELC86" s="104"/>
      <c r="ELD86" s="104"/>
      <c r="ELE86" s="104"/>
      <c r="ELF86" s="104"/>
      <c r="ELG86" s="104"/>
      <c r="ELH86" s="104"/>
      <c r="ELI86" s="104"/>
      <c r="ELJ86" s="104"/>
      <c r="ELK86" s="104"/>
      <c r="ELL86" s="104"/>
      <c r="ELM86" s="104"/>
      <c r="ELN86" s="104"/>
      <c r="ELO86" s="104"/>
      <c r="ELP86" s="104"/>
      <c r="ELQ86" s="104"/>
      <c r="ELR86" s="104"/>
      <c r="ELS86" s="104"/>
      <c r="ELT86" s="104"/>
      <c r="ELU86" s="104"/>
      <c r="ELV86" s="104"/>
      <c r="ELW86" s="104"/>
      <c r="ELX86" s="104"/>
      <c r="ELY86" s="104"/>
      <c r="ELZ86" s="104"/>
      <c r="EMA86" s="104"/>
      <c r="EMB86" s="104"/>
      <c r="EMC86" s="104"/>
      <c r="EMD86" s="104"/>
      <c r="EME86" s="104"/>
      <c r="EMF86" s="104"/>
      <c r="EMG86" s="104"/>
      <c r="EMH86" s="104"/>
      <c r="EMI86" s="104"/>
      <c r="EMJ86" s="104"/>
      <c r="EMK86" s="104"/>
      <c r="EML86" s="104"/>
      <c r="EMM86" s="104"/>
      <c r="EMN86" s="104"/>
      <c r="EMO86" s="104"/>
      <c r="EMP86" s="104"/>
      <c r="EMQ86" s="104"/>
      <c r="EMR86" s="104"/>
      <c r="EMS86" s="104"/>
      <c r="EMT86" s="104"/>
      <c r="EMU86" s="104"/>
      <c r="EMV86" s="104"/>
      <c r="EMW86" s="104"/>
      <c r="EMX86" s="104"/>
      <c r="EMY86" s="104"/>
      <c r="EMZ86" s="104"/>
      <c r="ENA86" s="104"/>
      <c r="ENB86" s="104"/>
      <c r="ENC86" s="104"/>
      <c r="END86" s="104"/>
      <c r="ENE86" s="104"/>
      <c r="ENF86" s="104"/>
      <c r="ENG86" s="104"/>
      <c r="ENH86" s="104"/>
      <c r="ENI86" s="104"/>
      <c r="ENJ86" s="104"/>
      <c r="ENK86" s="104"/>
      <c r="ENL86" s="104"/>
      <c r="ENM86" s="104"/>
      <c r="ENN86" s="104"/>
      <c r="ENO86" s="104"/>
      <c r="ENP86" s="104"/>
      <c r="ENQ86" s="104"/>
      <c r="ENR86" s="104"/>
      <c r="ENS86" s="104"/>
      <c r="ENT86" s="104"/>
      <c r="ENU86" s="104"/>
      <c r="ENV86" s="104"/>
      <c r="ENW86" s="104"/>
      <c r="ENX86" s="104"/>
      <c r="ENY86" s="104"/>
      <c r="ENZ86" s="104"/>
      <c r="EOA86" s="104"/>
      <c r="EOB86" s="104"/>
      <c r="EOC86" s="104"/>
      <c r="EOD86" s="104"/>
      <c r="EOE86" s="104"/>
      <c r="EOF86" s="104"/>
      <c r="EOG86" s="104"/>
      <c r="EOH86" s="104"/>
      <c r="EOI86" s="104"/>
      <c r="EOJ86" s="104"/>
      <c r="EOK86" s="104"/>
      <c r="EOL86" s="104"/>
      <c r="EOM86" s="104"/>
      <c r="EON86" s="104"/>
      <c r="EOO86" s="104"/>
      <c r="EOP86" s="104"/>
      <c r="EOQ86" s="104"/>
      <c r="EOR86" s="104"/>
      <c r="EOS86" s="104"/>
      <c r="EOT86" s="104"/>
      <c r="EOU86" s="104"/>
      <c r="EOV86" s="104"/>
      <c r="EOW86" s="104"/>
      <c r="EOX86" s="104"/>
      <c r="EOY86" s="104"/>
      <c r="EOZ86" s="104"/>
      <c r="EPA86" s="104"/>
      <c r="EPB86" s="104"/>
      <c r="EPC86" s="104"/>
      <c r="EPD86" s="104"/>
      <c r="EPE86" s="104"/>
      <c r="EPF86" s="104"/>
      <c r="EPG86" s="104"/>
      <c r="EPH86" s="104"/>
      <c r="EPI86" s="104"/>
      <c r="EPJ86" s="104"/>
      <c r="EPK86" s="104"/>
      <c r="EPL86" s="104"/>
      <c r="EPM86" s="104"/>
      <c r="EPN86" s="104"/>
      <c r="EPO86" s="104"/>
      <c r="EPP86" s="104"/>
      <c r="EPQ86" s="104"/>
      <c r="EPR86" s="104"/>
      <c r="EPS86" s="104"/>
      <c r="EPT86" s="104"/>
      <c r="EPU86" s="104"/>
      <c r="EPV86" s="104"/>
      <c r="EPW86" s="104"/>
      <c r="EPX86" s="104"/>
      <c r="EPY86" s="104"/>
      <c r="EPZ86" s="104"/>
      <c r="EQA86" s="104"/>
      <c r="EQB86" s="104"/>
      <c r="EQC86" s="104"/>
      <c r="EQD86" s="104"/>
      <c r="EQE86" s="104"/>
      <c r="EQF86" s="104"/>
      <c r="EQG86" s="104"/>
      <c r="EQH86" s="104"/>
      <c r="EQI86" s="104"/>
      <c r="EQJ86" s="104"/>
      <c r="EQK86" s="104"/>
      <c r="EQL86" s="104"/>
      <c r="EQM86" s="104"/>
      <c r="EQN86" s="104"/>
      <c r="EQO86" s="104"/>
      <c r="EQP86" s="104"/>
      <c r="EQQ86" s="104"/>
      <c r="EQR86" s="104"/>
      <c r="EQS86" s="104"/>
      <c r="EQT86" s="104"/>
      <c r="EQU86" s="104"/>
      <c r="EQV86" s="104"/>
      <c r="EQW86" s="104"/>
      <c r="EQX86" s="104"/>
      <c r="EQY86" s="104"/>
      <c r="EQZ86" s="104"/>
      <c r="ERA86" s="104"/>
      <c r="ERB86" s="104"/>
      <c r="ERC86" s="104"/>
      <c r="ERD86" s="104"/>
      <c r="ERE86" s="104"/>
      <c r="ERF86" s="104"/>
      <c r="ERG86" s="104"/>
      <c r="ERH86" s="104"/>
      <c r="ERI86" s="104"/>
      <c r="ERJ86" s="104"/>
      <c r="ERK86" s="104"/>
      <c r="ERL86" s="104"/>
      <c r="ERM86" s="104"/>
      <c r="ERN86" s="104"/>
      <c r="ERO86" s="104"/>
      <c r="ERP86" s="104"/>
      <c r="ERQ86" s="104"/>
      <c r="ERR86" s="104"/>
      <c r="ERS86" s="104"/>
      <c r="ERT86" s="104"/>
      <c r="ERU86" s="104"/>
      <c r="ERV86" s="104"/>
      <c r="ERW86" s="104"/>
      <c r="ERX86" s="104"/>
      <c r="ERY86" s="104"/>
      <c r="ERZ86" s="104"/>
      <c r="ESA86" s="104"/>
      <c r="ESB86" s="104"/>
      <c r="ESC86" s="104"/>
      <c r="ESD86" s="104"/>
      <c r="ESE86" s="104"/>
      <c r="ESF86" s="104"/>
      <c r="ESG86" s="104"/>
      <c r="ESH86" s="104"/>
      <c r="ESI86" s="104"/>
      <c r="ESJ86" s="104"/>
      <c r="ESK86" s="104"/>
      <c r="ESL86" s="104"/>
      <c r="ESM86" s="104"/>
      <c r="ESN86" s="104"/>
      <c r="ESO86" s="104"/>
      <c r="ESP86" s="104"/>
      <c r="ESQ86" s="104"/>
      <c r="ESR86" s="104"/>
      <c r="ESS86" s="104"/>
      <c r="EST86" s="104"/>
      <c r="ESU86" s="104"/>
      <c r="ESV86" s="104"/>
      <c r="ESW86" s="104"/>
      <c r="ESX86" s="104"/>
      <c r="ESY86" s="104"/>
      <c r="ESZ86" s="104"/>
      <c r="ETA86" s="104"/>
      <c r="ETB86" s="104"/>
      <c r="ETC86" s="104"/>
      <c r="ETD86" s="104"/>
      <c r="ETE86" s="104"/>
      <c r="ETF86" s="104"/>
      <c r="ETG86" s="104"/>
      <c r="ETH86" s="104"/>
      <c r="ETI86" s="104"/>
      <c r="ETJ86" s="104"/>
      <c r="ETK86" s="104"/>
      <c r="ETL86" s="104"/>
      <c r="ETM86" s="104"/>
      <c r="ETN86" s="104"/>
      <c r="ETO86" s="104"/>
      <c r="ETP86" s="104"/>
      <c r="ETQ86" s="104"/>
      <c r="ETR86" s="104"/>
      <c r="ETS86" s="104"/>
      <c r="ETT86" s="104"/>
      <c r="ETU86" s="104"/>
      <c r="ETV86" s="104"/>
      <c r="ETW86" s="104"/>
      <c r="ETX86" s="104"/>
      <c r="ETY86" s="104"/>
      <c r="ETZ86" s="104"/>
      <c r="EUA86" s="104"/>
      <c r="EUB86" s="104"/>
      <c r="EUC86" s="104"/>
      <c r="EUD86" s="104"/>
      <c r="EUE86" s="104"/>
      <c r="EUF86" s="104"/>
      <c r="EUG86" s="104"/>
      <c r="EUH86" s="104"/>
      <c r="EUI86" s="104"/>
      <c r="EUJ86" s="104"/>
      <c r="EUK86" s="104"/>
      <c r="EUL86" s="104"/>
      <c r="EUM86" s="104"/>
      <c r="EUN86" s="104"/>
      <c r="EUO86" s="104"/>
      <c r="EUP86" s="104"/>
      <c r="EUQ86" s="104"/>
      <c r="EUR86" s="104"/>
      <c r="EUS86" s="104"/>
      <c r="EUT86" s="104"/>
      <c r="EUU86" s="104"/>
      <c r="EUV86" s="104"/>
      <c r="EUW86" s="104"/>
      <c r="EUX86" s="104"/>
      <c r="EUY86" s="104"/>
      <c r="EUZ86" s="104"/>
      <c r="EVA86" s="104"/>
      <c r="EVB86" s="104"/>
      <c r="EVC86" s="104"/>
      <c r="EVD86" s="104"/>
      <c r="EVE86" s="104"/>
      <c r="EVF86" s="104"/>
      <c r="EVG86" s="104"/>
      <c r="EVH86" s="104"/>
      <c r="EVI86" s="104"/>
      <c r="EVJ86" s="104"/>
      <c r="EVK86" s="104"/>
      <c r="EVL86" s="104"/>
      <c r="EVM86" s="104"/>
      <c r="EVN86" s="104"/>
      <c r="EVO86" s="104"/>
      <c r="EVP86" s="104"/>
      <c r="EVQ86" s="104"/>
      <c r="EVR86" s="104"/>
      <c r="EVS86" s="104"/>
      <c r="EVT86" s="104"/>
      <c r="EVU86" s="104"/>
      <c r="EVV86" s="104"/>
      <c r="EVW86" s="104"/>
      <c r="EVX86" s="104"/>
      <c r="EVY86" s="104"/>
      <c r="EVZ86" s="104"/>
      <c r="EWA86" s="104"/>
      <c r="EWB86" s="104"/>
      <c r="EWC86" s="104"/>
      <c r="EWD86" s="104"/>
      <c r="EWE86" s="104"/>
      <c r="EWF86" s="104"/>
      <c r="EWG86" s="104"/>
      <c r="EWH86" s="104"/>
      <c r="EWI86" s="104"/>
      <c r="EWJ86" s="104"/>
      <c r="EWK86" s="104"/>
      <c r="EWL86" s="104"/>
      <c r="EWM86" s="104"/>
      <c r="EWN86" s="104"/>
      <c r="EWO86" s="104"/>
      <c r="EWP86" s="104"/>
      <c r="EWQ86" s="104"/>
      <c r="EWR86" s="104"/>
      <c r="EWS86" s="104"/>
      <c r="EWT86" s="104"/>
      <c r="EWU86" s="104"/>
      <c r="EWV86" s="104"/>
      <c r="EWW86" s="104"/>
      <c r="EWX86" s="104"/>
      <c r="EWY86" s="104"/>
      <c r="EWZ86" s="104"/>
      <c r="EXA86" s="104"/>
      <c r="EXB86" s="104"/>
      <c r="EXC86" s="104"/>
      <c r="EXD86" s="104"/>
      <c r="EXE86" s="104"/>
      <c r="EXF86" s="104"/>
      <c r="EXG86" s="104"/>
      <c r="EXH86" s="104"/>
      <c r="EXI86" s="104"/>
      <c r="EXJ86" s="104"/>
      <c r="EXK86" s="104"/>
      <c r="EXL86" s="104"/>
      <c r="EXM86" s="104"/>
      <c r="EXN86" s="104"/>
      <c r="EXO86" s="104"/>
      <c r="EXP86" s="104"/>
      <c r="EXQ86" s="104"/>
      <c r="EXR86" s="104"/>
      <c r="EXS86" s="104"/>
      <c r="EXT86" s="104"/>
      <c r="EXU86" s="104"/>
      <c r="EXV86" s="104"/>
      <c r="EXW86" s="104"/>
      <c r="EXX86" s="104"/>
      <c r="EXY86" s="104"/>
      <c r="EXZ86" s="104"/>
      <c r="EYA86" s="104"/>
      <c r="EYB86" s="104"/>
      <c r="EYC86" s="104"/>
      <c r="EYD86" s="104"/>
      <c r="EYE86" s="104"/>
      <c r="EYF86" s="104"/>
      <c r="EYG86" s="104"/>
      <c r="EYH86" s="104"/>
      <c r="EYI86" s="104"/>
      <c r="EYJ86" s="104"/>
      <c r="EYK86" s="104"/>
      <c r="EYL86" s="104"/>
      <c r="EYM86" s="104"/>
      <c r="EYN86" s="104"/>
      <c r="EYO86" s="104"/>
      <c r="EYP86" s="104"/>
      <c r="EYQ86" s="104"/>
      <c r="EYR86" s="104"/>
      <c r="EYS86" s="104"/>
      <c r="EYT86" s="104"/>
      <c r="EYU86" s="104"/>
      <c r="EYV86" s="104"/>
      <c r="EYW86" s="104"/>
      <c r="EYX86" s="104"/>
      <c r="EYY86" s="104"/>
      <c r="EYZ86" s="104"/>
      <c r="EZA86" s="104"/>
      <c r="EZB86" s="104"/>
      <c r="EZC86" s="104"/>
      <c r="EZD86" s="104"/>
      <c r="EZE86" s="104"/>
      <c r="EZF86" s="104"/>
      <c r="EZG86" s="104"/>
      <c r="EZH86" s="104"/>
      <c r="EZI86" s="104"/>
      <c r="EZJ86" s="104"/>
      <c r="EZK86" s="104"/>
      <c r="EZL86" s="104"/>
      <c r="EZM86" s="104"/>
      <c r="EZN86" s="104"/>
      <c r="EZO86" s="104"/>
      <c r="EZP86" s="104"/>
      <c r="EZQ86" s="104"/>
      <c r="EZR86" s="104"/>
      <c r="EZS86" s="104"/>
      <c r="EZT86" s="104"/>
      <c r="EZU86" s="104"/>
      <c r="EZV86" s="104"/>
      <c r="EZW86" s="104"/>
      <c r="EZX86" s="104"/>
      <c r="EZY86" s="104"/>
      <c r="EZZ86" s="104"/>
      <c r="FAA86" s="104"/>
      <c r="FAB86" s="104"/>
      <c r="FAC86" s="104"/>
      <c r="FAD86" s="104"/>
      <c r="FAE86" s="104"/>
      <c r="FAF86" s="104"/>
      <c r="FAG86" s="104"/>
      <c r="FAH86" s="104"/>
      <c r="FAI86" s="104"/>
      <c r="FAJ86" s="104"/>
      <c r="FAK86" s="104"/>
      <c r="FAL86" s="104"/>
      <c r="FAM86" s="104"/>
      <c r="FAN86" s="104"/>
      <c r="FAO86" s="104"/>
      <c r="FAP86" s="104"/>
      <c r="FAQ86" s="104"/>
      <c r="FAR86" s="104"/>
      <c r="FAS86" s="104"/>
      <c r="FAT86" s="104"/>
      <c r="FAU86" s="104"/>
      <c r="FAV86" s="104"/>
      <c r="FAW86" s="104"/>
      <c r="FAX86" s="104"/>
      <c r="FAY86" s="104"/>
      <c r="FAZ86" s="104"/>
      <c r="FBA86" s="104"/>
      <c r="FBB86" s="104"/>
      <c r="FBC86" s="104"/>
      <c r="FBD86" s="104"/>
      <c r="FBE86" s="104"/>
      <c r="FBF86" s="104"/>
      <c r="FBG86" s="104"/>
      <c r="FBH86" s="104"/>
      <c r="FBI86" s="104"/>
      <c r="FBJ86" s="104"/>
      <c r="FBK86" s="104"/>
      <c r="FBL86" s="104"/>
      <c r="FBM86" s="104"/>
      <c r="FBN86" s="104"/>
      <c r="FBO86" s="104"/>
      <c r="FBP86" s="104"/>
      <c r="FBQ86" s="104"/>
      <c r="FBR86" s="104"/>
      <c r="FBS86" s="104"/>
      <c r="FBT86" s="104"/>
      <c r="FBU86" s="104"/>
      <c r="FBV86" s="104"/>
      <c r="FBW86" s="104"/>
      <c r="FBX86" s="104"/>
      <c r="FBY86" s="104"/>
      <c r="FBZ86" s="104"/>
      <c r="FCA86" s="104"/>
      <c r="FCB86" s="104"/>
      <c r="FCC86" s="104"/>
      <c r="FCD86" s="104"/>
      <c r="FCE86" s="104"/>
      <c r="FCF86" s="104"/>
      <c r="FCG86" s="104"/>
      <c r="FCH86" s="104"/>
      <c r="FCI86" s="104"/>
      <c r="FCJ86" s="104"/>
      <c r="FCK86" s="104"/>
      <c r="FCL86" s="104"/>
      <c r="FCM86" s="104"/>
      <c r="FCN86" s="104"/>
      <c r="FCO86" s="104"/>
      <c r="FCP86" s="104"/>
      <c r="FCQ86" s="104"/>
      <c r="FCR86" s="104"/>
      <c r="FCS86" s="104"/>
      <c r="FCT86" s="104"/>
      <c r="FCU86" s="104"/>
      <c r="FCV86" s="104"/>
      <c r="FCW86" s="104"/>
      <c r="FCX86" s="104"/>
      <c r="FCY86" s="104"/>
      <c r="FCZ86" s="104"/>
      <c r="FDA86" s="104"/>
      <c r="FDB86" s="104"/>
      <c r="FDC86" s="104"/>
      <c r="FDD86" s="104"/>
      <c r="FDE86" s="104"/>
      <c r="FDF86" s="104"/>
      <c r="FDG86" s="104"/>
      <c r="FDH86" s="104"/>
      <c r="FDI86" s="104"/>
      <c r="FDJ86" s="104"/>
      <c r="FDK86" s="104"/>
      <c r="FDL86" s="104"/>
      <c r="FDM86" s="104"/>
      <c r="FDN86" s="104"/>
      <c r="FDO86" s="104"/>
      <c r="FDP86" s="104"/>
      <c r="FDQ86" s="104"/>
      <c r="FDR86" s="104"/>
      <c r="FDS86" s="104"/>
      <c r="FDT86" s="104"/>
      <c r="FDU86" s="104"/>
      <c r="FDV86" s="104"/>
      <c r="FDW86" s="104"/>
      <c r="FDX86" s="104"/>
      <c r="FDY86" s="104"/>
      <c r="FDZ86" s="104"/>
      <c r="FEA86" s="104"/>
      <c r="FEB86" s="104"/>
      <c r="FEC86" s="104"/>
      <c r="FED86" s="104"/>
      <c r="FEE86" s="104"/>
      <c r="FEF86" s="104"/>
      <c r="FEG86" s="104"/>
      <c r="FEH86" s="104"/>
      <c r="FEI86" s="104"/>
      <c r="FEJ86" s="104"/>
      <c r="FEK86" s="104"/>
      <c r="FEL86" s="104"/>
      <c r="FEM86" s="104"/>
      <c r="FEN86" s="104"/>
      <c r="FEO86" s="104"/>
      <c r="FEP86" s="104"/>
      <c r="FEQ86" s="104"/>
      <c r="FER86" s="104"/>
      <c r="FES86" s="104"/>
      <c r="FET86" s="104"/>
      <c r="FEU86" s="104"/>
      <c r="FEV86" s="104"/>
      <c r="FEW86" s="104"/>
      <c r="FEX86" s="104"/>
      <c r="FEY86" s="104"/>
      <c r="FEZ86" s="104"/>
      <c r="FFA86" s="104"/>
      <c r="FFB86" s="104"/>
      <c r="FFC86" s="104"/>
      <c r="FFD86" s="104"/>
      <c r="FFE86" s="104"/>
      <c r="FFF86" s="104"/>
      <c r="FFG86" s="104"/>
      <c r="FFH86" s="104"/>
      <c r="FFI86" s="104"/>
      <c r="FFJ86" s="104"/>
      <c r="FFK86" s="104"/>
      <c r="FFL86" s="104"/>
      <c r="FFM86" s="104"/>
      <c r="FFN86" s="104"/>
      <c r="FFO86" s="104"/>
      <c r="FFP86" s="104"/>
      <c r="FFQ86" s="104"/>
      <c r="FFR86" s="104"/>
      <c r="FFS86" s="104"/>
      <c r="FFT86" s="104"/>
      <c r="FFU86" s="104"/>
      <c r="FFV86" s="104"/>
      <c r="FFW86" s="104"/>
      <c r="FFX86" s="104"/>
      <c r="FFY86" s="104"/>
      <c r="FFZ86" s="104"/>
      <c r="FGA86" s="104"/>
      <c r="FGB86" s="104"/>
      <c r="FGC86" s="104"/>
      <c r="FGD86" s="104"/>
      <c r="FGE86" s="104"/>
      <c r="FGF86" s="104"/>
      <c r="FGG86" s="104"/>
      <c r="FGH86" s="104"/>
      <c r="FGI86" s="104"/>
      <c r="FGJ86" s="104"/>
      <c r="FGK86" s="104"/>
      <c r="FGL86" s="104"/>
      <c r="FGM86" s="104"/>
      <c r="FGN86" s="104"/>
      <c r="FGO86" s="104"/>
      <c r="FGP86" s="104"/>
      <c r="FGQ86" s="104"/>
      <c r="FGR86" s="104"/>
      <c r="FGS86" s="104"/>
      <c r="FGT86" s="104"/>
      <c r="FGU86" s="104"/>
      <c r="FGV86" s="104"/>
      <c r="FGW86" s="104"/>
      <c r="FGX86" s="104"/>
      <c r="FGY86" s="104"/>
      <c r="FGZ86" s="104"/>
      <c r="FHA86" s="104"/>
      <c r="FHB86" s="104"/>
      <c r="FHC86" s="104"/>
      <c r="FHD86" s="104"/>
      <c r="FHE86" s="104"/>
      <c r="FHF86" s="104"/>
      <c r="FHG86" s="104"/>
      <c r="FHH86" s="104"/>
      <c r="FHI86" s="104"/>
      <c r="FHJ86" s="104"/>
      <c r="FHK86" s="104"/>
      <c r="FHL86" s="104"/>
      <c r="FHM86" s="104"/>
      <c r="FHN86" s="104"/>
      <c r="FHO86" s="104"/>
      <c r="FHP86" s="104"/>
      <c r="FHQ86" s="104"/>
      <c r="FHR86" s="104"/>
      <c r="FHS86" s="104"/>
      <c r="FHT86" s="104"/>
      <c r="FHU86" s="104"/>
      <c r="FHV86" s="104"/>
      <c r="FHW86" s="104"/>
      <c r="FHX86" s="104"/>
      <c r="FHY86" s="104"/>
      <c r="FHZ86" s="104"/>
      <c r="FIA86" s="104"/>
      <c r="FIB86" s="104"/>
      <c r="FIC86" s="104"/>
      <c r="FID86" s="104"/>
      <c r="FIE86" s="104"/>
      <c r="FIF86" s="104"/>
      <c r="FIG86" s="104"/>
      <c r="FIH86" s="104"/>
      <c r="FII86" s="104"/>
      <c r="FIJ86" s="104"/>
      <c r="FIK86" s="104"/>
      <c r="FIL86" s="104"/>
      <c r="FIM86" s="104"/>
      <c r="FIN86" s="104"/>
      <c r="FIO86" s="104"/>
      <c r="FIP86" s="104"/>
      <c r="FIQ86" s="104"/>
      <c r="FIR86" s="104"/>
      <c r="FIS86" s="104"/>
      <c r="FIT86" s="104"/>
      <c r="FIU86" s="104"/>
      <c r="FIV86" s="104"/>
      <c r="FIW86" s="104"/>
      <c r="FIX86" s="104"/>
      <c r="FIY86" s="104"/>
      <c r="FIZ86" s="104"/>
      <c r="FJA86" s="104"/>
      <c r="FJB86" s="104"/>
      <c r="FJC86" s="104"/>
      <c r="FJD86" s="104"/>
      <c r="FJE86" s="104"/>
      <c r="FJF86" s="104"/>
      <c r="FJG86" s="104"/>
      <c r="FJH86" s="104"/>
      <c r="FJI86" s="104"/>
      <c r="FJJ86" s="104"/>
      <c r="FJK86" s="104"/>
      <c r="FJL86" s="104"/>
      <c r="FJM86" s="104"/>
      <c r="FJN86" s="104"/>
      <c r="FJO86" s="104"/>
      <c r="FJP86" s="104"/>
      <c r="FJQ86" s="104"/>
      <c r="FJR86" s="104"/>
      <c r="FJS86" s="104"/>
      <c r="FJT86" s="104"/>
      <c r="FJU86" s="104"/>
      <c r="FJV86" s="104"/>
      <c r="FJW86" s="104"/>
      <c r="FJX86" s="104"/>
      <c r="FJY86" s="104"/>
      <c r="FJZ86" s="104"/>
      <c r="FKA86" s="104"/>
      <c r="FKB86" s="104"/>
      <c r="FKC86" s="104"/>
      <c r="FKD86" s="104"/>
      <c r="FKE86" s="104"/>
      <c r="FKF86" s="104"/>
      <c r="FKG86" s="104"/>
      <c r="FKH86" s="104"/>
      <c r="FKI86" s="104"/>
      <c r="FKJ86" s="104"/>
      <c r="FKK86" s="104"/>
      <c r="FKL86" s="104"/>
      <c r="FKM86" s="104"/>
      <c r="FKN86" s="104"/>
      <c r="FKO86" s="104"/>
      <c r="FKP86" s="104"/>
      <c r="FKQ86" s="104"/>
      <c r="FKR86" s="104"/>
      <c r="FKS86" s="104"/>
      <c r="FKT86" s="104"/>
      <c r="FKU86" s="104"/>
      <c r="FKV86" s="104"/>
      <c r="FKW86" s="104"/>
      <c r="FKX86" s="104"/>
      <c r="FKY86" s="104"/>
      <c r="FKZ86" s="104"/>
      <c r="FLA86" s="104"/>
      <c r="FLB86" s="104"/>
      <c r="FLC86" s="104"/>
      <c r="FLD86" s="104"/>
      <c r="FLE86" s="104"/>
      <c r="FLF86" s="104"/>
      <c r="FLG86" s="104"/>
      <c r="FLH86" s="104"/>
      <c r="FLI86" s="104"/>
      <c r="FLJ86" s="104"/>
      <c r="FLK86" s="104"/>
      <c r="FLL86" s="104"/>
      <c r="FLM86" s="104"/>
      <c r="FLN86" s="104"/>
      <c r="FLO86" s="104"/>
      <c r="FLP86" s="104"/>
      <c r="FLQ86" s="104"/>
      <c r="FLR86" s="104"/>
      <c r="FLS86" s="104"/>
      <c r="FLT86" s="104"/>
      <c r="FLU86" s="104"/>
      <c r="FLV86" s="104"/>
      <c r="FLW86" s="104"/>
      <c r="FLX86" s="104"/>
      <c r="FLY86" s="104"/>
      <c r="FLZ86" s="104"/>
      <c r="FMA86" s="104"/>
      <c r="FMB86" s="104"/>
      <c r="FMC86" s="104"/>
      <c r="FMD86" s="104"/>
      <c r="FME86" s="104"/>
      <c r="FMF86" s="104"/>
      <c r="FMG86" s="104"/>
      <c r="FMH86" s="104"/>
      <c r="FMI86" s="104"/>
      <c r="FMJ86" s="104"/>
      <c r="FMK86" s="104"/>
      <c r="FML86" s="104"/>
      <c r="FMM86" s="104"/>
      <c r="FMN86" s="104"/>
      <c r="FMO86" s="104"/>
      <c r="FMP86" s="104"/>
      <c r="FMQ86" s="104"/>
      <c r="FMR86" s="104"/>
      <c r="FMS86" s="104"/>
      <c r="FMT86" s="104"/>
      <c r="FMU86" s="104"/>
      <c r="FMV86" s="104"/>
      <c r="FMW86" s="104"/>
      <c r="FMX86" s="104"/>
      <c r="FMY86" s="104"/>
      <c r="FMZ86" s="104"/>
      <c r="FNA86" s="104"/>
      <c r="FNB86" s="104"/>
      <c r="FNC86" s="104"/>
      <c r="FND86" s="104"/>
      <c r="FNE86" s="104"/>
      <c r="FNF86" s="104"/>
      <c r="FNG86" s="104"/>
      <c r="FNH86" s="104"/>
      <c r="FNI86" s="104"/>
      <c r="FNJ86" s="104"/>
      <c r="FNK86" s="104"/>
      <c r="FNL86" s="104"/>
      <c r="FNM86" s="104"/>
      <c r="FNN86" s="104"/>
      <c r="FNO86" s="104"/>
      <c r="FNP86" s="104"/>
      <c r="FNQ86" s="104"/>
      <c r="FNR86" s="104"/>
      <c r="FNS86" s="104"/>
      <c r="FNT86" s="104"/>
      <c r="FNU86" s="104"/>
      <c r="FNV86" s="104"/>
      <c r="FNW86" s="104"/>
      <c r="FNX86" s="104"/>
      <c r="FNY86" s="104"/>
      <c r="FNZ86" s="104"/>
      <c r="FOA86" s="104"/>
      <c r="FOB86" s="104"/>
      <c r="FOC86" s="104"/>
      <c r="FOD86" s="104"/>
      <c r="FOE86" s="104"/>
      <c r="FOF86" s="104"/>
      <c r="FOG86" s="104"/>
      <c r="FOH86" s="104"/>
      <c r="FOI86" s="104"/>
      <c r="FOJ86" s="104"/>
      <c r="FOK86" s="104"/>
      <c r="FOL86" s="104"/>
      <c r="FOM86" s="104"/>
      <c r="FON86" s="104"/>
      <c r="FOO86" s="104"/>
      <c r="FOP86" s="104"/>
      <c r="FOQ86" s="104"/>
      <c r="FOR86" s="104"/>
      <c r="FOS86" s="104"/>
      <c r="FOT86" s="104"/>
      <c r="FOU86" s="104"/>
      <c r="FOV86" s="104"/>
      <c r="FOW86" s="104"/>
      <c r="FOX86" s="104"/>
      <c r="FOY86" s="104"/>
      <c r="FOZ86" s="104"/>
      <c r="FPA86" s="104"/>
      <c r="FPB86" s="104"/>
      <c r="FPC86" s="104"/>
      <c r="FPD86" s="104"/>
      <c r="FPE86" s="104"/>
      <c r="FPF86" s="104"/>
      <c r="FPG86" s="104"/>
      <c r="FPH86" s="104"/>
      <c r="FPI86" s="104"/>
      <c r="FPJ86" s="104"/>
      <c r="FPK86" s="104"/>
      <c r="FPL86" s="104"/>
      <c r="FPM86" s="104"/>
      <c r="FPN86" s="104"/>
      <c r="FPO86" s="104"/>
      <c r="FPP86" s="104"/>
      <c r="FPQ86" s="104"/>
      <c r="FPR86" s="104"/>
      <c r="FPS86" s="104"/>
      <c r="FPT86" s="104"/>
      <c r="FPU86" s="104"/>
      <c r="FPV86" s="104"/>
      <c r="FPW86" s="104"/>
      <c r="FPX86" s="104"/>
      <c r="FPY86" s="104"/>
      <c r="FPZ86" s="104"/>
      <c r="FQA86" s="104"/>
      <c r="FQB86" s="104"/>
      <c r="FQC86" s="104"/>
      <c r="FQD86" s="104"/>
      <c r="FQE86" s="104"/>
      <c r="FQF86" s="104"/>
      <c r="FQG86" s="104"/>
      <c r="FQH86" s="104"/>
      <c r="FQI86" s="104"/>
      <c r="FQJ86" s="104"/>
      <c r="FQK86" s="104"/>
      <c r="FQL86" s="104"/>
      <c r="FQM86" s="104"/>
      <c r="FQN86" s="104"/>
      <c r="FQO86" s="104"/>
      <c r="FQP86" s="104"/>
      <c r="FQQ86" s="104"/>
      <c r="FQR86" s="104"/>
      <c r="FQS86" s="104"/>
      <c r="FQT86" s="104"/>
      <c r="FQU86" s="104"/>
      <c r="FQV86" s="104"/>
      <c r="FQW86" s="104"/>
      <c r="FQX86" s="104"/>
      <c r="FQY86" s="104"/>
      <c r="FQZ86" s="104"/>
      <c r="FRA86" s="104"/>
      <c r="FRB86" s="104"/>
      <c r="FRC86" s="104"/>
      <c r="FRD86" s="104"/>
      <c r="FRE86" s="104"/>
      <c r="FRF86" s="104"/>
      <c r="FRG86" s="104"/>
      <c r="FRH86" s="104"/>
      <c r="FRI86" s="104"/>
      <c r="FRJ86" s="104"/>
      <c r="FRK86" s="104"/>
      <c r="FRL86" s="104"/>
      <c r="FRM86" s="104"/>
      <c r="FRN86" s="104"/>
      <c r="FRO86" s="104"/>
      <c r="FRP86" s="104"/>
      <c r="FRQ86" s="104"/>
      <c r="FRR86" s="104"/>
      <c r="FRS86" s="104"/>
      <c r="FRT86" s="104"/>
      <c r="FRU86" s="104"/>
      <c r="FRV86" s="104"/>
      <c r="FRW86" s="104"/>
      <c r="FRX86" s="104"/>
      <c r="FRY86" s="104"/>
      <c r="FRZ86" s="104"/>
      <c r="FSA86" s="104"/>
      <c r="FSB86" s="104"/>
      <c r="FSC86" s="104"/>
      <c r="FSD86" s="104"/>
      <c r="FSE86" s="104"/>
      <c r="FSF86" s="104"/>
      <c r="FSG86" s="104"/>
      <c r="FSH86" s="104"/>
      <c r="FSI86" s="104"/>
      <c r="FSJ86" s="104"/>
      <c r="FSK86" s="104"/>
      <c r="FSL86" s="104"/>
      <c r="FSM86" s="104"/>
      <c r="FSN86" s="104"/>
      <c r="FSO86" s="104"/>
      <c r="FSP86" s="104"/>
      <c r="FSQ86" s="104"/>
      <c r="FSR86" s="104"/>
      <c r="FSS86" s="104"/>
      <c r="FST86" s="104"/>
      <c r="FSU86" s="104"/>
      <c r="FSV86" s="104"/>
      <c r="FSW86" s="104"/>
      <c r="FSX86" s="104"/>
      <c r="FSY86" s="104"/>
      <c r="FSZ86" s="104"/>
      <c r="FTA86" s="104"/>
      <c r="FTB86" s="104"/>
      <c r="FTC86" s="104"/>
      <c r="FTD86" s="104"/>
      <c r="FTE86" s="104"/>
      <c r="FTF86" s="104"/>
      <c r="FTG86" s="104"/>
      <c r="FTH86" s="104"/>
      <c r="FTI86" s="104"/>
      <c r="FTJ86" s="104"/>
      <c r="FTK86" s="104"/>
      <c r="FTL86" s="104"/>
      <c r="FTM86" s="104"/>
      <c r="FTN86" s="104"/>
      <c r="FTO86" s="104"/>
      <c r="FTP86" s="104"/>
      <c r="FTQ86" s="104"/>
      <c r="FTR86" s="104"/>
      <c r="FTS86" s="104"/>
      <c r="FTT86" s="104"/>
      <c r="FTU86" s="104"/>
      <c r="FTV86" s="104"/>
      <c r="FTW86" s="104"/>
      <c r="FTX86" s="104"/>
      <c r="FTY86" s="104"/>
      <c r="FTZ86" s="104"/>
      <c r="FUA86" s="104"/>
      <c r="FUB86" s="104"/>
      <c r="FUC86" s="104"/>
      <c r="FUD86" s="104"/>
      <c r="FUE86" s="104"/>
      <c r="FUF86" s="104"/>
      <c r="FUG86" s="104"/>
      <c r="FUH86" s="104"/>
      <c r="FUI86" s="104"/>
      <c r="FUJ86" s="104"/>
      <c r="FUK86" s="104"/>
      <c r="FUL86" s="104"/>
      <c r="FUM86" s="104"/>
      <c r="FUN86" s="104"/>
      <c r="FUO86" s="104"/>
      <c r="FUP86" s="104"/>
      <c r="FUQ86" s="104"/>
      <c r="FUR86" s="104"/>
      <c r="FUS86" s="104"/>
      <c r="FUT86" s="104"/>
      <c r="FUU86" s="104"/>
      <c r="FUV86" s="104"/>
      <c r="FUW86" s="104"/>
      <c r="FUX86" s="104"/>
      <c r="FUY86" s="104"/>
      <c r="FUZ86" s="104"/>
      <c r="FVA86" s="104"/>
      <c r="FVB86" s="104"/>
      <c r="FVC86" s="104"/>
      <c r="FVD86" s="104"/>
      <c r="FVE86" s="104"/>
      <c r="FVF86" s="104"/>
      <c r="FVG86" s="104"/>
      <c r="FVH86" s="104"/>
      <c r="FVI86" s="104"/>
      <c r="FVJ86" s="104"/>
      <c r="FVK86" s="104"/>
      <c r="FVL86" s="104"/>
      <c r="FVM86" s="104"/>
      <c r="FVN86" s="104"/>
      <c r="FVO86" s="104"/>
      <c r="FVP86" s="104"/>
      <c r="FVQ86" s="104"/>
      <c r="FVR86" s="104"/>
      <c r="FVS86" s="104"/>
      <c r="FVT86" s="104"/>
      <c r="FVU86" s="104"/>
      <c r="FVV86" s="104"/>
      <c r="FVW86" s="104"/>
      <c r="FVX86" s="104"/>
      <c r="FVY86" s="104"/>
      <c r="FVZ86" s="104"/>
      <c r="FWA86" s="104"/>
      <c r="FWB86" s="104"/>
      <c r="FWC86" s="104"/>
      <c r="FWD86" s="104"/>
      <c r="FWE86" s="104"/>
      <c r="FWF86" s="104"/>
      <c r="FWG86" s="104"/>
      <c r="FWH86" s="104"/>
      <c r="FWI86" s="104"/>
      <c r="FWJ86" s="104"/>
      <c r="FWK86" s="104"/>
      <c r="FWL86" s="104"/>
      <c r="FWM86" s="104"/>
      <c r="FWN86" s="104"/>
      <c r="FWO86" s="104"/>
      <c r="FWP86" s="104"/>
      <c r="FWQ86" s="104"/>
      <c r="FWR86" s="104"/>
      <c r="FWS86" s="104"/>
      <c r="FWT86" s="104"/>
      <c r="FWU86" s="104"/>
      <c r="FWV86" s="104"/>
      <c r="FWW86" s="104"/>
      <c r="FWX86" s="104"/>
      <c r="FWY86" s="104"/>
      <c r="FWZ86" s="104"/>
      <c r="FXA86" s="104"/>
      <c r="FXB86" s="104"/>
      <c r="FXC86" s="104"/>
      <c r="FXD86" s="104"/>
      <c r="FXE86" s="104"/>
      <c r="FXF86" s="104"/>
      <c r="FXG86" s="104"/>
      <c r="FXH86" s="104"/>
      <c r="FXI86" s="104"/>
      <c r="FXJ86" s="104"/>
      <c r="FXK86" s="104"/>
      <c r="FXL86" s="104"/>
      <c r="FXM86" s="104"/>
      <c r="FXN86" s="104"/>
      <c r="FXO86" s="104"/>
      <c r="FXP86" s="104"/>
      <c r="FXQ86" s="104"/>
      <c r="FXR86" s="104"/>
      <c r="FXS86" s="104"/>
      <c r="FXT86" s="104"/>
      <c r="FXU86" s="104"/>
      <c r="FXV86" s="104"/>
      <c r="FXW86" s="104"/>
      <c r="FXX86" s="104"/>
      <c r="FXY86" s="104"/>
      <c r="FXZ86" s="104"/>
      <c r="FYA86" s="104"/>
      <c r="FYB86" s="104"/>
      <c r="FYC86" s="104"/>
      <c r="FYD86" s="104"/>
      <c r="FYE86" s="104"/>
      <c r="FYF86" s="104"/>
      <c r="FYG86" s="104"/>
      <c r="FYH86" s="104"/>
      <c r="FYI86" s="104"/>
      <c r="FYJ86" s="104"/>
      <c r="FYK86" s="104"/>
      <c r="FYL86" s="104"/>
      <c r="FYM86" s="104"/>
      <c r="FYN86" s="104"/>
      <c r="FYO86" s="104"/>
      <c r="FYP86" s="104"/>
      <c r="FYQ86" s="104"/>
      <c r="FYR86" s="104"/>
      <c r="FYS86" s="104"/>
      <c r="FYT86" s="104"/>
      <c r="FYU86" s="104"/>
      <c r="FYV86" s="104"/>
      <c r="FYW86" s="104"/>
      <c r="FYX86" s="104"/>
      <c r="FYY86" s="104"/>
      <c r="FYZ86" s="104"/>
      <c r="FZA86" s="104"/>
      <c r="FZB86" s="104"/>
      <c r="FZC86" s="104"/>
      <c r="FZD86" s="104"/>
      <c r="FZE86" s="104"/>
      <c r="FZF86" s="104"/>
      <c r="FZG86" s="104"/>
      <c r="FZH86" s="104"/>
      <c r="FZI86" s="104"/>
      <c r="FZJ86" s="104"/>
      <c r="FZK86" s="104"/>
      <c r="FZL86" s="104"/>
      <c r="FZM86" s="104"/>
      <c r="FZN86" s="104"/>
      <c r="FZO86" s="104"/>
      <c r="FZP86" s="104"/>
      <c r="FZQ86" s="104"/>
      <c r="FZR86" s="104"/>
      <c r="FZS86" s="104"/>
      <c r="FZT86" s="104"/>
      <c r="FZU86" s="104"/>
      <c r="FZV86" s="104"/>
      <c r="FZW86" s="104"/>
      <c r="FZX86" s="104"/>
      <c r="FZY86" s="104"/>
      <c r="FZZ86" s="104"/>
      <c r="GAA86" s="104"/>
      <c r="GAB86" s="104"/>
      <c r="GAC86" s="104"/>
    </row>
    <row r="87" spans="1:4761" s="104" customFormat="1" ht="30" customHeight="1" x14ac:dyDescent="0.25">
      <c r="A87" s="83" t="s">
        <v>204</v>
      </c>
      <c r="B87" s="36"/>
      <c r="C87" s="36"/>
      <c r="D87" s="96" t="s">
        <v>737</v>
      </c>
      <c r="E87" s="99" t="s">
        <v>659</v>
      </c>
      <c r="F87" s="99" t="s">
        <v>50</v>
      </c>
      <c r="G87" s="99" t="s">
        <v>42</v>
      </c>
      <c r="H87" s="99" t="s">
        <v>2036</v>
      </c>
      <c r="I87" s="99" t="s">
        <v>7</v>
      </c>
      <c r="J87" s="97"/>
      <c r="K87" s="99" t="s">
        <v>2040</v>
      </c>
      <c r="L87" s="97"/>
      <c r="M87" s="99" t="s">
        <v>2057</v>
      </c>
      <c r="N87" s="102" t="s">
        <v>31</v>
      </c>
      <c r="O87" s="115">
        <v>7925</v>
      </c>
      <c r="P87" s="115">
        <v>2468</v>
      </c>
      <c r="Q87" s="115">
        <v>2400</v>
      </c>
      <c r="R87" s="115"/>
      <c r="S87" s="115">
        <v>3650</v>
      </c>
      <c r="T87" s="115">
        <v>2550</v>
      </c>
      <c r="U87" s="115">
        <v>10100</v>
      </c>
      <c r="V87" s="115">
        <v>1198</v>
      </c>
      <c r="W87" s="115">
        <v>5900</v>
      </c>
      <c r="X87" s="115">
        <v>2875</v>
      </c>
      <c r="Y87" s="115"/>
      <c r="Z87" s="115">
        <v>18</v>
      </c>
      <c r="AA87" s="38" t="s">
        <v>2044</v>
      </c>
      <c r="AB87" s="101">
        <v>16000</v>
      </c>
      <c r="AC87" s="108">
        <v>8050</v>
      </c>
      <c r="AD87" s="37"/>
      <c r="AE87" s="37"/>
      <c r="AF87" s="37"/>
      <c r="AG87" s="37"/>
      <c r="AH87" s="109">
        <v>46.9</v>
      </c>
      <c r="AI87" s="111" t="s">
        <v>2045</v>
      </c>
      <c r="AJ87" s="111" t="s">
        <v>2046</v>
      </c>
      <c r="AK87" s="111" t="s">
        <v>666</v>
      </c>
      <c r="AL87" s="111" t="s">
        <v>2047</v>
      </c>
      <c r="AM87" s="111"/>
      <c r="AN87" s="111" t="s">
        <v>2048</v>
      </c>
      <c r="AO87" s="114" t="s">
        <v>2049</v>
      </c>
      <c r="AP87" s="115"/>
      <c r="AQ87" s="115"/>
      <c r="AR87" s="115"/>
      <c r="AS87" s="115"/>
      <c r="AT87" s="11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3">
        <v>0</v>
      </c>
    </row>
    <row r="88" spans="1:4761" s="104" customFormat="1" ht="30" customHeight="1" x14ac:dyDescent="0.25">
      <c r="A88" s="83" t="s">
        <v>204</v>
      </c>
      <c r="B88" s="36"/>
      <c r="C88" s="36"/>
      <c r="D88" s="96" t="s">
        <v>737</v>
      </c>
      <c r="E88" s="99" t="s">
        <v>659</v>
      </c>
      <c r="F88" s="99" t="s">
        <v>50</v>
      </c>
      <c r="G88" s="99" t="s">
        <v>42</v>
      </c>
      <c r="H88" s="99" t="s">
        <v>2036</v>
      </c>
      <c r="I88" s="99" t="s">
        <v>7</v>
      </c>
      <c r="J88" s="97"/>
      <c r="K88" s="99" t="s">
        <v>2040</v>
      </c>
      <c r="L88" s="97"/>
      <c r="M88" s="99" t="s">
        <v>2058</v>
      </c>
      <c r="N88" s="102" t="s">
        <v>31</v>
      </c>
      <c r="O88" s="115">
        <v>7925</v>
      </c>
      <c r="P88" s="115">
        <v>2468</v>
      </c>
      <c r="Q88" s="115">
        <v>2400</v>
      </c>
      <c r="R88" s="115"/>
      <c r="S88" s="115">
        <v>3650</v>
      </c>
      <c r="T88" s="115">
        <v>2550</v>
      </c>
      <c r="U88" s="115">
        <v>10100</v>
      </c>
      <c r="V88" s="115">
        <v>1198</v>
      </c>
      <c r="W88" s="115">
        <v>5900</v>
      </c>
      <c r="X88" s="115">
        <v>2875</v>
      </c>
      <c r="Y88" s="115"/>
      <c r="Z88" s="115">
        <v>18</v>
      </c>
      <c r="AA88" s="38" t="s">
        <v>2044</v>
      </c>
      <c r="AB88" s="101">
        <v>16000</v>
      </c>
      <c r="AC88" s="108">
        <v>8050</v>
      </c>
      <c r="AD88" s="37"/>
      <c r="AE88" s="37"/>
      <c r="AF88" s="37"/>
      <c r="AG88" s="37"/>
      <c r="AH88" s="109">
        <v>46.9</v>
      </c>
      <c r="AI88" s="111" t="s">
        <v>2045</v>
      </c>
      <c r="AJ88" s="111" t="s">
        <v>2046</v>
      </c>
      <c r="AK88" s="111" t="s">
        <v>666</v>
      </c>
      <c r="AL88" s="111" t="s">
        <v>2047</v>
      </c>
      <c r="AM88" s="111"/>
      <c r="AN88" s="111" t="s">
        <v>2048</v>
      </c>
      <c r="AO88" s="114" t="s">
        <v>2049</v>
      </c>
      <c r="AP88" s="115"/>
      <c r="AQ88" s="115"/>
      <c r="AR88" s="115"/>
      <c r="AS88" s="115"/>
      <c r="AT88" s="11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3">
        <v>0</v>
      </c>
    </row>
    <row r="89" spans="1:4761" s="106" customFormat="1" ht="30" customHeight="1" x14ac:dyDescent="0.25">
      <c r="A89" s="83" t="s">
        <v>204</v>
      </c>
      <c r="B89" s="36"/>
      <c r="C89" s="36"/>
      <c r="D89" s="96" t="s">
        <v>737</v>
      </c>
      <c r="E89" s="99" t="s">
        <v>659</v>
      </c>
      <c r="F89" s="83" t="s">
        <v>50</v>
      </c>
      <c r="G89" s="99" t="s">
        <v>42</v>
      </c>
      <c r="H89" s="83" t="s">
        <v>2036</v>
      </c>
      <c r="I89" s="83" t="s">
        <v>7</v>
      </c>
      <c r="J89" s="97"/>
      <c r="K89" s="99" t="s">
        <v>2040</v>
      </c>
      <c r="L89" s="97"/>
      <c r="M89" s="83" t="s">
        <v>2791</v>
      </c>
      <c r="N89" s="102" t="s">
        <v>31</v>
      </c>
      <c r="O89" s="113">
        <v>8922</v>
      </c>
      <c r="P89" s="115">
        <v>2468</v>
      </c>
      <c r="Q89" s="113">
        <v>2500</v>
      </c>
      <c r="R89" s="115"/>
      <c r="S89" s="113">
        <v>3850</v>
      </c>
      <c r="T89" s="115">
        <v>2550</v>
      </c>
      <c r="U89" s="113">
        <v>11200</v>
      </c>
      <c r="V89" s="113">
        <v>1300</v>
      </c>
      <c r="W89" s="113">
        <v>6450</v>
      </c>
      <c r="X89" s="113">
        <v>3330</v>
      </c>
      <c r="Y89" s="113"/>
      <c r="Z89" s="113">
        <v>21</v>
      </c>
      <c r="AA89" s="83" t="s">
        <v>2795</v>
      </c>
      <c r="AB89" s="101">
        <v>19000</v>
      </c>
      <c r="AC89" s="108">
        <v>9275</v>
      </c>
      <c r="AD89" s="37"/>
      <c r="AE89" s="37"/>
      <c r="AF89" s="37"/>
      <c r="AG89" s="37"/>
      <c r="AH89" s="109">
        <v>55</v>
      </c>
      <c r="AI89" s="111" t="s">
        <v>2050</v>
      </c>
      <c r="AJ89" s="111" t="s">
        <v>2051</v>
      </c>
      <c r="AK89" s="111" t="s">
        <v>671</v>
      </c>
      <c r="AL89" s="108" t="s">
        <v>2052</v>
      </c>
      <c r="AM89" s="111"/>
      <c r="AN89" s="111" t="s">
        <v>2048</v>
      </c>
      <c r="AO89" s="112" t="s">
        <v>2053</v>
      </c>
      <c r="AP89" s="113"/>
      <c r="AQ89" s="113"/>
      <c r="AR89" s="113"/>
      <c r="AS89" s="113"/>
      <c r="AT89" s="113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3">
        <v>0</v>
      </c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104"/>
      <c r="DA89" s="104"/>
      <c r="DB89" s="104"/>
      <c r="DC89" s="104"/>
      <c r="DD89" s="104"/>
      <c r="DE89" s="104"/>
      <c r="DF89" s="104"/>
      <c r="DG89" s="104"/>
      <c r="DH89" s="104"/>
      <c r="DI89" s="104"/>
      <c r="DJ89" s="104"/>
      <c r="DK89" s="104"/>
      <c r="DL89" s="104"/>
      <c r="DM89" s="104"/>
      <c r="DN89" s="104"/>
      <c r="DO89" s="104"/>
      <c r="DP89" s="104"/>
      <c r="DQ89" s="104"/>
      <c r="DR89" s="104"/>
      <c r="DS89" s="104"/>
      <c r="DT89" s="104"/>
      <c r="DU89" s="104"/>
      <c r="DV89" s="104"/>
      <c r="DW89" s="104"/>
      <c r="DX89" s="104"/>
      <c r="DY89" s="104"/>
      <c r="DZ89" s="104"/>
      <c r="EA89" s="104"/>
      <c r="EB89" s="104"/>
      <c r="EC89" s="104"/>
      <c r="ED89" s="104"/>
      <c r="EE89" s="104"/>
      <c r="EF89" s="104"/>
      <c r="EG89" s="104"/>
      <c r="EH89" s="104"/>
      <c r="EI89" s="104"/>
      <c r="EJ89" s="104"/>
      <c r="EK89" s="104"/>
      <c r="EL89" s="104"/>
      <c r="EM89" s="104"/>
      <c r="EN89" s="104"/>
      <c r="EO89" s="104"/>
      <c r="EP89" s="104"/>
      <c r="EQ89" s="104"/>
      <c r="ER89" s="104"/>
      <c r="ES89" s="104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  <c r="FH89" s="104"/>
      <c r="FI89" s="104"/>
      <c r="FJ89" s="104"/>
      <c r="FK89" s="104"/>
      <c r="FL89" s="104"/>
      <c r="FM89" s="104"/>
      <c r="FN89" s="104"/>
      <c r="FO89" s="104"/>
      <c r="FP89" s="104"/>
      <c r="FQ89" s="104"/>
      <c r="FR89" s="104"/>
      <c r="FS89" s="104"/>
      <c r="FT89" s="104"/>
      <c r="FU89" s="104"/>
      <c r="FV89" s="104"/>
      <c r="FW89" s="104"/>
      <c r="FX89" s="104"/>
      <c r="FY89" s="104"/>
      <c r="FZ89" s="104"/>
      <c r="GA89" s="104"/>
      <c r="GB89" s="104"/>
      <c r="GC89" s="104"/>
      <c r="GD89" s="104"/>
      <c r="GE89" s="104"/>
      <c r="GF89" s="104"/>
      <c r="GG89" s="104"/>
      <c r="GH89" s="104"/>
      <c r="GI89" s="104"/>
      <c r="GJ89" s="104"/>
      <c r="GK89" s="104"/>
      <c r="GL89" s="104"/>
      <c r="GM89" s="10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104"/>
      <c r="HR89" s="104"/>
      <c r="HS89" s="104"/>
      <c r="HT89" s="104"/>
      <c r="HU89" s="104"/>
      <c r="HV89" s="104"/>
      <c r="HW89" s="104"/>
      <c r="HX89" s="104"/>
      <c r="HY89" s="104"/>
      <c r="HZ89" s="104"/>
      <c r="IA89" s="104"/>
      <c r="IB89" s="104"/>
      <c r="IC89" s="104"/>
      <c r="ID89" s="104"/>
      <c r="IE89" s="104"/>
      <c r="IF89" s="104"/>
      <c r="IG89" s="104"/>
      <c r="IH89" s="104"/>
      <c r="II89" s="104"/>
      <c r="IJ89" s="104"/>
      <c r="IK89" s="104"/>
      <c r="IL89" s="104"/>
      <c r="IM89" s="104"/>
      <c r="IN89" s="104"/>
      <c r="IO89" s="104"/>
      <c r="IP89" s="104"/>
      <c r="IQ89" s="104"/>
      <c r="IR89" s="104"/>
      <c r="IS89" s="104"/>
      <c r="IT89" s="104"/>
      <c r="IU89" s="104"/>
      <c r="IV89" s="104"/>
      <c r="IW89" s="104"/>
      <c r="IX89" s="104"/>
      <c r="IY89" s="104"/>
      <c r="IZ89" s="104"/>
      <c r="JA89" s="104"/>
      <c r="JB89" s="104"/>
      <c r="JC89" s="104"/>
      <c r="JD89" s="104"/>
      <c r="JE89" s="104"/>
      <c r="JF89" s="104"/>
      <c r="JG89" s="104"/>
      <c r="JH89" s="104"/>
      <c r="JI89" s="104"/>
      <c r="JJ89" s="104"/>
      <c r="JK89" s="104"/>
      <c r="JL89" s="104"/>
      <c r="JM89" s="104"/>
      <c r="JN89" s="104"/>
      <c r="JO89" s="104"/>
      <c r="JP89" s="104"/>
      <c r="JQ89" s="104"/>
      <c r="JR89" s="104"/>
      <c r="JS89" s="104"/>
      <c r="JT89" s="104"/>
      <c r="JU89" s="104"/>
      <c r="JV89" s="104"/>
      <c r="JW89" s="104"/>
      <c r="JX89" s="104"/>
      <c r="JY89" s="104"/>
      <c r="JZ89" s="104"/>
      <c r="KA89" s="104"/>
      <c r="KB89" s="104"/>
      <c r="KC89" s="104"/>
      <c r="KD89" s="104"/>
      <c r="KE89" s="104"/>
      <c r="KF89" s="104"/>
      <c r="KG89" s="104"/>
      <c r="KH89" s="104"/>
      <c r="KI89" s="104"/>
      <c r="KJ89" s="104"/>
      <c r="KK89" s="104"/>
      <c r="KL89" s="104"/>
      <c r="KM89" s="104"/>
      <c r="KN89" s="104"/>
      <c r="KO89" s="104"/>
      <c r="KP89" s="104"/>
      <c r="KQ89" s="104"/>
      <c r="KR89" s="104"/>
      <c r="KS89" s="104"/>
      <c r="KT89" s="104"/>
      <c r="KU89" s="104"/>
      <c r="KV89" s="104"/>
      <c r="KW89" s="104"/>
      <c r="KX89" s="104"/>
      <c r="KY89" s="104"/>
      <c r="KZ89" s="104"/>
      <c r="LA89" s="104"/>
      <c r="LB89" s="104"/>
      <c r="LC89" s="104"/>
      <c r="LD89" s="104"/>
      <c r="LE89" s="104"/>
      <c r="LF89" s="104"/>
      <c r="LG89" s="104"/>
      <c r="LH89" s="104"/>
      <c r="LI89" s="104"/>
      <c r="LJ89" s="104"/>
      <c r="LK89" s="104"/>
      <c r="LL89" s="104"/>
      <c r="LM89" s="104"/>
      <c r="LN89" s="104"/>
      <c r="LO89" s="104"/>
      <c r="LP89" s="104"/>
      <c r="LQ89" s="104"/>
      <c r="LR89" s="104"/>
      <c r="LS89" s="104"/>
      <c r="LT89" s="104"/>
      <c r="LU89" s="104"/>
      <c r="LV89" s="104"/>
      <c r="LW89" s="104"/>
      <c r="LX89" s="104"/>
      <c r="LY89" s="104"/>
      <c r="LZ89" s="104"/>
      <c r="MA89" s="104"/>
      <c r="MB89" s="104"/>
      <c r="MC89" s="104"/>
      <c r="MD89" s="104"/>
      <c r="ME89" s="104"/>
      <c r="MF89" s="104"/>
      <c r="MG89" s="104"/>
      <c r="MH89" s="104"/>
      <c r="MI89" s="104"/>
      <c r="MJ89" s="104"/>
      <c r="MK89" s="104"/>
      <c r="ML89" s="104"/>
      <c r="MM89" s="104"/>
      <c r="MN89" s="104"/>
      <c r="MO89" s="104"/>
      <c r="MP89" s="104"/>
      <c r="MQ89" s="104"/>
      <c r="MR89" s="104"/>
      <c r="MS89" s="104"/>
      <c r="MT89" s="104"/>
      <c r="MU89" s="104"/>
      <c r="MV89" s="104"/>
      <c r="MW89" s="104"/>
      <c r="MX89" s="104"/>
      <c r="MY89" s="104"/>
      <c r="MZ89" s="104"/>
      <c r="NA89" s="104"/>
      <c r="NB89" s="104"/>
      <c r="NC89" s="104"/>
      <c r="ND89" s="104"/>
      <c r="NE89" s="104"/>
      <c r="NF89" s="104"/>
      <c r="NG89" s="104"/>
      <c r="NH89" s="104"/>
      <c r="NI89" s="104"/>
      <c r="NJ89" s="104"/>
      <c r="NK89" s="104"/>
      <c r="NL89" s="104"/>
      <c r="NM89" s="104"/>
      <c r="NN89" s="104"/>
      <c r="NO89" s="104"/>
      <c r="NP89" s="104"/>
      <c r="NQ89" s="104"/>
      <c r="NR89" s="104"/>
      <c r="NS89" s="104"/>
      <c r="NT89" s="104"/>
      <c r="NU89" s="104"/>
      <c r="NV89" s="104"/>
      <c r="NW89" s="104"/>
      <c r="NX89" s="104"/>
      <c r="NY89" s="104"/>
      <c r="NZ89" s="104"/>
      <c r="OA89" s="104"/>
      <c r="OB89" s="104"/>
      <c r="OC89" s="104"/>
      <c r="OD89" s="104"/>
      <c r="OE89" s="104"/>
      <c r="OF89" s="104"/>
      <c r="OG89" s="104"/>
      <c r="OH89" s="104"/>
      <c r="OI89" s="104"/>
      <c r="OJ89" s="104"/>
      <c r="OK89" s="104"/>
      <c r="OL89" s="104"/>
      <c r="OM89" s="104"/>
      <c r="ON89" s="104"/>
      <c r="OO89" s="104"/>
      <c r="OP89" s="104"/>
      <c r="OQ89" s="104"/>
      <c r="OR89" s="104"/>
      <c r="OS89" s="104"/>
      <c r="OT89" s="104"/>
      <c r="OU89" s="104"/>
      <c r="OV89" s="104"/>
      <c r="OW89" s="104"/>
      <c r="OX89" s="104"/>
      <c r="OY89" s="104"/>
      <c r="OZ89" s="104"/>
      <c r="PA89" s="104"/>
      <c r="PB89" s="104"/>
      <c r="PC89" s="104"/>
      <c r="PD89" s="104"/>
      <c r="PE89" s="104"/>
      <c r="PF89" s="104"/>
      <c r="PG89" s="104"/>
      <c r="PH89" s="104"/>
      <c r="PI89" s="104"/>
      <c r="PJ89" s="104"/>
      <c r="PK89" s="104"/>
      <c r="PL89" s="104"/>
      <c r="PM89" s="104"/>
      <c r="PN89" s="104"/>
      <c r="PO89" s="104"/>
      <c r="PP89" s="104"/>
      <c r="PQ89" s="104"/>
      <c r="PR89" s="104"/>
      <c r="PS89" s="104"/>
      <c r="PT89" s="104"/>
      <c r="PU89" s="104"/>
      <c r="PV89" s="104"/>
      <c r="PW89" s="104"/>
      <c r="PX89" s="104"/>
      <c r="PY89" s="104"/>
      <c r="PZ89" s="104"/>
      <c r="QA89" s="104"/>
      <c r="QB89" s="104"/>
      <c r="QC89" s="104"/>
      <c r="QD89" s="104"/>
      <c r="QE89" s="104"/>
      <c r="QF89" s="104"/>
      <c r="QG89" s="104"/>
      <c r="QH89" s="104"/>
      <c r="QI89" s="104"/>
      <c r="QJ89" s="104"/>
      <c r="QK89" s="104"/>
      <c r="QL89" s="104"/>
      <c r="QM89" s="104"/>
      <c r="QN89" s="104"/>
      <c r="QO89" s="104"/>
      <c r="QP89" s="104"/>
      <c r="QQ89" s="104"/>
      <c r="QR89" s="104"/>
      <c r="QS89" s="104"/>
      <c r="QT89" s="104"/>
      <c r="QU89" s="104"/>
      <c r="QV89" s="104"/>
      <c r="QW89" s="104"/>
      <c r="QX89" s="104"/>
      <c r="QY89" s="104"/>
      <c r="QZ89" s="104"/>
      <c r="RA89" s="104"/>
      <c r="RB89" s="104"/>
      <c r="RC89" s="104"/>
      <c r="RD89" s="104"/>
      <c r="RE89" s="104"/>
      <c r="RF89" s="104"/>
      <c r="RG89" s="104"/>
      <c r="RH89" s="104"/>
      <c r="RI89" s="104"/>
      <c r="RJ89" s="104"/>
      <c r="RK89" s="104"/>
      <c r="RL89" s="104"/>
      <c r="RM89" s="104"/>
      <c r="RN89" s="104"/>
      <c r="RO89" s="104"/>
      <c r="RP89" s="104"/>
      <c r="RQ89" s="104"/>
      <c r="RR89" s="104"/>
      <c r="RS89" s="104"/>
      <c r="RT89" s="104"/>
      <c r="RU89" s="104"/>
      <c r="RV89" s="104"/>
      <c r="RW89" s="104"/>
      <c r="RX89" s="104"/>
      <c r="RY89" s="104"/>
      <c r="RZ89" s="104"/>
      <c r="SA89" s="104"/>
      <c r="SB89" s="104"/>
      <c r="SC89" s="104"/>
      <c r="SD89" s="104"/>
      <c r="SE89" s="104"/>
      <c r="SF89" s="104"/>
      <c r="SG89" s="104"/>
      <c r="SH89" s="104"/>
      <c r="SI89" s="104"/>
      <c r="SJ89" s="104"/>
      <c r="SK89" s="104"/>
      <c r="SL89" s="104"/>
      <c r="SM89" s="104"/>
      <c r="SN89" s="104"/>
      <c r="SO89" s="104"/>
      <c r="SP89" s="104"/>
      <c r="SQ89" s="104"/>
      <c r="SR89" s="104"/>
      <c r="SS89" s="104"/>
      <c r="ST89" s="104"/>
      <c r="SU89" s="104"/>
      <c r="SV89" s="104"/>
      <c r="SW89" s="104"/>
      <c r="SX89" s="104"/>
      <c r="SY89" s="104"/>
      <c r="SZ89" s="104"/>
      <c r="TA89" s="104"/>
      <c r="TB89" s="104"/>
      <c r="TC89" s="104"/>
      <c r="TD89" s="104"/>
      <c r="TE89" s="104"/>
      <c r="TF89" s="104"/>
      <c r="TG89" s="104"/>
      <c r="TH89" s="104"/>
      <c r="TI89" s="104"/>
      <c r="TJ89" s="104"/>
      <c r="TK89" s="104"/>
      <c r="TL89" s="104"/>
      <c r="TM89" s="104"/>
      <c r="TN89" s="104"/>
      <c r="TO89" s="104"/>
      <c r="TP89" s="104"/>
      <c r="TQ89" s="104"/>
      <c r="TR89" s="104"/>
      <c r="TS89" s="104"/>
      <c r="TT89" s="104"/>
      <c r="TU89" s="104"/>
      <c r="TV89" s="104"/>
      <c r="TW89" s="104"/>
      <c r="TX89" s="104"/>
      <c r="TY89" s="104"/>
      <c r="TZ89" s="104"/>
      <c r="UA89" s="104"/>
      <c r="UB89" s="104"/>
      <c r="UC89" s="104"/>
      <c r="UD89" s="104"/>
      <c r="UE89" s="104"/>
      <c r="UF89" s="104"/>
      <c r="UG89" s="104"/>
      <c r="UH89" s="104"/>
      <c r="UI89" s="104"/>
      <c r="UJ89" s="104"/>
      <c r="UK89" s="104"/>
      <c r="UL89" s="104"/>
      <c r="UM89" s="104"/>
      <c r="UN89" s="104"/>
      <c r="UO89" s="104"/>
      <c r="UP89" s="104"/>
      <c r="UQ89" s="104"/>
      <c r="UR89" s="104"/>
      <c r="US89" s="104"/>
      <c r="UT89" s="104"/>
      <c r="UU89" s="104"/>
      <c r="UV89" s="104"/>
      <c r="UW89" s="104"/>
      <c r="UX89" s="104"/>
      <c r="UY89" s="104"/>
      <c r="UZ89" s="104"/>
      <c r="VA89" s="104"/>
      <c r="VB89" s="104"/>
      <c r="VC89" s="104"/>
      <c r="VD89" s="104"/>
      <c r="VE89" s="104"/>
      <c r="VF89" s="104"/>
      <c r="VG89" s="104"/>
      <c r="VH89" s="104"/>
      <c r="VI89" s="104"/>
      <c r="VJ89" s="104"/>
      <c r="VK89" s="104"/>
      <c r="VL89" s="104"/>
      <c r="VM89" s="104"/>
      <c r="VN89" s="104"/>
      <c r="VO89" s="104"/>
      <c r="VP89" s="104"/>
      <c r="VQ89" s="104"/>
      <c r="VR89" s="104"/>
      <c r="VS89" s="104"/>
      <c r="VT89" s="104"/>
      <c r="VU89" s="104"/>
      <c r="VV89" s="104"/>
      <c r="VW89" s="104"/>
      <c r="VX89" s="104"/>
      <c r="VY89" s="104"/>
      <c r="VZ89" s="104"/>
      <c r="WA89" s="104"/>
      <c r="WB89" s="104"/>
      <c r="WC89" s="104"/>
      <c r="WD89" s="104"/>
      <c r="WE89" s="104"/>
      <c r="WF89" s="104"/>
      <c r="WG89" s="104"/>
      <c r="WH89" s="104"/>
      <c r="WI89" s="104"/>
      <c r="WJ89" s="104"/>
      <c r="WK89" s="104"/>
      <c r="WL89" s="104"/>
      <c r="WM89" s="104"/>
      <c r="WN89" s="104"/>
      <c r="WO89" s="104"/>
      <c r="WP89" s="104"/>
      <c r="WQ89" s="104"/>
      <c r="WR89" s="104"/>
      <c r="WS89" s="104"/>
      <c r="WT89" s="104"/>
      <c r="WU89" s="104"/>
      <c r="WV89" s="104"/>
      <c r="WW89" s="104"/>
      <c r="WX89" s="104"/>
      <c r="WY89" s="104"/>
      <c r="WZ89" s="104"/>
      <c r="XA89" s="104"/>
      <c r="XB89" s="104"/>
      <c r="XC89" s="104"/>
      <c r="XD89" s="104"/>
      <c r="XE89" s="104"/>
      <c r="XF89" s="104"/>
      <c r="XG89" s="104"/>
      <c r="XH89" s="104"/>
      <c r="XI89" s="104"/>
      <c r="XJ89" s="104"/>
      <c r="XK89" s="104"/>
      <c r="XL89" s="104"/>
      <c r="XM89" s="104"/>
      <c r="XN89" s="104"/>
      <c r="XO89" s="104"/>
      <c r="XP89" s="104"/>
      <c r="XQ89" s="104"/>
      <c r="XR89" s="104"/>
      <c r="XS89" s="104"/>
      <c r="XT89" s="104"/>
      <c r="XU89" s="104"/>
      <c r="XV89" s="104"/>
      <c r="XW89" s="104"/>
      <c r="XX89" s="104"/>
      <c r="XY89" s="104"/>
      <c r="XZ89" s="104"/>
      <c r="YA89" s="104"/>
      <c r="YB89" s="104"/>
      <c r="YC89" s="104"/>
      <c r="YD89" s="104"/>
      <c r="YE89" s="104"/>
      <c r="YF89" s="104"/>
      <c r="YG89" s="104"/>
      <c r="YH89" s="104"/>
      <c r="YI89" s="104"/>
      <c r="YJ89" s="104"/>
      <c r="YK89" s="104"/>
      <c r="YL89" s="104"/>
      <c r="YM89" s="104"/>
      <c r="YN89" s="104"/>
      <c r="YO89" s="104"/>
      <c r="YP89" s="104"/>
      <c r="YQ89" s="104"/>
      <c r="YR89" s="104"/>
      <c r="YS89" s="104"/>
      <c r="YT89" s="104"/>
      <c r="YU89" s="104"/>
      <c r="YV89" s="104"/>
      <c r="YW89" s="104"/>
      <c r="YX89" s="104"/>
      <c r="YY89" s="104"/>
      <c r="YZ89" s="104"/>
      <c r="ZA89" s="104"/>
      <c r="ZB89" s="104"/>
      <c r="ZC89" s="104"/>
      <c r="ZD89" s="104"/>
      <c r="ZE89" s="104"/>
      <c r="ZF89" s="104"/>
      <c r="ZG89" s="104"/>
      <c r="ZH89" s="104"/>
      <c r="ZI89" s="104"/>
      <c r="ZJ89" s="104"/>
      <c r="ZK89" s="104"/>
      <c r="ZL89" s="104"/>
      <c r="ZM89" s="104"/>
      <c r="ZN89" s="104"/>
      <c r="ZO89" s="104"/>
      <c r="ZP89" s="104"/>
      <c r="ZQ89" s="104"/>
      <c r="ZR89" s="104"/>
      <c r="ZS89" s="104"/>
      <c r="ZT89" s="104"/>
      <c r="ZU89" s="104"/>
      <c r="ZV89" s="104"/>
      <c r="ZW89" s="104"/>
      <c r="ZX89" s="104"/>
      <c r="ZY89" s="104"/>
      <c r="ZZ89" s="104"/>
      <c r="AAA89" s="104"/>
      <c r="AAB89" s="104"/>
      <c r="AAC89" s="104"/>
      <c r="AAD89" s="104"/>
      <c r="AAE89" s="104"/>
      <c r="AAF89" s="104"/>
      <c r="AAG89" s="104"/>
      <c r="AAH89" s="104"/>
      <c r="AAI89" s="104"/>
      <c r="AAJ89" s="104"/>
      <c r="AAK89" s="104"/>
      <c r="AAL89" s="104"/>
      <c r="AAM89" s="104"/>
      <c r="AAN89" s="104"/>
      <c r="AAO89" s="104"/>
      <c r="AAP89" s="104"/>
      <c r="AAQ89" s="104"/>
      <c r="AAR89" s="104"/>
      <c r="AAS89" s="104"/>
      <c r="AAT89" s="104"/>
      <c r="AAU89" s="104"/>
      <c r="AAV89" s="104"/>
      <c r="AAW89" s="104"/>
      <c r="AAX89" s="104"/>
      <c r="AAY89" s="104"/>
      <c r="AAZ89" s="104"/>
      <c r="ABA89" s="104"/>
      <c r="ABB89" s="104"/>
      <c r="ABC89" s="104"/>
      <c r="ABD89" s="104"/>
      <c r="ABE89" s="104"/>
      <c r="ABF89" s="104"/>
      <c r="ABG89" s="104"/>
      <c r="ABH89" s="104"/>
      <c r="ABI89" s="104"/>
      <c r="ABJ89" s="104"/>
      <c r="ABK89" s="104"/>
      <c r="ABL89" s="104"/>
      <c r="ABM89" s="104"/>
      <c r="ABN89" s="104"/>
      <c r="ABO89" s="104"/>
      <c r="ABP89" s="104"/>
      <c r="ABQ89" s="104"/>
      <c r="ABR89" s="104"/>
      <c r="ABS89" s="104"/>
      <c r="ABT89" s="104"/>
      <c r="ABU89" s="104"/>
      <c r="ABV89" s="104"/>
      <c r="ABW89" s="104"/>
      <c r="ABX89" s="104"/>
      <c r="ABY89" s="104"/>
      <c r="ABZ89" s="104"/>
      <c r="ACA89" s="104"/>
      <c r="ACB89" s="104"/>
      <c r="ACC89" s="104"/>
      <c r="ACD89" s="104"/>
      <c r="ACE89" s="104"/>
      <c r="ACF89" s="104"/>
      <c r="ACG89" s="104"/>
      <c r="ACH89" s="104"/>
      <c r="ACI89" s="104"/>
      <c r="ACJ89" s="104"/>
      <c r="ACK89" s="104"/>
      <c r="ACL89" s="104"/>
      <c r="ACM89" s="104"/>
      <c r="ACN89" s="104"/>
      <c r="ACO89" s="104"/>
      <c r="ACP89" s="104"/>
      <c r="ACQ89" s="104"/>
      <c r="ACR89" s="104"/>
      <c r="ACS89" s="104"/>
      <c r="ACT89" s="104"/>
      <c r="ACU89" s="104"/>
      <c r="ACV89" s="104"/>
      <c r="ACW89" s="104"/>
      <c r="ACX89" s="104"/>
      <c r="ACY89" s="104"/>
      <c r="ACZ89" s="104"/>
      <c r="ADA89" s="104"/>
      <c r="ADB89" s="104"/>
      <c r="ADC89" s="104"/>
      <c r="ADD89" s="104"/>
      <c r="ADE89" s="104"/>
      <c r="ADF89" s="104"/>
      <c r="ADG89" s="104"/>
      <c r="ADH89" s="104"/>
      <c r="ADI89" s="104"/>
      <c r="ADJ89" s="104"/>
      <c r="ADK89" s="104"/>
      <c r="ADL89" s="104"/>
      <c r="ADM89" s="104"/>
      <c r="ADN89" s="104"/>
      <c r="ADO89" s="104"/>
      <c r="ADP89" s="104"/>
      <c r="ADQ89" s="104"/>
      <c r="ADR89" s="104"/>
      <c r="ADS89" s="104"/>
      <c r="ADT89" s="104"/>
      <c r="ADU89" s="104"/>
      <c r="ADV89" s="104"/>
      <c r="ADW89" s="104"/>
      <c r="ADX89" s="104"/>
      <c r="ADY89" s="104"/>
      <c r="ADZ89" s="104"/>
      <c r="AEA89" s="104"/>
      <c r="AEB89" s="104"/>
      <c r="AEC89" s="104"/>
      <c r="AED89" s="104"/>
      <c r="AEE89" s="104"/>
      <c r="AEF89" s="104"/>
      <c r="AEG89" s="104"/>
      <c r="AEH89" s="104"/>
      <c r="AEI89" s="104"/>
      <c r="AEJ89" s="104"/>
      <c r="AEK89" s="104"/>
      <c r="AEL89" s="104"/>
      <c r="AEM89" s="104"/>
      <c r="AEN89" s="104"/>
      <c r="AEO89" s="104"/>
      <c r="AEP89" s="104"/>
      <c r="AEQ89" s="104"/>
      <c r="AER89" s="104"/>
      <c r="AES89" s="104"/>
      <c r="AET89" s="104"/>
      <c r="AEU89" s="104"/>
      <c r="AEV89" s="104"/>
      <c r="AEW89" s="104"/>
      <c r="AEX89" s="104"/>
      <c r="AEY89" s="104"/>
      <c r="AEZ89" s="104"/>
      <c r="AFA89" s="104"/>
      <c r="AFB89" s="104"/>
      <c r="AFC89" s="104"/>
      <c r="AFD89" s="104"/>
      <c r="AFE89" s="104"/>
      <c r="AFF89" s="104"/>
      <c r="AFG89" s="104"/>
      <c r="AFH89" s="104"/>
      <c r="AFI89" s="104"/>
      <c r="AFJ89" s="104"/>
      <c r="AFK89" s="104"/>
      <c r="AFL89" s="104"/>
      <c r="AFM89" s="104"/>
      <c r="AFN89" s="104"/>
      <c r="AFO89" s="104"/>
      <c r="AFP89" s="104"/>
      <c r="AFQ89" s="104"/>
      <c r="AFR89" s="104"/>
      <c r="AFS89" s="104"/>
      <c r="AFT89" s="104"/>
      <c r="AFU89" s="104"/>
      <c r="AFV89" s="104"/>
      <c r="AFW89" s="104"/>
      <c r="AFX89" s="104"/>
      <c r="AFY89" s="104"/>
      <c r="AFZ89" s="104"/>
      <c r="AGA89" s="104"/>
      <c r="AGB89" s="104"/>
      <c r="AGC89" s="104"/>
      <c r="AGD89" s="104"/>
      <c r="AGE89" s="104"/>
      <c r="AGF89" s="104"/>
      <c r="AGG89" s="104"/>
      <c r="AGH89" s="104"/>
      <c r="AGI89" s="104"/>
      <c r="AGJ89" s="104"/>
      <c r="AGK89" s="104"/>
      <c r="AGL89" s="104"/>
      <c r="AGM89" s="104"/>
      <c r="AGN89" s="104"/>
      <c r="AGO89" s="104"/>
      <c r="AGP89" s="104"/>
      <c r="AGQ89" s="104"/>
      <c r="AGR89" s="104"/>
      <c r="AGS89" s="104"/>
      <c r="AGT89" s="104"/>
      <c r="AGU89" s="104"/>
      <c r="AGV89" s="104"/>
      <c r="AGW89" s="104"/>
      <c r="AGX89" s="104"/>
      <c r="AGY89" s="104"/>
      <c r="AGZ89" s="104"/>
      <c r="AHA89" s="104"/>
      <c r="AHB89" s="104"/>
      <c r="AHC89" s="104"/>
      <c r="AHD89" s="104"/>
      <c r="AHE89" s="104"/>
      <c r="AHF89" s="104"/>
      <c r="AHG89" s="104"/>
      <c r="AHH89" s="104"/>
      <c r="AHI89" s="104"/>
      <c r="AHJ89" s="104"/>
      <c r="AHK89" s="104"/>
      <c r="AHL89" s="104"/>
      <c r="AHM89" s="104"/>
      <c r="AHN89" s="104"/>
      <c r="AHO89" s="104"/>
      <c r="AHP89" s="104"/>
      <c r="AHQ89" s="104"/>
      <c r="AHR89" s="104"/>
      <c r="AHS89" s="104"/>
      <c r="AHT89" s="104"/>
      <c r="AHU89" s="104"/>
      <c r="AHV89" s="104"/>
      <c r="AHW89" s="104"/>
      <c r="AHX89" s="104"/>
      <c r="AHY89" s="104"/>
      <c r="AHZ89" s="104"/>
      <c r="AIA89" s="104"/>
      <c r="AIB89" s="104"/>
      <c r="AIC89" s="104"/>
      <c r="AID89" s="104"/>
      <c r="AIE89" s="104"/>
      <c r="AIF89" s="104"/>
      <c r="AIG89" s="104"/>
      <c r="AIH89" s="104"/>
      <c r="AII89" s="104"/>
      <c r="AIJ89" s="104"/>
      <c r="AIK89" s="104"/>
      <c r="AIL89" s="104"/>
      <c r="AIM89" s="104"/>
      <c r="AIN89" s="104"/>
      <c r="AIO89" s="104"/>
      <c r="AIP89" s="104"/>
      <c r="AIQ89" s="104"/>
      <c r="AIR89" s="104"/>
      <c r="AIS89" s="104"/>
      <c r="AIT89" s="104"/>
      <c r="AIU89" s="104"/>
      <c r="AIV89" s="104"/>
      <c r="AIW89" s="104"/>
      <c r="AIX89" s="104"/>
      <c r="AIY89" s="104"/>
      <c r="AIZ89" s="104"/>
      <c r="AJA89" s="104"/>
      <c r="AJB89" s="104"/>
      <c r="AJC89" s="104"/>
      <c r="AJD89" s="104"/>
      <c r="AJE89" s="104"/>
      <c r="AJF89" s="104"/>
      <c r="AJG89" s="104"/>
      <c r="AJH89" s="104"/>
      <c r="AJI89" s="104"/>
      <c r="AJJ89" s="104"/>
      <c r="AJK89" s="104"/>
      <c r="AJL89" s="104"/>
      <c r="AJM89" s="104"/>
      <c r="AJN89" s="104"/>
      <c r="AJO89" s="104"/>
      <c r="AJP89" s="104"/>
      <c r="AJQ89" s="104"/>
      <c r="AJR89" s="104"/>
      <c r="AJS89" s="104"/>
      <c r="AJT89" s="104"/>
      <c r="AJU89" s="104"/>
      <c r="AJV89" s="104"/>
      <c r="AJW89" s="104"/>
      <c r="AJX89" s="104"/>
      <c r="AJY89" s="104"/>
      <c r="AJZ89" s="104"/>
      <c r="AKA89" s="104"/>
      <c r="AKB89" s="104"/>
      <c r="AKC89" s="104"/>
      <c r="AKD89" s="104"/>
      <c r="AKE89" s="104"/>
      <c r="AKF89" s="104"/>
      <c r="AKG89" s="104"/>
      <c r="AKH89" s="104"/>
      <c r="AKI89" s="104"/>
      <c r="AKJ89" s="104"/>
      <c r="AKK89" s="104"/>
      <c r="AKL89" s="104"/>
      <c r="AKM89" s="104"/>
      <c r="AKN89" s="104"/>
      <c r="AKO89" s="104"/>
      <c r="AKP89" s="104"/>
      <c r="AKQ89" s="104"/>
      <c r="AKR89" s="104"/>
      <c r="AKS89" s="104"/>
      <c r="AKT89" s="104"/>
      <c r="AKU89" s="104"/>
      <c r="AKV89" s="104"/>
      <c r="AKW89" s="104"/>
      <c r="AKX89" s="104"/>
      <c r="AKY89" s="104"/>
      <c r="AKZ89" s="104"/>
      <c r="ALA89" s="104"/>
      <c r="ALB89" s="104"/>
      <c r="ALC89" s="104"/>
      <c r="ALD89" s="104"/>
      <c r="ALE89" s="104"/>
      <c r="ALF89" s="104"/>
      <c r="ALG89" s="104"/>
      <c r="ALH89" s="104"/>
      <c r="ALI89" s="104"/>
      <c r="ALJ89" s="104"/>
      <c r="ALK89" s="104"/>
      <c r="ALL89" s="104"/>
      <c r="ALM89" s="104"/>
      <c r="ALN89" s="104"/>
      <c r="ALO89" s="104"/>
      <c r="ALP89" s="104"/>
      <c r="ALQ89" s="104"/>
      <c r="ALR89" s="104"/>
      <c r="ALS89" s="104"/>
      <c r="ALT89" s="104"/>
      <c r="ALU89" s="104"/>
      <c r="ALV89" s="104"/>
      <c r="ALW89" s="104"/>
      <c r="ALX89" s="104"/>
      <c r="ALY89" s="104"/>
      <c r="ALZ89" s="104"/>
      <c r="AMA89" s="104"/>
      <c r="AMB89" s="104"/>
      <c r="AMC89" s="104"/>
      <c r="AMD89" s="104"/>
      <c r="AME89" s="104"/>
      <c r="AMF89" s="104"/>
      <c r="AMG89" s="104"/>
      <c r="AMH89" s="104"/>
      <c r="AMI89" s="104"/>
      <c r="AMJ89" s="104"/>
      <c r="AMK89" s="104"/>
      <c r="AML89" s="104"/>
      <c r="AMM89" s="104"/>
      <c r="AMN89" s="104"/>
      <c r="AMO89" s="104"/>
      <c r="AMP89" s="104"/>
      <c r="AMQ89" s="104"/>
      <c r="AMR89" s="104"/>
      <c r="AMS89" s="104"/>
      <c r="AMT89" s="104"/>
      <c r="AMU89" s="104"/>
      <c r="AMV89" s="104"/>
      <c r="AMW89" s="104"/>
      <c r="AMX89" s="104"/>
      <c r="AMY89" s="104"/>
      <c r="AMZ89" s="104"/>
      <c r="ANA89" s="104"/>
      <c r="ANB89" s="104"/>
      <c r="ANC89" s="104"/>
      <c r="AND89" s="104"/>
      <c r="ANE89" s="104"/>
      <c r="ANF89" s="104"/>
      <c r="ANG89" s="104"/>
      <c r="ANH89" s="104"/>
      <c r="ANI89" s="104"/>
      <c r="ANJ89" s="104"/>
      <c r="ANK89" s="104"/>
      <c r="ANL89" s="104"/>
      <c r="ANM89" s="104"/>
      <c r="ANN89" s="104"/>
      <c r="ANO89" s="104"/>
      <c r="ANP89" s="104"/>
      <c r="ANQ89" s="104"/>
      <c r="ANR89" s="104"/>
      <c r="ANS89" s="104"/>
      <c r="ANT89" s="104"/>
      <c r="ANU89" s="104"/>
      <c r="ANV89" s="104"/>
      <c r="ANW89" s="104"/>
      <c r="ANX89" s="104"/>
      <c r="ANY89" s="104"/>
      <c r="ANZ89" s="104"/>
      <c r="AOA89" s="104"/>
      <c r="AOB89" s="104"/>
      <c r="AOC89" s="104"/>
      <c r="AOD89" s="104"/>
      <c r="AOE89" s="104"/>
      <c r="AOF89" s="104"/>
      <c r="AOG89" s="104"/>
      <c r="AOH89" s="104"/>
      <c r="AOI89" s="104"/>
      <c r="AOJ89" s="104"/>
      <c r="AOK89" s="104"/>
      <c r="AOL89" s="104"/>
      <c r="AOM89" s="104"/>
      <c r="AON89" s="104"/>
      <c r="AOO89" s="104"/>
      <c r="AOP89" s="104"/>
      <c r="AOQ89" s="104"/>
      <c r="AOR89" s="104"/>
      <c r="AOS89" s="104"/>
      <c r="AOT89" s="104"/>
      <c r="AOU89" s="104"/>
      <c r="AOV89" s="104"/>
      <c r="AOW89" s="104"/>
      <c r="AOX89" s="104"/>
      <c r="AOY89" s="104"/>
      <c r="AOZ89" s="104"/>
      <c r="APA89" s="104"/>
      <c r="APB89" s="104"/>
      <c r="APC89" s="104"/>
      <c r="APD89" s="104"/>
      <c r="APE89" s="104"/>
      <c r="APF89" s="104"/>
      <c r="APG89" s="104"/>
      <c r="APH89" s="104"/>
      <c r="API89" s="104"/>
      <c r="APJ89" s="104"/>
      <c r="APK89" s="104"/>
      <c r="APL89" s="104"/>
      <c r="APM89" s="104"/>
      <c r="APN89" s="104"/>
      <c r="APO89" s="104"/>
      <c r="APP89" s="104"/>
      <c r="APQ89" s="104"/>
      <c r="APR89" s="104"/>
      <c r="APS89" s="104"/>
      <c r="APT89" s="104"/>
      <c r="APU89" s="104"/>
      <c r="APV89" s="104"/>
      <c r="APW89" s="104"/>
      <c r="APX89" s="104"/>
      <c r="APY89" s="104"/>
      <c r="APZ89" s="104"/>
      <c r="AQA89" s="104"/>
      <c r="AQB89" s="104"/>
      <c r="AQC89" s="104"/>
      <c r="AQD89" s="104"/>
      <c r="AQE89" s="104"/>
      <c r="AQF89" s="104"/>
      <c r="AQG89" s="104"/>
      <c r="AQH89" s="104"/>
      <c r="AQI89" s="104"/>
      <c r="AQJ89" s="104"/>
      <c r="AQK89" s="104"/>
      <c r="AQL89" s="104"/>
      <c r="AQM89" s="104"/>
      <c r="AQN89" s="104"/>
      <c r="AQO89" s="104"/>
      <c r="AQP89" s="104"/>
      <c r="AQQ89" s="104"/>
      <c r="AQR89" s="104"/>
      <c r="AQS89" s="104"/>
      <c r="AQT89" s="104"/>
      <c r="AQU89" s="104"/>
      <c r="AQV89" s="104"/>
      <c r="AQW89" s="104"/>
      <c r="AQX89" s="104"/>
      <c r="AQY89" s="104"/>
      <c r="AQZ89" s="104"/>
      <c r="ARA89" s="104"/>
      <c r="ARB89" s="104"/>
      <c r="ARC89" s="104"/>
      <c r="ARD89" s="104"/>
      <c r="ARE89" s="104"/>
      <c r="ARF89" s="104"/>
      <c r="ARG89" s="104"/>
      <c r="ARH89" s="104"/>
      <c r="ARI89" s="104"/>
      <c r="ARJ89" s="104"/>
      <c r="ARK89" s="104"/>
      <c r="ARL89" s="104"/>
      <c r="ARM89" s="104"/>
      <c r="ARN89" s="104"/>
      <c r="ARO89" s="104"/>
      <c r="ARP89" s="104"/>
      <c r="ARQ89" s="104"/>
      <c r="ARR89" s="104"/>
      <c r="ARS89" s="104"/>
      <c r="ART89" s="104"/>
      <c r="ARU89" s="104"/>
      <c r="ARV89" s="104"/>
      <c r="ARW89" s="104"/>
      <c r="ARX89" s="104"/>
      <c r="ARY89" s="104"/>
      <c r="ARZ89" s="104"/>
      <c r="ASA89" s="104"/>
      <c r="ASB89" s="104"/>
      <c r="ASC89" s="104"/>
      <c r="ASD89" s="104"/>
      <c r="ASE89" s="104"/>
      <c r="ASF89" s="104"/>
      <c r="ASG89" s="104"/>
      <c r="ASH89" s="104"/>
      <c r="ASI89" s="104"/>
      <c r="ASJ89" s="104"/>
      <c r="ASK89" s="104"/>
      <c r="ASL89" s="104"/>
      <c r="ASM89" s="104"/>
      <c r="ASN89" s="104"/>
      <c r="ASO89" s="104"/>
      <c r="ASP89" s="104"/>
      <c r="ASQ89" s="104"/>
      <c r="ASR89" s="104"/>
      <c r="ASS89" s="104"/>
      <c r="AST89" s="104"/>
      <c r="ASU89" s="104"/>
      <c r="ASV89" s="104"/>
      <c r="ASW89" s="104"/>
      <c r="ASX89" s="104"/>
      <c r="ASY89" s="104"/>
      <c r="ASZ89" s="104"/>
      <c r="ATA89" s="104"/>
      <c r="ATB89" s="104"/>
      <c r="ATC89" s="104"/>
      <c r="ATD89" s="104"/>
      <c r="ATE89" s="104"/>
      <c r="ATF89" s="104"/>
      <c r="ATG89" s="104"/>
      <c r="ATH89" s="104"/>
      <c r="ATI89" s="104"/>
      <c r="ATJ89" s="104"/>
      <c r="ATK89" s="104"/>
      <c r="ATL89" s="104"/>
      <c r="ATM89" s="104"/>
      <c r="ATN89" s="104"/>
      <c r="ATO89" s="104"/>
      <c r="ATP89" s="104"/>
      <c r="ATQ89" s="104"/>
      <c r="ATR89" s="104"/>
      <c r="ATS89" s="104"/>
      <c r="ATT89" s="104"/>
      <c r="ATU89" s="104"/>
      <c r="ATV89" s="104"/>
      <c r="ATW89" s="104"/>
      <c r="ATX89" s="104"/>
      <c r="ATY89" s="104"/>
      <c r="ATZ89" s="104"/>
      <c r="AUA89" s="104"/>
      <c r="AUB89" s="104"/>
      <c r="AUC89" s="104"/>
      <c r="AUD89" s="104"/>
      <c r="AUE89" s="104"/>
      <c r="AUF89" s="104"/>
      <c r="AUG89" s="104"/>
      <c r="AUH89" s="104"/>
      <c r="AUI89" s="104"/>
      <c r="AUJ89" s="104"/>
      <c r="AUK89" s="104"/>
      <c r="AUL89" s="104"/>
      <c r="AUM89" s="104"/>
      <c r="AUN89" s="104"/>
      <c r="AUO89" s="104"/>
      <c r="AUP89" s="104"/>
      <c r="AUQ89" s="104"/>
      <c r="AUR89" s="104"/>
      <c r="AUS89" s="104"/>
      <c r="AUT89" s="104"/>
      <c r="AUU89" s="104"/>
      <c r="AUV89" s="104"/>
      <c r="AUW89" s="104"/>
      <c r="AUX89" s="104"/>
      <c r="AUY89" s="104"/>
      <c r="AUZ89" s="104"/>
      <c r="AVA89" s="104"/>
      <c r="AVB89" s="104"/>
      <c r="AVC89" s="104"/>
      <c r="AVD89" s="104"/>
      <c r="AVE89" s="104"/>
      <c r="AVF89" s="104"/>
      <c r="AVG89" s="104"/>
      <c r="AVH89" s="104"/>
      <c r="AVI89" s="104"/>
      <c r="AVJ89" s="104"/>
      <c r="AVK89" s="104"/>
      <c r="AVL89" s="104"/>
      <c r="AVM89" s="104"/>
      <c r="AVN89" s="104"/>
      <c r="AVO89" s="104"/>
      <c r="AVP89" s="104"/>
      <c r="AVQ89" s="104"/>
      <c r="AVR89" s="104"/>
      <c r="AVS89" s="104"/>
      <c r="AVT89" s="104"/>
      <c r="AVU89" s="104"/>
      <c r="AVV89" s="104"/>
      <c r="AVW89" s="104"/>
      <c r="AVX89" s="104"/>
      <c r="AVY89" s="104"/>
      <c r="AVZ89" s="104"/>
      <c r="AWA89" s="104"/>
      <c r="AWB89" s="104"/>
      <c r="AWC89" s="104"/>
      <c r="AWD89" s="104"/>
      <c r="AWE89" s="104"/>
      <c r="AWF89" s="104"/>
      <c r="AWG89" s="104"/>
      <c r="AWH89" s="104"/>
      <c r="AWI89" s="104"/>
      <c r="AWJ89" s="104"/>
      <c r="AWK89" s="104"/>
      <c r="AWL89" s="104"/>
      <c r="AWM89" s="104"/>
      <c r="AWN89" s="104"/>
      <c r="AWO89" s="104"/>
      <c r="AWP89" s="104"/>
      <c r="AWQ89" s="104"/>
      <c r="AWR89" s="104"/>
      <c r="AWS89" s="104"/>
      <c r="AWT89" s="104"/>
      <c r="AWU89" s="104"/>
      <c r="AWV89" s="104"/>
      <c r="AWW89" s="104"/>
      <c r="AWX89" s="104"/>
      <c r="AWY89" s="104"/>
      <c r="AWZ89" s="104"/>
      <c r="AXA89" s="104"/>
      <c r="AXB89" s="104"/>
      <c r="AXC89" s="104"/>
      <c r="AXD89" s="104"/>
      <c r="AXE89" s="104"/>
      <c r="AXF89" s="104"/>
      <c r="AXG89" s="104"/>
      <c r="AXH89" s="104"/>
      <c r="AXI89" s="104"/>
      <c r="AXJ89" s="104"/>
      <c r="AXK89" s="104"/>
      <c r="AXL89" s="104"/>
      <c r="AXM89" s="104"/>
      <c r="AXN89" s="104"/>
      <c r="AXO89" s="104"/>
      <c r="AXP89" s="104"/>
      <c r="AXQ89" s="104"/>
      <c r="AXR89" s="104"/>
      <c r="AXS89" s="104"/>
      <c r="AXT89" s="104"/>
      <c r="AXU89" s="104"/>
      <c r="AXV89" s="104"/>
      <c r="AXW89" s="104"/>
      <c r="AXX89" s="104"/>
      <c r="AXY89" s="104"/>
      <c r="AXZ89" s="104"/>
      <c r="AYA89" s="104"/>
      <c r="AYB89" s="104"/>
      <c r="AYC89" s="104"/>
      <c r="AYD89" s="104"/>
      <c r="AYE89" s="104"/>
      <c r="AYF89" s="104"/>
      <c r="AYG89" s="104"/>
      <c r="AYH89" s="104"/>
      <c r="AYI89" s="104"/>
      <c r="AYJ89" s="104"/>
      <c r="AYK89" s="104"/>
      <c r="AYL89" s="104"/>
      <c r="AYM89" s="104"/>
      <c r="AYN89" s="104"/>
      <c r="AYO89" s="104"/>
      <c r="AYP89" s="104"/>
      <c r="AYQ89" s="104"/>
      <c r="AYR89" s="104"/>
      <c r="AYS89" s="104"/>
      <c r="AYT89" s="104"/>
      <c r="AYU89" s="104"/>
      <c r="AYV89" s="104"/>
      <c r="AYW89" s="104"/>
      <c r="AYX89" s="104"/>
      <c r="AYY89" s="104"/>
      <c r="AYZ89" s="104"/>
      <c r="AZA89" s="104"/>
      <c r="AZB89" s="104"/>
      <c r="AZC89" s="104"/>
      <c r="AZD89" s="104"/>
      <c r="AZE89" s="104"/>
      <c r="AZF89" s="104"/>
      <c r="AZG89" s="104"/>
      <c r="AZH89" s="104"/>
      <c r="AZI89" s="104"/>
      <c r="AZJ89" s="104"/>
      <c r="AZK89" s="104"/>
      <c r="AZL89" s="104"/>
      <c r="AZM89" s="104"/>
      <c r="AZN89" s="104"/>
      <c r="AZO89" s="104"/>
      <c r="AZP89" s="104"/>
      <c r="AZQ89" s="104"/>
      <c r="AZR89" s="104"/>
      <c r="AZS89" s="104"/>
      <c r="AZT89" s="104"/>
      <c r="AZU89" s="104"/>
      <c r="AZV89" s="104"/>
      <c r="AZW89" s="104"/>
      <c r="AZX89" s="104"/>
      <c r="AZY89" s="104"/>
      <c r="AZZ89" s="104"/>
      <c r="BAA89" s="104"/>
      <c r="BAB89" s="104"/>
      <c r="BAC89" s="104"/>
      <c r="BAD89" s="104"/>
      <c r="BAE89" s="104"/>
      <c r="BAF89" s="104"/>
      <c r="BAG89" s="104"/>
      <c r="BAH89" s="104"/>
      <c r="BAI89" s="104"/>
      <c r="BAJ89" s="104"/>
      <c r="BAK89" s="104"/>
      <c r="BAL89" s="104"/>
      <c r="BAM89" s="104"/>
      <c r="BAN89" s="104"/>
      <c r="BAO89" s="104"/>
      <c r="BAP89" s="104"/>
      <c r="BAQ89" s="104"/>
      <c r="BAR89" s="104"/>
      <c r="BAS89" s="104"/>
      <c r="BAT89" s="104"/>
      <c r="BAU89" s="104"/>
      <c r="BAV89" s="104"/>
      <c r="BAW89" s="104"/>
      <c r="BAX89" s="104"/>
      <c r="BAY89" s="104"/>
      <c r="BAZ89" s="104"/>
      <c r="BBA89" s="104"/>
      <c r="BBB89" s="104"/>
      <c r="BBC89" s="104"/>
      <c r="BBD89" s="104"/>
      <c r="BBE89" s="104"/>
      <c r="BBF89" s="104"/>
      <c r="BBG89" s="104"/>
      <c r="BBH89" s="104"/>
      <c r="BBI89" s="104"/>
      <c r="BBJ89" s="104"/>
      <c r="BBK89" s="104"/>
      <c r="BBL89" s="104"/>
      <c r="BBM89" s="104"/>
      <c r="BBN89" s="104"/>
      <c r="BBO89" s="104"/>
      <c r="BBP89" s="104"/>
      <c r="BBQ89" s="104"/>
      <c r="BBR89" s="104"/>
      <c r="BBS89" s="104"/>
      <c r="BBT89" s="104"/>
      <c r="BBU89" s="104"/>
      <c r="BBV89" s="104"/>
      <c r="BBW89" s="104"/>
      <c r="BBX89" s="104"/>
      <c r="BBY89" s="104"/>
      <c r="BBZ89" s="104"/>
      <c r="BCA89" s="104"/>
      <c r="BCB89" s="104"/>
      <c r="BCC89" s="104"/>
      <c r="BCD89" s="104"/>
      <c r="BCE89" s="104"/>
      <c r="BCF89" s="104"/>
      <c r="BCG89" s="104"/>
      <c r="BCH89" s="104"/>
      <c r="BCI89" s="104"/>
      <c r="BCJ89" s="104"/>
      <c r="BCK89" s="104"/>
      <c r="BCL89" s="104"/>
      <c r="BCM89" s="104"/>
      <c r="BCN89" s="104"/>
      <c r="BCO89" s="104"/>
      <c r="BCP89" s="104"/>
      <c r="BCQ89" s="104"/>
      <c r="BCR89" s="104"/>
      <c r="BCS89" s="104"/>
      <c r="BCT89" s="104"/>
      <c r="BCU89" s="104"/>
      <c r="BCV89" s="104"/>
      <c r="BCW89" s="104"/>
      <c r="BCX89" s="104"/>
      <c r="BCY89" s="104"/>
      <c r="BCZ89" s="104"/>
      <c r="BDA89" s="104"/>
      <c r="BDB89" s="104"/>
      <c r="BDC89" s="104"/>
      <c r="BDD89" s="104"/>
      <c r="BDE89" s="104"/>
      <c r="BDF89" s="104"/>
      <c r="BDG89" s="104"/>
      <c r="BDH89" s="104"/>
      <c r="BDI89" s="104"/>
      <c r="BDJ89" s="104"/>
      <c r="BDK89" s="104"/>
      <c r="BDL89" s="104"/>
      <c r="BDM89" s="104"/>
      <c r="BDN89" s="104"/>
      <c r="BDO89" s="104"/>
      <c r="BDP89" s="104"/>
      <c r="BDQ89" s="104"/>
      <c r="BDR89" s="104"/>
      <c r="BDS89" s="104"/>
      <c r="BDT89" s="104"/>
      <c r="BDU89" s="104"/>
      <c r="BDV89" s="104"/>
      <c r="BDW89" s="104"/>
      <c r="BDX89" s="104"/>
      <c r="BDY89" s="104"/>
      <c r="BDZ89" s="104"/>
      <c r="BEA89" s="104"/>
      <c r="BEB89" s="104"/>
      <c r="BEC89" s="104"/>
      <c r="BED89" s="104"/>
      <c r="BEE89" s="104"/>
      <c r="BEF89" s="104"/>
      <c r="BEG89" s="104"/>
      <c r="BEH89" s="104"/>
      <c r="BEI89" s="104"/>
      <c r="BEJ89" s="104"/>
      <c r="BEK89" s="104"/>
      <c r="BEL89" s="104"/>
      <c r="BEM89" s="104"/>
      <c r="BEN89" s="104"/>
      <c r="BEO89" s="104"/>
      <c r="BEP89" s="104"/>
      <c r="BEQ89" s="104"/>
      <c r="BER89" s="104"/>
      <c r="BES89" s="104"/>
      <c r="BET89" s="104"/>
      <c r="BEU89" s="104"/>
      <c r="BEV89" s="104"/>
      <c r="BEW89" s="104"/>
      <c r="BEX89" s="104"/>
      <c r="BEY89" s="104"/>
      <c r="BEZ89" s="104"/>
      <c r="BFA89" s="104"/>
      <c r="BFB89" s="104"/>
      <c r="BFC89" s="104"/>
      <c r="BFD89" s="104"/>
      <c r="BFE89" s="104"/>
      <c r="BFF89" s="104"/>
      <c r="BFG89" s="104"/>
      <c r="BFH89" s="104"/>
      <c r="BFI89" s="104"/>
      <c r="BFJ89" s="104"/>
      <c r="BFK89" s="104"/>
      <c r="BFL89" s="104"/>
      <c r="BFM89" s="104"/>
      <c r="BFN89" s="104"/>
      <c r="BFO89" s="104"/>
      <c r="BFP89" s="104"/>
      <c r="BFQ89" s="104"/>
      <c r="BFR89" s="104"/>
      <c r="BFS89" s="104"/>
      <c r="BFT89" s="104"/>
      <c r="BFU89" s="104"/>
      <c r="BFV89" s="104"/>
      <c r="BFW89" s="104"/>
      <c r="BFX89" s="104"/>
      <c r="BFY89" s="104"/>
      <c r="BFZ89" s="104"/>
      <c r="BGA89" s="104"/>
      <c r="BGB89" s="104"/>
      <c r="BGC89" s="104"/>
      <c r="BGD89" s="104"/>
      <c r="BGE89" s="104"/>
      <c r="BGF89" s="104"/>
      <c r="BGG89" s="104"/>
      <c r="BGH89" s="104"/>
      <c r="BGI89" s="104"/>
      <c r="BGJ89" s="104"/>
      <c r="BGK89" s="104"/>
      <c r="BGL89" s="104"/>
      <c r="BGM89" s="104"/>
      <c r="BGN89" s="104"/>
      <c r="BGO89" s="104"/>
      <c r="BGP89" s="104"/>
      <c r="BGQ89" s="104"/>
      <c r="BGR89" s="104"/>
      <c r="BGS89" s="104"/>
      <c r="BGT89" s="104"/>
      <c r="BGU89" s="104"/>
      <c r="BGV89" s="104"/>
      <c r="BGW89" s="104"/>
      <c r="BGX89" s="104"/>
      <c r="BGY89" s="104"/>
      <c r="BGZ89" s="104"/>
      <c r="BHA89" s="104"/>
      <c r="BHB89" s="104"/>
      <c r="BHC89" s="104"/>
      <c r="BHD89" s="104"/>
      <c r="BHE89" s="104"/>
      <c r="BHF89" s="104"/>
      <c r="BHG89" s="104"/>
      <c r="BHH89" s="104"/>
      <c r="BHI89" s="104"/>
      <c r="BHJ89" s="104"/>
      <c r="BHK89" s="104"/>
      <c r="BHL89" s="104"/>
      <c r="BHM89" s="104"/>
      <c r="BHN89" s="104"/>
      <c r="BHO89" s="104"/>
      <c r="BHP89" s="104"/>
      <c r="BHQ89" s="104"/>
      <c r="BHR89" s="104"/>
      <c r="BHS89" s="104"/>
      <c r="BHT89" s="104"/>
      <c r="BHU89" s="104"/>
      <c r="BHV89" s="104"/>
      <c r="BHW89" s="104"/>
      <c r="BHX89" s="104"/>
      <c r="BHY89" s="104"/>
      <c r="BHZ89" s="104"/>
      <c r="BIA89" s="104"/>
      <c r="BIB89" s="104"/>
      <c r="BIC89" s="104"/>
      <c r="BID89" s="104"/>
      <c r="BIE89" s="104"/>
      <c r="BIF89" s="104"/>
      <c r="BIG89" s="104"/>
      <c r="BIH89" s="104"/>
      <c r="BII89" s="104"/>
      <c r="BIJ89" s="104"/>
      <c r="BIK89" s="104"/>
      <c r="BIL89" s="104"/>
      <c r="BIM89" s="104"/>
      <c r="BIN89" s="104"/>
      <c r="BIO89" s="104"/>
      <c r="BIP89" s="104"/>
      <c r="BIQ89" s="104"/>
      <c r="BIR89" s="104"/>
      <c r="BIS89" s="104"/>
      <c r="BIT89" s="104"/>
      <c r="BIU89" s="104"/>
      <c r="BIV89" s="104"/>
      <c r="BIW89" s="104"/>
      <c r="BIX89" s="104"/>
      <c r="BIY89" s="104"/>
      <c r="BIZ89" s="104"/>
      <c r="BJA89" s="104"/>
      <c r="BJB89" s="104"/>
      <c r="BJC89" s="104"/>
      <c r="BJD89" s="104"/>
      <c r="BJE89" s="104"/>
      <c r="BJF89" s="104"/>
      <c r="BJG89" s="104"/>
      <c r="BJH89" s="104"/>
      <c r="BJI89" s="104"/>
      <c r="BJJ89" s="104"/>
      <c r="BJK89" s="104"/>
      <c r="BJL89" s="104"/>
      <c r="BJM89" s="104"/>
      <c r="BJN89" s="104"/>
      <c r="BJO89" s="104"/>
      <c r="BJP89" s="104"/>
      <c r="BJQ89" s="104"/>
      <c r="BJR89" s="104"/>
      <c r="BJS89" s="104"/>
      <c r="BJT89" s="104"/>
      <c r="BJU89" s="104"/>
      <c r="BJV89" s="104"/>
      <c r="BJW89" s="104"/>
      <c r="BJX89" s="104"/>
      <c r="BJY89" s="104"/>
      <c r="BJZ89" s="104"/>
      <c r="BKA89" s="104"/>
      <c r="BKB89" s="104"/>
      <c r="BKC89" s="104"/>
      <c r="BKD89" s="104"/>
      <c r="BKE89" s="104"/>
      <c r="BKF89" s="104"/>
      <c r="BKG89" s="104"/>
      <c r="BKH89" s="104"/>
      <c r="BKI89" s="104"/>
      <c r="BKJ89" s="104"/>
      <c r="BKK89" s="104"/>
      <c r="BKL89" s="104"/>
      <c r="BKM89" s="104"/>
      <c r="BKN89" s="104"/>
      <c r="BKO89" s="104"/>
      <c r="BKP89" s="104"/>
      <c r="BKQ89" s="104"/>
      <c r="BKR89" s="104"/>
      <c r="BKS89" s="104"/>
      <c r="BKT89" s="104"/>
      <c r="BKU89" s="104"/>
      <c r="BKV89" s="104"/>
      <c r="BKW89" s="104"/>
      <c r="BKX89" s="104"/>
      <c r="BKY89" s="104"/>
      <c r="BKZ89" s="104"/>
      <c r="BLA89" s="104"/>
      <c r="BLB89" s="104"/>
      <c r="BLC89" s="104"/>
      <c r="BLD89" s="104"/>
      <c r="BLE89" s="104"/>
      <c r="BLF89" s="104"/>
      <c r="BLG89" s="104"/>
      <c r="BLH89" s="104"/>
      <c r="BLI89" s="104"/>
      <c r="BLJ89" s="104"/>
      <c r="BLK89" s="104"/>
      <c r="BLL89" s="104"/>
      <c r="BLM89" s="104"/>
      <c r="BLN89" s="104"/>
      <c r="BLO89" s="104"/>
      <c r="BLP89" s="104"/>
      <c r="BLQ89" s="104"/>
      <c r="BLR89" s="104"/>
      <c r="BLS89" s="104"/>
      <c r="BLT89" s="104"/>
      <c r="BLU89" s="104"/>
      <c r="BLV89" s="104"/>
      <c r="BLW89" s="104"/>
      <c r="BLX89" s="104"/>
      <c r="BLY89" s="104"/>
      <c r="BLZ89" s="104"/>
      <c r="BMA89" s="104"/>
      <c r="BMB89" s="104"/>
      <c r="BMC89" s="104"/>
      <c r="BMD89" s="104"/>
      <c r="BME89" s="104"/>
      <c r="BMF89" s="104"/>
      <c r="BMG89" s="104"/>
      <c r="BMH89" s="104"/>
      <c r="BMI89" s="104"/>
      <c r="BMJ89" s="104"/>
      <c r="BMK89" s="104"/>
      <c r="BML89" s="104"/>
      <c r="BMM89" s="104"/>
      <c r="BMN89" s="104"/>
      <c r="BMO89" s="104"/>
      <c r="BMP89" s="104"/>
      <c r="BMQ89" s="104"/>
      <c r="BMR89" s="104"/>
      <c r="BMS89" s="104"/>
      <c r="BMT89" s="104"/>
      <c r="BMU89" s="104"/>
      <c r="BMV89" s="104"/>
      <c r="BMW89" s="104"/>
      <c r="BMX89" s="104"/>
      <c r="BMY89" s="104"/>
      <c r="BMZ89" s="104"/>
      <c r="BNA89" s="104"/>
      <c r="BNB89" s="104"/>
      <c r="BNC89" s="104"/>
      <c r="BND89" s="104"/>
      <c r="BNE89" s="104"/>
      <c r="BNF89" s="104"/>
      <c r="BNG89" s="104"/>
      <c r="BNH89" s="104"/>
      <c r="BNI89" s="104"/>
      <c r="BNJ89" s="104"/>
      <c r="BNK89" s="104"/>
      <c r="BNL89" s="104"/>
      <c r="BNM89" s="104"/>
      <c r="BNN89" s="104"/>
      <c r="BNO89" s="104"/>
      <c r="BNP89" s="104"/>
      <c r="BNQ89" s="104"/>
      <c r="BNR89" s="104"/>
      <c r="BNS89" s="104"/>
      <c r="BNT89" s="104"/>
      <c r="BNU89" s="104"/>
      <c r="BNV89" s="104"/>
      <c r="BNW89" s="104"/>
      <c r="BNX89" s="104"/>
      <c r="BNY89" s="104"/>
      <c r="BNZ89" s="104"/>
      <c r="BOA89" s="104"/>
      <c r="BOB89" s="104"/>
      <c r="BOC89" s="104"/>
      <c r="BOD89" s="104"/>
      <c r="BOE89" s="104"/>
      <c r="BOF89" s="104"/>
      <c r="BOG89" s="104"/>
      <c r="BOH89" s="104"/>
      <c r="BOI89" s="104"/>
      <c r="BOJ89" s="104"/>
      <c r="BOK89" s="104"/>
      <c r="BOL89" s="104"/>
      <c r="BOM89" s="104"/>
      <c r="BON89" s="104"/>
      <c r="BOO89" s="104"/>
      <c r="BOP89" s="104"/>
      <c r="BOQ89" s="104"/>
      <c r="BOR89" s="104"/>
      <c r="BOS89" s="104"/>
      <c r="BOT89" s="104"/>
      <c r="BOU89" s="104"/>
      <c r="BOV89" s="104"/>
      <c r="BOW89" s="104"/>
      <c r="BOX89" s="104"/>
      <c r="BOY89" s="104"/>
      <c r="BOZ89" s="104"/>
      <c r="BPA89" s="104"/>
      <c r="BPB89" s="104"/>
      <c r="BPC89" s="104"/>
      <c r="BPD89" s="104"/>
      <c r="BPE89" s="104"/>
      <c r="BPF89" s="104"/>
      <c r="BPG89" s="104"/>
      <c r="BPH89" s="104"/>
      <c r="BPI89" s="104"/>
      <c r="BPJ89" s="104"/>
      <c r="BPK89" s="104"/>
      <c r="BPL89" s="104"/>
      <c r="BPM89" s="104"/>
      <c r="BPN89" s="104"/>
      <c r="BPO89" s="104"/>
      <c r="BPP89" s="104"/>
      <c r="BPQ89" s="104"/>
      <c r="BPR89" s="104"/>
      <c r="BPS89" s="104"/>
      <c r="BPT89" s="104"/>
      <c r="BPU89" s="104"/>
      <c r="BPV89" s="104"/>
      <c r="BPW89" s="104"/>
      <c r="BPX89" s="104"/>
      <c r="BPY89" s="104"/>
      <c r="BPZ89" s="104"/>
      <c r="BQA89" s="104"/>
      <c r="BQB89" s="104"/>
      <c r="BQC89" s="104"/>
      <c r="BQD89" s="104"/>
      <c r="BQE89" s="104"/>
      <c r="BQF89" s="104"/>
      <c r="BQG89" s="104"/>
      <c r="BQH89" s="104"/>
      <c r="BQI89" s="104"/>
      <c r="BQJ89" s="104"/>
      <c r="BQK89" s="104"/>
      <c r="BQL89" s="104"/>
      <c r="BQM89" s="104"/>
      <c r="BQN89" s="104"/>
      <c r="BQO89" s="104"/>
      <c r="BQP89" s="104"/>
      <c r="BQQ89" s="104"/>
      <c r="BQR89" s="104"/>
      <c r="BQS89" s="104"/>
      <c r="BQT89" s="104"/>
      <c r="BQU89" s="104"/>
      <c r="BQV89" s="104"/>
      <c r="BQW89" s="104"/>
      <c r="BQX89" s="104"/>
      <c r="BQY89" s="104"/>
      <c r="BQZ89" s="104"/>
      <c r="BRA89" s="104"/>
      <c r="BRB89" s="104"/>
      <c r="BRC89" s="104"/>
      <c r="BRD89" s="104"/>
      <c r="BRE89" s="104"/>
      <c r="BRF89" s="104"/>
      <c r="BRG89" s="104"/>
      <c r="BRH89" s="104"/>
      <c r="BRI89" s="104"/>
      <c r="BRJ89" s="104"/>
      <c r="BRK89" s="104"/>
      <c r="BRL89" s="104"/>
      <c r="BRM89" s="104"/>
      <c r="BRN89" s="104"/>
      <c r="BRO89" s="104"/>
      <c r="BRP89" s="104"/>
      <c r="BRQ89" s="104"/>
      <c r="BRR89" s="104"/>
      <c r="BRS89" s="104"/>
      <c r="BRT89" s="104"/>
      <c r="BRU89" s="104"/>
      <c r="BRV89" s="104"/>
      <c r="BRW89" s="104"/>
      <c r="BRX89" s="104"/>
      <c r="BRY89" s="104"/>
      <c r="BRZ89" s="104"/>
      <c r="BSA89" s="104"/>
      <c r="BSB89" s="104"/>
      <c r="BSC89" s="104"/>
      <c r="BSD89" s="104"/>
      <c r="BSE89" s="104"/>
      <c r="BSF89" s="104"/>
      <c r="BSG89" s="104"/>
      <c r="BSH89" s="104"/>
      <c r="BSI89" s="104"/>
      <c r="BSJ89" s="104"/>
      <c r="BSK89" s="104"/>
      <c r="BSL89" s="104"/>
      <c r="BSM89" s="104"/>
      <c r="BSN89" s="104"/>
      <c r="BSO89" s="104"/>
      <c r="BSP89" s="104"/>
      <c r="BSQ89" s="104"/>
      <c r="BSR89" s="104"/>
      <c r="BSS89" s="104"/>
      <c r="BST89" s="104"/>
      <c r="BSU89" s="104"/>
      <c r="BSV89" s="104"/>
      <c r="BSW89" s="104"/>
      <c r="BSX89" s="104"/>
      <c r="BSY89" s="104"/>
      <c r="BSZ89" s="104"/>
      <c r="BTA89" s="104"/>
      <c r="BTB89" s="104"/>
      <c r="BTC89" s="104"/>
      <c r="BTD89" s="104"/>
      <c r="BTE89" s="104"/>
      <c r="BTF89" s="104"/>
      <c r="BTG89" s="104"/>
      <c r="BTH89" s="104"/>
      <c r="BTI89" s="104"/>
      <c r="BTJ89" s="104"/>
      <c r="BTK89" s="104"/>
      <c r="BTL89" s="104"/>
      <c r="BTM89" s="104"/>
      <c r="BTN89" s="104"/>
      <c r="BTO89" s="104"/>
      <c r="BTP89" s="104"/>
      <c r="BTQ89" s="104"/>
      <c r="BTR89" s="104"/>
      <c r="BTS89" s="104"/>
      <c r="BTT89" s="104"/>
      <c r="BTU89" s="104"/>
      <c r="BTV89" s="104"/>
      <c r="BTW89" s="104"/>
      <c r="BTX89" s="104"/>
      <c r="BTY89" s="104"/>
      <c r="BTZ89" s="104"/>
      <c r="BUA89" s="104"/>
      <c r="BUB89" s="104"/>
      <c r="BUC89" s="104"/>
      <c r="BUD89" s="104"/>
      <c r="BUE89" s="104"/>
      <c r="BUF89" s="104"/>
      <c r="BUG89" s="104"/>
      <c r="BUH89" s="104"/>
      <c r="BUI89" s="104"/>
      <c r="BUJ89" s="104"/>
      <c r="BUK89" s="104"/>
      <c r="BUL89" s="104"/>
      <c r="BUM89" s="104"/>
      <c r="BUN89" s="104"/>
      <c r="BUO89" s="104"/>
      <c r="BUP89" s="104"/>
      <c r="BUQ89" s="104"/>
      <c r="BUR89" s="104"/>
      <c r="BUS89" s="104"/>
      <c r="BUT89" s="104"/>
      <c r="BUU89" s="104"/>
      <c r="BUV89" s="104"/>
      <c r="BUW89" s="104"/>
      <c r="BUX89" s="104"/>
      <c r="BUY89" s="104"/>
      <c r="BUZ89" s="104"/>
      <c r="BVA89" s="104"/>
      <c r="BVB89" s="104"/>
      <c r="BVC89" s="104"/>
      <c r="BVD89" s="104"/>
      <c r="BVE89" s="104"/>
      <c r="BVF89" s="104"/>
      <c r="BVG89" s="104"/>
      <c r="BVH89" s="104"/>
      <c r="BVI89" s="104"/>
      <c r="BVJ89" s="104"/>
      <c r="BVK89" s="104"/>
      <c r="BVL89" s="104"/>
      <c r="BVM89" s="104"/>
      <c r="BVN89" s="104"/>
      <c r="BVO89" s="104"/>
      <c r="BVP89" s="104"/>
      <c r="BVQ89" s="104"/>
      <c r="BVR89" s="104"/>
      <c r="BVS89" s="104"/>
      <c r="BVT89" s="104"/>
      <c r="BVU89" s="104"/>
      <c r="BVV89" s="104"/>
      <c r="BVW89" s="104"/>
      <c r="BVX89" s="104"/>
      <c r="BVY89" s="104"/>
      <c r="BVZ89" s="104"/>
      <c r="BWA89" s="104"/>
      <c r="BWB89" s="104"/>
      <c r="BWC89" s="104"/>
      <c r="BWD89" s="104"/>
      <c r="BWE89" s="104"/>
      <c r="BWF89" s="104"/>
      <c r="BWG89" s="104"/>
      <c r="BWH89" s="104"/>
      <c r="BWI89" s="104"/>
      <c r="BWJ89" s="104"/>
      <c r="BWK89" s="104"/>
      <c r="BWL89" s="104"/>
      <c r="BWM89" s="104"/>
      <c r="BWN89" s="104"/>
      <c r="BWO89" s="104"/>
      <c r="BWP89" s="104"/>
      <c r="BWQ89" s="104"/>
      <c r="BWR89" s="104"/>
      <c r="BWS89" s="104"/>
      <c r="BWT89" s="104"/>
      <c r="BWU89" s="104"/>
      <c r="BWV89" s="104"/>
      <c r="BWW89" s="104"/>
      <c r="BWX89" s="104"/>
      <c r="BWY89" s="104"/>
      <c r="BWZ89" s="104"/>
      <c r="BXA89" s="104"/>
      <c r="BXB89" s="104"/>
      <c r="BXC89" s="104"/>
      <c r="BXD89" s="104"/>
      <c r="BXE89" s="104"/>
      <c r="BXF89" s="104"/>
      <c r="BXG89" s="104"/>
      <c r="BXH89" s="104"/>
      <c r="BXI89" s="104"/>
      <c r="BXJ89" s="104"/>
      <c r="BXK89" s="104"/>
      <c r="BXL89" s="104"/>
      <c r="BXM89" s="104"/>
      <c r="BXN89" s="104"/>
      <c r="BXO89" s="104"/>
      <c r="BXP89" s="104"/>
      <c r="BXQ89" s="104"/>
      <c r="BXR89" s="104"/>
      <c r="BXS89" s="104"/>
      <c r="BXT89" s="104"/>
      <c r="BXU89" s="104"/>
      <c r="BXV89" s="104"/>
      <c r="BXW89" s="104"/>
      <c r="BXX89" s="104"/>
      <c r="BXY89" s="104"/>
      <c r="BXZ89" s="104"/>
      <c r="BYA89" s="104"/>
      <c r="BYB89" s="104"/>
      <c r="BYC89" s="104"/>
      <c r="BYD89" s="104"/>
      <c r="BYE89" s="104"/>
      <c r="BYF89" s="104"/>
      <c r="BYG89" s="104"/>
      <c r="BYH89" s="104"/>
      <c r="BYI89" s="104"/>
      <c r="BYJ89" s="104"/>
      <c r="BYK89" s="104"/>
      <c r="BYL89" s="104"/>
      <c r="BYM89" s="104"/>
      <c r="BYN89" s="104"/>
      <c r="BYO89" s="104"/>
      <c r="BYP89" s="104"/>
      <c r="BYQ89" s="104"/>
      <c r="BYR89" s="104"/>
      <c r="BYS89" s="104"/>
      <c r="BYT89" s="104"/>
      <c r="BYU89" s="104"/>
      <c r="BYV89" s="104"/>
      <c r="BYW89" s="104"/>
      <c r="BYX89" s="104"/>
      <c r="BYY89" s="104"/>
      <c r="BYZ89" s="104"/>
      <c r="BZA89" s="104"/>
      <c r="BZB89" s="104"/>
      <c r="BZC89" s="104"/>
      <c r="BZD89" s="104"/>
      <c r="BZE89" s="104"/>
      <c r="BZF89" s="104"/>
      <c r="BZG89" s="104"/>
      <c r="BZH89" s="104"/>
      <c r="BZI89" s="104"/>
      <c r="BZJ89" s="104"/>
      <c r="BZK89" s="104"/>
      <c r="BZL89" s="104"/>
      <c r="BZM89" s="104"/>
      <c r="BZN89" s="104"/>
      <c r="BZO89" s="104"/>
      <c r="BZP89" s="104"/>
      <c r="BZQ89" s="104"/>
      <c r="BZR89" s="104"/>
      <c r="BZS89" s="104"/>
      <c r="BZT89" s="104"/>
      <c r="BZU89" s="104"/>
      <c r="BZV89" s="104"/>
      <c r="BZW89" s="104"/>
      <c r="BZX89" s="104"/>
      <c r="BZY89" s="104"/>
      <c r="BZZ89" s="104"/>
      <c r="CAA89" s="104"/>
      <c r="CAB89" s="104"/>
      <c r="CAC89" s="104"/>
      <c r="CAD89" s="104"/>
      <c r="CAE89" s="104"/>
      <c r="CAF89" s="104"/>
      <c r="CAG89" s="104"/>
      <c r="CAH89" s="104"/>
      <c r="CAI89" s="104"/>
      <c r="CAJ89" s="104"/>
      <c r="CAK89" s="104"/>
      <c r="CAL89" s="104"/>
      <c r="CAM89" s="104"/>
      <c r="CAN89" s="104"/>
      <c r="CAO89" s="104"/>
      <c r="CAP89" s="104"/>
      <c r="CAQ89" s="104"/>
      <c r="CAR89" s="104"/>
      <c r="CAS89" s="104"/>
      <c r="CAT89" s="104"/>
      <c r="CAU89" s="104"/>
      <c r="CAV89" s="104"/>
      <c r="CAW89" s="104"/>
      <c r="CAX89" s="104"/>
      <c r="CAY89" s="104"/>
      <c r="CAZ89" s="104"/>
      <c r="CBA89" s="104"/>
      <c r="CBB89" s="104"/>
      <c r="CBC89" s="104"/>
      <c r="CBD89" s="104"/>
      <c r="CBE89" s="104"/>
      <c r="CBF89" s="104"/>
      <c r="CBG89" s="104"/>
      <c r="CBH89" s="104"/>
      <c r="CBI89" s="104"/>
      <c r="CBJ89" s="104"/>
      <c r="CBK89" s="104"/>
      <c r="CBL89" s="104"/>
      <c r="CBM89" s="104"/>
      <c r="CBN89" s="104"/>
      <c r="CBO89" s="104"/>
      <c r="CBP89" s="104"/>
      <c r="CBQ89" s="104"/>
      <c r="CBR89" s="104"/>
      <c r="CBS89" s="104"/>
      <c r="CBT89" s="104"/>
      <c r="CBU89" s="104"/>
      <c r="CBV89" s="104"/>
      <c r="CBW89" s="104"/>
      <c r="CBX89" s="104"/>
      <c r="CBY89" s="104"/>
      <c r="CBZ89" s="104"/>
      <c r="CCA89" s="104"/>
      <c r="CCB89" s="104"/>
      <c r="CCC89" s="104"/>
      <c r="CCD89" s="104"/>
      <c r="CCE89" s="104"/>
      <c r="CCF89" s="104"/>
      <c r="CCG89" s="104"/>
      <c r="CCH89" s="104"/>
      <c r="CCI89" s="104"/>
      <c r="CCJ89" s="104"/>
      <c r="CCK89" s="104"/>
      <c r="CCL89" s="104"/>
      <c r="CCM89" s="104"/>
      <c r="CCN89" s="104"/>
      <c r="CCO89" s="104"/>
      <c r="CCP89" s="104"/>
      <c r="CCQ89" s="104"/>
      <c r="CCR89" s="104"/>
      <c r="CCS89" s="104"/>
      <c r="CCT89" s="104"/>
      <c r="CCU89" s="104"/>
      <c r="CCV89" s="104"/>
      <c r="CCW89" s="104"/>
      <c r="CCX89" s="104"/>
      <c r="CCY89" s="104"/>
      <c r="CCZ89" s="104"/>
      <c r="CDA89" s="104"/>
      <c r="CDB89" s="104"/>
      <c r="CDC89" s="104"/>
      <c r="CDD89" s="104"/>
      <c r="CDE89" s="104"/>
      <c r="CDF89" s="104"/>
      <c r="CDG89" s="104"/>
      <c r="CDH89" s="104"/>
      <c r="CDI89" s="104"/>
      <c r="CDJ89" s="104"/>
      <c r="CDK89" s="104"/>
      <c r="CDL89" s="104"/>
      <c r="CDM89" s="104"/>
      <c r="CDN89" s="104"/>
      <c r="CDO89" s="104"/>
      <c r="CDP89" s="104"/>
      <c r="CDQ89" s="104"/>
      <c r="CDR89" s="104"/>
      <c r="CDS89" s="104"/>
      <c r="CDT89" s="104"/>
      <c r="CDU89" s="104"/>
      <c r="CDV89" s="104"/>
      <c r="CDW89" s="104"/>
      <c r="CDX89" s="104"/>
      <c r="CDY89" s="104"/>
      <c r="CDZ89" s="104"/>
      <c r="CEA89" s="104"/>
      <c r="CEB89" s="104"/>
      <c r="CEC89" s="104"/>
      <c r="CED89" s="104"/>
      <c r="CEE89" s="104"/>
      <c r="CEF89" s="104"/>
      <c r="CEG89" s="104"/>
      <c r="CEH89" s="104"/>
      <c r="CEI89" s="104"/>
      <c r="CEJ89" s="104"/>
      <c r="CEK89" s="104"/>
      <c r="CEL89" s="104"/>
      <c r="CEM89" s="104"/>
      <c r="CEN89" s="104"/>
      <c r="CEO89" s="104"/>
      <c r="CEP89" s="104"/>
      <c r="CEQ89" s="104"/>
      <c r="CER89" s="104"/>
      <c r="CES89" s="104"/>
      <c r="CET89" s="104"/>
      <c r="CEU89" s="104"/>
      <c r="CEV89" s="104"/>
      <c r="CEW89" s="104"/>
      <c r="CEX89" s="104"/>
      <c r="CEY89" s="104"/>
      <c r="CEZ89" s="104"/>
      <c r="CFA89" s="104"/>
      <c r="CFB89" s="104"/>
      <c r="CFC89" s="104"/>
      <c r="CFD89" s="104"/>
      <c r="CFE89" s="104"/>
      <c r="CFF89" s="104"/>
      <c r="CFG89" s="104"/>
      <c r="CFH89" s="104"/>
      <c r="CFI89" s="104"/>
      <c r="CFJ89" s="104"/>
      <c r="CFK89" s="104"/>
      <c r="CFL89" s="104"/>
      <c r="CFM89" s="104"/>
      <c r="CFN89" s="104"/>
      <c r="CFO89" s="104"/>
      <c r="CFP89" s="104"/>
      <c r="CFQ89" s="104"/>
      <c r="CFR89" s="104"/>
      <c r="CFS89" s="104"/>
      <c r="CFT89" s="104"/>
      <c r="CFU89" s="104"/>
      <c r="CFV89" s="104"/>
      <c r="CFW89" s="104"/>
      <c r="CFX89" s="104"/>
      <c r="CFY89" s="104"/>
      <c r="CFZ89" s="104"/>
      <c r="CGA89" s="104"/>
      <c r="CGB89" s="104"/>
      <c r="CGC89" s="104"/>
      <c r="CGD89" s="104"/>
      <c r="CGE89" s="104"/>
      <c r="CGF89" s="104"/>
      <c r="CGG89" s="104"/>
      <c r="CGH89" s="104"/>
      <c r="CGI89" s="104"/>
      <c r="CGJ89" s="104"/>
      <c r="CGK89" s="104"/>
      <c r="CGL89" s="104"/>
      <c r="CGM89" s="104"/>
      <c r="CGN89" s="104"/>
      <c r="CGO89" s="104"/>
      <c r="CGP89" s="104"/>
      <c r="CGQ89" s="104"/>
      <c r="CGR89" s="104"/>
      <c r="CGS89" s="104"/>
      <c r="CGT89" s="104"/>
      <c r="CGU89" s="104"/>
      <c r="CGV89" s="104"/>
      <c r="CGW89" s="104"/>
      <c r="CGX89" s="104"/>
      <c r="CGY89" s="104"/>
      <c r="CGZ89" s="104"/>
      <c r="CHA89" s="104"/>
      <c r="CHB89" s="104"/>
      <c r="CHC89" s="104"/>
      <c r="CHD89" s="104"/>
      <c r="CHE89" s="104"/>
      <c r="CHF89" s="104"/>
      <c r="CHG89" s="104"/>
      <c r="CHH89" s="104"/>
      <c r="CHI89" s="104"/>
      <c r="CHJ89" s="104"/>
      <c r="CHK89" s="104"/>
      <c r="CHL89" s="104"/>
      <c r="CHM89" s="104"/>
      <c r="CHN89" s="104"/>
      <c r="CHO89" s="104"/>
      <c r="CHP89" s="104"/>
      <c r="CHQ89" s="104"/>
      <c r="CHR89" s="104"/>
      <c r="CHS89" s="104"/>
      <c r="CHT89" s="104"/>
      <c r="CHU89" s="104"/>
      <c r="CHV89" s="104"/>
      <c r="CHW89" s="104"/>
      <c r="CHX89" s="104"/>
      <c r="CHY89" s="104"/>
      <c r="CHZ89" s="104"/>
      <c r="CIA89" s="104"/>
      <c r="CIB89" s="104"/>
      <c r="CIC89" s="104"/>
      <c r="CID89" s="104"/>
      <c r="CIE89" s="104"/>
      <c r="CIF89" s="104"/>
      <c r="CIG89" s="104"/>
      <c r="CIH89" s="104"/>
      <c r="CII89" s="104"/>
      <c r="CIJ89" s="104"/>
      <c r="CIK89" s="104"/>
      <c r="CIL89" s="104"/>
      <c r="CIM89" s="104"/>
      <c r="CIN89" s="104"/>
      <c r="CIO89" s="104"/>
      <c r="CIP89" s="104"/>
      <c r="CIQ89" s="104"/>
      <c r="CIR89" s="104"/>
      <c r="CIS89" s="104"/>
      <c r="CIT89" s="104"/>
      <c r="CIU89" s="104"/>
      <c r="CIV89" s="104"/>
      <c r="CIW89" s="104"/>
      <c r="CIX89" s="104"/>
      <c r="CIY89" s="104"/>
      <c r="CIZ89" s="104"/>
      <c r="CJA89" s="104"/>
      <c r="CJB89" s="104"/>
      <c r="CJC89" s="104"/>
      <c r="CJD89" s="104"/>
      <c r="CJE89" s="104"/>
      <c r="CJF89" s="104"/>
      <c r="CJG89" s="104"/>
      <c r="CJH89" s="104"/>
      <c r="CJI89" s="104"/>
      <c r="CJJ89" s="104"/>
      <c r="CJK89" s="104"/>
      <c r="CJL89" s="104"/>
      <c r="CJM89" s="104"/>
      <c r="CJN89" s="104"/>
      <c r="CJO89" s="104"/>
      <c r="CJP89" s="104"/>
      <c r="CJQ89" s="104"/>
      <c r="CJR89" s="104"/>
      <c r="CJS89" s="104"/>
      <c r="CJT89" s="104"/>
      <c r="CJU89" s="104"/>
      <c r="CJV89" s="104"/>
      <c r="CJW89" s="104"/>
      <c r="CJX89" s="104"/>
      <c r="CJY89" s="104"/>
      <c r="CJZ89" s="104"/>
      <c r="CKA89" s="104"/>
      <c r="CKB89" s="104"/>
      <c r="CKC89" s="104"/>
      <c r="CKD89" s="104"/>
      <c r="CKE89" s="104"/>
      <c r="CKF89" s="104"/>
      <c r="CKG89" s="104"/>
      <c r="CKH89" s="104"/>
      <c r="CKI89" s="104"/>
      <c r="CKJ89" s="104"/>
      <c r="CKK89" s="104"/>
      <c r="CKL89" s="104"/>
      <c r="CKM89" s="104"/>
      <c r="CKN89" s="104"/>
      <c r="CKO89" s="104"/>
      <c r="CKP89" s="104"/>
      <c r="CKQ89" s="104"/>
      <c r="CKR89" s="104"/>
      <c r="CKS89" s="104"/>
      <c r="CKT89" s="104"/>
      <c r="CKU89" s="104"/>
      <c r="CKV89" s="104"/>
      <c r="CKW89" s="104"/>
      <c r="CKX89" s="104"/>
      <c r="CKY89" s="104"/>
      <c r="CKZ89" s="104"/>
      <c r="CLA89" s="104"/>
      <c r="CLB89" s="104"/>
      <c r="CLC89" s="104"/>
      <c r="CLD89" s="104"/>
      <c r="CLE89" s="104"/>
      <c r="CLF89" s="104"/>
      <c r="CLG89" s="104"/>
      <c r="CLH89" s="104"/>
      <c r="CLI89" s="104"/>
      <c r="CLJ89" s="104"/>
      <c r="CLK89" s="104"/>
      <c r="CLL89" s="104"/>
      <c r="CLM89" s="104"/>
      <c r="CLN89" s="104"/>
      <c r="CLO89" s="104"/>
      <c r="CLP89" s="104"/>
      <c r="CLQ89" s="104"/>
      <c r="CLR89" s="104"/>
      <c r="CLS89" s="104"/>
      <c r="CLT89" s="104"/>
      <c r="CLU89" s="104"/>
      <c r="CLV89" s="104"/>
      <c r="CLW89" s="104"/>
      <c r="CLX89" s="104"/>
      <c r="CLY89" s="104"/>
      <c r="CLZ89" s="104"/>
      <c r="CMA89" s="104"/>
      <c r="CMB89" s="104"/>
      <c r="CMC89" s="104"/>
      <c r="CMD89" s="104"/>
      <c r="CME89" s="104"/>
      <c r="CMF89" s="104"/>
      <c r="CMG89" s="104"/>
      <c r="CMH89" s="104"/>
      <c r="CMI89" s="104"/>
      <c r="CMJ89" s="104"/>
      <c r="CMK89" s="104"/>
      <c r="CML89" s="104"/>
      <c r="CMM89" s="104"/>
      <c r="CMN89" s="104"/>
      <c r="CMO89" s="104"/>
      <c r="CMP89" s="104"/>
      <c r="CMQ89" s="104"/>
      <c r="CMR89" s="104"/>
      <c r="CMS89" s="104"/>
      <c r="CMT89" s="104"/>
      <c r="CMU89" s="104"/>
      <c r="CMV89" s="104"/>
      <c r="CMW89" s="104"/>
      <c r="CMX89" s="104"/>
      <c r="CMY89" s="104"/>
      <c r="CMZ89" s="104"/>
      <c r="CNA89" s="104"/>
      <c r="CNB89" s="104"/>
      <c r="CNC89" s="104"/>
      <c r="CND89" s="104"/>
      <c r="CNE89" s="104"/>
      <c r="CNF89" s="104"/>
      <c r="CNG89" s="104"/>
      <c r="CNH89" s="104"/>
      <c r="CNI89" s="104"/>
      <c r="CNJ89" s="104"/>
      <c r="CNK89" s="104"/>
      <c r="CNL89" s="104"/>
      <c r="CNM89" s="104"/>
      <c r="CNN89" s="104"/>
      <c r="CNO89" s="104"/>
      <c r="CNP89" s="104"/>
      <c r="CNQ89" s="104"/>
      <c r="CNR89" s="104"/>
      <c r="CNS89" s="104"/>
      <c r="CNT89" s="104"/>
      <c r="CNU89" s="104"/>
      <c r="CNV89" s="104"/>
      <c r="CNW89" s="104"/>
      <c r="CNX89" s="104"/>
      <c r="CNY89" s="104"/>
      <c r="CNZ89" s="104"/>
      <c r="COA89" s="104"/>
      <c r="COB89" s="104"/>
      <c r="COC89" s="104"/>
      <c r="COD89" s="104"/>
      <c r="COE89" s="104"/>
      <c r="COF89" s="104"/>
      <c r="COG89" s="104"/>
      <c r="COH89" s="104"/>
      <c r="COI89" s="104"/>
      <c r="COJ89" s="104"/>
      <c r="COK89" s="104"/>
      <c r="COL89" s="104"/>
      <c r="COM89" s="104"/>
      <c r="CON89" s="104"/>
      <c r="COO89" s="104"/>
      <c r="COP89" s="104"/>
      <c r="COQ89" s="104"/>
      <c r="COR89" s="104"/>
      <c r="COS89" s="104"/>
      <c r="COT89" s="104"/>
      <c r="COU89" s="104"/>
      <c r="COV89" s="104"/>
      <c r="COW89" s="104"/>
      <c r="COX89" s="104"/>
      <c r="COY89" s="104"/>
      <c r="COZ89" s="104"/>
      <c r="CPA89" s="104"/>
      <c r="CPB89" s="104"/>
      <c r="CPC89" s="104"/>
      <c r="CPD89" s="104"/>
      <c r="CPE89" s="104"/>
      <c r="CPF89" s="104"/>
      <c r="CPG89" s="104"/>
      <c r="CPH89" s="104"/>
      <c r="CPI89" s="104"/>
      <c r="CPJ89" s="104"/>
      <c r="CPK89" s="104"/>
      <c r="CPL89" s="104"/>
      <c r="CPM89" s="104"/>
      <c r="CPN89" s="104"/>
      <c r="CPO89" s="104"/>
      <c r="CPP89" s="104"/>
      <c r="CPQ89" s="104"/>
      <c r="CPR89" s="104"/>
      <c r="CPS89" s="104"/>
      <c r="CPT89" s="104"/>
      <c r="CPU89" s="104"/>
      <c r="CPV89" s="104"/>
      <c r="CPW89" s="104"/>
      <c r="CPX89" s="104"/>
      <c r="CPY89" s="104"/>
      <c r="CPZ89" s="104"/>
      <c r="CQA89" s="104"/>
      <c r="CQB89" s="104"/>
      <c r="CQC89" s="104"/>
      <c r="CQD89" s="104"/>
      <c r="CQE89" s="104"/>
      <c r="CQF89" s="104"/>
      <c r="CQG89" s="104"/>
      <c r="CQH89" s="104"/>
      <c r="CQI89" s="104"/>
      <c r="CQJ89" s="104"/>
      <c r="CQK89" s="104"/>
      <c r="CQL89" s="104"/>
      <c r="CQM89" s="104"/>
      <c r="CQN89" s="104"/>
      <c r="CQO89" s="104"/>
      <c r="CQP89" s="104"/>
      <c r="CQQ89" s="104"/>
      <c r="CQR89" s="104"/>
      <c r="CQS89" s="104"/>
      <c r="CQT89" s="104"/>
      <c r="CQU89" s="104"/>
      <c r="CQV89" s="104"/>
      <c r="CQW89" s="104"/>
      <c r="CQX89" s="104"/>
      <c r="CQY89" s="104"/>
      <c r="CQZ89" s="104"/>
      <c r="CRA89" s="104"/>
      <c r="CRB89" s="104"/>
      <c r="CRC89" s="104"/>
      <c r="CRD89" s="104"/>
      <c r="CRE89" s="104"/>
      <c r="CRF89" s="104"/>
      <c r="CRG89" s="104"/>
      <c r="CRH89" s="104"/>
      <c r="CRI89" s="104"/>
      <c r="CRJ89" s="104"/>
      <c r="CRK89" s="104"/>
      <c r="CRL89" s="104"/>
      <c r="CRM89" s="104"/>
      <c r="CRN89" s="104"/>
      <c r="CRO89" s="104"/>
      <c r="CRP89" s="104"/>
      <c r="CRQ89" s="104"/>
      <c r="CRR89" s="104"/>
      <c r="CRS89" s="104"/>
      <c r="CRT89" s="104"/>
      <c r="CRU89" s="104"/>
      <c r="CRV89" s="104"/>
      <c r="CRW89" s="104"/>
      <c r="CRX89" s="104"/>
      <c r="CRY89" s="104"/>
      <c r="CRZ89" s="104"/>
      <c r="CSA89" s="104"/>
      <c r="CSB89" s="104"/>
      <c r="CSC89" s="104"/>
      <c r="CSD89" s="104"/>
      <c r="CSE89" s="104"/>
      <c r="CSF89" s="104"/>
      <c r="CSG89" s="104"/>
      <c r="CSH89" s="104"/>
      <c r="CSI89" s="104"/>
      <c r="CSJ89" s="104"/>
      <c r="CSK89" s="104"/>
      <c r="CSL89" s="104"/>
      <c r="CSM89" s="104"/>
      <c r="CSN89" s="104"/>
      <c r="CSO89" s="104"/>
      <c r="CSP89" s="104"/>
      <c r="CSQ89" s="104"/>
      <c r="CSR89" s="104"/>
      <c r="CSS89" s="104"/>
      <c r="CST89" s="104"/>
      <c r="CSU89" s="104"/>
      <c r="CSV89" s="104"/>
      <c r="CSW89" s="104"/>
      <c r="CSX89" s="104"/>
      <c r="CSY89" s="104"/>
      <c r="CSZ89" s="104"/>
      <c r="CTA89" s="104"/>
      <c r="CTB89" s="104"/>
      <c r="CTC89" s="104"/>
      <c r="CTD89" s="104"/>
      <c r="CTE89" s="104"/>
      <c r="CTF89" s="104"/>
      <c r="CTG89" s="104"/>
      <c r="CTH89" s="104"/>
      <c r="CTI89" s="104"/>
      <c r="CTJ89" s="104"/>
      <c r="CTK89" s="104"/>
      <c r="CTL89" s="104"/>
      <c r="CTM89" s="104"/>
      <c r="CTN89" s="104"/>
      <c r="CTO89" s="104"/>
      <c r="CTP89" s="104"/>
      <c r="CTQ89" s="104"/>
      <c r="CTR89" s="104"/>
      <c r="CTS89" s="104"/>
      <c r="CTT89" s="104"/>
      <c r="CTU89" s="104"/>
      <c r="CTV89" s="104"/>
      <c r="CTW89" s="104"/>
      <c r="CTX89" s="104"/>
      <c r="CTY89" s="104"/>
      <c r="CTZ89" s="104"/>
      <c r="CUA89" s="104"/>
      <c r="CUB89" s="104"/>
      <c r="CUC89" s="104"/>
      <c r="CUD89" s="104"/>
      <c r="CUE89" s="104"/>
      <c r="CUF89" s="104"/>
      <c r="CUG89" s="104"/>
      <c r="CUH89" s="104"/>
      <c r="CUI89" s="104"/>
      <c r="CUJ89" s="104"/>
      <c r="CUK89" s="104"/>
      <c r="CUL89" s="104"/>
      <c r="CUM89" s="104"/>
      <c r="CUN89" s="104"/>
      <c r="CUO89" s="104"/>
      <c r="CUP89" s="104"/>
      <c r="CUQ89" s="104"/>
      <c r="CUR89" s="104"/>
      <c r="CUS89" s="104"/>
      <c r="CUT89" s="104"/>
      <c r="CUU89" s="104"/>
      <c r="CUV89" s="104"/>
      <c r="CUW89" s="104"/>
      <c r="CUX89" s="104"/>
      <c r="CUY89" s="104"/>
      <c r="CUZ89" s="104"/>
      <c r="CVA89" s="104"/>
      <c r="CVB89" s="104"/>
      <c r="CVC89" s="104"/>
      <c r="CVD89" s="104"/>
      <c r="CVE89" s="104"/>
      <c r="CVF89" s="104"/>
      <c r="CVG89" s="104"/>
      <c r="CVH89" s="104"/>
      <c r="CVI89" s="104"/>
      <c r="CVJ89" s="104"/>
      <c r="CVK89" s="104"/>
      <c r="CVL89" s="104"/>
      <c r="CVM89" s="104"/>
      <c r="CVN89" s="104"/>
      <c r="CVO89" s="104"/>
      <c r="CVP89" s="104"/>
      <c r="CVQ89" s="104"/>
      <c r="CVR89" s="104"/>
      <c r="CVS89" s="104"/>
      <c r="CVT89" s="104"/>
      <c r="CVU89" s="104"/>
      <c r="CVV89" s="104"/>
      <c r="CVW89" s="104"/>
      <c r="CVX89" s="104"/>
      <c r="CVY89" s="104"/>
      <c r="CVZ89" s="104"/>
      <c r="CWA89" s="104"/>
      <c r="CWB89" s="104"/>
      <c r="CWC89" s="104"/>
      <c r="CWD89" s="104"/>
      <c r="CWE89" s="104"/>
      <c r="CWF89" s="104"/>
      <c r="CWG89" s="104"/>
      <c r="CWH89" s="104"/>
      <c r="CWI89" s="104"/>
      <c r="CWJ89" s="104"/>
      <c r="CWK89" s="104"/>
      <c r="CWL89" s="104"/>
      <c r="CWM89" s="104"/>
      <c r="CWN89" s="104"/>
      <c r="CWO89" s="104"/>
      <c r="CWP89" s="104"/>
      <c r="CWQ89" s="104"/>
      <c r="CWR89" s="104"/>
      <c r="CWS89" s="104"/>
      <c r="CWT89" s="104"/>
      <c r="CWU89" s="104"/>
      <c r="CWV89" s="104"/>
      <c r="CWW89" s="104"/>
      <c r="CWX89" s="104"/>
      <c r="CWY89" s="104"/>
      <c r="CWZ89" s="104"/>
      <c r="CXA89" s="104"/>
      <c r="CXB89" s="104"/>
      <c r="CXC89" s="104"/>
      <c r="CXD89" s="104"/>
      <c r="CXE89" s="104"/>
      <c r="CXF89" s="104"/>
      <c r="CXG89" s="104"/>
      <c r="CXH89" s="104"/>
      <c r="CXI89" s="104"/>
      <c r="CXJ89" s="104"/>
      <c r="CXK89" s="104"/>
      <c r="CXL89" s="104"/>
      <c r="CXM89" s="104"/>
      <c r="CXN89" s="104"/>
      <c r="CXO89" s="104"/>
      <c r="CXP89" s="104"/>
      <c r="CXQ89" s="104"/>
      <c r="CXR89" s="104"/>
      <c r="CXS89" s="104"/>
      <c r="CXT89" s="104"/>
      <c r="CXU89" s="104"/>
      <c r="CXV89" s="104"/>
      <c r="CXW89" s="104"/>
      <c r="CXX89" s="104"/>
      <c r="CXY89" s="104"/>
      <c r="CXZ89" s="104"/>
      <c r="CYA89" s="104"/>
      <c r="CYB89" s="104"/>
      <c r="CYC89" s="104"/>
      <c r="CYD89" s="104"/>
      <c r="CYE89" s="104"/>
      <c r="CYF89" s="104"/>
      <c r="CYG89" s="104"/>
      <c r="CYH89" s="104"/>
      <c r="CYI89" s="104"/>
      <c r="CYJ89" s="104"/>
      <c r="CYK89" s="104"/>
      <c r="CYL89" s="104"/>
      <c r="CYM89" s="104"/>
      <c r="CYN89" s="104"/>
      <c r="CYO89" s="104"/>
      <c r="CYP89" s="104"/>
      <c r="CYQ89" s="104"/>
      <c r="CYR89" s="104"/>
      <c r="CYS89" s="104"/>
      <c r="CYT89" s="104"/>
      <c r="CYU89" s="104"/>
      <c r="CYV89" s="104"/>
      <c r="CYW89" s="104"/>
      <c r="CYX89" s="104"/>
      <c r="CYY89" s="104"/>
      <c r="CYZ89" s="104"/>
      <c r="CZA89" s="104"/>
      <c r="CZB89" s="104"/>
      <c r="CZC89" s="104"/>
      <c r="CZD89" s="104"/>
      <c r="CZE89" s="104"/>
      <c r="CZF89" s="104"/>
      <c r="CZG89" s="104"/>
      <c r="CZH89" s="104"/>
      <c r="CZI89" s="104"/>
      <c r="CZJ89" s="104"/>
      <c r="CZK89" s="104"/>
      <c r="CZL89" s="104"/>
      <c r="CZM89" s="104"/>
      <c r="CZN89" s="104"/>
      <c r="CZO89" s="104"/>
      <c r="CZP89" s="104"/>
      <c r="CZQ89" s="104"/>
      <c r="CZR89" s="104"/>
      <c r="CZS89" s="104"/>
      <c r="CZT89" s="104"/>
      <c r="CZU89" s="104"/>
      <c r="CZV89" s="104"/>
      <c r="CZW89" s="104"/>
      <c r="CZX89" s="104"/>
      <c r="CZY89" s="104"/>
      <c r="CZZ89" s="104"/>
      <c r="DAA89" s="104"/>
      <c r="DAB89" s="104"/>
      <c r="DAC89" s="104"/>
      <c r="DAD89" s="104"/>
      <c r="DAE89" s="104"/>
      <c r="DAF89" s="104"/>
      <c r="DAG89" s="104"/>
      <c r="DAH89" s="104"/>
      <c r="DAI89" s="104"/>
      <c r="DAJ89" s="104"/>
      <c r="DAK89" s="104"/>
      <c r="DAL89" s="104"/>
      <c r="DAM89" s="104"/>
      <c r="DAN89" s="104"/>
      <c r="DAO89" s="104"/>
      <c r="DAP89" s="104"/>
      <c r="DAQ89" s="104"/>
      <c r="DAR89" s="104"/>
      <c r="DAS89" s="104"/>
      <c r="DAT89" s="104"/>
      <c r="DAU89" s="104"/>
      <c r="DAV89" s="104"/>
      <c r="DAW89" s="104"/>
      <c r="DAX89" s="104"/>
      <c r="DAY89" s="104"/>
      <c r="DAZ89" s="104"/>
      <c r="DBA89" s="104"/>
      <c r="DBB89" s="104"/>
      <c r="DBC89" s="104"/>
      <c r="DBD89" s="104"/>
      <c r="DBE89" s="104"/>
      <c r="DBF89" s="104"/>
      <c r="DBG89" s="104"/>
      <c r="DBH89" s="104"/>
      <c r="DBI89" s="104"/>
      <c r="DBJ89" s="104"/>
      <c r="DBK89" s="104"/>
      <c r="DBL89" s="104"/>
      <c r="DBM89" s="104"/>
      <c r="DBN89" s="104"/>
      <c r="DBO89" s="104"/>
      <c r="DBP89" s="104"/>
      <c r="DBQ89" s="104"/>
      <c r="DBR89" s="104"/>
      <c r="DBS89" s="104"/>
      <c r="DBT89" s="104"/>
      <c r="DBU89" s="104"/>
      <c r="DBV89" s="104"/>
      <c r="DBW89" s="104"/>
      <c r="DBX89" s="104"/>
      <c r="DBY89" s="104"/>
      <c r="DBZ89" s="104"/>
      <c r="DCA89" s="104"/>
      <c r="DCB89" s="104"/>
      <c r="DCC89" s="104"/>
      <c r="DCD89" s="104"/>
      <c r="DCE89" s="104"/>
      <c r="DCF89" s="104"/>
      <c r="DCG89" s="104"/>
      <c r="DCH89" s="104"/>
      <c r="DCI89" s="104"/>
      <c r="DCJ89" s="104"/>
      <c r="DCK89" s="104"/>
      <c r="DCL89" s="104"/>
      <c r="DCM89" s="104"/>
      <c r="DCN89" s="104"/>
      <c r="DCO89" s="104"/>
      <c r="DCP89" s="104"/>
      <c r="DCQ89" s="104"/>
      <c r="DCR89" s="104"/>
      <c r="DCS89" s="104"/>
      <c r="DCT89" s="104"/>
      <c r="DCU89" s="104"/>
      <c r="DCV89" s="104"/>
      <c r="DCW89" s="104"/>
      <c r="DCX89" s="104"/>
      <c r="DCY89" s="104"/>
      <c r="DCZ89" s="104"/>
      <c r="DDA89" s="104"/>
      <c r="DDB89" s="104"/>
      <c r="DDC89" s="104"/>
      <c r="DDD89" s="104"/>
      <c r="DDE89" s="104"/>
      <c r="DDF89" s="104"/>
      <c r="DDG89" s="104"/>
      <c r="DDH89" s="104"/>
      <c r="DDI89" s="104"/>
      <c r="DDJ89" s="104"/>
      <c r="DDK89" s="104"/>
      <c r="DDL89" s="104"/>
      <c r="DDM89" s="104"/>
      <c r="DDN89" s="104"/>
      <c r="DDO89" s="104"/>
      <c r="DDP89" s="104"/>
      <c r="DDQ89" s="104"/>
      <c r="DDR89" s="104"/>
      <c r="DDS89" s="104"/>
      <c r="DDT89" s="104"/>
      <c r="DDU89" s="104"/>
      <c r="DDV89" s="104"/>
      <c r="DDW89" s="104"/>
      <c r="DDX89" s="104"/>
      <c r="DDY89" s="104"/>
      <c r="DDZ89" s="104"/>
      <c r="DEA89" s="104"/>
      <c r="DEB89" s="104"/>
      <c r="DEC89" s="104"/>
      <c r="DED89" s="104"/>
      <c r="DEE89" s="104"/>
      <c r="DEF89" s="104"/>
      <c r="DEG89" s="104"/>
      <c r="DEH89" s="104"/>
      <c r="DEI89" s="104"/>
      <c r="DEJ89" s="104"/>
      <c r="DEK89" s="104"/>
      <c r="DEL89" s="104"/>
      <c r="DEM89" s="104"/>
      <c r="DEN89" s="104"/>
      <c r="DEO89" s="104"/>
      <c r="DEP89" s="104"/>
      <c r="DEQ89" s="104"/>
      <c r="DER89" s="104"/>
      <c r="DES89" s="104"/>
      <c r="DET89" s="104"/>
      <c r="DEU89" s="104"/>
      <c r="DEV89" s="104"/>
      <c r="DEW89" s="104"/>
      <c r="DEX89" s="104"/>
      <c r="DEY89" s="104"/>
      <c r="DEZ89" s="104"/>
      <c r="DFA89" s="104"/>
      <c r="DFB89" s="104"/>
      <c r="DFC89" s="104"/>
      <c r="DFD89" s="104"/>
      <c r="DFE89" s="104"/>
      <c r="DFF89" s="104"/>
      <c r="DFG89" s="104"/>
      <c r="DFH89" s="104"/>
      <c r="DFI89" s="104"/>
      <c r="DFJ89" s="104"/>
      <c r="DFK89" s="104"/>
      <c r="DFL89" s="104"/>
      <c r="DFM89" s="104"/>
      <c r="DFN89" s="104"/>
      <c r="DFO89" s="104"/>
      <c r="DFP89" s="104"/>
      <c r="DFQ89" s="104"/>
      <c r="DFR89" s="104"/>
      <c r="DFS89" s="104"/>
      <c r="DFT89" s="104"/>
      <c r="DFU89" s="104"/>
      <c r="DFV89" s="104"/>
      <c r="DFW89" s="104"/>
      <c r="DFX89" s="104"/>
      <c r="DFY89" s="104"/>
      <c r="DFZ89" s="104"/>
      <c r="DGA89" s="104"/>
      <c r="DGB89" s="104"/>
      <c r="DGC89" s="104"/>
      <c r="DGD89" s="104"/>
      <c r="DGE89" s="104"/>
      <c r="DGF89" s="104"/>
      <c r="DGG89" s="104"/>
      <c r="DGH89" s="104"/>
      <c r="DGI89" s="104"/>
      <c r="DGJ89" s="104"/>
      <c r="DGK89" s="104"/>
      <c r="DGL89" s="104"/>
      <c r="DGM89" s="104"/>
      <c r="DGN89" s="104"/>
      <c r="DGO89" s="104"/>
      <c r="DGP89" s="104"/>
      <c r="DGQ89" s="104"/>
      <c r="DGR89" s="104"/>
      <c r="DGS89" s="104"/>
      <c r="DGT89" s="104"/>
      <c r="DGU89" s="104"/>
      <c r="DGV89" s="104"/>
      <c r="DGW89" s="104"/>
      <c r="DGX89" s="104"/>
      <c r="DGY89" s="104"/>
      <c r="DGZ89" s="104"/>
      <c r="DHA89" s="104"/>
      <c r="DHB89" s="104"/>
      <c r="DHC89" s="104"/>
      <c r="DHD89" s="104"/>
      <c r="DHE89" s="104"/>
      <c r="DHF89" s="104"/>
      <c r="DHG89" s="104"/>
      <c r="DHH89" s="104"/>
      <c r="DHI89" s="104"/>
      <c r="DHJ89" s="104"/>
      <c r="DHK89" s="104"/>
      <c r="DHL89" s="104"/>
      <c r="DHM89" s="104"/>
      <c r="DHN89" s="104"/>
      <c r="DHO89" s="104"/>
      <c r="DHP89" s="104"/>
      <c r="DHQ89" s="104"/>
      <c r="DHR89" s="104"/>
      <c r="DHS89" s="104"/>
      <c r="DHT89" s="104"/>
      <c r="DHU89" s="104"/>
      <c r="DHV89" s="104"/>
      <c r="DHW89" s="104"/>
      <c r="DHX89" s="104"/>
      <c r="DHY89" s="104"/>
      <c r="DHZ89" s="104"/>
      <c r="DIA89" s="104"/>
      <c r="DIB89" s="104"/>
      <c r="DIC89" s="104"/>
      <c r="DID89" s="104"/>
      <c r="DIE89" s="104"/>
      <c r="DIF89" s="104"/>
      <c r="DIG89" s="104"/>
      <c r="DIH89" s="104"/>
      <c r="DII89" s="104"/>
      <c r="DIJ89" s="104"/>
      <c r="DIK89" s="104"/>
      <c r="DIL89" s="104"/>
      <c r="DIM89" s="104"/>
      <c r="DIN89" s="104"/>
      <c r="DIO89" s="104"/>
      <c r="DIP89" s="104"/>
      <c r="DIQ89" s="104"/>
      <c r="DIR89" s="104"/>
      <c r="DIS89" s="104"/>
      <c r="DIT89" s="104"/>
      <c r="DIU89" s="104"/>
      <c r="DIV89" s="104"/>
      <c r="DIW89" s="104"/>
      <c r="DIX89" s="104"/>
      <c r="DIY89" s="104"/>
      <c r="DIZ89" s="104"/>
      <c r="DJA89" s="104"/>
      <c r="DJB89" s="104"/>
      <c r="DJC89" s="104"/>
      <c r="DJD89" s="104"/>
      <c r="DJE89" s="104"/>
      <c r="DJF89" s="104"/>
      <c r="DJG89" s="104"/>
      <c r="DJH89" s="104"/>
      <c r="DJI89" s="104"/>
      <c r="DJJ89" s="104"/>
      <c r="DJK89" s="104"/>
      <c r="DJL89" s="104"/>
      <c r="DJM89" s="104"/>
      <c r="DJN89" s="104"/>
      <c r="DJO89" s="104"/>
      <c r="DJP89" s="104"/>
      <c r="DJQ89" s="104"/>
      <c r="DJR89" s="104"/>
      <c r="DJS89" s="104"/>
      <c r="DJT89" s="104"/>
      <c r="DJU89" s="104"/>
      <c r="DJV89" s="104"/>
      <c r="DJW89" s="104"/>
      <c r="DJX89" s="104"/>
      <c r="DJY89" s="104"/>
      <c r="DJZ89" s="104"/>
      <c r="DKA89" s="104"/>
      <c r="DKB89" s="104"/>
      <c r="DKC89" s="104"/>
      <c r="DKD89" s="104"/>
      <c r="DKE89" s="104"/>
      <c r="DKF89" s="104"/>
      <c r="DKG89" s="104"/>
      <c r="DKH89" s="104"/>
      <c r="DKI89" s="104"/>
      <c r="DKJ89" s="104"/>
      <c r="DKK89" s="104"/>
      <c r="DKL89" s="104"/>
      <c r="DKM89" s="104"/>
      <c r="DKN89" s="104"/>
      <c r="DKO89" s="104"/>
      <c r="DKP89" s="104"/>
      <c r="DKQ89" s="104"/>
      <c r="DKR89" s="104"/>
      <c r="DKS89" s="104"/>
      <c r="DKT89" s="104"/>
      <c r="DKU89" s="104"/>
      <c r="DKV89" s="104"/>
      <c r="DKW89" s="104"/>
      <c r="DKX89" s="104"/>
      <c r="DKY89" s="104"/>
      <c r="DKZ89" s="104"/>
      <c r="DLA89" s="104"/>
      <c r="DLB89" s="104"/>
      <c r="DLC89" s="104"/>
      <c r="DLD89" s="104"/>
      <c r="DLE89" s="104"/>
      <c r="DLF89" s="104"/>
      <c r="DLG89" s="104"/>
      <c r="DLH89" s="104"/>
      <c r="DLI89" s="104"/>
      <c r="DLJ89" s="104"/>
      <c r="DLK89" s="104"/>
      <c r="DLL89" s="104"/>
      <c r="DLM89" s="104"/>
      <c r="DLN89" s="104"/>
      <c r="DLO89" s="104"/>
      <c r="DLP89" s="104"/>
      <c r="DLQ89" s="104"/>
      <c r="DLR89" s="104"/>
      <c r="DLS89" s="104"/>
      <c r="DLT89" s="104"/>
      <c r="DLU89" s="104"/>
      <c r="DLV89" s="104"/>
      <c r="DLW89" s="104"/>
      <c r="DLX89" s="104"/>
      <c r="DLY89" s="104"/>
      <c r="DLZ89" s="104"/>
      <c r="DMA89" s="104"/>
      <c r="DMB89" s="104"/>
      <c r="DMC89" s="104"/>
      <c r="DMD89" s="104"/>
      <c r="DME89" s="104"/>
      <c r="DMF89" s="104"/>
      <c r="DMG89" s="104"/>
      <c r="DMH89" s="104"/>
      <c r="DMI89" s="104"/>
      <c r="DMJ89" s="104"/>
      <c r="DMK89" s="104"/>
      <c r="DML89" s="104"/>
      <c r="DMM89" s="104"/>
      <c r="DMN89" s="104"/>
      <c r="DMO89" s="104"/>
      <c r="DMP89" s="104"/>
      <c r="DMQ89" s="104"/>
      <c r="DMR89" s="104"/>
      <c r="DMS89" s="104"/>
      <c r="DMT89" s="104"/>
      <c r="DMU89" s="104"/>
      <c r="DMV89" s="104"/>
      <c r="DMW89" s="104"/>
      <c r="DMX89" s="104"/>
      <c r="DMY89" s="104"/>
      <c r="DMZ89" s="104"/>
      <c r="DNA89" s="104"/>
      <c r="DNB89" s="104"/>
      <c r="DNC89" s="104"/>
      <c r="DND89" s="104"/>
      <c r="DNE89" s="104"/>
      <c r="DNF89" s="104"/>
      <c r="DNG89" s="104"/>
      <c r="DNH89" s="104"/>
      <c r="DNI89" s="104"/>
      <c r="DNJ89" s="104"/>
      <c r="DNK89" s="104"/>
      <c r="DNL89" s="104"/>
      <c r="DNM89" s="104"/>
      <c r="DNN89" s="104"/>
      <c r="DNO89" s="104"/>
      <c r="DNP89" s="104"/>
      <c r="DNQ89" s="104"/>
      <c r="DNR89" s="104"/>
      <c r="DNS89" s="104"/>
      <c r="DNT89" s="104"/>
      <c r="DNU89" s="104"/>
      <c r="DNV89" s="104"/>
      <c r="DNW89" s="104"/>
      <c r="DNX89" s="104"/>
      <c r="DNY89" s="104"/>
      <c r="DNZ89" s="104"/>
      <c r="DOA89" s="104"/>
      <c r="DOB89" s="104"/>
      <c r="DOC89" s="104"/>
      <c r="DOD89" s="104"/>
      <c r="DOE89" s="104"/>
      <c r="DOF89" s="104"/>
      <c r="DOG89" s="104"/>
      <c r="DOH89" s="104"/>
      <c r="DOI89" s="104"/>
      <c r="DOJ89" s="104"/>
      <c r="DOK89" s="104"/>
      <c r="DOL89" s="104"/>
      <c r="DOM89" s="104"/>
      <c r="DON89" s="104"/>
      <c r="DOO89" s="104"/>
      <c r="DOP89" s="104"/>
      <c r="DOQ89" s="104"/>
      <c r="DOR89" s="104"/>
      <c r="DOS89" s="104"/>
      <c r="DOT89" s="104"/>
      <c r="DOU89" s="104"/>
      <c r="DOV89" s="104"/>
      <c r="DOW89" s="104"/>
      <c r="DOX89" s="104"/>
      <c r="DOY89" s="104"/>
      <c r="DOZ89" s="104"/>
      <c r="DPA89" s="104"/>
      <c r="DPB89" s="104"/>
      <c r="DPC89" s="104"/>
      <c r="DPD89" s="104"/>
      <c r="DPE89" s="104"/>
      <c r="DPF89" s="104"/>
      <c r="DPG89" s="104"/>
      <c r="DPH89" s="104"/>
      <c r="DPI89" s="104"/>
      <c r="DPJ89" s="104"/>
      <c r="DPK89" s="104"/>
      <c r="DPL89" s="104"/>
      <c r="DPM89" s="104"/>
      <c r="DPN89" s="104"/>
      <c r="DPO89" s="104"/>
      <c r="DPP89" s="104"/>
      <c r="DPQ89" s="104"/>
      <c r="DPR89" s="104"/>
      <c r="DPS89" s="104"/>
      <c r="DPT89" s="104"/>
      <c r="DPU89" s="104"/>
      <c r="DPV89" s="104"/>
      <c r="DPW89" s="104"/>
      <c r="DPX89" s="104"/>
      <c r="DPY89" s="104"/>
      <c r="DPZ89" s="104"/>
      <c r="DQA89" s="104"/>
      <c r="DQB89" s="104"/>
      <c r="DQC89" s="104"/>
      <c r="DQD89" s="104"/>
      <c r="DQE89" s="104"/>
      <c r="DQF89" s="104"/>
      <c r="DQG89" s="104"/>
      <c r="DQH89" s="104"/>
      <c r="DQI89" s="104"/>
      <c r="DQJ89" s="104"/>
      <c r="DQK89" s="104"/>
      <c r="DQL89" s="104"/>
      <c r="DQM89" s="104"/>
      <c r="DQN89" s="104"/>
      <c r="DQO89" s="104"/>
      <c r="DQP89" s="104"/>
      <c r="DQQ89" s="104"/>
      <c r="DQR89" s="104"/>
      <c r="DQS89" s="104"/>
      <c r="DQT89" s="104"/>
      <c r="DQU89" s="104"/>
      <c r="DQV89" s="104"/>
      <c r="DQW89" s="104"/>
      <c r="DQX89" s="104"/>
      <c r="DQY89" s="104"/>
      <c r="DQZ89" s="104"/>
      <c r="DRA89" s="104"/>
      <c r="DRB89" s="104"/>
      <c r="DRC89" s="104"/>
      <c r="DRD89" s="104"/>
      <c r="DRE89" s="104"/>
      <c r="DRF89" s="104"/>
      <c r="DRG89" s="104"/>
      <c r="DRH89" s="104"/>
      <c r="DRI89" s="104"/>
      <c r="DRJ89" s="104"/>
      <c r="DRK89" s="104"/>
      <c r="DRL89" s="104"/>
      <c r="DRM89" s="104"/>
      <c r="DRN89" s="104"/>
      <c r="DRO89" s="104"/>
      <c r="DRP89" s="104"/>
      <c r="DRQ89" s="104"/>
      <c r="DRR89" s="104"/>
      <c r="DRS89" s="104"/>
      <c r="DRT89" s="104"/>
      <c r="DRU89" s="104"/>
      <c r="DRV89" s="104"/>
      <c r="DRW89" s="104"/>
      <c r="DRX89" s="104"/>
      <c r="DRY89" s="104"/>
      <c r="DRZ89" s="104"/>
      <c r="DSA89" s="104"/>
      <c r="DSB89" s="104"/>
      <c r="DSC89" s="104"/>
      <c r="DSD89" s="104"/>
      <c r="DSE89" s="104"/>
      <c r="DSF89" s="104"/>
      <c r="DSG89" s="104"/>
      <c r="DSH89" s="104"/>
      <c r="DSI89" s="104"/>
      <c r="DSJ89" s="104"/>
      <c r="DSK89" s="104"/>
      <c r="DSL89" s="104"/>
      <c r="DSM89" s="104"/>
      <c r="DSN89" s="104"/>
      <c r="DSO89" s="104"/>
      <c r="DSP89" s="104"/>
      <c r="DSQ89" s="104"/>
      <c r="DSR89" s="104"/>
      <c r="DSS89" s="104"/>
      <c r="DST89" s="104"/>
      <c r="DSU89" s="104"/>
      <c r="DSV89" s="104"/>
      <c r="DSW89" s="104"/>
      <c r="DSX89" s="104"/>
      <c r="DSY89" s="104"/>
      <c r="DSZ89" s="104"/>
      <c r="DTA89" s="104"/>
      <c r="DTB89" s="104"/>
      <c r="DTC89" s="104"/>
      <c r="DTD89" s="104"/>
      <c r="DTE89" s="104"/>
      <c r="DTF89" s="104"/>
      <c r="DTG89" s="104"/>
      <c r="DTH89" s="104"/>
      <c r="DTI89" s="104"/>
      <c r="DTJ89" s="104"/>
      <c r="DTK89" s="104"/>
      <c r="DTL89" s="104"/>
      <c r="DTM89" s="104"/>
      <c r="DTN89" s="104"/>
      <c r="DTO89" s="104"/>
      <c r="DTP89" s="104"/>
      <c r="DTQ89" s="104"/>
      <c r="DTR89" s="104"/>
      <c r="DTS89" s="104"/>
      <c r="DTT89" s="104"/>
      <c r="DTU89" s="104"/>
      <c r="DTV89" s="104"/>
      <c r="DTW89" s="104"/>
      <c r="DTX89" s="104"/>
      <c r="DTY89" s="104"/>
      <c r="DTZ89" s="104"/>
      <c r="DUA89" s="104"/>
      <c r="DUB89" s="104"/>
      <c r="DUC89" s="104"/>
      <c r="DUD89" s="104"/>
      <c r="DUE89" s="104"/>
      <c r="DUF89" s="104"/>
      <c r="DUG89" s="104"/>
      <c r="DUH89" s="104"/>
      <c r="DUI89" s="104"/>
      <c r="DUJ89" s="104"/>
      <c r="DUK89" s="104"/>
      <c r="DUL89" s="104"/>
      <c r="DUM89" s="104"/>
      <c r="DUN89" s="104"/>
      <c r="DUO89" s="104"/>
      <c r="DUP89" s="104"/>
      <c r="DUQ89" s="104"/>
      <c r="DUR89" s="104"/>
      <c r="DUS89" s="104"/>
      <c r="DUT89" s="104"/>
      <c r="DUU89" s="104"/>
      <c r="DUV89" s="104"/>
      <c r="DUW89" s="104"/>
      <c r="DUX89" s="104"/>
      <c r="DUY89" s="104"/>
      <c r="DUZ89" s="104"/>
      <c r="DVA89" s="104"/>
      <c r="DVB89" s="104"/>
      <c r="DVC89" s="104"/>
      <c r="DVD89" s="104"/>
      <c r="DVE89" s="104"/>
      <c r="DVF89" s="104"/>
      <c r="DVG89" s="104"/>
      <c r="DVH89" s="104"/>
      <c r="DVI89" s="104"/>
      <c r="DVJ89" s="104"/>
      <c r="DVK89" s="104"/>
      <c r="DVL89" s="104"/>
      <c r="DVM89" s="104"/>
      <c r="DVN89" s="104"/>
      <c r="DVO89" s="104"/>
      <c r="DVP89" s="104"/>
      <c r="DVQ89" s="104"/>
      <c r="DVR89" s="104"/>
      <c r="DVS89" s="104"/>
      <c r="DVT89" s="104"/>
      <c r="DVU89" s="104"/>
      <c r="DVV89" s="104"/>
      <c r="DVW89" s="104"/>
      <c r="DVX89" s="104"/>
      <c r="DVY89" s="104"/>
      <c r="DVZ89" s="104"/>
      <c r="DWA89" s="104"/>
      <c r="DWB89" s="104"/>
      <c r="DWC89" s="104"/>
      <c r="DWD89" s="104"/>
      <c r="DWE89" s="104"/>
      <c r="DWF89" s="104"/>
      <c r="DWG89" s="104"/>
      <c r="DWH89" s="104"/>
      <c r="DWI89" s="104"/>
      <c r="DWJ89" s="104"/>
      <c r="DWK89" s="104"/>
      <c r="DWL89" s="104"/>
      <c r="DWM89" s="104"/>
      <c r="DWN89" s="104"/>
      <c r="DWO89" s="104"/>
      <c r="DWP89" s="104"/>
      <c r="DWQ89" s="104"/>
      <c r="DWR89" s="104"/>
      <c r="DWS89" s="104"/>
      <c r="DWT89" s="104"/>
      <c r="DWU89" s="104"/>
      <c r="DWV89" s="104"/>
      <c r="DWW89" s="104"/>
      <c r="DWX89" s="104"/>
      <c r="DWY89" s="104"/>
      <c r="DWZ89" s="104"/>
      <c r="DXA89" s="104"/>
      <c r="DXB89" s="104"/>
      <c r="DXC89" s="104"/>
      <c r="DXD89" s="104"/>
      <c r="DXE89" s="104"/>
      <c r="DXF89" s="104"/>
      <c r="DXG89" s="104"/>
      <c r="DXH89" s="104"/>
      <c r="DXI89" s="104"/>
      <c r="DXJ89" s="104"/>
      <c r="DXK89" s="104"/>
      <c r="DXL89" s="104"/>
      <c r="DXM89" s="104"/>
      <c r="DXN89" s="104"/>
      <c r="DXO89" s="104"/>
      <c r="DXP89" s="104"/>
      <c r="DXQ89" s="104"/>
      <c r="DXR89" s="104"/>
      <c r="DXS89" s="104"/>
      <c r="DXT89" s="104"/>
      <c r="DXU89" s="104"/>
      <c r="DXV89" s="104"/>
      <c r="DXW89" s="104"/>
      <c r="DXX89" s="104"/>
      <c r="DXY89" s="104"/>
      <c r="DXZ89" s="104"/>
      <c r="DYA89" s="104"/>
      <c r="DYB89" s="104"/>
      <c r="DYC89" s="104"/>
      <c r="DYD89" s="104"/>
      <c r="DYE89" s="104"/>
      <c r="DYF89" s="104"/>
      <c r="DYG89" s="104"/>
      <c r="DYH89" s="104"/>
      <c r="DYI89" s="104"/>
      <c r="DYJ89" s="104"/>
      <c r="DYK89" s="104"/>
      <c r="DYL89" s="104"/>
      <c r="DYM89" s="104"/>
      <c r="DYN89" s="104"/>
      <c r="DYO89" s="104"/>
      <c r="DYP89" s="104"/>
      <c r="DYQ89" s="104"/>
      <c r="DYR89" s="104"/>
      <c r="DYS89" s="104"/>
      <c r="DYT89" s="104"/>
      <c r="DYU89" s="104"/>
      <c r="DYV89" s="104"/>
      <c r="DYW89" s="104"/>
      <c r="DYX89" s="104"/>
      <c r="DYY89" s="104"/>
      <c r="DYZ89" s="104"/>
      <c r="DZA89" s="104"/>
      <c r="DZB89" s="104"/>
      <c r="DZC89" s="104"/>
      <c r="DZD89" s="104"/>
      <c r="DZE89" s="104"/>
      <c r="DZF89" s="104"/>
      <c r="DZG89" s="104"/>
      <c r="DZH89" s="104"/>
      <c r="DZI89" s="104"/>
      <c r="DZJ89" s="104"/>
      <c r="DZK89" s="104"/>
      <c r="DZL89" s="104"/>
      <c r="DZM89" s="104"/>
      <c r="DZN89" s="104"/>
      <c r="DZO89" s="104"/>
      <c r="DZP89" s="104"/>
      <c r="DZQ89" s="104"/>
      <c r="DZR89" s="104"/>
      <c r="DZS89" s="104"/>
      <c r="DZT89" s="104"/>
      <c r="DZU89" s="104"/>
      <c r="DZV89" s="104"/>
      <c r="DZW89" s="104"/>
      <c r="DZX89" s="104"/>
      <c r="DZY89" s="104"/>
      <c r="DZZ89" s="104"/>
      <c r="EAA89" s="104"/>
      <c r="EAB89" s="104"/>
      <c r="EAC89" s="104"/>
      <c r="EAD89" s="104"/>
      <c r="EAE89" s="104"/>
      <c r="EAF89" s="104"/>
      <c r="EAG89" s="104"/>
      <c r="EAH89" s="104"/>
      <c r="EAI89" s="104"/>
      <c r="EAJ89" s="104"/>
      <c r="EAK89" s="104"/>
      <c r="EAL89" s="104"/>
      <c r="EAM89" s="104"/>
      <c r="EAN89" s="104"/>
      <c r="EAO89" s="104"/>
      <c r="EAP89" s="104"/>
      <c r="EAQ89" s="104"/>
      <c r="EAR89" s="104"/>
      <c r="EAS89" s="104"/>
      <c r="EAT89" s="104"/>
      <c r="EAU89" s="104"/>
      <c r="EAV89" s="104"/>
      <c r="EAW89" s="104"/>
      <c r="EAX89" s="104"/>
      <c r="EAY89" s="104"/>
      <c r="EAZ89" s="104"/>
      <c r="EBA89" s="104"/>
      <c r="EBB89" s="104"/>
      <c r="EBC89" s="104"/>
      <c r="EBD89" s="104"/>
      <c r="EBE89" s="104"/>
      <c r="EBF89" s="104"/>
      <c r="EBG89" s="104"/>
      <c r="EBH89" s="104"/>
      <c r="EBI89" s="104"/>
      <c r="EBJ89" s="104"/>
      <c r="EBK89" s="104"/>
      <c r="EBL89" s="104"/>
      <c r="EBM89" s="104"/>
      <c r="EBN89" s="104"/>
      <c r="EBO89" s="104"/>
      <c r="EBP89" s="104"/>
      <c r="EBQ89" s="104"/>
      <c r="EBR89" s="104"/>
      <c r="EBS89" s="104"/>
      <c r="EBT89" s="104"/>
      <c r="EBU89" s="104"/>
      <c r="EBV89" s="104"/>
      <c r="EBW89" s="104"/>
      <c r="EBX89" s="104"/>
      <c r="EBY89" s="104"/>
      <c r="EBZ89" s="104"/>
      <c r="ECA89" s="104"/>
      <c r="ECB89" s="104"/>
      <c r="ECC89" s="104"/>
      <c r="ECD89" s="104"/>
      <c r="ECE89" s="104"/>
      <c r="ECF89" s="104"/>
      <c r="ECG89" s="104"/>
      <c r="ECH89" s="104"/>
      <c r="ECI89" s="104"/>
      <c r="ECJ89" s="104"/>
      <c r="ECK89" s="104"/>
      <c r="ECL89" s="104"/>
      <c r="ECM89" s="104"/>
      <c r="ECN89" s="104"/>
      <c r="ECO89" s="104"/>
      <c r="ECP89" s="104"/>
      <c r="ECQ89" s="104"/>
      <c r="ECR89" s="104"/>
      <c r="ECS89" s="104"/>
      <c r="ECT89" s="104"/>
      <c r="ECU89" s="104"/>
      <c r="ECV89" s="104"/>
      <c r="ECW89" s="104"/>
      <c r="ECX89" s="104"/>
      <c r="ECY89" s="104"/>
      <c r="ECZ89" s="104"/>
      <c r="EDA89" s="104"/>
      <c r="EDB89" s="104"/>
      <c r="EDC89" s="104"/>
      <c r="EDD89" s="104"/>
      <c r="EDE89" s="104"/>
      <c r="EDF89" s="104"/>
      <c r="EDG89" s="104"/>
      <c r="EDH89" s="104"/>
      <c r="EDI89" s="104"/>
      <c r="EDJ89" s="104"/>
      <c r="EDK89" s="104"/>
      <c r="EDL89" s="104"/>
      <c r="EDM89" s="104"/>
      <c r="EDN89" s="104"/>
      <c r="EDO89" s="104"/>
      <c r="EDP89" s="104"/>
      <c r="EDQ89" s="104"/>
      <c r="EDR89" s="104"/>
      <c r="EDS89" s="104"/>
      <c r="EDT89" s="104"/>
      <c r="EDU89" s="104"/>
      <c r="EDV89" s="104"/>
      <c r="EDW89" s="104"/>
      <c r="EDX89" s="104"/>
      <c r="EDY89" s="104"/>
      <c r="EDZ89" s="104"/>
      <c r="EEA89" s="104"/>
      <c r="EEB89" s="104"/>
      <c r="EEC89" s="104"/>
      <c r="EED89" s="104"/>
      <c r="EEE89" s="104"/>
      <c r="EEF89" s="104"/>
      <c r="EEG89" s="104"/>
      <c r="EEH89" s="104"/>
      <c r="EEI89" s="104"/>
      <c r="EEJ89" s="104"/>
      <c r="EEK89" s="104"/>
      <c r="EEL89" s="104"/>
      <c r="EEM89" s="104"/>
      <c r="EEN89" s="104"/>
      <c r="EEO89" s="104"/>
      <c r="EEP89" s="104"/>
      <c r="EEQ89" s="104"/>
      <c r="EER89" s="104"/>
      <c r="EES89" s="104"/>
      <c r="EET89" s="104"/>
      <c r="EEU89" s="104"/>
      <c r="EEV89" s="104"/>
      <c r="EEW89" s="104"/>
      <c r="EEX89" s="104"/>
      <c r="EEY89" s="104"/>
      <c r="EEZ89" s="104"/>
      <c r="EFA89" s="104"/>
      <c r="EFB89" s="104"/>
      <c r="EFC89" s="104"/>
      <c r="EFD89" s="104"/>
      <c r="EFE89" s="104"/>
      <c r="EFF89" s="104"/>
      <c r="EFG89" s="104"/>
      <c r="EFH89" s="104"/>
      <c r="EFI89" s="104"/>
      <c r="EFJ89" s="104"/>
      <c r="EFK89" s="104"/>
      <c r="EFL89" s="104"/>
      <c r="EFM89" s="104"/>
      <c r="EFN89" s="104"/>
      <c r="EFO89" s="104"/>
      <c r="EFP89" s="104"/>
      <c r="EFQ89" s="104"/>
      <c r="EFR89" s="104"/>
      <c r="EFS89" s="104"/>
      <c r="EFT89" s="104"/>
      <c r="EFU89" s="104"/>
      <c r="EFV89" s="104"/>
      <c r="EFW89" s="104"/>
      <c r="EFX89" s="104"/>
      <c r="EFY89" s="104"/>
      <c r="EFZ89" s="104"/>
      <c r="EGA89" s="104"/>
      <c r="EGB89" s="104"/>
      <c r="EGC89" s="104"/>
      <c r="EGD89" s="104"/>
      <c r="EGE89" s="104"/>
      <c r="EGF89" s="104"/>
      <c r="EGG89" s="104"/>
      <c r="EGH89" s="104"/>
      <c r="EGI89" s="104"/>
      <c r="EGJ89" s="104"/>
      <c r="EGK89" s="104"/>
      <c r="EGL89" s="104"/>
      <c r="EGM89" s="104"/>
      <c r="EGN89" s="104"/>
      <c r="EGO89" s="104"/>
      <c r="EGP89" s="104"/>
      <c r="EGQ89" s="104"/>
      <c r="EGR89" s="104"/>
      <c r="EGS89" s="104"/>
      <c r="EGT89" s="104"/>
      <c r="EGU89" s="104"/>
      <c r="EGV89" s="104"/>
      <c r="EGW89" s="104"/>
      <c r="EGX89" s="104"/>
      <c r="EGY89" s="104"/>
      <c r="EGZ89" s="104"/>
      <c r="EHA89" s="104"/>
      <c r="EHB89" s="104"/>
      <c r="EHC89" s="104"/>
      <c r="EHD89" s="104"/>
      <c r="EHE89" s="104"/>
      <c r="EHF89" s="104"/>
      <c r="EHG89" s="104"/>
      <c r="EHH89" s="104"/>
      <c r="EHI89" s="104"/>
      <c r="EHJ89" s="104"/>
      <c r="EHK89" s="104"/>
      <c r="EHL89" s="104"/>
      <c r="EHM89" s="104"/>
      <c r="EHN89" s="104"/>
      <c r="EHO89" s="104"/>
      <c r="EHP89" s="104"/>
      <c r="EHQ89" s="104"/>
      <c r="EHR89" s="104"/>
      <c r="EHS89" s="104"/>
      <c r="EHT89" s="104"/>
      <c r="EHU89" s="104"/>
      <c r="EHV89" s="104"/>
      <c r="EHW89" s="104"/>
      <c r="EHX89" s="104"/>
      <c r="EHY89" s="104"/>
      <c r="EHZ89" s="104"/>
      <c r="EIA89" s="104"/>
      <c r="EIB89" s="104"/>
      <c r="EIC89" s="104"/>
      <c r="EID89" s="104"/>
      <c r="EIE89" s="104"/>
      <c r="EIF89" s="104"/>
      <c r="EIG89" s="104"/>
      <c r="EIH89" s="104"/>
      <c r="EII89" s="104"/>
      <c r="EIJ89" s="104"/>
      <c r="EIK89" s="104"/>
      <c r="EIL89" s="104"/>
      <c r="EIM89" s="104"/>
      <c r="EIN89" s="104"/>
      <c r="EIO89" s="104"/>
      <c r="EIP89" s="104"/>
      <c r="EIQ89" s="104"/>
      <c r="EIR89" s="104"/>
      <c r="EIS89" s="104"/>
      <c r="EIT89" s="104"/>
      <c r="EIU89" s="104"/>
      <c r="EIV89" s="104"/>
      <c r="EIW89" s="104"/>
      <c r="EIX89" s="104"/>
      <c r="EIY89" s="104"/>
      <c r="EIZ89" s="104"/>
      <c r="EJA89" s="104"/>
      <c r="EJB89" s="104"/>
      <c r="EJC89" s="104"/>
      <c r="EJD89" s="104"/>
      <c r="EJE89" s="104"/>
      <c r="EJF89" s="104"/>
      <c r="EJG89" s="104"/>
      <c r="EJH89" s="104"/>
      <c r="EJI89" s="104"/>
      <c r="EJJ89" s="104"/>
      <c r="EJK89" s="104"/>
      <c r="EJL89" s="104"/>
      <c r="EJM89" s="104"/>
      <c r="EJN89" s="104"/>
      <c r="EJO89" s="104"/>
      <c r="EJP89" s="104"/>
      <c r="EJQ89" s="104"/>
      <c r="EJR89" s="104"/>
      <c r="EJS89" s="104"/>
      <c r="EJT89" s="104"/>
      <c r="EJU89" s="104"/>
      <c r="EJV89" s="104"/>
      <c r="EJW89" s="104"/>
      <c r="EJX89" s="104"/>
      <c r="EJY89" s="104"/>
      <c r="EJZ89" s="104"/>
      <c r="EKA89" s="104"/>
      <c r="EKB89" s="104"/>
      <c r="EKC89" s="104"/>
      <c r="EKD89" s="104"/>
      <c r="EKE89" s="104"/>
      <c r="EKF89" s="104"/>
      <c r="EKG89" s="104"/>
      <c r="EKH89" s="104"/>
      <c r="EKI89" s="104"/>
      <c r="EKJ89" s="104"/>
      <c r="EKK89" s="104"/>
      <c r="EKL89" s="104"/>
      <c r="EKM89" s="104"/>
      <c r="EKN89" s="104"/>
      <c r="EKO89" s="104"/>
      <c r="EKP89" s="104"/>
      <c r="EKQ89" s="104"/>
      <c r="EKR89" s="104"/>
      <c r="EKS89" s="104"/>
      <c r="EKT89" s="104"/>
      <c r="EKU89" s="104"/>
      <c r="EKV89" s="104"/>
      <c r="EKW89" s="104"/>
      <c r="EKX89" s="104"/>
      <c r="EKY89" s="104"/>
      <c r="EKZ89" s="104"/>
      <c r="ELA89" s="104"/>
      <c r="ELB89" s="104"/>
      <c r="ELC89" s="104"/>
      <c r="ELD89" s="104"/>
      <c r="ELE89" s="104"/>
      <c r="ELF89" s="104"/>
      <c r="ELG89" s="104"/>
      <c r="ELH89" s="104"/>
      <c r="ELI89" s="104"/>
      <c r="ELJ89" s="104"/>
      <c r="ELK89" s="104"/>
      <c r="ELL89" s="104"/>
      <c r="ELM89" s="104"/>
      <c r="ELN89" s="104"/>
      <c r="ELO89" s="104"/>
      <c r="ELP89" s="104"/>
      <c r="ELQ89" s="104"/>
      <c r="ELR89" s="104"/>
      <c r="ELS89" s="104"/>
      <c r="ELT89" s="104"/>
      <c r="ELU89" s="104"/>
      <c r="ELV89" s="104"/>
      <c r="ELW89" s="104"/>
      <c r="ELX89" s="104"/>
      <c r="ELY89" s="104"/>
      <c r="ELZ89" s="104"/>
      <c r="EMA89" s="104"/>
      <c r="EMB89" s="104"/>
      <c r="EMC89" s="104"/>
      <c r="EMD89" s="104"/>
      <c r="EME89" s="104"/>
      <c r="EMF89" s="104"/>
      <c r="EMG89" s="104"/>
      <c r="EMH89" s="104"/>
      <c r="EMI89" s="104"/>
      <c r="EMJ89" s="104"/>
      <c r="EMK89" s="104"/>
      <c r="EML89" s="104"/>
      <c r="EMM89" s="104"/>
      <c r="EMN89" s="104"/>
      <c r="EMO89" s="104"/>
      <c r="EMP89" s="104"/>
      <c r="EMQ89" s="104"/>
      <c r="EMR89" s="104"/>
      <c r="EMS89" s="104"/>
      <c r="EMT89" s="104"/>
      <c r="EMU89" s="104"/>
      <c r="EMV89" s="104"/>
      <c r="EMW89" s="104"/>
      <c r="EMX89" s="104"/>
      <c r="EMY89" s="104"/>
      <c r="EMZ89" s="104"/>
      <c r="ENA89" s="104"/>
      <c r="ENB89" s="104"/>
      <c r="ENC89" s="104"/>
      <c r="END89" s="104"/>
      <c r="ENE89" s="104"/>
      <c r="ENF89" s="104"/>
      <c r="ENG89" s="104"/>
      <c r="ENH89" s="104"/>
      <c r="ENI89" s="104"/>
      <c r="ENJ89" s="104"/>
      <c r="ENK89" s="104"/>
      <c r="ENL89" s="104"/>
      <c r="ENM89" s="104"/>
      <c r="ENN89" s="104"/>
      <c r="ENO89" s="104"/>
      <c r="ENP89" s="104"/>
      <c r="ENQ89" s="104"/>
      <c r="ENR89" s="104"/>
      <c r="ENS89" s="104"/>
      <c r="ENT89" s="104"/>
      <c r="ENU89" s="104"/>
      <c r="ENV89" s="104"/>
      <c r="ENW89" s="104"/>
      <c r="ENX89" s="104"/>
      <c r="ENY89" s="104"/>
      <c r="ENZ89" s="104"/>
      <c r="EOA89" s="104"/>
      <c r="EOB89" s="104"/>
      <c r="EOC89" s="104"/>
      <c r="EOD89" s="104"/>
      <c r="EOE89" s="104"/>
      <c r="EOF89" s="104"/>
      <c r="EOG89" s="104"/>
      <c r="EOH89" s="104"/>
      <c r="EOI89" s="104"/>
      <c r="EOJ89" s="104"/>
      <c r="EOK89" s="104"/>
      <c r="EOL89" s="104"/>
      <c r="EOM89" s="104"/>
      <c r="EON89" s="104"/>
      <c r="EOO89" s="104"/>
      <c r="EOP89" s="104"/>
      <c r="EOQ89" s="104"/>
      <c r="EOR89" s="104"/>
      <c r="EOS89" s="104"/>
      <c r="EOT89" s="104"/>
      <c r="EOU89" s="104"/>
      <c r="EOV89" s="104"/>
      <c r="EOW89" s="104"/>
      <c r="EOX89" s="104"/>
      <c r="EOY89" s="104"/>
      <c r="EOZ89" s="104"/>
      <c r="EPA89" s="104"/>
      <c r="EPB89" s="104"/>
      <c r="EPC89" s="104"/>
      <c r="EPD89" s="104"/>
      <c r="EPE89" s="104"/>
      <c r="EPF89" s="104"/>
      <c r="EPG89" s="104"/>
      <c r="EPH89" s="104"/>
      <c r="EPI89" s="104"/>
      <c r="EPJ89" s="104"/>
      <c r="EPK89" s="104"/>
      <c r="EPL89" s="104"/>
      <c r="EPM89" s="104"/>
      <c r="EPN89" s="104"/>
      <c r="EPO89" s="104"/>
      <c r="EPP89" s="104"/>
      <c r="EPQ89" s="104"/>
      <c r="EPR89" s="104"/>
      <c r="EPS89" s="104"/>
      <c r="EPT89" s="104"/>
      <c r="EPU89" s="104"/>
      <c r="EPV89" s="104"/>
      <c r="EPW89" s="104"/>
      <c r="EPX89" s="104"/>
      <c r="EPY89" s="104"/>
      <c r="EPZ89" s="104"/>
      <c r="EQA89" s="104"/>
      <c r="EQB89" s="104"/>
      <c r="EQC89" s="104"/>
      <c r="EQD89" s="104"/>
      <c r="EQE89" s="104"/>
      <c r="EQF89" s="104"/>
      <c r="EQG89" s="104"/>
      <c r="EQH89" s="104"/>
      <c r="EQI89" s="104"/>
      <c r="EQJ89" s="104"/>
      <c r="EQK89" s="104"/>
      <c r="EQL89" s="104"/>
      <c r="EQM89" s="104"/>
      <c r="EQN89" s="104"/>
      <c r="EQO89" s="104"/>
      <c r="EQP89" s="104"/>
      <c r="EQQ89" s="104"/>
      <c r="EQR89" s="104"/>
      <c r="EQS89" s="104"/>
      <c r="EQT89" s="104"/>
      <c r="EQU89" s="104"/>
      <c r="EQV89" s="104"/>
      <c r="EQW89" s="104"/>
      <c r="EQX89" s="104"/>
      <c r="EQY89" s="104"/>
      <c r="EQZ89" s="104"/>
      <c r="ERA89" s="104"/>
      <c r="ERB89" s="104"/>
      <c r="ERC89" s="104"/>
      <c r="ERD89" s="104"/>
      <c r="ERE89" s="104"/>
      <c r="ERF89" s="104"/>
      <c r="ERG89" s="104"/>
      <c r="ERH89" s="104"/>
      <c r="ERI89" s="104"/>
      <c r="ERJ89" s="104"/>
      <c r="ERK89" s="104"/>
      <c r="ERL89" s="104"/>
      <c r="ERM89" s="104"/>
      <c r="ERN89" s="104"/>
      <c r="ERO89" s="104"/>
      <c r="ERP89" s="104"/>
      <c r="ERQ89" s="104"/>
      <c r="ERR89" s="104"/>
      <c r="ERS89" s="104"/>
      <c r="ERT89" s="104"/>
      <c r="ERU89" s="104"/>
      <c r="ERV89" s="104"/>
      <c r="ERW89" s="104"/>
      <c r="ERX89" s="104"/>
      <c r="ERY89" s="104"/>
      <c r="ERZ89" s="104"/>
      <c r="ESA89" s="104"/>
      <c r="ESB89" s="104"/>
      <c r="ESC89" s="104"/>
      <c r="ESD89" s="104"/>
      <c r="ESE89" s="104"/>
      <c r="ESF89" s="104"/>
      <c r="ESG89" s="104"/>
      <c r="ESH89" s="104"/>
      <c r="ESI89" s="104"/>
      <c r="ESJ89" s="104"/>
      <c r="ESK89" s="104"/>
      <c r="ESL89" s="104"/>
      <c r="ESM89" s="104"/>
      <c r="ESN89" s="104"/>
      <c r="ESO89" s="104"/>
      <c r="ESP89" s="104"/>
      <c r="ESQ89" s="104"/>
      <c r="ESR89" s="104"/>
      <c r="ESS89" s="104"/>
      <c r="EST89" s="104"/>
      <c r="ESU89" s="104"/>
      <c r="ESV89" s="104"/>
      <c r="ESW89" s="104"/>
      <c r="ESX89" s="104"/>
      <c r="ESY89" s="104"/>
      <c r="ESZ89" s="104"/>
      <c r="ETA89" s="104"/>
      <c r="ETB89" s="104"/>
      <c r="ETC89" s="104"/>
      <c r="ETD89" s="104"/>
      <c r="ETE89" s="104"/>
      <c r="ETF89" s="104"/>
      <c r="ETG89" s="104"/>
      <c r="ETH89" s="104"/>
      <c r="ETI89" s="104"/>
      <c r="ETJ89" s="104"/>
      <c r="ETK89" s="104"/>
      <c r="ETL89" s="104"/>
      <c r="ETM89" s="104"/>
      <c r="ETN89" s="104"/>
      <c r="ETO89" s="104"/>
      <c r="ETP89" s="104"/>
      <c r="ETQ89" s="104"/>
      <c r="ETR89" s="104"/>
      <c r="ETS89" s="104"/>
      <c r="ETT89" s="104"/>
      <c r="ETU89" s="104"/>
      <c r="ETV89" s="104"/>
      <c r="ETW89" s="104"/>
      <c r="ETX89" s="104"/>
      <c r="ETY89" s="104"/>
      <c r="ETZ89" s="104"/>
      <c r="EUA89" s="104"/>
      <c r="EUB89" s="104"/>
      <c r="EUC89" s="104"/>
      <c r="EUD89" s="104"/>
      <c r="EUE89" s="104"/>
      <c r="EUF89" s="104"/>
      <c r="EUG89" s="104"/>
      <c r="EUH89" s="104"/>
      <c r="EUI89" s="104"/>
      <c r="EUJ89" s="104"/>
      <c r="EUK89" s="104"/>
      <c r="EUL89" s="104"/>
      <c r="EUM89" s="104"/>
      <c r="EUN89" s="104"/>
      <c r="EUO89" s="104"/>
      <c r="EUP89" s="104"/>
      <c r="EUQ89" s="104"/>
      <c r="EUR89" s="104"/>
      <c r="EUS89" s="104"/>
      <c r="EUT89" s="104"/>
      <c r="EUU89" s="104"/>
      <c r="EUV89" s="104"/>
      <c r="EUW89" s="104"/>
      <c r="EUX89" s="104"/>
      <c r="EUY89" s="104"/>
      <c r="EUZ89" s="104"/>
      <c r="EVA89" s="104"/>
      <c r="EVB89" s="104"/>
      <c r="EVC89" s="104"/>
      <c r="EVD89" s="104"/>
      <c r="EVE89" s="104"/>
      <c r="EVF89" s="104"/>
      <c r="EVG89" s="104"/>
      <c r="EVH89" s="104"/>
      <c r="EVI89" s="104"/>
      <c r="EVJ89" s="104"/>
      <c r="EVK89" s="104"/>
      <c r="EVL89" s="104"/>
      <c r="EVM89" s="104"/>
      <c r="EVN89" s="104"/>
      <c r="EVO89" s="104"/>
      <c r="EVP89" s="104"/>
      <c r="EVQ89" s="104"/>
      <c r="EVR89" s="104"/>
      <c r="EVS89" s="104"/>
      <c r="EVT89" s="104"/>
      <c r="EVU89" s="104"/>
      <c r="EVV89" s="104"/>
      <c r="EVW89" s="104"/>
      <c r="EVX89" s="104"/>
      <c r="EVY89" s="104"/>
      <c r="EVZ89" s="104"/>
      <c r="EWA89" s="104"/>
      <c r="EWB89" s="104"/>
      <c r="EWC89" s="104"/>
      <c r="EWD89" s="104"/>
      <c r="EWE89" s="104"/>
      <c r="EWF89" s="104"/>
      <c r="EWG89" s="104"/>
      <c r="EWH89" s="104"/>
      <c r="EWI89" s="104"/>
      <c r="EWJ89" s="104"/>
      <c r="EWK89" s="104"/>
      <c r="EWL89" s="104"/>
      <c r="EWM89" s="104"/>
      <c r="EWN89" s="104"/>
      <c r="EWO89" s="104"/>
      <c r="EWP89" s="104"/>
      <c r="EWQ89" s="104"/>
      <c r="EWR89" s="104"/>
      <c r="EWS89" s="104"/>
      <c r="EWT89" s="104"/>
      <c r="EWU89" s="104"/>
      <c r="EWV89" s="104"/>
      <c r="EWW89" s="104"/>
      <c r="EWX89" s="104"/>
      <c r="EWY89" s="104"/>
      <c r="EWZ89" s="104"/>
      <c r="EXA89" s="104"/>
      <c r="EXB89" s="104"/>
      <c r="EXC89" s="104"/>
      <c r="EXD89" s="104"/>
      <c r="EXE89" s="104"/>
      <c r="EXF89" s="104"/>
      <c r="EXG89" s="104"/>
      <c r="EXH89" s="104"/>
      <c r="EXI89" s="104"/>
      <c r="EXJ89" s="104"/>
      <c r="EXK89" s="104"/>
      <c r="EXL89" s="104"/>
      <c r="EXM89" s="104"/>
      <c r="EXN89" s="104"/>
      <c r="EXO89" s="104"/>
      <c r="EXP89" s="104"/>
      <c r="EXQ89" s="104"/>
      <c r="EXR89" s="104"/>
      <c r="EXS89" s="104"/>
      <c r="EXT89" s="104"/>
      <c r="EXU89" s="104"/>
      <c r="EXV89" s="104"/>
      <c r="EXW89" s="104"/>
      <c r="EXX89" s="104"/>
      <c r="EXY89" s="104"/>
      <c r="EXZ89" s="104"/>
      <c r="EYA89" s="104"/>
      <c r="EYB89" s="104"/>
      <c r="EYC89" s="104"/>
      <c r="EYD89" s="104"/>
      <c r="EYE89" s="104"/>
      <c r="EYF89" s="104"/>
      <c r="EYG89" s="104"/>
      <c r="EYH89" s="104"/>
      <c r="EYI89" s="104"/>
      <c r="EYJ89" s="104"/>
      <c r="EYK89" s="104"/>
      <c r="EYL89" s="104"/>
      <c r="EYM89" s="104"/>
      <c r="EYN89" s="104"/>
      <c r="EYO89" s="104"/>
      <c r="EYP89" s="104"/>
      <c r="EYQ89" s="104"/>
      <c r="EYR89" s="104"/>
      <c r="EYS89" s="104"/>
      <c r="EYT89" s="104"/>
      <c r="EYU89" s="104"/>
      <c r="EYV89" s="104"/>
      <c r="EYW89" s="104"/>
      <c r="EYX89" s="104"/>
      <c r="EYY89" s="104"/>
      <c r="EYZ89" s="104"/>
      <c r="EZA89" s="104"/>
      <c r="EZB89" s="104"/>
      <c r="EZC89" s="104"/>
      <c r="EZD89" s="104"/>
      <c r="EZE89" s="104"/>
      <c r="EZF89" s="104"/>
      <c r="EZG89" s="104"/>
      <c r="EZH89" s="104"/>
      <c r="EZI89" s="104"/>
      <c r="EZJ89" s="104"/>
      <c r="EZK89" s="104"/>
      <c r="EZL89" s="104"/>
      <c r="EZM89" s="104"/>
      <c r="EZN89" s="104"/>
      <c r="EZO89" s="104"/>
      <c r="EZP89" s="104"/>
      <c r="EZQ89" s="104"/>
      <c r="EZR89" s="104"/>
      <c r="EZS89" s="104"/>
      <c r="EZT89" s="104"/>
      <c r="EZU89" s="104"/>
      <c r="EZV89" s="104"/>
      <c r="EZW89" s="104"/>
      <c r="EZX89" s="104"/>
      <c r="EZY89" s="104"/>
      <c r="EZZ89" s="104"/>
      <c r="FAA89" s="104"/>
      <c r="FAB89" s="104"/>
      <c r="FAC89" s="104"/>
      <c r="FAD89" s="104"/>
      <c r="FAE89" s="104"/>
      <c r="FAF89" s="104"/>
      <c r="FAG89" s="104"/>
      <c r="FAH89" s="104"/>
      <c r="FAI89" s="104"/>
      <c r="FAJ89" s="104"/>
      <c r="FAK89" s="104"/>
      <c r="FAL89" s="104"/>
      <c r="FAM89" s="104"/>
      <c r="FAN89" s="104"/>
      <c r="FAO89" s="104"/>
      <c r="FAP89" s="104"/>
      <c r="FAQ89" s="104"/>
      <c r="FAR89" s="104"/>
      <c r="FAS89" s="104"/>
      <c r="FAT89" s="104"/>
      <c r="FAU89" s="104"/>
      <c r="FAV89" s="104"/>
      <c r="FAW89" s="104"/>
      <c r="FAX89" s="104"/>
      <c r="FAY89" s="104"/>
      <c r="FAZ89" s="104"/>
      <c r="FBA89" s="104"/>
      <c r="FBB89" s="104"/>
      <c r="FBC89" s="104"/>
      <c r="FBD89" s="104"/>
      <c r="FBE89" s="104"/>
      <c r="FBF89" s="104"/>
      <c r="FBG89" s="104"/>
      <c r="FBH89" s="104"/>
      <c r="FBI89" s="104"/>
      <c r="FBJ89" s="104"/>
      <c r="FBK89" s="104"/>
      <c r="FBL89" s="104"/>
      <c r="FBM89" s="104"/>
      <c r="FBN89" s="104"/>
      <c r="FBO89" s="104"/>
      <c r="FBP89" s="104"/>
      <c r="FBQ89" s="104"/>
      <c r="FBR89" s="104"/>
      <c r="FBS89" s="104"/>
      <c r="FBT89" s="104"/>
      <c r="FBU89" s="104"/>
      <c r="FBV89" s="104"/>
      <c r="FBW89" s="104"/>
      <c r="FBX89" s="104"/>
      <c r="FBY89" s="104"/>
      <c r="FBZ89" s="104"/>
      <c r="FCA89" s="104"/>
      <c r="FCB89" s="104"/>
      <c r="FCC89" s="104"/>
      <c r="FCD89" s="104"/>
      <c r="FCE89" s="104"/>
      <c r="FCF89" s="104"/>
      <c r="FCG89" s="104"/>
      <c r="FCH89" s="104"/>
      <c r="FCI89" s="104"/>
      <c r="FCJ89" s="104"/>
      <c r="FCK89" s="104"/>
      <c r="FCL89" s="104"/>
      <c r="FCM89" s="104"/>
      <c r="FCN89" s="104"/>
      <c r="FCO89" s="104"/>
      <c r="FCP89" s="104"/>
      <c r="FCQ89" s="104"/>
      <c r="FCR89" s="104"/>
      <c r="FCS89" s="104"/>
      <c r="FCT89" s="104"/>
      <c r="FCU89" s="104"/>
      <c r="FCV89" s="104"/>
      <c r="FCW89" s="104"/>
      <c r="FCX89" s="104"/>
      <c r="FCY89" s="104"/>
      <c r="FCZ89" s="104"/>
      <c r="FDA89" s="104"/>
      <c r="FDB89" s="104"/>
      <c r="FDC89" s="104"/>
      <c r="FDD89" s="104"/>
      <c r="FDE89" s="104"/>
      <c r="FDF89" s="104"/>
      <c r="FDG89" s="104"/>
      <c r="FDH89" s="104"/>
      <c r="FDI89" s="104"/>
      <c r="FDJ89" s="104"/>
      <c r="FDK89" s="104"/>
      <c r="FDL89" s="104"/>
      <c r="FDM89" s="104"/>
      <c r="FDN89" s="104"/>
      <c r="FDO89" s="104"/>
      <c r="FDP89" s="104"/>
      <c r="FDQ89" s="104"/>
      <c r="FDR89" s="104"/>
      <c r="FDS89" s="104"/>
      <c r="FDT89" s="104"/>
      <c r="FDU89" s="104"/>
      <c r="FDV89" s="104"/>
      <c r="FDW89" s="104"/>
      <c r="FDX89" s="104"/>
      <c r="FDY89" s="104"/>
      <c r="FDZ89" s="104"/>
      <c r="FEA89" s="104"/>
      <c r="FEB89" s="104"/>
      <c r="FEC89" s="104"/>
      <c r="FED89" s="104"/>
      <c r="FEE89" s="104"/>
      <c r="FEF89" s="104"/>
      <c r="FEG89" s="104"/>
      <c r="FEH89" s="104"/>
      <c r="FEI89" s="104"/>
      <c r="FEJ89" s="104"/>
      <c r="FEK89" s="104"/>
      <c r="FEL89" s="104"/>
      <c r="FEM89" s="104"/>
      <c r="FEN89" s="104"/>
      <c r="FEO89" s="104"/>
      <c r="FEP89" s="104"/>
      <c r="FEQ89" s="104"/>
      <c r="FER89" s="104"/>
      <c r="FES89" s="104"/>
      <c r="FET89" s="104"/>
      <c r="FEU89" s="104"/>
      <c r="FEV89" s="104"/>
      <c r="FEW89" s="104"/>
      <c r="FEX89" s="104"/>
      <c r="FEY89" s="104"/>
      <c r="FEZ89" s="104"/>
      <c r="FFA89" s="104"/>
      <c r="FFB89" s="104"/>
      <c r="FFC89" s="104"/>
      <c r="FFD89" s="104"/>
      <c r="FFE89" s="104"/>
      <c r="FFF89" s="104"/>
      <c r="FFG89" s="104"/>
      <c r="FFH89" s="104"/>
      <c r="FFI89" s="104"/>
      <c r="FFJ89" s="104"/>
      <c r="FFK89" s="104"/>
      <c r="FFL89" s="104"/>
      <c r="FFM89" s="104"/>
      <c r="FFN89" s="104"/>
      <c r="FFO89" s="104"/>
      <c r="FFP89" s="104"/>
      <c r="FFQ89" s="104"/>
      <c r="FFR89" s="104"/>
      <c r="FFS89" s="104"/>
      <c r="FFT89" s="104"/>
      <c r="FFU89" s="104"/>
      <c r="FFV89" s="104"/>
      <c r="FFW89" s="104"/>
      <c r="FFX89" s="104"/>
      <c r="FFY89" s="104"/>
      <c r="FFZ89" s="104"/>
      <c r="FGA89" s="104"/>
      <c r="FGB89" s="104"/>
      <c r="FGC89" s="104"/>
      <c r="FGD89" s="104"/>
      <c r="FGE89" s="104"/>
      <c r="FGF89" s="104"/>
      <c r="FGG89" s="104"/>
      <c r="FGH89" s="104"/>
      <c r="FGI89" s="104"/>
      <c r="FGJ89" s="104"/>
      <c r="FGK89" s="104"/>
      <c r="FGL89" s="104"/>
      <c r="FGM89" s="104"/>
      <c r="FGN89" s="104"/>
      <c r="FGO89" s="104"/>
      <c r="FGP89" s="104"/>
      <c r="FGQ89" s="104"/>
      <c r="FGR89" s="104"/>
      <c r="FGS89" s="104"/>
      <c r="FGT89" s="104"/>
      <c r="FGU89" s="104"/>
      <c r="FGV89" s="104"/>
      <c r="FGW89" s="104"/>
      <c r="FGX89" s="104"/>
      <c r="FGY89" s="104"/>
      <c r="FGZ89" s="104"/>
      <c r="FHA89" s="104"/>
      <c r="FHB89" s="104"/>
      <c r="FHC89" s="104"/>
      <c r="FHD89" s="104"/>
      <c r="FHE89" s="104"/>
      <c r="FHF89" s="104"/>
      <c r="FHG89" s="104"/>
      <c r="FHH89" s="104"/>
      <c r="FHI89" s="104"/>
      <c r="FHJ89" s="104"/>
      <c r="FHK89" s="104"/>
      <c r="FHL89" s="104"/>
      <c r="FHM89" s="104"/>
      <c r="FHN89" s="104"/>
      <c r="FHO89" s="104"/>
      <c r="FHP89" s="104"/>
      <c r="FHQ89" s="104"/>
      <c r="FHR89" s="104"/>
      <c r="FHS89" s="104"/>
      <c r="FHT89" s="104"/>
      <c r="FHU89" s="104"/>
      <c r="FHV89" s="104"/>
      <c r="FHW89" s="104"/>
      <c r="FHX89" s="104"/>
      <c r="FHY89" s="104"/>
      <c r="FHZ89" s="104"/>
      <c r="FIA89" s="104"/>
      <c r="FIB89" s="104"/>
      <c r="FIC89" s="104"/>
      <c r="FID89" s="104"/>
      <c r="FIE89" s="104"/>
      <c r="FIF89" s="104"/>
      <c r="FIG89" s="104"/>
      <c r="FIH89" s="104"/>
      <c r="FII89" s="104"/>
      <c r="FIJ89" s="104"/>
      <c r="FIK89" s="104"/>
      <c r="FIL89" s="104"/>
      <c r="FIM89" s="104"/>
      <c r="FIN89" s="104"/>
      <c r="FIO89" s="104"/>
      <c r="FIP89" s="104"/>
      <c r="FIQ89" s="104"/>
      <c r="FIR89" s="104"/>
      <c r="FIS89" s="104"/>
      <c r="FIT89" s="104"/>
      <c r="FIU89" s="104"/>
      <c r="FIV89" s="104"/>
      <c r="FIW89" s="104"/>
      <c r="FIX89" s="104"/>
      <c r="FIY89" s="104"/>
      <c r="FIZ89" s="104"/>
      <c r="FJA89" s="104"/>
      <c r="FJB89" s="104"/>
      <c r="FJC89" s="104"/>
      <c r="FJD89" s="104"/>
      <c r="FJE89" s="104"/>
      <c r="FJF89" s="104"/>
      <c r="FJG89" s="104"/>
      <c r="FJH89" s="104"/>
      <c r="FJI89" s="104"/>
      <c r="FJJ89" s="104"/>
      <c r="FJK89" s="104"/>
      <c r="FJL89" s="104"/>
      <c r="FJM89" s="104"/>
      <c r="FJN89" s="104"/>
      <c r="FJO89" s="104"/>
      <c r="FJP89" s="104"/>
      <c r="FJQ89" s="104"/>
      <c r="FJR89" s="104"/>
      <c r="FJS89" s="104"/>
      <c r="FJT89" s="104"/>
      <c r="FJU89" s="104"/>
      <c r="FJV89" s="104"/>
      <c r="FJW89" s="104"/>
      <c r="FJX89" s="104"/>
      <c r="FJY89" s="104"/>
      <c r="FJZ89" s="104"/>
      <c r="FKA89" s="104"/>
      <c r="FKB89" s="104"/>
      <c r="FKC89" s="104"/>
      <c r="FKD89" s="104"/>
      <c r="FKE89" s="104"/>
      <c r="FKF89" s="104"/>
      <c r="FKG89" s="104"/>
      <c r="FKH89" s="104"/>
      <c r="FKI89" s="104"/>
      <c r="FKJ89" s="104"/>
      <c r="FKK89" s="104"/>
      <c r="FKL89" s="104"/>
      <c r="FKM89" s="104"/>
      <c r="FKN89" s="104"/>
      <c r="FKO89" s="104"/>
      <c r="FKP89" s="104"/>
      <c r="FKQ89" s="104"/>
      <c r="FKR89" s="104"/>
      <c r="FKS89" s="104"/>
      <c r="FKT89" s="104"/>
      <c r="FKU89" s="104"/>
      <c r="FKV89" s="104"/>
      <c r="FKW89" s="104"/>
      <c r="FKX89" s="104"/>
      <c r="FKY89" s="104"/>
      <c r="FKZ89" s="104"/>
      <c r="FLA89" s="104"/>
      <c r="FLB89" s="104"/>
      <c r="FLC89" s="104"/>
      <c r="FLD89" s="104"/>
      <c r="FLE89" s="104"/>
      <c r="FLF89" s="104"/>
      <c r="FLG89" s="104"/>
      <c r="FLH89" s="104"/>
      <c r="FLI89" s="104"/>
      <c r="FLJ89" s="104"/>
      <c r="FLK89" s="104"/>
      <c r="FLL89" s="104"/>
      <c r="FLM89" s="104"/>
      <c r="FLN89" s="104"/>
      <c r="FLO89" s="104"/>
      <c r="FLP89" s="104"/>
      <c r="FLQ89" s="104"/>
      <c r="FLR89" s="104"/>
      <c r="FLS89" s="104"/>
      <c r="FLT89" s="104"/>
      <c r="FLU89" s="104"/>
      <c r="FLV89" s="104"/>
      <c r="FLW89" s="104"/>
      <c r="FLX89" s="104"/>
      <c r="FLY89" s="104"/>
      <c r="FLZ89" s="104"/>
      <c r="FMA89" s="104"/>
      <c r="FMB89" s="104"/>
      <c r="FMC89" s="104"/>
      <c r="FMD89" s="104"/>
      <c r="FME89" s="104"/>
      <c r="FMF89" s="104"/>
      <c r="FMG89" s="104"/>
      <c r="FMH89" s="104"/>
      <c r="FMI89" s="104"/>
      <c r="FMJ89" s="104"/>
      <c r="FMK89" s="104"/>
      <c r="FML89" s="104"/>
      <c r="FMM89" s="104"/>
      <c r="FMN89" s="104"/>
      <c r="FMO89" s="104"/>
      <c r="FMP89" s="104"/>
      <c r="FMQ89" s="104"/>
      <c r="FMR89" s="104"/>
      <c r="FMS89" s="104"/>
      <c r="FMT89" s="104"/>
      <c r="FMU89" s="104"/>
      <c r="FMV89" s="104"/>
      <c r="FMW89" s="104"/>
      <c r="FMX89" s="104"/>
      <c r="FMY89" s="104"/>
      <c r="FMZ89" s="104"/>
      <c r="FNA89" s="104"/>
      <c r="FNB89" s="104"/>
      <c r="FNC89" s="104"/>
      <c r="FND89" s="104"/>
      <c r="FNE89" s="104"/>
      <c r="FNF89" s="104"/>
      <c r="FNG89" s="104"/>
      <c r="FNH89" s="104"/>
      <c r="FNI89" s="104"/>
      <c r="FNJ89" s="104"/>
      <c r="FNK89" s="104"/>
      <c r="FNL89" s="104"/>
      <c r="FNM89" s="104"/>
      <c r="FNN89" s="104"/>
      <c r="FNO89" s="104"/>
      <c r="FNP89" s="104"/>
      <c r="FNQ89" s="104"/>
      <c r="FNR89" s="104"/>
      <c r="FNS89" s="104"/>
      <c r="FNT89" s="104"/>
      <c r="FNU89" s="104"/>
      <c r="FNV89" s="104"/>
      <c r="FNW89" s="104"/>
      <c r="FNX89" s="104"/>
      <c r="FNY89" s="104"/>
      <c r="FNZ89" s="104"/>
      <c r="FOA89" s="104"/>
      <c r="FOB89" s="104"/>
      <c r="FOC89" s="104"/>
      <c r="FOD89" s="104"/>
      <c r="FOE89" s="104"/>
      <c r="FOF89" s="104"/>
      <c r="FOG89" s="104"/>
      <c r="FOH89" s="104"/>
      <c r="FOI89" s="104"/>
      <c r="FOJ89" s="104"/>
      <c r="FOK89" s="104"/>
      <c r="FOL89" s="104"/>
      <c r="FOM89" s="104"/>
      <c r="FON89" s="104"/>
      <c r="FOO89" s="104"/>
      <c r="FOP89" s="104"/>
      <c r="FOQ89" s="104"/>
      <c r="FOR89" s="104"/>
      <c r="FOS89" s="104"/>
      <c r="FOT89" s="104"/>
      <c r="FOU89" s="104"/>
      <c r="FOV89" s="104"/>
      <c r="FOW89" s="104"/>
      <c r="FOX89" s="104"/>
      <c r="FOY89" s="104"/>
      <c r="FOZ89" s="104"/>
      <c r="FPA89" s="104"/>
      <c r="FPB89" s="104"/>
      <c r="FPC89" s="104"/>
      <c r="FPD89" s="104"/>
      <c r="FPE89" s="104"/>
      <c r="FPF89" s="104"/>
      <c r="FPG89" s="104"/>
      <c r="FPH89" s="104"/>
      <c r="FPI89" s="104"/>
      <c r="FPJ89" s="104"/>
      <c r="FPK89" s="104"/>
      <c r="FPL89" s="104"/>
      <c r="FPM89" s="104"/>
      <c r="FPN89" s="104"/>
      <c r="FPO89" s="104"/>
      <c r="FPP89" s="104"/>
      <c r="FPQ89" s="104"/>
      <c r="FPR89" s="104"/>
      <c r="FPS89" s="104"/>
      <c r="FPT89" s="104"/>
      <c r="FPU89" s="104"/>
      <c r="FPV89" s="104"/>
      <c r="FPW89" s="104"/>
      <c r="FPX89" s="104"/>
      <c r="FPY89" s="104"/>
      <c r="FPZ89" s="104"/>
      <c r="FQA89" s="104"/>
      <c r="FQB89" s="104"/>
      <c r="FQC89" s="104"/>
      <c r="FQD89" s="104"/>
      <c r="FQE89" s="104"/>
      <c r="FQF89" s="104"/>
      <c r="FQG89" s="104"/>
      <c r="FQH89" s="104"/>
      <c r="FQI89" s="104"/>
      <c r="FQJ89" s="104"/>
      <c r="FQK89" s="104"/>
      <c r="FQL89" s="104"/>
      <c r="FQM89" s="104"/>
      <c r="FQN89" s="104"/>
      <c r="FQO89" s="104"/>
      <c r="FQP89" s="104"/>
      <c r="FQQ89" s="104"/>
      <c r="FQR89" s="104"/>
      <c r="FQS89" s="104"/>
      <c r="FQT89" s="104"/>
      <c r="FQU89" s="104"/>
      <c r="FQV89" s="104"/>
      <c r="FQW89" s="104"/>
      <c r="FQX89" s="104"/>
      <c r="FQY89" s="104"/>
      <c r="FQZ89" s="104"/>
      <c r="FRA89" s="104"/>
      <c r="FRB89" s="104"/>
      <c r="FRC89" s="104"/>
      <c r="FRD89" s="104"/>
      <c r="FRE89" s="104"/>
      <c r="FRF89" s="104"/>
      <c r="FRG89" s="104"/>
      <c r="FRH89" s="104"/>
      <c r="FRI89" s="104"/>
      <c r="FRJ89" s="104"/>
      <c r="FRK89" s="104"/>
      <c r="FRL89" s="104"/>
      <c r="FRM89" s="104"/>
      <c r="FRN89" s="104"/>
      <c r="FRO89" s="104"/>
      <c r="FRP89" s="104"/>
      <c r="FRQ89" s="104"/>
      <c r="FRR89" s="104"/>
      <c r="FRS89" s="104"/>
      <c r="FRT89" s="104"/>
      <c r="FRU89" s="104"/>
      <c r="FRV89" s="104"/>
      <c r="FRW89" s="104"/>
      <c r="FRX89" s="104"/>
      <c r="FRY89" s="104"/>
      <c r="FRZ89" s="104"/>
      <c r="FSA89" s="104"/>
      <c r="FSB89" s="104"/>
      <c r="FSC89" s="104"/>
      <c r="FSD89" s="104"/>
      <c r="FSE89" s="104"/>
      <c r="FSF89" s="104"/>
      <c r="FSG89" s="104"/>
      <c r="FSH89" s="104"/>
      <c r="FSI89" s="104"/>
      <c r="FSJ89" s="104"/>
      <c r="FSK89" s="104"/>
      <c r="FSL89" s="104"/>
      <c r="FSM89" s="104"/>
      <c r="FSN89" s="104"/>
      <c r="FSO89" s="104"/>
      <c r="FSP89" s="104"/>
      <c r="FSQ89" s="104"/>
      <c r="FSR89" s="104"/>
      <c r="FSS89" s="104"/>
      <c r="FST89" s="104"/>
      <c r="FSU89" s="104"/>
      <c r="FSV89" s="104"/>
      <c r="FSW89" s="104"/>
      <c r="FSX89" s="104"/>
      <c r="FSY89" s="104"/>
      <c r="FSZ89" s="104"/>
      <c r="FTA89" s="104"/>
      <c r="FTB89" s="104"/>
      <c r="FTC89" s="104"/>
      <c r="FTD89" s="104"/>
      <c r="FTE89" s="104"/>
      <c r="FTF89" s="104"/>
      <c r="FTG89" s="104"/>
      <c r="FTH89" s="104"/>
      <c r="FTI89" s="104"/>
      <c r="FTJ89" s="104"/>
      <c r="FTK89" s="104"/>
      <c r="FTL89" s="104"/>
      <c r="FTM89" s="104"/>
      <c r="FTN89" s="104"/>
      <c r="FTO89" s="104"/>
      <c r="FTP89" s="104"/>
      <c r="FTQ89" s="104"/>
      <c r="FTR89" s="104"/>
      <c r="FTS89" s="104"/>
      <c r="FTT89" s="104"/>
      <c r="FTU89" s="104"/>
      <c r="FTV89" s="104"/>
      <c r="FTW89" s="104"/>
      <c r="FTX89" s="104"/>
      <c r="FTY89" s="104"/>
      <c r="FTZ89" s="104"/>
      <c r="FUA89" s="104"/>
      <c r="FUB89" s="104"/>
      <c r="FUC89" s="104"/>
      <c r="FUD89" s="104"/>
      <c r="FUE89" s="104"/>
      <c r="FUF89" s="104"/>
      <c r="FUG89" s="104"/>
      <c r="FUH89" s="104"/>
      <c r="FUI89" s="104"/>
      <c r="FUJ89" s="104"/>
      <c r="FUK89" s="104"/>
      <c r="FUL89" s="104"/>
      <c r="FUM89" s="104"/>
      <c r="FUN89" s="104"/>
      <c r="FUO89" s="104"/>
      <c r="FUP89" s="104"/>
      <c r="FUQ89" s="104"/>
      <c r="FUR89" s="104"/>
      <c r="FUS89" s="104"/>
      <c r="FUT89" s="104"/>
      <c r="FUU89" s="104"/>
      <c r="FUV89" s="104"/>
      <c r="FUW89" s="104"/>
      <c r="FUX89" s="104"/>
      <c r="FUY89" s="104"/>
      <c r="FUZ89" s="104"/>
      <c r="FVA89" s="104"/>
      <c r="FVB89" s="104"/>
      <c r="FVC89" s="104"/>
      <c r="FVD89" s="104"/>
      <c r="FVE89" s="104"/>
      <c r="FVF89" s="104"/>
      <c r="FVG89" s="104"/>
      <c r="FVH89" s="104"/>
      <c r="FVI89" s="104"/>
      <c r="FVJ89" s="104"/>
      <c r="FVK89" s="104"/>
      <c r="FVL89" s="104"/>
      <c r="FVM89" s="104"/>
      <c r="FVN89" s="104"/>
      <c r="FVO89" s="104"/>
      <c r="FVP89" s="104"/>
      <c r="FVQ89" s="104"/>
      <c r="FVR89" s="104"/>
      <c r="FVS89" s="104"/>
      <c r="FVT89" s="104"/>
      <c r="FVU89" s="104"/>
      <c r="FVV89" s="104"/>
      <c r="FVW89" s="104"/>
      <c r="FVX89" s="104"/>
      <c r="FVY89" s="104"/>
      <c r="FVZ89" s="104"/>
      <c r="FWA89" s="104"/>
      <c r="FWB89" s="104"/>
      <c r="FWC89" s="104"/>
      <c r="FWD89" s="104"/>
      <c r="FWE89" s="104"/>
      <c r="FWF89" s="104"/>
      <c r="FWG89" s="104"/>
      <c r="FWH89" s="104"/>
      <c r="FWI89" s="104"/>
      <c r="FWJ89" s="104"/>
      <c r="FWK89" s="104"/>
      <c r="FWL89" s="104"/>
      <c r="FWM89" s="104"/>
      <c r="FWN89" s="104"/>
      <c r="FWO89" s="104"/>
      <c r="FWP89" s="104"/>
      <c r="FWQ89" s="104"/>
      <c r="FWR89" s="104"/>
      <c r="FWS89" s="104"/>
      <c r="FWT89" s="104"/>
      <c r="FWU89" s="104"/>
      <c r="FWV89" s="104"/>
      <c r="FWW89" s="104"/>
      <c r="FWX89" s="104"/>
      <c r="FWY89" s="104"/>
      <c r="FWZ89" s="104"/>
      <c r="FXA89" s="104"/>
      <c r="FXB89" s="104"/>
      <c r="FXC89" s="104"/>
      <c r="FXD89" s="104"/>
      <c r="FXE89" s="104"/>
      <c r="FXF89" s="104"/>
      <c r="FXG89" s="104"/>
      <c r="FXH89" s="104"/>
      <c r="FXI89" s="104"/>
      <c r="FXJ89" s="104"/>
      <c r="FXK89" s="104"/>
      <c r="FXL89" s="104"/>
      <c r="FXM89" s="104"/>
      <c r="FXN89" s="104"/>
      <c r="FXO89" s="104"/>
      <c r="FXP89" s="104"/>
      <c r="FXQ89" s="104"/>
      <c r="FXR89" s="104"/>
      <c r="FXS89" s="104"/>
      <c r="FXT89" s="104"/>
      <c r="FXU89" s="104"/>
      <c r="FXV89" s="104"/>
      <c r="FXW89" s="104"/>
      <c r="FXX89" s="104"/>
      <c r="FXY89" s="104"/>
      <c r="FXZ89" s="104"/>
      <c r="FYA89" s="104"/>
      <c r="FYB89" s="104"/>
      <c r="FYC89" s="104"/>
      <c r="FYD89" s="104"/>
      <c r="FYE89" s="104"/>
      <c r="FYF89" s="104"/>
      <c r="FYG89" s="104"/>
      <c r="FYH89" s="104"/>
      <c r="FYI89" s="104"/>
      <c r="FYJ89" s="104"/>
      <c r="FYK89" s="104"/>
      <c r="FYL89" s="104"/>
      <c r="FYM89" s="104"/>
      <c r="FYN89" s="104"/>
      <c r="FYO89" s="104"/>
      <c r="FYP89" s="104"/>
      <c r="FYQ89" s="104"/>
      <c r="FYR89" s="104"/>
      <c r="FYS89" s="104"/>
      <c r="FYT89" s="104"/>
      <c r="FYU89" s="104"/>
      <c r="FYV89" s="104"/>
      <c r="FYW89" s="104"/>
      <c r="FYX89" s="104"/>
      <c r="FYY89" s="104"/>
      <c r="FYZ89" s="104"/>
      <c r="FZA89" s="104"/>
      <c r="FZB89" s="104"/>
      <c r="FZC89" s="104"/>
      <c r="FZD89" s="104"/>
      <c r="FZE89" s="104"/>
      <c r="FZF89" s="104"/>
      <c r="FZG89" s="104"/>
      <c r="FZH89" s="104"/>
      <c r="FZI89" s="104"/>
      <c r="FZJ89" s="104"/>
      <c r="FZK89" s="104"/>
      <c r="FZL89" s="104"/>
      <c r="FZM89" s="104"/>
      <c r="FZN89" s="104"/>
      <c r="FZO89" s="104"/>
      <c r="FZP89" s="104"/>
      <c r="FZQ89" s="104"/>
      <c r="FZR89" s="104"/>
      <c r="FZS89" s="104"/>
      <c r="FZT89" s="104"/>
      <c r="FZU89" s="104"/>
      <c r="FZV89" s="104"/>
      <c r="FZW89" s="104"/>
      <c r="FZX89" s="104"/>
      <c r="FZY89" s="104"/>
      <c r="FZZ89" s="104"/>
      <c r="GAA89" s="104"/>
      <c r="GAB89" s="104"/>
      <c r="GAC89" s="104"/>
    </row>
    <row r="90" spans="1:4761" s="106" customFormat="1" ht="30" customHeight="1" x14ac:dyDescent="0.25">
      <c r="A90" s="83" t="s">
        <v>204</v>
      </c>
      <c r="B90" s="36"/>
      <c r="C90" s="36"/>
      <c r="D90" s="96" t="s">
        <v>737</v>
      </c>
      <c r="E90" s="99" t="s">
        <v>659</v>
      </c>
      <c r="F90" s="83" t="s">
        <v>50</v>
      </c>
      <c r="G90" s="83" t="s">
        <v>43</v>
      </c>
      <c r="H90" s="83" t="s">
        <v>2036</v>
      </c>
      <c r="I90" s="83" t="s">
        <v>7</v>
      </c>
      <c r="J90" s="97"/>
      <c r="K90" s="99" t="s">
        <v>2040</v>
      </c>
      <c r="L90" s="97"/>
      <c r="M90" s="83" t="s">
        <v>2792</v>
      </c>
      <c r="N90" s="102" t="s">
        <v>31</v>
      </c>
      <c r="O90" s="113">
        <v>8922</v>
      </c>
      <c r="P90" s="115">
        <v>2468</v>
      </c>
      <c r="Q90" s="113">
        <v>2500</v>
      </c>
      <c r="R90" s="115"/>
      <c r="S90" s="113">
        <v>3850</v>
      </c>
      <c r="T90" s="115">
        <v>2550</v>
      </c>
      <c r="U90" s="113">
        <v>11200</v>
      </c>
      <c r="V90" s="113">
        <v>1300</v>
      </c>
      <c r="W90" s="113">
        <v>6450</v>
      </c>
      <c r="X90" s="113">
        <v>3330</v>
      </c>
      <c r="Y90" s="113"/>
      <c r="Z90" s="113">
        <v>21</v>
      </c>
      <c r="AA90" s="83" t="s">
        <v>2795</v>
      </c>
      <c r="AB90" s="101">
        <v>19000</v>
      </c>
      <c r="AC90" s="108">
        <v>9275</v>
      </c>
      <c r="AD90" s="37"/>
      <c r="AE90" s="37"/>
      <c r="AF90" s="37"/>
      <c r="AG90" s="37"/>
      <c r="AH90" s="109">
        <v>55</v>
      </c>
      <c r="AI90" s="111" t="s">
        <v>2050</v>
      </c>
      <c r="AJ90" s="111" t="s">
        <v>2051</v>
      </c>
      <c r="AK90" s="111" t="s">
        <v>671</v>
      </c>
      <c r="AL90" s="108" t="s">
        <v>2052</v>
      </c>
      <c r="AM90" s="111"/>
      <c r="AN90" s="111" t="s">
        <v>2048</v>
      </c>
      <c r="AO90" s="112" t="s">
        <v>2053</v>
      </c>
      <c r="AP90" s="113"/>
      <c r="AQ90" s="113"/>
      <c r="AR90" s="113"/>
      <c r="AS90" s="113"/>
      <c r="AT90" s="113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3">
        <v>0</v>
      </c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104"/>
      <c r="DA90" s="104"/>
      <c r="DB90" s="104"/>
      <c r="DC90" s="104"/>
      <c r="DD90" s="104"/>
      <c r="DE90" s="104"/>
      <c r="DF90" s="104"/>
      <c r="DG90" s="104"/>
      <c r="DH90" s="104"/>
      <c r="DI90" s="104"/>
      <c r="DJ90" s="104"/>
      <c r="DK90" s="104"/>
      <c r="DL90" s="104"/>
      <c r="DM90" s="104"/>
      <c r="DN90" s="104"/>
      <c r="DO90" s="104"/>
      <c r="DP90" s="104"/>
      <c r="DQ90" s="104"/>
      <c r="DR90" s="104"/>
      <c r="DS90" s="104"/>
      <c r="DT90" s="104"/>
      <c r="DU90" s="104"/>
      <c r="DV90" s="104"/>
      <c r="DW90" s="104"/>
      <c r="DX90" s="104"/>
      <c r="DY90" s="104"/>
      <c r="DZ90" s="104"/>
      <c r="EA90" s="104"/>
      <c r="EB90" s="104"/>
      <c r="EC90" s="104"/>
      <c r="ED90" s="104"/>
      <c r="EE90" s="104"/>
      <c r="EF90" s="104"/>
      <c r="EG90" s="104"/>
      <c r="EH90" s="104"/>
      <c r="EI90" s="104"/>
      <c r="EJ90" s="104"/>
      <c r="EK90" s="104"/>
      <c r="EL90" s="104"/>
      <c r="EM90" s="104"/>
      <c r="EN90" s="104"/>
      <c r="EO90" s="104"/>
      <c r="EP90" s="104"/>
      <c r="EQ90" s="104"/>
      <c r="ER90" s="104"/>
      <c r="ES90" s="104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  <c r="FH90" s="104"/>
      <c r="FI90" s="104"/>
      <c r="FJ90" s="104"/>
      <c r="FK90" s="104"/>
      <c r="FL90" s="104"/>
      <c r="FM90" s="104"/>
      <c r="FN90" s="104"/>
      <c r="FO90" s="104"/>
      <c r="FP90" s="104"/>
      <c r="FQ90" s="104"/>
      <c r="FR90" s="104"/>
      <c r="FS90" s="104"/>
      <c r="FT90" s="104"/>
      <c r="FU90" s="104"/>
      <c r="FV90" s="104"/>
      <c r="FW90" s="104"/>
      <c r="FX90" s="104"/>
      <c r="FY90" s="104"/>
      <c r="FZ90" s="104"/>
      <c r="GA90" s="104"/>
      <c r="GB90" s="104"/>
      <c r="GC90" s="104"/>
      <c r="GD90" s="104"/>
      <c r="GE90" s="104"/>
      <c r="GF90" s="104"/>
      <c r="GG90" s="104"/>
      <c r="GH90" s="104"/>
      <c r="GI90" s="104"/>
      <c r="GJ90" s="104"/>
      <c r="GK90" s="104"/>
      <c r="GL90" s="104"/>
      <c r="GM90" s="104"/>
      <c r="GN90" s="104"/>
      <c r="GO90" s="104"/>
      <c r="GP90" s="104"/>
      <c r="GQ90" s="104"/>
      <c r="GR90" s="104"/>
      <c r="GS90" s="104"/>
      <c r="GT90" s="104"/>
      <c r="GU90" s="104"/>
      <c r="GV90" s="104"/>
      <c r="GW90" s="104"/>
      <c r="GX90" s="104"/>
      <c r="GY90" s="104"/>
      <c r="GZ90" s="104"/>
      <c r="HA90" s="104"/>
      <c r="HB90" s="104"/>
      <c r="HC90" s="104"/>
      <c r="HD90" s="104"/>
      <c r="HE90" s="104"/>
      <c r="HF90" s="104"/>
      <c r="HG90" s="104"/>
      <c r="HH90" s="104"/>
      <c r="HI90" s="104"/>
      <c r="HJ90" s="104"/>
      <c r="HK90" s="104"/>
      <c r="HL90" s="104"/>
      <c r="HM90" s="104"/>
      <c r="HN90" s="104"/>
      <c r="HO90" s="104"/>
      <c r="HP90" s="104"/>
      <c r="HQ90" s="104"/>
      <c r="HR90" s="104"/>
      <c r="HS90" s="104"/>
      <c r="HT90" s="104"/>
      <c r="HU90" s="104"/>
      <c r="HV90" s="104"/>
      <c r="HW90" s="104"/>
      <c r="HX90" s="104"/>
      <c r="HY90" s="104"/>
      <c r="HZ90" s="104"/>
      <c r="IA90" s="104"/>
      <c r="IB90" s="104"/>
      <c r="IC90" s="104"/>
      <c r="ID90" s="104"/>
      <c r="IE90" s="104"/>
      <c r="IF90" s="104"/>
      <c r="IG90" s="104"/>
      <c r="IH90" s="104"/>
      <c r="II90" s="104"/>
      <c r="IJ90" s="104"/>
      <c r="IK90" s="104"/>
      <c r="IL90" s="104"/>
      <c r="IM90" s="104"/>
      <c r="IN90" s="104"/>
      <c r="IO90" s="104"/>
      <c r="IP90" s="104"/>
      <c r="IQ90" s="104"/>
      <c r="IR90" s="104"/>
      <c r="IS90" s="104"/>
      <c r="IT90" s="104"/>
      <c r="IU90" s="104"/>
      <c r="IV90" s="104"/>
      <c r="IW90" s="104"/>
      <c r="IX90" s="104"/>
      <c r="IY90" s="104"/>
      <c r="IZ90" s="104"/>
      <c r="JA90" s="104"/>
      <c r="JB90" s="104"/>
      <c r="JC90" s="104"/>
      <c r="JD90" s="104"/>
      <c r="JE90" s="104"/>
      <c r="JF90" s="104"/>
      <c r="JG90" s="104"/>
      <c r="JH90" s="104"/>
      <c r="JI90" s="104"/>
      <c r="JJ90" s="104"/>
      <c r="JK90" s="104"/>
      <c r="JL90" s="104"/>
      <c r="JM90" s="104"/>
      <c r="JN90" s="104"/>
      <c r="JO90" s="104"/>
      <c r="JP90" s="104"/>
      <c r="JQ90" s="104"/>
      <c r="JR90" s="104"/>
      <c r="JS90" s="104"/>
      <c r="JT90" s="104"/>
      <c r="JU90" s="104"/>
      <c r="JV90" s="104"/>
      <c r="JW90" s="104"/>
      <c r="JX90" s="104"/>
      <c r="JY90" s="104"/>
      <c r="JZ90" s="104"/>
      <c r="KA90" s="104"/>
      <c r="KB90" s="104"/>
      <c r="KC90" s="104"/>
      <c r="KD90" s="104"/>
      <c r="KE90" s="104"/>
      <c r="KF90" s="104"/>
      <c r="KG90" s="104"/>
      <c r="KH90" s="104"/>
      <c r="KI90" s="104"/>
      <c r="KJ90" s="104"/>
      <c r="KK90" s="104"/>
      <c r="KL90" s="104"/>
      <c r="KM90" s="104"/>
      <c r="KN90" s="104"/>
      <c r="KO90" s="104"/>
      <c r="KP90" s="104"/>
      <c r="KQ90" s="104"/>
      <c r="KR90" s="104"/>
      <c r="KS90" s="104"/>
      <c r="KT90" s="104"/>
      <c r="KU90" s="104"/>
      <c r="KV90" s="104"/>
      <c r="KW90" s="104"/>
      <c r="KX90" s="104"/>
      <c r="KY90" s="104"/>
      <c r="KZ90" s="104"/>
      <c r="LA90" s="104"/>
      <c r="LB90" s="104"/>
      <c r="LC90" s="104"/>
      <c r="LD90" s="104"/>
      <c r="LE90" s="104"/>
      <c r="LF90" s="104"/>
      <c r="LG90" s="104"/>
      <c r="LH90" s="104"/>
      <c r="LI90" s="104"/>
      <c r="LJ90" s="104"/>
      <c r="LK90" s="104"/>
      <c r="LL90" s="104"/>
      <c r="LM90" s="104"/>
      <c r="LN90" s="104"/>
      <c r="LO90" s="104"/>
      <c r="LP90" s="104"/>
      <c r="LQ90" s="104"/>
      <c r="LR90" s="104"/>
      <c r="LS90" s="104"/>
      <c r="LT90" s="104"/>
      <c r="LU90" s="104"/>
      <c r="LV90" s="104"/>
      <c r="LW90" s="104"/>
      <c r="LX90" s="104"/>
      <c r="LY90" s="104"/>
      <c r="LZ90" s="104"/>
      <c r="MA90" s="104"/>
      <c r="MB90" s="104"/>
      <c r="MC90" s="104"/>
      <c r="MD90" s="104"/>
      <c r="ME90" s="104"/>
      <c r="MF90" s="104"/>
      <c r="MG90" s="104"/>
      <c r="MH90" s="104"/>
      <c r="MI90" s="104"/>
      <c r="MJ90" s="104"/>
      <c r="MK90" s="104"/>
      <c r="ML90" s="104"/>
      <c r="MM90" s="104"/>
      <c r="MN90" s="104"/>
      <c r="MO90" s="104"/>
      <c r="MP90" s="104"/>
      <c r="MQ90" s="104"/>
      <c r="MR90" s="104"/>
      <c r="MS90" s="104"/>
      <c r="MT90" s="104"/>
      <c r="MU90" s="104"/>
      <c r="MV90" s="104"/>
      <c r="MW90" s="104"/>
      <c r="MX90" s="104"/>
      <c r="MY90" s="104"/>
      <c r="MZ90" s="104"/>
      <c r="NA90" s="104"/>
      <c r="NB90" s="104"/>
      <c r="NC90" s="104"/>
      <c r="ND90" s="104"/>
      <c r="NE90" s="104"/>
      <c r="NF90" s="104"/>
      <c r="NG90" s="104"/>
      <c r="NH90" s="104"/>
      <c r="NI90" s="104"/>
      <c r="NJ90" s="104"/>
      <c r="NK90" s="104"/>
      <c r="NL90" s="104"/>
      <c r="NM90" s="104"/>
      <c r="NN90" s="104"/>
      <c r="NO90" s="104"/>
      <c r="NP90" s="104"/>
      <c r="NQ90" s="104"/>
      <c r="NR90" s="104"/>
      <c r="NS90" s="104"/>
      <c r="NT90" s="104"/>
      <c r="NU90" s="104"/>
      <c r="NV90" s="104"/>
      <c r="NW90" s="104"/>
      <c r="NX90" s="104"/>
      <c r="NY90" s="104"/>
      <c r="NZ90" s="104"/>
      <c r="OA90" s="104"/>
      <c r="OB90" s="104"/>
      <c r="OC90" s="104"/>
      <c r="OD90" s="104"/>
      <c r="OE90" s="104"/>
      <c r="OF90" s="104"/>
      <c r="OG90" s="104"/>
      <c r="OH90" s="104"/>
      <c r="OI90" s="104"/>
      <c r="OJ90" s="104"/>
      <c r="OK90" s="104"/>
      <c r="OL90" s="104"/>
      <c r="OM90" s="104"/>
      <c r="ON90" s="104"/>
      <c r="OO90" s="104"/>
      <c r="OP90" s="104"/>
      <c r="OQ90" s="104"/>
      <c r="OR90" s="104"/>
      <c r="OS90" s="104"/>
      <c r="OT90" s="104"/>
      <c r="OU90" s="104"/>
      <c r="OV90" s="104"/>
      <c r="OW90" s="104"/>
      <c r="OX90" s="104"/>
      <c r="OY90" s="104"/>
      <c r="OZ90" s="104"/>
      <c r="PA90" s="104"/>
      <c r="PB90" s="104"/>
      <c r="PC90" s="104"/>
      <c r="PD90" s="104"/>
      <c r="PE90" s="104"/>
      <c r="PF90" s="104"/>
      <c r="PG90" s="104"/>
      <c r="PH90" s="104"/>
      <c r="PI90" s="104"/>
      <c r="PJ90" s="104"/>
      <c r="PK90" s="104"/>
      <c r="PL90" s="104"/>
      <c r="PM90" s="104"/>
      <c r="PN90" s="104"/>
      <c r="PO90" s="104"/>
      <c r="PP90" s="104"/>
      <c r="PQ90" s="104"/>
      <c r="PR90" s="104"/>
      <c r="PS90" s="104"/>
      <c r="PT90" s="104"/>
      <c r="PU90" s="104"/>
      <c r="PV90" s="104"/>
      <c r="PW90" s="104"/>
      <c r="PX90" s="104"/>
      <c r="PY90" s="104"/>
      <c r="PZ90" s="104"/>
      <c r="QA90" s="104"/>
      <c r="QB90" s="104"/>
      <c r="QC90" s="104"/>
      <c r="QD90" s="104"/>
      <c r="QE90" s="104"/>
      <c r="QF90" s="104"/>
      <c r="QG90" s="104"/>
      <c r="QH90" s="104"/>
      <c r="QI90" s="104"/>
      <c r="QJ90" s="104"/>
      <c r="QK90" s="104"/>
      <c r="QL90" s="104"/>
      <c r="QM90" s="104"/>
      <c r="QN90" s="104"/>
      <c r="QO90" s="104"/>
      <c r="QP90" s="104"/>
      <c r="QQ90" s="104"/>
      <c r="QR90" s="104"/>
      <c r="QS90" s="104"/>
      <c r="QT90" s="104"/>
      <c r="QU90" s="104"/>
      <c r="QV90" s="104"/>
      <c r="QW90" s="104"/>
      <c r="QX90" s="104"/>
      <c r="QY90" s="104"/>
      <c r="QZ90" s="104"/>
      <c r="RA90" s="104"/>
      <c r="RB90" s="104"/>
      <c r="RC90" s="104"/>
      <c r="RD90" s="104"/>
      <c r="RE90" s="104"/>
      <c r="RF90" s="104"/>
      <c r="RG90" s="104"/>
      <c r="RH90" s="104"/>
      <c r="RI90" s="104"/>
      <c r="RJ90" s="104"/>
      <c r="RK90" s="104"/>
      <c r="RL90" s="104"/>
      <c r="RM90" s="104"/>
      <c r="RN90" s="104"/>
      <c r="RO90" s="104"/>
      <c r="RP90" s="104"/>
      <c r="RQ90" s="104"/>
      <c r="RR90" s="104"/>
      <c r="RS90" s="104"/>
      <c r="RT90" s="104"/>
      <c r="RU90" s="104"/>
      <c r="RV90" s="104"/>
      <c r="RW90" s="104"/>
      <c r="RX90" s="104"/>
      <c r="RY90" s="104"/>
      <c r="RZ90" s="104"/>
      <c r="SA90" s="104"/>
      <c r="SB90" s="104"/>
      <c r="SC90" s="104"/>
      <c r="SD90" s="104"/>
      <c r="SE90" s="104"/>
      <c r="SF90" s="104"/>
      <c r="SG90" s="104"/>
      <c r="SH90" s="104"/>
      <c r="SI90" s="104"/>
      <c r="SJ90" s="104"/>
      <c r="SK90" s="104"/>
      <c r="SL90" s="104"/>
      <c r="SM90" s="104"/>
      <c r="SN90" s="104"/>
      <c r="SO90" s="104"/>
      <c r="SP90" s="104"/>
      <c r="SQ90" s="104"/>
      <c r="SR90" s="104"/>
      <c r="SS90" s="104"/>
      <c r="ST90" s="104"/>
      <c r="SU90" s="104"/>
      <c r="SV90" s="104"/>
      <c r="SW90" s="104"/>
      <c r="SX90" s="104"/>
      <c r="SY90" s="104"/>
      <c r="SZ90" s="104"/>
      <c r="TA90" s="104"/>
      <c r="TB90" s="104"/>
      <c r="TC90" s="104"/>
      <c r="TD90" s="104"/>
      <c r="TE90" s="104"/>
      <c r="TF90" s="104"/>
      <c r="TG90" s="104"/>
      <c r="TH90" s="104"/>
      <c r="TI90" s="104"/>
      <c r="TJ90" s="104"/>
      <c r="TK90" s="104"/>
      <c r="TL90" s="104"/>
      <c r="TM90" s="104"/>
      <c r="TN90" s="104"/>
      <c r="TO90" s="104"/>
      <c r="TP90" s="104"/>
      <c r="TQ90" s="104"/>
      <c r="TR90" s="104"/>
      <c r="TS90" s="104"/>
      <c r="TT90" s="104"/>
      <c r="TU90" s="104"/>
      <c r="TV90" s="104"/>
      <c r="TW90" s="104"/>
      <c r="TX90" s="104"/>
      <c r="TY90" s="104"/>
      <c r="TZ90" s="104"/>
      <c r="UA90" s="104"/>
      <c r="UB90" s="104"/>
      <c r="UC90" s="104"/>
      <c r="UD90" s="104"/>
      <c r="UE90" s="104"/>
      <c r="UF90" s="104"/>
      <c r="UG90" s="104"/>
      <c r="UH90" s="104"/>
      <c r="UI90" s="104"/>
      <c r="UJ90" s="104"/>
      <c r="UK90" s="104"/>
      <c r="UL90" s="104"/>
      <c r="UM90" s="104"/>
      <c r="UN90" s="104"/>
      <c r="UO90" s="104"/>
      <c r="UP90" s="104"/>
      <c r="UQ90" s="104"/>
      <c r="UR90" s="104"/>
      <c r="US90" s="104"/>
      <c r="UT90" s="104"/>
      <c r="UU90" s="104"/>
      <c r="UV90" s="104"/>
      <c r="UW90" s="104"/>
      <c r="UX90" s="104"/>
      <c r="UY90" s="104"/>
      <c r="UZ90" s="104"/>
      <c r="VA90" s="104"/>
      <c r="VB90" s="104"/>
      <c r="VC90" s="104"/>
      <c r="VD90" s="104"/>
      <c r="VE90" s="104"/>
      <c r="VF90" s="104"/>
      <c r="VG90" s="104"/>
      <c r="VH90" s="104"/>
      <c r="VI90" s="104"/>
      <c r="VJ90" s="104"/>
      <c r="VK90" s="104"/>
      <c r="VL90" s="104"/>
      <c r="VM90" s="104"/>
      <c r="VN90" s="104"/>
      <c r="VO90" s="104"/>
      <c r="VP90" s="104"/>
      <c r="VQ90" s="104"/>
      <c r="VR90" s="104"/>
      <c r="VS90" s="104"/>
      <c r="VT90" s="104"/>
      <c r="VU90" s="104"/>
      <c r="VV90" s="104"/>
      <c r="VW90" s="104"/>
      <c r="VX90" s="104"/>
      <c r="VY90" s="104"/>
      <c r="VZ90" s="104"/>
      <c r="WA90" s="104"/>
      <c r="WB90" s="104"/>
      <c r="WC90" s="104"/>
      <c r="WD90" s="104"/>
      <c r="WE90" s="104"/>
      <c r="WF90" s="104"/>
      <c r="WG90" s="104"/>
      <c r="WH90" s="104"/>
      <c r="WI90" s="104"/>
      <c r="WJ90" s="104"/>
      <c r="WK90" s="104"/>
      <c r="WL90" s="104"/>
      <c r="WM90" s="104"/>
      <c r="WN90" s="104"/>
      <c r="WO90" s="104"/>
      <c r="WP90" s="104"/>
      <c r="WQ90" s="104"/>
      <c r="WR90" s="104"/>
      <c r="WS90" s="104"/>
      <c r="WT90" s="104"/>
      <c r="WU90" s="104"/>
      <c r="WV90" s="104"/>
      <c r="WW90" s="104"/>
      <c r="WX90" s="104"/>
      <c r="WY90" s="104"/>
      <c r="WZ90" s="104"/>
      <c r="XA90" s="104"/>
      <c r="XB90" s="104"/>
      <c r="XC90" s="104"/>
      <c r="XD90" s="104"/>
      <c r="XE90" s="104"/>
      <c r="XF90" s="104"/>
      <c r="XG90" s="104"/>
      <c r="XH90" s="104"/>
      <c r="XI90" s="104"/>
      <c r="XJ90" s="104"/>
      <c r="XK90" s="104"/>
      <c r="XL90" s="104"/>
      <c r="XM90" s="104"/>
      <c r="XN90" s="104"/>
      <c r="XO90" s="104"/>
      <c r="XP90" s="104"/>
      <c r="XQ90" s="104"/>
      <c r="XR90" s="104"/>
      <c r="XS90" s="104"/>
      <c r="XT90" s="104"/>
      <c r="XU90" s="104"/>
      <c r="XV90" s="104"/>
      <c r="XW90" s="104"/>
      <c r="XX90" s="104"/>
      <c r="XY90" s="104"/>
      <c r="XZ90" s="104"/>
      <c r="YA90" s="104"/>
      <c r="YB90" s="104"/>
      <c r="YC90" s="104"/>
      <c r="YD90" s="104"/>
      <c r="YE90" s="104"/>
      <c r="YF90" s="104"/>
      <c r="YG90" s="104"/>
      <c r="YH90" s="104"/>
      <c r="YI90" s="104"/>
      <c r="YJ90" s="104"/>
      <c r="YK90" s="104"/>
      <c r="YL90" s="104"/>
      <c r="YM90" s="104"/>
      <c r="YN90" s="104"/>
      <c r="YO90" s="104"/>
      <c r="YP90" s="104"/>
      <c r="YQ90" s="104"/>
      <c r="YR90" s="104"/>
      <c r="YS90" s="104"/>
      <c r="YT90" s="104"/>
      <c r="YU90" s="104"/>
      <c r="YV90" s="104"/>
      <c r="YW90" s="104"/>
      <c r="YX90" s="104"/>
      <c r="YY90" s="104"/>
      <c r="YZ90" s="104"/>
      <c r="ZA90" s="104"/>
      <c r="ZB90" s="104"/>
      <c r="ZC90" s="104"/>
      <c r="ZD90" s="104"/>
      <c r="ZE90" s="104"/>
      <c r="ZF90" s="104"/>
      <c r="ZG90" s="104"/>
      <c r="ZH90" s="104"/>
      <c r="ZI90" s="104"/>
      <c r="ZJ90" s="104"/>
      <c r="ZK90" s="104"/>
      <c r="ZL90" s="104"/>
      <c r="ZM90" s="104"/>
      <c r="ZN90" s="104"/>
      <c r="ZO90" s="104"/>
      <c r="ZP90" s="104"/>
      <c r="ZQ90" s="104"/>
      <c r="ZR90" s="104"/>
      <c r="ZS90" s="104"/>
      <c r="ZT90" s="104"/>
      <c r="ZU90" s="104"/>
      <c r="ZV90" s="104"/>
      <c r="ZW90" s="104"/>
      <c r="ZX90" s="104"/>
      <c r="ZY90" s="104"/>
      <c r="ZZ90" s="104"/>
      <c r="AAA90" s="104"/>
      <c r="AAB90" s="104"/>
      <c r="AAC90" s="104"/>
      <c r="AAD90" s="104"/>
      <c r="AAE90" s="104"/>
      <c r="AAF90" s="104"/>
      <c r="AAG90" s="104"/>
      <c r="AAH90" s="104"/>
      <c r="AAI90" s="104"/>
      <c r="AAJ90" s="104"/>
      <c r="AAK90" s="104"/>
      <c r="AAL90" s="104"/>
      <c r="AAM90" s="104"/>
      <c r="AAN90" s="104"/>
      <c r="AAO90" s="104"/>
      <c r="AAP90" s="104"/>
      <c r="AAQ90" s="104"/>
      <c r="AAR90" s="104"/>
      <c r="AAS90" s="104"/>
      <c r="AAT90" s="104"/>
      <c r="AAU90" s="104"/>
      <c r="AAV90" s="104"/>
      <c r="AAW90" s="104"/>
      <c r="AAX90" s="104"/>
      <c r="AAY90" s="104"/>
      <c r="AAZ90" s="104"/>
      <c r="ABA90" s="104"/>
      <c r="ABB90" s="104"/>
      <c r="ABC90" s="104"/>
      <c r="ABD90" s="104"/>
      <c r="ABE90" s="104"/>
      <c r="ABF90" s="104"/>
      <c r="ABG90" s="104"/>
      <c r="ABH90" s="104"/>
      <c r="ABI90" s="104"/>
      <c r="ABJ90" s="104"/>
      <c r="ABK90" s="104"/>
      <c r="ABL90" s="104"/>
      <c r="ABM90" s="104"/>
      <c r="ABN90" s="104"/>
      <c r="ABO90" s="104"/>
      <c r="ABP90" s="104"/>
      <c r="ABQ90" s="104"/>
      <c r="ABR90" s="104"/>
      <c r="ABS90" s="104"/>
      <c r="ABT90" s="104"/>
      <c r="ABU90" s="104"/>
      <c r="ABV90" s="104"/>
      <c r="ABW90" s="104"/>
      <c r="ABX90" s="104"/>
      <c r="ABY90" s="104"/>
      <c r="ABZ90" s="104"/>
      <c r="ACA90" s="104"/>
      <c r="ACB90" s="104"/>
      <c r="ACC90" s="104"/>
      <c r="ACD90" s="104"/>
      <c r="ACE90" s="104"/>
      <c r="ACF90" s="104"/>
      <c r="ACG90" s="104"/>
      <c r="ACH90" s="104"/>
      <c r="ACI90" s="104"/>
      <c r="ACJ90" s="104"/>
      <c r="ACK90" s="104"/>
      <c r="ACL90" s="104"/>
      <c r="ACM90" s="104"/>
      <c r="ACN90" s="104"/>
      <c r="ACO90" s="104"/>
      <c r="ACP90" s="104"/>
      <c r="ACQ90" s="104"/>
      <c r="ACR90" s="104"/>
      <c r="ACS90" s="104"/>
      <c r="ACT90" s="104"/>
      <c r="ACU90" s="104"/>
      <c r="ACV90" s="104"/>
      <c r="ACW90" s="104"/>
      <c r="ACX90" s="104"/>
      <c r="ACY90" s="104"/>
      <c r="ACZ90" s="104"/>
      <c r="ADA90" s="104"/>
      <c r="ADB90" s="104"/>
      <c r="ADC90" s="104"/>
      <c r="ADD90" s="104"/>
      <c r="ADE90" s="104"/>
      <c r="ADF90" s="104"/>
      <c r="ADG90" s="104"/>
      <c r="ADH90" s="104"/>
      <c r="ADI90" s="104"/>
      <c r="ADJ90" s="104"/>
      <c r="ADK90" s="104"/>
      <c r="ADL90" s="104"/>
      <c r="ADM90" s="104"/>
      <c r="ADN90" s="104"/>
      <c r="ADO90" s="104"/>
      <c r="ADP90" s="104"/>
      <c r="ADQ90" s="104"/>
      <c r="ADR90" s="104"/>
      <c r="ADS90" s="104"/>
      <c r="ADT90" s="104"/>
      <c r="ADU90" s="104"/>
      <c r="ADV90" s="104"/>
      <c r="ADW90" s="104"/>
      <c r="ADX90" s="104"/>
      <c r="ADY90" s="104"/>
      <c r="ADZ90" s="104"/>
      <c r="AEA90" s="104"/>
      <c r="AEB90" s="104"/>
      <c r="AEC90" s="104"/>
      <c r="AED90" s="104"/>
      <c r="AEE90" s="104"/>
      <c r="AEF90" s="104"/>
      <c r="AEG90" s="104"/>
      <c r="AEH90" s="104"/>
      <c r="AEI90" s="104"/>
      <c r="AEJ90" s="104"/>
      <c r="AEK90" s="104"/>
      <c r="AEL90" s="104"/>
      <c r="AEM90" s="104"/>
      <c r="AEN90" s="104"/>
      <c r="AEO90" s="104"/>
      <c r="AEP90" s="104"/>
      <c r="AEQ90" s="104"/>
      <c r="AER90" s="104"/>
      <c r="AES90" s="104"/>
      <c r="AET90" s="104"/>
      <c r="AEU90" s="104"/>
      <c r="AEV90" s="104"/>
      <c r="AEW90" s="104"/>
      <c r="AEX90" s="104"/>
      <c r="AEY90" s="104"/>
      <c r="AEZ90" s="104"/>
      <c r="AFA90" s="104"/>
      <c r="AFB90" s="104"/>
      <c r="AFC90" s="104"/>
      <c r="AFD90" s="104"/>
      <c r="AFE90" s="104"/>
      <c r="AFF90" s="104"/>
      <c r="AFG90" s="104"/>
      <c r="AFH90" s="104"/>
      <c r="AFI90" s="104"/>
      <c r="AFJ90" s="104"/>
      <c r="AFK90" s="104"/>
      <c r="AFL90" s="104"/>
      <c r="AFM90" s="104"/>
      <c r="AFN90" s="104"/>
      <c r="AFO90" s="104"/>
      <c r="AFP90" s="104"/>
      <c r="AFQ90" s="104"/>
      <c r="AFR90" s="104"/>
      <c r="AFS90" s="104"/>
      <c r="AFT90" s="104"/>
      <c r="AFU90" s="104"/>
      <c r="AFV90" s="104"/>
      <c r="AFW90" s="104"/>
      <c r="AFX90" s="104"/>
      <c r="AFY90" s="104"/>
      <c r="AFZ90" s="104"/>
      <c r="AGA90" s="104"/>
      <c r="AGB90" s="104"/>
      <c r="AGC90" s="104"/>
      <c r="AGD90" s="104"/>
      <c r="AGE90" s="104"/>
      <c r="AGF90" s="104"/>
      <c r="AGG90" s="104"/>
      <c r="AGH90" s="104"/>
      <c r="AGI90" s="104"/>
      <c r="AGJ90" s="104"/>
      <c r="AGK90" s="104"/>
      <c r="AGL90" s="104"/>
      <c r="AGM90" s="104"/>
      <c r="AGN90" s="104"/>
      <c r="AGO90" s="104"/>
      <c r="AGP90" s="104"/>
      <c r="AGQ90" s="104"/>
      <c r="AGR90" s="104"/>
      <c r="AGS90" s="104"/>
      <c r="AGT90" s="104"/>
      <c r="AGU90" s="104"/>
      <c r="AGV90" s="104"/>
      <c r="AGW90" s="104"/>
      <c r="AGX90" s="104"/>
      <c r="AGY90" s="104"/>
      <c r="AGZ90" s="104"/>
      <c r="AHA90" s="104"/>
      <c r="AHB90" s="104"/>
      <c r="AHC90" s="104"/>
      <c r="AHD90" s="104"/>
      <c r="AHE90" s="104"/>
      <c r="AHF90" s="104"/>
      <c r="AHG90" s="104"/>
      <c r="AHH90" s="104"/>
      <c r="AHI90" s="104"/>
      <c r="AHJ90" s="104"/>
      <c r="AHK90" s="104"/>
      <c r="AHL90" s="104"/>
      <c r="AHM90" s="104"/>
      <c r="AHN90" s="104"/>
      <c r="AHO90" s="104"/>
      <c r="AHP90" s="104"/>
      <c r="AHQ90" s="104"/>
      <c r="AHR90" s="104"/>
      <c r="AHS90" s="104"/>
      <c r="AHT90" s="104"/>
      <c r="AHU90" s="104"/>
      <c r="AHV90" s="104"/>
      <c r="AHW90" s="104"/>
      <c r="AHX90" s="104"/>
      <c r="AHY90" s="104"/>
      <c r="AHZ90" s="104"/>
      <c r="AIA90" s="104"/>
      <c r="AIB90" s="104"/>
      <c r="AIC90" s="104"/>
      <c r="AID90" s="104"/>
      <c r="AIE90" s="104"/>
      <c r="AIF90" s="104"/>
      <c r="AIG90" s="104"/>
      <c r="AIH90" s="104"/>
      <c r="AII90" s="104"/>
      <c r="AIJ90" s="104"/>
      <c r="AIK90" s="104"/>
      <c r="AIL90" s="104"/>
      <c r="AIM90" s="104"/>
      <c r="AIN90" s="104"/>
      <c r="AIO90" s="104"/>
      <c r="AIP90" s="104"/>
      <c r="AIQ90" s="104"/>
      <c r="AIR90" s="104"/>
      <c r="AIS90" s="104"/>
      <c r="AIT90" s="104"/>
      <c r="AIU90" s="104"/>
      <c r="AIV90" s="104"/>
      <c r="AIW90" s="104"/>
      <c r="AIX90" s="104"/>
      <c r="AIY90" s="104"/>
      <c r="AIZ90" s="104"/>
      <c r="AJA90" s="104"/>
      <c r="AJB90" s="104"/>
      <c r="AJC90" s="104"/>
      <c r="AJD90" s="104"/>
      <c r="AJE90" s="104"/>
      <c r="AJF90" s="104"/>
      <c r="AJG90" s="104"/>
      <c r="AJH90" s="104"/>
      <c r="AJI90" s="104"/>
      <c r="AJJ90" s="104"/>
      <c r="AJK90" s="104"/>
      <c r="AJL90" s="104"/>
      <c r="AJM90" s="104"/>
      <c r="AJN90" s="104"/>
      <c r="AJO90" s="104"/>
      <c r="AJP90" s="104"/>
      <c r="AJQ90" s="104"/>
      <c r="AJR90" s="104"/>
      <c r="AJS90" s="104"/>
      <c r="AJT90" s="104"/>
      <c r="AJU90" s="104"/>
      <c r="AJV90" s="104"/>
      <c r="AJW90" s="104"/>
      <c r="AJX90" s="104"/>
      <c r="AJY90" s="104"/>
      <c r="AJZ90" s="104"/>
      <c r="AKA90" s="104"/>
      <c r="AKB90" s="104"/>
      <c r="AKC90" s="104"/>
      <c r="AKD90" s="104"/>
      <c r="AKE90" s="104"/>
      <c r="AKF90" s="104"/>
      <c r="AKG90" s="104"/>
      <c r="AKH90" s="104"/>
      <c r="AKI90" s="104"/>
      <c r="AKJ90" s="104"/>
      <c r="AKK90" s="104"/>
      <c r="AKL90" s="104"/>
      <c r="AKM90" s="104"/>
      <c r="AKN90" s="104"/>
      <c r="AKO90" s="104"/>
      <c r="AKP90" s="104"/>
      <c r="AKQ90" s="104"/>
      <c r="AKR90" s="104"/>
      <c r="AKS90" s="104"/>
      <c r="AKT90" s="104"/>
      <c r="AKU90" s="104"/>
      <c r="AKV90" s="104"/>
      <c r="AKW90" s="104"/>
      <c r="AKX90" s="104"/>
      <c r="AKY90" s="104"/>
      <c r="AKZ90" s="104"/>
      <c r="ALA90" s="104"/>
      <c r="ALB90" s="104"/>
      <c r="ALC90" s="104"/>
      <c r="ALD90" s="104"/>
      <c r="ALE90" s="104"/>
      <c r="ALF90" s="104"/>
      <c r="ALG90" s="104"/>
      <c r="ALH90" s="104"/>
      <c r="ALI90" s="104"/>
      <c r="ALJ90" s="104"/>
      <c r="ALK90" s="104"/>
      <c r="ALL90" s="104"/>
      <c r="ALM90" s="104"/>
      <c r="ALN90" s="104"/>
      <c r="ALO90" s="104"/>
      <c r="ALP90" s="104"/>
      <c r="ALQ90" s="104"/>
      <c r="ALR90" s="104"/>
      <c r="ALS90" s="104"/>
      <c r="ALT90" s="104"/>
      <c r="ALU90" s="104"/>
      <c r="ALV90" s="104"/>
      <c r="ALW90" s="104"/>
      <c r="ALX90" s="104"/>
      <c r="ALY90" s="104"/>
      <c r="ALZ90" s="104"/>
      <c r="AMA90" s="104"/>
      <c r="AMB90" s="104"/>
      <c r="AMC90" s="104"/>
      <c r="AMD90" s="104"/>
      <c r="AME90" s="104"/>
      <c r="AMF90" s="104"/>
      <c r="AMG90" s="104"/>
      <c r="AMH90" s="104"/>
      <c r="AMI90" s="104"/>
      <c r="AMJ90" s="104"/>
      <c r="AMK90" s="104"/>
      <c r="AML90" s="104"/>
      <c r="AMM90" s="104"/>
      <c r="AMN90" s="104"/>
      <c r="AMO90" s="104"/>
      <c r="AMP90" s="104"/>
      <c r="AMQ90" s="104"/>
      <c r="AMR90" s="104"/>
      <c r="AMS90" s="104"/>
      <c r="AMT90" s="104"/>
      <c r="AMU90" s="104"/>
      <c r="AMV90" s="104"/>
      <c r="AMW90" s="104"/>
      <c r="AMX90" s="104"/>
      <c r="AMY90" s="104"/>
      <c r="AMZ90" s="104"/>
      <c r="ANA90" s="104"/>
      <c r="ANB90" s="104"/>
      <c r="ANC90" s="104"/>
      <c r="AND90" s="104"/>
      <c r="ANE90" s="104"/>
      <c r="ANF90" s="104"/>
      <c r="ANG90" s="104"/>
      <c r="ANH90" s="104"/>
      <c r="ANI90" s="104"/>
      <c r="ANJ90" s="104"/>
      <c r="ANK90" s="104"/>
      <c r="ANL90" s="104"/>
      <c r="ANM90" s="104"/>
      <c r="ANN90" s="104"/>
      <c r="ANO90" s="104"/>
      <c r="ANP90" s="104"/>
      <c r="ANQ90" s="104"/>
      <c r="ANR90" s="104"/>
      <c r="ANS90" s="104"/>
      <c r="ANT90" s="104"/>
      <c r="ANU90" s="104"/>
      <c r="ANV90" s="104"/>
      <c r="ANW90" s="104"/>
      <c r="ANX90" s="104"/>
      <c r="ANY90" s="104"/>
      <c r="ANZ90" s="104"/>
      <c r="AOA90" s="104"/>
      <c r="AOB90" s="104"/>
      <c r="AOC90" s="104"/>
      <c r="AOD90" s="104"/>
      <c r="AOE90" s="104"/>
      <c r="AOF90" s="104"/>
      <c r="AOG90" s="104"/>
      <c r="AOH90" s="104"/>
      <c r="AOI90" s="104"/>
      <c r="AOJ90" s="104"/>
      <c r="AOK90" s="104"/>
      <c r="AOL90" s="104"/>
      <c r="AOM90" s="104"/>
      <c r="AON90" s="104"/>
      <c r="AOO90" s="104"/>
      <c r="AOP90" s="104"/>
      <c r="AOQ90" s="104"/>
      <c r="AOR90" s="104"/>
      <c r="AOS90" s="104"/>
      <c r="AOT90" s="104"/>
      <c r="AOU90" s="104"/>
      <c r="AOV90" s="104"/>
      <c r="AOW90" s="104"/>
      <c r="AOX90" s="104"/>
      <c r="AOY90" s="104"/>
      <c r="AOZ90" s="104"/>
      <c r="APA90" s="104"/>
      <c r="APB90" s="104"/>
      <c r="APC90" s="104"/>
      <c r="APD90" s="104"/>
      <c r="APE90" s="104"/>
      <c r="APF90" s="104"/>
      <c r="APG90" s="104"/>
      <c r="APH90" s="104"/>
      <c r="API90" s="104"/>
      <c r="APJ90" s="104"/>
      <c r="APK90" s="104"/>
      <c r="APL90" s="104"/>
      <c r="APM90" s="104"/>
      <c r="APN90" s="104"/>
      <c r="APO90" s="104"/>
      <c r="APP90" s="104"/>
      <c r="APQ90" s="104"/>
      <c r="APR90" s="104"/>
      <c r="APS90" s="104"/>
      <c r="APT90" s="104"/>
      <c r="APU90" s="104"/>
      <c r="APV90" s="104"/>
      <c r="APW90" s="104"/>
      <c r="APX90" s="104"/>
      <c r="APY90" s="104"/>
      <c r="APZ90" s="104"/>
      <c r="AQA90" s="104"/>
      <c r="AQB90" s="104"/>
      <c r="AQC90" s="104"/>
      <c r="AQD90" s="104"/>
      <c r="AQE90" s="104"/>
      <c r="AQF90" s="104"/>
      <c r="AQG90" s="104"/>
      <c r="AQH90" s="104"/>
      <c r="AQI90" s="104"/>
      <c r="AQJ90" s="104"/>
      <c r="AQK90" s="104"/>
      <c r="AQL90" s="104"/>
      <c r="AQM90" s="104"/>
      <c r="AQN90" s="104"/>
      <c r="AQO90" s="104"/>
      <c r="AQP90" s="104"/>
      <c r="AQQ90" s="104"/>
      <c r="AQR90" s="104"/>
      <c r="AQS90" s="104"/>
      <c r="AQT90" s="104"/>
      <c r="AQU90" s="104"/>
      <c r="AQV90" s="104"/>
      <c r="AQW90" s="104"/>
      <c r="AQX90" s="104"/>
      <c r="AQY90" s="104"/>
      <c r="AQZ90" s="104"/>
      <c r="ARA90" s="104"/>
      <c r="ARB90" s="104"/>
      <c r="ARC90" s="104"/>
      <c r="ARD90" s="104"/>
      <c r="ARE90" s="104"/>
      <c r="ARF90" s="104"/>
      <c r="ARG90" s="104"/>
      <c r="ARH90" s="104"/>
      <c r="ARI90" s="104"/>
      <c r="ARJ90" s="104"/>
      <c r="ARK90" s="104"/>
      <c r="ARL90" s="104"/>
      <c r="ARM90" s="104"/>
      <c r="ARN90" s="104"/>
      <c r="ARO90" s="104"/>
      <c r="ARP90" s="104"/>
      <c r="ARQ90" s="104"/>
      <c r="ARR90" s="104"/>
      <c r="ARS90" s="104"/>
      <c r="ART90" s="104"/>
      <c r="ARU90" s="104"/>
      <c r="ARV90" s="104"/>
      <c r="ARW90" s="104"/>
      <c r="ARX90" s="104"/>
      <c r="ARY90" s="104"/>
      <c r="ARZ90" s="104"/>
      <c r="ASA90" s="104"/>
      <c r="ASB90" s="104"/>
      <c r="ASC90" s="104"/>
      <c r="ASD90" s="104"/>
      <c r="ASE90" s="104"/>
      <c r="ASF90" s="104"/>
      <c r="ASG90" s="104"/>
      <c r="ASH90" s="104"/>
      <c r="ASI90" s="104"/>
      <c r="ASJ90" s="104"/>
      <c r="ASK90" s="104"/>
      <c r="ASL90" s="104"/>
      <c r="ASM90" s="104"/>
      <c r="ASN90" s="104"/>
      <c r="ASO90" s="104"/>
      <c r="ASP90" s="104"/>
      <c r="ASQ90" s="104"/>
      <c r="ASR90" s="104"/>
      <c r="ASS90" s="104"/>
      <c r="AST90" s="104"/>
      <c r="ASU90" s="104"/>
      <c r="ASV90" s="104"/>
      <c r="ASW90" s="104"/>
      <c r="ASX90" s="104"/>
      <c r="ASY90" s="104"/>
      <c r="ASZ90" s="104"/>
      <c r="ATA90" s="104"/>
      <c r="ATB90" s="104"/>
      <c r="ATC90" s="104"/>
      <c r="ATD90" s="104"/>
      <c r="ATE90" s="104"/>
      <c r="ATF90" s="104"/>
      <c r="ATG90" s="104"/>
      <c r="ATH90" s="104"/>
      <c r="ATI90" s="104"/>
      <c r="ATJ90" s="104"/>
      <c r="ATK90" s="104"/>
      <c r="ATL90" s="104"/>
      <c r="ATM90" s="104"/>
      <c r="ATN90" s="104"/>
      <c r="ATO90" s="104"/>
      <c r="ATP90" s="104"/>
      <c r="ATQ90" s="104"/>
      <c r="ATR90" s="104"/>
      <c r="ATS90" s="104"/>
      <c r="ATT90" s="104"/>
      <c r="ATU90" s="104"/>
      <c r="ATV90" s="104"/>
      <c r="ATW90" s="104"/>
      <c r="ATX90" s="104"/>
      <c r="ATY90" s="104"/>
      <c r="ATZ90" s="104"/>
      <c r="AUA90" s="104"/>
      <c r="AUB90" s="104"/>
      <c r="AUC90" s="104"/>
      <c r="AUD90" s="104"/>
      <c r="AUE90" s="104"/>
      <c r="AUF90" s="104"/>
      <c r="AUG90" s="104"/>
      <c r="AUH90" s="104"/>
      <c r="AUI90" s="104"/>
      <c r="AUJ90" s="104"/>
      <c r="AUK90" s="104"/>
      <c r="AUL90" s="104"/>
      <c r="AUM90" s="104"/>
      <c r="AUN90" s="104"/>
      <c r="AUO90" s="104"/>
      <c r="AUP90" s="104"/>
      <c r="AUQ90" s="104"/>
      <c r="AUR90" s="104"/>
      <c r="AUS90" s="104"/>
      <c r="AUT90" s="104"/>
      <c r="AUU90" s="104"/>
      <c r="AUV90" s="104"/>
      <c r="AUW90" s="104"/>
      <c r="AUX90" s="104"/>
      <c r="AUY90" s="104"/>
      <c r="AUZ90" s="104"/>
      <c r="AVA90" s="104"/>
      <c r="AVB90" s="104"/>
      <c r="AVC90" s="104"/>
      <c r="AVD90" s="104"/>
      <c r="AVE90" s="104"/>
      <c r="AVF90" s="104"/>
      <c r="AVG90" s="104"/>
      <c r="AVH90" s="104"/>
      <c r="AVI90" s="104"/>
      <c r="AVJ90" s="104"/>
      <c r="AVK90" s="104"/>
      <c r="AVL90" s="104"/>
      <c r="AVM90" s="104"/>
      <c r="AVN90" s="104"/>
      <c r="AVO90" s="104"/>
      <c r="AVP90" s="104"/>
      <c r="AVQ90" s="104"/>
      <c r="AVR90" s="104"/>
      <c r="AVS90" s="104"/>
      <c r="AVT90" s="104"/>
      <c r="AVU90" s="104"/>
      <c r="AVV90" s="104"/>
      <c r="AVW90" s="104"/>
      <c r="AVX90" s="104"/>
      <c r="AVY90" s="104"/>
      <c r="AVZ90" s="104"/>
      <c r="AWA90" s="104"/>
      <c r="AWB90" s="104"/>
      <c r="AWC90" s="104"/>
      <c r="AWD90" s="104"/>
      <c r="AWE90" s="104"/>
      <c r="AWF90" s="104"/>
      <c r="AWG90" s="104"/>
      <c r="AWH90" s="104"/>
      <c r="AWI90" s="104"/>
      <c r="AWJ90" s="104"/>
      <c r="AWK90" s="104"/>
      <c r="AWL90" s="104"/>
      <c r="AWM90" s="104"/>
      <c r="AWN90" s="104"/>
      <c r="AWO90" s="104"/>
      <c r="AWP90" s="104"/>
      <c r="AWQ90" s="104"/>
      <c r="AWR90" s="104"/>
      <c r="AWS90" s="104"/>
      <c r="AWT90" s="104"/>
      <c r="AWU90" s="104"/>
      <c r="AWV90" s="104"/>
      <c r="AWW90" s="104"/>
      <c r="AWX90" s="104"/>
      <c r="AWY90" s="104"/>
      <c r="AWZ90" s="104"/>
      <c r="AXA90" s="104"/>
      <c r="AXB90" s="104"/>
      <c r="AXC90" s="104"/>
      <c r="AXD90" s="104"/>
      <c r="AXE90" s="104"/>
      <c r="AXF90" s="104"/>
      <c r="AXG90" s="104"/>
      <c r="AXH90" s="104"/>
      <c r="AXI90" s="104"/>
      <c r="AXJ90" s="104"/>
      <c r="AXK90" s="104"/>
      <c r="AXL90" s="104"/>
      <c r="AXM90" s="104"/>
      <c r="AXN90" s="104"/>
      <c r="AXO90" s="104"/>
      <c r="AXP90" s="104"/>
      <c r="AXQ90" s="104"/>
      <c r="AXR90" s="104"/>
      <c r="AXS90" s="104"/>
      <c r="AXT90" s="104"/>
      <c r="AXU90" s="104"/>
      <c r="AXV90" s="104"/>
      <c r="AXW90" s="104"/>
      <c r="AXX90" s="104"/>
      <c r="AXY90" s="104"/>
      <c r="AXZ90" s="104"/>
      <c r="AYA90" s="104"/>
      <c r="AYB90" s="104"/>
      <c r="AYC90" s="104"/>
      <c r="AYD90" s="104"/>
      <c r="AYE90" s="104"/>
      <c r="AYF90" s="104"/>
      <c r="AYG90" s="104"/>
      <c r="AYH90" s="104"/>
      <c r="AYI90" s="104"/>
      <c r="AYJ90" s="104"/>
      <c r="AYK90" s="104"/>
      <c r="AYL90" s="104"/>
      <c r="AYM90" s="104"/>
      <c r="AYN90" s="104"/>
      <c r="AYO90" s="104"/>
      <c r="AYP90" s="104"/>
      <c r="AYQ90" s="104"/>
      <c r="AYR90" s="104"/>
      <c r="AYS90" s="104"/>
      <c r="AYT90" s="104"/>
      <c r="AYU90" s="104"/>
      <c r="AYV90" s="104"/>
      <c r="AYW90" s="104"/>
      <c r="AYX90" s="104"/>
      <c r="AYY90" s="104"/>
      <c r="AYZ90" s="104"/>
      <c r="AZA90" s="104"/>
      <c r="AZB90" s="104"/>
      <c r="AZC90" s="104"/>
      <c r="AZD90" s="104"/>
      <c r="AZE90" s="104"/>
      <c r="AZF90" s="104"/>
      <c r="AZG90" s="104"/>
      <c r="AZH90" s="104"/>
      <c r="AZI90" s="104"/>
      <c r="AZJ90" s="104"/>
      <c r="AZK90" s="104"/>
      <c r="AZL90" s="104"/>
      <c r="AZM90" s="104"/>
      <c r="AZN90" s="104"/>
      <c r="AZO90" s="104"/>
      <c r="AZP90" s="104"/>
      <c r="AZQ90" s="104"/>
      <c r="AZR90" s="104"/>
      <c r="AZS90" s="104"/>
      <c r="AZT90" s="104"/>
      <c r="AZU90" s="104"/>
      <c r="AZV90" s="104"/>
      <c r="AZW90" s="104"/>
      <c r="AZX90" s="104"/>
      <c r="AZY90" s="104"/>
      <c r="AZZ90" s="104"/>
      <c r="BAA90" s="104"/>
      <c r="BAB90" s="104"/>
      <c r="BAC90" s="104"/>
      <c r="BAD90" s="104"/>
      <c r="BAE90" s="104"/>
      <c r="BAF90" s="104"/>
      <c r="BAG90" s="104"/>
      <c r="BAH90" s="104"/>
      <c r="BAI90" s="104"/>
      <c r="BAJ90" s="104"/>
      <c r="BAK90" s="104"/>
      <c r="BAL90" s="104"/>
      <c r="BAM90" s="104"/>
      <c r="BAN90" s="104"/>
      <c r="BAO90" s="104"/>
      <c r="BAP90" s="104"/>
      <c r="BAQ90" s="104"/>
      <c r="BAR90" s="104"/>
      <c r="BAS90" s="104"/>
      <c r="BAT90" s="104"/>
      <c r="BAU90" s="104"/>
      <c r="BAV90" s="104"/>
      <c r="BAW90" s="104"/>
      <c r="BAX90" s="104"/>
      <c r="BAY90" s="104"/>
      <c r="BAZ90" s="104"/>
      <c r="BBA90" s="104"/>
      <c r="BBB90" s="104"/>
      <c r="BBC90" s="104"/>
      <c r="BBD90" s="104"/>
      <c r="BBE90" s="104"/>
      <c r="BBF90" s="104"/>
      <c r="BBG90" s="104"/>
      <c r="BBH90" s="104"/>
      <c r="BBI90" s="104"/>
      <c r="BBJ90" s="104"/>
      <c r="BBK90" s="104"/>
      <c r="BBL90" s="104"/>
      <c r="BBM90" s="104"/>
      <c r="BBN90" s="104"/>
      <c r="BBO90" s="104"/>
      <c r="BBP90" s="104"/>
      <c r="BBQ90" s="104"/>
      <c r="BBR90" s="104"/>
      <c r="BBS90" s="104"/>
      <c r="BBT90" s="104"/>
      <c r="BBU90" s="104"/>
      <c r="BBV90" s="104"/>
      <c r="BBW90" s="104"/>
      <c r="BBX90" s="104"/>
      <c r="BBY90" s="104"/>
      <c r="BBZ90" s="104"/>
      <c r="BCA90" s="104"/>
      <c r="BCB90" s="104"/>
      <c r="BCC90" s="104"/>
      <c r="BCD90" s="104"/>
      <c r="BCE90" s="104"/>
      <c r="BCF90" s="104"/>
      <c r="BCG90" s="104"/>
      <c r="BCH90" s="104"/>
      <c r="BCI90" s="104"/>
      <c r="BCJ90" s="104"/>
      <c r="BCK90" s="104"/>
      <c r="BCL90" s="104"/>
      <c r="BCM90" s="104"/>
      <c r="BCN90" s="104"/>
      <c r="BCO90" s="104"/>
      <c r="BCP90" s="104"/>
      <c r="BCQ90" s="104"/>
      <c r="BCR90" s="104"/>
      <c r="BCS90" s="104"/>
      <c r="BCT90" s="104"/>
      <c r="BCU90" s="104"/>
      <c r="BCV90" s="104"/>
      <c r="BCW90" s="104"/>
      <c r="BCX90" s="104"/>
      <c r="BCY90" s="104"/>
      <c r="BCZ90" s="104"/>
      <c r="BDA90" s="104"/>
      <c r="BDB90" s="104"/>
      <c r="BDC90" s="104"/>
      <c r="BDD90" s="104"/>
      <c r="BDE90" s="104"/>
      <c r="BDF90" s="104"/>
      <c r="BDG90" s="104"/>
      <c r="BDH90" s="104"/>
      <c r="BDI90" s="104"/>
      <c r="BDJ90" s="104"/>
      <c r="BDK90" s="104"/>
      <c r="BDL90" s="104"/>
      <c r="BDM90" s="104"/>
      <c r="BDN90" s="104"/>
      <c r="BDO90" s="104"/>
      <c r="BDP90" s="104"/>
      <c r="BDQ90" s="104"/>
      <c r="BDR90" s="104"/>
      <c r="BDS90" s="104"/>
      <c r="BDT90" s="104"/>
      <c r="BDU90" s="104"/>
      <c r="BDV90" s="104"/>
      <c r="BDW90" s="104"/>
      <c r="BDX90" s="104"/>
      <c r="BDY90" s="104"/>
      <c r="BDZ90" s="104"/>
      <c r="BEA90" s="104"/>
      <c r="BEB90" s="104"/>
      <c r="BEC90" s="104"/>
      <c r="BED90" s="104"/>
      <c r="BEE90" s="104"/>
      <c r="BEF90" s="104"/>
      <c r="BEG90" s="104"/>
      <c r="BEH90" s="104"/>
      <c r="BEI90" s="104"/>
      <c r="BEJ90" s="104"/>
      <c r="BEK90" s="104"/>
      <c r="BEL90" s="104"/>
      <c r="BEM90" s="104"/>
      <c r="BEN90" s="104"/>
      <c r="BEO90" s="104"/>
      <c r="BEP90" s="104"/>
      <c r="BEQ90" s="104"/>
      <c r="BER90" s="104"/>
      <c r="BES90" s="104"/>
      <c r="BET90" s="104"/>
      <c r="BEU90" s="104"/>
      <c r="BEV90" s="104"/>
      <c r="BEW90" s="104"/>
      <c r="BEX90" s="104"/>
      <c r="BEY90" s="104"/>
      <c r="BEZ90" s="104"/>
      <c r="BFA90" s="104"/>
      <c r="BFB90" s="104"/>
      <c r="BFC90" s="104"/>
      <c r="BFD90" s="104"/>
      <c r="BFE90" s="104"/>
      <c r="BFF90" s="104"/>
      <c r="BFG90" s="104"/>
      <c r="BFH90" s="104"/>
      <c r="BFI90" s="104"/>
      <c r="BFJ90" s="104"/>
      <c r="BFK90" s="104"/>
      <c r="BFL90" s="104"/>
      <c r="BFM90" s="104"/>
      <c r="BFN90" s="104"/>
      <c r="BFO90" s="104"/>
      <c r="BFP90" s="104"/>
      <c r="BFQ90" s="104"/>
      <c r="BFR90" s="104"/>
      <c r="BFS90" s="104"/>
      <c r="BFT90" s="104"/>
      <c r="BFU90" s="104"/>
      <c r="BFV90" s="104"/>
      <c r="BFW90" s="104"/>
      <c r="BFX90" s="104"/>
      <c r="BFY90" s="104"/>
      <c r="BFZ90" s="104"/>
      <c r="BGA90" s="104"/>
      <c r="BGB90" s="104"/>
      <c r="BGC90" s="104"/>
      <c r="BGD90" s="104"/>
      <c r="BGE90" s="104"/>
      <c r="BGF90" s="104"/>
      <c r="BGG90" s="104"/>
      <c r="BGH90" s="104"/>
      <c r="BGI90" s="104"/>
      <c r="BGJ90" s="104"/>
      <c r="BGK90" s="104"/>
      <c r="BGL90" s="104"/>
      <c r="BGM90" s="104"/>
      <c r="BGN90" s="104"/>
      <c r="BGO90" s="104"/>
      <c r="BGP90" s="104"/>
      <c r="BGQ90" s="104"/>
      <c r="BGR90" s="104"/>
      <c r="BGS90" s="104"/>
      <c r="BGT90" s="104"/>
      <c r="BGU90" s="104"/>
      <c r="BGV90" s="104"/>
      <c r="BGW90" s="104"/>
      <c r="BGX90" s="104"/>
      <c r="BGY90" s="104"/>
      <c r="BGZ90" s="104"/>
      <c r="BHA90" s="104"/>
      <c r="BHB90" s="104"/>
      <c r="BHC90" s="104"/>
      <c r="BHD90" s="104"/>
      <c r="BHE90" s="104"/>
      <c r="BHF90" s="104"/>
      <c r="BHG90" s="104"/>
      <c r="BHH90" s="104"/>
      <c r="BHI90" s="104"/>
      <c r="BHJ90" s="104"/>
      <c r="BHK90" s="104"/>
      <c r="BHL90" s="104"/>
      <c r="BHM90" s="104"/>
      <c r="BHN90" s="104"/>
      <c r="BHO90" s="104"/>
      <c r="BHP90" s="104"/>
      <c r="BHQ90" s="104"/>
      <c r="BHR90" s="104"/>
      <c r="BHS90" s="104"/>
      <c r="BHT90" s="104"/>
      <c r="BHU90" s="104"/>
      <c r="BHV90" s="104"/>
      <c r="BHW90" s="104"/>
      <c r="BHX90" s="104"/>
      <c r="BHY90" s="104"/>
      <c r="BHZ90" s="104"/>
      <c r="BIA90" s="104"/>
      <c r="BIB90" s="104"/>
      <c r="BIC90" s="104"/>
      <c r="BID90" s="104"/>
      <c r="BIE90" s="104"/>
      <c r="BIF90" s="104"/>
      <c r="BIG90" s="104"/>
      <c r="BIH90" s="104"/>
      <c r="BII90" s="104"/>
      <c r="BIJ90" s="104"/>
      <c r="BIK90" s="104"/>
      <c r="BIL90" s="104"/>
      <c r="BIM90" s="104"/>
      <c r="BIN90" s="104"/>
      <c r="BIO90" s="104"/>
      <c r="BIP90" s="104"/>
      <c r="BIQ90" s="104"/>
      <c r="BIR90" s="104"/>
      <c r="BIS90" s="104"/>
      <c r="BIT90" s="104"/>
      <c r="BIU90" s="104"/>
      <c r="BIV90" s="104"/>
      <c r="BIW90" s="104"/>
      <c r="BIX90" s="104"/>
      <c r="BIY90" s="104"/>
      <c r="BIZ90" s="104"/>
      <c r="BJA90" s="104"/>
      <c r="BJB90" s="104"/>
      <c r="BJC90" s="104"/>
      <c r="BJD90" s="104"/>
      <c r="BJE90" s="104"/>
      <c r="BJF90" s="104"/>
      <c r="BJG90" s="104"/>
      <c r="BJH90" s="104"/>
      <c r="BJI90" s="104"/>
      <c r="BJJ90" s="104"/>
      <c r="BJK90" s="104"/>
      <c r="BJL90" s="104"/>
      <c r="BJM90" s="104"/>
      <c r="BJN90" s="104"/>
      <c r="BJO90" s="104"/>
      <c r="BJP90" s="104"/>
      <c r="BJQ90" s="104"/>
      <c r="BJR90" s="104"/>
      <c r="BJS90" s="104"/>
      <c r="BJT90" s="104"/>
      <c r="BJU90" s="104"/>
      <c r="BJV90" s="104"/>
      <c r="BJW90" s="104"/>
      <c r="BJX90" s="104"/>
      <c r="BJY90" s="104"/>
      <c r="BJZ90" s="104"/>
      <c r="BKA90" s="104"/>
      <c r="BKB90" s="104"/>
      <c r="BKC90" s="104"/>
      <c r="BKD90" s="104"/>
      <c r="BKE90" s="104"/>
      <c r="BKF90" s="104"/>
      <c r="BKG90" s="104"/>
      <c r="BKH90" s="104"/>
      <c r="BKI90" s="104"/>
      <c r="BKJ90" s="104"/>
      <c r="BKK90" s="104"/>
      <c r="BKL90" s="104"/>
      <c r="BKM90" s="104"/>
      <c r="BKN90" s="104"/>
      <c r="BKO90" s="104"/>
      <c r="BKP90" s="104"/>
      <c r="BKQ90" s="104"/>
      <c r="BKR90" s="104"/>
      <c r="BKS90" s="104"/>
      <c r="BKT90" s="104"/>
      <c r="BKU90" s="104"/>
      <c r="BKV90" s="104"/>
      <c r="BKW90" s="104"/>
      <c r="BKX90" s="104"/>
      <c r="BKY90" s="104"/>
      <c r="BKZ90" s="104"/>
      <c r="BLA90" s="104"/>
      <c r="BLB90" s="104"/>
      <c r="BLC90" s="104"/>
      <c r="BLD90" s="104"/>
      <c r="BLE90" s="104"/>
      <c r="BLF90" s="104"/>
      <c r="BLG90" s="104"/>
      <c r="BLH90" s="104"/>
      <c r="BLI90" s="104"/>
      <c r="BLJ90" s="104"/>
      <c r="BLK90" s="104"/>
      <c r="BLL90" s="104"/>
      <c r="BLM90" s="104"/>
      <c r="BLN90" s="104"/>
      <c r="BLO90" s="104"/>
      <c r="BLP90" s="104"/>
      <c r="BLQ90" s="104"/>
      <c r="BLR90" s="104"/>
      <c r="BLS90" s="104"/>
      <c r="BLT90" s="104"/>
      <c r="BLU90" s="104"/>
      <c r="BLV90" s="104"/>
      <c r="BLW90" s="104"/>
      <c r="BLX90" s="104"/>
      <c r="BLY90" s="104"/>
      <c r="BLZ90" s="104"/>
      <c r="BMA90" s="104"/>
      <c r="BMB90" s="104"/>
      <c r="BMC90" s="104"/>
      <c r="BMD90" s="104"/>
      <c r="BME90" s="104"/>
      <c r="BMF90" s="104"/>
      <c r="BMG90" s="104"/>
      <c r="BMH90" s="104"/>
      <c r="BMI90" s="104"/>
      <c r="BMJ90" s="104"/>
      <c r="BMK90" s="104"/>
      <c r="BML90" s="104"/>
      <c r="BMM90" s="104"/>
      <c r="BMN90" s="104"/>
      <c r="BMO90" s="104"/>
      <c r="BMP90" s="104"/>
      <c r="BMQ90" s="104"/>
      <c r="BMR90" s="104"/>
      <c r="BMS90" s="104"/>
      <c r="BMT90" s="104"/>
      <c r="BMU90" s="104"/>
      <c r="BMV90" s="104"/>
      <c r="BMW90" s="104"/>
      <c r="BMX90" s="104"/>
      <c r="BMY90" s="104"/>
      <c r="BMZ90" s="104"/>
      <c r="BNA90" s="104"/>
      <c r="BNB90" s="104"/>
      <c r="BNC90" s="104"/>
      <c r="BND90" s="104"/>
      <c r="BNE90" s="104"/>
      <c r="BNF90" s="104"/>
      <c r="BNG90" s="104"/>
      <c r="BNH90" s="104"/>
      <c r="BNI90" s="104"/>
      <c r="BNJ90" s="104"/>
      <c r="BNK90" s="104"/>
      <c r="BNL90" s="104"/>
      <c r="BNM90" s="104"/>
      <c r="BNN90" s="104"/>
      <c r="BNO90" s="104"/>
      <c r="BNP90" s="104"/>
      <c r="BNQ90" s="104"/>
      <c r="BNR90" s="104"/>
      <c r="BNS90" s="104"/>
      <c r="BNT90" s="104"/>
      <c r="BNU90" s="104"/>
      <c r="BNV90" s="104"/>
      <c r="BNW90" s="104"/>
      <c r="BNX90" s="104"/>
      <c r="BNY90" s="104"/>
      <c r="BNZ90" s="104"/>
      <c r="BOA90" s="104"/>
      <c r="BOB90" s="104"/>
      <c r="BOC90" s="104"/>
      <c r="BOD90" s="104"/>
      <c r="BOE90" s="104"/>
      <c r="BOF90" s="104"/>
      <c r="BOG90" s="104"/>
      <c r="BOH90" s="104"/>
      <c r="BOI90" s="104"/>
      <c r="BOJ90" s="104"/>
      <c r="BOK90" s="104"/>
      <c r="BOL90" s="104"/>
      <c r="BOM90" s="104"/>
      <c r="BON90" s="104"/>
      <c r="BOO90" s="104"/>
      <c r="BOP90" s="104"/>
      <c r="BOQ90" s="104"/>
      <c r="BOR90" s="104"/>
      <c r="BOS90" s="104"/>
      <c r="BOT90" s="104"/>
      <c r="BOU90" s="104"/>
      <c r="BOV90" s="104"/>
      <c r="BOW90" s="104"/>
      <c r="BOX90" s="104"/>
      <c r="BOY90" s="104"/>
      <c r="BOZ90" s="104"/>
      <c r="BPA90" s="104"/>
      <c r="BPB90" s="104"/>
      <c r="BPC90" s="104"/>
      <c r="BPD90" s="104"/>
      <c r="BPE90" s="104"/>
      <c r="BPF90" s="104"/>
      <c r="BPG90" s="104"/>
      <c r="BPH90" s="104"/>
      <c r="BPI90" s="104"/>
      <c r="BPJ90" s="104"/>
      <c r="BPK90" s="104"/>
      <c r="BPL90" s="104"/>
      <c r="BPM90" s="104"/>
      <c r="BPN90" s="104"/>
      <c r="BPO90" s="104"/>
      <c r="BPP90" s="104"/>
      <c r="BPQ90" s="104"/>
      <c r="BPR90" s="104"/>
      <c r="BPS90" s="104"/>
      <c r="BPT90" s="104"/>
      <c r="BPU90" s="104"/>
      <c r="BPV90" s="104"/>
      <c r="BPW90" s="104"/>
      <c r="BPX90" s="104"/>
      <c r="BPY90" s="104"/>
      <c r="BPZ90" s="104"/>
      <c r="BQA90" s="104"/>
      <c r="BQB90" s="104"/>
      <c r="BQC90" s="104"/>
      <c r="BQD90" s="104"/>
      <c r="BQE90" s="104"/>
      <c r="BQF90" s="104"/>
      <c r="BQG90" s="104"/>
      <c r="BQH90" s="104"/>
      <c r="BQI90" s="104"/>
      <c r="BQJ90" s="104"/>
      <c r="BQK90" s="104"/>
      <c r="BQL90" s="104"/>
      <c r="BQM90" s="104"/>
      <c r="BQN90" s="104"/>
      <c r="BQO90" s="104"/>
      <c r="BQP90" s="104"/>
      <c r="BQQ90" s="104"/>
      <c r="BQR90" s="104"/>
      <c r="BQS90" s="104"/>
      <c r="BQT90" s="104"/>
      <c r="BQU90" s="104"/>
      <c r="BQV90" s="104"/>
      <c r="BQW90" s="104"/>
      <c r="BQX90" s="104"/>
      <c r="BQY90" s="104"/>
      <c r="BQZ90" s="104"/>
      <c r="BRA90" s="104"/>
      <c r="BRB90" s="104"/>
      <c r="BRC90" s="104"/>
      <c r="BRD90" s="104"/>
      <c r="BRE90" s="104"/>
      <c r="BRF90" s="104"/>
      <c r="BRG90" s="104"/>
      <c r="BRH90" s="104"/>
      <c r="BRI90" s="104"/>
      <c r="BRJ90" s="104"/>
      <c r="BRK90" s="104"/>
      <c r="BRL90" s="104"/>
      <c r="BRM90" s="104"/>
      <c r="BRN90" s="104"/>
      <c r="BRO90" s="104"/>
      <c r="BRP90" s="104"/>
      <c r="BRQ90" s="104"/>
      <c r="BRR90" s="104"/>
      <c r="BRS90" s="104"/>
      <c r="BRT90" s="104"/>
      <c r="BRU90" s="104"/>
      <c r="BRV90" s="104"/>
      <c r="BRW90" s="104"/>
      <c r="BRX90" s="104"/>
      <c r="BRY90" s="104"/>
      <c r="BRZ90" s="104"/>
      <c r="BSA90" s="104"/>
      <c r="BSB90" s="104"/>
      <c r="BSC90" s="104"/>
      <c r="BSD90" s="104"/>
      <c r="BSE90" s="104"/>
      <c r="BSF90" s="104"/>
      <c r="BSG90" s="104"/>
      <c r="BSH90" s="104"/>
      <c r="BSI90" s="104"/>
      <c r="BSJ90" s="104"/>
      <c r="BSK90" s="104"/>
      <c r="BSL90" s="104"/>
      <c r="BSM90" s="104"/>
      <c r="BSN90" s="104"/>
      <c r="BSO90" s="104"/>
      <c r="BSP90" s="104"/>
      <c r="BSQ90" s="104"/>
      <c r="BSR90" s="104"/>
      <c r="BSS90" s="104"/>
      <c r="BST90" s="104"/>
      <c r="BSU90" s="104"/>
      <c r="BSV90" s="104"/>
      <c r="BSW90" s="104"/>
      <c r="BSX90" s="104"/>
      <c r="BSY90" s="104"/>
      <c r="BSZ90" s="104"/>
      <c r="BTA90" s="104"/>
      <c r="BTB90" s="104"/>
      <c r="BTC90" s="104"/>
      <c r="BTD90" s="104"/>
      <c r="BTE90" s="104"/>
      <c r="BTF90" s="104"/>
      <c r="BTG90" s="104"/>
      <c r="BTH90" s="104"/>
      <c r="BTI90" s="104"/>
      <c r="BTJ90" s="104"/>
      <c r="BTK90" s="104"/>
      <c r="BTL90" s="104"/>
      <c r="BTM90" s="104"/>
      <c r="BTN90" s="104"/>
      <c r="BTO90" s="104"/>
      <c r="BTP90" s="104"/>
      <c r="BTQ90" s="104"/>
      <c r="BTR90" s="104"/>
      <c r="BTS90" s="104"/>
      <c r="BTT90" s="104"/>
      <c r="BTU90" s="104"/>
      <c r="BTV90" s="104"/>
      <c r="BTW90" s="104"/>
      <c r="BTX90" s="104"/>
      <c r="BTY90" s="104"/>
      <c r="BTZ90" s="104"/>
      <c r="BUA90" s="104"/>
      <c r="BUB90" s="104"/>
      <c r="BUC90" s="104"/>
      <c r="BUD90" s="104"/>
      <c r="BUE90" s="104"/>
      <c r="BUF90" s="104"/>
      <c r="BUG90" s="104"/>
      <c r="BUH90" s="104"/>
      <c r="BUI90" s="104"/>
      <c r="BUJ90" s="104"/>
      <c r="BUK90" s="104"/>
      <c r="BUL90" s="104"/>
      <c r="BUM90" s="104"/>
      <c r="BUN90" s="104"/>
      <c r="BUO90" s="104"/>
      <c r="BUP90" s="104"/>
      <c r="BUQ90" s="104"/>
      <c r="BUR90" s="104"/>
      <c r="BUS90" s="104"/>
      <c r="BUT90" s="104"/>
      <c r="BUU90" s="104"/>
      <c r="BUV90" s="104"/>
      <c r="BUW90" s="104"/>
      <c r="BUX90" s="104"/>
      <c r="BUY90" s="104"/>
      <c r="BUZ90" s="104"/>
      <c r="BVA90" s="104"/>
      <c r="BVB90" s="104"/>
      <c r="BVC90" s="104"/>
      <c r="BVD90" s="104"/>
      <c r="BVE90" s="104"/>
      <c r="BVF90" s="104"/>
      <c r="BVG90" s="104"/>
      <c r="BVH90" s="104"/>
      <c r="BVI90" s="104"/>
      <c r="BVJ90" s="104"/>
      <c r="BVK90" s="104"/>
      <c r="BVL90" s="104"/>
      <c r="BVM90" s="104"/>
      <c r="BVN90" s="104"/>
      <c r="BVO90" s="104"/>
      <c r="BVP90" s="104"/>
      <c r="BVQ90" s="104"/>
      <c r="BVR90" s="104"/>
      <c r="BVS90" s="104"/>
      <c r="BVT90" s="104"/>
      <c r="BVU90" s="104"/>
      <c r="BVV90" s="104"/>
      <c r="BVW90" s="104"/>
      <c r="BVX90" s="104"/>
      <c r="BVY90" s="104"/>
      <c r="BVZ90" s="104"/>
      <c r="BWA90" s="104"/>
      <c r="BWB90" s="104"/>
      <c r="BWC90" s="104"/>
      <c r="BWD90" s="104"/>
      <c r="BWE90" s="104"/>
      <c r="BWF90" s="104"/>
      <c r="BWG90" s="104"/>
      <c r="BWH90" s="104"/>
      <c r="BWI90" s="104"/>
      <c r="BWJ90" s="104"/>
      <c r="BWK90" s="104"/>
      <c r="BWL90" s="104"/>
      <c r="BWM90" s="104"/>
      <c r="BWN90" s="104"/>
      <c r="BWO90" s="104"/>
      <c r="BWP90" s="104"/>
      <c r="BWQ90" s="104"/>
      <c r="BWR90" s="104"/>
      <c r="BWS90" s="104"/>
      <c r="BWT90" s="104"/>
      <c r="BWU90" s="104"/>
      <c r="BWV90" s="104"/>
      <c r="BWW90" s="104"/>
      <c r="BWX90" s="104"/>
      <c r="BWY90" s="104"/>
      <c r="BWZ90" s="104"/>
      <c r="BXA90" s="104"/>
      <c r="BXB90" s="104"/>
      <c r="BXC90" s="104"/>
      <c r="BXD90" s="104"/>
      <c r="BXE90" s="104"/>
      <c r="BXF90" s="104"/>
      <c r="BXG90" s="104"/>
      <c r="BXH90" s="104"/>
      <c r="BXI90" s="104"/>
      <c r="BXJ90" s="104"/>
      <c r="BXK90" s="104"/>
      <c r="BXL90" s="104"/>
      <c r="BXM90" s="104"/>
      <c r="BXN90" s="104"/>
      <c r="BXO90" s="104"/>
      <c r="BXP90" s="104"/>
      <c r="BXQ90" s="104"/>
      <c r="BXR90" s="104"/>
      <c r="BXS90" s="104"/>
      <c r="BXT90" s="104"/>
      <c r="BXU90" s="104"/>
      <c r="BXV90" s="104"/>
      <c r="BXW90" s="104"/>
      <c r="BXX90" s="104"/>
      <c r="BXY90" s="104"/>
      <c r="BXZ90" s="104"/>
      <c r="BYA90" s="104"/>
      <c r="BYB90" s="104"/>
      <c r="BYC90" s="104"/>
      <c r="BYD90" s="104"/>
      <c r="BYE90" s="104"/>
      <c r="BYF90" s="104"/>
      <c r="BYG90" s="104"/>
      <c r="BYH90" s="104"/>
      <c r="BYI90" s="104"/>
      <c r="BYJ90" s="104"/>
      <c r="BYK90" s="104"/>
      <c r="BYL90" s="104"/>
      <c r="BYM90" s="104"/>
      <c r="BYN90" s="104"/>
      <c r="BYO90" s="104"/>
      <c r="BYP90" s="104"/>
      <c r="BYQ90" s="104"/>
      <c r="BYR90" s="104"/>
      <c r="BYS90" s="104"/>
      <c r="BYT90" s="104"/>
      <c r="BYU90" s="104"/>
      <c r="BYV90" s="104"/>
      <c r="BYW90" s="104"/>
      <c r="BYX90" s="104"/>
      <c r="BYY90" s="104"/>
      <c r="BYZ90" s="104"/>
      <c r="BZA90" s="104"/>
      <c r="BZB90" s="104"/>
      <c r="BZC90" s="104"/>
      <c r="BZD90" s="104"/>
      <c r="BZE90" s="104"/>
      <c r="BZF90" s="104"/>
      <c r="BZG90" s="104"/>
      <c r="BZH90" s="104"/>
      <c r="BZI90" s="104"/>
      <c r="BZJ90" s="104"/>
      <c r="BZK90" s="104"/>
      <c r="BZL90" s="104"/>
      <c r="BZM90" s="104"/>
      <c r="BZN90" s="104"/>
      <c r="BZO90" s="104"/>
      <c r="BZP90" s="104"/>
      <c r="BZQ90" s="104"/>
      <c r="BZR90" s="104"/>
      <c r="BZS90" s="104"/>
      <c r="BZT90" s="104"/>
      <c r="BZU90" s="104"/>
      <c r="BZV90" s="104"/>
      <c r="BZW90" s="104"/>
      <c r="BZX90" s="104"/>
      <c r="BZY90" s="104"/>
      <c r="BZZ90" s="104"/>
      <c r="CAA90" s="104"/>
      <c r="CAB90" s="104"/>
      <c r="CAC90" s="104"/>
      <c r="CAD90" s="104"/>
      <c r="CAE90" s="104"/>
      <c r="CAF90" s="104"/>
      <c r="CAG90" s="104"/>
      <c r="CAH90" s="104"/>
      <c r="CAI90" s="104"/>
      <c r="CAJ90" s="104"/>
      <c r="CAK90" s="104"/>
      <c r="CAL90" s="104"/>
      <c r="CAM90" s="104"/>
      <c r="CAN90" s="104"/>
      <c r="CAO90" s="104"/>
      <c r="CAP90" s="104"/>
      <c r="CAQ90" s="104"/>
      <c r="CAR90" s="104"/>
      <c r="CAS90" s="104"/>
      <c r="CAT90" s="104"/>
      <c r="CAU90" s="104"/>
      <c r="CAV90" s="104"/>
      <c r="CAW90" s="104"/>
      <c r="CAX90" s="104"/>
      <c r="CAY90" s="104"/>
      <c r="CAZ90" s="104"/>
      <c r="CBA90" s="104"/>
      <c r="CBB90" s="104"/>
      <c r="CBC90" s="104"/>
      <c r="CBD90" s="104"/>
      <c r="CBE90" s="104"/>
      <c r="CBF90" s="104"/>
      <c r="CBG90" s="104"/>
      <c r="CBH90" s="104"/>
      <c r="CBI90" s="104"/>
      <c r="CBJ90" s="104"/>
      <c r="CBK90" s="104"/>
      <c r="CBL90" s="104"/>
      <c r="CBM90" s="104"/>
      <c r="CBN90" s="104"/>
      <c r="CBO90" s="104"/>
      <c r="CBP90" s="104"/>
      <c r="CBQ90" s="104"/>
      <c r="CBR90" s="104"/>
      <c r="CBS90" s="104"/>
      <c r="CBT90" s="104"/>
      <c r="CBU90" s="104"/>
      <c r="CBV90" s="104"/>
      <c r="CBW90" s="104"/>
      <c r="CBX90" s="104"/>
      <c r="CBY90" s="104"/>
      <c r="CBZ90" s="104"/>
      <c r="CCA90" s="104"/>
      <c r="CCB90" s="104"/>
      <c r="CCC90" s="104"/>
      <c r="CCD90" s="104"/>
      <c r="CCE90" s="104"/>
      <c r="CCF90" s="104"/>
      <c r="CCG90" s="104"/>
      <c r="CCH90" s="104"/>
      <c r="CCI90" s="104"/>
      <c r="CCJ90" s="104"/>
      <c r="CCK90" s="104"/>
      <c r="CCL90" s="104"/>
      <c r="CCM90" s="104"/>
      <c r="CCN90" s="104"/>
      <c r="CCO90" s="104"/>
      <c r="CCP90" s="104"/>
      <c r="CCQ90" s="104"/>
      <c r="CCR90" s="104"/>
      <c r="CCS90" s="104"/>
      <c r="CCT90" s="104"/>
      <c r="CCU90" s="104"/>
      <c r="CCV90" s="104"/>
      <c r="CCW90" s="104"/>
      <c r="CCX90" s="104"/>
      <c r="CCY90" s="104"/>
      <c r="CCZ90" s="104"/>
      <c r="CDA90" s="104"/>
      <c r="CDB90" s="104"/>
      <c r="CDC90" s="104"/>
      <c r="CDD90" s="104"/>
      <c r="CDE90" s="104"/>
      <c r="CDF90" s="104"/>
      <c r="CDG90" s="104"/>
      <c r="CDH90" s="104"/>
      <c r="CDI90" s="104"/>
      <c r="CDJ90" s="104"/>
      <c r="CDK90" s="104"/>
      <c r="CDL90" s="104"/>
      <c r="CDM90" s="104"/>
      <c r="CDN90" s="104"/>
      <c r="CDO90" s="104"/>
      <c r="CDP90" s="104"/>
      <c r="CDQ90" s="104"/>
      <c r="CDR90" s="104"/>
      <c r="CDS90" s="104"/>
      <c r="CDT90" s="104"/>
      <c r="CDU90" s="104"/>
      <c r="CDV90" s="104"/>
      <c r="CDW90" s="104"/>
      <c r="CDX90" s="104"/>
      <c r="CDY90" s="104"/>
      <c r="CDZ90" s="104"/>
      <c r="CEA90" s="104"/>
      <c r="CEB90" s="104"/>
      <c r="CEC90" s="104"/>
      <c r="CED90" s="104"/>
      <c r="CEE90" s="104"/>
      <c r="CEF90" s="104"/>
      <c r="CEG90" s="104"/>
      <c r="CEH90" s="104"/>
      <c r="CEI90" s="104"/>
      <c r="CEJ90" s="104"/>
      <c r="CEK90" s="104"/>
      <c r="CEL90" s="104"/>
      <c r="CEM90" s="104"/>
      <c r="CEN90" s="104"/>
      <c r="CEO90" s="104"/>
      <c r="CEP90" s="104"/>
      <c r="CEQ90" s="104"/>
      <c r="CER90" s="104"/>
      <c r="CES90" s="104"/>
      <c r="CET90" s="104"/>
      <c r="CEU90" s="104"/>
      <c r="CEV90" s="104"/>
      <c r="CEW90" s="104"/>
      <c r="CEX90" s="104"/>
      <c r="CEY90" s="104"/>
      <c r="CEZ90" s="104"/>
      <c r="CFA90" s="104"/>
      <c r="CFB90" s="104"/>
      <c r="CFC90" s="104"/>
      <c r="CFD90" s="104"/>
      <c r="CFE90" s="104"/>
      <c r="CFF90" s="104"/>
      <c r="CFG90" s="104"/>
      <c r="CFH90" s="104"/>
      <c r="CFI90" s="104"/>
      <c r="CFJ90" s="104"/>
      <c r="CFK90" s="104"/>
      <c r="CFL90" s="104"/>
      <c r="CFM90" s="104"/>
      <c r="CFN90" s="104"/>
      <c r="CFO90" s="104"/>
      <c r="CFP90" s="104"/>
      <c r="CFQ90" s="104"/>
      <c r="CFR90" s="104"/>
      <c r="CFS90" s="104"/>
      <c r="CFT90" s="104"/>
      <c r="CFU90" s="104"/>
      <c r="CFV90" s="104"/>
      <c r="CFW90" s="104"/>
      <c r="CFX90" s="104"/>
      <c r="CFY90" s="104"/>
      <c r="CFZ90" s="104"/>
      <c r="CGA90" s="104"/>
      <c r="CGB90" s="104"/>
      <c r="CGC90" s="104"/>
      <c r="CGD90" s="104"/>
      <c r="CGE90" s="104"/>
      <c r="CGF90" s="104"/>
      <c r="CGG90" s="104"/>
      <c r="CGH90" s="104"/>
      <c r="CGI90" s="104"/>
      <c r="CGJ90" s="104"/>
      <c r="CGK90" s="104"/>
      <c r="CGL90" s="104"/>
      <c r="CGM90" s="104"/>
      <c r="CGN90" s="104"/>
      <c r="CGO90" s="104"/>
      <c r="CGP90" s="104"/>
      <c r="CGQ90" s="104"/>
      <c r="CGR90" s="104"/>
      <c r="CGS90" s="104"/>
      <c r="CGT90" s="104"/>
      <c r="CGU90" s="104"/>
      <c r="CGV90" s="104"/>
      <c r="CGW90" s="104"/>
      <c r="CGX90" s="104"/>
      <c r="CGY90" s="104"/>
      <c r="CGZ90" s="104"/>
      <c r="CHA90" s="104"/>
      <c r="CHB90" s="104"/>
      <c r="CHC90" s="104"/>
      <c r="CHD90" s="104"/>
      <c r="CHE90" s="104"/>
      <c r="CHF90" s="104"/>
      <c r="CHG90" s="104"/>
      <c r="CHH90" s="104"/>
      <c r="CHI90" s="104"/>
      <c r="CHJ90" s="104"/>
      <c r="CHK90" s="104"/>
      <c r="CHL90" s="104"/>
      <c r="CHM90" s="104"/>
      <c r="CHN90" s="104"/>
      <c r="CHO90" s="104"/>
      <c r="CHP90" s="104"/>
      <c r="CHQ90" s="104"/>
      <c r="CHR90" s="104"/>
      <c r="CHS90" s="104"/>
      <c r="CHT90" s="104"/>
      <c r="CHU90" s="104"/>
      <c r="CHV90" s="104"/>
      <c r="CHW90" s="104"/>
      <c r="CHX90" s="104"/>
      <c r="CHY90" s="104"/>
      <c r="CHZ90" s="104"/>
      <c r="CIA90" s="104"/>
      <c r="CIB90" s="104"/>
      <c r="CIC90" s="104"/>
      <c r="CID90" s="104"/>
      <c r="CIE90" s="104"/>
      <c r="CIF90" s="104"/>
      <c r="CIG90" s="104"/>
      <c r="CIH90" s="104"/>
      <c r="CII90" s="104"/>
      <c r="CIJ90" s="104"/>
      <c r="CIK90" s="104"/>
      <c r="CIL90" s="104"/>
      <c r="CIM90" s="104"/>
      <c r="CIN90" s="104"/>
      <c r="CIO90" s="104"/>
      <c r="CIP90" s="104"/>
      <c r="CIQ90" s="104"/>
      <c r="CIR90" s="104"/>
      <c r="CIS90" s="104"/>
      <c r="CIT90" s="104"/>
      <c r="CIU90" s="104"/>
      <c r="CIV90" s="104"/>
      <c r="CIW90" s="104"/>
      <c r="CIX90" s="104"/>
      <c r="CIY90" s="104"/>
      <c r="CIZ90" s="104"/>
      <c r="CJA90" s="104"/>
      <c r="CJB90" s="104"/>
      <c r="CJC90" s="104"/>
      <c r="CJD90" s="104"/>
      <c r="CJE90" s="104"/>
      <c r="CJF90" s="104"/>
      <c r="CJG90" s="104"/>
      <c r="CJH90" s="104"/>
      <c r="CJI90" s="104"/>
      <c r="CJJ90" s="104"/>
      <c r="CJK90" s="104"/>
      <c r="CJL90" s="104"/>
      <c r="CJM90" s="104"/>
      <c r="CJN90" s="104"/>
      <c r="CJO90" s="104"/>
      <c r="CJP90" s="104"/>
      <c r="CJQ90" s="104"/>
      <c r="CJR90" s="104"/>
      <c r="CJS90" s="104"/>
      <c r="CJT90" s="104"/>
      <c r="CJU90" s="104"/>
      <c r="CJV90" s="104"/>
      <c r="CJW90" s="104"/>
      <c r="CJX90" s="104"/>
      <c r="CJY90" s="104"/>
      <c r="CJZ90" s="104"/>
      <c r="CKA90" s="104"/>
      <c r="CKB90" s="104"/>
      <c r="CKC90" s="104"/>
      <c r="CKD90" s="104"/>
      <c r="CKE90" s="104"/>
      <c r="CKF90" s="104"/>
      <c r="CKG90" s="104"/>
      <c r="CKH90" s="104"/>
      <c r="CKI90" s="104"/>
      <c r="CKJ90" s="104"/>
      <c r="CKK90" s="104"/>
      <c r="CKL90" s="104"/>
      <c r="CKM90" s="104"/>
      <c r="CKN90" s="104"/>
      <c r="CKO90" s="104"/>
      <c r="CKP90" s="104"/>
      <c r="CKQ90" s="104"/>
      <c r="CKR90" s="104"/>
      <c r="CKS90" s="104"/>
      <c r="CKT90" s="104"/>
      <c r="CKU90" s="104"/>
      <c r="CKV90" s="104"/>
      <c r="CKW90" s="104"/>
      <c r="CKX90" s="104"/>
      <c r="CKY90" s="104"/>
      <c r="CKZ90" s="104"/>
      <c r="CLA90" s="104"/>
      <c r="CLB90" s="104"/>
      <c r="CLC90" s="104"/>
      <c r="CLD90" s="104"/>
      <c r="CLE90" s="104"/>
      <c r="CLF90" s="104"/>
      <c r="CLG90" s="104"/>
      <c r="CLH90" s="104"/>
      <c r="CLI90" s="104"/>
      <c r="CLJ90" s="104"/>
      <c r="CLK90" s="104"/>
      <c r="CLL90" s="104"/>
      <c r="CLM90" s="104"/>
      <c r="CLN90" s="104"/>
      <c r="CLO90" s="104"/>
      <c r="CLP90" s="104"/>
      <c r="CLQ90" s="104"/>
      <c r="CLR90" s="104"/>
      <c r="CLS90" s="104"/>
      <c r="CLT90" s="104"/>
      <c r="CLU90" s="104"/>
      <c r="CLV90" s="104"/>
      <c r="CLW90" s="104"/>
      <c r="CLX90" s="104"/>
      <c r="CLY90" s="104"/>
      <c r="CLZ90" s="104"/>
      <c r="CMA90" s="104"/>
      <c r="CMB90" s="104"/>
      <c r="CMC90" s="104"/>
      <c r="CMD90" s="104"/>
      <c r="CME90" s="104"/>
      <c r="CMF90" s="104"/>
      <c r="CMG90" s="104"/>
      <c r="CMH90" s="104"/>
      <c r="CMI90" s="104"/>
      <c r="CMJ90" s="104"/>
      <c r="CMK90" s="104"/>
      <c r="CML90" s="104"/>
      <c r="CMM90" s="104"/>
      <c r="CMN90" s="104"/>
      <c r="CMO90" s="104"/>
      <c r="CMP90" s="104"/>
      <c r="CMQ90" s="104"/>
      <c r="CMR90" s="104"/>
      <c r="CMS90" s="104"/>
      <c r="CMT90" s="104"/>
      <c r="CMU90" s="104"/>
      <c r="CMV90" s="104"/>
      <c r="CMW90" s="104"/>
      <c r="CMX90" s="104"/>
      <c r="CMY90" s="104"/>
      <c r="CMZ90" s="104"/>
      <c r="CNA90" s="104"/>
      <c r="CNB90" s="104"/>
      <c r="CNC90" s="104"/>
      <c r="CND90" s="104"/>
      <c r="CNE90" s="104"/>
      <c r="CNF90" s="104"/>
      <c r="CNG90" s="104"/>
      <c r="CNH90" s="104"/>
      <c r="CNI90" s="104"/>
      <c r="CNJ90" s="104"/>
      <c r="CNK90" s="104"/>
      <c r="CNL90" s="104"/>
      <c r="CNM90" s="104"/>
      <c r="CNN90" s="104"/>
      <c r="CNO90" s="104"/>
      <c r="CNP90" s="104"/>
      <c r="CNQ90" s="104"/>
      <c r="CNR90" s="104"/>
      <c r="CNS90" s="104"/>
      <c r="CNT90" s="104"/>
      <c r="CNU90" s="104"/>
      <c r="CNV90" s="104"/>
      <c r="CNW90" s="104"/>
      <c r="CNX90" s="104"/>
      <c r="CNY90" s="104"/>
      <c r="CNZ90" s="104"/>
      <c r="COA90" s="104"/>
      <c r="COB90" s="104"/>
      <c r="COC90" s="104"/>
      <c r="COD90" s="104"/>
      <c r="COE90" s="104"/>
      <c r="COF90" s="104"/>
      <c r="COG90" s="104"/>
      <c r="COH90" s="104"/>
      <c r="COI90" s="104"/>
      <c r="COJ90" s="104"/>
      <c r="COK90" s="104"/>
      <c r="COL90" s="104"/>
      <c r="COM90" s="104"/>
      <c r="CON90" s="104"/>
      <c r="COO90" s="104"/>
      <c r="COP90" s="104"/>
      <c r="COQ90" s="104"/>
      <c r="COR90" s="104"/>
      <c r="COS90" s="104"/>
      <c r="COT90" s="104"/>
      <c r="COU90" s="104"/>
      <c r="COV90" s="104"/>
      <c r="COW90" s="104"/>
      <c r="COX90" s="104"/>
      <c r="COY90" s="104"/>
      <c r="COZ90" s="104"/>
      <c r="CPA90" s="104"/>
      <c r="CPB90" s="104"/>
      <c r="CPC90" s="104"/>
      <c r="CPD90" s="104"/>
      <c r="CPE90" s="104"/>
      <c r="CPF90" s="104"/>
      <c r="CPG90" s="104"/>
      <c r="CPH90" s="104"/>
      <c r="CPI90" s="104"/>
      <c r="CPJ90" s="104"/>
      <c r="CPK90" s="104"/>
      <c r="CPL90" s="104"/>
      <c r="CPM90" s="104"/>
      <c r="CPN90" s="104"/>
      <c r="CPO90" s="104"/>
      <c r="CPP90" s="104"/>
      <c r="CPQ90" s="104"/>
      <c r="CPR90" s="104"/>
      <c r="CPS90" s="104"/>
      <c r="CPT90" s="104"/>
      <c r="CPU90" s="104"/>
      <c r="CPV90" s="104"/>
      <c r="CPW90" s="104"/>
      <c r="CPX90" s="104"/>
      <c r="CPY90" s="104"/>
      <c r="CPZ90" s="104"/>
      <c r="CQA90" s="104"/>
      <c r="CQB90" s="104"/>
      <c r="CQC90" s="104"/>
      <c r="CQD90" s="104"/>
      <c r="CQE90" s="104"/>
      <c r="CQF90" s="104"/>
      <c r="CQG90" s="104"/>
      <c r="CQH90" s="104"/>
      <c r="CQI90" s="104"/>
      <c r="CQJ90" s="104"/>
      <c r="CQK90" s="104"/>
      <c r="CQL90" s="104"/>
      <c r="CQM90" s="104"/>
      <c r="CQN90" s="104"/>
      <c r="CQO90" s="104"/>
      <c r="CQP90" s="104"/>
      <c r="CQQ90" s="104"/>
      <c r="CQR90" s="104"/>
      <c r="CQS90" s="104"/>
      <c r="CQT90" s="104"/>
      <c r="CQU90" s="104"/>
      <c r="CQV90" s="104"/>
      <c r="CQW90" s="104"/>
      <c r="CQX90" s="104"/>
      <c r="CQY90" s="104"/>
      <c r="CQZ90" s="104"/>
      <c r="CRA90" s="104"/>
      <c r="CRB90" s="104"/>
      <c r="CRC90" s="104"/>
      <c r="CRD90" s="104"/>
      <c r="CRE90" s="104"/>
      <c r="CRF90" s="104"/>
      <c r="CRG90" s="104"/>
      <c r="CRH90" s="104"/>
      <c r="CRI90" s="104"/>
      <c r="CRJ90" s="104"/>
      <c r="CRK90" s="104"/>
      <c r="CRL90" s="104"/>
      <c r="CRM90" s="104"/>
      <c r="CRN90" s="104"/>
      <c r="CRO90" s="104"/>
      <c r="CRP90" s="104"/>
      <c r="CRQ90" s="104"/>
      <c r="CRR90" s="104"/>
      <c r="CRS90" s="104"/>
      <c r="CRT90" s="104"/>
      <c r="CRU90" s="104"/>
      <c r="CRV90" s="104"/>
      <c r="CRW90" s="104"/>
      <c r="CRX90" s="104"/>
      <c r="CRY90" s="104"/>
      <c r="CRZ90" s="104"/>
      <c r="CSA90" s="104"/>
      <c r="CSB90" s="104"/>
      <c r="CSC90" s="104"/>
      <c r="CSD90" s="104"/>
      <c r="CSE90" s="104"/>
      <c r="CSF90" s="104"/>
      <c r="CSG90" s="104"/>
      <c r="CSH90" s="104"/>
      <c r="CSI90" s="104"/>
      <c r="CSJ90" s="104"/>
      <c r="CSK90" s="104"/>
      <c r="CSL90" s="104"/>
      <c r="CSM90" s="104"/>
      <c r="CSN90" s="104"/>
      <c r="CSO90" s="104"/>
      <c r="CSP90" s="104"/>
      <c r="CSQ90" s="104"/>
      <c r="CSR90" s="104"/>
      <c r="CSS90" s="104"/>
      <c r="CST90" s="104"/>
      <c r="CSU90" s="104"/>
      <c r="CSV90" s="104"/>
      <c r="CSW90" s="104"/>
      <c r="CSX90" s="104"/>
      <c r="CSY90" s="104"/>
      <c r="CSZ90" s="104"/>
      <c r="CTA90" s="104"/>
      <c r="CTB90" s="104"/>
      <c r="CTC90" s="104"/>
      <c r="CTD90" s="104"/>
      <c r="CTE90" s="104"/>
      <c r="CTF90" s="104"/>
      <c r="CTG90" s="104"/>
      <c r="CTH90" s="104"/>
      <c r="CTI90" s="104"/>
      <c r="CTJ90" s="104"/>
      <c r="CTK90" s="104"/>
      <c r="CTL90" s="104"/>
      <c r="CTM90" s="104"/>
      <c r="CTN90" s="104"/>
      <c r="CTO90" s="104"/>
      <c r="CTP90" s="104"/>
      <c r="CTQ90" s="104"/>
      <c r="CTR90" s="104"/>
      <c r="CTS90" s="104"/>
      <c r="CTT90" s="104"/>
      <c r="CTU90" s="104"/>
      <c r="CTV90" s="104"/>
      <c r="CTW90" s="104"/>
      <c r="CTX90" s="104"/>
      <c r="CTY90" s="104"/>
      <c r="CTZ90" s="104"/>
      <c r="CUA90" s="104"/>
      <c r="CUB90" s="104"/>
      <c r="CUC90" s="104"/>
      <c r="CUD90" s="104"/>
      <c r="CUE90" s="104"/>
      <c r="CUF90" s="104"/>
      <c r="CUG90" s="104"/>
      <c r="CUH90" s="104"/>
      <c r="CUI90" s="104"/>
      <c r="CUJ90" s="104"/>
      <c r="CUK90" s="104"/>
      <c r="CUL90" s="104"/>
      <c r="CUM90" s="104"/>
      <c r="CUN90" s="104"/>
      <c r="CUO90" s="104"/>
      <c r="CUP90" s="104"/>
      <c r="CUQ90" s="104"/>
      <c r="CUR90" s="104"/>
      <c r="CUS90" s="104"/>
      <c r="CUT90" s="104"/>
      <c r="CUU90" s="104"/>
      <c r="CUV90" s="104"/>
      <c r="CUW90" s="104"/>
      <c r="CUX90" s="104"/>
      <c r="CUY90" s="104"/>
      <c r="CUZ90" s="104"/>
      <c r="CVA90" s="104"/>
      <c r="CVB90" s="104"/>
      <c r="CVC90" s="104"/>
      <c r="CVD90" s="104"/>
      <c r="CVE90" s="104"/>
      <c r="CVF90" s="104"/>
      <c r="CVG90" s="104"/>
      <c r="CVH90" s="104"/>
      <c r="CVI90" s="104"/>
      <c r="CVJ90" s="104"/>
      <c r="CVK90" s="104"/>
      <c r="CVL90" s="104"/>
      <c r="CVM90" s="104"/>
      <c r="CVN90" s="104"/>
      <c r="CVO90" s="104"/>
      <c r="CVP90" s="104"/>
      <c r="CVQ90" s="104"/>
      <c r="CVR90" s="104"/>
      <c r="CVS90" s="104"/>
      <c r="CVT90" s="104"/>
      <c r="CVU90" s="104"/>
      <c r="CVV90" s="104"/>
      <c r="CVW90" s="104"/>
      <c r="CVX90" s="104"/>
      <c r="CVY90" s="104"/>
      <c r="CVZ90" s="104"/>
      <c r="CWA90" s="104"/>
      <c r="CWB90" s="104"/>
      <c r="CWC90" s="104"/>
      <c r="CWD90" s="104"/>
      <c r="CWE90" s="104"/>
      <c r="CWF90" s="104"/>
      <c r="CWG90" s="104"/>
      <c r="CWH90" s="104"/>
      <c r="CWI90" s="104"/>
      <c r="CWJ90" s="104"/>
      <c r="CWK90" s="104"/>
      <c r="CWL90" s="104"/>
      <c r="CWM90" s="104"/>
      <c r="CWN90" s="104"/>
      <c r="CWO90" s="104"/>
      <c r="CWP90" s="104"/>
      <c r="CWQ90" s="104"/>
      <c r="CWR90" s="104"/>
      <c r="CWS90" s="104"/>
      <c r="CWT90" s="104"/>
      <c r="CWU90" s="104"/>
      <c r="CWV90" s="104"/>
      <c r="CWW90" s="104"/>
      <c r="CWX90" s="104"/>
      <c r="CWY90" s="104"/>
      <c r="CWZ90" s="104"/>
      <c r="CXA90" s="104"/>
      <c r="CXB90" s="104"/>
      <c r="CXC90" s="104"/>
      <c r="CXD90" s="104"/>
      <c r="CXE90" s="104"/>
      <c r="CXF90" s="104"/>
      <c r="CXG90" s="104"/>
      <c r="CXH90" s="104"/>
      <c r="CXI90" s="104"/>
      <c r="CXJ90" s="104"/>
      <c r="CXK90" s="104"/>
      <c r="CXL90" s="104"/>
      <c r="CXM90" s="104"/>
      <c r="CXN90" s="104"/>
      <c r="CXO90" s="104"/>
      <c r="CXP90" s="104"/>
      <c r="CXQ90" s="104"/>
      <c r="CXR90" s="104"/>
      <c r="CXS90" s="104"/>
      <c r="CXT90" s="104"/>
      <c r="CXU90" s="104"/>
      <c r="CXV90" s="104"/>
      <c r="CXW90" s="104"/>
      <c r="CXX90" s="104"/>
      <c r="CXY90" s="104"/>
      <c r="CXZ90" s="104"/>
      <c r="CYA90" s="104"/>
      <c r="CYB90" s="104"/>
      <c r="CYC90" s="104"/>
      <c r="CYD90" s="104"/>
      <c r="CYE90" s="104"/>
      <c r="CYF90" s="104"/>
      <c r="CYG90" s="104"/>
      <c r="CYH90" s="104"/>
      <c r="CYI90" s="104"/>
      <c r="CYJ90" s="104"/>
      <c r="CYK90" s="104"/>
      <c r="CYL90" s="104"/>
      <c r="CYM90" s="104"/>
      <c r="CYN90" s="104"/>
      <c r="CYO90" s="104"/>
      <c r="CYP90" s="104"/>
      <c r="CYQ90" s="104"/>
      <c r="CYR90" s="104"/>
      <c r="CYS90" s="104"/>
      <c r="CYT90" s="104"/>
      <c r="CYU90" s="104"/>
      <c r="CYV90" s="104"/>
      <c r="CYW90" s="104"/>
      <c r="CYX90" s="104"/>
      <c r="CYY90" s="104"/>
      <c r="CYZ90" s="104"/>
      <c r="CZA90" s="104"/>
      <c r="CZB90" s="104"/>
      <c r="CZC90" s="104"/>
      <c r="CZD90" s="104"/>
      <c r="CZE90" s="104"/>
      <c r="CZF90" s="104"/>
      <c r="CZG90" s="104"/>
      <c r="CZH90" s="104"/>
      <c r="CZI90" s="104"/>
      <c r="CZJ90" s="104"/>
      <c r="CZK90" s="104"/>
      <c r="CZL90" s="104"/>
      <c r="CZM90" s="104"/>
      <c r="CZN90" s="104"/>
      <c r="CZO90" s="104"/>
      <c r="CZP90" s="104"/>
      <c r="CZQ90" s="104"/>
      <c r="CZR90" s="104"/>
      <c r="CZS90" s="104"/>
      <c r="CZT90" s="104"/>
      <c r="CZU90" s="104"/>
      <c r="CZV90" s="104"/>
      <c r="CZW90" s="104"/>
      <c r="CZX90" s="104"/>
      <c r="CZY90" s="104"/>
      <c r="CZZ90" s="104"/>
      <c r="DAA90" s="104"/>
      <c r="DAB90" s="104"/>
      <c r="DAC90" s="104"/>
      <c r="DAD90" s="104"/>
      <c r="DAE90" s="104"/>
      <c r="DAF90" s="104"/>
      <c r="DAG90" s="104"/>
      <c r="DAH90" s="104"/>
      <c r="DAI90" s="104"/>
      <c r="DAJ90" s="104"/>
      <c r="DAK90" s="104"/>
      <c r="DAL90" s="104"/>
      <c r="DAM90" s="104"/>
      <c r="DAN90" s="104"/>
      <c r="DAO90" s="104"/>
      <c r="DAP90" s="104"/>
      <c r="DAQ90" s="104"/>
      <c r="DAR90" s="104"/>
      <c r="DAS90" s="104"/>
      <c r="DAT90" s="104"/>
      <c r="DAU90" s="104"/>
      <c r="DAV90" s="104"/>
      <c r="DAW90" s="104"/>
      <c r="DAX90" s="104"/>
      <c r="DAY90" s="104"/>
      <c r="DAZ90" s="104"/>
      <c r="DBA90" s="104"/>
      <c r="DBB90" s="104"/>
      <c r="DBC90" s="104"/>
      <c r="DBD90" s="104"/>
      <c r="DBE90" s="104"/>
      <c r="DBF90" s="104"/>
      <c r="DBG90" s="104"/>
      <c r="DBH90" s="104"/>
      <c r="DBI90" s="104"/>
      <c r="DBJ90" s="104"/>
      <c r="DBK90" s="104"/>
      <c r="DBL90" s="104"/>
      <c r="DBM90" s="104"/>
      <c r="DBN90" s="104"/>
      <c r="DBO90" s="104"/>
      <c r="DBP90" s="104"/>
      <c r="DBQ90" s="104"/>
      <c r="DBR90" s="104"/>
      <c r="DBS90" s="104"/>
      <c r="DBT90" s="104"/>
      <c r="DBU90" s="104"/>
      <c r="DBV90" s="104"/>
      <c r="DBW90" s="104"/>
      <c r="DBX90" s="104"/>
      <c r="DBY90" s="104"/>
      <c r="DBZ90" s="104"/>
      <c r="DCA90" s="104"/>
      <c r="DCB90" s="104"/>
      <c r="DCC90" s="104"/>
      <c r="DCD90" s="104"/>
      <c r="DCE90" s="104"/>
      <c r="DCF90" s="104"/>
      <c r="DCG90" s="104"/>
      <c r="DCH90" s="104"/>
      <c r="DCI90" s="104"/>
      <c r="DCJ90" s="104"/>
      <c r="DCK90" s="104"/>
      <c r="DCL90" s="104"/>
      <c r="DCM90" s="104"/>
      <c r="DCN90" s="104"/>
      <c r="DCO90" s="104"/>
      <c r="DCP90" s="104"/>
      <c r="DCQ90" s="104"/>
      <c r="DCR90" s="104"/>
      <c r="DCS90" s="104"/>
      <c r="DCT90" s="104"/>
      <c r="DCU90" s="104"/>
      <c r="DCV90" s="104"/>
      <c r="DCW90" s="104"/>
      <c r="DCX90" s="104"/>
      <c r="DCY90" s="104"/>
      <c r="DCZ90" s="104"/>
      <c r="DDA90" s="104"/>
      <c r="DDB90" s="104"/>
      <c r="DDC90" s="104"/>
      <c r="DDD90" s="104"/>
      <c r="DDE90" s="104"/>
      <c r="DDF90" s="104"/>
      <c r="DDG90" s="104"/>
      <c r="DDH90" s="104"/>
      <c r="DDI90" s="104"/>
      <c r="DDJ90" s="104"/>
      <c r="DDK90" s="104"/>
      <c r="DDL90" s="104"/>
      <c r="DDM90" s="104"/>
      <c r="DDN90" s="104"/>
      <c r="DDO90" s="104"/>
      <c r="DDP90" s="104"/>
      <c r="DDQ90" s="104"/>
      <c r="DDR90" s="104"/>
      <c r="DDS90" s="104"/>
      <c r="DDT90" s="104"/>
      <c r="DDU90" s="104"/>
      <c r="DDV90" s="104"/>
      <c r="DDW90" s="104"/>
      <c r="DDX90" s="104"/>
      <c r="DDY90" s="104"/>
      <c r="DDZ90" s="104"/>
      <c r="DEA90" s="104"/>
      <c r="DEB90" s="104"/>
      <c r="DEC90" s="104"/>
      <c r="DED90" s="104"/>
      <c r="DEE90" s="104"/>
      <c r="DEF90" s="104"/>
      <c r="DEG90" s="104"/>
      <c r="DEH90" s="104"/>
      <c r="DEI90" s="104"/>
      <c r="DEJ90" s="104"/>
      <c r="DEK90" s="104"/>
      <c r="DEL90" s="104"/>
      <c r="DEM90" s="104"/>
      <c r="DEN90" s="104"/>
      <c r="DEO90" s="104"/>
      <c r="DEP90" s="104"/>
      <c r="DEQ90" s="104"/>
      <c r="DER90" s="104"/>
      <c r="DES90" s="104"/>
      <c r="DET90" s="104"/>
      <c r="DEU90" s="104"/>
      <c r="DEV90" s="104"/>
      <c r="DEW90" s="104"/>
      <c r="DEX90" s="104"/>
      <c r="DEY90" s="104"/>
      <c r="DEZ90" s="104"/>
      <c r="DFA90" s="104"/>
      <c r="DFB90" s="104"/>
      <c r="DFC90" s="104"/>
      <c r="DFD90" s="104"/>
      <c r="DFE90" s="104"/>
      <c r="DFF90" s="104"/>
      <c r="DFG90" s="104"/>
      <c r="DFH90" s="104"/>
      <c r="DFI90" s="104"/>
      <c r="DFJ90" s="104"/>
      <c r="DFK90" s="104"/>
      <c r="DFL90" s="104"/>
      <c r="DFM90" s="104"/>
      <c r="DFN90" s="104"/>
      <c r="DFO90" s="104"/>
      <c r="DFP90" s="104"/>
      <c r="DFQ90" s="104"/>
      <c r="DFR90" s="104"/>
      <c r="DFS90" s="104"/>
      <c r="DFT90" s="104"/>
      <c r="DFU90" s="104"/>
      <c r="DFV90" s="104"/>
      <c r="DFW90" s="104"/>
      <c r="DFX90" s="104"/>
      <c r="DFY90" s="104"/>
      <c r="DFZ90" s="104"/>
      <c r="DGA90" s="104"/>
      <c r="DGB90" s="104"/>
      <c r="DGC90" s="104"/>
      <c r="DGD90" s="104"/>
      <c r="DGE90" s="104"/>
      <c r="DGF90" s="104"/>
      <c r="DGG90" s="104"/>
      <c r="DGH90" s="104"/>
      <c r="DGI90" s="104"/>
      <c r="DGJ90" s="104"/>
      <c r="DGK90" s="104"/>
      <c r="DGL90" s="104"/>
      <c r="DGM90" s="104"/>
      <c r="DGN90" s="104"/>
      <c r="DGO90" s="104"/>
      <c r="DGP90" s="104"/>
      <c r="DGQ90" s="104"/>
      <c r="DGR90" s="104"/>
      <c r="DGS90" s="104"/>
      <c r="DGT90" s="104"/>
      <c r="DGU90" s="104"/>
      <c r="DGV90" s="104"/>
      <c r="DGW90" s="104"/>
      <c r="DGX90" s="104"/>
      <c r="DGY90" s="104"/>
      <c r="DGZ90" s="104"/>
      <c r="DHA90" s="104"/>
      <c r="DHB90" s="104"/>
      <c r="DHC90" s="104"/>
      <c r="DHD90" s="104"/>
      <c r="DHE90" s="104"/>
      <c r="DHF90" s="104"/>
      <c r="DHG90" s="104"/>
      <c r="DHH90" s="104"/>
      <c r="DHI90" s="104"/>
      <c r="DHJ90" s="104"/>
      <c r="DHK90" s="104"/>
      <c r="DHL90" s="104"/>
      <c r="DHM90" s="104"/>
      <c r="DHN90" s="104"/>
      <c r="DHO90" s="104"/>
      <c r="DHP90" s="104"/>
      <c r="DHQ90" s="104"/>
      <c r="DHR90" s="104"/>
      <c r="DHS90" s="104"/>
      <c r="DHT90" s="104"/>
      <c r="DHU90" s="104"/>
      <c r="DHV90" s="104"/>
      <c r="DHW90" s="104"/>
      <c r="DHX90" s="104"/>
      <c r="DHY90" s="104"/>
      <c r="DHZ90" s="104"/>
      <c r="DIA90" s="104"/>
      <c r="DIB90" s="104"/>
      <c r="DIC90" s="104"/>
      <c r="DID90" s="104"/>
      <c r="DIE90" s="104"/>
      <c r="DIF90" s="104"/>
      <c r="DIG90" s="104"/>
      <c r="DIH90" s="104"/>
      <c r="DII90" s="104"/>
      <c r="DIJ90" s="104"/>
      <c r="DIK90" s="104"/>
      <c r="DIL90" s="104"/>
      <c r="DIM90" s="104"/>
      <c r="DIN90" s="104"/>
      <c r="DIO90" s="104"/>
      <c r="DIP90" s="104"/>
      <c r="DIQ90" s="104"/>
      <c r="DIR90" s="104"/>
      <c r="DIS90" s="104"/>
      <c r="DIT90" s="104"/>
      <c r="DIU90" s="104"/>
      <c r="DIV90" s="104"/>
      <c r="DIW90" s="104"/>
      <c r="DIX90" s="104"/>
      <c r="DIY90" s="104"/>
      <c r="DIZ90" s="104"/>
      <c r="DJA90" s="104"/>
      <c r="DJB90" s="104"/>
      <c r="DJC90" s="104"/>
      <c r="DJD90" s="104"/>
      <c r="DJE90" s="104"/>
      <c r="DJF90" s="104"/>
      <c r="DJG90" s="104"/>
      <c r="DJH90" s="104"/>
      <c r="DJI90" s="104"/>
      <c r="DJJ90" s="104"/>
      <c r="DJK90" s="104"/>
      <c r="DJL90" s="104"/>
      <c r="DJM90" s="104"/>
      <c r="DJN90" s="104"/>
      <c r="DJO90" s="104"/>
      <c r="DJP90" s="104"/>
      <c r="DJQ90" s="104"/>
      <c r="DJR90" s="104"/>
      <c r="DJS90" s="104"/>
      <c r="DJT90" s="104"/>
      <c r="DJU90" s="104"/>
      <c r="DJV90" s="104"/>
      <c r="DJW90" s="104"/>
      <c r="DJX90" s="104"/>
      <c r="DJY90" s="104"/>
      <c r="DJZ90" s="104"/>
      <c r="DKA90" s="104"/>
      <c r="DKB90" s="104"/>
      <c r="DKC90" s="104"/>
      <c r="DKD90" s="104"/>
      <c r="DKE90" s="104"/>
      <c r="DKF90" s="104"/>
      <c r="DKG90" s="104"/>
      <c r="DKH90" s="104"/>
      <c r="DKI90" s="104"/>
      <c r="DKJ90" s="104"/>
      <c r="DKK90" s="104"/>
      <c r="DKL90" s="104"/>
      <c r="DKM90" s="104"/>
      <c r="DKN90" s="104"/>
      <c r="DKO90" s="104"/>
      <c r="DKP90" s="104"/>
      <c r="DKQ90" s="104"/>
      <c r="DKR90" s="104"/>
      <c r="DKS90" s="104"/>
      <c r="DKT90" s="104"/>
      <c r="DKU90" s="104"/>
      <c r="DKV90" s="104"/>
      <c r="DKW90" s="104"/>
      <c r="DKX90" s="104"/>
      <c r="DKY90" s="104"/>
      <c r="DKZ90" s="104"/>
      <c r="DLA90" s="104"/>
      <c r="DLB90" s="104"/>
      <c r="DLC90" s="104"/>
      <c r="DLD90" s="104"/>
      <c r="DLE90" s="104"/>
      <c r="DLF90" s="104"/>
      <c r="DLG90" s="104"/>
      <c r="DLH90" s="104"/>
      <c r="DLI90" s="104"/>
      <c r="DLJ90" s="104"/>
      <c r="DLK90" s="104"/>
      <c r="DLL90" s="104"/>
      <c r="DLM90" s="104"/>
      <c r="DLN90" s="104"/>
      <c r="DLO90" s="104"/>
      <c r="DLP90" s="104"/>
      <c r="DLQ90" s="104"/>
      <c r="DLR90" s="104"/>
      <c r="DLS90" s="104"/>
      <c r="DLT90" s="104"/>
      <c r="DLU90" s="104"/>
      <c r="DLV90" s="104"/>
      <c r="DLW90" s="104"/>
      <c r="DLX90" s="104"/>
      <c r="DLY90" s="104"/>
      <c r="DLZ90" s="104"/>
      <c r="DMA90" s="104"/>
      <c r="DMB90" s="104"/>
      <c r="DMC90" s="104"/>
      <c r="DMD90" s="104"/>
      <c r="DME90" s="104"/>
      <c r="DMF90" s="104"/>
      <c r="DMG90" s="104"/>
      <c r="DMH90" s="104"/>
      <c r="DMI90" s="104"/>
      <c r="DMJ90" s="104"/>
      <c r="DMK90" s="104"/>
      <c r="DML90" s="104"/>
      <c r="DMM90" s="104"/>
      <c r="DMN90" s="104"/>
      <c r="DMO90" s="104"/>
      <c r="DMP90" s="104"/>
      <c r="DMQ90" s="104"/>
      <c r="DMR90" s="104"/>
      <c r="DMS90" s="104"/>
      <c r="DMT90" s="104"/>
      <c r="DMU90" s="104"/>
      <c r="DMV90" s="104"/>
      <c r="DMW90" s="104"/>
      <c r="DMX90" s="104"/>
      <c r="DMY90" s="104"/>
      <c r="DMZ90" s="104"/>
      <c r="DNA90" s="104"/>
      <c r="DNB90" s="104"/>
      <c r="DNC90" s="104"/>
      <c r="DND90" s="104"/>
      <c r="DNE90" s="104"/>
      <c r="DNF90" s="104"/>
      <c r="DNG90" s="104"/>
      <c r="DNH90" s="104"/>
      <c r="DNI90" s="104"/>
      <c r="DNJ90" s="104"/>
      <c r="DNK90" s="104"/>
      <c r="DNL90" s="104"/>
      <c r="DNM90" s="104"/>
      <c r="DNN90" s="104"/>
      <c r="DNO90" s="104"/>
      <c r="DNP90" s="104"/>
      <c r="DNQ90" s="104"/>
      <c r="DNR90" s="104"/>
      <c r="DNS90" s="104"/>
      <c r="DNT90" s="104"/>
      <c r="DNU90" s="104"/>
      <c r="DNV90" s="104"/>
      <c r="DNW90" s="104"/>
      <c r="DNX90" s="104"/>
      <c r="DNY90" s="104"/>
      <c r="DNZ90" s="104"/>
      <c r="DOA90" s="104"/>
      <c r="DOB90" s="104"/>
      <c r="DOC90" s="104"/>
      <c r="DOD90" s="104"/>
      <c r="DOE90" s="104"/>
      <c r="DOF90" s="104"/>
      <c r="DOG90" s="104"/>
      <c r="DOH90" s="104"/>
      <c r="DOI90" s="104"/>
      <c r="DOJ90" s="104"/>
      <c r="DOK90" s="104"/>
      <c r="DOL90" s="104"/>
      <c r="DOM90" s="104"/>
      <c r="DON90" s="104"/>
      <c r="DOO90" s="104"/>
      <c r="DOP90" s="104"/>
      <c r="DOQ90" s="104"/>
      <c r="DOR90" s="104"/>
      <c r="DOS90" s="104"/>
      <c r="DOT90" s="104"/>
      <c r="DOU90" s="104"/>
      <c r="DOV90" s="104"/>
      <c r="DOW90" s="104"/>
      <c r="DOX90" s="104"/>
      <c r="DOY90" s="104"/>
      <c r="DOZ90" s="104"/>
      <c r="DPA90" s="104"/>
      <c r="DPB90" s="104"/>
      <c r="DPC90" s="104"/>
      <c r="DPD90" s="104"/>
      <c r="DPE90" s="104"/>
      <c r="DPF90" s="104"/>
      <c r="DPG90" s="104"/>
      <c r="DPH90" s="104"/>
      <c r="DPI90" s="104"/>
      <c r="DPJ90" s="104"/>
      <c r="DPK90" s="104"/>
      <c r="DPL90" s="104"/>
      <c r="DPM90" s="104"/>
      <c r="DPN90" s="104"/>
      <c r="DPO90" s="104"/>
      <c r="DPP90" s="104"/>
      <c r="DPQ90" s="104"/>
      <c r="DPR90" s="104"/>
      <c r="DPS90" s="104"/>
      <c r="DPT90" s="104"/>
      <c r="DPU90" s="104"/>
      <c r="DPV90" s="104"/>
      <c r="DPW90" s="104"/>
      <c r="DPX90" s="104"/>
      <c r="DPY90" s="104"/>
      <c r="DPZ90" s="104"/>
      <c r="DQA90" s="104"/>
      <c r="DQB90" s="104"/>
      <c r="DQC90" s="104"/>
      <c r="DQD90" s="104"/>
      <c r="DQE90" s="104"/>
      <c r="DQF90" s="104"/>
      <c r="DQG90" s="104"/>
      <c r="DQH90" s="104"/>
      <c r="DQI90" s="104"/>
      <c r="DQJ90" s="104"/>
      <c r="DQK90" s="104"/>
      <c r="DQL90" s="104"/>
      <c r="DQM90" s="104"/>
      <c r="DQN90" s="104"/>
      <c r="DQO90" s="104"/>
      <c r="DQP90" s="104"/>
      <c r="DQQ90" s="104"/>
      <c r="DQR90" s="104"/>
      <c r="DQS90" s="104"/>
      <c r="DQT90" s="104"/>
      <c r="DQU90" s="104"/>
      <c r="DQV90" s="104"/>
      <c r="DQW90" s="104"/>
      <c r="DQX90" s="104"/>
      <c r="DQY90" s="104"/>
      <c r="DQZ90" s="104"/>
      <c r="DRA90" s="104"/>
      <c r="DRB90" s="104"/>
      <c r="DRC90" s="104"/>
      <c r="DRD90" s="104"/>
      <c r="DRE90" s="104"/>
      <c r="DRF90" s="104"/>
      <c r="DRG90" s="104"/>
      <c r="DRH90" s="104"/>
      <c r="DRI90" s="104"/>
      <c r="DRJ90" s="104"/>
      <c r="DRK90" s="104"/>
      <c r="DRL90" s="104"/>
      <c r="DRM90" s="104"/>
      <c r="DRN90" s="104"/>
      <c r="DRO90" s="104"/>
      <c r="DRP90" s="104"/>
      <c r="DRQ90" s="104"/>
      <c r="DRR90" s="104"/>
      <c r="DRS90" s="104"/>
      <c r="DRT90" s="104"/>
      <c r="DRU90" s="104"/>
      <c r="DRV90" s="104"/>
      <c r="DRW90" s="104"/>
      <c r="DRX90" s="104"/>
      <c r="DRY90" s="104"/>
      <c r="DRZ90" s="104"/>
      <c r="DSA90" s="104"/>
      <c r="DSB90" s="104"/>
      <c r="DSC90" s="104"/>
      <c r="DSD90" s="104"/>
      <c r="DSE90" s="104"/>
      <c r="DSF90" s="104"/>
      <c r="DSG90" s="104"/>
      <c r="DSH90" s="104"/>
      <c r="DSI90" s="104"/>
      <c r="DSJ90" s="104"/>
      <c r="DSK90" s="104"/>
      <c r="DSL90" s="104"/>
      <c r="DSM90" s="104"/>
      <c r="DSN90" s="104"/>
      <c r="DSO90" s="104"/>
      <c r="DSP90" s="104"/>
      <c r="DSQ90" s="104"/>
      <c r="DSR90" s="104"/>
      <c r="DSS90" s="104"/>
      <c r="DST90" s="104"/>
      <c r="DSU90" s="104"/>
      <c r="DSV90" s="104"/>
      <c r="DSW90" s="104"/>
      <c r="DSX90" s="104"/>
      <c r="DSY90" s="104"/>
      <c r="DSZ90" s="104"/>
      <c r="DTA90" s="104"/>
      <c r="DTB90" s="104"/>
      <c r="DTC90" s="104"/>
      <c r="DTD90" s="104"/>
      <c r="DTE90" s="104"/>
      <c r="DTF90" s="104"/>
      <c r="DTG90" s="104"/>
      <c r="DTH90" s="104"/>
      <c r="DTI90" s="104"/>
      <c r="DTJ90" s="104"/>
      <c r="DTK90" s="104"/>
      <c r="DTL90" s="104"/>
      <c r="DTM90" s="104"/>
      <c r="DTN90" s="104"/>
      <c r="DTO90" s="104"/>
      <c r="DTP90" s="104"/>
      <c r="DTQ90" s="104"/>
      <c r="DTR90" s="104"/>
      <c r="DTS90" s="104"/>
      <c r="DTT90" s="104"/>
      <c r="DTU90" s="104"/>
      <c r="DTV90" s="104"/>
      <c r="DTW90" s="104"/>
      <c r="DTX90" s="104"/>
      <c r="DTY90" s="104"/>
      <c r="DTZ90" s="104"/>
      <c r="DUA90" s="104"/>
      <c r="DUB90" s="104"/>
      <c r="DUC90" s="104"/>
      <c r="DUD90" s="104"/>
      <c r="DUE90" s="104"/>
      <c r="DUF90" s="104"/>
      <c r="DUG90" s="104"/>
      <c r="DUH90" s="104"/>
      <c r="DUI90" s="104"/>
      <c r="DUJ90" s="104"/>
      <c r="DUK90" s="104"/>
      <c r="DUL90" s="104"/>
      <c r="DUM90" s="104"/>
      <c r="DUN90" s="104"/>
      <c r="DUO90" s="104"/>
      <c r="DUP90" s="104"/>
      <c r="DUQ90" s="104"/>
      <c r="DUR90" s="104"/>
      <c r="DUS90" s="104"/>
      <c r="DUT90" s="104"/>
      <c r="DUU90" s="104"/>
      <c r="DUV90" s="104"/>
      <c r="DUW90" s="104"/>
      <c r="DUX90" s="104"/>
      <c r="DUY90" s="104"/>
      <c r="DUZ90" s="104"/>
      <c r="DVA90" s="104"/>
      <c r="DVB90" s="104"/>
      <c r="DVC90" s="104"/>
      <c r="DVD90" s="104"/>
      <c r="DVE90" s="104"/>
      <c r="DVF90" s="104"/>
      <c r="DVG90" s="104"/>
      <c r="DVH90" s="104"/>
      <c r="DVI90" s="104"/>
      <c r="DVJ90" s="104"/>
      <c r="DVK90" s="104"/>
      <c r="DVL90" s="104"/>
      <c r="DVM90" s="104"/>
      <c r="DVN90" s="104"/>
      <c r="DVO90" s="104"/>
      <c r="DVP90" s="104"/>
      <c r="DVQ90" s="104"/>
      <c r="DVR90" s="104"/>
      <c r="DVS90" s="104"/>
      <c r="DVT90" s="104"/>
      <c r="DVU90" s="104"/>
      <c r="DVV90" s="104"/>
      <c r="DVW90" s="104"/>
      <c r="DVX90" s="104"/>
      <c r="DVY90" s="104"/>
      <c r="DVZ90" s="104"/>
      <c r="DWA90" s="104"/>
      <c r="DWB90" s="104"/>
      <c r="DWC90" s="104"/>
      <c r="DWD90" s="104"/>
      <c r="DWE90" s="104"/>
      <c r="DWF90" s="104"/>
      <c r="DWG90" s="104"/>
      <c r="DWH90" s="104"/>
      <c r="DWI90" s="104"/>
      <c r="DWJ90" s="104"/>
      <c r="DWK90" s="104"/>
      <c r="DWL90" s="104"/>
      <c r="DWM90" s="104"/>
      <c r="DWN90" s="104"/>
      <c r="DWO90" s="104"/>
      <c r="DWP90" s="104"/>
      <c r="DWQ90" s="104"/>
      <c r="DWR90" s="104"/>
      <c r="DWS90" s="104"/>
      <c r="DWT90" s="104"/>
      <c r="DWU90" s="104"/>
      <c r="DWV90" s="104"/>
      <c r="DWW90" s="104"/>
      <c r="DWX90" s="104"/>
      <c r="DWY90" s="104"/>
      <c r="DWZ90" s="104"/>
      <c r="DXA90" s="104"/>
      <c r="DXB90" s="104"/>
      <c r="DXC90" s="104"/>
      <c r="DXD90" s="104"/>
      <c r="DXE90" s="104"/>
      <c r="DXF90" s="104"/>
      <c r="DXG90" s="104"/>
      <c r="DXH90" s="104"/>
      <c r="DXI90" s="104"/>
      <c r="DXJ90" s="104"/>
      <c r="DXK90" s="104"/>
      <c r="DXL90" s="104"/>
      <c r="DXM90" s="104"/>
      <c r="DXN90" s="104"/>
      <c r="DXO90" s="104"/>
      <c r="DXP90" s="104"/>
      <c r="DXQ90" s="104"/>
      <c r="DXR90" s="104"/>
      <c r="DXS90" s="104"/>
      <c r="DXT90" s="104"/>
      <c r="DXU90" s="104"/>
      <c r="DXV90" s="104"/>
      <c r="DXW90" s="104"/>
      <c r="DXX90" s="104"/>
      <c r="DXY90" s="104"/>
      <c r="DXZ90" s="104"/>
      <c r="DYA90" s="104"/>
      <c r="DYB90" s="104"/>
      <c r="DYC90" s="104"/>
      <c r="DYD90" s="104"/>
      <c r="DYE90" s="104"/>
      <c r="DYF90" s="104"/>
      <c r="DYG90" s="104"/>
      <c r="DYH90" s="104"/>
      <c r="DYI90" s="104"/>
      <c r="DYJ90" s="104"/>
      <c r="DYK90" s="104"/>
      <c r="DYL90" s="104"/>
      <c r="DYM90" s="104"/>
      <c r="DYN90" s="104"/>
      <c r="DYO90" s="104"/>
      <c r="DYP90" s="104"/>
      <c r="DYQ90" s="104"/>
      <c r="DYR90" s="104"/>
      <c r="DYS90" s="104"/>
      <c r="DYT90" s="104"/>
      <c r="DYU90" s="104"/>
      <c r="DYV90" s="104"/>
      <c r="DYW90" s="104"/>
      <c r="DYX90" s="104"/>
      <c r="DYY90" s="104"/>
      <c r="DYZ90" s="104"/>
      <c r="DZA90" s="104"/>
      <c r="DZB90" s="104"/>
      <c r="DZC90" s="104"/>
      <c r="DZD90" s="104"/>
      <c r="DZE90" s="104"/>
      <c r="DZF90" s="104"/>
      <c r="DZG90" s="104"/>
      <c r="DZH90" s="104"/>
      <c r="DZI90" s="104"/>
      <c r="DZJ90" s="104"/>
      <c r="DZK90" s="104"/>
      <c r="DZL90" s="104"/>
      <c r="DZM90" s="104"/>
      <c r="DZN90" s="104"/>
      <c r="DZO90" s="104"/>
      <c r="DZP90" s="104"/>
      <c r="DZQ90" s="104"/>
      <c r="DZR90" s="104"/>
      <c r="DZS90" s="104"/>
      <c r="DZT90" s="104"/>
      <c r="DZU90" s="104"/>
      <c r="DZV90" s="104"/>
      <c r="DZW90" s="104"/>
      <c r="DZX90" s="104"/>
      <c r="DZY90" s="104"/>
      <c r="DZZ90" s="104"/>
      <c r="EAA90" s="104"/>
      <c r="EAB90" s="104"/>
      <c r="EAC90" s="104"/>
      <c r="EAD90" s="104"/>
      <c r="EAE90" s="104"/>
      <c r="EAF90" s="104"/>
      <c r="EAG90" s="104"/>
      <c r="EAH90" s="104"/>
      <c r="EAI90" s="104"/>
      <c r="EAJ90" s="104"/>
      <c r="EAK90" s="104"/>
      <c r="EAL90" s="104"/>
      <c r="EAM90" s="104"/>
      <c r="EAN90" s="104"/>
      <c r="EAO90" s="104"/>
      <c r="EAP90" s="104"/>
      <c r="EAQ90" s="104"/>
      <c r="EAR90" s="104"/>
      <c r="EAS90" s="104"/>
      <c r="EAT90" s="104"/>
      <c r="EAU90" s="104"/>
      <c r="EAV90" s="104"/>
      <c r="EAW90" s="104"/>
      <c r="EAX90" s="104"/>
      <c r="EAY90" s="104"/>
      <c r="EAZ90" s="104"/>
      <c r="EBA90" s="104"/>
      <c r="EBB90" s="104"/>
      <c r="EBC90" s="104"/>
      <c r="EBD90" s="104"/>
      <c r="EBE90" s="104"/>
      <c r="EBF90" s="104"/>
      <c r="EBG90" s="104"/>
      <c r="EBH90" s="104"/>
      <c r="EBI90" s="104"/>
      <c r="EBJ90" s="104"/>
      <c r="EBK90" s="104"/>
      <c r="EBL90" s="104"/>
      <c r="EBM90" s="104"/>
      <c r="EBN90" s="104"/>
      <c r="EBO90" s="104"/>
      <c r="EBP90" s="104"/>
      <c r="EBQ90" s="104"/>
      <c r="EBR90" s="104"/>
      <c r="EBS90" s="104"/>
      <c r="EBT90" s="104"/>
      <c r="EBU90" s="104"/>
      <c r="EBV90" s="104"/>
      <c r="EBW90" s="104"/>
      <c r="EBX90" s="104"/>
      <c r="EBY90" s="104"/>
      <c r="EBZ90" s="104"/>
      <c r="ECA90" s="104"/>
      <c r="ECB90" s="104"/>
      <c r="ECC90" s="104"/>
      <c r="ECD90" s="104"/>
      <c r="ECE90" s="104"/>
      <c r="ECF90" s="104"/>
      <c r="ECG90" s="104"/>
      <c r="ECH90" s="104"/>
      <c r="ECI90" s="104"/>
      <c r="ECJ90" s="104"/>
      <c r="ECK90" s="104"/>
      <c r="ECL90" s="104"/>
      <c r="ECM90" s="104"/>
      <c r="ECN90" s="104"/>
      <c r="ECO90" s="104"/>
      <c r="ECP90" s="104"/>
      <c r="ECQ90" s="104"/>
      <c r="ECR90" s="104"/>
      <c r="ECS90" s="104"/>
      <c r="ECT90" s="104"/>
      <c r="ECU90" s="104"/>
      <c r="ECV90" s="104"/>
      <c r="ECW90" s="104"/>
      <c r="ECX90" s="104"/>
      <c r="ECY90" s="104"/>
      <c r="ECZ90" s="104"/>
      <c r="EDA90" s="104"/>
      <c r="EDB90" s="104"/>
      <c r="EDC90" s="104"/>
      <c r="EDD90" s="104"/>
      <c r="EDE90" s="104"/>
      <c r="EDF90" s="104"/>
      <c r="EDG90" s="104"/>
      <c r="EDH90" s="104"/>
      <c r="EDI90" s="104"/>
      <c r="EDJ90" s="104"/>
      <c r="EDK90" s="104"/>
      <c r="EDL90" s="104"/>
      <c r="EDM90" s="104"/>
      <c r="EDN90" s="104"/>
      <c r="EDO90" s="104"/>
      <c r="EDP90" s="104"/>
      <c r="EDQ90" s="104"/>
      <c r="EDR90" s="104"/>
      <c r="EDS90" s="104"/>
      <c r="EDT90" s="104"/>
      <c r="EDU90" s="104"/>
      <c r="EDV90" s="104"/>
      <c r="EDW90" s="104"/>
      <c r="EDX90" s="104"/>
      <c r="EDY90" s="104"/>
      <c r="EDZ90" s="104"/>
      <c r="EEA90" s="104"/>
      <c r="EEB90" s="104"/>
      <c r="EEC90" s="104"/>
      <c r="EED90" s="104"/>
      <c r="EEE90" s="104"/>
      <c r="EEF90" s="104"/>
      <c r="EEG90" s="104"/>
      <c r="EEH90" s="104"/>
      <c r="EEI90" s="104"/>
      <c r="EEJ90" s="104"/>
      <c r="EEK90" s="104"/>
      <c r="EEL90" s="104"/>
      <c r="EEM90" s="104"/>
      <c r="EEN90" s="104"/>
      <c r="EEO90" s="104"/>
      <c r="EEP90" s="104"/>
      <c r="EEQ90" s="104"/>
      <c r="EER90" s="104"/>
      <c r="EES90" s="104"/>
      <c r="EET90" s="104"/>
      <c r="EEU90" s="104"/>
      <c r="EEV90" s="104"/>
      <c r="EEW90" s="104"/>
      <c r="EEX90" s="104"/>
      <c r="EEY90" s="104"/>
      <c r="EEZ90" s="104"/>
      <c r="EFA90" s="104"/>
      <c r="EFB90" s="104"/>
      <c r="EFC90" s="104"/>
      <c r="EFD90" s="104"/>
      <c r="EFE90" s="104"/>
      <c r="EFF90" s="104"/>
      <c r="EFG90" s="104"/>
      <c r="EFH90" s="104"/>
      <c r="EFI90" s="104"/>
      <c r="EFJ90" s="104"/>
      <c r="EFK90" s="104"/>
      <c r="EFL90" s="104"/>
      <c r="EFM90" s="104"/>
      <c r="EFN90" s="104"/>
      <c r="EFO90" s="104"/>
      <c r="EFP90" s="104"/>
      <c r="EFQ90" s="104"/>
      <c r="EFR90" s="104"/>
      <c r="EFS90" s="104"/>
      <c r="EFT90" s="104"/>
      <c r="EFU90" s="104"/>
      <c r="EFV90" s="104"/>
      <c r="EFW90" s="104"/>
      <c r="EFX90" s="104"/>
      <c r="EFY90" s="104"/>
      <c r="EFZ90" s="104"/>
      <c r="EGA90" s="104"/>
      <c r="EGB90" s="104"/>
      <c r="EGC90" s="104"/>
      <c r="EGD90" s="104"/>
      <c r="EGE90" s="104"/>
      <c r="EGF90" s="104"/>
      <c r="EGG90" s="104"/>
      <c r="EGH90" s="104"/>
      <c r="EGI90" s="104"/>
      <c r="EGJ90" s="104"/>
      <c r="EGK90" s="104"/>
      <c r="EGL90" s="104"/>
      <c r="EGM90" s="104"/>
      <c r="EGN90" s="104"/>
      <c r="EGO90" s="104"/>
      <c r="EGP90" s="104"/>
      <c r="EGQ90" s="104"/>
      <c r="EGR90" s="104"/>
      <c r="EGS90" s="104"/>
      <c r="EGT90" s="104"/>
      <c r="EGU90" s="104"/>
      <c r="EGV90" s="104"/>
      <c r="EGW90" s="104"/>
      <c r="EGX90" s="104"/>
      <c r="EGY90" s="104"/>
      <c r="EGZ90" s="104"/>
      <c r="EHA90" s="104"/>
      <c r="EHB90" s="104"/>
      <c r="EHC90" s="104"/>
      <c r="EHD90" s="104"/>
      <c r="EHE90" s="104"/>
      <c r="EHF90" s="104"/>
      <c r="EHG90" s="104"/>
      <c r="EHH90" s="104"/>
      <c r="EHI90" s="104"/>
      <c r="EHJ90" s="104"/>
      <c r="EHK90" s="104"/>
      <c r="EHL90" s="104"/>
      <c r="EHM90" s="104"/>
      <c r="EHN90" s="104"/>
      <c r="EHO90" s="104"/>
      <c r="EHP90" s="104"/>
      <c r="EHQ90" s="104"/>
      <c r="EHR90" s="104"/>
      <c r="EHS90" s="104"/>
      <c r="EHT90" s="104"/>
      <c r="EHU90" s="104"/>
      <c r="EHV90" s="104"/>
      <c r="EHW90" s="104"/>
      <c r="EHX90" s="104"/>
      <c r="EHY90" s="104"/>
      <c r="EHZ90" s="104"/>
      <c r="EIA90" s="104"/>
      <c r="EIB90" s="104"/>
      <c r="EIC90" s="104"/>
      <c r="EID90" s="104"/>
      <c r="EIE90" s="104"/>
      <c r="EIF90" s="104"/>
      <c r="EIG90" s="104"/>
      <c r="EIH90" s="104"/>
      <c r="EII90" s="104"/>
      <c r="EIJ90" s="104"/>
      <c r="EIK90" s="104"/>
      <c r="EIL90" s="104"/>
      <c r="EIM90" s="104"/>
      <c r="EIN90" s="104"/>
      <c r="EIO90" s="104"/>
      <c r="EIP90" s="104"/>
      <c r="EIQ90" s="104"/>
      <c r="EIR90" s="104"/>
      <c r="EIS90" s="104"/>
      <c r="EIT90" s="104"/>
      <c r="EIU90" s="104"/>
      <c r="EIV90" s="104"/>
      <c r="EIW90" s="104"/>
      <c r="EIX90" s="104"/>
      <c r="EIY90" s="104"/>
      <c r="EIZ90" s="104"/>
      <c r="EJA90" s="104"/>
      <c r="EJB90" s="104"/>
      <c r="EJC90" s="104"/>
      <c r="EJD90" s="104"/>
      <c r="EJE90" s="104"/>
      <c r="EJF90" s="104"/>
      <c r="EJG90" s="104"/>
      <c r="EJH90" s="104"/>
      <c r="EJI90" s="104"/>
      <c r="EJJ90" s="104"/>
      <c r="EJK90" s="104"/>
      <c r="EJL90" s="104"/>
      <c r="EJM90" s="104"/>
      <c r="EJN90" s="104"/>
      <c r="EJO90" s="104"/>
      <c r="EJP90" s="104"/>
      <c r="EJQ90" s="104"/>
      <c r="EJR90" s="104"/>
      <c r="EJS90" s="104"/>
      <c r="EJT90" s="104"/>
      <c r="EJU90" s="104"/>
      <c r="EJV90" s="104"/>
      <c r="EJW90" s="104"/>
      <c r="EJX90" s="104"/>
      <c r="EJY90" s="104"/>
      <c r="EJZ90" s="104"/>
      <c r="EKA90" s="104"/>
      <c r="EKB90" s="104"/>
      <c r="EKC90" s="104"/>
      <c r="EKD90" s="104"/>
      <c r="EKE90" s="104"/>
      <c r="EKF90" s="104"/>
      <c r="EKG90" s="104"/>
      <c r="EKH90" s="104"/>
      <c r="EKI90" s="104"/>
      <c r="EKJ90" s="104"/>
      <c r="EKK90" s="104"/>
      <c r="EKL90" s="104"/>
      <c r="EKM90" s="104"/>
      <c r="EKN90" s="104"/>
      <c r="EKO90" s="104"/>
      <c r="EKP90" s="104"/>
      <c r="EKQ90" s="104"/>
      <c r="EKR90" s="104"/>
      <c r="EKS90" s="104"/>
      <c r="EKT90" s="104"/>
      <c r="EKU90" s="104"/>
      <c r="EKV90" s="104"/>
      <c r="EKW90" s="104"/>
      <c r="EKX90" s="104"/>
      <c r="EKY90" s="104"/>
      <c r="EKZ90" s="104"/>
      <c r="ELA90" s="104"/>
      <c r="ELB90" s="104"/>
      <c r="ELC90" s="104"/>
      <c r="ELD90" s="104"/>
      <c r="ELE90" s="104"/>
      <c r="ELF90" s="104"/>
      <c r="ELG90" s="104"/>
      <c r="ELH90" s="104"/>
      <c r="ELI90" s="104"/>
      <c r="ELJ90" s="104"/>
      <c r="ELK90" s="104"/>
      <c r="ELL90" s="104"/>
      <c r="ELM90" s="104"/>
      <c r="ELN90" s="104"/>
      <c r="ELO90" s="104"/>
      <c r="ELP90" s="104"/>
      <c r="ELQ90" s="104"/>
      <c r="ELR90" s="104"/>
      <c r="ELS90" s="104"/>
      <c r="ELT90" s="104"/>
      <c r="ELU90" s="104"/>
      <c r="ELV90" s="104"/>
      <c r="ELW90" s="104"/>
      <c r="ELX90" s="104"/>
      <c r="ELY90" s="104"/>
      <c r="ELZ90" s="104"/>
      <c r="EMA90" s="104"/>
      <c r="EMB90" s="104"/>
      <c r="EMC90" s="104"/>
      <c r="EMD90" s="104"/>
      <c r="EME90" s="104"/>
      <c r="EMF90" s="104"/>
      <c r="EMG90" s="104"/>
      <c r="EMH90" s="104"/>
      <c r="EMI90" s="104"/>
      <c r="EMJ90" s="104"/>
      <c r="EMK90" s="104"/>
      <c r="EML90" s="104"/>
      <c r="EMM90" s="104"/>
      <c r="EMN90" s="104"/>
      <c r="EMO90" s="104"/>
      <c r="EMP90" s="104"/>
      <c r="EMQ90" s="104"/>
      <c r="EMR90" s="104"/>
      <c r="EMS90" s="104"/>
      <c r="EMT90" s="104"/>
      <c r="EMU90" s="104"/>
      <c r="EMV90" s="104"/>
      <c r="EMW90" s="104"/>
      <c r="EMX90" s="104"/>
      <c r="EMY90" s="104"/>
      <c r="EMZ90" s="104"/>
      <c r="ENA90" s="104"/>
      <c r="ENB90" s="104"/>
      <c r="ENC90" s="104"/>
      <c r="END90" s="104"/>
      <c r="ENE90" s="104"/>
      <c r="ENF90" s="104"/>
      <c r="ENG90" s="104"/>
      <c r="ENH90" s="104"/>
      <c r="ENI90" s="104"/>
      <c r="ENJ90" s="104"/>
      <c r="ENK90" s="104"/>
      <c r="ENL90" s="104"/>
      <c r="ENM90" s="104"/>
      <c r="ENN90" s="104"/>
      <c r="ENO90" s="104"/>
      <c r="ENP90" s="104"/>
      <c r="ENQ90" s="104"/>
      <c r="ENR90" s="104"/>
      <c r="ENS90" s="104"/>
      <c r="ENT90" s="104"/>
      <c r="ENU90" s="104"/>
      <c r="ENV90" s="104"/>
      <c r="ENW90" s="104"/>
      <c r="ENX90" s="104"/>
      <c r="ENY90" s="104"/>
      <c r="ENZ90" s="104"/>
      <c r="EOA90" s="104"/>
      <c r="EOB90" s="104"/>
      <c r="EOC90" s="104"/>
      <c r="EOD90" s="104"/>
      <c r="EOE90" s="104"/>
      <c r="EOF90" s="104"/>
      <c r="EOG90" s="104"/>
      <c r="EOH90" s="104"/>
      <c r="EOI90" s="104"/>
      <c r="EOJ90" s="104"/>
      <c r="EOK90" s="104"/>
      <c r="EOL90" s="104"/>
      <c r="EOM90" s="104"/>
      <c r="EON90" s="104"/>
      <c r="EOO90" s="104"/>
      <c r="EOP90" s="104"/>
      <c r="EOQ90" s="104"/>
      <c r="EOR90" s="104"/>
      <c r="EOS90" s="104"/>
      <c r="EOT90" s="104"/>
      <c r="EOU90" s="104"/>
      <c r="EOV90" s="104"/>
      <c r="EOW90" s="104"/>
      <c r="EOX90" s="104"/>
      <c r="EOY90" s="104"/>
      <c r="EOZ90" s="104"/>
      <c r="EPA90" s="104"/>
      <c r="EPB90" s="104"/>
      <c r="EPC90" s="104"/>
      <c r="EPD90" s="104"/>
      <c r="EPE90" s="104"/>
      <c r="EPF90" s="104"/>
      <c r="EPG90" s="104"/>
      <c r="EPH90" s="104"/>
      <c r="EPI90" s="104"/>
      <c r="EPJ90" s="104"/>
      <c r="EPK90" s="104"/>
      <c r="EPL90" s="104"/>
      <c r="EPM90" s="104"/>
      <c r="EPN90" s="104"/>
      <c r="EPO90" s="104"/>
      <c r="EPP90" s="104"/>
      <c r="EPQ90" s="104"/>
      <c r="EPR90" s="104"/>
      <c r="EPS90" s="104"/>
      <c r="EPT90" s="104"/>
      <c r="EPU90" s="104"/>
      <c r="EPV90" s="104"/>
      <c r="EPW90" s="104"/>
      <c r="EPX90" s="104"/>
      <c r="EPY90" s="104"/>
      <c r="EPZ90" s="104"/>
      <c r="EQA90" s="104"/>
      <c r="EQB90" s="104"/>
      <c r="EQC90" s="104"/>
      <c r="EQD90" s="104"/>
      <c r="EQE90" s="104"/>
      <c r="EQF90" s="104"/>
      <c r="EQG90" s="104"/>
      <c r="EQH90" s="104"/>
      <c r="EQI90" s="104"/>
      <c r="EQJ90" s="104"/>
      <c r="EQK90" s="104"/>
      <c r="EQL90" s="104"/>
      <c r="EQM90" s="104"/>
      <c r="EQN90" s="104"/>
      <c r="EQO90" s="104"/>
      <c r="EQP90" s="104"/>
      <c r="EQQ90" s="104"/>
      <c r="EQR90" s="104"/>
      <c r="EQS90" s="104"/>
      <c r="EQT90" s="104"/>
      <c r="EQU90" s="104"/>
      <c r="EQV90" s="104"/>
      <c r="EQW90" s="104"/>
      <c r="EQX90" s="104"/>
      <c r="EQY90" s="104"/>
      <c r="EQZ90" s="104"/>
      <c r="ERA90" s="104"/>
      <c r="ERB90" s="104"/>
      <c r="ERC90" s="104"/>
      <c r="ERD90" s="104"/>
      <c r="ERE90" s="104"/>
      <c r="ERF90" s="104"/>
      <c r="ERG90" s="104"/>
      <c r="ERH90" s="104"/>
      <c r="ERI90" s="104"/>
      <c r="ERJ90" s="104"/>
      <c r="ERK90" s="104"/>
      <c r="ERL90" s="104"/>
      <c r="ERM90" s="104"/>
      <c r="ERN90" s="104"/>
      <c r="ERO90" s="104"/>
      <c r="ERP90" s="104"/>
      <c r="ERQ90" s="104"/>
      <c r="ERR90" s="104"/>
      <c r="ERS90" s="104"/>
      <c r="ERT90" s="104"/>
      <c r="ERU90" s="104"/>
      <c r="ERV90" s="104"/>
      <c r="ERW90" s="104"/>
      <c r="ERX90" s="104"/>
      <c r="ERY90" s="104"/>
      <c r="ERZ90" s="104"/>
      <c r="ESA90" s="104"/>
      <c r="ESB90" s="104"/>
      <c r="ESC90" s="104"/>
      <c r="ESD90" s="104"/>
      <c r="ESE90" s="104"/>
      <c r="ESF90" s="104"/>
      <c r="ESG90" s="104"/>
      <c r="ESH90" s="104"/>
      <c r="ESI90" s="104"/>
      <c r="ESJ90" s="104"/>
      <c r="ESK90" s="104"/>
      <c r="ESL90" s="104"/>
      <c r="ESM90" s="104"/>
      <c r="ESN90" s="104"/>
      <c r="ESO90" s="104"/>
      <c r="ESP90" s="104"/>
      <c r="ESQ90" s="104"/>
      <c r="ESR90" s="104"/>
      <c r="ESS90" s="104"/>
      <c r="EST90" s="104"/>
      <c r="ESU90" s="104"/>
      <c r="ESV90" s="104"/>
      <c r="ESW90" s="104"/>
      <c r="ESX90" s="104"/>
      <c r="ESY90" s="104"/>
      <c r="ESZ90" s="104"/>
      <c r="ETA90" s="104"/>
      <c r="ETB90" s="104"/>
      <c r="ETC90" s="104"/>
      <c r="ETD90" s="104"/>
      <c r="ETE90" s="104"/>
      <c r="ETF90" s="104"/>
      <c r="ETG90" s="104"/>
      <c r="ETH90" s="104"/>
      <c r="ETI90" s="104"/>
      <c r="ETJ90" s="104"/>
      <c r="ETK90" s="104"/>
      <c r="ETL90" s="104"/>
      <c r="ETM90" s="104"/>
      <c r="ETN90" s="104"/>
      <c r="ETO90" s="104"/>
      <c r="ETP90" s="104"/>
      <c r="ETQ90" s="104"/>
      <c r="ETR90" s="104"/>
      <c r="ETS90" s="104"/>
      <c r="ETT90" s="104"/>
      <c r="ETU90" s="104"/>
      <c r="ETV90" s="104"/>
      <c r="ETW90" s="104"/>
      <c r="ETX90" s="104"/>
      <c r="ETY90" s="104"/>
      <c r="ETZ90" s="104"/>
      <c r="EUA90" s="104"/>
      <c r="EUB90" s="104"/>
      <c r="EUC90" s="104"/>
      <c r="EUD90" s="104"/>
      <c r="EUE90" s="104"/>
      <c r="EUF90" s="104"/>
      <c r="EUG90" s="104"/>
      <c r="EUH90" s="104"/>
      <c r="EUI90" s="104"/>
      <c r="EUJ90" s="104"/>
      <c r="EUK90" s="104"/>
      <c r="EUL90" s="104"/>
      <c r="EUM90" s="104"/>
      <c r="EUN90" s="104"/>
      <c r="EUO90" s="104"/>
      <c r="EUP90" s="104"/>
      <c r="EUQ90" s="104"/>
      <c r="EUR90" s="104"/>
      <c r="EUS90" s="104"/>
      <c r="EUT90" s="104"/>
      <c r="EUU90" s="104"/>
      <c r="EUV90" s="104"/>
      <c r="EUW90" s="104"/>
      <c r="EUX90" s="104"/>
      <c r="EUY90" s="104"/>
      <c r="EUZ90" s="104"/>
      <c r="EVA90" s="104"/>
      <c r="EVB90" s="104"/>
      <c r="EVC90" s="104"/>
      <c r="EVD90" s="104"/>
      <c r="EVE90" s="104"/>
      <c r="EVF90" s="104"/>
      <c r="EVG90" s="104"/>
      <c r="EVH90" s="104"/>
      <c r="EVI90" s="104"/>
      <c r="EVJ90" s="104"/>
      <c r="EVK90" s="104"/>
      <c r="EVL90" s="104"/>
      <c r="EVM90" s="104"/>
      <c r="EVN90" s="104"/>
      <c r="EVO90" s="104"/>
      <c r="EVP90" s="104"/>
      <c r="EVQ90" s="104"/>
      <c r="EVR90" s="104"/>
      <c r="EVS90" s="104"/>
      <c r="EVT90" s="104"/>
      <c r="EVU90" s="104"/>
      <c r="EVV90" s="104"/>
      <c r="EVW90" s="104"/>
      <c r="EVX90" s="104"/>
      <c r="EVY90" s="104"/>
      <c r="EVZ90" s="104"/>
      <c r="EWA90" s="104"/>
      <c r="EWB90" s="104"/>
      <c r="EWC90" s="104"/>
      <c r="EWD90" s="104"/>
      <c r="EWE90" s="104"/>
      <c r="EWF90" s="104"/>
      <c r="EWG90" s="104"/>
      <c r="EWH90" s="104"/>
      <c r="EWI90" s="104"/>
      <c r="EWJ90" s="104"/>
      <c r="EWK90" s="104"/>
      <c r="EWL90" s="104"/>
      <c r="EWM90" s="104"/>
      <c r="EWN90" s="104"/>
      <c r="EWO90" s="104"/>
      <c r="EWP90" s="104"/>
      <c r="EWQ90" s="104"/>
      <c r="EWR90" s="104"/>
      <c r="EWS90" s="104"/>
      <c r="EWT90" s="104"/>
      <c r="EWU90" s="104"/>
      <c r="EWV90" s="104"/>
      <c r="EWW90" s="104"/>
      <c r="EWX90" s="104"/>
      <c r="EWY90" s="104"/>
      <c r="EWZ90" s="104"/>
      <c r="EXA90" s="104"/>
      <c r="EXB90" s="104"/>
      <c r="EXC90" s="104"/>
      <c r="EXD90" s="104"/>
      <c r="EXE90" s="104"/>
      <c r="EXF90" s="104"/>
      <c r="EXG90" s="104"/>
      <c r="EXH90" s="104"/>
      <c r="EXI90" s="104"/>
      <c r="EXJ90" s="104"/>
      <c r="EXK90" s="104"/>
      <c r="EXL90" s="104"/>
      <c r="EXM90" s="104"/>
      <c r="EXN90" s="104"/>
      <c r="EXO90" s="104"/>
      <c r="EXP90" s="104"/>
      <c r="EXQ90" s="104"/>
      <c r="EXR90" s="104"/>
      <c r="EXS90" s="104"/>
      <c r="EXT90" s="104"/>
      <c r="EXU90" s="104"/>
      <c r="EXV90" s="104"/>
      <c r="EXW90" s="104"/>
      <c r="EXX90" s="104"/>
      <c r="EXY90" s="104"/>
      <c r="EXZ90" s="104"/>
      <c r="EYA90" s="104"/>
      <c r="EYB90" s="104"/>
      <c r="EYC90" s="104"/>
      <c r="EYD90" s="104"/>
      <c r="EYE90" s="104"/>
      <c r="EYF90" s="104"/>
      <c r="EYG90" s="104"/>
      <c r="EYH90" s="104"/>
      <c r="EYI90" s="104"/>
      <c r="EYJ90" s="104"/>
      <c r="EYK90" s="104"/>
      <c r="EYL90" s="104"/>
      <c r="EYM90" s="104"/>
      <c r="EYN90" s="104"/>
      <c r="EYO90" s="104"/>
      <c r="EYP90" s="104"/>
      <c r="EYQ90" s="104"/>
      <c r="EYR90" s="104"/>
      <c r="EYS90" s="104"/>
      <c r="EYT90" s="104"/>
      <c r="EYU90" s="104"/>
      <c r="EYV90" s="104"/>
      <c r="EYW90" s="104"/>
      <c r="EYX90" s="104"/>
      <c r="EYY90" s="104"/>
      <c r="EYZ90" s="104"/>
      <c r="EZA90" s="104"/>
      <c r="EZB90" s="104"/>
      <c r="EZC90" s="104"/>
      <c r="EZD90" s="104"/>
      <c r="EZE90" s="104"/>
      <c r="EZF90" s="104"/>
      <c r="EZG90" s="104"/>
      <c r="EZH90" s="104"/>
      <c r="EZI90" s="104"/>
      <c r="EZJ90" s="104"/>
      <c r="EZK90" s="104"/>
      <c r="EZL90" s="104"/>
      <c r="EZM90" s="104"/>
      <c r="EZN90" s="104"/>
      <c r="EZO90" s="104"/>
      <c r="EZP90" s="104"/>
      <c r="EZQ90" s="104"/>
      <c r="EZR90" s="104"/>
      <c r="EZS90" s="104"/>
      <c r="EZT90" s="104"/>
      <c r="EZU90" s="104"/>
      <c r="EZV90" s="104"/>
      <c r="EZW90" s="104"/>
      <c r="EZX90" s="104"/>
      <c r="EZY90" s="104"/>
      <c r="EZZ90" s="104"/>
      <c r="FAA90" s="104"/>
      <c r="FAB90" s="104"/>
      <c r="FAC90" s="104"/>
      <c r="FAD90" s="104"/>
      <c r="FAE90" s="104"/>
      <c r="FAF90" s="104"/>
      <c r="FAG90" s="104"/>
      <c r="FAH90" s="104"/>
      <c r="FAI90" s="104"/>
      <c r="FAJ90" s="104"/>
      <c r="FAK90" s="104"/>
      <c r="FAL90" s="104"/>
      <c r="FAM90" s="104"/>
      <c r="FAN90" s="104"/>
      <c r="FAO90" s="104"/>
      <c r="FAP90" s="104"/>
      <c r="FAQ90" s="104"/>
      <c r="FAR90" s="104"/>
      <c r="FAS90" s="104"/>
      <c r="FAT90" s="104"/>
      <c r="FAU90" s="104"/>
      <c r="FAV90" s="104"/>
      <c r="FAW90" s="104"/>
      <c r="FAX90" s="104"/>
      <c r="FAY90" s="104"/>
      <c r="FAZ90" s="104"/>
      <c r="FBA90" s="104"/>
      <c r="FBB90" s="104"/>
      <c r="FBC90" s="104"/>
      <c r="FBD90" s="104"/>
      <c r="FBE90" s="104"/>
      <c r="FBF90" s="104"/>
      <c r="FBG90" s="104"/>
      <c r="FBH90" s="104"/>
      <c r="FBI90" s="104"/>
      <c r="FBJ90" s="104"/>
      <c r="FBK90" s="104"/>
      <c r="FBL90" s="104"/>
      <c r="FBM90" s="104"/>
      <c r="FBN90" s="104"/>
      <c r="FBO90" s="104"/>
      <c r="FBP90" s="104"/>
      <c r="FBQ90" s="104"/>
      <c r="FBR90" s="104"/>
      <c r="FBS90" s="104"/>
      <c r="FBT90" s="104"/>
      <c r="FBU90" s="104"/>
      <c r="FBV90" s="104"/>
      <c r="FBW90" s="104"/>
      <c r="FBX90" s="104"/>
      <c r="FBY90" s="104"/>
      <c r="FBZ90" s="104"/>
      <c r="FCA90" s="104"/>
      <c r="FCB90" s="104"/>
      <c r="FCC90" s="104"/>
      <c r="FCD90" s="104"/>
      <c r="FCE90" s="104"/>
      <c r="FCF90" s="104"/>
      <c r="FCG90" s="104"/>
      <c r="FCH90" s="104"/>
      <c r="FCI90" s="104"/>
      <c r="FCJ90" s="104"/>
      <c r="FCK90" s="104"/>
      <c r="FCL90" s="104"/>
      <c r="FCM90" s="104"/>
      <c r="FCN90" s="104"/>
      <c r="FCO90" s="104"/>
      <c r="FCP90" s="104"/>
      <c r="FCQ90" s="104"/>
      <c r="FCR90" s="104"/>
      <c r="FCS90" s="104"/>
      <c r="FCT90" s="104"/>
      <c r="FCU90" s="104"/>
      <c r="FCV90" s="104"/>
      <c r="FCW90" s="104"/>
      <c r="FCX90" s="104"/>
      <c r="FCY90" s="104"/>
      <c r="FCZ90" s="104"/>
      <c r="FDA90" s="104"/>
      <c r="FDB90" s="104"/>
      <c r="FDC90" s="104"/>
      <c r="FDD90" s="104"/>
      <c r="FDE90" s="104"/>
      <c r="FDF90" s="104"/>
      <c r="FDG90" s="104"/>
      <c r="FDH90" s="104"/>
      <c r="FDI90" s="104"/>
      <c r="FDJ90" s="104"/>
      <c r="FDK90" s="104"/>
      <c r="FDL90" s="104"/>
      <c r="FDM90" s="104"/>
      <c r="FDN90" s="104"/>
      <c r="FDO90" s="104"/>
      <c r="FDP90" s="104"/>
      <c r="FDQ90" s="104"/>
      <c r="FDR90" s="104"/>
      <c r="FDS90" s="104"/>
      <c r="FDT90" s="104"/>
      <c r="FDU90" s="104"/>
      <c r="FDV90" s="104"/>
      <c r="FDW90" s="104"/>
      <c r="FDX90" s="104"/>
      <c r="FDY90" s="104"/>
      <c r="FDZ90" s="104"/>
      <c r="FEA90" s="104"/>
      <c r="FEB90" s="104"/>
      <c r="FEC90" s="104"/>
      <c r="FED90" s="104"/>
      <c r="FEE90" s="104"/>
      <c r="FEF90" s="104"/>
      <c r="FEG90" s="104"/>
      <c r="FEH90" s="104"/>
      <c r="FEI90" s="104"/>
      <c r="FEJ90" s="104"/>
      <c r="FEK90" s="104"/>
      <c r="FEL90" s="104"/>
      <c r="FEM90" s="104"/>
      <c r="FEN90" s="104"/>
      <c r="FEO90" s="104"/>
      <c r="FEP90" s="104"/>
      <c r="FEQ90" s="104"/>
      <c r="FER90" s="104"/>
      <c r="FES90" s="104"/>
      <c r="FET90" s="104"/>
      <c r="FEU90" s="104"/>
      <c r="FEV90" s="104"/>
      <c r="FEW90" s="104"/>
      <c r="FEX90" s="104"/>
      <c r="FEY90" s="104"/>
      <c r="FEZ90" s="104"/>
      <c r="FFA90" s="104"/>
      <c r="FFB90" s="104"/>
      <c r="FFC90" s="104"/>
      <c r="FFD90" s="104"/>
      <c r="FFE90" s="104"/>
      <c r="FFF90" s="104"/>
      <c r="FFG90" s="104"/>
      <c r="FFH90" s="104"/>
      <c r="FFI90" s="104"/>
      <c r="FFJ90" s="104"/>
      <c r="FFK90" s="104"/>
      <c r="FFL90" s="104"/>
      <c r="FFM90" s="104"/>
      <c r="FFN90" s="104"/>
      <c r="FFO90" s="104"/>
      <c r="FFP90" s="104"/>
      <c r="FFQ90" s="104"/>
      <c r="FFR90" s="104"/>
      <c r="FFS90" s="104"/>
      <c r="FFT90" s="104"/>
      <c r="FFU90" s="104"/>
      <c r="FFV90" s="104"/>
      <c r="FFW90" s="104"/>
      <c r="FFX90" s="104"/>
      <c r="FFY90" s="104"/>
      <c r="FFZ90" s="104"/>
      <c r="FGA90" s="104"/>
      <c r="FGB90" s="104"/>
      <c r="FGC90" s="104"/>
      <c r="FGD90" s="104"/>
      <c r="FGE90" s="104"/>
      <c r="FGF90" s="104"/>
      <c r="FGG90" s="104"/>
      <c r="FGH90" s="104"/>
      <c r="FGI90" s="104"/>
      <c r="FGJ90" s="104"/>
      <c r="FGK90" s="104"/>
      <c r="FGL90" s="104"/>
      <c r="FGM90" s="104"/>
      <c r="FGN90" s="104"/>
      <c r="FGO90" s="104"/>
      <c r="FGP90" s="104"/>
      <c r="FGQ90" s="104"/>
      <c r="FGR90" s="104"/>
      <c r="FGS90" s="104"/>
      <c r="FGT90" s="104"/>
      <c r="FGU90" s="104"/>
      <c r="FGV90" s="104"/>
      <c r="FGW90" s="104"/>
      <c r="FGX90" s="104"/>
      <c r="FGY90" s="104"/>
      <c r="FGZ90" s="104"/>
      <c r="FHA90" s="104"/>
      <c r="FHB90" s="104"/>
      <c r="FHC90" s="104"/>
      <c r="FHD90" s="104"/>
      <c r="FHE90" s="104"/>
      <c r="FHF90" s="104"/>
      <c r="FHG90" s="104"/>
      <c r="FHH90" s="104"/>
      <c r="FHI90" s="104"/>
      <c r="FHJ90" s="104"/>
      <c r="FHK90" s="104"/>
      <c r="FHL90" s="104"/>
      <c r="FHM90" s="104"/>
      <c r="FHN90" s="104"/>
      <c r="FHO90" s="104"/>
      <c r="FHP90" s="104"/>
      <c r="FHQ90" s="104"/>
      <c r="FHR90" s="104"/>
      <c r="FHS90" s="104"/>
      <c r="FHT90" s="104"/>
      <c r="FHU90" s="104"/>
      <c r="FHV90" s="104"/>
      <c r="FHW90" s="104"/>
      <c r="FHX90" s="104"/>
      <c r="FHY90" s="104"/>
      <c r="FHZ90" s="104"/>
      <c r="FIA90" s="104"/>
      <c r="FIB90" s="104"/>
      <c r="FIC90" s="104"/>
      <c r="FID90" s="104"/>
      <c r="FIE90" s="104"/>
      <c r="FIF90" s="104"/>
      <c r="FIG90" s="104"/>
      <c r="FIH90" s="104"/>
      <c r="FII90" s="104"/>
      <c r="FIJ90" s="104"/>
      <c r="FIK90" s="104"/>
      <c r="FIL90" s="104"/>
      <c r="FIM90" s="104"/>
      <c r="FIN90" s="104"/>
      <c r="FIO90" s="104"/>
      <c r="FIP90" s="104"/>
      <c r="FIQ90" s="104"/>
      <c r="FIR90" s="104"/>
      <c r="FIS90" s="104"/>
      <c r="FIT90" s="104"/>
      <c r="FIU90" s="104"/>
      <c r="FIV90" s="104"/>
      <c r="FIW90" s="104"/>
      <c r="FIX90" s="104"/>
      <c r="FIY90" s="104"/>
      <c r="FIZ90" s="104"/>
      <c r="FJA90" s="104"/>
      <c r="FJB90" s="104"/>
      <c r="FJC90" s="104"/>
      <c r="FJD90" s="104"/>
      <c r="FJE90" s="104"/>
      <c r="FJF90" s="104"/>
      <c r="FJG90" s="104"/>
      <c r="FJH90" s="104"/>
      <c r="FJI90" s="104"/>
      <c r="FJJ90" s="104"/>
      <c r="FJK90" s="104"/>
      <c r="FJL90" s="104"/>
      <c r="FJM90" s="104"/>
      <c r="FJN90" s="104"/>
      <c r="FJO90" s="104"/>
      <c r="FJP90" s="104"/>
      <c r="FJQ90" s="104"/>
      <c r="FJR90" s="104"/>
      <c r="FJS90" s="104"/>
      <c r="FJT90" s="104"/>
      <c r="FJU90" s="104"/>
      <c r="FJV90" s="104"/>
      <c r="FJW90" s="104"/>
      <c r="FJX90" s="104"/>
      <c r="FJY90" s="104"/>
      <c r="FJZ90" s="104"/>
      <c r="FKA90" s="104"/>
      <c r="FKB90" s="104"/>
      <c r="FKC90" s="104"/>
      <c r="FKD90" s="104"/>
      <c r="FKE90" s="104"/>
      <c r="FKF90" s="104"/>
      <c r="FKG90" s="104"/>
      <c r="FKH90" s="104"/>
      <c r="FKI90" s="104"/>
      <c r="FKJ90" s="104"/>
      <c r="FKK90" s="104"/>
      <c r="FKL90" s="104"/>
      <c r="FKM90" s="104"/>
      <c r="FKN90" s="104"/>
      <c r="FKO90" s="104"/>
      <c r="FKP90" s="104"/>
      <c r="FKQ90" s="104"/>
      <c r="FKR90" s="104"/>
      <c r="FKS90" s="104"/>
      <c r="FKT90" s="104"/>
      <c r="FKU90" s="104"/>
      <c r="FKV90" s="104"/>
      <c r="FKW90" s="104"/>
      <c r="FKX90" s="104"/>
      <c r="FKY90" s="104"/>
      <c r="FKZ90" s="104"/>
      <c r="FLA90" s="104"/>
      <c r="FLB90" s="104"/>
      <c r="FLC90" s="104"/>
      <c r="FLD90" s="104"/>
      <c r="FLE90" s="104"/>
      <c r="FLF90" s="104"/>
      <c r="FLG90" s="104"/>
      <c r="FLH90" s="104"/>
      <c r="FLI90" s="104"/>
      <c r="FLJ90" s="104"/>
      <c r="FLK90" s="104"/>
      <c r="FLL90" s="104"/>
      <c r="FLM90" s="104"/>
      <c r="FLN90" s="104"/>
      <c r="FLO90" s="104"/>
      <c r="FLP90" s="104"/>
      <c r="FLQ90" s="104"/>
      <c r="FLR90" s="104"/>
      <c r="FLS90" s="104"/>
      <c r="FLT90" s="104"/>
      <c r="FLU90" s="104"/>
      <c r="FLV90" s="104"/>
      <c r="FLW90" s="104"/>
      <c r="FLX90" s="104"/>
      <c r="FLY90" s="104"/>
      <c r="FLZ90" s="104"/>
      <c r="FMA90" s="104"/>
      <c r="FMB90" s="104"/>
      <c r="FMC90" s="104"/>
      <c r="FMD90" s="104"/>
      <c r="FME90" s="104"/>
      <c r="FMF90" s="104"/>
      <c r="FMG90" s="104"/>
      <c r="FMH90" s="104"/>
      <c r="FMI90" s="104"/>
      <c r="FMJ90" s="104"/>
      <c r="FMK90" s="104"/>
      <c r="FML90" s="104"/>
      <c r="FMM90" s="104"/>
      <c r="FMN90" s="104"/>
      <c r="FMO90" s="104"/>
      <c r="FMP90" s="104"/>
      <c r="FMQ90" s="104"/>
      <c r="FMR90" s="104"/>
      <c r="FMS90" s="104"/>
      <c r="FMT90" s="104"/>
      <c r="FMU90" s="104"/>
      <c r="FMV90" s="104"/>
      <c r="FMW90" s="104"/>
      <c r="FMX90" s="104"/>
      <c r="FMY90" s="104"/>
      <c r="FMZ90" s="104"/>
      <c r="FNA90" s="104"/>
      <c r="FNB90" s="104"/>
      <c r="FNC90" s="104"/>
      <c r="FND90" s="104"/>
      <c r="FNE90" s="104"/>
      <c r="FNF90" s="104"/>
      <c r="FNG90" s="104"/>
      <c r="FNH90" s="104"/>
      <c r="FNI90" s="104"/>
      <c r="FNJ90" s="104"/>
      <c r="FNK90" s="104"/>
      <c r="FNL90" s="104"/>
      <c r="FNM90" s="104"/>
      <c r="FNN90" s="104"/>
      <c r="FNO90" s="104"/>
      <c r="FNP90" s="104"/>
      <c r="FNQ90" s="104"/>
      <c r="FNR90" s="104"/>
      <c r="FNS90" s="104"/>
      <c r="FNT90" s="104"/>
      <c r="FNU90" s="104"/>
      <c r="FNV90" s="104"/>
      <c r="FNW90" s="104"/>
      <c r="FNX90" s="104"/>
      <c r="FNY90" s="104"/>
      <c r="FNZ90" s="104"/>
      <c r="FOA90" s="104"/>
      <c r="FOB90" s="104"/>
      <c r="FOC90" s="104"/>
      <c r="FOD90" s="104"/>
      <c r="FOE90" s="104"/>
      <c r="FOF90" s="104"/>
      <c r="FOG90" s="104"/>
      <c r="FOH90" s="104"/>
      <c r="FOI90" s="104"/>
      <c r="FOJ90" s="104"/>
      <c r="FOK90" s="104"/>
      <c r="FOL90" s="104"/>
      <c r="FOM90" s="104"/>
      <c r="FON90" s="104"/>
      <c r="FOO90" s="104"/>
      <c r="FOP90" s="104"/>
      <c r="FOQ90" s="104"/>
      <c r="FOR90" s="104"/>
      <c r="FOS90" s="104"/>
      <c r="FOT90" s="104"/>
      <c r="FOU90" s="104"/>
      <c r="FOV90" s="104"/>
      <c r="FOW90" s="104"/>
      <c r="FOX90" s="104"/>
      <c r="FOY90" s="104"/>
      <c r="FOZ90" s="104"/>
      <c r="FPA90" s="104"/>
      <c r="FPB90" s="104"/>
      <c r="FPC90" s="104"/>
      <c r="FPD90" s="104"/>
      <c r="FPE90" s="104"/>
      <c r="FPF90" s="104"/>
      <c r="FPG90" s="104"/>
      <c r="FPH90" s="104"/>
      <c r="FPI90" s="104"/>
      <c r="FPJ90" s="104"/>
      <c r="FPK90" s="104"/>
      <c r="FPL90" s="104"/>
      <c r="FPM90" s="104"/>
      <c r="FPN90" s="104"/>
      <c r="FPO90" s="104"/>
      <c r="FPP90" s="104"/>
      <c r="FPQ90" s="104"/>
      <c r="FPR90" s="104"/>
      <c r="FPS90" s="104"/>
      <c r="FPT90" s="104"/>
      <c r="FPU90" s="104"/>
      <c r="FPV90" s="104"/>
      <c r="FPW90" s="104"/>
      <c r="FPX90" s="104"/>
      <c r="FPY90" s="104"/>
      <c r="FPZ90" s="104"/>
      <c r="FQA90" s="104"/>
      <c r="FQB90" s="104"/>
      <c r="FQC90" s="104"/>
      <c r="FQD90" s="104"/>
      <c r="FQE90" s="104"/>
      <c r="FQF90" s="104"/>
      <c r="FQG90" s="104"/>
      <c r="FQH90" s="104"/>
      <c r="FQI90" s="104"/>
      <c r="FQJ90" s="104"/>
      <c r="FQK90" s="104"/>
      <c r="FQL90" s="104"/>
      <c r="FQM90" s="104"/>
      <c r="FQN90" s="104"/>
      <c r="FQO90" s="104"/>
      <c r="FQP90" s="104"/>
      <c r="FQQ90" s="104"/>
      <c r="FQR90" s="104"/>
      <c r="FQS90" s="104"/>
      <c r="FQT90" s="104"/>
      <c r="FQU90" s="104"/>
      <c r="FQV90" s="104"/>
      <c r="FQW90" s="104"/>
      <c r="FQX90" s="104"/>
      <c r="FQY90" s="104"/>
      <c r="FQZ90" s="104"/>
      <c r="FRA90" s="104"/>
      <c r="FRB90" s="104"/>
      <c r="FRC90" s="104"/>
      <c r="FRD90" s="104"/>
      <c r="FRE90" s="104"/>
      <c r="FRF90" s="104"/>
      <c r="FRG90" s="104"/>
      <c r="FRH90" s="104"/>
      <c r="FRI90" s="104"/>
      <c r="FRJ90" s="104"/>
      <c r="FRK90" s="104"/>
      <c r="FRL90" s="104"/>
      <c r="FRM90" s="104"/>
      <c r="FRN90" s="104"/>
      <c r="FRO90" s="104"/>
      <c r="FRP90" s="104"/>
      <c r="FRQ90" s="104"/>
      <c r="FRR90" s="104"/>
      <c r="FRS90" s="104"/>
      <c r="FRT90" s="104"/>
      <c r="FRU90" s="104"/>
      <c r="FRV90" s="104"/>
      <c r="FRW90" s="104"/>
      <c r="FRX90" s="104"/>
      <c r="FRY90" s="104"/>
      <c r="FRZ90" s="104"/>
      <c r="FSA90" s="104"/>
      <c r="FSB90" s="104"/>
      <c r="FSC90" s="104"/>
      <c r="FSD90" s="104"/>
      <c r="FSE90" s="104"/>
      <c r="FSF90" s="104"/>
      <c r="FSG90" s="104"/>
      <c r="FSH90" s="104"/>
      <c r="FSI90" s="104"/>
      <c r="FSJ90" s="104"/>
      <c r="FSK90" s="104"/>
      <c r="FSL90" s="104"/>
      <c r="FSM90" s="104"/>
      <c r="FSN90" s="104"/>
      <c r="FSO90" s="104"/>
      <c r="FSP90" s="104"/>
      <c r="FSQ90" s="104"/>
      <c r="FSR90" s="104"/>
      <c r="FSS90" s="104"/>
      <c r="FST90" s="104"/>
      <c r="FSU90" s="104"/>
      <c r="FSV90" s="104"/>
      <c r="FSW90" s="104"/>
      <c r="FSX90" s="104"/>
      <c r="FSY90" s="104"/>
      <c r="FSZ90" s="104"/>
      <c r="FTA90" s="104"/>
      <c r="FTB90" s="104"/>
      <c r="FTC90" s="104"/>
      <c r="FTD90" s="104"/>
      <c r="FTE90" s="104"/>
      <c r="FTF90" s="104"/>
      <c r="FTG90" s="104"/>
      <c r="FTH90" s="104"/>
      <c r="FTI90" s="104"/>
      <c r="FTJ90" s="104"/>
      <c r="FTK90" s="104"/>
      <c r="FTL90" s="104"/>
      <c r="FTM90" s="104"/>
      <c r="FTN90" s="104"/>
      <c r="FTO90" s="104"/>
      <c r="FTP90" s="104"/>
      <c r="FTQ90" s="104"/>
      <c r="FTR90" s="104"/>
      <c r="FTS90" s="104"/>
      <c r="FTT90" s="104"/>
      <c r="FTU90" s="104"/>
      <c r="FTV90" s="104"/>
      <c r="FTW90" s="104"/>
      <c r="FTX90" s="104"/>
      <c r="FTY90" s="104"/>
      <c r="FTZ90" s="104"/>
      <c r="FUA90" s="104"/>
      <c r="FUB90" s="104"/>
      <c r="FUC90" s="104"/>
      <c r="FUD90" s="104"/>
      <c r="FUE90" s="104"/>
      <c r="FUF90" s="104"/>
      <c r="FUG90" s="104"/>
      <c r="FUH90" s="104"/>
      <c r="FUI90" s="104"/>
      <c r="FUJ90" s="104"/>
      <c r="FUK90" s="104"/>
      <c r="FUL90" s="104"/>
      <c r="FUM90" s="104"/>
      <c r="FUN90" s="104"/>
      <c r="FUO90" s="104"/>
      <c r="FUP90" s="104"/>
      <c r="FUQ90" s="104"/>
      <c r="FUR90" s="104"/>
      <c r="FUS90" s="104"/>
      <c r="FUT90" s="104"/>
      <c r="FUU90" s="104"/>
      <c r="FUV90" s="104"/>
      <c r="FUW90" s="104"/>
      <c r="FUX90" s="104"/>
      <c r="FUY90" s="104"/>
      <c r="FUZ90" s="104"/>
      <c r="FVA90" s="104"/>
      <c r="FVB90" s="104"/>
      <c r="FVC90" s="104"/>
      <c r="FVD90" s="104"/>
      <c r="FVE90" s="104"/>
      <c r="FVF90" s="104"/>
      <c r="FVG90" s="104"/>
      <c r="FVH90" s="104"/>
      <c r="FVI90" s="104"/>
      <c r="FVJ90" s="104"/>
      <c r="FVK90" s="104"/>
      <c r="FVL90" s="104"/>
      <c r="FVM90" s="104"/>
      <c r="FVN90" s="104"/>
      <c r="FVO90" s="104"/>
      <c r="FVP90" s="104"/>
      <c r="FVQ90" s="104"/>
      <c r="FVR90" s="104"/>
      <c r="FVS90" s="104"/>
      <c r="FVT90" s="104"/>
      <c r="FVU90" s="104"/>
      <c r="FVV90" s="104"/>
      <c r="FVW90" s="104"/>
      <c r="FVX90" s="104"/>
      <c r="FVY90" s="104"/>
      <c r="FVZ90" s="104"/>
      <c r="FWA90" s="104"/>
      <c r="FWB90" s="104"/>
      <c r="FWC90" s="104"/>
      <c r="FWD90" s="104"/>
      <c r="FWE90" s="104"/>
      <c r="FWF90" s="104"/>
      <c r="FWG90" s="104"/>
      <c r="FWH90" s="104"/>
      <c r="FWI90" s="104"/>
      <c r="FWJ90" s="104"/>
      <c r="FWK90" s="104"/>
      <c r="FWL90" s="104"/>
      <c r="FWM90" s="104"/>
      <c r="FWN90" s="104"/>
      <c r="FWO90" s="104"/>
      <c r="FWP90" s="104"/>
      <c r="FWQ90" s="104"/>
      <c r="FWR90" s="104"/>
      <c r="FWS90" s="104"/>
      <c r="FWT90" s="104"/>
      <c r="FWU90" s="104"/>
      <c r="FWV90" s="104"/>
      <c r="FWW90" s="104"/>
      <c r="FWX90" s="104"/>
      <c r="FWY90" s="104"/>
      <c r="FWZ90" s="104"/>
      <c r="FXA90" s="104"/>
      <c r="FXB90" s="104"/>
      <c r="FXC90" s="104"/>
      <c r="FXD90" s="104"/>
      <c r="FXE90" s="104"/>
      <c r="FXF90" s="104"/>
      <c r="FXG90" s="104"/>
      <c r="FXH90" s="104"/>
      <c r="FXI90" s="104"/>
      <c r="FXJ90" s="104"/>
      <c r="FXK90" s="104"/>
      <c r="FXL90" s="104"/>
      <c r="FXM90" s="104"/>
      <c r="FXN90" s="104"/>
      <c r="FXO90" s="104"/>
      <c r="FXP90" s="104"/>
      <c r="FXQ90" s="104"/>
      <c r="FXR90" s="104"/>
      <c r="FXS90" s="104"/>
      <c r="FXT90" s="104"/>
      <c r="FXU90" s="104"/>
      <c r="FXV90" s="104"/>
      <c r="FXW90" s="104"/>
      <c r="FXX90" s="104"/>
      <c r="FXY90" s="104"/>
      <c r="FXZ90" s="104"/>
      <c r="FYA90" s="104"/>
      <c r="FYB90" s="104"/>
      <c r="FYC90" s="104"/>
      <c r="FYD90" s="104"/>
      <c r="FYE90" s="104"/>
      <c r="FYF90" s="104"/>
      <c r="FYG90" s="104"/>
      <c r="FYH90" s="104"/>
      <c r="FYI90" s="104"/>
      <c r="FYJ90" s="104"/>
      <c r="FYK90" s="104"/>
      <c r="FYL90" s="104"/>
      <c r="FYM90" s="104"/>
      <c r="FYN90" s="104"/>
      <c r="FYO90" s="104"/>
      <c r="FYP90" s="104"/>
      <c r="FYQ90" s="104"/>
      <c r="FYR90" s="104"/>
      <c r="FYS90" s="104"/>
      <c r="FYT90" s="104"/>
      <c r="FYU90" s="104"/>
      <c r="FYV90" s="104"/>
      <c r="FYW90" s="104"/>
      <c r="FYX90" s="104"/>
      <c r="FYY90" s="104"/>
      <c r="FYZ90" s="104"/>
      <c r="FZA90" s="104"/>
      <c r="FZB90" s="104"/>
      <c r="FZC90" s="104"/>
      <c r="FZD90" s="104"/>
      <c r="FZE90" s="104"/>
      <c r="FZF90" s="104"/>
      <c r="FZG90" s="104"/>
      <c r="FZH90" s="104"/>
      <c r="FZI90" s="104"/>
      <c r="FZJ90" s="104"/>
      <c r="FZK90" s="104"/>
      <c r="FZL90" s="104"/>
      <c r="FZM90" s="104"/>
      <c r="FZN90" s="104"/>
      <c r="FZO90" s="104"/>
      <c r="FZP90" s="104"/>
      <c r="FZQ90" s="104"/>
      <c r="FZR90" s="104"/>
      <c r="FZS90" s="104"/>
      <c r="FZT90" s="104"/>
      <c r="FZU90" s="104"/>
      <c r="FZV90" s="104"/>
      <c r="FZW90" s="104"/>
      <c r="FZX90" s="104"/>
      <c r="FZY90" s="104"/>
      <c r="FZZ90" s="104"/>
      <c r="GAA90" s="104"/>
      <c r="GAB90" s="104"/>
      <c r="GAC90" s="104"/>
    </row>
    <row r="91" spans="1:4761" s="87" customFormat="1" ht="24.95" customHeight="1" x14ac:dyDescent="0.25">
      <c r="A91" s="9" t="s">
        <v>204</v>
      </c>
      <c r="B91" s="36"/>
      <c r="C91" s="36"/>
      <c r="D91" s="96" t="s">
        <v>737</v>
      </c>
      <c r="E91" s="83" t="s">
        <v>33</v>
      </c>
      <c r="F91" s="83" t="s">
        <v>34</v>
      </c>
      <c r="G91" s="83" t="s">
        <v>623</v>
      </c>
      <c r="H91" s="83" t="s">
        <v>29</v>
      </c>
      <c r="I91" s="83" t="s">
        <v>7</v>
      </c>
      <c r="J91" s="97"/>
      <c r="K91" s="83" t="s">
        <v>30</v>
      </c>
      <c r="L91" s="97"/>
      <c r="M91" s="83" t="s">
        <v>2766</v>
      </c>
      <c r="N91" s="83" t="s">
        <v>624</v>
      </c>
      <c r="O91" s="108">
        <v>4118</v>
      </c>
      <c r="P91" s="108">
        <v>2054</v>
      </c>
      <c r="Q91" s="108">
        <v>2200</v>
      </c>
      <c r="R91" s="108"/>
      <c r="S91" s="108">
        <v>3352</v>
      </c>
      <c r="T91" s="108">
        <v>2200</v>
      </c>
      <c r="U91" s="108">
        <v>7073</v>
      </c>
      <c r="V91" s="108">
        <v>1060</v>
      </c>
      <c r="W91" s="108">
        <v>4100</v>
      </c>
      <c r="X91" s="108">
        <v>1925</v>
      </c>
      <c r="Y91" s="108"/>
      <c r="Z91" s="108">
        <v>8</v>
      </c>
      <c r="AA91" s="83" t="s">
        <v>36</v>
      </c>
      <c r="AB91" s="37">
        <v>7200</v>
      </c>
      <c r="AC91" s="108">
        <v>3365</v>
      </c>
      <c r="AD91" s="37"/>
      <c r="AE91" s="37"/>
      <c r="AF91" s="37"/>
      <c r="AG91" s="37"/>
      <c r="AH91" s="108" t="s">
        <v>625</v>
      </c>
      <c r="AI91" s="108" t="s">
        <v>626</v>
      </c>
      <c r="AJ91" s="108"/>
      <c r="AK91" s="108" t="s">
        <v>627</v>
      </c>
      <c r="AL91" s="108"/>
      <c r="AM91" s="110" t="s">
        <v>628</v>
      </c>
      <c r="AN91" s="110"/>
      <c r="AO91" s="108" t="s">
        <v>730</v>
      </c>
      <c r="AP91" s="108"/>
      <c r="AQ91" s="108" t="s">
        <v>731</v>
      </c>
      <c r="AR91" s="108"/>
      <c r="AS91" s="108" t="s">
        <v>629</v>
      </c>
      <c r="AT91" s="108"/>
      <c r="AU91" s="83" t="s">
        <v>732</v>
      </c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6">
        <f>IF(CONCATENATE(A91,B91,C91,D91,E91,F91,G91,H91,I91,J91,K91,L91,M91,N91,O91,P91,Q91,R91,S91,T91,U91,V91,W91,X91,Y91,Z91,AA91,AB91,AC91,AD91,AE91,AF91,AG91,AH91,AI91,AK91,AM91,AO91,AQ91,AS91,AU91,AV91,AW91,AX91,AY91,AZ91,BA91,BB91,BC91,BD91,BE91,BF91,BG91,BH91,BI91,BJ91,BK91,BL91,BM91,BN91,BO91,BP91,BQ91)=(CONCATENATE([2]FS_referentiel_produits_std!A107,[2]FS_referentiel_produits_std!B107,[2]FS_referentiel_produits_std!C107,[2]FS_referentiel_produits_std!D107,[2]FS_referentiel_produits_std!E107,[2]FS_referentiel_produits_std!F107,[2]FS_referentiel_produits_std!G107,[2]FS_referentiel_produits_std!H107,[2]FS_referentiel_produits_std!I107,[2]FS_referentiel_produits_std!J107,[2]FS_referentiel_produits_std!K107,[2]FS_referentiel_produits_std!L107,[2]FS_referentiel_produits_std!M107,[2]FS_referentiel_produits_std!N107,[2]FS_referentiel_produits_std!O107,[2]FS_referentiel_produits_std!P107,[2]FS_referentiel_produits_std!Q107,[2]FS_referentiel_produits_std!R107,[2]FS_referentiel_produits_std!S107,[2]FS_referentiel_produits_std!T107,[2]FS_referentiel_produits_std!U107,[2]FS_referentiel_produits_std!V107,[2]FS_referentiel_produits_std!W107,[2]FS_referentiel_produits_std!X107,[2]FS_referentiel_produits_std!Y107,[2]FS_referentiel_produits_std!Z107,[2]FS_referentiel_produits_std!AA107,[2]FS_referentiel_produits_std!AB107,[2]FS_referentiel_produits_std!AC107,[2]FS_referentiel_produits_std!AD107,[2]FS_referentiel_produits_std!AE107,[2]FS_referentiel_produits_std!AF107,[2]FS_referentiel_produits_std!AG107,[2]FS_referentiel_produits_std!AH107,[2]FS_referentiel_produits_std!AI107,[2]FS_referentiel_produits_std!AJ107,[2]FS_referentiel_produits_std!AK107,[2]FS_referentiel_produits_std!AL107,[2]FS_referentiel_produits_std!AM107,[2]FS_referentiel_produits_std!AN107,[2]FS_referentiel_produits_std!AO107,[2]FS_referentiel_produits_std!AP107,[2]FS_referentiel_produits_std!AQ107,[2]FS_referentiel_produits_std!AR107,[2]FS_referentiel_produits_std!AS107,[2]FS_referentiel_produits_std!AT107,[2]FS_referentiel_produits_std!AU107,[2]FS_referentiel_produits_std!AV107,[2]FS_referentiel_produits_std!AW107,[2]FS_referentiel_produits_std!AX107,[2]FS_referentiel_produits_std!AY107,[2]FS_referentiel_produits_std!AZ107,[2]FS_referentiel_produits_std!BA107,[2]FS_referentiel_produits_std!BB107,[2]FS_referentiel_produits_std!BC107,[2]FS_referentiel_produits_std!BD107,[2]FS_referentiel_produits_std!BE107,[2]FS_referentiel_produits_std!BF107,[2]FS_referentiel_produits_std!BG107,[2]FS_referentiel_produits_std!BH107,[2]FS_referentiel_produits_std!BI107,[2]FS_referentiel_produits_std!BJ107,[2]FS_referentiel_produits_std!BK107)),0,1)</f>
        <v>1</v>
      </c>
    </row>
    <row r="92" spans="1:4761" s="87" customFormat="1" ht="24.95" customHeight="1" x14ac:dyDescent="0.25">
      <c r="A92" s="9" t="s">
        <v>204</v>
      </c>
      <c r="B92" s="36"/>
      <c r="C92" s="36"/>
      <c r="D92" s="96" t="s">
        <v>737</v>
      </c>
      <c r="E92" s="83" t="s">
        <v>33</v>
      </c>
      <c r="F92" s="83" t="s">
        <v>34</v>
      </c>
      <c r="G92" s="83" t="s">
        <v>623</v>
      </c>
      <c r="H92" s="83" t="s">
        <v>29</v>
      </c>
      <c r="I92" s="83" t="s">
        <v>7</v>
      </c>
      <c r="J92" s="97"/>
      <c r="K92" s="83" t="s">
        <v>30</v>
      </c>
      <c r="L92" s="97"/>
      <c r="M92" s="83" t="s">
        <v>2768</v>
      </c>
      <c r="N92" s="83" t="s">
        <v>624</v>
      </c>
      <c r="O92" s="108">
        <v>4118</v>
      </c>
      <c r="P92" s="108">
        <v>2054</v>
      </c>
      <c r="Q92" s="108">
        <v>2200</v>
      </c>
      <c r="R92" s="108"/>
      <c r="S92" s="108">
        <v>3352</v>
      </c>
      <c r="T92" s="108">
        <v>2200</v>
      </c>
      <c r="U92" s="108">
        <v>7073</v>
      </c>
      <c r="V92" s="108">
        <v>1060</v>
      </c>
      <c r="W92" s="108">
        <v>4100</v>
      </c>
      <c r="X92" s="108">
        <v>1925</v>
      </c>
      <c r="Y92" s="108"/>
      <c r="Z92" s="108">
        <v>8</v>
      </c>
      <c r="AA92" s="83" t="s">
        <v>36</v>
      </c>
      <c r="AB92" s="37">
        <v>7200</v>
      </c>
      <c r="AC92" s="108">
        <v>3365</v>
      </c>
      <c r="AD92" s="37"/>
      <c r="AE92" s="37"/>
      <c r="AF92" s="37"/>
      <c r="AG92" s="37"/>
      <c r="AH92" s="108" t="s">
        <v>625</v>
      </c>
      <c r="AI92" s="108" t="s">
        <v>626</v>
      </c>
      <c r="AJ92" s="108"/>
      <c r="AK92" s="108" t="s">
        <v>627</v>
      </c>
      <c r="AL92" s="108"/>
      <c r="AM92" s="110" t="s">
        <v>628</v>
      </c>
      <c r="AN92" s="110"/>
      <c r="AO92" s="108" t="s">
        <v>730</v>
      </c>
      <c r="AP92" s="108"/>
      <c r="AQ92" s="108"/>
      <c r="AR92" s="108"/>
      <c r="AS92" s="108" t="s">
        <v>629</v>
      </c>
      <c r="AT92" s="108"/>
      <c r="AU92" s="83" t="s">
        <v>732</v>
      </c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6">
        <f>IF(CONCATENATE(A92,B92,C92,D92,E92,F92,G92,H92,I92,J92,K92,L92,M92,N92,O92,P92,Q92,R92,S92,T92,U92,V92,W92,X92,Y92,Z92,AA92,AB92,AC92,AD92,AE92,AF92,AG92,AH92,AI92,AK92,AM92,AO92,AQ92,AS92,AU92,AV92,AW92,AX92,AY92,AZ92,BA92,BB92,BC92,BD92,BE92,BF92,BG92,BH92,BI92,BJ92,BK92,BL92,BM92,BN92,BO92,BP92,BQ92)=(CONCATENATE([2]FS_referentiel_produits_std!A108,[2]FS_referentiel_produits_std!B108,[2]FS_referentiel_produits_std!C108,[2]FS_referentiel_produits_std!D108,[2]FS_referentiel_produits_std!E108,[2]FS_referentiel_produits_std!F108,[2]FS_referentiel_produits_std!G108,[2]FS_referentiel_produits_std!H108,[2]FS_referentiel_produits_std!I108,[2]FS_referentiel_produits_std!J108,[2]FS_referentiel_produits_std!K108,[2]FS_referentiel_produits_std!L108,[2]FS_referentiel_produits_std!M108,[2]FS_referentiel_produits_std!N108,[2]FS_referentiel_produits_std!O108,[2]FS_referentiel_produits_std!P108,[2]FS_referentiel_produits_std!Q108,[2]FS_referentiel_produits_std!R108,[2]FS_referentiel_produits_std!S108,[2]FS_referentiel_produits_std!T108,[2]FS_referentiel_produits_std!U108,[2]FS_referentiel_produits_std!V108,[2]FS_referentiel_produits_std!W108,[2]FS_referentiel_produits_std!X108,[2]FS_referentiel_produits_std!Y108,[2]FS_referentiel_produits_std!Z108,[2]FS_referentiel_produits_std!AA108,[2]FS_referentiel_produits_std!AB108,[2]FS_referentiel_produits_std!AC108,[2]FS_referentiel_produits_std!AD108,[2]FS_referentiel_produits_std!AE108,[2]FS_referentiel_produits_std!AF108,[2]FS_referentiel_produits_std!AG108,[2]FS_referentiel_produits_std!AH108,[2]FS_referentiel_produits_std!AI108,[2]FS_referentiel_produits_std!AJ108,[2]FS_referentiel_produits_std!AK108,[2]FS_referentiel_produits_std!AL108,[2]FS_referentiel_produits_std!AM108,[2]FS_referentiel_produits_std!AN108,[2]FS_referentiel_produits_std!AO108,[2]FS_referentiel_produits_std!AP108,[2]FS_referentiel_produits_std!AQ108,[2]FS_referentiel_produits_std!AR108,[2]FS_referentiel_produits_std!AS108,[2]FS_referentiel_produits_std!AT108,[2]FS_referentiel_produits_std!AU108,[2]FS_referentiel_produits_std!AV108,[2]FS_referentiel_produits_std!AW108,[2]FS_referentiel_produits_std!AX108,[2]FS_referentiel_produits_std!AY108,[2]FS_referentiel_produits_std!AZ108,[2]FS_referentiel_produits_std!BA108,[2]FS_referentiel_produits_std!BB108,[2]FS_referentiel_produits_std!BC108,[2]FS_referentiel_produits_std!BD108,[2]FS_referentiel_produits_std!BE108,[2]FS_referentiel_produits_std!BF108,[2]FS_referentiel_produits_std!BG108,[2]FS_referentiel_produits_std!BH108,[2]FS_referentiel_produits_std!BI108,[2]FS_referentiel_produits_std!BJ108,[2]FS_referentiel_produits_std!BK108)),0,1)</f>
        <v>1</v>
      </c>
    </row>
    <row r="93" spans="1:4761" s="87" customFormat="1" ht="24.95" customHeight="1" x14ac:dyDescent="0.25">
      <c r="A93" s="9" t="s">
        <v>204</v>
      </c>
      <c r="B93" s="36"/>
      <c r="C93" s="36"/>
      <c r="D93" s="96" t="s">
        <v>737</v>
      </c>
      <c r="E93" s="83" t="s">
        <v>33</v>
      </c>
      <c r="F93" s="83" t="s">
        <v>37</v>
      </c>
      <c r="G93" s="83" t="s">
        <v>42</v>
      </c>
      <c r="H93" s="83" t="s">
        <v>12</v>
      </c>
      <c r="I93" s="83" t="s">
        <v>7</v>
      </c>
      <c r="J93" s="97"/>
      <c r="K93" s="83" t="s">
        <v>30</v>
      </c>
      <c r="L93" s="97"/>
      <c r="M93" s="83" t="s">
        <v>759</v>
      </c>
      <c r="N93" s="83" t="s">
        <v>624</v>
      </c>
      <c r="O93" s="108">
        <v>7690</v>
      </c>
      <c r="P93" s="108">
        <v>2454</v>
      </c>
      <c r="Q93" s="108">
        <v>2400</v>
      </c>
      <c r="R93" s="108"/>
      <c r="S93" s="108">
        <v>3675</v>
      </c>
      <c r="T93" s="108">
        <v>2600</v>
      </c>
      <c r="U93" s="108">
        <v>9872</v>
      </c>
      <c r="V93" s="108">
        <v>1160</v>
      </c>
      <c r="W93" s="108">
        <v>5670</v>
      </c>
      <c r="X93" s="108">
        <v>2840</v>
      </c>
      <c r="Y93" s="108"/>
      <c r="Z93" s="108">
        <v>18</v>
      </c>
      <c r="AA93" s="83" t="s">
        <v>303</v>
      </c>
      <c r="AB93" s="37">
        <v>16000</v>
      </c>
      <c r="AC93" s="108">
        <v>6790</v>
      </c>
      <c r="AD93" s="37"/>
      <c r="AE93" s="37"/>
      <c r="AF93" s="37"/>
      <c r="AG93" s="37"/>
      <c r="AH93" s="108" t="s">
        <v>163</v>
      </c>
      <c r="AI93" s="108" t="s">
        <v>637</v>
      </c>
      <c r="AJ93" s="108"/>
      <c r="AK93" s="108" t="s">
        <v>643</v>
      </c>
      <c r="AL93" s="108"/>
      <c r="AM93" s="108" t="s">
        <v>644</v>
      </c>
      <c r="AN93" s="108"/>
      <c r="AO93" s="108" t="s">
        <v>645</v>
      </c>
      <c r="AP93" s="108"/>
      <c r="AQ93" s="108"/>
      <c r="AR93" s="108"/>
      <c r="AS93" s="108" t="s">
        <v>647</v>
      </c>
      <c r="AT93" s="108"/>
      <c r="AU93" s="90" t="s">
        <v>648</v>
      </c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6">
        <f>IF(CONCATENATE(A93,B93,C93,D93,E93,F93,G93,H93,I93,J93,K93,L93,M93,N93,O93,P93,Q93,R93,S93,T93,U93,V93,W93,X93,Y93,Z93,AA93,AB93,AC93,AD93,AE93,AF93,AG93,AH93,AI93,AK93,AM93,AO93,AQ93,AS93,AU93,AV93,AW93,AX93,AY93,AZ93,BA93,BB93,BC93,BD93,BE93,BF93,BG93,BH93,BI93,BJ93,BK93,BL93,BM93,BN93,BO93,BP93,BQ93)=(CONCATENATE([1]FS_referentiel_produits_std!A77,[1]FS_referentiel_produits_std!B77,[1]FS_referentiel_produits_std!C77,[1]FS_referentiel_produits_std!D77,[1]FS_referentiel_produits_std!E77,[1]FS_referentiel_produits_std!F77,[1]FS_referentiel_produits_std!G77,[1]FS_referentiel_produits_std!H77,[1]FS_referentiel_produits_std!I77,[1]FS_referentiel_produits_std!J77,[1]FS_referentiel_produits_std!K77,[1]FS_referentiel_produits_std!L77,[1]FS_referentiel_produits_std!M77,[1]FS_referentiel_produits_std!N77,[1]FS_referentiel_produits_std!O77,[1]FS_referentiel_produits_std!P77,[1]FS_referentiel_produits_std!Q77,[1]FS_referentiel_produits_std!R77,[1]FS_referentiel_produits_std!S77,[1]FS_referentiel_produits_std!T77,[1]FS_referentiel_produits_std!U77,[1]FS_referentiel_produits_std!V77,[1]FS_referentiel_produits_std!W77,[1]FS_referentiel_produits_std!X77,[1]FS_referentiel_produits_std!Y77,[1]FS_referentiel_produits_std!Z77,[1]FS_referentiel_produits_std!AA77,[1]FS_referentiel_produits_std!AB77,[1]FS_referentiel_produits_std!AC77,[1]FS_referentiel_produits_std!AD77,[1]FS_referentiel_produits_std!AE77,[1]FS_referentiel_produits_std!AF77,[1]FS_referentiel_produits_std!AG77,[1]FS_referentiel_produits_std!AH77,[1]FS_referentiel_produits_std!AI77,[1]FS_referentiel_produits_std!AJ77,[1]FS_referentiel_produits_std!AK77,[1]FS_referentiel_produits_std!AL77,[1]FS_referentiel_produits_std!AM77,[1]FS_referentiel_produits_std!AN77,[1]FS_referentiel_produits_std!AO77,[1]FS_referentiel_produits_std!AP77,[1]FS_referentiel_produits_std!AQ77,[1]FS_referentiel_produits_std!AR77,[1]FS_referentiel_produits_std!AS77,[1]FS_referentiel_produits_std!AT77,[1]FS_referentiel_produits_std!AU77,[1]FS_referentiel_produits_std!AV77,[1]FS_referentiel_produits_std!AW77,[1]FS_referentiel_produits_std!AX77,[1]FS_referentiel_produits_std!AY77,[1]FS_referentiel_produits_std!AZ77,[1]FS_referentiel_produits_std!BA77,[1]FS_referentiel_produits_std!BB77,[1]FS_referentiel_produits_std!BC77,[1]FS_referentiel_produits_std!BD77,[1]FS_referentiel_produits_std!BE77,[1]FS_referentiel_produits_std!BF77,[1]FS_referentiel_produits_std!BG77,[1]FS_referentiel_produits_std!BH77,[1]FS_referentiel_produits_std!BI77,[1]FS_referentiel_produits_std!BJ77,[1]FS_referentiel_produits_std!BK77)),0,1)</f>
        <v>1</v>
      </c>
    </row>
    <row r="94" spans="1:4761" s="87" customFormat="1" ht="24.95" customHeight="1" x14ac:dyDescent="0.25">
      <c r="A94" s="9" t="s">
        <v>204</v>
      </c>
      <c r="B94" s="36"/>
      <c r="C94" s="36"/>
      <c r="D94" s="96" t="s">
        <v>737</v>
      </c>
      <c r="E94" s="83" t="s">
        <v>33</v>
      </c>
      <c r="F94" s="83" t="s">
        <v>37</v>
      </c>
      <c r="G94" s="83" t="s">
        <v>42</v>
      </c>
      <c r="H94" s="83" t="s">
        <v>12</v>
      </c>
      <c r="I94" s="83" t="s">
        <v>7</v>
      </c>
      <c r="J94" s="97"/>
      <c r="K94" s="83" t="s">
        <v>30</v>
      </c>
      <c r="L94" s="97"/>
      <c r="M94" s="83" t="s">
        <v>760</v>
      </c>
      <c r="N94" s="83" t="s">
        <v>624</v>
      </c>
      <c r="O94" s="108">
        <v>7690</v>
      </c>
      <c r="P94" s="108">
        <v>2454</v>
      </c>
      <c r="Q94" s="108">
        <v>2400</v>
      </c>
      <c r="R94" s="108"/>
      <c r="S94" s="108">
        <v>3675</v>
      </c>
      <c r="T94" s="108">
        <v>2600</v>
      </c>
      <c r="U94" s="108">
        <v>9872</v>
      </c>
      <c r="V94" s="108">
        <v>1160</v>
      </c>
      <c r="W94" s="108">
        <v>5670</v>
      </c>
      <c r="X94" s="108">
        <v>2840</v>
      </c>
      <c r="Y94" s="108"/>
      <c r="Z94" s="108">
        <v>18</v>
      </c>
      <c r="AA94" s="83" t="s">
        <v>303</v>
      </c>
      <c r="AB94" s="37">
        <v>16000</v>
      </c>
      <c r="AC94" s="108">
        <v>6790</v>
      </c>
      <c r="AD94" s="37"/>
      <c r="AE94" s="37"/>
      <c r="AF94" s="37"/>
      <c r="AG94" s="37"/>
      <c r="AH94" s="108" t="s">
        <v>163</v>
      </c>
      <c r="AI94" s="108" t="s">
        <v>637</v>
      </c>
      <c r="AJ94" s="108"/>
      <c r="AK94" s="108" t="s">
        <v>643</v>
      </c>
      <c r="AL94" s="108"/>
      <c r="AM94" s="108" t="s">
        <v>644</v>
      </c>
      <c r="AN94" s="108"/>
      <c r="AO94" s="108" t="s">
        <v>645</v>
      </c>
      <c r="AP94" s="108"/>
      <c r="AQ94" s="108"/>
      <c r="AR94" s="108"/>
      <c r="AS94" s="108" t="s">
        <v>647</v>
      </c>
      <c r="AT94" s="108"/>
      <c r="AU94" s="90" t="s">
        <v>648</v>
      </c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6">
        <f>IF(CONCATENATE(A94,B94,C94,D94,E94,F94,G94,H94,I94,J94,K94,L94,M94,N94,O94,P94,Q94,R94,S94,T94,U94,V94,W94,X94,Y94,Z94,AA94,AB94,AC94,AD94,AE94,AF94,AG94,AH94,AI94,AK94,AM94,AO94,AQ94,AS94,AU94,AV94,AW94,AX94,AY94,AZ94,BA94,BB94,BC94,BD94,BE94,BF94,BG94,BH94,BI94,BJ94,BK94,BL94,BM94,BN94,BO94,BP94,BQ94)=(CONCATENATE([1]FS_referentiel_produits_std!A78,[1]FS_referentiel_produits_std!B78,[1]FS_referentiel_produits_std!C78,[1]FS_referentiel_produits_std!D78,[1]FS_referentiel_produits_std!E78,[1]FS_referentiel_produits_std!F78,[1]FS_referentiel_produits_std!G78,[1]FS_referentiel_produits_std!H78,[1]FS_referentiel_produits_std!I78,[1]FS_referentiel_produits_std!J78,[1]FS_referentiel_produits_std!K78,[1]FS_referentiel_produits_std!L78,[1]FS_referentiel_produits_std!M78,[1]FS_referentiel_produits_std!N78,[1]FS_referentiel_produits_std!O78,[1]FS_referentiel_produits_std!P78,[1]FS_referentiel_produits_std!Q78,[1]FS_referentiel_produits_std!R78,[1]FS_referentiel_produits_std!S78,[1]FS_referentiel_produits_std!T78,[1]FS_referentiel_produits_std!U78,[1]FS_referentiel_produits_std!V78,[1]FS_referentiel_produits_std!W78,[1]FS_referentiel_produits_std!X78,[1]FS_referentiel_produits_std!Y78,[1]FS_referentiel_produits_std!Z78,[1]FS_referentiel_produits_std!AA78,[1]FS_referentiel_produits_std!AB78,[1]FS_referentiel_produits_std!AC78,[1]FS_referentiel_produits_std!AD78,[1]FS_referentiel_produits_std!AE78,[1]FS_referentiel_produits_std!AF78,[1]FS_referentiel_produits_std!AG78,[1]FS_referentiel_produits_std!AH78,[1]FS_referentiel_produits_std!AI78,[1]FS_referentiel_produits_std!AJ78,[1]FS_referentiel_produits_std!AK78,[1]FS_referentiel_produits_std!AL78,[1]FS_referentiel_produits_std!AM78,[1]FS_referentiel_produits_std!AN78,[1]FS_referentiel_produits_std!AO78,[1]FS_referentiel_produits_std!AP78,[1]FS_referentiel_produits_std!AQ78,[1]FS_referentiel_produits_std!AR78,[1]FS_referentiel_produits_std!AS78,[1]FS_referentiel_produits_std!AT78,[1]FS_referentiel_produits_std!AU78,[1]FS_referentiel_produits_std!AV78,[1]FS_referentiel_produits_std!AW78,[1]FS_referentiel_produits_std!AX78,[1]FS_referentiel_produits_std!AY78,[1]FS_referentiel_produits_std!AZ78,[1]FS_referentiel_produits_std!BA78,[1]FS_referentiel_produits_std!BB78,[1]FS_referentiel_produits_std!BC78,[1]FS_referentiel_produits_std!BD78,[1]FS_referentiel_produits_std!BE78,[1]FS_referentiel_produits_std!BF78,[1]FS_referentiel_produits_std!BG78,[1]FS_referentiel_produits_std!BH78,[1]FS_referentiel_produits_std!BI78,[1]FS_referentiel_produits_std!BJ78,[1]FS_referentiel_produits_std!BK78)),0,1)</f>
        <v>1</v>
      </c>
    </row>
    <row r="95" spans="1:4761" s="87" customFormat="1" ht="24.95" customHeight="1" x14ac:dyDescent="0.25">
      <c r="A95" s="9" t="s">
        <v>204</v>
      </c>
      <c r="B95" s="36"/>
      <c r="C95" s="36"/>
      <c r="D95" s="96" t="s">
        <v>737</v>
      </c>
      <c r="E95" s="83" t="s">
        <v>33</v>
      </c>
      <c r="F95" s="83" t="s">
        <v>37</v>
      </c>
      <c r="G95" s="83" t="s">
        <v>43</v>
      </c>
      <c r="H95" s="83" t="s">
        <v>12</v>
      </c>
      <c r="I95" s="83" t="s">
        <v>7</v>
      </c>
      <c r="J95" s="97"/>
      <c r="K95" s="83" t="s">
        <v>30</v>
      </c>
      <c r="L95" s="97"/>
      <c r="M95" s="83" t="s">
        <v>761</v>
      </c>
      <c r="N95" s="83" t="s">
        <v>624</v>
      </c>
      <c r="O95" s="108">
        <v>8890</v>
      </c>
      <c r="P95" s="108">
        <v>2454</v>
      </c>
      <c r="Q95" s="108">
        <v>2400</v>
      </c>
      <c r="R95" s="108"/>
      <c r="S95" s="108">
        <v>3785</v>
      </c>
      <c r="T95" s="108">
        <v>2600</v>
      </c>
      <c r="U95" s="108">
        <v>11032</v>
      </c>
      <c r="V95" s="108">
        <v>1270</v>
      </c>
      <c r="W95" s="108">
        <v>6570</v>
      </c>
      <c r="X95" s="108">
        <v>3100</v>
      </c>
      <c r="Y95" s="108"/>
      <c r="Z95" s="108">
        <v>21</v>
      </c>
      <c r="AA95" s="83" t="s">
        <v>303</v>
      </c>
      <c r="AB95" s="37">
        <v>19000</v>
      </c>
      <c r="AC95" s="108">
        <v>8520</v>
      </c>
      <c r="AD95" s="37"/>
      <c r="AE95" s="37"/>
      <c r="AF95" s="37"/>
      <c r="AG95" s="37"/>
      <c r="AH95" s="108" t="s">
        <v>164</v>
      </c>
      <c r="AI95" s="108" t="s">
        <v>652</v>
      </c>
      <c r="AJ95" s="108"/>
      <c r="AK95" s="108" t="s">
        <v>653</v>
      </c>
      <c r="AL95" s="108"/>
      <c r="AM95" s="108" t="s">
        <v>654</v>
      </c>
      <c r="AN95" s="108"/>
      <c r="AO95" s="108" t="s">
        <v>655</v>
      </c>
      <c r="AP95" s="108"/>
      <c r="AQ95" s="108"/>
      <c r="AR95" s="108"/>
      <c r="AS95" s="108" t="s">
        <v>647</v>
      </c>
      <c r="AT95" s="108"/>
      <c r="AU95" s="83" t="s">
        <v>656</v>
      </c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6">
        <f>IF(CONCATENATE(A95,B95,C95,D95,E95,F95,G95,H95,I95,J95,K95,L95,M95,N95,O95,P95,Q95,R95,S95,T95,U95,V95,W95,X95,Y95,Z95,AA95,AB95,AC95,AD95,AE95,AF95,AG95,AH95,AI95,AK95,AM95,AO95,AQ95,AS95,AU95,AV95,AW95,AX95,AY95,AZ95,BA95,BB95,BC95,BD95,BE95,BF95,BG95,BH95,BI95,BJ95,BK95,BL95,BM95,BN95,BO95,BP95,BQ95)=(CONCATENATE([1]FS_referentiel_produits_std!A79,[1]FS_referentiel_produits_std!B79,[1]FS_referentiel_produits_std!C79,[1]FS_referentiel_produits_std!D79,[1]FS_referentiel_produits_std!E79,[1]FS_referentiel_produits_std!F79,[1]FS_referentiel_produits_std!G79,[1]FS_referentiel_produits_std!H79,[1]FS_referentiel_produits_std!I79,[1]FS_referentiel_produits_std!J79,[1]FS_referentiel_produits_std!K79,[1]FS_referentiel_produits_std!L79,[1]FS_referentiel_produits_std!M79,[1]FS_referentiel_produits_std!N79,[1]FS_referentiel_produits_std!O79,[1]FS_referentiel_produits_std!P79,[1]FS_referentiel_produits_std!Q79,[1]FS_referentiel_produits_std!R79,[1]FS_referentiel_produits_std!S79,[1]FS_referentiel_produits_std!T79,[1]FS_referentiel_produits_std!U79,[1]FS_referentiel_produits_std!V79,[1]FS_referentiel_produits_std!W79,[1]FS_referentiel_produits_std!X79,[1]FS_referentiel_produits_std!Y79,[1]FS_referentiel_produits_std!Z79,[1]FS_referentiel_produits_std!AA79,[1]FS_referentiel_produits_std!AB79,[1]FS_referentiel_produits_std!AC79,[1]FS_referentiel_produits_std!AD79,[1]FS_referentiel_produits_std!AE79,[1]FS_referentiel_produits_std!AF79,[1]FS_referentiel_produits_std!AG79,[1]FS_referentiel_produits_std!AH79,[1]FS_referentiel_produits_std!AI79,[1]FS_referentiel_produits_std!AJ79,[1]FS_referentiel_produits_std!AK79,[1]FS_referentiel_produits_std!AL79,[1]FS_referentiel_produits_std!AM79,[1]FS_referentiel_produits_std!AN79,[1]FS_referentiel_produits_std!AO79,[1]FS_referentiel_produits_std!AP79,[1]FS_referentiel_produits_std!AQ79,[1]FS_referentiel_produits_std!AR79,[1]FS_referentiel_produits_std!AS79,[1]FS_referentiel_produits_std!AT79,[1]FS_referentiel_produits_std!AU79,[1]FS_referentiel_produits_std!AV79,[1]FS_referentiel_produits_std!AW79,[1]FS_referentiel_produits_std!AX79,[1]FS_referentiel_produits_std!AY79,[1]FS_referentiel_produits_std!AZ79,[1]FS_referentiel_produits_std!BA79,[1]FS_referentiel_produits_std!BB79,[1]FS_referentiel_produits_std!BC79,[1]FS_referentiel_produits_std!BD79,[1]FS_referentiel_produits_std!BE79,[1]FS_referentiel_produits_std!BF79,[1]FS_referentiel_produits_std!BG79,[1]FS_referentiel_produits_std!BH79,[1]FS_referentiel_produits_std!BI79,[1]FS_referentiel_produits_std!BJ79,[1]FS_referentiel_produits_std!BK79)),0,1)</f>
        <v>1</v>
      </c>
    </row>
    <row r="96" spans="1:4761" s="87" customFormat="1" ht="24.95" customHeight="1" x14ac:dyDescent="0.25">
      <c r="A96" s="9" t="s">
        <v>204</v>
      </c>
      <c r="B96" s="36"/>
      <c r="C96" s="36"/>
      <c r="D96" s="96" t="s">
        <v>737</v>
      </c>
      <c r="E96" s="83" t="s">
        <v>33</v>
      </c>
      <c r="F96" s="83" t="s">
        <v>37</v>
      </c>
      <c r="G96" s="83" t="s">
        <v>43</v>
      </c>
      <c r="H96" s="83" t="s">
        <v>12</v>
      </c>
      <c r="I96" s="83" t="s">
        <v>7</v>
      </c>
      <c r="J96" s="97"/>
      <c r="K96" s="83" t="s">
        <v>30</v>
      </c>
      <c r="L96" s="97"/>
      <c r="M96" s="83" t="s">
        <v>762</v>
      </c>
      <c r="N96" s="83" t="s">
        <v>624</v>
      </c>
      <c r="O96" s="108">
        <v>8890</v>
      </c>
      <c r="P96" s="108">
        <v>2454</v>
      </c>
      <c r="Q96" s="108">
        <v>2400</v>
      </c>
      <c r="R96" s="108"/>
      <c r="S96" s="108">
        <v>3785</v>
      </c>
      <c r="T96" s="108">
        <v>2600</v>
      </c>
      <c r="U96" s="108">
        <v>11032</v>
      </c>
      <c r="V96" s="108">
        <v>1270</v>
      </c>
      <c r="W96" s="108">
        <v>6570</v>
      </c>
      <c r="X96" s="108">
        <v>3100</v>
      </c>
      <c r="Y96" s="108"/>
      <c r="Z96" s="108">
        <v>21</v>
      </c>
      <c r="AA96" s="83" t="s">
        <v>303</v>
      </c>
      <c r="AB96" s="37">
        <v>19000</v>
      </c>
      <c r="AC96" s="108">
        <v>8520</v>
      </c>
      <c r="AD96" s="37"/>
      <c r="AE96" s="37"/>
      <c r="AF96" s="37"/>
      <c r="AG96" s="37"/>
      <c r="AH96" s="108" t="s">
        <v>164</v>
      </c>
      <c r="AI96" s="108" t="s">
        <v>652</v>
      </c>
      <c r="AJ96" s="108"/>
      <c r="AK96" s="108" t="s">
        <v>653</v>
      </c>
      <c r="AL96" s="108"/>
      <c r="AM96" s="108" t="s">
        <v>654</v>
      </c>
      <c r="AN96" s="108"/>
      <c r="AO96" s="108" t="s">
        <v>655</v>
      </c>
      <c r="AP96" s="108"/>
      <c r="AQ96" s="108"/>
      <c r="AR96" s="108"/>
      <c r="AS96" s="108" t="s">
        <v>647</v>
      </c>
      <c r="AT96" s="108"/>
      <c r="AU96" s="83" t="s">
        <v>656</v>
      </c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6">
        <f>IF(CONCATENATE(A96,B96,C96,D96,E96,F96,G96,H96,I96,J96,K96,L96,M96,N96,O96,P96,Q96,R96,S96,T96,U96,V96,W96,X96,Y96,Z96,AA96,AB96,AC96,AD96,AE96,AF96,AG96,AH96,AI96,AK96,AM96,AO96,AQ96,AS96,AU96,AV96,AW96,AX96,AY96,AZ96,BA96,BB96,BC96,BD96,BE96,BF96,BG96,BH96,BI96,BJ96,BK96,BL96,BM96,BN96,BO96,BP96,BQ96)=(CONCATENATE([1]FS_referentiel_produits_std!A80,[1]FS_referentiel_produits_std!B80,[1]FS_referentiel_produits_std!C80,[1]FS_referentiel_produits_std!D80,[1]FS_referentiel_produits_std!E80,[1]FS_referentiel_produits_std!F80,[1]FS_referentiel_produits_std!G80,[1]FS_referentiel_produits_std!H80,[1]FS_referentiel_produits_std!I80,[1]FS_referentiel_produits_std!J80,[1]FS_referentiel_produits_std!K80,[1]FS_referentiel_produits_std!L80,[1]FS_referentiel_produits_std!M80,[1]FS_referentiel_produits_std!N80,[1]FS_referentiel_produits_std!O80,[1]FS_referentiel_produits_std!P80,[1]FS_referentiel_produits_std!Q80,[1]FS_referentiel_produits_std!R80,[1]FS_referentiel_produits_std!S80,[1]FS_referentiel_produits_std!T80,[1]FS_referentiel_produits_std!U80,[1]FS_referentiel_produits_std!V80,[1]FS_referentiel_produits_std!W80,[1]FS_referentiel_produits_std!X80,[1]FS_referentiel_produits_std!Y80,[1]FS_referentiel_produits_std!Z80,[1]FS_referentiel_produits_std!AA80,[1]FS_referentiel_produits_std!AB80,[1]FS_referentiel_produits_std!AC80,[1]FS_referentiel_produits_std!AD80,[1]FS_referentiel_produits_std!AE80,[1]FS_referentiel_produits_std!AF80,[1]FS_referentiel_produits_std!AG80,[1]FS_referentiel_produits_std!AH80,[1]FS_referentiel_produits_std!AI80,[1]FS_referentiel_produits_std!AJ80,[1]FS_referentiel_produits_std!AK80,[1]FS_referentiel_produits_std!AL80,[1]FS_referentiel_produits_std!AM80,[1]FS_referentiel_produits_std!AN80,[1]FS_referentiel_produits_std!AO80,[1]FS_referentiel_produits_std!AP80,[1]FS_referentiel_produits_std!AQ80,[1]FS_referentiel_produits_std!AR80,[1]FS_referentiel_produits_std!AS80,[1]FS_referentiel_produits_std!AT80,[1]FS_referentiel_produits_std!AU80,[1]FS_referentiel_produits_std!AV80,[1]FS_referentiel_produits_std!AW80,[1]FS_referentiel_produits_std!AX80,[1]FS_referentiel_produits_std!AY80,[1]FS_referentiel_produits_std!AZ80,[1]FS_referentiel_produits_std!BA80,[1]FS_referentiel_produits_std!BB80,[1]FS_referentiel_produits_std!BC80,[1]FS_referentiel_produits_std!BD80,[1]FS_referentiel_produits_std!BE80,[1]FS_referentiel_produits_std!BF80,[1]FS_referentiel_produits_std!BG80,[1]FS_referentiel_produits_std!BH80,[1]FS_referentiel_produits_std!BI80,[1]FS_referentiel_produits_std!BJ80,[1]FS_referentiel_produits_std!BK80)),0,1)</f>
        <v>1</v>
      </c>
    </row>
    <row r="97" spans="1:70" s="87" customFormat="1" ht="24.95" customHeight="1" x14ac:dyDescent="0.25">
      <c r="A97" s="9" t="s">
        <v>204</v>
      </c>
      <c r="B97" s="36"/>
      <c r="C97" s="36"/>
      <c r="D97" s="96" t="s">
        <v>737</v>
      </c>
      <c r="E97" s="83" t="s">
        <v>659</v>
      </c>
      <c r="F97" s="83" t="s">
        <v>50</v>
      </c>
      <c r="G97" s="83" t="s">
        <v>42</v>
      </c>
      <c r="H97" s="83" t="s">
        <v>12</v>
      </c>
      <c r="I97" s="83" t="s">
        <v>7</v>
      </c>
      <c r="J97" s="97"/>
      <c r="K97" s="83" t="s">
        <v>30</v>
      </c>
      <c r="L97" s="97"/>
      <c r="M97" s="83" t="s">
        <v>763</v>
      </c>
      <c r="N97" s="83" t="s">
        <v>624</v>
      </c>
      <c r="O97" s="108">
        <v>7690</v>
      </c>
      <c r="P97" s="108">
        <v>2454</v>
      </c>
      <c r="Q97" s="108">
        <v>2400</v>
      </c>
      <c r="R97" s="108"/>
      <c r="S97" s="108">
        <v>3715</v>
      </c>
      <c r="T97" s="108">
        <v>2600</v>
      </c>
      <c r="U97" s="108">
        <v>9825</v>
      </c>
      <c r="V97" s="108">
        <v>1200</v>
      </c>
      <c r="W97" s="108">
        <v>5600</v>
      </c>
      <c r="X97" s="108">
        <v>2910</v>
      </c>
      <c r="Y97" s="108"/>
      <c r="Z97" s="108">
        <v>18</v>
      </c>
      <c r="AA97" s="83" t="s">
        <v>660</v>
      </c>
      <c r="AB97" s="37">
        <v>16000</v>
      </c>
      <c r="AC97" s="108">
        <v>6770</v>
      </c>
      <c r="AD97" s="37"/>
      <c r="AE97" s="37"/>
      <c r="AF97" s="37"/>
      <c r="AG97" s="37"/>
      <c r="AH97" s="108" t="s">
        <v>163</v>
      </c>
      <c r="AI97" s="108" t="s">
        <v>661</v>
      </c>
      <c r="AJ97" s="108"/>
      <c r="AK97" s="108" t="s">
        <v>662</v>
      </c>
      <c r="AL97" s="108"/>
      <c r="AM97" s="108" t="s">
        <v>666</v>
      </c>
      <c r="AN97" s="108"/>
      <c r="AO97" s="108" t="s">
        <v>645</v>
      </c>
      <c r="AP97" s="108"/>
      <c r="AQ97" s="108"/>
      <c r="AR97" s="108"/>
      <c r="AS97" s="108" t="s">
        <v>647</v>
      </c>
      <c r="AT97" s="108"/>
      <c r="AU97" s="90" t="s">
        <v>667</v>
      </c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6">
        <v>0</v>
      </c>
    </row>
    <row r="98" spans="1:70" s="87" customFormat="1" ht="24.95" customHeight="1" x14ac:dyDescent="0.25">
      <c r="A98" s="9" t="s">
        <v>204</v>
      </c>
      <c r="B98" s="36"/>
      <c r="C98" s="36"/>
      <c r="D98" s="96" t="s">
        <v>737</v>
      </c>
      <c r="E98" s="83" t="s">
        <v>659</v>
      </c>
      <c r="F98" s="83" t="s">
        <v>50</v>
      </c>
      <c r="G98" s="83" t="s">
        <v>42</v>
      </c>
      <c r="H98" s="83" t="s">
        <v>12</v>
      </c>
      <c r="I98" s="83" t="s">
        <v>7</v>
      </c>
      <c r="J98" s="97"/>
      <c r="K98" s="83" t="s">
        <v>30</v>
      </c>
      <c r="L98" s="97"/>
      <c r="M98" s="83" t="s">
        <v>764</v>
      </c>
      <c r="N98" s="83" t="s">
        <v>624</v>
      </c>
      <c r="O98" s="108">
        <v>7690</v>
      </c>
      <c r="P98" s="108">
        <v>2454</v>
      </c>
      <c r="Q98" s="108">
        <v>2400</v>
      </c>
      <c r="R98" s="108"/>
      <c r="S98" s="108">
        <v>3715</v>
      </c>
      <c r="T98" s="108">
        <v>2600</v>
      </c>
      <c r="U98" s="108">
        <v>9825</v>
      </c>
      <c r="V98" s="108">
        <v>1200</v>
      </c>
      <c r="W98" s="108">
        <v>5600</v>
      </c>
      <c r="X98" s="108">
        <v>2910</v>
      </c>
      <c r="Y98" s="108"/>
      <c r="Z98" s="108">
        <v>18</v>
      </c>
      <c r="AA98" s="83" t="s">
        <v>660</v>
      </c>
      <c r="AB98" s="37">
        <v>16000</v>
      </c>
      <c r="AC98" s="108">
        <v>6770</v>
      </c>
      <c r="AD98" s="37"/>
      <c r="AE98" s="37"/>
      <c r="AF98" s="37"/>
      <c r="AG98" s="37"/>
      <c r="AH98" s="108" t="s">
        <v>163</v>
      </c>
      <c r="AI98" s="108" t="s">
        <v>661</v>
      </c>
      <c r="AJ98" s="108"/>
      <c r="AK98" s="108" t="s">
        <v>662</v>
      </c>
      <c r="AL98" s="108"/>
      <c r="AM98" s="108" t="s">
        <v>666</v>
      </c>
      <c r="AN98" s="108"/>
      <c r="AO98" s="108" t="s">
        <v>645</v>
      </c>
      <c r="AP98" s="108"/>
      <c r="AQ98" s="108"/>
      <c r="AR98" s="108"/>
      <c r="AS98" s="108" t="s">
        <v>647</v>
      </c>
      <c r="AT98" s="108"/>
      <c r="AU98" s="90" t="s">
        <v>667</v>
      </c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6">
        <v>0</v>
      </c>
    </row>
    <row r="99" spans="1:70" s="87" customFormat="1" ht="24.95" customHeight="1" x14ac:dyDescent="0.25">
      <c r="A99" s="9" t="s">
        <v>204</v>
      </c>
      <c r="B99" s="36"/>
      <c r="C99" s="36"/>
      <c r="D99" s="96" t="s">
        <v>737</v>
      </c>
      <c r="E99" s="83" t="s">
        <v>659</v>
      </c>
      <c r="F99" s="83" t="s">
        <v>50</v>
      </c>
      <c r="G99" s="83" t="s">
        <v>43</v>
      </c>
      <c r="H99" s="83" t="s">
        <v>12</v>
      </c>
      <c r="I99" s="83" t="s">
        <v>7</v>
      </c>
      <c r="J99" s="97"/>
      <c r="K99" s="83" t="s">
        <v>30</v>
      </c>
      <c r="L99" s="97"/>
      <c r="M99" s="83" t="s">
        <v>2793</v>
      </c>
      <c r="N99" s="83" t="s">
        <v>624</v>
      </c>
      <c r="O99" s="108">
        <v>8890</v>
      </c>
      <c r="P99" s="108">
        <v>2454</v>
      </c>
      <c r="Q99" s="108">
        <v>2400</v>
      </c>
      <c r="R99" s="108"/>
      <c r="S99" s="108">
        <v>3802</v>
      </c>
      <c r="T99" s="108">
        <v>2600</v>
      </c>
      <c r="U99" s="108">
        <v>11200</v>
      </c>
      <c r="V99" s="108">
        <v>1287</v>
      </c>
      <c r="W99" s="108">
        <v>6450</v>
      </c>
      <c r="X99" s="108">
        <v>3330</v>
      </c>
      <c r="Y99" s="108"/>
      <c r="Z99" s="108">
        <v>21</v>
      </c>
      <c r="AA99" s="83" t="s">
        <v>668</v>
      </c>
      <c r="AB99" s="85">
        <v>19000</v>
      </c>
      <c r="AC99" s="108">
        <v>8030</v>
      </c>
      <c r="AD99" s="37"/>
      <c r="AE99" s="37"/>
      <c r="AF99" s="37"/>
      <c r="AG99" s="37"/>
      <c r="AH99" s="108" t="s">
        <v>164</v>
      </c>
      <c r="AI99" s="108" t="s">
        <v>669</v>
      </c>
      <c r="AJ99" s="108"/>
      <c r="AK99" s="108" t="s">
        <v>670</v>
      </c>
      <c r="AL99" s="108"/>
      <c r="AM99" s="108" t="s">
        <v>671</v>
      </c>
      <c r="AN99" s="108"/>
      <c r="AO99" s="108" t="s">
        <v>655</v>
      </c>
      <c r="AP99" s="108"/>
      <c r="AQ99" s="108"/>
      <c r="AR99" s="108"/>
      <c r="AS99" s="108" t="s">
        <v>647</v>
      </c>
      <c r="AT99" s="108"/>
      <c r="AU99" s="83" t="s">
        <v>72</v>
      </c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6">
        <v>0</v>
      </c>
    </row>
    <row r="100" spans="1:70" s="87" customFormat="1" ht="24.95" customHeight="1" x14ac:dyDescent="0.25">
      <c r="A100" s="9" t="s">
        <v>204</v>
      </c>
      <c r="B100" s="36"/>
      <c r="C100" s="36"/>
      <c r="D100" s="96" t="s">
        <v>737</v>
      </c>
      <c r="E100" s="83" t="s">
        <v>659</v>
      </c>
      <c r="F100" s="83" t="s">
        <v>50</v>
      </c>
      <c r="G100" s="83" t="s">
        <v>43</v>
      </c>
      <c r="H100" s="83" t="s">
        <v>12</v>
      </c>
      <c r="I100" s="83" t="s">
        <v>7</v>
      </c>
      <c r="J100" s="97"/>
      <c r="K100" s="83" t="s">
        <v>30</v>
      </c>
      <c r="L100" s="97"/>
      <c r="M100" s="83" t="s">
        <v>2794</v>
      </c>
      <c r="N100" s="83" t="s">
        <v>624</v>
      </c>
      <c r="O100" s="108">
        <v>8890</v>
      </c>
      <c r="P100" s="108">
        <v>2454</v>
      </c>
      <c r="Q100" s="108">
        <v>2400</v>
      </c>
      <c r="R100" s="108"/>
      <c r="S100" s="108">
        <v>3802</v>
      </c>
      <c r="T100" s="108">
        <v>2600</v>
      </c>
      <c r="U100" s="108">
        <v>11200</v>
      </c>
      <c r="V100" s="108">
        <v>1287</v>
      </c>
      <c r="W100" s="108">
        <v>6450</v>
      </c>
      <c r="X100" s="108">
        <v>3330</v>
      </c>
      <c r="Y100" s="108"/>
      <c r="Z100" s="108">
        <v>21</v>
      </c>
      <c r="AA100" s="83" t="s">
        <v>668</v>
      </c>
      <c r="AB100" s="85">
        <v>19000</v>
      </c>
      <c r="AC100" s="108">
        <v>8030</v>
      </c>
      <c r="AD100" s="37"/>
      <c r="AE100" s="37"/>
      <c r="AF100" s="37"/>
      <c r="AG100" s="37"/>
      <c r="AH100" s="108" t="s">
        <v>164</v>
      </c>
      <c r="AI100" s="108" t="s">
        <v>669</v>
      </c>
      <c r="AJ100" s="108"/>
      <c r="AK100" s="108" t="s">
        <v>670</v>
      </c>
      <c r="AL100" s="108"/>
      <c r="AM100" s="108" t="s">
        <v>671</v>
      </c>
      <c r="AN100" s="108"/>
      <c r="AO100" s="108" t="s">
        <v>655</v>
      </c>
      <c r="AP100" s="108"/>
      <c r="AQ100" s="108"/>
      <c r="AR100" s="108"/>
      <c r="AS100" s="108" t="s">
        <v>647</v>
      </c>
      <c r="AT100" s="108"/>
      <c r="AU100" s="83" t="s">
        <v>72</v>
      </c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6">
        <v>0</v>
      </c>
    </row>
    <row r="101" spans="1:70" s="87" customFormat="1" ht="24.95" customHeight="1" x14ac:dyDescent="0.25">
      <c r="A101" s="9" t="s">
        <v>204</v>
      </c>
      <c r="B101" s="36"/>
      <c r="C101" s="36"/>
      <c r="D101" s="96" t="s">
        <v>737</v>
      </c>
      <c r="E101" s="83" t="s">
        <v>659</v>
      </c>
      <c r="F101" s="83" t="s">
        <v>676</v>
      </c>
      <c r="G101" s="83" t="s">
        <v>45</v>
      </c>
      <c r="H101" s="83"/>
      <c r="I101" s="83"/>
      <c r="J101" s="97"/>
      <c r="K101" s="83" t="s">
        <v>677</v>
      </c>
      <c r="L101" s="97"/>
      <c r="M101" s="83" t="s">
        <v>2758</v>
      </c>
      <c r="N101" s="83" t="s">
        <v>31</v>
      </c>
      <c r="O101" s="37"/>
      <c r="P101" s="37"/>
      <c r="Q101" s="37"/>
      <c r="R101" s="37"/>
      <c r="S101" s="37">
        <v>3924</v>
      </c>
      <c r="T101" s="37">
        <v>2534</v>
      </c>
      <c r="U101" s="37">
        <v>5990</v>
      </c>
      <c r="V101" s="37"/>
      <c r="W101" s="37">
        <v>3800</v>
      </c>
      <c r="X101" s="37">
        <v>825</v>
      </c>
      <c r="Y101" s="37"/>
      <c r="Z101" s="37"/>
      <c r="AA101" s="37" t="s">
        <v>678</v>
      </c>
      <c r="AB101" s="37">
        <v>19000</v>
      </c>
      <c r="AC101" s="37"/>
      <c r="AD101" s="37"/>
      <c r="AE101" s="37"/>
      <c r="AF101" s="37">
        <v>44000</v>
      </c>
      <c r="AG101" s="37"/>
      <c r="AH101" s="37"/>
      <c r="AI101" s="108" t="s">
        <v>679</v>
      </c>
      <c r="AJ101" s="108"/>
      <c r="AK101" s="108" t="s">
        <v>680</v>
      </c>
      <c r="AL101" s="108"/>
      <c r="AM101" s="108" t="s">
        <v>681</v>
      </c>
      <c r="AN101" s="108"/>
      <c r="AO101" s="108"/>
      <c r="AP101" s="108"/>
      <c r="AQ101" s="108"/>
      <c r="AR101" s="108"/>
      <c r="AS101" s="108"/>
      <c r="AT101" s="108"/>
      <c r="AU101" s="83" t="s">
        <v>682</v>
      </c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6">
        <f>IF(CONCATENATE(A101,B101,C101,D101,E101,F101,G101,H101,I101,J101,K101,L101,M101,N101,O101,P101,Q101,R101,S101,T101,U101,V101,W101,X101,Y101,Z101,AA101,AB101,AC101,AD101,AE101,AF101,AG101,AH101,AI101,AK101,AM101,AO101,AQ101,AS101,AU101,AV101,AW101,AX101,AY101,AZ101,BA101,BB101,BC101,BD101,BE101,BF101,BG101,BH101,BI101,BJ101,BK101,BL101,BM101,BN101,BO101,BP101,BQ101)=(CONCATENATE([1]FS_referentiel_produits_std!A72,[1]FS_referentiel_produits_std!B72,[1]FS_referentiel_produits_std!C72,[1]FS_referentiel_produits_std!D72,[1]FS_referentiel_produits_std!E72,[1]FS_referentiel_produits_std!F72,[1]FS_referentiel_produits_std!G72,[1]FS_referentiel_produits_std!H72,[1]FS_referentiel_produits_std!I72,[1]FS_referentiel_produits_std!J72,[1]FS_referentiel_produits_std!K72,[1]FS_referentiel_produits_std!L72,[1]FS_referentiel_produits_std!M72,[1]FS_referentiel_produits_std!N72,[1]FS_referentiel_produits_std!O72,[1]FS_referentiel_produits_std!P72,[1]FS_referentiel_produits_std!Q72,[1]FS_referentiel_produits_std!R72,[1]FS_referentiel_produits_std!S72,[1]FS_referentiel_produits_std!T72,[1]FS_referentiel_produits_std!U72,[1]FS_referentiel_produits_std!V72,[1]FS_referentiel_produits_std!W72,[1]FS_referentiel_produits_std!X72,[1]FS_referentiel_produits_std!Y72,[1]FS_referentiel_produits_std!Z72,[1]FS_referentiel_produits_std!AA72,[1]FS_referentiel_produits_std!AB72,[1]FS_referentiel_produits_std!AC72,[1]FS_referentiel_produits_std!AD72,[1]FS_referentiel_produits_std!AE72,[1]FS_referentiel_produits_std!AF72,[1]FS_referentiel_produits_std!AG72,[1]FS_referentiel_produits_std!AH72,[1]FS_referentiel_produits_std!AI72,[1]FS_referentiel_produits_std!AJ72,[1]FS_referentiel_produits_std!AK72,[1]FS_referentiel_produits_std!AL72,[1]FS_referentiel_produits_std!AM72,[1]FS_referentiel_produits_std!AN72,[1]FS_referentiel_produits_std!AO72,[1]FS_referentiel_produits_std!AP72,[1]FS_referentiel_produits_std!AQ72,[1]FS_referentiel_produits_std!AR72,[1]FS_referentiel_produits_std!AS72,[1]FS_referentiel_produits_std!AT72,[1]FS_referentiel_produits_std!AU72,[1]FS_referentiel_produits_std!AV72,[1]FS_referentiel_produits_std!AW72,[1]FS_referentiel_produits_std!AX72,[1]FS_referentiel_produits_std!AY72,[1]FS_referentiel_produits_std!AZ72,[1]FS_referentiel_produits_std!BA72,[1]FS_referentiel_produits_std!BB72,[1]FS_referentiel_produits_std!BC72,[1]FS_referentiel_produits_std!BD72,[1]FS_referentiel_produits_std!BE72,[1]FS_referentiel_produits_std!BF72,[1]FS_referentiel_produits_std!BG72,[1]FS_referentiel_produits_std!BH72,[1]FS_referentiel_produits_std!BI72,[1]FS_referentiel_produits_std!BJ72,[1]FS_referentiel_produits_std!BK72)),0,1)</f>
        <v>1</v>
      </c>
    </row>
    <row r="102" spans="1:70" s="87" customFormat="1" ht="24.95" customHeight="1" x14ac:dyDescent="0.25">
      <c r="A102" s="9" t="s">
        <v>204</v>
      </c>
      <c r="B102" s="36"/>
      <c r="C102" s="36"/>
      <c r="D102" s="96" t="s">
        <v>737</v>
      </c>
      <c r="E102" s="83" t="s">
        <v>683</v>
      </c>
      <c r="F102" s="83" t="s">
        <v>684</v>
      </c>
      <c r="G102" s="83" t="s">
        <v>685</v>
      </c>
      <c r="H102" s="83" t="s">
        <v>29</v>
      </c>
      <c r="I102" s="83"/>
      <c r="J102" s="97"/>
      <c r="K102" s="83" t="s">
        <v>683</v>
      </c>
      <c r="L102" s="97"/>
      <c r="M102" s="83" t="s">
        <v>2773</v>
      </c>
      <c r="N102" s="83" t="s">
        <v>31</v>
      </c>
      <c r="O102" s="37">
        <v>13389</v>
      </c>
      <c r="P102" s="37">
        <v>2453</v>
      </c>
      <c r="Q102" s="37">
        <v>2600</v>
      </c>
      <c r="R102" s="37"/>
      <c r="S102" s="37"/>
      <c r="T102" s="37"/>
      <c r="U102" s="37"/>
      <c r="V102" s="37"/>
      <c r="W102" s="37">
        <v>7450</v>
      </c>
      <c r="X102" s="37"/>
      <c r="Y102" s="37"/>
      <c r="Z102" s="108">
        <v>33</v>
      </c>
      <c r="AA102" s="83" t="s">
        <v>704</v>
      </c>
      <c r="AB102" s="37">
        <v>38000</v>
      </c>
      <c r="AC102" s="37"/>
      <c r="AD102" s="37"/>
      <c r="AE102" s="37"/>
      <c r="AF102" s="37"/>
      <c r="AG102" s="37"/>
      <c r="AH102" s="108" t="s">
        <v>686</v>
      </c>
      <c r="AI102" s="108"/>
      <c r="AJ102" s="108"/>
      <c r="AK102" s="108"/>
      <c r="AL102" s="108"/>
      <c r="AM102" s="108" t="s">
        <v>687</v>
      </c>
      <c r="AN102" s="108"/>
      <c r="AO102" s="108" t="s">
        <v>705</v>
      </c>
      <c r="AP102" s="108"/>
      <c r="AQ102" s="108"/>
      <c r="AR102" s="108"/>
      <c r="AS102" s="108"/>
      <c r="AT102" s="108"/>
      <c r="AU102" s="83" t="s">
        <v>707</v>
      </c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6">
        <f>IF(CONCATENATE(A102,B102,C102,D102,E102,F102,G102,H102,I102,J102,K102,L102,M102,N102,O102,P102,Q102,R102,S102,T102,U102,V102,W102,X102,Y102,Z102,AA102,AB102,AC102,AD102,AE102,AF102,AG102,AH102,AI102,AK102,AM102,AO102,AQ102,AS102,AU102,AV102,AW102,AX102,AY102,AZ102,BA102,BB102,BC102,BD102,BE102,BF102,BG102,BH102,BI102,BJ102,BK102,BL102,BM102,BN102,BO102,BP102,BQ102)=(CONCATENATE([1]FS_referentiel_produits_std!A74,[1]FS_referentiel_produits_std!B74,[1]FS_referentiel_produits_std!C74,[1]FS_referentiel_produits_std!D74,[1]FS_referentiel_produits_std!E74,[1]FS_referentiel_produits_std!F74,[1]FS_referentiel_produits_std!G74,[1]FS_referentiel_produits_std!H74,[1]FS_referentiel_produits_std!I74,[1]FS_referentiel_produits_std!J74,[1]FS_referentiel_produits_std!K74,[1]FS_referentiel_produits_std!L74,[1]FS_referentiel_produits_std!M74,[1]FS_referentiel_produits_std!N74,[1]FS_referentiel_produits_std!O74,[1]FS_referentiel_produits_std!P74,[1]FS_referentiel_produits_std!Q74,[1]FS_referentiel_produits_std!R74,[1]FS_referentiel_produits_std!S74,[1]FS_referentiel_produits_std!T74,[1]FS_referentiel_produits_std!U74,[1]FS_referentiel_produits_std!V74,[1]FS_referentiel_produits_std!W74,[1]FS_referentiel_produits_std!X74,[1]FS_referentiel_produits_std!Y74,[1]FS_referentiel_produits_std!Z74,[1]FS_referentiel_produits_std!AA74,[1]FS_referentiel_produits_std!AB74,[1]FS_referentiel_produits_std!AC74,[1]FS_referentiel_produits_std!AD74,[1]FS_referentiel_produits_std!AE74,[1]FS_referentiel_produits_std!AF74,[1]FS_referentiel_produits_std!AG74,[1]FS_referentiel_produits_std!AH74,[1]FS_referentiel_produits_std!AI74,[1]FS_referentiel_produits_std!AJ74,[1]FS_referentiel_produits_std!AK74,[1]FS_referentiel_produits_std!AL74,[1]FS_referentiel_produits_std!AM74,[1]FS_referentiel_produits_std!AN74,[1]FS_referentiel_produits_std!AO74,[1]FS_referentiel_produits_std!AP74,[1]FS_referentiel_produits_std!AQ74,[1]FS_referentiel_produits_std!AR74,[1]FS_referentiel_produits_std!AS74,[1]FS_referentiel_produits_std!AT74,[1]FS_referentiel_produits_std!AU74,[1]FS_referentiel_produits_std!AV74,[1]FS_referentiel_produits_std!AW74,[1]FS_referentiel_produits_std!AX74,[1]FS_referentiel_produits_std!AY74,[1]FS_referentiel_produits_std!AZ74,[1]FS_referentiel_produits_std!BA74,[1]FS_referentiel_produits_std!BB74,[1]FS_referentiel_produits_std!BC74,[1]FS_referentiel_produits_std!BD74,[1]FS_referentiel_produits_std!BE74,[1]FS_referentiel_produits_std!BF74,[1]FS_referentiel_produits_std!BG74,[1]FS_referentiel_produits_std!BH74,[1]FS_referentiel_produits_std!BI74,[1]FS_referentiel_produits_std!BJ74,[1]FS_referentiel_produits_std!BK74)),0,1)</f>
        <v>1</v>
      </c>
    </row>
    <row r="103" spans="1:70" s="87" customFormat="1" ht="24.95" customHeight="1" x14ac:dyDescent="0.25">
      <c r="A103" s="9" t="s">
        <v>204</v>
      </c>
      <c r="B103" s="36"/>
      <c r="C103" s="36"/>
      <c r="D103" s="96" t="s">
        <v>737</v>
      </c>
      <c r="E103" s="83" t="s">
        <v>683</v>
      </c>
      <c r="F103" s="83" t="s">
        <v>684</v>
      </c>
      <c r="G103" s="83" t="s">
        <v>685</v>
      </c>
      <c r="H103" s="83" t="s">
        <v>29</v>
      </c>
      <c r="I103" s="83"/>
      <c r="J103" s="97"/>
      <c r="K103" s="83" t="s">
        <v>683</v>
      </c>
      <c r="L103" s="97"/>
      <c r="M103" s="83" t="s">
        <v>2775</v>
      </c>
      <c r="N103" s="83" t="s">
        <v>31</v>
      </c>
      <c r="O103" s="37">
        <v>13389</v>
      </c>
      <c r="P103" s="37">
        <v>2453</v>
      </c>
      <c r="Q103" s="37">
        <v>2600</v>
      </c>
      <c r="R103" s="37"/>
      <c r="S103" s="37"/>
      <c r="T103" s="37"/>
      <c r="U103" s="37"/>
      <c r="V103" s="37"/>
      <c r="W103" s="37">
        <v>7450</v>
      </c>
      <c r="X103" s="37"/>
      <c r="Y103" s="37"/>
      <c r="Z103" s="108">
        <v>33</v>
      </c>
      <c r="AA103" s="83" t="s">
        <v>704</v>
      </c>
      <c r="AB103" s="37">
        <v>38000</v>
      </c>
      <c r="AC103" s="37"/>
      <c r="AD103" s="37"/>
      <c r="AE103" s="37"/>
      <c r="AF103" s="37"/>
      <c r="AG103" s="37"/>
      <c r="AH103" s="108" t="s">
        <v>686</v>
      </c>
      <c r="AI103" s="108"/>
      <c r="AJ103" s="108"/>
      <c r="AK103" s="108"/>
      <c r="AL103" s="108"/>
      <c r="AM103" s="108" t="s">
        <v>687</v>
      </c>
      <c r="AN103" s="108"/>
      <c r="AO103" s="108" t="s">
        <v>705</v>
      </c>
      <c r="AP103" s="108"/>
      <c r="AQ103" s="108"/>
      <c r="AR103" s="108"/>
      <c r="AS103" s="108"/>
      <c r="AT103" s="108"/>
      <c r="AU103" s="83" t="s">
        <v>707</v>
      </c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6">
        <f>IF(CONCATENATE(A103,B103,C103,D103,E103,F103,G103,H103,I103,J103,K103,L103,M103,N103,O103,P103,Q103,R103,S103,T103,U103,V103,W103,X103,Y103,Z103,AA103,AB103,AC103,AD103,AE103,AF103,AG103,AH103,AI103,AK103,AM103,AO103,AQ103,AS103,AU103,AV103,AW103,AX103,AY103,AZ103,BA103,BB103,BC103,BD103,BE103,BF103,BG103,BH103,BI103,BJ103,BK103,BL103,BM103,BN103,BO103,BP103,BQ103)=(CONCATENATE([1]FS_referentiel_produits_std!A72,[1]FS_referentiel_produits_std!B72,[1]FS_referentiel_produits_std!C72,[1]FS_referentiel_produits_std!D72,[1]FS_referentiel_produits_std!E72,[1]FS_referentiel_produits_std!F72,[1]FS_referentiel_produits_std!G72,[1]FS_referentiel_produits_std!H72,[1]FS_referentiel_produits_std!I72,[1]FS_referentiel_produits_std!J72,[1]FS_referentiel_produits_std!K72,[1]FS_referentiel_produits_std!L72,[1]FS_referentiel_produits_std!M72,[1]FS_referentiel_produits_std!N72,[1]FS_referentiel_produits_std!O72,[1]FS_referentiel_produits_std!P72,[1]FS_referentiel_produits_std!Q72,[1]FS_referentiel_produits_std!R72,[1]FS_referentiel_produits_std!S72,[1]FS_referentiel_produits_std!T72,[1]FS_referentiel_produits_std!U72,[1]FS_referentiel_produits_std!V72,[1]FS_referentiel_produits_std!W72,[1]FS_referentiel_produits_std!X72,[1]FS_referentiel_produits_std!Y72,[1]FS_referentiel_produits_std!Z72,[1]FS_referentiel_produits_std!AA72,[1]FS_referentiel_produits_std!AB72,[1]FS_referentiel_produits_std!AC72,[1]FS_referentiel_produits_std!AD72,[1]FS_referentiel_produits_std!AE72,[1]FS_referentiel_produits_std!AF72,[1]FS_referentiel_produits_std!AG72,[1]FS_referentiel_produits_std!AH72,[1]FS_referentiel_produits_std!AI72,[1]FS_referentiel_produits_std!AJ72,[1]FS_referentiel_produits_std!AK72,[1]FS_referentiel_produits_std!AL72,[1]FS_referentiel_produits_std!AM72,[1]FS_referentiel_produits_std!AN72,[1]FS_referentiel_produits_std!AO72,[1]FS_referentiel_produits_std!AP72,[1]FS_referentiel_produits_std!AQ72,[1]FS_referentiel_produits_std!AR72,[1]FS_referentiel_produits_std!AS72,[1]FS_referentiel_produits_std!AT72,[1]FS_referentiel_produits_std!AU72,[1]FS_referentiel_produits_std!AV72,[1]FS_referentiel_produits_std!AW72,[1]FS_referentiel_produits_std!AX72,[1]FS_referentiel_produits_std!AY72,[1]FS_referentiel_produits_std!AZ72,[1]FS_referentiel_produits_std!BA72,[1]FS_referentiel_produits_std!BB72,[1]FS_referentiel_produits_std!BC72,[1]FS_referentiel_produits_std!BD72,[1]FS_referentiel_produits_std!BE72,[1]FS_referentiel_produits_std!BF72,[1]FS_referentiel_produits_std!BG72,[1]FS_referentiel_produits_std!BH72,[1]FS_referentiel_produits_std!BI72,[1]FS_referentiel_produits_std!BJ72,[1]FS_referentiel_produits_std!BK72)),0,1)</f>
        <v>1</v>
      </c>
    </row>
    <row r="104" spans="1:70" s="87" customFormat="1" ht="24.95" customHeight="1" x14ac:dyDescent="0.25">
      <c r="A104" s="9" t="s">
        <v>204</v>
      </c>
      <c r="B104" s="36"/>
      <c r="C104" s="36"/>
      <c r="D104" s="96" t="s">
        <v>737</v>
      </c>
      <c r="E104" s="83" t="s">
        <v>683</v>
      </c>
      <c r="F104" s="83" t="s">
        <v>684</v>
      </c>
      <c r="G104" s="83" t="s">
        <v>685</v>
      </c>
      <c r="H104" s="83" t="s">
        <v>29</v>
      </c>
      <c r="I104" s="83" t="s">
        <v>7</v>
      </c>
      <c r="J104" s="97"/>
      <c r="K104" s="83" t="s">
        <v>683</v>
      </c>
      <c r="L104" s="97"/>
      <c r="M104" s="83" t="s">
        <v>2774</v>
      </c>
      <c r="N104" s="83" t="s">
        <v>624</v>
      </c>
      <c r="O104" s="37">
        <v>13389</v>
      </c>
      <c r="P104" s="37">
        <v>2453</v>
      </c>
      <c r="Q104" s="37">
        <v>2600</v>
      </c>
      <c r="R104" s="37"/>
      <c r="S104" s="37"/>
      <c r="T104" s="37"/>
      <c r="U104" s="37"/>
      <c r="V104" s="37"/>
      <c r="W104" s="37">
        <v>7450</v>
      </c>
      <c r="X104" s="37"/>
      <c r="Y104" s="37"/>
      <c r="Z104" s="108">
        <v>33</v>
      </c>
      <c r="AA104" s="83" t="s">
        <v>708</v>
      </c>
      <c r="AB104" s="37">
        <v>38000</v>
      </c>
      <c r="AC104" s="37"/>
      <c r="AD104" s="37"/>
      <c r="AE104" s="37"/>
      <c r="AF104" s="37"/>
      <c r="AG104" s="37"/>
      <c r="AH104" s="108" t="s">
        <v>686</v>
      </c>
      <c r="AI104" s="108"/>
      <c r="AJ104" s="108"/>
      <c r="AK104" s="108"/>
      <c r="AL104" s="108"/>
      <c r="AM104" s="108" t="s">
        <v>687</v>
      </c>
      <c r="AN104" s="108"/>
      <c r="AO104" s="108" t="s">
        <v>709</v>
      </c>
      <c r="AP104" s="108"/>
      <c r="AQ104" s="108"/>
      <c r="AR104" s="108"/>
      <c r="AS104" s="108" t="s">
        <v>692</v>
      </c>
      <c r="AT104" s="108"/>
      <c r="AU104" s="83" t="s">
        <v>710</v>
      </c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6">
        <f>IF(CONCATENATE(A104,B104,C104,D104,E104,F104,G104,H104,I104,J104,K104,L104,M104,N104,O104,P104,Q104,R104,S104,T104,U104,V104,W104,X104,Y104,Z104,AA104,AB104,AC104,AD104,AE104,AF104,AG104,AH104,AI104,AK104,AM104,AO104,AQ104,AS104,AU104,AV104,AW104,AX104,AY104,AZ104,BA104,BB104,BC104,BD104,BE104,BF104,BG104,BH104,BI104,BJ104,BK104,BL104,BM104,BN104,BO104,BP104,BQ104)=(CONCATENATE([1]FS_referentiel_produits_std!A73,[1]FS_referentiel_produits_std!B73,[1]FS_referentiel_produits_std!C73,[1]FS_referentiel_produits_std!D73,[1]FS_referentiel_produits_std!E73,[1]FS_referentiel_produits_std!F73,[1]FS_referentiel_produits_std!G73,[1]FS_referentiel_produits_std!H73,[1]FS_referentiel_produits_std!I73,[1]FS_referentiel_produits_std!J73,[1]FS_referentiel_produits_std!K73,[1]FS_referentiel_produits_std!L73,[1]FS_referentiel_produits_std!M73,[1]FS_referentiel_produits_std!N73,[1]FS_referentiel_produits_std!O73,[1]FS_referentiel_produits_std!P73,[1]FS_referentiel_produits_std!Q73,[1]FS_referentiel_produits_std!R73,[1]FS_referentiel_produits_std!S73,[1]FS_referentiel_produits_std!T73,[1]FS_referentiel_produits_std!U73,[1]FS_referentiel_produits_std!V73,[1]FS_referentiel_produits_std!W73,[1]FS_referentiel_produits_std!X73,[1]FS_referentiel_produits_std!Y73,[1]FS_referentiel_produits_std!Z73,[1]FS_referentiel_produits_std!AA73,[1]FS_referentiel_produits_std!AB73,[1]FS_referentiel_produits_std!AC73,[1]FS_referentiel_produits_std!AD73,[1]FS_referentiel_produits_std!AE73,[1]FS_referentiel_produits_std!AF73,[1]FS_referentiel_produits_std!AG73,[1]FS_referentiel_produits_std!AH73,[1]FS_referentiel_produits_std!AI73,[1]FS_referentiel_produits_std!AJ73,[1]FS_referentiel_produits_std!AK73,[1]FS_referentiel_produits_std!AL73,[1]FS_referentiel_produits_std!AM73,[1]FS_referentiel_produits_std!AN73,[1]FS_referentiel_produits_std!AO73,[1]FS_referentiel_produits_std!AP73,[1]FS_referentiel_produits_std!AQ73,[1]FS_referentiel_produits_std!AR73,[1]FS_referentiel_produits_std!AS73,[1]FS_referentiel_produits_std!AT73,[1]FS_referentiel_produits_std!AU73,[1]FS_referentiel_produits_std!AV73,[1]FS_referentiel_produits_std!AW73,[1]FS_referentiel_produits_std!AX73,[1]FS_referentiel_produits_std!AY73,[1]FS_referentiel_produits_std!AZ73,[1]FS_referentiel_produits_std!BA73,[1]FS_referentiel_produits_std!BB73,[1]FS_referentiel_produits_std!BC73,[1]FS_referentiel_produits_std!BD73,[1]FS_referentiel_produits_std!BE73,[1]FS_referentiel_produits_std!BF73,[1]FS_referentiel_produits_std!BG73,[1]FS_referentiel_produits_std!BH73,[1]FS_referentiel_produits_std!BI73,[1]FS_referentiel_produits_std!BJ73,[1]FS_referentiel_produits_std!BK73)),0,1)</f>
        <v>1</v>
      </c>
    </row>
    <row r="105" spans="1:70" s="87" customFormat="1" ht="24.95" customHeight="1" x14ac:dyDescent="0.25">
      <c r="A105" s="9" t="s">
        <v>204</v>
      </c>
      <c r="B105" s="36"/>
      <c r="C105" s="36"/>
      <c r="D105" s="96" t="s">
        <v>737</v>
      </c>
      <c r="E105" s="83" t="s">
        <v>683</v>
      </c>
      <c r="F105" s="83" t="s">
        <v>684</v>
      </c>
      <c r="G105" s="83" t="s">
        <v>685</v>
      </c>
      <c r="H105" s="83" t="s">
        <v>29</v>
      </c>
      <c r="I105" s="83" t="s">
        <v>7</v>
      </c>
      <c r="J105" s="97"/>
      <c r="K105" s="83" t="s">
        <v>683</v>
      </c>
      <c r="L105" s="97"/>
      <c r="M105" s="83" t="s">
        <v>2771</v>
      </c>
      <c r="N105" s="83" t="s">
        <v>624</v>
      </c>
      <c r="O105" s="37">
        <v>13389</v>
      </c>
      <c r="P105" s="37">
        <v>2453</v>
      </c>
      <c r="Q105" s="37">
        <v>2600</v>
      </c>
      <c r="R105" s="37"/>
      <c r="S105" s="37"/>
      <c r="T105" s="37"/>
      <c r="U105" s="37"/>
      <c r="V105" s="37"/>
      <c r="W105" s="37">
        <v>7450</v>
      </c>
      <c r="X105" s="37"/>
      <c r="Y105" s="37"/>
      <c r="Z105" s="108">
        <v>33</v>
      </c>
      <c r="AA105" s="83" t="s">
        <v>708</v>
      </c>
      <c r="AB105" s="37">
        <v>38000</v>
      </c>
      <c r="AC105" s="37"/>
      <c r="AD105" s="37"/>
      <c r="AE105" s="37"/>
      <c r="AF105" s="37"/>
      <c r="AG105" s="37"/>
      <c r="AH105" s="108" t="s">
        <v>686</v>
      </c>
      <c r="AI105" s="108"/>
      <c r="AJ105" s="108"/>
      <c r="AK105" s="108"/>
      <c r="AL105" s="108"/>
      <c r="AM105" s="108" t="s">
        <v>687</v>
      </c>
      <c r="AN105" s="108"/>
      <c r="AO105" s="108" t="s">
        <v>709</v>
      </c>
      <c r="AP105" s="108"/>
      <c r="AQ105" s="108"/>
      <c r="AR105" s="108"/>
      <c r="AS105" s="108" t="s">
        <v>692</v>
      </c>
      <c r="AT105" s="108"/>
      <c r="AU105" s="83" t="s">
        <v>710</v>
      </c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6">
        <f>IF(CONCATENATE(A105,B105,C105,D105,E105,F105,G105,H105,I105,J105,K105,L105,M105,N105,O105,P105,Q105,R105,S105,T105,U105,V105,W105,X105,Y105,Z105,AA105,AB105,AC105,AD105,AE105,AF105,AG105,AH105,AI105,AK105,AM105,AO105,AQ105,AS105,AU105,AV105,AW105,AX105,AY105,AZ105,BA105,BB105,BC105,BD105,BE105,BF105,BG105,BH105,BI105,BJ105,BK105,BL105,BM105,BN105,BO105,BP105,BQ105)=(CONCATENATE([1]FS_referentiel_produits_std!A75,[1]FS_referentiel_produits_std!B75,[1]FS_referentiel_produits_std!C75,[1]FS_referentiel_produits_std!D75,[1]FS_referentiel_produits_std!E75,[1]FS_referentiel_produits_std!F75,[1]FS_referentiel_produits_std!G75,[1]FS_referentiel_produits_std!H75,[1]FS_referentiel_produits_std!I75,[1]FS_referentiel_produits_std!J75,[1]FS_referentiel_produits_std!K75,[1]FS_referentiel_produits_std!L75,[1]FS_referentiel_produits_std!M75,[1]FS_referentiel_produits_std!N75,[1]FS_referentiel_produits_std!O75,[1]FS_referentiel_produits_std!P75,[1]FS_referentiel_produits_std!Q75,[1]FS_referentiel_produits_std!R75,[1]FS_referentiel_produits_std!S75,[1]FS_referentiel_produits_std!T75,[1]FS_referentiel_produits_std!U75,[1]FS_referentiel_produits_std!V75,[1]FS_referentiel_produits_std!W75,[1]FS_referentiel_produits_std!X75,[1]FS_referentiel_produits_std!Y75,[1]FS_referentiel_produits_std!Z75,[1]FS_referentiel_produits_std!AA75,[1]FS_referentiel_produits_std!AB75,[1]FS_referentiel_produits_std!AC75,[1]FS_referentiel_produits_std!AD75,[1]FS_referentiel_produits_std!AE75,[1]FS_referentiel_produits_std!AF75,[1]FS_referentiel_produits_std!AG75,[1]FS_referentiel_produits_std!AH75,[1]FS_referentiel_produits_std!AI75,[1]FS_referentiel_produits_std!AJ75,[1]FS_referentiel_produits_std!AK75,[1]FS_referentiel_produits_std!AL75,[1]FS_referentiel_produits_std!AM75,[1]FS_referentiel_produits_std!AN75,[1]FS_referentiel_produits_std!AO75,[1]FS_referentiel_produits_std!AP75,[1]FS_referentiel_produits_std!AQ75,[1]FS_referentiel_produits_std!AR75,[1]FS_referentiel_produits_std!AS75,[1]FS_referentiel_produits_std!AT75,[1]FS_referentiel_produits_std!AU75,[1]FS_referentiel_produits_std!AV75,[1]FS_referentiel_produits_std!AW75,[1]FS_referentiel_produits_std!AX75,[1]FS_referentiel_produits_std!AY75,[1]FS_referentiel_produits_std!AZ75,[1]FS_referentiel_produits_std!BA75,[1]FS_referentiel_produits_std!BB75,[1]FS_referentiel_produits_std!BC75,[1]FS_referentiel_produits_std!BD75,[1]FS_referentiel_produits_std!BE75,[1]FS_referentiel_produits_std!BF75,[1]FS_referentiel_produits_std!BG75,[1]FS_referentiel_produits_std!BH75,[1]FS_referentiel_produits_std!BI75,[1]FS_referentiel_produits_std!BJ75,[1]FS_referentiel_produits_std!BK75)),0,1)</f>
        <v>1</v>
      </c>
    </row>
  </sheetData>
  <autoFilter ref="A1:BY105" xr:uid="{00000000-0001-0000-0100-000000000000}"/>
  <phoneticPr fontId="24" type="noConversion"/>
  <conditionalFormatting sqref="BR2:BR80 BR91:BR105">
    <cfRule type="cellIs" dxfId="47" priority="5" operator="equal">
      <formula>0</formula>
    </cfRule>
    <cfRule type="cellIs" dxfId="46" priority="6" operator="greaterThan">
      <formula>0</formula>
    </cfRule>
  </conditionalFormatting>
  <conditionalFormatting sqref="BZ2:BZ13">
    <cfRule type="cellIs" dxfId="45" priority="69" operator="equal">
      <formula>0</formula>
    </cfRule>
    <cfRule type="cellIs" dxfId="44" priority="70" operator="greaterThan">
      <formula>0</formula>
    </cfRule>
  </conditionalFormatting>
  <conditionalFormatting sqref="BL81:BL82">
    <cfRule type="cellIs" dxfId="43" priority="3" operator="equal">
      <formula>0</formula>
    </cfRule>
    <cfRule type="cellIs" dxfId="42" priority="4" operator="greaterThan">
      <formula>0</formula>
    </cfRule>
  </conditionalFormatting>
  <conditionalFormatting sqref="BL83:BL100">
    <cfRule type="cellIs" dxfId="41" priority="1" operator="equal">
      <formula>0</formula>
    </cfRule>
    <cfRule type="cellIs" dxfId="40" priority="2" operator="greaterThan">
      <formula>0</formula>
    </cfRule>
  </conditionalFormatting>
  <hyperlinks>
    <hyperlink ref="AU19" r:id="rId1" xr:uid="{65F7A351-9273-47A1-9EEB-DE956A387B09}"/>
    <hyperlink ref="AU21" r:id="rId2" xr:uid="{E6068187-119A-409B-8F5B-181E8D151726}"/>
    <hyperlink ref="AU22" r:id="rId3" xr:uid="{AEF1468A-CA02-4347-8106-45E01923BC44}"/>
    <hyperlink ref="AU25" r:id="rId4" xr:uid="{6E1AFAA8-0EB1-46B6-8CFD-824AE0466E40}"/>
    <hyperlink ref="AU29" r:id="rId5" xr:uid="{7EF969C8-51AE-443A-96FC-A4C877395B85}"/>
    <hyperlink ref="AU27" r:id="rId6" xr:uid="{8488D3BB-563E-4F59-8EE2-48351719FE62}"/>
    <hyperlink ref="AU26" r:id="rId7" xr:uid="{1CFC2332-2FC2-4C9E-A2D7-F12F2928A40E}"/>
    <hyperlink ref="AU28" r:id="rId8" xr:uid="{BC22265F-E706-4941-94DC-9A6975FC8D25}"/>
    <hyperlink ref="AU6" r:id="rId9" xr:uid="{615EF084-6280-4712-BA1E-25BB6C7C4E41}"/>
    <hyperlink ref="AU7" r:id="rId10" xr:uid="{96B3E99D-1843-4D46-930F-6AC713523A59}"/>
    <hyperlink ref="AU8" r:id="rId11" xr:uid="{48B55931-ACC8-497B-A782-0E3144D53299}"/>
    <hyperlink ref="AU5" r:id="rId12" xr:uid="{B76B10DA-2472-4116-9252-1891EB5E25D1}"/>
    <hyperlink ref="AU9" r:id="rId13" xr:uid="{FAE3AA16-C1CC-4E6D-B909-CB85CF4935C6}"/>
    <hyperlink ref="AU13" r:id="rId14" xr:uid="{7949B3D9-BC68-47A1-B667-6BBB8FEE8290}"/>
    <hyperlink ref="AU11" r:id="rId15" xr:uid="{D20BB5C1-22DC-42FF-AECA-D69A4E55D6D9}"/>
    <hyperlink ref="AU10" r:id="rId16" xr:uid="{97084FCA-73E0-41C3-89EA-1DA3D924BAD6}"/>
    <hyperlink ref="AU12" r:id="rId17" xr:uid="{F175C9D5-55AC-4A4A-ADD5-D20060626CC4}"/>
    <hyperlink ref="AU67" r:id="rId18" xr:uid="{B65D1E80-0768-4B99-85F8-C220194D761E}"/>
    <hyperlink ref="AU68" r:id="rId19" xr:uid="{786A2070-EBA2-4373-8B09-1CD6D735FE6E}"/>
    <hyperlink ref="AU71" r:id="rId20" xr:uid="{4EA86B18-4288-461D-85F0-8B2392466879}"/>
    <hyperlink ref="AU72" r:id="rId21" xr:uid="{C52E4521-BD7D-4A95-96B7-BB8C5B24F98F}"/>
    <hyperlink ref="AU73" r:id="rId22" xr:uid="{FBB06A0D-6C15-425E-9C29-49D4E0CBDB63}"/>
    <hyperlink ref="AU43" r:id="rId23" xr:uid="{ADA3D2F4-62EA-4355-8EDE-5F8C59FC01E0}"/>
    <hyperlink ref="AU45" r:id="rId24" xr:uid="{683C07F7-B200-4C1E-BDBD-684FE65ED9E6}"/>
    <hyperlink ref="AU46" r:id="rId25" xr:uid="{6F9DC7D9-2BD6-4764-B2C7-FE312F560D59}"/>
    <hyperlink ref="AU53" r:id="rId26" xr:uid="{8E09A246-16A0-4DE5-AB27-2466E73F9A3F}"/>
    <hyperlink ref="AU54" r:id="rId27" xr:uid="{76788D74-E538-43BC-A9EE-E4F96E751F6B}"/>
    <hyperlink ref="AU55" r:id="rId28" xr:uid="{C53C915C-5775-4047-B896-DDBA7A163FB1}"/>
    <hyperlink ref="AU56" r:id="rId29" xr:uid="{450FFF3A-6934-44DA-AB40-7BFECA9CE894}"/>
    <hyperlink ref="AU93" r:id="rId30" xr:uid="{9E0F26D6-2021-4F48-AC3C-4FD46C9449BB}"/>
    <hyperlink ref="AU94" r:id="rId31" xr:uid="{EB687850-19CB-4A72-ABB7-74CD50C0F516}"/>
    <hyperlink ref="AU97" r:id="rId32" xr:uid="{A2696D81-F038-44BC-9F1E-9C8B58E56DC3}"/>
    <hyperlink ref="AU98" r:id="rId33" xr:uid="{9F1E2CF9-09C5-42C8-B766-D5FE1725AD5B}"/>
    <hyperlink ref="AU20" r:id="rId34" xr:uid="{554AF2A4-1CE7-49B4-A8EA-67A45DEDB6D7}"/>
    <hyperlink ref="AO82" r:id="rId35" xr:uid="{879EAC70-7527-4F17-BBDB-7BC50AC37A5C}"/>
    <hyperlink ref="AO81" r:id="rId36" xr:uid="{7ECC1F1D-98A6-4818-BE69-F90AD81C0795}"/>
    <hyperlink ref="AO83" r:id="rId37" xr:uid="{C1C33ECF-9CD1-4D05-A493-28EAE2710579}"/>
    <hyperlink ref="AO85" r:id="rId38" xr:uid="{F0F14EDD-34EC-4E33-AFA5-0F6F8FDE4761}"/>
    <hyperlink ref="AO86" r:id="rId39" xr:uid="{89554090-9706-4928-BE1D-06C923AD97D2}"/>
    <hyperlink ref="AO84" r:id="rId40" xr:uid="{0D684835-824A-4C69-9A58-4F2247F385DA}"/>
    <hyperlink ref="AO87" r:id="rId41" xr:uid="{8393CCF4-4851-4720-9499-917FC2A48826}"/>
    <hyperlink ref="AO89" r:id="rId42" xr:uid="{94B6C9A0-18EA-4FFF-809A-E900635881E2}"/>
    <hyperlink ref="AO90" r:id="rId43" xr:uid="{1DAC2E4C-C9E0-4DAF-A129-13F9CEC67BEE}"/>
    <hyperlink ref="AO88" r:id="rId44" xr:uid="{A441766C-AE34-40FE-86AC-A2C42DF47DD7}"/>
  </hyperlinks>
  <pageMargins left="0.70866141732283472" right="0.70866141732283472" top="0.74803149606299213" bottom="0.74803149606299213" header="0.31496062992125984" footer="0.31496062992125984"/>
  <pageSetup paperSize="8" fitToHeight="2"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72F8-77DD-4122-B859-8DBE04F47333}">
  <dimension ref="A1:AT210"/>
  <sheetViews>
    <sheetView tabSelected="1" zoomScale="80" zoomScaleNormal="85" workbookViewId="0">
      <pane xSplit="2" ySplit="1" topLeftCell="C89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ColWidth="11.42578125" defaultRowHeight="11.25" outlineLevelCol="1" x14ac:dyDescent="0.25"/>
  <cols>
    <col min="1" max="1" width="52.7109375" style="69" bestFit="1" customWidth="1"/>
    <col min="2" max="2" width="11.5703125" style="118" customWidth="1"/>
    <col min="3" max="3" width="20.7109375" style="67" customWidth="1"/>
    <col min="4" max="7" width="20.7109375" style="67" customWidth="1" outlineLevel="1"/>
    <col min="8" max="8" width="20.7109375" style="67" customWidth="1"/>
    <col min="9" max="9" width="28.28515625" style="67" customWidth="1"/>
    <col min="10" max="10" width="20.7109375" style="67" customWidth="1" outlineLevel="1"/>
    <col min="11" max="11" width="30.28515625" style="67" customWidth="1" outlineLevel="1"/>
    <col min="12" max="12" width="20.7109375" style="67" customWidth="1" outlineLevel="1"/>
    <col min="13" max="13" width="20.7109375" style="68" customWidth="1" outlineLevel="1"/>
    <col min="14" max="16" width="20.7109375" style="67" customWidth="1" outlineLevel="1"/>
    <col min="17" max="17" width="20.7109375" style="67" customWidth="1" outlineLevel="1" collapsed="1"/>
    <col min="18" max="20" width="20.7109375" style="67" customWidth="1" outlineLevel="1"/>
    <col min="21" max="21" width="30.140625" style="67" customWidth="1" outlineLevel="1"/>
    <col min="22" max="23" width="20.7109375" style="67" customWidth="1" outlineLevel="1"/>
    <col min="24" max="24" width="20.7109375" style="67" customWidth="1"/>
    <col min="25" max="28" width="20.7109375" style="67" customWidth="1" outlineLevel="1"/>
    <col min="29" max="29" width="30.140625" style="67" customWidth="1"/>
    <col min="30" max="30" width="20.7109375" style="67" customWidth="1" outlineLevel="1"/>
    <col min="31" max="31" width="20.7109375" style="68" customWidth="1" outlineLevel="1"/>
    <col min="32" max="32" width="20.7109375" style="67" customWidth="1" outlineLevel="1"/>
    <col min="33" max="33" width="20.7109375" style="67" customWidth="1" outlineLevel="1" collapsed="1"/>
    <col min="34" max="34" width="20.7109375" style="68" customWidth="1"/>
    <col min="35" max="44" width="20.7109375" style="67" customWidth="1" outlineLevel="1"/>
    <col min="45" max="45" width="20.7109375" style="67" customWidth="1" outlineLevel="1" collapsed="1"/>
    <col min="46" max="46" width="20.7109375" style="68" customWidth="1"/>
    <col min="47" max="16384" width="11.42578125" style="66"/>
  </cols>
  <sheetData>
    <row r="1" spans="1:46" s="67" customFormat="1" ht="33.75" x14ac:dyDescent="0.25">
      <c r="A1" s="64" t="s">
        <v>22</v>
      </c>
      <c r="B1" s="116" t="s">
        <v>455</v>
      </c>
      <c r="C1" s="70" t="s">
        <v>454</v>
      </c>
      <c r="D1" s="70" t="s">
        <v>412</v>
      </c>
      <c r="E1" s="70" t="s">
        <v>453</v>
      </c>
      <c r="F1" s="70" t="s">
        <v>452</v>
      </c>
      <c r="G1" s="70" t="s">
        <v>451</v>
      </c>
      <c r="H1" s="70" t="s">
        <v>450</v>
      </c>
      <c r="I1" s="70" t="s">
        <v>421</v>
      </c>
      <c r="J1" s="70" t="s">
        <v>411</v>
      </c>
      <c r="K1" s="70" t="s">
        <v>449</v>
      </c>
      <c r="L1" s="70" t="s">
        <v>408</v>
      </c>
      <c r="M1" s="70" t="s">
        <v>407</v>
      </c>
      <c r="N1" s="70" t="s">
        <v>448</v>
      </c>
      <c r="O1" s="70" t="s">
        <v>447</v>
      </c>
      <c r="P1" s="70" t="s">
        <v>446</v>
      </c>
      <c r="Q1" s="70" t="s">
        <v>445</v>
      </c>
      <c r="R1" s="70" t="s">
        <v>444</v>
      </c>
      <c r="S1" s="70" t="s">
        <v>443</v>
      </c>
      <c r="T1" s="70" t="s">
        <v>442</v>
      </c>
      <c r="U1" s="70" t="s">
        <v>416</v>
      </c>
      <c r="V1" s="70" t="s">
        <v>413</v>
      </c>
      <c r="W1" s="70" t="s">
        <v>417</v>
      </c>
      <c r="X1" s="70" t="s">
        <v>441</v>
      </c>
      <c r="Y1" s="70" t="s">
        <v>440</v>
      </c>
      <c r="Z1" s="73" t="s">
        <v>439</v>
      </c>
      <c r="AA1" s="73" t="s">
        <v>438</v>
      </c>
      <c r="AB1" s="71" t="s">
        <v>437</v>
      </c>
      <c r="AC1" s="70" t="s">
        <v>415</v>
      </c>
      <c r="AD1" s="70" t="s">
        <v>436</v>
      </c>
      <c r="AE1" s="73" t="s">
        <v>435</v>
      </c>
      <c r="AF1" s="73" t="s">
        <v>434</v>
      </c>
      <c r="AG1" s="73" t="s">
        <v>419</v>
      </c>
      <c r="AH1" s="73" t="s">
        <v>433</v>
      </c>
      <c r="AI1" s="73" t="s">
        <v>432</v>
      </c>
      <c r="AJ1" s="71" t="s">
        <v>558</v>
      </c>
      <c r="AK1" s="71" t="s">
        <v>431</v>
      </c>
      <c r="AL1" s="71" t="s">
        <v>430</v>
      </c>
      <c r="AM1" s="71" t="s">
        <v>429</v>
      </c>
      <c r="AN1" s="71" t="s">
        <v>428</v>
      </c>
      <c r="AO1" s="71" t="s">
        <v>427</v>
      </c>
      <c r="AP1" s="71" t="s">
        <v>426</v>
      </c>
      <c r="AQ1" s="71" t="s">
        <v>425</v>
      </c>
      <c r="AR1" s="71" t="s">
        <v>424</v>
      </c>
      <c r="AS1" s="71" t="s">
        <v>423</v>
      </c>
      <c r="AT1" s="73" t="s">
        <v>410</v>
      </c>
    </row>
    <row r="2" spans="1:46" s="67" customFormat="1" x14ac:dyDescent="0.25">
      <c r="A2" s="64" t="s">
        <v>213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46" ht="56.25" x14ac:dyDescent="0.25">
      <c r="A3" s="64" t="s">
        <v>2692</v>
      </c>
      <c r="B3" s="64" t="s">
        <v>32</v>
      </c>
      <c r="C3" s="77" t="s">
        <v>766</v>
      </c>
      <c r="D3" s="77" t="s">
        <v>409</v>
      </c>
      <c r="E3" s="77" t="s">
        <v>767</v>
      </c>
      <c r="F3" s="77" t="s">
        <v>768</v>
      </c>
      <c r="G3" s="77" t="s">
        <v>414</v>
      </c>
      <c r="H3" s="77" t="s">
        <v>781</v>
      </c>
      <c r="I3" s="77" t="s">
        <v>418</v>
      </c>
      <c r="J3" s="77" t="s">
        <v>782</v>
      </c>
      <c r="K3" s="77" t="s">
        <v>783</v>
      </c>
      <c r="L3" s="77" t="s">
        <v>407</v>
      </c>
      <c r="M3" s="77" t="s">
        <v>408</v>
      </c>
      <c r="N3" s="77" t="s">
        <v>772</v>
      </c>
      <c r="O3" s="77" t="s">
        <v>773</v>
      </c>
      <c r="P3" s="77" t="s">
        <v>406</v>
      </c>
      <c r="Q3" s="77" t="s">
        <v>774</v>
      </c>
      <c r="R3" s="77" t="s">
        <v>775</v>
      </c>
      <c r="S3" s="77" t="s">
        <v>776</v>
      </c>
      <c r="T3" s="77" t="s">
        <v>990</v>
      </c>
      <c r="U3" s="77" t="s">
        <v>777</v>
      </c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</row>
    <row r="4" spans="1:46" x14ac:dyDescent="0.25">
      <c r="A4" s="64" t="s">
        <v>2693</v>
      </c>
      <c r="B4" s="64" t="s">
        <v>456</v>
      </c>
      <c r="C4" s="77" t="s">
        <v>778</v>
      </c>
      <c r="D4" s="77" t="s">
        <v>779</v>
      </c>
      <c r="E4" s="77" t="s">
        <v>991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</row>
    <row r="5" spans="1:46" ht="56.25" x14ac:dyDescent="0.25">
      <c r="A5" s="64" t="s">
        <v>1403</v>
      </c>
      <c r="B5" s="64" t="s">
        <v>32</v>
      </c>
      <c r="C5" s="77" t="s">
        <v>766</v>
      </c>
      <c r="D5" s="77" t="s">
        <v>409</v>
      </c>
      <c r="E5" s="77" t="s">
        <v>767</v>
      </c>
      <c r="F5" s="77" t="s">
        <v>785</v>
      </c>
      <c r="G5" s="77" t="s">
        <v>414</v>
      </c>
      <c r="H5" s="77" t="s">
        <v>1084</v>
      </c>
      <c r="I5" s="77" t="s">
        <v>418</v>
      </c>
      <c r="J5" s="77" t="s">
        <v>782</v>
      </c>
      <c r="K5" s="77" t="s">
        <v>783</v>
      </c>
      <c r="L5" s="77" t="s">
        <v>407</v>
      </c>
      <c r="M5" s="77" t="s">
        <v>408</v>
      </c>
      <c r="N5" s="77" t="s">
        <v>772</v>
      </c>
      <c r="O5" s="77" t="s">
        <v>773</v>
      </c>
      <c r="P5" s="77" t="s">
        <v>406</v>
      </c>
      <c r="Q5" s="77" t="s">
        <v>992</v>
      </c>
      <c r="R5" s="77" t="s">
        <v>774</v>
      </c>
      <c r="S5" s="77" t="s">
        <v>775</v>
      </c>
      <c r="T5" s="77" t="s">
        <v>776</v>
      </c>
      <c r="U5" s="77" t="s">
        <v>777</v>
      </c>
      <c r="V5" s="77" t="s">
        <v>993</v>
      </c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</row>
    <row r="6" spans="1:46" x14ac:dyDescent="0.25">
      <c r="A6" s="64" t="s">
        <v>1404</v>
      </c>
      <c r="B6" s="64" t="s">
        <v>456</v>
      </c>
      <c r="C6" s="77" t="s">
        <v>778</v>
      </c>
      <c r="D6" s="77" t="s">
        <v>779</v>
      </c>
      <c r="E6" s="77" t="s">
        <v>991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</row>
    <row r="7" spans="1:46" ht="56.25" x14ac:dyDescent="0.25">
      <c r="A7" s="64" t="s">
        <v>1405</v>
      </c>
      <c r="B7" s="64" t="s">
        <v>32</v>
      </c>
      <c r="C7" s="77" t="s">
        <v>789</v>
      </c>
      <c r="D7" s="77" t="s">
        <v>409</v>
      </c>
      <c r="E7" s="77" t="s">
        <v>767</v>
      </c>
      <c r="F7" s="77" t="s">
        <v>414</v>
      </c>
      <c r="G7" s="77" t="s">
        <v>781</v>
      </c>
      <c r="H7" s="77" t="s">
        <v>418</v>
      </c>
      <c r="I7" s="77" t="s">
        <v>782</v>
      </c>
      <c r="J7" s="77" t="s">
        <v>407</v>
      </c>
      <c r="K7" s="77" t="s">
        <v>791</v>
      </c>
      <c r="L7" s="77" t="s">
        <v>772</v>
      </c>
      <c r="M7" s="77" t="s">
        <v>406</v>
      </c>
      <c r="N7" s="77" t="s">
        <v>992</v>
      </c>
      <c r="O7" s="77" t="s">
        <v>417</v>
      </c>
      <c r="P7" s="77" t="s">
        <v>792</v>
      </c>
      <c r="Q7" s="77" t="s">
        <v>776</v>
      </c>
      <c r="R7" s="77" t="s">
        <v>778</v>
      </c>
      <c r="S7" s="77" t="s">
        <v>777</v>
      </c>
      <c r="T7" s="77" t="s">
        <v>794</v>
      </c>
      <c r="U7" s="77" t="s">
        <v>798</v>
      </c>
      <c r="V7" s="77" t="s">
        <v>796</v>
      </c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</row>
    <row r="8" spans="1:46" x14ac:dyDescent="0.25">
      <c r="A8" s="64" t="s">
        <v>1406</v>
      </c>
      <c r="B8" s="64" t="s">
        <v>456</v>
      </c>
      <c r="C8" s="77" t="s">
        <v>784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</row>
    <row r="9" spans="1:46" ht="56.25" x14ac:dyDescent="0.25">
      <c r="A9" s="64" t="s">
        <v>1407</v>
      </c>
      <c r="B9" s="64" t="s">
        <v>32</v>
      </c>
      <c r="C9" s="77" t="s">
        <v>789</v>
      </c>
      <c r="D9" s="77" t="s">
        <v>409</v>
      </c>
      <c r="E9" s="77" t="s">
        <v>767</v>
      </c>
      <c r="F9" s="77" t="s">
        <v>414</v>
      </c>
      <c r="G9" s="77" t="s">
        <v>781</v>
      </c>
      <c r="H9" s="77" t="s">
        <v>418</v>
      </c>
      <c r="I9" s="77" t="s">
        <v>782</v>
      </c>
      <c r="J9" s="77" t="s">
        <v>407</v>
      </c>
      <c r="K9" s="77" t="s">
        <v>791</v>
      </c>
      <c r="L9" s="77" t="s">
        <v>772</v>
      </c>
      <c r="M9" s="77" t="s">
        <v>406</v>
      </c>
      <c r="N9" s="77" t="s">
        <v>992</v>
      </c>
      <c r="O9" s="77" t="s">
        <v>417</v>
      </c>
      <c r="P9" s="77" t="s">
        <v>792</v>
      </c>
      <c r="Q9" s="77" t="s">
        <v>776</v>
      </c>
      <c r="R9" s="77" t="s">
        <v>778</v>
      </c>
      <c r="S9" s="77" t="s">
        <v>777</v>
      </c>
      <c r="T9" s="77" t="s">
        <v>794</v>
      </c>
      <c r="U9" s="77" t="s">
        <v>798</v>
      </c>
      <c r="V9" s="77" t="s">
        <v>796</v>
      </c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</row>
    <row r="10" spans="1:46" x14ac:dyDescent="0.25">
      <c r="A10" s="64" t="s">
        <v>1408</v>
      </c>
      <c r="B10" s="64" t="s">
        <v>456</v>
      </c>
      <c r="C10" s="77" t="s">
        <v>784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</row>
    <row r="11" spans="1:46" ht="56.25" x14ac:dyDescent="0.25">
      <c r="A11" s="64" t="s">
        <v>1409</v>
      </c>
      <c r="B11" s="64" t="s">
        <v>32</v>
      </c>
      <c r="C11" s="77" t="s">
        <v>789</v>
      </c>
      <c r="D11" s="77" t="s">
        <v>409</v>
      </c>
      <c r="E11" s="77" t="s">
        <v>767</v>
      </c>
      <c r="F11" s="77" t="s">
        <v>414</v>
      </c>
      <c r="G11" s="77" t="s">
        <v>781</v>
      </c>
      <c r="H11" s="77" t="s">
        <v>418</v>
      </c>
      <c r="I11" s="77" t="s">
        <v>782</v>
      </c>
      <c r="J11" s="77" t="s">
        <v>407</v>
      </c>
      <c r="K11" s="77" t="s">
        <v>791</v>
      </c>
      <c r="L11" s="77" t="s">
        <v>772</v>
      </c>
      <c r="M11" s="77" t="s">
        <v>406</v>
      </c>
      <c r="N11" s="77" t="s">
        <v>992</v>
      </c>
      <c r="O11" s="77" t="s">
        <v>417</v>
      </c>
      <c r="P11" s="77" t="s">
        <v>792</v>
      </c>
      <c r="Q11" s="77" t="s">
        <v>776</v>
      </c>
      <c r="R11" s="77" t="s">
        <v>778</v>
      </c>
      <c r="S11" s="77" t="s">
        <v>777</v>
      </c>
      <c r="T11" s="77" t="s">
        <v>794</v>
      </c>
      <c r="U11" s="77" t="s">
        <v>798</v>
      </c>
      <c r="V11" s="77" t="s">
        <v>796</v>
      </c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</row>
    <row r="12" spans="1:46" x14ac:dyDescent="0.25">
      <c r="A12" s="64" t="s">
        <v>1410</v>
      </c>
      <c r="B12" s="64" t="s">
        <v>456</v>
      </c>
      <c r="C12" s="77" t="s">
        <v>784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</row>
    <row r="13" spans="1:46" ht="56.25" x14ac:dyDescent="0.25">
      <c r="A13" s="64" t="s">
        <v>1411</v>
      </c>
      <c r="B13" s="64" t="s">
        <v>32</v>
      </c>
      <c r="C13" s="77" t="s">
        <v>789</v>
      </c>
      <c r="D13" s="77" t="s">
        <v>409</v>
      </c>
      <c r="E13" s="77" t="s">
        <v>767</v>
      </c>
      <c r="F13" s="77" t="s">
        <v>414</v>
      </c>
      <c r="G13" s="77" t="s">
        <v>781</v>
      </c>
      <c r="H13" s="77" t="s">
        <v>418</v>
      </c>
      <c r="I13" s="77" t="s">
        <v>782</v>
      </c>
      <c r="J13" s="77" t="s">
        <v>407</v>
      </c>
      <c r="K13" s="77" t="s">
        <v>791</v>
      </c>
      <c r="L13" s="77" t="s">
        <v>772</v>
      </c>
      <c r="M13" s="77" t="s">
        <v>406</v>
      </c>
      <c r="N13" s="77" t="s">
        <v>992</v>
      </c>
      <c r="O13" s="77" t="s">
        <v>417</v>
      </c>
      <c r="P13" s="77" t="s">
        <v>792</v>
      </c>
      <c r="Q13" s="77" t="s">
        <v>776</v>
      </c>
      <c r="R13" s="77" t="s">
        <v>778</v>
      </c>
      <c r="S13" s="77" t="s">
        <v>777</v>
      </c>
      <c r="T13" s="77" t="s">
        <v>794</v>
      </c>
      <c r="U13" s="77" t="s">
        <v>798</v>
      </c>
      <c r="V13" s="77" t="s">
        <v>796</v>
      </c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</row>
    <row r="14" spans="1:46" x14ac:dyDescent="0.25">
      <c r="A14" s="64" t="s">
        <v>1412</v>
      </c>
      <c r="B14" s="64" t="s">
        <v>456</v>
      </c>
      <c r="C14" s="77" t="s">
        <v>784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</row>
    <row r="15" spans="1:46" ht="56.25" x14ac:dyDescent="0.25">
      <c r="A15" s="64" t="s">
        <v>1413</v>
      </c>
      <c r="B15" s="64" t="s">
        <v>32</v>
      </c>
      <c r="C15" s="77" t="s">
        <v>789</v>
      </c>
      <c r="D15" s="77" t="s">
        <v>409</v>
      </c>
      <c r="E15" s="77" t="s">
        <v>767</v>
      </c>
      <c r="F15" s="77" t="s">
        <v>414</v>
      </c>
      <c r="G15" s="77" t="s">
        <v>781</v>
      </c>
      <c r="H15" s="77" t="s">
        <v>418</v>
      </c>
      <c r="I15" s="77" t="s">
        <v>782</v>
      </c>
      <c r="J15" s="77" t="s">
        <v>407</v>
      </c>
      <c r="K15" s="77" t="s">
        <v>791</v>
      </c>
      <c r="L15" s="77" t="s">
        <v>772</v>
      </c>
      <c r="M15" s="77" t="s">
        <v>406</v>
      </c>
      <c r="N15" s="77" t="s">
        <v>992</v>
      </c>
      <c r="O15" s="77" t="s">
        <v>417</v>
      </c>
      <c r="P15" s="77" t="s">
        <v>792</v>
      </c>
      <c r="Q15" s="77" t="s">
        <v>776</v>
      </c>
      <c r="R15" s="77" t="s">
        <v>778</v>
      </c>
      <c r="S15" s="77" t="s">
        <v>777</v>
      </c>
      <c r="T15" s="77" t="s">
        <v>794</v>
      </c>
      <c r="U15" s="77" t="s">
        <v>798</v>
      </c>
      <c r="V15" s="77" t="s">
        <v>796</v>
      </c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</row>
    <row r="16" spans="1:46" x14ac:dyDescent="0.25">
      <c r="A16" s="64" t="s">
        <v>1414</v>
      </c>
      <c r="B16" s="64" t="s">
        <v>456</v>
      </c>
      <c r="C16" s="77" t="s">
        <v>784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</row>
    <row r="17" spans="1:46" ht="33.75" x14ac:dyDescent="0.25">
      <c r="A17" s="64" t="s">
        <v>1415</v>
      </c>
      <c r="B17" s="64" t="s">
        <v>32</v>
      </c>
      <c r="C17" s="77" t="s">
        <v>789</v>
      </c>
      <c r="D17" s="77" t="s">
        <v>409</v>
      </c>
      <c r="E17" s="77" t="s">
        <v>767</v>
      </c>
      <c r="F17" s="77" t="s">
        <v>414</v>
      </c>
      <c r="G17" s="77" t="s">
        <v>790</v>
      </c>
      <c r="H17" s="77" t="s">
        <v>418</v>
      </c>
      <c r="I17" s="77" t="s">
        <v>782</v>
      </c>
      <c r="J17" s="77" t="s">
        <v>407</v>
      </c>
      <c r="K17" s="77" t="s">
        <v>791</v>
      </c>
      <c r="L17" s="77" t="s">
        <v>772</v>
      </c>
      <c r="M17" s="77" t="s">
        <v>406</v>
      </c>
      <c r="N17" s="77" t="s">
        <v>992</v>
      </c>
      <c r="O17" s="77" t="s">
        <v>417</v>
      </c>
      <c r="P17" s="77" t="s">
        <v>792</v>
      </c>
      <c r="Q17" s="77" t="s">
        <v>793</v>
      </c>
      <c r="R17" s="77" t="s">
        <v>778</v>
      </c>
      <c r="S17" s="77" t="s">
        <v>777</v>
      </c>
      <c r="T17" s="77" t="s">
        <v>794</v>
      </c>
      <c r="U17" s="77" t="s">
        <v>795</v>
      </c>
      <c r="V17" s="77" t="s">
        <v>796</v>
      </c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</row>
    <row r="18" spans="1:46" x14ac:dyDescent="0.25">
      <c r="A18" s="64" t="s">
        <v>1416</v>
      </c>
      <c r="B18" s="64" t="s">
        <v>456</v>
      </c>
      <c r="C18" s="77" t="s">
        <v>784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</row>
    <row r="19" spans="1:46" ht="33.75" x14ac:dyDescent="0.25">
      <c r="A19" s="64" t="s">
        <v>1417</v>
      </c>
      <c r="B19" s="64" t="s">
        <v>32</v>
      </c>
      <c r="C19" s="77" t="s">
        <v>789</v>
      </c>
      <c r="D19" s="77" t="s">
        <v>409</v>
      </c>
      <c r="E19" s="77" t="s">
        <v>767</v>
      </c>
      <c r="F19" s="77" t="s">
        <v>414</v>
      </c>
      <c r="G19" s="77" t="s">
        <v>790</v>
      </c>
      <c r="H19" s="77" t="s">
        <v>418</v>
      </c>
      <c r="I19" s="77" t="s">
        <v>782</v>
      </c>
      <c r="J19" s="77" t="s">
        <v>407</v>
      </c>
      <c r="K19" s="77" t="s">
        <v>791</v>
      </c>
      <c r="L19" s="77" t="s">
        <v>772</v>
      </c>
      <c r="M19" s="77" t="s">
        <v>406</v>
      </c>
      <c r="N19" s="77" t="s">
        <v>992</v>
      </c>
      <c r="O19" s="77" t="s">
        <v>417</v>
      </c>
      <c r="P19" s="77" t="s">
        <v>792</v>
      </c>
      <c r="Q19" s="77" t="s">
        <v>793</v>
      </c>
      <c r="R19" s="77" t="s">
        <v>778</v>
      </c>
      <c r="S19" s="77" t="s">
        <v>777</v>
      </c>
      <c r="T19" s="77" t="s">
        <v>794</v>
      </c>
      <c r="U19" s="77" t="s">
        <v>795</v>
      </c>
      <c r="V19" s="77" t="s">
        <v>796</v>
      </c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</row>
    <row r="20" spans="1:46" x14ac:dyDescent="0.25">
      <c r="A20" s="64" t="s">
        <v>1418</v>
      </c>
      <c r="B20" s="64" t="s">
        <v>456</v>
      </c>
      <c r="C20" s="77" t="s">
        <v>784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</row>
    <row r="21" spans="1:46" ht="33.75" x14ac:dyDescent="0.25">
      <c r="A21" s="64" t="s">
        <v>1419</v>
      </c>
      <c r="B21" s="64" t="s">
        <v>32</v>
      </c>
      <c r="C21" s="77" t="s">
        <v>789</v>
      </c>
      <c r="D21" s="77" t="s">
        <v>409</v>
      </c>
      <c r="E21" s="77" t="s">
        <v>767</v>
      </c>
      <c r="F21" s="77" t="s">
        <v>414</v>
      </c>
      <c r="G21" s="77" t="s">
        <v>790</v>
      </c>
      <c r="H21" s="77" t="s">
        <v>418</v>
      </c>
      <c r="I21" s="77" t="s">
        <v>782</v>
      </c>
      <c r="J21" s="77" t="s">
        <v>407</v>
      </c>
      <c r="K21" s="77" t="s">
        <v>791</v>
      </c>
      <c r="L21" s="77" t="s">
        <v>772</v>
      </c>
      <c r="M21" s="77" t="s">
        <v>406</v>
      </c>
      <c r="N21" s="77" t="s">
        <v>992</v>
      </c>
      <c r="O21" s="77" t="s">
        <v>417</v>
      </c>
      <c r="P21" s="77" t="s">
        <v>792</v>
      </c>
      <c r="Q21" s="77" t="s">
        <v>793</v>
      </c>
      <c r="R21" s="77" t="s">
        <v>778</v>
      </c>
      <c r="S21" s="77" t="s">
        <v>777</v>
      </c>
      <c r="T21" s="77" t="s">
        <v>794</v>
      </c>
      <c r="U21" s="77" t="s">
        <v>795</v>
      </c>
      <c r="V21" s="77" t="s">
        <v>796</v>
      </c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</row>
    <row r="22" spans="1:46" x14ac:dyDescent="0.25">
      <c r="A22" s="64" t="s">
        <v>1420</v>
      </c>
      <c r="B22" s="64" t="s">
        <v>456</v>
      </c>
      <c r="C22" s="77" t="s">
        <v>784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</row>
    <row r="23" spans="1:46" ht="33.75" x14ac:dyDescent="0.25">
      <c r="A23" s="64" t="s">
        <v>1421</v>
      </c>
      <c r="B23" s="64" t="s">
        <v>32</v>
      </c>
      <c r="C23" s="77" t="s">
        <v>789</v>
      </c>
      <c r="D23" s="77" t="s">
        <v>409</v>
      </c>
      <c r="E23" s="77" t="s">
        <v>767</v>
      </c>
      <c r="F23" s="77" t="s">
        <v>414</v>
      </c>
      <c r="G23" s="77" t="s">
        <v>790</v>
      </c>
      <c r="H23" s="77" t="s">
        <v>418</v>
      </c>
      <c r="I23" s="77" t="s">
        <v>782</v>
      </c>
      <c r="J23" s="77" t="s">
        <v>407</v>
      </c>
      <c r="K23" s="77" t="s">
        <v>791</v>
      </c>
      <c r="L23" s="77" t="s">
        <v>772</v>
      </c>
      <c r="M23" s="77" t="s">
        <v>406</v>
      </c>
      <c r="N23" s="77" t="s">
        <v>992</v>
      </c>
      <c r="O23" s="77" t="s">
        <v>417</v>
      </c>
      <c r="P23" s="77" t="s">
        <v>792</v>
      </c>
      <c r="Q23" s="77" t="s">
        <v>793</v>
      </c>
      <c r="R23" s="77" t="s">
        <v>778</v>
      </c>
      <c r="S23" s="77" t="s">
        <v>777</v>
      </c>
      <c r="T23" s="77" t="s">
        <v>794</v>
      </c>
      <c r="U23" s="77" t="s">
        <v>795</v>
      </c>
      <c r="V23" s="77" t="s">
        <v>796</v>
      </c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</row>
    <row r="24" spans="1:46" x14ac:dyDescent="0.25">
      <c r="A24" s="64" t="s">
        <v>1422</v>
      </c>
      <c r="B24" s="64" t="s">
        <v>456</v>
      </c>
      <c r="C24" s="77" t="s">
        <v>784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</row>
    <row r="25" spans="1:46" ht="33.75" x14ac:dyDescent="0.25">
      <c r="A25" s="64" t="s">
        <v>1423</v>
      </c>
      <c r="B25" s="64" t="s">
        <v>32</v>
      </c>
      <c r="C25" s="77" t="s">
        <v>789</v>
      </c>
      <c r="D25" s="77" t="s">
        <v>409</v>
      </c>
      <c r="E25" s="77" t="s">
        <v>767</v>
      </c>
      <c r="F25" s="77" t="s">
        <v>414</v>
      </c>
      <c r="G25" s="77" t="s">
        <v>790</v>
      </c>
      <c r="H25" s="77" t="s">
        <v>418</v>
      </c>
      <c r="I25" s="77" t="s">
        <v>782</v>
      </c>
      <c r="J25" s="77" t="s">
        <v>407</v>
      </c>
      <c r="K25" s="77" t="s">
        <v>791</v>
      </c>
      <c r="L25" s="77" t="s">
        <v>772</v>
      </c>
      <c r="M25" s="77" t="s">
        <v>406</v>
      </c>
      <c r="N25" s="77" t="s">
        <v>992</v>
      </c>
      <c r="O25" s="77" t="s">
        <v>417</v>
      </c>
      <c r="P25" s="77" t="s">
        <v>792</v>
      </c>
      <c r="Q25" s="77" t="s">
        <v>793</v>
      </c>
      <c r="R25" s="77" t="s">
        <v>778</v>
      </c>
      <c r="S25" s="77" t="s">
        <v>777</v>
      </c>
      <c r="T25" s="77" t="s">
        <v>794</v>
      </c>
      <c r="U25" s="77" t="s">
        <v>795</v>
      </c>
      <c r="V25" s="77" t="s">
        <v>796</v>
      </c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</row>
    <row r="26" spans="1:46" x14ac:dyDescent="0.25">
      <c r="A26" s="64" t="s">
        <v>1424</v>
      </c>
      <c r="B26" s="64" t="s">
        <v>456</v>
      </c>
      <c r="C26" s="77" t="s">
        <v>784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</row>
    <row r="27" spans="1:46" ht="75" x14ac:dyDescent="0.25">
      <c r="A27" s="64" t="s">
        <v>1775</v>
      </c>
      <c r="B27" s="64" t="s">
        <v>32</v>
      </c>
      <c r="C27" s="77" t="s">
        <v>766</v>
      </c>
      <c r="D27" s="77" t="s">
        <v>409</v>
      </c>
      <c r="E27" s="77" t="s">
        <v>767</v>
      </c>
      <c r="F27" s="77" t="s">
        <v>768</v>
      </c>
      <c r="G27" s="77" t="s">
        <v>414</v>
      </c>
      <c r="H27" s="77" t="s">
        <v>1097</v>
      </c>
      <c r="I27" s="77" t="s">
        <v>418</v>
      </c>
      <c r="J27" s="77" t="s">
        <v>1095</v>
      </c>
      <c r="K27" s="77" t="s">
        <v>783</v>
      </c>
      <c r="L27" s="77" t="s">
        <v>407</v>
      </c>
      <c r="M27" s="77" t="s">
        <v>408</v>
      </c>
      <c r="N27" s="77" t="s">
        <v>772</v>
      </c>
      <c r="O27" s="77" t="s">
        <v>773</v>
      </c>
      <c r="P27" s="77" t="s">
        <v>406</v>
      </c>
      <c r="Q27" s="77" t="s">
        <v>774</v>
      </c>
      <c r="R27" s="77" t="s">
        <v>775</v>
      </c>
      <c r="S27" s="77" t="s">
        <v>776</v>
      </c>
      <c r="T27" s="77" t="s">
        <v>1096</v>
      </c>
      <c r="U27" s="77" t="s">
        <v>777</v>
      </c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</row>
    <row r="28" spans="1:46" x14ac:dyDescent="0.25">
      <c r="A28" s="64" t="s">
        <v>1776</v>
      </c>
      <c r="B28" s="64" t="s">
        <v>456</v>
      </c>
      <c r="C28" s="77" t="s">
        <v>778</v>
      </c>
      <c r="D28" s="77" t="s">
        <v>779</v>
      </c>
      <c r="E28" s="77" t="s">
        <v>991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</row>
    <row r="29" spans="1:46" ht="56.25" x14ac:dyDescent="0.25">
      <c r="A29" s="64" t="s">
        <v>1777</v>
      </c>
      <c r="B29" s="64" t="s">
        <v>32</v>
      </c>
      <c r="C29" s="77" t="s">
        <v>766</v>
      </c>
      <c r="D29" s="77" t="s">
        <v>409</v>
      </c>
      <c r="E29" s="77" t="s">
        <v>767</v>
      </c>
      <c r="F29" s="77" t="s">
        <v>768</v>
      </c>
      <c r="G29" s="77" t="s">
        <v>414</v>
      </c>
      <c r="H29" s="77" t="s">
        <v>781</v>
      </c>
      <c r="I29" s="77" t="s">
        <v>418</v>
      </c>
      <c r="J29" s="77" t="s">
        <v>782</v>
      </c>
      <c r="K29" s="77" t="s">
        <v>783</v>
      </c>
      <c r="L29" s="77" t="s">
        <v>407</v>
      </c>
      <c r="M29" s="77" t="s">
        <v>408</v>
      </c>
      <c r="N29" s="77" t="s">
        <v>772</v>
      </c>
      <c r="O29" s="77" t="s">
        <v>773</v>
      </c>
      <c r="P29" s="77" t="s">
        <v>406</v>
      </c>
      <c r="Q29" s="77" t="s">
        <v>774</v>
      </c>
      <c r="R29" s="77" t="s">
        <v>775</v>
      </c>
      <c r="S29" s="77" t="s">
        <v>776</v>
      </c>
      <c r="T29" s="77" t="s">
        <v>990</v>
      </c>
      <c r="U29" s="77" t="s">
        <v>777</v>
      </c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</row>
    <row r="30" spans="1:46" x14ac:dyDescent="0.25">
      <c r="A30" s="64" t="s">
        <v>1778</v>
      </c>
      <c r="B30" s="64" t="s">
        <v>456</v>
      </c>
      <c r="C30" s="77" t="s">
        <v>778</v>
      </c>
      <c r="D30" s="77" t="s">
        <v>779</v>
      </c>
      <c r="E30" s="77" t="s">
        <v>991</v>
      </c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</row>
    <row r="31" spans="1:46" ht="56.25" x14ac:dyDescent="0.25">
      <c r="A31" s="64" t="s">
        <v>1779</v>
      </c>
      <c r="B31" s="64" t="s">
        <v>32</v>
      </c>
      <c r="C31" s="77" t="s">
        <v>766</v>
      </c>
      <c r="D31" s="77" t="s">
        <v>409</v>
      </c>
      <c r="E31" s="77" t="s">
        <v>767</v>
      </c>
      <c r="F31" s="77" t="s">
        <v>768</v>
      </c>
      <c r="G31" s="77" t="s">
        <v>414</v>
      </c>
      <c r="H31" s="77" t="s">
        <v>781</v>
      </c>
      <c r="I31" s="77" t="s">
        <v>418</v>
      </c>
      <c r="J31" s="77" t="s">
        <v>782</v>
      </c>
      <c r="K31" s="77" t="s">
        <v>783</v>
      </c>
      <c r="L31" s="77" t="s">
        <v>407</v>
      </c>
      <c r="M31" s="77" t="s">
        <v>408</v>
      </c>
      <c r="N31" s="77" t="s">
        <v>772</v>
      </c>
      <c r="O31" s="77" t="s">
        <v>773</v>
      </c>
      <c r="P31" s="77" t="s">
        <v>406</v>
      </c>
      <c r="Q31" s="77" t="s">
        <v>774</v>
      </c>
      <c r="R31" s="77" t="s">
        <v>775</v>
      </c>
      <c r="S31" s="77" t="s">
        <v>776</v>
      </c>
      <c r="T31" s="77" t="s">
        <v>990</v>
      </c>
      <c r="U31" s="77" t="s">
        <v>777</v>
      </c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</row>
    <row r="32" spans="1:46" x14ac:dyDescent="0.25">
      <c r="A32" s="64" t="s">
        <v>1780</v>
      </c>
      <c r="B32" s="64" t="s">
        <v>456</v>
      </c>
      <c r="C32" s="77" t="s">
        <v>778</v>
      </c>
      <c r="D32" s="77" t="s">
        <v>779</v>
      </c>
      <c r="E32" s="77" t="s">
        <v>991</v>
      </c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</row>
    <row r="33" spans="1:46" ht="101.25" x14ac:dyDescent="0.25">
      <c r="A33" s="64" t="s">
        <v>1781</v>
      </c>
      <c r="B33" s="64" t="s">
        <v>32</v>
      </c>
      <c r="C33" s="77" t="s">
        <v>766</v>
      </c>
      <c r="D33" s="77" t="s">
        <v>409</v>
      </c>
      <c r="E33" s="77" t="s">
        <v>767</v>
      </c>
      <c r="F33" s="77" t="s">
        <v>785</v>
      </c>
      <c r="G33" s="77" t="s">
        <v>414</v>
      </c>
      <c r="H33" s="77" t="s">
        <v>1098</v>
      </c>
      <c r="I33" s="77" t="s">
        <v>418</v>
      </c>
      <c r="J33" s="77" t="s">
        <v>782</v>
      </c>
      <c r="K33" s="77" t="s">
        <v>783</v>
      </c>
      <c r="L33" s="77" t="s">
        <v>407</v>
      </c>
      <c r="M33" s="77" t="s">
        <v>408</v>
      </c>
      <c r="N33" s="77" t="s">
        <v>772</v>
      </c>
      <c r="O33" s="77" t="s">
        <v>773</v>
      </c>
      <c r="P33" s="77" t="s">
        <v>406</v>
      </c>
      <c r="Q33" s="77" t="s">
        <v>992</v>
      </c>
      <c r="R33" s="77" t="s">
        <v>774</v>
      </c>
      <c r="S33" s="77" t="s">
        <v>775</v>
      </c>
      <c r="T33" s="77" t="s">
        <v>776</v>
      </c>
      <c r="U33" s="77" t="s">
        <v>777</v>
      </c>
      <c r="V33" s="77" t="s">
        <v>993</v>
      </c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</row>
    <row r="34" spans="1:46" x14ac:dyDescent="0.25">
      <c r="A34" s="64" t="s">
        <v>1782</v>
      </c>
      <c r="B34" s="64" t="s">
        <v>456</v>
      </c>
      <c r="C34" s="77" t="s">
        <v>778</v>
      </c>
      <c r="D34" s="77" t="s">
        <v>779</v>
      </c>
      <c r="E34" s="77" t="s">
        <v>991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</row>
    <row r="35" spans="1:46" ht="56.25" x14ac:dyDescent="0.25">
      <c r="A35" s="64" t="s">
        <v>1783</v>
      </c>
      <c r="B35" s="64" t="s">
        <v>32</v>
      </c>
      <c r="C35" s="77" t="s">
        <v>789</v>
      </c>
      <c r="D35" s="77" t="s">
        <v>409</v>
      </c>
      <c r="E35" s="77" t="s">
        <v>767</v>
      </c>
      <c r="F35" s="77" t="s">
        <v>414</v>
      </c>
      <c r="G35" s="77" t="s">
        <v>781</v>
      </c>
      <c r="H35" s="77" t="s">
        <v>418</v>
      </c>
      <c r="I35" s="77" t="s">
        <v>782</v>
      </c>
      <c r="J35" s="77" t="s">
        <v>407</v>
      </c>
      <c r="K35" s="77" t="s">
        <v>791</v>
      </c>
      <c r="L35" s="77" t="s">
        <v>772</v>
      </c>
      <c r="M35" s="77" t="s">
        <v>406</v>
      </c>
      <c r="N35" s="77" t="s">
        <v>992</v>
      </c>
      <c r="O35" s="77" t="s">
        <v>417</v>
      </c>
      <c r="P35" s="77" t="s">
        <v>792</v>
      </c>
      <c r="Q35" s="77" t="s">
        <v>776</v>
      </c>
      <c r="R35" s="77" t="s">
        <v>778</v>
      </c>
      <c r="S35" s="77" t="s">
        <v>777</v>
      </c>
      <c r="T35" s="77" t="s">
        <v>794</v>
      </c>
      <c r="U35" s="77" t="s">
        <v>798</v>
      </c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</row>
    <row r="36" spans="1:46" x14ac:dyDescent="0.25">
      <c r="A36" s="64" t="s">
        <v>1784</v>
      </c>
      <c r="B36" s="64" t="s">
        <v>456</v>
      </c>
      <c r="C36" s="77" t="s">
        <v>784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</row>
    <row r="37" spans="1:46" ht="56.25" x14ac:dyDescent="0.25">
      <c r="A37" s="64" t="s">
        <v>1785</v>
      </c>
      <c r="B37" s="64" t="s">
        <v>32</v>
      </c>
      <c r="C37" s="77" t="s">
        <v>789</v>
      </c>
      <c r="D37" s="77" t="s">
        <v>409</v>
      </c>
      <c r="E37" s="77" t="s">
        <v>767</v>
      </c>
      <c r="F37" s="77" t="s">
        <v>414</v>
      </c>
      <c r="G37" s="77" t="s">
        <v>781</v>
      </c>
      <c r="H37" s="77" t="s">
        <v>418</v>
      </c>
      <c r="I37" s="77" t="s">
        <v>782</v>
      </c>
      <c r="J37" s="77" t="s">
        <v>407</v>
      </c>
      <c r="K37" s="77" t="s">
        <v>791</v>
      </c>
      <c r="L37" s="77" t="s">
        <v>772</v>
      </c>
      <c r="M37" s="77" t="s">
        <v>406</v>
      </c>
      <c r="N37" s="77" t="s">
        <v>992</v>
      </c>
      <c r="O37" s="77" t="s">
        <v>417</v>
      </c>
      <c r="P37" s="77" t="s">
        <v>792</v>
      </c>
      <c r="Q37" s="77" t="s">
        <v>776</v>
      </c>
      <c r="R37" s="77" t="s">
        <v>778</v>
      </c>
      <c r="S37" s="77" t="s">
        <v>777</v>
      </c>
      <c r="T37" s="77" t="s">
        <v>794</v>
      </c>
      <c r="U37" s="77" t="s">
        <v>798</v>
      </c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</row>
    <row r="38" spans="1:46" x14ac:dyDescent="0.25">
      <c r="A38" s="64" t="s">
        <v>1786</v>
      </c>
      <c r="B38" s="64" t="s">
        <v>456</v>
      </c>
      <c r="C38" s="77" t="s">
        <v>784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</row>
    <row r="39" spans="1:46" ht="56.25" x14ac:dyDescent="0.25">
      <c r="A39" s="64" t="s">
        <v>1787</v>
      </c>
      <c r="B39" s="64" t="s">
        <v>32</v>
      </c>
      <c r="C39" s="77" t="s">
        <v>789</v>
      </c>
      <c r="D39" s="77" t="s">
        <v>409</v>
      </c>
      <c r="E39" s="77" t="s">
        <v>767</v>
      </c>
      <c r="F39" s="77" t="s">
        <v>414</v>
      </c>
      <c r="G39" s="77" t="s">
        <v>781</v>
      </c>
      <c r="H39" s="77" t="s">
        <v>418</v>
      </c>
      <c r="I39" s="77" t="s">
        <v>782</v>
      </c>
      <c r="J39" s="77" t="s">
        <v>407</v>
      </c>
      <c r="K39" s="77" t="s">
        <v>791</v>
      </c>
      <c r="L39" s="77" t="s">
        <v>772</v>
      </c>
      <c r="M39" s="77" t="s">
        <v>406</v>
      </c>
      <c r="N39" s="77" t="s">
        <v>992</v>
      </c>
      <c r="O39" s="77" t="s">
        <v>417</v>
      </c>
      <c r="P39" s="77" t="s">
        <v>792</v>
      </c>
      <c r="Q39" s="77" t="s">
        <v>776</v>
      </c>
      <c r="R39" s="77" t="s">
        <v>778</v>
      </c>
      <c r="S39" s="77" t="s">
        <v>777</v>
      </c>
      <c r="T39" s="77" t="s">
        <v>794</v>
      </c>
      <c r="U39" s="77" t="s">
        <v>798</v>
      </c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</row>
    <row r="40" spans="1:46" x14ac:dyDescent="0.25">
      <c r="A40" s="64" t="s">
        <v>1788</v>
      </c>
      <c r="B40" s="64" t="s">
        <v>456</v>
      </c>
      <c r="C40" s="77" t="s">
        <v>784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</row>
    <row r="41" spans="1:46" ht="56.25" x14ac:dyDescent="0.25">
      <c r="A41" s="64" t="s">
        <v>1789</v>
      </c>
      <c r="B41" s="64" t="s">
        <v>32</v>
      </c>
      <c r="C41" s="77" t="s">
        <v>789</v>
      </c>
      <c r="D41" s="77" t="s">
        <v>409</v>
      </c>
      <c r="E41" s="77" t="s">
        <v>767</v>
      </c>
      <c r="F41" s="77" t="s">
        <v>414</v>
      </c>
      <c r="G41" s="77" t="s">
        <v>781</v>
      </c>
      <c r="H41" s="77" t="s">
        <v>418</v>
      </c>
      <c r="I41" s="77" t="s">
        <v>782</v>
      </c>
      <c r="J41" s="77" t="s">
        <v>407</v>
      </c>
      <c r="K41" s="77" t="s">
        <v>791</v>
      </c>
      <c r="L41" s="77" t="s">
        <v>772</v>
      </c>
      <c r="M41" s="77" t="s">
        <v>406</v>
      </c>
      <c r="N41" s="77" t="s">
        <v>992</v>
      </c>
      <c r="O41" s="77" t="s">
        <v>417</v>
      </c>
      <c r="P41" s="77" t="s">
        <v>792</v>
      </c>
      <c r="Q41" s="77" t="s">
        <v>776</v>
      </c>
      <c r="R41" s="77" t="s">
        <v>778</v>
      </c>
      <c r="S41" s="77" t="s">
        <v>777</v>
      </c>
      <c r="T41" s="77" t="s">
        <v>794</v>
      </c>
      <c r="U41" s="77" t="s">
        <v>798</v>
      </c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</row>
    <row r="42" spans="1:46" x14ac:dyDescent="0.25">
      <c r="A42" s="64" t="s">
        <v>1790</v>
      </c>
      <c r="B42" s="64" t="s">
        <v>456</v>
      </c>
      <c r="C42" s="77" t="s">
        <v>784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</row>
    <row r="43" spans="1:46" ht="56.25" x14ac:dyDescent="0.25">
      <c r="A43" s="64" t="s">
        <v>1791</v>
      </c>
      <c r="B43" s="64" t="s">
        <v>32</v>
      </c>
      <c r="C43" s="77" t="s">
        <v>789</v>
      </c>
      <c r="D43" s="77" t="s">
        <v>409</v>
      </c>
      <c r="E43" s="77" t="s">
        <v>767</v>
      </c>
      <c r="F43" s="77" t="s">
        <v>414</v>
      </c>
      <c r="G43" s="77" t="s">
        <v>781</v>
      </c>
      <c r="H43" s="77" t="s">
        <v>418</v>
      </c>
      <c r="I43" s="77" t="s">
        <v>782</v>
      </c>
      <c r="J43" s="77" t="s">
        <v>407</v>
      </c>
      <c r="K43" s="77" t="s">
        <v>791</v>
      </c>
      <c r="L43" s="77" t="s">
        <v>772</v>
      </c>
      <c r="M43" s="77" t="s">
        <v>406</v>
      </c>
      <c r="N43" s="77" t="s">
        <v>992</v>
      </c>
      <c r="O43" s="77" t="s">
        <v>417</v>
      </c>
      <c r="P43" s="77" t="s">
        <v>792</v>
      </c>
      <c r="Q43" s="77" t="s">
        <v>776</v>
      </c>
      <c r="R43" s="77" t="s">
        <v>778</v>
      </c>
      <c r="S43" s="77" t="s">
        <v>777</v>
      </c>
      <c r="T43" s="77" t="s">
        <v>794</v>
      </c>
      <c r="U43" s="77" t="s">
        <v>798</v>
      </c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</row>
    <row r="44" spans="1:46" x14ac:dyDescent="0.25">
      <c r="A44" s="64" t="s">
        <v>1792</v>
      </c>
      <c r="B44" s="64" t="s">
        <v>456</v>
      </c>
      <c r="C44" s="77" t="s">
        <v>784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</row>
    <row r="45" spans="1:46" ht="56.25" x14ac:dyDescent="0.25">
      <c r="A45" s="64" t="s">
        <v>1793</v>
      </c>
      <c r="B45" s="64" t="s">
        <v>32</v>
      </c>
      <c r="C45" s="77" t="s">
        <v>789</v>
      </c>
      <c r="D45" s="77" t="s">
        <v>409</v>
      </c>
      <c r="E45" s="77" t="s">
        <v>767</v>
      </c>
      <c r="F45" s="77" t="s">
        <v>414</v>
      </c>
      <c r="G45" s="77" t="s">
        <v>781</v>
      </c>
      <c r="H45" s="77" t="s">
        <v>418</v>
      </c>
      <c r="I45" s="77" t="s">
        <v>782</v>
      </c>
      <c r="J45" s="77" t="s">
        <v>407</v>
      </c>
      <c r="K45" s="77" t="s">
        <v>791</v>
      </c>
      <c r="L45" s="77" t="s">
        <v>772</v>
      </c>
      <c r="M45" s="77" t="s">
        <v>406</v>
      </c>
      <c r="N45" s="77" t="s">
        <v>992</v>
      </c>
      <c r="O45" s="77" t="s">
        <v>417</v>
      </c>
      <c r="P45" s="77" t="s">
        <v>792</v>
      </c>
      <c r="Q45" s="77" t="s">
        <v>776</v>
      </c>
      <c r="R45" s="77" t="s">
        <v>778</v>
      </c>
      <c r="S45" s="77" t="s">
        <v>777</v>
      </c>
      <c r="T45" s="77" t="s">
        <v>794</v>
      </c>
      <c r="U45" s="77" t="s">
        <v>798</v>
      </c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</row>
    <row r="46" spans="1:46" x14ac:dyDescent="0.25">
      <c r="A46" s="64" t="s">
        <v>1794</v>
      </c>
      <c r="B46" s="64" t="s">
        <v>456</v>
      </c>
      <c r="C46" s="77" t="s">
        <v>784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</row>
    <row r="47" spans="1:46" ht="56.25" x14ac:dyDescent="0.25">
      <c r="A47" s="64" t="s">
        <v>1795</v>
      </c>
      <c r="B47" s="64" t="s">
        <v>32</v>
      </c>
      <c r="C47" s="77" t="s">
        <v>789</v>
      </c>
      <c r="D47" s="77" t="s">
        <v>409</v>
      </c>
      <c r="E47" s="77" t="s">
        <v>767</v>
      </c>
      <c r="F47" s="77" t="s">
        <v>414</v>
      </c>
      <c r="G47" s="77" t="s">
        <v>781</v>
      </c>
      <c r="H47" s="77" t="s">
        <v>418</v>
      </c>
      <c r="I47" s="77" t="s">
        <v>782</v>
      </c>
      <c r="J47" s="77" t="s">
        <v>407</v>
      </c>
      <c r="K47" s="77" t="s">
        <v>791</v>
      </c>
      <c r="L47" s="77" t="s">
        <v>772</v>
      </c>
      <c r="M47" s="77" t="s">
        <v>406</v>
      </c>
      <c r="N47" s="77" t="s">
        <v>992</v>
      </c>
      <c r="O47" s="77" t="s">
        <v>417</v>
      </c>
      <c r="P47" s="77" t="s">
        <v>792</v>
      </c>
      <c r="Q47" s="77" t="s">
        <v>776</v>
      </c>
      <c r="R47" s="77" t="s">
        <v>778</v>
      </c>
      <c r="S47" s="77" t="s">
        <v>777</v>
      </c>
      <c r="T47" s="77" t="s">
        <v>794</v>
      </c>
      <c r="U47" s="77" t="s">
        <v>798</v>
      </c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</row>
    <row r="48" spans="1:46" x14ac:dyDescent="0.25">
      <c r="A48" s="64" t="s">
        <v>1796</v>
      </c>
      <c r="B48" s="64" t="s">
        <v>456</v>
      </c>
      <c r="C48" s="77" t="s">
        <v>784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</row>
    <row r="49" spans="1:46" ht="33.75" x14ac:dyDescent="0.25">
      <c r="A49" s="64" t="s">
        <v>1797</v>
      </c>
      <c r="B49" s="64" t="s">
        <v>32</v>
      </c>
      <c r="C49" s="77" t="s">
        <v>789</v>
      </c>
      <c r="D49" s="77" t="s">
        <v>409</v>
      </c>
      <c r="E49" s="77" t="s">
        <v>767</v>
      </c>
      <c r="F49" s="77" t="s">
        <v>414</v>
      </c>
      <c r="G49" s="77" t="s">
        <v>790</v>
      </c>
      <c r="H49" s="77" t="s">
        <v>418</v>
      </c>
      <c r="I49" s="77" t="s">
        <v>782</v>
      </c>
      <c r="J49" s="77" t="s">
        <v>407</v>
      </c>
      <c r="K49" s="77" t="s">
        <v>791</v>
      </c>
      <c r="L49" s="77" t="s">
        <v>772</v>
      </c>
      <c r="M49" s="77" t="s">
        <v>406</v>
      </c>
      <c r="N49" s="77" t="s">
        <v>992</v>
      </c>
      <c r="O49" s="77" t="s">
        <v>417</v>
      </c>
      <c r="P49" s="77" t="s">
        <v>792</v>
      </c>
      <c r="Q49" s="77" t="s">
        <v>793</v>
      </c>
      <c r="R49" s="77" t="s">
        <v>778</v>
      </c>
      <c r="S49" s="77" t="s">
        <v>777</v>
      </c>
      <c r="T49" s="77" t="s">
        <v>794</v>
      </c>
      <c r="U49" s="77" t="s">
        <v>795</v>
      </c>
      <c r="V49" s="77" t="s">
        <v>796</v>
      </c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</row>
    <row r="50" spans="1:46" x14ac:dyDescent="0.25">
      <c r="A50" s="64" t="s">
        <v>1798</v>
      </c>
      <c r="B50" s="64" t="s">
        <v>456</v>
      </c>
      <c r="C50" s="77" t="s">
        <v>784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</row>
    <row r="51" spans="1:46" ht="33.75" x14ac:dyDescent="0.25">
      <c r="A51" s="64" t="s">
        <v>1799</v>
      </c>
      <c r="B51" s="64" t="s">
        <v>32</v>
      </c>
      <c r="C51" s="77" t="s">
        <v>789</v>
      </c>
      <c r="D51" s="77" t="s">
        <v>409</v>
      </c>
      <c r="E51" s="77" t="s">
        <v>767</v>
      </c>
      <c r="F51" s="77" t="s">
        <v>414</v>
      </c>
      <c r="G51" s="77" t="s">
        <v>790</v>
      </c>
      <c r="H51" s="77" t="s">
        <v>418</v>
      </c>
      <c r="I51" s="77" t="s">
        <v>782</v>
      </c>
      <c r="J51" s="77" t="s">
        <v>407</v>
      </c>
      <c r="K51" s="77" t="s">
        <v>791</v>
      </c>
      <c r="L51" s="77" t="s">
        <v>772</v>
      </c>
      <c r="M51" s="77" t="s">
        <v>406</v>
      </c>
      <c r="N51" s="77" t="s">
        <v>992</v>
      </c>
      <c r="O51" s="77" t="s">
        <v>417</v>
      </c>
      <c r="P51" s="77" t="s">
        <v>792</v>
      </c>
      <c r="Q51" s="77" t="s">
        <v>793</v>
      </c>
      <c r="R51" s="77" t="s">
        <v>778</v>
      </c>
      <c r="S51" s="77" t="s">
        <v>777</v>
      </c>
      <c r="T51" s="77" t="s">
        <v>794</v>
      </c>
      <c r="U51" s="77" t="s">
        <v>795</v>
      </c>
      <c r="V51" s="77" t="s">
        <v>796</v>
      </c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</row>
    <row r="52" spans="1:46" x14ac:dyDescent="0.25">
      <c r="A52" s="64" t="s">
        <v>1800</v>
      </c>
      <c r="B52" s="64" t="s">
        <v>456</v>
      </c>
      <c r="C52" s="77" t="s">
        <v>784</v>
      </c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</row>
    <row r="53" spans="1:46" ht="33.75" x14ac:dyDescent="0.25">
      <c r="A53" s="64" t="s">
        <v>1801</v>
      </c>
      <c r="B53" s="64" t="s">
        <v>32</v>
      </c>
      <c r="C53" s="77" t="s">
        <v>789</v>
      </c>
      <c r="D53" s="77" t="s">
        <v>409</v>
      </c>
      <c r="E53" s="77" t="s">
        <v>767</v>
      </c>
      <c r="F53" s="77" t="s">
        <v>414</v>
      </c>
      <c r="G53" s="77" t="s">
        <v>790</v>
      </c>
      <c r="H53" s="77" t="s">
        <v>418</v>
      </c>
      <c r="I53" s="77" t="s">
        <v>782</v>
      </c>
      <c r="J53" s="77" t="s">
        <v>407</v>
      </c>
      <c r="K53" s="77" t="s">
        <v>791</v>
      </c>
      <c r="L53" s="77" t="s">
        <v>772</v>
      </c>
      <c r="M53" s="77" t="s">
        <v>406</v>
      </c>
      <c r="N53" s="77" t="s">
        <v>992</v>
      </c>
      <c r="O53" s="77" t="s">
        <v>417</v>
      </c>
      <c r="P53" s="77" t="s">
        <v>792</v>
      </c>
      <c r="Q53" s="77" t="s">
        <v>793</v>
      </c>
      <c r="R53" s="77" t="s">
        <v>778</v>
      </c>
      <c r="S53" s="77" t="s">
        <v>777</v>
      </c>
      <c r="T53" s="77" t="s">
        <v>794</v>
      </c>
      <c r="U53" s="77" t="s">
        <v>795</v>
      </c>
      <c r="V53" s="77" t="s">
        <v>796</v>
      </c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</row>
    <row r="54" spans="1:46" x14ac:dyDescent="0.25">
      <c r="A54" s="64" t="s">
        <v>1802</v>
      </c>
      <c r="B54" s="64" t="s">
        <v>456</v>
      </c>
      <c r="C54" s="77" t="s">
        <v>784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</row>
    <row r="55" spans="1:46" ht="33.75" x14ac:dyDescent="0.25">
      <c r="A55" s="64" t="s">
        <v>1803</v>
      </c>
      <c r="B55" s="64" t="s">
        <v>32</v>
      </c>
      <c r="C55" s="77" t="s">
        <v>789</v>
      </c>
      <c r="D55" s="77" t="s">
        <v>409</v>
      </c>
      <c r="E55" s="77" t="s">
        <v>767</v>
      </c>
      <c r="F55" s="77" t="s">
        <v>414</v>
      </c>
      <c r="G55" s="77" t="s">
        <v>790</v>
      </c>
      <c r="H55" s="77" t="s">
        <v>418</v>
      </c>
      <c r="I55" s="77" t="s">
        <v>782</v>
      </c>
      <c r="J55" s="77" t="s">
        <v>407</v>
      </c>
      <c r="K55" s="77" t="s">
        <v>791</v>
      </c>
      <c r="L55" s="77" t="s">
        <v>772</v>
      </c>
      <c r="M55" s="77" t="s">
        <v>406</v>
      </c>
      <c r="N55" s="77" t="s">
        <v>992</v>
      </c>
      <c r="O55" s="77" t="s">
        <v>417</v>
      </c>
      <c r="P55" s="77" t="s">
        <v>792</v>
      </c>
      <c r="Q55" s="77" t="s">
        <v>793</v>
      </c>
      <c r="R55" s="77" t="s">
        <v>778</v>
      </c>
      <c r="S55" s="77" t="s">
        <v>777</v>
      </c>
      <c r="T55" s="77" t="s">
        <v>794</v>
      </c>
      <c r="U55" s="77" t="s">
        <v>795</v>
      </c>
      <c r="V55" s="77" t="s">
        <v>796</v>
      </c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</row>
    <row r="56" spans="1:46" x14ac:dyDescent="0.25">
      <c r="A56" s="64" t="s">
        <v>1804</v>
      </c>
      <c r="B56" s="64" t="s">
        <v>456</v>
      </c>
      <c r="C56" s="77" t="s">
        <v>784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  <row r="57" spans="1:46" ht="33.75" x14ac:dyDescent="0.25">
      <c r="A57" s="64" t="s">
        <v>1805</v>
      </c>
      <c r="B57" s="64" t="s">
        <v>32</v>
      </c>
      <c r="C57" s="77" t="s">
        <v>789</v>
      </c>
      <c r="D57" s="77" t="s">
        <v>409</v>
      </c>
      <c r="E57" s="77" t="s">
        <v>767</v>
      </c>
      <c r="F57" s="77" t="s">
        <v>414</v>
      </c>
      <c r="G57" s="77" t="s">
        <v>790</v>
      </c>
      <c r="H57" s="77" t="s">
        <v>418</v>
      </c>
      <c r="I57" s="77" t="s">
        <v>782</v>
      </c>
      <c r="J57" s="77" t="s">
        <v>407</v>
      </c>
      <c r="K57" s="77" t="s">
        <v>791</v>
      </c>
      <c r="L57" s="77" t="s">
        <v>772</v>
      </c>
      <c r="M57" s="77" t="s">
        <v>406</v>
      </c>
      <c r="N57" s="77" t="s">
        <v>992</v>
      </c>
      <c r="O57" s="77" t="s">
        <v>417</v>
      </c>
      <c r="P57" s="77" t="s">
        <v>792</v>
      </c>
      <c r="Q57" s="77" t="s">
        <v>793</v>
      </c>
      <c r="R57" s="77" t="s">
        <v>778</v>
      </c>
      <c r="S57" s="77" t="s">
        <v>777</v>
      </c>
      <c r="T57" s="77" t="s">
        <v>794</v>
      </c>
      <c r="U57" s="77" t="s">
        <v>795</v>
      </c>
      <c r="V57" s="77" t="s">
        <v>796</v>
      </c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</row>
    <row r="58" spans="1:46" x14ac:dyDescent="0.25">
      <c r="A58" s="64" t="s">
        <v>1806</v>
      </c>
      <c r="B58" s="64" t="s">
        <v>456</v>
      </c>
      <c r="C58" s="77" t="s">
        <v>784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</row>
    <row r="59" spans="1:46" ht="33.75" x14ac:dyDescent="0.25">
      <c r="A59" s="64" t="s">
        <v>1807</v>
      </c>
      <c r="B59" s="64" t="s">
        <v>32</v>
      </c>
      <c r="C59" s="77" t="s">
        <v>789</v>
      </c>
      <c r="D59" s="77" t="s">
        <v>409</v>
      </c>
      <c r="E59" s="77" t="s">
        <v>767</v>
      </c>
      <c r="F59" s="77" t="s">
        <v>414</v>
      </c>
      <c r="G59" s="77" t="s">
        <v>790</v>
      </c>
      <c r="H59" s="77" t="s">
        <v>418</v>
      </c>
      <c r="I59" s="77" t="s">
        <v>782</v>
      </c>
      <c r="J59" s="77" t="s">
        <v>407</v>
      </c>
      <c r="K59" s="77" t="s">
        <v>791</v>
      </c>
      <c r="L59" s="77" t="s">
        <v>772</v>
      </c>
      <c r="M59" s="77" t="s">
        <v>406</v>
      </c>
      <c r="N59" s="77" t="s">
        <v>992</v>
      </c>
      <c r="O59" s="77" t="s">
        <v>417</v>
      </c>
      <c r="P59" s="77" t="s">
        <v>792</v>
      </c>
      <c r="Q59" s="77" t="s">
        <v>793</v>
      </c>
      <c r="R59" s="77" t="s">
        <v>778</v>
      </c>
      <c r="S59" s="77" t="s">
        <v>777</v>
      </c>
      <c r="T59" s="77" t="s">
        <v>794</v>
      </c>
      <c r="U59" s="77" t="s">
        <v>795</v>
      </c>
      <c r="V59" s="77" t="s">
        <v>796</v>
      </c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</row>
    <row r="60" spans="1:46" x14ac:dyDescent="0.25">
      <c r="A60" s="64" t="s">
        <v>1808</v>
      </c>
      <c r="B60" s="64" t="s">
        <v>456</v>
      </c>
      <c r="C60" s="77" t="s">
        <v>784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</row>
    <row r="61" spans="1:46" ht="33.75" x14ac:dyDescent="0.25">
      <c r="A61" s="64" t="s">
        <v>1809</v>
      </c>
      <c r="B61" s="64" t="s">
        <v>32</v>
      </c>
      <c r="C61" s="77" t="s">
        <v>789</v>
      </c>
      <c r="D61" s="77" t="s">
        <v>409</v>
      </c>
      <c r="E61" s="77" t="s">
        <v>767</v>
      </c>
      <c r="F61" s="77" t="s">
        <v>414</v>
      </c>
      <c r="G61" s="77" t="s">
        <v>790</v>
      </c>
      <c r="H61" s="77" t="s">
        <v>418</v>
      </c>
      <c r="I61" s="77" t="s">
        <v>782</v>
      </c>
      <c r="J61" s="77" t="s">
        <v>407</v>
      </c>
      <c r="K61" s="77" t="s">
        <v>791</v>
      </c>
      <c r="L61" s="77" t="s">
        <v>772</v>
      </c>
      <c r="M61" s="77" t="s">
        <v>406</v>
      </c>
      <c r="N61" s="77" t="s">
        <v>992</v>
      </c>
      <c r="O61" s="77" t="s">
        <v>417</v>
      </c>
      <c r="P61" s="77" t="s">
        <v>792</v>
      </c>
      <c r="Q61" s="77" t="s">
        <v>793</v>
      </c>
      <c r="R61" s="77" t="s">
        <v>778</v>
      </c>
      <c r="S61" s="77" t="s">
        <v>777</v>
      </c>
      <c r="T61" s="77" t="s">
        <v>794</v>
      </c>
      <c r="U61" s="77" t="s">
        <v>795</v>
      </c>
      <c r="V61" s="77" t="s">
        <v>796</v>
      </c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</row>
    <row r="62" spans="1:46" x14ac:dyDescent="0.25">
      <c r="A62" s="64" t="s">
        <v>1810</v>
      </c>
      <c r="B62" s="64" t="s">
        <v>456</v>
      </c>
      <c r="C62" s="77" t="s">
        <v>784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</row>
    <row r="63" spans="1:46" ht="60" x14ac:dyDescent="0.25">
      <c r="A63" s="64" t="s">
        <v>1811</v>
      </c>
      <c r="B63" s="64" t="s">
        <v>32</v>
      </c>
      <c r="C63" s="77" t="s">
        <v>1099</v>
      </c>
      <c r="D63" s="77" t="s">
        <v>1100</v>
      </c>
      <c r="E63" s="77" t="s">
        <v>409</v>
      </c>
      <c r="F63" s="77" t="s">
        <v>767</v>
      </c>
      <c r="G63" s="77" t="s">
        <v>414</v>
      </c>
      <c r="H63" s="77" t="s">
        <v>790</v>
      </c>
      <c r="I63" s="77" t="s">
        <v>418</v>
      </c>
      <c r="J63" s="77" t="s">
        <v>1101</v>
      </c>
      <c r="K63" s="77" t="s">
        <v>407</v>
      </c>
      <c r="L63" s="77" t="s">
        <v>791</v>
      </c>
      <c r="M63" s="77" t="s">
        <v>772</v>
      </c>
      <c r="N63" s="77" t="s">
        <v>1102</v>
      </c>
      <c r="O63" s="77" t="s">
        <v>1103</v>
      </c>
      <c r="P63" s="77" t="s">
        <v>1104</v>
      </c>
      <c r="Q63" s="77" t="s">
        <v>417</v>
      </c>
      <c r="R63" s="77" t="s">
        <v>1105</v>
      </c>
      <c r="S63" s="77" t="s">
        <v>1106</v>
      </c>
      <c r="T63" s="77" t="s">
        <v>793</v>
      </c>
      <c r="U63" s="77" t="s">
        <v>778</v>
      </c>
      <c r="V63" s="77" t="s">
        <v>777</v>
      </c>
      <c r="W63" s="77" t="s">
        <v>794</v>
      </c>
      <c r="X63" s="77" t="s">
        <v>1107</v>
      </c>
      <c r="Y63" s="77" t="s">
        <v>1108</v>
      </c>
      <c r="Z63" s="77" t="s">
        <v>1109</v>
      </c>
      <c r="AA63" s="77" t="s">
        <v>1110</v>
      </c>
      <c r="AB63" s="77" t="s">
        <v>1111</v>
      </c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</row>
    <row r="64" spans="1:46" x14ac:dyDescent="0.25">
      <c r="A64" s="64" t="s">
        <v>1812</v>
      </c>
      <c r="B64" s="64" t="s">
        <v>456</v>
      </c>
      <c r="C64" s="77" t="s">
        <v>2633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</row>
    <row r="65" spans="1:46" x14ac:dyDescent="0.25">
      <c r="A65" s="64" t="s">
        <v>1813</v>
      </c>
      <c r="B65" s="107" t="s">
        <v>32</v>
      </c>
      <c r="C65" s="77" t="s">
        <v>2638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</row>
    <row r="66" spans="1:46" x14ac:dyDescent="0.25">
      <c r="A66" s="64" t="s">
        <v>1814</v>
      </c>
      <c r="B66" s="107" t="s">
        <v>456</v>
      </c>
      <c r="C66" s="77" t="s">
        <v>2633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</row>
    <row r="67" spans="1:46" ht="22.5" x14ac:dyDescent="0.25">
      <c r="A67" s="64" t="s">
        <v>1815</v>
      </c>
      <c r="B67" s="107" t="s">
        <v>32</v>
      </c>
      <c r="C67" s="77" t="s">
        <v>2638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</row>
    <row r="68" spans="1:46" ht="22.5" x14ac:dyDescent="0.25">
      <c r="A68" s="64" t="s">
        <v>1816</v>
      </c>
      <c r="B68" s="107" t="s">
        <v>456</v>
      </c>
      <c r="C68" s="77" t="s">
        <v>2633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</row>
    <row r="69" spans="1:46" x14ac:dyDescent="0.25">
      <c r="A69" s="64" t="s">
        <v>1817</v>
      </c>
      <c r="B69" s="107" t="s">
        <v>32</v>
      </c>
      <c r="C69" s="77" t="s">
        <v>2638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</row>
    <row r="70" spans="1:46" x14ac:dyDescent="0.25">
      <c r="A70" s="64" t="s">
        <v>1818</v>
      </c>
      <c r="B70" s="107" t="s">
        <v>456</v>
      </c>
      <c r="C70" s="77" t="s">
        <v>2633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</row>
    <row r="71" spans="1:46" ht="22.5" x14ac:dyDescent="0.25">
      <c r="A71" s="64" t="s">
        <v>1819</v>
      </c>
      <c r="B71" s="107" t="s">
        <v>32</v>
      </c>
      <c r="C71" s="77" t="s">
        <v>2638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</row>
    <row r="72" spans="1:46" ht="22.5" x14ac:dyDescent="0.25">
      <c r="A72" s="64" t="s">
        <v>1820</v>
      </c>
      <c r="B72" s="107" t="s">
        <v>456</v>
      </c>
      <c r="C72" s="77" t="s">
        <v>2633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</row>
    <row r="73" spans="1:46" ht="22.5" x14ac:dyDescent="0.25">
      <c r="A73" s="64" t="s">
        <v>1821</v>
      </c>
      <c r="B73" s="64" t="s">
        <v>32</v>
      </c>
      <c r="C73" s="77" t="s">
        <v>766</v>
      </c>
      <c r="D73" s="77" t="s">
        <v>409</v>
      </c>
      <c r="E73" s="77" t="s">
        <v>767</v>
      </c>
      <c r="F73" s="77" t="s">
        <v>768</v>
      </c>
      <c r="G73" s="77" t="s">
        <v>414</v>
      </c>
      <c r="H73" s="77" t="s">
        <v>1241</v>
      </c>
      <c r="I73" s="77" t="s">
        <v>1242</v>
      </c>
      <c r="J73" s="77" t="s">
        <v>1243</v>
      </c>
      <c r="K73" s="77" t="s">
        <v>1244</v>
      </c>
      <c r="L73" s="77" t="s">
        <v>1245</v>
      </c>
      <c r="M73" s="77" t="s">
        <v>1246</v>
      </c>
      <c r="N73" s="77" t="s">
        <v>1247</v>
      </c>
      <c r="O73" s="77" t="s">
        <v>1248</v>
      </c>
      <c r="P73" s="77" t="s">
        <v>1249</v>
      </c>
      <c r="Q73" s="77" t="s">
        <v>407</v>
      </c>
      <c r="R73" s="77" t="s">
        <v>408</v>
      </c>
      <c r="S73" s="77" t="s">
        <v>772</v>
      </c>
      <c r="T73" s="77" t="s">
        <v>773</v>
      </c>
      <c r="U73" s="77" t="s">
        <v>406</v>
      </c>
      <c r="V73" s="77" t="s">
        <v>774</v>
      </c>
      <c r="W73" s="77" t="s">
        <v>775</v>
      </c>
      <c r="X73" s="77" t="s">
        <v>776</v>
      </c>
      <c r="Y73" s="77" t="s">
        <v>990</v>
      </c>
      <c r="Z73" s="77" t="s">
        <v>777</v>
      </c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</row>
    <row r="74" spans="1:46" ht="22.5" x14ac:dyDescent="0.25">
      <c r="A74" s="64" t="s">
        <v>1822</v>
      </c>
      <c r="B74" s="64" t="s">
        <v>456</v>
      </c>
      <c r="C74" s="77" t="s">
        <v>778</v>
      </c>
      <c r="D74" s="77" t="s">
        <v>779</v>
      </c>
      <c r="E74" s="77" t="s">
        <v>991</v>
      </c>
      <c r="F74" s="77" t="s">
        <v>1213</v>
      </c>
      <c r="G74" s="77" t="s">
        <v>1214</v>
      </c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</row>
    <row r="75" spans="1:46" ht="56.25" x14ac:dyDescent="0.25">
      <c r="A75" s="64" t="s">
        <v>1823</v>
      </c>
      <c r="B75" s="64" t="s">
        <v>32</v>
      </c>
      <c r="C75" s="77" t="s">
        <v>766</v>
      </c>
      <c r="D75" s="77" t="s">
        <v>409</v>
      </c>
      <c r="E75" s="77" t="s">
        <v>767</v>
      </c>
      <c r="F75" s="77" t="s">
        <v>768</v>
      </c>
      <c r="G75" s="77" t="s">
        <v>414</v>
      </c>
      <c r="H75" s="77" t="s">
        <v>781</v>
      </c>
      <c r="I75" s="77" t="s">
        <v>418</v>
      </c>
      <c r="J75" s="77" t="s">
        <v>782</v>
      </c>
      <c r="K75" s="77" t="s">
        <v>783</v>
      </c>
      <c r="L75" s="77" t="s">
        <v>407</v>
      </c>
      <c r="M75" s="77" t="s">
        <v>408</v>
      </c>
      <c r="N75" s="77" t="s">
        <v>772</v>
      </c>
      <c r="O75" s="77" t="s">
        <v>773</v>
      </c>
      <c r="P75" s="77" t="s">
        <v>406</v>
      </c>
      <c r="Q75" s="77" t="s">
        <v>992</v>
      </c>
      <c r="R75" s="77" t="s">
        <v>774</v>
      </c>
      <c r="S75" s="77" t="s">
        <v>775</v>
      </c>
      <c r="T75" s="77" t="s">
        <v>776</v>
      </c>
      <c r="U75" s="77" t="s">
        <v>778</v>
      </c>
      <c r="V75" s="77" t="s">
        <v>777</v>
      </c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</row>
    <row r="76" spans="1:46" ht="33.75" x14ac:dyDescent="0.25">
      <c r="A76" s="64" t="s">
        <v>1824</v>
      </c>
      <c r="B76" s="64" t="s">
        <v>456</v>
      </c>
      <c r="C76" s="77" t="s">
        <v>779</v>
      </c>
      <c r="D76" s="77" t="s">
        <v>780</v>
      </c>
      <c r="E76" s="77" t="s">
        <v>784</v>
      </c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</row>
    <row r="77" spans="1:46" ht="56.25" x14ac:dyDescent="0.25">
      <c r="A77" s="64" t="s">
        <v>1825</v>
      </c>
      <c r="B77" s="64" t="s">
        <v>32</v>
      </c>
      <c r="C77" s="77" t="s">
        <v>766</v>
      </c>
      <c r="D77" s="77" t="s">
        <v>409</v>
      </c>
      <c r="E77" s="77" t="s">
        <v>767</v>
      </c>
      <c r="F77" s="77" t="s">
        <v>768</v>
      </c>
      <c r="G77" s="77" t="s">
        <v>414</v>
      </c>
      <c r="H77" s="77" t="s">
        <v>781</v>
      </c>
      <c r="I77" s="77" t="s">
        <v>418</v>
      </c>
      <c r="J77" s="77" t="s">
        <v>782</v>
      </c>
      <c r="K77" s="77" t="s">
        <v>783</v>
      </c>
      <c r="L77" s="77" t="s">
        <v>407</v>
      </c>
      <c r="M77" s="77" t="s">
        <v>408</v>
      </c>
      <c r="N77" s="77" t="s">
        <v>772</v>
      </c>
      <c r="O77" s="77" t="s">
        <v>773</v>
      </c>
      <c r="P77" s="77" t="s">
        <v>406</v>
      </c>
      <c r="Q77" s="77" t="s">
        <v>992</v>
      </c>
      <c r="R77" s="77" t="s">
        <v>774</v>
      </c>
      <c r="S77" s="77" t="s">
        <v>775</v>
      </c>
      <c r="T77" s="77" t="s">
        <v>776</v>
      </c>
      <c r="U77" s="77" t="s">
        <v>778</v>
      </c>
      <c r="V77" s="77" t="s">
        <v>777</v>
      </c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</row>
    <row r="78" spans="1:46" ht="33.75" x14ac:dyDescent="0.25">
      <c r="A78" s="64" t="s">
        <v>1826</v>
      </c>
      <c r="B78" s="64" t="s">
        <v>456</v>
      </c>
      <c r="C78" s="77" t="s">
        <v>779</v>
      </c>
      <c r="D78" s="77" t="s">
        <v>780</v>
      </c>
      <c r="E78" s="77" t="s">
        <v>784</v>
      </c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</row>
    <row r="79" spans="1:46" ht="101.25" x14ac:dyDescent="0.25">
      <c r="A79" s="64" t="s">
        <v>1827</v>
      </c>
      <c r="B79" s="64" t="s">
        <v>32</v>
      </c>
      <c r="C79" s="77" t="s">
        <v>766</v>
      </c>
      <c r="D79" s="77" t="s">
        <v>409</v>
      </c>
      <c r="E79" s="77" t="s">
        <v>767</v>
      </c>
      <c r="F79" s="77" t="s">
        <v>785</v>
      </c>
      <c r="G79" s="77" t="s">
        <v>414</v>
      </c>
      <c r="H79" s="77" t="s">
        <v>1098</v>
      </c>
      <c r="I79" s="77" t="s">
        <v>418</v>
      </c>
      <c r="J79" s="77" t="s">
        <v>782</v>
      </c>
      <c r="K79" s="77" t="s">
        <v>783</v>
      </c>
      <c r="L79" s="77" t="s">
        <v>407</v>
      </c>
      <c r="M79" s="77" t="s">
        <v>408</v>
      </c>
      <c r="N79" s="77" t="s">
        <v>772</v>
      </c>
      <c r="O79" s="77" t="s">
        <v>773</v>
      </c>
      <c r="P79" s="77" t="s">
        <v>406</v>
      </c>
      <c r="Q79" s="77" t="s">
        <v>992</v>
      </c>
      <c r="R79" s="77" t="s">
        <v>774</v>
      </c>
      <c r="S79" s="77" t="s">
        <v>775</v>
      </c>
      <c r="T79" s="77" t="s">
        <v>776</v>
      </c>
      <c r="U79" s="77" t="s">
        <v>778</v>
      </c>
      <c r="V79" s="77" t="s">
        <v>777</v>
      </c>
      <c r="W79" s="77" t="s">
        <v>787</v>
      </c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</row>
    <row r="80" spans="1:46" x14ac:dyDescent="0.25">
      <c r="A80" s="64" t="s">
        <v>1828</v>
      </c>
      <c r="B80" s="64" t="s">
        <v>456</v>
      </c>
      <c r="C80" s="77" t="s">
        <v>779</v>
      </c>
      <c r="D80" s="77" t="s">
        <v>784</v>
      </c>
      <c r="E80" s="77" t="s">
        <v>1212</v>
      </c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</row>
    <row r="81" spans="1:46" ht="56.25" x14ac:dyDescent="0.25">
      <c r="A81" s="64" t="s">
        <v>1829</v>
      </c>
      <c r="B81" s="64" t="s">
        <v>32</v>
      </c>
      <c r="C81" s="77" t="s">
        <v>789</v>
      </c>
      <c r="D81" s="77" t="s">
        <v>409</v>
      </c>
      <c r="E81" s="77" t="s">
        <v>767</v>
      </c>
      <c r="F81" s="77" t="s">
        <v>414</v>
      </c>
      <c r="G81" s="77" t="s">
        <v>781</v>
      </c>
      <c r="H81" s="77" t="s">
        <v>418</v>
      </c>
      <c r="I81" s="77" t="s">
        <v>782</v>
      </c>
      <c r="J81" s="77" t="s">
        <v>407</v>
      </c>
      <c r="K81" s="77" t="s">
        <v>791</v>
      </c>
      <c r="L81" s="77" t="s">
        <v>772</v>
      </c>
      <c r="M81" s="77" t="s">
        <v>406</v>
      </c>
      <c r="N81" s="77" t="s">
        <v>992</v>
      </c>
      <c r="O81" s="77" t="s">
        <v>417</v>
      </c>
      <c r="P81" s="77" t="s">
        <v>792</v>
      </c>
      <c r="Q81" s="77" t="s">
        <v>776</v>
      </c>
      <c r="R81" s="77" t="s">
        <v>778</v>
      </c>
      <c r="S81" s="77" t="s">
        <v>777</v>
      </c>
      <c r="T81" s="77" t="s">
        <v>794</v>
      </c>
      <c r="U81" s="77" t="s">
        <v>798</v>
      </c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</row>
    <row r="82" spans="1:46" x14ac:dyDescent="0.25">
      <c r="A82" s="64" t="s">
        <v>1830</v>
      </c>
      <c r="B82" s="64" t="s">
        <v>456</v>
      </c>
      <c r="C82" s="77" t="s">
        <v>784</v>
      </c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</row>
    <row r="83" spans="1:46" ht="56.25" x14ac:dyDescent="0.25">
      <c r="A83" s="64" t="s">
        <v>1831</v>
      </c>
      <c r="B83" s="64" t="s">
        <v>32</v>
      </c>
      <c r="C83" s="77" t="s">
        <v>789</v>
      </c>
      <c r="D83" s="77" t="s">
        <v>409</v>
      </c>
      <c r="E83" s="77" t="s">
        <v>767</v>
      </c>
      <c r="F83" s="77" t="s">
        <v>414</v>
      </c>
      <c r="G83" s="77" t="s">
        <v>781</v>
      </c>
      <c r="H83" s="77" t="s">
        <v>418</v>
      </c>
      <c r="I83" s="77" t="s">
        <v>782</v>
      </c>
      <c r="J83" s="77" t="s">
        <v>407</v>
      </c>
      <c r="K83" s="77" t="s">
        <v>791</v>
      </c>
      <c r="L83" s="77" t="s">
        <v>772</v>
      </c>
      <c r="M83" s="77" t="s">
        <v>406</v>
      </c>
      <c r="N83" s="77" t="s">
        <v>992</v>
      </c>
      <c r="O83" s="77" t="s">
        <v>417</v>
      </c>
      <c r="P83" s="77" t="s">
        <v>792</v>
      </c>
      <c r="Q83" s="77" t="s">
        <v>776</v>
      </c>
      <c r="R83" s="77" t="s">
        <v>778</v>
      </c>
      <c r="S83" s="77" t="s">
        <v>777</v>
      </c>
      <c r="T83" s="77" t="s">
        <v>794</v>
      </c>
      <c r="U83" s="77" t="s">
        <v>798</v>
      </c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</row>
    <row r="84" spans="1:46" x14ac:dyDescent="0.25">
      <c r="A84" s="64" t="s">
        <v>1832</v>
      </c>
      <c r="B84" s="64" t="s">
        <v>456</v>
      </c>
      <c r="C84" s="77" t="s">
        <v>784</v>
      </c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</row>
    <row r="85" spans="1:46" ht="56.25" x14ac:dyDescent="0.25">
      <c r="A85" s="64" t="s">
        <v>1833</v>
      </c>
      <c r="B85" s="64" t="s">
        <v>32</v>
      </c>
      <c r="C85" s="77" t="s">
        <v>789</v>
      </c>
      <c r="D85" s="77" t="s">
        <v>409</v>
      </c>
      <c r="E85" s="77" t="s">
        <v>767</v>
      </c>
      <c r="F85" s="77" t="s">
        <v>414</v>
      </c>
      <c r="G85" s="77" t="s">
        <v>781</v>
      </c>
      <c r="H85" s="77" t="s">
        <v>418</v>
      </c>
      <c r="I85" s="77" t="s">
        <v>782</v>
      </c>
      <c r="J85" s="77" t="s">
        <v>407</v>
      </c>
      <c r="K85" s="77" t="s">
        <v>791</v>
      </c>
      <c r="L85" s="77" t="s">
        <v>772</v>
      </c>
      <c r="M85" s="77" t="s">
        <v>406</v>
      </c>
      <c r="N85" s="77" t="s">
        <v>992</v>
      </c>
      <c r="O85" s="77" t="s">
        <v>417</v>
      </c>
      <c r="P85" s="77" t="s">
        <v>792</v>
      </c>
      <c r="Q85" s="77" t="s">
        <v>776</v>
      </c>
      <c r="R85" s="77" t="s">
        <v>778</v>
      </c>
      <c r="S85" s="77" t="s">
        <v>777</v>
      </c>
      <c r="T85" s="77" t="s">
        <v>794</v>
      </c>
      <c r="U85" s="77" t="s">
        <v>798</v>
      </c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</row>
    <row r="86" spans="1:46" x14ac:dyDescent="0.25">
      <c r="A86" s="64" t="s">
        <v>1834</v>
      </c>
      <c r="B86" s="64" t="s">
        <v>456</v>
      </c>
      <c r="C86" s="77" t="s">
        <v>784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</row>
    <row r="87" spans="1:46" ht="33.75" x14ac:dyDescent="0.25">
      <c r="A87" s="64" t="s">
        <v>1835</v>
      </c>
      <c r="B87" s="64" t="s">
        <v>32</v>
      </c>
      <c r="C87" s="77" t="s">
        <v>789</v>
      </c>
      <c r="D87" s="77" t="s">
        <v>409</v>
      </c>
      <c r="E87" s="77" t="s">
        <v>767</v>
      </c>
      <c r="F87" s="77" t="s">
        <v>414</v>
      </c>
      <c r="G87" s="77" t="s">
        <v>790</v>
      </c>
      <c r="H87" s="77" t="s">
        <v>418</v>
      </c>
      <c r="I87" s="77" t="s">
        <v>782</v>
      </c>
      <c r="J87" s="77" t="s">
        <v>407</v>
      </c>
      <c r="K87" s="77" t="s">
        <v>791</v>
      </c>
      <c r="L87" s="77" t="s">
        <v>772</v>
      </c>
      <c r="M87" s="77" t="s">
        <v>406</v>
      </c>
      <c r="N87" s="77" t="s">
        <v>992</v>
      </c>
      <c r="O87" s="77" t="s">
        <v>417</v>
      </c>
      <c r="P87" s="77" t="s">
        <v>792</v>
      </c>
      <c r="Q87" s="77" t="s">
        <v>793</v>
      </c>
      <c r="R87" s="77" t="s">
        <v>778</v>
      </c>
      <c r="S87" s="77" t="s">
        <v>777</v>
      </c>
      <c r="T87" s="77" t="s">
        <v>794</v>
      </c>
      <c r="U87" s="77" t="s">
        <v>795</v>
      </c>
      <c r="V87" s="77" t="s">
        <v>796</v>
      </c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</row>
    <row r="88" spans="1:46" x14ac:dyDescent="0.25">
      <c r="A88" s="64" t="s">
        <v>1836</v>
      </c>
      <c r="B88" s="64" t="s">
        <v>456</v>
      </c>
      <c r="C88" s="77" t="s">
        <v>784</v>
      </c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</row>
    <row r="89" spans="1:46" ht="33.75" x14ac:dyDescent="0.25">
      <c r="A89" s="64" t="s">
        <v>1837</v>
      </c>
      <c r="B89" s="64" t="s">
        <v>32</v>
      </c>
      <c r="C89" s="77" t="s">
        <v>789</v>
      </c>
      <c r="D89" s="77" t="s">
        <v>409</v>
      </c>
      <c r="E89" s="77" t="s">
        <v>767</v>
      </c>
      <c r="F89" s="77" t="s">
        <v>414</v>
      </c>
      <c r="G89" s="77" t="s">
        <v>790</v>
      </c>
      <c r="H89" s="77" t="s">
        <v>418</v>
      </c>
      <c r="I89" s="77" t="s">
        <v>782</v>
      </c>
      <c r="J89" s="77" t="s">
        <v>407</v>
      </c>
      <c r="K89" s="77" t="s">
        <v>791</v>
      </c>
      <c r="L89" s="77" t="s">
        <v>772</v>
      </c>
      <c r="M89" s="77" t="s">
        <v>406</v>
      </c>
      <c r="N89" s="77" t="s">
        <v>992</v>
      </c>
      <c r="O89" s="77" t="s">
        <v>417</v>
      </c>
      <c r="P89" s="77" t="s">
        <v>792</v>
      </c>
      <c r="Q89" s="77" t="s">
        <v>793</v>
      </c>
      <c r="R89" s="77" t="s">
        <v>778</v>
      </c>
      <c r="S89" s="77" t="s">
        <v>777</v>
      </c>
      <c r="T89" s="77" t="s">
        <v>794</v>
      </c>
      <c r="U89" s="77" t="s">
        <v>795</v>
      </c>
      <c r="V89" s="77" t="s">
        <v>796</v>
      </c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</row>
    <row r="90" spans="1:46" x14ac:dyDescent="0.25">
      <c r="A90" s="64" t="s">
        <v>1838</v>
      </c>
      <c r="B90" s="64" t="s">
        <v>456</v>
      </c>
      <c r="C90" s="77" t="s">
        <v>784</v>
      </c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</row>
    <row r="91" spans="1:46" ht="33.75" x14ac:dyDescent="0.25">
      <c r="A91" s="64" t="s">
        <v>1839</v>
      </c>
      <c r="B91" s="64" t="s">
        <v>32</v>
      </c>
      <c r="C91" s="77" t="s">
        <v>789</v>
      </c>
      <c r="D91" s="77" t="s">
        <v>409</v>
      </c>
      <c r="E91" s="77" t="s">
        <v>767</v>
      </c>
      <c r="F91" s="77" t="s">
        <v>414</v>
      </c>
      <c r="G91" s="77" t="s">
        <v>790</v>
      </c>
      <c r="H91" s="77" t="s">
        <v>418</v>
      </c>
      <c r="I91" s="77" t="s">
        <v>782</v>
      </c>
      <c r="J91" s="77" t="s">
        <v>407</v>
      </c>
      <c r="K91" s="77" t="s">
        <v>791</v>
      </c>
      <c r="L91" s="77" t="s">
        <v>772</v>
      </c>
      <c r="M91" s="77" t="s">
        <v>406</v>
      </c>
      <c r="N91" s="77" t="s">
        <v>992</v>
      </c>
      <c r="O91" s="77" t="s">
        <v>417</v>
      </c>
      <c r="P91" s="77" t="s">
        <v>792</v>
      </c>
      <c r="Q91" s="77" t="s">
        <v>793</v>
      </c>
      <c r="R91" s="77" t="s">
        <v>778</v>
      </c>
      <c r="S91" s="77" t="s">
        <v>777</v>
      </c>
      <c r="T91" s="77" t="s">
        <v>794</v>
      </c>
      <c r="U91" s="77" t="s">
        <v>795</v>
      </c>
      <c r="V91" s="77" t="s">
        <v>796</v>
      </c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</row>
    <row r="92" spans="1:46" x14ac:dyDescent="0.25">
      <c r="A92" s="64" t="s">
        <v>1840</v>
      </c>
      <c r="B92" s="64" t="s">
        <v>456</v>
      </c>
      <c r="C92" s="77" t="s">
        <v>784</v>
      </c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</row>
    <row r="93" spans="1:46" ht="33.75" x14ac:dyDescent="0.25">
      <c r="A93" s="64" t="s">
        <v>1841</v>
      </c>
      <c r="B93" s="64" t="s">
        <v>32</v>
      </c>
      <c r="C93" s="77" t="s">
        <v>789</v>
      </c>
      <c r="D93" s="77" t="s">
        <v>409</v>
      </c>
      <c r="E93" s="77" t="s">
        <v>767</v>
      </c>
      <c r="F93" s="77" t="s">
        <v>414</v>
      </c>
      <c r="G93" s="77" t="s">
        <v>790</v>
      </c>
      <c r="H93" s="77" t="s">
        <v>418</v>
      </c>
      <c r="I93" s="77" t="s">
        <v>782</v>
      </c>
      <c r="J93" s="77" t="s">
        <v>407</v>
      </c>
      <c r="K93" s="77" t="s">
        <v>791</v>
      </c>
      <c r="L93" s="77" t="s">
        <v>772</v>
      </c>
      <c r="M93" s="77" t="s">
        <v>406</v>
      </c>
      <c r="N93" s="77" t="s">
        <v>1213</v>
      </c>
      <c r="O93" s="77" t="s">
        <v>1214</v>
      </c>
      <c r="P93" s="77" t="s">
        <v>417</v>
      </c>
      <c r="Q93" s="77" t="s">
        <v>792</v>
      </c>
      <c r="R93" s="77" t="s">
        <v>793</v>
      </c>
      <c r="S93" s="77" t="s">
        <v>778</v>
      </c>
      <c r="T93" s="77" t="s">
        <v>777</v>
      </c>
      <c r="U93" s="77" t="s">
        <v>794</v>
      </c>
      <c r="V93" s="77" t="s">
        <v>795</v>
      </c>
      <c r="W93" s="77" t="s">
        <v>796</v>
      </c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</row>
    <row r="94" spans="1:46" ht="22.5" x14ac:dyDescent="0.25">
      <c r="A94" s="64" t="s">
        <v>1842</v>
      </c>
      <c r="B94" s="64" t="s">
        <v>456</v>
      </c>
      <c r="C94" s="77" t="s">
        <v>784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</row>
    <row r="95" spans="1:46" ht="60" x14ac:dyDescent="0.25">
      <c r="A95" s="64" t="s">
        <v>1843</v>
      </c>
      <c r="B95" s="64" t="s">
        <v>32</v>
      </c>
      <c r="C95" s="77" t="s">
        <v>1099</v>
      </c>
      <c r="D95" s="77" t="s">
        <v>1100</v>
      </c>
      <c r="E95" s="77" t="s">
        <v>409</v>
      </c>
      <c r="F95" s="77" t="s">
        <v>767</v>
      </c>
      <c r="G95" s="77" t="s">
        <v>414</v>
      </c>
      <c r="H95" s="77" t="s">
        <v>790</v>
      </c>
      <c r="I95" s="77" t="s">
        <v>418</v>
      </c>
      <c r="J95" s="77" t="s">
        <v>1101</v>
      </c>
      <c r="K95" s="77" t="s">
        <v>407</v>
      </c>
      <c r="L95" s="77" t="s">
        <v>791</v>
      </c>
      <c r="M95" s="77" t="s">
        <v>772</v>
      </c>
      <c r="N95" s="77" t="s">
        <v>1102</v>
      </c>
      <c r="O95" s="77" t="s">
        <v>1103</v>
      </c>
      <c r="P95" s="77" t="s">
        <v>1104</v>
      </c>
      <c r="Q95" s="77" t="s">
        <v>417</v>
      </c>
      <c r="R95" s="77" t="s">
        <v>1105</v>
      </c>
      <c r="S95" s="77" t="s">
        <v>1106</v>
      </c>
      <c r="T95" s="77" t="s">
        <v>793</v>
      </c>
      <c r="U95" s="77" t="s">
        <v>778</v>
      </c>
      <c r="V95" s="77" t="s">
        <v>777</v>
      </c>
      <c r="W95" s="77" t="s">
        <v>794</v>
      </c>
      <c r="X95" s="77" t="s">
        <v>1107</v>
      </c>
      <c r="Y95" s="77" t="s">
        <v>1108</v>
      </c>
      <c r="Z95" s="77" t="s">
        <v>1109</v>
      </c>
      <c r="AA95" s="77" t="s">
        <v>1110</v>
      </c>
      <c r="AB95" s="77" t="s">
        <v>1111</v>
      </c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</row>
    <row r="96" spans="1:46" x14ac:dyDescent="0.25">
      <c r="A96" s="64" t="s">
        <v>1844</v>
      </c>
      <c r="B96" s="64" t="s">
        <v>456</v>
      </c>
      <c r="C96" s="77" t="s">
        <v>2633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</row>
    <row r="97" spans="1:46" x14ac:dyDescent="0.25">
      <c r="A97" s="64" t="s">
        <v>2748</v>
      </c>
      <c r="B97" s="107" t="s">
        <v>32</v>
      </c>
      <c r="C97" s="77" t="s">
        <v>2638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</row>
    <row r="98" spans="1:46" x14ac:dyDescent="0.25">
      <c r="A98" s="64" t="s">
        <v>2749</v>
      </c>
      <c r="B98" s="107" t="s">
        <v>456</v>
      </c>
      <c r="C98" s="77" t="s">
        <v>2633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</row>
    <row r="99" spans="1:46" x14ac:dyDescent="0.25">
      <c r="A99" s="64" t="s">
        <v>1845</v>
      </c>
      <c r="B99" s="107" t="s">
        <v>32</v>
      </c>
      <c r="C99" s="77" t="s">
        <v>2638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</row>
    <row r="100" spans="1:46" x14ac:dyDescent="0.25">
      <c r="A100" s="64" t="s">
        <v>1846</v>
      </c>
      <c r="B100" s="107" t="s">
        <v>456</v>
      </c>
      <c r="C100" s="77" t="s">
        <v>2633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</row>
    <row r="101" spans="1:46" ht="22.5" x14ac:dyDescent="0.25">
      <c r="A101" s="64" t="s">
        <v>1847</v>
      </c>
      <c r="B101" s="107" t="s">
        <v>32</v>
      </c>
      <c r="C101" s="77" t="s">
        <v>2638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</row>
    <row r="102" spans="1:46" ht="22.5" x14ac:dyDescent="0.25">
      <c r="A102" s="64" t="s">
        <v>1848</v>
      </c>
      <c r="B102" s="107" t="s">
        <v>456</v>
      </c>
      <c r="C102" s="77" t="s">
        <v>2633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</row>
    <row r="103" spans="1:46" ht="45" x14ac:dyDescent="0.25">
      <c r="A103" s="64" t="s">
        <v>1295</v>
      </c>
      <c r="B103" s="64" t="s">
        <v>32</v>
      </c>
      <c r="C103" s="77" t="s">
        <v>766</v>
      </c>
      <c r="D103" s="77" t="s">
        <v>409</v>
      </c>
      <c r="E103" s="77" t="s">
        <v>767</v>
      </c>
      <c r="F103" s="77" t="s">
        <v>768</v>
      </c>
      <c r="G103" s="77" t="s">
        <v>414</v>
      </c>
      <c r="H103" s="77" t="s">
        <v>769</v>
      </c>
      <c r="I103" s="77" t="s">
        <v>418</v>
      </c>
      <c r="J103" s="77" t="s">
        <v>770</v>
      </c>
      <c r="K103" s="77" t="s">
        <v>771</v>
      </c>
      <c r="L103" s="77" t="s">
        <v>407</v>
      </c>
      <c r="M103" s="77" t="s">
        <v>408</v>
      </c>
      <c r="N103" s="77" t="s">
        <v>772</v>
      </c>
      <c r="O103" s="77" t="s">
        <v>773</v>
      </c>
      <c r="P103" s="77" t="s">
        <v>406</v>
      </c>
      <c r="Q103" s="77" t="s">
        <v>774</v>
      </c>
      <c r="R103" s="77" t="s">
        <v>775</v>
      </c>
      <c r="S103" s="77" t="s">
        <v>776</v>
      </c>
      <c r="T103" s="77" t="s">
        <v>777</v>
      </c>
      <c r="U103" s="77" t="s">
        <v>406</v>
      </c>
      <c r="V103" s="77"/>
      <c r="W103" s="77"/>
      <c r="X103" s="77"/>
      <c r="Y103" s="77"/>
      <c r="Z103" s="77"/>
      <c r="AA103" s="77"/>
      <c r="AB103" s="77"/>
      <c r="AC103" s="77"/>
      <c r="AD103" s="77"/>
      <c r="AE103" s="77" t="s">
        <v>594</v>
      </c>
      <c r="AF103" s="77" t="s">
        <v>420</v>
      </c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 t="s">
        <v>410</v>
      </c>
    </row>
    <row r="104" spans="1:46" ht="33.75" x14ac:dyDescent="0.25">
      <c r="A104" s="64" t="s">
        <v>1296</v>
      </c>
      <c r="B104" s="64" t="s">
        <v>456</v>
      </c>
      <c r="C104" s="77" t="s">
        <v>778</v>
      </c>
      <c r="D104" s="77" t="s">
        <v>779</v>
      </c>
      <c r="E104" s="77" t="s">
        <v>780</v>
      </c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 t="s">
        <v>595</v>
      </c>
    </row>
    <row r="105" spans="1:46" ht="56.25" x14ac:dyDescent="0.25">
      <c r="A105" s="64" t="s">
        <v>1297</v>
      </c>
      <c r="B105" s="64" t="s">
        <v>32</v>
      </c>
      <c r="C105" s="77" t="s">
        <v>766</v>
      </c>
      <c r="D105" s="77" t="s">
        <v>409</v>
      </c>
      <c r="E105" s="77" t="s">
        <v>767</v>
      </c>
      <c r="F105" s="77" t="s">
        <v>768</v>
      </c>
      <c r="G105" s="77" t="s">
        <v>414</v>
      </c>
      <c r="H105" s="77" t="s">
        <v>781</v>
      </c>
      <c r="I105" s="77" t="s">
        <v>418</v>
      </c>
      <c r="J105" s="77" t="s">
        <v>782</v>
      </c>
      <c r="K105" s="77" t="s">
        <v>783</v>
      </c>
      <c r="L105" s="77" t="s">
        <v>407</v>
      </c>
      <c r="M105" s="77" t="s">
        <v>408</v>
      </c>
      <c r="N105" s="77" t="s">
        <v>772</v>
      </c>
      <c r="O105" s="77" t="s">
        <v>773</v>
      </c>
      <c r="P105" s="77" t="s">
        <v>406</v>
      </c>
      <c r="Q105" s="77" t="s">
        <v>774</v>
      </c>
      <c r="R105" s="77" t="s">
        <v>775</v>
      </c>
      <c r="S105" s="77" t="s">
        <v>776</v>
      </c>
      <c r="T105" s="77" t="s">
        <v>777</v>
      </c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</row>
    <row r="106" spans="1:46" ht="33.75" x14ac:dyDescent="0.25">
      <c r="A106" s="64" t="s">
        <v>1298</v>
      </c>
      <c r="B106" s="64" t="s">
        <v>456</v>
      </c>
      <c r="C106" s="77" t="s">
        <v>778</v>
      </c>
      <c r="D106" s="77" t="s">
        <v>779</v>
      </c>
      <c r="E106" s="77" t="s">
        <v>780</v>
      </c>
      <c r="F106" s="77" t="s">
        <v>784</v>
      </c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</row>
    <row r="107" spans="1:46" ht="56.25" x14ac:dyDescent="0.25">
      <c r="A107" s="64" t="s">
        <v>1299</v>
      </c>
      <c r="B107" s="64" t="s">
        <v>32</v>
      </c>
      <c r="C107" s="77" t="s">
        <v>766</v>
      </c>
      <c r="D107" s="77" t="s">
        <v>409</v>
      </c>
      <c r="E107" s="77" t="s">
        <v>767</v>
      </c>
      <c r="F107" s="77" t="s">
        <v>768</v>
      </c>
      <c r="G107" s="77" t="s">
        <v>414</v>
      </c>
      <c r="H107" s="77" t="s">
        <v>781</v>
      </c>
      <c r="I107" s="77" t="s">
        <v>418</v>
      </c>
      <c r="J107" s="77" t="s">
        <v>782</v>
      </c>
      <c r="K107" s="77" t="s">
        <v>783</v>
      </c>
      <c r="L107" s="77" t="s">
        <v>407</v>
      </c>
      <c r="M107" s="77" t="s">
        <v>408</v>
      </c>
      <c r="N107" s="77" t="s">
        <v>772</v>
      </c>
      <c r="O107" s="77" t="s">
        <v>773</v>
      </c>
      <c r="P107" s="77" t="s">
        <v>406</v>
      </c>
      <c r="Q107" s="77" t="s">
        <v>774</v>
      </c>
      <c r="R107" s="77" t="s">
        <v>775</v>
      </c>
      <c r="S107" s="77" t="s">
        <v>776</v>
      </c>
      <c r="T107" s="77" t="s">
        <v>777</v>
      </c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</row>
    <row r="108" spans="1:46" ht="33.75" x14ac:dyDescent="0.25">
      <c r="A108" s="64" t="s">
        <v>1300</v>
      </c>
      <c r="B108" s="64" t="s">
        <v>456</v>
      </c>
      <c r="C108" s="77" t="s">
        <v>778</v>
      </c>
      <c r="D108" s="77" t="s">
        <v>779</v>
      </c>
      <c r="E108" s="77" t="s">
        <v>780</v>
      </c>
      <c r="F108" s="77" t="s">
        <v>784</v>
      </c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</row>
    <row r="109" spans="1:46" ht="56.25" x14ac:dyDescent="0.25">
      <c r="A109" s="64" t="s">
        <v>1301</v>
      </c>
      <c r="B109" s="64" t="s">
        <v>32</v>
      </c>
      <c r="C109" s="77" t="s">
        <v>766</v>
      </c>
      <c r="D109" s="77" t="s">
        <v>409</v>
      </c>
      <c r="E109" s="77" t="s">
        <v>767</v>
      </c>
      <c r="F109" s="77" t="s">
        <v>768</v>
      </c>
      <c r="G109" s="77" t="s">
        <v>414</v>
      </c>
      <c r="H109" s="77" t="s">
        <v>781</v>
      </c>
      <c r="I109" s="77" t="s">
        <v>418</v>
      </c>
      <c r="J109" s="77" t="s">
        <v>782</v>
      </c>
      <c r="K109" s="77" t="s">
        <v>783</v>
      </c>
      <c r="L109" s="77" t="s">
        <v>407</v>
      </c>
      <c r="M109" s="77" t="s">
        <v>408</v>
      </c>
      <c r="N109" s="77" t="s">
        <v>772</v>
      </c>
      <c r="O109" s="77" t="s">
        <v>773</v>
      </c>
      <c r="P109" s="77" t="s">
        <v>406</v>
      </c>
      <c r="Q109" s="77" t="s">
        <v>774</v>
      </c>
      <c r="R109" s="77" t="s">
        <v>775</v>
      </c>
      <c r="S109" s="77" t="s">
        <v>776</v>
      </c>
      <c r="T109" s="77" t="s">
        <v>777</v>
      </c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</row>
    <row r="110" spans="1:46" ht="33.75" x14ac:dyDescent="0.25">
      <c r="A110" s="64" t="s">
        <v>1302</v>
      </c>
      <c r="B110" s="64" t="s">
        <v>456</v>
      </c>
      <c r="C110" s="77" t="s">
        <v>778</v>
      </c>
      <c r="D110" s="77" t="s">
        <v>779</v>
      </c>
      <c r="E110" s="77" t="s">
        <v>780</v>
      </c>
      <c r="F110" s="77" t="s">
        <v>784</v>
      </c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</row>
    <row r="111" spans="1:46" ht="56.25" x14ac:dyDescent="0.25">
      <c r="A111" s="64" t="s">
        <v>1303</v>
      </c>
      <c r="B111" s="64" t="s">
        <v>32</v>
      </c>
      <c r="C111" s="77" t="s">
        <v>766</v>
      </c>
      <c r="D111" s="77" t="s">
        <v>409</v>
      </c>
      <c r="E111" s="77" t="s">
        <v>767</v>
      </c>
      <c r="F111" s="77" t="s">
        <v>768</v>
      </c>
      <c r="G111" s="77" t="s">
        <v>414</v>
      </c>
      <c r="H111" s="77" t="s">
        <v>781</v>
      </c>
      <c r="I111" s="77" t="s">
        <v>418</v>
      </c>
      <c r="J111" s="77" t="s">
        <v>782</v>
      </c>
      <c r="K111" s="77" t="s">
        <v>783</v>
      </c>
      <c r="L111" s="77" t="s">
        <v>407</v>
      </c>
      <c r="M111" s="77" t="s">
        <v>408</v>
      </c>
      <c r="N111" s="77" t="s">
        <v>772</v>
      </c>
      <c r="O111" s="77" t="s">
        <v>773</v>
      </c>
      <c r="P111" s="77" t="s">
        <v>406</v>
      </c>
      <c r="Q111" s="77" t="s">
        <v>774</v>
      </c>
      <c r="R111" s="77" t="s">
        <v>775</v>
      </c>
      <c r="S111" s="77" t="s">
        <v>776</v>
      </c>
      <c r="T111" s="77" t="s">
        <v>777</v>
      </c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</row>
    <row r="112" spans="1:46" ht="33.75" x14ac:dyDescent="0.25">
      <c r="A112" s="64" t="s">
        <v>1304</v>
      </c>
      <c r="B112" s="64" t="s">
        <v>456</v>
      </c>
      <c r="C112" s="77" t="s">
        <v>778</v>
      </c>
      <c r="D112" s="77" t="s">
        <v>779</v>
      </c>
      <c r="E112" s="77" t="s">
        <v>780</v>
      </c>
      <c r="F112" s="77" t="s">
        <v>784</v>
      </c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</row>
    <row r="113" spans="1:46" ht="56.25" x14ac:dyDescent="0.25">
      <c r="A113" s="64" t="s">
        <v>1305</v>
      </c>
      <c r="B113" s="64" t="s">
        <v>32</v>
      </c>
      <c r="C113" s="77" t="s">
        <v>766</v>
      </c>
      <c r="D113" s="77" t="s">
        <v>409</v>
      </c>
      <c r="E113" s="77" t="s">
        <v>767</v>
      </c>
      <c r="F113" s="77" t="s">
        <v>785</v>
      </c>
      <c r="G113" s="77" t="s">
        <v>414</v>
      </c>
      <c r="H113" s="77" t="s">
        <v>781</v>
      </c>
      <c r="I113" s="77" t="s">
        <v>418</v>
      </c>
      <c r="J113" s="77" t="s">
        <v>782</v>
      </c>
      <c r="K113" s="77" t="s">
        <v>783</v>
      </c>
      <c r="L113" s="77" t="s">
        <v>407</v>
      </c>
      <c r="M113" s="77" t="s">
        <v>408</v>
      </c>
      <c r="N113" s="77" t="s">
        <v>772</v>
      </c>
      <c r="O113" s="77" t="s">
        <v>773</v>
      </c>
      <c r="P113" s="77" t="s">
        <v>406</v>
      </c>
      <c r="Q113" s="77" t="s">
        <v>774</v>
      </c>
      <c r="R113" s="77" t="s">
        <v>775</v>
      </c>
      <c r="S113" s="77" t="s">
        <v>776</v>
      </c>
      <c r="T113" s="77" t="s">
        <v>777</v>
      </c>
      <c r="U113" s="77" t="s">
        <v>786</v>
      </c>
      <c r="V113" s="77" t="s">
        <v>787</v>
      </c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</row>
    <row r="114" spans="1:46" x14ac:dyDescent="0.25">
      <c r="A114" s="64" t="s">
        <v>1306</v>
      </c>
      <c r="B114" s="64" t="s">
        <v>456</v>
      </c>
      <c r="C114" s="77" t="s">
        <v>778</v>
      </c>
      <c r="D114" s="77" t="s">
        <v>779</v>
      </c>
      <c r="E114" s="77" t="s">
        <v>784</v>
      </c>
      <c r="F114" s="77" t="s">
        <v>788</v>
      </c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</row>
    <row r="115" spans="1:46" ht="56.25" x14ac:dyDescent="0.25">
      <c r="A115" s="64" t="s">
        <v>1307</v>
      </c>
      <c r="B115" s="64" t="s">
        <v>32</v>
      </c>
      <c r="C115" s="77" t="s">
        <v>766</v>
      </c>
      <c r="D115" s="77" t="s">
        <v>409</v>
      </c>
      <c r="E115" s="77" t="s">
        <v>767</v>
      </c>
      <c r="F115" s="77" t="s">
        <v>785</v>
      </c>
      <c r="G115" s="77" t="s">
        <v>414</v>
      </c>
      <c r="H115" s="77" t="s">
        <v>781</v>
      </c>
      <c r="I115" s="77" t="s">
        <v>418</v>
      </c>
      <c r="J115" s="77" t="s">
        <v>782</v>
      </c>
      <c r="K115" s="77" t="s">
        <v>783</v>
      </c>
      <c r="L115" s="77" t="s">
        <v>407</v>
      </c>
      <c r="M115" s="77" t="s">
        <v>408</v>
      </c>
      <c r="N115" s="77" t="s">
        <v>772</v>
      </c>
      <c r="O115" s="77" t="s">
        <v>773</v>
      </c>
      <c r="P115" s="77" t="s">
        <v>406</v>
      </c>
      <c r="Q115" s="77" t="s">
        <v>774</v>
      </c>
      <c r="R115" s="77" t="s">
        <v>775</v>
      </c>
      <c r="S115" s="77" t="s">
        <v>776</v>
      </c>
      <c r="T115" s="77" t="s">
        <v>777</v>
      </c>
      <c r="U115" s="77" t="s">
        <v>786</v>
      </c>
      <c r="V115" s="77" t="s">
        <v>787</v>
      </c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</row>
    <row r="116" spans="1:46" x14ac:dyDescent="0.25">
      <c r="A116" s="64" t="s">
        <v>1308</v>
      </c>
      <c r="B116" s="64" t="s">
        <v>456</v>
      </c>
      <c r="C116" s="77" t="s">
        <v>778</v>
      </c>
      <c r="D116" s="77" t="s">
        <v>779</v>
      </c>
      <c r="E116" s="77" t="s">
        <v>784</v>
      </c>
      <c r="F116" s="77" t="s">
        <v>788</v>
      </c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</row>
    <row r="117" spans="1:46" ht="33.75" x14ac:dyDescent="0.25">
      <c r="A117" s="64" t="s">
        <v>1309</v>
      </c>
      <c r="B117" s="64" t="s">
        <v>32</v>
      </c>
      <c r="C117" s="77" t="s">
        <v>789</v>
      </c>
      <c r="D117" s="77" t="s">
        <v>409</v>
      </c>
      <c r="E117" s="77" t="s">
        <v>767</v>
      </c>
      <c r="F117" s="77" t="s">
        <v>414</v>
      </c>
      <c r="G117" s="77" t="s">
        <v>790</v>
      </c>
      <c r="H117" s="77" t="s">
        <v>418</v>
      </c>
      <c r="I117" s="77" t="s">
        <v>782</v>
      </c>
      <c r="J117" s="77" t="s">
        <v>407</v>
      </c>
      <c r="K117" s="77" t="s">
        <v>791</v>
      </c>
      <c r="L117" s="77" t="s">
        <v>772</v>
      </c>
      <c r="M117" s="77" t="s">
        <v>406</v>
      </c>
      <c r="N117" s="77" t="s">
        <v>992</v>
      </c>
      <c r="O117" s="77" t="s">
        <v>417</v>
      </c>
      <c r="P117" s="77" t="s">
        <v>792</v>
      </c>
      <c r="Q117" s="77" t="s">
        <v>793</v>
      </c>
      <c r="R117" s="77" t="s">
        <v>778</v>
      </c>
      <c r="S117" s="77" t="s">
        <v>777</v>
      </c>
      <c r="T117" s="77" t="s">
        <v>794</v>
      </c>
      <c r="U117" s="77" t="s">
        <v>795</v>
      </c>
      <c r="V117" s="77" t="s">
        <v>796</v>
      </c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</row>
    <row r="118" spans="1:46" x14ac:dyDescent="0.25">
      <c r="A118" s="64" t="s">
        <v>1310</v>
      </c>
      <c r="B118" s="64" t="s">
        <v>456</v>
      </c>
      <c r="C118" s="77" t="s">
        <v>784</v>
      </c>
      <c r="D118" s="77" t="s">
        <v>797</v>
      </c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</row>
    <row r="119" spans="1:46" ht="56.25" x14ac:dyDescent="0.25">
      <c r="A119" s="64" t="s">
        <v>1311</v>
      </c>
      <c r="B119" s="64" t="s">
        <v>32</v>
      </c>
      <c r="C119" s="77" t="s">
        <v>789</v>
      </c>
      <c r="D119" s="77" t="s">
        <v>409</v>
      </c>
      <c r="E119" s="77" t="s">
        <v>767</v>
      </c>
      <c r="F119" s="77" t="s">
        <v>414</v>
      </c>
      <c r="G119" s="77" t="s">
        <v>781</v>
      </c>
      <c r="H119" s="77" t="s">
        <v>418</v>
      </c>
      <c r="I119" s="77" t="s">
        <v>782</v>
      </c>
      <c r="J119" s="77" t="s">
        <v>407</v>
      </c>
      <c r="K119" s="77" t="s">
        <v>791</v>
      </c>
      <c r="L119" s="77" t="s">
        <v>772</v>
      </c>
      <c r="M119" s="77" t="s">
        <v>406</v>
      </c>
      <c r="N119" s="77" t="s">
        <v>992</v>
      </c>
      <c r="O119" s="77" t="s">
        <v>417</v>
      </c>
      <c r="P119" s="77" t="s">
        <v>792</v>
      </c>
      <c r="Q119" s="77" t="s">
        <v>776</v>
      </c>
      <c r="R119" s="77" t="s">
        <v>778</v>
      </c>
      <c r="S119" s="77" t="s">
        <v>777</v>
      </c>
      <c r="T119" s="77" t="s">
        <v>794</v>
      </c>
      <c r="U119" s="77" t="s">
        <v>798</v>
      </c>
      <c r="V119" s="77" t="s">
        <v>796</v>
      </c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</row>
    <row r="120" spans="1:46" x14ac:dyDescent="0.25">
      <c r="A120" s="64" t="s">
        <v>1312</v>
      </c>
      <c r="B120" s="64" t="s">
        <v>456</v>
      </c>
      <c r="C120" s="77" t="s">
        <v>784</v>
      </c>
      <c r="D120" s="77" t="s">
        <v>797</v>
      </c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</row>
    <row r="121" spans="1:46" ht="56.25" x14ac:dyDescent="0.25">
      <c r="A121" s="64" t="s">
        <v>2091</v>
      </c>
      <c r="B121" s="64" t="s">
        <v>32</v>
      </c>
      <c r="C121" s="77" t="s">
        <v>766</v>
      </c>
      <c r="D121" s="77" t="s">
        <v>409</v>
      </c>
      <c r="E121" s="77" t="s">
        <v>767</v>
      </c>
      <c r="F121" s="77" t="s">
        <v>768</v>
      </c>
      <c r="G121" s="77" t="s">
        <v>414</v>
      </c>
      <c r="H121" s="77" t="s">
        <v>781</v>
      </c>
      <c r="I121" s="77" t="s">
        <v>418</v>
      </c>
      <c r="J121" s="77" t="s">
        <v>782</v>
      </c>
      <c r="K121" s="77" t="s">
        <v>783</v>
      </c>
      <c r="L121" s="77" t="s">
        <v>407</v>
      </c>
      <c r="M121" s="77" t="s">
        <v>408</v>
      </c>
      <c r="N121" s="77" t="s">
        <v>772</v>
      </c>
      <c r="O121" s="77" t="s">
        <v>773</v>
      </c>
      <c r="P121" s="77" t="s">
        <v>406</v>
      </c>
      <c r="Q121" s="77" t="s">
        <v>774</v>
      </c>
      <c r="R121" s="77" t="s">
        <v>775</v>
      </c>
      <c r="S121" s="77" t="s">
        <v>776</v>
      </c>
      <c r="T121" s="77" t="s">
        <v>777</v>
      </c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</row>
    <row r="122" spans="1:46" ht="33.75" x14ac:dyDescent="0.25">
      <c r="A122" s="64" t="s">
        <v>2094</v>
      </c>
      <c r="B122" s="64" t="s">
        <v>456</v>
      </c>
      <c r="C122" s="77" t="s">
        <v>778</v>
      </c>
      <c r="D122" s="77" t="s">
        <v>779</v>
      </c>
      <c r="E122" s="77" t="s">
        <v>991</v>
      </c>
      <c r="F122" s="77" t="s">
        <v>780</v>
      </c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</row>
    <row r="123" spans="1:46" ht="56.25" x14ac:dyDescent="0.25">
      <c r="A123" s="64" t="s">
        <v>2092</v>
      </c>
      <c r="B123" s="64" t="s">
        <v>32</v>
      </c>
      <c r="C123" s="77" t="s">
        <v>766</v>
      </c>
      <c r="D123" s="77" t="s">
        <v>409</v>
      </c>
      <c r="E123" s="77" t="s">
        <v>767</v>
      </c>
      <c r="F123" s="77" t="s">
        <v>768</v>
      </c>
      <c r="G123" s="77" t="s">
        <v>414</v>
      </c>
      <c r="H123" s="77" t="s">
        <v>781</v>
      </c>
      <c r="I123" s="77" t="s">
        <v>418</v>
      </c>
      <c r="J123" s="77" t="s">
        <v>782</v>
      </c>
      <c r="K123" s="77" t="s">
        <v>783</v>
      </c>
      <c r="L123" s="77" t="s">
        <v>407</v>
      </c>
      <c r="M123" s="77" t="s">
        <v>408</v>
      </c>
      <c r="N123" s="77" t="s">
        <v>772</v>
      </c>
      <c r="O123" s="77" t="s">
        <v>773</v>
      </c>
      <c r="P123" s="77" t="s">
        <v>406</v>
      </c>
      <c r="Q123" s="77" t="s">
        <v>774</v>
      </c>
      <c r="R123" s="77" t="s">
        <v>775</v>
      </c>
      <c r="S123" s="77" t="s">
        <v>776</v>
      </c>
      <c r="T123" s="77" t="s">
        <v>777</v>
      </c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</row>
    <row r="124" spans="1:46" ht="33.75" x14ac:dyDescent="0.25">
      <c r="A124" s="64" t="s">
        <v>2095</v>
      </c>
      <c r="B124" s="64" t="s">
        <v>456</v>
      </c>
      <c r="C124" s="77" t="s">
        <v>778</v>
      </c>
      <c r="D124" s="77" t="s">
        <v>779</v>
      </c>
      <c r="E124" s="77" t="s">
        <v>991</v>
      </c>
      <c r="F124" s="77" t="s">
        <v>780</v>
      </c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</row>
    <row r="125" spans="1:46" ht="56.25" x14ac:dyDescent="0.25">
      <c r="A125" s="64" t="s">
        <v>2093</v>
      </c>
      <c r="B125" s="64" t="s">
        <v>32</v>
      </c>
      <c r="C125" s="77" t="s">
        <v>766</v>
      </c>
      <c r="D125" s="77" t="s">
        <v>409</v>
      </c>
      <c r="E125" s="77" t="s">
        <v>767</v>
      </c>
      <c r="F125" s="77" t="s">
        <v>768</v>
      </c>
      <c r="G125" s="77" t="s">
        <v>414</v>
      </c>
      <c r="H125" s="77" t="s">
        <v>781</v>
      </c>
      <c r="I125" s="77" t="s">
        <v>418</v>
      </c>
      <c r="J125" s="77" t="s">
        <v>782</v>
      </c>
      <c r="K125" s="77" t="s">
        <v>783</v>
      </c>
      <c r="L125" s="77" t="s">
        <v>407</v>
      </c>
      <c r="M125" s="77" t="s">
        <v>408</v>
      </c>
      <c r="N125" s="77" t="s">
        <v>772</v>
      </c>
      <c r="O125" s="77" t="s">
        <v>773</v>
      </c>
      <c r="P125" s="77" t="s">
        <v>406</v>
      </c>
      <c r="Q125" s="77" t="s">
        <v>774</v>
      </c>
      <c r="R125" s="77" t="s">
        <v>775</v>
      </c>
      <c r="S125" s="77" t="s">
        <v>776</v>
      </c>
      <c r="T125" s="77" t="s">
        <v>777</v>
      </c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</row>
    <row r="126" spans="1:46" ht="33.75" x14ac:dyDescent="0.25">
      <c r="A126" s="64" t="s">
        <v>2096</v>
      </c>
      <c r="B126" s="64" t="s">
        <v>456</v>
      </c>
      <c r="C126" s="77" t="s">
        <v>778</v>
      </c>
      <c r="D126" s="77" t="s">
        <v>779</v>
      </c>
      <c r="E126" s="77" t="s">
        <v>991</v>
      </c>
      <c r="F126" s="77" t="s">
        <v>780</v>
      </c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</row>
    <row r="127" spans="1:46" ht="56.25" x14ac:dyDescent="0.25">
      <c r="A127" s="64" t="s">
        <v>2099</v>
      </c>
      <c r="B127" s="64" t="s">
        <v>32</v>
      </c>
      <c r="C127" s="77" t="s">
        <v>766</v>
      </c>
      <c r="D127" s="77" t="s">
        <v>409</v>
      </c>
      <c r="E127" s="77" t="s">
        <v>767</v>
      </c>
      <c r="F127" s="77" t="s">
        <v>785</v>
      </c>
      <c r="G127" s="77" t="s">
        <v>414</v>
      </c>
      <c r="H127" s="77" t="s">
        <v>781</v>
      </c>
      <c r="I127" s="77" t="s">
        <v>418</v>
      </c>
      <c r="J127" s="77" t="s">
        <v>782</v>
      </c>
      <c r="K127" s="77" t="s">
        <v>783</v>
      </c>
      <c r="L127" s="77" t="s">
        <v>407</v>
      </c>
      <c r="M127" s="77" t="s">
        <v>408</v>
      </c>
      <c r="N127" s="77" t="s">
        <v>772</v>
      </c>
      <c r="O127" s="77" t="s">
        <v>773</v>
      </c>
      <c r="P127" s="77" t="s">
        <v>406</v>
      </c>
      <c r="Q127" s="77" t="s">
        <v>774</v>
      </c>
      <c r="R127" s="77" t="s">
        <v>775</v>
      </c>
      <c r="S127" s="77" t="s">
        <v>776</v>
      </c>
      <c r="T127" s="77" t="s">
        <v>777</v>
      </c>
      <c r="U127" s="77" t="s">
        <v>786</v>
      </c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</row>
    <row r="128" spans="1:46" x14ac:dyDescent="0.25">
      <c r="A128" s="64" t="s">
        <v>2097</v>
      </c>
      <c r="B128" s="64" t="s">
        <v>456</v>
      </c>
      <c r="C128" s="77" t="s">
        <v>778</v>
      </c>
      <c r="D128" s="77" t="s">
        <v>779</v>
      </c>
      <c r="E128" s="77" t="s">
        <v>991</v>
      </c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</row>
    <row r="129" spans="1:46" ht="56.25" x14ac:dyDescent="0.25">
      <c r="A129" s="64" t="s">
        <v>2100</v>
      </c>
      <c r="B129" s="64" t="s">
        <v>32</v>
      </c>
      <c r="C129" s="77" t="s">
        <v>766</v>
      </c>
      <c r="D129" s="77" t="s">
        <v>409</v>
      </c>
      <c r="E129" s="77" t="s">
        <v>767</v>
      </c>
      <c r="F129" s="77" t="s">
        <v>785</v>
      </c>
      <c r="G129" s="77" t="s">
        <v>414</v>
      </c>
      <c r="H129" s="77" t="s">
        <v>781</v>
      </c>
      <c r="I129" s="77" t="s">
        <v>418</v>
      </c>
      <c r="J129" s="77" t="s">
        <v>782</v>
      </c>
      <c r="K129" s="77" t="s">
        <v>783</v>
      </c>
      <c r="L129" s="77" t="s">
        <v>407</v>
      </c>
      <c r="M129" s="77" t="s">
        <v>408</v>
      </c>
      <c r="N129" s="77" t="s">
        <v>772</v>
      </c>
      <c r="O129" s="77" t="s">
        <v>773</v>
      </c>
      <c r="P129" s="77" t="s">
        <v>406</v>
      </c>
      <c r="Q129" s="77" t="s">
        <v>774</v>
      </c>
      <c r="R129" s="77" t="s">
        <v>775</v>
      </c>
      <c r="S129" s="77" t="s">
        <v>776</v>
      </c>
      <c r="T129" s="77" t="s">
        <v>777</v>
      </c>
      <c r="U129" s="77" t="s">
        <v>786</v>
      </c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</row>
    <row r="130" spans="1:46" x14ac:dyDescent="0.25">
      <c r="A130" s="64" t="s">
        <v>2098</v>
      </c>
      <c r="B130" s="64" t="s">
        <v>456</v>
      </c>
      <c r="C130" s="77" t="s">
        <v>778</v>
      </c>
      <c r="D130" s="77" t="s">
        <v>779</v>
      </c>
      <c r="E130" s="77" t="s">
        <v>991</v>
      </c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</row>
    <row r="131" spans="1:46" ht="60" x14ac:dyDescent="0.25">
      <c r="A131" s="64" t="s">
        <v>2101</v>
      </c>
      <c r="B131" s="64" t="s">
        <v>32</v>
      </c>
      <c r="C131" s="77" t="s">
        <v>789</v>
      </c>
      <c r="D131" s="77" t="s">
        <v>409</v>
      </c>
      <c r="E131" s="77" t="s">
        <v>767</v>
      </c>
      <c r="F131" s="77" t="s">
        <v>414</v>
      </c>
      <c r="G131" s="77" t="s">
        <v>781</v>
      </c>
      <c r="H131" s="77" t="s">
        <v>418</v>
      </c>
      <c r="I131" s="77" t="s">
        <v>782</v>
      </c>
      <c r="J131" s="77" t="s">
        <v>407</v>
      </c>
      <c r="K131" s="77" t="s">
        <v>791</v>
      </c>
      <c r="L131" s="77" t="s">
        <v>772</v>
      </c>
      <c r="M131" s="77" t="s">
        <v>406</v>
      </c>
      <c r="N131" s="77" t="s">
        <v>1104</v>
      </c>
      <c r="O131" s="77" t="s">
        <v>417</v>
      </c>
      <c r="P131" s="77" t="s">
        <v>792</v>
      </c>
      <c r="Q131" s="77" t="s">
        <v>776</v>
      </c>
      <c r="R131" s="77" t="s">
        <v>778</v>
      </c>
      <c r="S131" s="77" t="s">
        <v>777</v>
      </c>
      <c r="T131" s="77" t="s">
        <v>794</v>
      </c>
      <c r="U131" s="77" t="s">
        <v>798</v>
      </c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</row>
    <row r="132" spans="1:46" x14ac:dyDescent="0.25">
      <c r="A132" s="64" t="s">
        <v>2102</v>
      </c>
      <c r="B132" s="64" t="s">
        <v>456</v>
      </c>
      <c r="C132" s="77" t="s">
        <v>784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</row>
    <row r="133" spans="1:46" ht="60" x14ac:dyDescent="0.25">
      <c r="A133" s="64" t="s">
        <v>2103</v>
      </c>
      <c r="B133" s="64" t="s">
        <v>32</v>
      </c>
      <c r="C133" s="77" t="s">
        <v>789</v>
      </c>
      <c r="D133" s="77" t="s">
        <v>409</v>
      </c>
      <c r="E133" s="77" t="s">
        <v>767</v>
      </c>
      <c r="F133" s="77" t="s">
        <v>414</v>
      </c>
      <c r="G133" s="77" t="s">
        <v>781</v>
      </c>
      <c r="H133" s="77" t="s">
        <v>418</v>
      </c>
      <c r="I133" s="77" t="s">
        <v>782</v>
      </c>
      <c r="J133" s="77" t="s">
        <v>407</v>
      </c>
      <c r="K133" s="77" t="s">
        <v>791</v>
      </c>
      <c r="L133" s="77" t="s">
        <v>772</v>
      </c>
      <c r="M133" s="77" t="s">
        <v>406</v>
      </c>
      <c r="N133" s="77" t="s">
        <v>1104</v>
      </c>
      <c r="O133" s="77" t="s">
        <v>417</v>
      </c>
      <c r="P133" s="77" t="s">
        <v>792</v>
      </c>
      <c r="Q133" s="77" t="s">
        <v>776</v>
      </c>
      <c r="R133" s="77" t="s">
        <v>778</v>
      </c>
      <c r="S133" s="77" t="s">
        <v>777</v>
      </c>
      <c r="T133" s="77" t="s">
        <v>794</v>
      </c>
      <c r="U133" s="77" t="s">
        <v>798</v>
      </c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</row>
    <row r="134" spans="1:46" x14ac:dyDescent="0.25">
      <c r="A134" s="64" t="s">
        <v>2105</v>
      </c>
      <c r="B134" s="64" t="s">
        <v>456</v>
      </c>
      <c r="C134" s="77" t="s">
        <v>784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</row>
    <row r="135" spans="1:46" ht="60" x14ac:dyDescent="0.25">
      <c r="A135" s="64" t="s">
        <v>2104</v>
      </c>
      <c r="B135" s="64" t="s">
        <v>32</v>
      </c>
      <c r="C135" s="77" t="s">
        <v>789</v>
      </c>
      <c r="D135" s="77" t="s">
        <v>409</v>
      </c>
      <c r="E135" s="77" t="s">
        <v>767</v>
      </c>
      <c r="F135" s="77" t="s">
        <v>414</v>
      </c>
      <c r="G135" s="77" t="s">
        <v>781</v>
      </c>
      <c r="H135" s="77" t="s">
        <v>418</v>
      </c>
      <c r="I135" s="77" t="s">
        <v>782</v>
      </c>
      <c r="J135" s="77" t="s">
        <v>407</v>
      </c>
      <c r="K135" s="77" t="s">
        <v>791</v>
      </c>
      <c r="L135" s="77" t="s">
        <v>772</v>
      </c>
      <c r="M135" s="77" t="s">
        <v>406</v>
      </c>
      <c r="N135" s="77" t="s">
        <v>1104</v>
      </c>
      <c r="O135" s="77" t="s">
        <v>417</v>
      </c>
      <c r="P135" s="77" t="s">
        <v>792</v>
      </c>
      <c r="Q135" s="77" t="s">
        <v>776</v>
      </c>
      <c r="R135" s="77" t="s">
        <v>778</v>
      </c>
      <c r="S135" s="77" t="s">
        <v>777</v>
      </c>
      <c r="T135" s="77" t="s">
        <v>794</v>
      </c>
      <c r="U135" s="77" t="s">
        <v>798</v>
      </c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</row>
    <row r="136" spans="1:46" x14ac:dyDescent="0.25">
      <c r="A136" s="64" t="s">
        <v>2106</v>
      </c>
      <c r="B136" s="64" t="s">
        <v>456</v>
      </c>
      <c r="C136" s="77" t="s">
        <v>784</v>
      </c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</row>
    <row r="137" spans="1:46" ht="60" x14ac:dyDescent="0.25">
      <c r="A137" s="64" t="s">
        <v>2109</v>
      </c>
      <c r="B137" s="64" t="s">
        <v>32</v>
      </c>
      <c r="C137" s="77" t="s">
        <v>789</v>
      </c>
      <c r="D137" s="77" t="s">
        <v>409</v>
      </c>
      <c r="E137" s="77" t="s">
        <v>767</v>
      </c>
      <c r="F137" s="77" t="s">
        <v>414</v>
      </c>
      <c r="G137" s="77" t="s">
        <v>781</v>
      </c>
      <c r="H137" s="77" t="s">
        <v>418</v>
      </c>
      <c r="I137" s="77" t="s">
        <v>782</v>
      </c>
      <c r="J137" s="77" t="s">
        <v>407</v>
      </c>
      <c r="K137" s="77" t="s">
        <v>791</v>
      </c>
      <c r="L137" s="77" t="s">
        <v>772</v>
      </c>
      <c r="M137" s="77" t="s">
        <v>406</v>
      </c>
      <c r="N137" s="77" t="s">
        <v>1104</v>
      </c>
      <c r="O137" s="77" t="s">
        <v>417</v>
      </c>
      <c r="P137" s="77" t="s">
        <v>792</v>
      </c>
      <c r="Q137" s="77" t="s">
        <v>776</v>
      </c>
      <c r="R137" s="77" t="s">
        <v>778</v>
      </c>
      <c r="S137" s="77" t="s">
        <v>777</v>
      </c>
      <c r="T137" s="77" t="s">
        <v>794</v>
      </c>
      <c r="U137" s="77" t="s">
        <v>798</v>
      </c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</row>
    <row r="138" spans="1:46" x14ac:dyDescent="0.25">
      <c r="A138" s="64" t="s">
        <v>2110</v>
      </c>
      <c r="B138" s="64" t="s">
        <v>456</v>
      </c>
      <c r="C138" s="77" t="s">
        <v>784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</row>
    <row r="139" spans="1:46" ht="60" x14ac:dyDescent="0.25">
      <c r="A139" s="64" t="s">
        <v>2107</v>
      </c>
      <c r="B139" s="64" t="s">
        <v>32</v>
      </c>
      <c r="C139" s="77" t="s">
        <v>789</v>
      </c>
      <c r="D139" s="77" t="s">
        <v>409</v>
      </c>
      <c r="E139" s="77" t="s">
        <v>767</v>
      </c>
      <c r="F139" s="77" t="s">
        <v>414</v>
      </c>
      <c r="G139" s="77" t="s">
        <v>781</v>
      </c>
      <c r="H139" s="77" t="s">
        <v>418</v>
      </c>
      <c r="I139" s="77" t="s">
        <v>782</v>
      </c>
      <c r="J139" s="77" t="s">
        <v>407</v>
      </c>
      <c r="K139" s="77" t="s">
        <v>791</v>
      </c>
      <c r="L139" s="77" t="s">
        <v>772</v>
      </c>
      <c r="M139" s="77" t="s">
        <v>406</v>
      </c>
      <c r="N139" s="77" t="s">
        <v>1104</v>
      </c>
      <c r="O139" s="77" t="s">
        <v>417</v>
      </c>
      <c r="P139" s="77" t="s">
        <v>792</v>
      </c>
      <c r="Q139" s="77" t="s">
        <v>776</v>
      </c>
      <c r="R139" s="77" t="s">
        <v>778</v>
      </c>
      <c r="S139" s="77" t="s">
        <v>777</v>
      </c>
      <c r="T139" s="77" t="s">
        <v>794</v>
      </c>
      <c r="U139" s="77" t="s">
        <v>798</v>
      </c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</row>
    <row r="140" spans="1:46" x14ac:dyDescent="0.25">
      <c r="A140" s="64" t="s">
        <v>2108</v>
      </c>
      <c r="B140" s="64" t="s">
        <v>456</v>
      </c>
      <c r="C140" s="77" t="s">
        <v>784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</row>
    <row r="141" spans="1:46" ht="60" x14ac:dyDescent="0.25">
      <c r="A141" s="64" t="s">
        <v>2111</v>
      </c>
      <c r="B141" s="64" t="s">
        <v>32</v>
      </c>
      <c r="C141" s="77" t="s">
        <v>789</v>
      </c>
      <c r="D141" s="77" t="s">
        <v>409</v>
      </c>
      <c r="E141" s="77" t="s">
        <v>767</v>
      </c>
      <c r="F141" s="77" t="s">
        <v>414</v>
      </c>
      <c r="G141" s="77" t="s">
        <v>790</v>
      </c>
      <c r="H141" s="77" t="s">
        <v>418</v>
      </c>
      <c r="I141" s="77" t="s">
        <v>782</v>
      </c>
      <c r="J141" s="77" t="s">
        <v>407</v>
      </c>
      <c r="K141" s="77" t="s">
        <v>791</v>
      </c>
      <c r="L141" s="77" t="s">
        <v>772</v>
      </c>
      <c r="M141" s="77" t="s">
        <v>406</v>
      </c>
      <c r="N141" s="77" t="s">
        <v>1104</v>
      </c>
      <c r="O141" s="77" t="s">
        <v>417</v>
      </c>
      <c r="P141" s="77" t="s">
        <v>792</v>
      </c>
      <c r="Q141" s="77" t="s">
        <v>793</v>
      </c>
      <c r="R141" s="77" t="s">
        <v>778</v>
      </c>
      <c r="S141" s="77" t="s">
        <v>777</v>
      </c>
      <c r="T141" s="77" t="s">
        <v>794</v>
      </c>
      <c r="U141" s="77" t="s">
        <v>795</v>
      </c>
      <c r="V141" s="77" t="s">
        <v>796</v>
      </c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</row>
    <row r="142" spans="1:46" x14ac:dyDescent="0.25">
      <c r="A142" s="64" t="s">
        <v>2112</v>
      </c>
      <c r="B142" s="64" t="s">
        <v>456</v>
      </c>
      <c r="C142" s="77" t="s">
        <v>784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</row>
    <row r="143" spans="1:46" ht="60" x14ac:dyDescent="0.25">
      <c r="A143" s="64" t="s">
        <v>2113</v>
      </c>
      <c r="B143" s="64" t="s">
        <v>32</v>
      </c>
      <c r="C143" s="77" t="s">
        <v>789</v>
      </c>
      <c r="D143" s="77" t="s">
        <v>409</v>
      </c>
      <c r="E143" s="77" t="s">
        <v>767</v>
      </c>
      <c r="F143" s="77" t="s">
        <v>414</v>
      </c>
      <c r="G143" s="77" t="s">
        <v>790</v>
      </c>
      <c r="H143" s="77" t="s">
        <v>418</v>
      </c>
      <c r="I143" s="77" t="s">
        <v>782</v>
      </c>
      <c r="J143" s="77" t="s">
        <v>407</v>
      </c>
      <c r="K143" s="77" t="s">
        <v>791</v>
      </c>
      <c r="L143" s="77" t="s">
        <v>772</v>
      </c>
      <c r="M143" s="77" t="s">
        <v>406</v>
      </c>
      <c r="N143" s="77" t="s">
        <v>1104</v>
      </c>
      <c r="O143" s="77" t="s">
        <v>417</v>
      </c>
      <c r="P143" s="77" t="s">
        <v>792</v>
      </c>
      <c r="Q143" s="77" t="s">
        <v>793</v>
      </c>
      <c r="R143" s="77" t="s">
        <v>778</v>
      </c>
      <c r="S143" s="77" t="s">
        <v>777</v>
      </c>
      <c r="T143" s="77" t="s">
        <v>794</v>
      </c>
      <c r="U143" s="77" t="s">
        <v>795</v>
      </c>
      <c r="V143" s="77" t="s">
        <v>796</v>
      </c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</row>
    <row r="144" spans="1:46" x14ac:dyDescent="0.25">
      <c r="A144" s="64" t="s">
        <v>2114</v>
      </c>
      <c r="B144" s="64" t="s">
        <v>456</v>
      </c>
      <c r="C144" s="77" t="s">
        <v>784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</row>
    <row r="145" spans="1:46" ht="60" x14ac:dyDescent="0.25">
      <c r="A145" s="64" t="s">
        <v>2115</v>
      </c>
      <c r="B145" s="64" t="s">
        <v>32</v>
      </c>
      <c r="C145" s="77" t="s">
        <v>789</v>
      </c>
      <c r="D145" s="77" t="s">
        <v>409</v>
      </c>
      <c r="E145" s="77" t="s">
        <v>767</v>
      </c>
      <c r="F145" s="77" t="s">
        <v>414</v>
      </c>
      <c r="G145" s="77" t="s">
        <v>790</v>
      </c>
      <c r="H145" s="77" t="s">
        <v>418</v>
      </c>
      <c r="I145" s="77" t="s">
        <v>782</v>
      </c>
      <c r="J145" s="77" t="s">
        <v>407</v>
      </c>
      <c r="K145" s="77" t="s">
        <v>791</v>
      </c>
      <c r="L145" s="77" t="s">
        <v>772</v>
      </c>
      <c r="M145" s="77" t="s">
        <v>406</v>
      </c>
      <c r="N145" s="77" t="s">
        <v>1104</v>
      </c>
      <c r="O145" s="77" t="s">
        <v>417</v>
      </c>
      <c r="P145" s="77" t="s">
        <v>792</v>
      </c>
      <c r="Q145" s="77" t="s">
        <v>793</v>
      </c>
      <c r="R145" s="77" t="s">
        <v>778</v>
      </c>
      <c r="S145" s="77" t="s">
        <v>777</v>
      </c>
      <c r="T145" s="77" t="s">
        <v>794</v>
      </c>
      <c r="U145" s="77" t="s">
        <v>795</v>
      </c>
      <c r="V145" s="77" t="s">
        <v>796</v>
      </c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</row>
    <row r="146" spans="1:46" x14ac:dyDescent="0.25">
      <c r="A146" s="64" t="s">
        <v>2116</v>
      </c>
      <c r="B146" s="64" t="s">
        <v>456</v>
      </c>
      <c r="C146" s="77" t="s">
        <v>784</v>
      </c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</row>
    <row r="147" spans="1:46" ht="60" x14ac:dyDescent="0.25">
      <c r="A147" s="64" t="s">
        <v>2117</v>
      </c>
      <c r="B147" s="64" t="s">
        <v>32</v>
      </c>
      <c r="C147" s="77" t="s">
        <v>789</v>
      </c>
      <c r="D147" s="77" t="s">
        <v>409</v>
      </c>
      <c r="E147" s="77" t="s">
        <v>767</v>
      </c>
      <c r="F147" s="77" t="s">
        <v>414</v>
      </c>
      <c r="G147" s="77" t="s">
        <v>790</v>
      </c>
      <c r="H147" s="77" t="s">
        <v>418</v>
      </c>
      <c r="I147" s="77" t="s">
        <v>782</v>
      </c>
      <c r="J147" s="77" t="s">
        <v>407</v>
      </c>
      <c r="K147" s="77" t="s">
        <v>791</v>
      </c>
      <c r="L147" s="77" t="s">
        <v>772</v>
      </c>
      <c r="M147" s="77" t="s">
        <v>406</v>
      </c>
      <c r="N147" s="77" t="s">
        <v>1104</v>
      </c>
      <c r="O147" s="77" t="s">
        <v>417</v>
      </c>
      <c r="P147" s="77" t="s">
        <v>792</v>
      </c>
      <c r="Q147" s="77" t="s">
        <v>793</v>
      </c>
      <c r="R147" s="77" t="s">
        <v>778</v>
      </c>
      <c r="S147" s="77" t="s">
        <v>777</v>
      </c>
      <c r="T147" s="77" t="s">
        <v>794</v>
      </c>
      <c r="U147" s="77" t="s">
        <v>795</v>
      </c>
      <c r="V147" s="77" t="s">
        <v>796</v>
      </c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</row>
    <row r="148" spans="1:46" x14ac:dyDescent="0.25">
      <c r="A148" s="64" t="s">
        <v>2118</v>
      </c>
      <c r="B148" s="64" t="s">
        <v>456</v>
      </c>
      <c r="C148" s="77" t="s">
        <v>784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</row>
    <row r="149" spans="1:46" ht="60" x14ac:dyDescent="0.25">
      <c r="A149" s="64" t="s">
        <v>2119</v>
      </c>
      <c r="B149" s="64" t="s">
        <v>32</v>
      </c>
      <c r="C149" s="77" t="s">
        <v>789</v>
      </c>
      <c r="D149" s="77" t="s">
        <v>409</v>
      </c>
      <c r="E149" s="77" t="s">
        <v>767</v>
      </c>
      <c r="F149" s="77" t="s">
        <v>414</v>
      </c>
      <c r="G149" s="77" t="s">
        <v>790</v>
      </c>
      <c r="H149" s="77" t="s">
        <v>418</v>
      </c>
      <c r="I149" s="77" t="s">
        <v>782</v>
      </c>
      <c r="J149" s="77" t="s">
        <v>407</v>
      </c>
      <c r="K149" s="77" t="s">
        <v>791</v>
      </c>
      <c r="L149" s="77" t="s">
        <v>772</v>
      </c>
      <c r="M149" s="77" t="s">
        <v>406</v>
      </c>
      <c r="N149" s="77" t="s">
        <v>1104</v>
      </c>
      <c r="O149" s="77" t="s">
        <v>417</v>
      </c>
      <c r="P149" s="77" t="s">
        <v>792</v>
      </c>
      <c r="Q149" s="77" t="s">
        <v>793</v>
      </c>
      <c r="R149" s="77" t="s">
        <v>778</v>
      </c>
      <c r="S149" s="77" t="s">
        <v>777</v>
      </c>
      <c r="T149" s="77" t="s">
        <v>794</v>
      </c>
      <c r="U149" s="77" t="s">
        <v>795</v>
      </c>
      <c r="V149" s="77" t="s">
        <v>796</v>
      </c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</row>
    <row r="150" spans="1:46" x14ac:dyDescent="0.25">
      <c r="A150" s="64" t="s">
        <v>2120</v>
      </c>
      <c r="B150" s="64" t="s">
        <v>456</v>
      </c>
      <c r="C150" s="77" t="s">
        <v>784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</row>
    <row r="151" spans="1:46" ht="60" x14ac:dyDescent="0.25">
      <c r="A151" s="64" t="s">
        <v>2081</v>
      </c>
      <c r="B151" s="64" t="s">
        <v>32</v>
      </c>
      <c r="C151" s="77" t="s">
        <v>1099</v>
      </c>
      <c r="D151" s="77" t="s">
        <v>1100</v>
      </c>
      <c r="E151" s="77" t="s">
        <v>409</v>
      </c>
      <c r="F151" s="77" t="s">
        <v>767</v>
      </c>
      <c r="G151" s="77" t="s">
        <v>414</v>
      </c>
      <c r="H151" s="77" t="s">
        <v>790</v>
      </c>
      <c r="I151" s="77" t="s">
        <v>418</v>
      </c>
      <c r="J151" s="77" t="s">
        <v>1101</v>
      </c>
      <c r="K151" s="77" t="s">
        <v>407</v>
      </c>
      <c r="L151" s="77" t="s">
        <v>791</v>
      </c>
      <c r="M151" s="77" t="s">
        <v>772</v>
      </c>
      <c r="N151" s="77" t="s">
        <v>1102</v>
      </c>
      <c r="O151" s="77" t="s">
        <v>1103</v>
      </c>
      <c r="P151" s="77" t="s">
        <v>1104</v>
      </c>
      <c r="Q151" s="77" t="s">
        <v>417</v>
      </c>
      <c r="R151" s="77" t="s">
        <v>1105</v>
      </c>
      <c r="S151" s="77" t="s">
        <v>1106</v>
      </c>
      <c r="T151" s="77" t="s">
        <v>793</v>
      </c>
      <c r="U151" s="77" t="s">
        <v>778</v>
      </c>
      <c r="V151" s="77" t="s">
        <v>777</v>
      </c>
      <c r="W151" s="77" t="s">
        <v>794</v>
      </c>
      <c r="X151" s="77" t="s">
        <v>1107</v>
      </c>
      <c r="Y151" s="77" t="s">
        <v>1108</v>
      </c>
      <c r="Z151" s="77" t="s">
        <v>1109</v>
      </c>
      <c r="AA151" s="77" t="s">
        <v>1110</v>
      </c>
      <c r="AB151" s="77" t="s">
        <v>1111</v>
      </c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</row>
    <row r="152" spans="1:46" x14ac:dyDescent="0.25">
      <c r="A152" s="64" t="s">
        <v>2082</v>
      </c>
      <c r="B152" s="64" t="s">
        <v>456</v>
      </c>
      <c r="C152" s="77" t="s">
        <v>2633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</row>
    <row r="153" spans="1:46" x14ac:dyDescent="0.25">
      <c r="A153" s="64" t="s">
        <v>2083</v>
      </c>
      <c r="B153" s="107" t="s">
        <v>32</v>
      </c>
      <c r="C153" s="77" t="s">
        <v>2638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</row>
    <row r="154" spans="1:46" ht="22.5" x14ac:dyDescent="0.25">
      <c r="A154" s="64" t="s">
        <v>2084</v>
      </c>
      <c r="B154" s="107" t="s">
        <v>456</v>
      </c>
      <c r="C154" s="77" t="s">
        <v>2633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</row>
    <row r="155" spans="1:46" ht="22.5" x14ac:dyDescent="0.25">
      <c r="A155" s="64" t="s">
        <v>2085</v>
      </c>
      <c r="B155" s="107" t="s">
        <v>32</v>
      </c>
      <c r="C155" s="77" t="s">
        <v>2638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</row>
    <row r="156" spans="1:46" ht="22.5" x14ac:dyDescent="0.25">
      <c r="A156" s="64" t="s">
        <v>2088</v>
      </c>
      <c r="B156" s="107" t="s">
        <v>456</v>
      </c>
      <c r="C156" s="77" t="s">
        <v>2633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</row>
    <row r="157" spans="1:46" x14ac:dyDescent="0.25">
      <c r="A157" s="64" t="s">
        <v>2086</v>
      </c>
      <c r="B157" s="107" t="s">
        <v>32</v>
      </c>
      <c r="C157" s="77" t="s">
        <v>2638</v>
      </c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</row>
    <row r="158" spans="1:46" x14ac:dyDescent="0.25">
      <c r="A158" s="64" t="s">
        <v>2089</v>
      </c>
      <c r="B158" s="107" t="s">
        <v>456</v>
      </c>
      <c r="C158" s="77" t="s">
        <v>2633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</row>
    <row r="159" spans="1:46" ht="22.5" x14ac:dyDescent="0.25">
      <c r="A159" s="64" t="s">
        <v>2087</v>
      </c>
      <c r="B159" s="107" t="s">
        <v>32</v>
      </c>
      <c r="C159" s="77" t="s">
        <v>2638</v>
      </c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</row>
    <row r="160" spans="1:46" ht="22.5" x14ac:dyDescent="0.25">
      <c r="A160" s="64" t="s">
        <v>2090</v>
      </c>
      <c r="B160" s="107" t="s">
        <v>456</v>
      </c>
      <c r="C160" s="77" t="s">
        <v>2633</v>
      </c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</row>
    <row r="161" spans="1:46" ht="101.25" x14ac:dyDescent="0.25">
      <c r="A161" s="64" t="s">
        <v>2061</v>
      </c>
      <c r="B161" s="64" t="s">
        <v>32</v>
      </c>
      <c r="C161" s="77" t="s">
        <v>766</v>
      </c>
      <c r="D161" s="77" t="s">
        <v>409</v>
      </c>
      <c r="E161" s="77" t="s">
        <v>767</v>
      </c>
      <c r="F161" s="77" t="s">
        <v>785</v>
      </c>
      <c r="G161" s="77" t="s">
        <v>414</v>
      </c>
      <c r="H161" s="77" t="s">
        <v>2616</v>
      </c>
      <c r="I161" s="77" t="s">
        <v>418</v>
      </c>
      <c r="J161" s="77" t="s">
        <v>782</v>
      </c>
      <c r="K161" s="77" t="s">
        <v>783</v>
      </c>
      <c r="L161" s="77" t="s">
        <v>2617</v>
      </c>
      <c r="M161" s="77" t="s">
        <v>2618</v>
      </c>
      <c r="N161" s="77" t="s">
        <v>772</v>
      </c>
      <c r="O161" s="77" t="s">
        <v>773</v>
      </c>
      <c r="P161" s="77" t="s">
        <v>406</v>
      </c>
      <c r="Q161" s="77" t="s">
        <v>774</v>
      </c>
      <c r="R161" s="77" t="s">
        <v>775</v>
      </c>
      <c r="S161" s="77" t="s">
        <v>776</v>
      </c>
      <c r="T161" s="77" t="s">
        <v>777</v>
      </c>
      <c r="U161" s="77" t="s">
        <v>2619</v>
      </c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</row>
    <row r="162" spans="1:46" x14ac:dyDescent="0.25">
      <c r="A162" s="64" t="s">
        <v>2071</v>
      </c>
      <c r="B162" s="64" t="s">
        <v>456</v>
      </c>
      <c r="C162" s="77" t="s">
        <v>778</v>
      </c>
      <c r="D162" s="77" t="s">
        <v>779</v>
      </c>
      <c r="E162" s="77" t="s">
        <v>991</v>
      </c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</row>
    <row r="163" spans="1:46" ht="101.25" x14ac:dyDescent="0.25">
      <c r="A163" s="64" t="s">
        <v>2062</v>
      </c>
      <c r="B163" s="64" t="s">
        <v>32</v>
      </c>
      <c r="C163" s="77" t="s">
        <v>766</v>
      </c>
      <c r="D163" s="77" t="s">
        <v>409</v>
      </c>
      <c r="E163" s="77" t="s">
        <v>767</v>
      </c>
      <c r="F163" s="77" t="s">
        <v>785</v>
      </c>
      <c r="G163" s="77" t="s">
        <v>414</v>
      </c>
      <c r="H163" s="77" t="s">
        <v>2616</v>
      </c>
      <c r="I163" s="77" t="s">
        <v>418</v>
      </c>
      <c r="J163" s="77" t="s">
        <v>782</v>
      </c>
      <c r="K163" s="77" t="s">
        <v>783</v>
      </c>
      <c r="L163" s="77" t="s">
        <v>2617</v>
      </c>
      <c r="M163" s="77" t="s">
        <v>2618</v>
      </c>
      <c r="N163" s="77" t="s">
        <v>772</v>
      </c>
      <c r="O163" s="77" t="s">
        <v>773</v>
      </c>
      <c r="P163" s="77" t="s">
        <v>406</v>
      </c>
      <c r="Q163" s="77" t="s">
        <v>774</v>
      </c>
      <c r="R163" s="77" t="s">
        <v>775</v>
      </c>
      <c r="S163" s="77" t="s">
        <v>776</v>
      </c>
      <c r="T163" s="77" t="s">
        <v>777</v>
      </c>
      <c r="U163" s="77" t="s">
        <v>2619</v>
      </c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</row>
    <row r="164" spans="1:46" x14ac:dyDescent="0.25">
      <c r="A164" s="64" t="s">
        <v>2072</v>
      </c>
      <c r="B164" s="64" t="s">
        <v>456</v>
      </c>
      <c r="C164" s="77" t="s">
        <v>778</v>
      </c>
      <c r="D164" s="77" t="s">
        <v>779</v>
      </c>
      <c r="E164" s="77" t="s">
        <v>991</v>
      </c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</row>
    <row r="165" spans="1:46" ht="56.25" x14ac:dyDescent="0.25">
      <c r="A165" s="64" t="s">
        <v>2063</v>
      </c>
      <c r="B165" s="64" t="s">
        <v>32</v>
      </c>
      <c r="C165" s="77" t="s">
        <v>789</v>
      </c>
      <c r="D165" s="77" t="s">
        <v>409</v>
      </c>
      <c r="E165" s="77" t="s">
        <v>767</v>
      </c>
      <c r="F165" s="77" t="s">
        <v>414</v>
      </c>
      <c r="G165" s="77" t="s">
        <v>781</v>
      </c>
      <c r="H165" s="77" t="s">
        <v>418</v>
      </c>
      <c r="I165" s="77" t="s">
        <v>782</v>
      </c>
      <c r="J165" s="77" t="s">
        <v>2617</v>
      </c>
      <c r="K165" s="77" t="s">
        <v>791</v>
      </c>
      <c r="L165" s="77" t="s">
        <v>772</v>
      </c>
      <c r="M165" s="77" t="s">
        <v>406</v>
      </c>
      <c r="N165" s="77" t="s">
        <v>992</v>
      </c>
      <c r="O165" s="77" t="s">
        <v>417</v>
      </c>
      <c r="P165" s="77" t="s">
        <v>792</v>
      </c>
      <c r="Q165" s="77" t="s">
        <v>776</v>
      </c>
      <c r="R165" s="77" t="s">
        <v>778</v>
      </c>
      <c r="S165" s="77" t="s">
        <v>777</v>
      </c>
      <c r="T165" s="77" t="s">
        <v>794</v>
      </c>
      <c r="U165" s="77" t="s">
        <v>798</v>
      </c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</row>
    <row r="166" spans="1:46" x14ac:dyDescent="0.25">
      <c r="A166" s="64" t="s">
        <v>2073</v>
      </c>
      <c r="B166" s="64" t="s">
        <v>456</v>
      </c>
      <c r="C166" s="77" t="s">
        <v>784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</row>
    <row r="167" spans="1:46" ht="56.25" x14ac:dyDescent="0.25">
      <c r="A167" s="64" t="s">
        <v>2064</v>
      </c>
      <c r="B167" s="64" t="s">
        <v>32</v>
      </c>
      <c r="C167" s="77" t="s">
        <v>789</v>
      </c>
      <c r="D167" s="77" t="s">
        <v>409</v>
      </c>
      <c r="E167" s="77" t="s">
        <v>767</v>
      </c>
      <c r="F167" s="77" t="s">
        <v>414</v>
      </c>
      <c r="G167" s="77" t="s">
        <v>781</v>
      </c>
      <c r="H167" s="77" t="s">
        <v>418</v>
      </c>
      <c r="I167" s="77" t="s">
        <v>782</v>
      </c>
      <c r="J167" s="77" t="s">
        <v>2617</v>
      </c>
      <c r="K167" s="77" t="s">
        <v>791</v>
      </c>
      <c r="L167" s="77" t="s">
        <v>772</v>
      </c>
      <c r="M167" s="77" t="s">
        <v>406</v>
      </c>
      <c r="N167" s="77" t="s">
        <v>992</v>
      </c>
      <c r="O167" s="77" t="s">
        <v>417</v>
      </c>
      <c r="P167" s="77" t="s">
        <v>792</v>
      </c>
      <c r="Q167" s="77" t="s">
        <v>776</v>
      </c>
      <c r="R167" s="77" t="s">
        <v>778</v>
      </c>
      <c r="S167" s="77" t="s">
        <v>777</v>
      </c>
      <c r="T167" s="77" t="s">
        <v>794</v>
      </c>
      <c r="U167" s="77" t="s">
        <v>798</v>
      </c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</row>
    <row r="168" spans="1:46" x14ac:dyDescent="0.25">
      <c r="A168" s="64" t="s">
        <v>2074</v>
      </c>
      <c r="B168" s="64" t="s">
        <v>456</v>
      </c>
      <c r="C168" s="77" t="s">
        <v>784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</row>
    <row r="169" spans="1:46" ht="56.25" x14ac:dyDescent="0.25">
      <c r="A169" s="64" t="s">
        <v>2065</v>
      </c>
      <c r="B169" s="64" t="s">
        <v>32</v>
      </c>
      <c r="C169" s="77" t="s">
        <v>789</v>
      </c>
      <c r="D169" s="77" t="s">
        <v>409</v>
      </c>
      <c r="E169" s="77" t="s">
        <v>767</v>
      </c>
      <c r="F169" s="77" t="s">
        <v>414</v>
      </c>
      <c r="G169" s="77" t="s">
        <v>781</v>
      </c>
      <c r="H169" s="77" t="s">
        <v>418</v>
      </c>
      <c r="I169" s="77" t="s">
        <v>782</v>
      </c>
      <c r="J169" s="77" t="s">
        <v>2617</v>
      </c>
      <c r="K169" s="77" t="s">
        <v>791</v>
      </c>
      <c r="L169" s="77" t="s">
        <v>772</v>
      </c>
      <c r="M169" s="77" t="s">
        <v>406</v>
      </c>
      <c r="N169" s="77" t="s">
        <v>992</v>
      </c>
      <c r="O169" s="77" t="s">
        <v>417</v>
      </c>
      <c r="P169" s="77" t="s">
        <v>792</v>
      </c>
      <c r="Q169" s="77" t="s">
        <v>776</v>
      </c>
      <c r="R169" s="77" t="s">
        <v>778</v>
      </c>
      <c r="S169" s="77" t="s">
        <v>777</v>
      </c>
      <c r="T169" s="77" t="s">
        <v>794</v>
      </c>
      <c r="U169" s="77" t="s">
        <v>798</v>
      </c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</row>
    <row r="170" spans="1:46" x14ac:dyDescent="0.25">
      <c r="A170" s="64" t="s">
        <v>2075</v>
      </c>
      <c r="B170" s="64" t="s">
        <v>456</v>
      </c>
      <c r="C170" s="77" t="s">
        <v>784</v>
      </c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</row>
    <row r="171" spans="1:46" ht="56.25" x14ac:dyDescent="0.25">
      <c r="A171" s="64" t="s">
        <v>2066</v>
      </c>
      <c r="B171" s="64" t="s">
        <v>32</v>
      </c>
      <c r="C171" s="77" t="s">
        <v>789</v>
      </c>
      <c r="D171" s="77" t="s">
        <v>409</v>
      </c>
      <c r="E171" s="77" t="s">
        <v>767</v>
      </c>
      <c r="F171" s="77" t="s">
        <v>414</v>
      </c>
      <c r="G171" s="77" t="s">
        <v>781</v>
      </c>
      <c r="H171" s="77" t="s">
        <v>418</v>
      </c>
      <c r="I171" s="77" t="s">
        <v>782</v>
      </c>
      <c r="J171" s="77" t="s">
        <v>2617</v>
      </c>
      <c r="K171" s="77" t="s">
        <v>791</v>
      </c>
      <c r="L171" s="77" t="s">
        <v>772</v>
      </c>
      <c r="M171" s="77" t="s">
        <v>406</v>
      </c>
      <c r="N171" s="77" t="s">
        <v>992</v>
      </c>
      <c r="O171" s="77" t="s">
        <v>417</v>
      </c>
      <c r="P171" s="77" t="s">
        <v>792</v>
      </c>
      <c r="Q171" s="77" t="s">
        <v>776</v>
      </c>
      <c r="R171" s="77" t="s">
        <v>778</v>
      </c>
      <c r="S171" s="77" t="s">
        <v>777</v>
      </c>
      <c r="T171" s="77" t="s">
        <v>794</v>
      </c>
      <c r="U171" s="77" t="s">
        <v>798</v>
      </c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</row>
    <row r="172" spans="1:46" x14ac:dyDescent="0.25">
      <c r="A172" s="64" t="s">
        <v>2076</v>
      </c>
      <c r="B172" s="64" t="s">
        <v>456</v>
      </c>
      <c r="C172" s="77" t="s">
        <v>784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</row>
    <row r="173" spans="1:46" ht="33.75" x14ac:dyDescent="0.25">
      <c r="A173" s="64" t="s">
        <v>2067</v>
      </c>
      <c r="B173" s="64" t="s">
        <v>32</v>
      </c>
      <c r="C173" s="77" t="s">
        <v>789</v>
      </c>
      <c r="D173" s="77" t="s">
        <v>409</v>
      </c>
      <c r="E173" s="77" t="s">
        <v>767</v>
      </c>
      <c r="F173" s="77" t="s">
        <v>414</v>
      </c>
      <c r="G173" s="77" t="s">
        <v>790</v>
      </c>
      <c r="H173" s="77" t="s">
        <v>418</v>
      </c>
      <c r="I173" s="77" t="s">
        <v>782</v>
      </c>
      <c r="J173" s="77" t="s">
        <v>2620</v>
      </c>
      <c r="K173" s="77" t="s">
        <v>791</v>
      </c>
      <c r="L173" s="77" t="s">
        <v>772</v>
      </c>
      <c r="M173" s="77" t="s">
        <v>406</v>
      </c>
      <c r="N173" s="77" t="s">
        <v>992</v>
      </c>
      <c r="O173" s="77" t="s">
        <v>417</v>
      </c>
      <c r="P173" s="77" t="s">
        <v>792</v>
      </c>
      <c r="Q173" s="77" t="s">
        <v>793</v>
      </c>
      <c r="R173" s="77" t="s">
        <v>778</v>
      </c>
      <c r="S173" s="77" t="s">
        <v>777</v>
      </c>
      <c r="T173" s="77" t="s">
        <v>794</v>
      </c>
      <c r="U173" s="77" t="s">
        <v>795</v>
      </c>
      <c r="V173" s="77" t="s">
        <v>796</v>
      </c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</row>
    <row r="174" spans="1:46" x14ac:dyDescent="0.25">
      <c r="A174" s="64" t="s">
        <v>2077</v>
      </c>
      <c r="B174" s="64" t="s">
        <v>456</v>
      </c>
      <c r="C174" s="77" t="s">
        <v>784</v>
      </c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</row>
    <row r="175" spans="1:46" ht="33.75" x14ac:dyDescent="0.25">
      <c r="A175" s="64" t="s">
        <v>2068</v>
      </c>
      <c r="B175" s="64" t="s">
        <v>32</v>
      </c>
      <c r="C175" s="77" t="s">
        <v>789</v>
      </c>
      <c r="D175" s="77" t="s">
        <v>409</v>
      </c>
      <c r="E175" s="77" t="s">
        <v>767</v>
      </c>
      <c r="F175" s="77" t="s">
        <v>414</v>
      </c>
      <c r="G175" s="77" t="s">
        <v>790</v>
      </c>
      <c r="H175" s="77" t="s">
        <v>418</v>
      </c>
      <c r="I175" s="77" t="s">
        <v>782</v>
      </c>
      <c r="J175" s="77" t="s">
        <v>2620</v>
      </c>
      <c r="K175" s="77" t="s">
        <v>791</v>
      </c>
      <c r="L175" s="77" t="s">
        <v>772</v>
      </c>
      <c r="M175" s="77" t="s">
        <v>406</v>
      </c>
      <c r="N175" s="77" t="s">
        <v>992</v>
      </c>
      <c r="O175" s="77" t="s">
        <v>417</v>
      </c>
      <c r="P175" s="77" t="s">
        <v>792</v>
      </c>
      <c r="Q175" s="77" t="s">
        <v>793</v>
      </c>
      <c r="R175" s="77" t="s">
        <v>778</v>
      </c>
      <c r="S175" s="77" t="s">
        <v>777</v>
      </c>
      <c r="T175" s="77" t="s">
        <v>794</v>
      </c>
      <c r="U175" s="77" t="s">
        <v>795</v>
      </c>
      <c r="V175" s="77" t="s">
        <v>796</v>
      </c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</row>
    <row r="176" spans="1:46" x14ac:dyDescent="0.25">
      <c r="A176" s="64" t="s">
        <v>2078</v>
      </c>
      <c r="B176" s="64" t="s">
        <v>456</v>
      </c>
      <c r="C176" s="77" t="s">
        <v>784</v>
      </c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</row>
    <row r="177" spans="1:46" ht="33.75" x14ac:dyDescent="0.25">
      <c r="A177" s="64" t="s">
        <v>2069</v>
      </c>
      <c r="B177" s="64" t="s">
        <v>32</v>
      </c>
      <c r="C177" s="77" t="s">
        <v>789</v>
      </c>
      <c r="D177" s="77" t="s">
        <v>409</v>
      </c>
      <c r="E177" s="77" t="s">
        <v>767</v>
      </c>
      <c r="F177" s="77" t="s">
        <v>414</v>
      </c>
      <c r="G177" s="77" t="s">
        <v>790</v>
      </c>
      <c r="H177" s="77" t="s">
        <v>418</v>
      </c>
      <c r="I177" s="77" t="s">
        <v>782</v>
      </c>
      <c r="J177" s="77" t="s">
        <v>2620</v>
      </c>
      <c r="K177" s="77" t="s">
        <v>791</v>
      </c>
      <c r="L177" s="77" t="s">
        <v>772</v>
      </c>
      <c r="M177" s="77" t="s">
        <v>406</v>
      </c>
      <c r="N177" s="77" t="s">
        <v>992</v>
      </c>
      <c r="O177" s="77" t="s">
        <v>417</v>
      </c>
      <c r="P177" s="77" t="s">
        <v>792</v>
      </c>
      <c r="Q177" s="77" t="s">
        <v>793</v>
      </c>
      <c r="R177" s="77" t="s">
        <v>778</v>
      </c>
      <c r="S177" s="77" t="s">
        <v>777</v>
      </c>
      <c r="T177" s="77" t="s">
        <v>794</v>
      </c>
      <c r="U177" s="77" t="s">
        <v>795</v>
      </c>
      <c r="V177" s="77" t="s">
        <v>796</v>
      </c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</row>
    <row r="178" spans="1:46" x14ac:dyDescent="0.25">
      <c r="A178" s="64" t="s">
        <v>2079</v>
      </c>
      <c r="B178" s="64" t="s">
        <v>456</v>
      </c>
      <c r="C178" s="77" t="s">
        <v>784</v>
      </c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</row>
    <row r="179" spans="1:46" ht="33.75" x14ac:dyDescent="0.25">
      <c r="A179" s="64" t="s">
        <v>2070</v>
      </c>
      <c r="B179" s="64" t="s">
        <v>32</v>
      </c>
      <c r="C179" s="77" t="s">
        <v>789</v>
      </c>
      <c r="D179" s="77" t="s">
        <v>409</v>
      </c>
      <c r="E179" s="77" t="s">
        <v>767</v>
      </c>
      <c r="F179" s="77" t="s">
        <v>414</v>
      </c>
      <c r="G179" s="77" t="s">
        <v>790</v>
      </c>
      <c r="H179" s="77" t="s">
        <v>418</v>
      </c>
      <c r="I179" s="77" t="s">
        <v>782</v>
      </c>
      <c r="J179" s="77" t="s">
        <v>2620</v>
      </c>
      <c r="K179" s="77" t="s">
        <v>791</v>
      </c>
      <c r="L179" s="77" t="s">
        <v>772</v>
      </c>
      <c r="M179" s="77" t="s">
        <v>406</v>
      </c>
      <c r="N179" s="77" t="s">
        <v>992</v>
      </c>
      <c r="O179" s="77" t="s">
        <v>417</v>
      </c>
      <c r="P179" s="77" t="s">
        <v>792</v>
      </c>
      <c r="Q179" s="77" t="s">
        <v>793</v>
      </c>
      <c r="R179" s="77" t="s">
        <v>778</v>
      </c>
      <c r="S179" s="77" t="s">
        <v>777</v>
      </c>
      <c r="T179" s="77" t="s">
        <v>794</v>
      </c>
      <c r="U179" s="77" t="s">
        <v>795</v>
      </c>
      <c r="V179" s="77" t="s">
        <v>796</v>
      </c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</row>
    <row r="180" spans="1:46" x14ac:dyDescent="0.25">
      <c r="A180" s="64" t="s">
        <v>2080</v>
      </c>
      <c r="B180" s="64" t="s">
        <v>456</v>
      </c>
      <c r="C180" s="77" t="s">
        <v>784</v>
      </c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</row>
    <row r="181" spans="1:46" ht="101.25" x14ac:dyDescent="0.25">
      <c r="A181" s="64" t="s">
        <v>2121</v>
      </c>
      <c r="B181" s="64" t="s">
        <v>32</v>
      </c>
      <c r="C181" s="77" t="s">
        <v>766</v>
      </c>
      <c r="D181" s="77" t="s">
        <v>409</v>
      </c>
      <c r="E181" s="77" t="s">
        <v>767</v>
      </c>
      <c r="F181" s="77" t="s">
        <v>785</v>
      </c>
      <c r="G181" s="77" t="s">
        <v>414</v>
      </c>
      <c r="H181" s="77" t="s">
        <v>2616</v>
      </c>
      <c r="I181" s="77" t="s">
        <v>418</v>
      </c>
      <c r="J181" s="77" t="s">
        <v>782</v>
      </c>
      <c r="K181" s="77" t="s">
        <v>783</v>
      </c>
      <c r="L181" s="77" t="s">
        <v>2617</v>
      </c>
      <c r="M181" s="77" t="s">
        <v>2618</v>
      </c>
      <c r="N181" s="77" t="s">
        <v>772</v>
      </c>
      <c r="O181" s="77" t="s">
        <v>773</v>
      </c>
      <c r="P181" s="77" t="s">
        <v>406</v>
      </c>
      <c r="Q181" s="77" t="s">
        <v>774</v>
      </c>
      <c r="R181" s="77" t="s">
        <v>775</v>
      </c>
      <c r="S181" s="77" t="s">
        <v>776</v>
      </c>
      <c r="T181" s="77" t="s">
        <v>777</v>
      </c>
      <c r="U181" s="77" t="s">
        <v>2619</v>
      </c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</row>
    <row r="182" spans="1:46" x14ac:dyDescent="0.25">
      <c r="A182" s="64" t="s">
        <v>2122</v>
      </c>
      <c r="B182" s="64" t="s">
        <v>456</v>
      </c>
      <c r="C182" s="77" t="s">
        <v>778</v>
      </c>
      <c r="D182" s="77" t="s">
        <v>779</v>
      </c>
      <c r="E182" s="77" t="s">
        <v>991</v>
      </c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</row>
    <row r="183" spans="1:46" ht="101.25" x14ac:dyDescent="0.25">
      <c r="A183" s="64" t="s">
        <v>2124</v>
      </c>
      <c r="B183" s="64" t="s">
        <v>32</v>
      </c>
      <c r="C183" s="77" t="s">
        <v>766</v>
      </c>
      <c r="D183" s="77" t="s">
        <v>409</v>
      </c>
      <c r="E183" s="77" t="s">
        <v>767</v>
      </c>
      <c r="F183" s="77" t="s">
        <v>785</v>
      </c>
      <c r="G183" s="77" t="s">
        <v>414</v>
      </c>
      <c r="H183" s="77" t="s">
        <v>2616</v>
      </c>
      <c r="I183" s="77" t="s">
        <v>418</v>
      </c>
      <c r="J183" s="77" t="s">
        <v>782</v>
      </c>
      <c r="K183" s="77" t="s">
        <v>783</v>
      </c>
      <c r="L183" s="77" t="s">
        <v>2617</v>
      </c>
      <c r="M183" s="77" t="s">
        <v>2618</v>
      </c>
      <c r="N183" s="77" t="s">
        <v>772</v>
      </c>
      <c r="O183" s="77" t="s">
        <v>773</v>
      </c>
      <c r="P183" s="77" t="s">
        <v>406</v>
      </c>
      <c r="Q183" s="77" t="s">
        <v>774</v>
      </c>
      <c r="R183" s="77" t="s">
        <v>775</v>
      </c>
      <c r="S183" s="77" t="s">
        <v>776</v>
      </c>
      <c r="T183" s="77" t="s">
        <v>777</v>
      </c>
      <c r="U183" s="77" t="s">
        <v>2619</v>
      </c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</row>
    <row r="184" spans="1:46" x14ac:dyDescent="0.25">
      <c r="A184" s="64" t="s">
        <v>2123</v>
      </c>
      <c r="B184" s="64" t="s">
        <v>456</v>
      </c>
      <c r="C184" s="77" t="s">
        <v>778</v>
      </c>
      <c r="D184" s="77" t="s">
        <v>779</v>
      </c>
      <c r="E184" s="77" t="s">
        <v>991</v>
      </c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</row>
    <row r="185" spans="1:46" ht="33.75" x14ac:dyDescent="0.25">
      <c r="A185" s="64" t="s">
        <v>2129</v>
      </c>
      <c r="B185" s="64" t="s">
        <v>32</v>
      </c>
      <c r="C185" s="77" t="s">
        <v>789</v>
      </c>
      <c r="D185" s="77" t="s">
        <v>409</v>
      </c>
      <c r="E185" s="77" t="s">
        <v>767</v>
      </c>
      <c r="F185" s="77" t="s">
        <v>414</v>
      </c>
      <c r="G185" s="77" t="s">
        <v>790</v>
      </c>
      <c r="H185" s="77" t="s">
        <v>418</v>
      </c>
      <c r="I185" s="77" t="s">
        <v>782</v>
      </c>
      <c r="J185" s="77" t="s">
        <v>2620</v>
      </c>
      <c r="K185" s="77" t="s">
        <v>791</v>
      </c>
      <c r="L185" s="77" t="s">
        <v>772</v>
      </c>
      <c r="M185" s="77" t="s">
        <v>406</v>
      </c>
      <c r="N185" s="77" t="s">
        <v>992</v>
      </c>
      <c r="O185" s="77" t="s">
        <v>417</v>
      </c>
      <c r="P185" s="77" t="s">
        <v>792</v>
      </c>
      <c r="Q185" s="77" t="s">
        <v>793</v>
      </c>
      <c r="R185" s="77" t="s">
        <v>778</v>
      </c>
      <c r="S185" s="77" t="s">
        <v>777</v>
      </c>
      <c r="T185" s="77" t="s">
        <v>794</v>
      </c>
      <c r="U185" s="77" t="s">
        <v>795</v>
      </c>
      <c r="V185" s="77" t="s">
        <v>796</v>
      </c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</row>
    <row r="186" spans="1:46" x14ac:dyDescent="0.25">
      <c r="A186" s="64" t="s">
        <v>2125</v>
      </c>
      <c r="B186" s="64" t="s">
        <v>456</v>
      </c>
      <c r="C186" s="77" t="s">
        <v>784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</row>
    <row r="187" spans="1:46" ht="33.75" x14ac:dyDescent="0.25">
      <c r="A187" s="64" t="s">
        <v>2130</v>
      </c>
      <c r="B187" s="64" t="s">
        <v>32</v>
      </c>
      <c r="C187" s="77" t="s">
        <v>789</v>
      </c>
      <c r="D187" s="77" t="s">
        <v>409</v>
      </c>
      <c r="E187" s="77" t="s">
        <v>767</v>
      </c>
      <c r="F187" s="77" t="s">
        <v>414</v>
      </c>
      <c r="G187" s="77" t="s">
        <v>790</v>
      </c>
      <c r="H187" s="77" t="s">
        <v>418</v>
      </c>
      <c r="I187" s="77" t="s">
        <v>782</v>
      </c>
      <c r="J187" s="77" t="s">
        <v>2620</v>
      </c>
      <c r="K187" s="77" t="s">
        <v>791</v>
      </c>
      <c r="L187" s="77" t="s">
        <v>772</v>
      </c>
      <c r="M187" s="77" t="s">
        <v>406</v>
      </c>
      <c r="N187" s="77" t="s">
        <v>992</v>
      </c>
      <c r="O187" s="77" t="s">
        <v>417</v>
      </c>
      <c r="P187" s="77" t="s">
        <v>792</v>
      </c>
      <c r="Q187" s="77" t="s">
        <v>793</v>
      </c>
      <c r="R187" s="77" t="s">
        <v>778</v>
      </c>
      <c r="S187" s="77" t="s">
        <v>777</v>
      </c>
      <c r="T187" s="77" t="s">
        <v>794</v>
      </c>
      <c r="U187" s="77" t="s">
        <v>795</v>
      </c>
      <c r="V187" s="77" t="s">
        <v>796</v>
      </c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</row>
    <row r="188" spans="1:46" x14ac:dyDescent="0.25">
      <c r="A188" s="64" t="s">
        <v>2126</v>
      </c>
      <c r="B188" s="64" t="s">
        <v>456</v>
      </c>
      <c r="C188" s="77" t="s">
        <v>784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</row>
    <row r="189" spans="1:46" ht="33.75" x14ac:dyDescent="0.25">
      <c r="A189" s="64" t="s">
        <v>2131</v>
      </c>
      <c r="B189" s="64" t="s">
        <v>32</v>
      </c>
      <c r="C189" s="77" t="s">
        <v>789</v>
      </c>
      <c r="D189" s="77" t="s">
        <v>409</v>
      </c>
      <c r="E189" s="77" t="s">
        <v>767</v>
      </c>
      <c r="F189" s="77" t="s">
        <v>414</v>
      </c>
      <c r="G189" s="77" t="s">
        <v>790</v>
      </c>
      <c r="H189" s="77" t="s">
        <v>418</v>
      </c>
      <c r="I189" s="77" t="s">
        <v>782</v>
      </c>
      <c r="J189" s="77" t="s">
        <v>2620</v>
      </c>
      <c r="K189" s="77" t="s">
        <v>791</v>
      </c>
      <c r="L189" s="77" t="s">
        <v>772</v>
      </c>
      <c r="M189" s="77" t="s">
        <v>406</v>
      </c>
      <c r="N189" s="77" t="s">
        <v>992</v>
      </c>
      <c r="O189" s="77" t="s">
        <v>417</v>
      </c>
      <c r="P189" s="77" t="s">
        <v>792</v>
      </c>
      <c r="Q189" s="77" t="s">
        <v>793</v>
      </c>
      <c r="R189" s="77" t="s">
        <v>778</v>
      </c>
      <c r="S189" s="77" t="s">
        <v>777</v>
      </c>
      <c r="T189" s="77" t="s">
        <v>794</v>
      </c>
      <c r="U189" s="77" t="s">
        <v>795</v>
      </c>
      <c r="V189" s="77" t="s">
        <v>796</v>
      </c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</row>
    <row r="190" spans="1:46" x14ac:dyDescent="0.25">
      <c r="A190" s="64" t="s">
        <v>2127</v>
      </c>
      <c r="B190" s="64" t="s">
        <v>456</v>
      </c>
      <c r="C190" s="77" t="s">
        <v>784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</row>
    <row r="191" spans="1:46" ht="33.75" x14ac:dyDescent="0.25">
      <c r="A191" s="64" t="s">
        <v>2132</v>
      </c>
      <c r="B191" s="64" t="s">
        <v>32</v>
      </c>
      <c r="C191" s="77" t="s">
        <v>789</v>
      </c>
      <c r="D191" s="77" t="s">
        <v>409</v>
      </c>
      <c r="E191" s="77" t="s">
        <v>767</v>
      </c>
      <c r="F191" s="77" t="s">
        <v>414</v>
      </c>
      <c r="G191" s="77" t="s">
        <v>790</v>
      </c>
      <c r="H191" s="77" t="s">
        <v>418</v>
      </c>
      <c r="I191" s="77" t="s">
        <v>782</v>
      </c>
      <c r="J191" s="77" t="s">
        <v>2620</v>
      </c>
      <c r="K191" s="77" t="s">
        <v>791</v>
      </c>
      <c r="L191" s="77" t="s">
        <v>772</v>
      </c>
      <c r="M191" s="77" t="s">
        <v>406</v>
      </c>
      <c r="N191" s="77" t="s">
        <v>992</v>
      </c>
      <c r="O191" s="77" t="s">
        <v>417</v>
      </c>
      <c r="P191" s="77" t="s">
        <v>792</v>
      </c>
      <c r="Q191" s="77" t="s">
        <v>793</v>
      </c>
      <c r="R191" s="77" t="s">
        <v>778</v>
      </c>
      <c r="S191" s="77" t="s">
        <v>777</v>
      </c>
      <c r="T191" s="77" t="s">
        <v>794</v>
      </c>
      <c r="U191" s="77" t="s">
        <v>795</v>
      </c>
      <c r="V191" s="77" t="s">
        <v>796</v>
      </c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</row>
    <row r="192" spans="1:46" x14ac:dyDescent="0.25">
      <c r="A192" s="64" t="s">
        <v>2128</v>
      </c>
      <c r="B192" s="64" t="s">
        <v>456</v>
      </c>
      <c r="C192" s="77" t="s">
        <v>784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</row>
    <row r="193" spans="1:46" ht="56.25" x14ac:dyDescent="0.25">
      <c r="A193" s="64" t="s">
        <v>2133</v>
      </c>
      <c r="B193" s="64" t="s">
        <v>32</v>
      </c>
      <c r="C193" s="77" t="s">
        <v>789</v>
      </c>
      <c r="D193" s="77" t="s">
        <v>409</v>
      </c>
      <c r="E193" s="77" t="s">
        <v>767</v>
      </c>
      <c r="F193" s="77" t="s">
        <v>414</v>
      </c>
      <c r="G193" s="77" t="s">
        <v>781</v>
      </c>
      <c r="H193" s="77" t="s">
        <v>418</v>
      </c>
      <c r="I193" s="77" t="s">
        <v>782</v>
      </c>
      <c r="J193" s="77" t="s">
        <v>2617</v>
      </c>
      <c r="K193" s="77" t="s">
        <v>791</v>
      </c>
      <c r="L193" s="77" t="s">
        <v>772</v>
      </c>
      <c r="M193" s="77" t="s">
        <v>406</v>
      </c>
      <c r="N193" s="77" t="s">
        <v>992</v>
      </c>
      <c r="O193" s="77" t="s">
        <v>417</v>
      </c>
      <c r="P193" s="77" t="s">
        <v>792</v>
      </c>
      <c r="Q193" s="77" t="s">
        <v>776</v>
      </c>
      <c r="R193" s="77" t="s">
        <v>778</v>
      </c>
      <c r="S193" s="77" t="s">
        <v>777</v>
      </c>
      <c r="T193" s="77" t="s">
        <v>794</v>
      </c>
      <c r="U193" s="77" t="s">
        <v>798</v>
      </c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</row>
    <row r="194" spans="1:46" x14ac:dyDescent="0.25">
      <c r="A194" s="64" t="s">
        <v>2138</v>
      </c>
      <c r="B194" s="64" t="s">
        <v>456</v>
      </c>
      <c r="C194" s="77" t="s">
        <v>784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</row>
    <row r="195" spans="1:46" ht="56.25" x14ac:dyDescent="0.25">
      <c r="A195" s="64" t="s">
        <v>2134</v>
      </c>
      <c r="B195" s="64" t="s">
        <v>32</v>
      </c>
      <c r="C195" s="77" t="s">
        <v>789</v>
      </c>
      <c r="D195" s="77" t="s">
        <v>409</v>
      </c>
      <c r="E195" s="77" t="s">
        <v>767</v>
      </c>
      <c r="F195" s="77" t="s">
        <v>414</v>
      </c>
      <c r="G195" s="77" t="s">
        <v>781</v>
      </c>
      <c r="H195" s="77" t="s">
        <v>418</v>
      </c>
      <c r="I195" s="77" t="s">
        <v>782</v>
      </c>
      <c r="J195" s="77" t="s">
        <v>2617</v>
      </c>
      <c r="K195" s="77" t="s">
        <v>791</v>
      </c>
      <c r="L195" s="77" t="s">
        <v>772</v>
      </c>
      <c r="M195" s="77" t="s">
        <v>406</v>
      </c>
      <c r="N195" s="77" t="s">
        <v>992</v>
      </c>
      <c r="O195" s="77" t="s">
        <v>417</v>
      </c>
      <c r="P195" s="77" t="s">
        <v>792</v>
      </c>
      <c r="Q195" s="77" t="s">
        <v>776</v>
      </c>
      <c r="R195" s="77" t="s">
        <v>778</v>
      </c>
      <c r="S195" s="77" t="s">
        <v>777</v>
      </c>
      <c r="T195" s="77" t="s">
        <v>794</v>
      </c>
      <c r="U195" s="77" t="s">
        <v>798</v>
      </c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</row>
    <row r="196" spans="1:46" x14ac:dyDescent="0.25">
      <c r="A196" s="64" t="s">
        <v>2139</v>
      </c>
      <c r="B196" s="64" t="s">
        <v>456</v>
      </c>
      <c r="C196" s="77" t="s">
        <v>784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</row>
    <row r="197" spans="1:46" ht="56.25" x14ac:dyDescent="0.25">
      <c r="A197" s="64" t="s">
        <v>2135</v>
      </c>
      <c r="B197" s="64" t="s">
        <v>32</v>
      </c>
      <c r="C197" s="77" t="s">
        <v>789</v>
      </c>
      <c r="D197" s="77" t="s">
        <v>409</v>
      </c>
      <c r="E197" s="77" t="s">
        <v>767</v>
      </c>
      <c r="F197" s="77" t="s">
        <v>414</v>
      </c>
      <c r="G197" s="77" t="s">
        <v>781</v>
      </c>
      <c r="H197" s="77" t="s">
        <v>418</v>
      </c>
      <c r="I197" s="77" t="s">
        <v>782</v>
      </c>
      <c r="J197" s="77" t="s">
        <v>2617</v>
      </c>
      <c r="K197" s="77" t="s">
        <v>791</v>
      </c>
      <c r="L197" s="77" t="s">
        <v>772</v>
      </c>
      <c r="M197" s="77" t="s">
        <v>406</v>
      </c>
      <c r="N197" s="77" t="s">
        <v>992</v>
      </c>
      <c r="O197" s="77" t="s">
        <v>417</v>
      </c>
      <c r="P197" s="77" t="s">
        <v>792</v>
      </c>
      <c r="Q197" s="77" t="s">
        <v>776</v>
      </c>
      <c r="R197" s="77" t="s">
        <v>778</v>
      </c>
      <c r="S197" s="77" t="s">
        <v>777</v>
      </c>
      <c r="T197" s="77" t="s">
        <v>794</v>
      </c>
      <c r="U197" s="77" t="s">
        <v>798</v>
      </c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</row>
    <row r="198" spans="1:46" x14ac:dyDescent="0.25">
      <c r="A198" s="64" t="s">
        <v>2140</v>
      </c>
      <c r="B198" s="64" t="s">
        <v>456</v>
      </c>
      <c r="C198" s="77" t="s">
        <v>784</v>
      </c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</row>
    <row r="199" spans="1:46" ht="56.25" x14ac:dyDescent="0.25">
      <c r="A199" s="64" t="s">
        <v>2136</v>
      </c>
      <c r="B199" s="64" t="s">
        <v>32</v>
      </c>
      <c r="C199" s="77" t="s">
        <v>789</v>
      </c>
      <c r="D199" s="77" t="s">
        <v>409</v>
      </c>
      <c r="E199" s="77" t="s">
        <v>767</v>
      </c>
      <c r="F199" s="77" t="s">
        <v>414</v>
      </c>
      <c r="G199" s="77" t="s">
        <v>781</v>
      </c>
      <c r="H199" s="77" t="s">
        <v>418</v>
      </c>
      <c r="I199" s="77" t="s">
        <v>782</v>
      </c>
      <c r="J199" s="77" t="s">
        <v>2617</v>
      </c>
      <c r="K199" s="77" t="s">
        <v>791</v>
      </c>
      <c r="L199" s="77" t="s">
        <v>772</v>
      </c>
      <c r="M199" s="77" t="s">
        <v>406</v>
      </c>
      <c r="N199" s="77" t="s">
        <v>992</v>
      </c>
      <c r="O199" s="77" t="s">
        <v>417</v>
      </c>
      <c r="P199" s="77" t="s">
        <v>792</v>
      </c>
      <c r="Q199" s="77" t="s">
        <v>776</v>
      </c>
      <c r="R199" s="77" t="s">
        <v>778</v>
      </c>
      <c r="S199" s="77" t="s">
        <v>777</v>
      </c>
      <c r="T199" s="77" t="s">
        <v>794</v>
      </c>
      <c r="U199" s="77" t="s">
        <v>798</v>
      </c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</row>
    <row r="200" spans="1:46" x14ac:dyDescent="0.25">
      <c r="A200" s="64" t="s">
        <v>2137</v>
      </c>
      <c r="B200" s="64" t="s">
        <v>456</v>
      </c>
      <c r="C200" s="77" t="s">
        <v>784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</row>
    <row r="201" spans="1:46" ht="33.75" x14ac:dyDescent="0.25">
      <c r="A201" s="64" t="s">
        <v>2621</v>
      </c>
      <c r="B201" s="64" t="s">
        <v>32</v>
      </c>
      <c r="C201" s="77" t="s">
        <v>1099</v>
      </c>
      <c r="D201" s="77" t="s">
        <v>1100</v>
      </c>
      <c r="E201" s="77" t="s">
        <v>409</v>
      </c>
      <c r="F201" s="77" t="s">
        <v>767</v>
      </c>
      <c r="G201" s="77" t="s">
        <v>414</v>
      </c>
      <c r="H201" s="77" t="s">
        <v>790</v>
      </c>
      <c r="I201" s="77" t="s">
        <v>2623</v>
      </c>
      <c r="J201" s="77" t="s">
        <v>2624</v>
      </c>
      <c r="K201" s="77" t="s">
        <v>2625</v>
      </c>
      <c r="L201" s="77" t="s">
        <v>2626</v>
      </c>
      <c r="M201" s="77" t="s">
        <v>407</v>
      </c>
      <c r="N201" s="77" t="s">
        <v>791</v>
      </c>
      <c r="O201" s="77" t="s">
        <v>772</v>
      </c>
      <c r="P201" s="77" t="s">
        <v>2627</v>
      </c>
      <c r="Q201" s="77" t="s">
        <v>2628</v>
      </c>
      <c r="R201" s="77" t="s">
        <v>1103</v>
      </c>
      <c r="S201" s="77" t="s">
        <v>1213</v>
      </c>
      <c r="T201" s="77" t="s">
        <v>1214</v>
      </c>
      <c r="U201" s="77" t="s">
        <v>417</v>
      </c>
      <c r="V201" s="77" t="s">
        <v>2629</v>
      </c>
      <c r="W201" s="77" t="s">
        <v>2630</v>
      </c>
      <c r="X201" s="77" t="s">
        <v>1106</v>
      </c>
      <c r="Y201" s="77" t="s">
        <v>793</v>
      </c>
      <c r="Z201" s="77" t="s">
        <v>778</v>
      </c>
      <c r="AA201" s="77" t="s">
        <v>777</v>
      </c>
      <c r="AB201" s="77" t="s">
        <v>794</v>
      </c>
      <c r="AC201" s="77" t="s">
        <v>1107</v>
      </c>
      <c r="AD201" s="77" t="s">
        <v>1108</v>
      </c>
      <c r="AE201" s="77" t="s">
        <v>2631</v>
      </c>
      <c r="AF201" s="77" t="s">
        <v>2632</v>
      </c>
      <c r="AG201" s="77" t="s">
        <v>1110</v>
      </c>
      <c r="AH201" s="77" t="s">
        <v>1111</v>
      </c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</row>
    <row r="202" spans="1:46" x14ac:dyDescent="0.25">
      <c r="A202" s="64" t="s">
        <v>2622</v>
      </c>
      <c r="B202" s="64" t="s">
        <v>456</v>
      </c>
      <c r="C202" s="77" t="s">
        <v>2633</v>
      </c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</row>
    <row r="203" spans="1:46" x14ac:dyDescent="0.25">
      <c r="A203" s="64" t="s">
        <v>2145</v>
      </c>
      <c r="B203" s="107" t="s">
        <v>32</v>
      </c>
      <c r="C203" s="77" t="s">
        <v>2638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</row>
    <row r="204" spans="1:46" x14ac:dyDescent="0.25">
      <c r="A204" s="64" t="s">
        <v>2146</v>
      </c>
      <c r="B204" s="107" t="s">
        <v>456</v>
      </c>
      <c r="C204" s="77" t="s">
        <v>2633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</row>
    <row r="205" spans="1:46" x14ac:dyDescent="0.25">
      <c r="A205" s="64" t="s">
        <v>2147</v>
      </c>
      <c r="B205" s="107" t="s">
        <v>32</v>
      </c>
      <c r="C205" s="77" t="s">
        <v>2638</v>
      </c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</row>
    <row r="206" spans="1:46" x14ac:dyDescent="0.25">
      <c r="A206" s="64" t="s">
        <v>2148</v>
      </c>
      <c r="B206" s="107" t="s">
        <v>456</v>
      </c>
      <c r="C206" s="77" t="s">
        <v>2633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</row>
    <row r="207" spans="1:46" x14ac:dyDescent="0.25">
      <c r="A207" s="64" t="s">
        <v>2141</v>
      </c>
      <c r="B207" s="107" t="s">
        <v>32</v>
      </c>
      <c r="C207" s="77" t="s">
        <v>2638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</row>
    <row r="208" spans="1:46" x14ac:dyDescent="0.25">
      <c r="A208" s="64" t="s">
        <v>2142</v>
      </c>
      <c r="B208" s="107" t="s">
        <v>456</v>
      </c>
      <c r="C208" s="77" t="s">
        <v>2633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</row>
    <row r="209" spans="1:46" x14ac:dyDescent="0.25">
      <c r="A209" s="64" t="s">
        <v>2143</v>
      </c>
      <c r="B209" s="107" t="s">
        <v>32</v>
      </c>
      <c r="C209" s="77" t="s">
        <v>2638</v>
      </c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</row>
    <row r="210" spans="1:46" x14ac:dyDescent="0.25">
      <c r="A210" s="64" t="s">
        <v>2144</v>
      </c>
      <c r="B210" s="107" t="s">
        <v>456</v>
      </c>
      <c r="C210" s="77" t="s">
        <v>2633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</row>
  </sheetData>
  <autoFilter ref="A1:AT210" xr:uid="{00000000-0001-0000-0000-000000000000}"/>
  <phoneticPr fontId="24" type="noConversion"/>
  <conditionalFormatting sqref="A1:A1048576">
    <cfRule type="duplicateValues" dxfId="38" priority="6"/>
  </conditionalFormatting>
  <pageMargins left="0" right="0" top="0.74803149606299213" bottom="0.74803149606299213" header="0.31496062992125984" footer="0.31496062992125984"/>
  <pageSetup paperSize="8" scale="6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A7FF-74D6-4AEA-A40B-7424E6175D23}">
  <sheetPr>
    <pageSetUpPr fitToPage="1"/>
  </sheetPr>
  <dimension ref="A1:AL210"/>
  <sheetViews>
    <sheetView showGridLines="0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28" sqref="E228"/>
    </sheetView>
  </sheetViews>
  <sheetFormatPr baseColWidth="10" defaultColWidth="20.7109375" defaultRowHeight="11.25" x14ac:dyDescent="0.25"/>
  <cols>
    <col min="1" max="1" width="52.7109375" style="66" bestFit="1" customWidth="1"/>
    <col min="2" max="2" width="12" style="118" customWidth="1"/>
    <col min="3" max="8" width="20.7109375" style="66"/>
    <col min="9" max="9" width="20.7109375" style="66" customWidth="1"/>
    <col min="10" max="10" width="20.7109375" style="69" customWidth="1"/>
    <col min="11" max="19" width="20.7109375" style="66" customWidth="1"/>
    <col min="20" max="20" width="20.7109375" style="69" customWidth="1"/>
    <col min="21" max="21" width="20.7109375" style="66" customWidth="1"/>
    <col min="22" max="22" width="20.7109375" style="69" customWidth="1" collapsed="1"/>
    <col min="23" max="25" width="20.7109375" style="69" customWidth="1"/>
    <col min="26" max="26" width="20.7109375" style="66" customWidth="1"/>
    <col min="27" max="29" width="20.7109375" style="69" customWidth="1"/>
    <col min="30" max="16384" width="20.7109375" style="66"/>
  </cols>
  <sheetData>
    <row r="1" spans="1:38" ht="22.5" x14ac:dyDescent="0.25">
      <c r="A1" s="64" t="s">
        <v>405</v>
      </c>
      <c r="B1" s="107" t="s">
        <v>455</v>
      </c>
      <c r="C1" s="64" t="s">
        <v>458</v>
      </c>
      <c r="D1" s="64" t="s">
        <v>459</v>
      </c>
      <c r="E1" s="64" t="s">
        <v>460</v>
      </c>
      <c r="F1" s="64" t="s">
        <v>461</v>
      </c>
      <c r="G1" s="64" t="s">
        <v>462</v>
      </c>
      <c r="H1" s="64" t="s">
        <v>463</v>
      </c>
      <c r="I1" s="64" t="s">
        <v>464</v>
      </c>
      <c r="J1" s="64" t="s">
        <v>465</v>
      </c>
      <c r="K1" s="64" t="s">
        <v>466</v>
      </c>
      <c r="L1" s="64" t="s">
        <v>467</v>
      </c>
      <c r="M1" s="64" t="s">
        <v>468</v>
      </c>
      <c r="N1" s="64" t="s">
        <v>469</v>
      </c>
      <c r="O1" s="64" t="s">
        <v>470</v>
      </c>
      <c r="P1" s="64" t="s">
        <v>471</v>
      </c>
      <c r="Q1" s="64" t="s">
        <v>51</v>
      </c>
      <c r="R1" s="64" t="s">
        <v>472</v>
      </c>
      <c r="S1" s="74" t="s">
        <v>473</v>
      </c>
      <c r="T1" s="75" t="s">
        <v>474</v>
      </c>
      <c r="U1" s="74" t="s">
        <v>475</v>
      </c>
      <c r="V1" s="73" t="s">
        <v>476</v>
      </c>
      <c r="W1" s="64" t="s">
        <v>477</v>
      </c>
      <c r="X1" s="73" t="s">
        <v>478</v>
      </c>
      <c r="Y1" s="73" t="s">
        <v>479</v>
      </c>
      <c r="Z1" s="71" t="s">
        <v>480</v>
      </c>
      <c r="AA1" s="73" t="s">
        <v>481</v>
      </c>
      <c r="AB1" s="73" t="s">
        <v>482</v>
      </c>
      <c r="AC1" s="73" t="s">
        <v>483</v>
      </c>
      <c r="AD1" s="71" t="s">
        <v>596</v>
      </c>
      <c r="AE1" s="71" t="s">
        <v>429</v>
      </c>
      <c r="AF1" s="71" t="s">
        <v>428</v>
      </c>
      <c r="AG1" s="71" t="s">
        <v>427</v>
      </c>
      <c r="AH1" s="71" t="s">
        <v>426</v>
      </c>
      <c r="AI1" s="71" t="s">
        <v>425</v>
      </c>
      <c r="AJ1" s="71" t="s">
        <v>424</v>
      </c>
      <c r="AK1" s="71" t="s">
        <v>423</v>
      </c>
      <c r="AL1" s="71" t="s">
        <v>422</v>
      </c>
    </row>
    <row r="2" spans="1:38" s="67" customFormat="1" x14ac:dyDescent="0.25">
      <c r="A2" s="64" t="s">
        <v>215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38" ht="56.25" x14ac:dyDescent="0.25">
      <c r="A3" s="64" t="s">
        <v>1425</v>
      </c>
      <c r="B3" s="64" t="s">
        <v>32</v>
      </c>
      <c r="C3" s="77" t="s">
        <v>805</v>
      </c>
      <c r="D3" s="77" t="s">
        <v>806</v>
      </c>
      <c r="E3" s="77" t="s">
        <v>807</v>
      </c>
      <c r="F3" s="77" t="s">
        <v>808</v>
      </c>
      <c r="G3" s="77" t="s">
        <v>804</v>
      </c>
      <c r="H3" s="77" t="s">
        <v>809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</row>
    <row r="4" spans="1:38" x14ac:dyDescent="0.25">
      <c r="A4" s="64" t="s">
        <v>1426</v>
      </c>
      <c r="B4" s="64" t="s">
        <v>456</v>
      </c>
      <c r="C4" s="77" t="s">
        <v>2633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</row>
    <row r="5" spans="1:38" ht="33.75" x14ac:dyDescent="0.25">
      <c r="A5" s="64" t="s">
        <v>1427</v>
      </c>
      <c r="B5" s="64" t="s">
        <v>32</v>
      </c>
      <c r="C5" s="77" t="s">
        <v>805</v>
      </c>
      <c r="D5" s="77" t="s">
        <v>810</v>
      </c>
      <c r="E5" s="77" t="s">
        <v>811</v>
      </c>
      <c r="F5" s="77" t="s">
        <v>808</v>
      </c>
      <c r="G5" s="77" t="s">
        <v>804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pans="1:38" x14ac:dyDescent="0.25">
      <c r="A6" s="64" t="s">
        <v>1428</v>
      </c>
      <c r="B6" s="64" t="s">
        <v>456</v>
      </c>
      <c r="C6" s="77" t="s">
        <v>812</v>
      </c>
      <c r="D6" s="77" t="s">
        <v>813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</row>
    <row r="7" spans="1:38" ht="33.75" x14ac:dyDescent="0.25">
      <c r="A7" s="64" t="s">
        <v>1429</v>
      </c>
      <c r="B7" s="64" t="s">
        <v>32</v>
      </c>
      <c r="C7" s="77" t="s">
        <v>805</v>
      </c>
      <c r="D7" s="77" t="s">
        <v>821</v>
      </c>
      <c r="E7" s="77" t="s">
        <v>822</v>
      </c>
      <c r="F7" s="77" t="s">
        <v>823</v>
      </c>
      <c r="G7" s="77" t="s">
        <v>824</v>
      </c>
      <c r="H7" s="77" t="s">
        <v>468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</row>
    <row r="8" spans="1:38" ht="33.75" x14ac:dyDescent="0.25">
      <c r="A8" s="64" t="s">
        <v>1430</v>
      </c>
      <c r="B8" s="64" t="s">
        <v>456</v>
      </c>
      <c r="C8" s="77" t="s">
        <v>812</v>
      </c>
      <c r="D8" s="77" t="s">
        <v>813</v>
      </c>
      <c r="E8" s="77" t="s">
        <v>825</v>
      </c>
      <c r="F8" s="77" t="s">
        <v>826</v>
      </c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</row>
    <row r="9" spans="1:38" ht="33.75" x14ac:dyDescent="0.25">
      <c r="A9" s="64" t="s">
        <v>1431</v>
      </c>
      <c r="B9" s="64" t="s">
        <v>32</v>
      </c>
      <c r="C9" s="77" t="s">
        <v>805</v>
      </c>
      <c r="D9" s="77" t="s">
        <v>814</v>
      </c>
      <c r="E9" s="77" t="s">
        <v>822</v>
      </c>
      <c r="F9" s="77" t="s">
        <v>823</v>
      </c>
      <c r="G9" s="77" t="s">
        <v>824</v>
      </c>
      <c r="H9" s="77" t="s">
        <v>468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</row>
    <row r="10" spans="1:38" ht="33.75" x14ac:dyDescent="0.25">
      <c r="A10" s="64" t="s">
        <v>1432</v>
      </c>
      <c r="B10" s="64" t="s">
        <v>456</v>
      </c>
      <c r="C10" s="77" t="s">
        <v>812</v>
      </c>
      <c r="D10" s="77" t="s">
        <v>813</v>
      </c>
      <c r="E10" s="77" t="s">
        <v>826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</row>
    <row r="11" spans="1:38" ht="33.75" x14ac:dyDescent="0.25">
      <c r="A11" s="64" t="s">
        <v>1433</v>
      </c>
      <c r="B11" s="64" t="s">
        <v>32</v>
      </c>
      <c r="C11" s="77" t="s">
        <v>805</v>
      </c>
      <c r="D11" s="77" t="s">
        <v>814</v>
      </c>
      <c r="E11" s="77" t="s">
        <v>822</v>
      </c>
      <c r="F11" s="77" t="s">
        <v>823</v>
      </c>
      <c r="G11" s="77" t="s">
        <v>824</v>
      </c>
      <c r="H11" s="77" t="s">
        <v>468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</row>
    <row r="12" spans="1:38" ht="33.75" x14ac:dyDescent="0.25">
      <c r="A12" s="64" t="s">
        <v>1434</v>
      </c>
      <c r="B12" s="64" t="s">
        <v>456</v>
      </c>
      <c r="C12" s="77" t="s">
        <v>812</v>
      </c>
      <c r="D12" s="77" t="s">
        <v>813</v>
      </c>
      <c r="E12" s="77" t="s">
        <v>826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</row>
    <row r="13" spans="1:38" ht="33.75" x14ac:dyDescent="0.25">
      <c r="A13" s="64" t="s">
        <v>1435</v>
      </c>
      <c r="B13" s="64" t="s">
        <v>32</v>
      </c>
      <c r="C13" s="77" t="s">
        <v>805</v>
      </c>
      <c r="D13" s="77" t="s">
        <v>814</v>
      </c>
      <c r="E13" s="77" t="s">
        <v>822</v>
      </c>
      <c r="F13" s="77" t="s">
        <v>823</v>
      </c>
      <c r="G13" s="77" t="s">
        <v>824</v>
      </c>
      <c r="H13" s="77" t="s">
        <v>468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</row>
    <row r="14" spans="1:38" ht="33.75" x14ac:dyDescent="0.25">
      <c r="A14" s="64" t="s">
        <v>1436</v>
      </c>
      <c r="B14" s="64" t="s">
        <v>456</v>
      </c>
      <c r="C14" s="77" t="s">
        <v>812</v>
      </c>
      <c r="D14" s="77" t="s">
        <v>813</v>
      </c>
      <c r="E14" s="77" t="s">
        <v>826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</row>
    <row r="15" spans="1:38" ht="33.75" x14ac:dyDescent="0.25">
      <c r="A15" s="64" t="s">
        <v>1437</v>
      </c>
      <c r="B15" s="64" t="s">
        <v>32</v>
      </c>
      <c r="C15" s="77" t="s">
        <v>805</v>
      </c>
      <c r="D15" s="77" t="s">
        <v>814</v>
      </c>
      <c r="E15" s="77" t="s">
        <v>822</v>
      </c>
      <c r="F15" s="77" t="s">
        <v>823</v>
      </c>
      <c r="G15" s="77" t="s">
        <v>824</v>
      </c>
      <c r="H15" s="77" t="s">
        <v>468</v>
      </c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</row>
    <row r="16" spans="1:38" ht="33.75" x14ac:dyDescent="0.25">
      <c r="A16" s="64" t="s">
        <v>1438</v>
      </c>
      <c r="B16" s="64" t="s">
        <v>456</v>
      </c>
      <c r="C16" s="77" t="s">
        <v>812</v>
      </c>
      <c r="D16" s="77" t="s">
        <v>813</v>
      </c>
      <c r="E16" s="77" t="s">
        <v>826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 spans="1:38" ht="33.75" x14ac:dyDescent="0.25">
      <c r="A17" s="64" t="s">
        <v>1439</v>
      </c>
      <c r="B17" s="64" t="s">
        <v>32</v>
      </c>
      <c r="C17" s="77" t="s">
        <v>805</v>
      </c>
      <c r="D17" s="77" t="s">
        <v>814</v>
      </c>
      <c r="E17" s="77" t="s">
        <v>815</v>
      </c>
      <c r="F17" s="77" t="s">
        <v>816</v>
      </c>
      <c r="G17" s="77" t="s">
        <v>817</v>
      </c>
      <c r="H17" s="77" t="s">
        <v>818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</row>
    <row r="18" spans="1:38" ht="33.75" x14ac:dyDescent="0.25">
      <c r="A18" s="64" t="s">
        <v>1440</v>
      </c>
      <c r="B18" s="64" t="s">
        <v>456</v>
      </c>
      <c r="C18" s="77" t="s">
        <v>812</v>
      </c>
      <c r="D18" s="77" t="s">
        <v>813</v>
      </c>
      <c r="E18" s="77" t="s">
        <v>819</v>
      </c>
      <c r="F18" s="77" t="s">
        <v>820</v>
      </c>
      <c r="G18" s="77" t="s">
        <v>995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</row>
    <row r="19" spans="1:38" ht="33.75" x14ac:dyDescent="0.25">
      <c r="A19" s="64" t="s">
        <v>1441</v>
      </c>
      <c r="B19" s="64" t="s">
        <v>32</v>
      </c>
      <c r="C19" s="77" t="s">
        <v>805</v>
      </c>
      <c r="D19" s="77" t="s">
        <v>814</v>
      </c>
      <c r="E19" s="77" t="s">
        <v>815</v>
      </c>
      <c r="F19" s="77" t="s">
        <v>816</v>
      </c>
      <c r="G19" s="77" t="s">
        <v>817</v>
      </c>
      <c r="H19" s="77" t="s">
        <v>818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</row>
    <row r="20" spans="1:38" ht="33.75" x14ac:dyDescent="0.25">
      <c r="A20" s="64" t="s">
        <v>1442</v>
      </c>
      <c r="B20" s="64" t="s">
        <v>456</v>
      </c>
      <c r="C20" s="77" t="s">
        <v>812</v>
      </c>
      <c r="D20" s="77" t="s">
        <v>813</v>
      </c>
      <c r="E20" s="77" t="s">
        <v>819</v>
      </c>
      <c r="F20" s="77" t="s">
        <v>820</v>
      </c>
      <c r="G20" s="77" t="s">
        <v>995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</row>
    <row r="21" spans="1:38" ht="33.75" x14ac:dyDescent="0.25">
      <c r="A21" s="64" t="s">
        <v>1443</v>
      </c>
      <c r="B21" s="64" t="s">
        <v>32</v>
      </c>
      <c r="C21" s="77" t="s">
        <v>805</v>
      </c>
      <c r="D21" s="77" t="s">
        <v>814</v>
      </c>
      <c r="E21" s="77" t="s">
        <v>815</v>
      </c>
      <c r="F21" s="77" t="s">
        <v>816</v>
      </c>
      <c r="G21" s="77" t="s">
        <v>817</v>
      </c>
      <c r="H21" s="77" t="s">
        <v>818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</row>
    <row r="22" spans="1:38" ht="33.75" x14ac:dyDescent="0.25">
      <c r="A22" s="64" t="s">
        <v>1444</v>
      </c>
      <c r="B22" s="64" t="s">
        <v>456</v>
      </c>
      <c r="C22" s="77" t="s">
        <v>812</v>
      </c>
      <c r="D22" s="77" t="s">
        <v>813</v>
      </c>
      <c r="E22" s="77" t="s">
        <v>819</v>
      </c>
      <c r="F22" s="77" t="s">
        <v>820</v>
      </c>
      <c r="G22" s="77" t="s">
        <v>995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</row>
    <row r="23" spans="1:38" ht="33.75" x14ac:dyDescent="0.25">
      <c r="A23" s="64" t="s">
        <v>1445</v>
      </c>
      <c r="B23" s="64" t="s">
        <v>32</v>
      </c>
      <c r="C23" s="77" t="s">
        <v>805</v>
      </c>
      <c r="D23" s="77" t="s">
        <v>814</v>
      </c>
      <c r="E23" s="77" t="s">
        <v>815</v>
      </c>
      <c r="F23" s="77" t="s">
        <v>816</v>
      </c>
      <c r="G23" s="77" t="s">
        <v>817</v>
      </c>
      <c r="H23" s="77" t="s">
        <v>818</v>
      </c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</row>
    <row r="24" spans="1:38" ht="33.75" x14ac:dyDescent="0.25">
      <c r="A24" s="64" t="s">
        <v>1446</v>
      </c>
      <c r="B24" s="64" t="s">
        <v>456</v>
      </c>
      <c r="C24" s="77" t="s">
        <v>812</v>
      </c>
      <c r="D24" s="77" t="s">
        <v>813</v>
      </c>
      <c r="E24" s="77" t="s">
        <v>819</v>
      </c>
      <c r="F24" s="77" t="s">
        <v>820</v>
      </c>
      <c r="G24" s="77" t="s">
        <v>995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</row>
    <row r="25" spans="1:38" ht="33.75" x14ac:dyDescent="0.25">
      <c r="A25" s="64" t="s">
        <v>1447</v>
      </c>
      <c r="B25" s="64" t="s">
        <v>32</v>
      </c>
      <c r="C25" s="77" t="s">
        <v>805</v>
      </c>
      <c r="D25" s="77" t="s">
        <v>814</v>
      </c>
      <c r="E25" s="77" t="s">
        <v>815</v>
      </c>
      <c r="F25" s="77" t="s">
        <v>816</v>
      </c>
      <c r="G25" s="77" t="s">
        <v>817</v>
      </c>
      <c r="H25" s="77" t="s">
        <v>818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</row>
    <row r="26" spans="1:38" ht="33.75" x14ac:dyDescent="0.25">
      <c r="A26" s="64" t="s">
        <v>1448</v>
      </c>
      <c r="B26" s="64" t="s">
        <v>456</v>
      </c>
      <c r="C26" s="77" t="s">
        <v>812</v>
      </c>
      <c r="D26" s="77" t="s">
        <v>813</v>
      </c>
      <c r="E26" s="77" t="s">
        <v>819</v>
      </c>
      <c r="F26" s="77" t="s">
        <v>820</v>
      </c>
      <c r="G26" s="77" t="s">
        <v>995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</row>
    <row r="27" spans="1:38" ht="33.75" x14ac:dyDescent="0.25">
      <c r="A27" s="64" t="s">
        <v>1729</v>
      </c>
      <c r="B27" s="64" t="s">
        <v>32</v>
      </c>
      <c r="C27" s="77" t="s">
        <v>1123</v>
      </c>
      <c r="D27" s="77" t="s">
        <v>801</v>
      </c>
      <c r="E27" s="77" t="s">
        <v>802</v>
      </c>
      <c r="F27" s="77" t="s">
        <v>803</v>
      </c>
      <c r="G27" s="77" t="s">
        <v>804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</row>
    <row r="28" spans="1:38" x14ac:dyDescent="0.25">
      <c r="A28" s="64" t="s">
        <v>1730</v>
      </c>
      <c r="B28" s="64" t="s">
        <v>456</v>
      </c>
      <c r="C28" s="77" t="s">
        <v>2633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 spans="1:38" ht="56.25" x14ac:dyDescent="0.25">
      <c r="A29" s="64" t="s">
        <v>1731</v>
      </c>
      <c r="B29" s="64" t="s">
        <v>32</v>
      </c>
      <c r="C29" s="77" t="s">
        <v>805</v>
      </c>
      <c r="D29" s="77" t="s">
        <v>806</v>
      </c>
      <c r="E29" s="77" t="s">
        <v>807</v>
      </c>
      <c r="F29" s="77" t="s">
        <v>808</v>
      </c>
      <c r="G29" s="77" t="s">
        <v>804</v>
      </c>
      <c r="H29" s="77" t="s">
        <v>809</v>
      </c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38" x14ac:dyDescent="0.25">
      <c r="A30" s="64" t="s">
        <v>1732</v>
      </c>
      <c r="B30" s="64" t="s">
        <v>456</v>
      </c>
      <c r="C30" s="77" t="s">
        <v>2633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</row>
    <row r="31" spans="1:38" ht="56.25" x14ac:dyDescent="0.25">
      <c r="A31" s="64" t="s">
        <v>1733</v>
      </c>
      <c r="B31" s="64" t="s">
        <v>32</v>
      </c>
      <c r="C31" s="77" t="s">
        <v>805</v>
      </c>
      <c r="D31" s="77" t="s">
        <v>806</v>
      </c>
      <c r="E31" s="77" t="s">
        <v>807</v>
      </c>
      <c r="F31" s="77" t="s">
        <v>808</v>
      </c>
      <c r="G31" s="77" t="s">
        <v>804</v>
      </c>
      <c r="H31" s="77" t="s">
        <v>809</v>
      </c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</row>
    <row r="32" spans="1:38" x14ac:dyDescent="0.25">
      <c r="A32" s="64" t="s">
        <v>1734</v>
      </c>
      <c r="B32" s="64" t="s">
        <v>456</v>
      </c>
      <c r="C32" s="77" t="s">
        <v>2633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 spans="1:38" ht="33.75" x14ac:dyDescent="0.25">
      <c r="A33" s="64" t="s">
        <v>1735</v>
      </c>
      <c r="B33" s="64" t="s">
        <v>32</v>
      </c>
      <c r="C33" s="77" t="s">
        <v>805</v>
      </c>
      <c r="D33" s="77" t="s">
        <v>810</v>
      </c>
      <c r="E33" s="77" t="s">
        <v>811</v>
      </c>
      <c r="F33" s="77" t="s">
        <v>808</v>
      </c>
      <c r="G33" s="77" t="s">
        <v>804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38" x14ac:dyDescent="0.25">
      <c r="A34" s="64" t="s">
        <v>1736</v>
      </c>
      <c r="B34" s="64" t="s">
        <v>456</v>
      </c>
      <c r="C34" s="77" t="s">
        <v>2633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38" ht="33.75" x14ac:dyDescent="0.25">
      <c r="A35" s="64" t="s">
        <v>1737</v>
      </c>
      <c r="B35" s="64" t="s">
        <v>32</v>
      </c>
      <c r="C35" s="77" t="s">
        <v>805</v>
      </c>
      <c r="D35" s="77" t="s">
        <v>821</v>
      </c>
      <c r="E35" s="77" t="s">
        <v>822</v>
      </c>
      <c r="F35" s="77" t="s">
        <v>823</v>
      </c>
      <c r="G35" s="77" t="s">
        <v>824</v>
      </c>
      <c r="H35" s="77" t="s">
        <v>468</v>
      </c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38" ht="33.75" x14ac:dyDescent="0.25">
      <c r="A36" s="64" t="s">
        <v>1738</v>
      </c>
      <c r="B36" s="64" t="s">
        <v>456</v>
      </c>
      <c r="C36" s="77" t="s">
        <v>812</v>
      </c>
      <c r="D36" s="77" t="s">
        <v>813</v>
      </c>
      <c r="E36" s="77" t="s">
        <v>825</v>
      </c>
      <c r="F36" s="77" t="s">
        <v>826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38" ht="33.75" x14ac:dyDescent="0.25">
      <c r="A37" s="64" t="s">
        <v>1739</v>
      </c>
      <c r="B37" s="64" t="s">
        <v>32</v>
      </c>
      <c r="C37" s="77" t="s">
        <v>805</v>
      </c>
      <c r="D37" s="77" t="s">
        <v>814</v>
      </c>
      <c r="E37" s="77" t="s">
        <v>822</v>
      </c>
      <c r="F37" s="77" t="s">
        <v>823</v>
      </c>
      <c r="G37" s="77" t="s">
        <v>824</v>
      </c>
      <c r="H37" s="77" t="s">
        <v>468</v>
      </c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38" ht="33.75" x14ac:dyDescent="0.25">
      <c r="A38" s="64" t="s">
        <v>1740</v>
      </c>
      <c r="B38" s="64" t="s">
        <v>456</v>
      </c>
      <c r="C38" s="77" t="s">
        <v>812</v>
      </c>
      <c r="D38" s="77" t="s">
        <v>813</v>
      </c>
      <c r="E38" s="77" t="s">
        <v>826</v>
      </c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38" ht="33.75" x14ac:dyDescent="0.25">
      <c r="A39" s="64" t="s">
        <v>1741</v>
      </c>
      <c r="B39" s="64" t="s">
        <v>32</v>
      </c>
      <c r="C39" s="77" t="s">
        <v>805</v>
      </c>
      <c r="D39" s="77" t="s">
        <v>814</v>
      </c>
      <c r="E39" s="77" t="s">
        <v>822</v>
      </c>
      <c r="F39" s="77" t="s">
        <v>823</v>
      </c>
      <c r="G39" s="77" t="s">
        <v>824</v>
      </c>
      <c r="H39" s="77" t="s">
        <v>468</v>
      </c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38" ht="33.75" x14ac:dyDescent="0.25">
      <c r="A40" s="64" t="s">
        <v>1742</v>
      </c>
      <c r="B40" s="64" t="s">
        <v>456</v>
      </c>
      <c r="C40" s="77" t="s">
        <v>812</v>
      </c>
      <c r="D40" s="77" t="s">
        <v>813</v>
      </c>
      <c r="E40" s="77" t="s">
        <v>826</v>
      </c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38" ht="33.75" x14ac:dyDescent="0.25">
      <c r="A41" s="64" t="s">
        <v>1743</v>
      </c>
      <c r="B41" s="64" t="s">
        <v>32</v>
      </c>
      <c r="C41" s="77" t="s">
        <v>805</v>
      </c>
      <c r="D41" s="77" t="s">
        <v>814</v>
      </c>
      <c r="E41" s="77" t="s">
        <v>822</v>
      </c>
      <c r="F41" s="77" t="s">
        <v>823</v>
      </c>
      <c r="G41" s="77" t="s">
        <v>824</v>
      </c>
      <c r="H41" s="77" t="s">
        <v>468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38" ht="33.75" x14ac:dyDescent="0.25">
      <c r="A42" s="64" t="s">
        <v>1744</v>
      </c>
      <c r="B42" s="64" t="s">
        <v>456</v>
      </c>
      <c r="C42" s="77" t="s">
        <v>812</v>
      </c>
      <c r="D42" s="77" t="s">
        <v>813</v>
      </c>
      <c r="E42" s="77" t="s">
        <v>826</v>
      </c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38" ht="33.75" x14ac:dyDescent="0.25">
      <c r="A43" s="64" t="s">
        <v>1745</v>
      </c>
      <c r="B43" s="64" t="s">
        <v>32</v>
      </c>
      <c r="C43" s="77" t="s">
        <v>805</v>
      </c>
      <c r="D43" s="77" t="s">
        <v>814</v>
      </c>
      <c r="E43" s="77" t="s">
        <v>822</v>
      </c>
      <c r="F43" s="77" t="s">
        <v>823</v>
      </c>
      <c r="G43" s="77" t="s">
        <v>824</v>
      </c>
      <c r="H43" s="77" t="s">
        <v>468</v>
      </c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38" ht="33.75" x14ac:dyDescent="0.25">
      <c r="A44" s="64" t="s">
        <v>1746</v>
      </c>
      <c r="B44" s="64" t="s">
        <v>456</v>
      </c>
      <c r="C44" s="77" t="s">
        <v>812</v>
      </c>
      <c r="D44" s="77" t="s">
        <v>813</v>
      </c>
      <c r="E44" s="77" t="s">
        <v>826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38" ht="33.75" x14ac:dyDescent="0.25">
      <c r="A45" s="64" t="s">
        <v>1747</v>
      </c>
      <c r="B45" s="64" t="s">
        <v>32</v>
      </c>
      <c r="C45" s="77" t="s">
        <v>805</v>
      </c>
      <c r="D45" s="77" t="s">
        <v>1124</v>
      </c>
      <c r="E45" s="77" t="s">
        <v>1125</v>
      </c>
      <c r="F45" s="77" t="s">
        <v>823</v>
      </c>
      <c r="G45" s="77" t="s">
        <v>824</v>
      </c>
      <c r="H45" s="77" t="s">
        <v>468</v>
      </c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38" ht="37.5" x14ac:dyDescent="0.25">
      <c r="A46" s="64" t="s">
        <v>1748</v>
      </c>
      <c r="B46" s="64" t="s">
        <v>456</v>
      </c>
      <c r="C46" s="77" t="s">
        <v>812</v>
      </c>
      <c r="D46" s="77" t="s">
        <v>813</v>
      </c>
      <c r="E46" s="77" t="s">
        <v>1126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33.75" x14ac:dyDescent="0.25">
      <c r="A47" s="64" t="s">
        <v>1749</v>
      </c>
      <c r="B47" s="64" t="s">
        <v>32</v>
      </c>
      <c r="C47" s="77" t="s">
        <v>805</v>
      </c>
      <c r="D47" s="77" t="s">
        <v>1124</v>
      </c>
      <c r="E47" s="77" t="s">
        <v>1125</v>
      </c>
      <c r="F47" s="77" t="s">
        <v>823</v>
      </c>
      <c r="G47" s="77" t="s">
        <v>824</v>
      </c>
      <c r="H47" s="77" t="s">
        <v>468</v>
      </c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 spans="1:38" ht="33.75" x14ac:dyDescent="0.25">
      <c r="A48" s="64" t="s">
        <v>1750</v>
      </c>
      <c r="B48" s="64" t="s">
        <v>456</v>
      </c>
      <c r="C48" s="77" t="s">
        <v>812</v>
      </c>
      <c r="D48" s="77" t="s">
        <v>813</v>
      </c>
      <c r="E48" s="77" t="s">
        <v>1127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 spans="1:38" ht="33.75" x14ac:dyDescent="0.25">
      <c r="A49" s="64" t="s">
        <v>1751</v>
      </c>
      <c r="B49" s="64" t="s">
        <v>32</v>
      </c>
      <c r="C49" s="77" t="s">
        <v>805</v>
      </c>
      <c r="D49" s="77" t="s">
        <v>814</v>
      </c>
      <c r="E49" s="77" t="s">
        <v>815</v>
      </c>
      <c r="F49" s="77" t="s">
        <v>816</v>
      </c>
      <c r="G49" s="77" t="s">
        <v>817</v>
      </c>
      <c r="H49" s="77" t="s">
        <v>818</v>
      </c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ht="33.75" x14ac:dyDescent="0.25">
      <c r="A50" s="64" t="s">
        <v>1752</v>
      </c>
      <c r="B50" s="64" t="s">
        <v>456</v>
      </c>
      <c r="C50" s="77" t="s">
        <v>812</v>
      </c>
      <c r="D50" s="77" t="s">
        <v>813</v>
      </c>
      <c r="E50" s="77" t="s">
        <v>819</v>
      </c>
      <c r="F50" s="77" t="s">
        <v>820</v>
      </c>
      <c r="G50" s="77" t="s">
        <v>995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ht="33.75" x14ac:dyDescent="0.25">
      <c r="A51" s="64" t="s">
        <v>1753</v>
      </c>
      <c r="B51" s="64" t="s">
        <v>32</v>
      </c>
      <c r="C51" s="77" t="s">
        <v>805</v>
      </c>
      <c r="D51" s="77" t="s">
        <v>814</v>
      </c>
      <c r="E51" s="77" t="s">
        <v>815</v>
      </c>
      <c r="F51" s="77" t="s">
        <v>816</v>
      </c>
      <c r="G51" s="77" t="s">
        <v>817</v>
      </c>
      <c r="H51" s="77" t="s">
        <v>818</v>
      </c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ht="33.75" x14ac:dyDescent="0.25">
      <c r="A52" s="64" t="s">
        <v>1754</v>
      </c>
      <c r="B52" s="64" t="s">
        <v>456</v>
      </c>
      <c r="C52" s="77" t="s">
        <v>812</v>
      </c>
      <c r="D52" s="77" t="s">
        <v>813</v>
      </c>
      <c r="E52" s="77" t="s">
        <v>819</v>
      </c>
      <c r="F52" s="77" t="s">
        <v>820</v>
      </c>
      <c r="G52" s="77" t="s">
        <v>995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ht="33.75" x14ac:dyDescent="0.25">
      <c r="A53" s="64" t="s">
        <v>1755</v>
      </c>
      <c r="B53" s="64" t="s">
        <v>32</v>
      </c>
      <c r="C53" s="77" t="s">
        <v>805</v>
      </c>
      <c r="D53" s="77" t="s">
        <v>814</v>
      </c>
      <c r="E53" s="77" t="s">
        <v>815</v>
      </c>
      <c r="F53" s="77" t="s">
        <v>816</v>
      </c>
      <c r="G53" s="77" t="s">
        <v>817</v>
      </c>
      <c r="H53" s="77" t="s">
        <v>818</v>
      </c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ht="33.75" x14ac:dyDescent="0.25">
      <c r="A54" s="64" t="s">
        <v>1756</v>
      </c>
      <c r="B54" s="64" t="s">
        <v>456</v>
      </c>
      <c r="C54" s="77" t="s">
        <v>812</v>
      </c>
      <c r="D54" s="77" t="s">
        <v>813</v>
      </c>
      <c r="E54" s="77" t="s">
        <v>819</v>
      </c>
      <c r="F54" s="77" t="s">
        <v>820</v>
      </c>
      <c r="G54" s="77" t="s">
        <v>995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ht="33.75" x14ac:dyDescent="0.25">
      <c r="A55" s="64" t="s">
        <v>1757</v>
      </c>
      <c r="B55" s="64" t="s">
        <v>32</v>
      </c>
      <c r="C55" s="77" t="s">
        <v>805</v>
      </c>
      <c r="D55" s="77" t="s">
        <v>814</v>
      </c>
      <c r="E55" s="77" t="s">
        <v>815</v>
      </c>
      <c r="F55" s="77" t="s">
        <v>816</v>
      </c>
      <c r="G55" s="77" t="s">
        <v>817</v>
      </c>
      <c r="H55" s="77" t="s">
        <v>818</v>
      </c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ht="33.75" x14ac:dyDescent="0.25">
      <c r="A56" s="64" t="s">
        <v>1758</v>
      </c>
      <c r="B56" s="64" t="s">
        <v>456</v>
      </c>
      <c r="C56" s="77" t="s">
        <v>812</v>
      </c>
      <c r="D56" s="77" t="s">
        <v>813</v>
      </c>
      <c r="E56" s="77" t="s">
        <v>819</v>
      </c>
      <c r="F56" s="77" t="s">
        <v>820</v>
      </c>
      <c r="G56" s="77" t="s">
        <v>995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ht="33.75" x14ac:dyDescent="0.25">
      <c r="A57" s="64" t="s">
        <v>1759</v>
      </c>
      <c r="B57" s="64" t="s">
        <v>32</v>
      </c>
      <c r="C57" s="77" t="s">
        <v>805</v>
      </c>
      <c r="D57" s="77" t="s">
        <v>814</v>
      </c>
      <c r="E57" s="77" t="s">
        <v>815</v>
      </c>
      <c r="F57" s="77" t="s">
        <v>816</v>
      </c>
      <c r="G57" s="77" t="s">
        <v>817</v>
      </c>
      <c r="H57" s="77" t="s">
        <v>818</v>
      </c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33.75" x14ac:dyDescent="0.25">
      <c r="A58" s="64" t="s">
        <v>1760</v>
      </c>
      <c r="B58" s="64" t="s">
        <v>456</v>
      </c>
      <c r="C58" s="77" t="s">
        <v>812</v>
      </c>
      <c r="D58" s="77" t="s">
        <v>813</v>
      </c>
      <c r="E58" s="77" t="s">
        <v>819</v>
      </c>
      <c r="F58" s="77" t="s">
        <v>820</v>
      </c>
      <c r="G58" s="77" t="s">
        <v>995</v>
      </c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ht="33.75" x14ac:dyDescent="0.25">
      <c r="A59" s="64" t="s">
        <v>1761</v>
      </c>
      <c r="B59" s="64" t="s">
        <v>32</v>
      </c>
      <c r="C59" s="77" t="s">
        <v>805</v>
      </c>
      <c r="D59" s="77" t="s">
        <v>1124</v>
      </c>
      <c r="E59" s="77" t="s">
        <v>1128</v>
      </c>
      <c r="F59" s="77" t="s">
        <v>1129</v>
      </c>
      <c r="G59" s="77" t="s">
        <v>1130</v>
      </c>
      <c r="H59" s="77" t="s">
        <v>818</v>
      </c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ht="33.75" x14ac:dyDescent="0.25">
      <c r="A60" s="64" t="s">
        <v>1762</v>
      </c>
      <c r="B60" s="64" t="s">
        <v>456</v>
      </c>
      <c r="C60" s="77" t="s">
        <v>812</v>
      </c>
      <c r="D60" s="77" t="s">
        <v>813</v>
      </c>
      <c r="E60" s="77" t="s">
        <v>1131</v>
      </c>
      <c r="F60" s="77" t="s">
        <v>1132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ht="33.75" x14ac:dyDescent="0.25">
      <c r="A61" s="64" t="s">
        <v>1763</v>
      </c>
      <c r="B61" s="64" t="s">
        <v>32</v>
      </c>
      <c r="C61" s="77" t="s">
        <v>805</v>
      </c>
      <c r="D61" s="77" t="s">
        <v>1124</v>
      </c>
      <c r="E61" s="77" t="s">
        <v>1128</v>
      </c>
      <c r="F61" s="77" t="s">
        <v>1129</v>
      </c>
      <c r="G61" s="77" t="s">
        <v>1130</v>
      </c>
      <c r="H61" s="77" t="s">
        <v>818</v>
      </c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ht="33.75" x14ac:dyDescent="0.25">
      <c r="A62" s="64" t="s">
        <v>1764</v>
      </c>
      <c r="B62" s="64" t="s">
        <v>456</v>
      </c>
      <c r="C62" s="77" t="s">
        <v>812</v>
      </c>
      <c r="D62" s="77" t="s">
        <v>813</v>
      </c>
      <c r="E62" s="77" t="s">
        <v>1131</v>
      </c>
      <c r="F62" s="77" t="s">
        <v>1132</v>
      </c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ht="33.75" x14ac:dyDescent="0.25">
      <c r="A63" s="64" t="s">
        <v>1765</v>
      </c>
      <c r="B63" s="64" t="s">
        <v>32</v>
      </c>
      <c r="C63" s="77" t="s">
        <v>805</v>
      </c>
      <c r="D63" s="77" t="s">
        <v>1133</v>
      </c>
      <c r="E63" s="77" t="s">
        <v>1134</v>
      </c>
      <c r="F63" s="77" t="s">
        <v>1129</v>
      </c>
      <c r="G63" s="77" t="s">
        <v>1135</v>
      </c>
      <c r="H63" s="77" t="s">
        <v>1136</v>
      </c>
      <c r="I63" s="77" t="s">
        <v>1137</v>
      </c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ht="33.75" x14ac:dyDescent="0.25">
      <c r="A64" s="64" t="s">
        <v>1766</v>
      </c>
      <c r="B64" s="64" t="s">
        <v>456</v>
      </c>
      <c r="C64" s="77" t="s">
        <v>812</v>
      </c>
      <c r="D64" s="77" t="s">
        <v>813</v>
      </c>
      <c r="E64" s="77" t="s">
        <v>1138</v>
      </c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x14ac:dyDescent="0.25">
      <c r="A65" s="64" t="s">
        <v>1767</v>
      </c>
      <c r="B65" s="107" t="s">
        <v>32</v>
      </c>
      <c r="C65" s="77" t="s">
        <v>2637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x14ac:dyDescent="0.25">
      <c r="A66" s="64" t="s">
        <v>1768</v>
      </c>
      <c r="B66" s="107" t="s">
        <v>456</v>
      </c>
      <c r="C66" s="77" t="s">
        <v>2633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ht="22.5" x14ac:dyDescent="0.25">
      <c r="A67" s="64" t="s">
        <v>1769</v>
      </c>
      <c r="B67" s="107" t="s">
        <v>32</v>
      </c>
      <c r="C67" s="77" t="s">
        <v>2637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ht="22.5" x14ac:dyDescent="0.25">
      <c r="A68" s="64" t="s">
        <v>1770</v>
      </c>
      <c r="B68" s="107" t="s">
        <v>456</v>
      </c>
      <c r="C68" s="77" t="s">
        <v>2633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x14ac:dyDescent="0.25">
      <c r="A69" s="64" t="s">
        <v>1771</v>
      </c>
      <c r="B69" s="107" t="s">
        <v>32</v>
      </c>
      <c r="C69" s="77" t="s">
        <v>2637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x14ac:dyDescent="0.25">
      <c r="A70" s="64" t="s">
        <v>1772</v>
      </c>
      <c r="B70" s="107" t="s">
        <v>456</v>
      </c>
      <c r="C70" s="77" t="s">
        <v>2633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ht="22.5" x14ac:dyDescent="0.25">
      <c r="A71" s="64" t="s">
        <v>1773</v>
      </c>
      <c r="B71" s="107" t="s">
        <v>32</v>
      </c>
      <c r="C71" s="77" t="s">
        <v>2637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ht="22.5" x14ac:dyDescent="0.25">
      <c r="A72" s="64" t="s">
        <v>1774</v>
      </c>
      <c r="B72" s="107" t="s">
        <v>456</v>
      </c>
      <c r="C72" s="77" t="s">
        <v>2633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ht="22.5" x14ac:dyDescent="0.25">
      <c r="A73" s="64" t="s">
        <v>1849</v>
      </c>
      <c r="B73" s="64" t="s">
        <v>32</v>
      </c>
      <c r="C73" s="77" t="s">
        <v>805</v>
      </c>
      <c r="D73" s="77" t="s">
        <v>806</v>
      </c>
      <c r="E73" s="77" t="s">
        <v>807</v>
      </c>
      <c r="F73" s="77" t="s">
        <v>1253</v>
      </c>
      <c r="G73" s="77" t="s">
        <v>1254</v>
      </c>
      <c r="H73" s="77" t="s">
        <v>804</v>
      </c>
      <c r="I73" s="77" t="s">
        <v>1255</v>
      </c>
      <c r="J73" s="77" t="s">
        <v>1256</v>
      </c>
      <c r="K73" s="77" t="s">
        <v>1257</v>
      </c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x14ac:dyDescent="0.25">
      <c r="A74" s="64" t="s">
        <v>1850</v>
      </c>
      <c r="B74" s="64" t="s">
        <v>456</v>
      </c>
      <c r="C74" s="77" t="s">
        <v>2633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ht="56.25" x14ac:dyDescent="0.25">
      <c r="A75" s="64" t="s">
        <v>1851</v>
      </c>
      <c r="B75" s="64" t="s">
        <v>32</v>
      </c>
      <c r="C75" s="77" t="s">
        <v>805</v>
      </c>
      <c r="D75" s="77" t="s">
        <v>806</v>
      </c>
      <c r="E75" s="77" t="s">
        <v>807</v>
      </c>
      <c r="F75" s="77" t="s">
        <v>808</v>
      </c>
      <c r="G75" s="77" t="s">
        <v>804</v>
      </c>
      <c r="H75" s="77" t="s">
        <v>809</v>
      </c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x14ac:dyDescent="0.25">
      <c r="A76" s="64" t="s">
        <v>1852</v>
      </c>
      <c r="B76" s="64" t="s">
        <v>456</v>
      </c>
      <c r="C76" s="77" t="s">
        <v>2633</v>
      </c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ht="56.25" x14ac:dyDescent="0.25">
      <c r="A77" s="64" t="s">
        <v>1853</v>
      </c>
      <c r="B77" s="64" t="s">
        <v>32</v>
      </c>
      <c r="C77" s="77" t="s">
        <v>805</v>
      </c>
      <c r="D77" s="77" t="s">
        <v>806</v>
      </c>
      <c r="E77" s="77" t="s">
        <v>807</v>
      </c>
      <c r="F77" s="77" t="s">
        <v>808</v>
      </c>
      <c r="G77" s="77" t="s">
        <v>804</v>
      </c>
      <c r="H77" s="77" t="s">
        <v>809</v>
      </c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x14ac:dyDescent="0.25">
      <c r="A78" s="64" t="s">
        <v>1854</v>
      </c>
      <c r="B78" s="64" t="s">
        <v>456</v>
      </c>
      <c r="C78" s="77" t="s">
        <v>2633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ht="33.75" x14ac:dyDescent="0.25">
      <c r="A79" s="64" t="s">
        <v>1855</v>
      </c>
      <c r="B79" s="64" t="s">
        <v>32</v>
      </c>
      <c r="C79" s="77" t="s">
        <v>805</v>
      </c>
      <c r="D79" s="77" t="s">
        <v>810</v>
      </c>
      <c r="E79" s="77" t="s">
        <v>811</v>
      </c>
      <c r="F79" s="77" t="s">
        <v>808</v>
      </c>
      <c r="G79" s="77" t="s">
        <v>804</v>
      </c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x14ac:dyDescent="0.25">
      <c r="A80" s="64" t="s">
        <v>1856</v>
      </c>
      <c r="B80" s="64" t="s">
        <v>456</v>
      </c>
      <c r="C80" s="77" t="s">
        <v>812</v>
      </c>
      <c r="D80" s="77" t="s">
        <v>813</v>
      </c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ht="33.75" x14ac:dyDescent="0.25">
      <c r="A81" s="64" t="s">
        <v>1857</v>
      </c>
      <c r="B81" s="64" t="s">
        <v>32</v>
      </c>
      <c r="C81" s="77" t="s">
        <v>805</v>
      </c>
      <c r="D81" s="77" t="s">
        <v>821</v>
      </c>
      <c r="E81" s="77" t="s">
        <v>822</v>
      </c>
      <c r="F81" s="77" t="s">
        <v>823</v>
      </c>
      <c r="G81" s="77" t="s">
        <v>824</v>
      </c>
      <c r="H81" s="77" t="s">
        <v>468</v>
      </c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ht="33.75" x14ac:dyDescent="0.25">
      <c r="A82" s="64" t="s">
        <v>1858</v>
      </c>
      <c r="B82" s="64" t="s">
        <v>456</v>
      </c>
      <c r="C82" s="77" t="s">
        <v>812</v>
      </c>
      <c r="D82" s="77" t="s">
        <v>813</v>
      </c>
      <c r="E82" s="77" t="s">
        <v>825</v>
      </c>
      <c r="F82" s="77" t="s">
        <v>1258</v>
      </c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ht="33.75" x14ac:dyDescent="0.25">
      <c r="A83" s="64" t="s">
        <v>1859</v>
      </c>
      <c r="B83" s="64" t="s">
        <v>32</v>
      </c>
      <c r="C83" s="77" t="s">
        <v>805</v>
      </c>
      <c r="D83" s="77" t="s">
        <v>821</v>
      </c>
      <c r="E83" s="77" t="s">
        <v>822</v>
      </c>
      <c r="F83" s="77" t="s">
        <v>823</v>
      </c>
      <c r="G83" s="77" t="s">
        <v>824</v>
      </c>
      <c r="H83" s="77" t="s">
        <v>468</v>
      </c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ht="33.75" x14ac:dyDescent="0.25">
      <c r="A84" s="64" t="s">
        <v>1860</v>
      </c>
      <c r="B84" s="64" t="s">
        <v>456</v>
      </c>
      <c r="C84" s="77" t="s">
        <v>812</v>
      </c>
      <c r="D84" s="77" t="s">
        <v>813</v>
      </c>
      <c r="E84" s="77" t="s">
        <v>825</v>
      </c>
      <c r="F84" s="77" t="s">
        <v>826</v>
      </c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ht="33.75" x14ac:dyDescent="0.25">
      <c r="A85" s="64" t="s">
        <v>1861</v>
      </c>
      <c r="B85" s="64" t="s">
        <v>32</v>
      </c>
      <c r="C85" s="77" t="s">
        <v>805</v>
      </c>
      <c r="D85" s="77" t="s">
        <v>814</v>
      </c>
      <c r="E85" s="77" t="s">
        <v>822</v>
      </c>
      <c r="F85" s="77" t="s">
        <v>823</v>
      </c>
      <c r="G85" s="77" t="s">
        <v>824</v>
      </c>
      <c r="H85" s="77" t="s">
        <v>468</v>
      </c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ht="33.75" x14ac:dyDescent="0.25">
      <c r="A86" s="64" t="s">
        <v>1862</v>
      </c>
      <c r="B86" s="64" t="s">
        <v>456</v>
      </c>
      <c r="C86" s="77" t="s">
        <v>812</v>
      </c>
      <c r="D86" s="77" t="s">
        <v>813</v>
      </c>
      <c r="E86" s="77" t="s">
        <v>826</v>
      </c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ht="33.75" x14ac:dyDescent="0.25">
      <c r="A87" s="64" t="s">
        <v>1863</v>
      </c>
      <c r="B87" s="64" t="s">
        <v>32</v>
      </c>
      <c r="C87" s="77" t="s">
        <v>805</v>
      </c>
      <c r="D87" s="77" t="s">
        <v>814</v>
      </c>
      <c r="E87" s="77" t="s">
        <v>815</v>
      </c>
      <c r="F87" s="77" t="s">
        <v>816</v>
      </c>
      <c r="G87" s="77" t="s">
        <v>817</v>
      </c>
      <c r="H87" s="77" t="s">
        <v>818</v>
      </c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ht="33.75" x14ac:dyDescent="0.25">
      <c r="A88" s="64" t="s">
        <v>1864</v>
      </c>
      <c r="B88" s="64" t="s">
        <v>456</v>
      </c>
      <c r="C88" s="77" t="s">
        <v>812</v>
      </c>
      <c r="D88" s="77" t="s">
        <v>813</v>
      </c>
      <c r="E88" s="77" t="s">
        <v>819</v>
      </c>
      <c r="F88" s="77" t="s">
        <v>820</v>
      </c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ht="33.75" x14ac:dyDescent="0.25">
      <c r="A89" s="64" t="s">
        <v>1865</v>
      </c>
      <c r="B89" s="64" t="s">
        <v>32</v>
      </c>
      <c r="C89" s="77" t="s">
        <v>805</v>
      </c>
      <c r="D89" s="77" t="s">
        <v>814</v>
      </c>
      <c r="E89" s="77" t="s">
        <v>815</v>
      </c>
      <c r="F89" s="77" t="s">
        <v>816</v>
      </c>
      <c r="G89" s="77" t="s">
        <v>817</v>
      </c>
      <c r="H89" s="77" t="s">
        <v>818</v>
      </c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ht="33.75" x14ac:dyDescent="0.25">
      <c r="A90" s="64" t="s">
        <v>1866</v>
      </c>
      <c r="B90" s="64" t="s">
        <v>456</v>
      </c>
      <c r="C90" s="77" t="s">
        <v>812</v>
      </c>
      <c r="D90" s="77" t="s">
        <v>813</v>
      </c>
      <c r="E90" s="77" t="s">
        <v>819</v>
      </c>
      <c r="F90" s="77" t="s">
        <v>820</v>
      </c>
      <c r="G90" s="77" t="s">
        <v>995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ht="33.75" x14ac:dyDescent="0.25">
      <c r="A91" s="64" t="s">
        <v>1867</v>
      </c>
      <c r="B91" s="64" t="s">
        <v>32</v>
      </c>
      <c r="C91" s="77" t="s">
        <v>805</v>
      </c>
      <c r="D91" s="77" t="s">
        <v>814</v>
      </c>
      <c r="E91" s="77" t="s">
        <v>815</v>
      </c>
      <c r="F91" s="77" t="s">
        <v>816</v>
      </c>
      <c r="G91" s="77" t="s">
        <v>817</v>
      </c>
      <c r="H91" s="77" t="s">
        <v>818</v>
      </c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ht="33.75" x14ac:dyDescent="0.25">
      <c r="A92" s="64" t="s">
        <v>1868</v>
      </c>
      <c r="B92" s="64" t="s">
        <v>456</v>
      </c>
      <c r="C92" s="77" t="s">
        <v>812</v>
      </c>
      <c r="D92" s="77" t="s">
        <v>813</v>
      </c>
      <c r="E92" s="77" t="s">
        <v>819</v>
      </c>
      <c r="F92" s="77" t="s">
        <v>820</v>
      </c>
      <c r="G92" s="77" t="s">
        <v>995</v>
      </c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ht="33.75" x14ac:dyDescent="0.25">
      <c r="A93" s="64" t="s">
        <v>1869</v>
      </c>
      <c r="B93" s="64" t="s">
        <v>32</v>
      </c>
      <c r="C93" s="77" t="s">
        <v>1218</v>
      </c>
      <c r="D93" s="77" t="s">
        <v>1219</v>
      </c>
      <c r="E93" s="77" t="s">
        <v>1128</v>
      </c>
      <c r="F93" s="77" t="s">
        <v>1129</v>
      </c>
      <c r="G93" s="77" t="s">
        <v>1130</v>
      </c>
      <c r="H93" s="77" t="s">
        <v>818</v>
      </c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ht="33.75" x14ac:dyDescent="0.25">
      <c r="A94" s="64" t="s">
        <v>1870</v>
      </c>
      <c r="B94" s="64" t="s">
        <v>456</v>
      </c>
      <c r="C94" s="77" t="s">
        <v>1220</v>
      </c>
      <c r="D94" s="77" t="s">
        <v>1221</v>
      </c>
      <c r="E94" s="77" t="s">
        <v>1132</v>
      </c>
      <c r="F94" s="77" t="s">
        <v>1131</v>
      </c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ht="33.75" x14ac:dyDescent="0.25">
      <c r="A95" s="64" t="s">
        <v>1871</v>
      </c>
      <c r="B95" s="64" t="s">
        <v>32</v>
      </c>
      <c r="C95" s="77" t="s">
        <v>805</v>
      </c>
      <c r="D95" s="77" t="s">
        <v>1133</v>
      </c>
      <c r="E95" s="77" t="s">
        <v>1134</v>
      </c>
      <c r="F95" s="77" t="s">
        <v>1129</v>
      </c>
      <c r="G95" s="77" t="s">
        <v>1135</v>
      </c>
      <c r="H95" s="77" t="s">
        <v>1136</v>
      </c>
      <c r="I95" s="77" t="s">
        <v>1137</v>
      </c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ht="33.75" x14ac:dyDescent="0.25">
      <c r="A96" s="64" t="s">
        <v>1872</v>
      </c>
      <c r="B96" s="64" t="s">
        <v>456</v>
      </c>
      <c r="C96" s="77" t="s">
        <v>812</v>
      </c>
      <c r="D96" s="77" t="s">
        <v>813</v>
      </c>
      <c r="E96" s="77" t="s">
        <v>1138</v>
      </c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x14ac:dyDescent="0.25">
      <c r="A97" s="64" t="s">
        <v>2747</v>
      </c>
      <c r="B97" s="107" t="s">
        <v>32</v>
      </c>
      <c r="C97" s="77" t="s">
        <v>2637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x14ac:dyDescent="0.25">
      <c r="A98" s="64" t="s">
        <v>2746</v>
      </c>
      <c r="B98" s="107" t="s">
        <v>456</v>
      </c>
      <c r="C98" s="77" t="s">
        <v>2633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x14ac:dyDescent="0.25">
      <c r="A99" s="64" t="s">
        <v>1873</v>
      </c>
      <c r="B99" s="107" t="s">
        <v>32</v>
      </c>
      <c r="C99" s="77" t="s">
        <v>2637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x14ac:dyDescent="0.25">
      <c r="A100" s="64" t="s">
        <v>1874</v>
      </c>
      <c r="B100" s="107" t="s">
        <v>456</v>
      </c>
      <c r="C100" s="77" t="s">
        <v>2633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ht="22.5" x14ac:dyDescent="0.25">
      <c r="A101" s="64" t="s">
        <v>1875</v>
      </c>
      <c r="B101" s="107" t="s">
        <v>32</v>
      </c>
      <c r="C101" s="77" t="s">
        <v>2637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ht="22.5" x14ac:dyDescent="0.25">
      <c r="A102" s="64" t="s">
        <v>1876</v>
      </c>
      <c r="B102" s="107" t="s">
        <v>456</v>
      </c>
      <c r="C102" s="77" t="s">
        <v>2633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ht="33.75" x14ac:dyDescent="0.25">
      <c r="A103" s="64" t="s">
        <v>1313</v>
      </c>
      <c r="B103" s="64" t="s">
        <v>32</v>
      </c>
      <c r="C103" s="77" t="s">
        <v>800</v>
      </c>
      <c r="D103" s="77" t="s">
        <v>801</v>
      </c>
      <c r="E103" s="77" t="s">
        <v>802</v>
      </c>
      <c r="F103" s="77" t="s">
        <v>803</v>
      </c>
      <c r="G103" s="77" t="s">
        <v>804</v>
      </c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x14ac:dyDescent="0.25">
      <c r="A104" s="64" t="s">
        <v>1314</v>
      </c>
      <c r="B104" s="64" t="s">
        <v>456</v>
      </c>
      <c r="C104" s="77" t="s">
        <v>784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ht="56.25" x14ac:dyDescent="0.25">
      <c r="A105" s="64" t="s">
        <v>1315</v>
      </c>
      <c r="B105" s="64" t="s">
        <v>32</v>
      </c>
      <c r="C105" s="77" t="s">
        <v>805</v>
      </c>
      <c r="D105" s="77" t="s">
        <v>806</v>
      </c>
      <c r="E105" s="77" t="s">
        <v>807</v>
      </c>
      <c r="F105" s="77" t="s">
        <v>808</v>
      </c>
      <c r="G105" s="77" t="s">
        <v>804</v>
      </c>
      <c r="H105" s="77" t="s">
        <v>809</v>
      </c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x14ac:dyDescent="0.25">
      <c r="A106" s="64" t="s">
        <v>1316</v>
      </c>
      <c r="B106" s="64" t="s">
        <v>456</v>
      </c>
      <c r="C106" s="77" t="s">
        <v>2633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ht="56.25" x14ac:dyDescent="0.25">
      <c r="A107" s="64" t="s">
        <v>1317</v>
      </c>
      <c r="B107" s="64" t="s">
        <v>32</v>
      </c>
      <c r="C107" s="77" t="s">
        <v>805</v>
      </c>
      <c r="D107" s="77" t="s">
        <v>806</v>
      </c>
      <c r="E107" s="77" t="s">
        <v>807</v>
      </c>
      <c r="F107" s="77" t="s">
        <v>808</v>
      </c>
      <c r="G107" s="77" t="s">
        <v>804</v>
      </c>
      <c r="H107" s="77" t="s">
        <v>809</v>
      </c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x14ac:dyDescent="0.25">
      <c r="A108" s="64" t="s">
        <v>1318</v>
      </c>
      <c r="B108" s="64" t="s">
        <v>456</v>
      </c>
      <c r="C108" s="77" t="s">
        <v>2633</v>
      </c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ht="56.25" x14ac:dyDescent="0.25">
      <c r="A109" s="64" t="s">
        <v>1319</v>
      </c>
      <c r="B109" s="64" t="s">
        <v>32</v>
      </c>
      <c r="C109" s="77" t="s">
        <v>805</v>
      </c>
      <c r="D109" s="77" t="s">
        <v>806</v>
      </c>
      <c r="E109" s="77" t="s">
        <v>807</v>
      </c>
      <c r="F109" s="77" t="s">
        <v>808</v>
      </c>
      <c r="G109" s="77" t="s">
        <v>804</v>
      </c>
      <c r="H109" s="77" t="s">
        <v>809</v>
      </c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x14ac:dyDescent="0.25">
      <c r="A110" s="64" t="s">
        <v>1320</v>
      </c>
      <c r="B110" s="64" t="s">
        <v>456</v>
      </c>
      <c r="C110" s="77" t="s">
        <v>2633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ht="56.25" x14ac:dyDescent="0.25">
      <c r="A111" s="64" t="s">
        <v>1321</v>
      </c>
      <c r="B111" s="64" t="s">
        <v>32</v>
      </c>
      <c r="C111" s="77" t="s">
        <v>805</v>
      </c>
      <c r="D111" s="77" t="s">
        <v>806</v>
      </c>
      <c r="E111" s="77" t="s">
        <v>807</v>
      </c>
      <c r="F111" s="77" t="s">
        <v>808</v>
      </c>
      <c r="G111" s="77" t="s">
        <v>804</v>
      </c>
      <c r="H111" s="77" t="s">
        <v>809</v>
      </c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x14ac:dyDescent="0.25">
      <c r="A112" s="64" t="s">
        <v>1322</v>
      </c>
      <c r="B112" s="64" t="s">
        <v>456</v>
      </c>
      <c r="C112" s="77" t="s">
        <v>2633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ht="33.75" x14ac:dyDescent="0.25">
      <c r="A113" s="64" t="s">
        <v>1323</v>
      </c>
      <c r="B113" s="64" t="s">
        <v>32</v>
      </c>
      <c r="C113" s="77" t="s">
        <v>805</v>
      </c>
      <c r="D113" s="77" t="s">
        <v>810</v>
      </c>
      <c r="E113" s="77" t="s">
        <v>811</v>
      </c>
      <c r="F113" s="77" t="s">
        <v>808</v>
      </c>
      <c r="G113" s="77" t="s">
        <v>804</v>
      </c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x14ac:dyDescent="0.25">
      <c r="A114" s="64" t="s">
        <v>1324</v>
      </c>
      <c r="B114" s="64" t="s">
        <v>456</v>
      </c>
      <c r="C114" s="77" t="s">
        <v>812</v>
      </c>
      <c r="D114" s="77" t="s">
        <v>813</v>
      </c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ht="33.75" x14ac:dyDescent="0.25">
      <c r="A115" s="64" t="s">
        <v>1325</v>
      </c>
      <c r="B115" s="64" t="s">
        <v>32</v>
      </c>
      <c r="C115" s="77" t="s">
        <v>805</v>
      </c>
      <c r="D115" s="77" t="s">
        <v>810</v>
      </c>
      <c r="E115" s="77" t="s">
        <v>811</v>
      </c>
      <c r="F115" s="77" t="s">
        <v>808</v>
      </c>
      <c r="G115" s="77" t="s">
        <v>804</v>
      </c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x14ac:dyDescent="0.25">
      <c r="A116" s="64" t="s">
        <v>1326</v>
      </c>
      <c r="B116" s="64" t="s">
        <v>456</v>
      </c>
      <c r="C116" s="77" t="s">
        <v>812</v>
      </c>
      <c r="D116" s="77" t="s">
        <v>813</v>
      </c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ht="33.75" x14ac:dyDescent="0.25">
      <c r="A117" s="64" t="s">
        <v>1327</v>
      </c>
      <c r="B117" s="64" t="s">
        <v>32</v>
      </c>
      <c r="C117" s="77" t="s">
        <v>805</v>
      </c>
      <c r="D117" s="77" t="s">
        <v>814</v>
      </c>
      <c r="E117" s="77" t="s">
        <v>815</v>
      </c>
      <c r="F117" s="77" t="s">
        <v>816</v>
      </c>
      <c r="G117" s="77" t="s">
        <v>817</v>
      </c>
      <c r="H117" s="77" t="s">
        <v>818</v>
      </c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ht="33.75" x14ac:dyDescent="0.25">
      <c r="A118" s="64" t="s">
        <v>1328</v>
      </c>
      <c r="B118" s="64" t="s">
        <v>456</v>
      </c>
      <c r="C118" s="77" t="s">
        <v>812</v>
      </c>
      <c r="D118" s="77" t="s">
        <v>813</v>
      </c>
      <c r="E118" s="77" t="s">
        <v>819</v>
      </c>
      <c r="F118" s="77" t="s">
        <v>820</v>
      </c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ht="33.75" x14ac:dyDescent="0.25">
      <c r="A119" s="64" t="s">
        <v>1329</v>
      </c>
      <c r="B119" s="64" t="s">
        <v>32</v>
      </c>
      <c r="C119" s="77" t="s">
        <v>805</v>
      </c>
      <c r="D119" s="77" t="s">
        <v>821</v>
      </c>
      <c r="E119" s="77" t="s">
        <v>822</v>
      </c>
      <c r="F119" s="77" t="s">
        <v>823</v>
      </c>
      <c r="G119" s="77" t="s">
        <v>824</v>
      </c>
      <c r="H119" s="77" t="s">
        <v>468</v>
      </c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ht="33.75" x14ac:dyDescent="0.25">
      <c r="A120" s="64" t="s">
        <v>1330</v>
      </c>
      <c r="B120" s="64" t="s">
        <v>456</v>
      </c>
      <c r="C120" s="77" t="s">
        <v>812</v>
      </c>
      <c r="D120" s="77" t="s">
        <v>813</v>
      </c>
      <c r="E120" s="77" t="s">
        <v>825</v>
      </c>
      <c r="F120" s="77" t="s">
        <v>826</v>
      </c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ht="56.25" x14ac:dyDescent="0.25">
      <c r="A121" s="64" t="s">
        <v>2501</v>
      </c>
      <c r="B121" s="64" t="s">
        <v>32</v>
      </c>
      <c r="C121" s="77" t="s">
        <v>805</v>
      </c>
      <c r="D121" s="77" t="s">
        <v>806</v>
      </c>
      <c r="E121" s="77" t="s">
        <v>807</v>
      </c>
      <c r="F121" s="77" t="s">
        <v>808</v>
      </c>
      <c r="G121" s="77" t="s">
        <v>804</v>
      </c>
      <c r="H121" s="77" t="s">
        <v>809</v>
      </c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x14ac:dyDescent="0.25">
      <c r="A122" s="64" t="s">
        <v>2502</v>
      </c>
      <c r="B122" s="64" t="s">
        <v>456</v>
      </c>
      <c r="C122" s="77" t="s">
        <v>2633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ht="56.25" x14ac:dyDescent="0.25">
      <c r="A123" s="64" t="s">
        <v>2503</v>
      </c>
      <c r="B123" s="64" t="s">
        <v>32</v>
      </c>
      <c r="C123" s="77" t="s">
        <v>805</v>
      </c>
      <c r="D123" s="77" t="s">
        <v>806</v>
      </c>
      <c r="E123" s="77" t="s">
        <v>807</v>
      </c>
      <c r="F123" s="77" t="s">
        <v>808</v>
      </c>
      <c r="G123" s="77" t="s">
        <v>804</v>
      </c>
      <c r="H123" s="77" t="s">
        <v>809</v>
      </c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x14ac:dyDescent="0.25">
      <c r="A124" s="64" t="s">
        <v>2504</v>
      </c>
      <c r="B124" s="64" t="s">
        <v>456</v>
      </c>
      <c r="C124" s="77" t="s">
        <v>2633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ht="56.25" x14ac:dyDescent="0.25">
      <c r="A125" s="64" t="s">
        <v>2505</v>
      </c>
      <c r="B125" s="64" t="s">
        <v>32</v>
      </c>
      <c r="C125" s="77" t="s">
        <v>805</v>
      </c>
      <c r="D125" s="77" t="s">
        <v>806</v>
      </c>
      <c r="E125" s="77" t="s">
        <v>807</v>
      </c>
      <c r="F125" s="77" t="s">
        <v>808</v>
      </c>
      <c r="G125" s="77" t="s">
        <v>804</v>
      </c>
      <c r="H125" s="77" t="s">
        <v>809</v>
      </c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x14ac:dyDescent="0.25">
      <c r="A126" s="64" t="s">
        <v>2506</v>
      </c>
      <c r="B126" s="64" t="s">
        <v>456</v>
      </c>
      <c r="C126" s="77" t="s">
        <v>2633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ht="33.75" x14ac:dyDescent="0.25">
      <c r="A127" s="64" t="s">
        <v>2507</v>
      </c>
      <c r="B127" s="64" t="s">
        <v>32</v>
      </c>
      <c r="C127" s="77" t="s">
        <v>805</v>
      </c>
      <c r="D127" s="77" t="s">
        <v>810</v>
      </c>
      <c r="E127" s="77" t="s">
        <v>811</v>
      </c>
      <c r="F127" s="77" t="s">
        <v>808</v>
      </c>
      <c r="G127" s="77" t="s">
        <v>804</v>
      </c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x14ac:dyDescent="0.25">
      <c r="A128" s="64" t="s">
        <v>2508</v>
      </c>
      <c r="B128" s="64" t="s">
        <v>456</v>
      </c>
      <c r="C128" s="77" t="s">
        <v>812</v>
      </c>
      <c r="D128" s="77" t="s">
        <v>813</v>
      </c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ht="33.75" x14ac:dyDescent="0.25">
      <c r="A129" s="64" t="s">
        <v>2509</v>
      </c>
      <c r="B129" s="64" t="s">
        <v>32</v>
      </c>
      <c r="C129" s="77" t="s">
        <v>805</v>
      </c>
      <c r="D129" s="77" t="s">
        <v>810</v>
      </c>
      <c r="E129" s="77" t="s">
        <v>811</v>
      </c>
      <c r="F129" s="77" t="s">
        <v>808</v>
      </c>
      <c r="G129" s="77" t="s">
        <v>804</v>
      </c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x14ac:dyDescent="0.25">
      <c r="A130" s="64" t="s">
        <v>2510</v>
      </c>
      <c r="B130" s="64" t="s">
        <v>456</v>
      </c>
      <c r="C130" s="77" t="s">
        <v>812</v>
      </c>
      <c r="D130" s="77" t="s">
        <v>813</v>
      </c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ht="33.75" x14ac:dyDescent="0.25">
      <c r="A131" s="64" t="s">
        <v>2511</v>
      </c>
      <c r="B131" s="64" t="s">
        <v>32</v>
      </c>
      <c r="C131" s="77" t="s">
        <v>805</v>
      </c>
      <c r="D131" s="77" t="s">
        <v>821</v>
      </c>
      <c r="E131" s="77" t="s">
        <v>822</v>
      </c>
      <c r="F131" s="77" t="s">
        <v>823</v>
      </c>
      <c r="G131" s="77" t="s">
        <v>824</v>
      </c>
      <c r="H131" s="77" t="s">
        <v>468</v>
      </c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ht="33.75" x14ac:dyDescent="0.25">
      <c r="A132" s="64" t="s">
        <v>2512</v>
      </c>
      <c r="B132" s="64" t="s">
        <v>456</v>
      </c>
      <c r="C132" s="77" t="s">
        <v>812</v>
      </c>
      <c r="D132" s="77" t="s">
        <v>813</v>
      </c>
      <c r="E132" s="77" t="s">
        <v>825</v>
      </c>
      <c r="F132" s="77" t="s">
        <v>826</v>
      </c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ht="33.75" x14ac:dyDescent="0.25">
      <c r="A133" s="64" t="s">
        <v>2513</v>
      </c>
      <c r="B133" s="64" t="s">
        <v>32</v>
      </c>
      <c r="C133" s="77" t="s">
        <v>805</v>
      </c>
      <c r="D133" s="77" t="s">
        <v>814</v>
      </c>
      <c r="E133" s="77" t="s">
        <v>822</v>
      </c>
      <c r="F133" s="77" t="s">
        <v>823</v>
      </c>
      <c r="G133" s="77" t="s">
        <v>824</v>
      </c>
      <c r="H133" s="77" t="s">
        <v>468</v>
      </c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ht="33.75" x14ac:dyDescent="0.25">
      <c r="A134" s="64" t="s">
        <v>2514</v>
      </c>
      <c r="B134" s="64" t="s">
        <v>456</v>
      </c>
      <c r="C134" s="77" t="s">
        <v>812</v>
      </c>
      <c r="D134" s="77" t="s">
        <v>813</v>
      </c>
      <c r="E134" s="77" t="s">
        <v>826</v>
      </c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ht="33.75" x14ac:dyDescent="0.25">
      <c r="A135" s="64" t="s">
        <v>2515</v>
      </c>
      <c r="B135" s="64" t="s">
        <v>32</v>
      </c>
      <c r="C135" s="77" t="s">
        <v>805</v>
      </c>
      <c r="D135" s="77" t="s">
        <v>814</v>
      </c>
      <c r="E135" s="77" t="s">
        <v>822</v>
      </c>
      <c r="F135" s="77" t="s">
        <v>823</v>
      </c>
      <c r="G135" s="77" t="s">
        <v>824</v>
      </c>
      <c r="H135" s="77" t="s">
        <v>468</v>
      </c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ht="33.75" x14ac:dyDescent="0.25">
      <c r="A136" s="64" t="s">
        <v>2516</v>
      </c>
      <c r="B136" s="64" t="s">
        <v>456</v>
      </c>
      <c r="C136" s="77" t="s">
        <v>812</v>
      </c>
      <c r="D136" s="77" t="s">
        <v>813</v>
      </c>
      <c r="E136" s="77" t="s">
        <v>826</v>
      </c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ht="33.75" x14ac:dyDescent="0.25">
      <c r="A137" s="64" t="s">
        <v>2517</v>
      </c>
      <c r="B137" s="64" t="s">
        <v>32</v>
      </c>
      <c r="C137" s="77" t="s">
        <v>805</v>
      </c>
      <c r="D137" s="77" t="s">
        <v>1124</v>
      </c>
      <c r="E137" s="77" t="s">
        <v>1125</v>
      </c>
      <c r="F137" s="77" t="s">
        <v>823</v>
      </c>
      <c r="G137" s="77" t="s">
        <v>824</v>
      </c>
      <c r="H137" s="77" t="s">
        <v>468</v>
      </c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ht="22.5" x14ac:dyDescent="0.25">
      <c r="A138" s="64" t="s">
        <v>2518</v>
      </c>
      <c r="B138" s="64" t="s">
        <v>456</v>
      </c>
      <c r="C138" s="77" t="s">
        <v>812</v>
      </c>
      <c r="D138" s="77" t="s">
        <v>813</v>
      </c>
      <c r="E138" s="77" t="s">
        <v>1990</v>
      </c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ht="33.75" x14ac:dyDescent="0.25">
      <c r="A139" s="64" t="s">
        <v>2519</v>
      </c>
      <c r="B139" s="64" t="s">
        <v>32</v>
      </c>
      <c r="C139" s="77" t="s">
        <v>805</v>
      </c>
      <c r="D139" s="77" t="s">
        <v>1124</v>
      </c>
      <c r="E139" s="77" t="s">
        <v>1125</v>
      </c>
      <c r="F139" s="77" t="s">
        <v>823</v>
      </c>
      <c r="G139" s="77" t="s">
        <v>824</v>
      </c>
      <c r="H139" s="77" t="s">
        <v>468</v>
      </c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ht="22.5" x14ac:dyDescent="0.25">
      <c r="A140" s="64" t="s">
        <v>2520</v>
      </c>
      <c r="B140" s="64" t="s">
        <v>456</v>
      </c>
      <c r="C140" s="77" t="s">
        <v>812</v>
      </c>
      <c r="D140" s="77" t="s">
        <v>813</v>
      </c>
      <c r="E140" s="77" t="s">
        <v>1990</v>
      </c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ht="33.75" x14ac:dyDescent="0.25">
      <c r="A141" s="64" t="s">
        <v>2521</v>
      </c>
      <c r="B141" s="64" t="s">
        <v>32</v>
      </c>
      <c r="C141" s="77" t="s">
        <v>805</v>
      </c>
      <c r="D141" s="77" t="s">
        <v>814</v>
      </c>
      <c r="E141" s="77" t="s">
        <v>815</v>
      </c>
      <c r="F141" s="77" t="s">
        <v>816</v>
      </c>
      <c r="G141" s="77" t="s">
        <v>817</v>
      </c>
      <c r="H141" s="77" t="s">
        <v>818</v>
      </c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ht="33.75" x14ac:dyDescent="0.25">
      <c r="A142" s="64" t="s">
        <v>2522</v>
      </c>
      <c r="B142" s="64" t="s">
        <v>456</v>
      </c>
      <c r="C142" s="77" t="s">
        <v>812</v>
      </c>
      <c r="D142" s="77" t="s">
        <v>813</v>
      </c>
      <c r="E142" s="77" t="s">
        <v>819</v>
      </c>
      <c r="F142" s="77" t="s">
        <v>820</v>
      </c>
      <c r="G142" s="77" t="s">
        <v>995</v>
      </c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ht="33.75" x14ac:dyDescent="0.25">
      <c r="A143" s="64" t="s">
        <v>2523</v>
      </c>
      <c r="B143" s="64" t="s">
        <v>32</v>
      </c>
      <c r="C143" s="77" t="s">
        <v>805</v>
      </c>
      <c r="D143" s="77" t="s">
        <v>814</v>
      </c>
      <c r="E143" s="77" t="s">
        <v>815</v>
      </c>
      <c r="F143" s="77" t="s">
        <v>816</v>
      </c>
      <c r="G143" s="77" t="s">
        <v>817</v>
      </c>
      <c r="H143" s="77" t="s">
        <v>818</v>
      </c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ht="33.75" x14ac:dyDescent="0.25">
      <c r="A144" s="64" t="s">
        <v>2524</v>
      </c>
      <c r="B144" s="64" t="s">
        <v>456</v>
      </c>
      <c r="C144" s="77" t="s">
        <v>812</v>
      </c>
      <c r="D144" s="77" t="s">
        <v>813</v>
      </c>
      <c r="E144" s="77" t="s">
        <v>819</v>
      </c>
      <c r="F144" s="77" t="s">
        <v>820</v>
      </c>
      <c r="G144" s="77" t="s">
        <v>995</v>
      </c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ht="33.75" x14ac:dyDescent="0.25">
      <c r="A145" s="64" t="s">
        <v>2525</v>
      </c>
      <c r="B145" s="64" t="s">
        <v>32</v>
      </c>
      <c r="C145" s="77" t="s">
        <v>805</v>
      </c>
      <c r="D145" s="77" t="s">
        <v>814</v>
      </c>
      <c r="E145" s="77" t="s">
        <v>815</v>
      </c>
      <c r="F145" s="77" t="s">
        <v>816</v>
      </c>
      <c r="G145" s="77" t="s">
        <v>817</v>
      </c>
      <c r="H145" s="77" t="s">
        <v>818</v>
      </c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ht="33.75" x14ac:dyDescent="0.25">
      <c r="A146" s="64" t="s">
        <v>2526</v>
      </c>
      <c r="B146" s="64" t="s">
        <v>456</v>
      </c>
      <c r="C146" s="77" t="s">
        <v>812</v>
      </c>
      <c r="D146" s="77" t="s">
        <v>813</v>
      </c>
      <c r="E146" s="77" t="s">
        <v>819</v>
      </c>
      <c r="F146" s="77" t="s">
        <v>820</v>
      </c>
      <c r="G146" s="77" t="s">
        <v>995</v>
      </c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ht="33.75" x14ac:dyDescent="0.25">
      <c r="A147" s="64" t="s">
        <v>2527</v>
      </c>
      <c r="B147" s="64" t="s">
        <v>32</v>
      </c>
      <c r="C147" s="77" t="s">
        <v>805</v>
      </c>
      <c r="D147" s="77" t="s">
        <v>1124</v>
      </c>
      <c r="E147" s="77" t="s">
        <v>1128</v>
      </c>
      <c r="F147" s="77" t="s">
        <v>1129</v>
      </c>
      <c r="G147" s="77" t="s">
        <v>1130</v>
      </c>
      <c r="H147" s="77" t="s">
        <v>818</v>
      </c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ht="33.75" x14ac:dyDescent="0.25">
      <c r="A148" s="64" t="s">
        <v>2528</v>
      </c>
      <c r="B148" s="64" t="s">
        <v>456</v>
      </c>
      <c r="C148" s="77" t="s">
        <v>812</v>
      </c>
      <c r="D148" s="77" t="s">
        <v>813</v>
      </c>
      <c r="E148" s="77" t="s">
        <v>1131</v>
      </c>
      <c r="F148" s="77" t="s">
        <v>1132</v>
      </c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ht="33.75" x14ac:dyDescent="0.25">
      <c r="A149" s="64" t="s">
        <v>2529</v>
      </c>
      <c r="B149" s="64" t="s">
        <v>32</v>
      </c>
      <c r="C149" s="77" t="s">
        <v>805</v>
      </c>
      <c r="D149" s="77" t="s">
        <v>1124</v>
      </c>
      <c r="E149" s="77" t="s">
        <v>1128</v>
      </c>
      <c r="F149" s="77" t="s">
        <v>1129</v>
      </c>
      <c r="G149" s="77" t="s">
        <v>1130</v>
      </c>
      <c r="H149" s="77" t="s">
        <v>818</v>
      </c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ht="33.75" x14ac:dyDescent="0.25">
      <c r="A150" s="64" t="s">
        <v>2530</v>
      </c>
      <c r="B150" s="64" t="s">
        <v>456</v>
      </c>
      <c r="C150" s="77" t="s">
        <v>812</v>
      </c>
      <c r="D150" s="77" t="s">
        <v>813</v>
      </c>
      <c r="E150" s="77" t="s">
        <v>1131</v>
      </c>
      <c r="F150" s="77" t="s">
        <v>1132</v>
      </c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ht="33.75" x14ac:dyDescent="0.25">
      <c r="A151" s="64" t="s">
        <v>2531</v>
      </c>
      <c r="B151" s="64" t="s">
        <v>32</v>
      </c>
      <c r="C151" s="77" t="s">
        <v>805</v>
      </c>
      <c r="D151" s="77" t="s">
        <v>1133</v>
      </c>
      <c r="E151" s="77" t="s">
        <v>1134</v>
      </c>
      <c r="F151" s="77" t="s">
        <v>1129</v>
      </c>
      <c r="G151" s="77" t="s">
        <v>1135</v>
      </c>
      <c r="H151" s="77" t="s">
        <v>1136</v>
      </c>
      <c r="I151" s="77" t="s">
        <v>1137</v>
      </c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ht="33.75" x14ac:dyDescent="0.25">
      <c r="A152" s="64" t="s">
        <v>2532</v>
      </c>
      <c r="B152" s="64" t="s">
        <v>456</v>
      </c>
      <c r="C152" s="77" t="s">
        <v>812</v>
      </c>
      <c r="D152" s="77" t="s">
        <v>813</v>
      </c>
      <c r="E152" s="77" t="s">
        <v>1138</v>
      </c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x14ac:dyDescent="0.25">
      <c r="A153" s="64" t="s">
        <v>2533</v>
      </c>
      <c r="B153" s="107" t="s">
        <v>32</v>
      </c>
      <c r="C153" s="77" t="s">
        <v>2637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ht="22.5" x14ac:dyDescent="0.25">
      <c r="A154" s="64" t="s">
        <v>2534</v>
      </c>
      <c r="B154" s="107" t="s">
        <v>456</v>
      </c>
      <c r="C154" s="77" t="s">
        <v>2633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ht="22.5" x14ac:dyDescent="0.25">
      <c r="A155" s="64" t="s">
        <v>2535</v>
      </c>
      <c r="B155" s="107" t="s">
        <v>32</v>
      </c>
      <c r="C155" s="77" t="s">
        <v>2637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ht="22.5" x14ac:dyDescent="0.25">
      <c r="A156" s="64" t="s">
        <v>2536</v>
      </c>
      <c r="B156" s="107" t="s">
        <v>456</v>
      </c>
      <c r="C156" s="77" t="s">
        <v>2633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x14ac:dyDescent="0.25">
      <c r="A157" s="64" t="s">
        <v>2537</v>
      </c>
      <c r="B157" s="107" t="s">
        <v>32</v>
      </c>
      <c r="C157" s="77" t="s">
        <v>2637</v>
      </c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x14ac:dyDescent="0.25">
      <c r="A158" s="64" t="s">
        <v>2538</v>
      </c>
      <c r="B158" s="107" t="s">
        <v>456</v>
      </c>
      <c r="C158" s="77" t="s">
        <v>2633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ht="22.5" x14ac:dyDescent="0.25">
      <c r="A159" s="64" t="s">
        <v>2539</v>
      </c>
      <c r="B159" s="107" t="s">
        <v>32</v>
      </c>
      <c r="C159" s="77" t="s">
        <v>2637</v>
      </c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ht="22.5" x14ac:dyDescent="0.25">
      <c r="A160" s="64" t="s">
        <v>2540</v>
      </c>
      <c r="B160" s="107" t="s">
        <v>456</v>
      </c>
      <c r="C160" s="77" t="s">
        <v>2633</v>
      </c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ht="33.75" x14ac:dyDescent="0.25">
      <c r="A161" s="64" t="s">
        <v>2541</v>
      </c>
      <c r="B161" s="64" t="s">
        <v>32</v>
      </c>
      <c r="C161" s="77" t="s">
        <v>805</v>
      </c>
      <c r="D161" s="77" t="s">
        <v>810</v>
      </c>
      <c r="E161" s="77" t="s">
        <v>811</v>
      </c>
      <c r="F161" s="77" t="s">
        <v>808</v>
      </c>
      <c r="G161" s="77" t="s">
        <v>804</v>
      </c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x14ac:dyDescent="0.25">
      <c r="A162" s="64" t="s">
        <v>2542</v>
      </c>
      <c r="B162" s="64" t="s">
        <v>456</v>
      </c>
      <c r="C162" s="77" t="s">
        <v>812</v>
      </c>
      <c r="D162" s="77" t="s">
        <v>813</v>
      </c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ht="33.75" x14ac:dyDescent="0.25">
      <c r="A163" s="64" t="s">
        <v>2543</v>
      </c>
      <c r="B163" s="64" t="s">
        <v>32</v>
      </c>
      <c r="C163" s="77" t="s">
        <v>805</v>
      </c>
      <c r="D163" s="77" t="s">
        <v>810</v>
      </c>
      <c r="E163" s="77" t="s">
        <v>811</v>
      </c>
      <c r="F163" s="77" t="s">
        <v>808</v>
      </c>
      <c r="G163" s="77" t="s">
        <v>804</v>
      </c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x14ac:dyDescent="0.25">
      <c r="A164" s="64" t="s">
        <v>2544</v>
      </c>
      <c r="B164" s="64" t="s">
        <v>456</v>
      </c>
      <c r="C164" s="77" t="s">
        <v>812</v>
      </c>
      <c r="D164" s="77" t="s">
        <v>813</v>
      </c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ht="33.75" x14ac:dyDescent="0.25">
      <c r="A165" s="64" t="s">
        <v>2545</v>
      </c>
      <c r="B165" s="64" t="s">
        <v>32</v>
      </c>
      <c r="C165" s="77" t="s">
        <v>805</v>
      </c>
      <c r="D165" s="77" t="s">
        <v>814</v>
      </c>
      <c r="E165" s="77" t="s">
        <v>822</v>
      </c>
      <c r="F165" s="77" t="s">
        <v>823</v>
      </c>
      <c r="G165" s="77" t="s">
        <v>824</v>
      </c>
      <c r="H165" s="77" t="s">
        <v>468</v>
      </c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ht="33.75" x14ac:dyDescent="0.25">
      <c r="A166" s="64" t="s">
        <v>2546</v>
      </c>
      <c r="B166" s="64" t="s">
        <v>456</v>
      </c>
      <c r="C166" s="77" t="s">
        <v>812</v>
      </c>
      <c r="D166" s="77" t="s">
        <v>813</v>
      </c>
      <c r="E166" s="77" t="s">
        <v>2675</v>
      </c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ht="33.75" x14ac:dyDescent="0.25">
      <c r="A167" s="64" t="s">
        <v>2547</v>
      </c>
      <c r="B167" s="64" t="s">
        <v>32</v>
      </c>
      <c r="C167" s="77" t="s">
        <v>805</v>
      </c>
      <c r="D167" s="77" t="s">
        <v>814</v>
      </c>
      <c r="E167" s="77" t="s">
        <v>822</v>
      </c>
      <c r="F167" s="77" t="s">
        <v>823</v>
      </c>
      <c r="G167" s="77" t="s">
        <v>824</v>
      </c>
      <c r="H167" s="77" t="s">
        <v>468</v>
      </c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ht="33.75" x14ac:dyDescent="0.25">
      <c r="A168" s="64" t="s">
        <v>2548</v>
      </c>
      <c r="B168" s="64" t="s">
        <v>456</v>
      </c>
      <c r="C168" s="77" t="s">
        <v>812</v>
      </c>
      <c r="D168" s="77" t="s">
        <v>813</v>
      </c>
      <c r="E168" s="77" t="s">
        <v>2675</v>
      </c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ht="33.75" x14ac:dyDescent="0.25">
      <c r="A169" s="64" t="s">
        <v>2549</v>
      </c>
      <c r="B169" s="64" t="s">
        <v>32</v>
      </c>
      <c r="C169" s="77" t="s">
        <v>805</v>
      </c>
      <c r="D169" s="77" t="s">
        <v>1124</v>
      </c>
      <c r="E169" s="77" t="s">
        <v>1125</v>
      </c>
      <c r="F169" s="77" t="s">
        <v>823</v>
      </c>
      <c r="G169" s="77" t="s">
        <v>824</v>
      </c>
      <c r="H169" s="77" t="s">
        <v>468</v>
      </c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ht="22.5" x14ac:dyDescent="0.25">
      <c r="A170" s="64" t="s">
        <v>2550</v>
      </c>
      <c r="B170" s="64" t="s">
        <v>456</v>
      </c>
      <c r="C170" s="77" t="s">
        <v>812</v>
      </c>
      <c r="D170" s="77" t="s">
        <v>813</v>
      </c>
      <c r="E170" s="77" t="s">
        <v>1990</v>
      </c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ht="33.75" x14ac:dyDescent="0.25">
      <c r="A171" s="64" t="s">
        <v>2551</v>
      </c>
      <c r="B171" s="64" t="s">
        <v>32</v>
      </c>
      <c r="C171" s="77" t="s">
        <v>805</v>
      </c>
      <c r="D171" s="77" t="s">
        <v>1124</v>
      </c>
      <c r="E171" s="77" t="s">
        <v>1125</v>
      </c>
      <c r="F171" s="77" t="s">
        <v>823</v>
      </c>
      <c r="G171" s="77" t="s">
        <v>824</v>
      </c>
      <c r="H171" s="77" t="s">
        <v>468</v>
      </c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ht="22.5" x14ac:dyDescent="0.25">
      <c r="A172" s="64" t="s">
        <v>2552</v>
      </c>
      <c r="B172" s="64" t="s">
        <v>456</v>
      </c>
      <c r="C172" s="77" t="s">
        <v>812</v>
      </c>
      <c r="D172" s="77" t="s">
        <v>813</v>
      </c>
      <c r="E172" s="77" t="s">
        <v>1990</v>
      </c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ht="33.75" x14ac:dyDescent="0.25">
      <c r="A173" s="64" t="s">
        <v>2553</v>
      </c>
      <c r="B173" s="64" t="s">
        <v>32</v>
      </c>
      <c r="C173" s="77" t="s">
        <v>805</v>
      </c>
      <c r="D173" s="77" t="s">
        <v>814</v>
      </c>
      <c r="E173" s="77" t="s">
        <v>815</v>
      </c>
      <c r="F173" s="77" t="s">
        <v>816</v>
      </c>
      <c r="G173" s="77" t="s">
        <v>817</v>
      </c>
      <c r="H173" s="77" t="s">
        <v>818</v>
      </c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ht="33.75" x14ac:dyDescent="0.25">
      <c r="A174" s="64" t="s">
        <v>2554</v>
      </c>
      <c r="B174" s="64" t="s">
        <v>456</v>
      </c>
      <c r="C174" s="77" t="s">
        <v>812</v>
      </c>
      <c r="D174" s="77" t="s">
        <v>813</v>
      </c>
      <c r="E174" s="77" t="s">
        <v>819</v>
      </c>
      <c r="F174" s="77" t="s">
        <v>820</v>
      </c>
      <c r="G174" s="77" t="s">
        <v>995</v>
      </c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ht="33.75" x14ac:dyDescent="0.25">
      <c r="A175" s="64" t="s">
        <v>2555</v>
      </c>
      <c r="B175" s="64" t="s">
        <v>32</v>
      </c>
      <c r="C175" s="77" t="s">
        <v>805</v>
      </c>
      <c r="D175" s="77" t="s">
        <v>814</v>
      </c>
      <c r="E175" s="77" t="s">
        <v>815</v>
      </c>
      <c r="F175" s="77" t="s">
        <v>816</v>
      </c>
      <c r="G175" s="77" t="s">
        <v>817</v>
      </c>
      <c r="H175" s="77" t="s">
        <v>818</v>
      </c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ht="33.75" x14ac:dyDescent="0.25">
      <c r="A176" s="64" t="s">
        <v>2556</v>
      </c>
      <c r="B176" s="64" t="s">
        <v>456</v>
      </c>
      <c r="C176" s="77" t="s">
        <v>812</v>
      </c>
      <c r="D176" s="77" t="s">
        <v>813</v>
      </c>
      <c r="E176" s="77" t="s">
        <v>819</v>
      </c>
      <c r="F176" s="77" t="s">
        <v>820</v>
      </c>
      <c r="G176" s="77" t="s">
        <v>995</v>
      </c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ht="33.75" x14ac:dyDescent="0.25">
      <c r="A177" s="64" t="s">
        <v>2557</v>
      </c>
      <c r="B177" s="64" t="s">
        <v>32</v>
      </c>
      <c r="C177" s="77" t="s">
        <v>805</v>
      </c>
      <c r="D177" s="77" t="s">
        <v>1124</v>
      </c>
      <c r="E177" s="77" t="s">
        <v>1128</v>
      </c>
      <c r="F177" s="77" t="s">
        <v>1129</v>
      </c>
      <c r="G177" s="77" t="s">
        <v>1130</v>
      </c>
      <c r="H177" s="77" t="s">
        <v>818</v>
      </c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ht="33.75" x14ac:dyDescent="0.25">
      <c r="A178" s="64" t="s">
        <v>2558</v>
      </c>
      <c r="B178" s="64" t="s">
        <v>456</v>
      </c>
      <c r="C178" s="77" t="s">
        <v>812</v>
      </c>
      <c r="D178" s="77" t="s">
        <v>813</v>
      </c>
      <c r="E178" s="77" t="s">
        <v>1131</v>
      </c>
      <c r="F178" s="77" t="s">
        <v>1132</v>
      </c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ht="33.75" x14ac:dyDescent="0.25">
      <c r="A179" s="64" t="s">
        <v>2559</v>
      </c>
      <c r="B179" s="64" t="s">
        <v>32</v>
      </c>
      <c r="C179" s="77" t="s">
        <v>805</v>
      </c>
      <c r="D179" s="77" t="s">
        <v>1124</v>
      </c>
      <c r="E179" s="77" t="s">
        <v>1128</v>
      </c>
      <c r="F179" s="77" t="s">
        <v>1129</v>
      </c>
      <c r="G179" s="77" t="s">
        <v>1130</v>
      </c>
      <c r="H179" s="77" t="s">
        <v>818</v>
      </c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ht="33.75" x14ac:dyDescent="0.25">
      <c r="A180" s="64" t="s">
        <v>2560</v>
      </c>
      <c r="B180" s="64" t="s">
        <v>456</v>
      </c>
      <c r="C180" s="77" t="s">
        <v>812</v>
      </c>
      <c r="D180" s="77" t="s">
        <v>813</v>
      </c>
      <c r="E180" s="77" t="s">
        <v>1131</v>
      </c>
      <c r="F180" s="77" t="s">
        <v>1132</v>
      </c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ht="33.75" x14ac:dyDescent="0.25">
      <c r="A181" s="64" t="s">
        <v>2561</v>
      </c>
      <c r="B181" s="64" t="s">
        <v>32</v>
      </c>
      <c r="C181" s="77" t="s">
        <v>805</v>
      </c>
      <c r="D181" s="77" t="s">
        <v>810</v>
      </c>
      <c r="E181" s="77" t="s">
        <v>811</v>
      </c>
      <c r="F181" s="77" t="s">
        <v>808</v>
      </c>
      <c r="G181" s="77" t="s">
        <v>804</v>
      </c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x14ac:dyDescent="0.25">
      <c r="A182" s="64" t="s">
        <v>2562</v>
      </c>
      <c r="B182" s="64" t="s">
        <v>456</v>
      </c>
      <c r="C182" s="77" t="s">
        <v>812</v>
      </c>
      <c r="D182" s="77" t="s">
        <v>813</v>
      </c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ht="33.75" x14ac:dyDescent="0.25">
      <c r="A183" s="64" t="s">
        <v>2563</v>
      </c>
      <c r="B183" s="64" t="s">
        <v>32</v>
      </c>
      <c r="C183" s="77" t="s">
        <v>805</v>
      </c>
      <c r="D183" s="77" t="s">
        <v>810</v>
      </c>
      <c r="E183" s="77" t="s">
        <v>811</v>
      </c>
      <c r="F183" s="77" t="s">
        <v>808</v>
      </c>
      <c r="G183" s="77" t="s">
        <v>804</v>
      </c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x14ac:dyDescent="0.25">
      <c r="A184" s="64" t="s">
        <v>2564</v>
      </c>
      <c r="B184" s="64" t="s">
        <v>456</v>
      </c>
      <c r="C184" s="77" t="s">
        <v>812</v>
      </c>
      <c r="D184" s="77" t="s">
        <v>813</v>
      </c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ht="33.75" x14ac:dyDescent="0.25">
      <c r="A185" s="64" t="s">
        <v>2565</v>
      </c>
      <c r="B185" s="64" t="s">
        <v>32</v>
      </c>
      <c r="C185" s="77" t="s">
        <v>805</v>
      </c>
      <c r="D185" s="77" t="s">
        <v>814</v>
      </c>
      <c r="E185" s="77" t="s">
        <v>822</v>
      </c>
      <c r="F185" s="77" t="s">
        <v>823</v>
      </c>
      <c r="G185" s="77" t="s">
        <v>824</v>
      </c>
      <c r="H185" s="77" t="s">
        <v>468</v>
      </c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ht="33.75" x14ac:dyDescent="0.25">
      <c r="A186" s="64" t="s">
        <v>2566</v>
      </c>
      <c r="B186" s="64" t="s">
        <v>456</v>
      </c>
      <c r="C186" s="77" t="s">
        <v>812</v>
      </c>
      <c r="D186" s="77" t="s">
        <v>813</v>
      </c>
      <c r="E186" s="77" t="s">
        <v>826</v>
      </c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ht="33.75" x14ac:dyDescent="0.25">
      <c r="A187" s="64" t="s">
        <v>2567</v>
      </c>
      <c r="B187" s="64" t="s">
        <v>32</v>
      </c>
      <c r="C187" s="77" t="s">
        <v>805</v>
      </c>
      <c r="D187" s="77" t="s">
        <v>814</v>
      </c>
      <c r="E187" s="77" t="s">
        <v>822</v>
      </c>
      <c r="F187" s="77" t="s">
        <v>823</v>
      </c>
      <c r="G187" s="77" t="s">
        <v>824</v>
      </c>
      <c r="H187" s="77" t="s">
        <v>468</v>
      </c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ht="33.75" x14ac:dyDescent="0.25">
      <c r="A188" s="64" t="s">
        <v>2568</v>
      </c>
      <c r="B188" s="64" t="s">
        <v>456</v>
      </c>
      <c r="C188" s="77" t="s">
        <v>812</v>
      </c>
      <c r="D188" s="77" t="s">
        <v>813</v>
      </c>
      <c r="E188" s="77" t="s">
        <v>826</v>
      </c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ht="33.75" x14ac:dyDescent="0.25">
      <c r="A189" s="64" t="s">
        <v>2569</v>
      </c>
      <c r="B189" s="64" t="s">
        <v>32</v>
      </c>
      <c r="C189" s="77" t="s">
        <v>805</v>
      </c>
      <c r="D189" s="77" t="s">
        <v>1124</v>
      </c>
      <c r="E189" s="77" t="s">
        <v>1125</v>
      </c>
      <c r="F189" s="77" t="s">
        <v>823</v>
      </c>
      <c r="G189" s="77" t="s">
        <v>824</v>
      </c>
      <c r="H189" s="77" t="s">
        <v>468</v>
      </c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ht="22.5" x14ac:dyDescent="0.25">
      <c r="A190" s="64" t="s">
        <v>2570</v>
      </c>
      <c r="B190" s="64" t="s">
        <v>456</v>
      </c>
      <c r="C190" s="77" t="s">
        <v>812</v>
      </c>
      <c r="D190" s="77" t="s">
        <v>813</v>
      </c>
      <c r="E190" s="77" t="s">
        <v>1990</v>
      </c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ht="33.75" x14ac:dyDescent="0.25">
      <c r="A191" s="64" t="s">
        <v>2571</v>
      </c>
      <c r="B191" s="64" t="s">
        <v>32</v>
      </c>
      <c r="C191" s="77" t="s">
        <v>805</v>
      </c>
      <c r="D191" s="77" t="s">
        <v>1124</v>
      </c>
      <c r="E191" s="77" t="s">
        <v>1125</v>
      </c>
      <c r="F191" s="77" t="s">
        <v>823</v>
      </c>
      <c r="G191" s="77" t="s">
        <v>824</v>
      </c>
      <c r="H191" s="77" t="s">
        <v>468</v>
      </c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ht="22.5" x14ac:dyDescent="0.25">
      <c r="A192" s="64" t="s">
        <v>2572</v>
      </c>
      <c r="B192" s="64" t="s">
        <v>456</v>
      </c>
      <c r="C192" s="77" t="s">
        <v>812</v>
      </c>
      <c r="D192" s="77" t="s">
        <v>813</v>
      </c>
      <c r="E192" s="77" t="s">
        <v>1990</v>
      </c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ht="33.75" x14ac:dyDescent="0.25">
      <c r="A193" s="64" t="s">
        <v>2573</v>
      </c>
      <c r="B193" s="64" t="s">
        <v>32</v>
      </c>
      <c r="C193" s="77" t="s">
        <v>805</v>
      </c>
      <c r="D193" s="77" t="s">
        <v>814</v>
      </c>
      <c r="E193" s="77" t="s">
        <v>815</v>
      </c>
      <c r="F193" s="77" t="s">
        <v>816</v>
      </c>
      <c r="G193" s="77" t="s">
        <v>817</v>
      </c>
      <c r="H193" s="77" t="s">
        <v>818</v>
      </c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ht="33.75" x14ac:dyDescent="0.25">
      <c r="A194" s="64" t="s">
        <v>2574</v>
      </c>
      <c r="B194" s="64" t="s">
        <v>456</v>
      </c>
      <c r="C194" s="77" t="s">
        <v>812</v>
      </c>
      <c r="D194" s="77" t="s">
        <v>813</v>
      </c>
      <c r="E194" s="77" t="s">
        <v>819</v>
      </c>
      <c r="F194" s="77" t="s">
        <v>820</v>
      </c>
      <c r="G194" s="77" t="s">
        <v>995</v>
      </c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ht="33.75" x14ac:dyDescent="0.25">
      <c r="A195" s="64" t="s">
        <v>2575</v>
      </c>
      <c r="B195" s="64" t="s">
        <v>32</v>
      </c>
      <c r="C195" s="77" t="s">
        <v>805</v>
      </c>
      <c r="D195" s="77" t="s">
        <v>814</v>
      </c>
      <c r="E195" s="77" t="s">
        <v>815</v>
      </c>
      <c r="F195" s="77" t="s">
        <v>816</v>
      </c>
      <c r="G195" s="77" t="s">
        <v>817</v>
      </c>
      <c r="H195" s="77" t="s">
        <v>818</v>
      </c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ht="33.75" x14ac:dyDescent="0.25">
      <c r="A196" s="64" t="s">
        <v>2576</v>
      </c>
      <c r="B196" s="64" t="s">
        <v>456</v>
      </c>
      <c r="C196" s="77" t="s">
        <v>812</v>
      </c>
      <c r="D196" s="77" t="s">
        <v>813</v>
      </c>
      <c r="E196" s="77" t="s">
        <v>819</v>
      </c>
      <c r="F196" s="77" t="s">
        <v>820</v>
      </c>
      <c r="G196" s="77" t="s">
        <v>995</v>
      </c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ht="33.75" x14ac:dyDescent="0.25">
      <c r="A197" s="64" t="s">
        <v>2577</v>
      </c>
      <c r="B197" s="64" t="s">
        <v>32</v>
      </c>
      <c r="C197" s="77" t="s">
        <v>805</v>
      </c>
      <c r="D197" s="77" t="s">
        <v>1124</v>
      </c>
      <c r="E197" s="77" t="s">
        <v>1128</v>
      </c>
      <c r="F197" s="77" t="s">
        <v>1129</v>
      </c>
      <c r="G197" s="77" t="s">
        <v>1130</v>
      </c>
      <c r="H197" s="77" t="s">
        <v>818</v>
      </c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ht="33.75" x14ac:dyDescent="0.25">
      <c r="A198" s="64" t="s">
        <v>2578</v>
      </c>
      <c r="B198" s="64" t="s">
        <v>456</v>
      </c>
      <c r="C198" s="77" t="s">
        <v>812</v>
      </c>
      <c r="D198" s="77" t="s">
        <v>813</v>
      </c>
      <c r="E198" s="77" t="s">
        <v>1131</v>
      </c>
      <c r="F198" s="77" t="s">
        <v>1132</v>
      </c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ht="33.75" x14ac:dyDescent="0.25">
      <c r="A199" s="64" t="s">
        <v>2579</v>
      </c>
      <c r="B199" s="64" t="s">
        <v>32</v>
      </c>
      <c r="C199" s="77" t="s">
        <v>805</v>
      </c>
      <c r="D199" s="77" t="s">
        <v>1124</v>
      </c>
      <c r="E199" s="77" t="s">
        <v>1128</v>
      </c>
      <c r="F199" s="77" t="s">
        <v>1129</v>
      </c>
      <c r="G199" s="77" t="s">
        <v>1130</v>
      </c>
      <c r="H199" s="77" t="s">
        <v>818</v>
      </c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ht="33.75" x14ac:dyDescent="0.25">
      <c r="A200" s="64" t="s">
        <v>2580</v>
      </c>
      <c r="B200" s="64" t="s">
        <v>456</v>
      </c>
      <c r="C200" s="77" t="s">
        <v>812</v>
      </c>
      <c r="D200" s="77" t="s">
        <v>813</v>
      </c>
      <c r="E200" s="77" t="s">
        <v>1131</v>
      </c>
      <c r="F200" s="77" t="s">
        <v>1132</v>
      </c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ht="22.5" x14ac:dyDescent="0.25">
      <c r="A201" s="64" t="s">
        <v>2639</v>
      </c>
      <c r="B201" s="64" t="s">
        <v>32</v>
      </c>
      <c r="C201" s="77" t="s">
        <v>805</v>
      </c>
      <c r="D201" s="77" t="s">
        <v>1133</v>
      </c>
      <c r="E201" s="77" t="s">
        <v>1134</v>
      </c>
      <c r="F201" s="77" t="s">
        <v>2649</v>
      </c>
      <c r="G201" s="77" t="s">
        <v>2650</v>
      </c>
      <c r="H201" s="77" t="s">
        <v>1135</v>
      </c>
      <c r="I201" s="77" t="s">
        <v>1136</v>
      </c>
      <c r="J201" s="77" t="s">
        <v>1137</v>
      </c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ht="22.5" x14ac:dyDescent="0.25">
      <c r="A202" s="64" t="s">
        <v>2640</v>
      </c>
      <c r="B202" s="64" t="s">
        <v>456</v>
      </c>
      <c r="C202" s="77" t="s">
        <v>1220</v>
      </c>
      <c r="D202" s="77" t="s">
        <v>1221</v>
      </c>
      <c r="E202" s="77" t="s">
        <v>2651</v>
      </c>
      <c r="F202" s="77" t="s">
        <v>2652</v>
      </c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x14ac:dyDescent="0.25">
      <c r="A203" s="64" t="s">
        <v>2581</v>
      </c>
      <c r="B203" s="107" t="s">
        <v>32</v>
      </c>
      <c r="C203" s="77" t="s">
        <v>2637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x14ac:dyDescent="0.25">
      <c r="A204" s="64" t="s">
        <v>2582</v>
      </c>
      <c r="B204" s="107" t="s">
        <v>456</v>
      </c>
      <c r="C204" s="77" t="s">
        <v>2633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x14ac:dyDescent="0.25">
      <c r="A205" s="64" t="s">
        <v>2583</v>
      </c>
      <c r="B205" s="107" t="s">
        <v>32</v>
      </c>
      <c r="C205" s="77" t="s">
        <v>2637</v>
      </c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x14ac:dyDescent="0.25">
      <c r="A206" s="64" t="s">
        <v>2584</v>
      </c>
      <c r="B206" s="107" t="s">
        <v>456</v>
      </c>
      <c r="C206" s="77" t="s">
        <v>2633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x14ac:dyDescent="0.25">
      <c r="A207" s="64" t="s">
        <v>2585</v>
      </c>
      <c r="B207" s="107" t="s">
        <v>32</v>
      </c>
      <c r="C207" s="77" t="s">
        <v>2637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x14ac:dyDescent="0.25">
      <c r="A208" s="64" t="s">
        <v>2586</v>
      </c>
      <c r="B208" s="107" t="s">
        <v>456</v>
      </c>
      <c r="C208" s="77" t="s">
        <v>2633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x14ac:dyDescent="0.25">
      <c r="A209" s="64" t="s">
        <v>2587</v>
      </c>
      <c r="B209" s="107" t="s">
        <v>32</v>
      </c>
      <c r="C209" s="77" t="s">
        <v>2637</v>
      </c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x14ac:dyDescent="0.25">
      <c r="A210" s="64" t="s">
        <v>2588</v>
      </c>
      <c r="B210" s="107" t="s">
        <v>456</v>
      </c>
      <c r="C210" s="77" t="s">
        <v>2633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</sheetData>
  <autoFilter ref="A1:AL210" xr:uid="{00000000-0001-0000-0000-000000000000}"/>
  <conditionalFormatting sqref="A2">
    <cfRule type="duplicateValues" dxfId="36" priority="13"/>
  </conditionalFormatting>
  <conditionalFormatting sqref="A1232:A1048576 A1">
    <cfRule type="duplicateValues" dxfId="35" priority="22"/>
  </conditionalFormatting>
  <conditionalFormatting sqref="A3:A120">
    <cfRule type="duplicateValues" dxfId="34" priority="157"/>
  </conditionalFormatting>
  <conditionalFormatting sqref="A121:A210">
    <cfRule type="duplicateValues" dxfId="33" priority="2"/>
  </conditionalFormatting>
  <pageMargins left="0" right="0" top="0.74803149606299213" bottom="0.74803149606299213" header="0.31496062992125984" footer="0.31496062992125984"/>
  <pageSetup paperSize="8" scale="70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D9C9-2734-4086-8A91-8189F9B44FDB}">
  <sheetPr>
    <pageSetUpPr fitToPage="1"/>
  </sheetPr>
  <dimension ref="A1:AR210"/>
  <sheetViews>
    <sheetView showGridLines="0" zoomScale="85" zoomScaleNormal="85" workbookViewId="0">
      <pane xSplit="2" ySplit="1" topLeftCell="C97" activePane="bottomRight" state="frozen"/>
      <selection pane="topRight" activeCell="C1" sqref="C1"/>
      <selection pane="bottomLeft" activeCell="A2" sqref="A2"/>
      <selection pane="bottomRight" activeCell="D239" sqref="D239"/>
    </sheetView>
  </sheetViews>
  <sheetFormatPr baseColWidth="10" defaultColWidth="20.7109375" defaultRowHeight="11.25" outlineLevelCol="1" x14ac:dyDescent="0.25"/>
  <cols>
    <col min="1" max="1" width="49.140625" style="69" bestFit="1" customWidth="1"/>
    <col min="2" max="2" width="17.140625" style="121" customWidth="1"/>
    <col min="3" max="9" width="20.7109375" style="69" customWidth="1"/>
    <col min="10" max="23" width="20.7109375" style="69" customWidth="1" outlineLevel="1"/>
    <col min="24" max="26" width="20.7109375" style="69" customWidth="1"/>
    <col min="27" max="35" width="20.7109375" style="69" customWidth="1" outlineLevel="1"/>
    <col min="36" max="38" width="20.7109375" style="69"/>
    <col min="39" max="41" width="20.7109375" style="69" outlineLevel="1"/>
    <col min="42" max="42" width="19" style="69" customWidth="1" outlineLevel="1"/>
    <col min="43" max="43" width="20.7109375" style="69"/>
    <col min="44" max="44" width="27" style="69" customWidth="1"/>
    <col min="45" max="16384" width="20.7109375" style="69"/>
  </cols>
  <sheetData>
    <row r="1" spans="1:44" ht="33.75" x14ac:dyDescent="0.25">
      <c r="A1" s="64" t="s">
        <v>996</v>
      </c>
      <c r="B1" s="107" t="s">
        <v>455</v>
      </c>
      <c r="C1" s="64" t="s">
        <v>484</v>
      </c>
      <c r="D1" s="64" t="s">
        <v>485</v>
      </c>
      <c r="E1" s="64" t="s">
        <v>486</v>
      </c>
      <c r="F1" s="64" t="s">
        <v>487</v>
      </c>
      <c r="G1" s="64" t="s">
        <v>488</v>
      </c>
      <c r="H1" s="64" t="s">
        <v>489</v>
      </c>
      <c r="I1" s="64" t="s">
        <v>490</v>
      </c>
      <c r="J1" s="64" t="s">
        <v>491</v>
      </c>
      <c r="K1" s="64" t="s">
        <v>492</v>
      </c>
      <c r="L1" s="64" t="s">
        <v>493</v>
      </c>
      <c r="M1" s="64" t="s">
        <v>494</v>
      </c>
      <c r="N1" s="64" t="s">
        <v>495</v>
      </c>
      <c r="O1" s="64" t="s">
        <v>496</v>
      </c>
      <c r="P1" s="64" t="s">
        <v>497</v>
      </c>
      <c r="Q1" s="64" t="s">
        <v>498</v>
      </c>
      <c r="R1" s="64" t="s">
        <v>499</v>
      </c>
      <c r="S1" s="64" t="s">
        <v>500</v>
      </c>
      <c r="T1" s="64" t="s">
        <v>501</v>
      </c>
      <c r="U1" s="64" t="s">
        <v>502</v>
      </c>
      <c r="V1" s="64" t="s">
        <v>503</v>
      </c>
      <c r="W1" s="64" t="s">
        <v>504</v>
      </c>
      <c r="X1" s="64" t="s">
        <v>505</v>
      </c>
      <c r="Y1" s="75" t="s">
        <v>506</v>
      </c>
      <c r="Z1" s="75" t="s">
        <v>507</v>
      </c>
      <c r="AA1" s="75" t="s">
        <v>508</v>
      </c>
      <c r="AB1" s="75" t="s">
        <v>509</v>
      </c>
      <c r="AC1" s="75" t="s">
        <v>510</v>
      </c>
      <c r="AD1" s="75" t="s">
        <v>511</v>
      </c>
      <c r="AE1" s="73" t="s">
        <v>512</v>
      </c>
      <c r="AF1" s="71" t="s">
        <v>513</v>
      </c>
      <c r="AG1" s="71" t="s">
        <v>514</v>
      </c>
      <c r="AH1" s="73" t="s">
        <v>515</v>
      </c>
      <c r="AI1" s="71" t="s">
        <v>410</v>
      </c>
      <c r="AJ1" s="73" t="s">
        <v>516</v>
      </c>
      <c r="AK1" s="73" t="s">
        <v>429</v>
      </c>
      <c r="AL1" s="73" t="s">
        <v>428</v>
      </c>
      <c r="AM1" s="73" t="s">
        <v>427</v>
      </c>
      <c r="AN1" s="73" t="s">
        <v>517</v>
      </c>
      <c r="AO1" s="73" t="s">
        <v>425</v>
      </c>
      <c r="AP1" s="73" t="s">
        <v>424</v>
      </c>
      <c r="AQ1" s="73" t="s">
        <v>423</v>
      </c>
      <c r="AR1" s="73" t="s">
        <v>422</v>
      </c>
    </row>
    <row r="2" spans="1:44" s="67" customFormat="1" x14ac:dyDescent="0.25">
      <c r="A2" s="64" t="s">
        <v>214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44" ht="33.75" x14ac:dyDescent="0.25">
      <c r="A3" s="64" t="s">
        <v>1449</v>
      </c>
      <c r="B3" s="64" t="s">
        <v>32</v>
      </c>
      <c r="C3" s="77" t="s">
        <v>836</v>
      </c>
      <c r="D3" s="77" t="s">
        <v>837</v>
      </c>
      <c r="E3" s="77" t="s">
        <v>838</v>
      </c>
      <c r="F3" s="77" t="s">
        <v>839</v>
      </c>
      <c r="G3" s="77" t="s">
        <v>831</v>
      </c>
      <c r="H3" s="77" t="s">
        <v>840</v>
      </c>
      <c r="I3" s="77" t="s">
        <v>833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</row>
    <row r="4" spans="1:44" ht="22.5" x14ac:dyDescent="0.25">
      <c r="A4" s="64" t="s">
        <v>1450</v>
      </c>
      <c r="B4" s="64" t="s">
        <v>456</v>
      </c>
      <c r="C4" s="77" t="s">
        <v>841</v>
      </c>
      <c r="D4" s="77" t="s">
        <v>835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spans="1:44" ht="33.75" x14ac:dyDescent="0.25">
      <c r="A5" s="64" t="s">
        <v>1451</v>
      </c>
      <c r="B5" s="64" t="s">
        <v>32</v>
      </c>
      <c r="C5" s="77" t="s">
        <v>842</v>
      </c>
      <c r="D5" s="77" t="s">
        <v>843</v>
      </c>
      <c r="E5" s="77" t="s">
        <v>838</v>
      </c>
      <c r="F5" s="77" t="s">
        <v>999</v>
      </c>
      <c r="G5" s="77" t="s">
        <v>831</v>
      </c>
      <c r="H5" s="77" t="s">
        <v>845</v>
      </c>
      <c r="I5" s="77" t="s">
        <v>846</v>
      </c>
      <c r="J5" s="77" t="s">
        <v>833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</row>
    <row r="6" spans="1:44" ht="22.5" x14ac:dyDescent="0.25">
      <c r="A6" s="64" t="s">
        <v>1452</v>
      </c>
      <c r="B6" s="64" t="s">
        <v>456</v>
      </c>
      <c r="C6" s="77" t="s">
        <v>841</v>
      </c>
      <c r="D6" s="77" t="s">
        <v>835</v>
      </c>
      <c r="E6" s="77" t="s">
        <v>1000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</row>
    <row r="7" spans="1:44" ht="33.75" x14ac:dyDescent="0.25">
      <c r="A7" s="64" t="s">
        <v>1453</v>
      </c>
      <c r="B7" s="64" t="s">
        <v>32</v>
      </c>
      <c r="C7" s="77" t="s">
        <v>1001</v>
      </c>
      <c r="D7" s="77" t="s">
        <v>857</v>
      </c>
      <c r="E7" s="77" t="s">
        <v>858</v>
      </c>
      <c r="F7" s="77" t="s">
        <v>851</v>
      </c>
      <c r="G7" s="77" t="s">
        <v>852</v>
      </c>
      <c r="H7" s="77" t="s">
        <v>831</v>
      </c>
      <c r="I7" s="77" t="s">
        <v>845</v>
      </c>
      <c r="J7" s="77" t="s">
        <v>832</v>
      </c>
      <c r="K7" s="77" t="s">
        <v>833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</row>
    <row r="8" spans="1:44" ht="22.5" x14ac:dyDescent="0.25">
      <c r="A8" s="64" t="s">
        <v>1454</v>
      </c>
      <c r="B8" s="64" t="s">
        <v>456</v>
      </c>
      <c r="C8" s="77" t="s">
        <v>859</v>
      </c>
      <c r="D8" s="77" t="s">
        <v>854</v>
      </c>
      <c r="E8" s="77" t="s">
        <v>860</v>
      </c>
      <c r="F8" s="77" t="s">
        <v>841</v>
      </c>
      <c r="G8" s="77" t="s">
        <v>835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</row>
    <row r="9" spans="1:44" ht="33.75" x14ac:dyDescent="0.25">
      <c r="A9" s="64" t="s">
        <v>1455</v>
      </c>
      <c r="B9" s="64" t="s">
        <v>32</v>
      </c>
      <c r="C9" s="77" t="s">
        <v>1004</v>
      </c>
      <c r="D9" s="77" t="s">
        <v>857</v>
      </c>
      <c r="E9" s="77" t="s">
        <v>858</v>
      </c>
      <c r="F9" s="77" t="s">
        <v>851</v>
      </c>
      <c r="G9" s="77" t="s">
        <v>852</v>
      </c>
      <c r="H9" s="77" t="s">
        <v>831</v>
      </c>
      <c r="I9" s="77" t="s">
        <v>845</v>
      </c>
      <c r="J9" s="77" t="s">
        <v>832</v>
      </c>
      <c r="K9" s="77" t="s">
        <v>833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</row>
    <row r="10" spans="1:44" ht="22.5" x14ac:dyDescent="0.25">
      <c r="A10" s="64" t="s">
        <v>1456</v>
      </c>
      <c r="B10" s="64" t="s">
        <v>456</v>
      </c>
      <c r="C10" s="77" t="s">
        <v>859</v>
      </c>
      <c r="D10" s="77" t="s">
        <v>854</v>
      </c>
      <c r="E10" s="77" t="s">
        <v>860</v>
      </c>
      <c r="F10" s="77" t="s">
        <v>841</v>
      </c>
      <c r="G10" s="77" t="s">
        <v>835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</row>
    <row r="11" spans="1:44" ht="33.75" x14ac:dyDescent="0.25">
      <c r="A11" s="64" t="s">
        <v>1457</v>
      </c>
      <c r="B11" s="64" t="s">
        <v>32</v>
      </c>
      <c r="C11" s="77" t="s">
        <v>1004</v>
      </c>
      <c r="D11" s="77" t="s">
        <v>857</v>
      </c>
      <c r="E11" s="77" t="s">
        <v>858</v>
      </c>
      <c r="F11" s="77" t="s">
        <v>851</v>
      </c>
      <c r="G11" s="77" t="s">
        <v>852</v>
      </c>
      <c r="H11" s="77" t="s">
        <v>831</v>
      </c>
      <c r="I11" s="77" t="s">
        <v>845</v>
      </c>
      <c r="J11" s="77" t="s">
        <v>832</v>
      </c>
      <c r="K11" s="77" t="s">
        <v>833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</row>
    <row r="12" spans="1:44" ht="22.5" x14ac:dyDescent="0.25">
      <c r="A12" s="64" t="s">
        <v>1458</v>
      </c>
      <c r="B12" s="64" t="s">
        <v>456</v>
      </c>
      <c r="C12" s="77" t="s">
        <v>859</v>
      </c>
      <c r="D12" s="77" t="s">
        <v>854</v>
      </c>
      <c r="E12" s="77" t="s">
        <v>860</v>
      </c>
      <c r="F12" s="77" t="s">
        <v>841</v>
      </c>
      <c r="G12" s="77" t="s">
        <v>835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</row>
    <row r="13" spans="1:44" ht="33.75" x14ac:dyDescent="0.25">
      <c r="A13" s="64" t="s">
        <v>1459</v>
      </c>
      <c r="B13" s="64" t="s">
        <v>32</v>
      </c>
      <c r="C13" s="77" t="s">
        <v>1004</v>
      </c>
      <c r="D13" s="77" t="s">
        <v>857</v>
      </c>
      <c r="E13" s="77" t="s">
        <v>858</v>
      </c>
      <c r="F13" s="77" t="s">
        <v>851</v>
      </c>
      <c r="G13" s="77" t="s">
        <v>852</v>
      </c>
      <c r="H13" s="77" t="s">
        <v>831</v>
      </c>
      <c r="I13" s="77" t="s">
        <v>845</v>
      </c>
      <c r="J13" s="77" t="s">
        <v>832</v>
      </c>
      <c r="K13" s="77" t="s">
        <v>833</v>
      </c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</row>
    <row r="14" spans="1:44" ht="22.5" x14ac:dyDescent="0.25">
      <c r="A14" s="64" t="s">
        <v>1460</v>
      </c>
      <c r="B14" s="64" t="s">
        <v>456</v>
      </c>
      <c r="C14" s="77" t="s">
        <v>859</v>
      </c>
      <c r="D14" s="77" t="s">
        <v>854</v>
      </c>
      <c r="E14" s="77" t="s">
        <v>860</v>
      </c>
      <c r="F14" s="77" t="s">
        <v>841</v>
      </c>
      <c r="G14" s="77" t="s">
        <v>835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</row>
    <row r="15" spans="1:44" ht="33.75" x14ac:dyDescent="0.25">
      <c r="A15" s="64" t="s">
        <v>1461</v>
      </c>
      <c r="B15" s="64" t="s">
        <v>32</v>
      </c>
      <c r="C15" s="77" t="s">
        <v>1004</v>
      </c>
      <c r="D15" s="77" t="s">
        <v>857</v>
      </c>
      <c r="E15" s="77" t="s">
        <v>858</v>
      </c>
      <c r="F15" s="77" t="s">
        <v>851</v>
      </c>
      <c r="G15" s="77" t="s">
        <v>852</v>
      </c>
      <c r="H15" s="77" t="s">
        <v>831</v>
      </c>
      <c r="I15" s="77" t="s">
        <v>845</v>
      </c>
      <c r="J15" s="77" t="s">
        <v>832</v>
      </c>
      <c r="K15" s="77" t="s">
        <v>833</v>
      </c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</row>
    <row r="16" spans="1:44" ht="22.5" x14ac:dyDescent="0.25">
      <c r="A16" s="64" t="s">
        <v>1462</v>
      </c>
      <c r="B16" s="64" t="s">
        <v>456</v>
      </c>
      <c r="C16" s="77" t="s">
        <v>859</v>
      </c>
      <c r="D16" s="77" t="s">
        <v>854</v>
      </c>
      <c r="E16" s="77" t="s">
        <v>860</v>
      </c>
      <c r="F16" s="77" t="s">
        <v>841</v>
      </c>
      <c r="G16" s="77" t="s">
        <v>835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</row>
    <row r="17" spans="1:44" ht="33.75" x14ac:dyDescent="0.25">
      <c r="A17" s="64" t="s">
        <v>1463</v>
      </c>
      <c r="B17" s="64" t="s">
        <v>32</v>
      </c>
      <c r="C17" s="77" t="s">
        <v>1001</v>
      </c>
      <c r="D17" s="77" t="s">
        <v>849</v>
      </c>
      <c r="E17" s="77" t="s">
        <v>850</v>
      </c>
      <c r="F17" s="77" t="s">
        <v>851</v>
      </c>
      <c r="G17" s="77" t="s">
        <v>852</v>
      </c>
      <c r="H17" s="77" t="s">
        <v>831</v>
      </c>
      <c r="I17" s="77" t="s">
        <v>845</v>
      </c>
      <c r="J17" s="77" t="s">
        <v>832</v>
      </c>
      <c r="K17" s="77" t="s">
        <v>833</v>
      </c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</row>
    <row r="18" spans="1:44" ht="22.5" x14ac:dyDescent="0.25">
      <c r="A18" s="64" t="s">
        <v>1464</v>
      </c>
      <c r="B18" s="64" t="s">
        <v>456</v>
      </c>
      <c r="C18" s="77" t="s">
        <v>853</v>
      </c>
      <c r="D18" s="77" t="s">
        <v>1002</v>
      </c>
      <c r="E18" s="77" t="s">
        <v>1003</v>
      </c>
      <c r="F18" s="77" t="s">
        <v>841</v>
      </c>
      <c r="G18" s="77" t="s">
        <v>835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</row>
    <row r="19" spans="1:44" ht="33.75" x14ac:dyDescent="0.25">
      <c r="A19" s="64" t="s">
        <v>1465</v>
      </c>
      <c r="B19" s="64" t="s">
        <v>32</v>
      </c>
      <c r="C19" s="77" t="s">
        <v>1004</v>
      </c>
      <c r="D19" s="77" t="s">
        <v>849</v>
      </c>
      <c r="E19" s="77" t="s">
        <v>850</v>
      </c>
      <c r="F19" s="77" t="s">
        <v>851</v>
      </c>
      <c r="G19" s="77" t="s">
        <v>852</v>
      </c>
      <c r="H19" s="77" t="s">
        <v>831</v>
      </c>
      <c r="I19" s="77" t="s">
        <v>845</v>
      </c>
      <c r="J19" s="77" t="s">
        <v>832</v>
      </c>
      <c r="K19" s="77" t="s">
        <v>833</v>
      </c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</row>
    <row r="20" spans="1:44" ht="22.5" x14ac:dyDescent="0.25">
      <c r="A20" s="64" t="s">
        <v>1466</v>
      </c>
      <c r="B20" s="64" t="s">
        <v>456</v>
      </c>
      <c r="C20" s="77" t="s">
        <v>853</v>
      </c>
      <c r="D20" s="77" t="s">
        <v>1002</v>
      </c>
      <c r="E20" s="77" t="s">
        <v>1003</v>
      </c>
      <c r="F20" s="77" t="s">
        <v>841</v>
      </c>
      <c r="G20" s="77" t="s">
        <v>835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</row>
    <row r="21" spans="1:44" ht="33.75" x14ac:dyDescent="0.25">
      <c r="A21" s="64" t="s">
        <v>1467</v>
      </c>
      <c r="B21" s="64" t="s">
        <v>32</v>
      </c>
      <c r="C21" s="77" t="s">
        <v>1004</v>
      </c>
      <c r="D21" s="77" t="s">
        <v>849</v>
      </c>
      <c r="E21" s="77" t="s">
        <v>850</v>
      </c>
      <c r="F21" s="77" t="s">
        <v>851</v>
      </c>
      <c r="G21" s="77" t="s">
        <v>852</v>
      </c>
      <c r="H21" s="77" t="s">
        <v>831</v>
      </c>
      <c r="I21" s="77" t="s">
        <v>845</v>
      </c>
      <c r="J21" s="77" t="s">
        <v>832</v>
      </c>
      <c r="K21" s="77" t="s">
        <v>833</v>
      </c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</row>
    <row r="22" spans="1:44" ht="22.5" x14ac:dyDescent="0.25">
      <c r="A22" s="64" t="s">
        <v>1468</v>
      </c>
      <c r="B22" s="64" t="s">
        <v>456</v>
      </c>
      <c r="C22" s="77" t="s">
        <v>853</v>
      </c>
      <c r="D22" s="77" t="s">
        <v>1002</v>
      </c>
      <c r="E22" s="77" t="s">
        <v>1003</v>
      </c>
      <c r="F22" s="77" t="s">
        <v>841</v>
      </c>
      <c r="G22" s="77" t="s">
        <v>835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</row>
    <row r="23" spans="1:44" ht="33.75" x14ac:dyDescent="0.25">
      <c r="A23" s="64" t="s">
        <v>1469</v>
      </c>
      <c r="B23" s="64" t="s">
        <v>32</v>
      </c>
      <c r="C23" s="77" t="s">
        <v>1004</v>
      </c>
      <c r="D23" s="77" t="s">
        <v>849</v>
      </c>
      <c r="E23" s="77" t="s">
        <v>850</v>
      </c>
      <c r="F23" s="77" t="s">
        <v>851</v>
      </c>
      <c r="G23" s="77" t="s">
        <v>852</v>
      </c>
      <c r="H23" s="77" t="s">
        <v>831</v>
      </c>
      <c r="I23" s="77" t="s">
        <v>845</v>
      </c>
      <c r="J23" s="77" t="s">
        <v>832</v>
      </c>
      <c r="K23" s="77" t="s">
        <v>833</v>
      </c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</row>
    <row r="24" spans="1:44" ht="22.5" x14ac:dyDescent="0.25">
      <c r="A24" s="64" t="s">
        <v>1470</v>
      </c>
      <c r="B24" s="64" t="s">
        <v>456</v>
      </c>
      <c r="C24" s="77" t="s">
        <v>853</v>
      </c>
      <c r="D24" s="77" t="s">
        <v>1002</v>
      </c>
      <c r="E24" s="77" t="s">
        <v>1003</v>
      </c>
      <c r="F24" s="77" t="s">
        <v>841</v>
      </c>
      <c r="G24" s="77" t="s">
        <v>835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</row>
    <row r="25" spans="1:44" ht="33.75" x14ac:dyDescent="0.25">
      <c r="A25" s="64" t="s">
        <v>1471</v>
      </c>
      <c r="B25" s="64" t="s">
        <v>32</v>
      </c>
      <c r="C25" s="77" t="s">
        <v>1004</v>
      </c>
      <c r="D25" s="77" t="s">
        <v>849</v>
      </c>
      <c r="E25" s="77" t="s">
        <v>850</v>
      </c>
      <c r="F25" s="77" t="s">
        <v>851</v>
      </c>
      <c r="G25" s="77" t="s">
        <v>852</v>
      </c>
      <c r="H25" s="77" t="s">
        <v>831</v>
      </c>
      <c r="I25" s="77" t="s">
        <v>845</v>
      </c>
      <c r="J25" s="77" t="s">
        <v>832</v>
      </c>
      <c r="K25" s="77" t="s">
        <v>833</v>
      </c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</row>
    <row r="26" spans="1:44" ht="22.5" x14ac:dyDescent="0.25">
      <c r="A26" s="64" t="s">
        <v>1472</v>
      </c>
      <c r="B26" s="64" t="s">
        <v>456</v>
      </c>
      <c r="C26" s="77" t="s">
        <v>853</v>
      </c>
      <c r="D26" s="77" t="s">
        <v>1002</v>
      </c>
      <c r="E26" s="77" t="s">
        <v>1003</v>
      </c>
      <c r="F26" s="77" t="s">
        <v>841</v>
      </c>
      <c r="G26" s="77" t="s">
        <v>835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</row>
    <row r="27" spans="1:44" ht="33.75" x14ac:dyDescent="0.25">
      <c r="A27" s="64" t="s">
        <v>1683</v>
      </c>
      <c r="B27" s="64" t="s">
        <v>32</v>
      </c>
      <c r="C27" s="77" t="s">
        <v>827</v>
      </c>
      <c r="D27" s="77" t="s">
        <v>828</v>
      </c>
      <c r="E27" s="77" t="s">
        <v>829</v>
      </c>
      <c r="F27" s="77" t="s">
        <v>839</v>
      </c>
      <c r="G27" s="77" t="s">
        <v>831</v>
      </c>
      <c r="H27" s="77" t="s">
        <v>832</v>
      </c>
      <c r="I27" s="77" t="s">
        <v>833</v>
      </c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</row>
    <row r="28" spans="1:44" ht="22.5" x14ac:dyDescent="0.25">
      <c r="A28" s="64" t="s">
        <v>1684</v>
      </c>
      <c r="B28" s="64" t="s">
        <v>456</v>
      </c>
      <c r="C28" s="77" t="s">
        <v>841</v>
      </c>
      <c r="D28" s="77" t="s">
        <v>835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</row>
    <row r="29" spans="1:44" ht="33.75" x14ac:dyDescent="0.25">
      <c r="A29" s="64" t="s">
        <v>1685</v>
      </c>
      <c r="B29" s="64" t="s">
        <v>32</v>
      </c>
      <c r="C29" s="77" t="s">
        <v>836</v>
      </c>
      <c r="D29" s="77" t="s">
        <v>837</v>
      </c>
      <c r="E29" s="77" t="s">
        <v>838</v>
      </c>
      <c r="F29" s="77" t="s">
        <v>839</v>
      </c>
      <c r="G29" s="77" t="s">
        <v>831</v>
      </c>
      <c r="H29" s="77" t="s">
        <v>840</v>
      </c>
      <c r="I29" s="77" t="s">
        <v>833</v>
      </c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</row>
    <row r="30" spans="1:44" ht="22.5" x14ac:dyDescent="0.25">
      <c r="A30" s="64" t="s">
        <v>1686</v>
      </c>
      <c r="B30" s="64" t="s">
        <v>456</v>
      </c>
      <c r="C30" s="77" t="s">
        <v>841</v>
      </c>
      <c r="D30" s="77" t="s">
        <v>835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</row>
    <row r="31" spans="1:44" ht="33.75" x14ac:dyDescent="0.25">
      <c r="A31" s="64" t="s">
        <v>1687</v>
      </c>
      <c r="B31" s="64" t="s">
        <v>32</v>
      </c>
      <c r="C31" s="77" t="s">
        <v>836</v>
      </c>
      <c r="D31" s="77" t="s">
        <v>837</v>
      </c>
      <c r="E31" s="77" t="s">
        <v>838</v>
      </c>
      <c r="F31" s="77" t="s">
        <v>839</v>
      </c>
      <c r="G31" s="77" t="s">
        <v>831</v>
      </c>
      <c r="H31" s="77" t="s">
        <v>840</v>
      </c>
      <c r="I31" s="77" t="s">
        <v>833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</row>
    <row r="32" spans="1:44" ht="22.5" x14ac:dyDescent="0.25">
      <c r="A32" s="64" t="s">
        <v>1688</v>
      </c>
      <c r="B32" s="64" t="s">
        <v>456</v>
      </c>
      <c r="C32" s="77" t="s">
        <v>841</v>
      </c>
      <c r="D32" s="77" t="s">
        <v>835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</row>
    <row r="33" spans="1:44" ht="33.75" x14ac:dyDescent="0.25">
      <c r="A33" s="64" t="s">
        <v>1689</v>
      </c>
      <c r="B33" s="64" t="s">
        <v>32</v>
      </c>
      <c r="C33" s="77" t="s">
        <v>842</v>
      </c>
      <c r="D33" s="77" t="s">
        <v>843</v>
      </c>
      <c r="E33" s="77" t="s">
        <v>838</v>
      </c>
      <c r="F33" s="77" t="s">
        <v>1139</v>
      </c>
      <c r="G33" s="77" t="s">
        <v>831</v>
      </c>
      <c r="H33" s="77" t="s">
        <v>845</v>
      </c>
      <c r="I33" s="77" t="s">
        <v>846</v>
      </c>
      <c r="J33" s="77" t="s">
        <v>833</v>
      </c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</row>
    <row r="34" spans="1:44" ht="22.5" x14ac:dyDescent="0.25">
      <c r="A34" s="64" t="s">
        <v>1690</v>
      </c>
      <c r="B34" s="64" t="s">
        <v>456</v>
      </c>
      <c r="C34" s="77" t="s">
        <v>841</v>
      </c>
      <c r="D34" s="77" t="s">
        <v>835</v>
      </c>
      <c r="E34" s="77" t="s">
        <v>1000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</row>
    <row r="35" spans="1:44" ht="33.75" x14ac:dyDescent="0.25">
      <c r="A35" s="64" t="s">
        <v>1691</v>
      </c>
      <c r="B35" s="64" t="s">
        <v>32</v>
      </c>
      <c r="C35" s="77" t="s">
        <v>1001</v>
      </c>
      <c r="D35" s="77" t="s">
        <v>857</v>
      </c>
      <c r="E35" s="77" t="s">
        <v>858</v>
      </c>
      <c r="F35" s="77" t="s">
        <v>851</v>
      </c>
      <c r="G35" s="77" t="s">
        <v>852</v>
      </c>
      <c r="H35" s="77" t="s">
        <v>831</v>
      </c>
      <c r="I35" s="77" t="s">
        <v>845</v>
      </c>
      <c r="J35" s="77" t="s">
        <v>832</v>
      </c>
      <c r="K35" s="77" t="s">
        <v>833</v>
      </c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</row>
    <row r="36" spans="1:44" ht="22.5" x14ac:dyDescent="0.25">
      <c r="A36" s="64" t="s">
        <v>1692</v>
      </c>
      <c r="B36" s="64" t="s">
        <v>456</v>
      </c>
      <c r="C36" s="77" t="s">
        <v>859</v>
      </c>
      <c r="D36" s="77" t="s">
        <v>854</v>
      </c>
      <c r="E36" s="77" t="s">
        <v>860</v>
      </c>
      <c r="F36" s="77" t="s">
        <v>841</v>
      </c>
      <c r="G36" s="77" t="s">
        <v>835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</row>
    <row r="37" spans="1:44" ht="33.75" x14ac:dyDescent="0.25">
      <c r="A37" s="64" t="s">
        <v>1693</v>
      </c>
      <c r="B37" s="64" t="s">
        <v>32</v>
      </c>
      <c r="C37" s="77" t="s">
        <v>1004</v>
      </c>
      <c r="D37" s="77" t="s">
        <v>857</v>
      </c>
      <c r="E37" s="77" t="s">
        <v>858</v>
      </c>
      <c r="F37" s="77" t="s">
        <v>851</v>
      </c>
      <c r="G37" s="77" t="s">
        <v>852</v>
      </c>
      <c r="H37" s="77" t="s">
        <v>831</v>
      </c>
      <c r="I37" s="77" t="s">
        <v>845</v>
      </c>
      <c r="J37" s="77" t="s">
        <v>832</v>
      </c>
      <c r="K37" s="77" t="s">
        <v>833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</row>
    <row r="38" spans="1:44" ht="22.5" x14ac:dyDescent="0.25">
      <c r="A38" s="64" t="s">
        <v>1694</v>
      </c>
      <c r="B38" s="64" t="s">
        <v>456</v>
      </c>
      <c r="C38" s="77" t="s">
        <v>859</v>
      </c>
      <c r="D38" s="77" t="s">
        <v>854</v>
      </c>
      <c r="E38" s="77" t="s">
        <v>860</v>
      </c>
      <c r="F38" s="77" t="s">
        <v>841</v>
      </c>
      <c r="G38" s="77" t="s">
        <v>835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</row>
    <row r="39" spans="1:44" ht="33.75" x14ac:dyDescent="0.25">
      <c r="A39" s="64" t="s">
        <v>1695</v>
      </c>
      <c r="B39" s="64" t="s">
        <v>32</v>
      </c>
      <c r="C39" s="77" t="s">
        <v>1004</v>
      </c>
      <c r="D39" s="77" t="s">
        <v>857</v>
      </c>
      <c r="E39" s="77" t="s">
        <v>858</v>
      </c>
      <c r="F39" s="77" t="s">
        <v>851</v>
      </c>
      <c r="G39" s="77" t="s">
        <v>852</v>
      </c>
      <c r="H39" s="77" t="s">
        <v>831</v>
      </c>
      <c r="I39" s="77" t="s">
        <v>845</v>
      </c>
      <c r="J39" s="77" t="s">
        <v>832</v>
      </c>
      <c r="K39" s="77" t="s">
        <v>833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</row>
    <row r="40" spans="1:44" ht="22.5" x14ac:dyDescent="0.25">
      <c r="A40" s="64" t="s">
        <v>1696</v>
      </c>
      <c r="B40" s="64" t="s">
        <v>456</v>
      </c>
      <c r="C40" s="77" t="s">
        <v>859</v>
      </c>
      <c r="D40" s="77" t="s">
        <v>854</v>
      </c>
      <c r="E40" s="77" t="s">
        <v>860</v>
      </c>
      <c r="F40" s="77" t="s">
        <v>841</v>
      </c>
      <c r="G40" s="77" t="s">
        <v>835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</row>
    <row r="41" spans="1:44" ht="33.75" x14ac:dyDescent="0.25">
      <c r="A41" s="64" t="s">
        <v>1697</v>
      </c>
      <c r="B41" s="64" t="s">
        <v>32</v>
      </c>
      <c r="C41" s="77" t="s">
        <v>1004</v>
      </c>
      <c r="D41" s="77" t="s">
        <v>857</v>
      </c>
      <c r="E41" s="77" t="s">
        <v>858</v>
      </c>
      <c r="F41" s="77" t="s">
        <v>851</v>
      </c>
      <c r="G41" s="77" t="s">
        <v>852</v>
      </c>
      <c r="H41" s="77" t="s">
        <v>831</v>
      </c>
      <c r="I41" s="77" t="s">
        <v>845</v>
      </c>
      <c r="J41" s="77" t="s">
        <v>832</v>
      </c>
      <c r="K41" s="77" t="s">
        <v>833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</row>
    <row r="42" spans="1:44" ht="22.5" x14ac:dyDescent="0.25">
      <c r="A42" s="64" t="s">
        <v>1698</v>
      </c>
      <c r="B42" s="64" t="s">
        <v>456</v>
      </c>
      <c r="C42" s="77" t="s">
        <v>859</v>
      </c>
      <c r="D42" s="77" t="s">
        <v>854</v>
      </c>
      <c r="E42" s="77" t="s">
        <v>860</v>
      </c>
      <c r="F42" s="77" t="s">
        <v>841</v>
      </c>
      <c r="G42" s="77" t="s">
        <v>835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</row>
    <row r="43" spans="1:44" ht="33.75" x14ac:dyDescent="0.25">
      <c r="A43" s="64" t="s">
        <v>1699</v>
      </c>
      <c r="B43" s="64" t="s">
        <v>32</v>
      </c>
      <c r="C43" s="77" t="s">
        <v>1004</v>
      </c>
      <c r="D43" s="77" t="s">
        <v>857</v>
      </c>
      <c r="E43" s="77" t="s">
        <v>858</v>
      </c>
      <c r="F43" s="77" t="s">
        <v>851</v>
      </c>
      <c r="G43" s="77" t="s">
        <v>852</v>
      </c>
      <c r="H43" s="77" t="s">
        <v>831</v>
      </c>
      <c r="I43" s="77" t="s">
        <v>845</v>
      </c>
      <c r="J43" s="77" t="s">
        <v>832</v>
      </c>
      <c r="K43" s="77" t="s">
        <v>833</v>
      </c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</row>
    <row r="44" spans="1:44" ht="22.5" x14ac:dyDescent="0.25">
      <c r="A44" s="64" t="s">
        <v>1700</v>
      </c>
      <c r="B44" s="64" t="s">
        <v>456</v>
      </c>
      <c r="C44" s="77" t="s">
        <v>859</v>
      </c>
      <c r="D44" s="77" t="s">
        <v>854</v>
      </c>
      <c r="E44" s="77" t="s">
        <v>860</v>
      </c>
      <c r="F44" s="77" t="s">
        <v>841</v>
      </c>
      <c r="G44" s="77" t="s">
        <v>835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</row>
    <row r="45" spans="1:44" ht="33.75" x14ac:dyDescent="0.25">
      <c r="A45" s="64" t="s">
        <v>1701</v>
      </c>
      <c r="B45" s="64" t="s">
        <v>32</v>
      </c>
      <c r="C45" s="77" t="s">
        <v>1004</v>
      </c>
      <c r="D45" s="77" t="s">
        <v>857</v>
      </c>
      <c r="E45" s="77" t="s">
        <v>858</v>
      </c>
      <c r="F45" s="77" t="s">
        <v>851</v>
      </c>
      <c r="G45" s="77" t="s">
        <v>852</v>
      </c>
      <c r="H45" s="77" t="s">
        <v>831</v>
      </c>
      <c r="I45" s="77" t="s">
        <v>845</v>
      </c>
      <c r="J45" s="77" t="s">
        <v>832</v>
      </c>
      <c r="K45" s="77" t="s">
        <v>833</v>
      </c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</row>
    <row r="46" spans="1:44" ht="22.5" x14ac:dyDescent="0.25">
      <c r="A46" s="64" t="s">
        <v>1702</v>
      </c>
      <c r="B46" s="64" t="s">
        <v>456</v>
      </c>
      <c r="C46" s="77" t="s">
        <v>859</v>
      </c>
      <c r="D46" s="77" t="s">
        <v>854</v>
      </c>
      <c r="E46" s="77" t="s">
        <v>860</v>
      </c>
      <c r="F46" s="77" t="s">
        <v>841</v>
      </c>
      <c r="G46" s="77" t="s">
        <v>835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</row>
    <row r="47" spans="1:44" ht="33.75" x14ac:dyDescent="0.25">
      <c r="A47" s="64" t="s">
        <v>1703</v>
      </c>
      <c r="B47" s="64" t="s">
        <v>32</v>
      </c>
      <c r="C47" s="77" t="s">
        <v>1004</v>
      </c>
      <c r="D47" s="77" t="s">
        <v>857</v>
      </c>
      <c r="E47" s="77" t="s">
        <v>858</v>
      </c>
      <c r="F47" s="77" t="s">
        <v>851</v>
      </c>
      <c r="G47" s="77" t="s">
        <v>852</v>
      </c>
      <c r="H47" s="77" t="s">
        <v>831</v>
      </c>
      <c r="I47" s="77" t="s">
        <v>845</v>
      </c>
      <c r="J47" s="77" t="s">
        <v>832</v>
      </c>
      <c r="K47" s="77" t="s">
        <v>833</v>
      </c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</row>
    <row r="48" spans="1:44" ht="22.5" x14ac:dyDescent="0.25">
      <c r="A48" s="64" t="s">
        <v>1704</v>
      </c>
      <c r="B48" s="64" t="s">
        <v>456</v>
      </c>
      <c r="C48" s="77" t="s">
        <v>859</v>
      </c>
      <c r="D48" s="77" t="s">
        <v>854</v>
      </c>
      <c r="E48" s="77" t="s">
        <v>860</v>
      </c>
      <c r="F48" s="77" t="s">
        <v>841</v>
      </c>
      <c r="G48" s="77" t="s">
        <v>835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</row>
    <row r="49" spans="1:44" ht="33.75" x14ac:dyDescent="0.25">
      <c r="A49" s="64" t="s">
        <v>1705</v>
      </c>
      <c r="B49" s="64" t="s">
        <v>32</v>
      </c>
      <c r="C49" s="77" t="s">
        <v>1001</v>
      </c>
      <c r="D49" s="77" t="s">
        <v>849</v>
      </c>
      <c r="E49" s="77" t="s">
        <v>850</v>
      </c>
      <c r="F49" s="77" t="s">
        <v>851</v>
      </c>
      <c r="G49" s="77" t="s">
        <v>852</v>
      </c>
      <c r="H49" s="77" t="s">
        <v>831</v>
      </c>
      <c r="I49" s="77" t="s">
        <v>845</v>
      </c>
      <c r="J49" s="77" t="s">
        <v>832</v>
      </c>
      <c r="K49" s="77" t="s">
        <v>833</v>
      </c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</row>
    <row r="50" spans="1:44" ht="22.5" x14ac:dyDescent="0.25">
      <c r="A50" s="64" t="s">
        <v>1706</v>
      </c>
      <c r="B50" s="64" t="s">
        <v>456</v>
      </c>
      <c r="C50" s="77" t="s">
        <v>853</v>
      </c>
      <c r="D50" s="77" t="s">
        <v>1002</v>
      </c>
      <c r="E50" s="77" t="s">
        <v>1003</v>
      </c>
      <c r="F50" s="77" t="s">
        <v>841</v>
      </c>
      <c r="G50" s="77" t="s">
        <v>835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</row>
    <row r="51" spans="1:44" ht="33.75" x14ac:dyDescent="0.25">
      <c r="A51" s="64" t="s">
        <v>1707</v>
      </c>
      <c r="B51" s="64" t="s">
        <v>32</v>
      </c>
      <c r="C51" s="77" t="s">
        <v>1004</v>
      </c>
      <c r="D51" s="77" t="s">
        <v>849</v>
      </c>
      <c r="E51" s="77" t="s">
        <v>850</v>
      </c>
      <c r="F51" s="77" t="s">
        <v>851</v>
      </c>
      <c r="G51" s="77" t="s">
        <v>852</v>
      </c>
      <c r="H51" s="77" t="s">
        <v>831</v>
      </c>
      <c r="I51" s="77" t="s">
        <v>845</v>
      </c>
      <c r="J51" s="77" t="s">
        <v>832</v>
      </c>
      <c r="K51" s="77" t="s">
        <v>833</v>
      </c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</row>
    <row r="52" spans="1:44" ht="22.5" x14ac:dyDescent="0.25">
      <c r="A52" s="64" t="s">
        <v>1708</v>
      </c>
      <c r="B52" s="64" t="s">
        <v>456</v>
      </c>
      <c r="C52" s="77" t="s">
        <v>853</v>
      </c>
      <c r="D52" s="77" t="s">
        <v>1002</v>
      </c>
      <c r="E52" s="77" t="s">
        <v>1003</v>
      </c>
      <c r="F52" s="77" t="s">
        <v>841</v>
      </c>
      <c r="G52" s="77" t="s">
        <v>835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</row>
    <row r="53" spans="1:44" ht="33.75" x14ac:dyDescent="0.25">
      <c r="A53" s="64" t="s">
        <v>1709</v>
      </c>
      <c r="B53" s="64" t="s">
        <v>32</v>
      </c>
      <c r="C53" s="77" t="s">
        <v>1004</v>
      </c>
      <c r="D53" s="77" t="s">
        <v>849</v>
      </c>
      <c r="E53" s="77" t="s">
        <v>850</v>
      </c>
      <c r="F53" s="77" t="s">
        <v>851</v>
      </c>
      <c r="G53" s="77" t="s">
        <v>852</v>
      </c>
      <c r="H53" s="77" t="s">
        <v>831</v>
      </c>
      <c r="I53" s="77" t="s">
        <v>845</v>
      </c>
      <c r="J53" s="77" t="s">
        <v>832</v>
      </c>
      <c r="K53" s="77" t="s">
        <v>833</v>
      </c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</row>
    <row r="54" spans="1:44" ht="22.5" x14ac:dyDescent="0.25">
      <c r="A54" s="64" t="s">
        <v>1710</v>
      </c>
      <c r="B54" s="64" t="s">
        <v>456</v>
      </c>
      <c r="C54" s="77" t="s">
        <v>853</v>
      </c>
      <c r="D54" s="77" t="s">
        <v>1002</v>
      </c>
      <c r="E54" s="77" t="s">
        <v>1003</v>
      </c>
      <c r="F54" s="77" t="s">
        <v>841</v>
      </c>
      <c r="G54" s="77" t="s">
        <v>835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</row>
    <row r="55" spans="1:44" ht="33.75" x14ac:dyDescent="0.25">
      <c r="A55" s="64" t="s">
        <v>1711</v>
      </c>
      <c r="B55" s="64" t="s">
        <v>32</v>
      </c>
      <c r="C55" s="77" t="s">
        <v>1004</v>
      </c>
      <c r="D55" s="77" t="s">
        <v>849</v>
      </c>
      <c r="E55" s="77" t="s">
        <v>850</v>
      </c>
      <c r="F55" s="77" t="s">
        <v>851</v>
      </c>
      <c r="G55" s="77" t="s">
        <v>852</v>
      </c>
      <c r="H55" s="77" t="s">
        <v>831</v>
      </c>
      <c r="I55" s="77" t="s">
        <v>845</v>
      </c>
      <c r="J55" s="77" t="s">
        <v>832</v>
      </c>
      <c r="K55" s="77" t="s">
        <v>833</v>
      </c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</row>
    <row r="56" spans="1:44" ht="22.5" x14ac:dyDescent="0.25">
      <c r="A56" s="64" t="s">
        <v>1712</v>
      </c>
      <c r="B56" s="64" t="s">
        <v>456</v>
      </c>
      <c r="C56" s="77" t="s">
        <v>853</v>
      </c>
      <c r="D56" s="77" t="s">
        <v>1002</v>
      </c>
      <c r="E56" s="77" t="s">
        <v>1003</v>
      </c>
      <c r="F56" s="77" t="s">
        <v>841</v>
      </c>
      <c r="G56" s="77" t="s">
        <v>835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  <row r="57" spans="1:44" ht="33.75" x14ac:dyDescent="0.25">
      <c r="A57" s="64" t="s">
        <v>1713</v>
      </c>
      <c r="B57" s="64" t="s">
        <v>32</v>
      </c>
      <c r="C57" s="77" t="s">
        <v>1004</v>
      </c>
      <c r="D57" s="77" t="s">
        <v>849</v>
      </c>
      <c r="E57" s="77" t="s">
        <v>850</v>
      </c>
      <c r="F57" s="77" t="s">
        <v>851</v>
      </c>
      <c r="G57" s="77" t="s">
        <v>852</v>
      </c>
      <c r="H57" s="77" t="s">
        <v>831</v>
      </c>
      <c r="I57" s="77" t="s">
        <v>845</v>
      </c>
      <c r="J57" s="77" t="s">
        <v>832</v>
      </c>
      <c r="K57" s="77" t="s">
        <v>833</v>
      </c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</row>
    <row r="58" spans="1:44" ht="22.5" x14ac:dyDescent="0.25">
      <c r="A58" s="64" t="s">
        <v>1714</v>
      </c>
      <c r="B58" s="64" t="s">
        <v>456</v>
      </c>
      <c r="C58" s="77" t="s">
        <v>853</v>
      </c>
      <c r="D58" s="77" t="s">
        <v>1002</v>
      </c>
      <c r="E58" s="77" t="s">
        <v>1003</v>
      </c>
      <c r="F58" s="77" t="s">
        <v>841</v>
      </c>
      <c r="G58" s="77" t="s">
        <v>835</v>
      </c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</row>
    <row r="59" spans="1:44" ht="33.75" x14ac:dyDescent="0.25">
      <c r="A59" s="64" t="s">
        <v>1715</v>
      </c>
      <c r="B59" s="64" t="s">
        <v>32</v>
      </c>
      <c r="C59" s="77" t="s">
        <v>1140</v>
      </c>
      <c r="D59" s="77" t="s">
        <v>1141</v>
      </c>
      <c r="E59" s="77" t="s">
        <v>850</v>
      </c>
      <c r="F59" s="77" t="s">
        <v>851</v>
      </c>
      <c r="G59" s="77" t="s">
        <v>852</v>
      </c>
      <c r="H59" s="77" t="s">
        <v>831</v>
      </c>
      <c r="I59" s="77" t="s">
        <v>845</v>
      </c>
      <c r="J59" s="77" t="s">
        <v>832</v>
      </c>
      <c r="K59" s="77" t="s">
        <v>833</v>
      </c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</row>
    <row r="60" spans="1:44" ht="22.5" x14ac:dyDescent="0.25">
      <c r="A60" s="64" t="s">
        <v>1716</v>
      </c>
      <c r="B60" s="64" t="s">
        <v>456</v>
      </c>
      <c r="C60" s="77" t="s">
        <v>853</v>
      </c>
      <c r="D60" s="77" t="s">
        <v>1002</v>
      </c>
      <c r="E60" s="77" t="s">
        <v>1142</v>
      </c>
      <c r="F60" s="77" t="s">
        <v>841</v>
      </c>
      <c r="G60" s="77" t="s">
        <v>835</v>
      </c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</row>
    <row r="61" spans="1:44" ht="33.75" x14ac:dyDescent="0.25">
      <c r="A61" s="64" t="s">
        <v>1717</v>
      </c>
      <c r="B61" s="64" t="s">
        <v>32</v>
      </c>
      <c r="C61" s="77" t="s">
        <v>1140</v>
      </c>
      <c r="D61" s="77" t="s">
        <v>1141</v>
      </c>
      <c r="E61" s="77" t="s">
        <v>850</v>
      </c>
      <c r="F61" s="77" t="s">
        <v>851</v>
      </c>
      <c r="G61" s="77" t="s">
        <v>852</v>
      </c>
      <c r="H61" s="77" t="s">
        <v>831</v>
      </c>
      <c r="I61" s="77" t="s">
        <v>845</v>
      </c>
      <c r="J61" s="77" t="s">
        <v>832</v>
      </c>
      <c r="K61" s="77" t="s">
        <v>833</v>
      </c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</row>
    <row r="62" spans="1:44" ht="22.5" x14ac:dyDescent="0.25">
      <c r="A62" s="64" t="s">
        <v>1718</v>
      </c>
      <c r="B62" s="64" t="s">
        <v>456</v>
      </c>
      <c r="C62" s="77" t="s">
        <v>853</v>
      </c>
      <c r="D62" s="77" t="s">
        <v>1002</v>
      </c>
      <c r="E62" s="77" t="s">
        <v>1142</v>
      </c>
      <c r="F62" s="77" t="s">
        <v>841</v>
      </c>
      <c r="G62" s="77" t="s">
        <v>835</v>
      </c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</row>
    <row r="63" spans="1:44" ht="33.75" x14ac:dyDescent="0.25">
      <c r="A63" s="64" t="s">
        <v>1719</v>
      </c>
      <c r="B63" s="64" t="s">
        <v>32</v>
      </c>
      <c r="C63" s="77" t="s">
        <v>1143</v>
      </c>
      <c r="D63" s="77" t="s">
        <v>1144</v>
      </c>
      <c r="E63" s="77" t="s">
        <v>1145</v>
      </c>
      <c r="F63" s="77" t="s">
        <v>851</v>
      </c>
      <c r="G63" s="77" t="s">
        <v>852</v>
      </c>
      <c r="H63" s="77" t="s">
        <v>831</v>
      </c>
      <c r="I63" s="77" t="s">
        <v>845</v>
      </c>
      <c r="J63" s="77" t="s">
        <v>1146</v>
      </c>
      <c r="K63" s="77" t="s">
        <v>833</v>
      </c>
      <c r="L63" s="77" t="s">
        <v>504</v>
      </c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</row>
    <row r="64" spans="1:44" ht="33.75" x14ac:dyDescent="0.25">
      <c r="A64" s="64" t="s">
        <v>1720</v>
      </c>
      <c r="B64" s="64" t="s">
        <v>456</v>
      </c>
      <c r="C64" s="77" t="s">
        <v>1147</v>
      </c>
      <c r="D64" s="77" t="s">
        <v>841</v>
      </c>
      <c r="E64" s="77" t="s">
        <v>835</v>
      </c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</row>
    <row r="65" spans="1:44" ht="33.75" x14ac:dyDescent="0.25">
      <c r="A65" s="64" t="s">
        <v>1721</v>
      </c>
      <c r="B65" s="107" t="s">
        <v>32</v>
      </c>
      <c r="C65" s="77" t="s">
        <v>1112</v>
      </c>
      <c r="D65" s="77" t="s">
        <v>1113</v>
      </c>
      <c r="E65" s="77" t="s">
        <v>1114</v>
      </c>
      <c r="F65" s="77" t="s">
        <v>851</v>
      </c>
      <c r="G65" s="77" t="s">
        <v>852</v>
      </c>
      <c r="H65" s="77" t="s">
        <v>831</v>
      </c>
      <c r="I65" s="77" t="s">
        <v>845</v>
      </c>
      <c r="J65" s="77" t="s">
        <v>832</v>
      </c>
      <c r="K65" s="77" t="s">
        <v>1115</v>
      </c>
      <c r="L65" s="77" t="s">
        <v>1116</v>
      </c>
      <c r="M65" s="77" t="s">
        <v>1117</v>
      </c>
      <c r="N65" s="77" t="s">
        <v>1118</v>
      </c>
      <c r="O65" s="77" t="s">
        <v>1119</v>
      </c>
      <c r="P65" s="77" t="s">
        <v>1120</v>
      </c>
      <c r="Q65" s="77" t="s">
        <v>1121</v>
      </c>
      <c r="R65" s="77" t="s">
        <v>1122</v>
      </c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</row>
    <row r="66" spans="1:44" ht="22.5" x14ac:dyDescent="0.25">
      <c r="A66" s="64" t="s">
        <v>1722</v>
      </c>
      <c r="B66" s="107" t="s">
        <v>456</v>
      </c>
      <c r="C66" s="77" t="s">
        <v>2633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</row>
    <row r="67" spans="1:44" ht="33.75" x14ac:dyDescent="0.25">
      <c r="A67" s="64" t="s">
        <v>1723</v>
      </c>
      <c r="B67" s="107" t="s">
        <v>32</v>
      </c>
      <c r="C67" s="77" t="s">
        <v>1112</v>
      </c>
      <c r="D67" s="77" t="s">
        <v>1113</v>
      </c>
      <c r="E67" s="77" t="s">
        <v>1114</v>
      </c>
      <c r="F67" s="77" t="s">
        <v>851</v>
      </c>
      <c r="G67" s="77" t="s">
        <v>852</v>
      </c>
      <c r="H67" s="77" t="s">
        <v>831</v>
      </c>
      <c r="I67" s="77" t="s">
        <v>845</v>
      </c>
      <c r="J67" s="77" t="s">
        <v>832</v>
      </c>
      <c r="K67" s="77" t="s">
        <v>1115</v>
      </c>
      <c r="L67" s="77" t="s">
        <v>1116</v>
      </c>
      <c r="M67" s="77" t="s">
        <v>1117</v>
      </c>
      <c r="N67" s="77" t="s">
        <v>1118</v>
      </c>
      <c r="O67" s="77" t="s">
        <v>1119</v>
      </c>
      <c r="P67" s="77" t="s">
        <v>1120</v>
      </c>
      <c r="Q67" s="77" t="s">
        <v>1121</v>
      </c>
      <c r="R67" s="77" t="s">
        <v>1122</v>
      </c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</row>
    <row r="68" spans="1:44" ht="22.5" x14ac:dyDescent="0.25">
      <c r="A68" s="64" t="s">
        <v>1724</v>
      </c>
      <c r="B68" s="107" t="s">
        <v>456</v>
      </c>
      <c r="C68" s="77" t="s">
        <v>2633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</row>
    <row r="69" spans="1:44" ht="33.75" x14ac:dyDescent="0.25">
      <c r="A69" s="64" t="s">
        <v>1725</v>
      </c>
      <c r="B69" s="107" t="s">
        <v>32</v>
      </c>
      <c r="C69" s="77" t="s">
        <v>1112</v>
      </c>
      <c r="D69" s="77" t="s">
        <v>1113</v>
      </c>
      <c r="E69" s="77" t="s">
        <v>1114</v>
      </c>
      <c r="F69" s="77" t="s">
        <v>851</v>
      </c>
      <c r="G69" s="77" t="s">
        <v>852</v>
      </c>
      <c r="H69" s="77" t="s">
        <v>831</v>
      </c>
      <c r="I69" s="77" t="s">
        <v>845</v>
      </c>
      <c r="J69" s="77" t="s">
        <v>832</v>
      </c>
      <c r="K69" s="77" t="s">
        <v>1115</v>
      </c>
      <c r="L69" s="77" t="s">
        <v>1116</v>
      </c>
      <c r="M69" s="77" t="s">
        <v>1117</v>
      </c>
      <c r="N69" s="77" t="s">
        <v>1118</v>
      </c>
      <c r="O69" s="77" t="s">
        <v>1119</v>
      </c>
      <c r="P69" s="77" t="s">
        <v>1120</v>
      </c>
      <c r="Q69" s="77" t="s">
        <v>1121</v>
      </c>
      <c r="R69" s="77" t="s">
        <v>1122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</row>
    <row r="70" spans="1:44" x14ac:dyDescent="0.25">
      <c r="A70" s="64" t="s">
        <v>1726</v>
      </c>
      <c r="B70" s="107" t="s">
        <v>456</v>
      </c>
      <c r="C70" s="77" t="s">
        <v>2633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</row>
    <row r="71" spans="1:44" ht="33.75" x14ac:dyDescent="0.25">
      <c r="A71" s="64" t="s">
        <v>1727</v>
      </c>
      <c r="B71" s="107" t="s">
        <v>32</v>
      </c>
      <c r="C71" s="77" t="s">
        <v>1112</v>
      </c>
      <c r="D71" s="77" t="s">
        <v>1113</v>
      </c>
      <c r="E71" s="77" t="s">
        <v>1114</v>
      </c>
      <c r="F71" s="77" t="s">
        <v>851</v>
      </c>
      <c r="G71" s="77" t="s">
        <v>852</v>
      </c>
      <c r="H71" s="77" t="s">
        <v>831</v>
      </c>
      <c r="I71" s="77" t="s">
        <v>845</v>
      </c>
      <c r="J71" s="77" t="s">
        <v>832</v>
      </c>
      <c r="K71" s="77" t="s">
        <v>1115</v>
      </c>
      <c r="L71" s="77" t="s">
        <v>1116</v>
      </c>
      <c r="M71" s="77" t="s">
        <v>1117</v>
      </c>
      <c r="N71" s="77" t="s">
        <v>1118</v>
      </c>
      <c r="O71" s="77" t="s">
        <v>1119</v>
      </c>
      <c r="P71" s="77" t="s">
        <v>1120</v>
      </c>
      <c r="Q71" s="77" t="s">
        <v>1121</v>
      </c>
      <c r="R71" s="77" t="s">
        <v>1122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</row>
    <row r="72" spans="1:44" ht="22.5" x14ac:dyDescent="0.25">
      <c r="A72" s="64" t="s">
        <v>1728</v>
      </c>
      <c r="B72" s="107" t="s">
        <v>456</v>
      </c>
      <c r="C72" s="77" t="s">
        <v>2633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</row>
    <row r="73" spans="1:44" ht="33.75" x14ac:dyDescent="0.25">
      <c r="A73" s="64" t="s">
        <v>1877</v>
      </c>
      <c r="B73" s="64" t="s">
        <v>32</v>
      </c>
      <c r="C73" s="77" t="s">
        <v>836</v>
      </c>
      <c r="D73" s="77" t="s">
        <v>837</v>
      </c>
      <c r="E73" s="77" t="s">
        <v>838</v>
      </c>
      <c r="F73" s="77" t="s">
        <v>839</v>
      </c>
      <c r="G73" s="77" t="s">
        <v>831</v>
      </c>
      <c r="H73" s="77" t="s">
        <v>840</v>
      </c>
      <c r="I73" s="77" t="s">
        <v>833</v>
      </c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</row>
    <row r="74" spans="1:44" ht="22.5" x14ac:dyDescent="0.25">
      <c r="A74" s="64" t="s">
        <v>1878</v>
      </c>
      <c r="B74" s="64" t="s">
        <v>456</v>
      </c>
      <c r="C74" s="77" t="s">
        <v>841</v>
      </c>
      <c r="D74" s="77" t="s">
        <v>835</v>
      </c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</row>
    <row r="75" spans="1:44" ht="33.75" x14ac:dyDescent="0.25">
      <c r="A75" s="64" t="s">
        <v>1879</v>
      </c>
      <c r="B75" s="64" t="s">
        <v>32</v>
      </c>
      <c r="C75" s="77" t="s">
        <v>836</v>
      </c>
      <c r="D75" s="77" t="s">
        <v>837</v>
      </c>
      <c r="E75" s="77" t="s">
        <v>838</v>
      </c>
      <c r="F75" s="77" t="s">
        <v>839</v>
      </c>
      <c r="G75" s="77" t="s">
        <v>831</v>
      </c>
      <c r="H75" s="77" t="s">
        <v>846</v>
      </c>
      <c r="I75" s="77" t="s">
        <v>833</v>
      </c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</row>
    <row r="76" spans="1:44" ht="22.5" x14ac:dyDescent="0.25">
      <c r="A76" s="64" t="s">
        <v>1880</v>
      </c>
      <c r="B76" s="64" t="s">
        <v>456</v>
      </c>
      <c r="C76" s="77" t="s">
        <v>841</v>
      </c>
      <c r="D76" s="77" t="s">
        <v>835</v>
      </c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</row>
    <row r="77" spans="1:44" ht="33.75" x14ac:dyDescent="0.25">
      <c r="A77" s="64" t="s">
        <v>1881</v>
      </c>
      <c r="B77" s="64" t="s">
        <v>32</v>
      </c>
      <c r="C77" s="77" t="s">
        <v>836</v>
      </c>
      <c r="D77" s="77" t="s">
        <v>837</v>
      </c>
      <c r="E77" s="77" t="s">
        <v>838</v>
      </c>
      <c r="F77" s="77" t="s">
        <v>839</v>
      </c>
      <c r="G77" s="77" t="s">
        <v>831</v>
      </c>
      <c r="H77" s="77" t="s">
        <v>846</v>
      </c>
      <c r="I77" s="77" t="s">
        <v>833</v>
      </c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</row>
    <row r="78" spans="1:44" ht="22.5" x14ac:dyDescent="0.25">
      <c r="A78" s="64" t="s">
        <v>1882</v>
      </c>
      <c r="B78" s="64" t="s">
        <v>456</v>
      </c>
      <c r="C78" s="77" t="s">
        <v>841</v>
      </c>
      <c r="D78" s="77" t="s">
        <v>835</v>
      </c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</row>
    <row r="79" spans="1:44" ht="33.75" x14ac:dyDescent="0.25">
      <c r="A79" s="64" t="s">
        <v>1883</v>
      </c>
      <c r="B79" s="64" t="s">
        <v>32</v>
      </c>
      <c r="C79" s="77" t="s">
        <v>842</v>
      </c>
      <c r="D79" s="77" t="s">
        <v>843</v>
      </c>
      <c r="E79" s="77" t="s">
        <v>838</v>
      </c>
      <c r="F79" s="77" t="s">
        <v>1259</v>
      </c>
      <c r="G79" s="77" t="s">
        <v>831</v>
      </c>
      <c r="H79" s="77" t="s">
        <v>845</v>
      </c>
      <c r="I79" s="77" t="s">
        <v>846</v>
      </c>
      <c r="J79" s="77" t="s">
        <v>833</v>
      </c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</row>
    <row r="80" spans="1:44" ht="22.5" x14ac:dyDescent="0.25">
      <c r="A80" s="64" t="s">
        <v>1884</v>
      </c>
      <c r="B80" s="64" t="s">
        <v>456</v>
      </c>
      <c r="C80" s="77" t="s">
        <v>841</v>
      </c>
      <c r="D80" s="77" t="s">
        <v>835</v>
      </c>
      <c r="E80" s="77" t="s">
        <v>1260</v>
      </c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</row>
    <row r="81" spans="1:44" ht="33.75" x14ac:dyDescent="0.25">
      <c r="A81" s="64" t="s">
        <v>1885</v>
      </c>
      <c r="B81" s="64" t="s">
        <v>32</v>
      </c>
      <c r="C81" s="77" t="s">
        <v>856</v>
      </c>
      <c r="D81" s="77" t="s">
        <v>1261</v>
      </c>
      <c r="E81" s="77" t="s">
        <v>858</v>
      </c>
      <c r="F81" s="77" t="s">
        <v>851</v>
      </c>
      <c r="G81" s="77" t="s">
        <v>852</v>
      </c>
      <c r="H81" s="77" t="s">
        <v>831</v>
      </c>
      <c r="I81" s="77" t="s">
        <v>845</v>
      </c>
      <c r="J81" s="77" t="s">
        <v>832</v>
      </c>
      <c r="K81" s="77" t="s">
        <v>833</v>
      </c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</row>
    <row r="82" spans="1:44" ht="22.5" x14ac:dyDescent="0.25">
      <c r="A82" s="64" t="s">
        <v>1886</v>
      </c>
      <c r="B82" s="64" t="s">
        <v>456</v>
      </c>
      <c r="C82" s="77" t="s">
        <v>859</v>
      </c>
      <c r="D82" s="77" t="s">
        <v>854</v>
      </c>
      <c r="E82" s="77" t="s">
        <v>860</v>
      </c>
      <c r="F82" s="77" t="s">
        <v>841</v>
      </c>
      <c r="G82" s="77" t="s">
        <v>835</v>
      </c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</row>
    <row r="83" spans="1:44" ht="33.75" x14ac:dyDescent="0.25">
      <c r="A83" s="64" t="s">
        <v>1887</v>
      </c>
      <c r="B83" s="64" t="s">
        <v>32</v>
      </c>
      <c r="C83" s="77" t="s">
        <v>1001</v>
      </c>
      <c r="D83" s="77" t="s">
        <v>857</v>
      </c>
      <c r="E83" s="77" t="s">
        <v>858</v>
      </c>
      <c r="F83" s="77" t="s">
        <v>851</v>
      </c>
      <c r="G83" s="77" t="s">
        <v>852</v>
      </c>
      <c r="H83" s="77" t="s">
        <v>831</v>
      </c>
      <c r="I83" s="77" t="s">
        <v>845</v>
      </c>
      <c r="J83" s="77" t="s">
        <v>832</v>
      </c>
      <c r="K83" s="77" t="s">
        <v>833</v>
      </c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</row>
    <row r="84" spans="1:44" ht="22.5" x14ac:dyDescent="0.25">
      <c r="A84" s="64" t="s">
        <v>1888</v>
      </c>
      <c r="B84" s="64" t="s">
        <v>456</v>
      </c>
      <c r="C84" s="77" t="s">
        <v>859</v>
      </c>
      <c r="D84" s="77" t="s">
        <v>854</v>
      </c>
      <c r="E84" s="77" t="s">
        <v>860</v>
      </c>
      <c r="F84" s="77" t="s">
        <v>841</v>
      </c>
      <c r="G84" s="77" t="s">
        <v>835</v>
      </c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</row>
    <row r="85" spans="1:44" ht="33.75" x14ac:dyDescent="0.25">
      <c r="A85" s="64" t="s">
        <v>1889</v>
      </c>
      <c r="B85" s="64" t="s">
        <v>32</v>
      </c>
      <c r="C85" s="77" t="s">
        <v>1004</v>
      </c>
      <c r="D85" s="77" t="s">
        <v>857</v>
      </c>
      <c r="E85" s="77" t="s">
        <v>858</v>
      </c>
      <c r="F85" s="77" t="s">
        <v>851</v>
      </c>
      <c r="G85" s="77" t="s">
        <v>852</v>
      </c>
      <c r="H85" s="77" t="s">
        <v>831</v>
      </c>
      <c r="I85" s="77" t="s">
        <v>845</v>
      </c>
      <c r="J85" s="77" t="s">
        <v>832</v>
      </c>
      <c r="K85" s="77" t="s">
        <v>833</v>
      </c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</row>
    <row r="86" spans="1:44" ht="22.5" x14ac:dyDescent="0.25">
      <c r="A86" s="64" t="s">
        <v>1890</v>
      </c>
      <c r="B86" s="64" t="s">
        <v>456</v>
      </c>
      <c r="C86" s="77" t="s">
        <v>859</v>
      </c>
      <c r="D86" s="77" t="s">
        <v>854</v>
      </c>
      <c r="E86" s="77" t="s">
        <v>860</v>
      </c>
      <c r="F86" s="77" t="s">
        <v>841</v>
      </c>
      <c r="G86" s="77" t="s">
        <v>835</v>
      </c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</row>
    <row r="87" spans="1:44" ht="33.75" x14ac:dyDescent="0.25">
      <c r="A87" s="64" t="s">
        <v>1891</v>
      </c>
      <c r="B87" s="64" t="s">
        <v>32</v>
      </c>
      <c r="C87" s="77" t="s">
        <v>848</v>
      </c>
      <c r="D87" s="77" t="s">
        <v>1262</v>
      </c>
      <c r="E87" s="77" t="s">
        <v>850</v>
      </c>
      <c r="F87" s="77" t="s">
        <v>851</v>
      </c>
      <c r="G87" s="77" t="s">
        <v>852</v>
      </c>
      <c r="H87" s="77" t="s">
        <v>831</v>
      </c>
      <c r="I87" s="77" t="s">
        <v>845</v>
      </c>
      <c r="J87" s="77" t="s">
        <v>840</v>
      </c>
      <c r="K87" s="77" t="s">
        <v>833</v>
      </c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</row>
    <row r="88" spans="1:44" ht="22.5" x14ac:dyDescent="0.25">
      <c r="A88" s="64" t="s">
        <v>1892</v>
      </c>
      <c r="B88" s="64" t="s">
        <v>456</v>
      </c>
      <c r="C88" s="77" t="s">
        <v>853</v>
      </c>
      <c r="D88" s="77" t="s">
        <v>1002</v>
      </c>
      <c r="E88" s="77" t="s">
        <v>1003</v>
      </c>
      <c r="F88" s="77" t="s">
        <v>841</v>
      </c>
      <c r="G88" s="77" t="s">
        <v>835</v>
      </c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</row>
    <row r="89" spans="1:44" ht="33.75" x14ac:dyDescent="0.25">
      <c r="A89" s="64" t="s">
        <v>1893</v>
      </c>
      <c r="B89" s="64" t="s">
        <v>32</v>
      </c>
      <c r="C89" s="77" t="s">
        <v>1001</v>
      </c>
      <c r="D89" s="77" t="s">
        <v>849</v>
      </c>
      <c r="E89" s="77" t="s">
        <v>850</v>
      </c>
      <c r="F89" s="77" t="s">
        <v>851</v>
      </c>
      <c r="G89" s="77" t="s">
        <v>852</v>
      </c>
      <c r="H89" s="77" t="s">
        <v>831</v>
      </c>
      <c r="I89" s="77" t="s">
        <v>845</v>
      </c>
      <c r="J89" s="77" t="s">
        <v>832</v>
      </c>
      <c r="K89" s="77" t="s">
        <v>833</v>
      </c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</row>
    <row r="90" spans="1:44" ht="22.5" x14ac:dyDescent="0.25">
      <c r="A90" s="64" t="s">
        <v>1894</v>
      </c>
      <c r="B90" s="64" t="s">
        <v>456</v>
      </c>
      <c r="C90" s="77" t="s">
        <v>853</v>
      </c>
      <c r="D90" s="77" t="s">
        <v>1002</v>
      </c>
      <c r="E90" s="77" t="s">
        <v>1003</v>
      </c>
      <c r="F90" s="77" t="s">
        <v>841</v>
      </c>
      <c r="G90" s="77" t="s">
        <v>835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</row>
    <row r="91" spans="1:44" ht="33.75" x14ac:dyDescent="0.25">
      <c r="A91" s="64" t="s">
        <v>1895</v>
      </c>
      <c r="B91" s="64" t="s">
        <v>32</v>
      </c>
      <c r="C91" s="77" t="s">
        <v>1004</v>
      </c>
      <c r="D91" s="77" t="s">
        <v>849</v>
      </c>
      <c r="E91" s="77" t="s">
        <v>850</v>
      </c>
      <c r="F91" s="77" t="s">
        <v>851</v>
      </c>
      <c r="G91" s="77" t="s">
        <v>852</v>
      </c>
      <c r="H91" s="77" t="s">
        <v>831</v>
      </c>
      <c r="I91" s="77" t="s">
        <v>845</v>
      </c>
      <c r="J91" s="77" t="s">
        <v>832</v>
      </c>
      <c r="K91" s="77" t="s">
        <v>833</v>
      </c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</row>
    <row r="92" spans="1:44" ht="22.5" x14ac:dyDescent="0.25">
      <c r="A92" s="64" t="s">
        <v>1896</v>
      </c>
      <c r="B92" s="64" t="s">
        <v>456</v>
      </c>
      <c r="C92" s="77" t="s">
        <v>853</v>
      </c>
      <c r="D92" s="77" t="s">
        <v>1002</v>
      </c>
      <c r="E92" s="77" t="s">
        <v>1003</v>
      </c>
      <c r="F92" s="77" t="s">
        <v>841</v>
      </c>
      <c r="G92" s="77" t="s">
        <v>835</v>
      </c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</row>
    <row r="93" spans="1:44" ht="33.75" x14ac:dyDescent="0.25">
      <c r="A93" s="64" t="s">
        <v>1897</v>
      </c>
      <c r="B93" s="64" t="s">
        <v>32</v>
      </c>
      <c r="C93" s="77" t="s">
        <v>1140</v>
      </c>
      <c r="D93" s="77" t="s">
        <v>1141</v>
      </c>
      <c r="E93" s="77" t="s">
        <v>850</v>
      </c>
      <c r="F93" s="77" t="s">
        <v>851</v>
      </c>
      <c r="G93" s="77" t="s">
        <v>852</v>
      </c>
      <c r="H93" s="77" t="s">
        <v>831</v>
      </c>
      <c r="I93" s="77" t="s">
        <v>845</v>
      </c>
      <c r="J93" s="77" t="s">
        <v>832</v>
      </c>
      <c r="K93" s="77" t="s">
        <v>833</v>
      </c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</row>
    <row r="94" spans="1:44" ht="22.5" x14ac:dyDescent="0.25">
      <c r="A94" s="64" t="s">
        <v>1898</v>
      </c>
      <c r="B94" s="64" t="s">
        <v>456</v>
      </c>
      <c r="C94" s="77" t="s">
        <v>1222</v>
      </c>
      <c r="D94" s="77" t="s">
        <v>854</v>
      </c>
      <c r="E94" s="77" t="s">
        <v>855</v>
      </c>
      <c r="F94" s="77" t="s">
        <v>841</v>
      </c>
      <c r="G94" s="77" t="s">
        <v>835</v>
      </c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</row>
    <row r="95" spans="1:44" ht="33.75" x14ac:dyDescent="0.25">
      <c r="A95" s="64" t="s">
        <v>1899</v>
      </c>
      <c r="B95" s="64" t="s">
        <v>32</v>
      </c>
      <c r="C95" s="77" t="s">
        <v>1143</v>
      </c>
      <c r="D95" s="77" t="s">
        <v>1144</v>
      </c>
      <c r="E95" s="77" t="s">
        <v>1145</v>
      </c>
      <c r="F95" s="77" t="s">
        <v>851</v>
      </c>
      <c r="G95" s="77" t="s">
        <v>852</v>
      </c>
      <c r="H95" s="77" t="s">
        <v>831</v>
      </c>
      <c r="I95" s="77" t="s">
        <v>845</v>
      </c>
      <c r="J95" s="77" t="s">
        <v>1146</v>
      </c>
      <c r="K95" s="77" t="s">
        <v>833</v>
      </c>
      <c r="L95" s="77" t="s">
        <v>504</v>
      </c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</row>
    <row r="96" spans="1:44" ht="33.75" x14ac:dyDescent="0.25">
      <c r="A96" s="64" t="s">
        <v>1900</v>
      </c>
      <c r="B96" s="64" t="s">
        <v>456</v>
      </c>
      <c r="C96" s="77" t="s">
        <v>1147</v>
      </c>
      <c r="D96" s="77" t="s">
        <v>841</v>
      </c>
      <c r="E96" s="77" t="s">
        <v>835</v>
      </c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</row>
    <row r="97" spans="1:44" ht="33.75" x14ac:dyDescent="0.25">
      <c r="A97" s="64" t="s">
        <v>2744</v>
      </c>
      <c r="B97" s="107" t="s">
        <v>32</v>
      </c>
      <c r="C97" s="77" t="s">
        <v>1112</v>
      </c>
      <c r="D97" s="77" t="s">
        <v>1113</v>
      </c>
      <c r="E97" s="77" t="s">
        <v>1114</v>
      </c>
      <c r="F97" s="77" t="s">
        <v>851</v>
      </c>
      <c r="G97" s="77" t="s">
        <v>852</v>
      </c>
      <c r="H97" s="77" t="s">
        <v>831</v>
      </c>
      <c r="I97" s="77" t="s">
        <v>845</v>
      </c>
      <c r="J97" s="77" t="s">
        <v>832</v>
      </c>
      <c r="K97" s="77" t="s">
        <v>1115</v>
      </c>
      <c r="L97" s="77" t="s">
        <v>1116</v>
      </c>
      <c r="M97" s="77" t="s">
        <v>1117</v>
      </c>
      <c r="N97" s="77" t="s">
        <v>1118</v>
      </c>
      <c r="O97" s="77" t="s">
        <v>1119</v>
      </c>
      <c r="P97" s="77" t="s">
        <v>1120</v>
      </c>
      <c r="Q97" s="77" t="s">
        <v>1121</v>
      </c>
      <c r="R97" s="77" t="s">
        <v>1122</v>
      </c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</row>
    <row r="98" spans="1:44" ht="22.5" x14ac:dyDescent="0.25">
      <c r="A98" s="64" t="s">
        <v>2745</v>
      </c>
      <c r="B98" s="107" t="s">
        <v>456</v>
      </c>
      <c r="C98" s="77" t="s">
        <v>2633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</row>
    <row r="99" spans="1:44" ht="33.75" x14ac:dyDescent="0.25">
      <c r="A99" s="64" t="s">
        <v>1901</v>
      </c>
      <c r="B99" s="107" t="s">
        <v>32</v>
      </c>
      <c r="C99" s="77" t="s">
        <v>1112</v>
      </c>
      <c r="D99" s="77" t="s">
        <v>1113</v>
      </c>
      <c r="E99" s="77" t="s">
        <v>1114</v>
      </c>
      <c r="F99" s="77" t="s">
        <v>851</v>
      </c>
      <c r="G99" s="77" t="s">
        <v>852</v>
      </c>
      <c r="H99" s="77" t="s">
        <v>831</v>
      </c>
      <c r="I99" s="77" t="s">
        <v>845</v>
      </c>
      <c r="J99" s="77" t="s">
        <v>832</v>
      </c>
      <c r="K99" s="77" t="s">
        <v>1115</v>
      </c>
      <c r="L99" s="77" t="s">
        <v>1116</v>
      </c>
      <c r="M99" s="77" t="s">
        <v>1117</v>
      </c>
      <c r="N99" s="77" t="s">
        <v>1118</v>
      </c>
      <c r="O99" s="77" t="s">
        <v>1119</v>
      </c>
      <c r="P99" s="77" t="s">
        <v>1120</v>
      </c>
      <c r="Q99" s="77" t="s">
        <v>1121</v>
      </c>
      <c r="R99" s="77" t="s">
        <v>1122</v>
      </c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</row>
    <row r="100" spans="1:44" ht="22.5" x14ac:dyDescent="0.25">
      <c r="A100" s="64" t="s">
        <v>1902</v>
      </c>
      <c r="B100" s="107" t="s">
        <v>456</v>
      </c>
      <c r="C100" s="77" t="s">
        <v>2633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</row>
    <row r="101" spans="1:44" ht="33.75" x14ac:dyDescent="0.25">
      <c r="A101" s="64" t="s">
        <v>1903</v>
      </c>
      <c r="B101" s="107" t="s">
        <v>32</v>
      </c>
      <c r="C101" s="77" t="s">
        <v>1112</v>
      </c>
      <c r="D101" s="77" t="s">
        <v>1113</v>
      </c>
      <c r="E101" s="77" t="s">
        <v>1114</v>
      </c>
      <c r="F101" s="77" t="s">
        <v>851</v>
      </c>
      <c r="G101" s="77" t="s">
        <v>852</v>
      </c>
      <c r="H101" s="77" t="s">
        <v>831</v>
      </c>
      <c r="I101" s="77" t="s">
        <v>845</v>
      </c>
      <c r="J101" s="77" t="s">
        <v>832</v>
      </c>
      <c r="K101" s="77" t="s">
        <v>1115</v>
      </c>
      <c r="L101" s="77" t="s">
        <v>1116</v>
      </c>
      <c r="M101" s="77" t="s">
        <v>1117</v>
      </c>
      <c r="N101" s="77" t="s">
        <v>1215</v>
      </c>
      <c r="O101" s="77" t="s">
        <v>1119</v>
      </c>
      <c r="P101" s="77" t="s">
        <v>1120</v>
      </c>
      <c r="Q101" s="77" t="s">
        <v>1121</v>
      </c>
      <c r="R101" s="77" t="s">
        <v>1122</v>
      </c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</row>
    <row r="102" spans="1:44" ht="22.5" x14ac:dyDescent="0.25">
      <c r="A102" s="64" t="s">
        <v>1904</v>
      </c>
      <c r="B102" s="107" t="s">
        <v>456</v>
      </c>
      <c r="C102" s="77" t="s">
        <v>2633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</row>
    <row r="103" spans="1:44" ht="33.75" x14ac:dyDescent="0.25">
      <c r="A103" s="64" t="s">
        <v>1331</v>
      </c>
      <c r="B103" s="64" t="s">
        <v>32</v>
      </c>
      <c r="C103" s="77" t="s">
        <v>827</v>
      </c>
      <c r="D103" s="77" t="s">
        <v>828</v>
      </c>
      <c r="E103" s="77" t="s">
        <v>829</v>
      </c>
      <c r="F103" s="77" t="s">
        <v>830</v>
      </c>
      <c r="G103" s="77" t="s">
        <v>831</v>
      </c>
      <c r="H103" s="77" t="s">
        <v>832</v>
      </c>
      <c r="I103" s="77" t="s">
        <v>833</v>
      </c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</row>
    <row r="104" spans="1:44" ht="22.5" x14ac:dyDescent="0.25">
      <c r="A104" s="64" t="s">
        <v>1332</v>
      </c>
      <c r="B104" s="64" t="s">
        <v>456</v>
      </c>
      <c r="C104" s="77" t="s">
        <v>834</v>
      </c>
      <c r="D104" s="77" t="s">
        <v>835</v>
      </c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</row>
    <row r="105" spans="1:44" ht="33.75" x14ac:dyDescent="0.25">
      <c r="A105" s="64" t="s">
        <v>1333</v>
      </c>
      <c r="B105" s="64" t="s">
        <v>32</v>
      </c>
      <c r="C105" s="77" t="s">
        <v>836</v>
      </c>
      <c r="D105" s="77" t="s">
        <v>837</v>
      </c>
      <c r="E105" s="77" t="s">
        <v>838</v>
      </c>
      <c r="F105" s="77" t="s">
        <v>839</v>
      </c>
      <c r="G105" s="77" t="s">
        <v>831</v>
      </c>
      <c r="H105" s="77" t="s">
        <v>840</v>
      </c>
      <c r="I105" s="77" t="s">
        <v>833</v>
      </c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</row>
    <row r="106" spans="1:44" ht="22.5" x14ac:dyDescent="0.25">
      <c r="A106" s="64" t="s">
        <v>1334</v>
      </c>
      <c r="B106" s="64" t="s">
        <v>456</v>
      </c>
      <c r="C106" s="77" t="s">
        <v>841</v>
      </c>
      <c r="D106" s="77" t="s">
        <v>835</v>
      </c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</row>
    <row r="107" spans="1:44" ht="33.75" x14ac:dyDescent="0.25">
      <c r="A107" s="64" t="s">
        <v>1335</v>
      </c>
      <c r="B107" s="64" t="s">
        <v>32</v>
      </c>
      <c r="C107" s="77" t="s">
        <v>836</v>
      </c>
      <c r="D107" s="77" t="s">
        <v>837</v>
      </c>
      <c r="E107" s="77" t="s">
        <v>838</v>
      </c>
      <c r="F107" s="77" t="s">
        <v>839</v>
      </c>
      <c r="G107" s="77" t="s">
        <v>831</v>
      </c>
      <c r="H107" s="77" t="s">
        <v>840</v>
      </c>
      <c r="I107" s="77" t="s">
        <v>833</v>
      </c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</row>
    <row r="108" spans="1:44" ht="22.5" x14ac:dyDescent="0.25">
      <c r="A108" s="64" t="s">
        <v>1336</v>
      </c>
      <c r="B108" s="64" t="s">
        <v>456</v>
      </c>
      <c r="C108" s="77" t="s">
        <v>841</v>
      </c>
      <c r="D108" s="77" t="s">
        <v>835</v>
      </c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</row>
    <row r="109" spans="1:44" ht="33.75" x14ac:dyDescent="0.25">
      <c r="A109" s="64" t="s">
        <v>1337</v>
      </c>
      <c r="B109" s="64" t="s">
        <v>32</v>
      </c>
      <c r="C109" s="77" t="s">
        <v>836</v>
      </c>
      <c r="D109" s="77" t="s">
        <v>837</v>
      </c>
      <c r="E109" s="77" t="s">
        <v>838</v>
      </c>
      <c r="F109" s="77" t="s">
        <v>839</v>
      </c>
      <c r="G109" s="77" t="s">
        <v>831</v>
      </c>
      <c r="H109" s="77" t="s">
        <v>840</v>
      </c>
      <c r="I109" s="77" t="s">
        <v>833</v>
      </c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</row>
    <row r="110" spans="1:44" ht="22.5" x14ac:dyDescent="0.25">
      <c r="A110" s="64" t="s">
        <v>1338</v>
      </c>
      <c r="B110" s="64" t="s">
        <v>456</v>
      </c>
      <c r="C110" s="77" t="s">
        <v>841</v>
      </c>
      <c r="D110" s="77" t="s">
        <v>835</v>
      </c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</row>
    <row r="111" spans="1:44" ht="33.75" x14ac:dyDescent="0.25">
      <c r="A111" s="64" t="s">
        <v>1339</v>
      </c>
      <c r="B111" s="64" t="s">
        <v>32</v>
      </c>
      <c r="C111" s="77" t="s">
        <v>836</v>
      </c>
      <c r="D111" s="77" t="s">
        <v>837</v>
      </c>
      <c r="E111" s="77" t="s">
        <v>838</v>
      </c>
      <c r="F111" s="77" t="s">
        <v>839</v>
      </c>
      <c r="G111" s="77" t="s">
        <v>831</v>
      </c>
      <c r="H111" s="77" t="s">
        <v>840</v>
      </c>
      <c r="I111" s="77" t="s">
        <v>833</v>
      </c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</row>
    <row r="112" spans="1:44" ht="22.5" x14ac:dyDescent="0.25">
      <c r="A112" s="64" t="s">
        <v>1340</v>
      </c>
      <c r="B112" s="64" t="s">
        <v>456</v>
      </c>
      <c r="C112" s="77" t="s">
        <v>841</v>
      </c>
      <c r="D112" s="77" t="s">
        <v>835</v>
      </c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</row>
    <row r="113" spans="1:44" ht="33.75" x14ac:dyDescent="0.25">
      <c r="A113" s="64" t="s">
        <v>1341</v>
      </c>
      <c r="B113" s="64" t="s">
        <v>32</v>
      </c>
      <c r="C113" s="77" t="s">
        <v>842</v>
      </c>
      <c r="D113" s="77" t="s">
        <v>843</v>
      </c>
      <c r="E113" s="77" t="s">
        <v>838</v>
      </c>
      <c r="F113" s="77" t="s">
        <v>844</v>
      </c>
      <c r="G113" s="77" t="s">
        <v>831</v>
      </c>
      <c r="H113" s="77" t="s">
        <v>845</v>
      </c>
      <c r="I113" s="77" t="s">
        <v>846</v>
      </c>
      <c r="J113" s="77" t="s">
        <v>833</v>
      </c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</row>
    <row r="114" spans="1:44" ht="22.5" x14ac:dyDescent="0.25">
      <c r="A114" s="64" t="s">
        <v>1342</v>
      </c>
      <c r="B114" s="64" t="s">
        <v>456</v>
      </c>
      <c r="C114" s="77" t="s">
        <v>841</v>
      </c>
      <c r="D114" s="77" t="s">
        <v>835</v>
      </c>
      <c r="E114" s="77" t="s">
        <v>847</v>
      </c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</row>
    <row r="115" spans="1:44" ht="33.75" x14ac:dyDescent="0.25">
      <c r="A115" s="64" t="s">
        <v>1343</v>
      </c>
      <c r="B115" s="64" t="s">
        <v>32</v>
      </c>
      <c r="C115" s="77" t="s">
        <v>842</v>
      </c>
      <c r="D115" s="77" t="s">
        <v>843</v>
      </c>
      <c r="E115" s="77" t="s">
        <v>838</v>
      </c>
      <c r="F115" s="77" t="s">
        <v>844</v>
      </c>
      <c r="G115" s="77" t="s">
        <v>831</v>
      </c>
      <c r="H115" s="77" t="s">
        <v>845</v>
      </c>
      <c r="I115" s="77" t="s">
        <v>846</v>
      </c>
      <c r="J115" s="77" t="s">
        <v>833</v>
      </c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</row>
    <row r="116" spans="1:44" ht="22.5" x14ac:dyDescent="0.25">
      <c r="A116" s="64" t="s">
        <v>1344</v>
      </c>
      <c r="B116" s="64" t="s">
        <v>456</v>
      </c>
      <c r="C116" s="77" t="s">
        <v>841</v>
      </c>
      <c r="D116" s="77" t="s">
        <v>835</v>
      </c>
      <c r="E116" s="77" t="s">
        <v>847</v>
      </c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</row>
    <row r="117" spans="1:44" ht="33.75" x14ac:dyDescent="0.25">
      <c r="A117" s="64" t="s">
        <v>1345</v>
      </c>
      <c r="B117" s="64" t="s">
        <v>32</v>
      </c>
      <c r="C117" s="77" t="s">
        <v>848</v>
      </c>
      <c r="D117" s="77" t="s">
        <v>849</v>
      </c>
      <c r="E117" s="77" t="s">
        <v>850</v>
      </c>
      <c r="F117" s="77" t="s">
        <v>851</v>
      </c>
      <c r="G117" s="77" t="s">
        <v>852</v>
      </c>
      <c r="H117" s="77" t="s">
        <v>831</v>
      </c>
      <c r="I117" s="77" t="s">
        <v>845</v>
      </c>
      <c r="J117" s="77" t="s">
        <v>840</v>
      </c>
      <c r="K117" s="77" t="s">
        <v>833</v>
      </c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</row>
    <row r="118" spans="1:44" ht="22.5" x14ac:dyDescent="0.25">
      <c r="A118" s="64" t="s">
        <v>1346</v>
      </c>
      <c r="B118" s="64" t="s">
        <v>456</v>
      </c>
      <c r="C118" s="77" t="s">
        <v>853</v>
      </c>
      <c r="D118" s="77" t="s">
        <v>854</v>
      </c>
      <c r="E118" s="77" t="s">
        <v>855</v>
      </c>
      <c r="F118" s="77" t="s">
        <v>841</v>
      </c>
      <c r="G118" s="77" t="s">
        <v>835</v>
      </c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</row>
    <row r="119" spans="1:44" ht="33.75" x14ac:dyDescent="0.25">
      <c r="A119" s="64" t="s">
        <v>1347</v>
      </c>
      <c r="B119" s="64" t="s">
        <v>32</v>
      </c>
      <c r="C119" s="77" t="s">
        <v>856</v>
      </c>
      <c r="D119" s="77" t="s">
        <v>857</v>
      </c>
      <c r="E119" s="77" t="s">
        <v>858</v>
      </c>
      <c r="F119" s="77" t="s">
        <v>851</v>
      </c>
      <c r="G119" s="77" t="s">
        <v>852</v>
      </c>
      <c r="H119" s="77" t="s">
        <v>831</v>
      </c>
      <c r="I119" s="77" t="s">
        <v>845</v>
      </c>
      <c r="J119" s="77" t="s">
        <v>832</v>
      </c>
      <c r="K119" s="77" t="s">
        <v>833</v>
      </c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</row>
    <row r="120" spans="1:44" ht="22.5" x14ac:dyDescent="0.25">
      <c r="A120" s="64" t="s">
        <v>1348</v>
      </c>
      <c r="B120" s="64" t="s">
        <v>456</v>
      </c>
      <c r="C120" s="77" t="s">
        <v>859</v>
      </c>
      <c r="D120" s="77" t="s">
        <v>854</v>
      </c>
      <c r="E120" s="77" t="s">
        <v>860</v>
      </c>
      <c r="F120" s="77" t="s">
        <v>841</v>
      </c>
      <c r="G120" s="77" t="s">
        <v>835</v>
      </c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</row>
    <row r="121" spans="1:44" ht="33.75" x14ac:dyDescent="0.25">
      <c r="A121" s="64" t="s">
        <v>2413</v>
      </c>
      <c r="B121" s="64" t="s">
        <v>32</v>
      </c>
      <c r="C121" s="77" t="s">
        <v>836</v>
      </c>
      <c r="D121" s="77" t="s">
        <v>837</v>
      </c>
      <c r="E121" s="77" t="s">
        <v>838</v>
      </c>
      <c r="F121" s="77" t="s">
        <v>839</v>
      </c>
      <c r="G121" s="77" t="s">
        <v>831</v>
      </c>
      <c r="H121" s="77"/>
      <c r="I121" s="77" t="s">
        <v>840</v>
      </c>
      <c r="J121" s="77" t="s">
        <v>833</v>
      </c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</row>
    <row r="122" spans="1:44" x14ac:dyDescent="0.25">
      <c r="A122" s="64" t="s">
        <v>2414</v>
      </c>
      <c r="B122" s="64" t="s">
        <v>456</v>
      </c>
      <c r="C122" s="77" t="s">
        <v>2633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</row>
    <row r="123" spans="1:44" ht="33.75" x14ac:dyDescent="0.25">
      <c r="A123" s="64" t="s">
        <v>2415</v>
      </c>
      <c r="B123" s="64" t="s">
        <v>32</v>
      </c>
      <c r="C123" s="77" t="s">
        <v>836</v>
      </c>
      <c r="D123" s="77" t="s">
        <v>837</v>
      </c>
      <c r="E123" s="77" t="s">
        <v>838</v>
      </c>
      <c r="F123" s="77" t="s">
        <v>839</v>
      </c>
      <c r="G123" s="77" t="s">
        <v>831</v>
      </c>
      <c r="H123" s="77"/>
      <c r="I123" s="77" t="s">
        <v>840</v>
      </c>
      <c r="J123" s="77" t="s">
        <v>833</v>
      </c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</row>
    <row r="124" spans="1:44" ht="22.5" x14ac:dyDescent="0.25">
      <c r="A124" s="64" t="s">
        <v>2416</v>
      </c>
      <c r="B124" s="64" t="s">
        <v>456</v>
      </c>
      <c r="C124" s="77" t="s">
        <v>2633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</row>
    <row r="125" spans="1:44" ht="33.75" x14ac:dyDescent="0.25">
      <c r="A125" s="64" t="s">
        <v>2417</v>
      </c>
      <c r="B125" s="64" t="s">
        <v>32</v>
      </c>
      <c r="C125" s="77" t="s">
        <v>836</v>
      </c>
      <c r="D125" s="77" t="s">
        <v>837</v>
      </c>
      <c r="E125" s="77" t="s">
        <v>838</v>
      </c>
      <c r="F125" s="77" t="s">
        <v>839</v>
      </c>
      <c r="G125" s="77" t="s">
        <v>831</v>
      </c>
      <c r="H125" s="77"/>
      <c r="I125" s="77" t="s">
        <v>840</v>
      </c>
      <c r="J125" s="77" t="s">
        <v>833</v>
      </c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</row>
    <row r="126" spans="1:44" x14ac:dyDescent="0.25">
      <c r="A126" s="64" t="s">
        <v>2418</v>
      </c>
      <c r="B126" s="64" t="s">
        <v>456</v>
      </c>
      <c r="C126" s="77" t="s">
        <v>2633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</row>
    <row r="127" spans="1:44" ht="33.75" x14ac:dyDescent="0.25">
      <c r="A127" s="64" t="s">
        <v>2419</v>
      </c>
      <c r="B127" s="64" t="s">
        <v>32</v>
      </c>
      <c r="C127" s="77" t="s">
        <v>805</v>
      </c>
      <c r="D127" s="77" t="s">
        <v>810</v>
      </c>
      <c r="E127" s="77" t="s">
        <v>811</v>
      </c>
      <c r="F127" s="77" t="s">
        <v>808</v>
      </c>
      <c r="G127" s="77" t="s">
        <v>804</v>
      </c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</row>
    <row r="128" spans="1:44" x14ac:dyDescent="0.25">
      <c r="A128" s="64" t="s">
        <v>2420</v>
      </c>
      <c r="B128" s="64" t="s">
        <v>456</v>
      </c>
      <c r="C128" s="77" t="s">
        <v>812</v>
      </c>
      <c r="D128" s="77" t="s">
        <v>813</v>
      </c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</row>
    <row r="129" spans="1:44" ht="33.75" x14ac:dyDescent="0.25">
      <c r="A129" s="64" t="s">
        <v>2421</v>
      </c>
      <c r="B129" s="64" t="s">
        <v>32</v>
      </c>
      <c r="C129" s="77" t="s">
        <v>805</v>
      </c>
      <c r="D129" s="77" t="s">
        <v>810</v>
      </c>
      <c r="E129" s="77" t="s">
        <v>811</v>
      </c>
      <c r="F129" s="77" t="s">
        <v>808</v>
      </c>
      <c r="G129" s="77" t="s">
        <v>804</v>
      </c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</row>
    <row r="130" spans="1:44" x14ac:dyDescent="0.25">
      <c r="A130" s="64" t="s">
        <v>2422</v>
      </c>
      <c r="B130" s="64" t="s">
        <v>456</v>
      </c>
      <c r="C130" s="77" t="s">
        <v>812</v>
      </c>
      <c r="D130" s="77" t="s">
        <v>813</v>
      </c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</row>
    <row r="131" spans="1:44" ht="33.75" x14ac:dyDescent="0.25">
      <c r="A131" s="64" t="s">
        <v>2423</v>
      </c>
      <c r="B131" s="64" t="s">
        <v>32</v>
      </c>
      <c r="C131" s="77" t="s">
        <v>805</v>
      </c>
      <c r="D131" s="77" t="s">
        <v>821</v>
      </c>
      <c r="E131" s="77" t="s">
        <v>822</v>
      </c>
      <c r="F131" s="77" t="s">
        <v>823</v>
      </c>
      <c r="G131" s="77" t="s">
        <v>824</v>
      </c>
      <c r="H131" s="77" t="s">
        <v>468</v>
      </c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</row>
    <row r="132" spans="1:44" ht="33.75" x14ac:dyDescent="0.25">
      <c r="A132" s="64" t="s">
        <v>2424</v>
      </c>
      <c r="B132" s="64" t="s">
        <v>456</v>
      </c>
      <c r="C132" s="77" t="s">
        <v>812</v>
      </c>
      <c r="D132" s="77" t="s">
        <v>813</v>
      </c>
      <c r="E132" s="77" t="s">
        <v>825</v>
      </c>
      <c r="F132" s="77" t="s">
        <v>826</v>
      </c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</row>
    <row r="133" spans="1:44" ht="33.75" x14ac:dyDescent="0.25">
      <c r="A133" s="64" t="s">
        <v>2425</v>
      </c>
      <c r="B133" s="64" t="s">
        <v>32</v>
      </c>
      <c r="C133" s="77" t="s">
        <v>805</v>
      </c>
      <c r="D133" s="77" t="s">
        <v>814</v>
      </c>
      <c r="E133" s="77" t="s">
        <v>822</v>
      </c>
      <c r="F133" s="77" t="s">
        <v>823</v>
      </c>
      <c r="G133" s="77" t="s">
        <v>824</v>
      </c>
      <c r="H133" s="77" t="s">
        <v>468</v>
      </c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</row>
    <row r="134" spans="1:44" ht="33.75" x14ac:dyDescent="0.25">
      <c r="A134" s="64" t="s">
        <v>2426</v>
      </c>
      <c r="B134" s="64" t="s">
        <v>456</v>
      </c>
      <c r="C134" s="77" t="s">
        <v>812</v>
      </c>
      <c r="D134" s="77" t="s">
        <v>813</v>
      </c>
      <c r="E134" s="77" t="s">
        <v>826</v>
      </c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</row>
    <row r="135" spans="1:44" ht="33.75" x14ac:dyDescent="0.25">
      <c r="A135" s="64" t="s">
        <v>2427</v>
      </c>
      <c r="B135" s="64" t="s">
        <v>32</v>
      </c>
      <c r="C135" s="77" t="s">
        <v>805</v>
      </c>
      <c r="D135" s="77" t="s">
        <v>814</v>
      </c>
      <c r="E135" s="77" t="s">
        <v>822</v>
      </c>
      <c r="F135" s="77" t="s">
        <v>823</v>
      </c>
      <c r="G135" s="77" t="s">
        <v>824</v>
      </c>
      <c r="H135" s="77" t="s">
        <v>468</v>
      </c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</row>
    <row r="136" spans="1:44" ht="33.75" x14ac:dyDescent="0.25">
      <c r="A136" s="64" t="s">
        <v>2428</v>
      </c>
      <c r="B136" s="64" t="s">
        <v>456</v>
      </c>
      <c r="C136" s="77" t="s">
        <v>812</v>
      </c>
      <c r="D136" s="77" t="s">
        <v>813</v>
      </c>
      <c r="E136" s="77" t="s">
        <v>826</v>
      </c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</row>
    <row r="137" spans="1:44" ht="33.75" x14ac:dyDescent="0.25">
      <c r="A137" s="64" t="s">
        <v>2429</v>
      </c>
      <c r="B137" s="64" t="s">
        <v>32</v>
      </c>
      <c r="C137" s="77" t="s">
        <v>805</v>
      </c>
      <c r="D137" s="77" t="s">
        <v>1124</v>
      </c>
      <c r="E137" s="77" t="s">
        <v>1125</v>
      </c>
      <c r="F137" s="77" t="s">
        <v>823</v>
      </c>
      <c r="G137" s="77" t="s">
        <v>824</v>
      </c>
      <c r="H137" s="77" t="s">
        <v>468</v>
      </c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</row>
    <row r="138" spans="1:44" ht="22.5" x14ac:dyDescent="0.25">
      <c r="A138" s="64" t="s">
        <v>2430</v>
      </c>
      <c r="B138" s="64" t="s">
        <v>456</v>
      </c>
      <c r="C138" s="77" t="s">
        <v>812</v>
      </c>
      <c r="D138" s="77" t="s">
        <v>813</v>
      </c>
      <c r="E138" s="77" t="s">
        <v>1990</v>
      </c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</row>
    <row r="139" spans="1:44" ht="33.75" x14ac:dyDescent="0.25">
      <c r="A139" s="64" t="s">
        <v>2431</v>
      </c>
      <c r="B139" s="64" t="s">
        <v>32</v>
      </c>
      <c r="C139" s="77" t="s">
        <v>805</v>
      </c>
      <c r="D139" s="77" t="s">
        <v>1124</v>
      </c>
      <c r="E139" s="77" t="s">
        <v>1125</v>
      </c>
      <c r="F139" s="77" t="s">
        <v>823</v>
      </c>
      <c r="G139" s="77" t="s">
        <v>824</v>
      </c>
      <c r="H139" s="77" t="s">
        <v>468</v>
      </c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</row>
    <row r="140" spans="1:44" ht="22.5" x14ac:dyDescent="0.25">
      <c r="A140" s="64" t="s">
        <v>2432</v>
      </c>
      <c r="B140" s="64" t="s">
        <v>456</v>
      </c>
      <c r="C140" s="77" t="s">
        <v>812</v>
      </c>
      <c r="D140" s="77" t="s">
        <v>813</v>
      </c>
      <c r="E140" s="77" t="s">
        <v>1990</v>
      </c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</row>
    <row r="141" spans="1:44" ht="33.75" x14ac:dyDescent="0.25">
      <c r="A141" s="64" t="s">
        <v>2433</v>
      </c>
      <c r="B141" s="64" t="s">
        <v>32</v>
      </c>
      <c r="C141" s="77" t="s">
        <v>805</v>
      </c>
      <c r="D141" s="77" t="s">
        <v>814</v>
      </c>
      <c r="E141" s="77" t="s">
        <v>815</v>
      </c>
      <c r="F141" s="77" t="s">
        <v>816</v>
      </c>
      <c r="G141" s="77" t="s">
        <v>817</v>
      </c>
      <c r="H141" s="77" t="s">
        <v>818</v>
      </c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</row>
    <row r="142" spans="1:44" ht="33.75" x14ac:dyDescent="0.25">
      <c r="A142" s="64" t="s">
        <v>2434</v>
      </c>
      <c r="B142" s="64" t="s">
        <v>456</v>
      </c>
      <c r="C142" s="77" t="s">
        <v>812</v>
      </c>
      <c r="D142" s="77" t="s">
        <v>813</v>
      </c>
      <c r="E142" s="77" t="s">
        <v>819</v>
      </c>
      <c r="F142" s="77" t="s">
        <v>820</v>
      </c>
      <c r="G142" s="77" t="s">
        <v>995</v>
      </c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</row>
    <row r="143" spans="1:44" ht="33.75" x14ac:dyDescent="0.25">
      <c r="A143" s="64" t="s">
        <v>2435</v>
      </c>
      <c r="B143" s="64" t="s">
        <v>32</v>
      </c>
      <c r="C143" s="77" t="s">
        <v>805</v>
      </c>
      <c r="D143" s="77" t="s">
        <v>814</v>
      </c>
      <c r="E143" s="77" t="s">
        <v>815</v>
      </c>
      <c r="F143" s="77" t="s">
        <v>816</v>
      </c>
      <c r="G143" s="77" t="s">
        <v>817</v>
      </c>
      <c r="H143" s="77" t="s">
        <v>818</v>
      </c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</row>
    <row r="144" spans="1:44" ht="33.75" x14ac:dyDescent="0.25">
      <c r="A144" s="64" t="s">
        <v>2436</v>
      </c>
      <c r="B144" s="64" t="s">
        <v>456</v>
      </c>
      <c r="C144" s="77" t="s">
        <v>812</v>
      </c>
      <c r="D144" s="77" t="s">
        <v>813</v>
      </c>
      <c r="E144" s="77" t="s">
        <v>819</v>
      </c>
      <c r="F144" s="77" t="s">
        <v>820</v>
      </c>
      <c r="G144" s="77" t="s">
        <v>995</v>
      </c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</row>
    <row r="145" spans="1:44" ht="33.75" x14ac:dyDescent="0.25">
      <c r="A145" s="64" t="s">
        <v>2437</v>
      </c>
      <c r="B145" s="64" t="s">
        <v>32</v>
      </c>
      <c r="C145" s="77" t="s">
        <v>805</v>
      </c>
      <c r="D145" s="77" t="s">
        <v>814</v>
      </c>
      <c r="E145" s="77" t="s">
        <v>815</v>
      </c>
      <c r="F145" s="77" t="s">
        <v>816</v>
      </c>
      <c r="G145" s="77" t="s">
        <v>817</v>
      </c>
      <c r="H145" s="77" t="s">
        <v>818</v>
      </c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</row>
    <row r="146" spans="1:44" ht="33.75" x14ac:dyDescent="0.25">
      <c r="A146" s="64" t="s">
        <v>2438</v>
      </c>
      <c r="B146" s="64" t="s">
        <v>456</v>
      </c>
      <c r="C146" s="77" t="s">
        <v>812</v>
      </c>
      <c r="D146" s="77" t="s">
        <v>813</v>
      </c>
      <c r="E146" s="77" t="s">
        <v>819</v>
      </c>
      <c r="F146" s="77" t="s">
        <v>820</v>
      </c>
      <c r="G146" s="77" t="s">
        <v>995</v>
      </c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</row>
    <row r="147" spans="1:44" ht="33.75" x14ac:dyDescent="0.25">
      <c r="A147" s="64" t="s">
        <v>2439</v>
      </c>
      <c r="B147" s="64" t="s">
        <v>32</v>
      </c>
      <c r="C147" s="77" t="s">
        <v>805</v>
      </c>
      <c r="D147" s="77" t="s">
        <v>1124</v>
      </c>
      <c r="E147" s="77" t="s">
        <v>1128</v>
      </c>
      <c r="F147" s="77" t="s">
        <v>1129</v>
      </c>
      <c r="G147" s="77" t="s">
        <v>1130</v>
      </c>
      <c r="H147" s="77" t="s">
        <v>818</v>
      </c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</row>
    <row r="148" spans="1:44" ht="33.75" x14ac:dyDescent="0.25">
      <c r="A148" s="64" t="s">
        <v>2440</v>
      </c>
      <c r="B148" s="64" t="s">
        <v>456</v>
      </c>
      <c r="C148" s="77" t="s">
        <v>812</v>
      </c>
      <c r="D148" s="77" t="s">
        <v>813</v>
      </c>
      <c r="E148" s="77" t="s">
        <v>1131</v>
      </c>
      <c r="F148" s="77" t="s">
        <v>1132</v>
      </c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</row>
    <row r="149" spans="1:44" ht="33.75" x14ac:dyDescent="0.25">
      <c r="A149" s="64" t="s">
        <v>2441</v>
      </c>
      <c r="B149" s="64" t="s">
        <v>32</v>
      </c>
      <c r="C149" s="77" t="s">
        <v>805</v>
      </c>
      <c r="D149" s="77" t="s">
        <v>1124</v>
      </c>
      <c r="E149" s="77" t="s">
        <v>1128</v>
      </c>
      <c r="F149" s="77" t="s">
        <v>1129</v>
      </c>
      <c r="G149" s="77" t="s">
        <v>1130</v>
      </c>
      <c r="H149" s="77" t="s">
        <v>818</v>
      </c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</row>
    <row r="150" spans="1:44" ht="33.75" x14ac:dyDescent="0.25">
      <c r="A150" s="64" t="s">
        <v>2442</v>
      </c>
      <c r="B150" s="64" t="s">
        <v>456</v>
      </c>
      <c r="C150" s="77" t="s">
        <v>812</v>
      </c>
      <c r="D150" s="77" t="s">
        <v>813</v>
      </c>
      <c r="E150" s="77" t="s">
        <v>1131</v>
      </c>
      <c r="F150" s="77" t="s">
        <v>1132</v>
      </c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</row>
    <row r="151" spans="1:44" ht="33.75" x14ac:dyDescent="0.25">
      <c r="A151" s="64" t="s">
        <v>2443</v>
      </c>
      <c r="B151" s="64" t="s">
        <v>32</v>
      </c>
      <c r="C151" s="77" t="s">
        <v>1143</v>
      </c>
      <c r="D151" s="77" t="s">
        <v>1144</v>
      </c>
      <c r="E151" s="77" t="s">
        <v>1145</v>
      </c>
      <c r="F151" s="77" t="s">
        <v>851</v>
      </c>
      <c r="G151" s="77" t="s">
        <v>852</v>
      </c>
      <c r="H151" s="77" t="s">
        <v>831</v>
      </c>
      <c r="I151" s="77" t="s">
        <v>845</v>
      </c>
      <c r="J151" s="77" t="s">
        <v>1146</v>
      </c>
      <c r="K151" s="77" t="s">
        <v>833</v>
      </c>
      <c r="L151" s="77" t="s">
        <v>504</v>
      </c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</row>
    <row r="152" spans="1:44" ht="33.75" x14ac:dyDescent="0.25">
      <c r="A152" s="64" t="s">
        <v>2444</v>
      </c>
      <c r="B152" s="64" t="s">
        <v>456</v>
      </c>
      <c r="C152" s="77" t="s">
        <v>1147</v>
      </c>
      <c r="D152" s="77" t="s">
        <v>841</v>
      </c>
      <c r="E152" s="77" t="s">
        <v>835</v>
      </c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</row>
    <row r="153" spans="1:44" ht="33.75" x14ac:dyDescent="0.25">
      <c r="A153" s="64" t="s">
        <v>2445</v>
      </c>
      <c r="B153" s="107" t="s">
        <v>32</v>
      </c>
      <c r="C153" s="77" t="s">
        <v>1112</v>
      </c>
      <c r="D153" s="77" t="s">
        <v>1113</v>
      </c>
      <c r="E153" s="77" t="s">
        <v>1114</v>
      </c>
      <c r="F153" s="77" t="s">
        <v>851</v>
      </c>
      <c r="G153" s="77" t="s">
        <v>852</v>
      </c>
      <c r="H153" s="77" t="s">
        <v>831</v>
      </c>
      <c r="I153" s="77" t="s">
        <v>845</v>
      </c>
      <c r="J153" s="77" t="s">
        <v>832</v>
      </c>
      <c r="K153" s="77" t="s">
        <v>1115</v>
      </c>
      <c r="L153" s="77" t="s">
        <v>1116</v>
      </c>
      <c r="M153" s="77" t="s">
        <v>1117</v>
      </c>
      <c r="N153" s="77" t="s">
        <v>1118</v>
      </c>
      <c r="O153" s="77" t="s">
        <v>1119</v>
      </c>
      <c r="P153" s="77" t="s">
        <v>1991</v>
      </c>
      <c r="Q153" s="77" t="s">
        <v>1121</v>
      </c>
      <c r="R153" s="77" t="s">
        <v>1122</v>
      </c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</row>
    <row r="154" spans="1:44" ht="22.5" x14ac:dyDescent="0.25">
      <c r="A154" s="64" t="s">
        <v>2446</v>
      </c>
      <c r="B154" s="107" t="s">
        <v>456</v>
      </c>
      <c r="C154" s="77" t="s">
        <v>2633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</row>
    <row r="155" spans="1:44" ht="33.75" x14ac:dyDescent="0.25">
      <c r="A155" s="64" t="s">
        <v>2447</v>
      </c>
      <c r="B155" s="107" t="s">
        <v>32</v>
      </c>
      <c r="C155" s="77" t="s">
        <v>1112</v>
      </c>
      <c r="D155" s="77" t="s">
        <v>1113</v>
      </c>
      <c r="E155" s="77" t="s">
        <v>1114</v>
      </c>
      <c r="F155" s="77" t="s">
        <v>851</v>
      </c>
      <c r="G155" s="77" t="s">
        <v>852</v>
      </c>
      <c r="H155" s="77" t="s">
        <v>831</v>
      </c>
      <c r="I155" s="77" t="s">
        <v>845</v>
      </c>
      <c r="J155" s="77" t="s">
        <v>832</v>
      </c>
      <c r="K155" s="77" t="s">
        <v>1115</v>
      </c>
      <c r="L155" s="77" t="s">
        <v>1116</v>
      </c>
      <c r="M155" s="77" t="s">
        <v>1117</v>
      </c>
      <c r="N155" s="77" t="s">
        <v>1118</v>
      </c>
      <c r="O155" s="77" t="s">
        <v>1119</v>
      </c>
      <c r="P155" s="77" t="s">
        <v>1120</v>
      </c>
      <c r="Q155" s="77" t="s">
        <v>1121</v>
      </c>
      <c r="R155" s="77" t="s">
        <v>1122</v>
      </c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</row>
    <row r="156" spans="1:44" ht="22.5" x14ac:dyDescent="0.25">
      <c r="A156" s="64" t="s">
        <v>2448</v>
      </c>
      <c r="B156" s="107" t="s">
        <v>456</v>
      </c>
      <c r="C156" s="77" t="s">
        <v>2633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</row>
    <row r="157" spans="1:44" ht="33.75" x14ac:dyDescent="0.25">
      <c r="A157" s="64" t="s">
        <v>2449</v>
      </c>
      <c r="B157" s="107" t="s">
        <v>32</v>
      </c>
      <c r="C157" s="77" t="s">
        <v>1112</v>
      </c>
      <c r="D157" s="77" t="s">
        <v>1113</v>
      </c>
      <c r="E157" s="77" t="s">
        <v>1114</v>
      </c>
      <c r="F157" s="77" t="s">
        <v>851</v>
      </c>
      <c r="G157" s="77" t="s">
        <v>852</v>
      </c>
      <c r="H157" s="77" t="s">
        <v>831</v>
      </c>
      <c r="I157" s="77" t="s">
        <v>845</v>
      </c>
      <c r="J157" s="77" t="s">
        <v>832</v>
      </c>
      <c r="K157" s="77" t="s">
        <v>1115</v>
      </c>
      <c r="L157" s="77" t="s">
        <v>1116</v>
      </c>
      <c r="M157" s="77" t="s">
        <v>1117</v>
      </c>
      <c r="N157" s="77" t="s">
        <v>1118</v>
      </c>
      <c r="O157" s="77" t="s">
        <v>1119</v>
      </c>
      <c r="P157" s="77" t="s">
        <v>1120</v>
      </c>
      <c r="Q157" s="77" t="s">
        <v>1121</v>
      </c>
      <c r="R157" s="77" t="s">
        <v>1122</v>
      </c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</row>
    <row r="158" spans="1:44" ht="22.5" x14ac:dyDescent="0.25">
      <c r="A158" s="64" t="s">
        <v>2450</v>
      </c>
      <c r="B158" s="107" t="s">
        <v>456</v>
      </c>
      <c r="C158" s="77" t="s">
        <v>2633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</row>
    <row r="159" spans="1:44" ht="33.75" x14ac:dyDescent="0.25">
      <c r="A159" s="64" t="s">
        <v>2451</v>
      </c>
      <c r="B159" s="107" t="s">
        <v>32</v>
      </c>
      <c r="C159" s="77" t="s">
        <v>1112</v>
      </c>
      <c r="D159" s="77" t="s">
        <v>1113</v>
      </c>
      <c r="E159" s="77" t="s">
        <v>1114</v>
      </c>
      <c r="F159" s="77" t="s">
        <v>851</v>
      </c>
      <c r="G159" s="77" t="s">
        <v>852</v>
      </c>
      <c r="H159" s="77" t="s">
        <v>831</v>
      </c>
      <c r="I159" s="77" t="s">
        <v>845</v>
      </c>
      <c r="J159" s="77" t="s">
        <v>832</v>
      </c>
      <c r="K159" s="77" t="s">
        <v>1115</v>
      </c>
      <c r="L159" s="77" t="s">
        <v>1116</v>
      </c>
      <c r="M159" s="77" t="s">
        <v>1117</v>
      </c>
      <c r="N159" s="77" t="s">
        <v>1118</v>
      </c>
      <c r="O159" s="77" t="s">
        <v>1119</v>
      </c>
      <c r="P159" s="77" t="s">
        <v>1120</v>
      </c>
      <c r="Q159" s="77" t="s">
        <v>1121</v>
      </c>
      <c r="R159" s="77" t="s">
        <v>1122</v>
      </c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</row>
    <row r="160" spans="1:44" ht="33.75" x14ac:dyDescent="0.25">
      <c r="A160" s="64" t="s">
        <v>2452</v>
      </c>
      <c r="B160" s="107" t="s">
        <v>456</v>
      </c>
      <c r="C160" s="77" t="s">
        <v>2633</v>
      </c>
      <c r="D160" s="77" t="s">
        <v>1113</v>
      </c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</row>
    <row r="161" spans="1:44" ht="33.75" x14ac:dyDescent="0.25">
      <c r="A161" s="64" t="s">
        <v>2453</v>
      </c>
      <c r="B161" s="64" t="s">
        <v>32</v>
      </c>
      <c r="C161" s="77" t="s">
        <v>842</v>
      </c>
      <c r="D161" s="77" t="s">
        <v>843</v>
      </c>
      <c r="E161" s="77" t="s">
        <v>838</v>
      </c>
      <c r="F161" s="77" t="s">
        <v>2676</v>
      </c>
      <c r="G161" s="77" t="s">
        <v>831</v>
      </c>
      <c r="H161" s="77" t="s">
        <v>845</v>
      </c>
      <c r="I161" s="77" t="s">
        <v>846</v>
      </c>
      <c r="J161" s="77" t="s">
        <v>833</v>
      </c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</row>
    <row r="162" spans="1:44" ht="22.5" x14ac:dyDescent="0.25">
      <c r="A162" s="64" t="s">
        <v>2454</v>
      </c>
      <c r="B162" s="64" t="s">
        <v>456</v>
      </c>
      <c r="C162" s="77" t="s">
        <v>841</v>
      </c>
      <c r="D162" s="77" t="s">
        <v>835</v>
      </c>
      <c r="E162" s="77" t="s">
        <v>851</v>
      </c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</row>
    <row r="163" spans="1:44" ht="33.75" x14ac:dyDescent="0.25">
      <c r="A163" s="64" t="s">
        <v>2455</v>
      </c>
      <c r="B163" s="64" t="s">
        <v>32</v>
      </c>
      <c r="C163" s="77" t="s">
        <v>842</v>
      </c>
      <c r="D163" s="77" t="s">
        <v>843</v>
      </c>
      <c r="E163" s="77" t="s">
        <v>838</v>
      </c>
      <c r="F163" s="77" t="s">
        <v>2676</v>
      </c>
      <c r="G163" s="77" t="s">
        <v>831</v>
      </c>
      <c r="H163" s="77" t="s">
        <v>845</v>
      </c>
      <c r="I163" s="77" t="s">
        <v>846</v>
      </c>
      <c r="J163" s="77" t="s">
        <v>833</v>
      </c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</row>
    <row r="164" spans="1:44" ht="22.5" x14ac:dyDescent="0.25">
      <c r="A164" s="64" t="s">
        <v>2456</v>
      </c>
      <c r="B164" s="64" t="s">
        <v>456</v>
      </c>
      <c r="C164" s="77" t="s">
        <v>841</v>
      </c>
      <c r="D164" s="77" t="s">
        <v>835</v>
      </c>
      <c r="E164" s="77" t="s">
        <v>851</v>
      </c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</row>
    <row r="165" spans="1:44" ht="33.75" x14ac:dyDescent="0.25">
      <c r="A165" s="64" t="s">
        <v>2457</v>
      </c>
      <c r="B165" s="64" t="s">
        <v>32</v>
      </c>
      <c r="C165" s="77" t="s">
        <v>1004</v>
      </c>
      <c r="D165" s="77" t="s">
        <v>857</v>
      </c>
      <c r="E165" s="77" t="s">
        <v>858</v>
      </c>
      <c r="F165" s="77" t="s">
        <v>851</v>
      </c>
      <c r="G165" s="77" t="s">
        <v>852</v>
      </c>
      <c r="H165" s="77" t="s">
        <v>831</v>
      </c>
      <c r="I165" s="77" t="s">
        <v>845</v>
      </c>
      <c r="J165" s="77" t="s">
        <v>832</v>
      </c>
      <c r="K165" s="77" t="s">
        <v>833</v>
      </c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</row>
    <row r="166" spans="1:44" ht="22.5" x14ac:dyDescent="0.25">
      <c r="A166" s="64" t="s">
        <v>2458</v>
      </c>
      <c r="B166" s="64" t="s">
        <v>456</v>
      </c>
      <c r="C166" s="77" t="s">
        <v>2677</v>
      </c>
      <c r="D166" s="77" t="s">
        <v>854</v>
      </c>
      <c r="E166" s="77" t="s">
        <v>855</v>
      </c>
      <c r="F166" s="77" t="s">
        <v>841</v>
      </c>
      <c r="G166" s="77" t="s">
        <v>835</v>
      </c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</row>
    <row r="167" spans="1:44" ht="33.75" x14ac:dyDescent="0.25">
      <c r="A167" s="64" t="s">
        <v>2459</v>
      </c>
      <c r="B167" s="64" t="s">
        <v>32</v>
      </c>
      <c r="C167" s="77" t="s">
        <v>1004</v>
      </c>
      <c r="D167" s="77" t="s">
        <v>857</v>
      </c>
      <c r="E167" s="77" t="s">
        <v>858</v>
      </c>
      <c r="F167" s="77" t="s">
        <v>851</v>
      </c>
      <c r="G167" s="77" t="s">
        <v>852</v>
      </c>
      <c r="H167" s="77" t="s">
        <v>831</v>
      </c>
      <c r="I167" s="77" t="s">
        <v>845</v>
      </c>
      <c r="J167" s="77" t="s">
        <v>832</v>
      </c>
      <c r="K167" s="77" t="s">
        <v>833</v>
      </c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</row>
    <row r="168" spans="1:44" ht="22.5" x14ac:dyDescent="0.25">
      <c r="A168" s="64" t="s">
        <v>2460</v>
      </c>
      <c r="B168" s="64" t="s">
        <v>456</v>
      </c>
      <c r="C168" s="77" t="s">
        <v>2677</v>
      </c>
      <c r="D168" s="77" t="s">
        <v>854</v>
      </c>
      <c r="E168" s="77" t="s">
        <v>855</v>
      </c>
      <c r="F168" s="77" t="s">
        <v>841</v>
      </c>
      <c r="G168" s="77" t="s">
        <v>835</v>
      </c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</row>
    <row r="169" spans="1:44" ht="33.75" x14ac:dyDescent="0.25">
      <c r="A169" s="64" t="s">
        <v>2461</v>
      </c>
      <c r="B169" s="64" t="s">
        <v>32</v>
      </c>
      <c r="C169" s="77" t="s">
        <v>1143</v>
      </c>
      <c r="D169" s="77" t="s">
        <v>857</v>
      </c>
      <c r="E169" s="77" t="s">
        <v>858</v>
      </c>
      <c r="F169" s="77" t="s">
        <v>851</v>
      </c>
      <c r="G169" s="77" t="s">
        <v>852</v>
      </c>
      <c r="H169" s="77" t="s">
        <v>831</v>
      </c>
      <c r="I169" s="77" t="s">
        <v>845</v>
      </c>
      <c r="J169" s="77" t="s">
        <v>832</v>
      </c>
      <c r="K169" s="77" t="s">
        <v>833</v>
      </c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</row>
    <row r="170" spans="1:44" ht="22.5" x14ac:dyDescent="0.25">
      <c r="A170" s="64" t="s">
        <v>2462</v>
      </c>
      <c r="B170" s="64" t="s">
        <v>456</v>
      </c>
      <c r="C170" s="77" t="s">
        <v>2677</v>
      </c>
      <c r="D170" s="77" t="s">
        <v>854</v>
      </c>
      <c r="E170" s="77" t="s">
        <v>855</v>
      </c>
      <c r="F170" s="77" t="s">
        <v>841</v>
      </c>
      <c r="G170" s="77" t="s">
        <v>835</v>
      </c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</row>
    <row r="171" spans="1:44" ht="33.75" x14ac:dyDescent="0.25">
      <c r="A171" s="64" t="s">
        <v>2463</v>
      </c>
      <c r="B171" s="64" t="s">
        <v>32</v>
      </c>
      <c r="C171" s="77" t="s">
        <v>1143</v>
      </c>
      <c r="D171" s="77" t="s">
        <v>857</v>
      </c>
      <c r="E171" s="77" t="s">
        <v>858</v>
      </c>
      <c r="F171" s="77" t="s">
        <v>851</v>
      </c>
      <c r="G171" s="77" t="s">
        <v>852</v>
      </c>
      <c r="H171" s="77" t="s">
        <v>831</v>
      </c>
      <c r="I171" s="77" t="s">
        <v>845</v>
      </c>
      <c r="J171" s="77" t="s">
        <v>832</v>
      </c>
      <c r="K171" s="77" t="s">
        <v>833</v>
      </c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</row>
    <row r="172" spans="1:44" ht="22.5" x14ac:dyDescent="0.25">
      <c r="A172" s="64" t="s">
        <v>2464</v>
      </c>
      <c r="B172" s="64" t="s">
        <v>456</v>
      </c>
      <c r="C172" s="77" t="s">
        <v>2677</v>
      </c>
      <c r="D172" s="77" t="s">
        <v>854</v>
      </c>
      <c r="E172" s="77" t="s">
        <v>855</v>
      </c>
      <c r="F172" s="77" t="s">
        <v>841</v>
      </c>
      <c r="G172" s="77" t="s">
        <v>835</v>
      </c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</row>
    <row r="173" spans="1:44" ht="33.75" x14ac:dyDescent="0.25">
      <c r="A173" s="64" t="s">
        <v>2465</v>
      </c>
      <c r="B173" s="64" t="s">
        <v>32</v>
      </c>
      <c r="C173" s="77" t="s">
        <v>1004</v>
      </c>
      <c r="D173" s="77" t="s">
        <v>849</v>
      </c>
      <c r="E173" s="77" t="s">
        <v>850</v>
      </c>
      <c r="F173" s="77" t="s">
        <v>851</v>
      </c>
      <c r="G173" s="77" t="s">
        <v>852</v>
      </c>
      <c r="H173" s="77" t="s">
        <v>831</v>
      </c>
      <c r="I173" s="77" t="s">
        <v>845</v>
      </c>
      <c r="J173" s="77" t="s">
        <v>832</v>
      </c>
      <c r="K173" s="77" t="s">
        <v>833</v>
      </c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</row>
    <row r="174" spans="1:44" ht="22.5" x14ac:dyDescent="0.25">
      <c r="A174" s="64" t="s">
        <v>2466</v>
      </c>
      <c r="B174" s="64" t="s">
        <v>456</v>
      </c>
      <c r="C174" s="77" t="s">
        <v>2677</v>
      </c>
      <c r="D174" s="77" t="s">
        <v>854</v>
      </c>
      <c r="E174" s="77" t="s">
        <v>855</v>
      </c>
      <c r="F174" s="77" t="s">
        <v>841</v>
      </c>
      <c r="G174" s="77" t="s">
        <v>835</v>
      </c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</row>
    <row r="175" spans="1:44" ht="33.75" x14ac:dyDescent="0.25">
      <c r="A175" s="64" t="s">
        <v>2467</v>
      </c>
      <c r="B175" s="64" t="s">
        <v>32</v>
      </c>
      <c r="C175" s="77" t="s">
        <v>1004</v>
      </c>
      <c r="D175" s="77" t="s">
        <v>849</v>
      </c>
      <c r="E175" s="77" t="s">
        <v>850</v>
      </c>
      <c r="F175" s="77" t="s">
        <v>851</v>
      </c>
      <c r="G175" s="77" t="s">
        <v>852</v>
      </c>
      <c r="H175" s="77" t="s">
        <v>831</v>
      </c>
      <c r="I175" s="77" t="s">
        <v>845</v>
      </c>
      <c r="J175" s="77" t="s">
        <v>832</v>
      </c>
      <c r="K175" s="77" t="s">
        <v>833</v>
      </c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</row>
    <row r="176" spans="1:44" ht="22.5" x14ac:dyDescent="0.25">
      <c r="A176" s="64" t="s">
        <v>2468</v>
      </c>
      <c r="B176" s="64" t="s">
        <v>456</v>
      </c>
      <c r="C176" s="77" t="s">
        <v>2677</v>
      </c>
      <c r="D176" s="77" t="s">
        <v>854</v>
      </c>
      <c r="E176" s="77" t="s">
        <v>855</v>
      </c>
      <c r="F176" s="77" t="s">
        <v>841</v>
      </c>
      <c r="G176" s="77" t="s">
        <v>835</v>
      </c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</row>
    <row r="177" spans="1:44" ht="33.75" x14ac:dyDescent="0.25">
      <c r="A177" s="64" t="s">
        <v>2469</v>
      </c>
      <c r="B177" s="64" t="s">
        <v>32</v>
      </c>
      <c r="C177" s="77" t="s">
        <v>1140</v>
      </c>
      <c r="D177" s="77" t="s">
        <v>1141</v>
      </c>
      <c r="E177" s="77" t="s">
        <v>850</v>
      </c>
      <c r="F177" s="77" t="s">
        <v>851</v>
      </c>
      <c r="G177" s="77" t="s">
        <v>852</v>
      </c>
      <c r="H177" s="77" t="s">
        <v>831</v>
      </c>
      <c r="I177" s="77" t="s">
        <v>845</v>
      </c>
      <c r="J177" s="77" t="s">
        <v>832</v>
      </c>
      <c r="K177" s="77" t="s">
        <v>833</v>
      </c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</row>
    <row r="178" spans="1:44" ht="22.5" x14ac:dyDescent="0.25">
      <c r="A178" s="64" t="s">
        <v>2470</v>
      </c>
      <c r="B178" s="64" t="s">
        <v>456</v>
      </c>
      <c r="C178" s="77" t="s">
        <v>2677</v>
      </c>
      <c r="D178" s="77" t="s">
        <v>1002</v>
      </c>
      <c r="E178" s="77" t="s">
        <v>2678</v>
      </c>
      <c r="F178" s="77" t="s">
        <v>841</v>
      </c>
      <c r="G178" s="77" t="s">
        <v>835</v>
      </c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</row>
    <row r="179" spans="1:44" ht="33.75" x14ac:dyDescent="0.25">
      <c r="A179" s="64" t="s">
        <v>2471</v>
      </c>
      <c r="B179" s="64" t="s">
        <v>32</v>
      </c>
      <c r="C179" s="77" t="s">
        <v>1140</v>
      </c>
      <c r="D179" s="77" t="s">
        <v>1141</v>
      </c>
      <c r="E179" s="77" t="s">
        <v>850</v>
      </c>
      <c r="F179" s="77" t="s">
        <v>851</v>
      </c>
      <c r="G179" s="77" t="s">
        <v>852</v>
      </c>
      <c r="H179" s="77" t="s">
        <v>831</v>
      </c>
      <c r="I179" s="77" t="s">
        <v>845</v>
      </c>
      <c r="J179" s="77" t="s">
        <v>832</v>
      </c>
      <c r="K179" s="77" t="s">
        <v>833</v>
      </c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</row>
    <row r="180" spans="1:44" ht="22.5" x14ac:dyDescent="0.25">
      <c r="A180" s="64" t="s">
        <v>2472</v>
      </c>
      <c r="B180" s="64" t="s">
        <v>456</v>
      </c>
      <c r="C180" s="77" t="s">
        <v>2677</v>
      </c>
      <c r="D180" s="77" t="s">
        <v>1002</v>
      </c>
      <c r="E180" s="77" t="s">
        <v>2678</v>
      </c>
      <c r="F180" s="77" t="s">
        <v>841</v>
      </c>
      <c r="G180" s="77" t="s">
        <v>835</v>
      </c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</row>
    <row r="181" spans="1:44" ht="33.75" x14ac:dyDescent="0.25">
      <c r="A181" s="64" t="s">
        <v>2473</v>
      </c>
      <c r="B181" s="64" t="s">
        <v>32</v>
      </c>
      <c r="C181" s="77" t="s">
        <v>842</v>
      </c>
      <c r="D181" s="77" t="s">
        <v>843</v>
      </c>
      <c r="E181" s="77" t="s">
        <v>838</v>
      </c>
      <c r="F181" s="77" t="s">
        <v>2592</v>
      </c>
      <c r="G181" s="77" t="s">
        <v>831</v>
      </c>
      <c r="H181" s="77" t="s">
        <v>845</v>
      </c>
      <c r="I181" s="77" t="s">
        <v>846</v>
      </c>
      <c r="J181" s="77" t="s">
        <v>833</v>
      </c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</row>
    <row r="182" spans="1:44" ht="22.5" x14ac:dyDescent="0.25">
      <c r="A182" s="64" t="s">
        <v>2474</v>
      </c>
      <c r="B182" s="64" t="s">
        <v>456</v>
      </c>
      <c r="C182" s="77" t="s">
        <v>841</v>
      </c>
      <c r="D182" s="77" t="s">
        <v>835</v>
      </c>
      <c r="E182" s="77" t="s">
        <v>847</v>
      </c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</row>
    <row r="183" spans="1:44" ht="33.75" x14ac:dyDescent="0.25">
      <c r="A183" s="64" t="s">
        <v>2475</v>
      </c>
      <c r="B183" s="64" t="s">
        <v>32</v>
      </c>
      <c r="C183" s="77" t="s">
        <v>842</v>
      </c>
      <c r="D183" s="77" t="s">
        <v>843</v>
      </c>
      <c r="E183" s="77" t="s">
        <v>838</v>
      </c>
      <c r="F183" s="77" t="s">
        <v>2592</v>
      </c>
      <c r="G183" s="77" t="s">
        <v>831</v>
      </c>
      <c r="H183" s="77" t="s">
        <v>845</v>
      </c>
      <c r="I183" s="77" t="s">
        <v>846</v>
      </c>
      <c r="J183" s="77" t="s">
        <v>833</v>
      </c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</row>
    <row r="184" spans="1:44" ht="22.5" x14ac:dyDescent="0.25">
      <c r="A184" s="64" t="s">
        <v>2476</v>
      </c>
      <c r="B184" s="64" t="s">
        <v>456</v>
      </c>
      <c r="C184" s="77" t="s">
        <v>841</v>
      </c>
      <c r="D184" s="77" t="s">
        <v>835</v>
      </c>
      <c r="E184" s="77" t="s">
        <v>847</v>
      </c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</row>
    <row r="185" spans="1:44" ht="33.75" x14ac:dyDescent="0.25">
      <c r="A185" s="64" t="s">
        <v>2477</v>
      </c>
      <c r="B185" s="64" t="s">
        <v>32</v>
      </c>
      <c r="C185" s="77" t="s">
        <v>1004</v>
      </c>
      <c r="D185" s="77" t="s">
        <v>857</v>
      </c>
      <c r="E185" s="77" t="s">
        <v>858</v>
      </c>
      <c r="F185" s="77" t="s">
        <v>851</v>
      </c>
      <c r="G185" s="77" t="s">
        <v>852</v>
      </c>
      <c r="H185" s="77" t="s">
        <v>831</v>
      </c>
      <c r="I185" s="77" t="s">
        <v>845</v>
      </c>
      <c r="J185" s="77" t="s">
        <v>832</v>
      </c>
      <c r="K185" s="77" t="s">
        <v>833</v>
      </c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</row>
    <row r="186" spans="1:44" ht="22.5" x14ac:dyDescent="0.25">
      <c r="A186" s="64" t="s">
        <v>2478</v>
      </c>
      <c r="B186" s="64" t="s">
        <v>456</v>
      </c>
      <c r="C186" s="77" t="s">
        <v>859</v>
      </c>
      <c r="D186" s="77" t="s">
        <v>854</v>
      </c>
      <c r="E186" s="77" t="s">
        <v>860</v>
      </c>
      <c r="F186" s="77" t="s">
        <v>841</v>
      </c>
      <c r="G186" s="77" t="s">
        <v>835</v>
      </c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</row>
    <row r="187" spans="1:44" ht="33.75" x14ac:dyDescent="0.25">
      <c r="A187" s="64" t="s">
        <v>2479</v>
      </c>
      <c r="B187" s="64" t="s">
        <v>32</v>
      </c>
      <c r="C187" s="77" t="s">
        <v>1004</v>
      </c>
      <c r="D187" s="77" t="s">
        <v>857</v>
      </c>
      <c r="E187" s="77" t="s">
        <v>858</v>
      </c>
      <c r="F187" s="77" t="s">
        <v>851</v>
      </c>
      <c r="G187" s="77" t="s">
        <v>852</v>
      </c>
      <c r="H187" s="77" t="s">
        <v>831</v>
      </c>
      <c r="I187" s="77" t="s">
        <v>845</v>
      </c>
      <c r="J187" s="77" t="s">
        <v>832</v>
      </c>
      <c r="K187" s="77" t="s">
        <v>833</v>
      </c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</row>
    <row r="188" spans="1:44" ht="22.5" x14ac:dyDescent="0.25">
      <c r="A188" s="64" t="s">
        <v>2480</v>
      </c>
      <c r="B188" s="64" t="s">
        <v>456</v>
      </c>
      <c r="C188" s="77" t="s">
        <v>859</v>
      </c>
      <c r="D188" s="77" t="s">
        <v>854</v>
      </c>
      <c r="E188" s="77" t="s">
        <v>860</v>
      </c>
      <c r="F188" s="77" t="s">
        <v>841</v>
      </c>
      <c r="G188" s="77" t="s">
        <v>835</v>
      </c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</row>
    <row r="189" spans="1:44" ht="33.75" x14ac:dyDescent="0.25">
      <c r="A189" s="64" t="s">
        <v>2481</v>
      </c>
      <c r="B189" s="64" t="s">
        <v>32</v>
      </c>
      <c r="C189" s="77" t="s">
        <v>1143</v>
      </c>
      <c r="D189" s="77" t="s">
        <v>857</v>
      </c>
      <c r="E189" s="77" t="s">
        <v>858</v>
      </c>
      <c r="F189" s="77" t="s">
        <v>851</v>
      </c>
      <c r="G189" s="77" t="s">
        <v>852</v>
      </c>
      <c r="H189" s="77" t="s">
        <v>831</v>
      </c>
      <c r="I189" s="77" t="s">
        <v>845</v>
      </c>
      <c r="J189" s="77" t="s">
        <v>832</v>
      </c>
      <c r="K189" s="77" t="s">
        <v>833</v>
      </c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</row>
    <row r="190" spans="1:44" ht="22.5" x14ac:dyDescent="0.25">
      <c r="A190" s="64" t="s">
        <v>2482</v>
      </c>
      <c r="B190" s="64" t="s">
        <v>456</v>
      </c>
      <c r="C190" s="77" t="s">
        <v>859</v>
      </c>
      <c r="D190" s="77" t="s">
        <v>854</v>
      </c>
      <c r="E190" s="77" t="s">
        <v>860</v>
      </c>
      <c r="F190" s="77" t="s">
        <v>841</v>
      </c>
      <c r="G190" s="77" t="s">
        <v>835</v>
      </c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</row>
    <row r="191" spans="1:44" ht="33.75" x14ac:dyDescent="0.25">
      <c r="A191" s="64" t="s">
        <v>2483</v>
      </c>
      <c r="B191" s="64" t="s">
        <v>32</v>
      </c>
      <c r="C191" s="77" t="s">
        <v>1143</v>
      </c>
      <c r="D191" s="77" t="s">
        <v>857</v>
      </c>
      <c r="E191" s="77" t="s">
        <v>858</v>
      </c>
      <c r="F191" s="77" t="s">
        <v>851</v>
      </c>
      <c r="G191" s="77" t="s">
        <v>852</v>
      </c>
      <c r="H191" s="77" t="s">
        <v>831</v>
      </c>
      <c r="I191" s="77" t="s">
        <v>845</v>
      </c>
      <c r="J191" s="77" t="s">
        <v>832</v>
      </c>
      <c r="K191" s="77" t="s">
        <v>833</v>
      </c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</row>
    <row r="192" spans="1:44" ht="22.5" x14ac:dyDescent="0.25">
      <c r="A192" s="64" t="s">
        <v>2484</v>
      </c>
      <c r="B192" s="64" t="s">
        <v>456</v>
      </c>
      <c r="C192" s="77" t="s">
        <v>859</v>
      </c>
      <c r="D192" s="77" t="s">
        <v>854</v>
      </c>
      <c r="E192" s="77" t="s">
        <v>860</v>
      </c>
      <c r="F192" s="77" t="s">
        <v>841</v>
      </c>
      <c r="G192" s="77" t="s">
        <v>835</v>
      </c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</row>
    <row r="193" spans="1:44" ht="33.75" x14ac:dyDescent="0.25">
      <c r="A193" s="64" t="s">
        <v>2485</v>
      </c>
      <c r="B193" s="64" t="s">
        <v>32</v>
      </c>
      <c r="C193" s="77" t="s">
        <v>1004</v>
      </c>
      <c r="D193" s="77" t="s">
        <v>849</v>
      </c>
      <c r="E193" s="77" t="s">
        <v>850</v>
      </c>
      <c r="F193" s="77" t="s">
        <v>851</v>
      </c>
      <c r="G193" s="77" t="s">
        <v>852</v>
      </c>
      <c r="H193" s="77" t="s">
        <v>831</v>
      </c>
      <c r="I193" s="77" t="s">
        <v>845</v>
      </c>
      <c r="J193" s="77" t="s">
        <v>832</v>
      </c>
      <c r="K193" s="77" t="s">
        <v>833</v>
      </c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</row>
    <row r="194" spans="1:44" ht="22.5" x14ac:dyDescent="0.25">
      <c r="A194" s="64" t="s">
        <v>2486</v>
      </c>
      <c r="B194" s="64" t="s">
        <v>456</v>
      </c>
      <c r="C194" s="77" t="s">
        <v>853</v>
      </c>
      <c r="D194" s="77" t="s">
        <v>854</v>
      </c>
      <c r="E194" s="77" t="s">
        <v>855</v>
      </c>
      <c r="F194" s="77" t="s">
        <v>841</v>
      </c>
      <c r="G194" s="77" t="s">
        <v>835</v>
      </c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</row>
    <row r="195" spans="1:44" ht="33.75" x14ac:dyDescent="0.25">
      <c r="A195" s="64" t="s">
        <v>2487</v>
      </c>
      <c r="B195" s="64" t="s">
        <v>32</v>
      </c>
      <c r="C195" s="77" t="s">
        <v>1004</v>
      </c>
      <c r="D195" s="77" t="s">
        <v>849</v>
      </c>
      <c r="E195" s="77" t="s">
        <v>850</v>
      </c>
      <c r="F195" s="77" t="s">
        <v>851</v>
      </c>
      <c r="G195" s="77" t="s">
        <v>852</v>
      </c>
      <c r="H195" s="77" t="s">
        <v>831</v>
      </c>
      <c r="I195" s="77" t="s">
        <v>845</v>
      </c>
      <c r="J195" s="77" t="s">
        <v>832</v>
      </c>
      <c r="K195" s="77" t="s">
        <v>833</v>
      </c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</row>
    <row r="196" spans="1:44" ht="22.5" x14ac:dyDescent="0.25">
      <c r="A196" s="64" t="s">
        <v>2488</v>
      </c>
      <c r="B196" s="64" t="s">
        <v>456</v>
      </c>
      <c r="C196" s="77" t="s">
        <v>853</v>
      </c>
      <c r="D196" s="77" t="s">
        <v>854</v>
      </c>
      <c r="E196" s="77" t="s">
        <v>855</v>
      </c>
      <c r="F196" s="77" t="s">
        <v>841</v>
      </c>
      <c r="G196" s="77" t="s">
        <v>835</v>
      </c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</row>
    <row r="197" spans="1:44" ht="33.75" x14ac:dyDescent="0.25">
      <c r="A197" s="64" t="s">
        <v>2489</v>
      </c>
      <c r="B197" s="64" t="s">
        <v>32</v>
      </c>
      <c r="C197" s="77" t="s">
        <v>1140</v>
      </c>
      <c r="D197" s="77" t="s">
        <v>1141</v>
      </c>
      <c r="E197" s="77" t="s">
        <v>850</v>
      </c>
      <c r="F197" s="77" t="s">
        <v>851</v>
      </c>
      <c r="G197" s="77" t="s">
        <v>852</v>
      </c>
      <c r="H197" s="77" t="s">
        <v>831</v>
      </c>
      <c r="I197" s="77" t="s">
        <v>845</v>
      </c>
      <c r="J197" s="77" t="s">
        <v>832</v>
      </c>
      <c r="K197" s="77" t="s">
        <v>833</v>
      </c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</row>
    <row r="198" spans="1:44" ht="22.5" x14ac:dyDescent="0.25">
      <c r="A198" s="64" t="s">
        <v>2490</v>
      </c>
      <c r="B198" s="64" t="s">
        <v>456</v>
      </c>
      <c r="C198" s="77" t="s">
        <v>853</v>
      </c>
      <c r="D198" s="77" t="s">
        <v>1002</v>
      </c>
      <c r="E198" s="77" t="s">
        <v>1142</v>
      </c>
      <c r="F198" s="77" t="s">
        <v>841</v>
      </c>
      <c r="G198" s="77" t="s">
        <v>835</v>
      </c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</row>
    <row r="199" spans="1:44" ht="33.75" x14ac:dyDescent="0.25">
      <c r="A199" s="64" t="s">
        <v>2491</v>
      </c>
      <c r="B199" s="64" t="s">
        <v>32</v>
      </c>
      <c r="C199" s="77" t="s">
        <v>1140</v>
      </c>
      <c r="D199" s="77" t="s">
        <v>1141</v>
      </c>
      <c r="E199" s="77" t="s">
        <v>850</v>
      </c>
      <c r="F199" s="77" t="s">
        <v>851</v>
      </c>
      <c r="G199" s="77" t="s">
        <v>852</v>
      </c>
      <c r="H199" s="77" t="s">
        <v>831</v>
      </c>
      <c r="I199" s="77" t="s">
        <v>845</v>
      </c>
      <c r="J199" s="77" t="s">
        <v>832</v>
      </c>
      <c r="K199" s="77" t="s">
        <v>833</v>
      </c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</row>
    <row r="200" spans="1:44" ht="22.5" x14ac:dyDescent="0.25">
      <c r="A200" s="64" t="s">
        <v>2492</v>
      </c>
      <c r="B200" s="64" t="s">
        <v>456</v>
      </c>
      <c r="C200" s="77" t="s">
        <v>853</v>
      </c>
      <c r="D200" s="77" t="s">
        <v>1002</v>
      </c>
      <c r="E200" s="77" t="s">
        <v>1142</v>
      </c>
      <c r="F200" s="77" t="s">
        <v>841</v>
      </c>
      <c r="G200" s="77" t="s">
        <v>835</v>
      </c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</row>
    <row r="201" spans="1:44" ht="33.75" x14ac:dyDescent="0.25">
      <c r="A201" s="64" t="s">
        <v>2643</v>
      </c>
      <c r="B201" s="64" t="s">
        <v>32</v>
      </c>
      <c r="C201" s="77" t="s">
        <v>1143</v>
      </c>
      <c r="D201" s="77" t="s">
        <v>1144</v>
      </c>
      <c r="E201" s="77" t="s">
        <v>1145</v>
      </c>
      <c r="F201" s="77" t="s">
        <v>851</v>
      </c>
      <c r="G201" s="77" t="s">
        <v>852</v>
      </c>
      <c r="H201" s="77" t="s">
        <v>831</v>
      </c>
      <c r="I201" s="77" t="s">
        <v>845</v>
      </c>
      <c r="J201" s="77" t="s">
        <v>1146</v>
      </c>
      <c r="K201" s="77" t="s">
        <v>833</v>
      </c>
      <c r="L201" s="77" t="s">
        <v>504</v>
      </c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</row>
    <row r="202" spans="1:44" ht="33.75" x14ac:dyDescent="0.25">
      <c r="A202" s="64" t="s">
        <v>2641</v>
      </c>
      <c r="B202" s="64" t="s">
        <v>456</v>
      </c>
      <c r="C202" s="77" t="s">
        <v>1147</v>
      </c>
      <c r="D202" s="77" t="s">
        <v>841</v>
      </c>
      <c r="E202" s="77" t="s">
        <v>835</v>
      </c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</row>
    <row r="203" spans="1:44" ht="33.75" x14ac:dyDescent="0.25">
      <c r="A203" s="64" t="s">
        <v>2493</v>
      </c>
      <c r="B203" s="107" t="s">
        <v>32</v>
      </c>
      <c r="C203" s="77" t="s">
        <v>1112</v>
      </c>
      <c r="E203" s="77" t="s">
        <v>1114</v>
      </c>
      <c r="F203" s="77" t="s">
        <v>851</v>
      </c>
      <c r="G203" s="77" t="s">
        <v>852</v>
      </c>
      <c r="H203" s="77" t="s">
        <v>831</v>
      </c>
      <c r="I203" s="77" t="s">
        <v>845</v>
      </c>
      <c r="J203" s="77" t="s">
        <v>832</v>
      </c>
      <c r="K203" s="77" t="s">
        <v>1115</v>
      </c>
      <c r="L203" s="77" t="s">
        <v>1116</v>
      </c>
      <c r="M203" s="77" t="s">
        <v>1117</v>
      </c>
      <c r="N203" s="77" t="s">
        <v>1118</v>
      </c>
      <c r="O203" s="77" t="s">
        <v>1119</v>
      </c>
      <c r="P203" s="77" t="s">
        <v>1991</v>
      </c>
      <c r="Q203" s="77" t="s">
        <v>1121</v>
      </c>
      <c r="R203" s="77" t="s">
        <v>1122</v>
      </c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</row>
    <row r="204" spans="1:44" x14ac:dyDescent="0.25">
      <c r="A204" s="64" t="s">
        <v>2494</v>
      </c>
      <c r="B204" s="107" t="s">
        <v>456</v>
      </c>
      <c r="C204" s="77" t="s">
        <v>2633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</row>
    <row r="205" spans="1:44" ht="33.75" x14ac:dyDescent="0.25">
      <c r="A205" s="64" t="s">
        <v>2495</v>
      </c>
      <c r="B205" s="107" t="s">
        <v>32</v>
      </c>
      <c r="C205" s="77" t="s">
        <v>1112</v>
      </c>
      <c r="D205" s="77" t="s">
        <v>1113</v>
      </c>
      <c r="E205" s="77" t="s">
        <v>1114</v>
      </c>
      <c r="F205" s="77" t="s">
        <v>851</v>
      </c>
      <c r="G205" s="77" t="s">
        <v>852</v>
      </c>
      <c r="H205" s="77" t="s">
        <v>831</v>
      </c>
      <c r="I205" s="77" t="s">
        <v>845</v>
      </c>
      <c r="J205" s="77" t="s">
        <v>832</v>
      </c>
      <c r="K205" s="77" t="s">
        <v>1115</v>
      </c>
      <c r="L205" s="77" t="s">
        <v>1116</v>
      </c>
      <c r="M205" s="77" t="s">
        <v>1117</v>
      </c>
      <c r="N205" s="77" t="s">
        <v>1118</v>
      </c>
      <c r="O205" s="77" t="s">
        <v>1119</v>
      </c>
      <c r="P205" s="77" t="s">
        <v>1991</v>
      </c>
      <c r="Q205" s="77" t="s">
        <v>1121</v>
      </c>
      <c r="R205" s="77" t="s">
        <v>1122</v>
      </c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</row>
    <row r="206" spans="1:44" x14ac:dyDescent="0.25">
      <c r="A206" s="64" t="s">
        <v>2496</v>
      </c>
      <c r="B206" s="107" t="s">
        <v>456</v>
      </c>
      <c r="C206" s="77" t="s">
        <v>2633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</row>
    <row r="207" spans="1:44" ht="33.75" x14ac:dyDescent="0.25">
      <c r="A207" s="64" t="s">
        <v>2497</v>
      </c>
      <c r="B207" s="107" t="s">
        <v>32</v>
      </c>
      <c r="C207" s="77" t="s">
        <v>1112</v>
      </c>
      <c r="D207" s="77" t="s">
        <v>1113</v>
      </c>
      <c r="E207" s="77" t="s">
        <v>1114</v>
      </c>
      <c r="F207" s="77" t="s">
        <v>851</v>
      </c>
      <c r="G207" s="77" t="s">
        <v>852</v>
      </c>
      <c r="H207" s="77" t="s">
        <v>831</v>
      </c>
      <c r="I207" s="77" t="s">
        <v>845</v>
      </c>
      <c r="J207" s="77" t="s">
        <v>832</v>
      </c>
      <c r="K207" s="77" t="s">
        <v>1115</v>
      </c>
      <c r="L207" s="77" t="s">
        <v>1116</v>
      </c>
      <c r="M207" s="77" t="s">
        <v>1117</v>
      </c>
      <c r="N207" s="77" t="s">
        <v>1118</v>
      </c>
      <c r="O207" s="77" t="s">
        <v>1119</v>
      </c>
      <c r="P207" s="77" t="s">
        <v>1120</v>
      </c>
      <c r="Q207" s="77" t="s">
        <v>1121</v>
      </c>
      <c r="R207" s="77" t="s">
        <v>1122</v>
      </c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</row>
    <row r="208" spans="1:44" ht="33.75" x14ac:dyDescent="0.25">
      <c r="A208" s="64" t="s">
        <v>2498</v>
      </c>
      <c r="B208" s="107" t="s">
        <v>456</v>
      </c>
      <c r="C208" s="77" t="s">
        <v>2633</v>
      </c>
      <c r="D208" s="77" t="s">
        <v>1113</v>
      </c>
      <c r="E208" s="77" t="s">
        <v>1114</v>
      </c>
      <c r="F208" s="77" t="s">
        <v>851</v>
      </c>
      <c r="G208" s="77" t="s">
        <v>852</v>
      </c>
      <c r="H208" s="77" t="s">
        <v>831</v>
      </c>
      <c r="I208" s="77" t="s">
        <v>845</v>
      </c>
      <c r="J208" s="77" t="s">
        <v>832</v>
      </c>
      <c r="K208" s="77" t="s">
        <v>1115</v>
      </c>
      <c r="L208" s="77" t="s">
        <v>1116</v>
      </c>
      <c r="M208" s="77" t="s">
        <v>1117</v>
      </c>
      <c r="N208" s="77" t="s">
        <v>1215</v>
      </c>
      <c r="O208" s="77" t="s">
        <v>1119</v>
      </c>
      <c r="P208" s="77" t="s">
        <v>1120</v>
      </c>
      <c r="Q208" s="77" t="s">
        <v>1121</v>
      </c>
      <c r="R208" s="77" t="s">
        <v>1122</v>
      </c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</row>
    <row r="209" spans="1:44" ht="33.75" x14ac:dyDescent="0.25">
      <c r="A209" s="64" t="s">
        <v>2499</v>
      </c>
      <c r="B209" s="107" t="s">
        <v>32</v>
      </c>
      <c r="C209" s="77" t="s">
        <v>1112</v>
      </c>
      <c r="D209" s="77" t="s">
        <v>1113</v>
      </c>
      <c r="E209" s="77" t="s">
        <v>1114</v>
      </c>
      <c r="F209" s="77" t="s">
        <v>851</v>
      </c>
      <c r="G209" s="77" t="s">
        <v>852</v>
      </c>
      <c r="H209" s="77" t="s">
        <v>831</v>
      </c>
      <c r="I209" s="77" t="s">
        <v>845</v>
      </c>
      <c r="J209" s="77" t="s">
        <v>832</v>
      </c>
      <c r="K209" s="77" t="s">
        <v>1115</v>
      </c>
      <c r="L209" s="77" t="s">
        <v>1116</v>
      </c>
      <c r="M209" s="77" t="s">
        <v>1117</v>
      </c>
      <c r="N209" s="77" t="s">
        <v>1215</v>
      </c>
      <c r="O209" s="77" t="s">
        <v>1119</v>
      </c>
      <c r="P209" s="77" t="s">
        <v>1120</v>
      </c>
      <c r="Q209" s="77" t="s">
        <v>1121</v>
      </c>
      <c r="R209" s="77" t="s">
        <v>1122</v>
      </c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</row>
    <row r="210" spans="1:44" x14ac:dyDescent="0.25">
      <c r="A210" s="64" t="s">
        <v>2500</v>
      </c>
      <c r="B210" s="107" t="s">
        <v>456</v>
      </c>
      <c r="C210" s="77" t="s">
        <v>2633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</row>
  </sheetData>
  <autoFilter ref="A1:AR210" xr:uid="{00000000-0001-0000-0000-000000000000}"/>
  <conditionalFormatting sqref="A2">
    <cfRule type="duplicateValues" dxfId="31" priority="11"/>
  </conditionalFormatting>
  <conditionalFormatting sqref="A3:A72">
    <cfRule type="duplicateValues" dxfId="30" priority="128"/>
  </conditionalFormatting>
  <conditionalFormatting sqref="A211:A1048576 A1">
    <cfRule type="duplicateValues" dxfId="29" priority="39"/>
  </conditionalFormatting>
  <conditionalFormatting sqref="A3:A120">
    <cfRule type="duplicateValues" dxfId="28" priority="158"/>
  </conditionalFormatting>
  <conditionalFormatting sqref="A121:A210">
    <cfRule type="duplicateValues" dxfId="27" priority="2"/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0F2A-2FE3-48A7-89C2-811C9FA06292}">
  <sheetPr>
    <pageSetUpPr fitToPage="1"/>
  </sheetPr>
  <dimension ref="A1:BB210"/>
  <sheetViews>
    <sheetView showGridLines="0" zoomScale="85" zoomScaleNormal="85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A98" sqref="A98"/>
    </sheetView>
  </sheetViews>
  <sheetFormatPr baseColWidth="10" defaultColWidth="20.7109375" defaultRowHeight="11.25" outlineLevelCol="1" x14ac:dyDescent="0.25"/>
  <cols>
    <col min="1" max="1" width="40" style="69" bestFit="1" customWidth="1"/>
    <col min="2" max="2" width="17" style="121" customWidth="1"/>
    <col min="3" max="3" width="29.42578125" style="69" customWidth="1"/>
    <col min="4" max="4" width="28.5703125" style="69" customWidth="1"/>
    <col min="5" max="5" width="32.7109375" style="69" customWidth="1"/>
    <col min="6" max="6" width="20.7109375" style="69" customWidth="1" outlineLevel="1"/>
    <col min="7" max="7" width="25.28515625" style="69" customWidth="1" outlineLevel="1"/>
    <col min="8" max="8" width="27.5703125" style="69" customWidth="1"/>
    <col min="9" max="9" width="24.85546875" style="69" customWidth="1" outlineLevel="1"/>
    <col min="10" max="10" width="24.28515625" style="69" customWidth="1"/>
    <col min="11" max="11" width="26.7109375" style="69" customWidth="1"/>
    <col min="12" max="12" width="31.7109375" style="69" customWidth="1"/>
    <col min="13" max="13" width="32.7109375" style="69" customWidth="1" outlineLevel="1"/>
    <col min="14" max="14" width="25.42578125" style="69" customWidth="1"/>
    <col min="15" max="15" width="20.7109375" style="69" customWidth="1" outlineLevel="1"/>
    <col min="16" max="16" width="28.5703125" style="69" customWidth="1" outlineLevel="1"/>
    <col min="17" max="17" width="25.7109375" style="69" customWidth="1" outlineLevel="1"/>
    <col min="18" max="18" width="22.5703125" style="69" customWidth="1" outlineLevel="1"/>
    <col min="19" max="19" width="30.5703125" style="69" customWidth="1" outlineLevel="1"/>
    <col min="20" max="20" width="27" style="69" customWidth="1" outlineLevel="1"/>
    <col min="21" max="30" width="20.7109375" style="69" customWidth="1" outlineLevel="1"/>
    <col min="31" max="31" width="31.42578125" style="69" customWidth="1"/>
    <col min="32" max="33" width="20.7109375" style="69" customWidth="1"/>
    <col min="34" max="35" width="28.5703125" style="69" customWidth="1"/>
    <col min="36" max="36" width="24.28515625" style="69" customWidth="1"/>
    <col min="37" max="37" width="20.7109375" style="69" customWidth="1"/>
    <col min="38" max="49" width="20.7109375" style="69" customWidth="1" outlineLevel="1"/>
    <col min="50" max="50" width="20.7109375" style="69"/>
    <col min="51" max="51" width="20.7109375" style="69" customWidth="1" outlineLevel="1"/>
    <col min="52" max="53" width="20.7109375" style="69"/>
    <col min="54" max="54" width="31.28515625" style="69" customWidth="1" outlineLevel="1"/>
    <col min="55" max="16384" width="20.7109375" style="69"/>
  </cols>
  <sheetData>
    <row r="1" spans="1:54" ht="22.5" x14ac:dyDescent="0.25">
      <c r="A1" s="64" t="s">
        <v>997</v>
      </c>
      <c r="B1" s="107" t="s">
        <v>518</v>
      </c>
      <c r="C1" s="64" t="s">
        <v>519</v>
      </c>
      <c r="D1" s="64" t="s">
        <v>520</v>
      </c>
      <c r="E1" s="64" t="s">
        <v>521</v>
      </c>
      <c r="F1" s="64" t="s">
        <v>522</v>
      </c>
      <c r="G1" s="64" t="s">
        <v>523</v>
      </c>
      <c r="H1" s="64" t="s">
        <v>524</v>
      </c>
      <c r="I1" s="64" t="s">
        <v>525</v>
      </c>
      <c r="J1" s="64" t="s">
        <v>526</v>
      </c>
      <c r="K1" s="64" t="s">
        <v>527</v>
      </c>
      <c r="L1" s="64" t="s">
        <v>528</v>
      </c>
      <c r="M1" s="64" t="s">
        <v>529</v>
      </c>
      <c r="N1" s="64" t="s">
        <v>530</v>
      </c>
      <c r="O1" s="64" t="s">
        <v>531</v>
      </c>
      <c r="P1" s="64" t="s">
        <v>532</v>
      </c>
      <c r="Q1" s="64" t="s">
        <v>533</v>
      </c>
      <c r="R1" s="64" t="s">
        <v>534</v>
      </c>
      <c r="S1" s="64" t="s">
        <v>535</v>
      </c>
      <c r="T1" s="64" t="s">
        <v>536</v>
      </c>
      <c r="U1" s="64" t="s">
        <v>537</v>
      </c>
      <c r="V1" s="64" t="s">
        <v>538</v>
      </c>
      <c r="W1" s="64" t="s">
        <v>539</v>
      </c>
      <c r="X1" s="64" t="s">
        <v>437</v>
      </c>
      <c r="Y1" s="64" t="s">
        <v>540</v>
      </c>
      <c r="Z1" s="64" t="s">
        <v>541</v>
      </c>
      <c r="AA1" s="64" t="s">
        <v>542</v>
      </c>
      <c r="AB1" s="64" t="s">
        <v>543</v>
      </c>
      <c r="AC1" s="64" t="s">
        <v>544</v>
      </c>
      <c r="AD1" s="64" t="s">
        <v>545</v>
      </c>
      <c r="AE1" s="64" t="s">
        <v>546</v>
      </c>
      <c r="AF1" s="64" t="s">
        <v>547</v>
      </c>
      <c r="AG1" s="64" t="s">
        <v>548</v>
      </c>
      <c r="AH1" s="75" t="s">
        <v>549</v>
      </c>
      <c r="AI1" s="75" t="s">
        <v>457</v>
      </c>
      <c r="AJ1" s="75" t="s">
        <v>550</v>
      </c>
      <c r="AK1" s="75" t="s">
        <v>551</v>
      </c>
      <c r="AL1" s="75" t="s">
        <v>552</v>
      </c>
      <c r="AM1" s="75" t="s">
        <v>553</v>
      </c>
      <c r="AN1" s="75" t="s">
        <v>554</v>
      </c>
      <c r="AO1" s="73" t="s">
        <v>555</v>
      </c>
      <c r="AP1" s="73" t="s">
        <v>556</v>
      </c>
      <c r="AQ1" s="73" t="s">
        <v>557</v>
      </c>
      <c r="AR1" s="73" t="s">
        <v>558</v>
      </c>
      <c r="AS1" s="73" t="s">
        <v>431</v>
      </c>
      <c r="AT1" s="73" t="s">
        <v>430</v>
      </c>
      <c r="AU1" s="73" t="s">
        <v>429</v>
      </c>
      <c r="AV1" s="73" t="s">
        <v>428</v>
      </c>
      <c r="AW1" s="73" t="s">
        <v>427</v>
      </c>
      <c r="AX1" s="73" t="s">
        <v>426</v>
      </c>
      <c r="AY1" s="73" t="s">
        <v>425</v>
      </c>
      <c r="AZ1" s="73" t="s">
        <v>424</v>
      </c>
      <c r="BA1" s="73" t="s">
        <v>423</v>
      </c>
      <c r="BB1" s="64" t="s">
        <v>559</v>
      </c>
    </row>
    <row r="2" spans="1:54" s="67" customFormat="1" x14ac:dyDescent="0.25">
      <c r="A2" s="64" t="s">
        <v>217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54" ht="56.25" x14ac:dyDescent="0.25">
      <c r="A3" s="70" t="s">
        <v>1473</v>
      </c>
      <c r="B3" s="64" t="s">
        <v>32</v>
      </c>
      <c r="C3" s="77" t="s">
        <v>882</v>
      </c>
      <c r="D3" s="77" t="s">
        <v>913</v>
      </c>
      <c r="E3" s="77" t="s">
        <v>863</v>
      </c>
      <c r="F3" s="77" t="s">
        <v>885</v>
      </c>
      <c r="G3" s="77" t="s">
        <v>886</v>
      </c>
      <c r="H3" s="77" t="s">
        <v>866</v>
      </c>
      <c r="I3" s="77" t="s">
        <v>1005</v>
      </c>
      <c r="J3" s="77" t="s">
        <v>1006</v>
      </c>
      <c r="K3" s="77" t="s">
        <v>1007</v>
      </c>
      <c r="L3" s="77" t="s">
        <v>1008</v>
      </c>
      <c r="M3" s="77" t="s">
        <v>1009</v>
      </c>
      <c r="N3" s="77" t="s">
        <v>1010</v>
      </c>
      <c r="O3" s="77" t="s">
        <v>1011</v>
      </c>
      <c r="P3" s="77" t="s">
        <v>1012</v>
      </c>
      <c r="Q3" s="77" t="s">
        <v>457</v>
      </c>
      <c r="R3" s="77" t="s">
        <v>889</v>
      </c>
      <c r="S3" s="77"/>
      <c r="T3" s="77" t="s">
        <v>870</v>
      </c>
      <c r="U3" s="77" t="s">
        <v>871</v>
      </c>
      <c r="V3" s="77" t="s">
        <v>1013</v>
      </c>
      <c r="W3" s="77" t="s">
        <v>1014</v>
      </c>
      <c r="X3" s="77" t="s">
        <v>1015</v>
      </c>
      <c r="Y3" s="77" t="s">
        <v>893</v>
      </c>
      <c r="Z3" s="77" t="s">
        <v>894</v>
      </c>
      <c r="AA3" s="77" t="s">
        <v>875</v>
      </c>
      <c r="AB3" s="77" t="s">
        <v>920</v>
      </c>
      <c r="AC3" s="77" t="s">
        <v>1016</v>
      </c>
      <c r="AD3" s="77" t="s">
        <v>896</v>
      </c>
      <c r="AE3" s="77" t="s">
        <v>897</v>
      </c>
      <c r="AF3" s="77" t="s">
        <v>899</v>
      </c>
      <c r="AG3" s="77" t="s">
        <v>898</v>
      </c>
      <c r="AH3" s="77" t="s">
        <v>1017</v>
      </c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</row>
    <row r="4" spans="1:54" ht="33.75" x14ac:dyDescent="0.25">
      <c r="A4" s="70" t="s">
        <v>1474</v>
      </c>
      <c r="B4" s="64" t="s">
        <v>456</v>
      </c>
      <c r="C4" s="77" t="s">
        <v>1018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</row>
    <row r="5" spans="1:54" ht="67.5" x14ac:dyDescent="0.25">
      <c r="A5" s="70" t="s">
        <v>1475</v>
      </c>
      <c r="B5" s="64" t="s">
        <v>32</v>
      </c>
      <c r="C5" s="77" t="s">
        <v>861</v>
      </c>
      <c r="D5" s="77" t="s">
        <v>1019</v>
      </c>
      <c r="E5" s="77" t="s">
        <v>863</v>
      </c>
      <c r="F5" s="77" t="s">
        <v>864</v>
      </c>
      <c r="G5" s="77" t="s">
        <v>914</v>
      </c>
      <c r="H5" s="77" t="s">
        <v>866</v>
      </c>
      <c r="I5" s="77" t="s">
        <v>1020</v>
      </c>
      <c r="J5" s="77" t="s">
        <v>1006</v>
      </c>
      <c r="K5" s="77" t="s">
        <v>917</v>
      </c>
      <c r="L5" s="77" t="s">
        <v>1008</v>
      </c>
      <c r="M5" s="77" t="s">
        <v>1009</v>
      </c>
      <c r="N5" s="77" t="s">
        <v>1010</v>
      </c>
      <c r="O5" s="77" t="s">
        <v>918</v>
      </c>
      <c r="P5" s="77"/>
      <c r="Q5" s="77" t="s">
        <v>870</v>
      </c>
      <c r="R5" s="77" t="s">
        <v>871</v>
      </c>
      <c r="S5" s="77" t="s">
        <v>907</v>
      </c>
      <c r="T5" s="77" t="s">
        <v>1021</v>
      </c>
      <c r="U5" s="77" t="s">
        <v>1022</v>
      </c>
      <c r="V5" s="77" t="s">
        <v>1023</v>
      </c>
      <c r="W5" s="77" t="s">
        <v>893</v>
      </c>
      <c r="X5" s="77" t="s">
        <v>1024</v>
      </c>
      <c r="Y5" s="77" t="s">
        <v>894</v>
      </c>
      <c r="Z5" s="77" t="s">
        <v>1025</v>
      </c>
      <c r="AA5" s="77" t="s">
        <v>1026</v>
      </c>
      <c r="AB5" s="77" t="s">
        <v>1016</v>
      </c>
      <c r="AC5" s="77" t="s">
        <v>896</v>
      </c>
      <c r="AD5" s="77" t="s">
        <v>921</v>
      </c>
      <c r="AE5" s="77" t="s">
        <v>922</v>
      </c>
      <c r="AF5" s="77" t="s">
        <v>1017</v>
      </c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</row>
    <row r="6" spans="1:54" ht="45" x14ac:dyDescent="0.25">
      <c r="A6" s="70" t="s">
        <v>1476</v>
      </c>
      <c r="B6" s="64" t="s">
        <v>456</v>
      </c>
      <c r="C6" s="77" t="s">
        <v>1027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</row>
    <row r="7" spans="1:54" ht="112.5" x14ac:dyDescent="0.25">
      <c r="A7" s="70" t="s">
        <v>1477</v>
      </c>
      <c r="B7" s="64" t="s">
        <v>32</v>
      </c>
      <c r="C7" s="77" t="s">
        <v>932</v>
      </c>
      <c r="D7" s="77" t="s">
        <v>1028</v>
      </c>
      <c r="E7" s="77" t="s">
        <v>863</v>
      </c>
      <c r="F7" s="77" t="s">
        <v>1029</v>
      </c>
      <c r="G7" s="77" t="s">
        <v>934</v>
      </c>
      <c r="H7" s="77" t="s">
        <v>935</v>
      </c>
      <c r="I7" s="77" t="s">
        <v>866</v>
      </c>
      <c r="J7" s="77" t="s">
        <v>1030</v>
      </c>
      <c r="K7" s="77" t="s">
        <v>937</v>
      </c>
      <c r="L7" s="77" t="s">
        <v>917</v>
      </c>
      <c r="M7" s="77" t="s">
        <v>1031</v>
      </c>
      <c r="N7" s="77" t="s">
        <v>1032</v>
      </c>
      <c r="O7" s="77" t="s">
        <v>1033</v>
      </c>
      <c r="P7" s="77" t="s">
        <v>1034</v>
      </c>
      <c r="Q7" s="77" t="s">
        <v>1010</v>
      </c>
      <c r="R7" s="77" t="s">
        <v>1035</v>
      </c>
      <c r="S7" s="77" t="s">
        <v>870</v>
      </c>
      <c r="T7" s="77" t="s">
        <v>871</v>
      </c>
      <c r="U7" s="77" t="s">
        <v>1036</v>
      </c>
      <c r="V7" s="77" t="s">
        <v>1037</v>
      </c>
      <c r="W7" s="77" t="s">
        <v>1038</v>
      </c>
      <c r="X7" s="77" t="s">
        <v>1039</v>
      </c>
      <c r="Y7" s="77" t="s">
        <v>1040</v>
      </c>
      <c r="Z7" s="77" t="s">
        <v>1041</v>
      </c>
      <c r="AA7" s="77" t="s">
        <v>893</v>
      </c>
      <c r="AB7" s="77" t="s">
        <v>1024</v>
      </c>
      <c r="AC7" s="77" t="s">
        <v>894</v>
      </c>
      <c r="AD7" s="77" t="s">
        <v>1042</v>
      </c>
      <c r="AE7" s="77" t="s">
        <v>940</v>
      </c>
      <c r="AF7" s="77" t="s">
        <v>1043</v>
      </c>
      <c r="AG7" s="77" t="s">
        <v>941</v>
      </c>
      <c r="AH7" s="77" t="s">
        <v>942</v>
      </c>
      <c r="AI7" s="77" t="s">
        <v>943</v>
      </c>
      <c r="AJ7" s="77" t="s">
        <v>944</v>
      </c>
      <c r="AK7" s="77" t="s">
        <v>1016</v>
      </c>
      <c r="AL7" s="77" t="s">
        <v>945</v>
      </c>
      <c r="AM7" s="77" t="s">
        <v>896</v>
      </c>
      <c r="AN7" s="77" t="s">
        <v>946</v>
      </c>
      <c r="AO7" s="77" t="s">
        <v>930</v>
      </c>
      <c r="AP7" s="77" t="s">
        <v>922</v>
      </c>
      <c r="AQ7" s="77" t="s">
        <v>947</v>
      </c>
      <c r="AR7" s="77" t="s">
        <v>1017</v>
      </c>
      <c r="AS7" s="77"/>
      <c r="AT7" s="77"/>
      <c r="AU7" s="77"/>
      <c r="AV7" s="77"/>
      <c r="AW7" s="77"/>
      <c r="AX7" s="77"/>
      <c r="AY7" s="77"/>
      <c r="AZ7" s="77"/>
      <c r="BA7" s="77"/>
      <c r="BB7" s="77"/>
    </row>
    <row r="8" spans="1:54" ht="90" x14ac:dyDescent="0.25">
      <c r="A8" s="70" t="s">
        <v>1478</v>
      </c>
      <c r="B8" s="64" t="s">
        <v>456</v>
      </c>
      <c r="C8" s="77" t="s">
        <v>1044</v>
      </c>
      <c r="D8" s="77" t="s">
        <v>1048</v>
      </c>
      <c r="E8" s="77" t="s">
        <v>1049</v>
      </c>
      <c r="F8" s="77" t="s">
        <v>1047</v>
      </c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</row>
    <row r="9" spans="1:54" ht="112.5" x14ac:dyDescent="0.25">
      <c r="A9" s="70" t="s">
        <v>1479</v>
      </c>
      <c r="B9" s="64" t="s">
        <v>32</v>
      </c>
      <c r="C9" s="77" t="s">
        <v>932</v>
      </c>
      <c r="D9" s="77" t="s">
        <v>1028</v>
      </c>
      <c r="E9" s="77" t="s">
        <v>863</v>
      </c>
      <c r="F9" s="77" t="s">
        <v>1029</v>
      </c>
      <c r="G9" s="77" t="s">
        <v>934</v>
      </c>
      <c r="H9" s="77" t="s">
        <v>935</v>
      </c>
      <c r="I9" s="77" t="s">
        <v>866</v>
      </c>
      <c r="J9" s="77" t="s">
        <v>1030</v>
      </c>
      <c r="K9" s="77" t="s">
        <v>937</v>
      </c>
      <c r="L9" s="77" t="s">
        <v>917</v>
      </c>
      <c r="M9" s="77" t="s">
        <v>1031</v>
      </c>
      <c r="N9" s="77" t="s">
        <v>1032</v>
      </c>
      <c r="O9" s="77" t="s">
        <v>1033</v>
      </c>
      <c r="P9" s="77" t="s">
        <v>1034</v>
      </c>
      <c r="Q9" s="77" t="s">
        <v>1010</v>
      </c>
      <c r="R9" s="77" t="s">
        <v>1035</v>
      </c>
      <c r="S9" s="77" t="s">
        <v>870</v>
      </c>
      <c r="T9" s="77" t="s">
        <v>871</v>
      </c>
      <c r="U9" s="77" t="s">
        <v>1036</v>
      </c>
      <c r="V9" s="77" t="s">
        <v>1037</v>
      </c>
      <c r="W9" s="77" t="s">
        <v>1050</v>
      </c>
      <c r="X9" s="77" t="s">
        <v>1039</v>
      </c>
      <c r="Y9" s="77" t="s">
        <v>1040</v>
      </c>
      <c r="Z9" s="77" t="s">
        <v>1041</v>
      </c>
      <c r="AA9" s="77" t="s">
        <v>893</v>
      </c>
      <c r="AB9" s="77" t="s">
        <v>1024</v>
      </c>
      <c r="AC9" s="77" t="s">
        <v>894</v>
      </c>
      <c r="AD9" s="77" t="s">
        <v>1042</v>
      </c>
      <c r="AE9" s="77" t="s">
        <v>940</v>
      </c>
      <c r="AF9" s="77" t="s">
        <v>1043</v>
      </c>
      <c r="AG9" s="77" t="s">
        <v>941</v>
      </c>
      <c r="AH9" s="77" t="s">
        <v>942</v>
      </c>
      <c r="AI9" s="77" t="s">
        <v>943</v>
      </c>
      <c r="AJ9" s="77" t="s">
        <v>944</v>
      </c>
      <c r="AK9" s="77" t="s">
        <v>1016</v>
      </c>
      <c r="AL9" s="77" t="s">
        <v>945</v>
      </c>
      <c r="AM9" s="77" t="s">
        <v>896</v>
      </c>
      <c r="AN9" s="77" t="s">
        <v>946</v>
      </c>
      <c r="AO9" s="77" t="s">
        <v>930</v>
      </c>
      <c r="AP9" s="77" t="s">
        <v>922</v>
      </c>
      <c r="AQ9" s="77" t="s">
        <v>947</v>
      </c>
      <c r="AR9" s="77" t="s">
        <v>1017</v>
      </c>
      <c r="AS9" s="77"/>
      <c r="AT9" s="77"/>
      <c r="AU9" s="77"/>
      <c r="AV9" s="77"/>
      <c r="AW9" s="77"/>
      <c r="AX9" s="77"/>
      <c r="AY9" s="77"/>
      <c r="AZ9" s="77"/>
      <c r="BA9" s="77"/>
      <c r="BB9" s="77"/>
    </row>
    <row r="10" spans="1:54" ht="90" x14ac:dyDescent="0.25">
      <c r="A10" s="70" t="s">
        <v>1480</v>
      </c>
      <c r="B10" s="64" t="s">
        <v>456</v>
      </c>
      <c r="C10" s="77" t="s">
        <v>1044</v>
      </c>
      <c r="D10" s="77" t="s">
        <v>1051</v>
      </c>
      <c r="E10" s="77" t="s">
        <v>1049</v>
      </c>
      <c r="F10" s="77" t="s">
        <v>1047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</row>
    <row r="11" spans="1:54" ht="112.5" x14ac:dyDescent="0.25">
      <c r="A11" s="70" t="s">
        <v>1481</v>
      </c>
      <c r="B11" s="64" t="s">
        <v>32</v>
      </c>
      <c r="C11" s="77" t="s">
        <v>932</v>
      </c>
      <c r="D11" s="77" t="s">
        <v>1052</v>
      </c>
      <c r="E11" s="77" t="s">
        <v>1053</v>
      </c>
      <c r="F11" s="77" t="s">
        <v>1029</v>
      </c>
      <c r="G11" s="77" t="s">
        <v>934</v>
      </c>
      <c r="H11" s="77" t="s">
        <v>1054</v>
      </c>
      <c r="I11" s="77" t="s">
        <v>917</v>
      </c>
      <c r="J11" s="77" t="s">
        <v>1031</v>
      </c>
      <c r="K11" s="77" t="s">
        <v>1032</v>
      </c>
      <c r="L11" s="77" t="s">
        <v>1033</v>
      </c>
      <c r="M11" s="77" t="s">
        <v>1034</v>
      </c>
      <c r="N11" s="77" t="s">
        <v>1010</v>
      </c>
      <c r="O11" s="77" t="s">
        <v>1035</v>
      </c>
      <c r="P11" s="77"/>
      <c r="Q11" s="77"/>
      <c r="R11" s="77"/>
      <c r="S11" s="77" t="s">
        <v>870</v>
      </c>
      <c r="T11" s="77" t="s">
        <v>871</v>
      </c>
      <c r="U11" s="77" t="s">
        <v>1036</v>
      </c>
      <c r="V11" s="77" t="s">
        <v>1037</v>
      </c>
      <c r="W11" s="77" t="s">
        <v>1050</v>
      </c>
      <c r="X11" s="77" t="s">
        <v>1039</v>
      </c>
      <c r="Y11" s="77" t="s">
        <v>1040</v>
      </c>
      <c r="Z11" s="77" t="s">
        <v>1041</v>
      </c>
      <c r="AA11" s="77" t="s">
        <v>893</v>
      </c>
      <c r="AB11" s="77" t="s">
        <v>1024</v>
      </c>
      <c r="AC11" s="77" t="s">
        <v>894</v>
      </c>
      <c r="AD11" s="77" t="s">
        <v>1042</v>
      </c>
      <c r="AE11" s="77" t="s">
        <v>940</v>
      </c>
      <c r="AF11" s="77" t="s">
        <v>1043</v>
      </c>
      <c r="AG11" s="77" t="s">
        <v>941</v>
      </c>
      <c r="AH11" s="77" t="s">
        <v>942</v>
      </c>
      <c r="AI11" s="77" t="s">
        <v>943</v>
      </c>
      <c r="AJ11" s="77" t="s">
        <v>944</v>
      </c>
      <c r="AK11" s="77" t="s">
        <v>1016</v>
      </c>
      <c r="AL11" s="77" t="s">
        <v>945</v>
      </c>
      <c r="AM11" s="77" t="s">
        <v>896</v>
      </c>
      <c r="AN11" s="77" t="s">
        <v>946</v>
      </c>
      <c r="AO11" s="77" t="s">
        <v>930</v>
      </c>
      <c r="AP11" s="77" t="s">
        <v>922</v>
      </c>
      <c r="AQ11" s="77" t="s">
        <v>947</v>
      </c>
      <c r="AR11" s="77" t="s">
        <v>1017</v>
      </c>
      <c r="AS11" s="77"/>
      <c r="AT11" s="77"/>
      <c r="AU11" s="77"/>
      <c r="AV11" s="77"/>
      <c r="AW11" s="77"/>
      <c r="AX11" s="77"/>
      <c r="AY11" s="77"/>
      <c r="AZ11" s="77"/>
      <c r="BA11" s="77"/>
      <c r="BB11" s="77"/>
    </row>
    <row r="12" spans="1:54" ht="112.5" x14ac:dyDescent="0.25">
      <c r="A12" s="70" t="s">
        <v>1482</v>
      </c>
      <c r="B12" s="64" t="s">
        <v>456</v>
      </c>
      <c r="C12" s="77" t="s">
        <v>1055</v>
      </c>
      <c r="D12" s="77" t="s">
        <v>1056</v>
      </c>
      <c r="E12" s="77" t="s">
        <v>1057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</row>
    <row r="13" spans="1:54" ht="112.5" x14ac:dyDescent="0.25">
      <c r="A13" s="70" t="s">
        <v>1483</v>
      </c>
      <c r="B13" s="64" t="s">
        <v>32</v>
      </c>
      <c r="C13" s="77" t="s">
        <v>932</v>
      </c>
      <c r="D13" s="77" t="s">
        <v>1028</v>
      </c>
      <c r="E13" s="77" t="s">
        <v>863</v>
      </c>
      <c r="F13" s="77" t="s">
        <v>1029</v>
      </c>
      <c r="G13" s="77" t="s">
        <v>934</v>
      </c>
      <c r="H13" s="77" t="s">
        <v>935</v>
      </c>
      <c r="I13" s="77" t="s">
        <v>866</v>
      </c>
      <c r="J13" s="77" t="s">
        <v>1030</v>
      </c>
      <c r="K13" s="77" t="s">
        <v>937</v>
      </c>
      <c r="L13" s="77" t="s">
        <v>917</v>
      </c>
      <c r="M13" s="77" t="s">
        <v>1031</v>
      </c>
      <c r="N13" s="77" t="s">
        <v>1032</v>
      </c>
      <c r="O13" s="77" t="s">
        <v>1033</v>
      </c>
      <c r="P13" s="77" t="s">
        <v>1034</v>
      </c>
      <c r="Q13" s="77" t="s">
        <v>1010</v>
      </c>
      <c r="R13" s="77" t="s">
        <v>1035</v>
      </c>
      <c r="S13" s="77" t="s">
        <v>870</v>
      </c>
      <c r="T13" s="77" t="s">
        <v>871</v>
      </c>
      <c r="U13" s="77" t="s">
        <v>1036</v>
      </c>
      <c r="V13" s="77" t="s">
        <v>1037</v>
      </c>
      <c r="W13" s="77" t="s">
        <v>1058</v>
      </c>
      <c r="X13" s="77" t="s">
        <v>1039</v>
      </c>
      <c r="Y13" s="77" t="s">
        <v>1040</v>
      </c>
      <c r="Z13" s="77" t="s">
        <v>1041</v>
      </c>
      <c r="AA13" s="77" t="s">
        <v>893</v>
      </c>
      <c r="AB13" s="77" t="s">
        <v>1024</v>
      </c>
      <c r="AC13" s="77" t="s">
        <v>894</v>
      </c>
      <c r="AD13" s="77" t="s">
        <v>1042</v>
      </c>
      <c r="AE13" s="77" t="s">
        <v>940</v>
      </c>
      <c r="AF13" s="77" t="s">
        <v>1043</v>
      </c>
      <c r="AG13" s="77" t="s">
        <v>941</v>
      </c>
      <c r="AH13" s="77" t="s">
        <v>942</v>
      </c>
      <c r="AI13" s="77" t="s">
        <v>943</v>
      </c>
      <c r="AJ13" s="77" t="s">
        <v>944</v>
      </c>
      <c r="AK13" s="77" t="s">
        <v>1016</v>
      </c>
      <c r="AL13" s="77" t="s">
        <v>945</v>
      </c>
      <c r="AM13" s="77" t="s">
        <v>896</v>
      </c>
      <c r="AN13" s="77" t="s">
        <v>946</v>
      </c>
      <c r="AO13" s="77" t="s">
        <v>930</v>
      </c>
      <c r="AP13" s="77" t="s">
        <v>922</v>
      </c>
      <c r="AQ13" s="77" t="s">
        <v>947</v>
      </c>
      <c r="AR13" s="77" t="s">
        <v>1017</v>
      </c>
      <c r="AS13" s="77"/>
      <c r="AT13" s="77"/>
      <c r="AU13" s="77"/>
      <c r="AV13" s="77"/>
      <c r="AW13" s="77"/>
      <c r="AX13" s="77"/>
      <c r="AY13" s="77"/>
      <c r="AZ13" s="77"/>
      <c r="BA13" s="77"/>
      <c r="BB13" s="77"/>
    </row>
    <row r="14" spans="1:54" ht="90" x14ac:dyDescent="0.25">
      <c r="A14" s="70" t="s">
        <v>1484</v>
      </c>
      <c r="B14" s="64" t="s">
        <v>456</v>
      </c>
      <c r="C14" s="77" t="s">
        <v>1044</v>
      </c>
      <c r="D14" s="77" t="s">
        <v>1059</v>
      </c>
      <c r="E14" s="77" t="s">
        <v>1060</v>
      </c>
      <c r="F14" s="77" t="s">
        <v>1047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</row>
    <row r="15" spans="1:54" ht="112.5" x14ac:dyDescent="0.25">
      <c r="A15" s="70" t="s">
        <v>1485</v>
      </c>
      <c r="B15" s="64" t="s">
        <v>32</v>
      </c>
      <c r="C15" s="77" t="s">
        <v>932</v>
      </c>
      <c r="D15" s="77" t="s">
        <v>1052</v>
      </c>
      <c r="E15" s="77" t="s">
        <v>1053</v>
      </c>
      <c r="F15" s="77" t="s">
        <v>1029</v>
      </c>
      <c r="G15" s="77" t="s">
        <v>934</v>
      </c>
      <c r="H15" s="77" t="s">
        <v>1054</v>
      </c>
      <c r="I15" s="77" t="s">
        <v>917</v>
      </c>
      <c r="J15" s="77" t="s">
        <v>1031</v>
      </c>
      <c r="K15" s="77" t="s">
        <v>1032</v>
      </c>
      <c r="L15" s="77" t="s">
        <v>1033</v>
      </c>
      <c r="M15" s="77" t="s">
        <v>1034</v>
      </c>
      <c r="N15" s="77" t="s">
        <v>1010</v>
      </c>
      <c r="O15" s="77" t="s">
        <v>1035</v>
      </c>
      <c r="P15" s="77"/>
      <c r="Q15" s="77"/>
      <c r="R15" s="77"/>
      <c r="S15" s="77" t="s">
        <v>870</v>
      </c>
      <c r="T15" s="77" t="s">
        <v>871</v>
      </c>
      <c r="U15" s="77" t="s">
        <v>1036</v>
      </c>
      <c r="V15" s="77" t="s">
        <v>1037</v>
      </c>
      <c r="W15" s="77" t="s">
        <v>1050</v>
      </c>
      <c r="X15" s="77" t="s">
        <v>1039</v>
      </c>
      <c r="Y15" s="77" t="s">
        <v>1040</v>
      </c>
      <c r="Z15" s="77" t="s">
        <v>1041</v>
      </c>
      <c r="AA15" s="77" t="s">
        <v>893</v>
      </c>
      <c r="AB15" s="77" t="s">
        <v>1024</v>
      </c>
      <c r="AC15" s="77" t="s">
        <v>894</v>
      </c>
      <c r="AD15" s="77" t="s">
        <v>1042</v>
      </c>
      <c r="AE15" s="77" t="s">
        <v>940</v>
      </c>
      <c r="AF15" s="77" t="s">
        <v>1043</v>
      </c>
      <c r="AG15" s="77" t="s">
        <v>941</v>
      </c>
      <c r="AH15" s="77" t="s">
        <v>942</v>
      </c>
      <c r="AI15" s="77" t="s">
        <v>943</v>
      </c>
      <c r="AJ15" s="77" t="s">
        <v>944</v>
      </c>
      <c r="AK15" s="77" t="s">
        <v>1016</v>
      </c>
      <c r="AL15" s="77" t="s">
        <v>945</v>
      </c>
      <c r="AM15" s="77" t="s">
        <v>896</v>
      </c>
      <c r="AN15" s="77" t="s">
        <v>946</v>
      </c>
      <c r="AO15" s="77" t="s">
        <v>930</v>
      </c>
      <c r="AP15" s="77" t="s">
        <v>1083</v>
      </c>
      <c r="AQ15" s="77" t="s">
        <v>947</v>
      </c>
      <c r="AR15" s="77" t="s">
        <v>1017</v>
      </c>
      <c r="AS15" s="77"/>
      <c r="AT15" s="77"/>
      <c r="AU15" s="77"/>
      <c r="AV15" s="77"/>
      <c r="AW15" s="77"/>
      <c r="AX15" s="77"/>
      <c r="AY15" s="77"/>
      <c r="AZ15" s="77"/>
      <c r="BA15" s="77"/>
      <c r="BB15" s="77"/>
    </row>
    <row r="16" spans="1:54" ht="112.5" x14ac:dyDescent="0.25">
      <c r="A16" s="70" t="s">
        <v>1486</v>
      </c>
      <c r="B16" s="64" t="s">
        <v>456</v>
      </c>
      <c r="C16" s="77" t="s">
        <v>1061</v>
      </c>
      <c r="D16" s="77" t="s">
        <v>1060</v>
      </c>
      <c r="E16" s="77" t="s">
        <v>1057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</row>
    <row r="17" spans="1:54" ht="112.5" x14ac:dyDescent="0.25">
      <c r="A17" s="70" t="s">
        <v>1487</v>
      </c>
      <c r="B17" s="64" t="s">
        <v>32</v>
      </c>
      <c r="C17" s="77" t="s">
        <v>932</v>
      </c>
      <c r="D17" s="77" t="s">
        <v>1028</v>
      </c>
      <c r="E17" s="77" t="s">
        <v>863</v>
      </c>
      <c r="F17" s="77" t="s">
        <v>1029</v>
      </c>
      <c r="G17" s="77" t="s">
        <v>934</v>
      </c>
      <c r="H17" s="77" t="s">
        <v>935</v>
      </c>
      <c r="I17" s="77" t="s">
        <v>866</v>
      </c>
      <c r="J17" s="77" t="s">
        <v>1030</v>
      </c>
      <c r="K17" s="77" t="s">
        <v>937</v>
      </c>
      <c r="L17" s="77" t="s">
        <v>917</v>
      </c>
      <c r="M17" s="77" t="s">
        <v>1031</v>
      </c>
      <c r="N17" s="77" t="s">
        <v>1032</v>
      </c>
      <c r="O17" s="77" t="s">
        <v>1033</v>
      </c>
      <c r="P17" s="77" t="s">
        <v>1034</v>
      </c>
      <c r="Q17" s="77" t="s">
        <v>1010</v>
      </c>
      <c r="R17" s="77" t="s">
        <v>1035</v>
      </c>
      <c r="S17" s="77" t="s">
        <v>870</v>
      </c>
      <c r="T17" s="77" t="s">
        <v>871</v>
      </c>
      <c r="U17" s="77" t="s">
        <v>1036</v>
      </c>
      <c r="V17" s="77" t="s">
        <v>1037</v>
      </c>
      <c r="W17" s="77" t="s">
        <v>1038</v>
      </c>
      <c r="X17" s="77" t="s">
        <v>1039</v>
      </c>
      <c r="Y17" s="77" t="s">
        <v>1040</v>
      </c>
      <c r="Z17" s="77" t="s">
        <v>1041</v>
      </c>
      <c r="AA17" s="77" t="s">
        <v>893</v>
      </c>
      <c r="AB17" s="77" t="s">
        <v>1024</v>
      </c>
      <c r="AC17" s="77" t="s">
        <v>894</v>
      </c>
      <c r="AD17" s="77" t="s">
        <v>1042</v>
      </c>
      <c r="AE17" s="77" t="s">
        <v>940</v>
      </c>
      <c r="AF17" s="77" t="s">
        <v>1043</v>
      </c>
      <c r="AG17" s="77" t="s">
        <v>941</v>
      </c>
      <c r="AH17" s="77" t="s">
        <v>942</v>
      </c>
      <c r="AI17" s="77" t="s">
        <v>943</v>
      </c>
      <c r="AJ17" s="77" t="s">
        <v>944</v>
      </c>
      <c r="AK17" s="77" t="s">
        <v>1016</v>
      </c>
      <c r="AL17" s="77" t="s">
        <v>945</v>
      </c>
      <c r="AM17" s="77" t="s">
        <v>896</v>
      </c>
      <c r="AN17" s="77" t="s">
        <v>946</v>
      </c>
      <c r="AO17" s="77" t="s">
        <v>930</v>
      </c>
      <c r="AP17" s="77" t="s">
        <v>922</v>
      </c>
      <c r="AQ17" s="77" t="s">
        <v>947</v>
      </c>
      <c r="AR17" s="77" t="s">
        <v>1017</v>
      </c>
      <c r="AS17" s="77"/>
      <c r="AT17" s="77"/>
      <c r="AU17" s="77"/>
      <c r="AV17" s="77"/>
      <c r="AW17" s="77"/>
      <c r="AX17" s="77"/>
      <c r="AY17" s="77"/>
      <c r="AZ17" s="77"/>
      <c r="BA17" s="77"/>
      <c r="BB17" s="77"/>
    </row>
    <row r="18" spans="1:54" ht="112.5" x14ac:dyDescent="0.25">
      <c r="A18" s="70" t="s">
        <v>1488</v>
      </c>
      <c r="B18" s="64" t="s">
        <v>456</v>
      </c>
      <c r="C18" s="77" t="s">
        <v>1045</v>
      </c>
      <c r="D18" s="77" t="s">
        <v>1046</v>
      </c>
      <c r="E18" s="77" t="s">
        <v>1047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</row>
    <row r="19" spans="1:54" ht="112.5" x14ac:dyDescent="0.25">
      <c r="A19" s="70" t="s">
        <v>1489</v>
      </c>
      <c r="B19" s="64" t="s">
        <v>32</v>
      </c>
      <c r="C19" s="77" t="s">
        <v>932</v>
      </c>
      <c r="D19" s="77" t="s">
        <v>1028</v>
      </c>
      <c r="E19" s="77" t="s">
        <v>863</v>
      </c>
      <c r="F19" s="77" t="s">
        <v>1029</v>
      </c>
      <c r="G19" s="77" t="s">
        <v>934</v>
      </c>
      <c r="H19" s="77" t="s">
        <v>935</v>
      </c>
      <c r="I19" s="77" t="s">
        <v>866</v>
      </c>
      <c r="J19" s="77" t="s">
        <v>1030</v>
      </c>
      <c r="K19" s="77" t="s">
        <v>937</v>
      </c>
      <c r="L19" s="77" t="s">
        <v>917</v>
      </c>
      <c r="M19" s="77" t="s">
        <v>1031</v>
      </c>
      <c r="N19" s="77" t="s">
        <v>1032</v>
      </c>
      <c r="O19" s="77" t="s">
        <v>1033</v>
      </c>
      <c r="P19" s="77" t="s">
        <v>1034</v>
      </c>
      <c r="Q19" s="77" t="s">
        <v>1010</v>
      </c>
      <c r="R19" s="77" t="s">
        <v>1035</v>
      </c>
      <c r="S19" s="77" t="s">
        <v>870</v>
      </c>
      <c r="T19" s="77" t="s">
        <v>871</v>
      </c>
      <c r="U19" s="77" t="s">
        <v>1036</v>
      </c>
      <c r="V19" s="77" t="s">
        <v>1037</v>
      </c>
      <c r="W19" s="77" t="s">
        <v>1050</v>
      </c>
      <c r="X19" s="77" t="s">
        <v>1039</v>
      </c>
      <c r="Y19" s="77" t="s">
        <v>1040</v>
      </c>
      <c r="Z19" s="77" t="s">
        <v>1041</v>
      </c>
      <c r="AA19" s="77" t="s">
        <v>893</v>
      </c>
      <c r="AB19" s="77" t="s">
        <v>1024</v>
      </c>
      <c r="AC19" s="77" t="s">
        <v>894</v>
      </c>
      <c r="AD19" s="77" t="s">
        <v>1042</v>
      </c>
      <c r="AE19" s="77" t="s">
        <v>940</v>
      </c>
      <c r="AF19" s="77" t="s">
        <v>1043</v>
      </c>
      <c r="AG19" s="77" t="s">
        <v>941</v>
      </c>
      <c r="AH19" s="77" t="s">
        <v>942</v>
      </c>
      <c r="AI19" s="77" t="s">
        <v>943</v>
      </c>
      <c r="AJ19" s="77" t="s">
        <v>944</v>
      </c>
      <c r="AK19" s="77" t="s">
        <v>1016</v>
      </c>
      <c r="AL19" s="77" t="s">
        <v>945</v>
      </c>
      <c r="AM19" s="77" t="s">
        <v>896</v>
      </c>
      <c r="AN19" s="77" t="s">
        <v>946</v>
      </c>
      <c r="AO19" s="77" t="s">
        <v>930</v>
      </c>
      <c r="AP19" s="77" t="s">
        <v>922</v>
      </c>
      <c r="AQ19" s="77" t="s">
        <v>947</v>
      </c>
      <c r="AR19" s="77" t="s">
        <v>1017</v>
      </c>
      <c r="AS19" s="77"/>
      <c r="AT19" s="77"/>
      <c r="AU19" s="77"/>
      <c r="AV19" s="77"/>
      <c r="AW19" s="77"/>
      <c r="AX19" s="77"/>
      <c r="AY19" s="77"/>
      <c r="AZ19" s="77"/>
      <c r="BA19" s="77"/>
      <c r="BB19" s="77"/>
    </row>
    <row r="20" spans="1:54" ht="90" x14ac:dyDescent="0.25">
      <c r="A20" s="70" t="s">
        <v>1490</v>
      </c>
      <c r="B20" s="64" t="s">
        <v>456</v>
      </c>
      <c r="C20" s="77" t="s">
        <v>1044</v>
      </c>
      <c r="D20" s="77" t="s">
        <v>1051</v>
      </c>
      <c r="E20" s="77" t="s">
        <v>1062</v>
      </c>
      <c r="F20" s="77" t="s">
        <v>1047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</row>
    <row r="21" spans="1:54" ht="112.5" x14ac:dyDescent="0.25">
      <c r="A21" s="70" t="s">
        <v>1491</v>
      </c>
      <c r="B21" s="64" t="s">
        <v>32</v>
      </c>
      <c r="C21" s="77" t="s">
        <v>932</v>
      </c>
      <c r="D21" s="77" t="s">
        <v>1052</v>
      </c>
      <c r="E21" s="77" t="s">
        <v>1053</v>
      </c>
      <c r="F21" s="77" t="s">
        <v>1029</v>
      </c>
      <c r="G21" s="77" t="s">
        <v>934</v>
      </c>
      <c r="H21" s="77" t="s">
        <v>1054</v>
      </c>
      <c r="I21" s="77" t="s">
        <v>917</v>
      </c>
      <c r="J21" s="77" t="s">
        <v>1031</v>
      </c>
      <c r="K21" s="77" t="s">
        <v>1032</v>
      </c>
      <c r="L21" s="77" t="s">
        <v>1033</v>
      </c>
      <c r="M21" s="77" t="s">
        <v>1034</v>
      </c>
      <c r="N21" s="77" t="s">
        <v>1010</v>
      </c>
      <c r="O21" s="77" t="s">
        <v>1035</v>
      </c>
      <c r="P21" s="77"/>
      <c r="Q21" s="77"/>
      <c r="R21" s="77"/>
      <c r="S21" s="77" t="s">
        <v>870</v>
      </c>
      <c r="T21" s="77" t="s">
        <v>871</v>
      </c>
      <c r="U21" s="77" t="s">
        <v>1036</v>
      </c>
      <c r="V21" s="77" t="s">
        <v>1037</v>
      </c>
      <c r="W21" s="77" t="s">
        <v>1050</v>
      </c>
      <c r="X21" s="77" t="s">
        <v>1039</v>
      </c>
      <c r="Y21" s="77" t="s">
        <v>1040</v>
      </c>
      <c r="Z21" s="77" t="s">
        <v>1041</v>
      </c>
      <c r="AA21" s="77" t="s">
        <v>893</v>
      </c>
      <c r="AB21" s="77" t="s">
        <v>1024</v>
      </c>
      <c r="AC21" s="77" t="s">
        <v>894</v>
      </c>
      <c r="AD21" s="77" t="s">
        <v>1042</v>
      </c>
      <c r="AE21" s="77" t="s">
        <v>940</v>
      </c>
      <c r="AF21" s="77" t="s">
        <v>1043</v>
      </c>
      <c r="AG21" s="77" t="s">
        <v>941</v>
      </c>
      <c r="AH21" s="77" t="s">
        <v>942</v>
      </c>
      <c r="AI21" s="77" t="s">
        <v>943</v>
      </c>
      <c r="AJ21" s="77" t="s">
        <v>944</v>
      </c>
      <c r="AK21" s="77" t="s">
        <v>1016</v>
      </c>
      <c r="AL21" s="77" t="s">
        <v>945</v>
      </c>
      <c r="AM21" s="77" t="s">
        <v>896</v>
      </c>
      <c r="AN21" s="77" t="s">
        <v>946</v>
      </c>
      <c r="AO21" s="77" t="s">
        <v>930</v>
      </c>
      <c r="AP21" s="77" t="s">
        <v>922</v>
      </c>
      <c r="AQ21" s="77" t="s">
        <v>947</v>
      </c>
      <c r="AR21" s="77" t="s">
        <v>1017</v>
      </c>
      <c r="AS21" s="77"/>
      <c r="AT21" s="77"/>
      <c r="AU21" s="77"/>
      <c r="AV21" s="77"/>
      <c r="AW21" s="77"/>
      <c r="AX21" s="77"/>
      <c r="AY21" s="77"/>
      <c r="AZ21" s="77"/>
      <c r="BA21" s="77"/>
      <c r="BB21" s="77"/>
    </row>
    <row r="22" spans="1:54" ht="112.5" x14ac:dyDescent="0.25">
      <c r="A22" s="70" t="s">
        <v>1492</v>
      </c>
      <c r="B22" s="64" t="s">
        <v>456</v>
      </c>
      <c r="C22" s="77" t="s">
        <v>1063</v>
      </c>
      <c r="D22" s="77" t="s">
        <v>1062</v>
      </c>
      <c r="E22" s="77" t="s">
        <v>1057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</row>
    <row r="23" spans="1:54" ht="112.5" x14ac:dyDescent="0.25">
      <c r="A23" s="70" t="s">
        <v>1493</v>
      </c>
      <c r="B23" s="64" t="s">
        <v>32</v>
      </c>
      <c r="C23" s="77" t="s">
        <v>932</v>
      </c>
      <c r="D23" s="77" t="s">
        <v>1028</v>
      </c>
      <c r="E23" s="77" t="s">
        <v>863</v>
      </c>
      <c r="F23" s="77" t="s">
        <v>1029</v>
      </c>
      <c r="G23" s="77" t="s">
        <v>934</v>
      </c>
      <c r="H23" s="77" t="s">
        <v>935</v>
      </c>
      <c r="I23" s="77" t="s">
        <v>866</v>
      </c>
      <c r="J23" s="77" t="s">
        <v>1030</v>
      </c>
      <c r="K23" s="77" t="s">
        <v>937</v>
      </c>
      <c r="L23" s="77" t="s">
        <v>917</v>
      </c>
      <c r="M23" s="77" t="s">
        <v>1031</v>
      </c>
      <c r="N23" s="77" t="s">
        <v>1032</v>
      </c>
      <c r="O23" s="77" t="s">
        <v>1033</v>
      </c>
      <c r="P23" s="77" t="s">
        <v>1034</v>
      </c>
      <c r="Q23" s="77" t="s">
        <v>1010</v>
      </c>
      <c r="R23" s="77" t="s">
        <v>1035</v>
      </c>
      <c r="S23" s="77" t="s">
        <v>870</v>
      </c>
      <c r="T23" s="77" t="s">
        <v>871</v>
      </c>
      <c r="U23" s="77" t="s">
        <v>1036</v>
      </c>
      <c r="V23" s="77" t="s">
        <v>1037</v>
      </c>
      <c r="W23" s="77" t="s">
        <v>1058</v>
      </c>
      <c r="X23" s="77" t="s">
        <v>1039</v>
      </c>
      <c r="Y23" s="77" t="s">
        <v>1040</v>
      </c>
      <c r="Z23" s="77" t="s">
        <v>1041</v>
      </c>
      <c r="AA23" s="77" t="s">
        <v>893</v>
      </c>
      <c r="AB23" s="77" t="s">
        <v>1024</v>
      </c>
      <c r="AC23" s="77" t="s">
        <v>894</v>
      </c>
      <c r="AD23" s="77" t="s">
        <v>1042</v>
      </c>
      <c r="AE23" s="77" t="s">
        <v>940</v>
      </c>
      <c r="AF23" s="77" t="s">
        <v>1043</v>
      </c>
      <c r="AG23" s="77" t="s">
        <v>941</v>
      </c>
      <c r="AH23" s="77" t="s">
        <v>942</v>
      </c>
      <c r="AI23" s="77" t="s">
        <v>943</v>
      </c>
      <c r="AJ23" s="77" t="s">
        <v>944</v>
      </c>
      <c r="AK23" s="77" t="s">
        <v>1016</v>
      </c>
      <c r="AL23" s="77" t="s">
        <v>945</v>
      </c>
      <c r="AM23" s="77" t="s">
        <v>896</v>
      </c>
      <c r="AN23" s="77" t="s">
        <v>946</v>
      </c>
      <c r="AO23" s="77" t="s">
        <v>930</v>
      </c>
      <c r="AP23" s="77" t="s">
        <v>922</v>
      </c>
      <c r="AQ23" s="77" t="s">
        <v>947</v>
      </c>
      <c r="AR23" s="77" t="s">
        <v>1017</v>
      </c>
      <c r="AS23" s="77"/>
      <c r="AT23" s="77"/>
      <c r="AU23" s="77"/>
      <c r="AV23" s="77"/>
      <c r="AW23" s="77"/>
      <c r="AX23" s="77"/>
      <c r="AY23" s="77"/>
      <c r="AZ23" s="77"/>
      <c r="BA23" s="77"/>
      <c r="BB23" s="77"/>
    </row>
    <row r="24" spans="1:54" ht="112.5" x14ac:dyDescent="0.25">
      <c r="A24" s="70" t="s">
        <v>1494</v>
      </c>
      <c r="B24" s="64" t="s">
        <v>456</v>
      </c>
      <c r="C24" s="77" t="s">
        <v>1044</v>
      </c>
      <c r="D24" s="77" t="s">
        <v>1059</v>
      </c>
      <c r="E24" s="77" t="s">
        <v>1060</v>
      </c>
      <c r="F24" s="77" t="s">
        <v>1047</v>
      </c>
      <c r="G24" s="77" t="s">
        <v>934</v>
      </c>
      <c r="H24" s="77" t="s">
        <v>935</v>
      </c>
      <c r="I24" s="77" t="s">
        <v>866</v>
      </c>
      <c r="J24" s="77" t="s">
        <v>1030</v>
      </c>
      <c r="K24" s="77" t="s">
        <v>937</v>
      </c>
      <c r="L24" s="77" t="s">
        <v>917</v>
      </c>
      <c r="M24" s="77" t="s">
        <v>1031</v>
      </c>
      <c r="N24" s="77" t="s">
        <v>1032</v>
      </c>
      <c r="O24" s="77" t="s">
        <v>1033</v>
      </c>
      <c r="P24" s="77" t="s">
        <v>1034</v>
      </c>
      <c r="Q24" s="77" t="s">
        <v>1010</v>
      </c>
      <c r="R24" s="77" t="s">
        <v>1035</v>
      </c>
      <c r="S24" s="77" t="s">
        <v>870</v>
      </c>
      <c r="T24" s="77" t="s">
        <v>871</v>
      </c>
      <c r="U24" s="77" t="s">
        <v>1036</v>
      </c>
      <c r="V24" s="77" t="s">
        <v>1037</v>
      </c>
      <c r="W24" s="77" t="s">
        <v>1058</v>
      </c>
      <c r="X24" s="77" t="s">
        <v>1039</v>
      </c>
      <c r="Y24" s="77" t="s">
        <v>1040</v>
      </c>
      <c r="Z24" s="77" t="s">
        <v>1041</v>
      </c>
      <c r="AA24" s="77" t="s">
        <v>893</v>
      </c>
      <c r="AB24" s="77" t="s">
        <v>1024</v>
      </c>
      <c r="AC24" s="77" t="s">
        <v>894</v>
      </c>
      <c r="AD24" s="77" t="s">
        <v>1042</v>
      </c>
      <c r="AE24" s="77" t="s">
        <v>940</v>
      </c>
      <c r="AF24" s="77" t="s">
        <v>1043</v>
      </c>
      <c r="AG24" s="77" t="s">
        <v>941</v>
      </c>
      <c r="AH24" s="77" t="s">
        <v>942</v>
      </c>
      <c r="AI24" s="77" t="s">
        <v>943</v>
      </c>
      <c r="AJ24" s="77" t="s">
        <v>944</v>
      </c>
      <c r="AK24" s="77" t="s">
        <v>1016</v>
      </c>
      <c r="AL24" s="77" t="s">
        <v>945</v>
      </c>
      <c r="AM24" s="77" t="s">
        <v>896</v>
      </c>
      <c r="AN24" s="77" t="s">
        <v>946</v>
      </c>
      <c r="AO24" s="77" t="s">
        <v>930</v>
      </c>
      <c r="AP24" s="77" t="s">
        <v>922</v>
      </c>
      <c r="AQ24" s="77" t="s">
        <v>947</v>
      </c>
      <c r="AR24" s="77" t="s">
        <v>1017</v>
      </c>
      <c r="AS24" s="77"/>
      <c r="AT24" s="77"/>
      <c r="AU24" s="77"/>
      <c r="AV24" s="77"/>
      <c r="AW24" s="77"/>
      <c r="AX24" s="77"/>
      <c r="AY24" s="77"/>
      <c r="AZ24" s="77"/>
      <c r="BA24" s="77"/>
      <c r="BB24" s="77"/>
    </row>
    <row r="25" spans="1:54" ht="112.5" x14ac:dyDescent="0.25">
      <c r="A25" s="70" t="s">
        <v>1495</v>
      </c>
      <c r="B25" s="64" t="s">
        <v>32</v>
      </c>
      <c r="C25" s="77" t="s">
        <v>932</v>
      </c>
      <c r="D25" s="77" t="s">
        <v>1028</v>
      </c>
      <c r="E25" s="77" t="s">
        <v>863</v>
      </c>
      <c r="F25" s="77" t="s">
        <v>1029</v>
      </c>
      <c r="G25" s="77" t="s">
        <v>934</v>
      </c>
      <c r="H25" s="77" t="s">
        <v>935</v>
      </c>
      <c r="I25" s="77" t="s">
        <v>866</v>
      </c>
      <c r="J25" s="77" t="s">
        <v>1030</v>
      </c>
      <c r="K25" s="77" t="s">
        <v>937</v>
      </c>
      <c r="L25" s="77" t="s">
        <v>917</v>
      </c>
      <c r="M25" s="77" t="s">
        <v>1031</v>
      </c>
      <c r="N25" s="77" t="s">
        <v>1032</v>
      </c>
      <c r="O25" s="77" t="s">
        <v>1033</v>
      </c>
      <c r="P25" s="77" t="s">
        <v>1034</v>
      </c>
      <c r="Q25" s="77" t="s">
        <v>1010</v>
      </c>
      <c r="R25" s="77" t="s">
        <v>1035</v>
      </c>
      <c r="S25" s="77" t="s">
        <v>870</v>
      </c>
      <c r="T25" s="77" t="s">
        <v>871</v>
      </c>
      <c r="U25" s="77" t="s">
        <v>1036</v>
      </c>
      <c r="V25" s="77" t="s">
        <v>1037</v>
      </c>
      <c r="W25" s="77" t="s">
        <v>1058</v>
      </c>
      <c r="X25" s="77" t="s">
        <v>1039</v>
      </c>
      <c r="Y25" s="77" t="s">
        <v>1040</v>
      </c>
      <c r="Z25" s="77" t="s">
        <v>1041</v>
      </c>
      <c r="AA25" s="77" t="s">
        <v>893</v>
      </c>
      <c r="AB25" s="77" t="s">
        <v>1024</v>
      </c>
      <c r="AC25" s="77" t="s">
        <v>894</v>
      </c>
      <c r="AD25" s="77" t="s">
        <v>1042</v>
      </c>
      <c r="AE25" s="77" t="s">
        <v>940</v>
      </c>
      <c r="AF25" s="77" t="s">
        <v>1043</v>
      </c>
      <c r="AG25" s="77" t="s">
        <v>941</v>
      </c>
      <c r="AH25" s="77" t="s">
        <v>942</v>
      </c>
      <c r="AI25" s="77" t="s">
        <v>943</v>
      </c>
      <c r="AJ25" s="77" t="s">
        <v>944</v>
      </c>
      <c r="AK25" s="77" t="s">
        <v>1016</v>
      </c>
      <c r="AL25" s="77" t="s">
        <v>945</v>
      </c>
      <c r="AM25" s="77" t="s">
        <v>896</v>
      </c>
      <c r="AN25" s="77" t="s">
        <v>946</v>
      </c>
      <c r="AO25" s="77" t="s">
        <v>930</v>
      </c>
      <c r="AP25" s="77" t="s">
        <v>922</v>
      </c>
      <c r="AQ25" s="77" t="s">
        <v>947</v>
      </c>
      <c r="AR25" s="77" t="s">
        <v>1017</v>
      </c>
      <c r="AS25" s="77"/>
      <c r="AT25" s="77"/>
      <c r="AU25" s="77"/>
      <c r="AV25" s="77"/>
      <c r="AW25" s="77"/>
      <c r="AX25" s="77"/>
      <c r="AY25" s="77"/>
      <c r="AZ25" s="77"/>
      <c r="BA25" s="77"/>
      <c r="BB25" s="77"/>
    </row>
    <row r="26" spans="1:54" ht="90" x14ac:dyDescent="0.25">
      <c r="A26" s="70" t="s">
        <v>1496</v>
      </c>
      <c r="B26" s="64" t="s">
        <v>456</v>
      </c>
      <c r="C26" s="77" t="s">
        <v>1044</v>
      </c>
      <c r="D26" s="77" t="s">
        <v>1059</v>
      </c>
      <c r="E26" s="77" t="s">
        <v>1060</v>
      </c>
      <c r="F26" s="77" t="s">
        <v>1047</v>
      </c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</row>
    <row r="27" spans="1:54" ht="52.5" x14ac:dyDescent="0.25">
      <c r="A27" s="70" t="s">
        <v>1637</v>
      </c>
      <c r="B27" s="64" t="s">
        <v>32</v>
      </c>
      <c r="C27" s="77" t="s">
        <v>861</v>
      </c>
      <c r="D27" s="77" t="s">
        <v>913</v>
      </c>
      <c r="E27" s="77" t="s">
        <v>863</v>
      </c>
      <c r="F27" s="77" t="s">
        <v>864</v>
      </c>
      <c r="G27" s="77" t="s">
        <v>935</v>
      </c>
      <c r="H27" s="77" t="s">
        <v>866</v>
      </c>
      <c r="I27" s="77" t="s">
        <v>868</v>
      </c>
      <c r="J27" s="77" t="s">
        <v>1148</v>
      </c>
      <c r="K27" s="77" t="s">
        <v>869</v>
      </c>
      <c r="L27" s="77" t="s">
        <v>1149</v>
      </c>
      <c r="M27" s="77" t="s">
        <v>1010</v>
      </c>
      <c r="N27" s="77" t="s">
        <v>1011</v>
      </c>
      <c r="O27" s="77" t="s">
        <v>870</v>
      </c>
      <c r="P27" s="77" t="s">
        <v>871</v>
      </c>
      <c r="Q27" s="77" t="s">
        <v>1013</v>
      </c>
      <c r="R27" s="77" t="s">
        <v>1150</v>
      </c>
      <c r="S27" s="77" t="s">
        <v>1151</v>
      </c>
      <c r="T27" s="77" t="s">
        <v>1152</v>
      </c>
      <c r="U27" s="77" t="s">
        <v>893</v>
      </c>
      <c r="V27" s="77" t="s">
        <v>894</v>
      </c>
      <c r="W27" s="77" t="s">
        <v>875</v>
      </c>
      <c r="X27" s="77" t="s">
        <v>920</v>
      </c>
      <c r="Y27" s="77" t="s">
        <v>1016</v>
      </c>
      <c r="Z27" s="77" t="s">
        <v>878</v>
      </c>
      <c r="AA27" s="77" t="s">
        <v>1017</v>
      </c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</row>
    <row r="28" spans="1:54" x14ac:dyDescent="0.25">
      <c r="A28" s="70" t="s">
        <v>1638</v>
      </c>
      <c r="B28" s="64" t="s">
        <v>456</v>
      </c>
      <c r="C28" s="77" t="s">
        <v>2633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</row>
    <row r="29" spans="1:54" ht="67.5" x14ac:dyDescent="0.25">
      <c r="A29" s="70" t="s">
        <v>1639</v>
      </c>
      <c r="B29" s="64" t="s">
        <v>32</v>
      </c>
      <c r="C29" s="77" t="s">
        <v>882</v>
      </c>
      <c r="D29" s="77" t="s">
        <v>1153</v>
      </c>
      <c r="E29" s="77" t="s">
        <v>863</v>
      </c>
      <c r="F29" s="77" t="s">
        <v>885</v>
      </c>
      <c r="G29" s="77" t="s">
        <v>886</v>
      </c>
      <c r="H29" s="77" t="s">
        <v>866</v>
      </c>
      <c r="I29" s="77" t="s">
        <v>1020</v>
      </c>
      <c r="J29" s="77" t="s">
        <v>1154</v>
      </c>
      <c r="K29" s="77" t="s">
        <v>1007</v>
      </c>
      <c r="L29" s="77" t="s">
        <v>1008</v>
      </c>
      <c r="M29" s="77" t="s">
        <v>1009</v>
      </c>
      <c r="N29" s="77" t="s">
        <v>1010</v>
      </c>
      <c r="O29" s="77" t="s">
        <v>1012</v>
      </c>
      <c r="P29" s="77" t="s">
        <v>457</v>
      </c>
      <c r="Q29" s="77" t="s">
        <v>889</v>
      </c>
      <c r="R29" s="77" t="s">
        <v>870</v>
      </c>
      <c r="S29" s="77" t="s">
        <v>871</v>
      </c>
      <c r="T29" s="77" t="s">
        <v>1013</v>
      </c>
      <c r="U29" s="77" t="s">
        <v>1155</v>
      </c>
      <c r="V29" s="77" t="s">
        <v>1156</v>
      </c>
      <c r="W29" s="77" t="s">
        <v>1157</v>
      </c>
      <c r="X29" s="77" t="s">
        <v>893</v>
      </c>
      <c r="Y29" s="77" t="s">
        <v>894</v>
      </c>
      <c r="Z29" s="77" t="s">
        <v>875</v>
      </c>
      <c r="AA29" s="77" t="s">
        <v>1026</v>
      </c>
      <c r="AB29" s="77" t="s">
        <v>1016</v>
      </c>
      <c r="AC29" s="77" t="s">
        <v>896</v>
      </c>
      <c r="AD29" s="77" t="s">
        <v>897</v>
      </c>
      <c r="AE29" s="77" t="s">
        <v>899</v>
      </c>
      <c r="AF29" s="77" t="s">
        <v>898</v>
      </c>
      <c r="AG29" s="77" t="s">
        <v>1017</v>
      </c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</row>
    <row r="30" spans="1:54" ht="33.75" x14ac:dyDescent="0.25">
      <c r="A30" s="70" t="s">
        <v>1640</v>
      </c>
      <c r="B30" s="64" t="s">
        <v>456</v>
      </c>
      <c r="C30" s="77" t="s">
        <v>1158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</row>
    <row r="31" spans="1:54" ht="56.25" x14ac:dyDescent="0.25">
      <c r="A31" s="70" t="s">
        <v>1641</v>
      </c>
      <c r="B31" s="64" t="s">
        <v>32</v>
      </c>
      <c r="C31" s="77" t="s">
        <v>882</v>
      </c>
      <c r="D31" s="77" t="s">
        <v>913</v>
      </c>
      <c r="E31" s="77" t="s">
        <v>863</v>
      </c>
      <c r="F31" s="77" t="s">
        <v>885</v>
      </c>
      <c r="G31" s="77" t="s">
        <v>886</v>
      </c>
      <c r="H31" s="77" t="s">
        <v>866</v>
      </c>
      <c r="I31" s="77" t="s">
        <v>1005</v>
      </c>
      <c r="J31" s="77" t="s">
        <v>1006</v>
      </c>
      <c r="K31" s="77" t="s">
        <v>1007</v>
      </c>
      <c r="L31" s="77" t="s">
        <v>1008</v>
      </c>
      <c r="M31" s="77" t="s">
        <v>1009</v>
      </c>
      <c r="N31" s="77" t="s">
        <v>1010</v>
      </c>
      <c r="O31" s="77" t="s">
        <v>1011</v>
      </c>
      <c r="P31" s="77" t="s">
        <v>1012</v>
      </c>
      <c r="Q31" s="77" t="s">
        <v>457</v>
      </c>
      <c r="R31" s="77" t="s">
        <v>889</v>
      </c>
      <c r="S31" s="77"/>
      <c r="T31" s="77" t="s">
        <v>870</v>
      </c>
      <c r="U31" s="77" t="s">
        <v>871</v>
      </c>
      <c r="V31" s="77" t="s">
        <v>1013</v>
      </c>
      <c r="W31" s="77" t="s">
        <v>1014</v>
      </c>
      <c r="X31" s="77" t="s">
        <v>1015</v>
      </c>
      <c r="Y31" s="77" t="s">
        <v>893</v>
      </c>
      <c r="Z31" s="77" t="s">
        <v>894</v>
      </c>
      <c r="AA31" s="77" t="s">
        <v>875</v>
      </c>
      <c r="AB31" s="77" t="s">
        <v>920</v>
      </c>
      <c r="AC31" s="77" t="s">
        <v>1016</v>
      </c>
      <c r="AD31" s="77" t="s">
        <v>896</v>
      </c>
      <c r="AE31" s="77" t="s">
        <v>897</v>
      </c>
      <c r="AF31" s="77" t="s">
        <v>899</v>
      </c>
      <c r="AG31" s="77" t="s">
        <v>898</v>
      </c>
      <c r="AH31" s="77" t="s">
        <v>1017</v>
      </c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</row>
    <row r="32" spans="1:54" ht="33.75" x14ac:dyDescent="0.25">
      <c r="A32" s="70" t="s">
        <v>1642</v>
      </c>
      <c r="B32" s="64" t="s">
        <v>456</v>
      </c>
      <c r="C32" s="77" t="s">
        <v>1018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</row>
    <row r="33" spans="1:54" ht="67.5" x14ac:dyDescent="0.25">
      <c r="A33" s="70" t="s">
        <v>1643</v>
      </c>
      <c r="B33" s="64" t="s">
        <v>32</v>
      </c>
      <c r="C33" s="77" t="s">
        <v>861</v>
      </c>
      <c r="D33" s="77" t="s">
        <v>1019</v>
      </c>
      <c r="E33" s="77" t="s">
        <v>863</v>
      </c>
      <c r="F33" s="77" t="s">
        <v>864</v>
      </c>
      <c r="G33" s="77" t="s">
        <v>914</v>
      </c>
      <c r="H33" s="77" t="s">
        <v>866</v>
      </c>
      <c r="I33" s="77" t="s">
        <v>1020</v>
      </c>
      <c r="J33" s="77" t="s">
        <v>1006</v>
      </c>
      <c r="K33" s="77" t="s">
        <v>917</v>
      </c>
      <c r="L33" s="77" t="s">
        <v>1008</v>
      </c>
      <c r="M33" s="77" t="s">
        <v>1009</v>
      </c>
      <c r="N33" s="77" t="s">
        <v>1010</v>
      </c>
      <c r="O33" s="77"/>
      <c r="P33" s="77" t="s">
        <v>918</v>
      </c>
      <c r="Q33" s="77" t="s">
        <v>870</v>
      </c>
      <c r="R33" s="77" t="s">
        <v>871</v>
      </c>
      <c r="S33" s="77" t="s">
        <v>907</v>
      </c>
      <c r="T33" s="77" t="s">
        <v>1021</v>
      </c>
      <c r="U33" s="77" t="s">
        <v>1022</v>
      </c>
      <c r="V33" s="77" t="s">
        <v>1023</v>
      </c>
      <c r="W33" s="77" t="s">
        <v>893</v>
      </c>
      <c r="X33" s="77" t="s">
        <v>1024</v>
      </c>
      <c r="Y33" s="77" t="s">
        <v>894</v>
      </c>
      <c r="Z33" s="77" t="s">
        <v>1025</v>
      </c>
      <c r="AA33" s="77" t="s">
        <v>1026</v>
      </c>
      <c r="AB33" s="77" t="s">
        <v>1016</v>
      </c>
      <c r="AC33" s="77" t="s">
        <v>896</v>
      </c>
      <c r="AD33" s="77" t="s">
        <v>921</v>
      </c>
      <c r="AE33" s="77" t="s">
        <v>922</v>
      </c>
      <c r="AF33" s="77" t="s">
        <v>1017</v>
      </c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</row>
    <row r="34" spans="1:54" ht="45" x14ac:dyDescent="0.25">
      <c r="A34" s="70" t="s">
        <v>1644</v>
      </c>
      <c r="B34" s="64" t="s">
        <v>456</v>
      </c>
      <c r="C34" s="77" t="s">
        <v>1027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</row>
    <row r="35" spans="1:54" ht="112.5" x14ac:dyDescent="0.25">
      <c r="A35" s="70" t="s">
        <v>1645</v>
      </c>
      <c r="B35" s="64" t="s">
        <v>32</v>
      </c>
      <c r="C35" s="77" t="s">
        <v>932</v>
      </c>
      <c r="D35" s="77" t="s">
        <v>1028</v>
      </c>
      <c r="E35" s="77" t="s">
        <v>863</v>
      </c>
      <c r="F35" s="77" t="s">
        <v>1029</v>
      </c>
      <c r="G35" s="77" t="s">
        <v>934</v>
      </c>
      <c r="H35" s="77" t="s">
        <v>935</v>
      </c>
      <c r="I35" s="77" t="s">
        <v>866</v>
      </c>
      <c r="J35" s="77" t="s">
        <v>1030</v>
      </c>
      <c r="K35" s="77" t="s">
        <v>937</v>
      </c>
      <c r="L35" s="77" t="s">
        <v>917</v>
      </c>
      <c r="M35" s="77" t="s">
        <v>1159</v>
      </c>
      <c r="N35" s="77" t="s">
        <v>1160</v>
      </c>
      <c r="O35" s="77" t="s">
        <v>1033</v>
      </c>
      <c r="P35" s="77" t="s">
        <v>1034</v>
      </c>
      <c r="Q35" s="77" t="s">
        <v>1010</v>
      </c>
      <c r="R35" s="77" t="s">
        <v>870</v>
      </c>
      <c r="S35" s="77" t="s">
        <v>871</v>
      </c>
      <c r="T35" s="77" t="s">
        <v>1036</v>
      </c>
      <c r="U35" s="77" t="s">
        <v>1037</v>
      </c>
      <c r="V35" s="77" t="s">
        <v>1038</v>
      </c>
      <c r="W35" s="77" t="s">
        <v>1039</v>
      </c>
      <c r="X35" s="77" t="s">
        <v>1040</v>
      </c>
      <c r="Y35" s="77" t="s">
        <v>1041</v>
      </c>
      <c r="Z35" s="77" t="s">
        <v>893</v>
      </c>
      <c r="AA35" s="77" t="s">
        <v>1024</v>
      </c>
      <c r="AB35" s="77" t="s">
        <v>894</v>
      </c>
      <c r="AC35" s="77" t="s">
        <v>1042</v>
      </c>
      <c r="AD35" s="77" t="s">
        <v>940</v>
      </c>
      <c r="AE35" s="77" t="s">
        <v>1043</v>
      </c>
      <c r="AF35" s="77" t="s">
        <v>941</v>
      </c>
      <c r="AG35" s="77" t="s">
        <v>942</v>
      </c>
      <c r="AH35" s="77" t="s">
        <v>943</v>
      </c>
      <c r="AI35" s="77" t="s">
        <v>944</v>
      </c>
      <c r="AJ35" s="77" t="s">
        <v>1016</v>
      </c>
      <c r="AK35" s="77" t="s">
        <v>945</v>
      </c>
      <c r="AL35" s="77" t="s">
        <v>896</v>
      </c>
      <c r="AM35" s="77" t="s">
        <v>946</v>
      </c>
      <c r="AN35" s="77" t="s">
        <v>930</v>
      </c>
      <c r="AO35" s="77" t="s">
        <v>922</v>
      </c>
      <c r="AP35" s="77" t="s">
        <v>947</v>
      </c>
      <c r="AQ35" s="77" t="s">
        <v>1017</v>
      </c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</row>
    <row r="36" spans="1:54" ht="90" x14ac:dyDescent="0.25">
      <c r="A36" s="70" t="s">
        <v>1646</v>
      </c>
      <c r="B36" s="64" t="s">
        <v>456</v>
      </c>
      <c r="C36" s="77" t="s">
        <v>1044</v>
      </c>
      <c r="D36" s="77" t="s">
        <v>1048</v>
      </c>
      <c r="E36" s="77" t="s">
        <v>1161</v>
      </c>
      <c r="F36" s="77" t="s">
        <v>1047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</row>
    <row r="37" spans="1:54" ht="112.5" x14ac:dyDescent="0.25">
      <c r="A37" s="70" t="s">
        <v>1647</v>
      </c>
      <c r="B37" s="64" t="s">
        <v>32</v>
      </c>
      <c r="C37" s="77" t="s">
        <v>932</v>
      </c>
      <c r="D37" s="77" t="s">
        <v>1028</v>
      </c>
      <c r="E37" s="77" t="s">
        <v>863</v>
      </c>
      <c r="F37" s="77" t="s">
        <v>1029</v>
      </c>
      <c r="G37" s="77" t="s">
        <v>934</v>
      </c>
      <c r="H37" s="77" t="s">
        <v>935</v>
      </c>
      <c r="I37" s="77" t="s">
        <v>866</v>
      </c>
      <c r="J37" s="77" t="s">
        <v>1030</v>
      </c>
      <c r="K37" s="77" t="s">
        <v>937</v>
      </c>
      <c r="L37" s="77" t="s">
        <v>917</v>
      </c>
      <c r="M37" s="77" t="s">
        <v>1159</v>
      </c>
      <c r="N37" s="77" t="s">
        <v>1160</v>
      </c>
      <c r="O37" s="77" t="s">
        <v>1033</v>
      </c>
      <c r="P37" s="77" t="s">
        <v>1034</v>
      </c>
      <c r="Q37" s="77" t="s">
        <v>1010</v>
      </c>
      <c r="R37" s="77" t="s">
        <v>870</v>
      </c>
      <c r="S37" s="77" t="s">
        <v>871</v>
      </c>
      <c r="T37" s="77" t="s">
        <v>1036</v>
      </c>
      <c r="U37" s="77" t="s">
        <v>1037</v>
      </c>
      <c r="V37" s="77" t="s">
        <v>1050</v>
      </c>
      <c r="W37" s="77" t="s">
        <v>1039</v>
      </c>
      <c r="X37" s="77" t="s">
        <v>1040</v>
      </c>
      <c r="Y37" s="77" t="s">
        <v>1041</v>
      </c>
      <c r="Z37" s="77" t="s">
        <v>893</v>
      </c>
      <c r="AA37" s="77" t="s">
        <v>1024</v>
      </c>
      <c r="AB37" s="77" t="s">
        <v>894</v>
      </c>
      <c r="AC37" s="77" t="s">
        <v>1042</v>
      </c>
      <c r="AD37" s="77" t="s">
        <v>940</v>
      </c>
      <c r="AE37" s="77" t="s">
        <v>1043</v>
      </c>
      <c r="AF37" s="77" t="s">
        <v>941</v>
      </c>
      <c r="AG37" s="77" t="s">
        <v>942</v>
      </c>
      <c r="AH37" s="77" t="s">
        <v>943</v>
      </c>
      <c r="AI37" s="77" t="s">
        <v>944</v>
      </c>
      <c r="AJ37" s="77" t="s">
        <v>1016</v>
      </c>
      <c r="AK37" s="77" t="s">
        <v>945</v>
      </c>
      <c r="AL37" s="77" t="s">
        <v>896</v>
      </c>
      <c r="AM37" s="77" t="s">
        <v>946</v>
      </c>
      <c r="AN37" s="77" t="s">
        <v>930</v>
      </c>
      <c r="AO37" s="77" t="s">
        <v>922</v>
      </c>
      <c r="AP37" s="77" t="s">
        <v>947</v>
      </c>
      <c r="AQ37" s="77" t="s">
        <v>1017</v>
      </c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</row>
    <row r="38" spans="1:54" ht="90" x14ac:dyDescent="0.25">
      <c r="A38" s="70" t="s">
        <v>1648</v>
      </c>
      <c r="B38" s="64" t="s">
        <v>456</v>
      </c>
      <c r="C38" s="77" t="s">
        <v>1044</v>
      </c>
      <c r="D38" s="77" t="s">
        <v>1051</v>
      </c>
      <c r="E38" s="77" t="s">
        <v>1162</v>
      </c>
      <c r="F38" s="77" t="s">
        <v>1047</v>
      </c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</row>
    <row r="39" spans="1:54" ht="112.5" x14ac:dyDescent="0.25">
      <c r="A39" s="70" t="s">
        <v>1649</v>
      </c>
      <c r="B39" s="64" t="s">
        <v>32</v>
      </c>
      <c r="C39" s="77" t="s">
        <v>932</v>
      </c>
      <c r="D39" s="77" t="s">
        <v>1052</v>
      </c>
      <c r="E39" s="77" t="s">
        <v>1053</v>
      </c>
      <c r="F39" s="77" t="s">
        <v>1029</v>
      </c>
      <c r="G39" s="77" t="s">
        <v>934</v>
      </c>
      <c r="H39" s="77" t="s">
        <v>1054</v>
      </c>
      <c r="I39" s="77" t="s">
        <v>917</v>
      </c>
      <c r="J39" s="77" t="s">
        <v>1159</v>
      </c>
      <c r="K39" s="77" t="s">
        <v>1160</v>
      </c>
      <c r="L39" s="77" t="s">
        <v>1033</v>
      </c>
      <c r="M39" s="77" t="s">
        <v>1034</v>
      </c>
      <c r="N39" s="77" t="s">
        <v>1010</v>
      </c>
      <c r="O39" s="77"/>
      <c r="P39" s="77"/>
      <c r="Q39" s="77"/>
      <c r="R39" s="77" t="s">
        <v>870</v>
      </c>
      <c r="S39" s="77" t="s">
        <v>871</v>
      </c>
      <c r="T39" s="77" t="s">
        <v>1036</v>
      </c>
      <c r="U39" s="77" t="s">
        <v>1037</v>
      </c>
      <c r="V39" s="77" t="s">
        <v>1050</v>
      </c>
      <c r="W39" s="77" t="s">
        <v>1039</v>
      </c>
      <c r="X39" s="77" t="s">
        <v>1040</v>
      </c>
      <c r="Y39" s="77" t="s">
        <v>1041</v>
      </c>
      <c r="Z39" s="77" t="s">
        <v>893</v>
      </c>
      <c r="AA39" s="77" t="s">
        <v>1024</v>
      </c>
      <c r="AB39" s="77" t="s">
        <v>894</v>
      </c>
      <c r="AC39" s="77" t="s">
        <v>1042</v>
      </c>
      <c r="AD39" s="77" t="s">
        <v>940</v>
      </c>
      <c r="AE39" s="77" t="s">
        <v>1043</v>
      </c>
      <c r="AF39" s="77" t="s">
        <v>941</v>
      </c>
      <c r="AG39" s="77" t="s">
        <v>942</v>
      </c>
      <c r="AH39" s="77" t="s">
        <v>943</v>
      </c>
      <c r="AI39" s="77" t="s">
        <v>944</v>
      </c>
      <c r="AJ39" s="77" t="s">
        <v>1016</v>
      </c>
      <c r="AK39" s="77" t="s">
        <v>945</v>
      </c>
      <c r="AL39" s="77" t="s">
        <v>896</v>
      </c>
      <c r="AM39" s="77" t="s">
        <v>946</v>
      </c>
      <c r="AN39" s="77" t="s">
        <v>930</v>
      </c>
      <c r="AO39" s="77" t="s">
        <v>922</v>
      </c>
      <c r="AP39" s="77" t="s">
        <v>947</v>
      </c>
      <c r="AQ39" s="77" t="s">
        <v>1017</v>
      </c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</row>
    <row r="40" spans="1:54" ht="112.5" x14ac:dyDescent="0.25">
      <c r="A40" s="70" t="s">
        <v>1650</v>
      </c>
      <c r="B40" s="64" t="s">
        <v>456</v>
      </c>
      <c r="C40" s="77" t="s">
        <v>1055</v>
      </c>
      <c r="D40" s="77" t="s">
        <v>1163</v>
      </c>
      <c r="E40" s="77" t="s">
        <v>1057</v>
      </c>
      <c r="F40" s="77" t="s">
        <v>1047</v>
      </c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</row>
    <row r="41" spans="1:54" ht="112.5" x14ac:dyDescent="0.25">
      <c r="A41" s="70" t="s">
        <v>1651</v>
      </c>
      <c r="B41" s="64" t="s">
        <v>32</v>
      </c>
      <c r="C41" s="77" t="s">
        <v>932</v>
      </c>
      <c r="D41" s="77" t="s">
        <v>1028</v>
      </c>
      <c r="E41" s="77" t="s">
        <v>863</v>
      </c>
      <c r="F41" s="77" t="s">
        <v>1029</v>
      </c>
      <c r="G41" s="77" t="s">
        <v>934</v>
      </c>
      <c r="H41" s="77" t="s">
        <v>935</v>
      </c>
      <c r="I41" s="77" t="s">
        <v>866</v>
      </c>
      <c r="J41" s="77" t="s">
        <v>1030</v>
      </c>
      <c r="K41" s="77" t="s">
        <v>937</v>
      </c>
      <c r="L41" s="77" t="s">
        <v>917</v>
      </c>
      <c r="M41" s="77" t="s">
        <v>1159</v>
      </c>
      <c r="N41" s="77" t="s">
        <v>1160</v>
      </c>
      <c r="O41" s="77" t="s">
        <v>1033</v>
      </c>
      <c r="P41" s="77" t="s">
        <v>1034</v>
      </c>
      <c r="Q41" s="77" t="s">
        <v>1010</v>
      </c>
      <c r="R41" s="77" t="s">
        <v>870</v>
      </c>
      <c r="S41" s="77" t="s">
        <v>871</v>
      </c>
      <c r="T41" s="77" t="s">
        <v>1036</v>
      </c>
      <c r="U41" s="77" t="s">
        <v>1037</v>
      </c>
      <c r="V41" s="77" t="s">
        <v>1058</v>
      </c>
      <c r="W41" s="77" t="s">
        <v>1039</v>
      </c>
      <c r="X41" s="77" t="s">
        <v>1040</v>
      </c>
      <c r="Y41" s="77" t="s">
        <v>1041</v>
      </c>
      <c r="Z41" s="77" t="s">
        <v>893</v>
      </c>
      <c r="AA41" s="77" t="s">
        <v>1024</v>
      </c>
      <c r="AB41" s="77" t="s">
        <v>894</v>
      </c>
      <c r="AC41" s="77" t="s">
        <v>1042</v>
      </c>
      <c r="AD41" s="77" t="s">
        <v>940</v>
      </c>
      <c r="AE41" s="77" t="s">
        <v>1043</v>
      </c>
      <c r="AF41" s="77" t="s">
        <v>941</v>
      </c>
      <c r="AG41" s="77" t="s">
        <v>942</v>
      </c>
      <c r="AH41" s="77" t="s">
        <v>943</v>
      </c>
      <c r="AI41" s="77" t="s">
        <v>944</v>
      </c>
      <c r="AJ41" s="77" t="s">
        <v>1016</v>
      </c>
      <c r="AK41" s="77" t="s">
        <v>945</v>
      </c>
      <c r="AL41" s="77" t="s">
        <v>896</v>
      </c>
      <c r="AM41" s="77" t="s">
        <v>946</v>
      </c>
      <c r="AN41" s="77" t="s">
        <v>930</v>
      </c>
      <c r="AO41" s="77" t="s">
        <v>922</v>
      </c>
      <c r="AP41" s="77" t="s">
        <v>947</v>
      </c>
      <c r="AQ41" s="77" t="s">
        <v>1017</v>
      </c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</row>
    <row r="42" spans="1:54" ht="90" x14ac:dyDescent="0.25">
      <c r="A42" s="70" t="s">
        <v>1652</v>
      </c>
      <c r="B42" s="64" t="s">
        <v>456</v>
      </c>
      <c r="C42" s="77" t="s">
        <v>1044</v>
      </c>
      <c r="D42" s="77" t="s">
        <v>1059</v>
      </c>
      <c r="E42" s="77" t="s">
        <v>1164</v>
      </c>
      <c r="F42" s="77" t="s">
        <v>1047</v>
      </c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</row>
    <row r="43" spans="1:54" ht="112.5" x14ac:dyDescent="0.25">
      <c r="A43" s="70" t="s">
        <v>1653</v>
      </c>
      <c r="B43" s="64" t="s">
        <v>32</v>
      </c>
      <c r="C43" s="77" t="s">
        <v>932</v>
      </c>
      <c r="D43" s="77" t="s">
        <v>1052</v>
      </c>
      <c r="E43" s="77" t="s">
        <v>1053</v>
      </c>
      <c r="F43" s="77" t="s">
        <v>1029</v>
      </c>
      <c r="G43" s="77" t="s">
        <v>934</v>
      </c>
      <c r="H43" s="77" t="s">
        <v>1054</v>
      </c>
      <c r="I43" s="77" t="s">
        <v>917</v>
      </c>
      <c r="J43" s="77" t="s">
        <v>1159</v>
      </c>
      <c r="K43" s="77" t="s">
        <v>1160</v>
      </c>
      <c r="L43" s="77" t="s">
        <v>1033</v>
      </c>
      <c r="M43" s="77" t="s">
        <v>1034</v>
      </c>
      <c r="N43" s="77" t="s">
        <v>1010</v>
      </c>
      <c r="O43" s="77"/>
      <c r="P43" s="77"/>
      <c r="Q43" s="77"/>
      <c r="R43" s="77" t="s">
        <v>870</v>
      </c>
      <c r="S43" s="77" t="s">
        <v>871</v>
      </c>
      <c r="T43" s="77" t="s">
        <v>1036</v>
      </c>
      <c r="U43" s="77" t="s">
        <v>1037</v>
      </c>
      <c r="V43" s="77" t="s">
        <v>1050</v>
      </c>
      <c r="W43" s="77" t="s">
        <v>1039</v>
      </c>
      <c r="X43" s="77" t="s">
        <v>1040</v>
      </c>
      <c r="Y43" s="77" t="s">
        <v>1041</v>
      </c>
      <c r="Z43" s="77" t="s">
        <v>893</v>
      </c>
      <c r="AA43" s="77" t="s">
        <v>1024</v>
      </c>
      <c r="AB43" s="77" t="s">
        <v>894</v>
      </c>
      <c r="AC43" s="77" t="s">
        <v>1042</v>
      </c>
      <c r="AD43" s="77" t="s">
        <v>940</v>
      </c>
      <c r="AE43" s="77" t="s">
        <v>1043</v>
      </c>
      <c r="AF43" s="77" t="s">
        <v>941</v>
      </c>
      <c r="AG43" s="77" t="s">
        <v>942</v>
      </c>
      <c r="AH43" s="77" t="s">
        <v>943</v>
      </c>
      <c r="AI43" s="77" t="s">
        <v>944</v>
      </c>
      <c r="AJ43" s="77" t="s">
        <v>1016</v>
      </c>
      <c r="AK43" s="77" t="s">
        <v>945</v>
      </c>
      <c r="AL43" s="77" t="s">
        <v>896</v>
      </c>
      <c r="AM43" s="77" t="s">
        <v>946</v>
      </c>
      <c r="AN43" s="77" t="s">
        <v>930</v>
      </c>
      <c r="AO43" s="77" t="s">
        <v>922</v>
      </c>
      <c r="AP43" s="77" t="s">
        <v>947</v>
      </c>
      <c r="AQ43" s="77" t="s">
        <v>1017</v>
      </c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</row>
    <row r="44" spans="1:54" ht="112.5" x14ac:dyDescent="0.25">
      <c r="A44" s="70" t="s">
        <v>1654</v>
      </c>
      <c r="B44" s="64" t="s">
        <v>456</v>
      </c>
      <c r="C44" s="77" t="s">
        <v>1061</v>
      </c>
      <c r="D44" s="77" t="s">
        <v>1164</v>
      </c>
      <c r="E44" s="77" t="s">
        <v>1057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</row>
    <row r="45" spans="1:54" ht="112.5" x14ac:dyDescent="0.25">
      <c r="A45" s="70" t="s">
        <v>1655</v>
      </c>
      <c r="B45" s="64" t="s">
        <v>32</v>
      </c>
      <c r="C45" s="77" t="s">
        <v>932</v>
      </c>
      <c r="D45" s="77" t="s">
        <v>1028</v>
      </c>
      <c r="E45" s="77" t="s">
        <v>863</v>
      </c>
      <c r="F45" s="77" t="s">
        <v>1029</v>
      </c>
      <c r="G45" s="77" t="s">
        <v>916</v>
      </c>
      <c r="H45" s="77" t="s">
        <v>935</v>
      </c>
      <c r="I45" s="77" t="s">
        <v>866</v>
      </c>
      <c r="J45" s="77" t="s">
        <v>1030</v>
      </c>
      <c r="K45" s="77" t="s">
        <v>937</v>
      </c>
      <c r="L45" s="77" t="s">
        <v>917</v>
      </c>
      <c r="M45" s="77" t="s">
        <v>1159</v>
      </c>
      <c r="N45" s="77" t="s">
        <v>1160</v>
      </c>
      <c r="O45" s="77" t="s">
        <v>1033</v>
      </c>
      <c r="P45" s="77" t="s">
        <v>1034</v>
      </c>
      <c r="Q45" s="77" t="s">
        <v>1010</v>
      </c>
      <c r="R45" s="77" t="s">
        <v>870</v>
      </c>
      <c r="S45" s="77" t="s">
        <v>871</v>
      </c>
      <c r="T45" s="77" t="s">
        <v>1036</v>
      </c>
      <c r="U45" s="77" t="s">
        <v>1037</v>
      </c>
      <c r="V45" s="77" t="s">
        <v>1058</v>
      </c>
      <c r="W45" s="77" t="s">
        <v>1039</v>
      </c>
      <c r="X45" s="77" t="s">
        <v>1040</v>
      </c>
      <c r="Y45" s="77" t="s">
        <v>1041</v>
      </c>
      <c r="Z45" s="77" t="s">
        <v>893</v>
      </c>
      <c r="AA45" s="77" t="s">
        <v>1024</v>
      </c>
      <c r="AB45" s="77" t="s">
        <v>894</v>
      </c>
      <c r="AC45" s="77" t="s">
        <v>1042</v>
      </c>
      <c r="AD45" s="77" t="s">
        <v>940</v>
      </c>
      <c r="AE45" s="77" t="s">
        <v>1165</v>
      </c>
      <c r="AF45" s="77" t="s">
        <v>941</v>
      </c>
      <c r="AG45" s="77" t="s">
        <v>942</v>
      </c>
      <c r="AH45" s="77" t="s">
        <v>943</v>
      </c>
      <c r="AI45" s="77" t="s">
        <v>944</v>
      </c>
      <c r="AJ45" s="77" t="s">
        <v>1016</v>
      </c>
      <c r="AK45" s="77" t="s">
        <v>945</v>
      </c>
      <c r="AL45" s="77" t="s">
        <v>896</v>
      </c>
      <c r="AM45" s="77" t="s">
        <v>946</v>
      </c>
      <c r="AN45" s="77" t="s">
        <v>930</v>
      </c>
      <c r="AO45" s="77" t="s">
        <v>922</v>
      </c>
      <c r="AP45" s="77" t="s">
        <v>947</v>
      </c>
      <c r="AQ45" s="77" t="s">
        <v>1017</v>
      </c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</row>
    <row r="46" spans="1:54" ht="90" x14ac:dyDescent="0.25">
      <c r="A46" s="70" t="s">
        <v>1656</v>
      </c>
      <c r="B46" s="64" t="s">
        <v>456</v>
      </c>
      <c r="C46" s="77" t="s">
        <v>1044</v>
      </c>
      <c r="D46" s="77" t="s">
        <v>1166</v>
      </c>
      <c r="E46" s="77" t="s">
        <v>1167</v>
      </c>
      <c r="F46" s="77" t="s">
        <v>1047</v>
      </c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</row>
    <row r="47" spans="1:54" ht="112.5" x14ac:dyDescent="0.25">
      <c r="A47" s="70" t="s">
        <v>1657</v>
      </c>
      <c r="B47" s="64" t="s">
        <v>32</v>
      </c>
      <c r="C47" s="77" t="s">
        <v>932</v>
      </c>
      <c r="D47" s="77" t="s">
        <v>1052</v>
      </c>
      <c r="E47" s="77" t="s">
        <v>1053</v>
      </c>
      <c r="F47" s="77" t="s">
        <v>1029</v>
      </c>
      <c r="G47" s="77" t="s">
        <v>916</v>
      </c>
      <c r="H47" s="77" t="s">
        <v>1054</v>
      </c>
      <c r="I47" s="77" t="s">
        <v>917</v>
      </c>
      <c r="J47" s="77" t="s">
        <v>1159</v>
      </c>
      <c r="K47" s="77" t="s">
        <v>1160</v>
      </c>
      <c r="L47" s="77" t="s">
        <v>1033</v>
      </c>
      <c r="M47" s="77" t="s">
        <v>1034</v>
      </c>
      <c r="N47" s="77" t="s">
        <v>1010</v>
      </c>
      <c r="O47" s="77"/>
      <c r="P47" s="77"/>
      <c r="Q47" s="77"/>
      <c r="R47" s="77" t="s">
        <v>870</v>
      </c>
      <c r="S47" s="77" t="s">
        <v>871</v>
      </c>
      <c r="T47" s="77" t="s">
        <v>1036</v>
      </c>
      <c r="U47" s="77" t="s">
        <v>1037</v>
      </c>
      <c r="V47" s="77" t="s">
        <v>1050</v>
      </c>
      <c r="W47" s="77" t="s">
        <v>1039</v>
      </c>
      <c r="X47" s="77" t="s">
        <v>1040</v>
      </c>
      <c r="Y47" s="77" t="s">
        <v>1041</v>
      </c>
      <c r="Z47" s="77" t="s">
        <v>893</v>
      </c>
      <c r="AA47" s="77" t="s">
        <v>1024</v>
      </c>
      <c r="AB47" s="77" t="s">
        <v>894</v>
      </c>
      <c r="AC47" s="77" t="s">
        <v>1042</v>
      </c>
      <c r="AD47" s="77" t="s">
        <v>940</v>
      </c>
      <c r="AE47" s="77" t="s">
        <v>1165</v>
      </c>
      <c r="AF47" s="77" t="s">
        <v>941</v>
      </c>
      <c r="AG47" s="77" t="s">
        <v>942</v>
      </c>
      <c r="AH47" s="77" t="s">
        <v>943</v>
      </c>
      <c r="AI47" s="77" t="s">
        <v>944</v>
      </c>
      <c r="AJ47" s="77" t="s">
        <v>1016</v>
      </c>
      <c r="AK47" s="77" t="s">
        <v>945</v>
      </c>
      <c r="AL47" s="77" t="s">
        <v>896</v>
      </c>
      <c r="AM47" s="77" t="s">
        <v>946</v>
      </c>
      <c r="AN47" s="77" t="s">
        <v>930</v>
      </c>
      <c r="AO47" s="77" t="s">
        <v>922</v>
      </c>
      <c r="AP47" s="77" t="s">
        <v>947</v>
      </c>
      <c r="AQ47" s="77" t="s">
        <v>1017</v>
      </c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</row>
    <row r="48" spans="1:54" ht="112.5" x14ac:dyDescent="0.25">
      <c r="A48" s="70" t="s">
        <v>1658</v>
      </c>
      <c r="B48" s="64" t="s">
        <v>456</v>
      </c>
      <c r="C48" s="77" t="s">
        <v>1168</v>
      </c>
      <c r="D48" s="77" t="s">
        <v>1167</v>
      </c>
      <c r="E48" s="77" t="s">
        <v>1057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</row>
    <row r="49" spans="1:54" ht="112.5" x14ac:dyDescent="0.25">
      <c r="A49" s="70" t="s">
        <v>1659</v>
      </c>
      <c r="B49" s="64" t="s">
        <v>32</v>
      </c>
      <c r="C49" s="77" t="s">
        <v>932</v>
      </c>
      <c r="D49" s="77" t="s">
        <v>1028</v>
      </c>
      <c r="E49" s="77" t="s">
        <v>863</v>
      </c>
      <c r="F49" s="77" t="s">
        <v>1029</v>
      </c>
      <c r="G49" s="77" t="s">
        <v>934</v>
      </c>
      <c r="H49" s="77" t="s">
        <v>935</v>
      </c>
      <c r="I49" s="77" t="s">
        <v>866</v>
      </c>
      <c r="J49" s="77" t="s">
        <v>1030</v>
      </c>
      <c r="K49" s="77" t="s">
        <v>937</v>
      </c>
      <c r="L49" s="77" t="s">
        <v>917</v>
      </c>
      <c r="M49" s="77" t="s">
        <v>1159</v>
      </c>
      <c r="N49" s="77" t="s">
        <v>1160</v>
      </c>
      <c r="O49" s="77" t="s">
        <v>1033</v>
      </c>
      <c r="P49" s="77" t="s">
        <v>1034</v>
      </c>
      <c r="Q49" s="77" t="s">
        <v>1010</v>
      </c>
      <c r="R49" s="77" t="s">
        <v>870</v>
      </c>
      <c r="S49" s="77" t="s">
        <v>871</v>
      </c>
      <c r="T49" s="77" t="s">
        <v>1036</v>
      </c>
      <c r="U49" s="77" t="s">
        <v>1037</v>
      </c>
      <c r="V49" s="77" t="s">
        <v>1038</v>
      </c>
      <c r="W49" s="77" t="s">
        <v>1039</v>
      </c>
      <c r="X49" s="77" t="s">
        <v>1040</v>
      </c>
      <c r="Y49" s="77" t="s">
        <v>1041</v>
      </c>
      <c r="Z49" s="77" t="s">
        <v>893</v>
      </c>
      <c r="AA49" s="77" t="s">
        <v>1024</v>
      </c>
      <c r="AB49" s="77" t="s">
        <v>894</v>
      </c>
      <c r="AC49" s="77" t="s">
        <v>1042</v>
      </c>
      <c r="AD49" s="77" t="s">
        <v>940</v>
      </c>
      <c r="AE49" s="77" t="s">
        <v>1043</v>
      </c>
      <c r="AF49" s="77" t="s">
        <v>941</v>
      </c>
      <c r="AG49" s="77" t="s">
        <v>942</v>
      </c>
      <c r="AH49" s="77" t="s">
        <v>943</v>
      </c>
      <c r="AI49" s="77" t="s">
        <v>944</v>
      </c>
      <c r="AJ49" s="77" t="s">
        <v>1016</v>
      </c>
      <c r="AK49" s="77" t="s">
        <v>945</v>
      </c>
      <c r="AL49" s="77" t="s">
        <v>896</v>
      </c>
      <c r="AM49" s="77" t="s">
        <v>946</v>
      </c>
      <c r="AN49" s="77" t="s">
        <v>930</v>
      </c>
      <c r="AO49" s="77" t="s">
        <v>922</v>
      </c>
      <c r="AP49" s="77" t="s">
        <v>947</v>
      </c>
      <c r="AQ49" s="77" t="s">
        <v>1017</v>
      </c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</row>
    <row r="50" spans="1:54" ht="90" x14ac:dyDescent="0.25">
      <c r="A50" s="70" t="s">
        <v>1660</v>
      </c>
      <c r="B50" s="64" t="s">
        <v>456</v>
      </c>
      <c r="C50" s="77" t="s">
        <v>1044</v>
      </c>
      <c r="D50" s="77" t="s">
        <v>1045</v>
      </c>
      <c r="E50" s="77" t="s">
        <v>1169</v>
      </c>
      <c r="F50" s="77" t="s">
        <v>1047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</row>
    <row r="51" spans="1:54" ht="112.5" x14ac:dyDescent="0.25">
      <c r="A51" s="70" t="s">
        <v>1661</v>
      </c>
      <c r="B51" s="64" t="s">
        <v>32</v>
      </c>
      <c r="C51" s="77" t="s">
        <v>932</v>
      </c>
      <c r="D51" s="77" t="s">
        <v>1028</v>
      </c>
      <c r="E51" s="77" t="s">
        <v>863</v>
      </c>
      <c r="F51" s="77" t="s">
        <v>1029</v>
      </c>
      <c r="G51" s="77" t="s">
        <v>934</v>
      </c>
      <c r="H51" s="77" t="s">
        <v>935</v>
      </c>
      <c r="I51" s="77" t="s">
        <v>866</v>
      </c>
      <c r="J51" s="77" t="s">
        <v>1030</v>
      </c>
      <c r="K51" s="77" t="s">
        <v>937</v>
      </c>
      <c r="L51" s="77" t="s">
        <v>917</v>
      </c>
      <c r="M51" s="77" t="s">
        <v>1159</v>
      </c>
      <c r="N51" s="77" t="s">
        <v>1160</v>
      </c>
      <c r="O51" s="77" t="s">
        <v>1033</v>
      </c>
      <c r="P51" s="77" t="s">
        <v>1034</v>
      </c>
      <c r="Q51" s="77" t="s">
        <v>1010</v>
      </c>
      <c r="R51" s="77" t="s">
        <v>870</v>
      </c>
      <c r="S51" s="77" t="s">
        <v>871</v>
      </c>
      <c r="T51" s="77" t="s">
        <v>1036</v>
      </c>
      <c r="U51" s="77" t="s">
        <v>1037</v>
      </c>
      <c r="V51" s="77" t="s">
        <v>1050</v>
      </c>
      <c r="W51" s="77" t="s">
        <v>1039</v>
      </c>
      <c r="X51" s="77" t="s">
        <v>1040</v>
      </c>
      <c r="Y51" s="77" t="s">
        <v>1041</v>
      </c>
      <c r="Z51" s="77" t="s">
        <v>893</v>
      </c>
      <c r="AA51" s="77" t="s">
        <v>1024</v>
      </c>
      <c r="AB51" s="77" t="s">
        <v>894</v>
      </c>
      <c r="AC51" s="77" t="s">
        <v>1042</v>
      </c>
      <c r="AD51" s="77" t="s">
        <v>940</v>
      </c>
      <c r="AE51" s="77" t="s">
        <v>1043</v>
      </c>
      <c r="AF51" s="77" t="s">
        <v>941</v>
      </c>
      <c r="AG51" s="77" t="s">
        <v>942</v>
      </c>
      <c r="AH51" s="77" t="s">
        <v>943</v>
      </c>
      <c r="AI51" s="77" t="s">
        <v>944</v>
      </c>
      <c r="AJ51" s="77" t="s">
        <v>1016</v>
      </c>
      <c r="AK51" s="77" t="s">
        <v>945</v>
      </c>
      <c r="AL51" s="77" t="s">
        <v>896</v>
      </c>
      <c r="AM51" s="77" t="s">
        <v>946</v>
      </c>
      <c r="AN51" s="77" t="s">
        <v>930</v>
      </c>
      <c r="AO51" s="77" t="s">
        <v>922</v>
      </c>
      <c r="AP51" s="77" t="s">
        <v>947</v>
      </c>
      <c r="AQ51" s="77" t="s">
        <v>1017</v>
      </c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</row>
    <row r="52" spans="1:54" ht="90" x14ac:dyDescent="0.25">
      <c r="A52" s="70" t="s">
        <v>1662</v>
      </c>
      <c r="B52" s="64" t="s">
        <v>456</v>
      </c>
      <c r="C52" s="77" t="s">
        <v>1044</v>
      </c>
      <c r="D52" s="77" t="s">
        <v>1051</v>
      </c>
      <c r="E52" s="77" t="s">
        <v>1162</v>
      </c>
      <c r="F52" s="77" t="s">
        <v>1047</v>
      </c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</row>
    <row r="53" spans="1:54" ht="112.5" x14ac:dyDescent="0.25">
      <c r="A53" s="70" t="s">
        <v>1663</v>
      </c>
      <c r="B53" s="64" t="s">
        <v>32</v>
      </c>
      <c r="C53" s="77" t="s">
        <v>932</v>
      </c>
      <c r="D53" s="77" t="s">
        <v>1052</v>
      </c>
      <c r="E53" s="77" t="s">
        <v>1053</v>
      </c>
      <c r="F53" s="77" t="s">
        <v>1029</v>
      </c>
      <c r="G53" s="77" t="s">
        <v>934</v>
      </c>
      <c r="H53" s="77" t="s">
        <v>1054</v>
      </c>
      <c r="I53" s="77" t="s">
        <v>917</v>
      </c>
      <c r="J53" s="77" t="s">
        <v>1159</v>
      </c>
      <c r="K53" s="77" t="s">
        <v>1160</v>
      </c>
      <c r="L53" s="77" t="s">
        <v>1033</v>
      </c>
      <c r="M53" s="77" t="s">
        <v>1034</v>
      </c>
      <c r="N53" s="77" t="s">
        <v>1010</v>
      </c>
      <c r="O53" s="77"/>
      <c r="P53" s="77"/>
      <c r="Q53" s="77"/>
      <c r="R53" s="77" t="s">
        <v>870</v>
      </c>
      <c r="S53" s="77" t="s">
        <v>871</v>
      </c>
      <c r="T53" s="77" t="s">
        <v>1036</v>
      </c>
      <c r="U53" s="77" t="s">
        <v>1037</v>
      </c>
      <c r="V53" s="77" t="s">
        <v>1050</v>
      </c>
      <c r="W53" s="77" t="s">
        <v>1039</v>
      </c>
      <c r="X53" s="77" t="s">
        <v>1040</v>
      </c>
      <c r="Y53" s="77" t="s">
        <v>1041</v>
      </c>
      <c r="Z53" s="77" t="s">
        <v>893</v>
      </c>
      <c r="AA53" s="77" t="s">
        <v>1024</v>
      </c>
      <c r="AB53" s="77" t="s">
        <v>894</v>
      </c>
      <c r="AC53" s="77" t="s">
        <v>1042</v>
      </c>
      <c r="AD53" s="77" t="s">
        <v>940</v>
      </c>
      <c r="AE53" s="77" t="s">
        <v>1043</v>
      </c>
      <c r="AF53" s="77" t="s">
        <v>941</v>
      </c>
      <c r="AG53" s="77" t="s">
        <v>942</v>
      </c>
      <c r="AH53" s="77" t="s">
        <v>943</v>
      </c>
      <c r="AI53" s="77" t="s">
        <v>944</v>
      </c>
      <c r="AJ53" s="77" t="s">
        <v>1016</v>
      </c>
      <c r="AK53" s="77" t="s">
        <v>945</v>
      </c>
      <c r="AL53" s="77" t="s">
        <v>896</v>
      </c>
      <c r="AM53" s="77" t="s">
        <v>946</v>
      </c>
      <c r="AN53" s="77" t="s">
        <v>930</v>
      </c>
      <c r="AO53" s="77" t="s">
        <v>922</v>
      </c>
      <c r="AP53" s="77" t="s">
        <v>947</v>
      </c>
      <c r="AQ53" s="77" t="s">
        <v>1017</v>
      </c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</row>
    <row r="54" spans="1:54" ht="112.5" x14ac:dyDescent="0.25">
      <c r="A54" s="70" t="s">
        <v>1664</v>
      </c>
      <c r="B54" s="64" t="s">
        <v>456</v>
      </c>
      <c r="C54" s="77" t="s">
        <v>1063</v>
      </c>
      <c r="D54" s="77" t="s">
        <v>1162</v>
      </c>
      <c r="E54" s="77" t="s">
        <v>1057</v>
      </c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</row>
    <row r="55" spans="1:54" ht="112.5" x14ac:dyDescent="0.25">
      <c r="A55" s="70" t="s">
        <v>1665</v>
      </c>
      <c r="B55" s="64" t="s">
        <v>32</v>
      </c>
      <c r="C55" s="77" t="s">
        <v>932</v>
      </c>
      <c r="D55" s="77" t="s">
        <v>1028</v>
      </c>
      <c r="E55" s="77" t="s">
        <v>863</v>
      </c>
      <c r="F55" s="77" t="s">
        <v>1029</v>
      </c>
      <c r="G55" s="77" t="s">
        <v>934</v>
      </c>
      <c r="H55" s="77" t="s">
        <v>935</v>
      </c>
      <c r="I55" s="77" t="s">
        <v>866</v>
      </c>
      <c r="J55" s="77" t="s">
        <v>1030</v>
      </c>
      <c r="K55" s="77" t="s">
        <v>937</v>
      </c>
      <c r="L55" s="77" t="s">
        <v>917</v>
      </c>
      <c r="M55" s="77" t="s">
        <v>1159</v>
      </c>
      <c r="N55" s="77" t="s">
        <v>1160</v>
      </c>
      <c r="O55" s="77" t="s">
        <v>1033</v>
      </c>
      <c r="P55" s="77" t="s">
        <v>1034</v>
      </c>
      <c r="Q55" s="77" t="s">
        <v>1010</v>
      </c>
      <c r="R55" s="77" t="s">
        <v>870</v>
      </c>
      <c r="S55" s="77" t="s">
        <v>871</v>
      </c>
      <c r="T55" s="77" t="s">
        <v>1036</v>
      </c>
      <c r="U55" s="77" t="s">
        <v>1037</v>
      </c>
      <c r="V55" s="77" t="s">
        <v>1058</v>
      </c>
      <c r="W55" s="77" t="s">
        <v>1039</v>
      </c>
      <c r="X55" s="77" t="s">
        <v>1040</v>
      </c>
      <c r="Y55" s="77" t="s">
        <v>1041</v>
      </c>
      <c r="Z55" s="77" t="s">
        <v>893</v>
      </c>
      <c r="AA55" s="77" t="s">
        <v>1024</v>
      </c>
      <c r="AB55" s="77" t="s">
        <v>894</v>
      </c>
      <c r="AC55" s="77" t="s">
        <v>1042</v>
      </c>
      <c r="AD55" s="77" t="s">
        <v>940</v>
      </c>
      <c r="AE55" s="77" t="s">
        <v>1043</v>
      </c>
      <c r="AF55" s="77" t="s">
        <v>941</v>
      </c>
      <c r="AG55" s="77" t="s">
        <v>942</v>
      </c>
      <c r="AH55" s="77" t="s">
        <v>943</v>
      </c>
      <c r="AI55" s="77" t="s">
        <v>944</v>
      </c>
      <c r="AJ55" s="77" t="s">
        <v>1016</v>
      </c>
      <c r="AK55" s="77" t="s">
        <v>945</v>
      </c>
      <c r="AL55" s="77" t="s">
        <v>896</v>
      </c>
      <c r="AM55" s="77" t="s">
        <v>946</v>
      </c>
      <c r="AN55" s="77" t="s">
        <v>930</v>
      </c>
      <c r="AO55" s="77" t="s">
        <v>922</v>
      </c>
      <c r="AP55" s="77" t="s">
        <v>947</v>
      </c>
      <c r="AQ55" s="77" t="s">
        <v>1017</v>
      </c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</row>
    <row r="56" spans="1:54" ht="90" x14ac:dyDescent="0.25">
      <c r="A56" s="70" t="s">
        <v>1666</v>
      </c>
      <c r="B56" s="64" t="s">
        <v>456</v>
      </c>
      <c r="C56" s="77" t="s">
        <v>1044</v>
      </c>
      <c r="D56" s="77" t="s">
        <v>1059</v>
      </c>
      <c r="E56" s="77" t="s">
        <v>1164</v>
      </c>
      <c r="F56" s="77" t="s">
        <v>1047</v>
      </c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</row>
    <row r="57" spans="1:54" ht="112.5" x14ac:dyDescent="0.25">
      <c r="A57" s="70" t="s">
        <v>1667</v>
      </c>
      <c r="B57" s="64" t="s">
        <v>32</v>
      </c>
      <c r="C57" s="77" t="s">
        <v>932</v>
      </c>
      <c r="D57" s="77" t="s">
        <v>1052</v>
      </c>
      <c r="E57" s="77" t="s">
        <v>1053</v>
      </c>
      <c r="F57" s="77" t="s">
        <v>1029</v>
      </c>
      <c r="G57" s="77" t="s">
        <v>934</v>
      </c>
      <c r="H57" s="77" t="s">
        <v>1054</v>
      </c>
      <c r="I57" s="77" t="s">
        <v>917</v>
      </c>
      <c r="J57" s="77" t="s">
        <v>1159</v>
      </c>
      <c r="K57" s="77" t="s">
        <v>1160</v>
      </c>
      <c r="L57" s="77" t="s">
        <v>1033</v>
      </c>
      <c r="M57" s="77" t="s">
        <v>1034</v>
      </c>
      <c r="N57" s="77" t="s">
        <v>1010</v>
      </c>
      <c r="O57" s="77"/>
      <c r="P57" s="77"/>
      <c r="Q57" s="77"/>
      <c r="R57" s="77" t="s">
        <v>870</v>
      </c>
      <c r="S57" s="77" t="s">
        <v>871</v>
      </c>
      <c r="T57" s="77" t="s">
        <v>1036</v>
      </c>
      <c r="U57" s="77" t="s">
        <v>1037</v>
      </c>
      <c r="V57" s="77" t="s">
        <v>1050</v>
      </c>
      <c r="W57" s="77" t="s">
        <v>1039</v>
      </c>
      <c r="X57" s="77" t="s">
        <v>1040</v>
      </c>
      <c r="Y57" s="77" t="s">
        <v>1041</v>
      </c>
      <c r="Z57" s="77" t="s">
        <v>893</v>
      </c>
      <c r="AA57" s="77" t="s">
        <v>1024</v>
      </c>
      <c r="AB57" s="77" t="s">
        <v>894</v>
      </c>
      <c r="AC57" s="77" t="s">
        <v>1042</v>
      </c>
      <c r="AD57" s="77" t="s">
        <v>940</v>
      </c>
      <c r="AE57" s="77" t="s">
        <v>1043</v>
      </c>
      <c r="AF57" s="77" t="s">
        <v>941</v>
      </c>
      <c r="AG57" s="77" t="s">
        <v>942</v>
      </c>
      <c r="AH57" s="77" t="s">
        <v>943</v>
      </c>
      <c r="AI57" s="77" t="s">
        <v>944</v>
      </c>
      <c r="AJ57" s="77" t="s">
        <v>1016</v>
      </c>
      <c r="AK57" s="77" t="s">
        <v>945</v>
      </c>
      <c r="AL57" s="77" t="s">
        <v>896</v>
      </c>
      <c r="AM57" s="77" t="s">
        <v>946</v>
      </c>
      <c r="AN57" s="77" t="s">
        <v>930</v>
      </c>
      <c r="AO57" s="77" t="s">
        <v>922</v>
      </c>
      <c r="AP57" s="77" t="s">
        <v>947</v>
      </c>
      <c r="AQ57" s="77" t="s">
        <v>1017</v>
      </c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</row>
    <row r="58" spans="1:54" ht="112.5" x14ac:dyDescent="0.25">
      <c r="A58" s="70" t="s">
        <v>1668</v>
      </c>
      <c r="B58" s="64" t="s">
        <v>456</v>
      </c>
      <c r="C58" s="77" t="s">
        <v>1061</v>
      </c>
      <c r="D58" s="77" t="s">
        <v>1164</v>
      </c>
      <c r="E58" s="77" t="s">
        <v>1057</v>
      </c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</row>
    <row r="59" spans="1:54" ht="112.5" x14ac:dyDescent="0.25">
      <c r="A59" s="70" t="s">
        <v>1669</v>
      </c>
      <c r="B59" s="64" t="s">
        <v>32</v>
      </c>
      <c r="C59" s="77" t="s">
        <v>932</v>
      </c>
      <c r="D59" s="77" t="s">
        <v>1028</v>
      </c>
      <c r="E59" s="77" t="s">
        <v>863</v>
      </c>
      <c r="F59" s="77" t="s">
        <v>1029</v>
      </c>
      <c r="G59" s="77" t="s">
        <v>916</v>
      </c>
      <c r="H59" s="77" t="s">
        <v>935</v>
      </c>
      <c r="I59" s="77" t="s">
        <v>866</v>
      </c>
      <c r="J59" s="77" t="s">
        <v>1030</v>
      </c>
      <c r="K59" s="77" t="s">
        <v>937</v>
      </c>
      <c r="L59" s="77" t="s">
        <v>917</v>
      </c>
      <c r="M59" s="77" t="s">
        <v>1159</v>
      </c>
      <c r="N59" s="77" t="s">
        <v>1160</v>
      </c>
      <c r="O59" s="77" t="s">
        <v>1033</v>
      </c>
      <c r="P59" s="77" t="s">
        <v>1034</v>
      </c>
      <c r="Q59" s="77" t="s">
        <v>1010</v>
      </c>
      <c r="R59" s="77" t="s">
        <v>870</v>
      </c>
      <c r="S59" s="77" t="s">
        <v>871</v>
      </c>
      <c r="T59" s="77" t="s">
        <v>1036</v>
      </c>
      <c r="U59" s="77" t="s">
        <v>1037</v>
      </c>
      <c r="V59" s="77" t="s">
        <v>1058</v>
      </c>
      <c r="W59" s="77" t="s">
        <v>1039</v>
      </c>
      <c r="X59" s="77" t="s">
        <v>1040</v>
      </c>
      <c r="Y59" s="77" t="s">
        <v>1041</v>
      </c>
      <c r="Z59" s="77" t="s">
        <v>893</v>
      </c>
      <c r="AA59" s="77" t="s">
        <v>1024</v>
      </c>
      <c r="AB59" s="77" t="s">
        <v>894</v>
      </c>
      <c r="AC59" s="77" t="s">
        <v>1042</v>
      </c>
      <c r="AD59" s="77" t="s">
        <v>940</v>
      </c>
      <c r="AE59" s="77" t="s">
        <v>1165</v>
      </c>
      <c r="AF59" s="77" t="s">
        <v>941</v>
      </c>
      <c r="AG59" s="77" t="s">
        <v>942</v>
      </c>
      <c r="AH59" s="77" t="s">
        <v>943</v>
      </c>
      <c r="AI59" s="77" t="s">
        <v>944</v>
      </c>
      <c r="AJ59" s="77" t="s">
        <v>1016</v>
      </c>
      <c r="AK59" s="77" t="s">
        <v>945</v>
      </c>
      <c r="AL59" s="77" t="s">
        <v>896</v>
      </c>
      <c r="AM59" s="77" t="s">
        <v>946</v>
      </c>
      <c r="AN59" s="77" t="s">
        <v>930</v>
      </c>
      <c r="AO59" s="77" t="s">
        <v>922</v>
      </c>
      <c r="AP59" s="77" t="s">
        <v>947</v>
      </c>
      <c r="AQ59" s="77" t="s">
        <v>1017</v>
      </c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</row>
    <row r="60" spans="1:54" ht="90" x14ac:dyDescent="0.25">
      <c r="A60" s="70" t="s">
        <v>1670</v>
      </c>
      <c r="B60" s="64" t="s">
        <v>456</v>
      </c>
      <c r="C60" s="77" t="s">
        <v>1044</v>
      </c>
      <c r="D60" s="77" t="s">
        <v>1166</v>
      </c>
      <c r="E60" s="77" t="s">
        <v>1167</v>
      </c>
      <c r="F60" s="77" t="s">
        <v>1047</v>
      </c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</row>
    <row r="61" spans="1:54" ht="112.5" x14ac:dyDescent="0.25">
      <c r="A61" s="70" t="s">
        <v>1671</v>
      </c>
      <c r="B61" s="64" t="s">
        <v>32</v>
      </c>
      <c r="C61" s="77" t="s">
        <v>932</v>
      </c>
      <c r="D61" s="77" t="s">
        <v>1052</v>
      </c>
      <c r="E61" s="77" t="s">
        <v>1053</v>
      </c>
      <c r="F61" s="77" t="s">
        <v>1029</v>
      </c>
      <c r="G61" s="77" t="s">
        <v>916</v>
      </c>
      <c r="H61" s="77" t="s">
        <v>1054</v>
      </c>
      <c r="I61" s="77" t="s">
        <v>917</v>
      </c>
      <c r="J61" s="77" t="s">
        <v>1159</v>
      </c>
      <c r="K61" s="77" t="s">
        <v>1160</v>
      </c>
      <c r="L61" s="77" t="s">
        <v>1033</v>
      </c>
      <c r="M61" s="77" t="s">
        <v>1034</v>
      </c>
      <c r="N61" s="77" t="s">
        <v>1010</v>
      </c>
      <c r="O61" s="77"/>
      <c r="P61" s="77"/>
      <c r="Q61" s="77"/>
      <c r="R61" s="77" t="s">
        <v>870</v>
      </c>
      <c r="S61" s="77" t="s">
        <v>871</v>
      </c>
      <c r="T61" s="77" t="s">
        <v>1036</v>
      </c>
      <c r="U61" s="77" t="s">
        <v>1037</v>
      </c>
      <c r="V61" s="77" t="s">
        <v>1050</v>
      </c>
      <c r="W61" s="77" t="s">
        <v>1039</v>
      </c>
      <c r="X61" s="77" t="s">
        <v>1040</v>
      </c>
      <c r="Y61" s="77" t="s">
        <v>1041</v>
      </c>
      <c r="Z61" s="77" t="s">
        <v>893</v>
      </c>
      <c r="AA61" s="77" t="s">
        <v>1024</v>
      </c>
      <c r="AB61" s="77" t="s">
        <v>894</v>
      </c>
      <c r="AC61" s="77" t="s">
        <v>1042</v>
      </c>
      <c r="AD61" s="77" t="s">
        <v>940</v>
      </c>
      <c r="AE61" s="77" t="s">
        <v>1165</v>
      </c>
      <c r="AF61" s="77" t="s">
        <v>941</v>
      </c>
      <c r="AG61" s="77" t="s">
        <v>942</v>
      </c>
      <c r="AH61" s="77" t="s">
        <v>943</v>
      </c>
      <c r="AI61" s="77" t="s">
        <v>944</v>
      </c>
      <c r="AJ61" s="77" t="s">
        <v>1016</v>
      </c>
      <c r="AK61" s="77" t="s">
        <v>945</v>
      </c>
      <c r="AL61" s="77" t="s">
        <v>896</v>
      </c>
      <c r="AM61" s="77" t="s">
        <v>946</v>
      </c>
      <c r="AN61" s="77" t="s">
        <v>930</v>
      </c>
      <c r="AO61" s="77" t="s">
        <v>922</v>
      </c>
      <c r="AP61" s="77" t="s">
        <v>947</v>
      </c>
      <c r="AQ61" s="77" t="s">
        <v>1017</v>
      </c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</row>
    <row r="62" spans="1:54" ht="112.5" x14ac:dyDescent="0.25">
      <c r="A62" s="70" t="s">
        <v>1672</v>
      </c>
      <c r="B62" s="64" t="s">
        <v>456</v>
      </c>
      <c r="C62" s="77" t="s">
        <v>1168</v>
      </c>
      <c r="D62" s="77" t="s">
        <v>1167</v>
      </c>
      <c r="E62" s="77" t="s">
        <v>1057</v>
      </c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</row>
    <row r="63" spans="1:54" x14ac:dyDescent="0.25">
      <c r="A63" s="70" t="s">
        <v>1673</v>
      </c>
      <c r="B63" s="64" t="s">
        <v>32</v>
      </c>
      <c r="C63" s="77" t="s">
        <v>2636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</row>
    <row r="64" spans="1:54" ht="22.5" x14ac:dyDescent="0.25">
      <c r="A64" s="70" t="s">
        <v>1674</v>
      </c>
      <c r="B64" s="64" t="s">
        <v>456</v>
      </c>
      <c r="C64" s="77" t="s">
        <v>2633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</row>
    <row r="65" spans="1:54" ht="45" x14ac:dyDescent="0.25">
      <c r="A65" s="70" t="s">
        <v>1675</v>
      </c>
      <c r="B65" s="107" t="s">
        <v>32</v>
      </c>
      <c r="C65" s="77" t="s">
        <v>932</v>
      </c>
      <c r="D65" s="77" t="s">
        <v>1170</v>
      </c>
      <c r="E65" s="77" t="s">
        <v>863</v>
      </c>
      <c r="F65" s="77" t="s">
        <v>1029</v>
      </c>
      <c r="G65" s="77" t="s">
        <v>1171</v>
      </c>
      <c r="H65" s="77" t="s">
        <v>935</v>
      </c>
      <c r="I65" s="77" t="s">
        <v>936</v>
      </c>
      <c r="J65" s="77" t="s">
        <v>917</v>
      </c>
      <c r="K65" s="77" t="s">
        <v>870</v>
      </c>
      <c r="L65" s="77" t="s">
        <v>871</v>
      </c>
      <c r="M65" s="77" t="s">
        <v>1172</v>
      </c>
      <c r="N65" s="77" t="s">
        <v>1173</v>
      </c>
      <c r="O65" s="77" t="s">
        <v>1174</v>
      </c>
      <c r="P65" s="77" t="s">
        <v>893</v>
      </c>
      <c r="Q65" s="77" t="s">
        <v>1175</v>
      </c>
      <c r="R65" s="77" t="s">
        <v>894</v>
      </c>
      <c r="S65" s="77" t="s">
        <v>1176</v>
      </c>
      <c r="T65" s="77" t="s">
        <v>1177</v>
      </c>
      <c r="U65" s="77" t="s">
        <v>1178</v>
      </c>
      <c r="V65" s="77" t="s">
        <v>1179</v>
      </c>
      <c r="W65" s="77" t="s">
        <v>941</v>
      </c>
      <c r="X65" s="77" t="s">
        <v>1180</v>
      </c>
      <c r="Y65" s="77" t="s">
        <v>1181</v>
      </c>
      <c r="Z65" s="77" t="s">
        <v>1182</v>
      </c>
      <c r="AA65" s="77" t="s">
        <v>1183</v>
      </c>
      <c r="AB65" s="77" t="s">
        <v>1184</v>
      </c>
      <c r="AC65" s="77" t="s">
        <v>896</v>
      </c>
      <c r="AD65" s="77" t="s">
        <v>946</v>
      </c>
      <c r="AE65" s="77" t="s">
        <v>930</v>
      </c>
      <c r="AF65" s="77" t="s">
        <v>922</v>
      </c>
      <c r="AG65" s="77" t="s">
        <v>947</v>
      </c>
      <c r="AH65" s="77" t="s">
        <v>1185</v>
      </c>
      <c r="AI65" s="77" t="s">
        <v>1017</v>
      </c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</row>
    <row r="66" spans="1:54" ht="33.75" x14ac:dyDescent="0.25">
      <c r="A66" s="70" t="s">
        <v>1676</v>
      </c>
      <c r="B66" s="107" t="s">
        <v>456</v>
      </c>
      <c r="C66" s="77" t="s">
        <v>1186</v>
      </c>
      <c r="D66" s="77" t="s">
        <v>1187</v>
      </c>
      <c r="E66" s="77" t="s">
        <v>1188</v>
      </c>
      <c r="F66" s="77" t="s">
        <v>1189</v>
      </c>
      <c r="G66" s="77" t="s">
        <v>1190</v>
      </c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</row>
    <row r="67" spans="1:54" ht="45" x14ac:dyDescent="0.25">
      <c r="A67" s="70" t="s">
        <v>1677</v>
      </c>
      <c r="B67" s="107" t="s">
        <v>32</v>
      </c>
      <c r="C67" s="77" t="s">
        <v>932</v>
      </c>
      <c r="D67" s="77" t="s">
        <v>1170</v>
      </c>
      <c r="E67" s="77" t="s">
        <v>863</v>
      </c>
      <c r="F67" s="77" t="s">
        <v>1029</v>
      </c>
      <c r="G67" s="77" t="s">
        <v>1171</v>
      </c>
      <c r="H67" s="77" t="s">
        <v>935</v>
      </c>
      <c r="I67" s="77" t="s">
        <v>936</v>
      </c>
      <c r="J67" s="77" t="s">
        <v>917</v>
      </c>
      <c r="K67" s="77" t="s">
        <v>870</v>
      </c>
      <c r="L67" s="77" t="s">
        <v>871</v>
      </c>
      <c r="M67" s="77" t="s">
        <v>1172</v>
      </c>
      <c r="N67" s="77" t="s">
        <v>1173</v>
      </c>
      <c r="O67" s="77" t="s">
        <v>1191</v>
      </c>
      <c r="P67" s="77" t="s">
        <v>1192</v>
      </c>
      <c r="Q67" s="77" t="s">
        <v>893</v>
      </c>
      <c r="R67" s="77" t="s">
        <v>894</v>
      </c>
      <c r="S67" s="77" t="s">
        <v>1176</v>
      </c>
      <c r="T67" s="77" t="s">
        <v>1177</v>
      </c>
      <c r="U67" s="77" t="s">
        <v>1193</v>
      </c>
      <c r="V67" s="77" t="s">
        <v>1194</v>
      </c>
      <c r="W67" s="77" t="s">
        <v>1178</v>
      </c>
      <c r="X67" s="77" t="s">
        <v>1179</v>
      </c>
      <c r="Y67" s="77" t="s">
        <v>941</v>
      </c>
      <c r="Z67" s="77" t="s">
        <v>1180</v>
      </c>
      <c r="AA67" s="77" t="s">
        <v>1181</v>
      </c>
      <c r="AB67" s="77" t="s">
        <v>1182</v>
      </c>
      <c r="AC67" s="77" t="s">
        <v>1183</v>
      </c>
      <c r="AD67" s="77" t="s">
        <v>1184</v>
      </c>
      <c r="AE67" s="77" t="s">
        <v>896</v>
      </c>
      <c r="AF67" s="77" t="s">
        <v>946</v>
      </c>
      <c r="AG67" s="77" t="s">
        <v>930</v>
      </c>
      <c r="AH67" s="77" t="s">
        <v>922</v>
      </c>
      <c r="AI67" s="77" t="s">
        <v>947</v>
      </c>
      <c r="AJ67" s="77" t="s">
        <v>1185</v>
      </c>
      <c r="AK67" s="77" t="s">
        <v>1017</v>
      </c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</row>
    <row r="68" spans="1:54" ht="33.75" x14ac:dyDescent="0.25">
      <c r="A68" s="70" t="s">
        <v>1678</v>
      </c>
      <c r="B68" s="107" t="s">
        <v>456</v>
      </c>
      <c r="C68" s="77" t="s">
        <v>1186</v>
      </c>
      <c r="D68" s="77" t="s">
        <v>1195</v>
      </c>
      <c r="E68" s="77" t="s">
        <v>1196</v>
      </c>
      <c r="F68" s="77" t="s">
        <v>1197</v>
      </c>
      <c r="G68" s="77" t="s">
        <v>1189</v>
      </c>
      <c r="H68" s="77" t="s">
        <v>1190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</row>
    <row r="69" spans="1:54" ht="45" x14ac:dyDescent="0.25">
      <c r="A69" s="70" t="s">
        <v>1679</v>
      </c>
      <c r="B69" s="107" t="s">
        <v>32</v>
      </c>
      <c r="C69" s="77" t="s">
        <v>932</v>
      </c>
      <c r="D69" s="77" t="s">
        <v>1170</v>
      </c>
      <c r="E69" s="77" t="s">
        <v>863</v>
      </c>
      <c r="F69" s="77" t="s">
        <v>1029</v>
      </c>
      <c r="G69" s="77" t="s">
        <v>1171</v>
      </c>
      <c r="H69" s="77" t="s">
        <v>935</v>
      </c>
      <c r="I69" s="77" t="s">
        <v>936</v>
      </c>
      <c r="J69" s="77" t="s">
        <v>917</v>
      </c>
      <c r="K69" s="77" t="s">
        <v>870</v>
      </c>
      <c r="L69" s="77" t="s">
        <v>871</v>
      </c>
      <c r="M69" s="77" t="s">
        <v>1172</v>
      </c>
      <c r="N69" s="77" t="s">
        <v>1173</v>
      </c>
      <c r="O69" s="77" t="s">
        <v>1174</v>
      </c>
      <c r="P69" s="77" t="s">
        <v>893</v>
      </c>
      <c r="Q69" s="77" t="s">
        <v>1175</v>
      </c>
      <c r="R69" s="77" t="s">
        <v>894</v>
      </c>
      <c r="S69" s="77" t="s">
        <v>1176</v>
      </c>
      <c r="T69" s="77" t="s">
        <v>1177</v>
      </c>
      <c r="U69" s="77" t="s">
        <v>1178</v>
      </c>
      <c r="V69" s="77" t="s">
        <v>1179</v>
      </c>
      <c r="W69" s="77" t="s">
        <v>941</v>
      </c>
      <c r="X69" s="77" t="s">
        <v>1180</v>
      </c>
      <c r="Y69" s="77" t="s">
        <v>1181</v>
      </c>
      <c r="Z69" s="77" t="s">
        <v>1182</v>
      </c>
      <c r="AA69" s="77" t="s">
        <v>1183</v>
      </c>
      <c r="AB69" s="77" t="s">
        <v>1184</v>
      </c>
      <c r="AC69" s="77" t="s">
        <v>896</v>
      </c>
      <c r="AD69" s="77" t="s">
        <v>946</v>
      </c>
      <c r="AE69" s="77" t="s">
        <v>930</v>
      </c>
      <c r="AF69" s="77" t="s">
        <v>922</v>
      </c>
      <c r="AG69" s="77" t="s">
        <v>947</v>
      </c>
      <c r="AH69" s="77" t="s">
        <v>1185</v>
      </c>
      <c r="AI69" s="77" t="s">
        <v>1017</v>
      </c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</row>
    <row r="70" spans="1:54" ht="33.75" x14ac:dyDescent="0.25">
      <c r="A70" s="70" t="s">
        <v>1680</v>
      </c>
      <c r="B70" s="107" t="s">
        <v>456</v>
      </c>
      <c r="C70" s="77" t="s">
        <v>1186</v>
      </c>
      <c r="D70" s="77" t="s">
        <v>1187</v>
      </c>
      <c r="E70" s="77" t="s">
        <v>1188</v>
      </c>
      <c r="F70" s="77" t="s">
        <v>1189</v>
      </c>
      <c r="G70" s="77" t="s">
        <v>1190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</row>
    <row r="71" spans="1:54" ht="45" x14ac:dyDescent="0.25">
      <c r="A71" s="70" t="s">
        <v>1681</v>
      </c>
      <c r="B71" s="107" t="s">
        <v>32</v>
      </c>
      <c r="C71" s="77" t="s">
        <v>932</v>
      </c>
      <c r="D71" s="77" t="s">
        <v>1170</v>
      </c>
      <c r="E71" s="77" t="s">
        <v>863</v>
      </c>
      <c r="F71" s="77" t="s">
        <v>1029</v>
      </c>
      <c r="G71" s="77" t="s">
        <v>1171</v>
      </c>
      <c r="H71" s="77" t="s">
        <v>935</v>
      </c>
      <c r="I71" s="77" t="s">
        <v>936</v>
      </c>
      <c r="J71" s="77" t="s">
        <v>917</v>
      </c>
      <c r="K71" s="77" t="s">
        <v>870</v>
      </c>
      <c r="L71" s="77" t="s">
        <v>871</v>
      </c>
      <c r="M71" s="77" t="s">
        <v>1172</v>
      </c>
      <c r="N71" s="77" t="s">
        <v>1173</v>
      </c>
      <c r="O71" s="77" t="s">
        <v>1191</v>
      </c>
      <c r="P71" s="77" t="s">
        <v>1192</v>
      </c>
      <c r="Q71" s="77" t="s">
        <v>893</v>
      </c>
      <c r="R71" s="77" t="s">
        <v>894</v>
      </c>
      <c r="S71" s="77" t="s">
        <v>1176</v>
      </c>
      <c r="T71" s="77" t="s">
        <v>1177</v>
      </c>
      <c r="U71" s="77" t="s">
        <v>1193</v>
      </c>
      <c r="V71" s="77" t="s">
        <v>1194</v>
      </c>
      <c r="W71" s="77" t="s">
        <v>1178</v>
      </c>
      <c r="X71" s="77" t="s">
        <v>1179</v>
      </c>
      <c r="Y71" s="77" t="s">
        <v>941</v>
      </c>
      <c r="Z71" s="77" t="s">
        <v>1180</v>
      </c>
      <c r="AA71" s="77" t="s">
        <v>1181</v>
      </c>
      <c r="AB71" s="77" t="s">
        <v>1182</v>
      </c>
      <c r="AC71" s="77" t="s">
        <v>1183</v>
      </c>
      <c r="AD71" s="77" t="s">
        <v>1184</v>
      </c>
      <c r="AE71" s="77" t="s">
        <v>896</v>
      </c>
      <c r="AF71" s="77" t="s">
        <v>946</v>
      </c>
      <c r="AG71" s="77" t="s">
        <v>930</v>
      </c>
      <c r="AH71" s="77" t="s">
        <v>922</v>
      </c>
      <c r="AI71" s="77" t="s">
        <v>947</v>
      </c>
      <c r="AJ71" s="77" t="s">
        <v>1185</v>
      </c>
      <c r="AK71" s="77" t="s">
        <v>1017</v>
      </c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</row>
    <row r="72" spans="1:54" ht="33.75" x14ac:dyDescent="0.25">
      <c r="A72" s="70" t="s">
        <v>1682</v>
      </c>
      <c r="B72" s="107" t="s">
        <v>456</v>
      </c>
      <c r="C72" s="77" t="s">
        <v>1186</v>
      </c>
      <c r="D72" s="77" t="s">
        <v>1195</v>
      </c>
      <c r="E72" s="77" t="s">
        <v>1196</v>
      </c>
      <c r="F72" s="77" t="s">
        <v>1197</v>
      </c>
      <c r="G72" s="77" t="s">
        <v>1189</v>
      </c>
      <c r="H72" s="77" t="s">
        <v>1190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</row>
    <row r="73" spans="1:54" ht="67.5" x14ac:dyDescent="0.25">
      <c r="A73" s="70" t="s">
        <v>1905</v>
      </c>
      <c r="B73" s="64" t="s">
        <v>32</v>
      </c>
      <c r="C73" s="77" t="s">
        <v>882</v>
      </c>
      <c r="D73" s="77" t="s">
        <v>1153</v>
      </c>
      <c r="E73" s="77" t="s">
        <v>863</v>
      </c>
      <c r="F73" s="77" t="s">
        <v>885</v>
      </c>
      <c r="G73" s="77" t="s">
        <v>886</v>
      </c>
      <c r="H73" s="77" t="s">
        <v>866</v>
      </c>
      <c r="I73" s="77" t="s">
        <v>1020</v>
      </c>
      <c r="J73" s="77" t="s">
        <v>1154</v>
      </c>
      <c r="K73" s="77" t="s">
        <v>1007</v>
      </c>
      <c r="L73" s="77" t="s">
        <v>1250</v>
      </c>
      <c r="M73" s="77" t="s">
        <v>1251</v>
      </c>
      <c r="N73" s="77" t="s">
        <v>1009</v>
      </c>
      <c r="O73" s="77" t="s">
        <v>1010</v>
      </c>
      <c r="P73" s="77" t="s">
        <v>1012</v>
      </c>
      <c r="Q73" s="77" t="s">
        <v>457</v>
      </c>
      <c r="R73" s="77" t="s">
        <v>889</v>
      </c>
      <c r="S73" s="77"/>
      <c r="T73" s="77"/>
      <c r="U73" s="77"/>
      <c r="V73" s="77" t="s">
        <v>870</v>
      </c>
      <c r="W73" s="77" t="s">
        <v>871</v>
      </c>
      <c r="X73" s="77" t="s">
        <v>1013</v>
      </c>
      <c r="Y73" s="77" t="s">
        <v>1155</v>
      </c>
      <c r="Z73" s="77" t="s">
        <v>1156</v>
      </c>
      <c r="AA73" s="77" t="s">
        <v>1157</v>
      </c>
      <c r="AB73" s="77" t="s">
        <v>893</v>
      </c>
      <c r="AC73" s="77" t="s">
        <v>894</v>
      </c>
      <c r="AD73" s="77" t="s">
        <v>875</v>
      </c>
      <c r="AE73" s="77" t="s">
        <v>1026</v>
      </c>
      <c r="AF73" s="77" t="s">
        <v>1016</v>
      </c>
      <c r="AG73" s="77" t="s">
        <v>896</v>
      </c>
      <c r="AH73" s="77" t="s">
        <v>897</v>
      </c>
      <c r="AI73" s="77" t="s">
        <v>899</v>
      </c>
      <c r="AJ73" s="77" t="s">
        <v>898</v>
      </c>
      <c r="AK73" s="77" t="s">
        <v>1017</v>
      </c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</row>
    <row r="74" spans="1:54" ht="33.75" x14ac:dyDescent="0.25">
      <c r="A74" s="70" t="s">
        <v>1906</v>
      </c>
      <c r="B74" s="64" t="s">
        <v>456</v>
      </c>
      <c r="C74" s="77" t="s">
        <v>1252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</row>
    <row r="75" spans="1:54" ht="45" x14ac:dyDescent="0.25">
      <c r="A75" s="70" t="s">
        <v>1907</v>
      </c>
      <c r="B75" s="64" t="s">
        <v>32</v>
      </c>
      <c r="C75" s="77" t="s">
        <v>882</v>
      </c>
      <c r="D75" s="77" t="s">
        <v>913</v>
      </c>
      <c r="E75" s="77" t="s">
        <v>863</v>
      </c>
      <c r="F75" s="77" t="s">
        <v>885</v>
      </c>
      <c r="G75" s="77" t="s">
        <v>886</v>
      </c>
      <c r="H75" s="77" t="s">
        <v>866</v>
      </c>
      <c r="I75" s="77" t="s">
        <v>1005</v>
      </c>
      <c r="J75" s="77" t="s">
        <v>1263</v>
      </c>
      <c r="K75" s="77" t="s">
        <v>1007</v>
      </c>
      <c r="L75" s="77" t="s">
        <v>1264</v>
      </c>
      <c r="M75" s="77" t="s">
        <v>1009</v>
      </c>
      <c r="N75" s="77" t="s">
        <v>1265</v>
      </c>
      <c r="O75" s="77" t="s">
        <v>1266</v>
      </c>
      <c r="P75" s="77" t="s">
        <v>890</v>
      </c>
      <c r="Q75" s="77" t="s">
        <v>457</v>
      </c>
      <c r="R75" s="77" t="s">
        <v>889</v>
      </c>
      <c r="S75" s="77" t="s">
        <v>870</v>
      </c>
      <c r="T75" s="77" t="s">
        <v>871</v>
      </c>
      <c r="U75" s="77" t="s">
        <v>891</v>
      </c>
      <c r="V75" s="77" t="s">
        <v>1267</v>
      </c>
      <c r="W75" s="77" t="s">
        <v>1268</v>
      </c>
      <c r="X75" s="77" t="s">
        <v>1269</v>
      </c>
      <c r="Y75" s="77" t="s">
        <v>894</v>
      </c>
      <c r="Z75" s="77" t="s">
        <v>875</v>
      </c>
      <c r="AA75" s="77" t="s">
        <v>920</v>
      </c>
      <c r="AB75" s="77" t="s">
        <v>1016</v>
      </c>
      <c r="AC75" s="77" t="s">
        <v>896</v>
      </c>
      <c r="AD75" s="77" t="s">
        <v>897</v>
      </c>
      <c r="AE75" s="77" t="s">
        <v>899</v>
      </c>
      <c r="AF75" s="77" t="s">
        <v>898</v>
      </c>
      <c r="AG75" s="77" t="s">
        <v>1017</v>
      </c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</row>
    <row r="76" spans="1:54" ht="33.75" x14ac:dyDescent="0.25">
      <c r="A76" s="70" t="s">
        <v>1908</v>
      </c>
      <c r="B76" s="64" t="s">
        <v>456</v>
      </c>
      <c r="C76" s="77" t="s">
        <v>901</v>
      </c>
      <c r="D76" s="77" t="s">
        <v>1234</v>
      </c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</row>
    <row r="77" spans="1:54" ht="56.25" x14ac:dyDescent="0.25">
      <c r="A77" s="70" t="s">
        <v>1909</v>
      </c>
      <c r="B77" s="64" t="s">
        <v>32</v>
      </c>
      <c r="C77" s="77" t="s">
        <v>882</v>
      </c>
      <c r="D77" s="77" t="s">
        <v>913</v>
      </c>
      <c r="E77" s="77" t="s">
        <v>863</v>
      </c>
      <c r="F77" s="77" t="s">
        <v>885</v>
      </c>
      <c r="G77" s="77" t="s">
        <v>886</v>
      </c>
      <c r="H77" s="77" t="s">
        <v>866</v>
      </c>
      <c r="I77" s="77" t="s">
        <v>1005</v>
      </c>
      <c r="J77" s="77" t="s">
        <v>1263</v>
      </c>
      <c r="K77" s="77" t="s">
        <v>1264</v>
      </c>
      <c r="L77" s="77" t="s">
        <v>1009</v>
      </c>
      <c r="M77" s="77" t="s">
        <v>1010</v>
      </c>
      <c r="N77" s="77" t="s">
        <v>1266</v>
      </c>
      <c r="O77" s="77" t="s">
        <v>890</v>
      </c>
      <c r="P77" s="77" t="s">
        <v>457</v>
      </c>
      <c r="Q77" s="77" t="s">
        <v>889</v>
      </c>
      <c r="R77" s="77" t="s">
        <v>870</v>
      </c>
      <c r="S77" s="77" t="s">
        <v>871</v>
      </c>
      <c r="T77" s="77" t="s">
        <v>891</v>
      </c>
      <c r="U77" s="77" t="s">
        <v>1267</v>
      </c>
      <c r="V77" s="77" t="s">
        <v>1268</v>
      </c>
      <c r="W77" s="77" t="s">
        <v>1269</v>
      </c>
      <c r="X77" s="77" t="s">
        <v>894</v>
      </c>
      <c r="Y77" s="77" t="s">
        <v>875</v>
      </c>
      <c r="Z77" s="77" t="s">
        <v>920</v>
      </c>
      <c r="AA77" s="77" t="s">
        <v>1016</v>
      </c>
      <c r="AB77" s="77" t="s">
        <v>896</v>
      </c>
      <c r="AC77" s="77" t="s">
        <v>897</v>
      </c>
      <c r="AD77" s="77" t="s">
        <v>899</v>
      </c>
      <c r="AE77" s="77" t="s">
        <v>898</v>
      </c>
      <c r="AF77" s="77" t="s">
        <v>1017</v>
      </c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</row>
    <row r="78" spans="1:54" ht="33.75" x14ac:dyDescent="0.25">
      <c r="A78" s="70" t="s">
        <v>1910</v>
      </c>
      <c r="B78" s="64" t="s">
        <v>456</v>
      </c>
      <c r="C78" s="77" t="s">
        <v>901</v>
      </c>
      <c r="D78" s="77" t="s">
        <v>1234</v>
      </c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</row>
    <row r="79" spans="1:54" ht="78.75" x14ac:dyDescent="0.25">
      <c r="A79" s="70" t="s">
        <v>1911</v>
      </c>
      <c r="B79" s="64" t="s">
        <v>32</v>
      </c>
      <c r="C79" s="77" t="s">
        <v>861</v>
      </c>
      <c r="D79" s="77" t="s">
        <v>1270</v>
      </c>
      <c r="E79" s="77" t="s">
        <v>863</v>
      </c>
      <c r="F79" s="77" t="s">
        <v>864</v>
      </c>
      <c r="G79" s="77" t="s">
        <v>914</v>
      </c>
      <c r="H79" s="77" t="s">
        <v>866</v>
      </c>
      <c r="I79" s="77" t="s">
        <v>1271</v>
      </c>
      <c r="J79" s="77" t="s">
        <v>1272</v>
      </c>
      <c r="K79" s="77" t="s">
        <v>916</v>
      </c>
      <c r="L79" s="77" t="s">
        <v>917</v>
      </c>
      <c r="M79" s="77" t="s">
        <v>1273</v>
      </c>
      <c r="N79" s="77" t="s">
        <v>1009</v>
      </c>
      <c r="O79" s="77" t="s">
        <v>1010</v>
      </c>
      <c r="P79" s="77" t="s">
        <v>1266</v>
      </c>
      <c r="Q79" s="77" t="s">
        <v>918</v>
      </c>
      <c r="R79" s="77" t="s">
        <v>870</v>
      </c>
      <c r="S79" s="77" t="s">
        <v>871</v>
      </c>
      <c r="T79" s="77" t="s">
        <v>907</v>
      </c>
      <c r="U79" s="77" t="s">
        <v>1274</v>
      </c>
      <c r="V79" s="77" t="s">
        <v>1230</v>
      </c>
      <c r="W79" s="77" t="s">
        <v>1231</v>
      </c>
      <c r="X79" s="77" t="s">
        <v>894</v>
      </c>
      <c r="Y79" s="77" t="s">
        <v>1275</v>
      </c>
      <c r="Z79" s="77" t="s">
        <v>1026</v>
      </c>
      <c r="AA79" s="77" t="s">
        <v>1016</v>
      </c>
      <c r="AB79" s="77" t="s">
        <v>896</v>
      </c>
      <c r="AC79" s="77" t="s">
        <v>921</v>
      </c>
      <c r="AD79" s="77" t="s">
        <v>1276</v>
      </c>
      <c r="AE79" s="77" t="s">
        <v>1017</v>
      </c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</row>
    <row r="80" spans="1:54" ht="45" x14ac:dyDescent="0.25">
      <c r="A80" s="70" t="s">
        <v>1912</v>
      </c>
      <c r="B80" s="64" t="s">
        <v>456</v>
      </c>
      <c r="C80" s="77" t="s">
        <v>1233</v>
      </c>
      <c r="D80" s="77" t="s">
        <v>1277</v>
      </c>
      <c r="E80" s="77" t="s">
        <v>1234</v>
      </c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</row>
    <row r="81" spans="1:54" ht="56.25" x14ac:dyDescent="0.25">
      <c r="A81" s="70" t="s">
        <v>1913</v>
      </c>
      <c r="B81" s="64" t="s">
        <v>32</v>
      </c>
      <c r="C81" s="77" t="s">
        <v>932</v>
      </c>
      <c r="D81" s="77" t="s">
        <v>1028</v>
      </c>
      <c r="E81" s="77" t="s">
        <v>863</v>
      </c>
      <c r="F81" s="77" t="s">
        <v>1029</v>
      </c>
      <c r="G81" s="77" t="s">
        <v>934</v>
      </c>
      <c r="H81" s="77" t="s">
        <v>935</v>
      </c>
      <c r="I81" s="77" t="s">
        <v>866</v>
      </c>
      <c r="J81" s="77" t="s">
        <v>1030</v>
      </c>
      <c r="K81" s="77" t="s">
        <v>937</v>
      </c>
      <c r="L81" s="77" t="s">
        <v>917</v>
      </c>
      <c r="M81" s="77" t="s">
        <v>1278</v>
      </c>
      <c r="N81" s="77" t="s">
        <v>1225</v>
      </c>
      <c r="O81" s="77" t="s">
        <v>1226</v>
      </c>
      <c r="P81" s="77" t="s">
        <v>1010</v>
      </c>
      <c r="Q81" s="77" t="s">
        <v>870</v>
      </c>
      <c r="R81" s="77" t="s">
        <v>871</v>
      </c>
      <c r="S81" s="77" t="s">
        <v>1279</v>
      </c>
      <c r="T81" s="77" t="s">
        <v>1229</v>
      </c>
      <c r="U81" s="77" t="s">
        <v>1230</v>
      </c>
      <c r="V81" s="77" t="s">
        <v>1231</v>
      </c>
      <c r="W81" s="77" t="s">
        <v>894</v>
      </c>
      <c r="X81" s="77" t="s">
        <v>940</v>
      </c>
      <c r="Y81" s="77" t="s">
        <v>1026</v>
      </c>
      <c r="Z81" s="77" t="s">
        <v>941</v>
      </c>
      <c r="AA81" s="77" t="s">
        <v>942</v>
      </c>
      <c r="AB81" s="77" t="s">
        <v>944</v>
      </c>
      <c r="AC81" s="77" t="s">
        <v>1016</v>
      </c>
      <c r="AD81" s="77" t="s">
        <v>945</v>
      </c>
      <c r="AE81" s="77" t="s">
        <v>896</v>
      </c>
      <c r="AF81" s="77" t="s">
        <v>946</v>
      </c>
      <c r="AG81" s="77" t="s">
        <v>930</v>
      </c>
      <c r="AH81" s="77" t="s">
        <v>1232</v>
      </c>
      <c r="AI81" s="77" t="s">
        <v>947</v>
      </c>
      <c r="AJ81" s="77" t="s">
        <v>1017</v>
      </c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</row>
    <row r="82" spans="1:54" ht="33.75" x14ac:dyDescent="0.25">
      <c r="A82" s="70" t="s">
        <v>1914</v>
      </c>
      <c r="B82" s="64" t="s">
        <v>456</v>
      </c>
      <c r="C82" s="77" t="s">
        <v>1233</v>
      </c>
      <c r="D82" s="77" t="s">
        <v>901</v>
      </c>
      <c r="E82" s="77" t="s">
        <v>1280</v>
      </c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</row>
    <row r="83" spans="1:54" ht="56.25" x14ac:dyDescent="0.25">
      <c r="A83" s="70" t="s">
        <v>1915</v>
      </c>
      <c r="B83" s="64" t="s">
        <v>32</v>
      </c>
      <c r="C83" s="77" t="s">
        <v>932</v>
      </c>
      <c r="D83" s="77" t="s">
        <v>1028</v>
      </c>
      <c r="E83" s="77" t="s">
        <v>863</v>
      </c>
      <c r="F83" s="77" t="s">
        <v>1029</v>
      </c>
      <c r="G83" s="77" t="s">
        <v>934</v>
      </c>
      <c r="H83" s="77" t="s">
        <v>935</v>
      </c>
      <c r="I83" s="77" t="s">
        <v>866</v>
      </c>
      <c r="J83" s="77" t="s">
        <v>1030</v>
      </c>
      <c r="K83" s="77" t="s">
        <v>937</v>
      </c>
      <c r="L83" s="77" t="s">
        <v>917</v>
      </c>
      <c r="M83" s="77" t="s">
        <v>1278</v>
      </c>
      <c r="N83" s="77" t="s">
        <v>1225</v>
      </c>
      <c r="O83" s="77" t="s">
        <v>1226</v>
      </c>
      <c r="P83" s="77" t="s">
        <v>1010</v>
      </c>
      <c r="Q83" s="77" t="s">
        <v>870</v>
      </c>
      <c r="R83" s="77" t="s">
        <v>871</v>
      </c>
      <c r="S83" s="77" t="s">
        <v>1281</v>
      </c>
      <c r="T83" s="77" t="s">
        <v>1229</v>
      </c>
      <c r="U83" s="77" t="s">
        <v>1230</v>
      </c>
      <c r="V83" s="77" t="s">
        <v>1231</v>
      </c>
      <c r="W83" s="77" t="s">
        <v>894</v>
      </c>
      <c r="X83" s="77" t="s">
        <v>940</v>
      </c>
      <c r="Y83" s="77" t="s">
        <v>1026</v>
      </c>
      <c r="Z83" s="77" t="s">
        <v>941</v>
      </c>
      <c r="AA83" s="77" t="s">
        <v>942</v>
      </c>
      <c r="AB83" s="77" t="s">
        <v>944</v>
      </c>
      <c r="AC83" s="77" t="s">
        <v>1016</v>
      </c>
      <c r="AD83" s="77" t="s">
        <v>945</v>
      </c>
      <c r="AE83" s="77" t="s">
        <v>896</v>
      </c>
      <c r="AF83" s="77" t="s">
        <v>946</v>
      </c>
      <c r="AG83" s="77" t="s">
        <v>930</v>
      </c>
      <c r="AH83" s="77" t="s">
        <v>1232</v>
      </c>
      <c r="AI83" s="77" t="s">
        <v>947</v>
      </c>
      <c r="AJ83" s="77" t="s">
        <v>1017</v>
      </c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</row>
    <row r="84" spans="1:54" ht="33.75" x14ac:dyDescent="0.25">
      <c r="A84" s="70" t="s">
        <v>1916</v>
      </c>
      <c r="B84" s="64" t="s">
        <v>456</v>
      </c>
      <c r="C84" s="77" t="s">
        <v>1233</v>
      </c>
      <c r="D84" s="77" t="s">
        <v>901</v>
      </c>
      <c r="E84" s="77" t="s">
        <v>1280</v>
      </c>
      <c r="F84" s="77" t="s">
        <v>1282</v>
      </c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</row>
    <row r="85" spans="1:54" ht="56.25" x14ac:dyDescent="0.25">
      <c r="A85" s="70" t="s">
        <v>1917</v>
      </c>
      <c r="B85" s="64" t="s">
        <v>32</v>
      </c>
      <c r="C85" s="77" t="s">
        <v>932</v>
      </c>
      <c r="D85" s="77" t="s">
        <v>1028</v>
      </c>
      <c r="E85" s="77" t="s">
        <v>863</v>
      </c>
      <c r="F85" s="77" t="s">
        <v>1029</v>
      </c>
      <c r="G85" s="77" t="s">
        <v>934</v>
      </c>
      <c r="H85" s="77" t="s">
        <v>935</v>
      </c>
      <c r="I85" s="77" t="s">
        <v>866</v>
      </c>
      <c r="J85" s="77" t="s">
        <v>1030</v>
      </c>
      <c r="K85" s="77" t="s">
        <v>937</v>
      </c>
      <c r="L85" s="77" t="s">
        <v>917</v>
      </c>
      <c r="M85" s="77" t="s">
        <v>1278</v>
      </c>
      <c r="N85" s="77" t="s">
        <v>1225</v>
      </c>
      <c r="O85" s="77" t="s">
        <v>1226</v>
      </c>
      <c r="P85" s="77" t="s">
        <v>1010</v>
      </c>
      <c r="Q85" s="77" t="s">
        <v>870</v>
      </c>
      <c r="R85" s="77" t="s">
        <v>871</v>
      </c>
      <c r="S85" s="77" t="s">
        <v>1281</v>
      </c>
      <c r="T85" s="77" t="s">
        <v>1229</v>
      </c>
      <c r="U85" s="77" t="s">
        <v>1230</v>
      </c>
      <c r="V85" s="77" t="s">
        <v>1231</v>
      </c>
      <c r="W85" s="77" t="s">
        <v>894</v>
      </c>
      <c r="X85" s="77" t="s">
        <v>940</v>
      </c>
      <c r="Y85" s="77" t="s">
        <v>1026</v>
      </c>
      <c r="Z85" s="77" t="s">
        <v>941</v>
      </c>
      <c r="AA85" s="77" t="s">
        <v>942</v>
      </c>
      <c r="AB85" s="77" t="s">
        <v>944</v>
      </c>
      <c r="AC85" s="77" t="s">
        <v>1016</v>
      </c>
      <c r="AD85" s="77" t="s">
        <v>945</v>
      </c>
      <c r="AE85" s="77" t="s">
        <v>896</v>
      </c>
      <c r="AF85" s="77" t="s">
        <v>946</v>
      </c>
      <c r="AG85" s="77" t="s">
        <v>930</v>
      </c>
      <c r="AH85" s="77" t="s">
        <v>1232</v>
      </c>
      <c r="AI85" s="77" t="s">
        <v>947</v>
      </c>
      <c r="AJ85" s="77" t="s">
        <v>1017</v>
      </c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</row>
    <row r="86" spans="1:54" ht="33.75" x14ac:dyDescent="0.25">
      <c r="A86" s="70" t="s">
        <v>1918</v>
      </c>
      <c r="B86" s="64" t="s">
        <v>456</v>
      </c>
      <c r="C86" s="77" t="s">
        <v>1233</v>
      </c>
      <c r="D86" s="77" t="s">
        <v>901</v>
      </c>
      <c r="E86" s="77" t="s">
        <v>1280</v>
      </c>
      <c r="F86" s="77" t="s">
        <v>1283</v>
      </c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</row>
    <row r="87" spans="1:54" ht="56.25" x14ac:dyDescent="0.25">
      <c r="A87" s="70" t="s">
        <v>1919</v>
      </c>
      <c r="B87" s="64" t="s">
        <v>32</v>
      </c>
      <c r="C87" s="77" t="s">
        <v>932</v>
      </c>
      <c r="D87" s="77" t="s">
        <v>1028</v>
      </c>
      <c r="E87" s="77" t="s">
        <v>863</v>
      </c>
      <c r="F87" s="77" t="s">
        <v>1029</v>
      </c>
      <c r="G87" s="77" t="s">
        <v>934</v>
      </c>
      <c r="H87" s="77" t="s">
        <v>935</v>
      </c>
      <c r="I87" s="77" t="s">
        <v>866</v>
      </c>
      <c r="J87" s="77" t="s">
        <v>1030</v>
      </c>
      <c r="K87" s="77" t="s">
        <v>937</v>
      </c>
      <c r="L87" s="77" t="s">
        <v>917</v>
      </c>
      <c r="M87" s="77" t="s">
        <v>1278</v>
      </c>
      <c r="N87" s="77" t="s">
        <v>1225</v>
      </c>
      <c r="O87" s="77" t="s">
        <v>1226</v>
      </c>
      <c r="P87" s="77" t="s">
        <v>1010</v>
      </c>
      <c r="Q87" s="77" t="s">
        <v>870</v>
      </c>
      <c r="R87" s="77" t="s">
        <v>871</v>
      </c>
      <c r="S87" s="77" t="s">
        <v>1279</v>
      </c>
      <c r="T87" s="77" t="s">
        <v>1229</v>
      </c>
      <c r="U87" s="77" t="s">
        <v>1230</v>
      </c>
      <c r="V87" s="77" t="s">
        <v>1231</v>
      </c>
      <c r="W87" s="77" t="s">
        <v>894</v>
      </c>
      <c r="X87" s="77" t="s">
        <v>940</v>
      </c>
      <c r="Y87" s="77" t="s">
        <v>1026</v>
      </c>
      <c r="Z87" s="77" t="s">
        <v>941</v>
      </c>
      <c r="AA87" s="77" t="s">
        <v>942</v>
      </c>
      <c r="AB87" s="77" t="s">
        <v>944</v>
      </c>
      <c r="AC87" s="77" t="s">
        <v>1016</v>
      </c>
      <c r="AD87" s="77" t="s">
        <v>945</v>
      </c>
      <c r="AE87" s="77" t="s">
        <v>896</v>
      </c>
      <c r="AF87" s="77" t="s">
        <v>946</v>
      </c>
      <c r="AG87" s="77" t="s">
        <v>930</v>
      </c>
      <c r="AH87" s="77" t="s">
        <v>1232</v>
      </c>
      <c r="AI87" s="77" t="s">
        <v>947</v>
      </c>
      <c r="AJ87" s="77" t="s">
        <v>1017</v>
      </c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</row>
    <row r="88" spans="1:54" ht="33.75" x14ac:dyDescent="0.25">
      <c r="A88" s="70" t="s">
        <v>1920</v>
      </c>
      <c r="B88" s="64" t="s">
        <v>456</v>
      </c>
      <c r="C88" s="77" t="s">
        <v>1233</v>
      </c>
      <c r="D88" s="77" t="s">
        <v>901</v>
      </c>
      <c r="E88" s="77" t="s">
        <v>1280</v>
      </c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</row>
    <row r="89" spans="1:54" ht="56.25" x14ac:dyDescent="0.25">
      <c r="A89" s="70" t="s">
        <v>1921</v>
      </c>
      <c r="B89" s="64" t="s">
        <v>32</v>
      </c>
      <c r="C89" s="77" t="s">
        <v>932</v>
      </c>
      <c r="D89" s="77" t="s">
        <v>1028</v>
      </c>
      <c r="E89" s="77" t="s">
        <v>863</v>
      </c>
      <c r="F89" s="77" t="s">
        <v>1029</v>
      </c>
      <c r="G89" s="77" t="s">
        <v>934</v>
      </c>
      <c r="H89" s="77" t="s">
        <v>935</v>
      </c>
      <c r="I89" s="77" t="s">
        <v>866</v>
      </c>
      <c r="J89" s="77" t="s">
        <v>1030</v>
      </c>
      <c r="K89" s="77" t="s">
        <v>937</v>
      </c>
      <c r="L89" s="77" t="s">
        <v>917</v>
      </c>
      <c r="M89" s="77" t="s">
        <v>1278</v>
      </c>
      <c r="N89" s="77" t="s">
        <v>1225</v>
      </c>
      <c r="O89" s="77" t="s">
        <v>1226</v>
      </c>
      <c r="P89" s="77" t="s">
        <v>1010</v>
      </c>
      <c r="Q89" s="77"/>
      <c r="R89" s="77" t="s">
        <v>870</v>
      </c>
      <c r="S89" s="77" t="s">
        <v>871</v>
      </c>
      <c r="T89" s="77" t="s">
        <v>1281</v>
      </c>
      <c r="U89" s="77" t="s">
        <v>1229</v>
      </c>
      <c r="V89" s="77" t="s">
        <v>1230</v>
      </c>
      <c r="W89" s="77" t="s">
        <v>1231</v>
      </c>
      <c r="X89" s="77" t="s">
        <v>894</v>
      </c>
      <c r="Y89" s="77" t="s">
        <v>940</v>
      </c>
      <c r="Z89" s="77" t="s">
        <v>1026</v>
      </c>
      <c r="AA89" s="77" t="s">
        <v>941</v>
      </c>
      <c r="AB89" s="77" t="s">
        <v>942</v>
      </c>
      <c r="AC89" s="77" t="s">
        <v>944</v>
      </c>
      <c r="AD89" s="77" t="s">
        <v>1016</v>
      </c>
      <c r="AE89" s="77" t="s">
        <v>945</v>
      </c>
      <c r="AF89" s="77" t="s">
        <v>896</v>
      </c>
      <c r="AG89" s="77" t="s">
        <v>946</v>
      </c>
      <c r="AH89" s="77" t="s">
        <v>930</v>
      </c>
      <c r="AI89" s="77" t="s">
        <v>1232</v>
      </c>
      <c r="AJ89" s="77" t="s">
        <v>947</v>
      </c>
      <c r="AK89" s="77" t="s">
        <v>1017</v>
      </c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</row>
    <row r="90" spans="1:54" ht="33.75" x14ac:dyDescent="0.25">
      <c r="A90" s="70" t="s">
        <v>1922</v>
      </c>
      <c r="B90" s="64" t="s">
        <v>456</v>
      </c>
      <c r="C90" s="77" t="s">
        <v>1233</v>
      </c>
      <c r="D90" s="77" t="s">
        <v>901</v>
      </c>
      <c r="E90" s="77" t="s">
        <v>1280</v>
      </c>
      <c r="F90" s="77" t="s">
        <v>1282</v>
      </c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</row>
    <row r="91" spans="1:54" ht="56.25" x14ac:dyDescent="0.25">
      <c r="A91" s="70" t="s">
        <v>1923</v>
      </c>
      <c r="B91" s="64" t="s">
        <v>32</v>
      </c>
      <c r="C91" s="77" t="s">
        <v>932</v>
      </c>
      <c r="D91" s="77" t="s">
        <v>1028</v>
      </c>
      <c r="E91" s="77" t="s">
        <v>863</v>
      </c>
      <c r="F91" s="77" t="s">
        <v>1029</v>
      </c>
      <c r="G91" s="77" t="s">
        <v>934</v>
      </c>
      <c r="H91" s="77" t="s">
        <v>935</v>
      </c>
      <c r="I91" s="77" t="s">
        <v>866</v>
      </c>
      <c r="J91" s="77" t="s">
        <v>1030</v>
      </c>
      <c r="K91" s="77" t="s">
        <v>937</v>
      </c>
      <c r="L91" s="77" t="s">
        <v>917</v>
      </c>
      <c r="M91" s="77" t="s">
        <v>1278</v>
      </c>
      <c r="N91" s="77" t="s">
        <v>1225</v>
      </c>
      <c r="O91" s="77" t="s">
        <v>1226</v>
      </c>
      <c r="P91" s="77" t="s">
        <v>1010</v>
      </c>
      <c r="Q91" s="77"/>
      <c r="R91" s="77" t="s">
        <v>870</v>
      </c>
      <c r="S91" s="77" t="s">
        <v>871</v>
      </c>
      <c r="T91" s="77" t="s">
        <v>1281</v>
      </c>
      <c r="U91" s="77" t="s">
        <v>1229</v>
      </c>
      <c r="V91" s="77" t="s">
        <v>1230</v>
      </c>
      <c r="W91" s="77" t="s">
        <v>1231</v>
      </c>
      <c r="X91" s="77" t="s">
        <v>894</v>
      </c>
      <c r="Y91" s="77" t="s">
        <v>940</v>
      </c>
      <c r="Z91" s="77" t="s">
        <v>1026</v>
      </c>
      <c r="AA91" s="77" t="s">
        <v>941</v>
      </c>
      <c r="AB91" s="77" t="s">
        <v>942</v>
      </c>
      <c r="AC91" s="77" t="s">
        <v>944</v>
      </c>
      <c r="AD91" s="77" t="s">
        <v>1016</v>
      </c>
      <c r="AE91" s="77" t="s">
        <v>945</v>
      </c>
      <c r="AF91" s="77" t="s">
        <v>896</v>
      </c>
      <c r="AG91" s="77" t="s">
        <v>946</v>
      </c>
      <c r="AH91" s="77" t="s">
        <v>930</v>
      </c>
      <c r="AI91" s="77" t="s">
        <v>1232</v>
      </c>
      <c r="AJ91" s="77" t="s">
        <v>947</v>
      </c>
      <c r="AK91" s="77" t="s">
        <v>1017</v>
      </c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</row>
    <row r="92" spans="1:54" ht="33.75" x14ac:dyDescent="0.25">
      <c r="A92" s="70" t="s">
        <v>1924</v>
      </c>
      <c r="B92" s="64" t="s">
        <v>456</v>
      </c>
      <c r="C92" s="77" t="s">
        <v>1233</v>
      </c>
      <c r="D92" s="77" t="s">
        <v>901</v>
      </c>
      <c r="E92" s="77" t="s">
        <v>1280</v>
      </c>
      <c r="F92" s="77" t="s">
        <v>1283</v>
      </c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</row>
    <row r="93" spans="1:54" ht="56.25" x14ac:dyDescent="0.25">
      <c r="A93" s="70" t="s">
        <v>1925</v>
      </c>
      <c r="B93" s="64" t="s">
        <v>32</v>
      </c>
      <c r="C93" s="77" t="s">
        <v>1223</v>
      </c>
      <c r="D93" s="77" t="s">
        <v>1028</v>
      </c>
      <c r="E93" s="77" t="s">
        <v>863</v>
      </c>
      <c r="F93" s="77" t="s">
        <v>1029</v>
      </c>
      <c r="G93" s="77" t="s">
        <v>934</v>
      </c>
      <c r="H93" s="77" t="s">
        <v>935</v>
      </c>
      <c r="I93" s="77" t="s">
        <v>866</v>
      </c>
      <c r="J93" s="77" t="s">
        <v>1030</v>
      </c>
      <c r="K93" s="77" t="s">
        <v>937</v>
      </c>
      <c r="L93" s="77" t="s">
        <v>917</v>
      </c>
      <c r="M93" s="77" t="s">
        <v>1224</v>
      </c>
      <c r="N93" s="77" t="s">
        <v>1225</v>
      </c>
      <c r="O93" s="77" t="s">
        <v>1226</v>
      </c>
      <c r="P93" s="77" t="s">
        <v>1010</v>
      </c>
      <c r="Q93" s="77" t="s">
        <v>1227</v>
      </c>
      <c r="R93" s="77" t="s">
        <v>870</v>
      </c>
      <c r="S93" s="77" t="s">
        <v>871</v>
      </c>
      <c r="T93" s="77" t="s">
        <v>1228</v>
      </c>
      <c r="U93" s="77" t="s">
        <v>1229</v>
      </c>
      <c r="V93" s="77" t="s">
        <v>1230</v>
      </c>
      <c r="W93" s="77" t="s">
        <v>1231</v>
      </c>
      <c r="X93" s="77" t="s">
        <v>894</v>
      </c>
      <c r="Y93" s="77" t="s">
        <v>940</v>
      </c>
      <c r="Z93" s="77" t="s">
        <v>1026</v>
      </c>
      <c r="AA93" s="77" t="s">
        <v>941</v>
      </c>
      <c r="AB93" s="77" t="s">
        <v>942</v>
      </c>
      <c r="AC93" s="77" t="s">
        <v>944</v>
      </c>
      <c r="AD93" s="77" t="s">
        <v>1016</v>
      </c>
      <c r="AE93" s="77" t="s">
        <v>945</v>
      </c>
      <c r="AF93" s="77" t="s">
        <v>896</v>
      </c>
      <c r="AG93" s="77" t="s">
        <v>946</v>
      </c>
      <c r="AH93" s="77" t="s">
        <v>930</v>
      </c>
      <c r="AI93" s="77" t="s">
        <v>1232</v>
      </c>
      <c r="AJ93" s="77" t="s">
        <v>947</v>
      </c>
      <c r="AK93" s="77" t="s">
        <v>1017</v>
      </c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</row>
    <row r="94" spans="1:54" ht="33.75" x14ac:dyDescent="0.25">
      <c r="A94" s="70" t="s">
        <v>1926</v>
      </c>
      <c r="B94" s="64" t="s">
        <v>456</v>
      </c>
      <c r="C94" s="77" t="s">
        <v>1233</v>
      </c>
      <c r="D94" s="77" t="s">
        <v>943</v>
      </c>
      <c r="E94" s="77" t="s">
        <v>1234</v>
      </c>
      <c r="F94" s="77" t="s">
        <v>1235</v>
      </c>
      <c r="G94" s="77" t="s">
        <v>1236</v>
      </c>
      <c r="H94" s="77" t="s">
        <v>1237</v>
      </c>
      <c r="I94" s="77" t="s">
        <v>1238</v>
      </c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</row>
    <row r="95" spans="1:54" ht="22.5" x14ac:dyDescent="0.25">
      <c r="A95" s="70" t="s">
        <v>1927</v>
      </c>
      <c r="B95" s="64" t="s">
        <v>32</v>
      </c>
      <c r="C95" s="77" t="s">
        <v>2636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</row>
    <row r="96" spans="1:54" ht="22.5" x14ac:dyDescent="0.25">
      <c r="A96" s="70" t="s">
        <v>1928</v>
      </c>
      <c r="B96" s="64" t="s">
        <v>456</v>
      </c>
      <c r="C96" s="77" t="s">
        <v>2633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</row>
    <row r="97" spans="1:54" ht="45" x14ac:dyDescent="0.25">
      <c r="A97" s="70" t="s">
        <v>2742</v>
      </c>
      <c r="B97" s="107" t="s">
        <v>32</v>
      </c>
      <c r="C97" s="77" t="s">
        <v>932</v>
      </c>
      <c r="D97" s="77" t="s">
        <v>1170</v>
      </c>
      <c r="E97" s="77" t="s">
        <v>863</v>
      </c>
      <c r="F97" s="77" t="s">
        <v>1029</v>
      </c>
      <c r="G97" s="77" t="s">
        <v>1171</v>
      </c>
      <c r="H97" s="77" t="s">
        <v>935</v>
      </c>
      <c r="I97" s="77" t="s">
        <v>936</v>
      </c>
      <c r="J97" s="77" t="s">
        <v>917</v>
      </c>
      <c r="K97" s="77" t="s">
        <v>870</v>
      </c>
      <c r="L97" s="77" t="s">
        <v>871</v>
      </c>
      <c r="M97" s="77" t="s">
        <v>1172</v>
      </c>
      <c r="N97" s="77" t="s">
        <v>1173</v>
      </c>
      <c r="O97" s="77" t="s">
        <v>1174</v>
      </c>
      <c r="P97" s="77" t="s">
        <v>893</v>
      </c>
      <c r="Q97" s="77" t="s">
        <v>1175</v>
      </c>
      <c r="R97" s="77" t="s">
        <v>894</v>
      </c>
      <c r="S97" s="77" t="s">
        <v>1176</v>
      </c>
      <c r="T97" s="77" t="s">
        <v>1177</v>
      </c>
      <c r="U97" s="77" t="s">
        <v>1178</v>
      </c>
      <c r="V97" s="77" t="s">
        <v>1179</v>
      </c>
      <c r="W97" s="77" t="s">
        <v>941</v>
      </c>
      <c r="X97" s="77" t="s">
        <v>1180</v>
      </c>
      <c r="Y97" s="77" t="s">
        <v>1181</v>
      </c>
      <c r="Z97" s="77" t="s">
        <v>1182</v>
      </c>
      <c r="AA97" s="77" t="s">
        <v>1183</v>
      </c>
      <c r="AB97" s="77" t="s">
        <v>1184</v>
      </c>
      <c r="AC97" s="77" t="s">
        <v>896</v>
      </c>
      <c r="AD97" s="77" t="s">
        <v>946</v>
      </c>
      <c r="AE97" s="77" t="s">
        <v>930</v>
      </c>
      <c r="AF97" s="77" t="s">
        <v>922</v>
      </c>
      <c r="AG97" s="77" t="s">
        <v>947</v>
      </c>
      <c r="AH97" s="77" t="s">
        <v>1017</v>
      </c>
      <c r="AI97" s="77" t="s">
        <v>1017</v>
      </c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</row>
    <row r="98" spans="1:54" ht="22.5" x14ac:dyDescent="0.25">
      <c r="A98" s="70" t="s">
        <v>1929</v>
      </c>
      <c r="B98" s="107" t="s">
        <v>456</v>
      </c>
      <c r="C98" s="77" t="s">
        <v>2633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</row>
    <row r="99" spans="1:54" ht="45" x14ac:dyDescent="0.25">
      <c r="A99" s="70" t="s">
        <v>1930</v>
      </c>
      <c r="B99" s="107" t="s">
        <v>32</v>
      </c>
      <c r="C99" s="77" t="s">
        <v>932</v>
      </c>
      <c r="D99" s="77" t="s">
        <v>1170</v>
      </c>
      <c r="E99" s="77" t="s">
        <v>863</v>
      </c>
      <c r="F99" s="77" t="s">
        <v>1029</v>
      </c>
      <c r="G99" s="77" t="s">
        <v>1171</v>
      </c>
      <c r="H99" s="77" t="s">
        <v>935</v>
      </c>
      <c r="I99" s="77" t="s">
        <v>936</v>
      </c>
      <c r="J99" s="77" t="s">
        <v>917</v>
      </c>
      <c r="K99" s="77" t="s">
        <v>870</v>
      </c>
      <c r="L99" s="77" t="s">
        <v>871</v>
      </c>
      <c r="M99" s="77" t="s">
        <v>1172</v>
      </c>
      <c r="N99" s="77" t="s">
        <v>1173</v>
      </c>
      <c r="O99" s="77" t="s">
        <v>1174</v>
      </c>
      <c r="P99" s="77" t="s">
        <v>893</v>
      </c>
      <c r="Q99" s="77" t="s">
        <v>1175</v>
      </c>
      <c r="R99" s="77" t="s">
        <v>894</v>
      </c>
      <c r="S99" s="77" t="s">
        <v>1176</v>
      </c>
      <c r="T99" s="77" t="s">
        <v>1177</v>
      </c>
      <c r="U99" s="77" t="s">
        <v>1178</v>
      </c>
      <c r="V99" s="77" t="s">
        <v>1179</v>
      </c>
      <c r="W99" s="77" t="s">
        <v>941</v>
      </c>
      <c r="X99" s="77" t="s">
        <v>1180</v>
      </c>
      <c r="Y99" s="77" t="s">
        <v>1181</v>
      </c>
      <c r="Z99" s="77" t="s">
        <v>1182</v>
      </c>
      <c r="AA99" s="77" t="s">
        <v>1183</v>
      </c>
      <c r="AB99" s="77" t="s">
        <v>1184</v>
      </c>
      <c r="AC99" s="77" t="s">
        <v>896</v>
      </c>
      <c r="AD99" s="77" t="s">
        <v>946</v>
      </c>
      <c r="AE99" s="77" t="s">
        <v>930</v>
      </c>
      <c r="AF99" s="77" t="s">
        <v>922</v>
      </c>
      <c r="AG99" s="77" t="s">
        <v>947</v>
      </c>
      <c r="AH99" s="77" t="s">
        <v>1185</v>
      </c>
      <c r="AI99" s="77" t="s">
        <v>1017</v>
      </c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</row>
    <row r="100" spans="1:54" ht="33.75" x14ac:dyDescent="0.25">
      <c r="A100" s="70" t="s">
        <v>1931</v>
      </c>
      <c r="B100" s="107" t="s">
        <v>456</v>
      </c>
      <c r="C100" s="77" t="s">
        <v>1186</v>
      </c>
      <c r="D100" s="77" t="s">
        <v>1187</v>
      </c>
      <c r="E100" s="77" t="s">
        <v>1188</v>
      </c>
      <c r="F100" s="77" t="s">
        <v>1189</v>
      </c>
      <c r="G100" s="77" t="s">
        <v>1190</v>
      </c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</row>
    <row r="101" spans="1:54" ht="45" x14ac:dyDescent="0.25">
      <c r="A101" s="70" t="s">
        <v>1932</v>
      </c>
      <c r="B101" s="107" t="s">
        <v>32</v>
      </c>
      <c r="C101" s="77" t="s">
        <v>932</v>
      </c>
      <c r="D101" s="77" t="s">
        <v>1170</v>
      </c>
      <c r="E101" s="77" t="s">
        <v>863</v>
      </c>
      <c r="F101" s="77" t="s">
        <v>1029</v>
      </c>
      <c r="G101" s="77" t="s">
        <v>1171</v>
      </c>
      <c r="H101" s="77" t="s">
        <v>935</v>
      </c>
      <c r="I101" s="77" t="s">
        <v>936</v>
      </c>
      <c r="J101" s="77" t="s">
        <v>917</v>
      </c>
      <c r="K101" s="77" t="s">
        <v>870</v>
      </c>
      <c r="L101" s="77" t="s">
        <v>871</v>
      </c>
      <c r="M101" s="77" t="s">
        <v>1172</v>
      </c>
      <c r="N101" s="77" t="s">
        <v>1173</v>
      </c>
      <c r="O101" s="77" t="s">
        <v>1191</v>
      </c>
      <c r="P101" s="77" t="s">
        <v>1192</v>
      </c>
      <c r="Q101" s="77" t="s">
        <v>893</v>
      </c>
      <c r="R101" s="77" t="s">
        <v>894</v>
      </c>
      <c r="S101" s="77" t="s">
        <v>1176</v>
      </c>
      <c r="T101" s="77" t="s">
        <v>1177</v>
      </c>
      <c r="U101" s="77" t="s">
        <v>1193</v>
      </c>
      <c r="V101" s="77" t="s">
        <v>1194</v>
      </c>
      <c r="W101" s="77" t="s">
        <v>1178</v>
      </c>
      <c r="X101" s="77" t="s">
        <v>1179</v>
      </c>
      <c r="Y101" s="77" t="s">
        <v>941</v>
      </c>
      <c r="Z101" s="77" t="s">
        <v>1180</v>
      </c>
      <c r="AA101" s="77" t="s">
        <v>1181</v>
      </c>
      <c r="AB101" s="77" t="s">
        <v>1182</v>
      </c>
      <c r="AC101" s="77" t="s">
        <v>1183</v>
      </c>
      <c r="AD101" s="77" t="s">
        <v>1184</v>
      </c>
      <c r="AE101" s="77" t="s">
        <v>896</v>
      </c>
      <c r="AF101" s="77" t="s">
        <v>946</v>
      </c>
      <c r="AG101" s="77" t="s">
        <v>930</v>
      </c>
      <c r="AH101" s="77" t="s">
        <v>922</v>
      </c>
      <c r="AI101" s="77" t="s">
        <v>947</v>
      </c>
      <c r="AJ101" s="77" t="s">
        <v>1185</v>
      </c>
      <c r="AK101" s="77" t="s">
        <v>1017</v>
      </c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</row>
    <row r="102" spans="1:54" ht="33.75" x14ac:dyDescent="0.25">
      <c r="A102" s="70" t="s">
        <v>1933</v>
      </c>
      <c r="B102" s="107" t="s">
        <v>456</v>
      </c>
      <c r="C102" s="77" t="s">
        <v>1195</v>
      </c>
      <c r="D102" s="77" t="s">
        <v>1196</v>
      </c>
      <c r="E102" s="77" t="s">
        <v>1197</v>
      </c>
      <c r="F102" s="77" t="s">
        <v>1189</v>
      </c>
      <c r="G102" s="77" t="s">
        <v>1190</v>
      </c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</row>
    <row r="103" spans="1:54" ht="45" x14ac:dyDescent="0.25">
      <c r="A103" s="70" t="s">
        <v>1349</v>
      </c>
      <c r="B103" s="64" t="s">
        <v>32</v>
      </c>
      <c r="C103" s="77" t="s">
        <v>861</v>
      </c>
      <c r="D103" s="77" t="s">
        <v>862</v>
      </c>
      <c r="E103" s="77" t="s">
        <v>863</v>
      </c>
      <c r="F103" s="77" t="s">
        <v>864</v>
      </c>
      <c r="G103" s="77" t="s">
        <v>865</v>
      </c>
      <c r="H103" s="77" t="s">
        <v>866</v>
      </c>
      <c r="I103" s="77" t="s">
        <v>867</v>
      </c>
      <c r="J103" s="77" t="s">
        <v>868</v>
      </c>
      <c r="K103" s="77" t="s">
        <v>869</v>
      </c>
      <c r="L103" s="77" t="s">
        <v>870</v>
      </c>
      <c r="M103" s="77" t="s">
        <v>871</v>
      </c>
      <c r="N103" s="77" t="s">
        <v>872</v>
      </c>
      <c r="O103" s="77" t="s">
        <v>873</v>
      </c>
      <c r="P103" s="77" t="s">
        <v>874</v>
      </c>
      <c r="Q103" s="77" t="s">
        <v>875</v>
      </c>
      <c r="R103" s="77" t="s">
        <v>876</v>
      </c>
      <c r="S103" s="77" t="s">
        <v>877</v>
      </c>
      <c r="T103" s="77" t="s">
        <v>878</v>
      </c>
      <c r="U103" s="77" t="s">
        <v>879</v>
      </c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</row>
    <row r="104" spans="1:54" ht="33.75" x14ac:dyDescent="0.25">
      <c r="A104" s="70" t="s">
        <v>1350</v>
      </c>
      <c r="B104" s="64" t="s">
        <v>456</v>
      </c>
      <c r="C104" s="77" t="s">
        <v>880</v>
      </c>
      <c r="D104" s="77" t="s">
        <v>881</v>
      </c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</row>
    <row r="105" spans="1:54" ht="45" x14ac:dyDescent="0.25">
      <c r="A105" s="70" t="s">
        <v>1351</v>
      </c>
      <c r="B105" s="64" t="s">
        <v>32</v>
      </c>
      <c r="C105" s="77" t="s">
        <v>882</v>
      </c>
      <c r="D105" s="77" t="s">
        <v>883</v>
      </c>
      <c r="E105" s="77" t="s">
        <v>884</v>
      </c>
      <c r="F105" s="77" t="s">
        <v>885</v>
      </c>
      <c r="G105" s="77" t="s">
        <v>886</v>
      </c>
      <c r="H105" s="77" t="s">
        <v>887</v>
      </c>
      <c r="I105" s="77" t="s">
        <v>888</v>
      </c>
      <c r="J105" s="77" t="s">
        <v>889</v>
      </c>
      <c r="K105" s="77" t="s">
        <v>890</v>
      </c>
      <c r="L105" s="77" t="s">
        <v>457</v>
      </c>
      <c r="M105" s="77" t="s">
        <v>870</v>
      </c>
      <c r="N105" s="77" t="s">
        <v>871</v>
      </c>
      <c r="O105" s="77" t="s">
        <v>891</v>
      </c>
      <c r="P105" s="77" t="s">
        <v>892</v>
      </c>
      <c r="Q105" s="77" t="s">
        <v>893</v>
      </c>
      <c r="R105" s="77" t="s">
        <v>894</v>
      </c>
      <c r="S105" s="77" t="s">
        <v>895</v>
      </c>
      <c r="T105" s="77" t="s">
        <v>875</v>
      </c>
      <c r="U105" s="77" t="s">
        <v>876</v>
      </c>
      <c r="V105" s="77" t="s">
        <v>537</v>
      </c>
      <c r="W105" s="77" t="s">
        <v>896</v>
      </c>
      <c r="X105" s="77" t="s">
        <v>897</v>
      </c>
      <c r="Y105" s="77" t="s">
        <v>898</v>
      </c>
      <c r="Z105" s="77" t="s">
        <v>879</v>
      </c>
      <c r="AA105" s="77" t="s">
        <v>899</v>
      </c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</row>
    <row r="106" spans="1:54" ht="33.75" x14ac:dyDescent="0.25">
      <c r="A106" s="70" t="s">
        <v>1352</v>
      </c>
      <c r="B106" s="64" t="s">
        <v>456</v>
      </c>
      <c r="C106" s="77" t="s">
        <v>901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</row>
    <row r="107" spans="1:54" ht="45" x14ac:dyDescent="0.25">
      <c r="A107" s="70" t="s">
        <v>1353</v>
      </c>
      <c r="B107" s="64" t="s">
        <v>32</v>
      </c>
      <c r="C107" s="77" t="s">
        <v>882</v>
      </c>
      <c r="D107" s="77" t="s">
        <v>883</v>
      </c>
      <c r="E107" s="77" t="s">
        <v>884</v>
      </c>
      <c r="F107" s="77" t="s">
        <v>885</v>
      </c>
      <c r="G107" s="77" t="s">
        <v>886</v>
      </c>
      <c r="H107" s="77" t="s">
        <v>887</v>
      </c>
      <c r="I107" s="77" t="s">
        <v>888</v>
      </c>
      <c r="J107" s="77" t="s">
        <v>889</v>
      </c>
      <c r="K107" s="77" t="s">
        <v>890</v>
      </c>
      <c r="L107" s="77" t="s">
        <v>457</v>
      </c>
      <c r="M107" s="77" t="s">
        <v>870</v>
      </c>
      <c r="N107" s="77" t="s">
        <v>871</v>
      </c>
      <c r="O107" s="77" t="s">
        <v>891</v>
      </c>
      <c r="P107" s="77" t="s">
        <v>900</v>
      </c>
      <c r="Q107" s="77" t="s">
        <v>894</v>
      </c>
      <c r="R107" s="77" t="s">
        <v>895</v>
      </c>
      <c r="S107" s="77" t="s">
        <v>875</v>
      </c>
      <c r="T107" s="77" t="s">
        <v>876</v>
      </c>
      <c r="U107" s="77" t="s">
        <v>896</v>
      </c>
      <c r="V107" s="77" t="s">
        <v>897</v>
      </c>
      <c r="W107" s="77" t="s">
        <v>898</v>
      </c>
      <c r="X107" s="77" t="s">
        <v>879</v>
      </c>
      <c r="Y107" s="77" t="s">
        <v>899</v>
      </c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</row>
    <row r="108" spans="1:54" ht="33.75" x14ac:dyDescent="0.25">
      <c r="A108" s="70" t="s">
        <v>1354</v>
      </c>
      <c r="B108" s="64" t="s">
        <v>456</v>
      </c>
      <c r="C108" s="77" t="s">
        <v>901</v>
      </c>
      <c r="D108" s="77" t="s">
        <v>902</v>
      </c>
      <c r="E108" s="77" t="s">
        <v>903</v>
      </c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</row>
    <row r="109" spans="1:54" ht="45" x14ac:dyDescent="0.25">
      <c r="A109" s="70" t="s">
        <v>1355</v>
      </c>
      <c r="B109" s="64" t="s">
        <v>32</v>
      </c>
      <c r="C109" s="77" t="s">
        <v>882</v>
      </c>
      <c r="D109" s="77" t="s">
        <v>883</v>
      </c>
      <c r="E109" s="77" t="s">
        <v>884</v>
      </c>
      <c r="F109" s="77" t="s">
        <v>885</v>
      </c>
      <c r="G109" s="77" t="s">
        <v>886</v>
      </c>
      <c r="H109" s="77" t="s">
        <v>887</v>
      </c>
      <c r="I109" s="77" t="s">
        <v>888</v>
      </c>
      <c r="J109" s="77" t="s">
        <v>889</v>
      </c>
      <c r="K109" s="77" t="s">
        <v>890</v>
      </c>
      <c r="L109" s="77" t="s">
        <v>457</v>
      </c>
      <c r="M109" s="77" t="s">
        <v>870</v>
      </c>
      <c r="N109" s="77" t="s">
        <v>871</v>
      </c>
      <c r="O109" s="77" t="s">
        <v>891</v>
      </c>
      <c r="P109" s="77" t="s">
        <v>904</v>
      </c>
      <c r="Q109" s="77" t="s">
        <v>893</v>
      </c>
      <c r="R109" s="77" t="s">
        <v>894</v>
      </c>
      <c r="S109" s="77" t="s">
        <v>875</v>
      </c>
      <c r="T109" s="77" t="s">
        <v>876</v>
      </c>
      <c r="U109" s="77" t="s">
        <v>537</v>
      </c>
      <c r="V109" s="77" t="s">
        <v>896</v>
      </c>
      <c r="W109" s="77" t="s">
        <v>897</v>
      </c>
      <c r="X109" s="77" t="s">
        <v>898</v>
      </c>
      <c r="Y109" s="77" t="s">
        <v>879</v>
      </c>
      <c r="Z109" s="77" t="s">
        <v>899</v>
      </c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</row>
    <row r="110" spans="1:54" ht="33.75" x14ac:dyDescent="0.25">
      <c r="A110" s="70" t="s">
        <v>1356</v>
      </c>
      <c r="B110" s="64" t="s">
        <v>456</v>
      </c>
      <c r="C110" s="77" t="s">
        <v>901</v>
      </c>
      <c r="D110" s="77" t="s">
        <v>905</v>
      </c>
      <c r="E110" s="77" t="s">
        <v>1082</v>
      </c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</row>
    <row r="111" spans="1:54" ht="45" x14ac:dyDescent="0.25">
      <c r="A111" s="70" t="s">
        <v>1357</v>
      </c>
      <c r="B111" s="64" t="s">
        <v>32</v>
      </c>
      <c r="C111" s="77" t="s">
        <v>841</v>
      </c>
      <c r="D111" s="77" t="s">
        <v>835</v>
      </c>
      <c r="E111" s="77"/>
      <c r="F111" s="77" t="s">
        <v>882</v>
      </c>
      <c r="G111" s="77" t="s">
        <v>883</v>
      </c>
      <c r="H111" s="77" t="s">
        <v>884</v>
      </c>
      <c r="I111" s="77" t="s">
        <v>885</v>
      </c>
      <c r="J111" s="77" t="s">
        <v>886</v>
      </c>
      <c r="K111" s="77" t="s">
        <v>887</v>
      </c>
      <c r="L111" s="77" t="s">
        <v>906</v>
      </c>
      <c r="M111" s="77" t="s">
        <v>889</v>
      </c>
      <c r="N111" s="77" t="s">
        <v>890</v>
      </c>
      <c r="O111" s="77" t="s">
        <v>457</v>
      </c>
      <c r="P111" s="77" t="s">
        <v>870</v>
      </c>
      <c r="Q111" s="77" t="s">
        <v>871</v>
      </c>
      <c r="R111" s="77" t="s">
        <v>907</v>
      </c>
      <c r="S111" s="77" t="s">
        <v>908</v>
      </c>
      <c r="T111" s="77" t="s">
        <v>909</v>
      </c>
      <c r="U111" s="77" t="s">
        <v>910</v>
      </c>
      <c r="V111" s="77" t="s">
        <v>893</v>
      </c>
      <c r="W111" s="77" t="s">
        <v>894</v>
      </c>
      <c r="X111" s="77" t="s">
        <v>875</v>
      </c>
      <c r="Y111" s="77" t="s">
        <v>876</v>
      </c>
      <c r="Z111" s="77" t="s">
        <v>537</v>
      </c>
      <c r="AA111" s="77" t="s">
        <v>896</v>
      </c>
      <c r="AB111" s="77" t="s">
        <v>897</v>
      </c>
      <c r="AC111" s="77" t="s">
        <v>898</v>
      </c>
      <c r="AD111" s="77" t="s">
        <v>879</v>
      </c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</row>
    <row r="112" spans="1:54" ht="33.75" x14ac:dyDescent="0.25">
      <c r="A112" s="70" t="s">
        <v>1358</v>
      </c>
      <c r="B112" s="64" t="s">
        <v>456</v>
      </c>
      <c r="C112" s="77" t="s">
        <v>901</v>
      </c>
      <c r="D112" s="77" t="s">
        <v>911</v>
      </c>
      <c r="E112" s="77" t="s">
        <v>912</v>
      </c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</row>
    <row r="113" spans="1:54" ht="45" x14ac:dyDescent="0.25">
      <c r="A113" s="70" t="s">
        <v>1359</v>
      </c>
      <c r="B113" s="64" t="s">
        <v>32</v>
      </c>
      <c r="C113" s="77" t="s">
        <v>861</v>
      </c>
      <c r="D113" s="77" t="s">
        <v>913</v>
      </c>
      <c r="E113" s="77" t="s">
        <v>863</v>
      </c>
      <c r="F113" s="77" t="s">
        <v>864</v>
      </c>
      <c r="G113" s="77" t="s">
        <v>914</v>
      </c>
      <c r="H113" s="77" t="s">
        <v>866</v>
      </c>
      <c r="I113" s="77" t="s">
        <v>915</v>
      </c>
      <c r="J113" s="77" t="s">
        <v>916</v>
      </c>
      <c r="K113" s="77" t="s">
        <v>917</v>
      </c>
      <c r="L113" s="77" t="s">
        <v>918</v>
      </c>
      <c r="M113" s="77" t="s">
        <v>870</v>
      </c>
      <c r="N113" s="77" t="s">
        <v>871</v>
      </c>
      <c r="O113" s="77" t="s">
        <v>907</v>
      </c>
      <c r="P113" s="77" t="s">
        <v>919</v>
      </c>
      <c r="Q113" s="77" t="s">
        <v>893</v>
      </c>
      <c r="R113" s="77" t="s">
        <v>894</v>
      </c>
      <c r="S113" s="77" t="s">
        <v>875</v>
      </c>
      <c r="T113" s="77" t="s">
        <v>920</v>
      </c>
      <c r="U113" s="77" t="s">
        <v>537</v>
      </c>
      <c r="V113" s="77" t="s">
        <v>896</v>
      </c>
      <c r="W113" s="77" t="s">
        <v>921</v>
      </c>
      <c r="X113" s="77" t="s">
        <v>922</v>
      </c>
      <c r="Y113" s="77" t="s">
        <v>879</v>
      </c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</row>
    <row r="114" spans="1:54" ht="45" x14ac:dyDescent="0.25">
      <c r="A114" s="70" t="s">
        <v>1360</v>
      </c>
      <c r="B114" s="64" t="s">
        <v>456</v>
      </c>
      <c r="C114" s="77" t="s">
        <v>901</v>
      </c>
      <c r="D114" s="77" t="s">
        <v>923</v>
      </c>
      <c r="E114" s="77" t="s">
        <v>924</v>
      </c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</row>
    <row r="115" spans="1:54" ht="45" x14ac:dyDescent="0.25">
      <c r="A115" s="70" t="s">
        <v>1361</v>
      </c>
      <c r="B115" s="64" t="s">
        <v>32</v>
      </c>
      <c r="C115" s="77" t="s">
        <v>925</v>
      </c>
      <c r="D115" s="77" t="s">
        <v>926</v>
      </c>
      <c r="E115" s="77" t="s">
        <v>863</v>
      </c>
      <c r="F115" s="77" t="s">
        <v>864</v>
      </c>
      <c r="G115" s="77" t="s">
        <v>914</v>
      </c>
      <c r="H115" s="77" t="s">
        <v>866</v>
      </c>
      <c r="I115" s="77" t="s">
        <v>927</v>
      </c>
      <c r="J115" s="77" t="s">
        <v>916</v>
      </c>
      <c r="K115" s="77" t="s">
        <v>917</v>
      </c>
      <c r="L115" s="77" t="s">
        <v>918</v>
      </c>
      <c r="M115" s="77" t="s">
        <v>870</v>
      </c>
      <c r="N115" s="77" t="s">
        <v>871</v>
      </c>
      <c r="O115" s="77" t="s">
        <v>907</v>
      </c>
      <c r="P115" s="77" t="s">
        <v>928</v>
      </c>
      <c r="Q115" s="77" t="s">
        <v>929</v>
      </c>
      <c r="R115" s="77" t="s">
        <v>894</v>
      </c>
      <c r="S115" s="77" t="s">
        <v>875</v>
      </c>
      <c r="T115" s="77" t="s">
        <v>920</v>
      </c>
      <c r="U115" s="77" t="s">
        <v>537</v>
      </c>
      <c r="V115" s="77" t="s">
        <v>896</v>
      </c>
      <c r="W115" s="77" t="s">
        <v>921</v>
      </c>
      <c r="X115" s="77" t="s">
        <v>930</v>
      </c>
      <c r="Y115" s="77" t="s">
        <v>922</v>
      </c>
      <c r="Z115" s="77" t="s">
        <v>879</v>
      </c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</row>
    <row r="116" spans="1:54" ht="45" x14ac:dyDescent="0.25">
      <c r="A116" s="70" t="s">
        <v>1362</v>
      </c>
      <c r="B116" s="64" t="s">
        <v>456</v>
      </c>
      <c r="C116" s="77" t="s">
        <v>901</v>
      </c>
      <c r="D116" s="77" t="s">
        <v>931</v>
      </c>
      <c r="E116" s="77" t="s">
        <v>924</v>
      </c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</row>
    <row r="117" spans="1:54" ht="45" x14ac:dyDescent="0.25">
      <c r="A117" s="70" t="s">
        <v>1363</v>
      </c>
      <c r="B117" s="64" t="s">
        <v>32</v>
      </c>
      <c r="C117" s="77" t="s">
        <v>932</v>
      </c>
      <c r="D117" s="77" t="s">
        <v>913</v>
      </c>
      <c r="E117" s="77" t="s">
        <v>863</v>
      </c>
      <c r="F117" s="77" t="s">
        <v>933</v>
      </c>
      <c r="G117" s="77" t="s">
        <v>934</v>
      </c>
      <c r="H117" s="77" t="s">
        <v>935</v>
      </c>
      <c r="I117" s="77" t="s">
        <v>866</v>
      </c>
      <c r="J117" s="77" t="s">
        <v>936</v>
      </c>
      <c r="K117" s="77" t="s">
        <v>937</v>
      </c>
      <c r="L117" s="77" t="s">
        <v>917</v>
      </c>
      <c r="M117" s="77" t="s">
        <v>870</v>
      </c>
      <c r="N117" s="77" t="s">
        <v>871</v>
      </c>
      <c r="O117" s="77" t="s">
        <v>938</v>
      </c>
      <c r="P117" s="77" t="s">
        <v>939</v>
      </c>
      <c r="Q117" s="77" t="s">
        <v>893</v>
      </c>
      <c r="R117" s="77" t="s">
        <v>894</v>
      </c>
      <c r="S117" s="77" t="s">
        <v>940</v>
      </c>
      <c r="T117" s="77" t="s">
        <v>920</v>
      </c>
      <c r="U117" s="77" t="s">
        <v>941</v>
      </c>
      <c r="V117" s="77" t="s">
        <v>942</v>
      </c>
      <c r="W117" s="77" t="s">
        <v>943</v>
      </c>
      <c r="X117" s="77" t="s">
        <v>944</v>
      </c>
      <c r="Y117" s="77" t="s">
        <v>537</v>
      </c>
      <c r="Z117" s="77" t="s">
        <v>945</v>
      </c>
      <c r="AA117" s="77" t="s">
        <v>896</v>
      </c>
      <c r="AB117" s="77" t="s">
        <v>946</v>
      </c>
      <c r="AC117" s="77" t="s">
        <v>930</v>
      </c>
      <c r="AD117" s="77" t="s">
        <v>922</v>
      </c>
      <c r="AE117" s="77" t="s">
        <v>947</v>
      </c>
      <c r="AF117" s="77" t="s">
        <v>879</v>
      </c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</row>
    <row r="118" spans="1:54" ht="90" x14ac:dyDescent="0.25">
      <c r="A118" s="70" t="s">
        <v>1364</v>
      </c>
      <c r="B118" s="64" t="s">
        <v>456</v>
      </c>
      <c r="C118" s="77" t="s">
        <v>948</v>
      </c>
      <c r="D118" s="77" t="s">
        <v>949</v>
      </c>
      <c r="E118" s="77" t="s">
        <v>950</v>
      </c>
      <c r="F118" s="77" t="s">
        <v>951</v>
      </c>
      <c r="G118" s="77" t="s">
        <v>924</v>
      </c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</row>
    <row r="119" spans="1:54" ht="45" x14ac:dyDescent="0.25">
      <c r="A119" s="70" t="s">
        <v>1365</v>
      </c>
      <c r="B119" s="64" t="s">
        <v>32</v>
      </c>
      <c r="C119" s="77" t="s">
        <v>932</v>
      </c>
      <c r="D119" s="77" t="s">
        <v>913</v>
      </c>
      <c r="E119" s="77" t="s">
        <v>863</v>
      </c>
      <c r="F119" s="77" t="s">
        <v>933</v>
      </c>
      <c r="G119" s="77" t="s">
        <v>934</v>
      </c>
      <c r="H119" s="77" t="s">
        <v>935</v>
      </c>
      <c r="I119" s="77" t="s">
        <v>866</v>
      </c>
      <c r="J119" s="77" t="s">
        <v>936</v>
      </c>
      <c r="K119" s="77" t="s">
        <v>937</v>
      </c>
      <c r="L119" s="77" t="s">
        <v>917</v>
      </c>
      <c r="M119" s="77" t="s">
        <v>870</v>
      </c>
      <c r="N119" s="77" t="s">
        <v>871</v>
      </c>
      <c r="O119" s="77" t="s">
        <v>938</v>
      </c>
      <c r="P119" s="77" t="s">
        <v>939</v>
      </c>
      <c r="Q119" s="77" t="s">
        <v>893</v>
      </c>
      <c r="R119" s="77" t="s">
        <v>894</v>
      </c>
      <c r="S119" s="77" t="s">
        <v>940</v>
      </c>
      <c r="T119" s="77" t="s">
        <v>920</v>
      </c>
      <c r="U119" s="77" t="s">
        <v>941</v>
      </c>
      <c r="V119" s="77" t="s">
        <v>942</v>
      </c>
      <c r="W119" s="77" t="s">
        <v>943</v>
      </c>
      <c r="X119" s="77" t="s">
        <v>944</v>
      </c>
      <c r="Y119" s="77" t="s">
        <v>537</v>
      </c>
      <c r="Z119" s="77" t="s">
        <v>945</v>
      </c>
      <c r="AA119" s="77" t="s">
        <v>896</v>
      </c>
      <c r="AB119" s="77" t="s">
        <v>946</v>
      </c>
      <c r="AC119" s="77" t="s">
        <v>930</v>
      </c>
      <c r="AD119" s="77" t="s">
        <v>922</v>
      </c>
      <c r="AE119" s="77" t="s">
        <v>947</v>
      </c>
      <c r="AF119" s="77" t="s">
        <v>879</v>
      </c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</row>
    <row r="120" spans="1:54" ht="90" x14ac:dyDescent="0.25">
      <c r="A120" s="70" t="s">
        <v>1366</v>
      </c>
      <c r="B120" s="64" t="s">
        <v>456</v>
      </c>
      <c r="C120" s="77" t="s">
        <v>948</v>
      </c>
      <c r="D120" s="77" t="s">
        <v>949</v>
      </c>
      <c r="E120" s="77" t="s">
        <v>950</v>
      </c>
      <c r="F120" s="77" t="s">
        <v>951</v>
      </c>
      <c r="G120" s="77" t="s">
        <v>924</v>
      </c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</row>
    <row r="121" spans="1:54" ht="67.5" x14ac:dyDescent="0.25">
      <c r="A121" s="64" t="s">
        <v>2325</v>
      </c>
      <c r="B121" s="64" t="s">
        <v>32</v>
      </c>
      <c r="C121" s="77" t="s">
        <v>882</v>
      </c>
      <c r="D121" s="77" t="s">
        <v>913</v>
      </c>
      <c r="E121" s="77" t="s">
        <v>863</v>
      </c>
      <c r="F121" s="77" t="s">
        <v>885</v>
      </c>
      <c r="G121" s="77" t="s">
        <v>886</v>
      </c>
      <c r="H121" s="77" t="s">
        <v>866</v>
      </c>
      <c r="I121" s="77" t="s">
        <v>1029</v>
      </c>
      <c r="J121" s="77" t="s">
        <v>917</v>
      </c>
      <c r="K121" s="77" t="s">
        <v>1998</v>
      </c>
      <c r="L121" s="77" t="s">
        <v>1009</v>
      </c>
      <c r="M121" s="77" t="s">
        <v>1010</v>
      </c>
      <c r="N121" s="77" t="s">
        <v>889</v>
      </c>
      <c r="O121" s="77" t="s">
        <v>890</v>
      </c>
      <c r="P121" s="77" t="s">
        <v>457</v>
      </c>
      <c r="Q121" s="77" t="s">
        <v>870</v>
      </c>
      <c r="R121" s="77" t="s">
        <v>871</v>
      </c>
      <c r="S121" s="77" t="s">
        <v>907</v>
      </c>
      <c r="T121" s="77" t="s">
        <v>1015</v>
      </c>
      <c r="U121" s="77" t="s">
        <v>893</v>
      </c>
      <c r="V121" s="77" t="s">
        <v>894</v>
      </c>
      <c r="W121" s="77" t="s">
        <v>875</v>
      </c>
      <c r="X121" s="77" t="s">
        <v>876</v>
      </c>
      <c r="Y121" s="77" t="s">
        <v>537</v>
      </c>
      <c r="Z121" s="77" t="s">
        <v>896</v>
      </c>
      <c r="AA121" s="77" t="s">
        <v>897</v>
      </c>
      <c r="AB121" s="77" t="s">
        <v>898</v>
      </c>
      <c r="AC121" s="77" t="s">
        <v>879</v>
      </c>
      <c r="AD121" s="77" t="s">
        <v>899</v>
      </c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</row>
    <row r="122" spans="1:54" ht="75" x14ac:dyDescent="0.25">
      <c r="A122" s="64" t="s">
        <v>2326</v>
      </c>
      <c r="B122" s="64" t="s">
        <v>456</v>
      </c>
      <c r="C122" s="77" t="s">
        <v>901</v>
      </c>
      <c r="D122" s="77" t="s">
        <v>1999</v>
      </c>
      <c r="E122" s="77" t="s">
        <v>905</v>
      </c>
      <c r="F122" s="77" t="s">
        <v>2000</v>
      </c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</row>
    <row r="123" spans="1:54" ht="67.5" x14ac:dyDescent="0.25">
      <c r="A123" s="64" t="s">
        <v>2327</v>
      </c>
      <c r="B123" s="64" t="s">
        <v>32</v>
      </c>
      <c r="C123" s="77" t="s">
        <v>882</v>
      </c>
      <c r="D123" s="77" t="s">
        <v>913</v>
      </c>
      <c r="E123" s="77" t="s">
        <v>863</v>
      </c>
      <c r="F123" s="77" t="s">
        <v>885</v>
      </c>
      <c r="G123" s="77" t="s">
        <v>886</v>
      </c>
      <c r="H123" s="77" t="s">
        <v>866</v>
      </c>
      <c r="I123" s="77" t="s">
        <v>1029</v>
      </c>
      <c r="J123" s="77" t="s">
        <v>917</v>
      </c>
      <c r="K123" s="77" t="s">
        <v>1998</v>
      </c>
      <c r="L123" s="77" t="s">
        <v>1009</v>
      </c>
      <c r="M123" s="77" t="s">
        <v>1010</v>
      </c>
      <c r="N123" s="77" t="s">
        <v>889</v>
      </c>
      <c r="O123" s="77" t="s">
        <v>890</v>
      </c>
      <c r="P123" s="77" t="s">
        <v>457</v>
      </c>
      <c r="Q123" s="77" t="s">
        <v>870</v>
      </c>
      <c r="R123" s="77" t="s">
        <v>871</v>
      </c>
      <c r="S123" s="77" t="s">
        <v>907</v>
      </c>
      <c r="T123" s="77" t="s">
        <v>1015</v>
      </c>
      <c r="U123" s="77" t="s">
        <v>893</v>
      </c>
      <c r="V123" s="77" t="s">
        <v>894</v>
      </c>
      <c r="W123" s="77" t="s">
        <v>875</v>
      </c>
      <c r="X123" s="77" t="s">
        <v>876</v>
      </c>
      <c r="Y123" s="77" t="s">
        <v>537</v>
      </c>
      <c r="Z123" s="77" t="s">
        <v>896</v>
      </c>
      <c r="AA123" s="77" t="s">
        <v>897</v>
      </c>
      <c r="AB123" s="77" t="s">
        <v>898</v>
      </c>
      <c r="AC123" s="77" t="s">
        <v>879</v>
      </c>
      <c r="AD123" s="77" t="s">
        <v>899</v>
      </c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</row>
    <row r="124" spans="1:54" ht="75" x14ac:dyDescent="0.25">
      <c r="A124" s="64" t="s">
        <v>2328</v>
      </c>
      <c r="B124" s="64" t="s">
        <v>456</v>
      </c>
      <c r="C124" s="77" t="s">
        <v>901</v>
      </c>
      <c r="D124" s="77" t="s">
        <v>1999</v>
      </c>
      <c r="E124" s="77" t="s">
        <v>905</v>
      </c>
      <c r="F124" s="77" t="s">
        <v>2000</v>
      </c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</row>
    <row r="125" spans="1:54" ht="67.5" x14ac:dyDescent="0.25">
      <c r="A125" s="64" t="s">
        <v>2329</v>
      </c>
      <c r="B125" s="64" t="s">
        <v>32</v>
      </c>
      <c r="C125" s="77" t="s">
        <v>882</v>
      </c>
      <c r="D125" s="77" t="s">
        <v>913</v>
      </c>
      <c r="E125" s="77" t="s">
        <v>863</v>
      </c>
      <c r="F125" s="77" t="s">
        <v>885</v>
      </c>
      <c r="G125" s="77" t="s">
        <v>886</v>
      </c>
      <c r="H125" s="77" t="s">
        <v>866</v>
      </c>
      <c r="I125" s="77" t="s">
        <v>1029</v>
      </c>
      <c r="J125" s="77" t="s">
        <v>917</v>
      </c>
      <c r="K125" s="77" t="s">
        <v>1998</v>
      </c>
      <c r="L125" s="77" t="s">
        <v>1009</v>
      </c>
      <c r="M125" s="77" t="s">
        <v>1010</v>
      </c>
      <c r="N125" s="77" t="s">
        <v>889</v>
      </c>
      <c r="O125" s="77" t="s">
        <v>890</v>
      </c>
      <c r="P125" s="77" t="s">
        <v>457</v>
      </c>
      <c r="Q125" s="77" t="s">
        <v>870</v>
      </c>
      <c r="R125" s="77" t="s">
        <v>871</v>
      </c>
      <c r="S125" s="77" t="s">
        <v>907</v>
      </c>
      <c r="T125" s="77" t="s">
        <v>1015</v>
      </c>
      <c r="U125" s="77" t="s">
        <v>893</v>
      </c>
      <c r="V125" s="77" t="s">
        <v>894</v>
      </c>
      <c r="W125" s="77" t="s">
        <v>875</v>
      </c>
      <c r="X125" s="77" t="s">
        <v>876</v>
      </c>
      <c r="Y125" s="77" t="s">
        <v>537</v>
      </c>
      <c r="Z125" s="77" t="s">
        <v>896</v>
      </c>
      <c r="AA125" s="77" t="s">
        <v>897</v>
      </c>
      <c r="AB125" s="77" t="s">
        <v>898</v>
      </c>
      <c r="AC125" s="77" t="s">
        <v>879</v>
      </c>
      <c r="AD125" s="77" t="s">
        <v>899</v>
      </c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</row>
    <row r="126" spans="1:54" ht="75" x14ac:dyDescent="0.25">
      <c r="A126" s="64" t="s">
        <v>2330</v>
      </c>
      <c r="B126" s="64" t="s">
        <v>456</v>
      </c>
      <c r="C126" s="77" t="s">
        <v>901</v>
      </c>
      <c r="D126" s="77" t="s">
        <v>2001</v>
      </c>
      <c r="E126" s="77" t="s">
        <v>2002</v>
      </c>
      <c r="F126" s="77" t="s">
        <v>2000</v>
      </c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</row>
    <row r="127" spans="1:54" ht="67.5" x14ac:dyDescent="0.25">
      <c r="A127" s="64" t="s">
        <v>2331</v>
      </c>
      <c r="B127" s="64" t="s">
        <v>32</v>
      </c>
      <c r="C127" s="77" t="s">
        <v>861</v>
      </c>
      <c r="D127" s="77" t="s">
        <v>913</v>
      </c>
      <c r="E127" s="77" t="s">
        <v>863</v>
      </c>
      <c r="F127" s="77" t="s">
        <v>864</v>
      </c>
      <c r="G127" s="77" t="s">
        <v>914</v>
      </c>
      <c r="H127" s="77" t="s">
        <v>866</v>
      </c>
      <c r="I127" s="77" t="s">
        <v>1029</v>
      </c>
      <c r="J127" s="77" t="s">
        <v>917</v>
      </c>
      <c r="K127" s="77" t="s">
        <v>1008</v>
      </c>
      <c r="L127" s="77" t="s">
        <v>1009</v>
      </c>
      <c r="M127" s="77" t="s">
        <v>1010</v>
      </c>
      <c r="N127" s="77" t="s">
        <v>918</v>
      </c>
      <c r="O127" s="77"/>
      <c r="P127" s="77" t="s">
        <v>870</v>
      </c>
      <c r="Q127" s="77" t="s">
        <v>871</v>
      </c>
      <c r="R127" s="77" t="s">
        <v>907</v>
      </c>
      <c r="S127" s="77" t="s">
        <v>2003</v>
      </c>
      <c r="T127" s="77" t="s">
        <v>893</v>
      </c>
      <c r="U127" s="77" t="s">
        <v>894</v>
      </c>
      <c r="V127" s="77" t="s">
        <v>875</v>
      </c>
      <c r="W127" s="77" t="s">
        <v>920</v>
      </c>
      <c r="X127" s="77" t="s">
        <v>537</v>
      </c>
      <c r="Y127" s="77" t="s">
        <v>896</v>
      </c>
      <c r="Z127" s="77" t="s">
        <v>921</v>
      </c>
      <c r="AA127" s="77" t="s">
        <v>2004</v>
      </c>
      <c r="AB127" s="77" t="s">
        <v>879</v>
      </c>
      <c r="AC127" s="77" t="s">
        <v>993</v>
      </c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</row>
    <row r="128" spans="1:54" ht="75" x14ac:dyDescent="0.25">
      <c r="A128" s="64" t="s">
        <v>2332</v>
      </c>
      <c r="B128" s="64" t="s">
        <v>456</v>
      </c>
      <c r="C128" s="77" t="s">
        <v>901</v>
      </c>
      <c r="D128" s="77" t="s">
        <v>2005</v>
      </c>
      <c r="E128" s="77" t="s">
        <v>2006</v>
      </c>
      <c r="F128" s="77" t="s">
        <v>2000</v>
      </c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</row>
    <row r="129" spans="1:54" ht="56.25" x14ac:dyDescent="0.25">
      <c r="A129" s="64" t="s">
        <v>2333</v>
      </c>
      <c r="B129" s="64" t="s">
        <v>32</v>
      </c>
      <c r="C129" s="77" t="s">
        <v>861</v>
      </c>
      <c r="D129" s="77" t="s">
        <v>913</v>
      </c>
      <c r="E129" s="77" t="s">
        <v>863</v>
      </c>
      <c r="F129" s="77" t="s">
        <v>864</v>
      </c>
      <c r="G129" s="77" t="s">
        <v>914</v>
      </c>
      <c r="H129" s="77" t="s">
        <v>866</v>
      </c>
      <c r="I129" s="77" t="s">
        <v>1029</v>
      </c>
      <c r="J129" s="77" t="s">
        <v>916</v>
      </c>
      <c r="K129" s="77" t="s">
        <v>917</v>
      </c>
      <c r="L129" s="77" t="s">
        <v>1008</v>
      </c>
      <c r="M129" s="77" t="s">
        <v>1009</v>
      </c>
      <c r="N129" s="77" t="s">
        <v>918</v>
      </c>
      <c r="O129" s="77" t="s">
        <v>1010</v>
      </c>
      <c r="P129" s="77"/>
      <c r="Q129" s="77" t="s">
        <v>870</v>
      </c>
      <c r="R129" s="77" t="s">
        <v>871</v>
      </c>
      <c r="S129" s="77" t="s">
        <v>907</v>
      </c>
      <c r="T129" s="77" t="s">
        <v>2003</v>
      </c>
      <c r="U129" s="77" t="s">
        <v>893</v>
      </c>
      <c r="V129" s="77" t="s">
        <v>894</v>
      </c>
      <c r="W129" s="77" t="s">
        <v>875</v>
      </c>
      <c r="X129" s="77" t="s">
        <v>920</v>
      </c>
      <c r="Y129" s="77" t="s">
        <v>537</v>
      </c>
      <c r="Z129" s="77" t="s">
        <v>896</v>
      </c>
      <c r="AA129" s="77" t="s">
        <v>921</v>
      </c>
      <c r="AB129" s="77" t="s">
        <v>2004</v>
      </c>
      <c r="AC129" s="77" t="s">
        <v>879</v>
      </c>
      <c r="AD129" s="77" t="s">
        <v>993</v>
      </c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</row>
    <row r="130" spans="1:54" ht="75" x14ac:dyDescent="0.25">
      <c r="A130" s="64" t="s">
        <v>2334</v>
      </c>
      <c r="B130" s="64" t="s">
        <v>456</v>
      </c>
      <c r="C130" s="77" t="s">
        <v>901</v>
      </c>
      <c r="D130" s="77" t="s">
        <v>2007</v>
      </c>
      <c r="E130" s="77" t="s">
        <v>2008</v>
      </c>
      <c r="F130" s="77" t="s">
        <v>2000</v>
      </c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</row>
    <row r="131" spans="1:54" ht="78.75" x14ac:dyDescent="0.25">
      <c r="A131" s="64" t="s">
        <v>2335</v>
      </c>
      <c r="B131" s="64" t="s">
        <v>32</v>
      </c>
      <c r="C131" s="77" t="s">
        <v>1029</v>
      </c>
      <c r="D131" s="77" t="s">
        <v>934</v>
      </c>
      <c r="E131" s="77" t="s">
        <v>935</v>
      </c>
      <c r="F131" s="77" t="s">
        <v>866</v>
      </c>
      <c r="G131" s="77" t="s">
        <v>936</v>
      </c>
      <c r="H131" s="77" t="s">
        <v>937</v>
      </c>
      <c r="I131" s="77" t="s">
        <v>917</v>
      </c>
      <c r="J131" s="77" t="s">
        <v>1008</v>
      </c>
      <c r="K131" s="77" t="s">
        <v>1226</v>
      </c>
      <c r="L131" s="77" t="s">
        <v>1010</v>
      </c>
      <c r="M131" s="77"/>
      <c r="N131" s="77" t="s">
        <v>870</v>
      </c>
      <c r="O131" s="77" t="s">
        <v>871</v>
      </c>
      <c r="P131" s="77" t="s">
        <v>938</v>
      </c>
      <c r="Q131" s="77" t="s">
        <v>939</v>
      </c>
      <c r="R131" s="77" t="s">
        <v>893</v>
      </c>
      <c r="S131" s="77" t="s">
        <v>894</v>
      </c>
      <c r="T131" s="77" t="s">
        <v>940</v>
      </c>
      <c r="U131" s="77" t="s">
        <v>920</v>
      </c>
      <c r="V131" s="77" t="s">
        <v>941</v>
      </c>
      <c r="W131" s="77" t="s">
        <v>942</v>
      </c>
      <c r="X131" s="77" t="s">
        <v>943</v>
      </c>
      <c r="Y131" s="77" t="s">
        <v>944</v>
      </c>
      <c r="Z131" s="77" t="s">
        <v>537</v>
      </c>
      <c r="AA131" s="77" t="s">
        <v>945</v>
      </c>
      <c r="AB131" s="77" t="s">
        <v>896</v>
      </c>
      <c r="AC131" s="77" t="s">
        <v>946</v>
      </c>
      <c r="AD131" s="77" t="s">
        <v>930</v>
      </c>
      <c r="AE131" s="77" t="s">
        <v>922</v>
      </c>
      <c r="AF131" s="77" t="s">
        <v>947</v>
      </c>
      <c r="AG131" s="77" t="s">
        <v>879</v>
      </c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</row>
    <row r="132" spans="1:54" ht="60" x14ac:dyDescent="0.25">
      <c r="A132" s="64" t="s">
        <v>2336</v>
      </c>
      <c r="B132" s="64" t="s">
        <v>456</v>
      </c>
      <c r="C132" s="77" t="s">
        <v>2009</v>
      </c>
      <c r="D132" s="77" t="s">
        <v>1238</v>
      </c>
      <c r="E132" s="77" t="s">
        <v>2010</v>
      </c>
      <c r="F132" s="77" t="s">
        <v>948</v>
      </c>
      <c r="G132" s="77" t="s">
        <v>949</v>
      </c>
      <c r="H132" s="77" t="s">
        <v>2011</v>
      </c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</row>
    <row r="133" spans="1:54" ht="56.25" x14ac:dyDescent="0.25">
      <c r="A133" s="64" t="s">
        <v>2337</v>
      </c>
      <c r="B133" s="64" t="s">
        <v>32</v>
      </c>
      <c r="C133" s="77" t="s">
        <v>932</v>
      </c>
      <c r="D133" s="77" t="s">
        <v>913</v>
      </c>
      <c r="E133" s="77" t="s">
        <v>863</v>
      </c>
      <c r="F133" s="77" t="s">
        <v>1029</v>
      </c>
      <c r="G133" s="77" t="s">
        <v>934</v>
      </c>
      <c r="H133" s="77" t="s">
        <v>935</v>
      </c>
      <c r="I133" s="77" t="s">
        <v>866</v>
      </c>
      <c r="J133" s="77" t="s">
        <v>936</v>
      </c>
      <c r="K133" s="77" t="s">
        <v>937</v>
      </c>
      <c r="L133" s="77" t="s">
        <v>917</v>
      </c>
      <c r="M133" s="77" t="s">
        <v>1008</v>
      </c>
      <c r="N133" s="77" t="s">
        <v>1226</v>
      </c>
      <c r="O133" s="77" t="s">
        <v>1010</v>
      </c>
      <c r="P133" s="77"/>
      <c r="Q133" s="77" t="s">
        <v>870</v>
      </c>
      <c r="R133" s="77" t="s">
        <v>871</v>
      </c>
      <c r="S133" s="77" t="s">
        <v>938</v>
      </c>
      <c r="T133" s="77" t="s">
        <v>939</v>
      </c>
      <c r="U133" s="77" t="s">
        <v>893</v>
      </c>
      <c r="V133" s="77" t="s">
        <v>894</v>
      </c>
      <c r="W133" s="77" t="s">
        <v>940</v>
      </c>
      <c r="X133" s="77" t="s">
        <v>920</v>
      </c>
      <c r="Y133" s="77" t="s">
        <v>941</v>
      </c>
      <c r="Z133" s="77" t="s">
        <v>942</v>
      </c>
      <c r="AA133" s="77" t="s">
        <v>943</v>
      </c>
      <c r="AB133" s="77" t="s">
        <v>944</v>
      </c>
      <c r="AC133" s="77" t="s">
        <v>537</v>
      </c>
      <c r="AD133" s="77" t="s">
        <v>945</v>
      </c>
      <c r="AE133" s="77" t="s">
        <v>896</v>
      </c>
      <c r="AF133" s="77" t="s">
        <v>946</v>
      </c>
      <c r="AG133" s="77" t="s">
        <v>930</v>
      </c>
      <c r="AH133" s="77" t="s">
        <v>922</v>
      </c>
      <c r="AI133" s="77" t="s">
        <v>947</v>
      </c>
      <c r="AJ133" s="77" t="s">
        <v>879</v>
      </c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</row>
    <row r="134" spans="1:54" ht="60" x14ac:dyDescent="0.25">
      <c r="A134" s="64" t="s">
        <v>2338</v>
      </c>
      <c r="B134" s="64" t="s">
        <v>456</v>
      </c>
      <c r="C134" s="77" t="s">
        <v>2009</v>
      </c>
      <c r="D134" s="77" t="s">
        <v>1238</v>
      </c>
      <c r="E134" s="77" t="s">
        <v>2012</v>
      </c>
      <c r="F134" s="77" t="s">
        <v>2013</v>
      </c>
      <c r="G134" s="77" t="s">
        <v>2014</v>
      </c>
      <c r="H134" s="77" t="s">
        <v>2011</v>
      </c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</row>
    <row r="135" spans="1:54" ht="56.25" x14ac:dyDescent="0.25">
      <c r="A135" s="64" t="s">
        <v>2339</v>
      </c>
      <c r="B135" s="64" t="s">
        <v>32</v>
      </c>
      <c r="C135" s="77" t="s">
        <v>932</v>
      </c>
      <c r="D135" s="77" t="s">
        <v>913</v>
      </c>
      <c r="E135" s="77" t="s">
        <v>863</v>
      </c>
      <c r="F135" s="77" t="s">
        <v>1029</v>
      </c>
      <c r="G135" s="77" t="s">
        <v>934</v>
      </c>
      <c r="H135" s="77" t="s">
        <v>935</v>
      </c>
      <c r="I135" s="77" t="s">
        <v>866</v>
      </c>
      <c r="J135" s="77" t="s">
        <v>936</v>
      </c>
      <c r="K135" s="77" t="s">
        <v>937</v>
      </c>
      <c r="L135" s="77" t="s">
        <v>917</v>
      </c>
      <c r="M135" s="77" t="s">
        <v>1008</v>
      </c>
      <c r="N135" s="77" t="s">
        <v>1226</v>
      </c>
      <c r="O135" s="77" t="s">
        <v>1010</v>
      </c>
      <c r="P135" s="77"/>
      <c r="Q135" s="77" t="s">
        <v>870</v>
      </c>
      <c r="R135" s="77" t="s">
        <v>871</v>
      </c>
      <c r="S135" s="77" t="s">
        <v>938</v>
      </c>
      <c r="T135" s="77" t="s">
        <v>939</v>
      </c>
      <c r="U135" s="77" t="s">
        <v>893</v>
      </c>
      <c r="V135" s="77" t="s">
        <v>894</v>
      </c>
      <c r="W135" s="77" t="s">
        <v>940</v>
      </c>
      <c r="X135" s="77" t="s">
        <v>920</v>
      </c>
      <c r="Y135" s="77" t="s">
        <v>941</v>
      </c>
      <c r="Z135" s="77" t="s">
        <v>942</v>
      </c>
      <c r="AA135" s="77" t="s">
        <v>943</v>
      </c>
      <c r="AB135" s="77" t="s">
        <v>944</v>
      </c>
      <c r="AC135" s="77" t="s">
        <v>537</v>
      </c>
      <c r="AD135" s="77" t="s">
        <v>945</v>
      </c>
      <c r="AE135" s="77" t="s">
        <v>896</v>
      </c>
      <c r="AF135" s="77" t="s">
        <v>946</v>
      </c>
      <c r="AG135" s="77" t="s">
        <v>930</v>
      </c>
      <c r="AH135" s="77" t="s">
        <v>922</v>
      </c>
      <c r="AI135" s="77" t="s">
        <v>947</v>
      </c>
      <c r="AJ135" s="77" t="s">
        <v>879</v>
      </c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</row>
    <row r="136" spans="1:54" ht="60" x14ac:dyDescent="0.25">
      <c r="A136" s="64" t="s">
        <v>2340</v>
      </c>
      <c r="B136" s="64" t="s">
        <v>456</v>
      </c>
      <c r="C136" s="77" t="s">
        <v>2009</v>
      </c>
      <c r="D136" s="77" t="s">
        <v>1238</v>
      </c>
      <c r="E136" s="77" t="s">
        <v>2015</v>
      </c>
      <c r="F136" s="77" t="s">
        <v>2016</v>
      </c>
      <c r="G136" s="77" t="s">
        <v>2017</v>
      </c>
      <c r="H136" s="77" t="s">
        <v>2011</v>
      </c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</row>
    <row r="137" spans="1:54" ht="56.25" x14ac:dyDescent="0.25">
      <c r="A137" s="64" t="s">
        <v>2341</v>
      </c>
      <c r="B137" s="64" t="s">
        <v>32</v>
      </c>
      <c r="C137" s="77" t="s">
        <v>932</v>
      </c>
      <c r="D137" s="77" t="s">
        <v>913</v>
      </c>
      <c r="E137" s="77" t="s">
        <v>863</v>
      </c>
      <c r="F137" s="77" t="s">
        <v>1029</v>
      </c>
      <c r="G137" s="77" t="s">
        <v>916</v>
      </c>
      <c r="H137" s="77" t="s">
        <v>935</v>
      </c>
      <c r="I137" s="77" t="s">
        <v>866</v>
      </c>
      <c r="J137" s="77" t="s">
        <v>936</v>
      </c>
      <c r="K137" s="77" t="s">
        <v>937</v>
      </c>
      <c r="L137" s="77" t="s">
        <v>917</v>
      </c>
      <c r="M137" s="77" t="s">
        <v>1008</v>
      </c>
      <c r="N137" s="77" t="s">
        <v>1226</v>
      </c>
      <c r="O137" s="77" t="s">
        <v>1010</v>
      </c>
      <c r="P137" s="77"/>
      <c r="Q137" s="77" t="s">
        <v>870</v>
      </c>
      <c r="R137" s="77" t="s">
        <v>871</v>
      </c>
      <c r="S137" s="77" t="s">
        <v>938</v>
      </c>
      <c r="T137" s="77" t="s">
        <v>939</v>
      </c>
      <c r="U137" s="77" t="s">
        <v>893</v>
      </c>
      <c r="V137" s="77" t="s">
        <v>894</v>
      </c>
      <c r="W137" s="77" t="s">
        <v>940</v>
      </c>
      <c r="X137" s="77" t="s">
        <v>920</v>
      </c>
      <c r="Y137" s="77" t="s">
        <v>941</v>
      </c>
      <c r="Z137" s="77" t="s">
        <v>942</v>
      </c>
      <c r="AA137" s="77" t="s">
        <v>943</v>
      </c>
      <c r="AB137" s="77" t="s">
        <v>944</v>
      </c>
      <c r="AC137" s="77" t="s">
        <v>537</v>
      </c>
      <c r="AD137" s="77" t="s">
        <v>945</v>
      </c>
      <c r="AE137" s="77" t="s">
        <v>896</v>
      </c>
      <c r="AF137" s="77" t="s">
        <v>946</v>
      </c>
      <c r="AG137" s="77" t="s">
        <v>930</v>
      </c>
      <c r="AH137" s="77" t="s">
        <v>922</v>
      </c>
      <c r="AI137" s="77" t="s">
        <v>947</v>
      </c>
      <c r="AJ137" s="77" t="s">
        <v>879</v>
      </c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</row>
    <row r="138" spans="1:54" ht="60" x14ac:dyDescent="0.25">
      <c r="A138" s="64" t="s">
        <v>2342</v>
      </c>
      <c r="B138" s="64" t="s">
        <v>456</v>
      </c>
      <c r="C138" s="77" t="s">
        <v>2009</v>
      </c>
      <c r="D138" s="77" t="s">
        <v>1238</v>
      </c>
      <c r="E138" s="77" t="s">
        <v>2018</v>
      </c>
      <c r="F138" s="77" t="s">
        <v>2019</v>
      </c>
      <c r="G138" s="77" t="s">
        <v>2020</v>
      </c>
      <c r="H138" s="77" t="s">
        <v>2011</v>
      </c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</row>
    <row r="139" spans="1:54" ht="56.25" x14ac:dyDescent="0.25">
      <c r="A139" s="64" t="s">
        <v>2343</v>
      </c>
      <c r="B139" s="64" t="s">
        <v>32</v>
      </c>
      <c r="C139" s="77" t="s">
        <v>932</v>
      </c>
      <c r="D139" s="77" t="s">
        <v>913</v>
      </c>
      <c r="E139" s="77" t="s">
        <v>2021</v>
      </c>
      <c r="F139" s="77" t="s">
        <v>1029</v>
      </c>
      <c r="G139" s="77" t="s">
        <v>916</v>
      </c>
      <c r="H139" s="77" t="s">
        <v>935</v>
      </c>
      <c r="I139" s="77" t="s">
        <v>866</v>
      </c>
      <c r="J139" s="77" t="s">
        <v>936</v>
      </c>
      <c r="K139" s="77" t="s">
        <v>937</v>
      </c>
      <c r="L139" s="77" t="s">
        <v>917</v>
      </c>
      <c r="M139" s="77" t="s">
        <v>2022</v>
      </c>
      <c r="N139" s="77" t="s">
        <v>1226</v>
      </c>
      <c r="O139" s="77" t="s">
        <v>1010</v>
      </c>
      <c r="P139" s="77"/>
      <c r="Q139" s="77" t="s">
        <v>870</v>
      </c>
      <c r="R139" s="77" t="s">
        <v>871</v>
      </c>
      <c r="S139" s="77" t="s">
        <v>938</v>
      </c>
      <c r="T139" s="77" t="s">
        <v>939</v>
      </c>
      <c r="U139" s="77" t="s">
        <v>893</v>
      </c>
      <c r="V139" s="77" t="s">
        <v>894</v>
      </c>
      <c r="W139" s="77" t="s">
        <v>940</v>
      </c>
      <c r="X139" s="77" t="s">
        <v>920</v>
      </c>
      <c r="Y139" s="77" t="s">
        <v>941</v>
      </c>
      <c r="Z139" s="77" t="s">
        <v>942</v>
      </c>
      <c r="AA139" s="77" t="s">
        <v>943</v>
      </c>
      <c r="AB139" s="77" t="s">
        <v>944</v>
      </c>
      <c r="AC139" s="77" t="s">
        <v>537</v>
      </c>
      <c r="AD139" s="77" t="s">
        <v>945</v>
      </c>
      <c r="AE139" s="77" t="s">
        <v>896</v>
      </c>
      <c r="AF139" s="77" t="s">
        <v>946</v>
      </c>
      <c r="AG139" s="77" t="s">
        <v>930</v>
      </c>
      <c r="AH139" s="77" t="s">
        <v>922</v>
      </c>
      <c r="AI139" s="77" t="s">
        <v>947</v>
      </c>
      <c r="AJ139" s="77" t="s">
        <v>879</v>
      </c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</row>
    <row r="140" spans="1:54" ht="75" x14ac:dyDescent="0.25">
      <c r="A140" s="64" t="s">
        <v>2344</v>
      </c>
      <c r="B140" s="64" t="s">
        <v>456</v>
      </c>
      <c r="C140" s="77" t="s">
        <v>2009</v>
      </c>
      <c r="D140" s="77" t="s">
        <v>2019</v>
      </c>
      <c r="E140" s="77" t="s">
        <v>2020</v>
      </c>
      <c r="F140" s="77" t="s">
        <v>2011</v>
      </c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</row>
    <row r="141" spans="1:54" ht="56.25" x14ac:dyDescent="0.25">
      <c r="A141" s="64" t="s">
        <v>2345</v>
      </c>
      <c r="B141" s="64" t="s">
        <v>32</v>
      </c>
      <c r="C141" s="77" t="s">
        <v>932</v>
      </c>
      <c r="D141" s="77" t="s">
        <v>913</v>
      </c>
      <c r="E141" s="77" t="s">
        <v>863</v>
      </c>
      <c r="F141" s="77" t="s">
        <v>1029</v>
      </c>
      <c r="G141" s="77" t="s">
        <v>934</v>
      </c>
      <c r="H141" s="77" t="s">
        <v>935</v>
      </c>
      <c r="I141" s="77" t="s">
        <v>866</v>
      </c>
      <c r="J141" s="77" t="s">
        <v>936</v>
      </c>
      <c r="K141" s="77" t="s">
        <v>937</v>
      </c>
      <c r="L141" s="77" t="s">
        <v>917</v>
      </c>
      <c r="M141" s="77" t="s">
        <v>1008</v>
      </c>
      <c r="N141" s="77" t="s">
        <v>1226</v>
      </c>
      <c r="O141" s="77" t="s">
        <v>1010</v>
      </c>
      <c r="P141" s="77"/>
      <c r="Q141" s="77" t="s">
        <v>870</v>
      </c>
      <c r="R141" s="77" t="s">
        <v>871</v>
      </c>
      <c r="S141" s="77" t="s">
        <v>938</v>
      </c>
      <c r="T141" s="77" t="s">
        <v>939</v>
      </c>
      <c r="U141" s="77" t="s">
        <v>893</v>
      </c>
      <c r="V141" s="77" t="s">
        <v>894</v>
      </c>
      <c r="W141" s="77" t="s">
        <v>940</v>
      </c>
      <c r="X141" s="77" t="s">
        <v>920</v>
      </c>
      <c r="Y141" s="77" t="s">
        <v>941</v>
      </c>
      <c r="Z141" s="77" t="s">
        <v>942</v>
      </c>
      <c r="AA141" s="77" t="s">
        <v>943</v>
      </c>
      <c r="AB141" s="77" t="s">
        <v>944</v>
      </c>
      <c r="AC141" s="77" t="s">
        <v>537</v>
      </c>
      <c r="AD141" s="77" t="s">
        <v>945</v>
      </c>
      <c r="AE141" s="77" t="s">
        <v>896</v>
      </c>
      <c r="AF141" s="77" t="s">
        <v>946</v>
      </c>
      <c r="AG141" s="77" t="s">
        <v>930</v>
      </c>
      <c r="AH141" s="77" t="s">
        <v>922</v>
      </c>
      <c r="AI141" s="77" t="s">
        <v>947</v>
      </c>
      <c r="AJ141" s="77" t="s">
        <v>879</v>
      </c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</row>
    <row r="142" spans="1:54" ht="45" x14ac:dyDescent="0.25">
      <c r="A142" s="64" t="s">
        <v>2346</v>
      </c>
      <c r="B142" s="64" t="s">
        <v>456</v>
      </c>
      <c r="C142" s="77" t="s">
        <v>2009</v>
      </c>
      <c r="D142" s="77" t="s">
        <v>1238</v>
      </c>
      <c r="E142" s="77" t="s">
        <v>2010</v>
      </c>
      <c r="F142" s="77" t="s">
        <v>948</v>
      </c>
      <c r="G142" s="77" t="s">
        <v>949</v>
      </c>
      <c r="H142" s="77" t="s">
        <v>950</v>
      </c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</row>
    <row r="143" spans="1:54" ht="56.25" x14ac:dyDescent="0.25">
      <c r="A143" s="64" t="s">
        <v>2347</v>
      </c>
      <c r="B143" s="64" t="s">
        <v>32</v>
      </c>
      <c r="C143" s="77" t="s">
        <v>932</v>
      </c>
      <c r="D143" s="77" t="s">
        <v>913</v>
      </c>
      <c r="E143" s="77" t="s">
        <v>863</v>
      </c>
      <c r="F143" s="77" t="s">
        <v>1029</v>
      </c>
      <c r="G143" s="77" t="s">
        <v>934</v>
      </c>
      <c r="H143" s="77" t="s">
        <v>935</v>
      </c>
      <c r="I143" s="77" t="s">
        <v>866</v>
      </c>
      <c r="J143" s="77" t="s">
        <v>936</v>
      </c>
      <c r="K143" s="77" t="s">
        <v>937</v>
      </c>
      <c r="L143" s="77" t="s">
        <v>917</v>
      </c>
      <c r="M143" s="77" t="s">
        <v>1008</v>
      </c>
      <c r="N143" s="77" t="s">
        <v>1226</v>
      </c>
      <c r="O143" s="77" t="s">
        <v>1010</v>
      </c>
      <c r="P143" s="77"/>
      <c r="Q143" s="77" t="s">
        <v>870</v>
      </c>
      <c r="R143" s="77" t="s">
        <v>871</v>
      </c>
      <c r="S143" s="77" t="s">
        <v>938</v>
      </c>
      <c r="T143" s="77" t="s">
        <v>939</v>
      </c>
      <c r="U143" s="77" t="s">
        <v>893</v>
      </c>
      <c r="V143" s="77" t="s">
        <v>894</v>
      </c>
      <c r="W143" s="77" t="s">
        <v>940</v>
      </c>
      <c r="X143" s="77" t="s">
        <v>920</v>
      </c>
      <c r="Y143" s="77" t="s">
        <v>941</v>
      </c>
      <c r="Z143" s="77" t="s">
        <v>942</v>
      </c>
      <c r="AA143" s="77" t="s">
        <v>943</v>
      </c>
      <c r="AB143" s="77" t="s">
        <v>944</v>
      </c>
      <c r="AC143" s="77" t="s">
        <v>537</v>
      </c>
      <c r="AD143" s="77" t="s">
        <v>945</v>
      </c>
      <c r="AE143" s="77" t="s">
        <v>896</v>
      </c>
      <c r="AF143" s="77" t="s">
        <v>946</v>
      </c>
      <c r="AG143" s="77" t="s">
        <v>930</v>
      </c>
      <c r="AH143" s="77" t="s">
        <v>922</v>
      </c>
      <c r="AI143" s="77" t="s">
        <v>947</v>
      </c>
      <c r="AJ143" s="77" t="s">
        <v>879</v>
      </c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</row>
    <row r="144" spans="1:54" ht="45" x14ac:dyDescent="0.25">
      <c r="A144" s="64" t="s">
        <v>2348</v>
      </c>
      <c r="B144" s="64" t="s">
        <v>456</v>
      </c>
      <c r="C144" s="77" t="s">
        <v>2009</v>
      </c>
      <c r="D144" s="77" t="s">
        <v>1238</v>
      </c>
      <c r="E144" s="77" t="s">
        <v>2023</v>
      </c>
      <c r="F144" s="77" t="s">
        <v>2013</v>
      </c>
      <c r="G144" s="77" t="s">
        <v>2014</v>
      </c>
      <c r="H144" s="77" t="s">
        <v>950</v>
      </c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</row>
    <row r="145" spans="1:54" ht="56.25" x14ac:dyDescent="0.25">
      <c r="A145" s="64" t="s">
        <v>2349</v>
      </c>
      <c r="B145" s="64" t="s">
        <v>32</v>
      </c>
      <c r="C145" s="77" t="s">
        <v>932</v>
      </c>
      <c r="D145" s="77" t="s">
        <v>913</v>
      </c>
      <c r="E145" s="77" t="s">
        <v>863</v>
      </c>
      <c r="F145" s="77" t="s">
        <v>1029</v>
      </c>
      <c r="G145" s="77" t="s">
        <v>934</v>
      </c>
      <c r="H145" s="77" t="s">
        <v>935</v>
      </c>
      <c r="I145" s="77" t="s">
        <v>866</v>
      </c>
      <c r="J145" s="77" t="s">
        <v>936</v>
      </c>
      <c r="K145" s="77" t="s">
        <v>937</v>
      </c>
      <c r="L145" s="77" t="s">
        <v>917</v>
      </c>
      <c r="M145" s="77" t="s">
        <v>1008</v>
      </c>
      <c r="N145" s="77" t="s">
        <v>1226</v>
      </c>
      <c r="O145" s="77" t="s">
        <v>1010</v>
      </c>
      <c r="P145" s="77"/>
      <c r="Q145" s="77" t="s">
        <v>870</v>
      </c>
      <c r="R145" s="77" t="s">
        <v>871</v>
      </c>
      <c r="S145" s="77" t="s">
        <v>938</v>
      </c>
      <c r="T145" s="77" t="s">
        <v>939</v>
      </c>
      <c r="U145" s="77" t="s">
        <v>893</v>
      </c>
      <c r="V145" s="77" t="s">
        <v>894</v>
      </c>
      <c r="W145" s="77" t="s">
        <v>940</v>
      </c>
      <c r="X145" s="77" t="s">
        <v>920</v>
      </c>
      <c r="Y145" s="77" t="s">
        <v>941</v>
      </c>
      <c r="Z145" s="77" t="s">
        <v>942</v>
      </c>
      <c r="AA145" s="77" t="s">
        <v>943</v>
      </c>
      <c r="AB145" s="77" t="s">
        <v>944</v>
      </c>
      <c r="AC145" s="77" t="s">
        <v>537</v>
      </c>
      <c r="AD145" s="77" t="s">
        <v>945</v>
      </c>
      <c r="AE145" s="77" t="s">
        <v>896</v>
      </c>
      <c r="AF145" s="77" t="s">
        <v>946</v>
      </c>
      <c r="AG145" s="77" t="s">
        <v>930</v>
      </c>
      <c r="AH145" s="77" t="s">
        <v>922</v>
      </c>
      <c r="AI145" s="77" t="s">
        <v>947</v>
      </c>
      <c r="AJ145" s="77" t="s">
        <v>879</v>
      </c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</row>
    <row r="146" spans="1:54" ht="45" x14ac:dyDescent="0.25">
      <c r="A146" s="64" t="s">
        <v>2350</v>
      </c>
      <c r="B146" s="64" t="s">
        <v>456</v>
      </c>
      <c r="C146" s="77" t="s">
        <v>2009</v>
      </c>
      <c r="D146" s="77" t="s">
        <v>1238</v>
      </c>
      <c r="E146" s="77" t="s">
        <v>2015</v>
      </c>
      <c r="F146" s="77" t="s">
        <v>2016</v>
      </c>
      <c r="G146" s="77" t="s">
        <v>2017</v>
      </c>
      <c r="H146" s="77" t="s">
        <v>950</v>
      </c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</row>
    <row r="147" spans="1:54" ht="56.25" x14ac:dyDescent="0.25">
      <c r="A147" s="64" t="s">
        <v>2351</v>
      </c>
      <c r="B147" s="64" t="s">
        <v>32</v>
      </c>
      <c r="C147" s="77" t="s">
        <v>932</v>
      </c>
      <c r="D147" s="77" t="s">
        <v>913</v>
      </c>
      <c r="E147" s="77" t="s">
        <v>863</v>
      </c>
      <c r="F147" s="77" t="s">
        <v>1029</v>
      </c>
      <c r="G147" s="77" t="s">
        <v>916</v>
      </c>
      <c r="H147" s="77" t="s">
        <v>935</v>
      </c>
      <c r="I147" s="77" t="s">
        <v>866</v>
      </c>
      <c r="J147" s="77" t="s">
        <v>936</v>
      </c>
      <c r="K147" s="77" t="s">
        <v>937</v>
      </c>
      <c r="L147" s="77" t="s">
        <v>917</v>
      </c>
      <c r="M147" s="77" t="s">
        <v>1008</v>
      </c>
      <c r="N147" s="77" t="s">
        <v>1226</v>
      </c>
      <c r="O147" s="77" t="s">
        <v>1010</v>
      </c>
      <c r="P147" s="77"/>
      <c r="Q147" s="77" t="s">
        <v>870</v>
      </c>
      <c r="R147" s="77" t="s">
        <v>871</v>
      </c>
      <c r="S147" s="77" t="s">
        <v>938</v>
      </c>
      <c r="T147" s="77" t="s">
        <v>939</v>
      </c>
      <c r="U147" s="77" t="s">
        <v>893</v>
      </c>
      <c r="V147" s="77" t="s">
        <v>894</v>
      </c>
      <c r="W147" s="77" t="s">
        <v>940</v>
      </c>
      <c r="X147" s="77" t="s">
        <v>920</v>
      </c>
      <c r="Y147" s="77" t="s">
        <v>941</v>
      </c>
      <c r="Z147" s="77" t="s">
        <v>942</v>
      </c>
      <c r="AA147" s="77" t="s">
        <v>943</v>
      </c>
      <c r="AB147" s="77" t="s">
        <v>944</v>
      </c>
      <c r="AC147" s="77" t="s">
        <v>537</v>
      </c>
      <c r="AD147" s="77" t="s">
        <v>945</v>
      </c>
      <c r="AE147" s="77" t="s">
        <v>896</v>
      </c>
      <c r="AF147" s="77" t="s">
        <v>946</v>
      </c>
      <c r="AG147" s="77" t="s">
        <v>930</v>
      </c>
      <c r="AH147" s="77" t="s">
        <v>922</v>
      </c>
      <c r="AI147" s="77" t="s">
        <v>947</v>
      </c>
      <c r="AJ147" s="77" t="s">
        <v>879</v>
      </c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</row>
    <row r="148" spans="1:54" ht="45" x14ac:dyDescent="0.25">
      <c r="A148" s="64" t="s">
        <v>2352</v>
      </c>
      <c r="B148" s="64" t="s">
        <v>456</v>
      </c>
      <c r="C148" s="77" t="s">
        <v>2009</v>
      </c>
      <c r="D148" s="77" t="s">
        <v>1238</v>
      </c>
      <c r="E148" s="77" t="s">
        <v>2018</v>
      </c>
      <c r="F148" s="77" t="s">
        <v>2019</v>
      </c>
      <c r="G148" s="77" t="s">
        <v>2020</v>
      </c>
      <c r="H148" s="77" t="s">
        <v>950</v>
      </c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</row>
    <row r="149" spans="1:54" ht="45" x14ac:dyDescent="0.25">
      <c r="A149" s="64" t="s">
        <v>2353</v>
      </c>
      <c r="B149" s="64" t="s">
        <v>32</v>
      </c>
      <c r="C149" s="77" t="s">
        <v>932</v>
      </c>
      <c r="D149" s="77" t="s">
        <v>913</v>
      </c>
      <c r="E149" s="77" t="s">
        <v>2021</v>
      </c>
      <c r="F149" s="77" t="s">
        <v>1029</v>
      </c>
      <c r="G149" s="77" t="s">
        <v>916</v>
      </c>
      <c r="H149" s="77" t="s">
        <v>935</v>
      </c>
      <c r="I149" s="77" t="s">
        <v>866</v>
      </c>
      <c r="J149" s="77" t="s">
        <v>936</v>
      </c>
      <c r="K149" s="77" t="s">
        <v>937</v>
      </c>
      <c r="L149" s="77" t="s">
        <v>917</v>
      </c>
      <c r="M149" s="77" t="s">
        <v>2024</v>
      </c>
      <c r="N149" s="77" t="s">
        <v>1226</v>
      </c>
      <c r="O149" s="77" t="s">
        <v>1010</v>
      </c>
      <c r="P149" s="77">
        <v>2504</v>
      </c>
      <c r="Q149" s="77" t="s">
        <v>870</v>
      </c>
      <c r="R149" s="77" t="s">
        <v>871</v>
      </c>
      <c r="S149" s="77" t="s">
        <v>938</v>
      </c>
      <c r="T149" s="77" t="s">
        <v>2025</v>
      </c>
      <c r="U149" s="77" t="s">
        <v>893</v>
      </c>
      <c r="V149" s="77" t="s">
        <v>894</v>
      </c>
      <c r="W149" s="77" t="s">
        <v>940</v>
      </c>
      <c r="X149" s="77" t="s">
        <v>920</v>
      </c>
      <c r="Y149" s="77" t="s">
        <v>941</v>
      </c>
      <c r="Z149" s="77" t="s">
        <v>942</v>
      </c>
      <c r="AA149" s="77" t="s">
        <v>943</v>
      </c>
      <c r="AB149" s="77" t="s">
        <v>944</v>
      </c>
      <c r="AC149" s="77" t="s">
        <v>537</v>
      </c>
      <c r="AD149" s="77" t="s">
        <v>945</v>
      </c>
      <c r="AE149" s="77" t="s">
        <v>896</v>
      </c>
      <c r="AF149" s="77" t="s">
        <v>946</v>
      </c>
      <c r="AG149" s="77" t="s">
        <v>930</v>
      </c>
      <c r="AH149" s="77" t="s">
        <v>922</v>
      </c>
      <c r="AI149" s="77" t="s">
        <v>947</v>
      </c>
      <c r="AJ149" s="77" t="s">
        <v>879</v>
      </c>
      <c r="AK149" s="77" t="s">
        <v>2026</v>
      </c>
      <c r="AL149" s="77" t="s">
        <v>2027</v>
      </c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</row>
    <row r="150" spans="1:54" ht="22.5" x14ac:dyDescent="0.25">
      <c r="A150" s="64" t="s">
        <v>2354</v>
      </c>
      <c r="B150" s="64" t="s">
        <v>456</v>
      </c>
      <c r="C150" s="77" t="s">
        <v>2009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</row>
    <row r="151" spans="1:54" x14ac:dyDescent="0.25">
      <c r="A151" s="64" t="s">
        <v>2355</v>
      </c>
      <c r="B151" s="64" t="s">
        <v>32</v>
      </c>
      <c r="C151" s="77" t="s">
        <v>2636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</row>
    <row r="152" spans="1:54" ht="22.5" x14ac:dyDescent="0.25">
      <c r="A152" s="64" t="s">
        <v>2356</v>
      </c>
      <c r="B152" s="64" t="s">
        <v>456</v>
      </c>
      <c r="C152" s="77" t="s">
        <v>2633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</row>
    <row r="153" spans="1:54" ht="45" x14ac:dyDescent="0.25">
      <c r="A153" s="64" t="s">
        <v>2357</v>
      </c>
      <c r="B153" s="107" t="s">
        <v>32</v>
      </c>
      <c r="C153" s="77" t="s">
        <v>950</v>
      </c>
      <c r="D153" s="77" t="s">
        <v>1170</v>
      </c>
      <c r="E153" s="77" t="s">
        <v>863</v>
      </c>
      <c r="F153" s="77" t="s">
        <v>1029</v>
      </c>
      <c r="G153" s="77" t="s">
        <v>1171</v>
      </c>
      <c r="H153" s="77" t="s">
        <v>935</v>
      </c>
      <c r="I153" s="77" t="s">
        <v>936</v>
      </c>
      <c r="J153" s="77" t="s">
        <v>870</v>
      </c>
      <c r="K153" s="77" t="s">
        <v>871</v>
      </c>
      <c r="L153" s="77" t="s">
        <v>1173</v>
      </c>
      <c r="M153" s="77" t="s">
        <v>1174</v>
      </c>
      <c r="N153" s="77" t="s">
        <v>893</v>
      </c>
      <c r="O153" s="77" t="s">
        <v>1175</v>
      </c>
      <c r="P153" s="77" t="s">
        <v>894</v>
      </c>
      <c r="Q153" s="77" t="s">
        <v>1176</v>
      </c>
      <c r="R153" s="77" t="s">
        <v>1177</v>
      </c>
      <c r="S153" s="77" t="s">
        <v>1992</v>
      </c>
      <c r="T153" s="77" t="s">
        <v>1179</v>
      </c>
      <c r="U153" s="77" t="s">
        <v>941</v>
      </c>
      <c r="V153" s="77" t="s">
        <v>1180</v>
      </c>
      <c r="W153" s="77" t="s">
        <v>1181</v>
      </c>
      <c r="X153" s="77" t="s">
        <v>1182</v>
      </c>
      <c r="Y153" s="77" t="s">
        <v>1183</v>
      </c>
      <c r="Z153" s="77" t="s">
        <v>896</v>
      </c>
      <c r="AA153" s="77" t="s">
        <v>946</v>
      </c>
      <c r="AB153" s="77" t="s">
        <v>930</v>
      </c>
      <c r="AC153" s="77" t="s">
        <v>922</v>
      </c>
      <c r="AD153" s="77" t="s">
        <v>947</v>
      </c>
      <c r="AE153" s="77" t="s">
        <v>879</v>
      </c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</row>
    <row r="154" spans="1:54" ht="33.75" x14ac:dyDescent="0.25">
      <c r="A154" s="64" t="s">
        <v>2358</v>
      </c>
      <c r="B154" s="107" t="s">
        <v>456</v>
      </c>
      <c r="C154" s="77" t="s">
        <v>1186</v>
      </c>
      <c r="D154" s="77" t="s">
        <v>1187</v>
      </c>
      <c r="E154" s="77" t="s">
        <v>1994</v>
      </c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</row>
    <row r="155" spans="1:54" ht="45" x14ac:dyDescent="0.25">
      <c r="A155" s="64" t="s">
        <v>2359</v>
      </c>
      <c r="B155" s="107" t="s">
        <v>32</v>
      </c>
      <c r="C155" s="77" t="s">
        <v>932</v>
      </c>
      <c r="D155" s="77" t="s">
        <v>1170</v>
      </c>
      <c r="E155" s="77" t="s">
        <v>863</v>
      </c>
      <c r="F155" s="77" t="s">
        <v>1029</v>
      </c>
      <c r="G155" s="77" t="s">
        <v>1171</v>
      </c>
      <c r="H155" s="77" t="s">
        <v>935</v>
      </c>
      <c r="I155" s="77" t="s">
        <v>936</v>
      </c>
      <c r="J155" s="77" t="s">
        <v>870</v>
      </c>
      <c r="K155" s="77" t="s">
        <v>871</v>
      </c>
      <c r="L155" s="77" t="s">
        <v>1173</v>
      </c>
      <c r="M155" s="77" t="s">
        <v>1191</v>
      </c>
      <c r="N155" s="77" t="s">
        <v>1192</v>
      </c>
      <c r="O155" s="77" t="s">
        <v>893</v>
      </c>
      <c r="P155" s="77" t="s">
        <v>894</v>
      </c>
      <c r="Q155" s="77" t="s">
        <v>1176</v>
      </c>
      <c r="R155" s="77" t="s">
        <v>1177</v>
      </c>
      <c r="S155" s="77" t="s">
        <v>1193</v>
      </c>
      <c r="T155" s="77" t="s">
        <v>1194</v>
      </c>
      <c r="U155" s="77" t="s">
        <v>1992</v>
      </c>
      <c r="V155" s="77" t="s">
        <v>1179</v>
      </c>
      <c r="W155" s="77" t="s">
        <v>941</v>
      </c>
      <c r="X155" s="77" t="s">
        <v>1180</v>
      </c>
      <c r="Y155" s="77" t="s">
        <v>1181</v>
      </c>
      <c r="Z155" s="77" t="s">
        <v>1182</v>
      </c>
      <c r="AA155" s="77" t="s">
        <v>1183</v>
      </c>
      <c r="AB155" s="77" t="s">
        <v>896</v>
      </c>
      <c r="AC155" s="77" t="s">
        <v>946</v>
      </c>
      <c r="AD155" s="77" t="s">
        <v>930</v>
      </c>
      <c r="AE155" s="77" t="s">
        <v>922</v>
      </c>
      <c r="AF155" s="77" t="s">
        <v>947</v>
      </c>
      <c r="AG155" s="77" t="s">
        <v>879</v>
      </c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</row>
    <row r="156" spans="1:54" ht="33.75" x14ac:dyDescent="0.25">
      <c r="A156" s="64" t="s">
        <v>2360</v>
      </c>
      <c r="B156" s="107" t="s">
        <v>456</v>
      </c>
      <c r="C156" s="77" t="s">
        <v>1993</v>
      </c>
      <c r="D156" s="77" t="s">
        <v>1195</v>
      </c>
      <c r="E156" s="77" t="s">
        <v>1196</v>
      </c>
      <c r="F156" s="77" t="s">
        <v>1994</v>
      </c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</row>
    <row r="157" spans="1:54" ht="45" x14ac:dyDescent="0.25">
      <c r="A157" s="64" t="s">
        <v>2361</v>
      </c>
      <c r="B157" s="107" t="s">
        <v>32</v>
      </c>
      <c r="C157" s="77" t="s">
        <v>932</v>
      </c>
      <c r="D157" s="77" t="s">
        <v>1170</v>
      </c>
      <c r="E157" s="77" t="s">
        <v>863</v>
      </c>
      <c r="F157" s="77" t="s">
        <v>1029</v>
      </c>
      <c r="G157" s="77" t="s">
        <v>1171</v>
      </c>
      <c r="H157" s="77" t="s">
        <v>935</v>
      </c>
      <c r="I157" s="77" t="s">
        <v>936</v>
      </c>
      <c r="J157" s="77" t="s">
        <v>917</v>
      </c>
      <c r="K157" s="77" t="s">
        <v>870</v>
      </c>
      <c r="L157" s="77" t="s">
        <v>871</v>
      </c>
      <c r="M157" s="77" t="s">
        <v>1173</v>
      </c>
      <c r="N157" s="77" t="s">
        <v>1174</v>
      </c>
      <c r="O157" s="77" t="s">
        <v>893</v>
      </c>
      <c r="P157" s="77" t="s">
        <v>1175</v>
      </c>
      <c r="Q157" s="77" t="s">
        <v>894</v>
      </c>
      <c r="R157" s="77" t="s">
        <v>1176</v>
      </c>
      <c r="S157" s="77" t="s">
        <v>1177</v>
      </c>
      <c r="T157" s="77" t="s">
        <v>1992</v>
      </c>
      <c r="U157" s="77" t="s">
        <v>1179</v>
      </c>
      <c r="V157" s="77" t="s">
        <v>941</v>
      </c>
      <c r="W157" s="77" t="s">
        <v>1180</v>
      </c>
      <c r="X157" s="77" t="s">
        <v>1181</v>
      </c>
      <c r="Y157" s="77" t="s">
        <v>1182</v>
      </c>
      <c r="Z157" s="77" t="s">
        <v>1183</v>
      </c>
      <c r="AA157" s="77" t="s">
        <v>896</v>
      </c>
      <c r="AB157" s="77" t="s">
        <v>946</v>
      </c>
      <c r="AC157" s="77" t="s">
        <v>930</v>
      </c>
      <c r="AD157" s="77" t="s">
        <v>922</v>
      </c>
      <c r="AE157" s="77" t="s">
        <v>947</v>
      </c>
      <c r="AF157" s="77" t="s">
        <v>1185</v>
      </c>
      <c r="AG157" s="77" t="s">
        <v>879</v>
      </c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</row>
    <row r="158" spans="1:54" ht="33.75" x14ac:dyDescent="0.25">
      <c r="A158" s="64" t="s">
        <v>2362</v>
      </c>
      <c r="B158" s="107" t="s">
        <v>456</v>
      </c>
      <c r="C158" s="77" t="s">
        <v>1186</v>
      </c>
      <c r="D158" s="77" t="s">
        <v>1187</v>
      </c>
      <c r="E158" s="77" t="s">
        <v>1997</v>
      </c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</row>
    <row r="159" spans="1:54" ht="45" x14ac:dyDescent="0.25">
      <c r="A159" s="64" t="s">
        <v>2363</v>
      </c>
      <c r="B159" s="107" t="s">
        <v>32</v>
      </c>
      <c r="C159" s="77" t="s">
        <v>932</v>
      </c>
      <c r="D159" s="77" t="s">
        <v>1170</v>
      </c>
      <c r="E159" s="77" t="s">
        <v>863</v>
      </c>
      <c r="F159" s="77" t="s">
        <v>1029</v>
      </c>
      <c r="G159" s="77" t="s">
        <v>1171</v>
      </c>
      <c r="H159" s="77" t="s">
        <v>935</v>
      </c>
      <c r="I159" s="77" t="s">
        <v>936</v>
      </c>
      <c r="J159" s="77" t="s">
        <v>917</v>
      </c>
      <c r="K159" s="77" t="s">
        <v>870</v>
      </c>
      <c r="L159" s="77" t="s">
        <v>871</v>
      </c>
      <c r="M159" s="77" t="s">
        <v>1173</v>
      </c>
      <c r="N159" s="77" t="s">
        <v>1191</v>
      </c>
      <c r="O159" s="77" t="s">
        <v>1192</v>
      </c>
      <c r="P159" s="77" t="s">
        <v>893</v>
      </c>
      <c r="Q159" s="77" t="s">
        <v>894</v>
      </c>
      <c r="R159" s="77" t="s">
        <v>1176</v>
      </c>
      <c r="S159" s="77" t="s">
        <v>1177</v>
      </c>
      <c r="T159" s="77" t="s">
        <v>1193</v>
      </c>
      <c r="U159" s="77" t="s">
        <v>1194</v>
      </c>
      <c r="V159" s="77" t="s">
        <v>1992</v>
      </c>
      <c r="W159" s="77" t="s">
        <v>1179</v>
      </c>
      <c r="X159" s="77" t="s">
        <v>941</v>
      </c>
      <c r="Y159" s="77" t="s">
        <v>1180</v>
      </c>
      <c r="Z159" s="77" t="s">
        <v>1181</v>
      </c>
      <c r="AA159" s="77" t="s">
        <v>1182</v>
      </c>
      <c r="AB159" s="77" t="s">
        <v>1183</v>
      </c>
      <c r="AC159" s="77" t="s">
        <v>896</v>
      </c>
      <c r="AD159" s="77" t="s">
        <v>946</v>
      </c>
      <c r="AE159" s="77" t="s">
        <v>930</v>
      </c>
      <c r="AF159" s="77" t="s">
        <v>922</v>
      </c>
      <c r="AG159" s="77" t="s">
        <v>947</v>
      </c>
      <c r="AH159" s="77" t="s">
        <v>1185</v>
      </c>
      <c r="AI159" s="77" t="s">
        <v>879</v>
      </c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</row>
    <row r="160" spans="1:54" ht="33.75" x14ac:dyDescent="0.25">
      <c r="A160" s="64" t="s">
        <v>2364</v>
      </c>
      <c r="B160" s="107" t="s">
        <v>456</v>
      </c>
      <c r="C160" s="77" t="s">
        <v>1186</v>
      </c>
      <c r="D160" s="77" t="s">
        <v>1195</v>
      </c>
      <c r="E160" s="77" t="s">
        <v>1196</v>
      </c>
      <c r="F160" s="77" t="s">
        <v>1997</v>
      </c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</row>
    <row r="161" spans="1:54" ht="56.25" x14ac:dyDescent="0.25">
      <c r="A161" s="64" t="s">
        <v>2365</v>
      </c>
      <c r="B161" s="64" t="s">
        <v>32</v>
      </c>
      <c r="C161" s="77" t="s">
        <v>2653</v>
      </c>
      <c r="D161" s="77" t="s">
        <v>2654</v>
      </c>
      <c r="E161" s="77" t="s">
        <v>2655</v>
      </c>
      <c r="F161" s="77" t="s">
        <v>2656</v>
      </c>
      <c r="G161" s="77" t="s">
        <v>2657</v>
      </c>
      <c r="H161" s="77" t="s">
        <v>2658</v>
      </c>
      <c r="I161" s="77" t="s">
        <v>2659</v>
      </c>
      <c r="J161" s="77" t="s">
        <v>870</v>
      </c>
      <c r="K161" s="77" t="s">
        <v>2660</v>
      </c>
      <c r="L161" s="77" t="s">
        <v>2661</v>
      </c>
      <c r="M161" s="77" t="s">
        <v>2662</v>
      </c>
      <c r="N161" s="77" t="s">
        <v>2663</v>
      </c>
      <c r="O161" s="77" t="s">
        <v>2594</v>
      </c>
      <c r="P161" s="77" t="s">
        <v>2664</v>
      </c>
      <c r="Q161" s="77" t="s">
        <v>2665</v>
      </c>
      <c r="R161" s="77" t="s">
        <v>2666</v>
      </c>
      <c r="S161" s="77" t="s">
        <v>1179</v>
      </c>
      <c r="T161" s="77" t="s">
        <v>941</v>
      </c>
      <c r="U161" s="77" t="s">
        <v>2667</v>
      </c>
      <c r="V161" s="77" t="s">
        <v>993</v>
      </c>
      <c r="W161" s="77" t="s">
        <v>896</v>
      </c>
      <c r="X161" s="77" t="s">
        <v>2668</v>
      </c>
      <c r="Y161" s="77" t="s">
        <v>930</v>
      </c>
      <c r="Z161" s="77" t="s">
        <v>2669</v>
      </c>
      <c r="AA161" s="77" t="s">
        <v>947</v>
      </c>
      <c r="AB161" s="77" t="s">
        <v>2670</v>
      </c>
      <c r="AC161" s="77" t="s">
        <v>2596</v>
      </c>
      <c r="AD161" s="77" t="s">
        <v>2671</v>
      </c>
      <c r="AE161" s="77" t="s">
        <v>1111</v>
      </c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</row>
    <row r="162" spans="1:54" ht="86.25" x14ac:dyDescent="0.25">
      <c r="A162" s="64" t="s">
        <v>2366</v>
      </c>
      <c r="B162" s="64" t="s">
        <v>456</v>
      </c>
      <c r="C162" s="77" t="s">
        <v>2673</v>
      </c>
      <c r="D162" s="77" t="s">
        <v>2674</v>
      </c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</row>
    <row r="163" spans="1:54" ht="56.25" x14ac:dyDescent="0.25">
      <c r="A163" s="64" t="s">
        <v>2367</v>
      </c>
      <c r="B163" s="64" t="s">
        <v>32</v>
      </c>
      <c r="C163" s="77" t="s">
        <v>2653</v>
      </c>
      <c r="D163" s="77" t="s">
        <v>2672</v>
      </c>
      <c r="E163" s="77" t="s">
        <v>2655</v>
      </c>
      <c r="F163" s="77" t="s">
        <v>2656</v>
      </c>
      <c r="G163" s="77" t="s">
        <v>2657</v>
      </c>
      <c r="H163" s="77" t="s">
        <v>2658</v>
      </c>
      <c r="I163" s="77" t="s">
        <v>2659</v>
      </c>
      <c r="J163" s="77" t="s">
        <v>870</v>
      </c>
      <c r="K163" s="77" t="s">
        <v>2660</v>
      </c>
      <c r="L163" s="77" t="s">
        <v>2661</v>
      </c>
      <c r="M163" s="77" t="s">
        <v>2662</v>
      </c>
      <c r="N163" s="77" t="s">
        <v>2663</v>
      </c>
      <c r="O163" s="77" t="s">
        <v>2594</v>
      </c>
      <c r="P163" s="77" t="s">
        <v>2664</v>
      </c>
      <c r="Q163" s="77" t="s">
        <v>2665</v>
      </c>
      <c r="R163" s="77" t="s">
        <v>2666</v>
      </c>
      <c r="S163" s="77" t="s">
        <v>1179</v>
      </c>
      <c r="T163" s="77" t="s">
        <v>941</v>
      </c>
      <c r="U163" s="77" t="s">
        <v>2667</v>
      </c>
      <c r="V163" s="77" t="s">
        <v>993</v>
      </c>
      <c r="W163" s="77" t="s">
        <v>896</v>
      </c>
      <c r="X163" s="77" t="s">
        <v>2668</v>
      </c>
      <c r="Y163" s="77" t="s">
        <v>930</v>
      </c>
      <c r="Z163" s="77" t="s">
        <v>2669</v>
      </c>
      <c r="AA163" s="77" t="s">
        <v>947</v>
      </c>
      <c r="AB163" s="77" t="s">
        <v>2670</v>
      </c>
      <c r="AC163" s="77" t="s">
        <v>2596</v>
      </c>
      <c r="AD163" s="77" t="s">
        <v>2671</v>
      </c>
      <c r="AE163" s="77" t="s">
        <v>1111</v>
      </c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</row>
    <row r="164" spans="1:54" ht="86.25" x14ac:dyDescent="0.25">
      <c r="A164" s="64" t="s">
        <v>2368</v>
      </c>
      <c r="B164" s="64" t="s">
        <v>456</v>
      </c>
      <c r="C164" s="77" t="s">
        <v>2673</v>
      </c>
      <c r="D164" s="77" t="s">
        <v>2674</v>
      </c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</row>
    <row r="165" spans="1:54" ht="56.25" x14ac:dyDescent="0.25">
      <c r="A165" s="64" t="s">
        <v>2369</v>
      </c>
      <c r="B165" s="64" t="s">
        <v>32</v>
      </c>
      <c r="C165" s="77" t="s">
        <v>2679</v>
      </c>
      <c r="D165" s="77" t="s">
        <v>2672</v>
      </c>
      <c r="E165" s="77" t="s">
        <v>2655</v>
      </c>
      <c r="F165" s="77" t="s">
        <v>2656</v>
      </c>
      <c r="G165" s="77" t="s">
        <v>2657</v>
      </c>
      <c r="H165" s="77" t="s">
        <v>2658</v>
      </c>
      <c r="I165" s="77" t="s">
        <v>2659</v>
      </c>
      <c r="J165" s="77" t="s">
        <v>870</v>
      </c>
      <c r="K165" s="77" t="s">
        <v>2660</v>
      </c>
      <c r="L165" s="77" t="s">
        <v>2661</v>
      </c>
      <c r="M165" s="77" t="s">
        <v>2662</v>
      </c>
      <c r="N165" s="77" t="s">
        <v>2663</v>
      </c>
      <c r="O165" s="77" t="s">
        <v>2594</v>
      </c>
      <c r="P165" s="77" t="s">
        <v>2664</v>
      </c>
      <c r="Q165" s="77" t="s">
        <v>2680</v>
      </c>
      <c r="R165" s="77" t="s">
        <v>2666</v>
      </c>
      <c r="S165" s="77" t="s">
        <v>1179</v>
      </c>
      <c r="T165" s="77" t="s">
        <v>941</v>
      </c>
      <c r="U165" s="77" t="s">
        <v>2667</v>
      </c>
      <c r="V165" s="77" t="s">
        <v>2607</v>
      </c>
      <c r="W165" s="77" t="s">
        <v>896</v>
      </c>
      <c r="X165" s="77" t="s">
        <v>946</v>
      </c>
      <c r="Y165" s="77" t="s">
        <v>930</v>
      </c>
      <c r="Z165" s="77" t="s">
        <v>2669</v>
      </c>
      <c r="AA165" s="77" t="s">
        <v>947</v>
      </c>
      <c r="AB165" s="77" t="s">
        <v>2681</v>
      </c>
      <c r="AC165" s="77" t="s">
        <v>2596</v>
      </c>
      <c r="AD165" s="77" t="s">
        <v>2671</v>
      </c>
      <c r="AE165" s="77" t="s">
        <v>1111</v>
      </c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</row>
    <row r="166" spans="1:54" x14ac:dyDescent="0.25">
      <c r="A166" s="64" t="s">
        <v>2370</v>
      </c>
      <c r="B166" s="64" t="s">
        <v>456</v>
      </c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</row>
    <row r="167" spans="1:54" ht="56.25" x14ac:dyDescent="0.25">
      <c r="A167" s="64" t="s">
        <v>2371</v>
      </c>
      <c r="B167" s="64" t="s">
        <v>32</v>
      </c>
      <c r="C167" s="77" t="s">
        <v>2679</v>
      </c>
      <c r="D167" s="77" t="s">
        <v>2672</v>
      </c>
      <c r="E167" s="77" t="s">
        <v>2655</v>
      </c>
      <c r="F167" s="77" t="s">
        <v>2656</v>
      </c>
      <c r="G167" s="77" t="s">
        <v>2657</v>
      </c>
      <c r="H167" s="77" t="s">
        <v>2658</v>
      </c>
      <c r="I167" s="77" t="s">
        <v>2659</v>
      </c>
      <c r="J167" s="77" t="s">
        <v>870</v>
      </c>
      <c r="K167" s="77" t="s">
        <v>2660</v>
      </c>
      <c r="L167" s="77" t="s">
        <v>2661</v>
      </c>
      <c r="M167" s="77" t="s">
        <v>2662</v>
      </c>
      <c r="N167" s="77" t="s">
        <v>2663</v>
      </c>
      <c r="O167" s="77" t="s">
        <v>2594</v>
      </c>
      <c r="P167" s="77" t="s">
        <v>2664</v>
      </c>
      <c r="Q167" s="77" t="s">
        <v>2680</v>
      </c>
      <c r="R167" s="77" t="s">
        <v>2666</v>
      </c>
      <c r="S167" s="77" t="s">
        <v>1179</v>
      </c>
      <c r="T167" s="77" t="s">
        <v>941</v>
      </c>
      <c r="U167" s="77" t="s">
        <v>2667</v>
      </c>
      <c r="V167" s="77" t="s">
        <v>2607</v>
      </c>
      <c r="W167" s="77" t="s">
        <v>896</v>
      </c>
      <c r="X167" s="77" t="s">
        <v>946</v>
      </c>
      <c r="Y167" s="77" t="s">
        <v>930</v>
      </c>
      <c r="Z167" s="77" t="s">
        <v>2669</v>
      </c>
      <c r="AA167" s="77" t="s">
        <v>947</v>
      </c>
      <c r="AB167" s="77" t="s">
        <v>2681</v>
      </c>
      <c r="AC167" s="77" t="s">
        <v>2596</v>
      </c>
      <c r="AD167" s="77" t="s">
        <v>2671</v>
      </c>
      <c r="AE167" s="77" t="s">
        <v>1111</v>
      </c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</row>
    <row r="168" spans="1:54" x14ac:dyDescent="0.25">
      <c r="A168" s="64" t="s">
        <v>2372</v>
      </c>
      <c r="B168" s="64" t="s">
        <v>456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</row>
    <row r="169" spans="1:54" ht="56.25" x14ac:dyDescent="0.25">
      <c r="A169" s="64" t="s">
        <v>2373</v>
      </c>
      <c r="B169" s="64" t="s">
        <v>32</v>
      </c>
      <c r="C169" s="77" t="s">
        <v>2679</v>
      </c>
      <c r="D169" s="77" t="s">
        <v>2672</v>
      </c>
      <c r="E169" s="77" t="s">
        <v>2655</v>
      </c>
      <c r="F169" s="77" t="s">
        <v>2656</v>
      </c>
      <c r="G169" s="77" t="s">
        <v>2657</v>
      </c>
      <c r="H169" s="77" t="s">
        <v>2658</v>
      </c>
      <c r="I169" s="77" t="s">
        <v>2659</v>
      </c>
      <c r="J169" s="77" t="s">
        <v>870</v>
      </c>
      <c r="K169" s="77" t="s">
        <v>2660</v>
      </c>
      <c r="L169" s="77" t="s">
        <v>2661</v>
      </c>
      <c r="M169" s="77" t="s">
        <v>2662</v>
      </c>
      <c r="N169" s="77" t="s">
        <v>2663</v>
      </c>
      <c r="O169" s="77" t="s">
        <v>2594</v>
      </c>
      <c r="P169" s="77" t="s">
        <v>2664</v>
      </c>
      <c r="Q169" s="77" t="s">
        <v>2680</v>
      </c>
      <c r="R169" s="77" t="s">
        <v>2666</v>
      </c>
      <c r="S169" s="77" t="s">
        <v>1179</v>
      </c>
      <c r="T169" s="77" t="s">
        <v>941</v>
      </c>
      <c r="U169" s="77" t="s">
        <v>2667</v>
      </c>
      <c r="V169" s="77" t="s">
        <v>2607</v>
      </c>
      <c r="W169" s="77" t="s">
        <v>896</v>
      </c>
      <c r="X169" s="77" t="s">
        <v>946</v>
      </c>
      <c r="Y169" s="77" t="s">
        <v>930</v>
      </c>
      <c r="Z169" s="77" t="s">
        <v>2669</v>
      </c>
      <c r="AA169" s="77" t="s">
        <v>947</v>
      </c>
      <c r="AB169" s="77" t="s">
        <v>2681</v>
      </c>
      <c r="AC169" s="77" t="s">
        <v>2596</v>
      </c>
      <c r="AD169" s="77" t="s">
        <v>2671</v>
      </c>
      <c r="AE169" s="77" t="s">
        <v>1111</v>
      </c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</row>
    <row r="170" spans="1:54" x14ac:dyDescent="0.25">
      <c r="A170" s="64" t="s">
        <v>2374</v>
      </c>
      <c r="B170" s="64" t="s">
        <v>456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</row>
    <row r="171" spans="1:54" ht="56.25" x14ac:dyDescent="0.25">
      <c r="A171" s="64" t="s">
        <v>2375</v>
      </c>
      <c r="B171" s="64" t="s">
        <v>32</v>
      </c>
      <c r="C171" s="77" t="s">
        <v>2679</v>
      </c>
      <c r="D171" s="77" t="s">
        <v>2672</v>
      </c>
      <c r="E171" s="77" t="s">
        <v>2655</v>
      </c>
      <c r="F171" s="77" t="s">
        <v>2656</v>
      </c>
      <c r="G171" s="77" t="s">
        <v>2657</v>
      </c>
      <c r="H171" s="77" t="s">
        <v>2658</v>
      </c>
      <c r="I171" s="77" t="s">
        <v>2659</v>
      </c>
      <c r="J171" s="77" t="s">
        <v>870</v>
      </c>
      <c r="K171" s="77" t="s">
        <v>2660</v>
      </c>
      <c r="L171" s="77" t="s">
        <v>2661</v>
      </c>
      <c r="M171" s="77" t="s">
        <v>2662</v>
      </c>
      <c r="N171" s="77" t="s">
        <v>2663</v>
      </c>
      <c r="O171" s="77" t="s">
        <v>2594</v>
      </c>
      <c r="P171" s="77" t="s">
        <v>2664</v>
      </c>
      <c r="Q171" s="77" t="s">
        <v>2680</v>
      </c>
      <c r="R171" s="77" t="s">
        <v>2666</v>
      </c>
      <c r="S171" s="77" t="s">
        <v>1179</v>
      </c>
      <c r="T171" s="77" t="s">
        <v>941</v>
      </c>
      <c r="U171" s="77" t="s">
        <v>2667</v>
      </c>
      <c r="V171" s="77" t="s">
        <v>2607</v>
      </c>
      <c r="W171" s="77" t="s">
        <v>896</v>
      </c>
      <c r="X171" s="77" t="s">
        <v>946</v>
      </c>
      <c r="Y171" s="77" t="s">
        <v>930</v>
      </c>
      <c r="Z171" s="77" t="s">
        <v>2669</v>
      </c>
      <c r="AA171" s="77" t="s">
        <v>947</v>
      </c>
      <c r="AB171" s="77" t="s">
        <v>2681</v>
      </c>
      <c r="AC171" s="77" t="s">
        <v>2596</v>
      </c>
      <c r="AD171" s="77" t="s">
        <v>2671</v>
      </c>
      <c r="AE171" s="77" t="s">
        <v>1111</v>
      </c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</row>
    <row r="172" spans="1:54" ht="86.25" x14ac:dyDescent="0.25">
      <c r="A172" s="64" t="s">
        <v>2376</v>
      </c>
      <c r="B172" s="64" t="s">
        <v>456</v>
      </c>
      <c r="C172" s="77" t="s">
        <v>2673</v>
      </c>
      <c r="D172" s="77" t="s">
        <v>2674</v>
      </c>
      <c r="E172" s="77" t="s">
        <v>2684</v>
      </c>
      <c r="F172" s="77" t="s">
        <v>2656</v>
      </c>
      <c r="G172" s="77" t="s">
        <v>2657</v>
      </c>
      <c r="H172" s="77" t="s">
        <v>2658</v>
      </c>
      <c r="I172" s="77" t="s">
        <v>2659</v>
      </c>
      <c r="J172" s="77" t="s">
        <v>870</v>
      </c>
      <c r="K172" s="77" t="s">
        <v>2660</v>
      </c>
      <c r="L172" s="77" t="s">
        <v>2661</v>
      </c>
      <c r="M172" s="77" t="s">
        <v>2662</v>
      </c>
      <c r="N172" s="77" t="s">
        <v>2663</v>
      </c>
      <c r="O172" s="77" t="s">
        <v>2594</v>
      </c>
      <c r="P172" s="77" t="s">
        <v>2664</v>
      </c>
      <c r="Q172" s="77" t="s">
        <v>2680</v>
      </c>
      <c r="R172" s="77" t="s">
        <v>2666</v>
      </c>
      <c r="S172" s="77" t="s">
        <v>1179</v>
      </c>
      <c r="T172" s="77" t="s">
        <v>941</v>
      </c>
      <c r="U172" s="77" t="s">
        <v>2667</v>
      </c>
      <c r="V172" s="77" t="s">
        <v>2607</v>
      </c>
      <c r="W172" s="77" t="s">
        <v>896</v>
      </c>
      <c r="X172" s="77" t="s">
        <v>946</v>
      </c>
      <c r="Y172" s="77" t="s">
        <v>930</v>
      </c>
      <c r="Z172" s="77" t="s">
        <v>2669</v>
      </c>
      <c r="AA172" s="77" t="s">
        <v>947</v>
      </c>
      <c r="AB172" s="77" t="s">
        <v>2681</v>
      </c>
      <c r="AC172" s="77" t="s">
        <v>2596</v>
      </c>
      <c r="AD172" s="77" t="s">
        <v>2671</v>
      </c>
      <c r="AE172" s="77" t="s">
        <v>1111</v>
      </c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</row>
    <row r="173" spans="1:54" ht="56.25" x14ac:dyDescent="0.25">
      <c r="A173" s="64" t="s">
        <v>2377</v>
      </c>
      <c r="B173" s="64" t="s">
        <v>32</v>
      </c>
      <c r="C173" s="77" t="s">
        <v>2679</v>
      </c>
      <c r="D173" s="77" t="s">
        <v>2672</v>
      </c>
      <c r="E173" s="77" t="s">
        <v>2655</v>
      </c>
      <c r="F173" s="77" t="s">
        <v>2656</v>
      </c>
      <c r="G173" s="77" t="s">
        <v>2657</v>
      </c>
      <c r="H173" s="77" t="s">
        <v>2658</v>
      </c>
      <c r="I173" s="77" t="s">
        <v>2659</v>
      </c>
      <c r="J173" s="77" t="s">
        <v>870</v>
      </c>
      <c r="K173" s="77" t="s">
        <v>2660</v>
      </c>
      <c r="L173" s="77" t="s">
        <v>2661</v>
      </c>
      <c r="M173" s="77" t="s">
        <v>2662</v>
      </c>
      <c r="N173" s="77" t="s">
        <v>2663</v>
      </c>
      <c r="O173" s="77" t="s">
        <v>2594</v>
      </c>
      <c r="P173" s="77" t="s">
        <v>2664</v>
      </c>
      <c r="Q173" s="77" t="s">
        <v>2680</v>
      </c>
      <c r="R173" s="77" t="s">
        <v>2666</v>
      </c>
      <c r="S173" s="77" t="s">
        <v>1179</v>
      </c>
      <c r="T173" s="77" t="s">
        <v>941</v>
      </c>
      <c r="U173" s="77" t="s">
        <v>2667</v>
      </c>
      <c r="V173" s="77" t="s">
        <v>2607</v>
      </c>
      <c r="W173" s="77" t="s">
        <v>896</v>
      </c>
      <c r="X173" s="77" t="s">
        <v>946</v>
      </c>
      <c r="Y173" s="77" t="s">
        <v>930</v>
      </c>
      <c r="Z173" s="77" t="s">
        <v>2669</v>
      </c>
      <c r="AA173" s="77" t="s">
        <v>947</v>
      </c>
      <c r="AB173" s="77" t="s">
        <v>2681</v>
      </c>
      <c r="AC173" s="77" t="s">
        <v>2596</v>
      </c>
      <c r="AD173" s="77" t="s">
        <v>2671</v>
      </c>
      <c r="AE173" s="77" t="s">
        <v>1111</v>
      </c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</row>
    <row r="174" spans="1:54" ht="135" x14ac:dyDescent="0.25">
      <c r="A174" s="64" t="s">
        <v>2378</v>
      </c>
      <c r="B174" s="64" t="s">
        <v>456</v>
      </c>
      <c r="C174" s="77" t="s">
        <v>2673</v>
      </c>
      <c r="D174" s="77" t="s">
        <v>2682</v>
      </c>
      <c r="E174" s="77" t="s">
        <v>2683</v>
      </c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</row>
    <row r="175" spans="1:54" ht="56.25" x14ac:dyDescent="0.25">
      <c r="A175" s="64" t="s">
        <v>2379</v>
      </c>
      <c r="B175" s="64" t="s">
        <v>32</v>
      </c>
      <c r="C175" s="77" t="s">
        <v>2679</v>
      </c>
      <c r="D175" s="77" t="s">
        <v>2672</v>
      </c>
      <c r="E175" s="77" t="s">
        <v>2655</v>
      </c>
      <c r="F175" s="77" t="s">
        <v>2656</v>
      </c>
      <c r="G175" s="77" t="s">
        <v>2657</v>
      </c>
      <c r="H175" s="77" t="s">
        <v>2658</v>
      </c>
      <c r="I175" s="77" t="s">
        <v>2659</v>
      </c>
      <c r="J175" s="77" t="s">
        <v>870</v>
      </c>
      <c r="K175" s="77" t="s">
        <v>2660</v>
      </c>
      <c r="L175" s="77" t="s">
        <v>2661</v>
      </c>
      <c r="M175" s="77" t="s">
        <v>2662</v>
      </c>
      <c r="N175" s="77" t="s">
        <v>2663</v>
      </c>
      <c r="O175" s="77" t="s">
        <v>2594</v>
      </c>
      <c r="P175" s="77" t="s">
        <v>2664</v>
      </c>
      <c r="Q175" s="77" t="s">
        <v>2680</v>
      </c>
      <c r="R175" s="77" t="s">
        <v>2666</v>
      </c>
      <c r="S175" s="77" t="s">
        <v>1179</v>
      </c>
      <c r="T175" s="77" t="s">
        <v>941</v>
      </c>
      <c r="U175" s="77" t="s">
        <v>2667</v>
      </c>
      <c r="V175" s="77" t="s">
        <v>2607</v>
      </c>
      <c r="W175" s="77" t="s">
        <v>896</v>
      </c>
      <c r="X175" s="77" t="s">
        <v>946</v>
      </c>
      <c r="Y175" s="77" t="s">
        <v>930</v>
      </c>
      <c r="Z175" s="77" t="s">
        <v>2669</v>
      </c>
      <c r="AA175" s="77" t="s">
        <v>947</v>
      </c>
      <c r="AB175" s="77" t="s">
        <v>2681</v>
      </c>
      <c r="AC175" s="77" t="s">
        <v>2596</v>
      </c>
      <c r="AD175" s="77" t="s">
        <v>2671</v>
      </c>
      <c r="AE175" s="77" t="s">
        <v>1111</v>
      </c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</row>
    <row r="176" spans="1:54" ht="86.25" x14ac:dyDescent="0.25">
      <c r="A176" s="64" t="s">
        <v>2380</v>
      </c>
      <c r="B176" s="64" t="s">
        <v>456</v>
      </c>
      <c r="C176" s="77" t="s">
        <v>2673</v>
      </c>
      <c r="D176" s="77" t="s">
        <v>2674</v>
      </c>
      <c r="E176" s="77" t="s">
        <v>2685</v>
      </c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</row>
    <row r="177" spans="1:54" ht="56.25" x14ac:dyDescent="0.25">
      <c r="A177" s="64" t="s">
        <v>2381</v>
      </c>
      <c r="B177" s="64" t="s">
        <v>32</v>
      </c>
      <c r="C177" s="77" t="s">
        <v>2679</v>
      </c>
      <c r="D177" s="77" t="s">
        <v>2672</v>
      </c>
      <c r="E177" s="77" t="s">
        <v>2655</v>
      </c>
      <c r="F177" s="77" t="s">
        <v>2656</v>
      </c>
      <c r="G177" s="77" t="s">
        <v>2657</v>
      </c>
      <c r="H177" s="77" t="s">
        <v>2658</v>
      </c>
      <c r="I177" s="77" t="s">
        <v>2659</v>
      </c>
      <c r="J177" s="77" t="s">
        <v>870</v>
      </c>
      <c r="K177" s="77" t="s">
        <v>2660</v>
      </c>
      <c r="L177" s="77" t="s">
        <v>2661</v>
      </c>
      <c r="M177" s="77" t="s">
        <v>2662</v>
      </c>
      <c r="N177" s="77" t="s">
        <v>2663</v>
      </c>
      <c r="O177" s="77" t="s">
        <v>2594</v>
      </c>
      <c r="P177" s="77" t="s">
        <v>2664</v>
      </c>
      <c r="Q177" s="77" t="s">
        <v>2680</v>
      </c>
      <c r="R177" s="77" t="s">
        <v>2666</v>
      </c>
      <c r="S177" s="77" t="s">
        <v>1179</v>
      </c>
      <c r="T177" s="77" t="s">
        <v>941</v>
      </c>
      <c r="U177" s="77" t="s">
        <v>2667</v>
      </c>
      <c r="V177" s="77" t="s">
        <v>2607</v>
      </c>
      <c r="W177" s="77" t="s">
        <v>896</v>
      </c>
      <c r="X177" s="77" t="s">
        <v>946</v>
      </c>
      <c r="Y177" s="77" t="s">
        <v>930</v>
      </c>
      <c r="Z177" s="77" t="s">
        <v>2669</v>
      </c>
      <c r="AA177" s="77" t="s">
        <v>947</v>
      </c>
      <c r="AB177" s="77" t="s">
        <v>2681</v>
      </c>
      <c r="AC177" s="77" t="s">
        <v>2596</v>
      </c>
      <c r="AD177" s="77" t="s">
        <v>2671</v>
      </c>
      <c r="AE177" s="77" t="s">
        <v>1111</v>
      </c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</row>
    <row r="178" spans="1:54" ht="86.25" x14ac:dyDescent="0.25">
      <c r="A178" s="64" t="s">
        <v>2382</v>
      </c>
      <c r="B178" s="64" t="s">
        <v>456</v>
      </c>
      <c r="C178" s="77" t="s">
        <v>2673</v>
      </c>
      <c r="D178" s="77" t="s">
        <v>2674</v>
      </c>
      <c r="E178" s="77" t="s">
        <v>2685</v>
      </c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</row>
    <row r="179" spans="1:54" ht="56.25" x14ac:dyDescent="0.25">
      <c r="A179" s="64" t="s">
        <v>2383</v>
      </c>
      <c r="B179" s="64" t="s">
        <v>32</v>
      </c>
      <c r="C179" s="77" t="s">
        <v>2679</v>
      </c>
      <c r="D179" s="77" t="s">
        <v>2672</v>
      </c>
      <c r="E179" s="77" t="s">
        <v>2655</v>
      </c>
      <c r="F179" s="77" t="s">
        <v>2656</v>
      </c>
      <c r="G179" s="77" t="s">
        <v>2657</v>
      </c>
      <c r="H179" s="77" t="s">
        <v>2658</v>
      </c>
      <c r="I179" s="77" t="s">
        <v>2659</v>
      </c>
      <c r="J179" s="77" t="s">
        <v>870</v>
      </c>
      <c r="K179" s="77" t="s">
        <v>2660</v>
      </c>
      <c r="L179" s="77" t="s">
        <v>2661</v>
      </c>
      <c r="M179" s="77" t="s">
        <v>2662</v>
      </c>
      <c r="N179" s="77" t="s">
        <v>2663</v>
      </c>
      <c r="O179" s="77" t="s">
        <v>2594</v>
      </c>
      <c r="P179" s="77" t="s">
        <v>2664</v>
      </c>
      <c r="Q179" s="77" t="s">
        <v>2680</v>
      </c>
      <c r="R179" s="77" t="s">
        <v>2666</v>
      </c>
      <c r="S179" s="77" t="s">
        <v>1179</v>
      </c>
      <c r="T179" s="77" t="s">
        <v>941</v>
      </c>
      <c r="U179" s="77" t="s">
        <v>2667</v>
      </c>
      <c r="V179" s="77" t="s">
        <v>2607</v>
      </c>
      <c r="W179" s="77" t="s">
        <v>896</v>
      </c>
      <c r="X179" s="77" t="s">
        <v>946</v>
      </c>
      <c r="Y179" s="77" t="s">
        <v>930</v>
      </c>
      <c r="Z179" s="77" t="s">
        <v>2669</v>
      </c>
      <c r="AA179" s="77" t="s">
        <v>947</v>
      </c>
      <c r="AB179" s="77" t="s">
        <v>2681</v>
      </c>
      <c r="AC179" s="77" t="s">
        <v>2596</v>
      </c>
      <c r="AD179" s="77" t="s">
        <v>2671</v>
      </c>
      <c r="AE179" s="77" t="s">
        <v>1111</v>
      </c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</row>
    <row r="180" spans="1:54" ht="86.25" x14ac:dyDescent="0.25">
      <c r="A180" s="64" t="s">
        <v>2384</v>
      </c>
      <c r="B180" s="64" t="s">
        <v>456</v>
      </c>
      <c r="C180" s="77" t="s">
        <v>2673</v>
      </c>
      <c r="D180" s="77" t="s">
        <v>2674</v>
      </c>
      <c r="E180" s="77" t="s">
        <v>2684</v>
      </c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</row>
    <row r="181" spans="1:54" ht="45" x14ac:dyDescent="0.25">
      <c r="A181" s="64" t="s">
        <v>2385</v>
      </c>
      <c r="B181" s="64" t="s">
        <v>32</v>
      </c>
      <c r="C181" s="77" t="s">
        <v>861</v>
      </c>
      <c r="D181" s="77" t="s">
        <v>913</v>
      </c>
      <c r="E181" s="77" t="s">
        <v>863</v>
      </c>
      <c r="F181" s="77" t="s">
        <v>864</v>
      </c>
      <c r="G181" s="77" t="s">
        <v>914</v>
      </c>
      <c r="H181" s="77" t="s">
        <v>866</v>
      </c>
      <c r="I181" s="77" t="s">
        <v>2593</v>
      </c>
      <c r="J181" s="77" t="s">
        <v>917</v>
      </c>
      <c r="K181" s="77" t="s">
        <v>870</v>
      </c>
      <c r="L181" s="77" t="s">
        <v>871</v>
      </c>
      <c r="M181" s="77" t="s">
        <v>907</v>
      </c>
      <c r="N181" s="77" t="s">
        <v>2594</v>
      </c>
      <c r="O181" s="77" t="s">
        <v>893</v>
      </c>
      <c r="P181" s="77" t="s">
        <v>894</v>
      </c>
      <c r="Q181" s="77" t="s">
        <v>875</v>
      </c>
      <c r="R181" s="77" t="s">
        <v>920</v>
      </c>
      <c r="S181" s="77" t="s">
        <v>993</v>
      </c>
      <c r="T181" s="77" t="s">
        <v>896</v>
      </c>
      <c r="U181" s="77" t="s">
        <v>921</v>
      </c>
      <c r="V181" s="77" t="s">
        <v>922</v>
      </c>
      <c r="W181" s="77" t="s">
        <v>2595</v>
      </c>
      <c r="X181" s="77" t="s">
        <v>2596</v>
      </c>
      <c r="Y181" s="77" t="s">
        <v>2597</v>
      </c>
      <c r="Z181" s="77" t="s">
        <v>1111</v>
      </c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</row>
    <row r="182" spans="1:54" ht="67.5" x14ac:dyDescent="0.25">
      <c r="A182" s="64" t="s">
        <v>2386</v>
      </c>
      <c r="B182" s="64" t="s">
        <v>456</v>
      </c>
      <c r="C182" s="77" t="s">
        <v>2598</v>
      </c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</row>
    <row r="183" spans="1:54" ht="45" x14ac:dyDescent="0.25">
      <c r="A183" s="64" t="s">
        <v>2387</v>
      </c>
      <c r="B183" s="64" t="s">
        <v>32</v>
      </c>
      <c r="C183" s="77" t="s">
        <v>861</v>
      </c>
      <c r="D183" s="77" t="s">
        <v>2599</v>
      </c>
      <c r="E183" s="77" t="s">
        <v>2600</v>
      </c>
      <c r="F183" s="77" t="s">
        <v>2593</v>
      </c>
      <c r="G183" s="77" t="s">
        <v>917</v>
      </c>
      <c r="H183" s="77" t="s">
        <v>870</v>
      </c>
      <c r="I183" s="77" t="s">
        <v>871</v>
      </c>
      <c r="J183" s="77" t="s">
        <v>907</v>
      </c>
      <c r="K183" s="77" t="s">
        <v>2594</v>
      </c>
      <c r="L183" s="77" t="s">
        <v>893</v>
      </c>
      <c r="M183" s="77" t="s">
        <v>894</v>
      </c>
      <c r="N183" s="77" t="s">
        <v>875</v>
      </c>
      <c r="O183" s="77" t="s">
        <v>920</v>
      </c>
      <c r="P183" s="77" t="s">
        <v>993</v>
      </c>
      <c r="Q183" s="77" t="s">
        <v>896</v>
      </c>
      <c r="R183" s="77" t="s">
        <v>921</v>
      </c>
      <c r="S183" s="77" t="s">
        <v>922</v>
      </c>
      <c r="T183" s="77" t="s">
        <v>2595</v>
      </c>
      <c r="U183" s="77" t="s">
        <v>2596</v>
      </c>
      <c r="V183" s="77" t="s">
        <v>2597</v>
      </c>
      <c r="W183" s="77" t="s">
        <v>1111</v>
      </c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</row>
    <row r="184" spans="1:54" ht="67.5" x14ac:dyDescent="0.25">
      <c r="A184" s="64" t="s">
        <v>2388</v>
      </c>
      <c r="B184" s="64" t="s">
        <v>456</v>
      </c>
      <c r="C184" s="77" t="s">
        <v>2598</v>
      </c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</row>
    <row r="185" spans="1:54" ht="45" x14ac:dyDescent="0.25">
      <c r="A185" s="64" t="s">
        <v>2389</v>
      </c>
      <c r="B185" s="64" t="s">
        <v>32</v>
      </c>
      <c r="C185" s="77" t="s">
        <v>2601</v>
      </c>
      <c r="D185" s="77" t="s">
        <v>2602</v>
      </c>
      <c r="E185" s="77" t="s">
        <v>2603</v>
      </c>
      <c r="F185" s="77" t="s">
        <v>2593</v>
      </c>
      <c r="G185" s="77" t="s">
        <v>917</v>
      </c>
      <c r="H185" s="77" t="s">
        <v>870</v>
      </c>
      <c r="I185" s="77" t="s">
        <v>871</v>
      </c>
      <c r="J185" s="77" t="s">
        <v>2604</v>
      </c>
      <c r="K185" s="77" t="s">
        <v>2594</v>
      </c>
      <c r="L185" s="77" t="s">
        <v>893</v>
      </c>
      <c r="M185" s="77" t="s">
        <v>894</v>
      </c>
      <c r="N185" s="77" t="s">
        <v>2605</v>
      </c>
      <c r="O185" s="77" t="s">
        <v>2606</v>
      </c>
      <c r="P185" s="77" t="s">
        <v>920</v>
      </c>
      <c r="Q185" s="77" t="s">
        <v>941</v>
      </c>
      <c r="R185" s="77" t="s">
        <v>942</v>
      </c>
      <c r="S185" s="77" t="s">
        <v>2607</v>
      </c>
      <c r="T185" s="77" t="s">
        <v>896</v>
      </c>
      <c r="U185" s="77" t="s">
        <v>946</v>
      </c>
      <c r="V185" s="77" t="s">
        <v>930</v>
      </c>
      <c r="W185" s="77" t="s">
        <v>922</v>
      </c>
      <c r="X185" s="77" t="s">
        <v>947</v>
      </c>
      <c r="Y185" s="77" t="s">
        <v>2595</v>
      </c>
      <c r="Z185" s="77" t="s">
        <v>2596</v>
      </c>
      <c r="AA185" s="77" t="s">
        <v>2597</v>
      </c>
      <c r="AB185" s="77" t="s">
        <v>1111</v>
      </c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</row>
    <row r="186" spans="1:54" ht="67.5" x14ac:dyDescent="0.25">
      <c r="A186" s="64" t="s">
        <v>2390</v>
      </c>
      <c r="B186" s="64" t="s">
        <v>456</v>
      </c>
      <c r="C186" s="77" t="s">
        <v>2608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</row>
    <row r="187" spans="1:54" ht="45" x14ac:dyDescent="0.25">
      <c r="A187" s="64" t="s">
        <v>2391</v>
      </c>
      <c r="B187" s="64" t="s">
        <v>32</v>
      </c>
      <c r="C187" s="77" t="s">
        <v>2601</v>
      </c>
      <c r="D187" s="77" t="s">
        <v>2602</v>
      </c>
      <c r="E187" s="77" t="s">
        <v>2603</v>
      </c>
      <c r="F187" s="77" t="s">
        <v>2593</v>
      </c>
      <c r="G187" s="77" t="s">
        <v>917</v>
      </c>
      <c r="H187" s="77" t="s">
        <v>870</v>
      </c>
      <c r="I187" s="77" t="s">
        <v>871</v>
      </c>
      <c r="J187" s="77" t="s">
        <v>2604</v>
      </c>
      <c r="K187" s="77" t="s">
        <v>2594</v>
      </c>
      <c r="L187" s="77" t="s">
        <v>893</v>
      </c>
      <c r="M187" s="77" t="s">
        <v>894</v>
      </c>
      <c r="N187" s="77" t="s">
        <v>2605</v>
      </c>
      <c r="O187" s="77" t="s">
        <v>2606</v>
      </c>
      <c r="P187" s="77" t="s">
        <v>920</v>
      </c>
      <c r="Q187" s="77" t="s">
        <v>941</v>
      </c>
      <c r="R187" s="77" t="s">
        <v>942</v>
      </c>
      <c r="S187" s="77" t="s">
        <v>2607</v>
      </c>
      <c r="T187" s="77" t="s">
        <v>896</v>
      </c>
      <c r="U187" s="77" t="s">
        <v>946</v>
      </c>
      <c r="V187" s="77" t="s">
        <v>930</v>
      </c>
      <c r="W187" s="77" t="s">
        <v>922</v>
      </c>
      <c r="X187" s="77" t="s">
        <v>947</v>
      </c>
      <c r="Y187" s="77" t="s">
        <v>2595</v>
      </c>
      <c r="Z187" s="77" t="s">
        <v>2596</v>
      </c>
      <c r="AA187" s="77" t="s">
        <v>2597</v>
      </c>
      <c r="AB187" s="77" t="s">
        <v>1111</v>
      </c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</row>
    <row r="188" spans="1:54" ht="67.5" x14ac:dyDescent="0.25">
      <c r="A188" s="64" t="s">
        <v>2392</v>
      </c>
      <c r="B188" s="64" t="s">
        <v>456</v>
      </c>
      <c r="C188" s="77" t="s">
        <v>2608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</row>
    <row r="189" spans="1:54" ht="45" x14ac:dyDescent="0.25">
      <c r="A189" s="64" t="s">
        <v>2393</v>
      </c>
      <c r="B189" s="64" t="s">
        <v>32</v>
      </c>
      <c r="C189" s="77" t="s">
        <v>2601</v>
      </c>
      <c r="D189" s="77" t="s">
        <v>2602</v>
      </c>
      <c r="E189" s="77" t="s">
        <v>2603</v>
      </c>
      <c r="F189" s="77" t="s">
        <v>2593</v>
      </c>
      <c r="G189" s="77" t="s">
        <v>917</v>
      </c>
      <c r="H189" s="77" t="s">
        <v>870</v>
      </c>
      <c r="I189" s="77" t="s">
        <v>871</v>
      </c>
      <c r="J189" s="77" t="s">
        <v>2604</v>
      </c>
      <c r="K189" s="77" t="s">
        <v>2594</v>
      </c>
      <c r="L189" s="77" t="s">
        <v>893</v>
      </c>
      <c r="M189" s="77" t="s">
        <v>894</v>
      </c>
      <c r="N189" s="77" t="s">
        <v>2605</v>
      </c>
      <c r="O189" s="77" t="s">
        <v>2606</v>
      </c>
      <c r="P189" s="77" t="s">
        <v>920</v>
      </c>
      <c r="Q189" s="77" t="s">
        <v>941</v>
      </c>
      <c r="R189" s="77" t="s">
        <v>942</v>
      </c>
      <c r="S189" s="77" t="s">
        <v>2607</v>
      </c>
      <c r="T189" s="77" t="s">
        <v>896</v>
      </c>
      <c r="U189" s="77" t="s">
        <v>946</v>
      </c>
      <c r="V189" s="77" t="s">
        <v>930</v>
      </c>
      <c r="W189" s="77" t="s">
        <v>922</v>
      </c>
      <c r="X189" s="77" t="s">
        <v>947</v>
      </c>
      <c r="Y189" s="77" t="s">
        <v>2595</v>
      </c>
      <c r="Z189" s="77" t="s">
        <v>2596</v>
      </c>
      <c r="AA189" s="77" t="s">
        <v>2597</v>
      </c>
      <c r="AB189" s="77" t="s">
        <v>1111</v>
      </c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</row>
    <row r="190" spans="1:54" ht="67.5" x14ac:dyDescent="0.25">
      <c r="A190" s="64" t="s">
        <v>2394</v>
      </c>
      <c r="B190" s="64" t="s">
        <v>456</v>
      </c>
      <c r="C190" s="77" t="s">
        <v>2608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</row>
    <row r="191" spans="1:54" ht="45" x14ac:dyDescent="0.25">
      <c r="A191" s="64" t="s">
        <v>2395</v>
      </c>
      <c r="B191" s="64" t="s">
        <v>32</v>
      </c>
      <c r="C191" s="77" t="s">
        <v>2601</v>
      </c>
      <c r="D191" s="77" t="s">
        <v>2602</v>
      </c>
      <c r="E191" s="77" t="s">
        <v>2603</v>
      </c>
      <c r="F191" s="77" t="s">
        <v>2593</v>
      </c>
      <c r="G191" s="77" t="s">
        <v>917</v>
      </c>
      <c r="H191" s="77" t="s">
        <v>870</v>
      </c>
      <c r="I191" s="77" t="s">
        <v>871</v>
      </c>
      <c r="J191" s="77" t="s">
        <v>2604</v>
      </c>
      <c r="K191" s="77" t="s">
        <v>2594</v>
      </c>
      <c r="L191" s="77" t="s">
        <v>893</v>
      </c>
      <c r="M191" s="77" t="s">
        <v>894</v>
      </c>
      <c r="N191" s="77" t="s">
        <v>2605</v>
      </c>
      <c r="O191" s="77" t="s">
        <v>2606</v>
      </c>
      <c r="P191" s="77" t="s">
        <v>1026</v>
      </c>
      <c r="Q191" s="77" t="s">
        <v>941</v>
      </c>
      <c r="R191" s="77" t="s">
        <v>942</v>
      </c>
      <c r="S191" s="77" t="s">
        <v>2607</v>
      </c>
      <c r="T191" s="77" t="s">
        <v>896</v>
      </c>
      <c r="U191" s="77" t="s">
        <v>946</v>
      </c>
      <c r="V191" s="77" t="s">
        <v>930</v>
      </c>
      <c r="W191" s="77" t="s">
        <v>922</v>
      </c>
      <c r="X191" s="77" t="s">
        <v>947</v>
      </c>
      <c r="Y191" s="77" t="s">
        <v>2595</v>
      </c>
      <c r="Z191" s="77" t="s">
        <v>2596</v>
      </c>
      <c r="AA191" s="77" t="s">
        <v>2597</v>
      </c>
      <c r="AB191" s="77" t="s">
        <v>1111</v>
      </c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</row>
    <row r="192" spans="1:54" ht="67.5" x14ac:dyDescent="0.25">
      <c r="A192" s="64" t="s">
        <v>2396</v>
      </c>
      <c r="B192" s="64" t="s">
        <v>456</v>
      </c>
      <c r="C192" s="77" t="s">
        <v>2608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</row>
    <row r="193" spans="1:54" ht="45" x14ac:dyDescent="0.25">
      <c r="A193" s="64" t="s">
        <v>2397</v>
      </c>
      <c r="B193" s="64" t="s">
        <v>32</v>
      </c>
      <c r="C193" s="77" t="s">
        <v>2601</v>
      </c>
      <c r="D193" s="77" t="s">
        <v>2602</v>
      </c>
      <c r="E193" s="77" t="s">
        <v>2603</v>
      </c>
      <c r="F193" s="77" t="s">
        <v>2593</v>
      </c>
      <c r="G193" s="77" t="s">
        <v>917</v>
      </c>
      <c r="H193" s="77" t="s">
        <v>870</v>
      </c>
      <c r="I193" s="77" t="s">
        <v>871</v>
      </c>
      <c r="J193" s="77" t="s">
        <v>2604</v>
      </c>
      <c r="K193" s="77" t="s">
        <v>2594</v>
      </c>
      <c r="L193" s="77" t="s">
        <v>893</v>
      </c>
      <c r="M193" s="77" t="s">
        <v>894</v>
      </c>
      <c r="N193" s="77" t="s">
        <v>2605</v>
      </c>
      <c r="O193" s="77" t="s">
        <v>2606</v>
      </c>
      <c r="P193" s="77" t="s">
        <v>920</v>
      </c>
      <c r="Q193" s="77" t="s">
        <v>941</v>
      </c>
      <c r="R193" s="77" t="s">
        <v>942</v>
      </c>
      <c r="S193" s="77" t="s">
        <v>2607</v>
      </c>
      <c r="T193" s="77" t="s">
        <v>896</v>
      </c>
      <c r="U193" s="77" t="s">
        <v>946</v>
      </c>
      <c r="V193" s="77" t="s">
        <v>930</v>
      </c>
      <c r="W193" s="77" t="s">
        <v>922</v>
      </c>
      <c r="X193" s="77" t="s">
        <v>947</v>
      </c>
      <c r="Y193" s="77" t="s">
        <v>2595</v>
      </c>
      <c r="Z193" s="77" t="s">
        <v>2596</v>
      </c>
      <c r="AA193" s="77" t="s">
        <v>2597</v>
      </c>
      <c r="AB193" s="77" t="s">
        <v>1111</v>
      </c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</row>
    <row r="194" spans="1:54" ht="67.5" x14ac:dyDescent="0.25">
      <c r="A194" s="64" t="s">
        <v>2398</v>
      </c>
      <c r="B194" s="64" t="s">
        <v>456</v>
      </c>
      <c r="C194" s="77" t="s">
        <v>2608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</row>
    <row r="195" spans="1:54" ht="45" x14ac:dyDescent="0.25">
      <c r="A195" s="64" t="s">
        <v>2399</v>
      </c>
      <c r="B195" s="64" t="s">
        <v>32</v>
      </c>
      <c r="C195" s="77" t="s">
        <v>2601</v>
      </c>
      <c r="D195" s="77" t="s">
        <v>2602</v>
      </c>
      <c r="E195" s="77" t="s">
        <v>2603</v>
      </c>
      <c r="F195" s="77" t="s">
        <v>2593</v>
      </c>
      <c r="G195" s="77" t="s">
        <v>917</v>
      </c>
      <c r="H195" s="77" t="s">
        <v>870</v>
      </c>
      <c r="I195" s="77" t="s">
        <v>871</v>
      </c>
      <c r="J195" s="77" t="s">
        <v>2604</v>
      </c>
      <c r="K195" s="77" t="s">
        <v>2594</v>
      </c>
      <c r="L195" s="77" t="s">
        <v>893</v>
      </c>
      <c r="M195" s="77" t="s">
        <v>894</v>
      </c>
      <c r="N195" s="77" t="s">
        <v>2605</v>
      </c>
      <c r="O195" s="77" t="s">
        <v>2606</v>
      </c>
      <c r="P195" s="77" t="s">
        <v>920</v>
      </c>
      <c r="Q195" s="77" t="s">
        <v>941</v>
      </c>
      <c r="R195" s="77" t="s">
        <v>942</v>
      </c>
      <c r="S195" s="77" t="s">
        <v>2607</v>
      </c>
      <c r="T195" s="77" t="s">
        <v>896</v>
      </c>
      <c r="U195" s="77" t="s">
        <v>946</v>
      </c>
      <c r="V195" s="77" t="s">
        <v>930</v>
      </c>
      <c r="W195" s="77" t="s">
        <v>922</v>
      </c>
      <c r="X195" s="77" t="s">
        <v>947</v>
      </c>
      <c r="Y195" s="77" t="s">
        <v>2595</v>
      </c>
      <c r="Z195" s="77" t="s">
        <v>2596</v>
      </c>
      <c r="AA195" s="77" t="s">
        <v>2597</v>
      </c>
      <c r="AB195" s="77" t="s">
        <v>1111</v>
      </c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</row>
    <row r="196" spans="1:54" ht="67.5" x14ac:dyDescent="0.25">
      <c r="A196" s="64" t="s">
        <v>2400</v>
      </c>
      <c r="B196" s="64" t="s">
        <v>456</v>
      </c>
      <c r="C196" s="77" t="s">
        <v>2608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</row>
    <row r="197" spans="1:54" ht="45" x14ac:dyDescent="0.25">
      <c r="A197" s="64" t="s">
        <v>2401</v>
      </c>
      <c r="B197" s="64" t="s">
        <v>32</v>
      </c>
      <c r="C197" s="77" t="s">
        <v>2601</v>
      </c>
      <c r="D197" s="77" t="s">
        <v>2602</v>
      </c>
      <c r="E197" s="77" t="s">
        <v>2603</v>
      </c>
      <c r="F197" s="77" t="s">
        <v>2593</v>
      </c>
      <c r="G197" s="77" t="s">
        <v>917</v>
      </c>
      <c r="H197" s="77" t="s">
        <v>870</v>
      </c>
      <c r="I197" s="77" t="s">
        <v>871</v>
      </c>
      <c r="J197" s="77" t="s">
        <v>2604</v>
      </c>
      <c r="K197" s="77" t="s">
        <v>2594</v>
      </c>
      <c r="L197" s="77" t="s">
        <v>893</v>
      </c>
      <c r="M197" s="77" t="s">
        <v>894</v>
      </c>
      <c r="N197" s="77" t="s">
        <v>2605</v>
      </c>
      <c r="O197" s="77" t="s">
        <v>2606</v>
      </c>
      <c r="P197" s="77" t="s">
        <v>920</v>
      </c>
      <c r="Q197" s="77" t="s">
        <v>941</v>
      </c>
      <c r="R197" s="77" t="s">
        <v>942</v>
      </c>
      <c r="S197" s="77" t="s">
        <v>2607</v>
      </c>
      <c r="T197" s="77" t="s">
        <v>896</v>
      </c>
      <c r="U197" s="77" t="s">
        <v>946</v>
      </c>
      <c r="V197" s="77" t="s">
        <v>930</v>
      </c>
      <c r="W197" s="77" t="s">
        <v>922</v>
      </c>
      <c r="X197" s="77" t="s">
        <v>947</v>
      </c>
      <c r="Y197" s="77" t="s">
        <v>2595</v>
      </c>
      <c r="Z197" s="77" t="s">
        <v>2596</v>
      </c>
      <c r="AA197" s="77" t="s">
        <v>2597</v>
      </c>
      <c r="AB197" s="77" t="s">
        <v>1111</v>
      </c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</row>
    <row r="198" spans="1:54" ht="67.5" x14ac:dyDescent="0.25">
      <c r="A198" s="64" t="s">
        <v>2402</v>
      </c>
      <c r="B198" s="64" t="s">
        <v>456</v>
      </c>
      <c r="C198" s="77" t="s">
        <v>2608</v>
      </c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</row>
    <row r="199" spans="1:54" ht="45" x14ac:dyDescent="0.25">
      <c r="A199" s="64" t="s">
        <v>2403</v>
      </c>
      <c r="B199" s="64" t="s">
        <v>32</v>
      </c>
      <c r="C199" s="77" t="s">
        <v>2601</v>
      </c>
      <c r="D199" s="77" t="s">
        <v>2602</v>
      </c>
      <c r="E199" s="77" t="s">
        <v>2603</v>
      </c>
      <c r="F199" s="77" t="s">
        <v>2593</v>
      </c>
      <c r="G199" s="77" t="s">
        <v>917</v>
      </c>
      <c r="H199" s="77" t="s">
        <v>870</v>
      </c>
      <c r="I199" s="77" t="s">
        <v>871</v>
      </c>
      <c r="J199" s="77" t="s">
        <v>2604</v>
      </c>
      <c r="K199" s="77" t="s">
        <v>2594</v>
      </c>
      <c r="L199" s="77" t="s">
        <v>893</v>
      </c>
      <c r="M199" s="77" t="s">
        <v>894</v>
      </c>
      <c r="N199" s="77" t="s">
        <v>2605</v>
      </c>
      <c r="O199" s="77" t="s">
        <v>2606</v>
      </c>
      <c r="P199" s="77" t="s">
        <v>1026</v>
      </c>
      <c r="Q199" s="77" t="s">
        <v>941</v>
      </c>
      <c r="R199" s="77" t="s">
        <v>942</v>
      </c>
      <c r="S199" s="77" t="s">
        <v>2607</v>
      </c>
      <c r="T199" s="77" t="s">
        <v>896</v>
      </c>
      <c r="U199" s="77" t="s">
        <v>946</v>
      </c>
      <c r="V199" s="77" t="s">
        <v>930</v>
      </c>
      <c r="W199" s="77" t="s">
        <v>922</v>
      </c>
      <c r="X199" s="77" t="s">
        <v>947</v>
      </c>
      <c r="Y199" s="77" t="s">
        <v>2595</v>
      </c>
      <c r="Z199" s="77" t="s">
        <v>2596</v>
      </c>
      <c r="AA199" s="77" t="s">
        <v>2597</v>
      </c>
      <c r="AB199" s="77" t="s">
        <v>1111</v>
      </c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</row>
    <row r="200" spans="1:54" ht="67.5" x14ac:dyDescent="0.25">
      <c r="A200" s="64" t="s">
        <v>2404</v>
      </c>
      <c r="B200" s="64" t="s">
        <v>456</v>
      </c>
      <c r="C200" s="77" t="s">
        <v>2608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</row>
    <row r="201" spans="1:54" x14ac:dyDescent="0.25">
      <c r="A201" s="64" t="s">
        <v>2642</v>
      </c>
      <c r="B201" s="64" t="s">
        <v>32</v>
      </c>
      <c r="C201" s="77" t="s">
        <v>2636</v>
      </c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</row>
    <row r="202" spans="1:54" ht="22.5" x14ac:dyDescent="0.25">
      <c r="A202" s="64" t="s">
        <v>2644</v>
      </c>
      <c r="B202" s="64" t="s">
        <v>456</v>
      </c>
      <c r="C202" s="77" t="s">
        <v>2633</v>
      </c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</row>
    <row r="203" spans="1:54" ht="33.75" x14ac:dyDescent="0.25">
      <c r="A203" s="64" t="s">
        <v>2405</v>
      </c>
      <c r="B203" s="107" t="s">
        <v>32</v>
      </c>
      <c r="C203" s="77" t="s">
        <v>932</v>
      </c>
      <c r="D203" s="77" t="s">
        <v>1170</v>
      </c>
      <c r="E203" s="77" t="s">
        <v>863</v>
      </c>
      <c r="F203" s="77" t="s">
        <v>1171</v>
      </c>
      <c r="G203" s="77" t="s">
        <v>935</v>
      </c>
      <c r="H203" s="77" t="s">
        <v>936</v>
      </c>
      <c r="I203" s="77" t="s">
        <v>870</v>
      </c>
      <c r="J203" s="77" t="s">
        <v>871</v>
      </c>
      <c r="K203" s="77" t="s">
        <v>1173</v>
      </c>
      <c r="L203" s="77" t="s">
        <v>1174</v>
      </c>
      <c r="M203" s="77" t="s">
        <v>893</v>
      </c>
      <c r="N203" s="77" t="s">
        <v>1175</v>
      </c>
      <c r="O203" s="77" t="s">
        <v>894</v>
      </c>
      <c r="P203" s="77" t="s">
        <v>1176</v>
      </c>
      <c r="Q203" s="77" t="s">
        <v>1177</v>
      </c>
      <c r="R203" s="77" t="s">
        <v>1179</v>
      </c>
      <c r="S203" s="77" t="s">
        <v>941</v>
      </c>
      <c r="T203" s="77" t="s">
        <v>1180</v>
      </c>
      <c r="U203" s="77" t="s">
        <v>1181</v>
      </c>
      <c r="V203" s="77" t="s">
        <v>1182</v>
      </c>
      <c r="W203" s="77" t="s">
        <v>896</v>
      </c>
      <c r="X203" s="77" t="s">
        <v>946</v>
      </c>
      <c r="Y203" s="77" t="s">
        <v>930</v>
      </c>
      <c r="Z203" s="77" t="s">
        <v>924</v>
      </c>
      <c r="AA203" s="77" t="s">
        <v>947</v>
      </c>
      <c r="AB203" s="77" t="s">
        <v>1111</v>
      </c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</row>
    <row r="204" spans="1:54" ht="33.75" x14ac:dyDescent="0.25">
      <c r="A204" s="64" t="s">
        <v>2406</v>
      </c>
      <c r="B204" s="107" t="s">
        <v>456</v>
      </c>
      <c r="C204" s="77" t="s">
        <v>1186</v>
      </c>
      <c r="D204" s="77" t="s">
        <v>1187</v>
      </c>
      <c r="E204" s="77" t="s">
        <v>2591</v>
      </c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</row>
    <row r="205" spans="1:54" ht="33.75" x14ac:dyDescent="0.25">
      <c r="A205" s="64" t="s">
        <v>2407</v>
      </c>
      <c r="B205" s="107" t="s">
        <v>32</v>
      </c>
      <c r="C205" s="77" t="s">
        <v>932</v>
      </c>
      <c r="D205" s="77" t="s">
        <v>1170</v>
      </c>
      <c r="E205" s="77" t="s">
        <v>863</v>
      </c>
      <c r="F205" s="77" t="s">
        <v>1171</v>
      </c>
      <c r="G205" s="77" t="s">
        <v>935</v>
      </c>
      <c r="H205" s="77" t="s">
        <v>936</v>
      </c>
      <c r="I205" s="77" t="s">
        <v>870</v>
      </c>
      <c r="J205" s="77" t="s">
        <v>871</v>
      </c>
      <c r="K205" s="77" t="s">
        <v>1173</v>
      </c>
      <c r="L205" s="77" t="s">
        <v>1174</v>
      </c>
      <c r="M205" s="77" t="s">
        <v>893</v>
      </c>
      <c r="N205" s="77" t="s">
        <v>1175</v>
      </c>
      <c r="O205" s="77" t="s">
        <v>894</v>
      </c>
      <c r="P205" s="77" t="s">
        <v>1176</v>
      </c>
      <c r="Q205" s="77" t="s">
        <v>1177</v>
      </c>
      <c r="R205" s="77" t="s">
        <v>1193</v>
      </c>
      <c r="S205" s="77" t="s">
        <v>1194</v>
      </c>
      <c r="T205" s="77" t="s">
        <v>1179</v>
      </c>
      <c r="U205" s="77" t="s">
        <v>941</v>
      </c>
      <c r="V205" s="77" t="s">
        <v>1180</v>
      </c>
      <c r="W205" s="77" t="s">
        <v>1181</v>
      </c>
      <c r="X205" s="77" t="s">
        <v>1182</v>
      </c>
      <c r="Y205" s="77" t="s">
        <v>896</v>
      </c>
      <c r="Z205" s="77" t="s">
        <v>946</v>
      </c>
      <c r="AA205" s="77" t="s">
        <v>930</v>
      </c>
      <c r="AB205" s="77" t="s">
        <v>924</v>
      </c>
      <c r="AC205" s="77" t="s">
        <v>947</v>
      </c>
      <c r="AD205" s="77" t="s">
        <v>1111</v>
      </c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</row>
    <row r="206" spans="1:54" ht="45" x14ac:dyDescent="0.25">
      <c r="A206" s="64" t="s">
        <v>2408</v>
      </c>
      <c r="B206" s="107" t="s">
        <v>456</v>
      </c>
      <c r="C206" s="77" t="s">
        <v>1186</v>
      </c>
      <c r="D206" s="77" t="s">
        <v>1187</v>
      </c>
      <c r="E206" s="77" t="s">
        <v>2589</v>
      </c>
      <c r="F206" s="77" t="s">
        <v>1195</v>
      </c>
      <c r="G206" s="77" t="s">
        <v>2590</v>
      </c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</row>
    <row r="207" spans="1:54" ht="45" x14ac:dyDescent="0.25">
      <c r="A207" s="64" t="s">
        <v>2409</v>
      </c>
      <c r="B207" s="107" t="s">
        <v>32</v>
      </c>
      <c r="C207" s="77" t="s">
        <v>932</v>
      </c>
      <c r="D207" s="77" t="s">
        <v>1170</v>
      </c>
      <c r="E207" s="77" t="s">
        <v>863</v>
      </c>
      <c r="F207" s="77" t="s">
        <v>1029</v>
      </c>
      <c r="G207" s="77" t="s">
        <v>1171</v>
      </c>
      <c r="H207" s="77" t="s">
        <v>935</v>
      </c>
      <c r="I207" s="77" t="s">
        <v>936</v>
      </c>
      <c r="J207" s="77" t="s">
        <v>917</v>
      </c>
      <c r="K207" s="77" t="s">
        <v>870</v>
      </c>
      <c r="L207" s="77" t="s">
        <v>871</v>
      </c>
      <c r="M207" s="77" t="s">
        <v>1173</v>
      </c>
      <c r="N207" s="77" t="s">
        <v>1174</v>
      </c>
      <c r="O207" s="77" t="s">
        <v>893</v>
      </c>
      <c r="P207" s="77" t="s">
        <v>1175</v>
      </c>
      <c r="Q207" s="77" t="s">
        <v>894</v>
      </c>
      <c r="R207" s="77" t="s">
        <v>1176</v>
      </c>
      <c r="S207" s="77" t="s">
        <v>1177</v>
      </c>
      <c r="T207" s="77" t="s">
        <v>1992</v>
      </c>
      <c r="U207" s="77" t="s">
        <v>1179</v>
      </c>
      <c r="V207" s="77" t="s">
        <v>941</v>
      </c>
      <c r="W207" s="77" t="s">
        <v>1180</v>
      </c>
      <c r="X207" s="77" t="s">
        <v>1181</v>
      </c>
      <c r="Y207" s="77" t="s">
        <v>1182</v>
      </c>
      <c r="Z207" s="77" t="s">
        <v>1183</v>
      </c>
      <c r="AA207" s="77" t="s">
        <v>896</v>
      </c>
      <c r="AB207" s="77" t="s">
        <v>946</v>
      </c>
      <c r="AC207" s="77" t="s">
        <v>930</v>
      </c>
      <c r="AD207" s="77" t="s">
        <v>922</v>
      </c>
      <c r="AE207" s="77" t="s">
        <v>947</v>
      </c>
      <c r="AF207" s="77" t="s">
        <v>1185</v>
      </c>
      <c r="AG207" s="77" t="s">
        <v>879</v>
      </c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</row>
    <row r="208" spans="1:54" ht="33.75" x14ac:dyDescent="0.25">
      <c r="A208" s="64" t="s">
        <v>2410</v>
      </c>
      <c r="B208" s="107" t="s">
        <v>456</v>
      </c>
      <c r="C208" s="77" t="s">
        <v>1186</v>
      </c>
      <c r="D208" s="77" t="s">
        <v>1187</v>
      </c>
      <c r="E208" s="77" t="s">
        <v>1997</v>
      </c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</row>
    <row r="209" spans="1:54" ht="45" x14ac:dyDescent="0.25">
      <c r="A209" s="64" t="s">
        <v>2411</v>
      </c>
      <c r="B209" s="107" t="s">
        <v>32</v>
      </c>
      <c r="C209" s="77" t="s">
        <v>932</v>
      </c>
      <c r="D209" s="77" t="s">
        <v>1170</v>
      </c>
      <c r="E209" s="77" t="s">
        <v>863</v>
      </c>
      <c r="F209" s="77" t="s">
        <v>1029</v>
      </c>
      <c r="G209" s="77" t="s">
        <v>1171</v>
      </c>
      <c r="H209" s="77" t="s">
        <v>935</v>
      </c>
      <c r="I209" s="77" t="s">
        <v>936</v>
      </c>
      <c r="J209" s="77" t="s">
        <v>917</v>
      </c>
      <c r="K209" s="77" t="s">
        <v>870</v>
      </c>
      <c r="L209" s="77" t="s">
        <v>871</v>
      </c>
      <c r="M209" s="77" t="s">
        <v>1173</v>
      </c>
      <c r="N209" s="77" t="s">
        <v>1191</v>
      </c>
      <c r="O209" s="77" t="s">
        <v>1192</v>
      </c>
      <c r="P209" s="77" t="s">
        <v>893</v>
      </c>
      <c r="Q209" s="77" t="s">
        <v>894</v>
      </c>
      <c r="R209" s="77" t="s">
        <v>1176</v>
      </c>
      <c r="S209" s="77" t="s">
        <v>1177</v>
      </c>
      <c r="T209" s="77" t="s">
        <v>1193</v>
      </c>
      <c r="U209" s="77" t="s">
        <v>1194</v>
      </c>
      <c r="V209" s="77" t="s">
        <v>1992</v>
      </c>
      <c r="W209" s="77" t="s">
        <v>1179</v>
      </c>
      <c r="X209" s="77" t="s">
        <v>941</v>
      </c>
      <c r="Y209" s="77" t="s">
        <v>1180</v>
      </c>
      <c r="Z209" s="77" t="s">
        <v>1181</v>
      </c>
      <c r="AA209" s="77" t="s">
        <v>1182</v>
      </c>
      <c r="AB209" s="77" t="s">
        <v>1183</v>
      </c>
      <c r="AC209" s="77" t="s">
        <v>896</v>
      </c>
      <c r="AD209" s="77" t="s">
        <v>946</v>
      </c>
      <c r="AE209" s="77" t="s">
        <v>930</v>
      </c>
      <c r="AF209" s="77" t="s">
        <v>922</v>
      </c>
      <c r="AG209" s="77" t="s">
        <v>947</v>
      </c>
      <c r="AH209" s="77" t="s">
        <v>1185</v>
      </c>
      <c r="AI209" s="77" t="s">
        <v>879</v>
      </c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</row>
    <row r="210" spans="1:54" ht="33.75" x14ac:dyDescent="0.25">
      <c r="A210" s="64" t="s">
        <v>2412</v>
      </c>
      <c r="B210" s="107" t="s">
        <v>456</v>
      </c>
      <c r="C210" s="77" t="s">
        <v>1186</v>
      </c>
      <c r="D210" s="77" t="s">
        <v>1195</v>
      </c>
      <c r="E210" s="77" t="s">
        <v>1196</v>
      </c>
      <c r="F210" s="77" t="s">
        <v>1997</v>
      </c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</row>
  </sheetData>
  <autoFilter ref="A1:BB210" xr:uid="{00000000-0001-0000-0000-000000000000}"/>
  <conditionalFormatting sqref="A2">
    <cfRule type="duplicateValues" dxfId="25" priority="12"/>
  </conditionalFormatting>
  <conditionalFormatting sqref="A211:A1048576 A1">
    <cfRule type="duplicateValues" dxfId="24" priority="62"/>
    <cfRule type="duplicateValues" dxfId="23" priority="63"/>
    <cfRule type="duplicateValues" dxfId="22" priority="64"/>
  </conditionalFormatting>
  <conditionalFormatting sqref="A3:A120">
    <cfRule type="duplicateValues" dxfId="21" priority="159"/>
    <cfRule type="duplicateValues" dxfId="20" priority="160"/>
    <cfRule type="duplicateValues" dxfId="19" priority="161"/>
  </conditionalFormatting>
  <conditionalFormatting sqref="A121:A210">
    <cfRule type="duplicateValues" dxfId="18" priority="2"/>
  </conditionalFormatting>
  <pageMargins left="0.70866141732283472" right="0.70866141732283472" top="0.74803149606299213" bottom="0.74803149606299213" header="0.31496062992125984" footer="0.31496062992125984"/>
  <pageSetup paperSize="9" scale="10" fitToWidth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6BB6-F881-4553-AB01-2AFF7A9EE284}">
  <dimension ref="A1:AL210"/>
  <sheetViews>
    <sheetView zoomScale="85" zoomScaleNormal="85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E211" sqref="E211"/>
    </sheetView>
  </sheetViews>
  <sheetFormatPr baseColWidth="10" defaultRowHeight="11.25" x14ac:dyDescent="0.2"/>
  <cols>
    <col min="1" max="1" width="64.7109375" style="98" bestFit="1" customWidth="1"/>
    <col min="2" max="2" width="11.42578125" style="120"/>
    <col min="3" max="34" width="22" style="98" customWidth="1"/>
    <col min="35" max="16384" width="11.42578125" style="98"/>
  </cols>
  <sheetData>
    <row r="1" spans="1:38" s="66" customFormat="1" ht="33.75" x14ac:dyDescent="0.25">
      <c r="A1" s="64" t="s">
        <v>998</v>
      </c>
      <c r="B1" s="116" t="s">
        <v>455</v>
      </c>
      <c r="C1" s="64" t="s">
        <v>561</v>
      </c>
      <c r="D1" s="64" t="s">
        <v>562</v>
      </c>
      <c r="E1" s="64" t="s">
        <v>563</v>
      </c>
      <c r="F1" s="64" t="s">
        <v>564</v>
      </c>
      <c r="G1" s="64" t="s">
        <v>565</v>
      </c>
      <c r="H1" s="64" t="s">
        <v>566</v>
      </c>
      <c r="I1" s="64" t="s">
        <v>567</v>
      </c>
      <c r="J1" s="64" t="s">
        <v>568</v>
      </c>
      <c r="K1" s="64" t="s">
        <v>569</v>
      </c>
      <c r="L1" s="64" t="s">
        <v>570</v>
      </c>
      <c r="M1" s="64" t="s">
        <v>571</v>
      </c>
      <c r="N1" s="64" t="s">
        <v>572</v>
      </c>
      <c r="O1" s="64" t="s">
        <v>560</v>
      </c>
      <c r="P1" s="72" t="s">
        <v>573</v>
      </c>
      <c r="Q1" s="72" t="s">
        <v>485</v>
      </c>
      <c r="R1" s="72" t="s">
        <v>552</v>
      </c>
      <c r="S1" s="64" t="s">
        <v>553</v>
      </c>
      <c r="T1" s="64" t="s">
        <v>554</v>
      </c>
      <c r="U1" s="73" t="s">
        <v>574</v>
      </c>
      <c r="V1" s="73" t="s">
        <v>575</v>
      </c>
      <c r="W1" s="73" t="s">
        <v>576</v>
      </c>
      <c r="X1" s="71" t="s">
        <v>577</v>
      </c>
      <c r="Y1" s="72" t="s">
        <v>480</v>
      </c>
      <c r="Z1" s="73" t="s">
        <v>578</v>
      </c>
      <c r="AA1" s="64" t="s">
        <v>429</v>
      </c>
      <c r="AB1" s="64" t="s">
        <v>428</v>
      </c>
      <c r="AC1" s="64" t="s">
        <v>427</v>
      </c>
      <c r="AD1" s="64" t="s">
        <v>426</v>
      </c>
      <c r="AE1" s="64" t="s">
        <v>425</v>
      </c>
      <c r="AF1" s="64" t="s">
        <v>424</v>
      </c>
      <c r="AG1" s="64" t="s">
        <v>423</v>
      </c>
      <c r="AH1" s="64" t="s">
        <v>422</v>
      </c>
    </row>
    <row r="2" spans="1:38" s="67" customFormat="1" x14ac:dyDescent="0.25">
      <c r="A2" s="64" t="s">
        <v>216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38" s="66" customFormat="1" ht="56.25" x14ac:dyDescent="0.25">
      <c r="A3" s="70" t="s">
        <v>1497</v>
      </c>
      <c r="B3" s="73" t="s">
        <v>32</v>
      </c>
      <c r="C3" s="77" t="s">
        <v>1064</v>
      </c>
      <c r="D3" s="77" t="s">
        <v>1065</v>
      </c>
      <c r="E3" s="77" t="s">
        <v>1066</v>
      </c>
      <c r="F3" s="77" t="s">
        <v>1067</v>
      </c>
      <c r="G3" s="77" t="s">
        <v>574</v>
      </c>
      <c r="H3" s="77" t="s">
        <v>956</v>
      </c>
      <c r="I3" s="77" t="s">
        <v>957</v>
      </c>
      <c r="J3" s="77" t="s">
        <v>968</v>
      </c>
      <c r="K3" s="77" t="s">
        <v>1068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</row>
    <row r="4" spans="1:38" s="66" customFormat="1" ht="33.75" x14ac:dyDescent="0.25">
      <c r="A4" s="70" t="s">
        <v>1498</v>
      </c>
      <c r="B4" s="73" t="s">
        <v>456</v>
      </c>
      <c r="C4" s="77" t="s">
        <v>969</v>
      </c>
      <c r="D4" s="77" t="s">
        <v>1069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</row>
    <row r="5" spans="1:38" s="66" customFormat="1" ht="56.25" x14ac:dyDescent="0.25">
      <c r="A5" s="70" t="s">
        <v>1499</v>
      </c>
      <c r="B5" s="73" t="s">
        <v>32</v>
      </c>
      <c r="C5" s="77" t="s">
        <v>1070</v>
      </c>
      <c r="D5" s="77" t="s">
        <v>965</v>
      </c>
      <c r="E5" s="77" t="s">
        <v>1071</v>
      </c>
      <c r="F5" s="77" t="s">
        <v>966</v>
      </c>
      <c r="G5" s="77" t="s">
        <v>1072</v>
      </c>
      <c r="H5" s="77" t="s">
        <v>574</v>
      </c>
      <c r="I5" s="77" t="s">
        <v>973</v>
      </c>
      <c r="J5" s="77" t="s">
        <v>1073</v>
      </c>
      <c r="K5" s="77" t="s">
        <v>1068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</row>
    <row r="6" spans="1:38" s="66" customFormat="1" ht="33.75" x14ac:dyDescent="0.25">
      <c r="A6" s="70" t="s">
        <v>1500</v>
      </c>
      <c r="B6" s="73" t="s">
        <v>456</v>
      </c>
      <c r="C6" s="77" t="s">
        <v>969</v>
      </c>
      <c r="D6" s="77" t="s">
        <v>1069</v>
      </c>
      <c r="E6" s="77" t="s">
        <v>970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</row>
    <row r="7" spans="1:38" s="66" customFormat="1" ht="56.25" x14ac:dyDescent="0.25">
      <c r="A7" s="70" t="s">
        <v>1501</v>
      </c>
      <c r="B7" s="73" t="s">
        <v>32</v>
      </c>
      <c r="C7" s="77" t="s">
        <v>1074</v>
      </c>
      <c r="D7" s="77" t="s">
        <v>965</v>
      </c>
      <c r="E7" s="77" t="s">
        <v>1075</v>
      </c>
      <c r="F7" s="77" t="s">
        <v>1076</v>
      </c>
      <c r="G7" s="77" t="s">
        <v>1077</v>
      </c>
      <c r="H7" s="77" t="s">
        <v>574</v>
      </c>
      <c r="I7" s="77" t="s">
        <v>973</v>
      </c>
      <c r="J7" s="77" t="s">
        <v>1078</v>
      </c>
      <c r="K7" s="77" t="s">
        <v>1079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</row>
    <row r="8" spans="1:38" s="66" customFormat="1" ht="33.75" x14ac:dyDescent="0.25">
      <c r="A8" s="70" t="s">
        <v>1502</v>
      </c>
      <c r="B8" s="73" t="s">
        <v>456</v>
      </c>
      <c r="C8" s="77" t="s">
        <v>969</v>
      </c>
      <c r="D8" s="77" t="s">
        <v>1069</v>
      </c>
      <c r="E8" s="77" t="s">
        <v>970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</row>
    <row r="9" spans="1:38" s="66" customFormat="1" ht="56.25" x14ac:dyDescent="0.25">
      <c r="A9" s="70" t="s">
        <v>1503</v>
      </c>
      <c r="B9" s="73" t="s">
        <v>32</v>
      </c>
      <c r="C9" s="77" t="s">
        <v>1080</v>
      </c>
      <c r="D9" s="77" t="s">
        <v>965</v>
      </c>
      <c r="E9" s="77" t="s">
        <v>1075</v>
      </c>
      <c r="F9" s="77" t="s">
        <v>1076</v>
      </c>
      <c r="G9" s="77" t="s">
        <v>1077</v>
      </c>
      <c r="H9" s="77" t="s">
        <v>574</v>
      </c>
      <c r="I9" s="77" t="s">
        <v>973</v>
      </c>
      <c r="J9" s="77" t="s">
        <v>1078</v>
      </c>
      <c r="K9" s="77" t="s">
        <v>1079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</row>
    <row r="10" spans="1:38" s="66" customFormat="1" ht="33.75" x14ac:dyDescent="0.25">
      <c r="A10" s="70" t="s">
        <v>1504</v>
      </c>
      <c r="B10" s="73" t="s">
        <v>456</v>
      </c>
      <c r="C10" s="77" t="s">
        <v>969</v>
      </c>
      <c r="D10" s="77" t="s">
        <v>1069</v>
      </c>
      <c r="E10" s="77" t="s">
        <v>970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</row>
    <row r="11" spans="1:38" s="66" customFormat="1" ht="56.25" x14ac:dyDescent="0.25">
      <c r="A11" s="70" t="s">
        <v>1505</v>
      </c>
      <c r="B11" s="73" t="s">
        <v>32</v>
      </c>
      <c r="C11" s="77" t="s">
        <v>1080</v>
      </c>
      <c r="D11" s="77" t="s">
        <v>965</v>
      </c>
      <c r="E11" s="77" t="s">
        <v>1075</v>
      </c>
      <c r="F11" s="77" t="s">
        <v>1076</v>
      </c>
      <c r="G11" s="77" t="s">
        <v>1077</v>
      </c>
      <c r="H11" s="77" t="s">
        <v>574</v>
      </c>
      <c r="I11" s="77" t="s">
        <v>973</v>
      </c>
      <c r="J11" s="77" t="s">
        <v>1081</v>
      </c>
      <c r="K11" s="77" t="s">
        <v>1079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8" s="66" customFormat="1" ht="33.75" x14ac:dyDescent="0.25">
      <c r="A12" s="70" t="s">
        <v>1506</v>
      </c>
      <c r="B12" s="73" t="s">
        <v>456</v>
      </c>
      <c r="C12" s="77" t="s">
        <v>969</v>
      </c>
      <c r="D12" s="77" t="s">
        <v>1069</v>
      </c>
      <c r="E12" s="77" t="s">
        <v>970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</row>
    <row r="13" spans="1:38" s="66" customFormat="1" ht="56.25" x14ac:dyDescent="0.25">
      <c r="A13" s="70" t="s">
        <v>1507</v>
      </c>
      <c r="B13" s="73" t="s">
        <v>32</v>
      </c>
      <c r="C13" s="77" t="s">
        <v>1080</v>
      </c>
      <c r="D13" s="77" t="s">
        <v>965</v>
      </c>
      <c r="E13" s="77" t="s">
        <v>1075</v>
      </c>
      <c r="F13" s="77" t="s">
        <v>1076</v>
      </c>
      <c r="G13" s="77" t="s">
        <v>1077</v>
      </c>
      <c r="H13" s="77" t="s">
        <v>574</v>
      </c>
      <c r="I13" s="77" t="s">
        <v>973</v>
      </c>
      <c r="J13" s="77" t="s">
        <v>1078</v>
      </c>
      <c r="K13" s="77" t="s">
        <v>1079</v>
      </c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</row>
    <row r="14" spans="1:38" s="66" customFormat="1" ht="33.75" x14ac:dyDescent="0.25">
      <c r="A14" s="70" t="s">
        <v>1508</v>
      </c>
      <c r="B14" s="73" t="s">
        <v>456</v>
      </c>
      <c r="C14" s="77" t="s">
        <v>969</v>
      </c>
      <c r="D14" s="77" t="s">
        <v>1069</v>
      </c>
      <c r="E14" s="77" t="s">
        <v>970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</row>
    <row r="15" spans="1:38" s="66" customFormat="1" ht="56.25" x14ac:dyDescent="0.25">
      <c r="A15" s="70" t="s">
        <v>1509</v>
      </c>
      <c r="B15" s="73" t="s">
        <v>32</v>
      </c>
      <c r="C15" s="77" t="s">
        <v>1080</v>
      </c>
      <c r="D15" s="77" t="s">
        <v>965</v>
      </c>
      <c r="E15" s="77" t="s">
        <v>1075</v>
      </c>
      <c r="F15" s="77" t="s">
        <v>1076</v>
      </c>
      <c r="G15" s="77" t="s">
        <v>1077</v>
      </c>
      <c r="H15" s="77" t="s">
        <v>574</v>
      </c>
      <c r="I15" s="77" t="s">
        <v>973</v>
      </c>
      <c r="J15" s="77" t="s">
        <v>1081</v>
      </c>
      <c r="K15" s="77" t="s">
        <v>1079</v>
      </c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</row>
    <row r="16" spans="1:38" s="66" customFormat="1" ht="33.75" x14ac:dyDescent="0.25">
      <c r="A16" s="70" t="s">
        <v>1510</v>
      </c>
      <c r="B16" s="73" t="s">
        <v>456</v>
      </c>
      <c r="C16" s="77" t="s">
        <v>969</v>
      </c>
      <c r="D16" s="77" t="s">
        <v>1069</v>
      </c>
      <c r="E16" s="77" t="s">
        <v>970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</row>
    <row r="17" spans="1:34" s="66" customFormat="1" ht="56.25" x14ac:dyDescent="0.25">
      <c r="A17" s="70" t="s">
        <v>1511</v>
      </c>
      <c r="B17" s="73" t="s">
        <v>32</v>
      </c>
      <c r="C17" s="77" t="s">
        <v>1074</v>
      </c>
      <c r="D17" s="77" t="s">
        <v>965</v>
      </c>
      <c r="E17" s="77" t="s">
        <v>1075</v>
      </c>
      <c r="F17" s="77" t="s">
        <v>966</v>
      </c>
      <c r="G17" s="77" t="s">
        <v>1077</v>
      </c>
      <c r="H17" s="77" t="s">
        <v>574</v>
      </c>
      <c r="I17" s="77" t="s">
        <v>973</v>
      </c>
      <c r="J17" s="77" t="s">
        <v>1078</v>
      </c>
      <c r="K17" s="77" t="s">
        <v>1079</v>
      </c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</row>
    <row r="18" spans="1:34" s="66" customFormat="1" ht="33.75" x14ac:dyDescent="0.25">
      <c r="A18" s="70" t="s">
        <v>1512</v>
      </c>
      <c r="B18" s="73" t="s">
        <v>456</v>
      </c>
      <c r="C18" s="77" t="s">
        <v>969</v>
      </c>
      <c r="D18" s="77" t="s">
        <v>1069</v>
      </c>
      <c r="E18" s="77" t="s">
        <v>970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</row>
    <row r="19" spans="1:34" s="66" customFormat="1" ht="56.25" x14ac:dyDescent="0.25">
      <c r="A19" s="70" t="s">
        <v>1513</v>
      </c>
      <c r="B19" s="73" t="s">
        <v>32</v>
      </c>
      <c r="C19" s="77" t="s">
        <v>1080</v>
      </c>
      <c r="D19" s="77" t="s">
        <v>965</v>
      </c>
      <c r="E19" s="77" t="s">
        <v>1075</v>
      </c>
      <c r="F19" s="77" t="s">
        <v>1076</v>
      </c>
      <c r="G19" s="77" t="s">
        <v>1077</v>
      </c>
      <c r="H19" s="77" t="s">
        <v>574</v>
      </c>
      <c r="I19" s="77" t="s">
        <v>973</v>
      </c>
      <c r="J19" s="77" t="s">
        <v>1078</v>
      </c>
      <c r="K19" s="77" t="s">
        <v>1079</v>
      </c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s="66" customFormat="1" ht="33.75" x14ac:dyDescent="0.25">
      <c r="A20" s="70" t="s">
        <v>1514</v>
      </c>
      <c r="B20" s="73" t="s">
        <v>456</v>
      </c>
      <c r="C20" s="77" t="s">
        <v>969</v>
      </c>
      <c r="D20" s="77" t="s">
        <v>1069</v>
      </c>
      <c r="E20" s="77" t="s">
        <v>970</v>
      </c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</row>
    <row r="21" spans="1:34" s="66" customFormat="1" ht="56.25" x14ac:dyDescent="0.25">
      <c r="A21" s="70" t="s">
        <v>1515</v>
      </c>
      <c r="B21" s="73" t="s">
        <v>32</v>
      </c>
      <c r="C21" s="77" t="s">
        <v>1080</v>
      </c>
      <c r="D21" s="77" t="s">
        <v>965</v>
      </c>
      <c r="E21" s="77" t="s">
        <v>1075</v>
      </c>
      <c r="F21" s="77" t="s">
        <v>1076</v>
      </c>
      <c r="G21" s="77" t="s">
        <v>1077</v>
      </c>
      <c r="H21" s="77" t="s">
        <v>574</v>
      </c>
      <c r="I21" s="77" t="s">
        <v>973</v>
      </c>
      <c r="J21" s="77" t="s">
        <v>1081</v>
      </c>
      <c r="K21" s="77" t="s">
        <v>1079</v>
      </c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</row>
    <row r="22" spans="1:34" s="66" customFormat="1" ht="33.75" x14ac:dyDescent="0.25">
      <c r="A22" s="70" t="s">
        <v>1516</v>
      </c>
      <c r="B22" s="73" t="s">
        <v>456</v>
      </c>
      <c r="C22" s="77" t="s">
        <v>969</v>
      </c>
      <c r="D22" s="77" t="s">
        <v>1069</v>
      </c>
      <c r="E22" s="77" t="s">
        <v>970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</row>
    <row r="23" spans="1:34" s="66" customFormat="1" ht="56.25" x14ac:dyDescent="0.25">
      <c r="A23" s="70" t="s">
        <v>1517</v>
      </c>
      <c r="B23" s="73" t="s">
        <v>32</v>
      </c>
      <c r="C23" s="77" t="s">
        <v>1080</v>
      </c>
      <c r="D23" s="77" t="s">
        <v>965</v>
      </c>
      <c r="E23" s="77" t="s">
        <v>1075</v>
      </c>
      <c r="F23" s="77" t="s">
        <v>1076</v>
      </c>
      <c r="G23" s="77" t="s">
        <v>1077</v>
      </c>
      <c r="H23" s="77" t="s">
        <v>574</v>
      </c>
      <c r="I23" s="77" t="s">
        <v>973</v>
      </c>
      <c r="J23" s="77" t="s">
        <v>1078</v>
      </c>
      <c r="K23" s="77" t="s">
        <v>1079</v>
      </c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1:34" s="66" customFormat="1" ht="33.75" x14ac:dyDescent="0.25">
      <c r="A24" s="70" t="s">
        <v>1518</v>
      </c>
      <c r="B24" s="73" t="s">
        <v>456</v>
      </c>
      <c r="C24" s="77" t="s">
        <v>969</v>
      </c>
      <c r="D24" s="77" t="s">
        <v>1069</v>
      </c>
      <c r="E24" s="77" t="s">
        <v>970</v>
      </c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1:34" s="66" customFormat="1" ht="56.25" x14ac:dyDescent="0.25">
      <c r="A25" s="70" t="s">
        <v>1519</v>
      </c>
      <c r="B25" s="73" t="s">
        <v>32</v>
      </c>
      <c r="C25" s="77" t="s">
        <v>1080</v>
      </c>
      <c r="D25" s="77" t="s">
        <v>965</v>
      </c>
      <c r="E25" s="77" t="s">
        <v>1075</v>
      </c>
      <c r="F25" s="77" t="s">
        <v>1076</v>
      </c>
      <c r="G25" s="77" t="s">
        <v>1077</v>
      </c>
      <c r="H25" s="77" t="s">
        <v>574</v>
      </c>
      <c r="I25" s="77" t="s">
        <v>973</v>
      </c>
      <c r="J25" s="77" t="s">
        <v>1081</v>
      </c>
      <c r="K25" s="77" t="s">
        <v>1079</v>
      </c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1:34" s="66" customFormat="1" ht="33.75" x14ac:dyDescent="0.25">
      <c r="A26" s="70" t="s">
        <v>1520</v>
      </c>
      <c r="B26" s="73" t="s">
        <v>456</v>
      </c>
      <c r="C26" s="77" t="s">
        <v>969</v>
      </c>
      <c r="D26" s="77" t="s">
        <v>1069</v>
      </c>
      <c r="E26" s="77" t="s">
        <v>970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1:34" s="66" customFormat="1" ht="56.25" x14ac:dyDescent="0.25">
      <c r="A27" s="70" t="s">
        <v>1591</v>
      </c>
      <c r="B27" s="73" t="s">
        <v>32</v>
      </c>
      <c r="C27" s="77" t="s">
        <v>1064</v>
      </c>
      <c r="D27" s="77" t="s">
        <v>1065</v>
      </c>
      <c r="E27" s="77" t="s">
        <v>1198</v>
      </c>
      <c r="F27" s="77" t="s">
        <v>1199</v>
      </c>
      <c r="G27" s="77" t="s">
        <v>574</v>
      </c>
      <c r="H27" s="77" t="s">
        <v>956</v>
      </c>
      <c r="I27" s="77" t="s">
        <v>957</v>
      </c>
      <c r="J27" s="77" t="s">
        <v>1200</v>
      </c>
      <c r="K27" s="77" t="s">
        <v>1068</v>
      </c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1:34" s="66" customFormat="1" ht="33.75" x14ac:dyDescent="0.25">
      <c r="A28" s="70" t="s">
        <v>1592</v>
      </c>
      <c r="B28" s="73" t="s">
        <v>456</v>
      </c>
      <c r="C28" s="77" t="s">
        <v>969</v>
      </c>
      <c r="D28" s="77" t="s">
        <v>1069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</row>
    <row r="29" spans="1:34" s="66" customFormat="1" ht="56.25" x14ac:dyDescent="0.25">
      <c r="A29" s="70" t="s">
        <v>1593</v>
      </c>
      <c r="B29" s="73" t="s">
        <v>32</v>
      </c>
      <c r="C29" s="77" t="s">
        <v>1064</v>
      </c>
      <c r="D29" s="77" t="s">
        <v>1065</v>
      </c>
      <c r="E29" s="77" t="s">
        <v>1201</v>
      </c>
      <c r="F29" s="77" t="s">
        <v>1202</v>
      </c>
      <c r="G29" s="77" t="s">
        <v>574</v>
      </c>
      <c r="H29" s="77" t="s">
        <v>956</v>
      </c>
      <c r="I29" s="77" t="s">
        <v>957</v>
      </c>
      <c r="J29" s="77" t="s">
        <v>1073</v>
      </c>
      <c r="K29" s="77" t="s">
        <v>1068</v>
      </c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</row>
    <row r="30" spans="1:34" s="66" customFormat="1" ht="33.75" x14ac:dyDescent="0.25">
      <c r="A30" s="70" t="s">
        <v>1594</v>
      </c>
      <c r="B30" s="73" t="s">
        <v>456</v>
      </c>
      <c r="C30" s="77" t="s">
        <v>969</v>
      </c>
      <c r="D30" s="77" t="s">
        <v>1069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</row>
    <row r="31" spans="1:34" s="66" customFormat="1" ht="56.25" x14ac:dyDescent="0.25">
      <c r="A31" s="70" t="s">
        <v>1595</v>
      </c>
      <c r="B31" s="73" t="s">
        <v>32</v>
      </c>
      <c r="C31" s="77" t="s">
        <v>1064</v>
      </c>
      <c r="D31" s="77" t="s">
        <v>1065</v>
      </c>
      <c r="E31" s="77" t="s">
        <v>1066</v>
      </c>
      <c r="F31" s="77" t="s">
        <v>1067</v>
      </c>
      <c r="G31" s="77" t="s">
        <v>574</v>
      </c>
      <c r="H31" s="77" t="s">
        <v>956</v>
      </c>
      <c r="I31" s="77" t="s">
        <v>957</v>
      </c>
      <c r="J31" s="77" t="s">
        <v>968</v>
      </c>
      <c r="K31" s="77" t="s">
        <v>1068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</row>
    <row r="32" spans="1:34" s="66" customFormat="1" ht="33.75" x14ac:dyDescent="0.25">
      <c r="A32" s="70" t="s">
        <v>1596</v>
      </c>
      <c r="B32" s="73" t="s">
        <v>456</v>
      </c>
      <c r="C32" s="77" t="s">
        <v>969</v>
      </c>
      <c r="D32" s="77" t="s">
        <v>1069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</row>
    <row r="33" spans="1:34" s="66" customFormat="1" ht="56.25" x14ac:dyDescent="0.25">
      <c r="A33" s="70" t="s">
        <v>1597</v>
      </c>
      <c r="B33" s="73" t="s">
        <v>32</v>
      </c>
      <c r="C33" s="77" t="s">
        <v>1070</v>
      </c>
      <c r="D33" s="77" t="s">
        <v>965</v>
      </c>
      <c r="E33" s="77" t="s">
        <v>1071</v>
      </c>
      <c r="F33" s="77" t="s">
        <v>966</v>
      </c>
      <c r="G33" s="77" t="s">
        <v>1072</v>
      </c>
      <c r="H33" s="77" t="s">
        <v>574</v>
      </c>
      <c r="I33" s="77" t="s">
        <v>973</v>
      </c>
      <c r="J33" s="77" t="s">
        <v>1073</v>
      </c>
      <c r="K33" s="77" t="s">
        <v>1068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</row>
    <row r="34" spans="1:34" s="66" customFormat="1" ht="33.75" x14ac:dyDescent="0.25">
      <c r="A34" s="70" t="s">
        <v>1598</v>
      </c>
      <c r="B34" s="73" t="s">
        <v>456</v>
      </c>
      <c r="C34" s="77" t="s">
        <v>969</v>
      </c>
      <c r="D34" s="77" t="s">
        <v>1069</v>
      </c>
      <c r="E34" s="77" t="s">
        <v>970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</row>
    <row r="35" spans="1:34" s="66" customFormat="1" ht="56.25" x14ac:dyDescent="0.25">
      <c r="A35" s="70" t="s">
        <v>1599</v>
      </c>
      <c r="B35" s="73" t="s">
        <v>32</v>
      </c>
      <c r="C35" s="77" t="s">
        <v>1074</v>
      </c>
      <c r="D35" s="77" t="s">
        <v>965</v>
      </c>
      <c r="E35" s="77" t="s">
        <v>1075</v>
      </c>
      <c r="F35" s="77" t="s">
        <v>1076</v>
      </c>
      <c r="G35" s="77" t="s">
        <v>1077</v>
      </c>
      <c r="H35" s="77" t="s">
        <v>574</v>
      </c>
      <c r="I35" s="77" t="s">
        <v>973</v>
      </c>
      <c r="J35" s="77" t="s">
        <v>1078</v>
      </c>
      <c r="K35" s="77" t="s">
        <v>1079</v>
      </c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</row>
    <row r="36" spans="1:34" s="66" customFormat="1" ht="33.75" x14ac:dyDescent="0.25">
      <c r="A36" s="70" t="s">
        <v>1600</v>
      </c>
      <c r="B36" s="73" t="s">
        <v>456</v>
      </c>
      <c r="C36" s="77" t="s">
        <v>969</v>
      </c>
      <c r="D36" s="77" t="s">
        <v>1069</v>
      </c>
      <c r="E36" s="77" t="s">
        <v>970</v>
      </c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</row>
    <row r="37" spans="1:34" s="66" customFormat="1" ht="56.25" x14ac:dyDescent="0.25">
      <c r="A37" s="70" t="s">
        <v>1601</v>
      </c>
      <c r="B37" s="73" t="s">
        <v>32</v>
      </c>
      <c r="C37" s="77" t="s">
        <v>1080</v>
      </c>
      <c r="D37" s="77" t="s">
        <v>965</v>
      </c>
      <c r="E37" s="77" t="s">
        <v>1075</v>
      </c>
      <c r="F37" s="77" t="s">
        <v>1076</v>
      </c>
      <c r="G37" s="77" t="s">
        <v>1077</v>
      </c>
      <c r="H37" s="77" t="s">
        <v>574</v>
      </c>
      <c r="I37" s="77" t="s">
        <v>973</v>
      </c>
      <c r="J37" s="77" t="s">
        <v>1078</v>
      </c>
      <c r="K37" s="77" t="s">
        <v>1079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</row>
    <row r="38" spans="1:34" s="66" customFormat="1" ht="33.75" x14ac:dyDescent="0.25">
      <c r="A38" s="70" t="s">
        <v>1602</v>
      </c>
      <c r="B38" s="73" t="s">
        <v>456</v>
      </c>
      <c r="C38" s="77" t="s">
        <v>969</v>
      </c>
      <c r="D38" s="77" t="s">
        <v>1069</v>
      </c>
      <c r="E38" s="77" t="s">
        <v>970</v>
      </c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</row>
    <row r="39" spans="1:34" s="66" customFormat="1" ht="56.25" x14ac:dyDescent="0.25">
      <c r="A39" s="70" t="s">
        <v>1603</v>
      </c>
      <c r="B39" s="73" t="s">
        <v>32</v>
      </c>
      <c r="C39" s="77" t="s">
        <v>1080</v>
      </c>
      <c r="D39" s="77" t="s">
        <v>965</v>
      </c>
      <c r="E39" s="77" t="s">
        <v>1075</v>
      </c>
      <c r="F39" s="77" t="s">
        <v>1076</v>
      </c>
      <c r="G39" s="77" t="s">
        <v>1077</v>
      </c>
      <c r="H39" s="77" t="s">
        <v>574</v>
      </c>
      <c r="I39" s="77" t="s">
        <v>973</v>
      </c>
      <c r="J39" s="77" t="s">
        <v>1081</v>
      </c>
      <c r="K39" s="77" t="s">
        <v>1079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</row>
    <row r="40" spans="1:34" s="66" customFormat="1" ht="33.75" x14ac:dyDescent="0.25">
      <c r="A40" s="70" t="s">
        <v>1604</v>
      </c>
      <c r="B40" s="73" t="s">
        <v>456</v>
      </c>
      <c r="C40" s="77" t="s">
        <v>969</v>
      </c>
      <c r="D40" s="77" t="s">
        <v>1069</v>
      </c>
      <c r="E40" s="77" t="s">
        <v>970</v>
      </c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</row>
    <row r="41" spans="1:34" s="66" customFormat="1" ht="56.25" x14ac:dyDescent="0.25">
      <c r="A41" s="70" t="s">
        <v>1605</v>
      </c>
      <c r="B41" s="73" t="s">
        <v>32</v>
      </c>
      <c r="C41" s="77" t="s">
        <v>1080</v>
      </c>
      <c r="D41" s="77" t="s">
        <v>965</v>
      </c>
      <c r="E41" s="77" t="s">
        <v>1075</v>
      </c>
      <c r="F41" s="77" t="s">
        <v>1076</v>
      </c>
      <c r="G41" s="77" t="s">
        <v>1077</v>
      </c>
      <c r="H41" s="77" t="s">
        <v>574</v>
      </c>
      <c r="I41" s="77" t="s">
        <v>973</v>
      </c>
      <c r="J41" s="77" t="s">
        <v>1078</v>
      </c>
      <c r="K41" s="77" t="s">
        <v>1079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</row>
    <row r="42" spans="1:34" s="66" customFormat="1" ht="33.75" x14ac:dyDescent="0.25">
      <c r="A42" s="70" t="s">
        <v>1606</v>
      </c>
      <c r="B42" s="73" t="s">
        <v>456</v>
      </c>
      <c r="C42" s="77" t="s">
        <v>969</v>
      </c>
      <c r="D42" s="77" t="s">
        <v>1069</v>
      </c>
      <c r="E42" s="77" t="s">
        <v>970</v>
      </c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</row>
    <row r="43" spans="1:34" s="66" customFormat="1" ht="56.25" x14ac:dyDescent="0.25">
      <c r="A43" s="70" t="s">
        <v>1607</v>
      </c>
      <c r="B43" s="73" t="s">
        <v>32</v>
      </c>
      <c r="C43" s="77" t="s">
        <v>1080</v>
      </c>
      <c r="D43" s="77" t="s">
        <v>965</v>
      </c>
      <c r="E43" s="77" t="s">
        <v>1075</v>
      </c>
      <c r="F43" s="77" t="s">
        <v>1076</v>
      </c>
      <c r="G43" s="77" t="s">
        <v>1077</v>
      </c>
      <c r="H43" s="77" t="s">
        <v>574</v>
      </c>
      <c r="I43" s="77" t="s">
        <v>973</v>
      </c>
      <c r="J43" s="77" t="s">
        <v>1081</v>
      </c>
      <c r="K43" s="77" t="s">
        <v>1079</v>
      </c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</row>
    <row r="44" spans="1:34" s="66" customFormat="1" ht="33.75" x14ac:dyDescent="0.25">
      <c r="A44" s="70" t="s">
        <v>1608</v>
      </c>
      <c r="B44" s="73" t="s">
        <v>456</v>
      </c>
      <c r="C44" s="77" t="s">
        <v>969</v>
      </c>
      <c r="D44" s="77" t="s">
        <v>1069</v>
      </c>
      <c r="E44" s="77" t="s">
        <v>970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</row>
    <row r="45" spans="1:34" s="66" customFormat="1" ht="56.25" x14ac:dyDescent="0.25">
      <c r="A45" s="70" t="s">
        <v>1609</v>
      </c>
      <c r="B45" s="73" t="s">
        <v>32</v>
      </c>
      <c r="C45" s="77" t="s">
        <v>1080</v>
      </c>
      <c r="D45" s="77" t="s">
        <v>965</v>
      </c>
      <c r="E45" s="77" t="s">
        <v>1075</v>
      </c>
      <c r="F45" s="77" t="s">
        <v>1076</v>
      </c>
      <c r="G45" s="77" t="s">
        <v>1077</v>
      </c>
      <c r="H45" s="77" t="s">
        <v>574</v>
      </c>
      <c r="I45" s="77" t="s">
        <v>973</v>
      </c>
      <c r="J45" s="77" t="s">
        <v>1078</v>
      </c>
      <c r="K45" s="77" t="s">
        <v>1079</v>
      </c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</row>
    <row r="46" spans="1:34" s="66" customFormat="1" ht="33.75" x14ac:dyDescent="0.25">
      <c r="A46" s="70" t="s">
        <v>1610</v>
      </c>
      <c r="B46" s="73" t="s">
        <v>456</v>
      </c>
      <c r="C46" s="77" t="s">
        <v>969</v>
      </c>
      <c r="D46" s="77" t="s">
        <v>1069</v>
      </c>
      <c r="E46" s="77" t="s">
        <v>970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</row>
    <row r="47" spans="1:34" s="66" customFormat="1" ht="56.25" x14ac:dyDescent="0.25">
      <c r="A47" s="70" t="s">
        <v>1611</v>
      </c>
      <c r="B47" s="73" t="s">
        <v>32</v>
      </c>
      <c r="C47" s="77" t="s">
        <v>1080</v>
      </c>
      <c r="D47" s="77" t="s">
        <v>965</v>
      </c>
      <c r="E47" s="77" t="s">
        <v>1075</v>
      </c>
      <c r="F47" s="77" t="s">
        <v>1076</v>
      </c>
      <c r="G47" s="77" t="s">
        <v>1077</v>
      </c>
      <c r="H47" s="77" t="s">
        <v>574</v>
      </c>
      <c r="I47" s="77" t="s">
        <v>973</v>
      </c>
      <c r="J47" s="77" t="s">
        <v>1081</v>
      </c>
      <c r="K47" s="77" t="s">
        <v>1079</v>
      </c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</row>
    <row r="48" spans="1:34" s="66" customFormat="1" ht="33.75" x14ac:dyDescent="0.25">
      <c r="A48" s="70" t="s">
        <v>1612</v>
      </c>
      <c r="B48" s="73" t="s">
        <v>456</v>
      </c>
      <c r="C48" s="77" t="s">
        <v>969</v>
      </c>
      <c r="D48" s="77" t="s">
        <v>1069</v>
      </c>
      <c r="E48" s="77" t="s">
        <v>970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49" spans="1:34" s="66" customFormat="1" ht="56.25" x14ac:dyDescent="0.25">
      <c r="A49" s="70" t="s">
        <v>1613</v>
      </c>
      <c r="B49" s="73" t="s">
        <v>32</v>
      </c>
      <c r="C49" s="77" t="s">
        <v>1074</v>
      </c>
      <c r="D49" s="77" t="s">
        <v>965</v>
      </c>
      <c r="E49" s="77" t="s">
        <v>1075</v>
      </c>
      <c r="F49" s="77" t="s">
        <v>966</v>
      </c>
      <c r="G49" s="77" t="s">
        <v>1077</v>
      </c>
      <c r="H49" s="77" t="s">
        <v>574</v>
      </c>
      <c r="I49" s="77" t="s">
        <v>973</v>
      </c>
      <c r="J49" s="77" t="s">
        <v>1078</v>
      </c>
      <c r="K49" s="77" t="s">
        <v>1079</v>
      </c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</row>
    <row r="50" spans="1:34" s="66" customFormat="1" ht="33.75" x14ac:dyDescent="0.25">
      <c r="A50" s="70" t="s">
        <v>1614</v>
      </c>
      <c r="B50" s="73" t="s">
        <v>456</v>
      </c>
      <c r="C50" s="77" t="s">
        <v>969</v>
      </c>
      <c r="D50" s="77" t="s">
        <v>1069</v>
      </c>
      <c r="E50" s="77" t="s">
        <v>970</v>
      </c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</row>
    <row r="51" spans="1:34" s="66" customFormat="1" ht="56.25" x14ac:dyDescent="0.25">
      <c r="A51" s="70" t="s">
        <v>1615</v>
      </c>
      <c r="B51" s="73" t="s">
        <v>32</v>
      </c>
      <c r="C51" s="77" t="s">
        <v>1080</v>
      </c>
      <c r="D51" s="77" t="s">
        <v>965</v>
      </c>
      <c r="E51" s="77" t="s">
        <v>1075</v>
      </c>
      <c r="F51" s="77" t="s">
        <v>1076</v>
      </c>
      <c r="G51" s="77" t="s">
        <v>1077</v>
      </c>
      <c r="H51" s="77" t="s">
        <v>574</v>
      </c>
      <c r="I51" s="77" t="s">
        <v>973</v>
      </c>
      <c r="J51" s="77" t="s">
        <v>1078</v>
      </c>
      <c r="K51" s="77" t="s">
        <v>1079</v>
      </c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</row>
    <row r="52" spans="1:34" s="66" customFormat="1" ht="33.75" x14ac:dyDescent="0.25">
      <c r="A52" s="70" t="s">
        <v>1616</v>
      </c>
      <c r="B52" s="73" t="s">
        <v>456</v>
      </c>
      <c r="C52" s="77" t="s">
        <v>969</v>
      </c>
      <c r="D52" s="77" t="s">
        <v>1069</v>
      </c>
      <c r="E52" s="77" t="s">
        <v>970</v>
      </c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</row>
    <row r="53" spans="1:34" s="66" customFormat="1" ht="56.25" x14ac:dyDescent="0.25">
      <c r="A53" s="70" t="s">
        <v>1617</v>
      </c>
      <c r="B53" s="73" t="s">
        <v>32</v>
      </c>
      <c r="C53" s="77" t="s">
        <v>1080</v>
      </c>
      <c r="D53" s="77" t="s">
        <v>965</v>
      </c>
      <c r="E53" s="77" t="s">
        <v>1075</v>
      </c>
      <c r="F53" s="77" t="s">
        <v>1076</v>
      </c>
      <c r="G53" s="77" t="s">
        <v>1077</v>
      </c>
      <c r="H53" s="77" t="s">
        <v>574</v>
      </c>
      <c r="I53" s="77" t="s">
        <v>973</v>
      </c>
      <c r="J53" s="77" t="s">
        <v>1081</v>
      </c>
      <c r="K53" s="77" t="s">
        <v>1079</v>
      </c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</row>
    <row r="54" spans="1:34" s="66" customFormat="1" ht="33.75" x14ac:dyDescent="0.25">
      <c r="A54" s="70" t="s">
        <v>1618</v>
      </c>
      <c r="B54" s="73" t="s">
        <v>456</v>
      </c>
      <c r="C54" s="77" t="s">
        <v>969</v>
      </c>
      <c r="D54" s="77" t="s">
        <v>1069</v>
      </c>
      <c r="E54" s="77" t="s">
        <v>970</v>
      </c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</row>
    <row r="55" spans="1:34" s="66" customFormat="1" ht="56.25" x14ac:dyDescent="0.25">
      <c r="A55" s="70" t="s">
        <v>1619</v>
      </c>
      <c r="B55" s="73" t="s">
        <v>32</v>
      </c>
      <c r="C55" s="77" t="s">
        <v>1080</v>
      </c>
      <c r="D55" s="77" t="s">
        <v>965</v>
      </c>
      <c r="E55" s="77" t="s">
        <v>1075</v>
      </c>
      <c r="F55" s="77" t="s">
        <v>1076</v>
      </c>
      <c r="G55" s="77" t="s">
        <v>1077</v>
      </c>
      <c r="H55" s="77" t="s">
        <v>574</v>
      </c>
      <c r="I55" s="77" t="s">
        <v>973</v>
      </c>
      <c r="J55" s="77" t="s">
        <v>1078</v>
      </c>
      <c r="K55" s="77" t="s">
        <v>1079</v>
      </c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</row>
    <row r="56" spans="1:34" s="66" customFormat="1" ht="33.75" x14ac:dyDescent="0.25">
      <c r="A56" s="70" t="s">
        <v>1620</v>
      </c>
      <c r="B56" s="73" t="s">
        <v>456</v>
      </c>
      <c r="C56" s="77" t="s">
        <v>969</v>
      </c>
      <c r="D56" s="77" t="s">
        <v>1069</v>
      </c>
      <c r="E56" s="77" t="s">
        <v>970</v>
      </c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</row>
    <row r="57" spans="1:34" s="66" customFormat="1" ht="56.25" x14ac:dyDescent="0.25">
      <c r="A57" s="70" t="s">
        <v>1621</v>
      </c>
      <c r="B57" s="73" t="s">
        <v>32</v>
      </c>
      <c r="C57" s="77" t="s">
        <v>1080</v>
      </c>
      <c r="D57" s="77" t="s">
        <v>965</v>
      </c>
      <c r="E57" s="77" t="s">
        <v>1075</v>
      </c>
      <c r="F57" s="77" t="s">
        <v>1076</v>
      </c>
      <c r="G57" s="77" t="s">
        <v>1077</v>
      </c>
      <c r="H57" s="77" t="s">
        <v>574</v>
      </c>
      <c r="I57" s="77" t="s">
        <v>973</v>
      </c>
      <c r="J57" s="77" t="s">
        <v>1081</v>
      </c>
      <c r="K57" s="77" t="s">
        <v>1079</v>
      </c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</row>
    <row r="58" spans="1:34" s="66" customFormat="1" ht="33.75" x14ac:dyDescent="0.25">
      <c r="A58" s="70" t="s">
        <v>1622</v>
      </c>
      <c r="B58" s="73" t="s">
        <v>456</v>
      </c>
      <c r="C58" s="77" t="s">
        <v>969</v>
      </c>
      <c r="D58" s="77" t="s">
        <v>1069</v>
      </c>
      <c r="E58" s="77" t="s">
        <v>970</v>
      </c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</row>
    <row r="59" spans="1:34" s="66" customFormat="1" ht="56.25" x14ac:dyDescent="0.25">
      <c r="A59" s="70" t="s">
        <v>1623</v>
      </c>
      <c r="B59" s="73" t="s">
        <v>32</v>
      </c>
      <c r="C59" s="77" t="s">
        <v>1080</v>
      </c>
      <c r="D59" s="77" t="s">
        <v>965</v>
      </c>
      <c r="E59" s="77" t="s">
        <v>1075</v>
      </c>
      <c r="F59" s="77" t="s">
        <v>1076</v>
      </c>
      <c r="G59" s="77" t="s">
        <v>1077</v>
      </c>
      <c r="H59" s="77" t="s">
        <v>574</v>
      </c>
      <c r="I59" s="77" t="s">
        <v>973</v>
      </c>
      <c r="J59" s="77" t="s">
        <v>1078</v>
      </c>
      <c r="K59" s="77" t="s">
        <v>1079</v>
      </c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</row>
    <row r="60" spans="1:34" s="66" customFormat="1" ht="33.75" x14ac:dyDescent="0.25">
      <c r="A60" s="70" t="s">
        <v>1624</v>
      </c>
      <c r="B60" s="73" t="s">
        <v>456</v>
      </c>
      <c r="C60" s="77" t="s">
        <v>969</v>
      </c>
      <c r="D60" s="77" t="s">
        <v>1069</v>
      </c>
      <c r="E60" s="77" t="s">
        <v>970</v>
      </c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</row>
    <row r="61" spans="1:34" s="66" customFormat="1" ht="56.25" x14ac:dyDescent="0.25">
      <c r="A61" s="70" t="s">
        <v>1625</v>
      </c>
      <c r="B61" s="73" t="s">
        <v>32</v>
      </c>
      <c r="C61" s="77" t="s">
        <v>1080</v>
      </c>
      <c r="D61" s="77" t="s">
        <v>965</v>
      </c>
      <c r="E61" s="77" t="s">
        <v>1075</v>
      </c>
      <c r="F61" s="77" t="s">
        <v>1076</v>
      </c>
      <c r="G61" s="77" t="s">
        <v>1077</v>
      </c>
      <c r="H61" s="77" t="s">
        <v>574</v>
      </c>
      <c r="I61" s="77" t="s">
        <v>973</v>
      </c>
      <c r="J61" s="77" t="s">
        <v>1081</v>
      </c>
      <c r="K61" s="77" t="s">
        <v>1079</v>
      </c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</row>
    <row r="62" spans="1:34" s="66" customFormat="1" ht="33.75" x14ac:dyDescent="0.25">
      <c r="A62" s="70" t="s">
        <v>1626</v>
      </c>
      <c r="B62" s="73" t="s">
        <v>456</v>
      </c>
      <c r="C62" s="77" t="s">
        <v>969</v>
      </c>
      <c r="D62" s="77" t="s">
        <v>1069</v>
      </c>
      <c r="E62" s="77" t="s">
        <v>970</v>
      </c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</row>
    <row r="63" spans="1:34" s="66" customFormat="1" x14ac:dyDescent="0.25">
      <c r="A63" s="70" t="s">
        <v>1627</v>
      </c>
      <c r="B63" s="73" t="s">
        <v>32</v>
      </c>
      <c r="C63" s="77" t="s">
        <v>2635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</row>
    <row r="64" spans="1:34" s="66" customFormat="1" x14ac:dyDescent="0.25">
      <c r="A64" s="70" t="s">
        <v>1628</v>
      </c>
      <c r="B64" s="73" t="s">
        <v>456</v>
      </c>
      <c r="C64" s="77" t="s">
        <v>2633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</row>
    <row r="65" spans="1:34" s="66" customFormat="1" ht="45" x14ac:dyDescent="0.25">
      <c r="A65" s="70" t="s">
        <v>1629</v>
      </c>
      <c r="B65" s="119" t="s">
        <v>32</v>
      </c>
      <c r="C65" s="77" t="s">
        <v>1204</v>
      </c>
      <c r="D65" s="77" t="s">
        <v>965</v>
      </c>
      <c r="E65" s="77" t="s">
        <v>954</v>
      </c>
      <c r="F65" s="77" t="s">
        <v>1205</v>
      </c>
      <c r="G65" s="77" t="s">
        <v>1206</v>
      </c>
      <c r="H65" s="77" t="s">
        <v>1207</v>
      </c>
      <c r="I65" s="77" t="s">
        <v>973</v>
      </c>
      <c r="J65" s="77" t="s">
        <v>968</v>
      </c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</row>
    <row r="66" spans="1:34" s="66" customFormat="1" ht="33.75" x14ac:dyDescent="0.25">
      <c r="A66" s="70" t="s">
        <v>1630</v>
      </c>
      <c r="B66" s="119" t="s">
        <v>456</v>
      </c>
      <c r="C66" s="77" t="s">
        <v>1209</v>
      </c>
      <c r="D66" s="77" t="s">
        <v>970</v>
      </c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</row>
    <row r="67" spans="1:34" s="66" customFormat="1" ht="45" x14ac:dyDescent="0.25">
      <c r="A67" s="70" t="s">
        <v>1631</v>
      </c>
      <c r="B67" s="119" t="s">
        <v>32</v>
      </c>
      <c r="C67" s="77" t="s">
        <v>1204</v>
      </c>
      <c r="D67" s="77" t="s">
        <v>965</v>
      </c>
      <c r="E67" s="77" t="s">
        <v>954</v>
      </c>
      <c r="F67" s="77" t="s">
        <v>1205</v>
      </c>
      <c r="G67" s="77" t="s">
        <v>1206</v>
      </c>
      <c r="H67" s="77" t="s">
        <v>1207</v>
      </c>
      <c r="I67" s="77" t="s">
        <v>973</v>
      </c>
      <c r="J67" s="77" t="s">
        <v>968</v>
      </c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</row>
    <row r="68" spans="1:34" s="66" customFormat="1" ht="33.75" x14ac:dyDescent="0.25">
      <c r="A68" s="70" t="s">
        <v>1632</v>
      </c>
      <c r="B68" s="119" t="s">
        <v>456</v>
      </c>
      <c r="C68" s="77" t="s">
        <v>1209</v>
      </c>
      <c r="D68" s="77" t="s">
        <v>970</v>
      </c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</row>
    <row r="69" spans="1:34" s="66" customFormat="1" ht="45" x14ac:dyDescent="0.25">
      <c r="A69" s="70" t="s">
        <v>1633</v>
      </c>
      <c r="B69" s="119" t="s">
        <v>32</v>
      </c>
      <c r="C69" s="77" t="s">
        <v>1204</v>
      </c>
      <c r="D69" s="77" t="s">
        <v>965</v>
      </c>
      <c r="E69" s="77" t="s">
        <v>954</v>
      </c>
      <c r="F69" s="77" t="s">
        <v>1205</v>
      </c>
      <c r="G69" s="77" t="s">
        <v>1206</v>
      </c>
      <c r="H69" s="77" t="s">
        <v>1207</v>
      </c>
      <c r="I69" s="77" t="s">
        <v>973</v>
      </c>
      <c r="J69" s="77" t="s">
        <v>968</v>
      </c>
      <c r="K69" s="77" t="s">
        <v>1208</v>
      </c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</row>
    <row r="70" spans="1:34" s="66" customFormat="1" ht="33.75" x14ac:dyDescent="0.25">
      <c r="A70" s="70" t="s">
        <v>1634</v>
      </c>
      <c r="B70" s="119" t="s">
        <v>456</v>
      </c>
      <c r="C70" s="77" t="s">
        <v>1209</v>
      </c>
      <c r="D70" s="77" t="s">
        <v>970</v>
      </c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</row>
    <row r="71" spans="1:34" s="66" customFormat="1" ht="45" x14ac:dyDescent="0.25">
      <c r="A71" s="70" t="s">
        <v>1635</v>
      </c>
      <c r="B71" s="119" t="s">
        <v>32</v>
      </c>
      <c r="C71" s="77" t="s">
        <v>1204</v>
      </c>
      <c r="D71" s="77" t="s">
        <v>965</v>
      </c>
      <c r="E71" s="77" t="s">
        <v>954</v>
      </c>
      <c r="F71" s="77" t="s">
        <v>1205</v>
      </c>
      <c r="G71" s="77" t="s">
        <v>1206</v>
      </c>
      <c r="H71" s="77" t="s">
        <v>1207</v>
      </c>
      <c r="I71" s="77" t="s">
        <v>973</v>
      </c>
      <c r="J71" s="77" t="s">
        <v>968</v>
      </c>
      <c r="K71" s="77" t="s">
        <v>1208</v>
      </c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</row>
    <row r="72" spans="1:34" s="66" customFormat="1" ht="33.75" x14ac:dyDescent="0.25">
      <c r="A72" s="70" t="s">
        <v>1636</v>
      </c>
      <c r="B72" s="119" t="s">
        <v>456</v>
      </c>
      <c r="C72" s="77" t="s">
        <v>1209</v>
      </c>
      <c r="D72" s="77" t="s">
        <v>970</v>
      </c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</row>
    <row r="73" spans="1:34" s="66" customFormat="1" ht="56.25" x14ac:dyDescent="0.25">
      <c r="A73" s="70" t="s">
        <v>1934</v>
      </c>
      <c r="B73" s="73" t="s">
        <v>32</v>
      </c>
      <c r="C73" s="77" t="s">
        <v>1064</v>
      </c>
      <c r="D73" s="77" t="s">
        <v>1065</v>
      </c>
      <c r="E73" s="77" t="s">
        <v>1201</v>
      </c>
      <c r="F73" s="77" t="s">
        <v>1202</v>
      </c>
      <c r="G73" s="77" t="s">
        <v>574</v>
      </c>
      <c r="H73" s="77" t="s">
        <v>956</v>
      </c>
      <c r="I73" s="77" t="s">
        <v>957</v>
      </c>
      <c r="J73" s="77" t="s">
        <v>1073</v>
      </c>
      <c r="K73" s="77" t="s">
        <v>1068</v>
      </c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</row>
    <row r="74" spans="1:34" s="66" customFormat="1" ht="33.75" x14ac:dyDescent="0.25">
      <c r="A74" s="70" t="s">
        <v>1935</v>
      </c>
      <c r="B74" s="73" t="s">
        <v>456</v>
      </c>
      <c r="C74" s="77" t="s">
        <v>969</v>
      </c>
      <c r="D74" s="77" t="s">
        <v>1069</v>
      </c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</row>
    <row r="75" spans="1:34" s="66" customFormat="1" ht="56.25" x14ac:dyDescent="0.25">
      <c r="A75" s="70" t="s">
        <v>1936</v>
      </c>
      <c r="B75" s="73" t="s">
        <v>32</v>
      </c>
      <c r="C75" s="77" t="s">
        <v>1284</v>
      </c>
      <c r="D75" s="77" t="s">
        <v>1065</v>
      </c>
      <c r="E75" s="77" t="s">
        <v>1285</v>
      </c>
      <c r="F75" s="77" t="s">
        <v>1286</v>
      </c>
      <c r="G75" s="77" t="s">
        <v>574</v>
      </c>
      <c r="H75" s="77" t="s">
        <v>956</v>
      </c>
      <c r="I75" s="77" t="s">
        <v>957</v>
      </c>
      <c r="J75" s="77" t="s">
        <v>968</v>
      </c>
      <c r="K75" s="77" t="s">
        <v>1068</v>
      </c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</row>
    <row r="76" spans="1:34" s="66" customFormat="1" ht="33.75" x14ac:dyDescent="0.25">
      <c r="A76" s="70" t="s">
        <v>1937</v>
      </c>
      <c r="B76" s="73" t="s">
        <v>456</v>
      </c>
      <c r="C76" s="77" t="s">
        <v>1287</v>
      </c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</row>
    <row r="77" spans="1:34" s="66" customFormat="1" ht="56.25" x14ac:dyDescent="0.25">
      <c r="A77" s="70" t="s">
        <v>1938</v>
      </c>
      <c r="B77" s="73" t="s">
        <v>32</v>
      </c>
      <c r="C77" s="77" t="s">
        <v>1284</v>
      </c>
      <c r="D77" s="77" t="s">
        <v>1065</v>
      </c>
      <c r="E77" s="77" t="s">
        <v>1285</v>
      </c>
      <c r="F77" s="77" t="s">
        <v>1286</v>
      </c>
      <c r="G77" s="77" t="s">
        <v>574</v>
      </c>
      <c r="H77" s="77" t="s">
        <v>956</v>
      </c>
      <c r="I77" s="77" t="s">
        <v>957</v>
      </c>
      <c r="J77" s="77" t="s">
        <v>968</v>
      </c>
      <c r="K77" s="77" t="s">
        <v>1068</v>
      </c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</row>
    <row r="78" spans="1:34" s="66" customFormat="1" ht="33.75" x14ac:dyDescent="0.25">
      <c r="A78" s="70" t="s">
        <v>1939</v>
      </c>
      <c r="B78" s="73" t="s">
        <v>456</v>
      </c>
      <c r="C78" s="77" t="s">
        <v>1287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</row>
    <row r="79" spans="1:34" s="66" customFormat="1" ht="56.25" x14ac:dyDescent="0.25">
      <c r="A79" s="70" t="s">
        <v>1940</v>
      </c>
      <c r="B79" s="73" t="s">
        <v>32</v>
      </c>
      <c r="C79" s="77" t="s">
        <v>1288</v>
      </c>
      <c r="D79" s="77" t="s">
        <v>965</v>
      </c>
      <c r="E79" s="77" t="s">
        <v>1289</v>
      </c>
      <c r="F79" s="77" t="s">
        <v>966</v>
      </c>
      <c r="G79" s="77" t="s">
        <v>1290</v>
      </c>
      <c r="H79" s="77" t="s">
        <v>574</v>
      </c>
      <c r="I79" s="77" t="s">
        <v>956</v>
      </c>
      <c r="J79" s="77" t="s">
        <v>957</v>
      </c>
      <c r="K79" s="77" t="s">
        <v>1078</v>
      </c>
      <c r="L79" s="77" t="s">
        <v>1068</v>
      </c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</row>
    <row r="80" spans="1:34" s="66" customFormat="1" ht="33.75" x14ac:dyDescent="0.25">
      <c r="A80" s="70" t="s">
        <v>1941</v>
      </c>
      <c r="B80" s="73" t="s">
        <v>456</v>
      </c>
      <c r="C80" s="77" t="s">
        <v>969</v>
      </c>
      <c r="D80" s="77" t="s">
        <v>1069</v>
      </c>
      <c r="E80" s="77" t="s">
        <v>970</v>
      </c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</row>
    <row r="81" spans="1:34" s="66" customFormat="1" ht="56.25" x14ac:dyDescent="0.25">
      <c r="A81" s="70" t="s">
        <v>1942</v>
      </c>
      <c r="B81" s="73" t="s">
        <v>32</v>
      </c>
      <c r="C81" s="77" t="s">
        <v>1074</v>
      </c>
      <c r="D81" s="77" t="s">
        <v>965</v>
      </c>
      <c r="E81" s="77" t="s">
        <v>1289</v>
      </c>
      <c r="F81" s="77" t="s">
        <v>1076</v>
      </c>
      <c r="G81" s="77" t="s">
        <v>1291</v>
      </c>
      <c r="H81" s="77" t="s">
        <v>574</v>
      </c>
      <c r="I81" s="77" t="s">
        <v>956</v>
      </c>
      <c r="J81" s="77" t="s">
        <v>957</v>
      </c>
      <c r="K81" s="77" t="s">
        <v>1078</v>
      </c>
      <c r="L81" s="77" t="s">
        <v>1079</v>
      </c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</row>
    <row r="82" spans="1:34" s="66" customFormat="1" ht="33.75" x14ac:dyDescent="0.25">
      <c r="A82" s="70" t="s">
        <v>1943</v>
      </c>
      <c r="B82" s="73" t="s">
        <v>456</v>
      </c>
      <c r="C82" s="77" t="s">
        <v>969</v>
      </c>
      <c r="D82" s="77" t="s">
        <v>1069</v>
      </c>
      <c r="E82" s="77" t="s">
        <v>970</v>
      </c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</row>
    <row r="83" spans="1:34" s="66" customFormat="1" ht="56.25" x14ac:dyDescent="0.25">
      <c r="A83" s="70" t="s">
        <v>1944</v>
      </c>
      <c r="B83" s="73" t="s">
        <v>32</v>
      </c>
      <c r="C83" s="77" t="s">
        <v>1074</v>
      </c>
      <c r="D83" s="77" t="s">
        <v>965</v>
      </c>
      <c r="E83" s="77" t="s">
        <v>1289</v>
      </c>
      <c r="F83" s="77" t="s">
        <v>1076</v>
      </c>
      <c r="G83" s="77" t="s">
        <v>1292</v>
      </c>
      <c r="H83" s="77" t="s">
        <v>574</v>
      </c>
      <c r="I83" s="77" t="s">
        <v>956</v>
      </c>
      <c r="J83" s="77" t="s">
        <v>957</v>
      </c>
      <c r="K83" s="77" t="s">
        <v>1078</v>
      </c>
      <c r="L83" s="77" t="s">
        <v>1079</v>
      </c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</row>
    <row r="84" spans="1:34" s="66" customFormat="1" ht="33.75" x14ac:dyDescent="0.25">
      <c r="A84" s="70" t="s">
        <v>1945</v>
      </c>
      <c r="B84" s="73" t="s">
        <v>456</v>
      </c>
      <c r="C84" s="77" t="s">
        <v>969</v>
      </c>
      <c r="D84" s="77" t="s">
        <v>1069</v>
      </c>
      <c r="E84" s="77" t="s">
        <v>970</v>
      </c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</row>
    <row r="85" spans="1:34" s="66" customFormat="1" ht="56.25" x14ac:dyDescent="0.25">
      <c r="A85" s="70" t="s">
        <v>1946</v>
      </c>
      <c r="B85" s="73" t="s">
        <v>32</v>
      </c>
      <c r="C85" s="77" t="s">
        <v>1080</v>
      </c>
      <c r="D85" s="77" t="s">
        <v>965</v>
      </c>
      <c r="E85" s="77" t="s">
        <v>1289</v>
      </c>
      <c r="F85" s="77" t="s">
        <v>1076</v>
      </c>
      <c r="G85" s="77" t="s">
        <v>1292</v>
      </c>
      <c r="H85" s="77" t="s">
        <v>574</v>
      </c>
      <c r="I85" s="77" t="s">
        <v>956</v>
      </c>
      <c r="J85" s="77" t="s">
        <v>957</v>
      </c>
      <c r="K85" s="77" t="s">
        <v>1078</v>
      </c>
      <c r="L85" s="77" t="s">
        <v>1079</v>
      </c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</row>
    <row r="86" spans="1:34" s="66" customFormat="1" ht="33.75" x14ac:dyDescent="0.25">
      <c r="A86" s="70" t="s">
        <v>1947</v>
      </c>
      <c r="B86" s="73" t="s">
        <v>456</v>
      </c>
      <c r="C86" s="77" t="s">
        <v>969</v>
      </c>
      <c r="D86" s="77" t="s">
        <v>1069</v>
      </c>
      <c r="E86" s="77" t="s">
        <v>970</v>
      </c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</row>
    <row r="87" spans="1:34" s="66" customFormat="1" ht="56.25" x14ac:dyDescent="0.25">
      <c r="A87" s="70" t="s">
        <v>1948</v>
      </c>
      <c r="B87" s="73" t="s">
        <v>32</v>
      </c>
      <c r="C87" s="77" t="s">
        <v>1074</v>
      </c>
      <c r="D87" s="77" t="s">
        <v>965</v>
      </c>
      <c r="E87" s="77" t="s">
        <v>1289</v>
      </c>
      <c r="F87" s="77" t="s">
        <v>1076</v>
      </c>
      <c r="G87" s="77" t="s">
        <v>1291</v>
      </c>
      <c r="H87" s="77" t="s">
        <v>574</v>
      </c>
      <c r="I87" s="77" t="s">
        <v>956</v>
      </c>
      <c r="J87" s="77" t="s">
        <v>957</v>
      </c>
      <c r="K87" s="77" t="s">
        <v>1078</v>
      </c>
      <c r="L87" s="77" t="s">
        <v>1079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</row>
    <row r="88" spans="1:34" s="66" customFormat="1" ht="33.75" x14ac:dyDescent="0.25">
      <c r="A88" s="70" t="s">
        <v>1949</v>
      </c>
      <c r="B88" s="73" t="s">
        <v>456</v>
      </c>
      <c r="C88" s="77" t="s">
        <v>969</v>
      </c>
      <c r="D88" s="77" t="s">
        <v>1069</v>
      </c>
      <c r="E88" s="77" t="s">
        <v>970</v>
      </c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</row>
    <row r="89" spans="1:34" s="66" customFormat="1" ht="56.25" x14ac:dyDescent="0.25">
      <c r="A89" s="70" t="s">
        <v>1950</v>
      </c>
      <c r="B89" s="73" t="s">
        <v>32</v>
      </c>
      <c r="C89" s="77" t="s">
        <v>1074</v>
      </c>
      <c r="D89" s="77" t="s">
        <v>965</v>
      </c>
      <c r="E89" s="77" t="s">
        <v>1289</v>
      </c>
      <c r="F89" s="77" t="s">
        <v>1076</v>
      </c>
      <c r="G89" s="77" t="s">
        <v>1292</v>
      </c>
      <c r="H89" s="77" t="s">
        <v>574</v>
      </c>
      <c r="I89" s="77" t="s">
        <v>956</v>
      </c>
      <c r="J89" s="77" t="s">
        <v>957</v>
      </c>
      <c r="K89" s="77" t="s">
        <v>1078</v>
      </c>
      <c r="L89" s="77" t="s">
        <v>1079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</row>
    <row r="90" spans="1:34" s="66" customFormat="1" ht="33.75" x14ac:dyDescent="0.25">
      <c r="A90" s="70" t="s">
        <v>1951</v>
      </c>
      <c r="B90" s="73" t="s">
        <v>456</v>
      </c>
      <c r="C90" s="77" t="s">
        <v>969</v>
      </c>
      <c r="D90" s="77" t="s">
        <v>1069</v>
      </c>
      <c r="E90" s="77" t="s">
        <v>970</v>
      </c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</row>
    <row r="91" spans="1:34" s="66" customFormat="1" ht="56.25" x14ac:dyDescent="0.25">
      <c r="A91" s="70" t="s">
        <v>1952</v>
      </c>
      <c r="B91" s="73" t="s">
        <v>32</v>
      </c>
      <c r="C91" s="77" t="s">
        <v>1080</v>
      </c>
      <c r="D91" s="77" t="s">
        <v>965</v>
      </c>
      <c r="E91" s="77" t="s">
        <v>1289</v>
      </c>
      <c r="F91" s="77" t="s">
        <v>1076</v>
      </c>
      <c r="G91" s="77" t="s">
        <v>1292</v>
      </c>
      <c r="H91" s="77" t="s">
        <v>574</v>
      </c>
      <c r="I91" s="77" t="s">
        <v>956</v>
      </c>
      <c r="J91" s="77" t="s">
        <v>957</v>
      </c>
      <c r="K91" s="77" t="s">
        <v>1078</v>
      </c>
      <c r="L91" s="77" t="s">
        <v>1079</v>
      </c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</row>
    <row r="92" spans="1:34" s="66" customFormat="1" ht="33.75" x14ac:dyDescent="0.25">
      <c r="A92" s="70" t="s">
        <v>1953</v>
      </c>
      <c r="B92" s="73" t="s">
        <v>456</v>
      </c>
      <c r="C92" s="77" t="s">
        <v>969</v>
      </c>
      <c r="D92" s="77" t="s">
        <v>1069</v>
      </c>
      <c r="E92" s="77" t="s">
        <v>970</v>
      </c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</row>
    <row r="93" spans="1:34" s="66" customFormat="1" ht="56.25" x14ac:dyDescent="0.25">
      <c r="A93" s="70" t="s">
        <v>1954</v>
      </c>
      <c r="B93" s="73" t="s">
        <v>32</v>
      </c>
      <c r="C93" s="77" t="s">
        <v>1080</v>
      </c>
      <c r="D93" s="77" t="s">
        <v>965</v>
      </c>
      <c r="E93" s="77" t="s">
        <v>1075</v>
      </c>
      <c r="F93" s="77" t="s">
        <v>1076</v>
      </c>
      <c r="G93" s="77" t="s">
        <v>1077</v>
      </c>
      <c r="H93" s="77" t="s">
        <v>574</v>
      </c>
      <c r="I93" s="77" t="s">
        <v>956</v>
      </c>
      <c r="J93" s="77" t="s">
        <v>957</v>
      </c>
      <c r="K93" s="77" t="s">
        <v>1078</v>
      </c>
      <c r="L93" s="77" t="s">
        <v>1079</v>
      </c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</row>
    <row r="94" spans="1:34" s="66" customFormat="1" ht="33.75" x14ac:dyDescent="0.25">
      <c r="A94" s="70" t="s">
        <v>1955</v>
      </c>
      <c r="B94" s="73" t="s">
        <v>456</v>
      </c>
      <c r="C94" s="77" t="s">
        <v>1239</v>
      </c>
      <c r="D94" s="77" t="s">
        <v>1069</v>
      </c>
      <c r="E94" s="77" t="s">
        <v>970</v>
      </c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</row>
    <row r="95" spans="1:34" s="66" customFormat="1" x14ac:dyDescent="0.25">
      <c r="A95" s="70" t="s">
        <v>1956</v>
      </c>
      <c r="B95" s="73" t="s">
        <v>32</v>
      </c>
      <c r="C95" s="77" t="s">
        <v>2635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</row>
    <row r="96" spans="1:34" s="66" customFormat="1" x14ac:dyDescent="0.25">
      <c r="A96" s="70" t="s">
        <v>1957</v>
      </c>
      <c r="B96" s="73" t="s">
        <v>456</v>
      </c>
      <c r="C96" s="77" t="s">
        <v>2633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</row>
    <row r="97" spans="1:34" s="66" customFormat="1" ht="45" x14ac:dyDescent="0.25">
      <c r="A97" s="70" t="s">
        <v>2741</v>
      </c>
      <c r="B97" s="119" t="s">
        <v>32</v>
      </c>
      <c r="C97" s="77" t="s">
        <v>1204</v>
      </c>
      <c r="D97" s="77" t="s">
        <v>965</v>
      </c>
      <c r="E97" s="77" t="s">
        <v>954</v>
      </c>
      <c r="F97" s="77" t="s">
        <v>1205</v>
      </c>
      <c r="G97" s="77" t="s">
        <v>1206</v>
      </c>
      <c r="H97" s="77" t="s">
        <v>1207</v>
      </c>
      <c r="I97" s="77" t="s">
        <v>973</v>
      </c>
      <c r="J97" s="77" t="s">
        <v>968</v>
      </c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</row>
    <row r="98" spans="1:34" s="66" customFormat="1" ht="33.75" x14ac:dyDescent="0.25">
      <c r="A98" s="70" t="s">
        <v>2743</v>
      </c>
      <c r="B98" s="119" t="s">
        <v>456</v>
      </c>
      <c r="C98" s="77" t="s">
        <v>1216</v>
      </c>
      <c r="D98" s="77" t="s">
        <v>970</v>
      </c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</row>
    <row r="99" spans="1:34" s="66" customFormat="1" ht="45" x14ac:dyDescent="0.25">
      <c r="A99" s="70" t="s">
        <v>1958</v>
      </c>
      <c r="B99" s="119" t="s">
        <v>32</v>
      </c>
      <c r="C99" s="77" t="s">
        <v>1204</v>
      </c>
      <c r="D99" s="77" t="s">
        <v>965</v>
      </c>
      <c r="E99" s="77" t="s">
        <v>954</v>
      </c>
      <c r="F99" s="77" t="s">
        <v>1205</v>
      </c>
      <c r="G99" s="77" t="s">
        <v>1206</v>
      </c>
      <c r="H99" s="77" t="s">
        <v>1207</v>
      </c>
      <c r="I99" s="77" t="s">
        <v>973</v>
      </c>
      <c r="J99" s="77" t="s">
        <v>968</v>
      </c>
      <c r="K99" s="77" t="s">
        <v>1208</v>
      </c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</row>
    <row r="100" spans="1:34" s="66" customFormat="1" ht="33.75" x14ac:dyDescent="0.25">
      <c r="A100" s="70" t="s">
        <v>1959</v>
      </c>
      <c r="B100" s="119" t="s">
        <v>456</v>
      </c>
      <c r="C100" s="77" t="s">
        <v>1209</v>
      </c>
      <c r="D100" s="77" t="s">
        <v>970</v>
      </c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</row>
    <row r="101" spans="1:34" s="66" customFormat="1" ht="45" x14ac:dyDescent="0.25">
      <c r="A101" s="70" t="s">
        <v>1960</v>
      </c>
      <c r="B101" s="119" t="s">
        <v>32</v>
      </c>
      <c r="C101" s="77" t="s">
        <v>1204</v>
      </c>
      <c r="D101" s="77" t="s">
        <v>965</v>
      </c>
      <c r="E101" s="77" t="s">
        <v>954</v>
      </c>
      <c r="F101" s="77" t="s">
        <v>1205</v>
      </c>
      <c r="G101" s="77" t="s">
        <v>1206</v>
      </c>
      <c r="H101" s="77" t="s">
        <v>1207</v>
      </c>
      <c r="I101" s="77" t="s">
        <v>973</v>
      </c>
      <c r="J101" s="77" t="s">
        <v>968</v>
      </c>
      <c r="K101" s="77" t="s">
        <v>1208</v>
      </c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</row>
    <row r="102" spans="1:34" s="66" customFormat="1" ht="33.75" x14ac:dyDescent="0.25">
      <c r="A102" s="70" t="s">
        <v>1961</v>
      </c>
      <c r="B102" s="119" t="s">
        <v>456</v>
      </c>
      <c r="C102" s="77" t="s">
        <v>1209</v>
      </c>
      <c r="D102" s="77" t="s">
        <v>970</v>
      </c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</row>
    <row r="103" spans="1:34" s="66" customFormat="1" ht="45" x14ac:dyDescent="0.25">
      <c r="A103" s="70" t="s">
        <v>1367</v>
      </c>
      <c r="B103" s="73" t="s">
        <v>32</v>
      </c>
      <c r="C103" s="77" t="s">
        <v>952</v>
      </c>
      <c r="D103" s="77" t="s">
        <v>953</v>
      </c>
      <c r="E103" s="77" t="s">
        <v>954</v>
      </c>
      <c r="F103" s="77" t="s">
        <v>955</v>
      </c>
      <c r="G103" s="77" t="s">
        <v>574</v>
      </c>
      <c r="H103" s="77" t="s">
        <v>956</v>
      </c>
      <c r="I103" s="77" t="s">
        <v>957</v>
      </c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</row>
    <row r="104" spans="1:34" s="66" customFormat="1" ht="45" x14ac:dyDescent="0.25">
      <c r="A104" s="70" t="s">
        <v>1368</v>
      </c>
      <c r="B104" s="73" t="s">
        <v>456</v>
      </c>
      <c r="C104" s="77" t="s">
        <v>958</v>
      </c>
      <c r="D104" s="77" t="s">
        <v>959</v>
      </c>
      <c r="E104" s="77" t="s">
        <v>960</v>
      </c>
      <c r="F104" s="77" t="s">
        <v>961</v>
      </c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</row>
    <row r="105" spans="1:34" s="66" customFormat="1" ht="45" x14ac:dyDescent="0.25">
      <c r="A105" s="70" t="s">
        <v>1369</v>
      </c>
      <c r="B105" s="73" t="s">
        <v>32</v>
      </c>
      <c r="C105" s="77" t="s">
        <v>952</v>
      </c>
      <c r="D105" s="77" t="s">
        <v>953</v>
      </c>
      <c r="E105" s="77" t="s">
        <v>954</v>
      </c>
      <c r="F105" s="77" t="s">
        <v>962</v>
      </c>
      <c r="G105" s="77" t="s">
        <v>574</v>
      </c>
      <c r="H105" s="77" t="s">
        <v>956</v>
      </c>
      <c r="I105" s="77" t="s">
        <v>957</v>
      </c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</row>
    <row r="106" spans="1:34" s="66" customFormat="1" ht="45" x14ac:dyDescent="0.25">
      <c r="A106" s="70" t="s">
        <v>1370</v>
      </c>
      <c r="B106" s="73" t="s">
        <v>456</v>
      </c>
      <c r="C106" s="77" t="s">
        <v>958</v>
      </c>
      <c r="D106" s="77" t="s">
        <v>959</v>
      </c>
      <c r="E106" s="77" t="s">
        <v>960</v>
      </c>
      <c r="F106" s="77" t="s">
        <v>961</v>
      </c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</row>
    <row r="107" spans="1:34" s="66" customFormat="1" ht="45" x14ac:dyDescent="0.25">
      <c r="A107" s="70" t="s">
        <v>1371</v>
      </c>
      <c r="B107" s="73" t="s">
        <v>32</v>
      </c>
      <c r="C107" s="77" t="s">
        <v>952</v>
      </c>
      <c r="D107" s="77" t="s">
        <v>953</v>
      </c>
      <c r="E107" s="77" t="s">
        <v>954</v>
      </c>
      <c r="F107" s="77" t="s">
        <v>962</v>
      </c>
      <c r="G107" s="77" t="s">
        <v>574</v>
      </c>
      <c r="H107" s="77" t="s">
        <v>956</v>
      </c>
      <c r="I107" s="77" t="s">
        <v>957</v>
      </c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</row>
    <row r="108" spans="1:34" s="66" customFormat="1" ht="45" x14ac:dyDescent="0.25">
      <c r="A108" s="70" t="s">
        <v>1372</v>
      </c>
      <c r="B108" s="73" t="s">
        <v>456</v>
      </c>
      <c r="C108" s="77" t="s">
        <v>958</v>
      </c>
      <c r="D108" s="77" t="s">
        <v>959</v>
      </c>
      <c r="E108" s="77" t="s">
        <v>960</v>
      </c>
      <c r="F108" s="77" t="s">
        <v>961</v>
      </c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</row>
    <row r="109" spans="1:34" s="66" customFormat="1" ht="45" x14ac:dyDescent="0.25">
      <c r="A109" s="70" t="s">
        <v>1373</v>
      </c>
      <c r="B109" s="73" t="s">
        <v>32</v>
      </c>
      <c r="C109" s="77" t="s">
        <v>952</v>
      </c>
      <c r="D109" s="77" t="s">
        <v>953</v>
      </c>
      <c r="E109" s="77" t="s">
        <v>954</v>
      </c>
      <c r="F109" s="77" t="s">
        <v>962</v>
      </c>
      <c r="G109" s="77" t="s">
        <v>574</v>
      </c>
      <c r="H109" s="77" t="s">
        <v>956</v>
      </c>
      <c r="I109" s="77" t="s">
        <v>957</v>
      </c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</row>
    <row r="110" spans="1:34" s="66" customFormat="1" ht="45" x14ac:dyDescent="0.25">
      <c r="A110" s="70" t="s">
        <v>1374</v>
      </c>
      <c r="B110" s="73" t="s">
        <v>456</v>
      </c>
      <c r="C110" s="77" t="s">
        <v>959</v>
      </c>
      <c r="D110" s="77" t="s">
        <v>958</v>
      </c>
      <c r="E110" s="77" t="s">
        <v>960</v>
      </c>
      <c r="F110" s="77" t="s">
        <v>961</v>
      </c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</row>
    <row r="111" spans="1:34" s="66" customFormat="1" ht="45" x14ac:dyDescent="0.25">
      <c r="A111" s="70" t="s">
        <v>1375</v>
      </c>
      <c r="B111" s="73" t="s">
        <v>32</v>
      </c>
      <c r="C111" s="77" t="s">
        <v>952</v>
      </c>
      <c r="D111" s="77" t="s">
        <v>953</v>
      </c>
      <c r="E111" s="77" t="s">
        <v>954</v>
      </c>
      <c r="F111" s="77" t="s">
        <v>963</v>
      </c>
      <c r="G111" s="77" t="s">
        <v>574</v>
      </c>
      <c r="H111" s="77" t="s">
        <v>956</v>
      </c>
      <c r="I111" s="77" t="s">
        <v>957</v>
      </c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</row>
    <row r="112" spans="1:34" s="66" customFormat="1" ht="45" x14ac:dyDescent="0.25">
      <c r="A112" s="70" t="s">
        <v>1376</v>
      </c>
      <c r="B112" s="73" t="s">
        <v>456</v>
      </c>
      <c r="C112" s="77" t="s">
        <v>959</v>
      </c>
      <c r="D112" s="77" t="s">
        <v>958</v>
      </c>
      <c r="E112" s="77" t="s">
        <v>960</v>
      </c>
      <c r="F112" s="77" t="s">
        <v>961</v>
      </c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</row>
    <row r="113" spans="1:34" s="66" customFormat="1" ht="45" x14ac:dyDescent="0.25">
      <c r="A113" s="70" t="s">
        <v>1377</v>
      </c>
      <c r="B113" s="73" t="s">
        <v>32</v>
      </c>
      <c r="C113" s="77" t="s">
        <v>964</v>
      </c>
      <c r="D113" s="77" t="s">
        <v>965</v>
      </c>
      <c r="E113" s="77" t="s">
        <v>954</v>
      </c>
      <c r="F113" s="77" t="s">
        <v>966</v>
      </c>
      <c r="G113" s="77" t="s">
        <v>967</v>
      </c>
      <c r="H113" s="77" t="s">
        <v>574</v>
      </c>
      <c r="I113" s="77" t="s">
        <v>956</v>
      </c>
      <c r="J113" s="77" t="s">
        <v>957</v>
      </c>
      <c r="K113" s="77" t="s">
        <v>968</v>
      </c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</row>
    <row r="114" spans="1:34" s="66" customFormat="1" ht="33.75" x14ac:dyDescent="0.25">
      <c r="A114" s="70" t="s">
        <v>1378</v>
      </c>
      <c r="B114" s="73" t="s">
        <v>456</v>
      </c>
      <c r="C114" s="77" t="s">
        <v>969</v>
      </c>
      <c r="D114" s="77" t="s">
        <v>970</v>
      </c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</row>
    <row r="115" spans="1:34" s="66" customFormat="1" ht="45" x14ac:dyDescent="0.25">
      <c r="A115" s="70" t="s">
        <v>1379</v>
      </c>
      <c r="B115" s="73" t="s">
        <v>32</v>
      </c>
      <c r="C115" s="77" t="s">
        <v>964</v>
      </c>
      <c r="D115" s="77" t="s">
        <v>965</v>
      </c>
      <c r="E115" s="77" t="s">
        <v>954</v>
      </c>
      <c r="F115" s="77" t="s">
        <v>966</v>
      </c>
      <c r="G115" s="77" t="s">
        <v>971</v>
      </c>
      <c r="H115" s="77" t="s">
        <v>574</v>
      </c>
      <c r="I115" s="77" t="s">
        <v>956</v>
      </c>
      <c r="J115" s="77" t="s">
        <v>957</v>
      </c>
      <c r="K115" s="77" t="s">
        <v>968</v>
      </c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</row>
    <row r="116" spans="1:34" s="66" customFormat="1" ht="33.75" x14ac:dyDescent="0.25">
      <c r="A116" s="70" t="s">
        <v>1380</v>
      </c>
      <c r="B116" s="73" t="s">
        <v>456</v>
      </c>
      <c r="C116" s="77" t="s">
        <v>969</v>
      </c>
      <c r="D116" s="77" t="s">
        <v>970</v>
      </c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</row>
    <row r="117" spans="1:34" s="66" customFormat="1" ht="45" x14ac:dyDescent="0.25">
      <c r="A117" s="70" t="s">
        <v>1381</v>
      </c>
      <c r="B117" s="73" t="s">
        <v>32</v>
      </c>
      <c r="C117" s="77" t="s">
        <v>964</v>
      </c>
      <c r="D117" s="77" t="s">
        <v>965</v>
      </c>
      <c r="E117" s="77" t="s">
        <v>954</v>
      </c>
      <c r="F117" s="77" t="s">
        <v>966</v>
      </c>
      <c r="G117" s="77" t="s">
        <v>972</v>
      </c>
      <c r="H117" s="77" t="s">
        <v>574</v>
      </c>
      <c r="I117" s="77" t="s">
        <v>973</v>
      </c>
      <c r="J117" s="77" t="s">
        <v>968</v>
      </c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</row>
    <row r="118" spans="1:34" s="66" customFormat="1" ht="33.75" x14ac:dyDescent="0.25">
      <c r="A118" s="70" t="s">
        <v>1382</v>
      </c>
      <c r="B118" s="73" t="s">
        <v>456</v>
      </c>
      <c r="C118" s="77" t="s">
        <v>969</v>
      </c>
      <c r="D118" s="77" t="s">
        <v>970</v>
      </c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</row>
    <row r="119" spans="1:34" s="66" customFormat="1" ht="45" x14ac:dyDescent="0.25">
      <c r="A119" s="70" t="s">
        <v>1383</v>
      </c>
      <c r="B119" s="73" t="s">
        <v>32</v>
      </c>
      <c r="C119" s="77" t="s">
        <v>964</v>
      </c>
      <c r="D119" s="77" t="s">
        <v>965</v>
      </c>
      <c r="E119" s="77" t="s">
        <v>954</v>
      </c>
      <c r="F119" s="77" t="s">
        <v>966</v>
      </c>
      <c r="G119" s="77" t="s">
        <v>972</v>
      </c>
      <c r="H119" s="77" t="s">
        <v>574</v>
      </c>
      <c r="I119" s="77" t="s">
        <v>973</v>
      </c>
      <c r="J119" s="77" t="s">
        <v>968</v>
      </c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</row>
    <row r="120" spans="1:34" s="66" customFormat="1" ht="33.75" x14ac:dyDescent="0.25">
      <c r="A120" s="70" t="s">
        <v>1384</v>
      </c>
      <c r="B120" s="73" t="s">
        <v>456</v>
      </c>
      <c r="C120" s="77" t="s">
        <v>969</v>
      </c>
      <c r="D120" s="77" t="s">
        <v>970</v>
      </c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</row>
    <row r="121" spans="1:34" s="66" customFormat="1" ht="45" x14ac:dyDescent="0.25">
      <c r="A121" s="64" t="s">
        <v>2237</v>
      </c>
      <c r="B121" s="73" t="s">
        <v>32</v>
      </c>
      <c r="C121" s="77" t="s">
        <v>952</v>
      </c>
      <c r="D121" s="77" t="s">
        <v>953</v>
      </c>
      <c r="E121" s="77" t="s">
        <v>954</v>
      </c>
      <c r="F121" s="77" t="s">
        <v>2028</v>
      </c>
      <c r="G121" s="77" t="s">
        <v>574</v>
      </c>
      <c r="H121" s="77" t="s">
        <v>956</v>
      </c>
      <c r="I121" s="77" t="s">
        <v>957</v>
      </c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</row>
    <row r="122" spans="1:34" s="66" customFormat="1" ht="45" x14ac:dyDescent="0.25">
      <c r="A122" s="64" t="s">
        <v>2238</v>
      </c>
      <c r="B122" s="73" t="s">
        <v>456</v>
      </c>
      <c r="C122" s="77" t="s">
        <v>969</v>
      </c>
      <c r="D122" s="77" t="s">
        <v>958</v>
      </c>
      <c r="E122" s="77" t="s">
        <v>960</v>
      </c>
      <c r="F122" s="77" t="s">
        <v>961</v>
      </c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</row>
    <row r="123" spans="1:34" s="66" customFormat="1" ht="45" x14ac:dyDescent="0.25">
      <c r="A123" s="64" t="s">
        <v>2239</v>
      </c>
      <c r="B123" s="73" t="s">
        <v>32</v>
      </c>
      <c r="C123" s="77" t="s">
        <v>952</v>
      </c>
      <c r="D123" s="77" t="s">
        <v>953</v>
      </c>
      <c r="E123" s="77" t="s">
        <v>954</v>
      </c>
      <c r="F123" s="77" t="s">
        <v>2028</v>
      </c>
      <c r="G123" s="77" t="s">
        <v>574</v>
      </c>
      <c r="H123" s="77" t="s">
        <v>956</v>
      </c>
      <c r="I123" s="77" t="s">
        <v>957</v>
      </c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</row>
    <row r="124" spans="1:34" s="66" customFormat="1" ht="45" x14ac:dyDescent="0.25">
      <c r="A124" s="64" t="s">
        <v>2240</v>
      </c>
      <c r="B124" s="73" t="s">
        <v>456</v>
      </c>
      <c r="C124" s="77" t="s">
        <v>969</v>
      </c>
      <c r="D124" s="77" t="s">
        <v>958</v>
      </c>
      <c r="E124" s="77" t="s">
        <v>960</v>
      </c>
      <c r="F124" s="77" t="s">
        <v>961</v>
      </c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</row>
    <row r="125" spans="1:34" s="66" customFormat="1" ht="45" x14ac:dyDescent="0.25">
      <c r="A125" s="64" t="s">
        <v>2241</v>
      </c>
      <c r="B125" s="73" t="s">
        <v>32</v>
      </c>
      <c r="C125" s="77" t="s">
        <v>952</v>
      </c>
      <c r="D125" s="77" t="s">
        <v>953</v>
      </c>
      <c r="E125" s="77" t="s">
        <v>954</v>
      </c>
      <c r="F125" s="77" t="s">
        <v>2028</v>
      </c>
      <c r="G125" s="77" t="s">
        <v>574</v>
      </c>
      <c r="H125" s="77" t="s">
        <v>956</v>
      </c>
      <c r="I125" s="77" t="s">
        <v>957</v>
      </c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</row>
    <row r="126" spans="1:34" s="66" customFormat="1" ht="45" x14ac:dyDescent="0.25">
      <c r="A126" s="64" t="s">
        <v>2242</v>
      </c>
      <c r="B126" s="73" t="s">
        <v>456</v>
      </c>
      <c r="C126" s="77" t="s">
        <v>969</v>
      </c>
      <c r="D126" s="77" t="s">
        <v>958</v>
      </c>
      <c r="E126" s="77" t="s">
        <v>960</v>
      </c>
      <c r="F126" s="77" t="s">
        <v>961</v>
      </c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</row>
    <row r="127" spans="1:34" s="66" customFormat="1" ht="45" x14ac:dyDescent="0.25">
      <c r="A127" s="64" t="s">
        <v>2243</v>
      </c>
      <c r="B127" s="73" t="s">
        <v>32</v>
      </c>
      <c r="C127" s="77" t="s">
        <v>964</v>
      </c>
      <c r="D127" s="77" t="s">
        <v>965</v>
      </c>
      <c r="E127" s="77" t="s">
        <v>954</v>
      </c>
      <c r="F127" s="77" t="s">
        <v>966</v>
      </c>
      <c r="G127" s="77" t="s">
        <v>2029</v>
      </c>
      <c r="H127" s="77" t="s">
        <v>574</v>
      </c>
      <c r="I127" s="77" t="s">
        <v>956</v>
      </c>
      <c r="J127" s="77" t="s">
        <v>957</v>
      </c>
      <c r="K127" s="77" t="s">
        <v>968</v>
      </c>
      <c r="L127" s="77" t="s">
        <v>1068</v>
      </c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</row>
    <row r="128" spans="1:34" s="66" customFormat="1" ht="33.75" x14ac:dyDescent="0.25">
      <c r="A128" s="64" t="s">
        <v>2244</v>
      </c>
      <c r="B128" s="73" t="s">
        <v>456</v>
      </c>
      <c r="C128" s="77" t="s">
        <v>969</v>
      </c>
      <c r="D128" s="77" t="s">
        <v>970</v>
      </c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</row>
    <row r="129" spans="1:34" s="66" customFormat="1" ht="45" x14ac:dyDescent="0.25">
      <c r="A129" s="64" t="s">
        <v>2245</v>
      </c>
      <c r="B129" s="73" t="s">
        <v>32</v>
      </c>
      <c r="C129" s="77" t="s">
        <v>964</v>
      </c>
      <c r="D129" s="77" t="s">
        <v>965</v>
      </c>
      <c r="E129" s="77" t="s">
        <v>954</v>
      </c>
      <c r="F129" s="77" t="s">
        <v>966</v>
      </c>
      <c r="G129" s="77" t="s">
        <v>2029</v>
      </c>
      <c r="H129" s="77" t="s">
        <v>574</v>
      </c>
      <c r="I129" s="77" t="s">
        <v>956</v>
      </c>
      <c r="J129" s="77" t="s">
        <v>957</v>
      </c>
      <c r="K129" s="77" t="s">
        <v>968</v>
      </c>
      <c r="L129" s="77" t="s">
        <v>1068</v>
      </c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</row>
    <row r="130" spans="1:34" s="66" customFormat="1" ht="33.75" x14ac:dyDescent="0.25">
      <c r="A130" s="64" t="s">
        <v>2246</v>
      </c>
      <c r="B130" s="73" t="s">
        <v>456</v>
      </c>
      <c r="C130" s="77" t="s">
        <v>969</v>
      </c>
      <c r="D130" s="77" t="s">
        <v>970</v>
      </c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</row>
    <row r="131" spans="1:34" s="66" customFormat="1" ht="45" x14ac:dyDescent="0.25">
      <c r="A131" s="64" t="s">
        <v>2247</v>
      </c>
      <c r="B131" s="73" t="s">
        <v>32</v>
      </c>
      <c r="C131" s="77" t="s">
        <v>2030</v>
      </c>
      <c r="D131" s="77" t="s">
        <v>965</v>
      </c>
      <c r="E131" s="77" t="s">
        <v>954</v>
      </c>
      <c r="F131" s="77" t="s">
        <v>1076</v>
      </c>
      <c r="G131" s="77" t="s">
        <v>2031</v>
      </c>
      <c r="H131" s="77" t="s">
        <v>574</v>
      </c>
      <c r="I131" s="77" t="s">
        <v>973</v>
      </c>
      <c r="J131" s="77" t="s">
        <v>968</v>
      </c>
      <c r="K131" s="77" t="s">
        <v>2032</v>
      </c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</row>
    <row r="132" spans="1:34" s="66" customFormat="1" ht="33.75" x14ac:dyDescent="0.25">
      <c r="A132" s="64" t="s">
        <v>2248</v>
      </c>
      <c r="B132" s="73" t="s">
        <v>456</v>
      </c>
      <c r="C132" s="77" t="s">
        <v>969</v>
      </c>
      <c r="D132" s="77" t="s">
        <v>1069</v>
      </c>
      <c r="E132" s="77" t="s">
        <v>970</v>
      </c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</row>
    <row r="133" spans="1:34" s="66" customFormat="1" ht="45" x14ac:dyDescent="0.25">
      <c r="A133" s="64" t="s">
        <v>2249</v>
      </c>
      <c r="B133" s="73" t="s">
        <v>32</v>
      </c>
      <c r="C133" s="77" t="s">
        <v>2030</v>
      </c>
      <c r="D133" s="77" t="s">
        <v>965</v>
      </c>
      <c r="E133" s="77" t="s">
        <v>954</v>
      </c>
      <c r="F133" s="77" t="s">
        <v>1076</v>
      </c>
      <c r="G133" s="77" t="s">
        <v>2031</v>
      </c>
      <c r="H133" s="77" t="s">
        <v>574</v>
      </c>
      <c r="I133" s="77" t="s">
        <v>973</v>
      </c>
      <c r="J133" s="77" t="s">
        <v>968</v>
      </c>
      <c r="K133" s="77" t="s">
        <v>2032</v>
      </c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</row>
    <row r="134" spans="1:34" s="66" customFormat="1" ht="33.75" x14ac:dyDescent="0.25">
      <c r="A134" s="64" t="s">
        <v>2250</v>
      </c>
      <c r="B134" s="73" t="s">
        <v>456</v>
      </c>
      <c r="C134" s="77" t="s">
        <v>969</v>
      </c>
      <c r="D134" s="77" t="s">
        <v>1069</v>
      </c>
      <c r="E134" s="77" t="s">
        <v>970</v>
      </c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</row>
    <row r="135" spans="1:34" s="66" customFormat="1" ht="45" x14ac:dyDescent="0.25">
      <c r="A135" s="64" t="s">
        <v>2251</v>
      </c>
      <c r="B135" s="73" t="s">
        <v>32</v>
      </c>
      <c r="C135" s="77" t="s">
        <v>2033</v>
      </c>
      <c r="D135" s="77" t="s">
        <v>965</v>
      </c>
      <c r="E135" s="77" t="s">
        <v>954</v>
      </c>
      <c r="F135" s="77" t="s">
        <v>1076</v>
      </c>
      <c r="G135" s="77" t="s">
        <v>2031</v>
      </c>
      <c r="H135" s="77" t="s">
        <v>574</v>
      </c>
      <c r="I135" s="77" t="s">
        <v>973</v>
      </c>
      <c r="J135" s="77" t="s">
        <v>968</v>
      </c>
      <c r="K135" s="77" t="s">
        <v>2032</v>
      </c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</row>
    <row r="136" spans="1:34" s="66" customFormat="1" ht="33.75" x14ac:dyDescent="0.25">
      <c r="A136" s="64" t="s">
        <v>2252</v>
      </c>
      <c r="B136" s="73" t="s">
        <v>456</v>
      </c>
      <c r="C136" s="77" t="s">
        <v>969</v>
      </c>
      <c r="D136" s="77" t="s">
        <v>1069</v>
      </c>
      <c r="E136" s="77" t="s">
        <v>970</v>
      </c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</row>
    <row r="137" spans="1:34" s="66" customFormat="1" ht="45" x14ac:dyDescent="0.25">
      <c r="A137" s="64" t="s">
        <v>2253</v>
      </c>
      <c r="B137" s="73" t="s">
        <v>32</v>
      </c>
      <c r="C137" s="77" t="s">
        <v>2034</v>
      </c>
      <c r="D137" s="77" t="s">
        <v>965</v>
      </c>
      <c r="E137" s="77" t="s">
        <v>954</v>
      </c>
      <c r="F137" s="77" t="s">
        <v>1076</v>
      </c>
      <c r="G137" s="77" t="s">
        <v>2031</v>
      </c>
      <c r="H137" s="77" t="s">
        <v>574</v>
      </c>
      <c r="I137" s="77" t="s">
        <v>973</v>
      </c>
      <c r="J137" s="77" t="s">
        <v>968</v>
      </c>
      <c r="K137" s="77" t="s">
        <v>2032</v>
      </c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</row>
    <row r="138" spans="1:34" s="66" customFormat="1" ht="33.75" x14ac:dyDescent="0.25">
      <c r="A138" s="64" t="s">
        <v>2254</v>
      </c>
      <c r="B138" s="73" t="s">
        <v>456</v>
      </c>
      <c r="C138" s="77" t="s">
        <v>969</v>
      </c>
      <c r="D138" s="77" t="s">
        <v>1069</v>
      </c>
      <c r="E138" s="77" t="s">
        <v>970</v>
      </c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</row>
    <row r="139" spans="1:34" s="66" customFormat="1" ht="45" x14ac:dyDescent="0.25">
      <c r="A139" s="64" t="s">
        <v>2255</v>
      </c>
      <c r="B139" s="73" t="s">
        <v>32</v>
      </c>
      <c r="C139" s="77" t="s">
        <v>2034</v>
      </c>
      <c r="D139" s="77" t="s">
        <v>965</v>
      </c>
      <c r="E139" s="77" t="s">
        <v>954</v>
      </c>
      <c r="F139" s="77" t="s">
        <v>1076</v>
      </c>
      <c r="G139" s="77" t="s">
        <v>2031</v>
      </c>
      <c r="H139" s="77" t="s">
        <v>574</v>
      </c>
      <c r="I139" s="77" t="s">
        <v>973</v>
      </c>
      <c r="J139" s="77" t="s">
        <v>968</v>
      </c>
      <c r="K139" s="77" t="s">
        <v>2032</v>
      </c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</row>
    <row r="140" spans="1:34" s="66" customFormat="1" ht="33.75" x14ac:dyDescent="0.25">
      <c r="A140" s="64" t="s">
        <v>2256</v>
      </c>
      <c r="B140" s="73" t="s">
        <v>456</v>
      </c>
      <c r="C140" s="77" t="s">
        <v>969</v>
      </c>
      <c r="D140" s="77" t="s">
        <v>1069</v>
      </c>
      <c r="E140" s="77" t="s">
        <v>970</v>
      </c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</row>
    <row r="141" spans="1:34" s="66" customFormat="1" ht="45" x14ac:dyDescent="0.25">
      <c r="A141" s="64" t="s">
        <v>2257</v>
      </c>
      <c r="B141" s="73" t="s">
        <v>32</v>
      </c>
      <c r="C141" s="77" t="s">
        <v>2030</v>
      </c>
      <c r="D141" s="77" t="s">
        <v>965</v>
      </c>
      <c r="E141" s="77" t="s">
        <v>954</v>
      </c>
      <c r="F141" s="77" t="s">
        <v>2035</v>
      </c>
      <c r="G141" s="77" t="s">
        <v>2031</v>
      </c>
      <c r="H141" s="77" t="s">
        <v>574</v>
      </c>
      <c r="I141" s="77" t="s">
        <v>973</v>
      </c>
      <c r="J141" s="77" t="s">
        <v>968</v>
      </c>
      <c r="K141" s="77" t="s">
        <v>1068</v>
      </c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</row>
    <row r="142" spans="1:34" s="66" customFormat="1" ht="33.75" x14ac:dyDescent="0.25">
      <c r="A142" s="64" t="s">
        <v>2258</v>
      </c>
      <c r="B142" s="73" t="s">
        <v>456</v>
      </c>
      <c r="C142" s="77" t="s">
        <v>969</v>
      </c>
      <c r="D142" s="77" t="s">
        <v>1069</v>
      </c>
      <c r="E142" s="77" t="s">
        <v>970</v>
      </c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spans="1:34" s="66" customFormat="1" ht="45" x14ac:dyDescent="0.25">
      <c r="A143" s="64" t="s">
        <v>2259</v>
      </c>
      <c r="B143" s="73" t="s">
        <v>32</v>
      </c>
      <c r="C143" s="77" t="s">
        <v>2030</v>
      </c>
      <c r="D143" s="77" t="s">
        <v>965</v>
      </c>
      <c r="E143" s="77" t="s">
        <v>954</v>
      </c>
      <c r="F143" s="77" t="s">
        <v>1076</v>
      </c>
      <c r="G143" s="77" t="s">
        <v>2031</v>
      </c>
      <c r="H143" s="77" t="s">
        <v>574</v>
      </c>
      <c r="I143" s="77" t="s">
        <v>973</v>
      </c>
      <c r="J143" s="77" t="s">
        <v>968</v>
      </c>
      <c r="K143" s="77" t="s">
        <v>1068</v>
      </c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spans="1:34" s="66" customFormat="1" ht="33.75" x14ac:dyDescent="0.25">
      <c r="A144" s="64" t="s">
        <v>2260</v>
      </c>
      <c r="B144" s="73" t="s">
        <v>456</v>
      </c>
      <c r="C144" s="77" t="s">
        <v>969</v>
      </c>
      <c r="D144" s="77" t="s">
        <v>1069</v>
      </c>
      <c r="E144" s="77" t="s">
        <v>970</v>
      </c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</row>
    <row r="145" spans="1:34" s="66" customFormat="1" ht="45" x14ac:dyDescent="0.25">
      <c r="A145" s="64" t="s">
        <v>2261</v>
      </c>
      <c r="B145" s="73" t="s">
        <v>32</v>
      </c>
      <c r="C145" s="77" t="s">
        <v>2033</v>
      </c>
      <c r="D145" s="77" t="s">
        <v>965</v>
      </c>
      <c r="E145" s="77" t="s">
        <v>954</v>
      </c>
      <c r="F145" s="77" t="s">
        <v>1076</v>
      </c>
      <c r="G145" s="77" t="s">
        <v>2031</v>
      </c>
      <c r="H145" s="77" t="s">
        <v>574</v>
      </c>
      <c r="I145" s="77" t="s">
        <v>973</v>
      </c>
      <c r="J145" s="77" t="s">
        <v>968</v>
      </c>
      <c r="K145" s="77" t="s">
        <v>1068</v>
      </c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</row>
    <row r="146" spans="1:34" s="66" customFormat="1" ht="33.75" x14ac:dyDescent="0.25">
      <c r="A146" s="64" t="s">
        <v>2262</v>
      </c>
      <c r="B146" s="73" t="s">
        <v>456</v>
      </c>
      <c r="C146" s="77" t="s">
        <v>969</v>
      </c>
      <c r="D146" s="77" t="s">
        <v>1069</v>
      </c>
      <c r="E146" s="77" t="s">
        <v>970</v>
      </c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</row>
    <row r="147" spans="1:34" s="66" customFormat="1" ht="45" x14ac:dyDescent="0.25">
      <c r="A147" s="64" t="s">
        <v>2263</v>
      </c>
      <c r="B147" s="73" t="s">
        <v>32</v>
      </c>
      <c r="C147" s="77" t="s">
        <v>2034</v>
      </c>
      <c r="D147" s="77" t="s">
        <v>965</v>
      </c>
      <c r="E147" s="77" t="s">
        <v>954</v>
      </c>
      <c r="F147" s="77" t="s">
        <v>1076</v>
      </c>
      <c r="G147" s="77" t="s">
        <v>2031</v>
      </c>
      <c r="H147" s="77" t="s">
        <v>574</v>
      </c>
      <c r="I147" s="77" t="s">
        <v>973</v>
      </c>
      <c r="J147" s="77" t="s">
        <v>968</v>
      </c>
      <c r="K147" s="77" t="s">
        <v>2032</v>
      </c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</row>
    <row r="148" spans="1:34" s="66" customFormat="1" ht="33.75" x14ac:dyDescent="0.25">
      <c r="A148" s="64" t="s">
        <v>2264</v>
      </c>
      <c r="B148" s="73" t="s">
        <v>456</v>
      </c>
      <c r="C148" s="77" t="s">
        <v>969</v>
      </c>
      <c r="D148" s="77" t="s">
        <v>1069</v>
      </c>
      <c r="E148" s="77" t="s">
        <v>970</v>
      </c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</row>
    <row r="149" spans="1:34" s="66" customFormat="1" ht="45" x14ac:dyDescent="0.25">
      <c r="A149" s="64" t="s">
        <v>2265</v>
      </c>
      <c r="B149" s="73" t="s">
        <v>32</v>
      </c>
      <c r="C149" s="77" t="s">
        <v>2034</v>
      </c>
      <c r="D149" s="77" t="s">
        <v>965</v>
      </c>
      <c r="E149" s="77" t="s">
        <v>954</v>
      </c>
      <c r="F149" s="77" t="s">
        <v>1076</v>
      </c>
      <c r="G149" s="77" t="s">
        <v>2031</v>
      </c>
      <c r="H149" s="77" t="s">
        <v>574</v>
      </c>
      <c r="I149" s="77" t="s">
        <v>973</v>
      </c>
      <c r="J149" s="77" t="s">
        <v>968</v>
      </c>
      <c r="K149" s="77" t="s">
        <v>2032</v>
      </c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spans="1:34" s="66" customFormat="1" ht="33.75" x14ac:dyDescent="0.25">
      <c r="A150" s="64" t="s">
        <v>2266</v>
      </c>
      <c r="B150" s="73" t="s">
        <v>456</v>
      </c>
      <c r="C150" s="77" t="s">
        <v>969</v>
      </c>
      <c r="D150" s="77" t="s">
        <v>1069</v>
      </c>
      <c r="E150" s="77" t="s">
        <v>970</v>
      </c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</row>
    <row r="151" spans="1:34" s="66" customFormat="1" x14ac:dyDescent="0.25">
      <c r="A151" s="64" t="s">
        <v>2267</v>
      </c>
      <c r="B151" s="73" t="s">
        <v>32</v>
      </c>
      <c r="C151" s="77" t="s">
        <v>2635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</row>
    <row r="152" spans="1:34" s="66" customFormat="1" x14ac:dyDescent="0.25">
      <c r="A152" s="64" t="s">
        <v>2268</v>
      </c>
      <c r="B152" s="73" t="s">
        <v>456</v>
      </c>
      <c r="C152" s="77" t="s">
        <v>2633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</row>
    <row r="153" spans="1:34" s="66" customFormat="1" ht="45" x14ac:dyDescent="0.25">
      <c r="A153" s="64" t="s">
        <v>2269</v>
      </c>
      <c r="B153" s="119" t="s">
        <v>32</v>
      </c>
      <c r="C153" s="77" t="s">
        <v>1995</v>
      </c>
      <c r="D153" s="77" t="s">
        <v>965</v>
      </c>
      <c r="E153" s="77" t="s">
        <v>954</v>
      </c>
      <c r="F153" s="77" t="s">
        <v>1206</v>
      </c>
      <c r="G153" s="77" t="s">
        <v>1207</v>
      </c>
      <c r="H153" s="77" t="s">
        <v>973</v>
      </c>
      <c r="I153" s="77" t="s">
        <v>968</v>
      </c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</row>
    <row r="154" spans="1:34" s="66" customFormat="1" ht="33.75" x14ac:dyDescent="0.25">
      <c r="A154" s="64" t="s">
        <v>2270</v>
      </c>
      <c r="B154" s="119" t="s">
        <v>456</v>
      </c>
      <c r="C154" s="77" t="s">
        <v>1216</v>
      </c>
      <c r="D154" s="77" t="s">
        <v>970</v>
      </c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</row>
    <row r="155" spans="1:34" s="66" customFormat="1" ht="45" x14ac:dyDescent="0.25">
      <c r="A155" s="64" t="s">
        <v>2271</v>
      </c>
      <c r="B155" s="119" t="s">
        <v>32</v>
      </c>
      <c r="C155" s="77" t="s">
        <v>1995</v>
      </c>
      <c r="D155" s="77" t="s">
        <v>965</v>
      </c>
      <c r="E155" s="77" t="s">
        <v>954</v>
      </c>
      <c r="F155" s="77" t="s">
        <v>1206</v>
      </c>
      <c r="G155" s="77" t="s">
        <v>1207</v>
      </c>
      <c r="H155" s="77" t="s">
        <v>973</v>
      </c>
      <c r="I155" s="77" t="s">
        <v>968</v>
      </c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</row>
    <row r="156" spans="1:34" s="66" customFormat="1" ht="33.75" x14ac:dyDescent="0.25">
      <c r="A156" s="64" t="s">
        <v>2272</v>
      </c>
      <c r="B156" s="119" t="s">
        <v>456</v>
      </c>
      <c r="C156" s="77" t="s">
        <v>1216</v>
      </c>
      <c r="D156" s="77" t="s">
        <v>970</v>
      </c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</row>
    <row r="157" spans="1:34" s="66" customFormat="1" ht="45" x14ac:dyDescent="0.25">
      <c r="A157" s="64" t="s">
        <v>2273</v>
      </c>
      <c r="B157" s="119" t="s">
        <v>32</v>
      </c>
      <c r="C157" s="77" t="s">
        <v>1995</v>
      </c>
      <c r="D157" s="77" t="s">
        <v>965</v>
      </c>
      <c r="E157" s="77" t="s">
        <v>954</v>
      </c>
      <c r="F157" s="77" t="s">
        <v>1206</v>
      </c>
      <c r="G157" s="77" t="s">
        <v>1207</v>
      </c>
      <c r="H157" s="77" t="s">
        <v>973</v>
      </c>
      <c r="I157" s="77" t="s">
        <v>968</v>
      </c>
      <c r="J157" s="77" t="s">
        <v>1208</v>
      </c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</row>
    <row r="158" spans="1:34" s="66" customFormat="1" ht="33.75" x14ac:dyDescent="0.25">
      <c r="A158" s="64" t="s">
        <v>2274</v>
      </c>
      <c r="B158" s="119" t="s">
        <v>456</v>
      </c>
      <c r="C158" s="77" t="s">
        <v>1209</v>
      </c>
      <c r="D158" s="77" t="s">
        <v>970</v>
      </c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</row>
    <row r="159" spans="1:34" s="66" customFormat="1" ht="45" x14ac:dyDescent="0.25">
      <c r="A159" s="64" t="s">
        <v>2275</v>
      </c>
      <c r="B159" s="119" t="s">
        <v>32</v>
      </c>
      <c r="C159" s="77" t="s">
        <v>1995</v>
      </c>
      <c r="D159" s="77" t="s">
        <v>965</v>
      </c>
      <c r="E159" s="77" t="s">
        <v>954</v>
      </c>
      <c r="F159" s="77" t="s">
        <v>1206</v>
      </c>
      <c r="G159" s="77" t="s">
        <v>1207</v>
      </c>
      <c r="H159" s="77" t="s">
        <v>973</v>
      </c>
      <c r="I159" s="77" t="s">
        <v>968</v>
      </c>
      <c r="J159" s="77" t="s">
        <v>1208</v>
      </c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</row>
    <row r="160" spans="1:34" s="66" customFormat="1" ht="33.75" x14ac:dyDescent="0.25">
      <c r="A160" s="64" t="s">
        <v>2276</v>
      </c>
      <c r="B160" s="119" t="s">
        <v>456</v>
      </c>
      <c r="C160" s="77" t="s">
        <v>1209</v>
      </c>
      <c r="D160" s="77" t="s">
        <v>970</v>
      </c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</row>
    <row r="161" spans="1:34" s="66" customFormat="1" x14ac:dyDescent="0.25">
      <c r="A161" s="70" t="s">
        <v>2277</v>
      </c>
      <c r="B161" s="73" t="s">
        <v>32</v>
      </c>
      <c r="C161" s="77" t="s">
        <v>2635</v>
      </c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  <row r="162" spans="1:34" s="66" customFormat="1" x14ac:dyDescent="0.25">
      <c r="A162" s="70" t="s">
        <v>2278</v>
      </c>
      <c r="B162" s="73" t="s">
        <v>456</v>
      </c>
      <c r="C162" s="77" t="s">
        <v>2633</v>
      </c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</row>
    <row r="163" spans="1:34" s="66" customFormat="1" x14ac:dyDescent="0.25">
      <c r="A163" s="70" t="s">
        <v>2279</v>
      </c>
      <c r="B163" s="73" t="s">
        <v>32</v>
      </c>
      <c r="C163" s="77" t="s">
        <v>2635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</row>
    <row r="164" spans="1:34" s="66" customFormat="1" x14ac:dyDescent="0.25">
      <c r="A164" s="70" t="s">
        <v>2280</v>
      </c>
      <c r="B164" s="73" t="s">
        <v>456</v>
      </c>
      <c r="C164" s="77" t="s">
        <v>2633</v>
      </c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</row>
    <row r="165" spans="1:34" s="66" customFormat="1" x14ac:dyDescent="0.25">
      <c r="A165" s="70" t="s">
        <v>2281</v>
      </c>
      <c r="B165" s="73" t="s">
        <v>32</v>
      </c>
      <c r="C165" s="77" t="s">
        <v>2635</v>
      </c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</row>
    <row r="166" spans="1:34" s="66" customFormat="1" x14ac:dyDescent="0.25">
      <c r="A166" s="70" t="s">
        <v>2282</v>
      </c>
      <c r="B166" s="73" t="s">
        <v>456</v>
      </c>
      <c r="C166" s="77" t="s">
        <v>2633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</row>
    <row r="167" spans="1:34" s="66" customFormat="1" x14ac:dyDescent="0.25">
      <c r="A167" s="70" t="s">
        <v>2283</v>
      </c>
      <c r="B167" s="73" t="s">
        <v>32</v>
      </c>
      <c r="C167" s="77" t="s">
        <v>2635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</row>
    <row r="168" spans="1:34" s="66" customFormat="1" x14ac:dyDescent="0.25">
      <c r="A168" s="70" t="s">
        <v>2284</v>
      </c>
      <c r="B168" s="73" t="s">
        <v>456</v>
      </c>
      <c r="C168" s="77" t="s">
        <v>2633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spans="1:34" s="66" customFormat="1" x14ac:dyDescent="0.25">
      <c r="A169" s="70" t="s">
        <v>2285</v>
      </c>
      <c r="B169" s="73" t="s">
        <v>32</v>
      </c>
      <c r="C169" s="77" t="s">
        <v>2635</v>
      </c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spans="1:34" s="66" customFormat="1" x14ac:dyDescent="0.25">
      <c r="A170" s="70" t="s">
        <v>2286</v>
      </c>
      <c r="B170" s="73" t="s">
        <v>456</v>
      </c>
      <c r="C170" s="77" t="s">
        <v>2633</v>
      </c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spans="1:34" s="66" customFormat="1" x14ac:dyDescent="0.25">
      <c r="A171" s="70" t="s">
        <v>2287</v>
      </c>
      <c r="B171" s="73" t="s">
        <v>32</v>
      </c>
      <c r="C171" s="77" t="s">
        <v>2635</v>
      </c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  <row r="172" spans="1:34" s="66" customFormat="1" x14ac:dyDescent="0.25">
      <c r="A172" s="70" t="s">
        <v>2288</v>
      </c>
      <c r="B172" s="73" t="s">
        <v>456</v>
      </c>
      <c r="C172" s="77" t="s">
        <v>2633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</row>
    <row r="173" spans="1:34" s="66" customFormat="1" x14ac:dyDescent="0.25">
      <c r="A173" s="70" t="s">
        <v>2289</v>
      </c>
      <c r="B173" s="73" t="s">
        <v>32</v>
      </c>
      <c r="C173" s="77" t="s">
        <v>2635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</row>
    <row r="174" spans="1:34" s="66" customFormat="1" x14ac:dyDescent="0.25">
      <c r="A174" s="70" t="s">
        <v>2290</v>
      </c>
      <c r="B174" s="73" t="s">
        <v>456</v>
      </c>
      <c r="C174" s="77" t="s">
        <v>2633</v>
      </c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</row>
    <row r="175" spans="1:34" s="66" customFormat="1" x14ac:dyDescent="0.25">
      <c r="A175" s="70" t="s">
        <v>2291</v>
      </c>
      <c r="B175" s="73" t="s">
        <v>32</v>
      </c>
      <c r="C175" s="77" t="s">
        <v>2635</v>
      </c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spans="1:34" s="66" customFormat="1" x14ac:dyDescent="0.25">
      <c r="A176" s="70" t="s">
        <v>2292</v>
      </c>
      <c r="B176" s="73" t="s">
        <v>456</v>
      </c>
      <c r="C176" s="77" t="s">
        <v>2633</v>
      </c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spans="1:34" s="66" customFormat="1" x14ac:dyDescent="0.25">
      <c r="A177" s="70" t="s">
        <v>2293</v>
      </c>
      <c r="B177" s="73" t="s">
        <v>32</v>
      </c>
      <c r="C177" s="77" t="s">
        <v>2635</v>
      </c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</row>
    <row r="178" spans="1:34" s="66" customFormat="1" x14ac:dyDescent="0.25">
      <c r="A178" s="70" t="s">
        <v>2294</v>
      </c>
      <c r="B178" s="73" t="s">
        <v>456</v>
      </c>
      <c r="C178" s="77" t="s">
        <v>2633</v>
      </c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</row>
    <row r="179" spans="1:34" s="66" customFormat="1" x14ac:dyDescent="0.25">
      <c r="A179" s="70" t="s">
        <v>2295</v>
      </c>
      <c r="B179" s="73" t="s">
        <v>32</v>
      </c>
      <c r="C179" s="77" t="s">
        <v>2635</v>
      </c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</row>
    <row r="180" spans="1:34" s="66" customFormat="1" x14ac:dyDescent="0.25">
      <c r="A180" s="70" t="s">
        <v>2296</v>
      </c>
      <c r="B180" s="73" t="s">
        <v>456</v>
      </c>
      <c r="C180" s="77" t="s">
        <v>2633</v>
      </c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</row>
    <row r="181" spans="1:34" s="66" customFormat="1" x14ac:dyDescent="0.25">
      <c r="A181" s="70" t="s">
        <v>2297</v>
      </c>
      <c r="B181" s="73" t="s">
        <v>32</v>
      </c>
      <c r="C181" s="77" t="s">
        <v>2635</v>
      </c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</row>
    <row r="182" spans="1:34" s="66" customFormat="1" x14ac:dyDescent="0.25">
      <c r="A182" s="70" t="s">
        <v>2298</v>
      </c>
      <c r="B182" s="73" t="s">
        <v>456</v>
      </c>
      <c r="C182" s="77" t="s">
        <v>2633</v>
      </c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</row>
    <row r="183" spans="1:34" s="66" customFormat="1" x14ac:dyDescent="0.25">
      <c r="A183" s="70" t="s">
        <v>2299</v>
      </c>
      <c r="B183" s="73" t="s">
        <v>32</v>
      </c>
      <c r="C183" s="77" t="s">
        <v>2635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</row>
    <row r="184" spans="1:34" s="66" customFormat="1" x14ac:dyDescent="0.25">
      <c r="A184" s="70" t="s">
        <v>2300</v>
      </c>
      <c r="B184" s="73" t="s">
        <v>456</v>
      </c>
      <c r="C184" s="77" t="s">
        <v>2633</v>
      </c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</row>
    <row r="185" spans="1:34" s="66" customFormat="1" x14ac:dyDescent="0.25">
      <c r="A185" s="70" t="s">
        <v>2301</v>
      </c>
      <c r="B185" s="73" t="s">
        <v>32</v>
      </c>
      <c r="C185" s="77" t="s">
        <v>2635</v>
      </c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</row>
    <row r="186" spans="1:34" s="66" customFormat="1" x14ac:dyDescent="0.25">
      <c r="A186" s="70" t="s">
        <v>2302</v>
      </c>
      <c r="B186" s="73" t="s">
        <v>456</v>
      </c>
      <c r="C186" s="77" t="s">
        <v>2633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</row>
    <row r="187" spans="1:34" s="66" customFormat="1" x14ac:dyDescent="0.25">
      <c r="A187" s="70" t="s">
        <v>2303</v>
      </c>
      <c r="B187" s="73" t="s">
        <v>32</v>
      </c>
      <c r="C187" s="77" t="s">
        <v>2635</v>
      </c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</row>
    <row r="188" spans="1:34" s="66" customFormat="1" x14ac:dyDescent="0.25">
      <c r="A188" s="70" t="s">
        <v>2304</v>
      </c>
      <c r="B188" s="73" t="s">
        <v>456</v>
      </c>
      <c r="C188" s="77" t="s">
        <v>2633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</row>
    <row r="189" spans="1:34" s="66" customFormat="1" x14ac:dyDescent="0.25">
      <c r="A189" s="70" t="s">
        <v>2305</v>
      </c>
      <c r="B189" s="73" t="s">
        <v>32</v>
      </c>
      <c r="C189" s="77" t="s">
        <v>2635</v>
      </c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</row>
    <row r="190" spans="1:34" s="66" customFormat="1" x14ac:dyDescent="0.25">
      <c r="A190" s="70" t="s">
        <v>2306</v>
      </c>
      <c r="B190" s="73" t="s">
        <v>456</v>
      </c>
      <c r="C190" s="77" t="s">
        <v>2633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spans="1:34" s="66" customFormat="1" x14ac:dyDescent="0.25">
      <c r="A191" s="70" t="s">
        <v>2307</v>
      </c>
      <c r="B191" s="73" t="s">
        <v>32</v>
      </c>
      <c r="C191" s="77" t="s">
        <v>2635</v>
      </c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spans="1:34" s="66" customFormat="1" x14ac:dyDescent="0.25">
      <c r="A192" s="70" t="s">
        <v>2308</v>
      </c>
      <c r="B192" s="73" t="s">
        <v>456</v>
      </c>
      <c r="C192" s="77" t="s">
        <v>2633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</row>
    <row r="193" spans="1:34" s="66" customFormat="1" x14ac:dyDescent="0.25">
      <c r="A193" s="70" t="s">
        <v>2309</v>
      </c>
      <c r="B193" s="73" t="s">
        <v>32</v>
      </c>
      <c r="C193" s="77" t="s">
        <v>2635</v>
      </c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</row>
    <row r="194" spans="1:34" s="66" customFormat="1" x14ac:dyDescent="0.25">
      <c r="A194" s="70" t="s">
        <v>2310</v>
      </c>
      <c r="B194" s="73" t="s">
        <v>456</v>
      </c>
      <c r="C194" s="77" t="s">
        <v>2633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</row>
    <row r="195" spans="1:34" s="66" customFormat="1" x14ac:dyDescent="0.25">
      <c r="A195" s="70" t="s">
        <v>2311</v>
      </c>
      <c r="B195" s="73" t="s">
        <v>32</v>
      </c>
      <c r="C195" s="77" t="s">
        <v>2635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</row>
    <row r="196" spans="1:34" s="66" customFormat="1" x14ac:dyDescent="0.25">
      <c r="A196" s="70" t="s">
        <v>2312</v>
      </c>
      <c r="B196" s="73" t="s">
        <v>456</v>
      </c>
      <c r="C196" s="77" t="s">
        <v>2633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</row>
    <row r="197" spans="1:34" s="66" customFormat="1" x14ac:dyDescent="0.25">
      <c r="A197" s="70" t="s">
        <v>2313</v>
      </c>
      <c r="B197" s="73" t="s">
        <v>32</v>
      </c>
      <c r="C197" s="77" t="s">
        <v>2635</v>
      </c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</row>
    <row r="198" spans="1:34" s="66" customFormat="1" x14ac:dyDescent="0.25">
      <c r="A198" s="70" t="s">
        <v>2314</v>
      </c>
      <c r="B198" s="73" t="s">
        <v>456</v>
      </c>
      <c r="C198" s="77" t="s">
        <v>2633</v>
      </c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spans="1:34" s="66" customFormat="1" x14ac:dyDescent="0.25">
      <c r="A199" s="70" t="s">
        <v>2315</v>
      </c>
      <c r="B199" s="73" t="s">
        <v>32</v>
      </c>
      <c r="C199" s="77" t="s">
        <v>2635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spans="1:34" s="66" customFormat="1" x14ac:dyDescent="0.25">
      <c r="A200" s="70" t="s">
        <v>2316</v>
      </c>
      <c r="B200" s="73" t="s">
        <v>456</v>
      </c>
      <c r="C200" s="77" t="s">
        <v>2633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spans="1:34" s="66" customFormat="1" x14ac:dyDescent="0.25">
      <c r="A201" s="70" t="s">
        <v>2645</v>
      </c>
      <c r="B201" s="73" t="s">
        <v>32</v>
      </c>
      <c r="C201" s="77" t="s">
        <v>2635</v>
      </c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</row>
    <row r="202" spans="1:34" s="66" customFormat="1" x14ac:dyDescent="0.25">
      <c r="A202" s="70" t="s">
        <v>2646</v>
      </c>
      <c r="B202" s="73" t="s">
        <v>456</v>
      </c>
      <c r="C202" s="77" t="s">
        <v>2633</v>
      </c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</row>
    <row r="203" spans="1:34" s="66" customFormat="1" x14ac:dyDescent="0.25">
      <c r="A203" s="70" t="s">
        <v>2317</v>
      </c>
      <c r="B203" s="119" t="s">
        <v>32</v>
      </c>
      <c r="C203" s="77" t="s">
        <v>2635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</row>
    <row r="204" spans="1:34" s="66" customFormat="1" x14ac:dyDescent="0.25">
      <c r="A204" s="70" t="s">
        <v>2318</v>
      </c>
      <c r="B204" s="119" t="s">
        <v>456</v>
      </c>
      <c r="C204" s="77" t="s">
        <v>2633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</row>
    <row r="205" spans="1:34" s="66" customFormat="1" x14ac:dyDescent="0.25">
      <c r="A205" s="70" t="s">
        <v>2319</v>
      </c>
      <c r="B205" s="119" t="s">
        <v>32</v>
      </c>
      <c r="C205" s="77" t="s">
        <v>2635</v>
      </c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spans="1:34" s="66" customFormat="1" x14ac:dyDescent="0.25">
      <c r="A206" s="70" t="s">
        <v>2320</v>
      </c>
      <c r="B206" s="119" t="s">
        <v>456</v>
      </c>
      <c r="C206" s="77" t="s">
        <v>2633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spans="1:34" s="66" customFormat="1" x14ac:dyDescent="0.25">
      <c r="A207" s="70" t="s">
        <v>2321</v>
      </c>
      <c r="B207" s="119" t="s">
        <v>32</v>
      </c>
      <c r="C207" s="77" t="s">
        <v>2635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</row>
    <row r="208" spans="1:34" s="66" customFormat="1" x14ac:dyDescent="0.25">
      <c r="A208" s="70" t="s">
        <v>2322</v>
      </c>
      <c r="B208" s="119" t="s">
        <v>456</v>
      </c>
      <c r="C208" s="77" t="s">
        <v>2633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</row>
    <row r="209" spans="1:34" s="66" customFormat="1" x14ac:dyDescent="0.25">
      <c r="A209" s="70" t="s">
        <v>2323</v>
      </c>
      <c r="B209" s="119" t="s">
        <v>32</v>
      </c>
      <c r="C209" s="77" t="s">
        <v>2635</v>
      </c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</row>
    <row r="210" spans="1:34" s="66" customFormat="1" x14ac:dyDescent="0.25">
      <c r="A210" s="70" t="s">
        <v>2324</v>
      </c>
      <c r="B210" s="119" t="s">
        <v>456</v>
      </c>
      <c r="C210" s="77" t="s">
        <v>2633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</row>
  </sheetData>
  <autoFilter ref="A1:AH210" xr:uid="{EECC34F7-26A1-4100-90B5-06605AD60BCB}"/>
  <conditionalFormatting sqref="A2">
    <cfRule type="duplicateValues" dxfId="16" priority="19"/>
  </conditionalFormatting>
  <conditionalFormatting sqref="A3:A120">
    <cfRule type="duplicateValues" dxfId="15" priority="157"/>
    <cfRule type="duplicateValues" dxfId="14" priority="158"/>
    <cfRule type="duplicateValues" dxfId="13" priority="159"/>
  </conditionalFormatting>
  <conditionalFormatting sqref="A1">
    <cfRule type="duplicateValues" dxfId="12" priority="165"/>
    <cfRule type="duplicateValues" dxfId="11" priority="166"/>
    <cfRule type="duplicateValues" dxfId="10" priority="167"/>
  </conditionalFormatting>
  <conditionalFormatting sqref="A121:A160">
    <cfRule type="duplicateValues" dxfId="9" priority="5"/>
  </conditionalFormatting>
  <conditionalFormatting sqref="A161:A210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1BFF-693D-47C1-A14D-7BD64454DF3F}">
  <dimension ref="A1:AL210"/>
  <sheetViews>
    <sheetView zoomScale="80" zoomScaleNormal="80" workbookViewId="0">
      <pane xSplit="2" ySplit="1" topLeftCell="C7" activePane="bottomRight" state="frozen"/>
      <selection pane="topRight" activeCell="C1" sqref="C1"/>
      <selection pane="bottomLeft" activeCell="A2" sqref="A2"/>
      <selection pane="bottomRight" activeCell="E226" sqref="E226"/>
    </sheetView>
  </sheetViews>
  <sheetFormatPr baseColWidth="10" defaultColWidth="11.42578125" defaultRowHeight="11.25" x14ac:dyDescent="0.25"/>
  <cols>
    <col min="1" max="1" width="47.7109375" style="69" bestFit="1" customWidth="1"/>
    <col min="2" max="2" width="9" style="118" customWidth="1"/>
    <col min="3" max="3" width="20.7109375" style="66" customWidth="1"/>
    <col min="4" max="4" width="26.28515625" style="66" customWidth="1"/>
    <col min="5" max="5" width="19.140625" style="66" bestFit="1" customWidth="1"/>
    <col min="6" max="6" width="20.7109375" style="66" customWidth="1"/>
    <col min="7" max="7" width="32.140625" style="66" customWidth="1"/>
    <col min="8" max="11" width="20.7109375" style="66" customWidth="1"/>
    <col min="12" max="12" width="28" style="66" customWidth="1"/>
    <col min="13" max="13" width="20.7109375" style="66" customWidth="1"/>
    <col min="14" max="14" width="20.7109375" style="69" customWidth="1"/>
    <col min="15" max="15" width="20.7109375" style="68" customWidth="1"/>
    <col min="16" max="16" width="20.7109375" style="69" customWidth="1"/>
    <col min="17" max="17" width="20.7109375" style="68" customWidth="1"/>
    <col min="18" max="33" width="20.7109375" style="66" customWidth="1"/>
    <col min="34" max="16384" width="11.42578125" style="66"/>
  </cols>
  <sheetData>
    <row r="1" spans="1:38" ht="22.5" x14ac:dyDescent="0.25">
      <c r="A1" s="70" t="s">
        <v>799</v>
      </c>
      <c r="B1" s="116" t="s">
        <v>455</v>
      </c>
      <c r="C1" s="70" t="s">
        <v>1</v>
      </c>
      <c r="D1" s="70" t="s">
        <v>579</v>
      </c>
      <c r="E1" s="70" t="s">
        <v>580</v>
      </c>
      <c r="F1" s="70" t="s">
        <v>581</v>
      </c>
      <c r="G1" s="70" t="s">
        <v>462</v>
      </c>
      <c r="H1" s="70" t="s">
        <v>582</v>
      </c>
      <c r="I1" s="70" t="s">
        <v>583</v>
      </c>
      <c r="J1" s="70" t="s">
        <v>584</v>
      </c>
      <c r="K1" s="70" t="s">
        <v>585</v>
      </c>
      <c r="L1" s="70" t="s">
        <v>586</v>
      </c>
      <c r="M1" s="70" t="s">
        <v>587</v>
      </c>
      <c r="N1" s="70" t="s">
        <v>588</v>
      </c>
      <c r="O1" s="73" t="s">
        <v>589</v>
      </c>
      <c r="P1" s="75" t="s">
        <v>590</v>
      </c>
      <c r="Q1" s="73" t="s">
        <v>591</v>
      </c>
      <c r="R1" s="71" t="s">
        <v>592</v>
      </c>
      <c r="S1" s="71" t="s">
        <v>554</v>
      </c>
      <c r="T1" s="71" t="s">
        <v>555</v>
      </c>
      <c r="U1" s="71" t="s">
        <v>556</v>
      </c>
      <c r="V1" s="71" t="s">
        <v>557</v>
      </c>
      <c r="W1" s="71" t="s">
        <v>558</v>
      </c>
      <c r="X1" s="71" t="s">
        <v>431</v>
      </c>
      <c r="Y1" s="71" t="s">
        <v>430</v>
      </c>
      <c r="Z1" s="71" t="s">
        <v>429</v>
      </c>
      <c r="AA1" s="71" t="s">
        <v>428</v>
      </c>
      <c r="AB1" s="71" t="s">
        <v>427</v>
      </c>
      <c r="AC1" s="71" t="s">
        <v>426</v>
      </c>
      <c r="AD1" s="71" t="s">
        <v>425</v>
      </c>
      <c r="AE1" s="71" t="s">
        <v>424</v>
      </c>
      <c r="AF1" s="71" t="s">
        <v>423</v>
      </c>
      <c r="AG1" s="71" t="s">
        <v>422</v>
      </c>
    </row>
    <row r="2" spans="1:38" s="67" customFormat="1" x14ac:dyDescent="0.25">
      <c r="A2" s="64" t="s">
        <v>93</v>
      </c>
      <c r="B2" s="64" t="s">
        <v>456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72"/>
      <c r="AA2" s="64"/>
      <c r="AB2" s="64"/>
      <c r="AC2" s="64"/>
      <c r="AD2" s="72"/>
      <c r="AE2" s="72"/>
      <c r="AF2" s="72"/>
      <c r="AG2" s="72"/>
      <c r="AH2" s="72"/>
      <c r="AI2" s="72"/>
      <c r="AJ2" s="72"/>
      <c r="AK2" s="72"/>
      <c r="AL2" s="72"/>
    </row>
    <row r="3" spans="1:38" x14ac:dyDescent="0.25">
      <c r="A3" s="70" t="s">
        <v>1521</v>
      </c>
      <c r="B3" s="76" t="s">
        <v>32</v>
      </c>
      <c r="C3" s="77" t="s">
        <v>2634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</row>
    <row r="4" spans="1:38" x14ac:dyDescent="0.25">
      <c r="A4" s="70" t="s">
        <v>1522</v>
      </c>
      <c r="B4" s="76" t="s">
        <v>456</v>
      </c>
      <c r="C4" s="77" t="s">
        <v>2633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</row>
    <row r="5" spans="1:38" ht="45" x14ac:dyDescent="0.25">
      <c r="A5" s="70" t="s">
        <v>1523</v>
      </c>
      <c r="B5" s="76" t="s">
        <v>32</v>
      </c>
      <c r="C5" s="77" t="s">
        <v>1085</v>
      </c>
      <c r="D5" s="77" t="s">
        <v>975</v>
      </c>
      <c r="E5" s="77" t="s">
        <v>1086</v>
      </c>
      <c r="F5" s="77" t="s">
        <v>977</v>
      </c>
      <c r="G5" s="77" t="s">
        <v>978</v>
      </c>
      <c r="H5" s="77" t="s">
        <v>979</v>
      </c>
      <c r="I5" s="77" t="s">
        <v>980</v>
      </c>
      <c r="J5" s="77" t="s">
        <v>981</v>
      </c>
      <c r="K5" s="77" t="s">
        <v>593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</row>
    <row r="6" spans="1:38" ht="22.5" x14ac:dyDescent="0.25">
      <c r="A6" s="70" t="s">
        <v>1524</v>
      </c>
      <c r="B6" s="76" t="s">
        <v>456</v>
      </c>
      <c r="C6" s="77" t="s">
        <v>1087</v>
      </c>
      <c r="D6" s="77" t="s">
        <v>983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</row>
    <row r="7" spans="1:38" ht="45" x14ac:dyDescent="0.25">
      <c r="A7" s="70" t="s">
        <v>1525</v>
      </c>
      <c r="B7" s="76" t="s">
        <v>32</v>
      </c>
      <c r="C7" s="77" t="s">
        <v>984</v>
      </c>
      <c r="D7" s="77" t="s">
        <v>985</v>
      </c>
      <c r="E7" s="77" t="s">
        <v>986</v>
      </c>
      <c r="F7" s="77" t="s">
        <v>977</v>
      </c>
      <c r="G7" s="77" t="s">
        <v>987</v>
      </c>
      <c r="H7" s="77" t="s">
        <v>978</v>
      </c>
      <c r="I7" s="77" t="s">
        <v>979</v>
      </c>
      <c r="J7" s="77" t="s">
        <v>980</v>
      </c>
      <c r="K7" s="77" t="s">
        <v>981</v>
      </c>
      <c r="L7" s="77" t="s">
        <v>593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</row>
    <row r="8" spans="1:38" ht="22.5" x14ac:dyDescent="0.25">
      <c r="A8" s="70" t="s">
        <v>1526</v>
      </c>
      <c r="B8" s="76" t="s">
        <v>456</v>
      </c>
      <c r="C8" s="77" t="s">
        <v>1087</v>
      </c>
      <c r="D8" s="77" t="s">
        <v>983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</row>
    <row r="9" spans="1:38" ht="45" x14ac:dyDescent="0.25">
      <c r="A9" s="70" t="s">
        <v>1527</v>
      </c>
      <c r="B9" s="76" t="s">
        <v>32</v>
      </c>
      <c r="C9" s="77" t="s">
        <v>1088</v>
      </c>
      <c r="D9" s="77" t="s">
        <v>1089</v>
      </c>
      <c r="E9" s="77" t="s">
        <v>1093</v>
      </c>
      <c r="F9" s="77" t="s">
        <v>977</v>
      </c>
      <c r="G9" s="77" t="s">
        <v>987</v>
      </c>
      <c r="H9" s="77" t="s">
        <v>978</v>
      </c>
      <c r="I9" s="77" t="s">
        <v>979</v>
      </c>
      <c r="J9" s="77" t="s">
        <v>980</v>
      </c>
      <c r="K9" s="77" t="s">
        <v>981</v>
      </c>
      <c r="L9" s="77" t="s">
        <v>1090</v>
      </c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</row>
    <row r="10" spans="1:38" ht="22.5" x14ac:dyDescent="0.25">
      <c r="A10" s="70" t="s">
        <v>1528</v>
      </c>
      <c r="B10" s="76" t="s">
        <v>456</v>
      </c>
      <c r="C10" s="77" t="s">
        <v>1087</v>
      </c>
      <c r="D10" s="77" t="s">
        <v>983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</row>
    <row r="11" spans="1:38" ht="45" x14ac:dyDescent="0.25">
      <c r="A11" s="70" t="s">
        <v>1529</v>
      </c>
      <c r="B11" s="76" t="s">
        <v>32</v>
      </c>
      <c r="C11" s="77" t="s">
        <v>1088</v>
      </c>
      <c r="D11" s="77" t="s">
        <v>1089</v>
      </c>
      <c r="E11" s="77" t="s">
        <v>1093</v>
      </c>
      <c r="F11" s="77" t="s">
        <v>977</v>
      </c>
      <c r="G11" s="77" t="s">
        <v>987</v>
      </c>
      <c r="H11" s="77" t="s">
        <v>978</v>
      </c>
      <c r="I11" s="77" t="s">
        <v>979</v>
      </c>
      <c r="J11" s="77" t="s">
        <v>980</v>
      </c>
      <c r="K11" s="77" t="s">
        <v>981</v>
      </c>
      <c r="L11" s="77" t="s">
        <v>1090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</row>
    <row r="12" spans="1:38" ht="22.5" x14ac:dyDescent="0.25">
      <c r="A12" s="70" t="s">
        <v>1530</v>
      </c>
      <c r="B12" s="76" t="s">
        <v>456</v>
      </c>
      <c r="C12" s="77" t="s">
        <v>1087</v>
      </c>
      <c r="D12" s="77" t="s">
        <v>983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</row>
    <row r="13" spans="1:38" ht="45" x14ac:dyDescent="0.25">
      <c r="A13" s="70" t="s">
        <v>1531</v>
      </c>
      <c r="B13" s="76" t="s">
        <v>32</v>
      </c>
      <c r="C13" s="77" t="s">
        <v>1088</v>
      </c>
      <c r="D13" s="77" t="s">
        <v>1089</v>
      </c>
      <c r="E13" s="77" t="s">
        <v>1093</v>
      </c>
      <c r="F13" s="77" t="s">
        <v>977</v>
      </c>
      <c r="G13" s="77" t="s">
        <v>987</v>
      </c>
      <c r="H13" s="77" t="s">
        <v>978</v>
      </c>
      <c r="I13" s="77" t="s">
        <v>979</v>
      </c>
      <c r="J13" s="77" t="s">
        <v>980</v>
      </c>
      <c r="K13" s="77" t="s">
        <v>981</v>
      </c>
      <c r="L13" s="77" t="s">
        <v>1090</v>
      </c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</row>
    <row r="14" spans="1:38" ht="22.5" x14ac:dyDescent="0.25">
      <c r="A14" s="70" t="s">
        <v>1532</v>
      </c>
      <c r="B14" s="76" t="s">
        <v>456</v>
      </c>
      <c r="C14" s="77" t="s">
        <v>1087</v>
      </c>
      <c r="D14" s="77" t="s">
        <v>983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</row>
    <row r="15" spans="1:38" ht="45" x14ac:dyDescent="0.25">
      <c r="A15" s="70" t="s">
        <v>1533</v>
      </c>
      <c r="B15" s="76" t="s">
        <v>32</v>
      </c>
      <c r="C15" s="77" t="s">
        <v>1088</v>
      </c>
      <c r="D15" s="77" t="s">
        <v>1089</v>
      </c>
      <c r="E15" s="77" t="s">
        <v>1093</v>
      </c>
      <c r="F15" s="77" t="s">
        <v>977</v>
      </c>
      <c r="G15" s="77" t="s">
        <v>987</v>
      </c>
      <c r="H15" s="77" t="s">
        <v>978</v>
      </c>
      <c r="I15" s="77" t="s">
        <v>979</v>
      </c>
      <c r="J15" s="77" t="s">
        <v>980</v>
      </c>
      <c r="K15" s="77" t="s">
        <v>981</v>
      </c>
      <c r="L15" s="77" t="s">
        <v>1090</v>
      </c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</row>
    <row r="16" spans="1:38" ht="22.5" x14ac:dyDescent="0.25">
      <c r="A16" s="70" t="s">
        <v>1534</v>
      </c>
      <c r="B16" s="76" t="s">
        <v>456</v>
      </c>
      <c r="C16" s="77" t="s">
        <v>1087</v>
      </c>
      <c r="D16" s="77" t="s">
        <v>983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</row>
    <row r="17" spans="1:33" ht="45" x14ac:dyDescent="0.25">
      <c r="A17" s="70" t="s">
        <v>1535</v>
      </c>
      <c r="B17" s="76" t="s">
        <v>32</v>
      </c>
      <c r="C17" s="77" t="s">
        <v>984</v>
      </c>
      <c r="D17" s="77" t="s">
        <v>985</v>
      </c>
      <c r="E17" s="77" t="s">
        <v>1091</v>
      </c>
      <c r="F17" s="77" t="s">
        <v>977</v>
      </c>
      <c r="G17" s="77" t="s">
        <v>987</v>
      </c>
      <c r="H17" s="77" t="s">
        <v>978</v>
      </c>
      <c r="I17" s="77" t="s">
        <v>979</v>
      </c>
      <c r="J17" s="77" t="s">
        <v>980</v>
      </c>
      <c r="K17" s="77" t="s">
        <v>981</v>
      </c>
      <c r="L17" s="77" t="s">
        <v>593</v>
      </c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</row>
    <row r="18" spans="1:33" ht="22.5" x14ac:dyDescent="0.25">
      <c r="A18" s="70" t="s">
        <v>1536</v>
      </c>
      <c r="B18" s="76" t="s">
        <v>456</v>
      </c>
      <c r="C18" s="77" t="s">
        <v>1087</v>
      </c>
      <c r="D18" s="77" t="s">
        <v>983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</row>
    <row r="19" spans="1:33" ht="45" x14ac:dyDescent="0.25">
      <c r="A19" s="70" t="s">
        <v>1537</v>
      </c>
      <c r="B19" s="76" t="s">
        <v>32</v>
      </c>
      <c r="C19" s="77" t="s">
        <v>1088</v>
      </c>
      <c r="D19" s="77" t="s">
        <v>1089</v>
      </c>
      <c r="E19" s="77" t="s">
        <v>1092</v>
      </c>
      <c r="F19" s="77" t="s">
        <v>977</v>
      </c>
      <c r="G19" s="77" t="s">
        <v>987</v>
      </c>
      <c r="H19" s="77" t="s">
        <v>978</v>
      </c>
      <c r="I19" s="77" t="s">
        <v>979</v>
      </c>
      <c r="J19" s="77" t="s">
        <v>980</v>
      </c>
      <c r="K19" s="77" t="s">
        <v>981</v>
      </c>
      <c r="L19" s="77" t="s">
        <v>593</v>
      </c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</row>
    <row r="20" spans="1:33" ht="22.5" x14ac:dyDescent="0.25">
      <c r="A20" s="70" t="s">
        <v>1538</v>
      </c>
      <c r="B20" s="76" t="s">
        <v>456</v>
      </c>
      <c r="C20" s="77" t="s">
        <v>1087</v>
      </c>
      <c r="D20" s="77" t="s">
        <v>983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</row>
    <row r="21" spans="1:33" ht="45" x14ac:dyDescent="0.25">
      <c r="A21" s="70" t="s">
        <v>1539</v>
      </c>
      <c r="B21" s="76" t="s">
        <v>32</v>
      </c>
      <c r="C21" s="77" t="s">
        <v>1088</v>
      </c>
      <c r="D21" s="77" t="s">
        <v>1089</v>
      </c>
      <c r="E21" s="77" t="s">
        <v>1092</v>
      </c>
      <c r="F21" s="77" t="s">
        <v>977</v>
      </c>
      <c r="G21" s="77" t="s">
        <v>987</v>
      </c>
      <c r="H21" s="77" t="s">
        <v>978</v>
      </c>
      <c r="I21" s="77" t="s">
        <v>979</v>
      </c>
      <c r="J21" s="77" t="s">
        <v>980</v>
      </c>
      <c r="K21" s="77" t="s">
        <v>981</v>
      </c>
      <c r="L21" s="77" t="s">
        <v>593</v>
      </c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</row>
    <row r="22" spans="1:33" ht="22.5" x14ac:dyDescent="0.25">
      <c r="A22" s="70" t="s">
        <v>1540</v>
      </c>
      <c r="B22" s="76" t="s">
        <v>456</v>
      </c>
      <c r="C22" s="77" t="s">
        <v>1087</v>
      </c>
      <c r="D22" s="77" t="s">
        <v>983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</row>
    <row r="23" spans="1:33" ht="45" x14ac:dyDescent="0.25">
      <c r="A23" s="70" t="s">
        <v>1541</v>
      </c>
      <c r="B23" s="76" t="s">
        <v>32</v>
      </c>
      <c r="C23" s="77" t="s">
        <v>1088</v>
      </c>
      <c r="D23" s="77" t="s">
        <v>1089</v>
      </c>
      <c r="E23" s="77" t="s">
        <v>1092</v>
      </c>
      <c r="F23" s="77" t="s">
        <v>977</v>
      </c>
      <c r="G23" s="77" t="s">
        <v>987</v>
      </c>
      <c r="H23" s="77" t="s">
        <v>978</v>
      </c>
      <c r="I23" s="77" t="s">
        <v>979</v>
      </c>
      <c r="J23" s="77" t="s">
        <v>980</v>
      </c>
      <c r="K23" s="77" t="s">
        <v>981</v>
      </c>
      <c r="L23" s="77" t="s">
        <v>593</v>
      </c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</row>
    <row r="24" spans="1:33" ht="22.5" x14ac:dyDescent="0.25">
      <c r="A24" s="70" t="s">
        <v>1542</v>
      </c>
      <c r="B24" s="76" t="s">
        <v>456</v>
      </c>
      <c r="C24" s="77" t="s">
        <v>1087</v>
      </c>
      <c r="D24" s="77" t="s">
        <v>983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</row>
    <row r="25" spans="1:33" ht="45" x14ac:dyDescent="0.25">
      <c r="A25" s="70" t="s">
        <v>1543</v>
      </c>
      <c r="B25" s="76" t="s">
        <v>32</v>
      </c>
      <c r="C25" s="77" t="s">
        <v>1088</v>
      </c>
      <c r="D25" s="77" t="s">
        <v>1089</v>
      </c>
      <c r="E25" s="77" t="s">
        <v>1092</v>
      </c>
      <c r="F25" s="77" t="s">
        <v>977</v>
      </c>
      <c r="G25" s="77" t="s">
        <v>987</v>
      </c>
      <c r="H25" s="77" t="s">
        <v>978</v>
      </c>
      <c r="I25" s="77" t="s">
        <v>979</v>
      </c>
      <c r="J25" s="77" t="s">
        <v>980</v>
      </c>
      <c r="K25" s="77" t="s">
        <v>981</v>
      </c>
      <c r="L25" s="77" t="s">
        <v>593</v>
      </c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</row>
    <row r="26" spans="1:33" ht="22.5" x14ac:dyDescent="0.25">
      <c r="A26" s="70" t="s">
        <v>1544</v>
      </c>
      <c r="B26" s="76" t="s">
        <v>456</v>
      </c>
      <c r="C26" s="77" t="s">
        <v>1087</v>
      </c>
      <c r="D26" s="77" t="s">
        <v>983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</row>
    <row r="27" spans="1:33" x14ac:dyDescent="0.25">
      <c r="A27" s="70" t="s">
        <v>1545</v>
      </c>
      <c r="B27" s="76" t="s">
        <v>32</v>
      </c>
      <c r="C27" s="77" t="s">
        <v>2634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</row>
    <row r="28" spans="1:33" x14ac:dyDescent="0.25">
      <c r="A28" s="70" t="s">
        <v>1546</v>
      </c>
      <c r="B28" s="76" t="s">
        <v>456</v>
      </c>
      <c r="C28" s="77" t="s">
        <v>2633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</row>
    <row r="29" spans="1:33" x14ac:dyDescent="0.25">
      <c r="A29" s="70" t="s">
        <v>1547</v>
      </c>
      <c r="B29" s="76" t="s">
        <v>32</v>
      </c>
      <c r="C29" s="77" t="s">
        <v>2634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</row>
    <row r="30" spans="1:33" x14ac:dyDescent="0.25">
      <c r="A30" s="70" t="s">
        <v>1548</v>
      </c>
      <c r="B30" s="76" t="s">
        <v>456</v>
      </c>
      <c r="C30" s="77" t="s">
        <v>2633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x14ac:dyDescent="0.25">
      <c r="A31" s="70" t="s">
        <v>1549</v>
      </c>
      <c r="B31" s="76" t="s">
        <v>32</v>
      </c>
      <c r="C31" s="77" t="s">
        <v>2634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x14ac:dyDescent="0.25">
      <c r="A32" s="70" t="s">
        <v>1550</v>
      </c>
      <c r="B32" s="76" t="s">
        <v>456</v>
      </c>
      <c r="C32" s="77" t="s">
        <v>2633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ht="45" x14ac:dyDescent="0.25">
      <c r="A33" s="70" t="s">
        <v>1551</v>
      </c>
      <c r="B33" s="76" t="s">
        <v>32</v>
      </c>
      <c r="C33" s="77" t="s">
        <v>1085</v>
      </c>
      <c r="D33" s="77" t="s">
        <v>975</v>
      </c>
      <c r="E33" s="77" t="s">
        <v>1086</v>
      </c>
      <c r="F33" s="77" t="s">
        <v>977</v>
      </c>
      <c r="G33" s="77" t="s">
        <v>978</v>
      </c>
      <c r="H33" s="77" t="s">
        <v>979</v>
      </c>
      <c r="I33" s="77" t="s">
        <v>980</v>
      </c>
      <c r="J33" s="77" t="s">
        <v>981</v>
      </c>
      <c r="K33" s="77" t="s">
        <v>593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ht="22.5" x14ac:dyDescent="0.25">
      <c r="A34" s="70" t="s">
        <v>1552</v>
      </c>
      <c r="B34" s="76" t="s">
        <v>456</v>
      </c>
      <c r="C34" s="77" t="s">
        <v>1087</v>
      </c>
      <c r="D34" s="77" t="s">
        <v>983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ht="45" x14ac:dyDescent="0.25">
      <c r="A35" s="70" t="s">
        <v>1553</v>
      </c>
      <c r="B35" s="76" t="s">
        <v>32</v>
      </c>
      <c r="C35" s="77" t="s">
        <v>984</v>
      </c>
      <c r="D35" s="77" t="s">
        <v>985</v>
      </c>
      <c r="E35" s="77" t="s">
        <v>986</v>
      </c>
      <c r="F35" s="77" t="s">
        <v>977</v>
      </c>
      <c r="G35" s="77" t="s">
        <v>987</v>
      </c>
      <c r="H35" s="77" t="s">
        <v>978</v>
      </c>
      <c r="I35" s="77" t="s">
        <v>979</v>
      </c>
      <c r="J35" s="77" t="s">
        <v>980</v>
      </c>
      <c r="K35" s="77" t="s">
        <v>981</v>
      </c>
      <c r="L35" s="77" t="s">
        <v>593</v>
      </c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ht="22.5" x14ac:dyDescent="0.25">
      <c r="A36" s="70" t="s">
        <v>1554</v>
      </c>
      <c r="B36" s="76" t="s">
        <v>456</v>
      </c>
      <c r="C36" s="77" t="s">
        <v>1087</v>
      </c>
      <c r="D36" s="77" t="s">
        <v>983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ht="45" x14ac:dyDescent="0.25">
      <c r="A37" s="70" t="s">
        <v>1555</v>
      </c>
      <c r="B37" s="76" t="s">
        <v>32</v>
      </c>
      <c r="C37" s="77" t="s">
        <v>1088</v>
      </c>
      <c r="D37" s="77" t="s">
        <v>1089</v>
      </c>
      <c r="E37" s="77" t="s">
        <v>1092</v>
      </c>
      <c r="F37" s="77" t="s">
        <v>977</v>
      </c>
      <c r="G37" s="77" t="s">
        <v>987</v>
      </c>
      <c r="H37" s="77" t="s">
        <v>978</v>
      </c>
      <c r="I37" s="77" t="s">
        <v>979</v>
      </c>
      <c r="J37" s="77" t="s">
        <v>980</v>
      </c>
      <c r="K37" s="77" t="s">
        <v>981</v>
      </c>
      <c r="L37" s="77" t="s">
        <v>593</v>
      </c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ht="22.5" x14ac:dyDescent="0.25">
      <c r="A38" s="70" t="s">
        <v>1556</v>
      </c>
      <c r="B38" s="76" t="s">
        <v>456</v>
      </c>
      <c r="C38" s="77" t="s">
        <v>1087</v>
      </c>
      <c r="D38" s="77" t="s">
        <v>983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ht="45" x14ac:dyDescent="0.25">
      <c r="A39" s="70" t="s">
        <v>1557</v>
      </c>
      <c r="B39" s="76" t="s">
        <v>32</v>
      </c>
      <c r="C39" s="77" t="s">
        <v>1088</v>
      </c>
      <c r="D39" s="77" t="s">
        <v>1089</v>
      </c>
      <c r="E39" s="77" t="s">
        <v>1092</v>
      </c>
      <c r="F39" s="77" t="s">
        <v>977</v>
      </c>
      <c r="G39" s="77" t="s">
        <v>987</v>
      </c>
      <c r="H39" s="77" t="s">
        <v>978</v>
      </c>
      <c r="I39" s="77" t="s">
        <v>979</v>
      </c>
      <c r="J39" s="77" t="s">
        <v>980</v>
      </c>
      <c r="K39" s="77" t="s">
        <v>981</v>
      </c>
      <c r="L39" s="77" t="s">
        <v>593</v>
      </c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22.5" x14ac:dyDescent="0.25">
      <c r="A40" s="70" t="s">
        <v>1558</v>
      </c>
      <c r="B40" s="76" t="s">
        <v>456</v>
      </c>
      <c r="C40" s="77" t="s">
        <v>1087</v>
      </c>
      <c r="D40" s="77" t="s">
        <v>983</v>
      </c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ht="45" x14ac:dyDescent="0.25">
      <c r="A41" s="70" t="s">
        <v>1559</v>
      </c>
      <c r="B41" s="76" t="s">
        <v>32</v>
      </c>
      <c r="C41" s="77" t="s">
        <v>1088</v>
      </c>
      <c r="D41" s="77" t="s">
        <v>1089</v>
      </c>
      <c r="E41" s="77" t="s">
        <v>1092</v>
      </c>
      <c r="F41" s="77" t="s">
        <v>977</v>
      </c>
      <c r="G41" s="77" t="s">
        <v>987</v>
      </c>
      <c r="H41" s="77" t="s">
        <v>978</v>
      </c>
      <c r="I41" s="77" t="s">
        <v>979</v>
      </c>
      <c r="J41" s="77" t="s">
        <v>980</v>
      </c>
      <c r="K41" s="77" t="s">
        <v>981</v>
      </c>
      <c r="L41" s="77" t="s">
        <v>593</v>
      </c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ht="22.5" x14ac:dyDescent="0.25">
      <c r="A42" s="70" t="s">
        <v>1560</v>
      </c>
      <c r="B42" s="76" t="s">
        <v>456</v>
      </c>
      <c r="C42" s="77" t="s">
        <v>1087</v>
      </c>
      <c r="D42" s="77" t="s">
        <v>983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</row>
    <row r="43" spans="1:33" ht="45" x14ac:dyDescent="0.25">
      <c r="A43" s="70" t="s">
        <v>1561</v>
      </c>
      <c r="B43" s="76" t="s">
        <v>32</v>
      </c>
      <c r="C43" s="77" t="s">
        <v>1088</v>
      </c>
      <c r="D43" s="77" t="s">
        <v>1089</v>
      </c>
      <c r="E43" s="77" t="s">
        <v>1092</v>
      </c>
      <c r="F43" s="77" t="s">
        <v>977</v>
      </c>
      <c r="G43" s="77" t="s">
        <v>987</v>
      </c>
      <c r="H43" s="77" t="s">
        <v>978</v>
      </c>
      <c r="I43" s="77" t="s">
        <v>979</v>
      </c>
      <c r="J43" s="77" t="s">
        <v>980</v>
      </c>
      <c r="K43" s="77" t="s">
        <v>981</v>
      </c>
      <c r="L43" s="77" t="s">
        <v>593</v>
      </c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</row>
    <row r="44" spans="1:33" ht="22.5" x14ac:dyDescent="0.25">
      <c r="A44" s="70" t="s">
        <v>1562</v>
      </c>
      <c r="B44" s="76" t="s">
        <v>456</v>
      </c>
      <c r="C44" s="77" t="s">
        <v>1087</v>
      </c>
      <c r="D44" s="77" t="s">
        <v>983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</row>
    <row r="45" spans="1:33" ht="45" x14ac:dyDescent="0.25">
      <c r="A45" s="70" t="s">
        <v>1563</v>
      </c>
      <c r="B45" s="76" t="s">
        <v>32</v>
      </c>
      <c r="C45" s="77" t="s">
        <v>1088</v>
      </c>
      <c r="D45" s="77" t="s">
        <v>1089</v>
      </c>
      <c r="E45" s="77" t="s">
        <v>1092</v>
      </c>
      <c r="F45" s="77" t="s">
        <v>977</v>
      </c>
      <c r="G45" s="77" t="s">
        <v>987</v>
      </c>
      <c r="H45" s="77" t="s">
        <v>978</v>
      </c>
      <c r="I45" s="77" t="s">
        <v>979</v>
      </c>
      <c r="J45" s="77" t="s">
        <v>980</v>
      </c>
      <c r="K45" s="77" t="s">
        <v>981</v>
      </c>
      <c r="L45" s="77" t="s">
        <v>593</v>
      </c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</row>
    <row r="46" spans="1:33" ht="22.5" x14ac:dyDescent="0.25">
      <c r="A46" s="70" t="s">
        <v>1564</v>
      </c>
      <c r="B46" s="76" t="s">
        <v>456</v>
      </c>
      <c r="C46" s="77" t="s">
        <v>1087</v>
      </c>
      <c r="D46" s="77" t="s">
        <v>983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</row>
    <row r="47" spans="1:33" ht="45" x14ac:dyDescent="0.25">
      <c r="A47" s="70" t="s">
        <v>1565</v>
      </c>
      <c r="B47" s="76" t="s">
        <v>32</v>
      </c>
      <c r="C47" s="77" t="s">
        <v>1088</v>
      </c>
      <c r="D47" s="77" t="s">
        <v>1089</v>
      </c>
      <c r="E47" s="77" t="s">
        <v>1092</v>
      </c>
      <c r="F47" s="77" t="s">
        <v>977</v>
      </c>
      <c r="G47" s="77" t="s">
        <v>987</v>
      </c>
      <c r="H47" s="77" t="s">
        <v>978</v>
      </c>
      <c r="I47" s="77" t="s">
        <v>979</v>
      </c>
      <c r="J47" s="77" t="s">
        <v>980</v>
      </c>
      <c r="K47" s="77" t="s">
        <v>981</v>
      </c>
      <c r="L47" s="77" t="s">
        <v>593</v>
      </c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8" spans="1:33" ht="22.5" x14ac:dyDescent="0.25">
      <c r="A48" s="70" t="s">
        <v>1566</v>
      </c>
      <c r="B48" s="76" t="s">
        <v>456</v>
      </c>
      <c r="C48" s="77" t="s">
        <v>1087</v>
      </c>
      <c r="D48" s="77" t="s">
        <v>983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49" spans="1:33" ht="45" x14ac:dyDescent="0.25">
      <c r="A49" s="70" t="s">
        <v>1567</v>
      </c>
      <c r="B49" s="76" t="s">
        <v>32</v>
      </c>
      <c r="C49" s="77" t="s">
        <v>984</v>
      </c>
      <c r="D49" s="77" t="s">
        <v>985</v>
      </c>
      <c r="E49" s="77" t="s">
        <v>1091</v>
      </c>
      <c r="F49" s="77" t="s">
        <v>977</v>
      </c>
      <c r="G49" s="77" t="s">
        <v>987</v>
      </c>
      <c r="H49" s="77" t="s">
        <v>978</v>
      </c>
      <c r="I49" s="77" t="s">
        <v>979</v>
      </c>
      <c r="J49" s="77" t="s">
        <v>980</v>
      </c>
      <c r="K49" s="77" t="s">
        <v>981</v>
      </c>
      <c r="L49" s="77" t="s">
        <v>593</v>
      </c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0" spans="1:33" ht="22.5" x14ac:dyDescent="0.25">
      <c r="A50" s="70" t="s">
        <v>1568</v>
      </c>
      <c r="B50" s="76" t="s">
        <v>456</v>
      </c>
      <c r="C50" s="77" t="s">
        <v>1087</v>
      </c>
      <c r="D50" s="77" t="s">
        <v>983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1" spans="1:33" ht="45" x14ac:dyDescent="0.25">
      <c r="A51" s="70" t="s">
        <v>1569</v>
      </c>
      <c r="B51" s="76" t="s">
        <v>32</v>
      </c>
      <c r="C51" s="77" t="s">
        <v>1088</v>
      </c>
      <c r="D51" s="77" t="s">
        <v>1089</v>
      </c>
      <c r="E51" s="77" t="s">
        <v>1092</v>
      </c>
      <c r="F51" s="77" t="s">
        <v>977</v>
      </c>
      <c r="G51" s="77" t="s">
        <v>987</v>
      </c>
      <c r="H51" s="77" t="s">
        <v>978</v>
      </c>
      <c r="I51" s="77" t="s">
        <v>979</v>
      </c>
      <c r="J51" s="77" t="s">
        <v>980</v>
      </c>
      <c r="K51" s="77" t="s">
        <v>981</v>
      </c>
      <c r="L51" s="77" t="s">
        <v>593</v>
      </c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</row>
    <row r="52" spans="1:33" ht="22.5" x14ac:dyDescent="0.25">
      <c r="A52" s="70" t="s">
        <v>1570</v>
      </c>
      <c r="B52" s="76" t="s">
        <v>456</v>
      </c>
      <c r="C52" s="77" t="s">
        <v>1087</v>
      </c>
      <c r="D52" s="77" t="s">
        <v>983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</row>
    <row r="53" spans="1:33" ht="45" x14ac:dyDescent="0.25">
      <c r="A53" s="70" t="s">
        <v>1571</v>
      </c>
      <c r="B53" s="76" t="s">
        <v>32</v>
      </c>
      <c r="C53" s="77" t="s">
        <v>1088</v>
      </c>
      <c r="D53" s="77" t="s">
        <v>1089</v>
      </c>
      <c r="E53" s="77" t="s">
        <v>1092</v>
      </c>
      <c r="F53" s="77" t="s">
        <v>977</v>
      </c>
      <c r="G53" s="77" t="s">
        <v>987</v>
      </c>
      <c r="H53" s="77" t="s">
        <v>978</v>
      </c>
      <c r="I53" s="77" t="s">
        <v>979</v>
      </c>
      <c r="J53" s="77" t="s">
        <v>980</v>
      </c>
      <c r="K53" s="77" t="s">
        <v>981</v>
      </c>
      <c r="L53" s="77" t="s">
        <v>593</v>
      </c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spans="1:33" ht="22.5" x14ac:dyDescent="0.25">
      <c r="A54" s="70" t="s">
        <v>1572</v>
      </c>
      <c r="B54" s="76" t="s">
        <v>456</v>
      </c>
      <c r="C54" s="77" t="s">
        <v>1087</v>
      </c>
      <c r="D54" s="77" t="s">
        <v>983</v>
      </c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</row>
    <row r="55" spans="1:33" ht="45" x14ac:dyDescent="0.25">
      <c r="A55" s="70" t="s">
        <v>1573</v>
      </c>
      <c r="B55" s="76" t="s">
        <v>32</v>
      </c>
      <c r="C55" s="77" t="s">
        <v>1088</v>
      </c>
      <c r="D55" s="77" t="s">
        <v>1089</v>
      </c>
      <c r="E55" s="77" t="s">
        <v>1092</v>
      </c>
      <c r="F55" s="77" t="s">
        <v>977</v>
      </c>
      <c r="G55" s="77" t="s">
        <v>987</v>
      </c>
      <c r="H55" s="77" t="s">
        <v>978</v>
      </c>
      <c r="I55" s="77" t="s">
        <v>979</v>
      </c>
      <c r="J55" s="77" t="s">
        <v>980</v>
      </c>
      <c r="K55" s="77" t="s">
        <v>981</v>
      </c>
      <c r="L55" s="77" t="s">
        <v>593</v>
      </c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ht="22.5" x14ac:dyDescent="0.25">
      <c r="A56" s="70" t="s">
        <v>1574</v>
      </c>
      <c r="B56" s="76" t="s">
        <v>456</v>
      </c>
      <c r="C56" s="77" t="s">
        <v>1087</v>
      </c>
      <c r="D56" s="77" t="s">
        <v>983</v>
      </c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ht="45" x14ac:dyDescent="0.25">
      <c r="A57" s="70" t="s">
        <v>1575</v>
      </c>
      <c r="B57" s="76" t="s">
        <v>32</v>
      </c>
      <c r="C57" s="77" t="s">
        <v>1088</v>
      </c>
      <c r="D57" s="77" t="s">
        <v>1089</v>
      </c>
      <c r="E57" s="77" t="s">
        <v>1092</v>
      </c>
      <c r="F57" s="77" t="s">
        <v>977</v>
      </c>
      <c r="G57" s="77" t="s">
        <v>987</v>
      </c>
      <c r="H57" s="77" t="s">
        <v>978</v>
      </c>
      <c r="I57" s="77" t="s">
        <v>979</v>
      </c>
      <c r="J57" s="77" t="s">
        <v>980</v>
      </c>
      <c r="K57" s="77" t="s">
        <v>981</v>
      </c>
      <c r="L57" s="77" t="s">
        <v>593</v>
      </c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ht="22.5" x14ac:dyDescent="0.25">
      <c r="A58" s="70" t="s">
        <v>1576</v>
      </c>
      <c r="B58" s="76" t="s">
        <v>456</v>
      </c>
      <c r="C58" s="77" t="s">
        <v>1087</v>
      </c>
      <c r="D58" s="77" t="s">
        <v>983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ht="45" x14ac:dyDescent="0.25">
      <c r="A59" s="70" t="s">
        <v>1577</v>
      </c>
      <c r="B59" s="76" t="s">
        <v>32</v>
      </c>
      <c r="C59" s="77" t="s">
        <v>1088</v>
      </c>
      <c r="D59" s="77" t="s">
        <v>1089</v>
      </c>
      <c r="E59" s="77" t="s">
        <v>1092</v>
      </c>
      <c r="F59" s="77" t="s">
        <v>977</v>
      </c>
      <c r="G59" s="77" t="s">
        <v>987</v>
      </c>
      <c r="H59" s="77" t="s">
        <v>978</v>
      </c>
      <c r="I59" s="77" t="s">
        <v>979</v>
      </c>
      <c r="J59" s="77" t="s">
        <v>980</v>
      </c>
      <c r="K59" s="77" t="s">
        <v>981</v>
      </c>
      <c r="L59" s="77" t="s">
        <v>593</v>
      </c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ht="22.5" x14ac:dyDescent="0.25">
      <c r="A60" s="70" t="s">
        <v>1578</v>
      </c>
      <c r="B60" s="76" t="s">
        <v>456</v>
      </c>
      <c r="C60" s="77" t="s">
        <v>1087</v>
      </c>
      <c r="D60" s="77" t="s">
        <v>983</v>
      </c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ht="45" x14ac:dyDescent="0.25">
      <c r="A61" s="70" t="s">
        <v>1579</v>
      </c>
      <c r="B61" s="76" t="s">
        <v>32</v>
      </c>
      <c r="C61" s="77" t="s">
        <v>1088</v>
      </c>
      <c r="D61" s="77" t="s">
        <v>1089</v>
      </c>
      <c r="E61" s="77" t="s">
        <v>1092</v>
      </c>
      <c r="F61" s="77" t="s">
        <v>977</v>
      </c>
      <c r="G61" s="77" t="s">
        <v>987</v>
      </c>
      <c r="H61" s="77" t="s">
        <v>978</v>
      </c>
      <c r="I61" s="77" t="s">
        <v>979</v>
      </c>
      <c r="J61" s="77" t="s">
        <v>980</v>
      </c>
      <c r="K61" s="77" t="s">
        <v>981</v>
      </c>
      <c r="L61" s="77" t="s">
        <v>593</v>
      </c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</row>
    <row r="62" spans="1:33" ht="22.5" x14ac:dyDescent="0.25">
      <c r="A62" s="70" t="s">
        <v>1580</v>
      </c>
      <c r="B62" s="76" t="s">
        <v>456</v>
      </c>
      <c r="C62" s="77" t="s">
        <v>1087</v>
      </c>
      <c r="D62" s="77" t="s">
        <v>983</v>
      </c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</row>
    <row r="63" spans="1:33" x14ac:dyDescent="0.25">
      <c r="A63" s="70" t="s">
        <v>1581</v>
      </c>
      <c r="B63" s="76" t="s">
        <v>32</v>
      </c>
      <c r="C63" s="77" t="s">
        <v>2634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</row>
    <row r="64" spans="1:33" x14ac:dyDescent="0.25">
      <c r="A64" s="70" t="s">
        <v>1582</v>
      </c>
      <c r="B64" s="76" t="s">
        <v>456</v>
      </c>
      <c r="C64" s="77" t="s">
        <v>2633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</row>
    <row r="65" spans="1:33" x14ac:dyDescent="0.25">
      <c r="A65" s="70" t="s">
        <v>1583</v>
      </c>
      <c r="B65" s="117" t="s">
        <v>32</v>
      </c>
      <c r="C65" s="77" t="s">
        <v>2634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</row>
    <row r="66" spans="1:33" ht="22.5" x14ac:dyDescent="0.25">
      <c r="A66" s="70" t="s">
        <v>1584</v>
      </c>
      <c r="B66" s="117" t="s">
        <v>456</v>
      </c>
      <c r="C66" s="77" t="s">
        <v>2633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</row>
    <row r="67" spans="1:33" ht="22.5" x14ac:dyDescent="0.25">
      <c r="A67" s="70" t="s">
        <v>1585</v>
      </c>
      <c r="B67" s="117" t="s">
        <v>32</v>
      </c>
      <c r="C67" s="77" t="s">
        <v>2634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ht="22.5" x14ac:dyDescent="0.25">
      <c r="A68" s="70" t="s">
        <v>1586</v>
      </c>
      <c r="B68" s="117" t="s">
        <v>456</v>
      </c>
      <c r="C68" s="77" t="s">
        <v>2633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ht="45" x14ac:dyDescent="0.25">
      <c r="A69" s="70" t="s">
        <v>1587</v>
      </c>
      <c r="B69" s="117" t="s">
        <v>32</v>
      </c>
      <c r="C69" s="77" t="s">
        <v>1088</v>
      </c>
      <c r="D69" s="77" t="s">
        <v>1089</v>
      </c>
      <c r="E69" s="77" t="s">
        <v>1092</v>
      </c>
      <c r="F69" s="77" t="s">
        <v>977</v>
      </c>
      <c r="G69" s="77" t="s">
        <v>987</v>
      </c>
      <c r="H69" s="77" t="s">
        <v>978</v>
      </c>
      <c r="I69" s="77" t="s">
        <v>979</v>
      </c>
      <c r="J69" s="77" t="s">
        <v>980</v>
      </c>
      <c r="K69" s="77" t="s">
        <v>981</v>
      </c>
      <c r="L69" s="77" t="s">
        <v>1210</v>
      </c>
      <c r="M69" s="77" t="s">
        <v>1211</v>
      </c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ht="22.5" x14ac:dyDescent="0.25">
      <c r="A70" s="70" t="s">
        <v>1588</v>
      </c>
      <c r="B70" s="117" t="s">
        <v>456</v>
      </c>
      <c r="C70" s="77" t="s">
        <v>1087</v>
      </c>
      <c r="D70" s="77" t="s">
        <v>983</v>
      </c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ht="45" x14ac:dyDescent="0.25">
      <c r="A71" s="70" t="s">
        <v>1589</v>
      </c>
      <c r="B71" s="117" t="s">
        <v>32</v>
      </c>
      <c r="C71" s="77" t="s">
        <v>1088</v>
      </c>
      <c r="D71" s="77" t="s">
        <v>1089</v>
      </c>
      <c r="E71" s="77" t="s">
        <v>1092</v>
      </c>
      <c r="F71" s="77" t="s">
        <v>977</v>
      </c>
      <c r="G71" s="77" t="s">
        <v>987</v>
      </c>
      <c r="H71" s="77" t="s">
        <v>978</v>
      </c>
      <c r="I71" s="77" t="s">
        <v>979</v>
      </c>
      <c r="J71" s="77" t="s">
        <v>980</v>
      </c>
      <c r="K71" s="77" t="s">
        <v>981</v>
      </c>
      <c r="L71" s="77" t="s">
        <v>1210</v>
      </c>
      <c r="M71" s="77" t="s">
        <v>1211</v>
      </c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ht="22.5" x14ac:dyDescent="0.25">
      <c r="A72" s="70" t="s">
        <v>1590</v>
      </c>
      <c r="B72" s="117" t="s">
        <v>456</v>
      </c>
      <c r="C72" s="77" t="s">
        <v>1087</v>
      </c>
      <c r="D72" s="77" t="s">
        <v>983</v>
      </c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x14ac:dyDescent="0.25">
      <c r="A73" s="70" t="s">
        <v>1962</v>
      </c>
      <c r="B73" s="76" t="s">
        <v>32</v>
      </c>
      <c r="C73" s="77" t="s">
        <v>2634</v>
      </c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x14ac:dyDescent="0.25">
      <c r="A74" s="70" t="s">
        <v>1963</v>
      </c>
      <c r="B74" s="76" t="s">
        <v>456</v>
      </c>
      <c r="C74" s="77" t="s">
        <v>2633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x14ac:dyDescent="0.25">
      <c r="A75" s="70" t="s">
        <v>1964</v>
      </c>
      <c r="B75" s="76" t="s">
        <v>32</v>
      </c>
      <c r="C75" s="77" t="s">
        <v>2634</v>
      </c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x14ac:dyDescent="0.25">
      <c r="A76" s="70" t="s">
        <v>1965</v>
      </c>
      <c r="B76" s="76" t="s">
        <v>456</v>
      </c>
      <c r="C76" s="77" t="s">
        <v>2633</v>
      </c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ht="45" x14ac:dyDescent="0.25">
      <c r="A77" s="70" t="s">
        <v>1966</v>
      </c>
      <c r="B77" s="76" t="s">
        <v>32</v>
      </c>
      <c r="C77" s="77" t="s">
        <v>1293</v>
      </c>
      <c r="D77" s="77" t="s">
        <v>975</v>
      </c>
      <c r="E77" s="77" t="s">
        <v>1294</v>
      </c>
      <c r="F77" s="77" t="s">
        <v>977</v>
      </c>
      <c r="G77" s="77" t="s">
        <v>978</v>
      </c>
      <c r="H77" s="77" t="s">
        <v>979</v>
      </c>
      <c r="I77" s="77" t="s">
        <v>980</v>
      </c>
      <c r="J77" s="77" t="s">
        <v>981</v>
      </c>
      <c r="K77" s="77" t="s">
        <v>593</v>
      </c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ht="22.5" x14ac:dyDescent="0.25">
      <c r="A78" s="70" t="s">
        <v>1967</v>
      </c>
      <c r="B78" s="76" t="s">
        <v>456</v>
      </c>
      <c r="C78" s="77" t="s">
        <v>1087</v>
      </c>
      <c r="D78" s="77" t="s">
        <v>983</v>
      </c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ht="45" x14ac:dyDescent="0.25">
      <c r="A79" s="70" t="s">
        <v>1968</v>
      </c>
      <c r="B79" s="76" t="s">
        <v>32</v>
      </c>
      <c r="C79" s="77" t="s">
        <v>974</v>
      </c>
      <c r="D79" s="77" t="s">
        <v>975</v>
      </c>
      <c r="E79" s="77" t="s">
        <v>976</v>
      </c>
      <c r="F79" s="77" t="s">
        <v>977</v>
      </c>
      <c r="G79" s="77" t="s">
        <v>978</v>
      </c>
      <c r="H79" s="77" t="s">
        <v>979</v>
      </c>
      <c r="I79" s="77" t="s">
        <v>980</v>
      </c>
      <c r="J79" s="77" t="s">
        <v>981</v>
      </c>
      <c r="K79" s="77" t="s">
        <v>593</v>
      </c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ht="22.5" x14ac:dyDescent="0.25">
      <c r="A80" s="70" t="s">
        <v>1969</v>
      </c>
      <c r="B80" s="76" t="s">
        <v>456</v>
      </c>
      <c r="C80" s="77" t="s">
        <v>1087</v>
      </c>
      <c r="D80" s="77" t="s">
        <v>983</v>
      </c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ht="45" x14ac:dyDescent="0.25">
      <c r="A81" s="70" t="s">
        <v>1970</v>
      </c>
      <c r="B81" s="76" t="s">
        <v>32</v>
      </c>
      <c r="C81" s="77" t="s">
        <v>984</v>
      </c>
      <c r="D81" s="77" t="s">
        <v>985</v>
      </c>
      <c r="E81" s="77" t="s">
        <v>988</v>
      </c>
      <c r="F81" s="77" t="s">
        <v>977</v>
      </c>
      <c r="G81" s="77" t="s">
        <v>987</v>
      </c>
      <c r="H81" s="77" t="s">
        <v>978</v>
      </c>
      <c r="I81" s="77" t="s">
        <v>979</v>
      </c>
      <c r="J81" s="77" t="s">
        <v>980</v>
      </c>
      <c r="K81" s="77" t="s">
        <v>981</v>
      </c>
      <c r="L81" s="77" t="s">
        <v>593</v>
      </c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ht="22.5" x14ac:dyDescent="0.25">
      <c r="A82" s="70" t="s">
        <v>1971</v>
      </c>
      <c r="B82" s="76" t="s">
        <v>456</v>
      </c>
      <c r="C82" s="77" t="s">
        <v>1087</v>
      </c>
      <c r="D82" s="77" t="s">
        <v>983</v>
      </c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ht="45" x14ac:dyDescent="0.25">
      <c r="A83" s="70" t="s">
        <v>1972</v>
      </c>
      <c r="B83" s="76" t="s">
        <v>32</v>
      </c>
      <c r="C83" s="77" t="s">
        <v>984</v>
      </c>
      <c r="D83" s="77" t="s">
        <v>985</v>
      </c>
      <c r="E83" s="77" t="s">
        <v>986</v>
      </c>
      <c r="F83" s="77" t="s">
        <v>977</v>
      </c>
      <c r="G83" s="77" t="s">
        <v>987</v>
      </c>
      <c r="H83" s="77" t="s">
        <v>978</v>
      </c>
      <c r="I83" s="77" t="s">
        <v>979</v>
      </c>
      <c r="J83" s="77" t="s">
        <v>980</v>
      </c>
      <c r="K83" s="77" t="s">
        <v>981</v>
      </c>
      <c r="L83" s="77" t="s">
        <v>593</v>
      </c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ht="22.5" x14ac:dyDescent="0.25">
      <c r="A84" s="70" t="s">
        <v>1973</v>
      </c>
      <c r="B84" s="76" t="s">
        <v>456</v>
      </c>
      <c r="C84" s="77" t="s">
        <v>1087</v>
      </c>
      <c r="D84" s="77" t="s">
        <v>983</v>
      </c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ht="45" x14ac:dyDescent="0.25">
      <c r="A85" s="70" t="s">
        <v>1974</v>
      </c>
      <c r="B85" s="76" t="s">
        <v>32</v>
      </c>
      <c r="C85" s="77" t="s">
        <v>1088</v>
      </c>
      <c r="D85" s="77" t="s">
        <v>1089</v>
      </c>
      <c r="E85" s="77" t="s">
        <v>1092</v>
      </c>
      <c r="F85" s="77" t="s">
        <v>977</v>
      </c>
      <c r="G85" s="77" t="s">
        <v>987</v>
      </c>
      <c r="H85" s="77" t="s">
        <v>978</v>
      </c>
      <c r="I85" s="77" t="s">
        <v>979</v>
      </c>
      <c r="J85" s="77" t="s">
        <v>980</v>
      </c>
      <c r="K85" s="77" t="s">
        <v>981</v>
      </c>
      <c r="L85" s="77" t="s">
        <v>593</v>
      </c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ht="22.5" x14ac:dyDescent="0.25">
      <c r="A86" s="70" t="s">
        <v>1975</v>
      </c>
      <c r="B86" s="76" t="s">
        <v>456</v>
      </c>
      <c r="C86" s="77" t="s">
        <v>1087</v>
      </c>
      <c r="D86" s="77" t="s">
        <v>983</v>
      </c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ht="45" x14ac:dyDescent="0.25">
      <c r="A87" s="70" t="s">
        <v>1976</v>
      </c>
      <c r="B87" s="76" t="s">
        <v>32</v>
      </c>
      <c r="C87" s="77" t="s">
        <v>984</v>
      </c>
      <c r="D87" s="77" t="s">
        <v>985</v>
      </c>
      <c r="E87" s="77" t="s">
        <v>986</v>
      </c>
      <c r="F87" s="77" t="s">
        <v>977</v>
      </c>
      <c r="G87" s="77" t="s">
        <v>987</v>
      </c>
      <c r="H87" s="77" t="s">
        <v>978</v>
      </c>
      <c r="I87" s="77" t="s">
        <v>979</v>
      </c>
      <c r="J87" s="77" t="s">
        <v>980</v>
      </c>
      <c r="K87" s="77" t="s">
        <v>981</v>
      </c>
      <c r="L87" s="77" t="s">
        <v>593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ht="22.5" x14ac:dyDescent="0.25">
      <c r="A88" s="70" t="s">
        <v>1977</v>
      </c>
      <c r="B88" s="76" t="s">
        <v>456</v>
      </c>
      <c r="C88" s="77" t="s">
        <v>1087</v>
      </c>
      <c r="D88" s="77" t="s">
        <v>983</v>
      </c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ht="45" x14ac:dyDescent="0.25">
      <c r="A89" s="70" t="s">
        <v>1978</v>
      </c>
      <c r="B89" s="76" t="s">
        <v>32</v>
      </c>
      <c r="C89" s="77" t="s">
        <v>984</v>
      </c>
      <c r="D89" s="77" t="s">
        <v>985</v>
      </c>
      <c r="E89" s="77" t="s">
        <v>1091</v>
      </c>
      <c r="F89" s="77" t="s">
        <v>977</v>
      </c>
      <c r="G89" s="77" t="s">
        <v>987</v>
      </c>
      <c r="H89" s="77" t="s">
        <v>978</v>
      </c>
      <c r="I89" s="77" t="s">
        <v>979</v>
      </c>
      <c r="J89" s="77" t="s">
        <v>980</v>
      </c>
      <c r="K89" s="77" t="s">
        <v>981</v>
      </c>
      <c r="L89" s="77" t="s">
        <v>593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ht="22.5" x14ac:dyDescent="0.25">
      <c r="A90" s="70" t="s">
        <v>1979</v>
      </c>
      <c r="B90" s="76" t="s">
        <v>456</v>
      </c>
      <c r="C90" s="77" t="s">
        <v>1087</v>
      </c>
      <c r="D90" s="77" t="s">
        <v>983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ht="45" x14ac:dyDescent="0.25">
      <c r="A91" s="70" t="s">
        <v>1980</v>
      </c>
      <c r="B91" s="76" t="s">
        <v>32</v>
      </c>
      <c r="C91" s="77" t="s">
        <v>1088</v>
      </c>
      <c r="D91" s="77" t="s">
        <v>1089</v>
      </c>
      <c r="E91" s="77" t="s">
        <v>1092</v>
      </c>
      <c r="F91" s="77" t="s">
        <v>977</v>
      </c>
      <c r="G91" s="77" t="s">
        <v>987</v>
      </c>
      <c r="H91" s="77" t="s">
        <v>978</v>
      </c>
      <c r="I91" s="77" t="s">
        <v>979</v>
      </c>
      <c r="J91" s="77" t="s">
        <v>980</v>
      </c>
      <c r="K91" s="77" t="s">
        <v>981</v>
      </c>
      <c r="L91" s="77" t="s">
        <v>593</v>
      </c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ht="22.5" x14ac:dyDescent="0.25">
      <c r="A92" s="70" t="s">
        <v>1981</v>
      </c>
      <c r="B92" s="76" t="s">
        <v>456</v>
      </c>
      <c r="C92" s="77" t="s">
        <v>1087</v>
      </c>
      <c r="D92" s="77" t="s">
        <v>983</v>
      </c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ht="45" x14ac:dyDescent="0.25">
      <c r="A93" s="70" t="s">
        <v>1982</v>
      </c>
      <c r="B93" s="76" t="s">
        <v>32</v>
      </c>
      <c r="C93" s="77" t="s">
        <v>1088</v>
      </c>
      <c r="D93" s="77" t="s">
        <v>1089</v>
      </c>
      <c r="E93" s="77" t="s">
        <v>1092</v>
      </c>
      <c r="F93" s="77" t="s">
        <v>977</v>
      </c>
      <c r="G93" s="77" t="s">
        <v>987</v>
      </c>
      <c r="H93" s="77" t="s">
        <v>978</v>
      </c>
      <c r="I93" s="77" t="s">
        <v>979</v>
      </c>
      <c r="J93" s="77" t="s">
        <v>980</v>
      </c>
      <c r="K93" s="77" t="s">
        <v>981</v>
      </c>
      <c r="L93" s="77" t="s">
        <v>593</v>
      </c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ht="22.5" x14ac:dyDescent="0.25">
      <c r="A94" s="70" t="s">
        <v>1983</v>
      </c>
      <c r="B94" s="76" t="s">
        <v>456</v>
      </c>
      <c r="C94" s="77" t="s">
        <v>1240</v>
      </c>
      <c r="D94" s="77" t="s">
        <v>983</v>
      </c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x14ac:dyDescent="0.25">
      <c r="A95" s="70" t="s">
        <v>1984</v>
      </c>
      <c r="B95" s="76" t="s">
        <v>32</v>
      </c>
      <c r="C95" s="77" t="s">
        <v>2634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ht="22.5" x14ac:dyDescent="0.25">
      <c r="A96" s="70" t="s">
        <v>1985</v>
      </c>
      <c r="B96" s="76" t="s">
        <v>456</v>
      </c>
      <c r="C96" s="77" t="s">
        <v>2633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x14ac:dyDescent="0.25">
      <c r="A97" s="70" t="s">
        <v>2739</v>
      </c>
      <c r="B97" s="117" t="s">
        <v>32</v>
      </c>
      <c r="C97" s="77" t="s">
        <v>2634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ht="22.5" x14ac:dyDescent="0.25">
      <c r="A98" s="70" t="s">
        <v>2740</v>
      </c>
      <c r="B98" s="117" t="s">
        <v>456</v>
      </c>
      <c r="C98" s="77" t="s">
        <v>2633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ht="45" x14ac:dyDescent="0.25">
      <c r="A99" s="70" t="s">
        <v>1986</v>
      </c>
      <c r="B99" s="117" t="s">
        <v>32</v>
      </c>
      <c r="C99" s="77" t="s">
        <v>1088</v>
      </c>
      <c r="D99" s="77" t="s">
        <v>1089</v>
      </c>
      <c r="E99" s="77" t="s">
        <v>1092</v>
      </c>
      <c r="F99" s="77" t="s">
        <v>977</v>
      </c>
      <c r="G99" s="77" t="s">
        <v>987</v>
      </c>
      <c r="H99" s="77" t="s">
        <v>978</v>
      </c>
      <c r="I99" s="77" t="s">
        <v>979</v>
      </c>
      <c r="J99" s="77" t="s">
        <v>980</v>
      </c>
      <c r="K99" s="77" t="s">
        <v>981</v>
      </c>
      <c r="L99" s="77" t="s">
        <v>1210</v>
      </c>
      <c r="M99" s="77" t="s">
        <v>593</v>
      </c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ht="22.5" x14ac:dyDescent="0.25">
      <c r="A100" s="70" t="s">
        <v>1987</v>
      </c>
      <c r="B100" s="117" t="s">
        <v>456</v>
      </c>
      <c r="C100" s="77" t="s">
        <v>1217</v>
      </c>
      <c r="D100" s="77" t="s">
        <v>983</v>
      </c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ht="45" x14ac:dyDescent="0.25">
      <c r="A101" s="70" t="s">
        <v>1988</v>
      </c>
      <c r="B101" s="117" t="s">
        <v>32</v>
      </c>
      <c r="C101" s="77" t="s">
        <v>1088</v>
      </c>
      <c r="D101" s="77" t="s">
        <v>1089</v>
      </c>
      <c r="E101" s="77" t="s">
        <v>1092</v>
      </c>
      <c r="F101" s="77" t="s">
        <v>977</v>
      </c>
      <c r="G101" s="77" t="s">
        <v>987</v>
      </c>
      <c r="H101" s="77" t="s">
        <v>978</v>
      </c>
      <c r="I101" s="77" t="s">
        <v>979</v>
      </c>
      <c r="J101" s="77" t="s">
        <v>980</v>
      </c>
      <c r="K101" s="77" t="s">
        <v>981</v>
      </c>
      <c r="L101" s="77" t="s">
        <v>1210</v>
      </c>
      <c r="M101" s="77" t="s">
        <v>593</v>
      </c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ht="22.5" x14ac:dyDescent="0.25">
      <c r="A102" s="70" t="s">
        <v>1989</v>
      </c>
      <c r="B102" s="117" t="s">
        <v>456</v>
      </c>
      <c r="C102" s="77" t="s">
        <v>1217</v>
      </c>
      <c r="D102" s="77" t="s">
        <v>983</v>
      </c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x14ac:dyDescent="0.25">
      <c r="A103" s="70" t="s">
        <v>1385</v>
      </c>
      <c r="B103" s="76" t="s">
        <v>32</v>
      </c>
      <c r="C103" s="77" t="s">
        <v>2634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x14ac:dyDescent="0.25">
      <c r="A104" s="70" t="s">
        <v>1386</v>
      </c>
      <c r="B104" s="76" t="s">
        <v>456</v>
      </c>
      <c r="C104" s="77" t="s">
        <v>2633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x14ac:dyDescent="0.25">
      <c r="A105" s="70" t="s">
        <v>1387</v>
      </c>
      <c r="B105" s="76" t="s">
        <v>32</v>
      </c>
      <c r="C105" s="77" t="s">
        <v>2634</v>
      </c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x14ac:dyDescent="0.25">
      <c r="A106" s="70" t="s">
        <v>1388</v>
      </c>
      <c r="B106" s="76" t="s">
        <v>456</v>
      </c>
      <c r="C106" s="77" t="s">
        <v>2633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x14ac:dyDescent="0.25">
      <c r="A107" s="70" t="s">
        <v>1389</v>
      </c>
      <c r="B107" s="76" t="s">
        <v>32</v>
      </c>
      <c r="C107" s="77" t="s">
        <v>2634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x14ac:dyDescent="0.25">
      <c r="A108" s="70" t="s">
        <v>1390</v>
      </c>
      <c r="B108" s="76" t="s">
        <v>456</v>
      </c>
      <c r="C108" s="77" t="s">
        <v>2633</v>
      </c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x14ac:dyDescent="0.25">
      <c r="A109" s="70" t="s">
        <v>1391</v>
      </c>
      <c r="B109" s="76" t="s">
        <v>32</v>
      </c>
      <c r="C109" s="77" t="s">
        <v>2634</v>
      </c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x14ac:dyDescent="0.25">
      <c r="A110" s="70" t="s">
        <v>1392</v>
      </c>
      <c r="B110" s="76" t="s">
        <v>456</v>
      </c>
      <c r="C110" s="77" t="s">
        <v>2633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x14ac:dyDescent="0.25">
      <c r="A111" s="70" t="s">
        <v>1393</v>
      </c>
      <c r="B111" s="76" t="s">
        <v>32</v>
      </c>
      <c r="C111" s="77" t="s">
        <v>2634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x14ac:dyDescent="0.25">
      <c r="A112" s="70" t="s">
        <v>1394</v>
      </c>
      <c r="B112" s="76" t="s">
        <v>456</v>
      </c>
      <c r="C112" s="77" t="s">
        <v>2633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ht="45" x14ac:dyDescent="0.25">
      <c r="A113" s="70" t="s">
        <v>1395</v>
      </c>
      <c r="B113" s="76" t="s">
        <v>32</v>
      </c>
      <c r="C113" s="77" t="s">
        <v>974</v>
      </c>
      <c r="D113" s="77" t="s">
        <v>975</v>
      </c>
      <c r="E113" s="77" t="s">
        <v>976</v>
      </c>
      <c r="F113" s="77" t="s">
        <v>977</v>
      </c>
      <c r="G113" s="77" t="s">
        <v>978</v>
      </c>
      <c r="H113" s="77" t="s">
        <v>979</v>
      </c>
      <c r="I113" s="77" t="s">
        <v>980</v>
      </c>
      <c r="J113" s="77" t="s">
        <v>981</v>
      </c>
      <c r="K113" s="77" t="s">
        <v>593</v>
      </c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ht="22.5" x14ac:dyDescent="0.25">
      <c r="A114" s="70" t="s">
        <v>1396</v>
      </c>
      <c r="B114" s="76" t="s">
        <v>456</v>
      </c>
      <c r="C114" s="77" t="s">
        <v>982</v>
      </c>
      <c r="D114" s="77" t="s">
        <v>983</v>
      </c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ht="45" x14ac:dyDescent="0.25">
      <c r="A115" s="70" t="s">
        <v>1397</v>
      </c>
      <c r="B115" s="76" t="s">
        <v>32</v>
      </c>
      <c r="C115" s="77" t="s">
        <v>974</v>
      </c>
      <c r="D115" s="77" t="s">
        <v>975</v>
      </c>
      <c r="E115" s="77" t="s">
        <v>976</v>
      </c>
      <c r="F115" s="77" t="s">
        <v>977</v>
      </c>
      <c r="G115" s="77" t="s">
        <v>978</v>
      </c>
      <c r="H115" s="77" t="s">
        <v>979</v>
      </c>
      <c r="I115" s="77" t="s">
        <v>980</v>
      </c>
      <c r="J115" s="77" t="s">
        <v>981</v>
      </c>
      <c r="K115" s="77" t="s">
        <v>593</v>
      </c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ht="22.5" x14ac:dyDescent="0.25">
      <c r="A116" s="70" t="s">
        <v>1398</v>
      </c>
      <c r="B116" s="76" t="s">
        <v>456</v>
      </c>
      <c r="C116" s="77" t="s">
        <v>982</v>
      </c>
      <c r="D116" s="77" t="s">
        <v>983</v>
      </c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ht="45" x14ac:dyDescent="0.25">
      <c r="A117" s="70" t="s">
        <v>1399</v>
      </c>
      <c r="B117" s="76" t="s">
        <v>32</v>
      </c>
      <c r="C117" s="77" t="s">
        <v>984</v>
      </c>
      <c r="D117" s="77" t="s">
        <v>985</v>
      </c>
      <c r="E117" s="77" t="s">
        <v>986</v>
      </c>
      <c r="F117" s="77" t="s">
        <v>977</v>
      </c>
      <c r="G117" s="77" t="s">
        <v>987</v>
      </c>
      <c r="H117" s="77" t="s">
        <v>978</v>
      </c>
      <c r="I117" s="77" t="s">
        <v>979</v>
      </c>
      <c r="J117" s="77" t="s">
        <v>980</v>
      </c>
      <c r="K117" s="77" t="s">
        <v>981</v>
      </c>
      <c r="L117" s="77" t="s">
        <v>593</v>
      </c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ht="22.5" x14ac:dyDescent="0.25">
      <c r="A118" s="70" t="s">
        <v>1400</v>
      </c>
      <c r="B118" s="76" t="s">
        <v>456</v>
      </c>
      <c r="C118" s="77" t="s">
        <v>982</v>
      </c>
      <c r="D118" s="77" t="s">
        <v>983</v>
      </c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ht="45" x14ac:dyDescent="0.25">
      <c r="A119" s="70" t="s">
        <v>1401</v>
      </c>
      <c r="B119" s="76" t="s">
        <v>32</v>
      </c>
      <c r="C119" s="77" t="s">
        <v>984</v>
      </c>
      <c r="D119" s="77" t="s">
        <v>985</v>
      </c>
      <c r="E119" s="77" t="s">
        <v>988</v>
      </c>
      <c r="F119" s="77" t="s">
        <v>977</v>
      </c>
      <c r="G119" s="77" t="s">
        <v>987</v>
      </c>
      <c r="H119" s="77" t="s">
        <v>978</v>
      </c>
      <c r="I119" s="77" t="s">
        <v>979</v>
      </c>
      <c r="J119" s="77" t="s">
        <v>980</v>
      </c>
      <c r="K119" s="77" t="s">
        <v>981</v>
      </c>
      <c r="L119" s="77" t="s">
        <v>593</v>
      </c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x14ac:dyDescent="0.25">
      <c r="A120" s="70" t="s">
        <v>1402</v>
      </c>
      <c r="B120" s="76" t="s">
        <v>456</v>
      </c>
      <c r="C120" s="77" t="s">
        <v>989</v>
      </c>
      <c r="D120" s="77" t="s">
        <v>983</v>
      </c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ht="45" x14ac:dyDescent="0.25">
      <c r="A121" s="64" t="s">
        <v>2149</v>
      </c>
      <c r="B121" s="76" t="s">
        <v>32</v>
      </c>
      <c r="C121" s="77" t="s">
        <v>1293</v>
      </c>
      <c r="D121" s="77" t="s">
        <v>975</v>
      </c>
      <c r="E121" s="77" t="s">
        <v>1294</v>
      </c>
      <c r="F121" s="77" t="s">
        <v>977</v>
      </c>
      <c r="G121" s="77" t="s">
        <v>978</v>
      </c>
      <c r="H121" s="77" t="s">
        <v>979</v>
      </c>
      <c r="I121" s="77" t="s">
        <v>980</v>
      </c>
      <c r="J121" s="77" t="s">
        <v>981</v>
      </c>
      <c r="K121" s="77" t="s">
        <v>593</v>
      </c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ht="22.5" x14ac:dyDescent="0.25">
      <c r="A122" s="64" t="s">
        <v>2150</v>
      </c>
      <c r="B122" s="76" t="s">
        <v>456</v>
      </c>
      <c r="C122" s="77" t="s">
        <v>1996</v>
      </c>
      <c r="D122" s="77" t="s">
        <v>983</v>
      </c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ht="45" x14ac:dyDescent="0.25">
      <c r="A123" s="64" t="s">
        <v>2151</v>
      </c>
      <c r="B123" s="76" t="s">
        <v>32</v>
      </c>
      <c r="C123" s="77" t="s">
        <v>1293</v>
      </c>
      <c r="D123" s="77" t="s">
        <v>975</v>
      </c>
      <c r="E123" s="77" t="s">
        <v>1294</v>
      </c>
      <c r="F123" s="77" t="s">
        <v>977</v>
      </c>
      <c r="G123" s="77" t="s">
        <v>978</v>
      </c>
      <c r="H123" s="77" t="s">
        <v>979</v>
      </c>
      <c r="I123" s="77" t="s">
        <v>980</v>
      </c>
      <c r="J123" s="77" t="s">
        <v>981</v>
      </c>
      <c r="K123" s="77" t="s">
        <v>593</v>
      </c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ht="22.5" x14ac:dyDescent="0.25">
      <c r="A124" s="64" t="s">
        <v>2152</v>
      </c>
      <c r="B124" s="76" t="s">
        <v>456</v>
      </c>
      <c r="C124" s="77" t="s">
        <v>1996</v>
      </c>
      <c r="D124" s="77" t="s">
        <v>983</v>
      </c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ht="45" x14ac:dyDescent="0.25">
      <c r="A125" s="64" t="s">
        <v>2153</v>
      </c>
      <c r="B125" s="76" t="s">
        <v>32</v>
      </c>
      <c r="C125" s="77" t="s">
        <v>1293</v>
      </c>
      <c r="D125" s="77" t="s">
        <v>975</v>
      </c>
      <c r="E125" s="77" t="s">
        <v>1294</v>
      </c>
      <c r="F125" s="77" t="s">
        <v>977</v>
      </c>
      <c r="G125" s="77" t="s">
        <v>978</v>
      </c>
      <c r="H125" s="77" t="s">
        <v>979</v>
      </c>
      <c r="I125" s="77" t="s">
        <v>980</v>
      </c>
      <c r="J125" s="77" t="s">
        <v>981</v>
      </c>
      <c r="K125" s="77" t="s">
        <v>593</v>
      </c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ht="22.5" x14ac:dyDescent="0.25">
      <c r="A126" s="64" t="s">
        <v>2154</v>
      </c>
      <c r="B126" s="76" t="s">
        <v>456</v>
      </c>
      <c r="C126" s="77" t="s">
        <v>1996</v>
      </c>
      <c r="D126" s="77" t="s">
        <v>983</v>
      </c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ht="45" x14ac:dyDescent="0.25">
      <c r="A127" s="64" t="s">
        <v>2155</v>
      </c>
      <c r="B127" s="76" t="s">
        <v>32</v>
      </c>
      <c r="C127" s="77" t="s">
        <v>1085</v>
      </c>
      <c r="D127" s="77" t="s">
        <v>975</v>
      </c>
      <c r="E127" s="77" t="s">
        <v>1086</v>
      </c>
      <c r="F127" s="77" t="s">
        <v>977</v>
      </c>
      <c r="G127" s="77" t="s">
        <v>978</v>
      </c>
      <c r="H127" s="77" t="s">
        <v>979</v>
      </c>
      <c r="I127" s="77" t="s">
        <v>980</v>
      </c>
      <c r="J127" s="77" t="s">
        <v>981</v>
      </c>
      <c r="K127" s="77" t="s">
        <v>593</v>
      </c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ht="22.5" x14ac:dyDescent="0.25">
      <c r="A128" s="64" t="s">
        <v>2156</v>
      </c>
      <c r="B128" s="76" t="s">
        <v>456</v>
      </c>
      <c r="C128" s="77" t="s">
        <v>1996</v>
      </c>
      <c r="D128" s="77" t="s">
        <v>983</v>
      </c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ht="45" x14ac:dyDescent="0.25">
      <c r="A129" s="64" t="s">
        <v>2157</v>
      </c>
      <c r="B129" s="76" t="s">
        <v>32</v>
      </c>
      <c r="C129" s="77" t="s">
        <v>974</v>
      </c>
      <c r="D129" s="77" t="s">
        <v>975</v>
      </c>
      <c r="E129" s="77" t="s">
        <v>976</v>
      </c>
      <c r="F129" s="77" t="s">
        <v>977</v>
      </c>
      <c r="G129" s="77" t="s">
        <v>978</v>
      </c>
      <c r="H129" s="77" t="s">
        <v>979</v>
      </c>
      <c r="I129" s="77" t="s">
        <v>980</v>
      </c>
      <c r="J129" s="77" t="s">
        <v>981</v>
      </c>
      <c r="K129" s="77" t="s">
        <v>593</v>
      </c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ht="22.5" x14ac:dyDescent="0.25">
      <c r="A130" s="64" t="s">
        <v>2158</v>
      </c>
      <c r="B130" s="76" t="s">
        <v>456</v>
      </c>
      <c r="C130" s="77" t="s">
        <v>1996</v>
      </c>
      <c r="D130" s="77" t="s">
        <v>983</v>
      </c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ht="45" x14ac:dyDescent="0.25">
      <c r="A131" s="64" t="s">
        <v>2159</v>
      </c>
      <c r="B131" s="76" t="s">
        <v>32</v>
      </c>
      <c r="C131" s="77" t="s">
        <v>984</v>
      </c>
      <c r="D131" s="77" t="s">
        <v>985</v>
      </c>
      <c r="E131" s="77" t="s">
        <v>986</v>
      </c>
      <c r="F131" s="77" t="s">
        <v>977</v>
      </c>
      <c r="G131" s="77" t="s">
        <v>987</v>
      </c>
      <c r="H131" s="77" t="s">
        <v>978</v>
      </c>
      <c r="I131" s="77" t="s">
        <v>979</v>
      </c>
      <c r="J131" s="77" t="s">
        <v>980</v>
      </c>
      <c r="K131" s="77" t="s">
        <v>981</v>
      </c>
      <c r="L131" s="77" t="s">
        <v>593</v>
      </c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ht="22.5" x14ac:dyDescent="0.25">
      <c r="A132" s="64" t="s">
        <v>2160</v>
      </c>
      <c r="B132" s="76" t="s">
        <v>456</v>
      </c>
      <c r="C132" s="77" t="s">
        <v>1240</v>
      </c>
      <c r="D132" s="77" t="s">
        <v>983</v>
      </c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ht="45" x14ac:dyDescent="0.25">
      <c r="A133" s="64" t="s">
        <v>2161</v>
      </c>
      <c r="B133" s="76" t="s">
        <v>32</v>
      </c>
      <c r="C133" s="77" t="s">
        <v>1088</v>
      </c>
      <c r="D133" s="77" t="s">
        <v>1089</v>
      </c>
      <c r="E133" s="77" t="s">
        <v>1092</v>
      </c>
      <c r="F133" s="77" t="s">
        <v>977</v>
      </c>
      <c r="G133" s="77" t="s">
        <v>987</v>
      </c>
      <c r="H133" s="77" t="s">
        <v>978</v>
      </c>
      <c r="I133" s="77" t="s">
        <v>979</v>
      </c>
      <c r="J133" s="77" t="s">
        <v>980</v>
      </c>
      <c r="K133" s="77" t="s">
        <v>981</v>
      </c>
      <c r="L133" s="77" t="s">
        <v>593</v>
      </c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ht="22.5" x14ac:dyDescent="0.25">
      <c r="A134" s="64" t="s">
        <v>2162</v>
      </c>
      <c r="B134" s="76" t="s">
        <v>456</v>
      </c>
      <c r="C134" s="77" t="s">
        <v>1240</v>
      </c>
      <c r="D134" s="77" t="s">
        <v>983</v>
      </c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ht="45" x14ac:dyDescent="0.25">
      <c r="A135" s="64" t="s">
        <v>2163</v>
      </c>
      <c r="B135" s="76" t="s">
        <v>32</v>
      </c>
      <c r="C135" s="77" t="s">
        <v>1088</v>
      </c>
      <c r="D135" s="77" t="s">
        <v>1089</v>
      </c>
      <c r="E135" s="77" t="s">
        <v>1092</v>
      </c>
      <c r="F135" s="77" t="s">
        <v>977</v>
      </c>
      <c r="G135" s="77" t="s">
        <v>987</v>
      </c>
      <c r="H135" s="77" t="s">
        <v>978</v>
      </c>
      <c r="I135" s="77" t="s">
        <v>979</v>
      </c>
      <c r="J135" s="77" t="s">
        <v>980</v>
      </c>
      <c r="K135" s="77" t="s">
        <v>981</v>
      </c>
      <c r="L135" s="77" t="s">
        <v>593</v>
      </c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ht="22.5" x14ac:dyDescent="0.25">
      <c r="A136" s="64" t="s">
        <v>2164</v>
      </c>
      <c r="B136" s="76" t="s">
        <v>456</v>
      </c>
      <c r="C136" s="77" t="s">
        <v>1240</v>
      </c>
      <c r="D136" s="77" t="s">
        <v>983</v>
      </c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ht="45" x14ac:dyDescent="0.25">
      <c r="A137" s="64" t="s">
        <v>2165</v>
      </c>
      <c r="B137" s="76" t="s">
        <v>32</v>
      </c>
      <c r="C137" s="77" t="s">
        <v>1088</v>
      </c>
      <c r="D137" s="77" t="s">
        <v>1089</v>
      </c>
      <c r="E137" s="77" t="s">
        <v>1092</v>
      </c>
      <c r="F137" s="77" t="s">
        <v>977</v>
      </c>
      <c r="G137" s="77" t="s">
        <v>987</v>
      </c>
      <c r="H137" s="77" t="s">
        <v>978</v>
      </c>
      <c r="I137" s="77" t="s">
        <v>979</v>
      </c>
      <c r="J137" s="77" t="s">
        <v>980</v>
      </c>
      <c r="K137" s="77" t="s">
        <v>981</v>
      </c>
      <c r="L137" s="77" t="s">
        <v>593</v>
      </c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ht="22.5" x14ac:dyDescent="0.25">
      <c r="A138" s="64" t="s">
        <v>2166</v>
      </c>
      <c r="B138" s="76" t="s">
        <v>456</v>
      </c>
      <c r="C138" s="77" t="s">
        <v>1240</v>
      </c>
      <c r="D138" s="77" t="s">
        <v>983</v>
      </c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ht="45" x14ac:dyDescent="0.25">
      <c r="A139" s="64" t="s">
        <v>2167</v>
      </c>
      <c r="B139" s="76" t="s">
        <v>32</v>
      </c>
      <c r="C139" s="77" t="s">
        <v>1088</v>
      </c>
      <c r="D139" s="77" t="s">
        <v>1089</v>
      </c>
      <c r="E139" s="77" t="s">
        <v>1092</v>
      </c>
      <c r="F139" s="77" t="s">
        <v>977</v>
      </c>
      <c r="G139" s="77" t="s">
        <v>987</v>
      </c>
      <c r="H139" s="77" t="s">
        <v>978</v>
      </c>
      <c r="I139" s="77" t="s">
        <v>979</v>
      </c>
      <c r="J139" s="77" t="s">
        <v>980</v>
      </c>
      <c r="K139" s="77" t="s">
        <v>981</v>
      </c>
      <c r="L139" s="77" t="s">
        <v>593</v>
      </c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ht="22.5" x14ac:dyDescent="0.25">
      <c r="A140" s="64" t="s">
        <v>2168</v>
      </c>
      <c r="B140" s="76" t="s">
        <v>456</v>
      </c>
      <c r="C140" s="77" t="s">
        <v>1240</v>
      </c>
      <c r="D140" s="77" t="s">
        <v>983</v>
      </c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ht="45" x14ac:dyDescent="0.25">
      <c r="A141" s="64" t="s">
        <v>2169</v>
      </c>
      <c r="B141" s="76" t="s">
        <v>32</v>
      </c>
      <c r="C141" s="77" t="s">
        <v>984</v>
      </c>
      <c r="D141" s="77" t="s">
        <v>985</v>
      </c>
      <c r="E141" s="77" t="s">
        <v>1091</v>
      </c>
      <c r="F141" s="77" t="s">
        <v>977</v>
      </c>
      <c r="G141" s="77" t="s">
        <v>987</v>
      </c>
      <c r="H141" s="77" t="s">
        <v>978</v>
      </c>
      <c r="I141" s="77" t="s">
        <v>979</v>
      </c>
      <c r="J141" s="77" t="s">
        <v>980</v>
      </c>
      <c r="K141" s="77" t="s">
        <v>981</v>
      </c>
      <c r="L141" s="77" t="s">
        <v>593</v>
      </c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ht="22.5" x14ac:dyDescent="0.25">
      <c r="A142" s="64" t="s">
        <v>2170</v>
      </c>
      <c r="B142" s="76" t="s">
        <v>456</v>
      </c>
      <c r="C142" s="77" t="s">
        <v>1996</v>
      </c>
      <c r="D142" s="77" t="s">
        <v>983</v>
      </c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ht="45" x14ac:dyDescent="0.25">
      <c r="A143" s="64" t="s">
        <v>2171</v>
      </c>
      <c r="B143" s="76" t="s">
        <v>32</v>
      </c>
      <c r="C143" s="77" t="s">
        <v>1088</v>
      </c>
      <c r="D143" s="77" t="s">
        <v>1089</v>
      </c>
      <c r="E143" s="77" t="s">
        <v>1092</v>
      </c>
      <c r="F143" s="77" t="s">
        <v>977</v>
      </c>
      <c r="G143" s="77" t="s">
        <v>987</v>
      </c>
      <c r="H143" s="77" t="s">
        <v>978</v>
      </c>
      <c r="I143" s="77" t="s">
        <v>979</v>
      </c>
      <c r="J143" s="77" t="s">
        <v>980</v>
      </c>
      <c r="K143" s="77" t="s">
        <v>981</v>
      </c>
      <c r="L143" s="77" t="s">
        <v>593</v>
      </c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ht="22.5" x14ac:dyDescent="0.25">
      <c r="A144" s="64" t="s">
        <v>2172</v>
      </c>
      <c r="B144" s="76" t="s">
        <v>456</v>
      </c>
      <c r="C144" s="77" t="s">
        <v>1996</v>
      </c>
      <c r="D144" s="77" t="s">
        <v>983</v>
      </c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ht="45" x14ac:dyDescent="0.25">
      <c r="A145" s="64" t="s">
        <v>2173</v>
      </c>
      <c r="B145" s="76" t="s">
        <v>32</v>
      </c>
      <c r="C145" s="77" t="s">
        <v>1088</v>
      </c>
      <c r="D145" s="77" t="s">
        <v>1089</v>
      </c>
      <c r="E145" s="77" t="s">
        <v>1092</v>
      </c>
      <c r="F145" s="77" t="s">
        <v>977</v>
      </c>
      <c r="G145" s="77" t="s">
        <v>987</v>
      </c>
      <c r="H145" s="77" t="s">
        <v>978</v>
      </c>
      <c r="I145" s="77" t="s">
        <v>979</v>
      </c>
      <c r="J145" s="77" t="s">
        <v>980</v>
      </c>
      <c r="K145" s="77" t="s">
        <v>981</v>
      </c>
      <c r="L145" s="77" t="s">
        <v>593</v>
      </c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ht="22.5" x14ac:dyDescent="0.25">
      <c r="A146" s="64" t="s">
        <v>2174</v>
      </c>
      <c r="B146" s="76" t="s">
        <v>456</v>
      </c>
      <c r="C146" s="77" t="s">
        <v>1996</v>
      </c>
      <c r="D146" s="77" t="s">
        <v>983</v>
      </c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ht="45" x14ac:dyDescent="0.25">
      <c r="A147" s="64" t="s">
        <v>2175</v>
      </c>
      <c r="B147" s="76" t="s">
        <v>32</v>
      </c>
      <c r="C147" s="77" t="s">
        <v>1088</v>
      </c>
      <c r="D147" s="77" t="s">
        <v>1089</v>
      </c>
      <c r="E147" s="77" t="s">
        <v>1092</v>
      </c>
      <c r="F147" s="77" t="s">
        <v>977</v>
      </c>
      <c r="G147" s="77" t="s">
        <v>987</v>
      </c>
      <c r="H147" s="77" t="s">
        <v>978</v>
      </c>
      <c r="I147" s="77" t="s">
        <v>979</v>
      </c>
      <c r="J147" s="77" t="s">
        <v>980</v>
      </c>
      <c r="K147" s="77" t="s">
        <v>981</v>
      </c>
      <c r="L147" s="77" t="s">
        <v>593</v>
      </c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ht="22.5" x14ac:dyDescent="0.25">
      <c r="A148" s="64" t="s">
        <v>2176</v>
      </c>
      <c r="B148" s="76" t="s">
        <v>456</v>
      </c>
      <c r="C148" s="77" t="s">
        <v>1996</v>
      </c>
      <c r="D148" s="77" t="s">
        <v>983</v>
      </c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ht="45" x14ac:dyDescent="0.25">
      <c r="A149" s="64" t="s">
        <v>2177</v>
      </c>
      <c r="B149" s="76" t="s">
        <v>32</v>
      </c>
      <c r="C149" s="77" t="s">
        <v>1088</v>
      </c>
      <c r="D149" s="77" t="s">
        <v>1089</v>
      </c>
      <c r="E149" s="77" t="s">
        <v>1092</v>
      </c>
      <c r="F149" s="77" t="s">
        <v>977</v>
      </c>
      <c r="G149" s="77" t="s">
        <v>987</v>
      </c>
      <c r="H149" s="77" t="s">
        <v>978</v>
      </c>
      <c r="I149" s="77" t="s">
        <v>979</v>
      </c>
      <c r="J149" s="77" t="s">
        <v>980</v>
      </c>
      <c r="K149" s="77" t="s">
        <v>981</v>
      </c>
      <c r="L149" s="77" t="s">
        <v>593</v>
      </c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ht="22.5" x14ac:dyDescent="0.25">
      <c r="A150" s="64" t="s">
        <v>2178</v>
      </c>
      <c r="B150" s="76" t="s">
        <v>456</v>
      </c>
      <c r="C150" s="77" t="s">
        <v>1996</v>
      </c>
      <c r="D150" s="77" t="s">
        <v>983</v>
      </c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x14ac:dyDescent="0.25">
      <c r="A151" s="64" t="s">
        <v>2179</v>
      </c>
      <c r="B151" s="76" t="s">
        <v>32</v>
      </c>
      <c r="C151" s="77" t="s">
        <v>2634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x14ac:dyDescent="0.25">
      <c r="A152" s="64" t="s">
        <v>2180</v>
      </c>
      <c r="B152" s="76" t="s">
        <v>456</v>
      </c>
      <c r="C152" s="77" t="s">
        <v>2633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ht="22.5" x14ac:dyDescent="0.25">
      <c r="A153" s="64" t="s">
        <v>2181</v>
      </c>
      <c r="B153" s="117" t="s">
        <v>32</v>
      </c>
      <c r="C153" s="77" t="s">
        <v>2634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ht="22.5" x14ac:dyDescent="0.25">
      <c r="A154" s="64" t="s">
        <v>2182</v>
      </c>
      <c r="B154" s="117" t="s">
        <v>456</v>
      </c>
      <c r="C154" s="77" t="s">
        <v>2633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ht="22.5" x14ac:dyDescent="0.25">
      <c r="A155" s="64" t="s">
        <v>2183</v>
      </c>
      <c r="B155" s="117" t="s">
        <v>32</v>
      </c>
      <c r="C155" s="77" t="s">
        <v>2634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ht="22.5" x14ac:dyDescent="0.25">
      <c r="A156" s="64" t="s">
        <v>2184</v>
      </c>
      <c r="B156" s="117" t="s">
        <v>456</v>
      </c>
      <c r="C156" s="77" t="s">
        <v>2633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ht="45" x14ac:dyDescent="0.25">
      <c r="A157" s="64" t="s">
        <v>2185</v>
      </c>
      <c r="B157" s="117" t="s">
        <v>32</v>
      </c>
      <c r="C157" s="77" t="s">
        <v>1088</v>
      </c>
      <c r="D157" s="77" t="s">
        <v>1089</v>
      </c>
      <c r="E157" s="77" t="s">
        <v>1092</v>
      </c>
      <c r="F157" s="77" t="s">
        <v>977</v>
      </c>
      <c r="G157" s="77" t="s">
        <v>987</v>
      </c>
      <c r="H157" s="77" t="s">
        <v>978</v>
      </c>
      <c r="I157" s="77" t="s">
        <v>979</v>
      </c>
      <c r="J157" s="77" t="s">
        <v>980</v>
      </c>
      <c r="K157" s="77" t="s">
        <v>981</v>
      </c>
      <c r="L157" s="77" t="s">
        <v>1210</v>
      </c>
      <c r="M157" s="77" t="s">
        <v>593</v>
      </c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ht="22.5" x14ac:dyDescent="0.25">
      <c r="A158" s="64" t="s">
        <v>2186</v>
      </c>
      <c r="B158" s="117" t="s">
        <v>456</v>
      </c>
      <c r="C158" s="77" t="s">
        <v>1996</v>
      </c>
      <c r="D158" s="77" t="s">
        <v>983</v>
      </c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ht="45" x14ac:dyDescent="0.25">
      <c r="A159" s="64" t="s">
        <v>2187</v>
      </c>
      <c r="B159" s="117" t="s">
        <v>32</v>
      </c>
      <c r="C159" s="77" t="s">
        <v>1088</v>
      </c>
      <c r="D159" s="77" t="s">
        <v>1089</v>
      </c>
      <c r="E159" s="77" t="s">
        <v>1092</v>
      </c>
      <c r="F159" s="77" t="s">
        <v>977</v>
      </c>
      <c r="G159" s="77" t="s">
        <v>987</v>
      </c>
      <c r="H159" s="77" t="s">
        <v>978</v>
      </c>
      <c r="I159" s="77" t="s">
        <v>979</v>
      </c>
      <c r="J159" s="77" t="s">
        <v>980</v>
      </c>
      <c r="K159" s="77" t="s">
        <v>981</v>
      </c>
      <c r="L159" s="77" t="s">
        <v>1210</v>
      </c>
      <c r="M159" s="77" t="s">
        <v>593</v>
      </c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ht="22.5" x14ac:dyDescent="0.25">
      <c r="A160" s="64" t="s">
        <v>2188</v>
      </c>
      <c r="B160" s="117" t="s">
        <v>456</v>
      </c>
      <c r="C160" s="77" t="s">
        <v>1996</v>
      </c>
      <c r="D160" s="77" t="s">
        <v>983</v>
      </c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ht="45" x14ac:dyDescent="0.25">
      <c r="A161" s="64" t="s">
        <v>2189</v>
      </c>
      <c r="B161" s="76" t="s">
        <v>32</v>
      </c>
      <c r="C161" s="77" t="s">
        <v>2687</v>
      </c>
      <c r="D161" s="77" t="s">
        <v>975</v>
      </c>
      <c r="E161" s="77" t="s">
        <v>2688</v>
      </c>
      <c r="F161" s="77" t="s">
        <v>977</v>
      </c>
      <c r="G161" s="77" t="s">
        <v>2609</v>
      </c>
      <c r="H161" s="77" t="s">
        <v>980</v>
      </c>
      <c r="I161" s="77" t="s">
        <v>981</v>
      </c>
      <c r="J161" s="77" t="s">
        <v>593</v>
      </c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ht="22.5" x14ac:dyDescent="0.25">
      <c r="A162" s="64" t="s">
        <v>2190</v>
      </c>
      <c r="B162" s="76" t="s">
        <v>456</v>
      </c>
      <c r="C162" s="77" t="s">
        <v>2686</v>
      </c>
      <c r="D162" s="77" t="s">
        <v>983</v>
      </c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ht="45" x14ac:dyDescent="0.25">
      <c r="A163" s="64" t="s">
        <v>2191</v>
      </c>
      <c r="B163" s="76" t="s">
        <v>32</v>
      </c>
      <c r="C163" s="77" t="s">
        <v>2689</v>
      </c>
      <c r="D163" s="77" t="s">
        <v>2612</v>
      </c>
      <c r="E163" s="77" t="s">
        <v>2690</v>
      </c>
      <c r="F163" s="77" t="s">
        <v>977</v>
      </c>
      <c r="G163" s="77" t="s">
        <v>2609</v>
      </c>
      <c r="H163" s="77" t="s">
        <v>980</v>
      </c>
      <c r="I163" s="77" t="s">
        <v>981</v>
      </c>
      <c r="J163" s="77" t="s">
        <v>593</v>
      </c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ht="22.5" x14ac:dyDescent="0.25">
      <c r="A164" s="64" t="s">
        <v>2192</v>
      </c>
      <c r="B164" s="76" t="s">
        <v>456</v>
      </c>
      <c r="C164" s="77" t="s">
        <v>2686</v>
      </c>
      <c r="D164" s="77" t="s">
        <v>983</v>
      </c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ht="45" x14ac:dyDescent="0.25">
      <c r="A165" s="64" t="s">
        <v>2193</v>
      </c>
      <c r="B165" s="76" t="s">
        <v>32</v>
      </c>
      <c r="C165" s="77" t="s">
        <v>2614</v>
      </c>
      <c r="D165" s="77" t="s">
        <v>1089</v>
      </c>
      <c r="E165" s="77" t="s">
        <v>2613</v>
      </c>
      <c r="F165" s="77" t="s">
        <v>977</v>
      </c>
      <c r="G165" s="77" t="s">
        <v>2609</v>
      </c>
      <c r="H165" s="77" t="s">
        <v>980</v>
      </c>
      <c r="I165" s="77" t="s">
        <v>981</v>
      </c>
      <c r="J165" s="77" t="s">
        <v>593</v>
      </c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ht="22.5" x14ac:dyDescent="0.25">
      <c r="A166" s="64" t="s">
        <v>2194</v>
      </c>
      <c r="B166" s="76" t="s">
        <v>456</v>
      </c>
      <c r="C166" s="77" t="s">
        <v>2686</v>
      </c>
      <c r="D166" s="77" t="s">
        <v>983</v>
      </c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ht="45" x14ac:dyDescent="0.25">
      <c r="A167" s="64" t="s">
        <v>2195</v>
      </c>
      <c r="B167" s="76" t="s">
        <v>32</v>
      </c>
      <c r="C167" s="77" t="s">
        <v>2614</v>
      </c>
      <c r="D167" s="77" t="s">
        <v>1089</v>
      </c>
      <c r="E167" s="77" t="s">
        <v>2613</v>
      </c>
      <c r="F167" s="77" t="s">
        <v>977</v>
      </c>
      <c r="G167" s="77" t="s">
        <v>2609</v>
      </c>
      <c r="H167" s="77" t="s">
        <v>980</v>
      </c>
      <c r="I167" s="77" t="s">
        <v>981</v>
      </c>
      <c r="J167" s="77" t="s">
        <v>593</v>
      </c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ht="22.5" x14ac:dyDescent="0.25">
      <c r="A168" s="64" t="s">
        <v>2196</v>
      </c>
      <c r="B168" s="76" t="s">
        <v>456</v>
      </c>
      <c r="C168" s="77" t="s">
        <v>2686</v>
      </c>
      <c r="D168" s="77" t="s">
        <v>983</v>
      </c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ht="45" x14ac:dyDescent="0.25">
      <c r="A169" s="64" t="s">
        <v>2197</v>
      </c>
      <c r="B169" s="76" t="s">
        <v>32</v>
      </c>
      <c r="C169" s="77" t="s">
        <v>2614</v>
      </c>
      <c r="D169" s="77" t="s">
        <v>1089</v>
      </c>
      <c r="E169" s="77" t="s">
        <v>2613</v>
      </c>
      <c r="F169" s="77" t="s">
        <v>977</v>
      </c>
      <c r="G169" s="77" t="s">
        <v>2609</v>
      </c>
      <c r="H169" s="77" t="s">
        <v>980</v>
      </c>
      <c r="I169" s="77" t="s">
        <v>981</v>
      </c>
      <c r="J169" s="77" t="s">
        <v>593</v>
      </c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ht="22.5" x14ac:dyDescent="0.25">
      <c r="A170" s="64" t="s">
        <v>2198</v>
      </c>
      <c r="B170" s="76" t="s">
        <v>456</v>
      </c>
      <c r="C170" s="77" t="s">
        <v>2686</v>
      </c>
      <c r="D170" s="77" t="s">
        <v>983</v>
      </c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ht="45" x14ac:dyDescent="0.25">
      <c r="A171" s="64" t="s">
        <v>2199</v>
      </c>
      <c r="B171" s="76" t="s">
        <v>32</v>
      </c>
      <c r="C171" s="77" t="s">
        <v>2614</v>
      </c>
      <c r="D171" s="77" t="s">
        <v>1089</v>
      </c>
      <c r="E171" s="77" t="s">
        <v>2613</v>
      </c>
      <c r="F171" s="77" t="s">
        <v>977</v>
      </c>
      <c r="G171" s="77" t="s">
        <v>2609</v>
      </c>
      <c r="H171" s="77" t="s">
        <v>980</v>
      </c>
      <c r="I171" s="77" t="s">
        <v>981</v>
      </c>
      <c r="J171" s="77" t="s">
        <v>593</v>
      </c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ht="22.5" x14ac:dyDescent="0.25">
      <c r="A172" s="64" t="s">
        <v>2200</v>
      </c>
      <c r="B172" s="76" t="s">
        <v>456</v>
      </c>
      <c r="C172" s="77" t="s">
        <v>2686</v>
      </c>
      <c r="D172" s="77" t="s">
        <v>983</v>
      </c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ht="45" x14ac:dyDescent="0.25">
      <c r="A173" s="64" t="s">
        <v>2201</v>
      </c>
      <c r="B173" s="76" t="s">
        <v>32</v>
      </c>
      <c r="C173" s="77" t="s">
        <v>2614</v>
      </c>
      <c r="D173" s="77" t="s">
        <v>1089</v>
      </c>
      <c r="E173" s="77" t="s">
        <v>2613</v>
      </c>
      <c r="F173" s="77" t="s">
        <v>977</v>
      </c>
      <c r="G173" s="77" t="s">
        <v>2609</v>
      </c>
      <c r="H173" s="77" t="s">
        <v>980</v>
      </c>
      <c r="I173" s="77" t="s">
        <v>981</v>
      </c>
      <c r="J173" s="77" t="s">
        <v>593</v>
      </c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ht="22.5" x14ac:dyDescent="0.25">
      <c r="A174" s="64" t="s">
        <v>2202</v>
      </c>
      <c r="B174" s="76" t="s">
        <v>456</v>
      </c>
      <c r="C174" s="77" t="s">
        <v>2686</v>
      </c>
      <c r="D174" s="77" t="s">
        <v>983</v>
      </c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ht="45" x14ac:dyDescent="0.25">
      <c r="A175" s="64" t="s">
        <v>2203</v>
      </c>
      <c r="B175" s="76" t="s">
        <v>32</v>
      </c>
      <c r="C175" s="77" t="s">
        <v>2614</v>
      </c>
      <c r="D175" s="77" t="s">
        <v>1089</v>
      </c>
      <c r="E175" s="77" t="s">
        <v>2613</v>
      </c>
      <c r="F175" s="77" t="s">
        <v>977</v>
      </c>
      <c r="G175" s="77" t="s">
        <v>2609</v>
      </c>
      <c r="H175" s="77" t="s">
        <v>980</v>
      </c>
      <c r="I175" s="77" t="s">
        <v>981</v>
      </c>
      <c r="J175" s="77" t="s">
        <v>593</v>
      </c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ht="22.5" x14ac:dyDescent="0.25">
      <c r="A176" s="64" t="s">
        <v>2204</v>
      </c>
      <c r="B176" s="76" t="s">
        <v>456</v>
      </c>
      <c r="C176" s="77" t="s">
        <v>2686</v>
      </c>
      <c r="D176" s="77" t="s">
        <v>983</v>
      </c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ht="45" x14ac:dyDescent="0.25">
      <c r="A177" s="64" t="s">
        <v>2205</v>
      </c>
      <c r="B177" s="76" t="s">
        <v>32</v>
      </c>
      <c r="C177" s="77" t="s">
        <v>2614</v>
      </c>
      <c r="D177" s="77" t="s">
        <v>1089</v>
      </c>
      <c r="E177" s="77" t="s">
        <v>2613</v>
      </c>
      <c r="F177" s="77" t="s">
        <v>977</v>
      </c>
      <c r="G177" s="77" t="s">
        <v>2609</v>
      </c>
      <c r="H177" s="77" t="s">
        <v>980</v>
      </c>
      <c r="I177" s="77" t="s">
        <v>981</v>
      </c>
      <c r="J177" s="77" t="s">
        <v>593</v>
      </c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ht="22.5" x14ac:dyDescent="0.25">
      <c r="A178" s="64" t="s">
        <v>2206</v>
      </c>
      <c r="B178" s="76" t="s">
        <v>456</v>
      </c>
      <c r="C178" s="77" t="s">
        <v>2686</v>
      </c>
      <c r="D178" s="77" t="s">
        <v>983</v>
      </c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ht="45" x14ac:dyDescent="0.25">
      <c r="A179" s="64" t="s">
        <v>2207</v>
      </c>
      <c r="B179" s="76" t="s">
        <v>32</v>
      </c>
      <c r="C179" s="77" t="s">
        <v>2614</v>
      </c>
      <c r="D179" s="77" t="s">
        <v>1089</v>
      </c>
      <c r="E179" s="77" t="s">
        <v>2613</v>
      </c>
      <c r="F179" s="77" t="s">
        <v>977</v>
      </c>
      <c r="G179" s="77" t="s">
        <v>2609</v>
      </c>
      <c r="H179" s="77" t="s">
        <v>980</v>
      </c>
      <c r="I179" s="77" t="s">
        <v>981</v>
      </c>
      <c r="J179" s="77" t="s">
        <v>593</v>
      </c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ht="22.5" x14ac:dyDescent="0.25">
      <c r="A180" s="64" t="s">
        <v>2208</v>
      </c>
      <c r="B180" s="76" t="s">
        <v>456</v>
      </c>
      <c r="C180" s="77" t="s">
        <v>2686</v>
      </c>
      <c r="D180" s="77" t="s">
        <v>983</v>
      </c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ht="67.5" x14ac:dyDescent="0.25">
      <c r="A181" s="64" t="s">
        <v>2209</v>
      </c>
      <c r="B181" s="76" t="s">
        <v>32</v>
      </c>
      <c r="C181" s="77" t="s">
        <v>1085</v>
      </c>
      <c r="D181" s="77" t="s">
        <v>975</v>
      </c>
      <c r="E181" s="77" t="s">
        <v>1086</v>
      </c>
      <c r="F181" s="77" t="s">
        <v>977</v>
      </c>
      <c r="G181" s="77" t="s">
        <v>978</v>
      </c>
      <c r="H181" s="77" t="s">
        <v>2609</v>
      </c>
      <c r="I181" s="77" t="s">
        <v>980</v>
      </c>
      <c r="J181" s="77" t="s">
        <v>981</v>
      </c>
      <c r="K181" s="77" t="s">
        <v>593</v>
      </c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ht="22.5" x14ac:dyDescent="0.25">
      <c r="A182" s="64" t="s">
        <v>2210</v>
      </c>
      <c r="B182" s="76" t="s">
        <v>456</v>
      </c>
      <c r="C182" s="77" t="s">
        <v>2610</v>
      </c>
      <c r="D182" s="77" t="s">
        <v>983</v>
      </c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ht="67.5" x14ac:dyDescent="0.25">
      <c r="A183" s="64" t="s">
        <v>2211</v>
      </c>
      <c r="B183" s="76" t="s">
        <v>32</v>
      </c>
      <c r="C183" s="77" t="s">
        <v>2611</v>
      </c>
      <c r="D183" s="77" t="s">
        <v>2612</v>
      </c>
      <c r="E183" s="77" t="s">
        <v>2613</v>
      </c>
      <c r="F183" s="77" t="s">
        <v>977</v>
      </c>
      <c r="G183" s="77" t="s">
        <v>978</v>
      </c>
      <c r="H183" s="77" t="s">
        <v>2609</v>
      </c>
      <c r="I183" s="77" t="s">
        <v>980</v>
      </c>
      <c r="J183" s="77" t="s">
        <v>981</v>
      </c>
      <c r="K183" s="77" t="s">
        <v>593</v>
      </c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ht="22.5" x14ac:dyDescent="0.25">
      <c r="A184" s="64" t="s">
        <v>2212</v>
      </c>
      <c r="B184" s="76" t="s">
        <v>456</v>
      </c>
      <c r="C184" s="77" t="s">
        <v>2610</v>
      </c>
      <c r="D184" s="77" t="s">
        <v>983</v>
      </c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ht="45" x14ac:dyDescent="0.25">
      <c r="A185" s="64" t="s">
        <v>2213</v>
      </c>
      <c r="B185" s="76" t="s">
        <v>32</v>
      </c>
      <c r="C185" s="77" t="s">
        <v>2614</v>
      </c>
      <c r="D185" s="77" t="s">
        <v>1089</v>
      </c>
      <c r="E185" s="77" t="s">
        <v>2615</v>
      </c>
      <c r="F185" s="77" t="s">
        <v>977</v>
      </c>
      <c r="G185" s="77" t="s">
        <v>2609</v>
      </c>
      <c r="H185" s="77" t="s">
        <v>980</v>
      </c>
      <c r="I185" s="77" t="s">
        <v>981</v>
      </c>
      <c r="J185" s="77" t="s">
        <v>593</v>
      </c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ht="22.5" x14ac:dyDescent="0.25">
      <c r="A186" s="64" t="s">
        <v>2214</v>
      </c>
      <c r="B186" s="76" t="s">
        <v>456</v>
      </c>
      <c r="C186" s="77" t="s">
        <v>2610</v>
      </c>
      <c r="D186" s="77" t="s">
        <v>983</v>
      </c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ht="45" x14ac:dyDescent="0.25">
      <c r="A187" s="64" t="s">
        <v>2215</v>
      </c>
      <c r="B187" s="76" t="s">
        <v>32</v>
      </c>
      <c r="C187" s="77" t="s">
        <v>2614</v>
      </c>
      <c r="D187" s="77" t="s">
        <v>1089</v>
      </c>
      <c r="E187" s="77" t="s">
        <v>2615</v>
      </c>
      <c r="F187" s="77" t="s">
        <v>977</v>
      </c>
      <c r="G187" s="77" t="s">
        <v>2609</v>
      </c>
      <c r="H187" s="77" t="s">
        <v>980</v>
      </c>
      <c r="I187" s="77" t="s">
        <v>981</v>
      </c>
      <c r="J187" s="77" t="s">
        <v>593</v>
      </c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ht="22.5" x14ac:dyDescent="0.25">
      <c r="A188" s="64" t="s">
        <v>2216</v>
      </c>
      <c r="B188" s="76" t="s">
        <v>456</v>
      </c>
      <c r="C188" s="77" t="s">
        <v>2610</v>
      </c>
      <c r="D188" s="77" t="s">
        <v>983</v>
      </c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ht="45" x14ac:dyDescent="0.25">
      <c r="A189" s="64" t="s">
        <v>2217</v>
      </c>
      <c r="B189" s="76" t="s">
        <v>32</v>
      </c>
      <c r="C189" s="77" t="s">
        <v>2614</v>
      </c>
      <c r="D189" s="77" t="s">
        <v>1089</v>
      </c>
      <c r="E189" s="77" t="s">
        <v>2615</v>
      </c>
      <c r="F189" s="77" t="s">
        <v>977</v>
      </c>
      <c r="G189" s="77" t="s">
        <v>2609</v>
      </c>
      <c r="H189" s="77" t="s">
        <v>980</v>
      </c>
      <c r="I189" s="77" t="s">
        <v>981</v>
      </c>
      <c r="J189" s="77" t="s">
        <v>593</v>
      </c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ht="22.5" x14ac:dyDescent="0.25">
      <c r="A190" s="64" t="s">
        <v>2218</v>
      </c>
      <c r="B190" s="76" t="s">
        <v>456</v>
      </c>
      <c r="C190" s="77" t="s">
        <v>2610</v>
      </c>
      <c r="D190" s="77" t="s">
        <v>983</v>
      </c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ht="45" x14ac:dyDescent="0.25">
      <c r="A191" s="64" t="s">
        <v>2219</v>
      </c>
      <c r="B191" s="76" t="s">
        <v>32</v>
      </c>
      <c r="C191" s="77" t="s">
        <v>2614</v>
      </c>
      <c r="D191" s="77" t="s">
        <v>1089</v>
      </c>
      <c r="E191" s="77" t="s">
        <v>2615</v>
      </c>
      <c r="F191" s="77" t="s">
        <v>977</v>
      </c>
      <c r="G191" s="77" t="s">
        <v>2609</v>
      </c>
      <c r="H191" s="77" t="s">
        <v>980</v>
      </c>
      <c r="I191" s="77" t="s">
        <v>981</v>
      </c>
      <c r="J191" s="77" t="s">
        <v>593</v>
      </c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ht="22.5" x14ac:dyDescent="0.25">
      <c r="A192" s="64" t="s">
        <v>2220</v>
      </c>
      <c r="B192" s="76" t="s">
        <v>456</v>
      </c>
      <c r="C192" s="77" t="s">
        <v>2610</v>
      </c>
      <c r="D192" s="77" t="s">
        <v>983</v>
      </c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ht="45" x14ac:dyDescent="0.25">
      <c r="A193" s="64" t="s">
        <v>2221</v>
      </c>
      <c r="B193" s="76" t="s">
        <v>32</v>
      </c>
      <c r="C193" s="77" t="s">
        <v>2614</v>
      </c>
      <c r="D193" s="77" t="s">
        <v>1089</v>
      </c>
      <c r="E193" s="77" t="s">
        <v>2615</v>
      </c>
      <c r="F193" s="77" t="s">
        <v>977</v>
      </c>
      <c r="G193" s="77" t="s">
        <v>2609</v>
      </c>
      <c r="H193" s="77" t="s">
        <v>980</v>
      </c>
      <c r="I193" s="77" t="s">
        <v>981</v>
      </c>
      <c r="J193" s="77" t="s">
        <v>593</v>
      </c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ht="22.5" x14ac:dyDescent="0.25">
      <c r="A194" s="64" t="s">
        <v>2222</v>
      </c>
      <c r="B194" s="76" t="s">
        <v>456</v>
      </c>
      <c r="C194" s="77" t="s">
        <v>2610</v>
      </c>
      <c r="D194" s="77" t="s">
        <v>983</v>
      </c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ht="45" x14ac:dyDescent="0.25">
      <c r="A195" s="64" t="s">
        <v>2223</v>
      </c>
      <c r="B195" s="76" t="s">
        <v>32</v>
      </c>
      <c r="C195" s="77" t="s">
        <v>2614</v>
      </c>
      <c r="D195" s="77" t="s">
        <v>1089</v>
      </c>
      <c r="E195" s="77" t="s">
        <v>2615</v>
      </c>
      <c r="F195" s="77" t="s">
        <v>977</v>
      </c>
      <c r="G195" s="77" t="s">
        <v>2609</v>
      </c>
      <c r="H195" s="77" t="s">
        <v>980</v>
      </c>
      <c r="I195" s="77" t="s">
        <v>981</v>
      </c>
      <c r="J195" s="77" t="s">
        <v>593</v>
      </c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ht="22.5" x14ac:dyDescent="0.25">
      <c r="A196" s="64" t="s">
        <v>2224</v>
      </c>
      <c r="B196" s="76" t="s">
        <v>456</v>
      </c>
      <c r="C196" s="77" t="s">
        <v>2610</v>
      </c>
      <c r="D196" s="77" t="s">
        <v>983</v>
      </c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ht="45" x14ac:dyDescent="0.25">
      <c r="A197" s="64" t="s">
        <v>2225</v>
      </c>
      <c r="B197" s="76" t="s">
        <v>32</v>
      </c>
      <c r="C197" s="77" t="s">
        <v>2614</v>
      </c>
      <c r="D197" s="77" t="s">
        <v>1089</v>
      </c>
      <c r="E197" s="77" t="s">
        <v>2615</v>
      </c>
      <c r="F197" s="77" t="s">
        <v>977</v>
      </c>
      <c r="G197" s="77" t="s">
        <v>2609</v>
      </c>
      <c r="H197" s="77" t="s">
        <v>980</v>
      </c>
      <c r="I197" s="77" t="s">
        <v>981</v>
      </c>
      <c r="J197" s="77" t="s">
        <v>593</v>
      </c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ht="22.5" x14ac:dyDescent="0.25">
      <c r="A198" s="64" t="s">
        <v>2226</v>
      </c>
      <c r="B198" s="76" t="s">
        <v>456</v>
      </c>
      <c r="C198" s="77" t="s">
        <v>2610</v>
      </c>
      <c r="D198" s="77" t="s">
        <v>983</v>
      </c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ht="45" x14ac:dyDescent="0.25">
      <c r="A199" s="64" t="s">
        <v>2227</v>
      </c>
      <c r="B199" s="76" t="s">
        <v>32</v>
      </c>
      <c r="C199" s="77" t="s">
        <v>2614</v>
      </c>
      <c r="D199" s="77" t="s">
        <v>1089</v>
      </c>
      <c r="E199" s="77" t="s">
        <v>2615</v>
      </c>
      <c r="F199" s="77" t="s">
        <v>977</v>
      </c>
      <c r="G199" s="77" t="s">
        <v>2609</v>
      </c>
      <c r="H199" s="77" t="s">
        <v>980</v>
      </c>
      <c r="I199" s="77" t="s">
        <v>981</v>
      </c>
      <c r="J199" s="77" t="s">
        <v>593</v>
      </c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ht="22.5" x14ac:dyDescent="0.25">
      <c r="A200" s="64" t="s">
        <v>2228</v>
      </c>
      <c r="B200" s="76" t="s">
        <v>456</v>
      </c>
      <c r="C200" s="77" t="s">
        <v>2610</v>
      </c>
      <c r="D200" s="77" t="s">
        <v>983</v>
      </c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x14ac:dyDescent="0.25">
      <c r="A201" s="64" t="s">
        <v>2647</v>
      </c>
      <c r="B201" s="76" t="s">
        <v>32</v>
      </c>
      <c r="C201" s="77" t="s">
        <v>2634</v>
      </c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x14ac:dyDescent="0.25">
      <c r="A202" s="64" t="s">
        <v>2648</v>
      </c>
      <c r="B202" s="76" t="s">
        <v>456</v>
      </c>
      <c r="C202" s="77" t="s">
        <v>2633</v>
      </c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x14ac:dyDescent="0.25">
      <c r="A203" s="64" t="s">
        <v>2229</v>
      </c>
      <c r="B203" s="117" t="s">
        <v>32</v>
      </c>
      <c r="C203" s="77" t="s">
        <v>2634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x14ac:dyDescent="0.25">
      <c r="A204" s="64" t="s">
        <v>2230</v>
      </c>
      <c r="B204" s="117" t="s">
        <v>456</v>
      </c>
      <c r="C204" s="77" t="s">
        <v>2633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x14ac:dyDescent="0.25">
      <c r="A205" s="64" t="s">
        <v>2231</v>
      </c>
      <c r="B205" s="117" t="s">
        <v>32</v>
      </c>
      <c r="C205" s="77" t="s">
        <v>2634</v>
      </c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ht="22.5" x14ac:dyDescent="0.25">
      <c r="A206" s="64" t="s">
        <v>2232</v>
      </c>
      <c r="B206" s="117" t="s">
        <v>456</v>
      </c>
      <c r="C206" s="77" t="s">
        <v>2633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ht="45" x14ac:dyDescent="0.25">
      <c r="A207" s="64" t="s">
        <v>2233</v>
      </c>
      <c r="B207" s="117" t="s">
        <v>32</v>
      </c>
      <c r="C207" s="77" t="s">
        <v>1088</v>
      </c>
      <c r="D207" s="77" t="s">
        <v>1089</v>
      </c>
      <c r="E207" s="77" t="s">
        <v>1092</v>
      </c>
      <c r="F207" s="77" t="s">
        <v>977</v>
      </c>
      <c r="G207" s="77" t="s">
        <v>987</v>
      </c>
      <c r="H207" s="77" t="s">
        <v>978</v>
      </c>
      <c r="I207" s="77" t="s">
        <v>979</v>
      </c>
      <c r="J207" s="77" t="s">
        <v>980</v>
      </c>
      <c r="K207" s="77" t="s">
        <v>981</v>
      </c>
      <c r="L207" s="77" t="s">
        <v>1211</v>
      </c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ht="22.5" x14ac:dyDescent="0.25">
      <c r="A208" s="64" t="s">
        <v>2234</v>
      </c>
      <c r="B208" s="117" t="s">
        <v>456</v>
      </c>
      <c r="C208" s="77" t="s">
        <v>1996</v>
      </c>
      <c r="D208" s="77" t="s">
        <v>983</v>
      </c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ht="45" x14ac:dyDescent="0.25">
      <c r="A209" s="64" t="s">
        <v>2235</v>
      </c>
      <c r="B209" s="117" t="s">
        <v>32</v>
      </c>
      <c r="C209" s="77" t="s">
        <v>1088</v>
      </c>
      <c r="D209" s="77" t="s">
        <v>1089</v>
      </c>
      <c r="E209" s="77" t="s">
        <v>1092</v>
      </c>
      <c r="F209" s="77" t="s">
        <v>977</v>
      </c>
      <c r="G209" s="77" t="s">
        <v>987</v>
      </c>
      <c r="H209" s="77" t="s">
        <v>978</v>
      </c>
      <c r="I209" s="77" t="s">
        <v>979</v>
      </c>
      <c r="J209" s="77" t="s">
        <v>980</v>
      </c>
      <c r="K209" s="77" t="s">
        <v>981</v>
      </c>
      <c r="L209" s="77" t="s">
        <v>1211</v>
      </c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ht="22.5" x14ac:dyDescent="0.25">
      <c r="A210" s="64" t="s">
        <v>2236</v>
      </c>
      <c r="B210" s="117" t="s">
        <v>456</v>
      </c>
      <c r="C210" s="77" t="s">
        <v>1996</v>
      </c>
      <c r="D210" s="77" t="s">
        <v>983</v>
      </c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</sheetData>
  <autoFilter ref="A1:AG210" xr:uid="{00000000-0001-0000-0000-000000000000}"/>
  <conditionalFormatting sqref="A1 A3:A120 A211:A1048576">
    <cfRule type="duplicateValues" dxfId="4" priority="10"/>
  </conditionalFormatting>
  <conditionalFormatting sqref="A2">
    <cfRule type="duplicateValues" dxfId="3" priority="9"/>
  </conditionalFormatting>
  <conditionalFormatting sqref="A121:A210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A298-0F52-4165-B9BB-6705DB0F32ED}">
  <dimension ref="A1:FW58"/>
  <sheetViews>
    <sheetView workbookViewId="0">
      <selection sqref="A1:XFD1"/>
    </sheetView>
  </sheetViews>
  <sheetFormatPr baseColWidth="10" defaultColWidth="10.7109375" defaultRowHeight="20.100000000000001" customHeight="1" x14ac:dyDescent="0.25"/>
  <cols>
    <col min="13" max="13" width="29.28515625" customWidth="1"/>
  </cols>
  <sheetData>
    <row r="1" spans="1:179" s="43" customFormat="1" ht="20.100000000000001" customHeight="1" x14ac:dyDescent="0.25">
      <c r="A1" s="3" t="s">
        <v>0</v>
      </c>
      <c r="B1" s="40" t="s">
        <v>77</v>
      </c>
      <c r="C1" s="40" t="s">
        <v>90</v>
      </c>
      <c r="D1" s="3" t="s">
        <v>91</v>
      </c>
      <c r="E1" s="3" t="s">
        <v>1</v>
      </c>
      <c r="F1" s="3" t="s">
        <v>2</v>
      </c>
      <c r="G1" s="3" t="s">
        <v>84</v>
      </c>
      <c r="H1" s="3" t="s">
        <v>83</v>
      </c>
      <c r="I1" s="3" t="s">
        <v>3</v>
      </c>
      <c r="J1" s="3" t="s">
        <v>146</v>
      </c>
      <c r="K1" s="3" t="s">
        <v>82</v>
      </c>
      <c r="L1" s="3" t="s">
        <v>81</v>
      </c>
      <c r="M1" s="3" t="s">
        <v>4</v>
      </c>
      <c r="N1" s="3" t="s">
        <v>5</v>
      </c>
      <c r="O1" s="3" t="s">
        <v>79</v>
      </c>
      <c r="P1" s="3" t="s">
        <v>78</v>
      </c>
      <c r="Q1" s="3" t="s">
        <v>6</v>
      </c>
      <c r="R1" s="3" t="s">
        <v>80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73</v>
      </c>
      <c r="AA1" s="3" t="s">
        <v>14</v>
      </c>
      <c r="AB1" s="3" t="s">
        <v>15</v>
      </c>
      <c r="AC1" s="24" t="s">
        <v>16</v>
      </c>
      <c r="AD1" s="3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3" t="s">
        <v>22</v>
      </c>
      <c r="AJ1" s="3" t="s">
        <v>23</v>
      </c>
      <c r="AK1" s="3" t="s">
        <v>24</v>
      </c>
      <c r="AL1" s="3" t="s">
        <v>25</v>
      </c>
      <c r="AM1" s="3" t="s">
        <v>26</v>
      </c>
      <c r="AN1" s="3" t="s">
        <v>27</v>
      </c>
      <c r="AO1" s="47" t="s">
        <v>28</v>
      </c>
      <c r="AP1" s="3" t="s">
        <v>149</v>
      </c>
      <c r="AQ1" s="3" t="s">
        <v>148</v>
      </c>
      <c r="AR1" s="3" t="s">
        <v>104</v>
      </c>
      <c r="AS1" s="3" t="s">
        <v>105</v>
      </c>
      <c r="AT1" s="3" t="s">
        <v>106</v>
      </c>
      <c r="AU1" s="3" t="s">
        <v>107</v>
      </c>
      <c r="AV1" s="3" t="s">
        <v>108</v>
      </c>
      <c r="AW1" s="3" t="s">
        <v>102</v>
      </c>
      <c r="AX1" s="3" t="s">
        <v>103</v>
      </c>
      <c r="AY1" s="3" t="s">
        <v>100</v>
      </c>
      <c r="AZ1" s="3" t="s">
        <v>101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29"/>
      <c r="BM1" s="3" t="s">
        <v>147</v>
      </c>
      <c r="BN1" s="3" t="s">
        <v>166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25"/>
      <c r="CA1" s="24" t="s">
        <v>173</v>
      </c>
      <c r="CB1" s="24" t="s">
        <v>159</v>
      </c>
      <c r="CC1" s="2" t="s">
        <v>145</v>
      </c>
      <c r="CD1" s="3" t="s">
        <v>82</v>
      </c>
      <c r="CE1" s="20" t="s">
        <v>99</v>
      </c>
      <c r="CF1" s="122" t="s">
        <v>98</v>
      </c>
      <c r="CG1" s="123"/>
      <c r="CH1" s="27"/>
      <c r="CI1" s="41" t="s">
        <v>144</v>
      </c>
      <c r="CJ1" s="41" t="s">
        <v>144</v>
      </c>
      <c r="CK1" s="42" t="s">
        <v>195</v>
      </c>
      <c r="CL1" s="42" t="s">
        <v>238</v>
      </c>
      <c r="CM1" s="42" t="s">
        <v>235</v>
      </c>
      <c r="CN1" s="42" t="s">
        <v>234</v>
      </c>
      <c r="CO1" s="42" t="s">
        <v>227</v>
      </c>
      <c r="CP1" s="42" t="s">
        <v>236</v>
      </c>
      <c r="CQ1" s="42" t="s">
        <v>223</v>
      </c>
      <c r="CR1" s="42" t="s">
        <v>237</v>
      </c>
      <c r="CS1" s="42" t="s">
        <v>222</v>
      </c>
      <c r="CT1" s="42" t="s">
        <v>201</v>
      </c>
      <c r="CU1" s="42" t="s">
        <v>221</v>
      </c>
      <c r="CV1" s="42" t="s">
        <v>171</v>
      </c>
      <c r="CW1" s="42" t="s">
        <v>174</v>
      </c>
      <c r="CX1" s="42" t="s">
        <v>233</v>
      </c>
      <c r="CY1" s="42" t="s">
        <v>182</v>
      </c>
      <c r="CZ1" s="42" t="s">
        <v>175</v>
      </c>
      <c r="DA1" s="42" t="s">
        <v>348</v>
      </c>
      <c r="DB1" s="42" t="s">
        <v>347</v>
      </c>
      <c r="DC1" s="42" t="s">
        <v>226</v>
      </c>
      <c r="DD1" s="42" t="s">
        <v>210</v>
      </c>
      <c r="DE1" s="42" t="s">
        <v>211</v>
      </c>
      <c r="DF1" s="42" t="s">
        <v>176</v>
      </c>
      <c r="DG1" s="42" t="s">
        <v>184</v>
      </c>
      <c r="DH1" s="42" t="s">
        <v>200</v>
      </c>
      <c r="DI1" s="42" t="s">
        <v>212</v>
      </c>
      <c r="DJ1" s="42" t="s">
        <v>188</v>
      </c>
      <c r="DK1" s="42" t="s">
        <v>187</v>
      </c>
      <c r="DL1" s="42" t="s">
        <v>185</v>
      </c>
      <c r="DM1" s="42" t="s">
        <v>186</v>
      </c>
      <c r="DN1" s="42" t="s">
        <v>189</v>
      </c>
      <c r="DO1" s="42" t="s">
        <v>192</v>
      </c>
      <c r="DP1" s="42" t="s">
        <v>190</v>
      </c>
      <c r="DQ1" s="42" t="s">
        <v>191</v>
      </c>
      <c r="DR1" s="42" t="s">
        <v>193</v>
      </c>
      <c r="DS1" s="42" t="s">
        <v>194</v>
      </c>
      <c r="DT1" s="42" t="s">
        <v>177</v>
      </c>
      <c r="DU1" s="42" t="s">
        <v>205</v>
      </c>
      <c r="DV1" s="42" t="s">
        <v>178</v>
      </c>
      <c r="DW1" s="42" t="s">
        <v>179</v>
      </c>
      <c r="DX1" s="42" t="s">
        <v>224</v>
      </c>
      <c r="DY1" s="42" t="s">
        <v>181</v>
      </c>
      <c r="DZ1" s="42" t="s">
        <v>180</v>
      </c>
      <c r="EA1" s="42" t="s">
        <v>198</v>
      </c>
      <c r="EB1" s="42" t="s">
        <v>199</v>
      </c>
      <c r="EC1" s="42" t="s">
        <v>183</v>
      </c>
      <c r="ED1" s="42" t="s">
        <v>202</v>
      </c>
      <c r="EE1" s="42" t="s">
        <v>350</v>
      </c>
      <c r="EF1" s="42" t="s">
        <v>203</v>
      </c>
      <c r="EG1" s="42" t="s">
        <v>218</v>
      </c>
      <c r="EH1" s="42" t="s">
        <v>197</v>
      </c>
      <c r="EI1" s="42" t="s">
        <v>207</v>
      </c>
      <c r="EJ1" s="42" t="s">
        <v>209</v>
      </c>
      <c r="EK1" s="42" t="s">
        <v>208</v>
      </c>
      <c r="EL1" s="34" t="s">
        <v>160</v>
      </c>
      <c r="EM1" s="28"/>
      <c r="EN1" s="26" t="s">
        <v>120</v>
      </c>
      <c r="EO1" s="2" t="s">
        <v>110</v>
      </c>
      <c r="EP1" s="20" t="s">
        <v>111</v>
      </c>
      <c r="EQ1" s="20" t="s">
        <v>127</v>
      </c>
      <c r="ER1" s="20" t="s">
        <v>126</v>
      </c>
      <c r="ES1" s="26" t="s">
        <v>112</v>
      </c>
      <c r="ET1" s="20" t="s">
        <v>109</v>
      </c>
      <c r="EU1" s="20" t="s">
        <v>131</v>
      </c>
      <c r="EV1" s="20" t="s">
        <v>132</v>
      </c>
      <c r="EW1" s="20" t="s">
        <v>133</v>
      </c>
      <c r="EX1" s="20"/>
      <c r="EY1" s="20" t="s">
        <v>113</v>
      </c>
      <c r="EZ1" s="2" t="s">
        <v>114</v>
      </c>
      <c r="FA1" s="20" t="s">
        <v>115</v>
      </c>
      <c r="FB1" s="20" t="s">
        <v>130</v>
      </c>
      <c r="FC1" s="20" t="s">
        <v>126</v>
      </c>
      <c r="FD1" s="26" t="s">
        <v>121</v>
      </c>
      <c r="FE1" s="20" t="s">
        <v>150</v>
      </c>
      <c r="FF1" s="20"/>
      <c r="FG1" s="20" t="s">
        <v>122</v>
      </c>
      <c r="FH1" s="2" t="s">
        <v>118</v>
      </c>
      <c r="FI1" s="20" t="s">
        <v>119</v>
      </c>
      <c r="FJ1" s="20" t="s">
        <v>129</v>
      </c>
      <c r="FK1" s="20" t="s">
        <v>126</v>
      </c>
      <c r="FL1" s="26" t="s">
        <v>123</v>
      </c>
      <c r="FM1" s="26"/>
      <c r="FN1" s="26"/>
      <c r="FO1" s="20" t="s">
        <v>124</v>
      </c>
      <c r="FP1" s="2" t="s">
        <v>116</v>
      </c>
      <c r="FQ1" s="20" t="s">
        <v>117</v>
      </c>
      <c r="FR1" s="20" t="s">
        <v>128</v>
      </c>
      <c r="FS1" s="20" t="s">
        <v>126</v>
      </c>
      <c r="FT1" s="26" t="s">
        <v>97</v>
      </c>
      <c r="FU1" s="26"/>
      <c r="FV1" s="26"/>
      <c r="FW1" s="20" t="s">
        <v>125</v>
      </c>
    </row>
    <row r="2" spans="1:179" ht="20.100000000000001" customHeight="1" x14ac:dyDescent="0.25">
      <c r="A2" s="5" t="s">
        <v>74</v>
      </c>
      <c r="B2" s="5" t="s">
        <v>246</v>
      </c>
      <c r="C2" s="5" t="s">
        <v>247</v>
      </c>
      <c r="D2" s="1"/>
      <c r="E2" s="4" t="s">
        <v>33</v>
      </c>
      <c r="F2" s="5" t="s">
        <v>37</v>
      </c>
      <c r="G2" s="5" t="s">
        <v>38</v>
      </c>
      <c r="H2" s="5" t="s">
        <v>29</v>
      </c>
      <c r="I2" s="5" t="s">
        <v>7</v>
      </c>
      <c r="J2" s="4"/>
      <c r="K2" s="5" t="s">
        <v>30</v>
      </c>
      <c r="L2" s="5"/>
      <c r="M2" s="5" t="s">
        <v>248</v>
      </c>
      <c r="N2" s="6" t="s">
        <v>63</v>
      </c>
      <c r="O2" s="37">
        <v>5792</v>
      </c>
      <c r="P2" s="37">
        <v>2254</v>
      </c>
      <c r="Q2" s="5">
        <v>2300</v>
      </c>
      <c r="R2" s="5"/>
      <c r="S2" s="5">
        <v>3520</v>
      </c>
      <c r="T2" s="5">
        <v>2400</v>
      </c>
      <c r="U2" s="5">
        <v>7857</v>
      </c>
      <c r="V2" s="5">
        <v>1100</v>
      </c>
      <c r="W2" s="5">
        <v>4185</v>
      </c>
      <c r="X2" s="5">
        <v>2400</v>
      </c>
      <c r="Y2" s="5"/>
      <c r="Z2" s="37">
        <v>11</v>
      </c>
      <c r="AA2" s="5" t="s">
        <v>319</v>
      </c>
      <c r="AB2" s="5">
        <v>10000</v>
      </c>
      <c r="AC2" s="30">
        <v>3454</v>
      </c>
      <c r="AD2" s="10"/>
      <c r="AE2" s="10"/>
      <c r="AF2" s="10"/>
      <c r="AG2" s="10"/>
      <c r="AH2" s="5" t="s">
        <v>161</v>
      </c>
      <c r="AI2" s="4" t="s">
        <v>169</v>
      </c>
      <c r="AJ2" s="37" t="s">
        <v>349</v>
      </c>
      <c r="AK2" s="5" t="s">
        <v>76</v>
      </c>
      <c r="AL2" s="5" t="s">
        <v>39</v>
      </c>
      <c r="AM2" s="5" t="s">
        <v>172</v>
      </c>
      <c r="AN2" s="4" t="s">
        <v>352</v>
      </c>
      <c r="AO2" s="11" t="s">
        <v>65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20" t="e">
        <f>IF(CONCATENATE(A2,B2,C2,D2,E2,F2,G2,H2,I2,J2,K2,L2,M2,N2,O2,P2,Q2,R2,S2,T2,U2,V2,W2,X2,Y2,Z2,AA2,AB2,AC2,AD2,AE2,AF2,AG2,AH2,AI2,AJ2,AK2,AL2,AM2,AN2,AO2,AP2,AQ2,AR2,AS2,AT2,AU2,AV2,AW2,AX2,AY2,AZ2,BA2,BB2,BC2,BD2,BE2,BF2,BG2,BH2,BI2,BJ2,BK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" s="38" t="s">
        <v>243</v>
      </c>
      <c r="BN2" s="8" t="s">
        <v>134</v>
      </c>
      <c r="BO2" s="48"/>
      <c r="BP2" s="35" t="str">
        <f t="shared" ref="BP2:BP33" si="0">A2</f>
        <v>FR</v>
      </c>
      <c r="BQ2" s="35" t="str">
        <f t="shared" ref="BQ2:BQ33" si="1">B2</f>
        <v>FS_PF_Energie Alter</v>
      </c>
      <c r="BR2" s="35" t="str">
        <f t="shared" ref="BR2:BR33" si="2">E2</f>
        <v>IVECO</v>
      </c>
      <c r="BS2" s="35" t="str">
        <f t="shared" ref="BS2:BS33" si="3">F2</f>
        <v>EUROCARGO</v>
      </c>
      <c r="BT2" s="35" t="str">
        <f t="shared" ref="BT2:BT33" si="4">M2</f>
        <v>100E21 G CF</v>
      </c>
      <c r="BU2" s="35">
        <f t="shared" ref="BU2:BU33" si="5">IF(BT2=BV2,0,1)</f>
        <v>0</v>
      </c>
      <c r="BV2" s="5" t="s">
        <v>248</v>
      </c>
      <c r="BW2" s="6" t="s">
        <v>63</v>
      </c>
      <c r="BX2" s="35" t="str">
        <f t="shared" ref="BX2:BX33" si="6">N2</f>
        <v>H01</v>
      </c>
      <c r="BY2" s="44" t="str">
        <f t="shared" ref="BY2:BY33" si="7">CONCATENATE(BP2,BQ2,BT2,BX2)</f>
        <v>FRFS_PF_Energie Alter100E21 G CFH01</v>
      </c>
      <c r="BZ2" s="48"/>
      <c r="CA2" s="35">
        <v>10000</v>
      </c>
      <c r="CB2" s="35">
        <v>10000</v>
      </c>
      <c r="CC2" s="35" t="e">
        <f>VLOOKUP(BY2,#REF!,20,0)</f>
        <v>#REF!</v>
      </c>
      <c r="CD2" s="48"/>
      <c r="CE2" s="36">
        <v>3454</v>
      </c>
      <c r="CF2" s="36">
        <v>3454</v>
      </c>
      <c r="CG2" s="36"/>
    </row>
    <row r="3" spans="1:179" ht="20.100000000000001" customHeight="1" x14ac:dyDescent="0.25">
      <c r="A3" s="5" t="s">
        <v>74</v>
      </c>
      <c r="B3" s="5" t="s">
        <v>246</v>
      </c>
      <c r="C3" s="5" t="s">
        <v>247</v>
      </c>
      <c r="D3" s="1"/>
      <c r="E3" s="4" t="s">
        <v>33</v>
      </c>
      <c r="F3" s="5" t="s">
        <v>37</v>
      </c>
      <c r="G3" s="5" t="s">
        <v>38</v>
      </c>
      <c r="H3" s="5" t="s">
        <v>12</v>
      </c>
      <c r="I3" s="5" t="s">
        <v>7</v>
      </c>
      <c r="J3" s="5"/>
      <c r="K3" s="5" t="s">
        <v>30</v>
      </c>
      <c r="L3" s="5"/>
      <c r="M3" s="5" t="s">
        <v>248</v>
      </c>
      <c r="N3" s="5" t="s">
        <v>64</v>
      </c>
      <c r="O3" s="37">
        <v>5792</v>
      </c>
      <c r="P3" s="37">
        <v>2254</v>
      </c>
      <c r="Q3" s="5">
        <v>2300</v>
      </c>
      <c r="R3" s="5"/>
      <c r="S3" s="5">
        <v>3520</v>
      </c>
      <c r="T3" s="5">
        <v>2400</v>
      </c>
      <c r="U3" s="5">
        <v>7857</v>
      </c>
      <c r="V3" s="5">
        <v>1100</v>
      </c>
      <c r="W3" s="5">
        <v>4185</v>
      </c>
      <c r="X3" s="5">
        <v>2400</v>
      </c>
      <c r="Y3" s="5"/>
      <c r="Z3" s="37">
        <v>11</v>
      </c>
      <c r="AA3" s="5" t="s">
        <v>303</v>
      </c>
      <c r="AB3" s="5">
        <v>10000</v>
      </c>
      <c r="AC3" s="30">
        <v>2974</v>
      </c>
      <c r="AD3" s="10"/>
      <c r="AE3" s="10"/>
      <c r="AF3" s="10"/>
      <c r="AG3" s="10"/>
      <c r="AH3" s="5" t="s">
        <v>161</v>
      </c>
      <c r="AI3" s="4" t="s">
        <v>169</v>
      </c>
      <c r="AJ3" s="37" t="s">
        <v>349</v>
      </c>
      <c r="AK3" s="5" t="s">
        <v>76</v>
      </c>
      <c r="AL3" s="5" t="s">
        <v>40</v>
      </c>
      <c r="AM3" s="5" t="s">
        <v>139</v>
      </c>
      <c r="AN3" s="4" t="s">
        <v>352</v>
      </c>
      <c r="AO3" s="11" t="s">
        <v>66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20" t="e">
        <f>IF(CONCATENATE(A3,B3,C3,D3,E3,F3,G3,H3,I3,J3,K3,L3,M3,N3,O3,P3,Q3,R3,S3,T3,U3,V3,W3,X3,Y3,Z3,AA3,AB3,AC3,AD3,AE3,AF3,AG3,AH3,AI3,AJ3,AK3,AL3,AM3,AN3,AO3,AP3,AQ3,AR3,AS3,AT3,AU3,AV3,AW3,AX3,AY3,AZ3,BA3,BB3,BC3,BD3,BE3,BF3,BG3,BH3,BI3,BJ3,BK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" s="38" t="s">
        <v>243</v>
      </c>
      <c r="BN3" s="8" t="s">
        <v>142</v>
      </c>
      <c r="BO3" s="48"/>
      <c r="BP3" s="35" t="str">
        <f t="shared" si="0"/>
        <v>FR</v>
      </c>
      <c r="BQ3" s="35" t="str">
        <f t="shared" si="1"/>
        <v>FS_PF_Energie Alter</v>
      </c>
      <c r="BR3" s="35" t="str">
        <f t="shared" si="2"/>
        <v>IVECO</v>
      </c>
      <c r="BS3" s="35" t="str">
        <f t="shared" si="3"/>
        <v>EUROCARGO</v>
      </c>
      <c r="BT3" s="35" t="str">
        <f t="shared" si="4"/>
        <v>100E21 G CF</v>
      </c>
      <c r="BU3" s="35">
        <f t="shared" si="5"/>
        <v>0</v>
      </c>
      <c r="BV3" s="5" t="s">
        <v>248</v>
      </c>
      <c r="BW3" s="5" t="s">
        <v>64</v>
      </c>
      <c r="BX3" s="35" t="str">
        <f t="shared" si="6"/>
        <v>H02</v>
      </c>
      <c r="BY3" s="44" t="str">
        <f t="shared" si="7"/>
        <v>FRFS_PF_Energie Alter100E21 G CFH02</v>
      </c>
      <c r="BZ3" s="48"/>
      <c r="CA3" s="35">
        <v>10000</v>
      </c>
      <c r="CB3" s="35">
        <v>10000</v>
      </c>
      <c r="CC3" s="35" t="e">
        <f>VLOOKUP(BY3,#REF!,20,0)</f>
        <v>#REF!</v>
      </c>
      <c r="CD3" s="48"/>
      <c r="CE3" s="36">
        <v>2974</v>
      </c>
      <c r="CF3" s="36">
        <v>2974</v>
      </c>
      <c r="CG3" s="36"/>
    </row>
    <row r="4" spans="1:179" ht="20.100000000000001" customHeight="1" x14ac:dyDescent="0.25">
      <c r="A4" s="5" t="s">
        <v>74</v>
      </c>
      <c r="B4" s="5" t="s">
        <v>246</v>
      </c>
      <c r="C4" s="5" t="s">
        <v>247</v>
      </c>
      <c r="D4" s="1"/>
      <c r="E4" s="4" t="s">
        <v>33</v>
      </c>
      <c r="F4" s="5" t="s">
        <v>37</v>
      </c>
      <c r="G4" s="5" t="s">
        <v>38</v>
      </c>
      <c r="H4" s="5" t="s">
        <v>29</v>
      </c>
      <c r="I4" s="5" t="s">
        <v>7</v>
      </c>
      <c r="J4" s="4"/>
      <c r="K4" s="5" t="s">
        <v>30</v>
      </c>
      <c r="L4" s="5"/>
      <c r="M4" s="5" t="s">
        <v>249</v>
      </c>
      <c r="N4" s="6" t="s">
        <v>63</v>
      </c>
      <c r="O4" s="37">
        <v>5792</v>
      </c>
      <c r="P4" s="37">
        <v>2254</v>
      </c>
      <c r="Q4" s="5">
        <v>2300</v>
      </c>
      <c r="R4" s="5"/>
      <c r="S4" s="5">
        <v>3520</v>
      </c>
      <c r="T4" s="5">
        <v>2400</v>
      </c>
      <c r="U4" s="5">
        <v>7857</v>
      </c>
      <c r="V4" s="5">
        <v>1100</v>
      </c>
      <c r="W4" s="5">
        <v>4185</v>
      </c>
      <c r="X4" s="5">
        <v>2400</v>
      </c>
      <c r="Y4" s="5"/>
      <c r="Z4" s="37">
        <v>11</v>
      </c>
      <c r="AA4" s="5" t="s">
        <v>320</v>
      </c>
      <c r="AB4" s="5">
        <v>10000</v>
      </c>
      <c r="AC4" s="30">
        <v>3454</v>
      </c>
      <c r="AD4" s="10"/>
      <c r="AE4" s="10"/>
      <c r="AF4" s="10"/>
      <c r="AG4" s="10"/>
      <c r="AH4" s="5" t="s">
        <v>161</v>
      </c>
      <c r="AI4" s="4" t="s">
        <v>169</v>
      </c>
      <c r="AJ4" s="37" t="s">
        <v>349</v>
      </c>
      <c r="AK4" s="5" t="s">
        <v>76</v>
      </c>
      <c r="AL4" s="5" t="s">
        <v>39</v>
      </c>
      <c r="AM4" s="4" t="s">
        <v>343</v>
      </c>
      <c r="AN4" s="4" t="s">
        <v>352</v>
      </c>
      <c r="AO4" s="11" t="s">
        <v>65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20" t="e">
        <f>IF(CONCATENATE(A4,B4,C4,D4,E4,F4,G4,H4,I4,J4,K4,L4,M4,N4,O4,P4,Q4,R4,S4,T4,U4,V4,W4,X4,Y4,Z4,AA4,AB4,AC4,AD4,AE4,AF4,AG4,AH4,AI4,AJ4,AK4,AL4,AM4,AN4,AO4,AP4,AQ4,AR4,AS4,AT4,AU4,AV4,AW4,AX4,AY4,AZ4,BA4,BB4,BC4,BD4,BE4,BF4,BG4,BH4,BI4,BJ4,BK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" s="38" t="s">
        <v>243</v>
      </c>
      <c r="BN4" s="8" t="s">
        <v>134</v>
      </c>
      <c r="BO4" s="48"/>
      <c r="BP4" s="35" t="str">
        <f t="shared" si="0"/>
        <v>FR</v>
      </c>
      <c r="BQ4" s="35" t="str">
        <f t="shared" si="1"/>
        <v>FS_PF_Energie Alter</v>
      </c>
      <c r="BR4" s="35" t="str">
        <f t="shared" si="2"/>
        <v>IVECO</v>
      </c>
      <c r="BS4" s="35" t="str">
        <f t="shared" si="3"/>
        <v>EUROCARGO</v>
      </c>
      <c r="BT4" s="35" t="str">
        <f t="shared" si="4"/>
        <v>100E21 G CF - TK V1000</v>
      </c>
      <c r="BU4" s="35">
        <f t="shared" si="5"/>
        <v>0</v>
      </c>
      <c r="BV4" s="5" t="s">
        <v>249</v>
      </c>
      <c r="BW4" s="6" t="s">
        <v>63</v>
      </c>
      <c r="BX4" s="35" t="str">
        <f t="shared" si="6"/>
        <v>H01</v>
      </c>
      <c r="BY4" s="44" t="str">
        <f t="shared" si="7"/>
        <v>FRFS_PF_Energie Alter100E21 G CF - TK V1000H01</v>
      </c>
      <c r="BZ4" s="48"/>
      <c r="CA4" s="35">
        <v>10000</v>
      </c>
      <c r="CB4" s="35">
        <v>10000</v>
      </c>
      <c r="CC4" s="35" t="e">
        <f>VLOOKUP(BY4,#REF!,20,0)</f>
        <v>#REF!</v>
      </c>
      <c r="CD4" s="48"/>
      <c r="CE4" s="36">
        <v>3454</v>
      </c>
      <c r="CF4" s="36">
        <v>3454</v>
      </c>
      <c r="CG4" s="36"/>
    </row>
    <row r="5" spans="1:179" ht="20.100000000000001" customHeight="1" x14ac:dyDescent="0.25">
      <c r="A5" s="5" t="s">
        <v>74</v>
      </c>
      <c r="B5" s="5" t="s">
        <v>246</v>
      </c>
      <c r="C5" s="5" t="s">
        <v>247</v>
      </c>
      <c r="D5" s="1"/>
      <c r="E5" s="4" t="s">
        <v>33</v>
      </c>
      <c r="F5" s="5" t="s">
        <v>37</v>
      </c>
      <c r="G5" s="5" t="s">
        <v>38</v>
      </c>
      <c r="H5" s="5" t="s">
        <v>12</v>
      </c>
      <c r="I5" s="5" t="s">
        <v>7</v>
      </c>
      <c r="J5" s="5"/>
      <c r="K5" s="5" t="s">
        <v>30</v>
      </c>
      <c r="L5" s="5"/>
      <c r="M5" s="5" t="s">
        <v>250</v>
      </c>
      <c r="N5" s="5" t="s">
        <v>64</v>
      </c>
      <c r="O5" s="37">
        <v>5792</v>
      </c>
      <c r="P5" s="37">
        <v>2254</v>
      </c>
      <c r="Q5" s="5">
        <v>2300</v>
      </c>
      <c r="R5" s="5"/>
      <c r="S5" s="5">
        <v>3520</v>
      </c>
      <c r="T5" s="5">
        <v>2400</v>
      </c>
      <c r="U5" s="5">
        <v>7857</v>
      </c>
      <c r="V5" s="5">
        <v>1100</v>
      </c>
      <c r="W5" s="5">
        <v>4185</v>
      </c>
      <c r="X5" s="5">
        <v>2400</v>
      </c>
      <c r="Y5" s="5"/>
      <c r="Z5" s="37">
        <v>11</v>
      </c>
      <c r="AA5" s="5" t="s">
        <v>304</v>
      </c>
      <c r="AB5" s="5">
        <v>10000</v>
      </c>
      <c r="AC5" s="30">
        <v>2974</v>
      </c>
      <c r="AD5" s="10"/>
      <c r="AE5" s="10"/>
      <c r="AF5" s="10"/>
      <c r="AG5" s="10"/>
      <c r="AH5" s="5" t="s">
        <v>161</v>
      </c>
      <c r="AI5" s="4" t="s">
        <v>169</v>
      </c>
      <c r="AJ5" s="37" t="s">
        <v>349</v>
      </c>
      <c r="AK5" s="5" t="s">
        <v>76</v>
      </c>
      <c r="AL5" s="5" t="s">
        <v>40</v>
      </c>
      <c r="AM5" s="13" t="s">
        <v>344</v>
      </c>
      <c r="AN5" s="4" t="s">
        <v>352</v>
      </c>
      <c r="AO5" s="11" t="s">
        <v>66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20" t="e">
        <f>IF(CONCATENATE(A5,B5,C5,D5,E5,F5,G5,H5,I5,J5,K5,L5,M5,N5,O5,P5,Q5,R5,S5,T5,U5,V5,W5,X5,Y5,Z5,AA5,AB5,AC5,AD5,AE5,AF5,AG5,AH5,AI5,AJ5,AK5,AL5,AM5,AN5,AO5,AP5,AQ5,AR5,AS5,AT5,AU5,AV5,AW5,AX5,AY5,AZ5,BA5,BB5,BC5,BD5,BE5,BF5,BG5,BH5,BI5,BJ5,BK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" s="38" t="s">
        <v>243</v>
      </c>
      <c r="BN5" s="8" t="s">
        <v>142</v>
      </c>
      <c r="BO5" s="48"/>
      <c r="BP5" s="35" t="str">
        <f t="shared" si="0"/>
        <v>FR</v>
      </c>
      <c r="BQ5" s="35" t="str">
        <f t="shared" si="1"/>
        <v>FS_PF_Energie Alter</v>
      </c>
      <c r="BR5" s="35" t="str">
        <f t="shared" si="2"/>
        <v>IVECO</v>
      </c>
      <c r="BS5" s="35" t="str">
        <f t="shared" si="3"/>
        <v>EUROCARGO</v>
      </c>
      <c r="BT5" s="35" t="str">
        <f t="shared" si="4"/>
        <v>100E21 G CF - TK V1000 SP</v>
      </c>
      <c r="BU5" s="35">
        <f t="shared" si="5"/>
        <v>0</v>
      </c>
      <c r="BV5" s="5" t="s">
        <v>250</v>
      </c>
      <c r="BW5" s="5" t="s">
        <v>64</v>
      </c>
      <c r="BX5" s="35" t="str">
        <f t="shared" si="6"/>
        <v>H02</v>
      </c>
      <c r="BY5" s="44" t="str">
        <f t="shared" si="7"/>
        <v>FRFS_PF_Energie Alter100E21 G CF - TK V1000 SPH02</v>
      </c>
      <c r="BZ5" s="48"/>
      <c r="CA5" s="35">
        <v>10000</v>
      </c>
      <c r="CB5" s="35">
        <v>10000</v>
      </c>
      <c r="CC5" s="35" t="e">
        <f>VLOOKUP(BY5,#REF!,20,0)</f>
        <v>#REF!</v>
      </c>
      <c r="CD5" s="48"/>
      <c r="CE5" s="36">
        <v>2974</v>
      </c>
      <c r="CF5" s="36">
        <v>2974</v>
      </c>
      <c r="CG5" s="36"/>
    </row>
    <row r="6" spans="1:179" ht="20.100000000000001" customHeight="1" x14ac:dyDescent="0.25">
      <c r="A6" s="13" t="s">
        <v>74</v>
      </c>
      <c r="B6" s="5" t="s">
        <v>246</v>
      </c>
      <c r="C6" s="5" t="s">
        <v>247</v>
      </c>
      <c r="D6" s="1"/>
      <c r="E6" s="4" t="s">
        <v>33</v>
      </c>
      <c r="F6" s="13" t="s">
        <v>37</v>
      </c>
      <c r="G6" s="5" t="s">
        <v>41</v>
      </c>
      <c r="H6" s="13" t="s">
        <v>29</v>
      </c>
      <c r="I6" s="13" t="s">
        <v>7</v>
      </c>
      <c r="J6" s="4"/>
      <c r="K6" s="13" t="s">
        <v>30</v>
      </c>
      <c r="L6" s="13"/>
      <c r="M6" s="4" t="s">
        <v>257</v>
      </c>
      <c r="N6" s="6" t="s">
        <v>63</v>
      </c>
      <c r="O6" s="37">
        <v>5792</v>
      </c>
      <c r="P6" s="37">
        <v>2254</v>
      </c>
      <c r="Q6" s="5">
        <v>2300</v>
      </c>
      <c r="R6" s="13"/>
      <c r="S6" s="13">
        <v>3570</v>
      </c>
      <c r="T6" s="13">
        <v>2600</v>
      </c>
      <c r="U6" s="13">
        <v>8832</v>
      </c>
      <c r="V6" s="13">
        <v>1160</v>
      </c>
      <c r="W6" s="13">
        <v>4815</v>
      </c>
      <c r="X6" s="13">
        <v>2655</v>
      </c>
      <c r="Y6" s="13"/>
      <c r="Z6" s="37">
        <v>11</v>
      </c>
      <c r="AA6" s="13" t="s">
        <v>321</v>
      </c>
      <c r="AB6" s="13">
        <v>11990</v>
      </c>
      <c r="AC6" s="30">
        <v>3957</v>
      </c>
      <c r="AD6" s="14"/>
      <c r="AE6" s="14"/>
      <c r="AF6" s="14"/>
      <c r="AG6" s="14"/>
      <c r="AH6" s="13" t="s">
        <v>162</v>
      </c>
      <c r="AI6" s="4" t="s">
        <v>169</v>
      </c>
      <c r="AJ6" s="37" t="s">
        <v>349</v>
      </c>
      <c r="AK6" s="13" t="s">
        <v>76</v>
      </c>
      <c r="AL6" s="4" t="s">
        <v>151</v>
      </c>
      <c r="AM6" s="5" t="s">
        <v>172</v>
      </c>
      <c r="AN6" s="4" t="s">
        <v>196</v>
      </c>
      <c r="AO6" s="15" t="s">
        <v>67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20" t="e">
        <f>IF(CONCATENATE(A6,B6,C6,D6,E6,F6,G6,H6,I6,J6,K6,L6,M6,N6,O6,P6,Q6,R6,S6,T6,U6,V6,W6,X6,Y6,Z6,AA6,AB6,AC6,AD6,AE6,AF6,AG6,AH6,AI6,AJ6,AK6,AL6,AM6,AN6,AO6,AP6,AQ6,AR6,AS6,AT6,AU6,AV6,AW6,AX6,AY6,AZ6,BA6,BB6,BC6,BD6,BE6,BF6,BG6,BH6,BI6,BJ6,BK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6" s="38" t="s">
        <v>243</v>
      </c>
      <c r="BN6" s="8" t="s">
        <v>135</v>
      </c>
      <c r="BO6" s="48"/>
      <c r="BP6" s="35" t="str">
        <f t="shared" si="0"/>
        <v>FR</v>
      </c>
      <c r="BQ6" s="35" t="str">
        <f t="shared" si="1"/>
        <v>FS_PF_Energie Alter</v>
      </c>
      <c r="BR6" s="35" t="str">
        <f t="shared" si="2"/>
        <v>IVECO</v>
      </c>
      <c r="BS6" s="35" t="str">
        <f t="shared" si="3"/>
        <v>EUROCARGO</v>
      </c>
      <c r="BT6" s="35" t="str">
        <f t="shared" si="4"/>
        <v>120EL21 G CF - 11 Pal - SUPRA 550</v>
      </c>
      <c r="BU6" s="35">
        <f t="shared" si="5"/>
        <v>0</v>
      </c>
      <c r="BV6" s="4" t="s">
        <v>257</v>
      </c>
      <c r="BW6" s="6" t="s">
        <v>63</v>
      </c>
      <c r="BX6" s="35" t="str">
        <f t="shared" si="6"/>
        <v>H01</v>
      </c>
      <c r="BY6" s="44" t="str">
        <f t="shared" si="7"/>
        <v>FRFS_PF_Energie Alter120EL21 G CF - 11 Pal - SUPRA 550H01</v>
      </c>
      <c r="BZ6" s="48"/>
      <c r="CA6" s="35">
        <v>11990</v>
      </c>
      <c r="CB6" s="35">
        <v>11990</v>
      </c>
      <c r="CC6" s="35" t="e">
        <f>VLOOKUP(BY6,#REF!,20,0)</f>
        <v>#REF!</v>
      </c>
      <c r="CD6" s="48"/>
      <c r="CE6" s="36">
        <v>3957</v>
      </c>
      <c r="CF6" s="36">
        <v>3957</v>
      </c>
      <c r="CG6" s="36"/>
    </row>
    <row r="7" spans="1:179" ht="20.100000000000001" customHeight="1" x14ac:dyDescent="0.25">
      <c r="A7" s="13" t="s">
        <v>74</v>
      </c>
      <c r="B7" s="5" t="s">
        <v>246</v>
      </c>
      <c r="C7" s="5" t="s">
        <v>247</v>
      </c>
      <c r="D7" s="1"/>
      <c r="E7" s="4" t="s">
        <v>33</v>
      </c>
      <c r="F7" s="13" t="s">
        <v>37</v>
      </c>
      <c r="G7" s="5" t="s">
        <v>41</v>
      </c>
      <c r="H7" s="13" t="s">
        <v>12</v>
      </c>
      <c r="I7" s="13" t="s">
        <v>7</v>
      </c>
      <c r="J7" s="13"/>
      <c r="K7" s="13" t="s">
        <v>30</v>
      </c>
      <c r="L7" s="13"/>
      <c r="M7" s="4" t="s">
        <v>258</v>
      </c>
      <c r="N7" s="5" t="s">
        <v>64</v>
      </c>
      <c r="O7" s="37">
        <v>5792</v>
      </c>
      <c r="P7" s="37">
        <v>2254</v>
      </c>
      <c r="Q7" s="5">
        <v>2300</v>
      </c>
      <c r="R7" s="13"/>
      <c r="S7" s="13">
        <v>3570</v>
      </c>
      <c r="T7" s="13">
        <v>2600</v>
      </c>
      <c r="U7" s="13">
        <v>8832</v>
      </c>
      <c r="V7" s="13">
        <v>1160</v>
      </c>
      <c r="W7" s="13">
        <v>4815</v>
      </c>
      <c r="X7" s="13">
        <v>2655</v>
      </c>
      <c r="Y7" s="13"/>
      <c r="Z7" s="37">
        <v>11</v>
      </c>
      <c r="AA7" s="13" t="s">
        <v>305</v>
      </c>
      <c r="AB7" s="13">
        <v>11990</v>
      </c>
      <c r="AC7" s="30">
        <v>3381</v>
      </c>
      <c r="AD7" s="14"/>
      <c r="AE7" s="14"/>
      <c r="AF7" s="14"/>
      <c r="AG7" s="14"/>
      <c r="AH7" s="13" t="s">
        <v>162</v>
      </c>
      <c r="AI7" s="4" t="s">
        <v>169</v>
      </c>
      <c r="AJ7" s="37" t="s">
        <v>349</v>
      </c>
      <c r="AK7" s="13" t="s">
        <v>76</v>
      </c>
      <c r="AL7" s="4" t="s">
        <v>152</v>
      </c>
      <c r="AM7" s="5" t="s">
        <v>139</v>
      </c>
      <c r="AN7" s="4" t="s">
        <v>196</v>
      </c>
      <c r="AO7" s="15" t="s">
        <v>68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20" t="e">
        <f>IF(CONCATENATE(A7,B7,C7,D7,E7,F7,G7,H7,I7,J7,K7,L7,M7,N7,O7,P7,Q7,R7,S7,T7,U7,V7,W7,X7,Y7,Z7,AA7,AB7,AC7,AD7,AE7,AF7,AG7,AH7,AI7,AJ7,AK7,AL7,AM7,AN7,AO7,AP7,AQ7,AR7,AS7,AT7,AU7,AV7,AW7,AX7,AY7,AZ7,BA7,BB7,BC7,BD7,BE7,BF7,BG7,BH7,BI7,BJ7,BK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7" s="38" t="s">
        <v>243</v>
      </c>
      <c r="BN7" s="8" t="s">
        <v>141</v>
      </c>
      <c r="BO7" s="48"/>
      <c r="BP7" s="35" t="str">
        <f t="shared" si="0"/>
        <v>FR</v>
      </c>
      <c r="BQ7" s="35" t="str">
        <f t="shared" si="1"/>
        <v>FS_PF_Energie Alter</v>
      </c>
      <c r="BR7" s="35" t="str">
        <f t="shared" si="2"/>
        <v>IVECO</v>
      </c>
      <c r="BS7" s="35" t="str">
        <f t="shared" si="3"/>
        <v>EUROCARGO</v>
      </c>
      <c r="BT7" s="35" t="str">
        <f t="shared" si="4"/>
        <v>120EL21 G CF - 11 Pal - SUPRA 750 MT</v>
      </c>
      <c r="BU7" s="35">
        <f t="shared" si="5"/>
        <v>0</v>
      </c>
      <c r="BV7" s="4" t="s">
        <v>258</v>
      </c>
      <c r="BW7" s="5" t="s">
        <v>64</v>
      </c>
      <c r="BX7" s="35" t="str">
        <f t="shared" si="6"/>
        <v>H02</v>
      </c>
      <c r="BY7" s="44" t="str">
        <f t="shared" si="7"/>
        <v>FRFS_PF_Energie Alter120EL21 G CF - 11 Pal - SUPRA 750 MTH02</v>
      </c>
      <c r="BZ7" s="48"/>
      <c r="CA7" s="35">
        <v>11990</v>
      </c>
      <c r="CB7" s="35">
        <v>11990</v>
      </c>
      <c r="CC7" s="35" t="e">
        <f>VLOOKUP(BY7,#REF!,20,0)</f>
        <v>#REF!</v>
      </c>
      <c r="CD7" s="48"/>
      <c r="CE7" s="36">
        <v>3381</v>
      </c>
      <c r="CF7" s="36">
        <v>3381</v>
      </c>
      <c r="CG7" s="36"/>
    </row>
    <row r="8" spans="1:179" ht="20.100000000000001" customHeight="1" x14ac:dyDescent="0.25">
      <c r="A8" s="13" t="s">
        <v>74</v>
      </c>
      <c r="B8" s="5" t="s">
        <v>246</v>
      </c>
      <c r="C8" s="5" t="s">
        <v>247</v>
      </c>
      <c r="D8" s="1"/>
      <c r="E8" s="4" t="s">
        <v>33</v>
      </c>
      <c r="F8" s="13" t="s">
        <v>37</v>
      </c>
      <c r="G8" s="5" t="s">
        <v>41</v>
      </c>
      <c r="H8" s="13" t="s">
        <v>29</v>
      </c>
      <c r="I8" s="13" t="s">
        <v>7</v>
      </c>
      <c r="J8" s="4"/>
      <c r="K8" s="13" t="s">
        <v>30</v>
      </c>
      <c r="L8" s="13"/>
      <c r="M8" s="4" t="s">
        <v>259</v>
      </c>
      <c r="N8" s="6" t="s">
        <v>63</v>
      </c>
      <c r="O8" s="37">
        <v>5792</v>
      </c>
      <c r="P8" s="37">
        <v>2254</v>
      </c>
      <c r="Q8" s="5">
        <v>2300</v>
      </c>
      <c r="R8" s="13"/>
      <c r="S8" s="13">
        <v>3570</v>
      </c>
      <c r="T8" s="13">
        <v>2600</v>
      </c>
      <c r="U8" s="13">
        <v>8832</v>
      </c>
      <c r="V8" s="13">
        <v>1160</v>
      </c>
      <c r="W8" s="13">
        <v>4815</v>
      </c>
      <c r="X8" s="13">
        <v>2655</v>
      </c>
      <c r="Y8" s="13"/>
      <c r="Z8" s="37">
        <v>11</v>
      </c>
      <c r="AA8" s="13" t="s">
        <v>322</v>
      </c>
      <c r="AB8" s="13">
        <v>11990</v>
      </c>
      <c r="AC8" s="30">
        <v>3957</v>
      </c>
      <c r="AD8" s="14"/>
      <c r="AE8" s="14"/>
      <c r="AF8" s="14"/>
      <c r="AG8" s="14"/>
      <c r="AH8" s="13" t="s">
        <v>162</v>
      </c>
      <c r="AI8" s="4" t="s">
        <v>169</v>
      </c>
      <c r="AJ8" s="37" t="s">
        <v>349</v>
      </c>
      <c r="AK8" s="13" t="s">
        <v>76</v>
      </c>
      <c r="AL8" s="4" t="s">
        <v>151</v>
      </c>
      <c r="AM8" s="4" t="s">
        <v>343</v>
      </c>
      <c r="AN8" s="4" t="s">
        <v>196</v>
      </c>
      <c r="AO8" s="15" t="s">
        <v>67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20" t="e">
        <f>IF(CONCATENATE(A8,B8,C8,D8,E8,F8,G8,H8,I8,J8,K8,L8,M8,N8,O8,P8,Q8,R8,S8,T8,U8,V8,W8,X8,Y8,Z8,AA8,AB8,AC8,AD8,AE8,AF8,AG8,AH8,AI8,AJ8,AK8,AL8,AM8,AN8,AO8,AP8,AQ8,AR8,AS8,AT8,AU8,AV8,AW8,AX8,AY8,AZ8,BA8,BB8,BC8,BD8,BE8,BF8,BG8,BH8,BI8,BJ8,BK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8" s="38" t="s">
        <v>243</v>
      </c>
      <c r="BN8" s="8" t="s">
        <v>135</v>
      </c>
      <c r="BO8" s="48"/>
      <c r="BP8" s="35" t="str">
        <f t="shared" si="0"/>
        <v>FR</v>
      </c>
      <c r="BQ8" s="35" t="str">
        <f t="shared" si="1"/>
        <v>FS_PF_Energie Alter</v>
      </c>
      <c r="BR8" s="35" t="str">
        <f t="shared" si="2"/>
        <v>IVECO</v>
      </c>
      <c r="BS8" s="35" t="str">
        <f t="shared" si="3"/>
        <v>EUROCARGO</v>
      </c>
      <c r="BT8" s="35" t="str">
        <f t="shared" si="4"/>
        <v>120EL21 G CF - 11 Pal - TK V1000</v>
      </c>
      <c r="BU8" s="35">
        <f t="shared" si="5"/>
        <v>0</v>
      </c>
      <c r="BV8" s="4" t="s">
        <v>259</v>
      </c>
      <c r="BW8" s="6" t="s">
        <v>63</v>
      </c>
      <c r="BX8" s="35" t="str">
        <f t="shared" si="6"/>
        <v>H01</v>
      </c>
      <c r="BY8" s="44" t="str">
        <f t="shared" si="7"/>
        <v>FRFS_PF_Energie Alter120EL21 G CF - 11 Pal - TK V1000H01</v>
      </c>
      <c r="BZ8" s="48"/>
      <c r="CA8" s="35">
        <v>11990</v>
      </c>
      <c r="CB8" s="35">
        <v>11990</v>
      </c>
      <c r="CC8" s="35" t="e">
        <f>VLOOKUP(BY8,#REF!,20,0)</f>
        <v>#REF!</v>
      </c>
      <c r="CD8" s="48"/>
      <c r="CE8" s="36">
        <v>3957</v>
      </c>
      <c r="CF8" s="36">
        <v>3957</v>
      </c>
      <c r="CG8" s="36"/>
    </row>
    <row r="9" spans="1:179" ht="20.100000000000001" customHeight="1" x14ac:dyDescent="0.25">
      <c r="A9" s="13" t="s">
        <v>74</v>
      </c>
      <c r="B9" s="5" t="s">
        <v>246</v>
      </c>
      <c r="C9" s="5" t="s">
        <v>247</v>
      </c>
      <c r="D9" s="1"/>
      <c r="E9" s="4" t="s">
        <v>33</v>
      </c>
      <c r="F9" s="13" t="s">
        <v>37</v>
      </c>
      <c r="G9" s="5" t="s">
        <v>41</v>
      </c>
      <c r="H9" s="13" t="s">
        <v>12</v>
      </c>
      <c r="I9" s="13" t="s">
        <v>7</v>
      </c>
      <c r="J9" s="13"/>
      <c r="K9" s="13" t="s">
        <v>30</v>
      </c>
      <c r="L9" s="13"/>
      <c r="M9" s="4" t="s">
        <v>260</v>
      </c>
      <c r="N9" s="5" t="s">
        <v>64</v>
      </c>
      <c r="O9" s="37">
        <v>5792</v>
      </c>
      <c r="P9" s="37">
        <v>2254</v>
      </c>
      <c r="Q9" s="5">
        <v>2300</v>
      </c>
      <c r="R9" s="13"/>
      <c r="S9" s="13">
        <v>3570</v>
      </c>
      <c r="T9" s="13">
        <v>2600</v>
      </c>
      <c r="U9" s="13">
        <v>8832</v>
      </c>
      <c r="V9" s="13">
        <v>1160</v>
      </c>
      <c r="W9" s="13">
        <v>4815</v>
      </c>
      <c r="X9" s="13">
        <v>2655</v>
      </c>
      <c r="Y9" s="13"/>
      <c r="Z9" s="37">
        <v>11</v>
      </c>
      <c r="AA9" s="13" t="s">
        <v>306</v>
      </c>
      <c r="AB9" s="13">
        <v>11990</v>
      </c>
      <c r="AC9" s="30">
        <v>3381</v>
      </c>
      <c r="AD9" s="14"/>
      <c r="AE9" s="14"/>
      <c r="AF9" s="14"/>
      <c r="AG9" s="14"/>
      <c r="AH9" s="13" t="s">
        <v>162</v>
      </c>
      <c r="AI9" s="4" t="s">
        <v>169</v>
      </c>
      <c r="AJ9" s="37" t="s">
        <v>349</v>
      </c>
      <c r="AK9" s="13" t="s">
        <v>76</v>
      </c>
      <c r="AL9" s="4" t="s">
        <v>152</v>
      </c>
      <c r="AM9" s="13" t="s">
        <v>344</v>
      </c>
      <c r="AN9" s="4" t="s">
        <v>196</v>
      </c>
      <c r="AO9" s="15" t="s">
        <v>68</v>
      </c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20" t="e">
        <f>IF(CONCATENATE(A9,B9,C9,D9,E9,F9,G9,H9,I9,J9,K9,L9,M9,N9,O9,P9,Q9,R9,S9,T9,U9,V9,W9,X9,Y9,Z9,AA9,AB9,AC9,AD9,AE9,AF9,AG9,AH9,AI9,AJ9,AK9,AL9,AM9,AN9,AO9,AP9,AQ9,AR9,AS9,AT9,AU9,AV9,AW9,AX9,AY9,AZ9,BA9,BB9,BC9,BD9,BE9,BF9,BG9,BH9,BI9,BJ9,BK9)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9" s="38" t="s">
        <v>243</v>
      </c>
      <c r="BN9" s="8" t="s">
        <v>141</v>
      </c>
      <c r="BO9" s="48"/>
      <c r="BP9" s="35" t="str">
        <f t="shared" si="0"/>
        <v>FR</v>
      </c>
      <c r="BQ9" s="35" t="str">
        <f t="shared" si="1"/>
        <v>FS_PF_Energie Alter</v>
      </c>
      <c r="BR9" s="35" t="str">
        <f t="shared" si="2"/>
        <v>IVECO</v>
      </c>
      <c r="BS9" s="35" t="str">
        <f t="shared" si="3"/>
        <v>EUROCARGO</v>
      </c>
      <c r="BT9" s="35" t="str">
        <f t="shared" si="4"/>
        <v>120EL21 G CF - 11 Pal - TK V1000 SP</v>
      </c>
      <c r="BU9" s="35">
        <f t="shared" si="5"/>
        <v>0</v>
      </c>
      <c r="BV9" s="4" t="s">
        <v>260</v>
      </c>
      <c r="BW9" s="5" t="s">
        <v>64</v>
      </c>
      <c r="BX9" s="35" t="str">
        <f t="shared" si="6"/>
        <v>H02</v>
      </c>
      <c r="BY9" s="44" t="str">
        <f t="shared" si="7"/>
        <v>FRFS_PF_Energie Alter120EL21 G CF - 11 Pal - TK V1000 SPH02</v>
      </c>
      <c r="BZ9" s="48"/>
      <c r="CA9" s="35">
        <v>11990</v>
      </c>
      <c r="CB9" s="35">
        <v>11990</v>
      </c>
      <c r="CC9" s="35" t="e">
        <f>VLOOKUP(BY9,#REF!,20,0)</f>
        <v>#REF!</v>
      </c>
      <c r="CD9" s="48"/>
      <c r="CE9" s="36">
        <v>3381</v>
      </c>
      <c r="CF9" s="36">
        <v>3381</v>
      </c>
      <c r="CG9" s="36"/>
    </row>
    <row r="10" spans="1:179" ht="20.100000000000001" customHeight="1" x14ac:dyDescent="0.25">
      <c r="A10" s="13" t="s">
        <v>74</v>
      </c>
      <c r="B10" s="5" t="s">
        <v>246</v>
      </c>
      <c r="C10" s="5" t="s">
        <v>247</v>
      </c>
      <c r="D10" s="1"/>
      <c r="E10" s="4" t="s">
        <v>33</v>
      </c>
      <c r="F10" s="13" t="s">
        <v>37</v>
      </c>
      <c r="G10" s="13" t="s">
        <v>41</v>
      </c>
      <c r="H10" s="13" t="s">
        <v>29</v>
      </c>
      <c r="I10" s="13" t="s">
        <v>7</v>
      </c>
      <c r="J10" s="4"/>
      <c r="K10" s="13" t="s">
        <v>30</v>
      </c>
      <c r="L10" s="13"/>
      <c r="M10" s="4" t="s">
        <v>261</v>
      </c>
      <c r="N10" s="6" t="s">
        <v>63</v>
      </c>
      <c r="O10" s="37">
        <v>6592</v>
      </c>
      <c r="P10" s="37">
        <v>2454</v>
      </c>
      <c r="Q10" s="37">
        <v>2400</v>
      </c>
      <c r="R10" s="13"/>
      <c r="S10" s="13">
        <v>3670</v>
      </c>
      <c r="T10" s="13">
        <v>2600</v>
      </c>
      <c r="U10" s="13">
        <v>8832</v>
      </c>
      <c r="V10" s="13">
        <v>1160</v>
      </c>
      <c r="W10" s="13">
        <v>4815</v>
      </c>
      <c r="X10" s="13">
        <v>2655</v>
      </c>
      <c r="Y10" s="13"/>
      <c r="Z10" s="37">
        <v>15</v>
      </c>
      <c r="AA10" s="13" t="s">
        <v>323</v>
      </c>
      <c r="AB10" s="13">
        <v>11990</v>
      </c>
      <c r="AC10" s="30">
        <v>3957</v>
      </c>
      <c r="AD10" s="14"/>
      <c r="AE10" s="14"/>
      <c r="AF10" s="14"/>
      <c r="AG10" s="14"/>
      <c r="AH10" s="13" t="s">
        <v>162</v>
      </c>
      <c r="AI10" s="4" t="s">
        <v>169</v>
      </c>
      <c r="AJ10" s="37" t="s">
        <v>349</v>
      </c>
      <c r="AK10" s="13" t="s">
        <v>76</v>
      </c>
      <c r="AL10" s="4" t="s">
        <v>151</v>
      </c>
      <c r="AM10" s="4" t="s">
        <v>240</v>
      </c>
      <c r="AN10" s="4" t="s">
        <v>196</v>
      </c>
      <c r="AO10" s="15" t="s">
        <v>67</v>
      </c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20" t="e">
        <f>IF(CONCATENATE(A10,B10,C10,D10,E10,F10,G10,H10,I10,J10,K10,L10,M10,N10,O10,P10,Q10,R10,S10,T10,U10,V10,W10,X10,Y10,Z10,AA10,AB10,AC10,AD10,AE10,AF10,AG10,AH10,AI10,AJ10,AK10,AL10,AM10,AN10,AO10,AP10,AQ10,AR10,AS10,AT10,AU10,AV10,AW10,AX10,AY10,AZ10,BA10,BB10,BC10,BD10,BE10,BF10,BG10,BH10,BI10,BJ10,BK10)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0" s="38" t="s">
        <v>243</v>
      </c>
      <c r="BN10" s="8" t="s">
        <v>135</v>
      </c>
      <c r="BO10" s="48"/>
      <c r="BP10" s="35" t="str">
        <f t="shared" si="0"/>
        <v>FR</v>
      </c>
      <c r="BQ10" s="35" t="str">
        <f t="shared" si="1"/>
        <v>FS_PF_Energie Alter</v>
      </c>
      <c r="BR10" s="35" t="str">
        <f t="shared" si="2"/>
        <v>IVECO</v>
      </c>
      <c r="BS10" s="35" t="str">
        <f t="shared" si="3"/>
        <v>EUROCARGO</v>
      </c>
      <c r="BT10" s="35" t="str">
        <f t="shared" si="4"/>
        <v>120EL21 G CF - SUPRA GAZ</v>
      </c>
      <c r="BU10" s="35">
        <f t="shared" si="5"/>
        <v>0</v>
      </c>
      <c r="BV10" s="4" t="s">
        <v>261</v>
      </c>
      <c r="BW10" s="6" t="s">
        <v>63</v>
      </c>
      <c r="BX10" s="35" t="str">
        <f t="shared" si="6"/>
        <v>H01</v>
      </c>
      <c r="BY10" s="44" t="str">
        <f t="shared" si="7"/>
        <v>FRFS_PF_Energie Alter120EL21 G CF - SUPRA GAZH01</v>
      </c>
      <c r="BZ10" s="48"/>
      <c r="CA10" s="35">
        <v>11990</v>
      </c>
      <c r="CB10" s="35">
        <v>11990</v>
      </c>
      <c r="CC10" s="35" t="e">
        <f>VLOOKUP(BY10,#REF!,20,0)</f>
        <v>#REF!</v>
      </c>
      <c r="CD10" s="48"/>
      <c r="CE10" s="36">
        <v>3957</v>
      </c>
      <c r="CF10" s="36">
        <v>3957</v>
      </c>
      <c r="CG10" s="36"/>
    </row>
    <row r="11" spans="1:179" ht="20.100000000000001" customHeight="1" x14ac:dyDescent="0.25">
      <c r="A11" s="13" t="s">
        <v>74</v>
      </c>
      <c r="B11" s="5" t="s">
        <v>246</v>
      </c>
      <c r="C11" s="5" t="s">
        <v>247</v>
      </c>
      <c r="D11" s="1"/>
      <c r="E11" s="4" t="s">
        <v>33</v>
      </c>
      <c r="F11" s="13" t="s">
        <v>37</v>
      </c>
      <c r="G11" s="13" t="s">
        <v>41</v>
      </c>
      <c r="H11" s="13" t="s">
        <v>12</v>
      </c>
      <c r="I11" s="13" t="s">
        <v>7</v>
      </c>
      <c r="J11" s="13"/>
      <c r="K11" s="13" t="s">
        <v>30</v>
      </c>
      <c r="L11" s="13"/>
      <c r="M11" s="4" t="s">
        <v>262</v>
      </c>
      <c r="N11" s="5" t="s">
        <v>64</v>
      </c>
      <c r="O11" s="37">
        <v>6592</v>
      </c>
      <c r="P11" s="37">
        <v>2454</v>
      </c>
      <c r="Q11" s="37">
        <v>2400</v>
      </c>
      <c r="R11" s="13"/>
      <c r="S11" s="13">
        <v>3670</v>
      </c>
      <c r="T11" s="13">
        <v>2600</v>
      </c>
      <c r="U11" s="13">
        <v>8832</v>
      </c>
      <c r="V11" s="13">
        <v>1160</v>
      </c>
      <c r="W11" s="13">
        <v>4815</v>
      </c>
      <c r="X11" s="13">
        <v>2655</v>
      </c>
      <c r="Y11" s="13"/>
      <c r="Z11" s="37">
        <v>15</v>
      </c>
      <c r="AA11" s="13" t="s">
        <v>307</v>
      </c>
      <c r="AB11" s="13">
        <v>11990</v>
      </c>
      <c r="AC11" s="30">
        <v>3381</v>
      </c>
      <c r="AD11" s="14"/>
      <c r="AE11" s="14"/>
      <c r="AF11" s="14"/>
      <c r="AG11" s="14"/>
      <c r="AH11" s="13" t="s">
        <v>162</v>
      </c>
      <c r="AI11" s="4" t="s">
        <v>169</v>
      </c>
      <c r="AJ11" s="37" t="s">
        <v>349</v>
      </c>
      <c r="AK11" s="13" t="s">
        <v>76</v>
      </c>
      <c r="AL11" s="4" t="s">
        <v>152</v>
      </c>
      <c r="AM11" s="13" t="s">
        <v>239</v>
      </c>
      <c r="AN11" s="4" t="s">
        <v>196</v>
      </c>
      <c r="AO11" s="15" t="s">
        <v>68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20" t="e">
        <f>IF(CONCATENATE(A11,B11,C11,D11,E11,F11,G11,H11,I11,J11,K11,L11,M11,N11,O11,P11,Q11,R11,S11,T11,U11,V11,W11,X11,Y11,Z11,AA11,AB11,AC11,AD11,AE11,AF11,AG11,AH11,AI11,AJ11,AK11,AL11,AM11,AN11,AO11,AP11,AQ11,AR11,AS11,AT11,AU11,AV11,AW11,AX11,AY11,AZ11,BA11,BB11,BC11,BD11,BE11,BF11,BG11,BH11,BI11,BJ11,BK11)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1" s="38" t="s">
        <v>243</v>
      </c>
      <c r="BN11" s="8" t="s">
        <v>141</v>
      </c>
      <c r="BO11" s="48"/>
      <c r="BP11" s="35" t="str">
        <f t="shared" si="0"/>
        <v>FR</v>
      </c>
      <c r="BQ11" s="35" t="str">
        <f t="shared" si="1"/>
        <v>FS_PF_Energie Alter</v>
      </c>
      <c r="BR11" s="35" t="str">
        <f t="shared" si="2"/>
        <v>IVECO</v>
      </c>
      <c r="BS11" s="35" t="str">
        <f t="shared" si="3"/>
        <v>EUROCARGO</v>
      </c>
      <c r="BT11" s="35" t="str">
        <f t="shared" si="4"/>
        <v>120EL21 G CF - SUPRA GAZ MT</v>
      </c>
      <c r="BU11" s="35">
        <f t="shared" si="5"/>
        <v>0</v>
      </c>
      <c r="BV11" s="4" t="s">
        <v>262</v>
      </c>
      <c r="BW11" s="5" t="s">
        <v>64</v>
      </c>
      <c r="BX11" s="35" t="str">
        <f t="shared" si="6"/>
        <v>H02</v>
      </c>
      <c r="BY11" s="44" t="str">
        <f t="shared" si="7"/>
        <v>FRFS_PF_Energie Alter120EL21 G CF - SUPRA GAZ MTH02</v>
      </c>
      <c r="BZ11" s="48"/>
      <c r="CA11" s="35">
        <v>11990</v>
      </c>
      <c r="CB11" s="35">
        <v>11990</v>
      </c>
      <c r="CC11" s="35" t="e">
        <f>VLOOKUP(BY11,#REF!,20,0)</f>
        <v>#REF!</v>
      </c>
      <c r="CD11" s="48"/>
      <c r="CE11" s="36">
        <v>3381</v>
      </c>
      <c r="CF11" s="36">
        <v>3381</v>
      </c>
      <c r="CG11" s="36"/>
    </row>
    <row r="12" spans="1:179" ht="20.100000000000001" customHeight="1" x14ac:dyDescent="0.25">
      <c r="A12" s="13" t="s">
        <v>74</v>
      </c>
      <c r="B12" s="5" t="s">
        <v>246</v>
      </c>
      <c r="C12" s="5" t="s">
        <v>247</v>
      </c>
      <c r="D12" s="1"/>
      <c r="E12" s="4" t="s">
        <v>33</v>
      </c>
      <c r="F12" s="13" t="s">
        <v>37</v>
      </c>
      <c r="G12" s="1" t="s">
        <v>41</v>
      </c>
      <c r="H12" s="13" t="s">
        <v>29</v>
      </c>
      <c r="I12" s="13" t="s">
        <v>7</v>
      </c>
      <c r="J12" s="13"/>
      <c r="K12" s="13" t="s">
        <v>30</v>
      </c>
      <c r="L12" s="13"/>
      <c r="M12" s="4" t="s">
        <v>253</v>
      </c>
      <c r="N12" s="6" t="s">
        <v>63</v>
      </c>
      <c r="O12" s="37">
        <v>6592</v>
      </c>
      <c r="P12" s="37">
        <v>2454</v>
      </c>
      <c r="Q12" s="37">
        <v>2400</v>
      </c>
      <c r="R12" s="13"/>
      <c r="S12" s="13">
        <v>3670</v>
      </c>
      <c r="T12" s="13">
        <v>2600</v>
      </c>
      <c r="U12" s="13">
        <v>8832</v>
      </c>
      <c r="V12" s="13">
        <v>1150</v>
      </c>
      <c r="W12" s="13">
        <v>4815</v>
      </c>
      <c r="X12" s="13">
        <v>2655</v>
      </c>
      <c r="Y12" s="13"/>
      <c r="Z12" s="37">
        <v>15</v>
      </c>
      <c r="AA12" s="13" t="s">
        <v>324</v>
      </c>
      <c r="AB12" s="13">
        <v>16000</v>
      </c>
      <c r="AC12" s="30">
        <v>6883</v>
      </c>
      <c r="AD12" s="14"/>
      <c r="AE12" s="14"/>
      <c r="AF12" s="14"/>
      <c r="AG12" s="14"/>
      <c r="AH12" s="13" t="s">
        <v>163</v>
      </c>
      <c r="AI12" s="4" t="s">
        <v>169</v>
      </c>
      <c r="AJ12" s="37" t="s">
        <v>351</v>
      </c>
      <c r="AK12" s="13" t="s">
        <v>75</v>
      </c>
      <c r="AL12" s="4" t="s">
        <v>153</v>
      </c>
      <c r="AM12" s="13" t="s">
        <v>170</v>
      </c>
      <c r="AN12" s="4" t="s">
        <v>206</v>
      </c>
      <c r="AO12" s="15" t="s">
        <v>69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20" t="e">
        <f>IF(CONCATENATE(A12,B12,C12,D12,E12,F12,G12,H12,I12,J12,K12,L12,M12,N12,O12,P12,Q12,R12,S12,T12,U12,V12,W12,X12,Y12,Z12,AA12,AB12,AC12,AD12,AE12,AF12,AG12,AH12,AI12,AJ12,AK12,AL12,AM12,AN12,AO12,AP12,AQ12,AR12,AS12,AT12,AU12,AV12,AW12,AX12,AY12,AZ12,BA12,BB12,BC12,BD12,BE12,BF12,BG12,BH12,BI12,BJ12,BK12)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2" s="38" t="s">
        <v>243</v>
      </c>
      <c r="BN12" s="8" t="s">
        <v>136</v>
      </c>
      <c r="BO12" s="48"/>
      <c r="BP12" s="35" t="str">
        <f t="shared" si="0"/>
        <v>FR</v>
      </c>
      <c r="BQ12" s="35" t="str">
        <f t="shared" si="1"/>
        <v>FS_PF_Energie Alter</v>
      </c>
      <c r="BR12" s="35" t="str">
        <f t="shared" si="2"/>
        <v>IVECO</v>
      </c>
      <c r="BS12" s="35" t="str">
        <f t="shared" si="3"/>
        <v>EUROCARGO</v>
      </c>
      <c r="BT12" s="35" t="str">
        <f t="shared" si="4"/>
        <v>160E21 G CF - 15 Pal - SUPRA 750</v>
      </c>
      <c r="BU12" s="35">
        <f t="shared" si="5"/>
        <v>0</v>
      </c>
      <c r="BV12" s="4" t="s">
        <v>253</v>
      </c>
      <c r="BW12" s="6" t="s">
        <v>63</v>
      </c>
      <c r="BX12" s="35" t="str">
        <f t="shared" si="6"/>
        <v>H01</v>
      </c>
      <c r="BY12" s="44" t="str">
        <f t="shared" si="7"/>
        <v>FRFS_PF_Energie Alter160E21 G CF - 15 Pal - SUPRA 750H01</v>
      </c>
      <c r="BZ12" s="48"/>
      <c r="CA12" s="35">
        <v>16000</v>
      </c>
      <c r="CB12" s="35">
        <v>16000</v>
      </c>
      <c r="CC12" s="35" t="e">
        <f>VLOOKUP(BY12,#REF!,20,0)</f>
        <v>#REF!</v>
      </c>
      <c r="CD12" s="48"/>
      <c r="CE12" s="36">
        <v>6883</v>
      </c>
      <c r="CF12" s="36">
        <v>6883</v>
      </c>
      <c r="CG12" s="36"/>
    </row>
    <row r="13" spans="1:179" ht="20.100000000000001" customHeight="1" x14ac:dyDescent="0.25">
      <c r="A13" s="13" t="s">
        <v>74</v>
      </c>
      <c r="B13" s="5" t="s">
        <v>246</v>
      </c>
      <c r="C13" s="5" t="s">
        <v>247</v>
      </c>
      <c r="D13" s="1"/>
      <c r="E13" s="4" t="s">
        <v>33</v>
      </c>
      <c r="F13" s="13" t="s">
        <v>37</v>
      </c>
      <c r="G13" s="1" t="s">
        <v>41</v>
      </c>
      <c r="H13" s="13" t="s">
        <v>12</v>
      </c>
      <c r="I13" s="13" t="s">
        <v>7</v>
      </c>
      <c r="J13" s="13"/>
      <c r="K13" s="13" t="s">
        <v>30</v>
      </c>
      <c r="L13" s="13"/>
      <c r="M13" s="4" t="s">
        <v>254</v>
      </c>
      <c r="N13" s="5" t="s">
        <v>64</v>
      </c>
      <c r="O13" s="37">
        <v>6592</v>
      </c>
      <c r="P13" s="37">
        <v>2454</v>
      </c>
      <c r="Q13" s="37">
        <v>2400</v>
      </c>
      <c r="R13" s="13"/>
      <c r="S13" s="13">
        <v>3670</v>
      </c>
      <c r="T13" s="13">
        <v>2600</v>
      </c>
      <c r="U13" s="13">
        <v>8832</v>
      </c>
      <c r="V13" s="13">
        <v>1150</v>
      </c>
      <c r="W13" s="13">
        <v>4815</v>
      </c>
      <c r="X13" s="13">
        <v>2655</v>
      </c>
      <c r="Y13" s="13"/>
      <c r="Z13" s="37">
        <v>15</v>
      </c>
      <c r="AA13" s="13" t="s">
        <v>308</v>
      </c>
      <c r="AB13" s="13">
        <v>16000</v>
      </c>
      <c r="AC13" s="30">
        <v>6337</v>
      </c>
      <c r="AD13" s="14"/>
      <c r="AE13" s="14"/>
      <c r="AF13" s="14"/>
      <c r="AG13" s="14"/>
      <c r="AH13" s="13" t="s">
        <v>163</v>
      </c>
      <c r="AI13" s="4" t="s">
        <v>169</v>
      </c>
      <c r="AJ13" s="37" t="s">
        <v>351</v>
      </c>
      <c r="AK13" s="13" t="s">
        <v>75</v>
      </c>
      <c r="AL13" s="4" t="s">
        <v>154</v>
      </c>
      <c r="AM13" s="13" t="s">
        <v>140</v>
      </c>
      <c r="AN13" s="4" t="s">
        <v>206</v>
      </c>
      <c r="AO13" s="15" t="s">
        <v>70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20" t="e">
        <f>IF(CONCATENATE(A13,B13,C13,D13,E13,F13,G13,H13,I13,J13,K13,L13,M13,N13,O13,P13,Q13,R13,S13,T13,U13,V13,W13,X13,Y13,Z13,AA13,AB13,AC13,AD13,AE13,AF13,AG13,AH13,AI13,AJ13,AK13,AL13,AM13,AN13,AO13,AP13,AQ13,AR13,AS13,AT13,AU13,AV13,AW13,AX13,AY13,AZ13,BA13,BB13,BC13,BD13,BE13,BF13,BG13,BH13,BI13,BJ13,BK13)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3" s="38" t="s">
        <v>243</v>
      </c>
      <c r="BN13" s="8" t="s">
        <v>141</v>
      </c>
      <c r="BO13" s="48"/>
      <c r="BP13" s="35" t="str">
        <f t="shared" si="0"/>
        <v>FR</v>
      </c>
      <c r="BQ13" s="35" t="str">
        <f t="shared" si="1"/>
        <v>FS_PF_Energie Alter</v>
      </c>
      <c r="BR13" s="35" t="str">
        <f t="shared" si="2"/>
        <v>IVECO</v>
      </c>
      <c r="BS13" s="35" t="str">
        <f t="shared" si="3"/>
        <v>EUROCARGO</v>
      </c>
      <c r="BT13" s="35" t="str">
        <f t="shared" si="4"/>
        <v>160E21 G CF - 15 Pal - SUPRA 1150 MT</v>
      </c>
      <c r="BU13" s="35">
        <f t="shared" si="5"/>
        <v>0</v>
      </c>
      <c r="BV13" s="4" t="s">
        <v>254</v>
      </c>
      <c r="BW13" s="5" t="s">
        <v>64</v>
      </c>
      <c r="BX13" s="35" t="str">
        <f t="shared" si="6"/>
        <v>H02</v>
      </c>
      <c r="BY13" s="44" t="str">
        <f t="shared" si="7"/>
        <v>FRFS_PF_Energie Alter160E21 G CF - 15 Pal - SUPRA 1150 MTH02</v>
      </c>
      <c r="BZ13" s="48"/>
      <c r="CA13" s="35">
        <v>16000</v>
      </c>
      <c r="CB13" s="35">
        <v>16000</v>
      </c>
      <c r="CC13" s="35" t="e">
        <f>VLOOKUP(BY13,#REF!,20,0)</f>
        <v>#REF!</v>
      </c>
      <c r="CD13" s="48"/>
      <c r="CE13" s="36">
        <v>6337</v>
      </c>
      <c r="CF13" s="36">
        <v>6337</v>
      </c>
      <c r="CG13" s="36"/>
    </row>
    <row r="14" spans="1:179" ht="20.100000000000001" customHeight="1" x14ac:dyDescent="0.25">
      <c r="A14" s="13" t="s">
        <v>74</v>
      </c>
      <c r="B14" s="5" t="s">
        <v>246</v>
      </c>
      <c r="C14" s="5" t="s">
        <v>247</v>
      </c>
      <c r="D14" s="1"/>
      <c r="E14" s="4" t="s">
        <v>33</v>
      </c>
      <c r="F14" s="13" t="s">
        <v>37</v>
      </c>
      <c r="G14" s="1" t="s">
        <v>41</v>
      </c>
      <c r="H14" s="13" t="s">
        <v>29</v>
      </c>
      <c r="I14" s="13" t="s">
        <v>7</v>
      </c>
      <c r="J14" s="13"/>
      <c r="K14" s="13" t="s">
        <v>30</v>
      </c>
      <c r="L14" s="13"/>
      <c r="M14" s="4" t="s">
        <v>255</v>
      </c>
      <c r="N14" s="6" t="s">
        <v>63</v>
      </c>
      <c r="O14" s="37">
        <v>6592</v>
      </c>
      <c r="P14" s="37">
        <v>2454</v>
      </c>
      <c r="Q14" s="37">
        <v>2400</v>
      </c>
      <c r="R14" s="13"/>
      <c r="S14" s="13">
        <v>3670</v>
      </c>
      <c r="T14" s="13">
        <v>2600</v>
      </c>
      <c r="U14" s="13">
        <v>8832</v>
      </c>
      <c r="V14" s="13">
        <v>1150</v>
      </c>
      <c r="W14" s="13">
        <v>4815</v>
      </c>
      <c r="X14" s="13">
        <v>2655</v>
      </c>
      <c r="Y14" s="13"/>
      <c r="Z14" s="37">
        <v>15</v>
      </c>
      <c r="AA14" s="13" t="s">
        <v>325</v>
      </c>
      <c r="AB14" s="13">
        <v>16000</v>
      </c>
      <c r="AC14" s="30">
        <v>6883</v>
      </c>
      <c r="AD14" s="14"/>
      <c r="AE14" s="14"/>
      <c r="AF14" s="14"/>
      <c r="AG14" s="14"/>
      <c r="AH14" s="13" t="s">
        <v>163</v>
      </c>
      <c r="AI14" s="4" t="s">
        <v>169</v>
      </c>
      <c r="AJ14" s="37" t="s">
        <v>351</v>
      </c>
      <c r="AK14" s="13" t="s">
        <v>75</v>
      </c>
      <c r="AL14" s="4" t="s">
        <v>153</v>
      </c>
      <c r="AM14" s="13" t="s">
        <v>240</v>
      </c>
      <c r="AN14" s="4" t="s">
        <v>206</v>
      </c>
      <c r="AO14" s="15" t="s">
        <v>69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20" t="e">
        <f>IF(CONCATENATE(A14,B14,C14,D14,E14,F14,G14,H14,I14,J14,K14,L14,M14,N14,O14,P14,Q14,R14,S14,T14,U14,V14,W14,X14,Y14,Z14,AA14,AB14,AC14,AD14,AE14,AF14,AG14,AH14,AI14,AJ14,AK14,AL14,AM14,AN14,AO14,AP14,AQ14,AR14,AS14,AT14,AU14,AV14,AW14,AX14,AY14,AZ14,BA14,BB14,BC14,BD14,BE14,BF14,BG14,BH14,BI14,BJ14,BK14)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4" s="38" t="s">
        <v>243</v>
      </c>
      <c r="BN14" s="8" t="s">
        <v>136</v>
      </c>
      <c r="BO14" s="48"/>
      <c r="BP14" s="35" t="str">
        <f t="shared" si="0"/>
        <v>FR</v>
      </c>
      <c r="BQ14" s="35" t="str">
        <f t="shared" si="1"/>
        <v>FS_PF_Energie Alter</v>
      </c>
      <c r="BR14" s="35" t="str">
        <f t="shared" si="2"/>
        <v>IVECO</v>
      </c>
      <c r="BS14" s="35" t="str">
        <f t="shared" si="3"/>
        <v>EUROCARGO</v>
      </c>
      <c r="BT14" s="35" t="str">
        <f t="shared" si="4"/>
        <v>160E21 G CF - 15 Pal - SUPRA GAZ</v>
      </c>
      <c r="BU14" s="35">
        <f t="shared" si="5"/>
        <v>0</v>
      </c>
      <c r="BV14" s="4" t="s">
        <v>255</v>
      </c>
      <c r="BW14" s="6" t="s">
        <v>63</v>
      </c>
      <c r="BX14" s="35" t="str">
        <f t="shared" si="6"/>
        <v>H01</v>
      </c>
      <c r="BY14" s="44" t="str">
        <f t="shared" si="7"/>
        <v>FRFS_PF_Energie Alter160E21 G CF - 15 Pal - SUPRA GAZH01</v>
      </c>
      <c r="BZ14" s="48"/>
      <c r="CA14" s="35">
        <v>16000</v>
      </c>
      <c r="CB14" s="35">
        <v>16000</v>
      </c>
      <c r="CC14" s="35" t="e">
        <f>VLOOKUP(BY14,#REF!,20,0)</f>
        <v>#REF!</v>
      </c>
      <c r="CD14" s="48"/>
      <c r="CE14" s="36">
        <v>6883</v>
      </c>
      <c r="CF14" s="36">
        <v>6883</v>
      </c>
      <c r="CG14" s="36"/>
    </row>
    <row r="15" spans="1:179" ht="20.100000000000001" customHeight="1" x14ac:dyDescent="0.25">
      <c r="A15" s="13" t="s">
        <v>74</v>
      </c>
      <c r="B15" s="5" t="s">
        <v>246</v>
      </c>
      <c r="C15" s="5" t="s">
        <v>247</v>
      </c>
      <c r="D15" s="1"/>
      <c r="E15" s="4" t="s">
        <v>33</v>
      </c>
      <c r="F15" s="13" t="s">
        <v>37</v>
      </c>
      <c r="G15" s="1" t="s">
        <v>41</v>
      </c>
      <c r="H15" s="13" t="s">
        <v>12</v>
      </c>
      <c r="I15" s="13" t="s">
        <v>7</v>
      </c>
      <c r="J15" s="13"/>
      <c r="K15" s="13" t="s">
        <v>30</v>
      </c>
      <c r="L15" s="13"/>
      <c r="M15" s="4" t="s">
        <v>256</v>
      </c>
      <c r="N15" s="5" t="s">
        <v>64</v>
      </c>
      <c r="O15" s="37">
        <v>6592</v>
      </c>
      <c r="P15" s="37">
        <v>2454</v>
      </c>
      <c r="Q15" s="37">
        <v>2400</v>
      </c>
      <c r="R15" s="13"/>
      <c r="S15" s="13">
        <v>3670</v>
      </c>
      <c r="T15" s="13">
        <v>2600</v>
      </c>
      <c r="U15" s="13">
        <v>8832</v>
      </c>
      <c r="V15" s="13">
        <v>1150</v>
      </c>
      <c r="W15" s="13">
        <v>4815</v>
      </c>
      <c r="X15" s="13">
        <v>2655</v>
      </c>
      <c r="Y15" s="13"/>
      <c r="Z15" s="37">
        <v>15</v>
      </c>
      <c r="AA15" s="13" t="s">
        <v>309</v>
      </c>
      <c r="AB15" s="13">
        <v>16000</v>
      </c>
      <c r="AC15" s="30">
        <v>6337</v>
      </c>
      <c r="AD15" s="14"/>
      <c r="AE15" s="14"/>
      <c r="AF15" s="14"/>
      <c r="AG15" s="14"/>
      <c r="AH15" s="13" t="s">
        <v>163</v>
      </c>
      <c r="AI15" s="4" t="s">
        <v>169</v>
      </c>
      <c r="AJ15" s="37" t="s">
        <v>351</v>
      </c>
      <c r="AK15" s="13" t="s">
        <v>75</v>
      </c>
      <c r="AL15" s="4" t="s">
        <v>154</v>
      </c>
      <c r="AM15" s="13" t="s">
        <v>239</v>
      </c>
      <c r="AN15" s="4" t="s">
        <v>206</v>
      </c>
      <c r="AO15" s="15" t="s">
        <v>70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20" t="e">
        <f>IF(CONCATENATE(A15,B15,C15,D15,E15,F15,G15,H15,I15,J15,K15,L15,M15,N15,O15,P15,Q15,R15,S15,T15,U15,V15,W15,X15,Y15,Z15,AA15,AB15,AC15,AD15,AE15,AF15,AG15,AH15,AI15,AJ15,AK15,AL15,AM15,AN15,AO15,AP15,AQ15,AR15,AS15,AT15,AU15,AV15,AW15,AX15,AY15,AZ15,BA15,BB15,BC15,BD15,BE15,BF15,BG15,BH15,BI15,BJ15,BK15)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5" s="38" t="s">
        <v>243</v>
      </c>
      <c r="BN15" s="8" t="s">
        <v>141</v>
      </c>
      <c r="BO15" s="48"/>
      <c r="BP15" s="35" t="str">
        <f t="shared" si="0"/>
        <v>FR</v>
      </c>
      <c r="BQ15" s="35" t="str">
        <f t="shared" si="1"/>
        <v>FS_PF_Energie Alter</v>
      </c>
      <c r="BR15" s="35" t="str">
        <f t="shared" si="2"/>
        <v>IVECO</v>
      </c>
      <c r="BS15" s="35" t="str">
        <f t="shared" si="3"/>
        <v>EUROCARGO</v>
      </c>
      <c r="BT15" s="35" t="str">
        <f t="shared" si="4"/>
        <v>160E21 G CF - 15 Pal - SUPRA GAZ MT</v>
      </c>
      <c r="BU15" s="35">
        <f t="shared" si="5"/>
        <v>0</v>
      </c>
      <c r="BV15" s="4" t="s">
        <v>256</v>
      </c>
      <c r="BW15" s="5" t="s">
        <v>64</v>
      </c>
      <c r="BX15" s="35" t="str">
        <f t="shared" si="6"/>
        <v>H02</v>
      </c>
      <c r="BY15" s="44" t="str">
        <f t="shared" si="7"/>
        <v>FRFS_PF_Energie Alter160E21 G CF - 15 Pal - SUPRA GAZ MTH02</v>
      </c>
      <c r="BZ15" s="48"/>
      <c r="CA15" s="35">
        <v>16000</v>
      </c>
      <c r="CB15" s="35">
        <v>16000</v>
      </c>
      <c r="CC15" s="35" t="e">
        <f>VLOOKUP(BY15,#REF!,20,0)</f>
        <v>#REF!</v>
      </c>
      <c r="CD15" s="48"/>
      <c r="CE15" s="36">
        <v>6337</v>
      </c>
      <c r="CF15" s="36">
        <v>6337</v>
      </c>
      <c r="CG15" s="36"/>
    </row>
    <row r="16" spans="1:179" ht="20.100000000000001" customHeight="1" x14ac:dyDescent="0.25">
      <c r="A16" s="13" t="s">
        <v>74</v>
      </c>
      <c r="B16" s="5" t="s">
        <v>246</v>
      </c>
      <c r="C16" s="5" t="s">
        <v>247</v>
      </c>
      <c r="D16" s="1"/>
      <c r="E16" s="4" t="s">
        <v>33</v>
      </c>
      <c r="F16" s="13" t="s">
        <v>37</v>
      </c>
      <c r="G16" s="1" t="s">
        <v>41</v>
      </c>
      <c r="H16" s="13" t="s">
        <v>29</v>
      </c>
      <c r="I16" s="13" t="s">
        <v>7</v>
      </c>
      <c r="J16" s="13"/>
      <c r="K16" s="13" t="s">
        <v>30</v>
      </c>
      <c r="L16" s="13"/>
      <c r="M16" s="4" t="s">
        <v>251</v>
      </c>
      <c r="N16" s="6" t="s">
        <v>63</v>
      </c>
      <c r="O16" s="37">
        <v>6592</v>
      </c>
      <c r="P16" s="37">
        <v>2454</v>
      </c>
      <c r="Q16" s="37">
        <v>2400</v>
      </c>
      <c r="R16" s="13"/>
      <c r="S16" s="13">
        <v>3670</v>
      </c>
      <c r="T16" s="13">
        <v>2600</v>
      </c>
      <c r="U16" s="13">
        <v>8832</v>
      </c>
      <c r="V16" s="13">
        <v>1150</v>
      </c>
      <c r="W16" s="13">
        <v>4815</v>
      </c>
      <c r="X16" s="13">
        <v>2655</v>
      </c>
      <c r="Y16" s="13"/>
      <c r="Z16" s="37">
        <v>15</v>
      </c>
      <c r="AA16" s="13" t="s">
        <v>323</v>
      </c>
      <c r="AB16" s="13">
        <v>16000</v>
      </c>
      <c r="AC16" s="30">
        <v>6883</v>
      </c>
      <c r="AD16" s="14"/>
      <c r="AE16" s="14"/>
      <c r="AF16" s="14"/>
      <c r="AG16" s="14"/>
      <c r="AH16" s="13" t="s">
        <v>163</v>
      </c>
      <c r="AI16" s="4" t="s">
        <v>169</v>
      </c>
      <c r="AJ16" s="37" t="s">
        <v>351</v>
      </c>
      <c r="AK16" s="13" t="s">
        <v>75</v>
      </c>
      <c r="AL16" s="4" t="s">
        <v>153</v>
      </c>
      <c r="AM16" s="13" t="s">
        <v>240</v>
      </c>
      <c r="AN16" s="4" t="s">
        <v>206</v>
      </c>
      <c r="AO16" s="15" t="s">
        <v>69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20" t="e">
        <f>IF(CONCATENATE(A16,B16,C16,D16,E16,F16,G16,H16,I16,J16,K16,L16,M16,N16,O16,P16,Q16,R16,S16,T16,U16,V16,W16,X16,Y16,Z16,AA16,AB16,AC16,AD16,AE16,AF16,AG16,AH16,AI16,AJ16,AK16,AL16,AM16,AN16,AO16,AP16,AQ16,AR16,AS16,AT16,AU16,AV16,AW16,AX16,AY16,AZ16,BA16,BB16,BC16,BD16,BE16,BF16,BG16,BH16,BI16,BJ16,BK16)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6" s="38" t="s">
        <v>243</v>
      </c>
      <c r="BN16" s="8" t="s">
        <v>136</v>
      </c>
      <c r="BO16" s="48"/>
      <c r="BP16" s="35" t="str">
        <f t="shared" si="0"/>
        <v>FR</v>
      </c>
      <c r="BQ16" s="35" t="str">
        <f t="shared" si="1"/>
        <v>FS_PF_Energie Alter</v>
      </c>
      <c r="BR16" s="35" t="str">
        <f t="shared" si="2"/>
        <v>IVECO</v>
      </c>
      <c r="BS16" s="35" t="str">
        <f t="shared" si="3"/>
        <v>EUROCARGO</v>
      </c>
      <c r="BT16" s="35" t="str">
        <f t="shared" si="4"/>
        <v>160E21 G CF - SUPRA GAZ</v>
      </c>
      <c r="BU16" s="35">
        <f t="shared" si="5"/>
        <v>0</v>
      </c>
      <c r="BV16" s="4" t="s">
        <v>251</v>
      </c>
      <c r="BW16" s="6" t="s">
        <v>63</v>
      </c>
      <c r="BX16" s="35" t="str">
        <f t="shared" si="6"/>
        <v>H01</v>
      </c>
      <c r="BY16" s="44" t="str">
        <f t="shared" si="7"/>
        <v>FRFS_PF_Energie Alter160E21 G CF - SUPRA GAZH01</v>
      </c>
      <c r="BZ16" s="48"/>
      <c r="CA16" s="35">
        <v>16000</v>
      </c>
      <c r="CB16" s="35">
        <v>16000</v>
      </c>
      <c r="CC16" s="35" t="e">
        <f>VLOOKUP(BY16,#REF!,20,0)</f>
        <v>#REF!</v>
      </c>
      <c r="CD16" s="48"/>
      <c r="CE16" s="36">
        <v>6883</v>
      </c>
      <c r="CF16" s="36">
        <v>6883</v>
      </c>
      <c r="CG16" s="36"/>
    </row>
    <row r="17" spans="1:85" ht="20.100000000000001" customHeight="1" x14ac:dyDescent="0.25">
      <c r="A17" s="13" t="s">
        <v>74</v>
      </c>
      <c r="B17" s="5" t="s">
        <v>246</v>
      </c>
      <c r="C17" s="5" t="s">
        <v>247</v>
      </c>
      <c r="D17" s="1"/>
      <c r="E17" s="4" t="s">
        <v>33</v>
      </c>
      <c r="F17" s="13" t="s">
        <v>37</v>
      </c>
      <c r="G17" s="1" t="s">
        <v>41</v>
      </c>
      <c r="H17" s="13" t="s">
        <v>12</v>
      </c>
      <c r="I17" s="13" t="s">
        <v>7</v>
      </c>
      <c r="J17" s="13"/>
      <c r="K17" s="13" t="s">
        <v>30</v>
      </c>
      <c r="L17" s="13"/>
      <c r="M17" s="4" t="s">
        <v>252</v>
      </c>
      <c r="N17" s="5" t="s">
        <v>64</v>
      </c>
      <c r="O17" s="37">
        <v>6592</v>
      </c>
      <c r="P17" s="37">
        <v>2454</v>
      </c>
      <c r="Q17" s="37">
        <v>2400</v>
      </c>
      <c r="R17" s="13"/>
      <c r="S17" s="13">
        <v>3670</v>
      </c>
      <c r="T17" s="13">
        <v>2600</v>
      </c>
      <c r="U17" s="13">
        <v>8832</v>
      </c>
      <c r="V17" s="13">
        <v>1150</v>
      </c>
      <c r="W17" s="13">
        <v>4815</v>
      </c>
      <c r="X17" s="13">
        <v>2655</v>
      </c>
      <c r="Y17" s="13"/>
      <c r="Z17" s="37">
        <v>15</v>
      </c>
      <c r="AA17" s="13" t="s">
        <v>307</v>
      </c>
      <c r="AB17" s="13">
        <v>16000</v>
      </c>
      <c r="AC17" s="30">
        <v>6337</v>
      </c>
      <c r="AD17" s="14"/>
      <c r="AE17" s="14"/>
      <c r="AF17" s="14"/>
      <c r="AG17" s="14"/>
      <c r="AH17" s="13" t="s">
        <v>163</v>
      </c>
      <c r="AI17" s="4" t="s">
        <v>169</v>
      </c>
      <c r="AJ17" s="37" t="s">
        <v>351</v>
      </c>
      <c r="AK17" s="13" t="s">
        <v>75</v>
      </c>
      <c r="AL17" s="4" t="s">
        <v>154</v>
      </c>
      <c r="AM17" s="13" t="s">
        <v>239</v>
      </c>
      <c r="AN17" s="4" t="s">
        <v>206</v>
      </c>
      <c r="AO17" s="15" t="s">
        <v>70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20" t="e">
        <f>IF(CONCATENATE(A17,B17,C17,D17,E17,F17,G17,H17,I17,J17,K17,L17,M17,N17,O17,P17,Q17,R17,S17,T17,U17,V17,W17,X17,Y17,Z17,AA17,AB17,AC17,AD17,AE17,AF17,AG17,AH17,AI17,AJ17,AK17,AL17,AM17,AN17,AO17,AP17,AQ17,AR17,AS17,AT17,AU17,AV17,AW17,AX17,AY17,AZ17,BA17,BB17,BC17,BD17,BE17,BF17,BG17,BH17,BI17,BJ17,BK17)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7" s="38" t="s">
        <v>243</v>
      </c>
      <c r="BN17" s="8" t="s">
        <v>141</v>
      </c>
      <c r="BO17" s="48"/>
      <c r="BP17" s="35" t="str">
        <f t="shared" si="0"/>
        <v>FR</v>
      </c>
      <c r="BQ17" s="35" t="str">
        <f t="shared" si="1"/>
        <v>FS_PF_Energie Alter</v>
      </c>
      <c r="BR17" s="35" t="str">
        <f t="shared" si="2"/>
        <v>IVECO</v>
      </c>
      <c r="BS17" s="35" t="str">
        <f t="shared" si="3"/>
        <v>EUROCARGO</v>
      </c>
      <c r="BT17" s="35" t="str">
        <f t="shared" si="4"/>
        <v>160E21 G CF - SUPRA GAZ MT</v>
      </c>
      <c r="BU17" s="35">
        <f t="shared" si="5"/>
        <v>0</v>
      </c>
      <c r="BV17" s="4" t="s">
        <v>252</v>
      </c>
      <c r="BW17" s="5" t="s">
        <v>64</v>
      </c>
      <c r="BX17" s="35" t="str">
        <f t="shared" si="6"/>
        <v>H02</v>
      </c>
      <c r="BY17" s="44" t="str">
        <f t="shared" si="7"/>
        <v>FRFS_PF_Energie Alter160E21 G CF - SUPRA GAZ MTH02</v>
      </c>
      <c r="BZ17" s="48"/>
      <c r="CA17" s="35">
        <v>16000</v>
      </c>
      <c r="CB17" s="35">
        <v>16000</v>
      </c>
      <c r="CC17" s="35" t="e">
        <f>VLOOKUP(BY17,#REF!,20,0)</f>
        <v>#REF!</v>
      </c>
      <c r="CD17" s="48"/>
      <c r="CE17" s="36">
        <v>6337</v>
      </c>
      <c r="CF17" s="36">
        <v>6337</v>
      </c>
      <c r="CG17" s="36"/>
    </row>
    <row r="18" spans="1:85" ht="20.100000000000001" customHeight="1" x14ac:dyDescent="0.25">
      <c r="A18" s="13" t="s">
        <v>74</v>
      </c>
      <c r="B18" s="5" t="s">
        <v>246</v>
      </c>
      <c r="C18" s="5" t="s">
        <v>247</v>
      </c>
      <c r="D18" s="1"/>
      <c r="E18" s="13" t="s">
        <v>33</v>
      </c>
      <c r="F18" s="13" t="s">
        <v>219</v>
      </c>
      <c r="G18" s="1" t="s">
        <v>42</v>
      </c>
      <c r="H18" s="13" t="s">
        <v>29</v>
      </c>
      <c r="I18" s="13" t="s">
        <v>7</v>
      </c>
      <c r="J18" s="4"/>
      <c r="K18" s="5" t="s">
        <v>30</v>
      </c>
      <c r="L18" s="5"/>
      <c r="M18" s="13" t="s">
        <v>263</v>
      </c>
      <c r="N18" s="6" t="s">
        <v>63</v>
      </c>
      <c r="O18" s="37">
        <v>7692</v>
      </c>
      <c r="P18" s="37">
        <v>2454</v>
      </c>
      <c r="Q18" s="37">
        <v>2400</v>
      </c>
      <c r="R18" s="13"/>
      <c r="S18" s="13">
        <v>3830</v>
      </c>
      <c r="T18" s="13">
        <v>2600</v>
      </c>
      <c r="U18" s="13">
        <v>9897</v>
      </c>
      <c r="V18" s="13">
        <v>1265</v>
      </c>
      <c r="W18" s="13">
        <v>5670</v>
      </c>
      <c r="X18" s="13">
        <v>2865</v>
      </c>
      <c r="Y18" s="13"/>
      <c r="Z18" s="9">
        <v>18</v>
      </c>
      <c r="AA18" s="13" t="s">
        <v>326</v>
      </c>
      <c r="AB18" s="13">
        <v>19000</v>
      </c>
      <c r="AC18" s="17"/>
      <c r="AD18" s="14"/>
      <c r="AE18" s="14"/>
      <c r="AF18" s="14"/>
      <c r="AG18" s="14"/>
      <c r="AH18" s="13" t="s">
        <v>164</v>
      </c>
      <c r="AI18" s="13" t="s">
        <v>225</v>
      </c>
      <c r="AJ18" s="37" t="s">
        <v>245</v>
      </c>
      <c r="AK18" s="13" t="s">
        <v>230</v>
      </c>
      <c r="AL18" s="13" t="s">
        <v>155</v>
      </c>
      <c r="AM18" s="13" t="s">
        <v>231</v>
      </c>
      <c r="AN18" s="13" t="s">
        <v>206</v>
      </c>
      <c r="AO18" s="32" t="s">
        <v>220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20" t="e">
        <f>IF(CONCATENATE(A18,B18,C18,D18,E18,F18,G18,H18,I18,J18,K18,L18,M18,N18,O18,P18,Q18,R18,S18,T18,U18,V18,W18,X18,Y18,Z18,AA18,AB18,AC18,AD18,AE18,AF18,AG18,AH18,AI18,AJ18,AK18,AL18,AM18,AN18,AO18,AP18,AQ18,AR18,AS18,AT18,AU18,AV18,AW18,AX18,AY18,AZ18,BA18,BB18,BC18,BD18,BE18,BF18,BG18,BH18,BI18,BJ18,BK18)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8" s="39" t="s">
        <v>243</v>
      </c>
      <c r="BN18" s="13" t="s">
        <v>137</v>
      </c>
      <c r="BO18" s="48"/>
      <c r="BP18" s="35" t="str">
        <f t="shared" si="0"/>
        <v>FR</v>
      </c>
      <c r="BQ18" s="35" t="str">
        <f t="shared" si="1"/>
        <v>FS_PF_Energie Alter</v>
      </c>
      <c r="BR18" s="35" t="str">
        <f t="shared" si="2"/>
        <v>IVECO</v>
      </c>
      <c r="BS18" s="35" t="str">
        <f t="shared" si="3"/>
        <v>S-WAY</v>
      </c>
      <c r="BT18" s="35" t="str">
        <f t="shared" si="4"/>
        <v>AD190S40 G CF - 18 Pal - SUPRA 850 S</v>
      </c>
      <c r="BU18" s="35">
        <f t="shared" si="5"/>
        <v>0</v>
      </c>
      <c r="BV18" s="13" t="s">
        <v>263</v>
      </c>
      <c r="BW18" s="6" t="s">
        <v>63</v>
      </c>
      <c r="BX18" s="35" t="str">
        <f t="shared" si="6"/>
        <v>H01</v>
      </c>
      <c r="BY18" s="44" t="str">
        <f t="shared" si="7"/>
        <v>FRFS_PF_Energie AlterAD190S40 G CF - 18 Pal - SUPRA 850 SH01</v>
      </c>
      <c r="BZ18" s="48"/>
      <c r="CA18" s="35">
        <v>19000</v>
      </c>
      <c r="CB18" s="35">
        <v>19000</v>
      </c>
      <c r="CC18" s="35" t="e">
        <f>VLOOKUP(BY18,#REF!,20,0)</f>
        <v>#REF!</v>
      </c>
      <c r="CD18" s="48"/>
      <c r="CE18" s="36"/>
      <c r="CF18" s="36"/>
      <c r="CG18" s="36"/>
    </row>
    <row r="19" spans="1:85" ht="20.100000000000001" customHeight="1" x14ac:dyDescent="0.25">
      <c r="A19" s="13" t="s">
        <v>74</v>
      </c>
      <c r="B19" s="5" t="s">
        <v>246</v>
      </c>
      <c r="C19" s="5" t="s">
        <v>247</v>
      </c>
      <c r="D19" s="1"/>
      <c r="E19" s="13" t="s">
        <v>33</v>
      </c>
      <c r="F19" s="13" t="s">
        <v>219</v>
      </c>
      <c r="G19" s="1" t="s">
        <v>42</v>
      </c>
      <c r="H19" s="13" t="s">
        <v>12</v>
      </c>
      <c r="I19" s="13" t="s">
        <v>7</v>
      </c>
      <c r="J19" s="4"/>
      <c r="K19" s="5" t="s">
        <v>30</v>
      </c>
      <c r="L19" s="5"/>
      <c r="M19" s="13" t="s">
        <v>264</v>
      </c>
      <c r="N19" s="5" t="s">
        <v>64</v>
      </c>
      <c r="O19" s="37">
        <v>7692</v>
      </c>
      <c r="P19" s="37">
        <v>2454</v>
      </c>
      <c r="Q19" s="37">
        <v>2400</v>
      </c>
      <c r="R19" s="13"/>
      <c r="S19" s="13">
        <v>3830</v>
      </c>
      <c r="T19" s="13">
        <v>2600</v>
      </c>
      <c r="U19" s="13">
        <v>9897</v>
      </c>
      <c r="V19" s="13">
        <v>1265</v>
      </c>
      <c r="W19" s="13">
        <v>5670</v>
      </c>
      <c r="X19" s="13">
        <v>2865</v>
      </c>
      <c r="Y19" s="13"/>
      <c r="Z19" s="9">
        <v>18</v>
      </c>
      <c r="AA19" s="13" t="s">
        <v>310</v>
      </c>
      <c r="AB19" s="13">
        <v>19000</v>
      </c>
      <c r="AC19" s="17"/>
      <c r="AD19" s="14"/>
      <c r="AE19" s="14"/>
      <c r="AF19" s="14"/>
      <c r="AG19" s="14"/>
      <c r="AH19" s="13" t="s">
        <v>164</v>
      </c>
      <c r="AI19" s="13" t="s">
        <v>225</v>
      </c>
      <c r="AJ19" s="37" t="s">
        <v>245</v>
      </c>
      <c r="AK19" s="13" t="s">
        <v>230</v>
      </c>
      <c r="AL19" s="13" t="s">
        <v>156</v>
      </c>
      <c r="AM19" s="13" t="s">
        <v>232</v>
      </c>
      <c r="AN19" s="13" t="s">
        <v>206</v>
      </c>
      <c r="AO19" s="32" t="s">
        <v>229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20" t="e">
        <f>IF(CONCATENATE(A19,B19,C19,D19,E19,F19,G19,H19,I19,J19,K19,L19,M19,N19,O19,P19,Q19,R19,S19,T19,U19,V19,W19,X19,Y19,Z19,AA19,AB19,AC19,AD19,AE19,AF19,AG19,AH19,AI19,AJ19,AK19,AL19,AM19,AN19,AO19,AP19,AQ19,AR19,AS19,AT19,AU19,AV19,AW19,AX19,AY19,AZ19,BA19,BB19,BC19,BD19,BE19,BF19,BG19,BH19,BI19,BJ19,BK19)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19" s="39" t="s">
        <v>243</v>
      </c>
      <c r="BN19" s="13" t="s">
        <v>141</v>
      </c>
      <c r="BO19" s="48"/>
      <c r="BP19" s="35" t="str">
        <f t="shared" si="0"/>
        <v>FR</v>
      </c>
      <c r="BQ19" s="35" t="str">
        <f t="shared" si="1"/>
        <v>FS_PF_Energie Alter</v>
      </c>
      <c r="BR19" s="35" t="str">
        <f t="shared" si="2"/>
        <v>IVECO</v>
      </c>
      <c r="BS19" s="35" t="str">
        <f t="shared" si="3"/>
        <v>S-WAY</v>
      </c>
      <c r="BT19" s="35" t="str">
        <f t="shared" si="4"/>
        <v>AD190S40 G CF - 18 Pal - SUPRA 1150 S MT</v>
      </c>
      <c r="BU19" s="35">
        <f t="shared" si="5"/>
        <v>0</v>
      </c>
      <c r="BV19" s="13" t="s">
        <v>264</v>
      </c>
      <c r="BW19" s="5" t="s">
        <v>64</v>
      </c>
      <c r="BX19" s="35" t="str">
        <f t="shared" si="6"/>
        <v>H02</v>
      </c>
      <c r="BY19" s="44" t="str">
        <f t="shared" si="7"/>
        <v>FRFS_PF_Energie AlterAD190S40 G CF - 18 Pal - SUPRA 1150 S MTH02</v>
      </c>
      <c r="BZ19" s="48"/>
      <c r="CA19" s="35">
        <v>19000</v>
      </c>
      <c r="CB19" s="35">
        <v>19000</v>
      </c>
      <c r="CC19" s="35" t="e">
        <f>VLOOKUP(BY19,#REF!,20,0)</f>
        <v>#REF!</v>
      </c>
      <c r="CD19" s="48"/>
      <c r="CE19" s="36"/>
      <c r="CF19" s="36"/>
      <c r="CG19" s="36"/>
    </row>
    <row r="20" spans="1:85" ht="20.100000000000001" customHeight="1" x14ac:dyDescent="0.25">
      <c r="A20" s="13" t="s">
        <v>74</v>
      </c>
      <c r="B20" s="5" t="s">
        <v>246</v>
      </c>
      <c r="C20" s="5" t="s">
        <v>247</v>
      </c>
      <c r="D20" s="1"/>
      <c r="E20" s="13" t="s">
        <v>33</v>
      </c>
      <c r="F20" s="13" t="s">
        <v>219</v>
      </c>
      <c r="G20" s="1" t="s">
        <v>42</v>
      </c>
      <c r="H20" s="13" t="s">
        <v>29</v>
      </c>
      <c r="I20" s="13" t="s">
        <v>7</v>
      </c>
      <c r="J20" s="4"/>
      <c r="K20" s="5" t="s">
        <v>30</v>
      </c>
      <c r="L20" s="5"/>
      <c r="M20" s="13" t="s">
        <v>265</v>
      </c>
      <c r="N20" s="6" t="s">
        <v>63</v>
      </c>
      <c r="O20" s="37">
        <v>7692</v>
      </c>
      <c r="P20" s="37">
        <v>2454</v>
      </c>
      <c r="Q20" s="37">
        <v>2400</v>
      </c>
      <c r="R20" s="13"/>
      <c r="S20" s="13">
        <v>3830</v>
      </c>
      <c r="T20" s="13">
        <v>2600</v>
      </c>
      <c r="U20" s="13">
        <v>9897</v>
      </c>
      <c r="V20" s="13">
        <v>1265</v>
      </c>
      <c r="W20" s="13">
        <v>5670</v>
      </c>
      <c r="X20" s="13">
        <v>2865</v>
      </c>
      <c r="Y20" s="13"/>
      <c r="Z20" s="9">
        <v>18</v>
      </c>
      <c r="AA20" s="13" t="s">
        <v>327</v>
      </c>
      <c r="AB20" s="13">
        <v>19000</v>
      </c>
      <c r="AC20" s="17"/>
      <c r="AD20" s="14"/>
      <c r="AE20" s="14"/>
      <c r="AF20" s="14"/>
      <c r="AG20" s="14"/>
      <c r="AH20" s="13" t="s">
        <v>164</v>
      </c>
      <c r="AI20" s="13" t="s">
        <v>225</v>
      </c>
      <c r="AJ20" s="37" t="s">
        <v>245</v>
      </c>
      <c r="AK20" s="13" t="s">
        <v>230</v>
      </c>
      <c r="AL20" s="13" t="s">
        <v>155</v>
      </c>
      <c r="AM20" s="13" t="s">
        <v>240</v>
      </c>
      <c r="AN20" s="13" t="s">
        <v>206</v>
      </c>
      <c r="AO20" s="32" t="s">
        <v>220</v>
      </c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20" t="e">
        <f>IF(CONCATENATE(A20,B20,C20,D20,E20,F20,G20,H20,I20,J20,K20,L20,M20,N20,O20,P20,Q20,R20,S20,T20,U20,V20,W20,X20,Y20,Z20,AA20,AB20,AC20,AD20,AE20,AF20,AG20,AH20,AI20,AJ20,AK20,AL20,AM20,AN20,AO20,AP20,AQ20,AR20,AS20,AT20,AU20,AV20,AW20,AX20,AY20,AZ20,BA20,BB20,BC20,BD20,BE20,BF20,BG20,BH20,BI20,BJ20,BK20)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0" s="39" t="s">
        <v>243</v>
      </c>
      <c r="BN20" s="13" t="s">
        <v>137</v>
      </c>
      <c r="BO20" s="48"/>
      <c r="BP20" s="35" t="str">
        <f t="shared" si="0"/>
        <v>FR</v>
      </c>
      <c r="BQ20" s="35" t="str">
        <f t="shared" si="1"/>
        <v>FS_PF_Energie Alter</v>
      </c>
      <c r="BR20" s="35" t="str">
        <f t="shared" si="2"/>
        <v>IVECO</v>
      </c>
      <c r="BS20" s="35" t="str">
        <f t="shared" si="3"/>
        <v>S-WAY</v>
      </c>
      <c r="BT20" s="35" t="str">
        <f t="shared" si="4"/>
        <v>AD190S40 G CF - 18 Pal - SUPRA GAZ</v>
      </c>
      <c r="BU20" s="35">
        <f t="shared" si="5"/>
        <v>0</v>
      </c>
      <c r="BV20" s="13" t="s">
        <v>265</v>
      </c>
      <c r="BW20" s="6" t="s">
        <v>63</v>
      </c>
      <c r="BX20" s="35" t="str">
        <f t="shared" si="6"/>
        <v>H01</v>
      </c>
      <c r="BY20" s="44" t="str">
        <f t="shared" si="7"/>
        <v>FRFS_PF_Energie AlterAD190S40 G CF - 18 Pal - SUPRA GAZH01</v>
      </c>
      <c r="BZ20" s="48"/>
      <c r="CA20" s="35">
        <v>19000</v>
      </c>
      <c r="CB20" s="35">
        <v>19000</v>
      </c>
      <c r="CC20" s="35" t="e">
        <f>VLOOKUP(BY20,#REF!,20,0)</f>
        <v>#REF!</v>
      </c>
      <c r="CD20" s="48"/>
      <c r="CE20" s="36"/>
      <c r="CF20" s="36"/>
      <c r="CG20" s="36"/>
    </row>
    <row r="21" spans="1:85" ht="20.100000000000001" customHeight="1" x14ac:dyDescent="0.25">
      <c r="A21" s="13" t="s">
        <v>74</v>
      </c>
      <c r="B21" s="5" t="s">
        <v>246</v>
      </c>
      <c r="C21" s="5" t="s">
        <v>247</v>
      </c>
      <c r="D21" s="1"/>
      <c r="E21" s="13" t="s">
        <v>33</v>
      </c>
      <c r="F21" s="13" t="s">
        <v>219</v>
      </c>
      <c r="G21" s="1" t="s">
        <v>42</v>
      </c>
      <c r="H21" s="13" t="s">
        <v>12</v>
      </c>
      <c r="I21" s="13" t="s">
        <v>7</v>
      </c>
      <c r="J21" s="4"/>
      <c r="K21" s="5" t="s">
        <v>30</v>
      </c>
      <c r="L21" s="5"/>
      <c r="M21" s="13" t="s">
        <v>266</v>
      </c>
      <c r="N21" s="5" t="s">
        <v>64</v>
      </c>
      <c r="O21" s="37">
        <v>7692</v>
      </c>
      <c r="P21" s="37">
        <v>2454</v>
      </c>
      <c r="Q21" s="37">
        <v>2400</v>
      </c>
      <c r="R21" s="13"/>
      <c r="S21" s="13">
        <v>3830</v>
      </c>
      <c r="T21" s="13">
        <v>2600</v>
      </c>
      <c r="U21" s="13">
        <v>9897</v>
      </c>
      <c r="V21" s="13">
        <v>1265</v>
      </c>
      <c r="W21" s="13">
        <v>5670</v>
      </c>
      <c r="X21" s="13">
        <v>2865</v>
      </c>
      <c r="Y21" s="13"/>
      <c r="Z21" s="9">
        <v>18</v>
      </c>
      <c r="AA21" s="13" t="s">
        <v>311</v>
      </c>
      <c r="AB21" s="13">
        <v>19000</v>
      </c>
      <c r="AC21" s="17"/>
      <c r="AD21" s="14"/>
      <c r="AE21" s="14"/>
      <c r="AF21" s="14"/>
      <c r="AG21" s="14"/>
      <c r="AH21" s="13" t="s">
        <v>164</v>
      </c>
      <c r="AI21" s="13" t="s">
        <v>225</v>
      </c>
      <c r="AJ21" s="37" t="s">
        <v>245</v>
      </c>
      <c r="AK21" s="13" t="s">
        <v>230</v>
      </c>
      <c r="AL21" s="13" t="s">
        <v>156</v>
      </c>
      <c r="AM21" s="13" t="s">
        <v>239</v>
      </c>
      <c r="AN21" s="13" t="s">
        <v>206</v>
      </c>
      <c r="AO21" s="32" t="s">
        <v>229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20" t="e">
        <f>IF(CONCATENATE(A21,B21,C21,D21,E21,F21,G21,H21,I21,J21,K21,L21,M21,N21,O21,P21,Q21,R21,S21,T21,U21,V21,W21,X21,Y21,Z21,AA21,AB21,AC21,AD21,AE21,AF21,AG21,AH21,AI21,AJ21,AK21,AL21,AM21,AN21,AO21,AP21,AQ21,AR21,AS21,AT21,AU21,AV21,AW21,AX21,AY21,AZ21,BA21,BB21,BC21,BD21,BE21,BF21,BG21,BH21,BI21,BJ21,BK21)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1" s="39" t="s">
        <v>243</v>
      </c>
      <c r="BN21" s="13" t="s">
        <v>141</v>
      </c>
      <c r="BO21" s="48"/>
      <c r="BP21" s="35" t="str">
        <f t="shared" si="0"/>
        <v>FR</v>
      </c>
      <c r="BQ21" s="35" t="str">
        <f t="shared" si="1"/>
        <v>FS_PF_Energie Alter</v>
      </c>
      <c r="BR21" s="35" t="str">
        <f t="shared" si="2"/>
        <v>IVECO</v>
      </c>
      <c r="BS21" s="35" t="str">
        <f t="shared" si="3"/>
        <v>S-WAY</v>
      </c>
      <c r="BT21" s="35" t="str">
        <f t="shared" si="4"/>
        <v>AD190S40 G CF - 18 Pal - SUPRA GAZ MT</v>
      </c>
      <c r="BU21" s="35">
        <f t="shared" si="5"/>
        <v>0</v>
      </c>
      <c r="BV21" s="13" t="s">
        <v>266</v>
      </c>
      <c r="BW21" s="5" t="s">
        <v>64</v>
      </c>
      <c r="BX21" s="35" t="str">
        <f t="shared" si="6"/>
        <v>H02</v>
      </c>
      <c r="BY21" s="44" t="str">
        <f t="shared" si="7"/>
        <v>FRFS_PF_Energie AlterAD190S40 G CF - 18 Pal - SUPRA GAZ MTH02</v>
      </c>
      <c r="BZ21" s="48"/>
      <c r="CA21" s="35">
        <v>19000</v>
      </c>
      <c r="CB21" s="35">
        <v>19000</v>
      </c>
      <c r="CC21" s="35" t="e">
        <f>VLOOKUP(BY21,#REF!,20,0)</f>
        <v>#REF!</v>
      </c>
      <c r="CD21" s="48"/>
      <c r="CE21" s="36"/>
      <c r="CF21" s="36"/>
      <c r="CG21" s="36"/>
    </row>
    <row r="22" spans="1:85" ht="20.100000000000001" customHeight="1" x14ac:dyDescent="0.25">
      <c r="A22" s="13" t="s">
        <v>74</v>
      </c>
      <c r="B22" s="5" t="s">
        <v>246</v>
      </c>
      <c r="C22" s="5" t="s">
        <v>247</v>
      </c>
      <c r="D22" s="1"/>
      <c r="E22" s="13" t="s">
        <v>33</v>
      </c>
      <c r="F22" s="13" t="s">
        <v>219</v>
      </c>
      <c r="G22" s="1" t="s">
        <v>42</v>
      </c>
      <c r="H22" s="13" t="s">
        <v>29</v>
      </c>
      <c r="I22" s="13" t="s">
        <v>7</v>
      </c>
      <c r="J22" s="4"/>
      <c r="K22" s="5" t="s">
        <v>30</v>
      </c>
      <c r="L22" s="5"/>
      <c r="M22" s="13" t="s">
        <v>279</v>
      </c>
      <c r="N22" s="6" t="s">
        <v>63</v>
      </c>
      <c r="O22" s="37">
        <v>7692</v>
      </c>
      <c r="P22" s="37">
        <v>2454</v>
      </c>
      <c r="Q22" s="37">
        <v>2400</v>
      </c>
      <c r="R22" s="13"/>
      <c r="S22" s="13">
        <v>3830</v>
      </c>
      <c r="T22" s="13">
        <v>2600</v>
      </c>
      <c r="U22" s="13">
        <v>9897</v>
      </c>
      <c r="V22" s="13">
        <v>1265</v>
      </c>
      <c r="W22" s="13">
        <v>5670</v>
      </c>
      <c r="X22" s="13">
        <v>2865</v>
      </c>
      <c r="Y22" s="13"/>
      <c r="Z22" s="9">
        <v>18</v>
      </c>
      <c r="AA22" s="13" t="s">
        <v>337</v>
      </c>
      <c r="AB22" s="13">
        <v>19000</v>
      </c>
      <c r="AC22" s="17"/>
      <c r="AD22" s="14"/>
      <c r="AE22" s="14"/>
      <c r="AF22" s="14"/>
      <c r="AG22" s="14"/>
      <c r="AH22" s="13" t="s">
        <v>164</v>
      </c>
      <c r="AI22" s="13" t="s">
        <v>225</v>
      </c>
      <c r="AJ22" s="37" t="s">
        <v>245</v>
      </c>
      <c r="AK22" s="13" t="s">
        <v>230</v>
      </c>
      <c r="AL22" s="13" t="s">
        <v>155</v>
      </c>
      <c r="AM22" s="13" t="s">
        <v>345</v>
      </c>
      <c r="AN22" s="13" t="s">
        <v>206</v>
      </c>
      <c r="AO22" s="32" t="s">
        <v>220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20" t="e">
        <f>IF(CONCATENATE(A22,B22,C22,D22,E22,F22,G22,H22,I22,J22,K22,L22,M22,N22,O22,P22,Q22,R22,S22,T22,U22,V22,W22,X22,Y22,Z22,AA22,AB22,AC22,AD22,AE22,AF22,AG22,AH22,AI22,AJ22,AK22,AL22,AM22,AN22,AO22,AP22,AQ22,AR22,AS22,AT22,AU22,AV22,AW22,AX22,AY22,AZ22,BA22,BB22,BC22,BD22,BE22,BF22,BG22,BH22,BI22,BJ22,BK22)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2" s="39" t="s">
        <v>243</v>
      </c>
      <c r="BN22" s="13" t="s">
        <v>137</v>
      </c>
      <c r="BO22" s="48"/>
      <c r="BP22" s="35" t="str">
        <f t="shared" si="0"/>
        <v>FR</v>
      </c>
      <c r="BQ22" s="35" t="str">
        <f t="shared" si="1"/>
        <v>FS_PF_Energie Alter</v>
      </c>
      <c r="BR22" s="35" t="str">
        <f t="shared" si="2"/>
        <v>IVECO</v>
      </c>
      <c r="BS22" s="35" t="str">
        <f t="shared" si="3"/>
        <v>S-WAY</v>
      </c>
      <c r="BT22" s="35" t="str">
        <f t="shared" si="4"/>
        <v>AD190S40 G CF - 18 Pal - CARRIER SYBERIA</v>
      </c>
      <c r="BU22" s="35">
        <f t="shared" si="5"/>
        <v>0</v>
      </c>
      <c r="BV22" s="13" t="s">
        <v>279</v>
      </c>
      <c r="BW22" s="6" t="s">
        <v>63</v>
      </c>
      <c r="BX22" s="35" t="str">
        <f t="shared" si="6"/>
        <v>H01</v>
      </c>
      <c r="BY22" s="44" t="str">
        <f t="shared" si="7"/>
        <v>FRFS_PF_Energie AlterAD190S40 G CF - 18 Pal - CARRIER SYBERIAH01</v>
      </c>
      <c r="BZ22" s="48"/>
      <c r="CA22" s="35">
        <v>19000</v>
      </c>
      <c r="CB22" s="35">
        <v>19000</v>
      </c>
      <c r="CC22" s="35" t="e">
        <f>VLOOKUP(BY22,#REF!,20,0)</f>
        <v>#REF!</v>
      </c>
      <c r="CD22" s="48"/>
      <c r="CE22" s="36"/>
      <c r="CF22" s="36"/>
      <c r="CG22" s="36"/>
    </row>
    <row r="23" spans="1:85" ht="20.100000000000001" customHeight="1" x14ac:dyDescent="0.25">
      <c r="A23" s="13" t="s">
        <v>74</v>
      </c>
      <c r="B23" s="5" t="s">
        <v>246</v>
      </c>
      <c r="C23" s="5" t="s">
        <v>247</v>
      </c>
      <c r="D23" s="1"/>
      <c r="E23" s="13" t="s">
        <v>33</v>
      </c>
      <c r="F23" s="13" t="s">
        <v>219</v>
      </c>
      <c r="G23" s="1" t="s">
        <v>42</v>
      </c>
      <c r="H23" s="13" t="s">
        <v>12</v>
      </c>
      <c r="I23" s="13" t="s">
        <v>7</v>
      </c>
      <c r="J23" s="4"/>
      <c r="K23" s="5" t="s">
        <v>30</v>
      </c>
      <c r="L23" s="5"/>
      <c r="M23" s="13" t="s">
        <v>280</v>
      </c>
      <c r="N23" s="5" t="s">
        <v>64</v>
      </c>
      <c r="O23" s="37">
        <v>7692</v>
      </c>
      <c r="P23" s="37">
        <v>2454</v>
      </c>
      <c r="Q23" s="37">
        <v>2400</v>
      </c>
      <c r="R23" s="13"/>
      <c r="S23" s="13">
        <v>3830</v>
      </c>
      <c r="T23" s="13">
        <v>2600</v>
      </c>
      <c r="U23" s="13">
        <v>9897</v>
      </c>
      <c r="V23" s="13">
        <v>1265</v>
      </c>
      <c r="W23" s="13">
        <v>5670</v>
      </c>
      <c r="X23" s="13">
        <v>2865</v>
      </c>
      <c r="Y23" s="13"/>
      <c r="Z23" s="9">
        <v>18</v>
      </c>
      <c r="AA23" s="13" t="s">
        <v>338</v>
      </c>
      <c r="AB23" s="13">
        <v>19000</v>
      </c>
      <c r="AC23" s="17"/>
      <c r="AD23" s="14"/>
      <c r="AE23" s="14"/>
      <c r="AF23" s="14"/>
      <c r="AG23" s="14"/>
      <c r="AH23" s="13" t="s">
        <v>164</v>
      </c>
      <c r="AI23" s="13" t="s">
        <v>225</v>
      </c>
      <c r="AJ23" s="37" t="s">
        <v>245</v>
      </c>
      <c r="AK23" s="13" t="s">
        <v>230</v>
      </c>
      <c r="AL23" s="13" t="s">
        <v>156</v>
      </c>
      <c r="AM23" s="13" t="s">
        <v>346</v>
      </c>
      <c r="AN23" s="13" t="s">
        <v>206</v>
      </c>
      <c r="AO23" s="32" t="s">
        <v>229</v>
      </c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20" t="e">
        <f>IF(CONCATENATE(A23,B23,C23,D23,E23,F23,G23,H23,I23,J23,K23,L23,M23,N23,O23,P23,Q23,R23,S23,T23,U23,V23,W23,X23,Y23,Z23,AA23,AB23,AC23,AD23,AE23,AF23,AG23,AH23,AI23,AJ23,AK23,AL23,AM23,AN23,AO23,AP23,AQ23,AR23,AS23,AT23,AU23,AV23,AW23,AX23,AY23,AZ23,BA23,BB23,BC23,BD23,BE23,BF23,BG23,BH23,BI23,BJ23,BK23)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3" s="39" t="s">
        <v>243</v>
      </c>
      <c r="BN23" s="13" t="s">
        <v>141</v>
      </c>
      <c r="BO23" s="48"/>
      <c r="BP23" s="35" t="str">
        <f t="shared" si="0"/>
        <v>FR</v>
      </c>
      <c r="BQ23" s="35" t="str">
        <f t="shared" si="1"/>
        <v>FS_PF_Energie Alter</v>
      </c>
      <c r="BR23" s="35" t="str">
        <f t="shared" si="2"/>
        <v>IVECO</v>
      </c>
      <c r="BS23" s="35" t="str">
        <f t="shared" si="3"/>
        <v>S-WAY</v>
      </c>
      <c r="BT23" s="35" t="str">
        <f t="shared" si="4"/>
        <v>AD190S40 G CF - 18 Pal - CARRIER SYBERIA MT</v>
      </c>
      <c r="BU23" s="35">
        <f t="shared" si="5"/>
        <v>0</v>
      </c>
      <c r="BV23" s="13" t="s">
        <v>280</v>
      </c>
      <c r="BW23" s="5" t="s">
        <v>64</v>
      </c>
      <c r="BX23" s="35" t="str">
        <f t="shared" si="6"/>
        <v>H02</v>
      </c>
      <c r="BY23" s="44" t="str">
        <f t="shared" si="7"/>
        <v>FRFS_PF_Energie AlterAD190S40 G CF - 18 Pal - CARRIER SYBERIA MTH02</v>
      </c>
      <c r="BZ23" s="48"/>
      <c r="CA23" s="35">
        <v>19000</v>
      </c>
      <c r="CB23" s="35">
        <v>19000</v>
      </c>
      <c r="CC23" s="35" t="e">
        <f>VLOOKUP(BY23,#REF!,20,0)</f>
        <v>#REF!</v>
      </c>
      <c r="CD23" s="48"/>
      <c r="CE23" s="36"/>
      <c r="CF23" s="36"/>
      <c r="CG23" s="36"/>
    </row>
    <row r="24" spans="1:85" ht="20.100000000000001" customHeight="1" x14ac:dyDescent="0.25">
      <c r="A24" s="13" t="s">
        <v>74</v>
      </c>
      <c r="B24" s="5" t="s">
        <v>246</v>
      </c>
      <c r="C24" s="5" t="s">
        <v>247</v>
      </c>
      <c r="D24" s="1"/>
      <c r="E24" s="13" t="s">
        <v>33</v>
      </c>
      <c r="F24" s="13" t="s">
        <v>219</v>
      </c>
      <c r="G24" s="1" t="s">
        <v>42</v>
      </c>
      <c r="H24" s="13" t="s">
        <v>29</v>
      </c>
      <c r="I24" s="13" t="s">
        <v>7</v>
      </c>
      <c r="J24" s="4"/>
      <c r="K24" s="5" t="s">
        <v>30</v>
      </c>
      <c r="L24" s="5"/>
      <c r="M24" s="13" t="s">
        <v>267</v>
      </c>
      <c r="N24" s="6" t="s">
        <v>63</v>
      </c>
      <c r="O24" s="37">
        <v>7692</v>
      </c>
      <c r="P24" s="37">
        <v>2454</v>
      </c>
      <c r="Q24" s="37">
        <v>2400</v>
      </c>
      <c r="R24" s="13"/>
      <c r="S24" s="13">
        <v>3830</v>
      </c>
      <c r="T24" s="13">
        <v>2600</v>
      </c>
      <c r="U24" s="13">
        <v>9897</v>
      </c>
      <c r="V24" s="13">
        <v>1265</v>
      </c>
      <c r="W24" s="13">
        <v>5670</v>
      </c>
      <c r="X24" s="13">
        <v>2865</v>
      </c>
      <c r="Y24" s="13"/>
      <c r="Z24" s="9">
        <v>18</v>
      </c>
      <c r="AA24" s="13" t="s">
        <v>328</v>
      </c>
      <c r="AB24" s="13">
        <v>19000</v>
      </c>
      <c r="AC24" s="17"/>
      <c r="AD24" s="14"/>
      <c r="AE24" s="14"/>
      <c r="AF24" s="14"/>
      <c r="AG24" s="14"/>
      <c r="AH24" s="13" t="s">
        <v>164</v>
      </c>
      <c r="AI24" s="13" t="s">
        <v>225</v>
      </c>
      <c r="AJ24" s="37" t="s">
        <v>245</v>
      </c>
      <c r="AK24" s="13" t="s">
        <v>230</v>
      </c>
      <c r="AL24" s="13" t="s">
        <v>155</v>
      </c>
      <c r="AM24" s="13" t="s">
        <v>241</v>
      </c>
      <c r="AN24" s="13" t="s">
        <v>206</v>
      </c>
      <c r="AO24" s="32" t="s">
        <v>220</v>
      </c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20" t="e">
        <f>IF(CONCATENATE(A24,B24,C24,D24,E24,F24,G24,H24,I24,J24,K24,L24,M24,N24,O24,P24,Q24,R24,S24,T24,U24,V24,W24,X24,Y24,Z24,AA24,AB24,AC24,AD24,AE24,AF24,AG24,AH24,AI24,AJ24,AK24,AL24,AM24,AN24,AO24,AP24,AQ24,AR24,AS24,AT24,AU24,AV24,AW24,AX24,AY24,AZ24,BA24,BB24,BC24,BD24,BE24,BF24,BG24,BH24,BI24,BJ24,BK24)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4" s="39" t="s">
        <v>243</v>
      </c>
      <c r="BN24" s="13" t="s">
        <v>137</v>
      </c>
      <c r="BO24" s="48"/>
      <c r="BP24" s="35" t="str">
        <f t="shared" si="0"/>
        <v>FR</v>
      </c>
      <c r="BQ24" s="35" t="str">
        <f t="shared" si="1"/>
        <v>FS_PF_Energie Alter</v>
      </c>
      <c r="BR24" s="35" t="str">
        <f t="shared" si="2"/>
        <v>IVECO</v>
      </c>
      <c r="BS24" s="35" t="str">
        <f t="shared" si="3"/>
        <v>S-WAY</v>
      </c>
      <c r="BT24" s="35" t="str">
        <f t="shared" si="4"/>
        <v>AD190S40 G CF - 18 Pal - FK 25</v>
      </c>
      <c r="BU24" s="35">
        <f t="shared" si="5"/>
        <v>0</v>
      </c>
      <c r="BV24" s="13" t="s">
        <v>267</v>
      </c>
      <c r="BW24" s="6" t="s">
        <v>63</v>
      </c>
      <c r="BX24" s="35" t="str">
        <f t="shared" si="6"/>
        <v>H01</v>
      </c>
      <c r="BY24" s="44" t="str">
        <f t="shared" si="7"/>
        <v>FRFS_PF_Energie AlterAD190S40 G CF - 18 Pal - FK 25H01</v>
      </c>
      <c r="BZ24" s="48"/>
      <c r="CA24" s="35">
        <v>19000</v>
      </c>
      <c r="CB24" s="35">
        <v>19000</v>
      </c>
      <c r="CC24" s="35" t="e">
        <f>VLOOKUP(BY24,#REF!,20,0)</f>
        <v>#REF!</v>
      </c>
      <c r="CD24" s="48"/>
      <c r="CE24" s="36"/>
      <c r="CF24" s="36"/>
      <c r="CG24" s="36"/>
    </row>
    <row r="25" spans="1:85" ht="20.100000000000001" customHeight="1" x14ac:dyDescent="0.25">
      <c r="A25" s="13" t="s">
        <v>74</v>
      </c>
      <c r="B25" s="5" t="s">
        <v>246</v>
      </c>
      <c r="C25" s="5" t="s">
        <v>247</v>
      </c>
      <c r="D25" s="1"/>
      <c r="E25" s="13" t="s">
        <v>33</v>
      </c>
      <c r="F25" s="13" t="s">
        <v>219</v>
      </c>
      <c r="G25" s="1" t="s">
        <v>42</v>
      </c>
      <c r="H25" s="13" t="s">
        <v>12</v>
      </c>
      <c r="I25" s="13" t="s">
        <v>7</v>
      </c>
      <c r="J25" s="4"/>
      <c r="K25" s="5" t="s">
        <v>30</v>
      </c>
      <c r="L25" s="5"/>
      <c r="M25" s="13" t="s">
        <v>268</v>
      </c>
      <c r="N25" s="5" t="s">
        <v>64</v>
      </c>
      <c r="O25" s="37">
        <v>7692</v>
      </c>
      <c r="P25" s="37">
        <v>2454</v>
      </c>
      <c r="Q25" s="37">
        <v>2400</v>
      </c>
      <c r="R25" s="13"/>
      <c r="S25" s="13">
        <v>3830</v>
      </c>
      <c r="T25" s="13">
        <v>2600</v>
      </c>
      <c r="U25" s="13">
        <v>9897</v>
      </c>
      <c r="V25" s="13">
        <v>1265</v>
      </c>
      <c r="W25" s="13">
        <v>5670</v>
      </c>
      <c r="X25" s="13">
        <v>2865</v>
      </c>
      <c r="Y25" s="13"/>
      <c r="Z25" s="9">
        <v>18</v>
      </c>
      <c r="AA25" s="13" t="s">
        <v>312</v>
      </c>
      <c r="AB25" s="13">
        <v>19000</v>
      </c>
      <c r="AC25" s="17"/>
      <c r="AD25" s="14"/>
      <c r="AE25" s="14"/>
      <c r="AF25" s="14"/>
      <c r="AG25" s="14"/>
      <c r="AH25" s="13" t="s">
        <v>164</v>
      </c>
      <c r="AI25" s="13" t="s">
        <v>225</v>
      </c>
      <c r="AJ25" s="37" t="s">
        <v>245</v>
      </c>
      <c r="AK25" s="13" t="s">
        <v>230</v>
      </c>
      <c r="AL25" s="13" t="s">
        <v>156</v>
      </c>
      <c r="AM25" s="13" t="s">
        <v>242</v>
      </c>
      <c r="AN25" s="13" t="s">
        <v>206</v>
      </c>
      <c r="AO25" s="32" t="s">
        <v>229</v>
      </c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20" t="e">
        <f>IF(CONCATENATE(A25,B25,C25,D25,E25,F25,G25,H25,I25,J25,K25,L25,M25,N25,O25,P25,Q25,R25,S25,T25,U25,V25,W25,X25,Y25,Z25,AA25,AB25,AC25,AD25,AE25,AF25,AG25,AH25,AI25,AJ25,AK25,AL25,AM25,AN25,AO25,AP25,AQ25,AR25,AS25,AT25,AU25,AV25,AW25,AX25,AY25,AZ25,BA25,BB25,BC25,BD25,BE25,BF25,BG25,BH25,BI25,BJ25,BK25)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5" s="39" t="s">
        <v>243</v>
      </c>
      <c r="BN25" s="13" t="s">
        <v>141</v>
      </c>
      <c r="BO25" s="48"/>
      <c r="BP25" s="35" t="str">
        <f t="shared" si="0"/>
        <v>FR</v>
      </c>
      <c r="BQ25" s="35" t="str">
        <f t="shared" si="1"/>
        <v>FS_PF_Energie Alter</v>
      </c>
      <c r="BR25" s="35" t="str">
        <f t="shared" si="2"/>
        <v>IVECO</v>
      </c>
      <c r="BS25" s="35" t="str">
        <f t="shared" si="3"/>
        <v>S-WAY</v>
      </c>
      <c r="BT25" s="35" t="str">
        <f t="shared" si="4"/>
        <v>AD190S40 G CF - 18 Pal - FK 25I MT</v>
      </c>
      <c r="BU25" s="35">
        <f t="shared" si="5"/>
        <v>0</v>
      </c>
      <c r="BV25" s="13" t="s">
        <v>268</v>
      </c>
      <c r="BW25" s="5" t="s">
        <v>64</v>
      </c>
      <c r="BX25" s="35" t="str">
        <f t="shared" si="6"/>
        <v>H02</v>
      </c>
      <c r="BY25" s="44" t="str">
        <f t="shared" si="7"/>
        <v>FRFS_PF_Energie AlterAD190S40 G CF - 18 Pal - FK 25I MTH02</v>
      </c>
      <c r="BZ25" s="48"/>
      <c r="CA25" s="35">
        <v>19000</v>
      </c>
      <c r="CB25" s="35">
        <v>19000</v>
      </c>
      <c r="CC25" s="35" t="e">
        <f>VLOOKUP(BY25,#REF!,20,0)</f>
        <v>#REF!</v>
      </c>
      <c r="CD25" s="48"/>
      <c r="CE25" s="36"/>
      <c r="CF25" s="36"/>
      <c r="CG25" s="36"/>
    </row>
    <row r="26" spans="1:85" ht="20.100000000000001" customHeight="1" x14ac:dyDescent="0.25">
      <c r="A26" s="13" t="s">
        <v>74</v>
      </c>
      <c r="B26" s="5" t="s">
        <v>246</v>
      </c>
      <c r="C26" s="5" t="s">
        <v>247</v>
      </c>
      <c r="D26" s="1"/>
      <c r="E26" s="13" t="s">
        <v>33</v>
      </c>
      <c r="F26" s="13" t="s">
        <v>219</v>
      </c>
      <c r="G26" s="1" t="s">
        <v>43</v>
      </c>
      <c r="H26" s="13" t="s">
        <v>29</v>
      </c>
      <c r="I26" s="13" t="s">
        <v>7</v>
      </c>
      <c r="J26" s="4"/>
      <c r="K26" s="5" t="s">
        <v>30</v>
      </c>
      <c r="L26" s="5"/>
      <c r="M26" s="13" t="s">
        <v>269</v>
      </c>
      <c r="N26" s="6" t="s">
        <v>63</v>
      </c>
      <c r="O26" s="37">
        <v>8892</v>
      </c>
      <c r="P26" s="37">
        <v>2454</v>
      </c>
      <c r="Q26" s="37">
        <v>2400</v>
      </c>
      <c r="R26" s="13"/>
      <c r="S26" s="13">
        <v>3845</v>
      </c>
      <c r="T26" s="13">
        <v>2600</v>
      </c>
      <c r="U26" s="13">
        <v>11362</v>
      </c>
      <c r="V26" s="13">
        <v>1330</v>
      </c>
      <c r="W26" s="13">
        <v>6271</v>
      </c>
      <c r="X26" s="13">
        <v>3681</v>
      </c>
      <c r="Y26" s="13"/>
      <c r="Z26" s="1">
        <v>21</v>
      </c>
      <c r="AA26" s="13" t="s">
        <v>329</v>
      </c>
      <c r="AB26" s="13">
        <v>19000</v>
      </c>
      <c r="AC26" s="17"/>
      <c r="AD26" s="14"/>
      <c r="AE26" s="14"/>
      <c r="AF26" s="14"/>
      <c r="AG26" s="14"/>
      <c r="AH26" s="13" t="s">
        <v>164</v>
      </c>
      <c r="AI26" s="13" t="s">
        <v>225</v>
      </c>
      <c r="AJ26" s="37" t="s">
        <v>245</v>
      </c>
      <c r="AK26" s="13" t="s">
        <v>230</v>
      </c>
      <c r="AL26" s="13" t="s">
        <v>155</v>
      </c>
      <c r="AM26" s="13" t="s">
        <v>240</v>
      </c>
      <c r="AN26" s="13" t="s">
        <v>206</v>
      </c>
      <c r="AO26" s="32" t="s">
        <v>220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20" t="e">
        <f>IF(CONCATENATE(A26,B26,C26,D26,E26,F26,G26,H26,I26,J26,K26,L26,M26,N26,O26,P26,Q26,R26,S26,T26,U26,V26,W26,X26,Y26,Z26,AA26,AB26,AC26,AD26,AE26,AF26,AG26,AH26,AI26,AJ26,AK26,AL26,AM26,AN26,AO26,AP26,AQ26,AR26,AS26,AT26,AU26,AV26,AW26,AX26,AY26,AZ26,BA26,BB26,BC26,BD26,BE26,BF26,BG26,BH26,BI26,BJ26,BK26)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6" s="39" t="s">
        <v>243</v>
      </c>
      <c r="BN26" s="13" t="s">
        <v>137</v>
      </c>
      <c r="BO26" s="48"/>
      <c r="BP26" s="35" t="str">
        <f t="shared" si="0"/>
        <v>FR</v>
      </c>
      <c r="BQ26" s="35" t="str">
        <f t="shared" si="1"/>
        <v>FS_PF_Energie Alter</v>
      </c>
      <c r="BR26" s="35" t="str">
        <f t="shared" si="2"/>
        <v>IVECO</v>
      </c>
      <c r="BS26" s="35" t="str">
        <f t="shared" si="3"/>
        <v>S-WAY</v>
      </c>
      <c r="BT26" s="35" t="str">
        <f t="shared" si="4"/>
        <v>AD190S40 G CF - SUPRA GAZ</v>
      </c>
      <c r="BU26" s="35">
        <f t="shared" si="5"/>
        <v>0</v>
      </c>
      <c r="BV26" s="13" t="s">
        <v>269</v>
      </c>
      <c r="BW26" s="6" t="s">
        <v>63</v>
      </c>
      <c r="BX26" s="35" t="str">
        <f t="shared" si="6"/>
        <v>H01</v>
      </c>
      <c r="BY26" s="44" t="str">
        <f t="shared" si="7"/>
        <v>FRFS_PF_Energie AlterAD190S40 G CF - SUPRA GAZH01</v>
      </c>
      <c r="BZ26" s="48"/>
      <c r="CA26" s="35">
        <v>19000</v>
      </c>
      <c r="CB26" s="35">
        <v>19000</v>
      </c>
      <c r="CC26" s="35" t="e">
        <f>VLOOKUP(BY26,#REF!,20,0)</f>
        <v>#REF!</v>
      </c>
      <c r="CD26" s="48"/>
      <c r="CE26" s="36"/>
      <c r="CF26" s="36"/>
      <c r="CG26" s="36"/>
    </row>
    <row r="27" spans="1:85" ht="20.100000000000001" customHeight="1" x14ac:dyDescent="0.25">
      <c r="A27" s="13" t="s">
        <v>74</v>
      </c>
      <c r="B27" s="5" t="s">
        <v>246</v>
      </c>
      <c r="C27" s="5" t="s">
        <v>247</v>
      </c>
      <c r="D27" s="1"/>
      <c r="E27" s="13" t="s">
        <v>33</v>
      </c>
      <c r="F27" s="13" t="s">
        <v>219</v>
      </c>
      <c r="G27" s="1" t="s">
        <v>43</v>
      </c>
      <c r="H27" s="13" t="s">
        <v>12</v>
      </c>
      <c r="I27" s="13" t="s">
        <v>7</v>
      </c>
      <c r="J27" s="4"/>
      <c r="K27" s="5" t="s">
        <v>30</v>
      </c>
      <c r="L27" s="5"/>
      <c r="M27" s="13" t="s">
        <v>270</v>
      </c>
      <c r="N27" s="5" t="s">
        <v>64</v>
      </c>
      <c r="O27" s="37">
        <v>8892</v>
      </c>
      <c r="P27" s="37">
        <v>2454</v>
      </c>
      <c r="Q27" s="37">
        <v>2400</v>
      </c>
      <c r="R27" s="13"/>
      <c r="S27" s="13">
        <v>3845</v>
      </c>
      <c r="T27" s="13">
        <v>2600</v>
      </c>
      <c r="U27" s="13">
        <v>11362</v>
      </c>
      <c r="V27" s="13">
        <v>1330</v>
      </c>
      <c r="W27" s="13">
        <v>6271</v>
      </c>
      <c r="X27" s="13">
        <v>3681</v>
      </c>
      <c r="Y27" s="13"/>
      <c r="Z27" s="1">
        <v>21</v>
      </c>
      <c r="AA27" s="13" t="s">
        <v>313</v>
      </c>
      <c r="AB27" s="13">
        <v>19000</v>
      </c>
      <c r="AC27" s="17"/>
      <c r="AD27" s="14"/>
      <c r="AE27" s="14"/>
      <c r="AF27" s="14"/>
      <c r="AG27" s="14"/>
      <c r="AH27" s="13" t="s">
        <v>164</v>
      </c>
      <c r="AI27" s="13" t="s">
        <v>225</v>
      </c>
      <c r="AJ27" s="37" t="s">
        <v>245</v>
      </c>
      <c r="AK27" s="13" t="s">
        <v>230</v>
      </c>
      <c r="AL27" s="13" t="s">
        <v>156</v>
      </c>
      <c r="AM27" s="13" t="s">
        <v>239</v>
      </c>
      <c r="AN27" s="13" t="s">
        <v>206</v>
      </c>
      <c r="AO27" s="32" t="s">
        <v>229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20" t="e">
        <f>IF(CONCATENATE(A27,B27,C27,D27,E27,F27,G27,H27,I27,J27,K27,L27,M27,N27,O27,P27,Q27,R27,S27,T27,U27,V27,W27,X27,Y27,Z27,AA27,AB27,AC27,AD27,AE27,AF27,AG27,AH27,AI27,AJ27,AK27,AL27,AM27,AN27,AO27,AP27,AQ27,AR27,AS27,AT27,AU27,AV27,AW27,AX27,AY27,AZ27,BA27,BB27,BC27,BD27,BE27,BF27,BG27,BH27,BI27,BJ27,BK27)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7" s="39" t="s">
        <v>243</v>
      </c>
      <c r="BN27" s="13" t="s">
        <v>141</v>
      </c>
      <c r="BO27" s="48"/>
      <c r="BP27" s="35" t="str">
        <f t="shared" si="0"/>
        <v>FR</v>
      </c>
      <c r="BQ27" s="35" t="str">
        <f t="shared" si="1"/>
        <v>FS_PF_Energie Alter</v>
      </c>
      <c r="BR27" s="35" t="str">
        <f t="shared" si="2"/>
        <v>IVECO</v>
      </c>
      <c r="BS27" s="35" t="str">
        <f t="shared" si="3"/>
        <v>S-WAY</v>
      </c>
      <c r="BT27" s="35" t="str">
        <f t="shared" si="4"/>
        <v>AD190S40 G CF - SUPRA GAZ MT</v>
      </c>
      <c r="BU27" s="35">
        <f t="shared" si="5"/>
        <v>0</v>
      </c>
      <c r="BV27" s="13" t="s">
        <v>270</v>
      </c>
      <c r="BW27" s="5" t="s">
        <v>64</v>
      </c>
      <c r="BX27" s="35" t="str">
        <f t="shared" si="6"/>
        <v>H02</v>
      </c>
      <c r="BY27" s="44" t="str">
        <f t="shared" si="7"/>
        <v>FRFS_PF_Energie AlterAD190S40 G CF - SUPRA GAZ MTH02</v>
      </c>
      <c r="BZ27" s="48"/>
      <c r="CA27" s="35">
        <v>19000</v>
      </c>
      <c r="CB27" s="35">
        <v>19000</v>
      </c>
      <c r="CC27" s="35" t="e">
        <f>VLOOKUP(BY27,#REF!,20,0)</f>
        <v>#REF!</v>
      </c>
      <c r="CD27" s="48"/>
      <c r="CE27" s="36"/>
      <c r="CF27" s="36"/>
      <c r="CG27" s="36"/>
    </row>
    <row r="28" spans="1:85" ht="20.100000000000001" customHeight="1" x14ac:dyDescent="0.25">
      <c r="A28" s="13" t="s">
        <v>74</v>
      </c>
      <c r="B28" s="5" t="s">
        <v>246</v>
      </c>
      <c r="C28" s="5" t="s">
        <v>247</v>
      </c>
      <c r="D28" s="1"/>
      <c r="E28" s="13" t="s">
        <v>33</v>
      </c>
      <c r="F28" s="13" t="s">
        <v>219</v>
      </c>
      <c r="G28" s="1" t="s">
        <v>43</v>
      </c>
      <c r="H28" s="13" t="s">
        <v>29</v>
      </c>
      <c r="I28" s="13" t="s">
        <v>7</v>
      </c>
      <c r="J28" s="4"/>
      <c r="K28" s="5" t="s">
        <v>30</v>
      </c>
      <c r="L28" s="5"/>
      <c r="M28" s="13" t="s">
        <v>281</v>
      </c>
      <c r="N28" s="6" t="s">
        <v>63</v>
      </c>
      <c r="O28" s="37">
        <v>8892</v>
      </c>
      <c r="P28" s="37">
        <v>2454</v>
      </c>
      <c r="Q28" s="37">
        <v>2400</v>
      </c>
      <c r="R28" s="13"/>
      <c r="S28" s="13">
        <v>3845</v>
      </c>
      <c r="T28" s="13">
        <v>2600</v>
      </c>
      <c r="U28" s="13">
        <v>11362</v>
      </c>
      <c r="V28" s="13">
        <v>1330</v>
      </c>
      <c r="W28" s="13">
        <v>6271</v>
      </c>
      <c r="X28" s="13">
        <v>3681</v>
      </c>
      <c r="Y28" s="13"/>
      <c r="Z28" s="1">
        <v>21</v>
      </c>
      <c r="AA28" s="13" t="s">
        <v>337</v>
      </c>
      <c r="AB28" s="13">
        <v>19000</v>
      </c>
      <c r="AC28" s="17"/>
      <c r="AD28" s="14"/>
      <c r="AE28" s="14"/>
      <c r="AF28" s="14"/>
      <c r="AG28" s="14"/>
      <c r="AH28" s="13" t="s">
        <v>164</v>
      </c>
      <c r="AI28" s="13" t="s">
        <v>225</v>
      </c>
      <c r="AJ28" s="37" t="s">
        <v>245</v>
      </c>
      <c r="AK28" s="13" t="s">
        <v>230</v>
      </c>
      <c r="AL28" s="13" t="s">
        <v>155</v>
      </c>
      <c r="AM28" s="13" t="s">
        <v>345</v>
      </c>
      <c r="AN28" s="13" t="s">
        <v>206</v>
      </c>
      <c r="AO28" s="32" t="s">
        <v>220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20" t="e">
        <f>IF(CONCATENATE(A28,B28,C28,D28,E28,F28,G28,H28,I28,J28,K28,L28,M28,N28,O28,P28,Q28,R28,S28,T28,U28,V28,W28,X28,Y28,Z28,AA28,AB28,AC28,AD28,AE28,AF28,AG28,AH28,AI28,AJ28,AK28,AL28,AM28,AN28,AO28,AP28,AQ28,AR28,AS28,AT28,AU28,AV28,AW28,AX28,AY28,AZ28,BA28,BB28,BC28,BD28,BE28,BF28,BG28,BH28,BI28,BJ28,BK28)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8" s="39" t="s">
        <v>243</v>
      </c>
      <c r="BN28" s="13" t="s">
        <v>137</v>
      </c>
      <c r="BO28" s="48"/>
      <c r="BP28" s="35" t="str">
        <f t="shared" si="0"/>
        <v>FR</v>
      </c>
      <c r="BQ28" s="35" t="str">
        <f t="shared" si="1"/>
        <v>FS_PF_Energie Alter</v>
      </c>
      <c r="BR28" s="35" t="str">
        <f t="shared" si="2"/>
        <v>IVECO</v>
      </c>
      <c r="BS28" s="35" t="str">
        <f t="shared" si="3"/>
        <v>S-WAY</v>
      </c>
      <c r="BT28" s="35" t="str">
        <f t="shared" si="4"/>
        <v>AD190S40 G CF - CARRIER SYBERIA</v>
      </c>
      <c r="BU28" s="35">
        <f t="shared" si="5"/>
        <v>0</v>
      </c>
      <c r="BV28" s="13" t="s">
        <v>281</v>
      </c>
      <c r="BW28" s="6" t="s">
        <v>63</v>
      </c>
      <c r="BX28" s="35" t="str">
        <f t="shared" si="6"/>
        <v>H01</v>
      </c>
      <c r="BY28" s="44" t="str">
        <f t="shared" si="7"/>
        <v>FRFS_PF_Energie AlterAD190S40 G CF - CARRIER SYBERIAH01</v>
      </c>
      <c r="BZ28" s="48"/>
      <c r="CA28" s="35">
        <v>19000</v>
      </c>
      <c r="CB28" s="35">
        <v>19000</v>
      </c>
      <c r="CC28" s="35" t="e">
        <f>VLOOKUP(BY28,#REF!,20,0)</f>
        <v>#REF!</v>
      </c>
      <c r="CD28" s="48"/>
      <c r="CE28" s="36"/>
      <c r="CF28" s="36"/>
      <c r="CG28" s="36"/>
    </row>
    <row r="29" spans="1:85" ht="20.100000000000001" customHeight="1" x14ac:dyDescent="0.25">
      <c r="A29" s="13" t="s">
        <v>74</v>
      </c>
      <c r="B29" s="5" t="s">
        <v>246</v>
      </c>
      <c r="C29" s="5" t="s">
        <v>247</v>
      </c>
      <c r="D29" s="1"/>
      <c r="E29" s="13" t="s">
        <v>33</v>
      </c>
      <c r="F29" s="13" t="s">
        <v>219</v>
      </c>
      <c r="G29" s="1" t="s">
        <v>43</v>
      </c>
      <c r="H29" s="13" t="s">
        <v>12</v>
      </c>
      <c r="I29" s="13" t="s">
        <v>7</v>
      </c>
      <c r="J29" s="4"/>
      <c r="K29" s="5" t="s">
        <v>30</v>
      </c>
      <c r="L29" s="5"/>
      <c r="M29" s="13" t="s">
        <v>282</v>
      </c>
      <c r="N29" s="5" t="s">
        <v>64</v>
      </c>
      <c r="O29" s="37">
        <v>8892</v>
      </c>
      <c r="P29" s="37">
        <v>2454</v>
      </c>
      <c r="Q29" s="37">
        <v>2400</v>
      </c>
      <c r="R29" s="13"/>
      <c r="S29" s="13">
        <v>3845</v>
      </c>
      <c r="T29" s="13">
        <v>2600</v>
      </c>
      <c r="U29" s="13">
        <v>11362</v>
      </c>
      <c r="V29" s="13">
        <v>1330</v>
      </c>
      <c r="W29" s="13">
        <v>6271</v>
      </c>
      <c r="X29" s="13">
        <v>3681</v>
      </c>
      <c r="Y29" s="13"/>
      <c r="Z29" s="1">
        <v>21</v>
      </c>
      <c r="AA29" s="13" t="s">
        <v>338</v>
      </c>
      <c r="AB29" s="13">
        <v>19000</v>
      </c>
      <c r="AC29" s="17"/>
      <c r="AD29" s="14"/>
      <c r="AE29" s="14"/>
      <c r="AF29" s="14"/>
      <c r="AG29" s="14"/>
      <c r="AH29" s="13" t="s">
        <v>164</v>
      </c>
      <c r="AI29" s="13" t="s">
        <v>225</v>
      </c>
      <c r="AJ29" s="37" t="s">
        <v>245</v>
      </c>
      <c r="AK29" s="13" t="s">
        <v>230</v>
      </c>
      <c r="AL29" s="13" t="s">
        <v>156</v>
      </c>
      <c r="AM29" s="13" t="s">
        <v>346</v>
      </c>
      <c r="AN29" s="13" t="s">
        <v>206</v>
      </c>
      <c r="AO29" s="32" t="s">
        <v>229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20" t="e">
        <f>IF(CONCATENATE(A29,B29,C29,D29,E29,F29,G29,H29,I29,J29,K29,L29,M29,N29,O29,P29,Q29,R29,S29,T29,U29,V29,W29,X29,Y29,Z29,AA29,AB29,AC29,AD29,AE29,AF29,AG29,AH29,AI29,AJ29,AK29,AL29,AM29,AN29,AO29,AP29,AQ29,AR29,AS29,AT29,AU29,AV29,AW29,AX29,AY29,AZ29,BA29,BB29,BC29,BD29,BE29,BF29,BG29,BH29,BI29,BJ29,BK29)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29" s="39" t="s">
        <v>243</v>
      </c>
      <c r="BN29" s="13" t="s">
        <v>141</v>
      </c>
      <c r="BO29" s="48"/>
      <c r="BP29" s="35" t="str">
        <f t="shared" si="0"/>
        <v>FR</v>
      </c>
      <c r="BQ29" s="35" t="str">
        <f t="shared" si="1"/>
        <v>FS_PF_Energie Alter</v>
      </c>
      <c r="BR29" s="35" t="str">
        <f t="shared" si="2"/>
        <v>IVECO</v>
      </c>
      <c r="BS29" s="35" t="str">
        <f t="shared" si="3"/>
        <v>S-WAY</v>
      </c>
      <c r="BT29" s="35" t="str">
        <f t="shared" si="4"/>
        <v>AD190S40 G CF - CARRIER SYBERIA MT</v>
      </c>
      <c r="BU29" s="35">
        <f t="shared" si="5"/>
        <v>0</v>
      </c>
      <c r="BV29" s="13" t="s">
        <v>282</v>
      </c>
      <c r="BW29" s="5" t="s">
        <v>64</v>
      </c>
      <c r="BX29" s="35" t="str">
        <f t="shared" si="6"/>
        <v>H02</v>
      </c>
      <c r="BY29" s="44" t="str">
        <f t="shared" si="7"/>
        <v>FRFS_PF_Energie AlterAD190S40 G CF - CARRIER SYBERIA MTH02</v>
      </c>
      <c r="BZ29" s="48"/>
      <c r="CA29" s="35">
        <v>19000</v>
      </c>
      <c r="CB29" s="35">
        <v>19000</v>
      </c>
      <c r="CC29" s="35" t="e">
        <f>VLOOKUP(BY29,#REF!,20,0)</f>
        <v>#REF!</v>
      </c>
      <c r="CD29" s="48"/>
      <c r="CE29" s="36"/>
      <c r="CF29" s="36"/>
      <c r="CG29" s="36"/>
    </row>
    <row r="30" spans="1:85" ht="20.100000000000001" customHeight="1" x14ac:dyDescent="0.25">
      <c r="A30" s="13" t="s">
        <v>74</v>
      </c>
      <c r="B30" s="5" t="s">
        <v>246</v>
      </c>
      <c r="C30" s="5" t="s">
        <v>247</v>
      </c>
      <c r="D30" s="1"/>
      <c r="E30" s="13" t="s">
        <v>33</v>
      </c>
      <c r="F30" s="13" t="s">
        <v>219</v>
      </c>
      <c r="G30" s="1" t="s">
        <v>43</v>
      </c>
      <c r="H30" s="13" t="s">
        <v>29</v>
      </c>
      <c r="I30" s="13" t="s">
        <v>7</v>
      </c>
      <c r="J30" s="4"/>
      <c r="K30" s="5" t="s">
        <v>30</v>
      </c>
      <c r="L30" s="5"/>
      <c r="M30" s="13" t="s">
        <v>271</v>
      </c>
      <c r="N30" s="6" t="s">
        <v>63</v>
      </c>
      <c r="O30" s="37">
        <v>8892</v>
      </c>
      <c r="P30" s="37">
        <v>2454</v>
      </c>
      <c r="Q30" s="37">
        <v>2400</v>
      </c>
      <c r="R30" s="13"/>
      <c r="S30" s="13">
        <v>3845</v>
      </c>
      <c r="T30" s="13">
        <v>2600</v>
      </c>
      <c r="U30" s="13">
        <v>11362</v>
      </c>
      <c r="V30" s="13">
        <v>1330</v>
      </c>
      <c r="W30" s="13">
        <v>6271</v>
      </c>
      <c r="X30" s="13">
        <v>3681</v>
      </c>
      <c r="Y30" s="13"/>
      <c r="Z30" s="1">
        <v>21</v>
      </c>
      <c r="AA30" s="13" t="s">
        <v>328</v>
      </c>
      <c r="AB30" s="13">
        <v>19000</v>
      </c>
      <c r="AC30" s="17"/>
      <c r="AD30" s="14"/>
      <c r="AE30" s="14"/>
      <c r="AF30" s="14"/>
      <c r="AG30" s="14"/>
      <c r="AH30" s="13" t="s">
        <v>164</v>
      </c>
      <c r="AI30" s="13" t="s">
        <v>225</v>
      </c>
      <c r="AJ30" s="37" t="s">
        <v>245</v>
      </c>
      <c r="AK30" s="13" t="s">
        <v>230</v>
      </c>
      <c r="AL30" s="13" t="s">
        <v>155</v>
      </c>
      <c r="AM30" s="13" t="s">
        <v>241</v>
      </c>
      <c r="AN30" s="13" t="s">
        <v>206</v>
      </c>
      <c r="AO30" s="32" t="s">
        <v>220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20" t="e">
        <f>IF(CONCATENATE(A30,B30,C30,D30,E30,F30,G30,H30,I30,J30,K30,L30,M30,N30,O30,P30,Q30,R30,S30,T30,U30,V30,W30,X30,Y30,Z30,AA30,AB30,AC30,AD30,AE30,AF30,AG30,AH30,AI30,AJ30,AK30,AL30,AM30,AN30,AO30,AP30,AQ30,AR30,AS30,AT30,AU30,AV30,AW30,AX30,AY30,AZ30,BA30,BB30,BC30,BD30,BE30,BF30,BG30,BH30,BI30,BJ30,BK30)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0" s="39" t="s">
        <v>243</v>
      </c>
      <c r="BN30" s="13" t="s">
        <v>137</v>
      </c>
      <c r="BO30" s="48"/>
      <c r="BP30" s="35" t="str">
        <f t="shared" si="0"/>
        <v>FR</v>
      </c>
      <c r="BQ30" s="35" t="str">
        <f t="shared" si="1"/>
        <v>FS_PF_Energie Alter</v>
      </c>
      <c r="BR30" s="35" t="str">
        <f t="shared" si="2"/>
        <v>IVECO</v>
      </c>
      <c r="BS30" s="35" t="str">
        <f t="shared" si="3"/>
        <v>S-WAY</v>
      </c>
      <c r="BT30" s="35" t="str">
        <f t="shared" si="4"/>
        <v>AD190S40 G CF - FK 25</v>
      </c>
      <c r="BU30" s="35">
        <f t="shared" si="5"/>
        <v>0</v>
      </c>
      <c r="BV30" s="13" t="s">
        <v>271</v>
      </c>
      <c r="BW30" s="6" t="s">
        <v>63</v>
      </c>
      <c r="BX30" s="35" t="str">
        <f t="shared" si="6"/>
        <v>H01</v>
      </c>
      <c r="BY30" s="44" t="str">
        <f t="shared" si="7"/>
        <v>FRFS_PF_Energie AlterAD190S40 G CF - FK 25H01</v>
      </c>
      <c r="BZ30" s="48"/>
      <c r="CA30" s="35">
        <v>19000</v>
      </c>
      <c r="CB30" s="35">
        <v>19000</v>
      </c>
      <c r="CC30" s="35" t="e">
        <f>VLOOKUP(BY30,#REF!,20,0)</f>
        <v>#REF!</v>
      </c>
      <c r="CD30" s="48"/>
      <c r="CE30" s="36"/>
      <c r="CF30" s="36"/>
      <c r="CG30" s="36"/>
    </row>
    <row r="31" spans="1:85" ht="20.100000000000001" customHeight="1" x14ac:dyDescent="0.25">
      <c r="A31" s="13" t="s">
        <v>74</v>
      </c>
      <c r="B31" s="5" t="s">
        <v>246</v>
      </c>
      <c r="C31" s="5" t="s">
        <v>247</v>
      </c>
      <c r="D31" s="1"/>
      <c r="E31" s="13" t="s">
        <v>33</v>
      </c>
      <c r="F31" s="13" t="s">
        <v>219</v>
      </c>
      <c r="G31" s="1" t="s">
        <v>43</v>
      </c>
      <c r="H31" s="13" t="s">
        <v>12</v>
      </c>
      <c r="I31" s="13" t="s">
        <v>7</v>
      </c>
      <c r="J31" s="4"/>
      <c r="K31" s="5" t="s">
        <v>30</v>
      </c>
      <c r="L31" s="5"/>
      <c r="M31" s="13" t="s">
        <v>272</v>
      </c>
      <c r="N31" s="5" t="s">
        <v>64</v>
      </c>
      <c r="O31" s="37">
        <v>8892</v>
      </c>
      <c r="P31" s="37">
        <v>2454</v>
      </c>
      <c r="Q31" s="37">
        <v>2400</v>
      </c>
      <c r="R31" s="13"/>
      <c r="S31" s="13">
        <v>3845</v>
      </c>
      <c r="T31" s="13">
        <v>2600</v>
      </c>
      <c r="U31" s="13">
        <v>11362</v>
      </c>
      <c r="V31" s="13">
        <v>1330</v>
      </c>
      <c r="W31" s="13">
        <v>6271</v>
      </c>
      <c r="X31" s="13">
        <v>3681</v>
      </c>
      <c r="Y31" s="13"/>
      <c r="Z31" s="1">
        <v>21</v>
      </c>
      <c r="AA31" s="13" t="s">
        <v>312</v>
      </c>
      <c r="AB31" s="13">
        <v>19000</v>
      </c>
      <c r="AC31" s="17"/>
      <c r="AD31" s="14"/>
      <c r="AE31" s="14"/>
      <c r="AF31" s="14"/>
      <c r="AG31" s="14"/>
      <c r="AH31" s="13" t="s">
        <v>164</v>
      </c>
      <c r="AI31" s="13" t="s">
        <v>225</v>
      </c>
      <c r="AJ31" s="37" t="s">
        <v>245</v>
      </c>
      <c r="AK31" s="13" t="s">
        <v>230</v>
      </c>
      <c r="AL31" s="13" t="s">
        <v>156</v>
      </c>
      <c r="AM31" s="13" t="s">
        <v>242</v>
      </c>
      <c r="AN31" s="13" t="s">
        <v>206</v>
      </c>
      <c r="AO31" s="32" t="s">
        <v>229</v>
      </c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20" t="e">
        <f>IF(CONCATENATE(A31,B31,C31,D31,E31,F31,G31,H31,I31,J31,K31,L31,M31,N31,O31,P31,Q31,R31,S31,T31,U31,V31,W31,X31,Y31,Z31,AA31,AB31,AC31,AD31,AE31,AF31,AG31,AH31,AI31,AJ31,AK31,AL31,AM31,AN31,AO31,AP31,AQ31,AR31,AS31,AT31,AU31,AV31,AW31,AX31,AY31,AZ31,BA31,BB31,BC31,BD31,BE31,BF31,BG31,BH31,BI31,BJ31,BK31)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1" s="39" t="s">
        <v>243</v>
      </c>
      <c r="BN31" s="13" t="s">
        <v>141</v>
      </c>
      <c r="BO31" s="48"/>
      <c r="BP31" s="35" t="str">
        <f t="shared" si="0"/>
        <v>FR</v>
      </c>
      <c r="BQ31" s="35" t="str">
        <f t="shared" si="1"/>
        <v>FS_PF_Energie Alter</v>
      </c>
      <c r="BR31" s="35" t="str">
        <f t="shared" si="2"/>
        <v>IVECO</v>
      </c>
      <c r="BS31" s="35" t="str">
        <f t="shared" si="3"/>
        <v>S-WAY</v>
      </c>
      <c r="BT31" s="35" t="str">
        <f t="shared" si="4"/>
        <v>AD190S40 G CF - FK 25I MT</v>
      </c>
      <c r="BU31" s="35">
        <f t="shared" si="5"/>
        <v>0</v>
      </c>
      <c r="BV31" s="13" t="s">
        <v>272</v>
      </c>
      <c r="BW31" s="5" t="s">
        <v>64</v>
      </c>
      <c r="BX31" s="35" t="str">
        <f t="shared" si="6"/>
        <v>H02</v>
      </c>
      <c r="BY31" s="44" t="str">
        <f t="shared" si="7"/>
        <v>FRFS_PF_Energie AlterAD190S40 G CF - FK 25I MTH02</v>
      </c>
      <c r="BZ31" s="48"/>
      <c r="CA31" s="35">
        <v>19000</v>
      </c>
      <c r="CB31" s="35">
        <v>19000</v>
      </c>
      <c r="CC31" s="35" t="e">
        <f>VLOOKUP(BY31,#REF!,20,0)</f>
        <v>#REF!</v>
      </c>
      <c r="CD31" s="48"/>
      <c r="CE31" s="36"/>
      <c r="CF31" s="36"/>
      <c r="CG31" s="36"/>
    </row>
    <row r="32" spans="1:85" ht="20.100000000000001" customHeight="1" x14ac:dyDescent="0.25">
      <c r="A32" s="4" t="s">
        <v>74</v>
      </c>
      <c r="B32" s="5" t="s">
        <v>246</v>
      </c>
      <c r="C32" s="5" t="s">
        <v>247</v>
      </c>
      <c r="D32" s="1"/>
      <c r="E32" s="4" t="s">
        <v>33</v>
      </c>
      <c r="F32" s="4" t="s">
        <v>219</v>
      </c>
      <c r="G32" s="4" t="s">
        <v>44</v>
      </c>
      <c r="H32" s="4" t="s">
        <v>29</v>
      </c>
      <c r="I32" s="4" t="s">
        <v>7</v>
      </c>
      <c r="J32" s="4"/>
      <c r="K32" s="4" t="s">
        <v>30</v>
      </c>
      <c r="L32" s="4"/>
      <c r="M32" s="4" t="s">
        <v>275</v>
      </c>
      <c r="N32" s="6" t="s">
        <v>63</v>
      </c>
      <c r="O32" s="4">
        <v>9490</v>
      </c>
      <c r="P32" s="4">
        <v>2454</v>
      </c>
      <c r="Q32" s="4">
        <v>2400</v>
      </c>
      <c r="R32" s="4"/>
      <c r="S32" s="4">
        <v>3845</v>
      </c>
      <c r="T32" s="4">
        <v>2600</v>
      </c>
      <c r="U32" s="4">
        <v>11930</v>
      </c>
      <c r="V32" s="4">
        <v>1330</v>
      </c>
      <c r="W32" s="4">
        <v>6050</v>
      </c>
      <c r="X32" s="4">
        <v>3075</v>
      </c>
      <c r="Y32" s="4"/>
      <c r="Z32" s="1">
        <v>23</v>
      </c>
      <c r="AA32" s="4" t="s">
        <v>329</v>
      </c>
      <c r="AB32" s="4">
        <v>26000</v>
      </c>
      <c r="AC32" s="30"/>
      <c r="AD32" s="6"/>
      <c r="AE32" s="6"/>
      <c r="AF32" s="6"/>
      <c r="AG32" s="6"/>
      <c r="AH32" s="4" t="s">
        <v>165</v>
      </c>
      <c r="AI32" s="4" t="s">
        <v>225</v>
      </c>
      <c r="AJ32" s="37" t="s">
        <v>245</v>
      </c>
      <c r="AK32" s="18" t="s">
        <v>230</v>
      </c>
      <c r="AL32" s="4" t="s">
        <v>157</v>
      </c>
      <c r="AM32" s="4" t="s">
        <v>240</v>
      </c>
      <c r="AN32" s="4" t="s">
        <v>206</v>
      </c>
      <c r="AO32" s="33" t="s">
        <v>87</v>
      </c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20" t="e">
        <f>IF(CONCATENATE(A32,B32,C32,D32,E32,F32,G32,H32,I32,J32,K32,L32,M32,N32,O32,P32,Q32,R32,S32,T32,U32,V32,W32,X32,Y32,Z32,AA32,AB32,AC32,AD32,AE32,AF32,AG32,AH32,AI32,AJ32,AK32,AL32,AM32,AN32,AO32,AP32,AQ32,AR32,AS32,AT32,AU32,AV32,AW32,AX32,AY32,AZ32,BA32,BB32,BC32,BD32,BE32,BF32,BG32,BH32,BI32,BJ32,BK32)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2" s="39" t="s">
        <v>243</v>
      </c>
      <c r="BN32" s="8" t="s">
        <v>138</v>
      </c>
      <c r="BO32" s="48"/>
      <c r="BP32" s="35" t="str">
        <f t="shared" si="0"/>
        <v>FR</v>
      </c>
      <c r="BQ32" s="35" t="str">
        <f t="shared" si="1"/>
        <v>FS_PF_Energie Alter</v>
      </c>
      <c r="BR32" s="35" t="str">
        <f t="shared" si="2"/>
        <v>IVECO</v>
      </c>
      <c r="BS32" s="35" t="str">
        <f t="shared" si="3"/>
        <v>S-WAY</v>
      </c>
      <c r="BT32" s="35" t="str">
        <f t="shared" si="4"/>
        <v>AD260S40 G CF - SUPRA GAZ</v>
      </c>
      <c r="BU32" s="35">
        <f t="shared" si="5"/>
        <v>0</v>
      </c>
      <c r="BV32" s="4" t="s">
        <v>275</v>
      </c>
      <c r="BW32" s="6" t="s">
        <v>63</v>
      </c>
      <c r="BX32" s="35" t="str">
        <f t="shared" si="6"/>
        <v>H01</v>
      </c>
      <c r="BY32" s="44" t="str">
        <f t="shared" si="7"/>
        <v>FRFS_PF_Energie AlterAD260S40 G CF - SUPRA GAZH01</v>
      </c>
      <c r="BZ32" s="48"/>
      <c r="CA32" s="35">
        <v>26000</v>
      </c>
      <c r="CB32" s="35">
        <v>26000</v>
      </c>
      <c r="CC32" s="35" t="e">
        <f>VLOOKUP(BY32,#REF!,20,0)</f>
        <v>#REF!</v>
      </c>
      <c r="CD32" s="48"/>
      <c r="CE32" s="36"/>
      <c r="CF32" s="36"/>
      <c r="CG32" s="36"/>
    </row>
    <row r="33" spans="1:85" ht="20.100000000000001" customHeight="1" x14ac:dyDescent="0.25">
      <c r="A33" s="4" t="s">
        <v>74</v>
      </c>
      <c r="B33" s="5" t="s">
        <v>246</v>
      </c>
      <c r="C33" s="5" t="s">
        <v>247</v>
      </c>
      <c r="D33" s="1"/>
      <c r="E33" s="4" t="s">
        <v>33</v>
      </c>
      <c r="F33" s="4" t="s">
        <v>219</v>
      </c>
      <c r="G33" s="4" t="s">
        <v>44</v>
      </c>
      <c r="H33" s="4" t="s">
        <v>12</v>
      </c>
      <c r="I33" s="4" t="s">
        <v>7</v>
      </c>
      <c r="J33" s="4"/>
      <c r="K33" s="4" t="s">
        <v>30</v>
      </c>
      <c r="L33" s="4"/>
      <c r="M33" s="4" t="s">
        <v>276</v>
      </c>
      <c r="N33" s="5" t="s">
        <v>64</v>
      </c>
      <c r="O33" s="4">
        <v>9490</v>
      </c>
      <c r="P33" s="4">
        <v>2454</v>
      </c>
      <c r="Q33" s="4">
        <v>2400</v>
      </c>
      <c r="R33" s="4"/>
      <c r="S33" s="4">
        <v>3845</v>
      </c>
      <c r="T33" s="4">
        <v>2600</v>
      </c>
      <c r="U33" s="4">
        <v>11930</v>
      </c>
      <c r="V33" s="4">
        <v>1330</v>
      </c>
      <c r="W33" s="4">
        <v>6050</v>
      </c>
      <c r="X33" s="4">
        <v>3075</v>
      </c>
      <c r="Y33" s="4"/>
      <c r="Z33" s="1">
        <v>23</v>
      </c>
      <c r="AA33" s="4" t="s">
        <v>313</v>
      </c>
      <c r="AB33" s="4">
        <v>26000</v>
      </c>
      <c r="AC33" s="30"/>
      <c r="AD33" s="6"/>
      <c r="AE33" s="6"/>
      <c r="AF33" s="6"/>
      <c r="AG33" s="6"/>
      <c r="AH33" s="4" t="s">
        <v>165</v>
      </c>
      <c r="AI33" s="4" t="s">
        <v>225</v>
      </c>
      <c r="AJ33" s="37" t="s">
        <v>245</v>
      </c>
      <c r="AK33" s="18" t="s">
        <v>230</v>
      </c>
      <c r="AL33" s="4" t="s">
        <v>158</v>
      </c>
      <c r="AM33" s="4" t="s">
        <v>239</v>
      </c>
      <c r="AN33" s="4" t="s">
        <v>206</v>
      </c>
      <c r="AO33" s="31" t="s">
        <v>88</v>
      </c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20" t="e">
        <f>IF(CONCATENATE(A33,B33,C33,D33,E33,F33,G33,H33,I33,J33,K33,L33,M33,N33,O33,P33,Q33,R33,S33,T33,U33,V33,W33,X33,Y33,Z33,AA33,AB33,AC33,AD33,AE33,AF33,AG33,AH33,AI33,AJ33,AK33,AL33,AM33,AN33,AO33,AP33,AQ33,AR33,AS33,AT33,AU33,AV33,AW33,AX33,AY33,AZ33,BA33,BB33,BC33,BD33,BE33,BF33,BG33,BH33,BI33,BJ33,BK33)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3" s="39" t="s">
        <v>243</v>
      </c>
      <c r="BN33" s="8" t="s">
        <v>143</v>
      </c>
      <c r="BO33" s="48"/>
      <c r="BP33" s="35" t="str">
        <f t="shared" si="0"/>
        <v>FR</v>
      </c>
      <c r="BQ33" s="35" t="str">
        <f t="shared" si="1"/>
        <v>FS_PF_Energie Alter</v>
      </c>
      <c r="BR33" s="35" t="str">
        <f t="shared" si="2"/>
        <v>IVECO</v>
      </c>
      <c r="BS33" s="35" t="str">
        <f t="shared" si="3"/>
        <v>S-WAY</v>
      </c>
      <c r="BT33" s="35" t="str">
        <f t="shared" si="4"/>
        <v>AD260S40 G CF - SUPRA GAZ MT</v>
      </c>
      <c r="BU33" s="35">
        <f t="shared" si="5"/>
        <v>0</v>
      </c>
      <c r="BV33" s="4" t="s">
        <v>276</v>
      </c>
      <c r="BW33" s="5" t="s">
        <v>64</v>
      </c>
      <c r="BX33" s="35" t="str">
        <f t="shared" si="6"/>
        <v>H02</v>
      </c>
      <c r="BY33" s="44" t="str">
        <f t="shared" si="7"/>
        <v>FRFS_PF_Energie AlterAD260S40 G CF - SUPRA GAZ MTH02</v>
      </c>
      <c r="BZ33" s="48"/>
      <c r="CA33" s="35">
        <v>26000</v>
      </c>
      <c r="CB33" s="35">
        <v>26000</v>
      </c>
      <c r="CC33" s="35" t="e">
        <f>VLOOKUP(BY33,#REF!,20,0)</f>
        <v>#REF!</v>
      </c>
      <c r="CD33" s="48"/>
      <c r="CE33" s="36"/>
      <c r="CF33" s="36"/>
      <c r="CG33" s="36"/>
    </row>
    <row r="34" spans="1:85" ht="20.100000000000001" customHeight="1" x14ac:dyDescent="0.25">
      <c r="A34" s="4" t="s">
        <v>74</v>
      </c>
      <c r="B34" s="5" t="s">
        <v>246</v>
      </c>
      <c r="C34" s="5" t="s">
        <v>247</v>
      </c>
      <c r="D34" s="1"/>
      <c r="E34" s="4" t="s">
        <v>33</v>
      </c>
      <c r="F34" s="4" t="s">
        <v>219</v>
      </c>
      <c r="G34" s="4" t="s">
        <v>44</v>
      </c>
      <c r="H34" s="4" t="s">
        <v>29</v>
      </c>
      <c r="I34" s="4" t="s">
        <v>7</v>
      </c>
      <c r="J34" s="4"/>
      <c r="K34" s="4" t="s">
        <v>30</v>
      </c>
      <c r="L34" s="4"/>
      <c r="M34" s="4" t="s">
        <v>283</v>
      </c>
      <c r="N34" s="6" t="s">
        <v>63</v>
      </c>
      <c r="O34" s="4">
        <v>9490</v>
      </c>
      <c r="P34" s="4">
        <v>2454</v>
      </c>
      <c r="Q34" s="4">
        <v>2400</v>
      </c>
      <c r="R34" s="4"/>
      <c r="S34" s="4">
        <v>3845</v>
      </c>
      <c r="T34" s="4">
        <v>2600</v>
      </c>
      <c r="U34" s="4">
        <v>11930</v>
      </c>
      <c r="V34" s="4">
        <v>1330</v>
      </c>
      <c r="W34" s="4">
        <v>6050</v>
      </c>
      <c r="X34" s="4">
        <v>3075</v>
      </c>
      <c r="Y34" s="4"/>
      <c r="Z34" s="1">
        <v>23</v>
      </c>
      <c r="AA34" s="4" t="s">
        <v>337</v>
      </c>
      <c r="AB34" s="4">
        <v>26000</v>
      </c>
      <c r="AC34" s="30"/>
      <c r="AD34" s="6"/>
      <c r="AE34" s="6"/>
      <c r="AF34" s="6"/>
      <c r="AG34" s="6"/>
      <c r="AH34" s="4" t="s">
        <v>165</v>
      </c>
      <c r="AI34" s="4" t="s">
        <v>225</v>
      </c>
      <c r="AJ34" s="37" t="s">
        <v>245</v>
      </c>
      <c r="AK34" s="18" t="s">
        <v>230</v>
      </c>
      <c r="AL34" s="4" t="s">
        <v>157</v>
      </c>
      <c r="AM34" s="4" t="s">
        <v>345</v>
      </c>
      <c r="AN34" s="4" t="s">
        <v>206</v>
      </c>
      <c r="AO34" s="31" t="s">
        <v>87</v>
      </c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20" t="e">
        <f>IF(CONCATENATE(A34,B34,C34,D34,E34,F34,G34,H34,I34,J34,K34,L34,M34,N34,O34,P34,Q34,R34,S34,T34,U34,V34,W34,X34,Y34,Z34,AA34,AB34,AC34,AD34,AE34,AF34,AG34,AH34,AI34,AJ34,AK34,AL34,AM34,AN34,AO34,AP34,AQ34,AR34,AS34,AT34,AU34,AV34,AW34,AX34,AY34,AZ34,BA34,BB34,BC34,BD34,BE34,BF34,BG34,BH34,BI34,BJ34,BK34)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4" s="39" t="s">
        <v>243</v>
      </c>
      <c r="BN34" s="8" t="s">
        <v>138</v>
      </c>
      <c r="BO34" s="48"/>
      <c r="BP34" s="35" t="str">
        <f t="shared" ref="BP34:BP58" si="8">A34</f>
        <v>FR</v>
      </c>
      <c r="BQ34" s="35" t="str">
        <f t="shared" ref="BQ34:BQ58" si="9">B34</f>
        <v>FS_PF_Energie Alter</v>
      </c>
      <c r="BR34" s="35" t="str">
        <f t="shared" ref="BR34:BR58" si="10">E34</f>
        <v>IVECO</v>
      </c>
      <c r="BS34" s="35" t="str">
        <f t="shared" ref="BS34:BS58" si="11">F34</f>
        <v>S-WAY</v>
      </c>
      <c r="BT34" s="35" t="str">
        <f t="shared" ref="BT34:BT58" si="12">M34</f>
        <v>AD260S40 G CF - CARRIER SYBERIA</v>
      </c>
      <c r="BU34" s="35">
        <f t="shared" ref="BU34:BU58" si="13">IF(BT34=BV34,0,1)</f>
        <v>0</v>
      </c>
      <c r="BV34" s="4" t="s">
        <v>283</v>
      </c>
      <c r="BW34" s="6" t="s">
        <v>63</v>
      </c>
      <c r="BX34" s="35" t="str">
        <f t="shared" ref="BX34:BX58" si="14">N34</f>
        <v>H01</v>
      </c>
      <c r="BY34" s="44" t="str">
        <f t="shared" ref="BY34:BY58" si="15">CONCATENATE(BP34,BQ34,BT34,BX34)</f>
        <v>FRFS_PF_Energie AlterAD260S40 G CF - CARRIER SYBERIAH01</v>
      </c>
      <c r="BZ34" s="48"/>
      <c r="CA34" s="35">
        <v>26000</v>
      </c>
      <c r="CB34" s="35">
        <v>26000</v>
      </c>
      <c r="CC34" s="35" t="e">
        <f>VLOOKUP(BY34,#REF!,20,0)</f>
        <v>#REF!</v>
      </c>
      <c r="CD34" s="48"/>
      <c r="CE34" s="36"/>
      <c r="CF34" s="36"/>
      <c r="CG34" s="36"/>
    </row>
    <row r="35" spans="1:85" ht="20.100000000000001" customHeight="1" x14ac:dyDescent="0.25">
      <c r="A35" s="4" t="s">
        <v>74</v>
      </c>
      <c r="B35" s="5" t="s">
        <v>246</v>
      </c>
      <c r="C35" s="5" t="s">
        <v>247</v>
      </c>
      <c r="D35" s="1"/>
      <c r="E35" s="4" t="s">
        <v>33</v>
      </c>
      <c r="F35" s="4" t="s">
        <v>219</v>
      </c>
      <c r="G35" s="4" t="s">
        <v>44</v>
      </c>
      <c r="H35" s="4" t="s">
        <v>12</v>
      </c>
      <c r="I35" s="4" t="s">
        <v>7</v>
      </c>
      <c r="J35" s="4"/>
      <c r="K35" s="4" t="s">
        <v>30</v>
      </c>
      <c r="L35" s="4"/>
      <c r="M35" s="4" t="s">
        <v>284</v>
      </c>
      <c r="N35" s="5" t="s">
        <v>64</v>
      </c>
      <c r="O35" s="4">
        <v>9490</v>
      </c>
      <c r="P35" s="4">
        <v>2454</v>
      </c>
      <c r="Q35" s="4">
        <v>2400</v>
      </c>
      <c r="R35" s="4"/>
      <c r="S35" s="4">
        <v>3845</v>
      </c>
      <c r="T35" s="4">
        <v>2600</v>
      </c>
      <c r="U35" s="4">
        <v>11930</v>
      </c>
      <c r="V35" s="4">
        <v>1330</v>
      </c>
      <c r="W35" s="4">
        <v>6050</v>
      </c>
      <c r="X35" s="4">
        <v>3075</v>
      </c>
      <c r="Y35" s="4"/>
      <c r="Z35" s="1">
        <v>23</v>
      </c>
      <c r="AA35" s="4" t="s">
        <v>338</v>
      </c>
      <c r="AB35" s="4">
        <v>26000</v>
      </c>
      <c r="AC35" s="30"/>
      <c r="AD35" s="6"/>
      <c r="AE35" s="6"/>
      <c r="AF35" s="6"/>
      <c r="AG35" s="6"/>
      <c r="AH35" s="4" t="s">
        <v>165</v>
      </c>
      <c r="AI35" s="4" t="s">
        <v>225</v>
      </c>
      <c r="AJ35" s="37" t="s">
        <v>245</v>
      </c>
      <c r="AK35" s="18" t="s">
        <v>230</v>
      </c>
      <c r="AL35" s="4" t="s">
        <v>158</v>
      </c>
      <c r="AM35" s="4" t="s">
        <v>346</v>
      </c>
      <c r="AN35" s="4" t="s">
        <v>206</v>
      </c>
      <c r="AO35" s="31" t="s">
        <v>88</v>
      </c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20" t="e">
        <f>IF(CONCATENATE(A35,B35,C35,D35,E35,F35,G35,H35,I35,J35,K35,L35,M35,N35,O35,P35,Q35,R35,S35,T35,U35,V35,W35,X35,Y35,Z35,AA35,AB35,AC35,AD35,AE35,AF35,AG35,AH35,AI35,AJ35,AK35,AL35,AM35,AN35,AO35,AP35,AQ35,AR35,AS35,AT35,AU35,AV35,AW35,AX35,AY35,AZ35,BA35,BB35,BC35,BD35,BE35,BF35,BG35,BH35,BI35,BJ35,BK35)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5" s="39" t="s">
        <v>243</v>
      </c>
      <c r="BN35" s="8" t="s">
        <v>143</v>
      </c>
      <c r="BO35" s="48"/>
      <c r="BP35" s="35" t="str">
        <f t="shared" si="8"/>
        <v>FR</v>
      </c>
      <c r="BQ35" s="35" t="str">
        <f t="shared" si="9"/>
        <v>FS_PF_Energie Alter</v>
      </c>
      <c r="BR35" s="35" t="str">
        <f t="shared" si="10"/>
        <v>IVECO</v>
      </c>
      <c r="BS35" s="35" t="str">
        <f t="shared" si="11"/>
        <v>S-WAY</v>
      </c>
      <c r="BT35" s="35" t="str">
        <f t="shared" si="12"/>
        <v>AD260S40 G CF - CARRIER SYBERIA MT</v>
      </c>
      <c r="BU35" s="35">
        <f t="shared" si="13"/>
        <v>0</v>
      </c>
      <c r="BV35" s="4" t="s">
        <v>284</v>
      </c>
      <c r="BW35" s="5" t="s">
        <v>64</v>
      </c>
      <c r="BX35" s="35" t="str">
        <f t="shared" si="14"/>
        <v>H02</v>
      </c>
      <c r="BY35" s="44" t="str">
        <f t="shared" si="15"/>
        <v>FRFS_PF_Energie AlterAD260S40 G CF - CARRIER SYBERIA MTH02</v>
      </c>
      <c r="BZ35" s="48"/>
      <c r="CA35" s="35">
        <v>26000</v>
      </c>
      <c r="CB35" s="35">
        <v>26000</v>
      </c>
      <c r="CC35" s="35" t="e">
        <f>VLOOKUP(BY35,#REF!,20,0)</f>
        <v>#REF!</v>
      </c>
      <c r="CD35" s="48"/>
      <c r="CE35" s="36"/>
      <c r="CF35" s="36"/>
      <c r="CG35" s="36"/>
    </row>
    <row r="36" spans="1:85" ht="20.100000000000001" customHeight="1" x14ac:dyDescent="0.25">
      <c r="A36" s="4" t="s">
        <v>74</v>
      </c>
      <c r="B36" s="5" t="s">
        <v>246</v>
      </c>
      <c r="C36" s="5" t="s">
        <v>247</v>
      </c>
      <c r="D36" s="1"/>
      <c r="E36" s="4" t="s">
        <v>33</v>
      </c>
      <c r="F36" s="4" t="s">
        <v>219</v>
      </c>
      <c r="G36" s="4" t="s">
        <v>44</v>
      </c>
      <c r="H36" s="4" t="s">
        <v>29</v>
      </c>
      <c r="I36" s="4" t="s">
        <v>7</v>
      </c>
      <c r="J36" s="4"/>
      <c r="K36" s="4" t="s">
        <v>30</v>
      </c>
      <c r="L36" s="4"/>
      <c r="M36" s="4" t="s">
        <v>277</v>
      </c>
      <c r="N36" s="6" t="s">
        <v>63</v>
      </c>
      <c r="O36" s="4">
        <v>9490</v>
      </c>
      <c r="P36" s="4">
        <v>2454</v>
      </c>
      <c r="Q36" s="4">
        <v>2400</v>
      </c>
      <c r="R36" s="4"/>
      <c r="S36" s="4">
        <v>3845</v>
      </c>
      <c r="T36" s="4">
        <v>2600</v>
      </c>
      <c r="U36" s="4">
        <v>11930</v>
      </c>
      <c r="V36" s="4">
        <v>1330</v>
      </c>
      <c r="W36" s="4">
        <v>6050</v>
      </c>
      <c r="X36" s="4">
        <v>3075</v>
      </c>
      <c r="Y36" s="4"/>
      <c r="Z36" s="1">
        <v>23</v>
      </c>
      <c r="AA36" s="4" t="s">
        <v>328</v>
      </c>
      <c r="AB36" s="4">
        <v>26000</v>
      </c>
      <c r="AC36" s="30"/>
      <c r="AD36" s="6"/>
      <c r="AE36" s="6"/>
      <c r="AF36" s="6"/>
      <c r="AG36" s="6"/>
      <c r="AH36" s="4" t="s">
        <v>165</v>
      </c>
      <c r="AI36" s="4" t="s">
        <v>225</v>
      </c>
      <c r="AJ36" s="37" t="s">
        <v>245</v>
      </c>
      <c r="AK36" s="18" t="s">
        <v>230</v>
      </c>
      <c r="AL36" s="4" t="s">
        <v>157</v>
      </c>
      <c r="AM36" s="4" t="s">
        <v>241</v>
      </c>
      <c r="AN36" s="4" t="s">
        <v>206</v>
      </c>
      <c r="AO36" s="31" t="s">
        <v>87</v>
      </c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20" t="e">
        <f>IF(CONCATENATE(A36,B36,C36,D36,E36,F36,G36,H36,I36,J36,K36,L36,M36,N36,O36,P36,Q36,R36,S36,T36,U36,V36,W36,X36,Y36,Z36,AA36,AB36,AC36,AD36,AE36,AF36,AG36,AH36,AI36,AJ36,AK36,AL36,AM36,AN36,AO36,AP36,AQ36,AR36,AS36,AT36,AU36,AV36,AW36,AX36,AY36,AZ36,BA36,BB36,BC36,BD36,BE36,BF36,BG36,BH36,BI36,BJ36,BK36)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6" s="39" t="s">
        <v>243</v>
      </c>
      <c r="BN36" s="8" t="s">
        <v>138</v>
      </c>
      <c r="BO36" s="48"/>
      <c r="BP36" s="35" t="str">
        <f t="shared" si="8"/>
        <v>FR</v>
      </c>
      <c r="BQ36" s="35" t="str">
        <f t="shared" si="9"/>
        <v>FS_PF_Energie Alter</v>
      </c>
      <c r="BR36" s="35" t="str">
        <f t="shared" si="10"/>
        <v>IVECO</v>
      </c>
      <c r="BS36" s="35" t="str">
        <f t="shared" si="11"/>
        <v>S-WAY</v>
      </c>
      <c r="BT36" s="35" t="str">
        <f t="shared" si="12"/>
        <v>AD260S40 G CF - FK 25</v>
      </c>
      <c r="BU36" s="35">
        <f t="shared" si="13"/>
        <v>0</v>
      </c>
      <c r="BV36" s="4" t="s">
        <v>277</v>
      </c>
      <c r="BW36" s="6" t="s">
        <v>63</v>
      </c>
      <c r="BX36" s="35" t="str">
        <f t="shared" si="14"/>
        <v>H01</v>
      </c>
      <c r="BY36" s="44" t="str">
        <f t="shared" si="15"/>
        <v>FRFS_PF_Energie AlterAD260S40 G CF - FK 25H01</v>
      </c>
      <c r="BZ36" s="48"/>
      <c r="CA36" s="35">
        <v>26000</v>
      </c>
      <c r="CB36" s="35">
        <v>26000</v>
      </c>
      <c r="CC36" s="35" t="e">
        <f>VLOOKUP(BY36,#REF!,20,0)</f>
        <v>#REF!</v>
      </c>
      <c r="CD36" s="48"/>
      <c r="CE36" s="36"/>
      <c r="CF36" s="36"/>
      <c r="CG36" s="36"/>
    </row>
    <row r="37" spans="1:85" ht="20.100000000000001" customHeight="1" x14ac:dyDescent="0.25">
      <c r="A37" s="4" t="s">
        <v>74</v>
      </c>
      <c r="B37" s="5" t="s">
        <v>246</v>
      </c>
      <c r="C37" s="5" t="s">
        <v>247</v>
      </c>
      <c r="D37" s="1"/>
      <c r="E37" s="4" t="s">
        <v>33</v>
      </c>
      <c r="F37" s="4" t="s">
        <v>219</v>
      </c>
      <c r="G37" s="4" t="s">
        <v>44</v>
      </c>
      <c r="H37" s="4" t="s">
        <v>12</v>
      </c>
      <c r="I37" s="4" t="s">
        <v>7</v>
      </c>
      <c r="J37" s="4"/>
      <c r="K37" s="4" t="s">
        <v>30</v>
      </c>
      <c r="L37" s="4"/>
      <c r="M37" s="4" t="s">
        <v>278</v>
      </c>
      <c r="N37" s="5" t="s">
        <v>64</v>
      </c>
      <c r="O37" s="4">
        <v>9490</v>
      </c>
      <c r="P37" s="4">
        <v>2454</v>
      </c>
      <c r="Q37" s="4">
        <v>2400</v>
      </c>
      <c r="R37" s="4"/>
      <c r="S37" s="4">
        <v>3845</v>
      </c>
      <c r="T37" s="4">
        <v>2600</v>
      </c>
      <c r="U37" s="4">
        <v>11930</v>
      </c>
      <c r="V37" s="4">
        <v>1330</v>
      </c>
      <c r="W37" s="4">
        <v>6050</v>
      </c>
      <c r="X37" s="4">
        <v>3075</v>
      </c>
      <c r="Y37" s="4"/>
      <c r="Z37" s="1">
        <v>23</v>
      </c>
      <c r="AA37" s="4" t="s">
        <v>312</v>
      </c>
      <c r="AB37" s="4">
        <v>26000</v>
      </c>
      <c r="AC37" s="30"/>
      <c r="AD37" s="6"/>
      <c r="AE37" s="6"/>
      <c r="AF37" s="6"/>
      <c r="AG37" s="6"/>
      <c r="AH37" s="4" t="s">
        <v>165</v>
      </c>
      <c r="AI37" s="4" t="s">
        <v>225</v>
      </c>
      <c r="AJ37" s="37" t="s">
        <v>245</v>
      </c>
      <c r="AK37" s="18" t="s">
        <v>230</v>
      </c>
      <c r="AL37" s="4" t="s">
        <v>158</v>
      </c>
      <c r="AM37" s="4" t="s">
        <v>242</v>
      </c>
      <c r="AN37" s="4" t="s">
        <v>206</v>
      </c>
      <c r="AO37" s="31" t="s">
        <v>88</v>
      </c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20" t="e">
        <f>IF(CONCATENATE(A37,B37,C37,D37,E37,F37,G37,H37,I37,J37,K37,L37,M37,N37,O37,P37,Q37,R37,S37,T37,U37,V37,W37,X37,Y37,Z37,AA37,AB37,AC37,AD37,AE37,AF37,AG37,AH37,AI37,AJ37,AK37,AL37,AM37,AN37,AO37,AP37,AQ37,AR37,AS37,AT37,AU37,AV37,AW37,AX37,AY37,AZ37,BA37,BB37,BC37,BD37,BE37,BF37,BG37,BH37,BI37,BJ37,BK37)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7" s="39" t="s">
        <v>243</v>
      </c>
      <c r="BN37" s="8" t="s">
        <v>143</v>
      </c>
      <c r="BO37" s="48"/>
      <c r="BP37" s="35" t="str">
        <f t="shared" si="8"/>
        <v>FR</v>
      </c>
      <c r="BQ37" s="35" t="str">
        <f t="shared" si="9"/>
        <v>FS_PF_Energie Alter</v>
      </c>
      <c r="BR37" s="35" t="str">
        <f t="shared" si="10"/>
        <v>IVECO</v>
      </c>
      <c r="BS37" s="35" t="str">
        <f t="shared" si="11"/>
        <v>S-WAY</v>
      </c>
      <c r="BT37" s="35" t="str">
        <f t="shared" si="12"/>
        <v>AD260S40 G CF - FK 25I MT</v>
      </c>
      <c r="BU37" s="35">
        <f t="shared" si="13"/>
        <v>0</v>
      </c>
      <c r="BV37" s="4" t="s">
        <v>278</v>
      </c>
      <c r="BW37" s="5" t="s">
        <v>64</v>
      </c>
      <c r="BX37" s="35" t="str">
        <f t="shared" si="14"/>
        <v>H02</v>
      </c>
      <c r="BY37" s="44" t="str">
        <f t="shared" si="15"/>
        <v>FRFS_PF_Energie AlterAD260S40 G CF - FK 25I MTH02</v>
      </c>
      <c r="BZ37" s="48"/>
      <c r="CA37" s="35">
        <v>26000</v>
      </c>
      <c r="CB37" s="35">
        <v>26000</v>
      </c>
      <c r="CC37" s="35" t="e">
        <f>VLOOKUP(BY37,#REF!,20,0)</f>
        <v>#REF!</v>
      </c>
      <c r="CD37" s="48"/>
      <c r="CE37" s="36"/>
      <c r="CF37" s="36"/>
      <c r="CG37" s="36"/>
    </row>
    <row r="38" spans="1:85" ht="20.100000000000001" customHeight="1" x14ac:dyDescent="0.25">
      <c r="A38" s="4" t="s">
        <v>74</v>
      </c>
      <c r="B38" s="5" t="s">
        <v>246</v>
      </c>
      <c r="C38" s="5" t="s">
        <v>247</v>
      </c>
      <c r="D38" s="1"/>
      <c r="E38" s="4" t="s">
        <v>33</v>
      </c>
      <c r="F38" s="4" t="s">
        <v>219</v>
      </c>
      <c r="G38" s="4" t="s">
        <v>45</v>
      </c>
      <c r="H38" s="4"/>
      <c r="I38" s="4"/>
      <c r="J38" s="4"/>
      <c r="K38" s="4" t="s">
        <v>33</v>
      </c>
      <c r="L38" s="4"/>
      <c r="M38" s="4" t="s">
        <v>273</v>
      </c>
      <c r="N38" s="6" t="s">
        <v>63</v>
      </c>
      <c r="O38" s="4"/>
      <c r="P38" s="4"/>
      <c r="Q38" s="4"/>
      <c r="R38" s="4"/>
      <c r="S38" s="4">
        <v>3505</v>
      </c>
      <c r="T38" s="4">
        <v>2550</v>
      </c>
      <c r="U38" s="4">
        <v>6252</v>
      </c>
      <c r="V38" s="4"/>
      <c r="W38" s="4">
        <v>3790</v>
      </c>
      <c r="X38" s="4">
        <v>1052</v>
      </c>
      <c r="Y38" s="4"/>
      <c r="Z38" s="4"/>
      <c r="AA38" s="4" t="s">
        <v>274</v>
      </c>
      <c r="AB38" s="6">
        <v>19000</v>
      </c>
      <c r="AC38" s="30"/>
      <c r="AD38" s="6"/>
      <c r="AE38" s="6"/>
      <c r="AF38" s="6">
        <v>44000</v>
      </c>
      <c r="AG38" s="6">
        <v>7280</v>
      </c>
      <c r="AH38" s="4"/>
      <c r="AI38" s="4" t="s">
        <v>47</v>
      </c>
      <c r="AJ38" s="4" t="s">
        <v>92</v>
      </c>
      <c r="AK38" s="4" t="s">
        <v>48</v>
      </c>
      <c r="AL38" s="4"/>
      <c r="AM38" s="4"/>
      <c r="AN38" s="4"/>
      <c r="AO38" s="19" t="s">
        <v>89</v>
      </c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20" t="e">
        <f>IF(CONCATENATE(A38,B38,C38,D38,E38,F38,G38,H38,I38,J38,K38,L38,M38,N38,O38,P38,Q38,R38,S38,T38,U38,V38,W38,X38,Y38,Z38,AA38,AB38,AC38,AD38,AE38,AF38,AG38,AH38,AI38,AJ38,AK38,AL38,AM38,AN38,AO38,AP38,AQ38,AR38,AS38,AT38,AU38,AV38,AW38,AX38,AY38,AZ38,BA38,BB38,BC38,BD38,BE38,BF38,BG38,BH38,BI38,BJ38,BK38)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8" s="4" t="s">
        <v>243</v>
      </c>
      <c r="BN38" s="4" t="s">
        <v>95</v>
      </c>
      <c r="BO38" s="48"/>
      <c r="BP38" s="35" t="str">
        <f t="shared" si="8"/>
        <v>FR</v>
      </c>
      <c r="BQ38" s="35" t="str">
        <f t="shared" si="9"/>
        <v>FS_PF_Energie Alter</v>
      </c>
      <c r="BR38" s="35" t="str">
        <f t="shared" si="10"/>
        <v>IVECO</v>
      </c>
      <c r="BS38" s="35" t="str">
        <f t="shared" si="11"/>
        <v>S-WAY</v>
      </c>
      <c r="BT38" s="35" t="str">
        <f t="shared" si="12"/>
        <v>AT440S46 G TR</v>
      </c>
      <c r="BU38" s="35">
        <f t="shared" si="13"/>
        <v>0</v>
      </c>
      <c r="BV38" s="4" t="s">
        <v>273</v>
      </c>
      <c r="BW38" s="6" t="s">
        <v>63</v>
      </c>
      <c r="BX38" s="35" t="str">
        <f t="shared" si="14"/>
        <v>H01</v>
      </c>
      <c r="BY38" s="44" t="str">
        <f t="shared" si="15"/>
        <v>FRFS_PF_Energie AlterAT440S46 G TRH01</v>
      </c>
      <c r="BZ38" s="48"/>
      <c r="CA38" s="45">
        <v>19000</v>
      </c>
      <c r="CB38" s="45">
        <v>19000</v>
      </c>
      <c r="CC38" s="35" t="e">
        <f>VLOOKUP(BY38,#REF!,20,0)</f>
        <v>#REF!</v>
      </c>
      <c r="CD38" s="48"/>
      <c r="CE38" s="36"/>
      <c r="CF38" s="36"/>
      <c r="CG38" s="36"/>
    </row>
    <row r="39" spans="1:85" ht="20.100000000000001" customHeight="1" x14ac:dyDescent="0.25">
      <c r="A39" s="13" t="s">
        <v>74</v>
      </c>
      <c r="B39" s="5" t="s">
        <v>246</v>
      </c>
      <c r="C39" s="5" t="s">
        <v>247</v>
      </c>
      <c r="D39" s="1"/>
      <c r="E39" s="4" t="s">
        <v>49</v>
      </c>
      <c r="F39" s="4" t="s">
        <v>50</v>
      </c>
      <c r="G39" s="1" t="s">
        <v>43</v>
      </c>
      <c r="H39" s="13" t="s">
        <v>29</v>
      </c>
      <c r="I39" s="13" t="s">
        <v>7</v>
      </c>
      <c r="J39" s="13"/>
      <c r="K39" s="13" t="s">
        <v>30</v>
      </c>
      <c r="L39" s="13"/>
      <c r="M39" s="4" t="s">
        <v>285</v>
      </c>
      <c r="N39" s="6" t="s">
        <v>63</v>
      </c>
      <c r="O39" s="37">
        <v>8892</v>
      </c>
      <c r="P39" s="37">
        <v>2454</v>
      </c>
      <c r="Q39" s="37">
        <v>2400</v>
      </c>
      <c r="R39" s="13"/>
      <c r="S39" s="13">
        <v>3802</v>
      </c>
      <c r="T39" s="13">
        <v>2600</v>
      </c>
      <c r="U39" s="13">
        <v>11200</v>
      </c>
      <c r="V39" s="13">
        <v>1287</v>
      </c>
      <c r="W39" s="13">
        <v>6450</v>
      </c>
      <c r="X39" s="13">
        <v>3330</v>
      </c>
      <c r="Y39" s="13"/>
      <c r="Z39" s="1">
        <v>21</v>
      </c>
      <c r="AA39" s="13" t="s">
        <v>330</v>
      </c>
      <c r="AB39" s="13">
        <v>19000</v>
      </c>
      <c r="AC39" s="30" t="s">
        <v>46</v>
      </c>
      <c r="AD39" s="13"/>
      <c r="AE39" s="13"/>
      <c r="AF39" s="13"/>
      <c r="AG39" s="13"/>
      <c r="AH39" s="13" t="s">
        <v>164</v>
      </c>
      <c r="AI39" s="13" t="s">
        <v>94</v>
      </c>
      <c r="AJ39" s="37" t="s">
        <v>244</v>
      </c>
      <c r="AK39" s="13" t="s">
        <v>228</v>
      </c>
      <c r="AL39" s="4" t="s">
        <v>155</v>
      </c>
      <c r="AM39" s="13" t="s">
        <v>231</v>
      </c>
      <c r="AN39" s="4" t="s">
        <v>206</v>
      </c>
      <c r="AO39" s="21" t="s">
        <v>71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20" t="e">
        <f>IF(CONCATENATE(A39,B39,C39,D39,E39,F39,G39,H39,I39,J39,K39,L39,M39,N39,O39,P39,Q39,R39,S39,T39,U39,V39,W39,X39,Y39,Z39,AA39,AB39,AC39,AD39,AE39,AF39,AG39,AH39,AI39,AJ39,AK39,AL39,AM39,AN39,AO39,AP39,AQ39,AR39,AS39,AT39,AU39,AV39,AW39,AX39,AY39,AZ39,BA39,BB39,BC39,BD39,BE39,BF39,BG39,BH39,BI39,BJ39,BK39)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39" s="38" t="s">
        <v>243</v>
      </c>
      <c r="BN39" s="8" t="s">
        <v>137</v>
      </c>
      <c r="BO39" s="48"/>
      <c r="BP39" s="35" t="str">
        <f t="shared" si="8"/>
        <v>FR</v>
      </c>
      <c r="BQ39" s="35" t="str">
        <f t="shared" si="9"/>
        <v>FS_PF_Energie Alter</v>
      </c>
      <c r="BR39" s="35" t="str">
        <f t="shared" si="10"/>
        <v>RENAULT</v>
      </c>
      <c r="BS39" s="35" t="str">
        <f t="shared" si="11"/>
        <v>GAMME D</v>
      </c>
      <c r="BT39" s="35" t="str">
        <f t="shared" si="12"/>
        <v>D19.320 G CF - 18 Pal - SUPRA 850 S</v>
      </c>
      <c r="BU39" s="35">
        <f t="shared" si="13"/>
        <v>0</v>
      </c>
      <c r="BV39" s="4" t="s">
        <v>285</v>
      </c>
      <c r="BW39" s="6" t="s">
        <v>63</v>
      </c>
      <c r="BX39" s="35" t="str">
        <f t="shared" si="14"/>
        <v>H01</v>
      </c>
      <c r="BY39" s="44" t="str">
        <f t="shared" si="15"/>
        <v>FRFS_PF_Energie AlterD19.320 G CF - 18 Pal - SUPRA 850 SH01</v>
      </c>
      <c r="BZ39" s="48"/>
      <c r="CA39" s="35">
        <v>19000</v>
      </c>
      <c r="CB39" s="35">
        <v>19000</v>
      </c>
      <c r="CC39" s="35" t="e">
        <f>VLOOKUP(BY39,#REF!,20,0)</f>
        <v>#REF!</v>
      </c>
      <c r="CD39" s="48"/>
      <c r="CE39" s="36" t="s">
        <v>46</v>
      </c>
      <c r="CF39" s="36" t="s">
        <v>46</v>
      </c>
      <c r="CG39" s="36"/>
    </row>
    <row r="40" spans="1:85" ht="20.100000000000001" customHeight="1" x14ac:dyDescent="0.25">
      <c r="A40" s="13" t="s">
        <v>74</v>
      </c>
      <c r="B40" s="5" t="s">
        <v>246</v>
      </c>
      <c r="C40" s="5" t="s">
        <v>247</v>
      </c>
      <c r="D40" s="1"/>
      <c r="E40" s="4" t="s">
        <v>49</v>
      </c>
      <c r="F40" s="4" t="s">
        <v>50</v>
      </c>
      <c r="G40" s="1" t="s">
        <v>43</v>
      </c>
      <c r="H40" s="13" t="s">
        <v>12</v>
      </c>
      <c r="I40" s="13" t="s">
        <v>7</v>
      </c>
      <c r="J40" s="13"/>
      <c r="K40" s="13" t="s">
        <v>30</v>
      </c>
      <c r="L40" s="13"/>
      <c r="M40" s="4" t="s">
        <v>286</v>
      </c>
      <c r="N40" s="5" t="s">
        <v>64</v>
      </c>
      <c r="O40" s="37">
        <v>8892</v>
      </c>
      <c r="P40" s="37">
        <v>2454</v>
      </c>
      <c r="Q40" s="37">
        <v>2400</v>
      </c>
      <c r="R40" s="13"/>
      <c r="S40" s="13">
        <v>3802</v>
      </c>
      <c r="T40" s="13">
        <v>2600</v>
      </c>
      <c r="U40" s="13">
        <v>11200</v>
      </c>
      <c r="V40" s="13">
        <v>1287</v>
      </c>
      <c r="W40" s="13">
        <v>6450</v>
      </c>
      <c r="X40" s="13">
        <v>3330</v>
      </c>
      <c r="Y40" s="13"/>
      <c r="Z40" s="1">
        <v>21</v>
      </c>
      <c r="AA40" s="13" t="s">
        <v>314</v>
      </c>
      <c r="AB40" s="13">
        <v>19000</v>
      </c>
      <c r="AC40" s="30" t="s">
        <v>46</v>
      </c>
      <c r="AD40" s="13"/>
      <c r="AE40" s="13"/>
      <c r="AF40" s="13"/>
      <c r="AG40" s="13"/>
      <c r="AH40" s="13" t="s">
        <v>164</v>
      </c>
      <c r="AI40" s="13" t="s">
        <v>94</v>
      </c>
      <c r="AJ40" s="37" t="s">
        <v>244</v>
      </c>
      <c r="AK40" s="13" t="s">
        <v>228</v>
      </c>
      <c r="AL40" s="4" t="s">
        <v>156</v>
      </c>
      <c r="AM40" s="13" t="s">
        <v>232</v>
      </c>
      <c r="AN40" s="4" t="s">
        <v>206</v>
      </c>
      <c r="AO40" s="21" t="s">
        <v>72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20" t="e">
        <f>IF(CONCATENATE(A40,B40,C40,D40,E40,F40,G40,H40,I40,J40,K40,L40,M40,N40,O40,P40,Q40,R40,S40,T40,U40,V40,W40,X40,Y40,Z40,AA40,AB40,AC40,AD40,AE40,AF40,AG40,AH40,AI40,AJ40,AK40,AL40,AM40,AN40,AO40,AP40,AQ40,AR40,AS40,AT40,AU40,AV40,AW40,AX40,AY40,AZ40,BA40,BB40,BC40,BD40,BE40,BF40,BG40,BH40,BI40,BJ40,BK40)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0" s="38" t="s">
        <v>243</v>
      </c>
      <c r="BN40" s="8" t="s">
        <v>141</v>
      </c>
      <c r="BO40" s="48"/>
      <c r="BP40" s="35" t="str">
        <f t="shared" si="8"/>
        <v>FR</v>
      </c>
      <c r="BQ40" s="35" t="str">
        <f t="shared" si="9"/>
        <v>FS_PF_Energie Alter</v>
      </c>
      <c r="BR40" s="35" t="str">
        <f t="shared" si="10"/>
        <v>RENAULT</v>
      </c>
      <c r="BS40" s="35" t="str">
        <f t="shared" si="11"/>
        <v>GAMME D</v>
      </c>
      <c r="BT40" s="35" t="str">
        <f t="shared" si="12"/>
        <v>D19.320 G CF - 18 Pal - SUPRA 1150 S MT</v>
      </c>
      <c r="BU40" s="35">
        <f t="shared" si="13"/>
        <v>0</v>
      </c>
      <c r="BV40" s="4" t="s">
        <v>286</v>
      </c>
      <c r="BW40" s="5" t="s">
        <v>64</v>
      </c>
      <c r="BX40" s="35" t="str">
        <f t="shared" si="14"/>
        <v>H02</v>
      </c>
      <c r="BY40" s="44" t="str">
        <f t="shared" si="15"/>
        <v>FRFS_PF_Energie AlterD19.320 G CF - 18 Pal - SUPRA 1150 S MTH02</v>
      </c>
      <c r="BZ40" s="48"/>
      <c r="CA40" s="35">
        <v>19000</v>
      </c>
      <c r="CB40" s="35">
        <v>19000</v>
      </c>
      <c r="CC40" s="35" t="e">
        <f>VLOOKUP(BY40,#REF!,20,0)</f>
        <v>#REF!</v>
      </c>
      <c r="CD40" s="48"/>
      <c r="CE40" s="36" t="s">
        <v>46</v>
      </c>
      <c r="CF40" s="36" t="s">
        <v>46</v>
      </c>
      <c r="CG40" s="36"/>
    </row>
    <row r="41" spans="1:85" ht="20.100000000000001" customHeight="1" x14ac:dyDescent="0.25">
      <c r="A41" s="13" t="s">
        <v>74</v>
      </c>
      <c r="B41" s="5" t="s">
        <v>246</v>
      </c>
      <c r="C41" s="5" t="s">
        <v>247</v>
      </c>
      <c r="D41" s="1"/>
      <c r="E41" s="4" t="s">
        <v>49</v>
      </c>
      <c r="F41" s="4" t="s">
        <v>50</v>
      </c>
      <c r="G41" s="1" t="s">
        <v>43</v>
      </c>
      <c r="H41" s="13" t="s">
        <v>29</v>
      </c>
      <c r="I41" s="13" t="s">
        <v>7</v>
      </c>
      <c r="J41" s="13"/>
      <c r="K41" s="13" t="s">
        <v>30</v>
      </c>
      <c r="L41" s="13"/>
      <c r="M41" s="4" t="s">
        <v>287</v>
      </c>
      <c r="N41" s="6" t="s">
        <v>63</v>
      </c>
      <c r="O41" s="37">
        <v>8892</v>
      </c>
      <c r="P41" s="37">
        <v>2454</v>
      </c>
      <c r="Q41" s="37">
        <v>2400</v>
      </c>
      <c r="R41" s="13"/>
      <c r="S41" s="13">
        <v>3802</v>
      </c>
      <c r="T41" s="13">
        <v>2600</v>
      </c>
      <c r="U41" s="13">
        <v>11200</v>
      </c>
      <c r="V41" s="13">
        <v>1287</v>
      </c>
      <c r="W41" s="13">
        <v>6450</v>
      </c>
      <c r="X41" s="13">
        <v>3330</v>
      </c>
      <c r="Y41" s="13"/>
      <c r="Z41" s="1">
        <v>21</v>
      </c>
      <c r="AA41" s="13" t="s">
        <v>331</v>
      </c>
      <c r="AB41" s="13">
        <v>19000</v>
      </c>
      <c r="AC41" s="30" t="s">
        <v>46</v>
      </c>
      <c r="AD41" s="13"/>
      <c r="AE41" s="13"/>
      <c r="AF41" s="13"/>
      <c r="AG41" s="13"/>
      <c r="AH41" s="13" t="s">
        <v>164</v>
      </c>
      <c r="AI41" s="13" t="s">
        <v>94</v>
      </c>
      <c r="AJ41" s="37" t="s">
        <v>244</v>
      </c>
      <c r="AK41" s="13" t="s">
        <v>228</v>
      </c>
      <c r="AL41" s="4" t="s">
        <v>155</v>
      </c>
      <c r="AM41" s="13" t="s">
        <v>240</v>
      </c>
      <c r="AN41" s="4" t="s">
        <v>206</v>
      </c>
      <c r="AO41" s="21" t="s">
        <v>71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20" t="e">
        <f>IF(CONCATENATE(A41,B41,C41,D41,E41,F41,G41,H41,I41,J41,K41,L41,M41,N41,O41,P41,Q41,R41,S41,T41,U41,V41,W41,X41,Y41,Z41,AA41,AB41,AC41,AD41,AE41,AF41,AG41,AH41,AI41,AJ41,AK41,AL41,AM41,AN41,AO41,AP41,AQ41,AR41,AS41,AT41,AU41,AV41,AW41,AX41,AY41,AZ41,BA41,BB41,BC41,BD41,BE41,BF41,BG41,BH41,BI41,BJ41,BK41)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1" s="38" t="s">
        <v>243</v>
      </c>
      <c r="BN41" s="8" t="s">
        <v>137</v>
      </c>
      <c r="BO41" s="48"/>
      <c r="BP41" s="35" t="str">
        <f t="shared" si="8"/>
        <v>FR</v>
      </c>
      <c r="BQ41" s="35" t="str">
        <f t="shared" si="9"/>
        <v>FS_PF_Energie Alter</v>
      </c>
      <c r="BR41" s="35" t="str">
        <f t="shared" si="10"/>
        <v>RENAULT</v>
      </c>
      <c r="BS41" s="35" t="str">
        <f t="shared" si="11"/>
        <v>GAMME D</v>
      </c>
      <c r="BT41" s="35" t="str">
        <f t="shared" si="12"/>
        <v>D19.320 G CF - 18 Pal - SUPRA GAZ</v>
      </c>
      <c r="BU41" s="35">
        <f t="shared" si="13"/>
        <v>0</v>
      </c>
      <c r="BV41" s="4" t="s">
        <v>287</v>
      </c>
      <c r="BW41" s="6" t="s">
        <v>63</v>
      </c>
      <c r="BX41" s="35" t="str">
        <f t="shared" si="14"/>
        <v>H01</v>
      </c>
      <c r="BY41" s="44" t="str">
        <f t="shared" si="15"/>
        <v>FRFS_PF_Energie AlterD19.320 G CF - 18 Pal - SUPRA GAZH01</v>
      </c>
      <c r="BZ41" s="48"/>
      <c r="CA41" s="35">
        <v>19000</v>
      </c>
      <c r="CB41" s="35">
        <v>19000</v>
      </c>
      <c r="CC41" s="35" t="e">
        <f>VLOOKUP(BY41,#REF!,20,0)</f>
        <v>#REF!</v>
      </c>
      <c r="CD41" s="48"/>
      <c r="CE41" s="36" t="s">
        <v>46</v>
      </c>
      <c r="CF41" s="36" t="s">
        <v>46</v>
      </c>
      <c r="CG41" s="36"/>
    </row>
    <row r="42" spans="1:85" ht="20.100000000000001" customHeight="1" x14ac:dyDescent="0.25">
      <c r="A42" s="13" t="s">
        <v>74</v>
      </c>
      <c r="B42" s="5" t="s">
        <v>246</v>
      </c>
      <c r="C42" s="5" t="s">
        <v>247</v>
      </c>
      <c r="D42" s="1"/>
      <c r="E42" s="4" t="s">
        <v>49</v>
      </c>
      <c r="F42" s="4" t="s">
        <v>50</v>
      </c>
      <c r="G42" s="1" t="s">
        <v>43</v>
      </c>
      <c r="H42" s="13" t="s">
        <v>12</v>
      </c>
      <c r="I42" s="13" t="s">
        <v>7</v>
      </c>
      <c r="J42" s="13"/>
      <c r="K42" s="13" t="s">
        <v>30</v>
      </c>
      <c r="L42" s="13"/>
      <c r="M42" s="4" t="s">
        <v>288</v>
      </c>
      <c r="N42" s="5" t="s">
        <v>64</v>
      </c>
      <c r="O42" s="37">
        <v>8892</v>
      </c>
      <c r="P42" s="37">
        <v>2454</v>
      </c>
      <c r="Q42" s="37">
        <v>2400</v>
      </c>
      <c r="R42" s="13"/>
      <c r="S42" s="13">
        <v>3802</v>
      </c>
      <c r="T42" s="13">
        <v>2600</v>
      </c>
      <c r="U42" s="13">
        <v>11200</v>
      </c>
      <c r="V42" s="13">
        <v>1287</v>
      </c>
      <c r="W42" s="13">
        <v>6450</v>
      </c>
      <c r="X42" s="13">
        <v>3330</v>
      </c>
      <c r="Y42" s="13"/>
      <c r="Z42" s="1">
        <v>21</v>
      </c>
      <c r="AA42" s="13" t="s">
        <v>315</v>
      </c>
      <c r="AB42" s="13">
        <v>19000</v>
      </c>
      <c r="AC42" s="30" t="s">
        <v>46</v>
      </c>
      <c r="AD42" s="13"/>
      <c r="AE42" s="13"/>
      <c r="AF42" s="13"/>
      <c r="AG42" s="13"/>
      <c r="AH42" s="13" t="s">
        <v>164</v>
      </c>
      <c r="AI42" s="13" t="s">
        <v>94</v>
      </c>
      <c r="AJ42" s="37" t="s">
        <v>244</v>
      </c>
      <c r="AK42" s="13" t="s">
        <v>228</v>
      </c>
      <c r="AL42" s="4" t="s">
        <v>156</v>
      </c>
      <c r="AM42" s="13" t="s">
        <v>239</v>
      </c>
      <c r="AN42" s="4" t="s">
        <v>206</v>
      </c>
      <c r="AO42" s="21" t="s">
        <v>72</v>
      </c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20" t="e">
        <f>IF(CONCATENATE(A42,B42,C42,D42,E42,F42,G42,H42,I42,J42,K42,L42,M42,N42,O42,P42,Q42,R42,S42,T42,U42,V42,W42,X42,Y42,Z42,AA42,AB42,AC42,AD42,AE42,AF42,AG42,AH42,AI42,AJ42,AK42,AL42,AM42,AN42,AO42,AP42,AQ42,AR42,AS42,AT42,AU42,AV42,AW42,AX42,AY42,AZ42,BA42,BB42,BC42,BD42,BE42,BF42,BG42,BH42,BI42,BJ42,BK42)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2" s="38" t="s">
        <v>243</v>
      </c>
      <c r="BN42" s="8" t="s">
        <v>141</v>
      </c>
      <c r="BO42" s="48"/>
      <c r="BP42" s="35" t="str">
        <f t="shared" si="8"/>
        <v>FR</v>
      </c>
      <c r="BQ42" s="35" t="str">
        <f t="shared" si="9"/>
        <v>FS_PF_Energie Alter</v>
      </c>
      <c r="BR42" s="35" t="str">
        <f t="shared" si="10"/>
        <v>RENAULT</v>
      </c>
      <c r="BS42" s="35" t="str">
        <f t="shared" si="11"/>
        <v>GAMME D</v>
      </c>
      <c r="BT42" s="35" t="str">
        <f t="shared" si="12"/>
        <v>D19.320 G CF - 18 Pal - SUPRA GAZ MT</v>
      </c>
      <c r="BU42" s="35">
        <f t="shared" si="13"/>
        <v>0</v>
      </c>
      <c r="BV42" s="4" t="s">
        <v>288</v>
      </c>
      <c r="BW42" s="5" t="s">
        <v>64</v>
      </c>
      <c r="BX42" s="35" t="str">
        <f t="shared" si="14"/>
        <v>H02</v>
      </c>
      <c r="BY42" s="44" t="str">
        <f t="shared" si="15"/>
        <v>FRFS_PF_Energie AlterD19.320 G CF - 18 Pal - SUPRA GAZ MTH02</v>
      </c>
      <c r="BZ42" s="48"/>
      <c r="CA42" s="35">
        <v>19000</v>
      </c>
      <c r="CB42" s="35">
        <v>19000</v>
      </c>
      <c r="CC42" s="35" t="e">
        <f>VLOOKUP(BY42,#REF!,20,0)</f>
        <v>#REF!</v>
      </c>
      <c r="CD42" s="48"/>
      <c r="CE42" s="36" t="s">
        <v>46</v>
      </c>
      <c r="CF42" s="36" t="s">
        <v>46</v>
      </c>
      <c r="CG42" s="36"/>
    </row>
    <row r="43" spans="1:85" ht="20.100000000000001" customHeight="1" x14ac:dyDescent="0.25">
      <c r="A43" s="13" t="s">
        <v>74</v>
      </c>
      <c r="B43" s="5" t="s">
        <v>246</v>
      </c>
      <c r="C43" s="5" t="s">
        <v>247</v>
      </c>
      <c r="D43" s="1"/>
      <c r="E43" s="4" t="s">
        <v>49</v>
      </c>
      <c r="F43" s="4" t="s">
        <v>50</v>
      </c>
      <c r="G43" s="1" t="s">
        <v>43</v>
      </c>
      <c r="H43" s="13" t="s">
        <v>29</v>
      </c>
      <c r="I43" s="13" t="s">
        <v>7</v>
      </c>
      <c r="J43" s="13"/>
      <c r="K43" s="13" t="s">
        <v>30</v>
      </c>
      <c r="L43" s="13"/>
      <c r="M43" s="4" t="s">
        <v>299</v>
      </c>
      <c r="N43" s="6" t="s">
        <v>63</v>
      </c>
      <c r="O43" s="37">
        <v>8892</v>
      </c>
      <c r="P43" s="37">
        <v>2454</v>
      </c>
      <c r="Q43" s="37">
        <v>2400</v>
      </c>
      <c r="R43" s="13"/>
      <c r="S43" s="13">
        <v>3802</v>
      </c>
      <c r="T43" s="13">
        <v>2600</v>
      </c>
      <c r="U43" s="13">
        <v>11200</v>
      </c>
      <c r="V43" s="13">
        <v>1287</v>
      </c>
      <c r="W43" s="13">
        <v>6450</v>
      </c>
      <c r="X43" s="13">
        <v>3330</v>
      </c>
      <c r="Y43" s="13"/>
      <c r="Z43" s="1">
        <v>21</v>
      </c>
      <c r="AA43" s="13" t="s">
        <v>339</v>
      </c>
      <c r="AB43" s="13">
        <v>19000</v>
      </c>
      <c r="AC43" s="30" t="s">
        <v>46</v>
      </c>
      <c r="AD43" s="13"/>
      <c r="AE43" s="13"/>
      <c r="AF43" s="13"/>
      <c r="AG43" s="13"/>
      <c r="AH43" s="13" t="s">
        <v>164</v>
      </c>
      <c r="AI43" s="13" t="s">
        <v>94</v>
      </c>
      <c r="AJ43" s="37" t="s">
        <v>244</v>
      </c>
      <c r="AK43" s="13" t="s">
        <v>228</v>
      </c>
      <c r="AL43" s="4" t="s">
        <v>155</v>
      </c>
      <c r="AM43" s="13" t="s">
        <v>345</v>
      </c>
      <c r="AN43" s="4" t="s">
        <v>206</v>
      </c>
      <c r="AO43" s="21" t="s">
        <v>71</v>
      </c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20" t="e">
        <f>IF(CONCATENATE(A43,B43,C43,D43,E43,F43,G43,H43,I43,J43,K43,L43,M43,N43,O43,P43,Q43,R43,S43,T43,U43,V43,W43,X43,Y43,Z43,AA43,AB43,AC43,AD43,AE43,AF43,AG43,AH43,AI43,AJ43,AK43,AL43,AM43,AN43,AO43,AP43,AQ43,AR43,AS43,AT43,AU43,AV43,AW43,AX43,AY43,AZ43,BA43,BB43,BC43,BD43,BE43,BF43,BG43,BH43,BI43,BJ43,BK43)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3" s="38" t="s">
        <v>243</v>
      </c>
      <c r="BN43" s="8" t="s">
        <v>137</v>
      </c>
      <c r="BO43" s="48"/>
      <c r="BP43" s="35" t="str">
        <f t="shared" si="8"/>
        <v>FR</v>
      </c>
      <c r="BQ43" s="35" t="str">
        <f t="shared" si="9"/>
        <v>FS_PF_Energie Alter</v>
      </c>
      <c r="BR43" s="35" t="str">
        <f t="shared" si="10"/>
        <v>RENAULT</v>
      </c>
      <c r="BS43" s="35" t="str">
        <f t="shared" si="11"/>
        <v>GAMME D</v>
      </c>
      <c r="BT43" s="35" t="str">
        <f t="shared" si="12"/>
        <v>D19.320 G CF - 18 Pal - CARRIER SYBERIA</v>
      </c>
      <c r="BU43" s="35">
        <f t="shared" si="13"/>
        <v>0</v>
      </c>
      <c r="BV43" s="4" t="s">
        <v>299</v>
      </c>
      <c r="BW43" s="6" t="s">
        <v>63</v>
      </c>
      <c r="BX43" s="35" t="str">
        <f t="shared" si="14"/>
        <v>H01</v>
      </c>
      <c r="BY43" s="44" t="str">
        <f t="shared" si="15"/>
        <v>FRFS_PF_Energie AlterD19.320 G CF - 18 Pal - CARRIER SYBERIAH01</v>
      </c>
      <c r="BZ43" s="48"/>
      <c r="CA43" s="35">
        <v>19000</v>
      </c>
      <c r="CB43" s="35">
        <v>19000</v>
      </c>
      <c r="CC43" s="35" t="e">
        <f>VLOOKUP(BY43,#REF!,20,0)</f>
        <v>#REF!</v>
      </c>
      <c r="CD43" s="48"/>
      <c r="CE43" s="36" t="s">
        <v>46</v>
      </c>
      <c r="CF43" s="36" t="s">
        <v>46</v>
      </c>
      <c r="CG43" s="36"/>
    </row>
    <row r="44" spans="1:85" ht="20.100000000000001" customHeight="1" x14ac:dyDescent="0.25">
      <c r="A44" s="13" t="s">
        <v>74</v>
      </c>
      <c r="B44" s="5" t="s">
        <v>246</v>
      </c>
      <c r="C44" s="5" t="s">
        <v>247</v>
      </c>
      <c r="D44" s="1"/>
      <c r="E44" s="4" t="s">
        <v>49</v>
      </c>
      <c r="F44" s="4" t="s">
        <v>50</v>
      </c>
      <c r="G44" s="1" t="s">
        <v>43</v>
      </c>
      <c r="H44" s="13" t="s">
        <v>12</v>
      </c>
      <c r="I44" s="13" t="s">
        <v>7</v>
      </c>
      <c r="J44" s="13"/>
      <c r="K44" s="13" t="s">
        <v>30</v>
      </c>
      <c r="L44" s="13"/>
      <c r="M44" s="4" t="s">
        <v>300</v>
      </c>
      <c r="N44" s="5" t="s">
        <v>64</v>
      </c>
      <c r="O44" s="37">
        <v>8892</v>
      </c>
      <c r="P44" s="37">
        <v>2454</v>
      </c>
      <c r="Q44" s="37">
        <v>2400</v>
      </c>
      <c r="R44" s="13"/>
      <c r="S44" s="13">
        <v>3802</v>
      </c>
      <c r="T44" s="13">
        <v>2600</v>
      </c>
      <c r="U44" s="13">
        <v>11200</v>
      </c>
      <c r="V44" s="13">
        <v>1287</v>
      </c>
      <c r="W44" s="13">
        <v>6450</v>
      </c>
      <c r="X44" s="13">
        <v>3330</v>
      </c>
      <c r="Y44" s="13"/>
      <c r="Z44" s="1">
        <v>21</v>
      </c>
      <c r="AA44" s="13" t="s">
        <v>340</v>
      </c>
      <c r="AB44" s="13">
        <v>19000</v>
      </c>
      <c r="AC44" s="30" t="s">
        <v>46</v>
      </c>
      <c r="AD44" s="13"/>
      <c r="AE44" s="13"/>
      <c r="AF44" s="13"/>
      <c r="AG44" s="13"/>
      <c r="AH44" s="13" t="s">
        <v>164</v>
      </c>
      <c r="AI44" s="13" t="s">
        <v>94</v>
      </c>
      <c r="AJ44" s="37" t="s">
        <v>244</v>
      </c>
      <c r="AK44" s="13" t="s">
        <v>228</v>
      </c>
      <c r="AL44" s="4" t="s">
        <v>156</v>
      </c>
      <c r="AM44" s="13" t="s">
        <v>346</v>
      </c>
      <c r="AN44" s="4" t="s">
        <v>206</v>
      </c>
      <c r="AO44" s="21" t="s">
        <v>72</v>
      </c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20" t="e">
        <f>IF(CONCATENATE(A44,B44,C44,D44,E44,F44,G44,H44,I44,J44,K44,L44,M44,N44,O44,P44,Q44,R44,S44,T44,U44,V44,W44,X44,Y44,Z44,AA44,AB44,AC44,AD44,AE44,AF44,AG44,AH44,AI44,AJ44,AK44,AL44,AM44,AN44,AO44,AP44,AQ44,AR44,AS44,AT44,AU44,AV44,AW44,AX44,AY44,AZ44,BA44,BB44,BC44,BD44,BE44,BF44,BG44,BH44,BI44,BJ44,BK44)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4" s="38" t="s">
        <v>243</v>
      </c>
      <c r="BN44" s="8" t="s">
        <v>141</v>
      </c>
      <c r="BO44" s="48"/>
      <c r="BP44" s="35" t="str">
        <f t="shared" si="8"/>
        <v>FR</v>
      </c>
      <c r="BQ44" s="35" t="str">
        <f t="shared" si="9"/>
        <v>FS_PF_Energie Alter</v>
      </c>
      <c r="BR44" s="35" t="str">
        <f t="shared" si="10"/>
        <v>RENAULT</v>
      </c>
      <c r="BS44" s="35" t="str">
        <f t="shared" si="11"/>
        <v>GAMME D</v>
      </c>
      <c r="BT44" s="35" t="str">
        <f t="shared" si="12"/>
        <v>D19.320 G CF - 18 Pal - CARRIER SYBERIA MT</v>
      </c>
      <c r="BU44" s="35">
        <f t="shared" si="13"/>
        <v>0</v>
      </c>
      <c r="BV44" s="4" t="s">
        <v>300</v>
      </c>
      <c r="BW44" s="5" t="s">
        <v>64</v>
      </c>
      <c r="BX44" s="35" t="str">
        <f t="shared" si="14"/>
        <v>H02</v>
      </c>
      <c r="BY44" s="44" t="str">
        <f t="shared" si="15"/>
        <v>FRFS_PF_Energie AlterD19.320 G CF - 18 Pal - CARRIER SYBERIA MTH02</v>
      </c>
      <c r="BZ44" s="48"/>
      <c r="CA44" s="35">
        <v>19000</v>
      </c>
      <c r="CB44" s="35">
        <v>19000</v>
      </c>
      <c r="CC44" s="35" t="e">
        <f>VLOOKUP(BY44,#REF!,20,0)</f>
        <v>#REF!</v>
      </c>
      <c r="CD44" s="48"/>
      <c r="CE44" s="36" t="s">
        <v>46</v>
      </c>
      <c r="CF44" s="36" t="s">
        <v>46</v>
      </c>
      <c r="CG44" s="36"/>
    </row>
    <row r="45" spans="1:85" ht="20.100000000000001" customHeight="1" x14ac:dyDescent="0.25">
      <c r="A45" s="13" t="s">
        <v>74</v>
      </c>
      <c r="B45" s="5" t="s">
        <v>246</v>
      </c>
      <c r="C45" s="5" t="s">
        <v>247</v>
      </c>
      <c r="D45" s="1"/>
      <c r="E45" s="4" t="s">
        <v>49</v>
      </c>
      <c r="F45" s="4" t="s">
        <v>50</v>
      </c>
      <c r="G45" s="1" t="s">
        <v>43</v>
      </c>
      <c r="H45" s="13" t="s">
        <v>29</v>
      </c>
      <c r="I45" s="13" t="s">
        <v>7</v>
      </c>
      <c r="J45" s="13"/>
      <c r="K45" s="13" t="s">
        <v>30</v>
      </c>
      <c r="L45" s="13"/>
      <c r="M45" s="4" t="s">
        <v>289</v>
      </c>
      <c r="N45" s="6" t="s">
        <v>63</v>
      </c>
      <c r="O45" s="37">
        <v>8892</v>
      </c>
      <c r="P45" s="37">
        <v>2454</v>
      </c>
      <c r="Q45" s="37">
        <v>2400</v>
      </c>
      <c r="R45" s="13"/>
      <c r="S45" s="13">
        <v>3802</v>
      </c>
      <c r="T45" s="13">
        <v>2600</v>
      </c>
      <c r="U45" s="13">
        <v>11200</v>
      </c>
      <c r="V45" s="13">
        <v>1287</v>
      </c>
      <c r="W45" s="13">
        <v>6450</v>
      </c>
      <c r="X45" s="13">
        <v>3330</v>
      </c>
      <c r="Y45" s="13"/>
      <c r="Z45" s="1">
        <v>21</v>
      </c>
      <c r="AA45" s="13" t="s">
        <v>332</v>
      </c>
      <c r="AB45" s="13">
        <v>19000</v>
      </c>
      <c r="AC45" s="30" t="s">
        <v>46</v>
      </c>
      <c r="AD45" s="13"/>
      <c r="AE45" s="13"/>
      <c r="AF45" s="13"/>
      <c r="AG45" s="13"/>
      <c r="AH45" s="13" t="s">
        <v>164</v>
      </c>
      <c r="AI45" s="13" t="s">
        <v>94</v>
      </c>
      <c r="AJ45" s="37" t="s">
        <v>244</v>
      </c>
      <c r="AK45" s="13" t="s">
        <v>228</v>
      </c>
      <c r="AL45" s="4" t="s">
        <v>155</v>
      </c>
      <c r="AM45" s="13" t="s">
        <v>241</v>
      </c>
      <c r="AN45" s="4" t="s">
        <v>206</v>
      </c>
      <c r="AO45" s="21" t="s">
        <v>71</v>
      </c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20" t="e">
        <f>IF(CONCATENATE(A45,B45,C45,D45,E45,F45,G45,H45,I45,J45,K45,L45,M45,N45,O45,P45,Q45,R45,S45,T45,U45,V45,W45,X45,Y45,Z45,AA45,AB45,AC45,AD45,AE45,AF45,AG45,AH45,AI45,AJ45,AK45,AL45,AM45,AN45,AO45,AP45,AQ45,AR45,AS45,AT45,AU45,AV45,AW45,AX45,AY45,AZ45,BA45,BB45,BC45,BD45,BE45,BF45,BG45,BH45,BI45,BJ45,BK45)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5" s="38" t="s">
        <v>243</v>
      </c>
      <c r="BN45" s="8" t="s">
        <v>137</v>
      </c>
      <c r="BO45" s="48"/>
      <c r="BP45" s="35" t="str">
        <f t="shared" si="8"/>
        <v>FR</v>
      </c>
      <c r="BQ45" s="35" t="str">
        <f t="shared" si="9"/>
        <v>FS_PF_Energie Alter</v>
      </c>
      <c r="BR45" s="35" t="str">
        <f t="shared" si="10"/>
        <v>RENAULT</v>
      </c>
      <c r="BS45" s="35" t="str">
        <f t="shared" si="11"/>
        <v>GAMME D</v>
      </c>
      <c r="BT45" s="35" t="str">
        <f t="shared" si="12"/>
        <v>D19.320 G CF - 18 Pal - FK 25</v>
      </c>
      <c r="BU45" s="35">
        <f t="shared" si="13"/>
        <v>0</v>
      </c>
      <c r="BV45" s="4" t="s">
        <v>289</v>
      </c>
      <c r="BW45" s="6" t="s">
        <v>63</v>
      </c>
      <c r="BX45" s="35" t="str">
        <f t="shared" si="14"/>
        <v>H01</v>
      </c>
      <c r="BY45" s="44" t="str">
        <f t="shared" si="15"/>
        <v>FRFS_PF_Energie AlterD19.320 G CF - 18 Pal - FK 25H01</v>
      </c>
      <c r="BZ45" s="48"/>
      <c r="CA45" s="35">
        <v>19000</v>
      </c>
      <c r="CB45" s="35">
        <v>19000</v>
      </c>
      <c r="CC45" s="35" t="e">
        <f>VLOOKUP(BY45,#REF!,20,0)</f>
        <v>#REF!</v>
      </c>
      <c r="CD45" s="48"/>
      <c r="CE45" s="36" t="s">
        <v>46</v>
      </c>
      <c r="CF45" s="36" t="s">
        <v>46</v>
      </c>
      <c r="CG45" s="36"/>
    </row>
    <row r="46" spans="1:85" ht="20.100000000000001" customHeight="1" x14ac:dyDescent="0.25">
      <c r="A46" s="13" t="s">
        <v>74</v>
      </c>
      <c r="B46" s="5" t="s">
        <v>246</v>
      </c>
      <c r="C46" s="5" t="s">
        <v>247</v>
      </c>
      <c r="D46" s="1"/>
      <c r="E46" s="4" t="s">
        <v>49</v>
      </c>
      <c r="F46" s="4" t="s">
        <v>50</v>
      </c>
      <c r="G46" s="1" t="s">
        <v>43</v>
      </c>
      <c r="H46" s="13" t="s">
        <v>12</v>
      </c>
      <c r="I46" s="13" t="s">
        <v>7</v>
      </c>
      <c r="J46" s="13"/>
      <c r="K46" s="13" t="s">
        <v>30</v>
      </c>
      <c r="L46" s="13"/>
      <c r="M46" s="4" t="s">
        <v>290</v>
      </c>
      <c r="N46" s="5" t="s">
        <v>64</v>
      </c>
      <c r="O46" s="37">
        <v>8892</v>
      </c>
      <c r="P46" s="37">
        <v>2454</v>
      </c>
      <c r="Q46" s="37">
        <v>2400</v>
      </c>
      <c r="R46" s="13"/>
      <c r="S46" s="13">
        <v>3802</v>
      </c>
      <c r="T46" s="13">
        <v>2600</v>
      </c>
      <c r="U46" s="13">
        <v>11200</v>
      </c>
      <c r="V46" s="13">
        <v>1287</v>
      </c>
      <c r="W46" s="13">
        <v>6450</v>
      </c>
      <c r="X46" s="13">
        <v>3330</v>
      </c>
      <c r="Y46" s="13"/>
      <c r="Z46" s="1">
        <v>21</v>
      </c>
      <c r="AA46" s="13" t="s">
        <v>316</v>
      </c>
      <c r="AB46" s="13">
        <v>19000</v>
      </c>
      <c r="AC46" s="30" t="s">
        <v>46</v>
      </c>
      <c r="AD46" s="13"/>
      <c r="AE46" s="13"/>
      <c r="AF46" s="13"/>
      <c r="AG46" s="13"/>
      <c r="AH46" s="13" t="s">
        <v>164</v>
      </c>
      <c r="AI46" s="13" t="s">
        <v>94</v>
      </c>
      <c r="AJ46" s="37" t="s">
        <v>244</v>
      </c>
      <c r="AK46" s="13" t="s">
        <v>228</v>
      </c>
      <c r="AL46" s="4" t="s">
        <v>156</v>
      </c>
      <c r="AM46" s="13" t="s">
        <v>242</v>
      </c>
      <c r="AN46" s="4" t="s">
        <v>206</v>
      </c>
      <c r="AO46" s="21" t="s">
        <v>72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20" t="e">
        <f>IF(CONCATENATE(A46,B46,C46,D46,E46,F46,G46,H46,I46,J46,K46,L46,M46,N46,O46,P46,Q46,R46,S46,T46,U46,V46,W46,X46,Y46,Z46,AA46,AB46,AC46,AD46,AE46,AF46,AG46,AH46,AI46,AJ46,AK46,AL46,AM46,AN46,AO46,AP46,AQ46,AR46,AS46,AT46,AU46,AV46,AW46,AX46,AY46,AZ46,BA46,BB46,BC46,BD46,BE46,BF46,BG46,BH46,BI46,BJ46,BK46)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6" s="38" t="s">
        <v>243</v>
      </c>
      <c r="BN46" s="8" t="s">
        <v>141</v>
      </c>
      <c r="BO46" s="48"/>
      <c r="BP46" s="35" t="str">
        <f t="shared" si="8"/>
        <v>FR</v>
      </c>
      <c r="BQ46" s="35" t="str">
        <f t="shared" si="9"/>
        <v>FS_PF_Energie Alter</v>
      </c>
      <c r="BR46" s="35" t="str">
        <f t="shared" si="10"/>
        <v>RENAULT</v>
      </c>
      <c r="BS46" s="35" t="str">
        <f t="shared" si="11"/>
        <v>GAMME D</v>
      </c>
      <c r="BT46" s="35" t="str">
        <f t="shared" si="12"/>
        <v>D19.320 G CF - 18 Pal - FK 25I MT</v>
      </c>
      <c r="BU46" s="35">
        <f t="shared" si="13"/>
        <v>0</v>
      </c>
      <c r="BV46" s="4" t="s">
        <v>290</v>
      </c>
      <c r="BW46" s="5" t="s">
        <v>64</v>
      </c>
      <c r="BX46" s="35" t="str">
        <f t="shared" si="14"/>
        <v>H02</v>
      </c>
      <c r="BY46" s="44" t="str">
        <f t="shared" si="15"/>
        <v>FRFS_PF_Energie AlterD19.320 G CF - 18 Pal - FK 25I MTH02</v>
      </c>
      <c r="BZ46" s="48"/>
      <c r="CA46" s="35">
        <v>19000</v>
      </c>
      <c r="CB46" s="35">
        <v>19000</v>
      </c>
      <c r="CC46" s="35" t="e">
        <f>VLOOKUP(BY46,#REF!,20,0)</f>
        <v>#REF!</v>
      </c>
      <c r="CD46" s="48"/>
      <c r="CE46" s="36" t="s">
        <v>46</v>
      </c>
      <c r="CF46" s="36" t="s">
        <v>46</v>
      </c>
      <c r="CG46" s="36"/>
    </row>
    <row r="47" spans="1:85" ht="20.100000000000001" customHeight="1" x14ac:dyDescent="0.25">
      <c r="A47" s="13" t="s">
        <v>74</v>
      </c>
      <c r="B47" s="5" t="s">
        <v>246</v>
      </c>
      <c r="C47" s="5" t="s">
        <v>247</v>
      </c>
      <c r="D47" s="1"/>
      <c r="E47" s="4" t="s">
        <v>49</v>
      </c>
      <c r="F47" s="4" t="s">
        <v>50</v>
      </c>
      <c r="G47" s="1" t="s">
        <v>43</v>
      </c>
      <c r="H47" s="13" t="s">
        <v>29</v>
      </c>
      <c r="I47" s="13" t="s">
        <v>7</v>
      </c>
      <c r="J47" s="13"/>
      <c r="K47" s="13" t="s">
        <v>30</v>
      </c>
      <c r="L47" s="13"/>
      <c r="M47" s="4" t="s">
        <v>291</v>
      </c>
      <c r="N47" s="6" t="s">
        <v>63</v>
      </c>
      <c r="O47" s="37">
        <v>8892</v>
      </c>
      <c r="P47" s="37">
        <v>2454</v>
      </c>
      <c r="Q47" s="37">
        <v>2400</v>
      </c>
      <c r="R47" s="13"/>
      <c r="S47" s="13">
        <v>3802</v>
      </c>
      <c r="T47" s="13">
        <v>2600</v>
      </c>
      <c r="U47" s="13">
        <v>11200</v>
      </c>
      <c r="V47" s="13">
        <v>1287</v>
      </c>
      <c r="W47" s="13">
        <v>6450</v>
      </c>
      <c r="X47" s="13">
        <v>3330</v>
      </c>
      <c r="Y47" s="13"/>
      <c r="Z47" s="1">
        <v>21</v>
      </c>
      <c r="AA47" s="13" t="s">
        <v>333</v>
      </c>
      <c r="AB47" s="13">
        <v>19000</v>
      </c>
      <c r="AC47" s="30" t="s">
        <v>46</v>
      </c>
      <c r="AD47" s="13"/>
      <c r="AE47" s="13"/>
      <c r="AF47" s="13"/>
      <c r="AG47" s="13"/>
      <c r="AH47" s="13" t="s">
        <v>164</v>
      </c>
      <c r="AI47" s="13" t="s">
        <v>94</v>
      </c>
      <c r="AJ47" s="37" t="s">
        <v>244</v>
      </c>
      <c r="AK47" s="13" t="s">
        <v>228</v>
      </c>
      <c r="AL47" s="4" t="s">
        <v>155</v>
      </c>
      <c r="AM47" s="13" t="s">
        <v>240</v>
      </c>
      <c r="AN47" s="4" t="s">
        <v>206</v>
      </c>
      <c r="AO47" s="21" t="s">
        <v>71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20" t="e">
        <f>IF(CONCATENATE(A47,B47,C47,D47,E47,F47,G47,H47,I47,J47,K47,L47,M47,N47,O47,P47,Q47,R47,S47,T47,U47,V47,W47,X47,Y47,Z47,AA47,AB47,AC47,AD47,AE47,AF47,AG47,AH47,AI47,AJ47,AK47,AL47,AM47,AN47,AO47,AP47,AQ47,AR47,AS47,AT47,AU47,AV47,AW47,AX47,AY47,AZ47,BA47,BB47,BC47,BD47,BE47,BF47,BG47,BH47,BI47,BJ47,BK47)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7" s="38" t="s">
        <v>243</v>
      </c>
      <c r="BN47" s="8" t="s">
        <v>137</v>
      </c>
      <c r="BO47" s="48"/>
      <c r="BP47" s="35" t="str">
        <f t="shared" si="8"/>
        <v>FR</v>
      </c>
      <c r="BQ47" s="35" t="str">
        <f t="shared" si="9"/>
        <v>FS_PF_Energie Alter</v>
      </c>
      <c r="BR47" s="35" t="str">
        <f t="shared" si="10"/>
        <v>RENAULT</v>
      </c>
      <c r="BS47" s="35" t="str">
        <f t="shared" si="11"/>
        <v>GAMME D</v>
      </c>
      <c r="BT47" s="35" t="str">
        <f t="shared" si="12"/>
        <v>D19.320 G CF - SUPRA GAZ</v>
      </c>
      <c r="BU47" s="35">
        <f t="shared" si="13"/>
        <v>0</v>
      </c>
      <c r="BV47" s="4" t="s">
        <v>291</v>
      </c>
      <c r="BW47" s="6" t="s">
        <v>63</v>
      </c>
      <c r="BX47" s="35" t="str">
        <f t="shared" si="14"/>
        <v>H01</v>
      </c>
      <c r="BY47" s="44" t="str">
        <f t="shared" si="15"/>
        <v>FRFS_PF_Energie AlterD19.320 G CF - SUPRA GAZH01</v>
      </c>
      <c r="BZ47" s="48"/>
      <c r="CA47" s="35">
        <v>19000</v>
      </c>
      <c r="CB47" s="35">
        <v>19000</v>
      </c>
      <c r="CC47" s="35" t="e">
        <f>VLOOKUP(BY47,#REF!,20,0)</f>
        <v>#REF!</v>
      </c>
      <c r="CD47" s="48"/>
      <c r="CE47" s="36" t="s">
        <v>46</v>
      </c>
      <c r="CF47" s="36" t="s">
        <v>46</v>
      </c>
      <c r="CG47" s="36"/>
    </row>
    <row r="48" spans="1:85" ht="20.100000000000001" customHeight="1" x14ac:dyDescent="0.25">
      <c r="A48" s="13" t="s">
        <v>74</v>
      </c>
      <c r="B48" s="5" t="s">
        <v>246</v>
      </c>
      <c r="C48" s="5" t="s">
        <v>247</v>
      </c>
      <c r="D48" s="1"/>
      <c r="E48" s="4" t="s">
        <v>49</v>
      </c>
      <c r="F48" s="4" t="s">
        <v>50</v>
      </c>
      <c r="G48" s="1" t="s">
        <v>43</v>
      </c>
      <c r="H48" s="13" t="s">
        <v>12</v>
      </c>
      <c r="I48" s="13" t="s">
        <v>7</v>
      </c>
      <c r="J48" s="13"/>
      <c r="K48" s="13" t="s">
        <v>30</v>
      </c>
      <c r="L48" s="13"/>
      <c r="M48" s="4" t="s">
        <v>292</v>
      </c>
      <c r="N48" s="5" t="s">
        <v>64</v>
      </c>
      <c r="O48" s="37">
        <v>8892</v>
      </c>
      <c r="P48" s="37">
        <v>2454</v>
      </c>
      <c r="Q48" s="37">
        <v>2400</v>
      </c>
      <c r="R48" s="13"/>
      <c r="S48" s="13">
        <v>3802</v>
      </c>
      <c r="T48" s="13">
        <v>2600</v>
      </c>
      <c r="U48" s="13">
        <v>11200</v>
      </c>
      <c r="V48" s="13">
        <v>1287</v>
      </c>
      <c r="W48" s="13">
        <v>6450</v>
      </c>
      <c r="X48" s="13">
        <v>3330</v>
      </c>
      <c r="Y48" s="13"/>
      <c r="Z48" s="1">
        <v>21</v>
      </c>
      <c r="AA48" s="13" t="s">
        <v>317</v>
      </c>
      <c r="AB48" s="13">
        <v>19000</v>
      </c>
      <c r="AC48" s="30" t="s">
        <v>46</v>
      </c>
      <c r="AD48" s="13"/>
      <c r="AE48" s="13"/>
      <c r="AF48" s="13"/>
      <c r="AG48" s="13"/>
      <c r="AH48" s="13" t="s">
        <v>164</v>
      </c>
      <c r="AI48" s="13" t="s">
        <v>94</v>
      </c>
      <c r="AJ48" s="37" t="s">
        <v>244</v>
      </c>
      <c r="AK48" s="13" t="s">
        <v>228</v>
      </c>
      <c r="AL48" s="4" t="s">
        <v>156</v>
      </c>
      <c r="AM48" s="13" t="s">
        <v>239</v>
      </c>
      <c r="AN48" s="4" t="s">
        <v>206</v>
      </c>
      <c r="AO48" s="21" t="s">
        <v>72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20" t="e">
        <f>IF(CONCATENATE(A48,B48,C48,D48,E48,F48,G48,H48,I48,J48,K48,L48,M48,N48,O48,P48,Q48,R48,S48,T48,U48,V48,W48,X48,Y48,Z48,AA48,AB48,AC48,AD48,AE48,AF48,AG48,AH48,AI48,AJ48,AK48,AL48,AM48,AN48,AO48,AP48,AQ48,AR48,AS48,AT48,AU48,AV48,AW48,AX48,AY48,AZ48,BA48,BB48,BC48,BD48,BE48,BF48,BG48,BH48,BI48,BJ48,BK48)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8" s="38" t="s">
        <v>243</v>
      </c>
      <c r="BN48" s="8" t="s">
        <v>141</v>
      </c>
      <c r="BO48" s="48"/>
      <c r="BP48" s="35" t="str">
        <f t="shared" si="8"/>
        <v>FR</v>
      </c>
      <c r="BQ48" s="35" t="str">
        <f t="shared" si="9"/>
        <v>FS_PF_Energie Alter</v>
      </c>
      <c r="BR48" s="35" t="str">
        <f t="shared" si="10"/>
        <v>RENAULT</v>
      </c>
      <c r="BS48" s="35" t="str">
        <f t="shared" si="11"/>
        <v>GAMME D</v>
      </c>
      <c r="BT48" s="35" t="str">
        <f t="shared" si="12"/>
        <v>D19.320 G CF - SUPRA GAZ MT</v>
      </c>
      <c r="BU48" s="35">
        <f t="shared" si="13"/>
        <v>0</v>
      </c>
      <c r="BV48" s="4" t="s">
        <v>292</v>
      </c>
      <c r="BW48" s="5" t="s">
        <v>64</v>
      </c>
      <c r="BX48" s="35" t="str">
        <f t="shared" si="14"/>
        <v>H02</v>
      </c>
      <c r="BY48" s="44" t="str">
        <f t="shared" si="15"/>
        <v>FRFS_PF_Energie AlterD19.320 G CF - SUPRA GAZ MTH02</v>
      </c>
      <c r="BZ48" s="48"/>
      <c r="CA48" s="35">
        <v>19000</v>
      </c>
      <c r="CB48" s="35">
        <v>19000</v>
      </c>
      <c r="CC48" s="35" t="e">
        <f>VLOOKUP(BY48,#REF!,20,0)</f>
        <v>#REF!</v>
      </c>
      <c r="CD48" s="48"/>
      <c r="CE48" s="36" t="s">
        <v>46</v>
      </c>
      <c r="CF48" s="36" t="s">
        <v>46</v>
      </c>
      <c r="CG48" s="36"/>
    </row>
    <row r="49" spans="1:85" ht="20.100000000000001" customHeight="1" x14ac:dyDescent="0.25">
      <c r="A49" s="13" t="s">
        <v>74</v>
      </c>
      <c r="B49" s="5" t="s">
        <v>246</v>
      </c>
      <c r="C49" s="5" t="s">
        <v>247</v>
      </c>
      <c r="D49" s="1"/>
      <c r="E49" s="4" t="s">
        <v>49</v>
      </c>
      <c r="F49" s="4" t="s">
        <v>50</v>
      </c>
      <c r="G49" s="1" t="s">
        <v>43</v>
      </c>
      <c r="H49" s="13" t="s">
        <v>29</v>
      </c>
      <c r="I49" s="13" t="s">
        <v>7</v>
      </c>
      <c r="J49" s="13"/>
      <c r="K49" s="13" t="s">
        <v>30</v>
      </c>
      <c r="L49" s="13"/>
      <c r="M49" s="4" t="s">
        <v>301</v>
      </c>
      <c r="N49" s="6" t="s">
        <v>63</v>
      </c>
      <c r="O49" s="37">
        <v>8892</v>
      </c>
      <c r="P49" s="37">
        <v>2454</v>
      </c>
      <c r="Q49" s="37">
        <v>2400</v>
      </c>
      <c r="R49" s="13"/>
      <c r="S49" s="13">
        <v>3802</v>
      </c>
      <c r="T49" s="13">
        <v>2600</v>
      </c>
      <c r="U49" s="13">
        <v>11200</v>
      </c>
      <c r="V49" s="13">
        <v>1287</v>
      </c>
      <c r="W49" s="13">
        <v>6450</v>
      </c>
      <c r="X49" s="13">
        <v>3330</v>
      </c>
      <c r="Y49" s="13"/>
      <c r="Z49" s="1">
        <v>21</v>
      </c>
      <c r="AA49" s="13" t="s">
        <v>341</v>
      </c>
      <c r="AB49" s="13">
        <v>19000</v>
      </c>
      <c r="AC49" s="30" t="s">
        <v>46</v>
      </c>
      <c r="AD49" s="13"/>
      <c r="AE49" s="13"/>
      <c r="AF49" s="13"/>
      <c r="AG49" s="13"/>
      <c r="AH49" s="13" t="s">
        <v>164</v>
      </c>
      <c r="AI49" s="13" t="s">
        <v>94</v>
      </c>
      <c r="AJ49" s="37" t="s">
        <v>244</v>
      </c>
      <c r="AK49" s="13" t="s">
        <v>228</v>
      </c>
      <c r="AL49" s="4" t="s">
        <v>155</v>
      </c>
      <c r="AM49" s="13" t="s">
        <v>345</v>
      </c>
      <c r="AN49" s="4" t="s">
        <v>206</v>
      </c>
      <c r="AO49" s="21" t="s">
        <v>71</v>
      </c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20" t="e">
        <f>IF(CONCATENATE(A49,B49,C49,D49,E49,F49,G49,H49,I49,J49,K49,L49,M49,N49,O49,P49,Q49,R49,S49,T49,U49,V49,W49,X49,Y49,Z49,AA49,AB49,AC49,AD49,AE49,AF49,AG49,AH49,AI49,AJ49,AK49,AL49,AM49,AN49,AO49,AP49,AQ49,AR49,AS49,AT49,AU49,AV49,AW49,AX49,AY49,AZ49,BA49,BB49,BC49,BD49,BE49,BF49,BG49,BH49,BI49,BJ49,BK49)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49" s="38" t="s">
        <v>243</v>
      </c>
      <c r="BN49" s="8" t="s">
        <v>137</v>
      </c>
      <c r="BO49" s="48"/>
      <c r="BP49" s="35" t="str">
        <f t="shared" si="8"/>
        <v>FR</v>
      </c>
      <c r="BQ49" s="35" t="str">
        <f t="shared" si="9"/>
        <v>FS_PF_Energie Alter</v>
      </c>
      <c r="BR49" s="35" t="str">
        <f t="shared" si="10"/>
        <v>RENAULT</v>
      </c>
      <c r="BS49" s="35" t="str">
        <f t="shared" si="11"/>
        <v>GAMME D</v>
      </c>
      <c r="BT49" s="35" t="str">
        <f t="shared" si="12"/>
        <v>D19.320 G CF - CARRIER SYBERIA</v>
      </c>
      <c r="BU49" s="35">
        <f t="shared" si="13"/>
        <v>0</v>
      </c>
      <c r="BV49" s="4" t="s">
        <v>301</v>
      </c>
      <c r="BW49" s="6" t="s">
        <v>63</v>
      </c>
      <c r="BX49" s="35" t="str">
        <f t="shared" si="14"/>
        <v>H01</v>
      </c>
      <c r="BY49" s="44" t="str">
        <f t="shared" si="15"/>
        <v>FRFS_PF_Energie AlterD19.320 G CF - CARRIER SYBERIAH01</v>
      </c>
      <c r="BZ49" s="48"/>
      <c r="CA49" s="35">
        <v>19000</v>
      </c>
      <c r="CB49" s="35">
        <v>19000</v>
      </c>
      <c r="CC49" s="35" t="e">
        <f>VLOOKUP(BY49,#REF!,20,0)</f>
        <v>#REF!</v>
      </c>
      <c r="CD49" s="48"/>
      <c r="CE49" s="36" t="s">
        <v>46</v>
      </c>
      <c r="CF49" s="36" t="s">
        <v>46</v>
      </c>
      <c r="CG49" s="36"/>
    </row>
    <row r="50" spans="1:85" ht="20.100000000000001" customHeight="1" x14ac:dyDescent="0.25">
      <c r="A50" s="13" t="s">
        <v>74</v>
      </c>
      <c r="B50" s="5" t="s">
        <v>246</v>
      </c>
      <c r="C50" s="5" t="s">
        <v>247</v>
      </c>
      <c r="D50" s="1"/>
      <c r="E50" s="4" t="s">
        <v>49</v>
      </c>
      <c r="F50" s="4" t="s">
        <v>50</v>
      </c>
      <c r="G50" s="1" t="s">
        <v>43</v>
      </c>
      <c r="H50" s="13" t="s">
        <v>12</v>
      </c>
      <c r="I50" s="13" t="s">
        <v>7</v>
      </c>
      <c r="J50" s="13"/>
      <c r="K50" s="13" t="s">
        <v>30</v>
      </c>
      <c r="L50" s="13"/>
      <c r="M50" s="4" t="s">
        <v>302</v>
      </c>
      <c r="N50" s="5" t="s">
        <v>64</v>
      </c>
      <c r="O50" s="37">
        <v>8892</v>
      </c>
      <c r="P50" s="37">
        <v>2454</v>
      </c>
      <c r="Q50" s="37">
        <v>2400</v>
      </c>
      <c r="R50" s="13"/>
      <c r="S50" s="13">
        <v>3802</v>
      </c>
      <c r="T50" s="13">
        <v>2600</v>
      </c>
      <c r="U50" s="13">
        <v>11200</v>
      </c>
      <c r="V50" s="13">
        <v>1287</v>
      </c>
      <c r="W50" s="13">
        <v>6450</v>
      </c>
      <c r="X50" s="13">
        <v>3330</v>
      </c>
      <c r="Y50" s="13"/>
      <c r="Z50" s="1">
        <v>21</v>
      </c>
      <c r="AA50" s="13" t="s">
        <v>342</v>
      </c>
      <c r="AB50" s="13">
        <v>19000</v>
      </c>
      <c r="AC50" s="30" t="s">
        <v>46</v>
      </c>
      <c r="AD50" s="13"/>
      <c r="AE50" s="13"/>
      <c r="AF50" s="13"/>
      <c r="AG50" s="13"/>
      <c r="AH50" s="13" t="s">
        <v>164</v>
      </c>
      <c r="AI50" s="13" t="s">
        <v>94</v>
      </c>
      <c r="AJ50" s="37" t="s">
        <v>244</v>
      </c>
      <c r="AK50" s="13" t="s">
        <v>228</v>
      </c>
      <c r="AL50" s="4" t="s">
        <v>156</v>
      </c>
      <c r="AM50" s="13" t="s">
        <v>346</v>
      </c>
      <c r="AN50" s="4" t="s">
        <v>206</v>
      </c>
      <c r="AO50" s="21" t="s">
        <v>72</v>
      </c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20" t="e">
        <f>IF(CONCATENATE(A50,B50,C50,D50,E50,F50,G50,H50,I50,J50,K50,L50,M50,N50,O50,P50,Q50,R50,S50,T50,U50,V50,W50,X50,Y50,Z50,AA50,AB50,AC50,AD50,AE50,AF50,AG50,AH50,AI50,AJ50,AK50,AL50,AM50,AN50,AO50,AP50,AQ50,AR50,AS50,AT50,AU50,AV50,AW50,AX50,AY50,AZ50,BA50,BB50,BC50,BD50,BE50,BF50,BG50,BH50,BI50,BJ50,BK50)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0" s="38" t="s">
        <v>243</v>
      </c>
      <c r="BN50" s="8" t="s">
        <v>141</v>
      </c>
      <c r="BO50" s="48"/>
      <c r="BP50" s="35" t="str">
        <f t="shared" si="8"/>
        <v>FR</v>
      </c>
      <c r="BQ50" s="35" t="str">
        <f t="shared" si="9"/>
        <v>FS_PF_Energie Alter</v>
      </c>
      <c r="BR50" s="35" t="str">
        <f t="shared" si="10"/>
        <v>RENAULT</v>
      </c>
      <c r="BS50" s="35" t="str">
        <f t="shared" si="11"/>
        <v>GAMME D</v>
      </c>
      <c r="BT50" s="35" t="str">
        <f t="shared" si="12"/>
        <v>D19.320 G CF - CARRIER SYBERIA MT</v>
      </c>
      <c r="BU50" s="35">
        <f t="shared" si="13"/>
        <v>0</v>
      </c>
      <c r="BV50" s="4" t="s">
        <v>302</v>
      </c>
      <c r="BW50" s="5" t="s">
        <v>64</v>
      </c>
      <c r="BX50" s="35" t="str">
        <f t="shared" si="14"/>
        <v>H02</v>
      </c>
      <c r="BY50" s="44" t="str">
        <f t="shared" si="15"/>
        <v>FRFS_PF_Energie AlterD19.320 G CF - CARRIER SYBERIA MTH02</v>
      </c>
      <c r="BZ50" s="48"/>
      <c r="CA50" s="35">
        <v>19000</v>
      </c>
      <c r="CB50" s="35">
        <v>19000</v>
      </c>
      <c r="CC50" s="35" t="e">
        <f>VLOOKUP(BY50,#REF!,20,0)</f>
        <v>#REF!</v>
      </c>
      <c r="CD50" s="48"/>
      <c r="CE50" s="36" t="s">
        <v>46</v>
      </c>
      <c r="CF50" s="36" t="s">
        <v>46</v>
      </c>
      <c r="CG50" s="36"/>
    </row>
    <row r="51" spans="1:85" ht="20.100000000000001" customHeight="1" x14ac:dyDescent="0.25">
      <c r="A51" s="13" t="s">
        <v>74</v>
      </c>
      <c r="B51" s="5" t="s">
        <v>246</v>
      </c>
      <c r="C51" s="5" t="s">
        <v>247</v>
      </c>
      <c r="D51" s="1"/>
      <c r="E51" s="4" t="s">
        <v>49</v>
      </c>
      <c r="F51" s="4" t="s">
        <v>50</v>
      </c>
      <c r="G51" s="1" t="s">
        <v>43</v>
      </c>
      <c r="H51" s="13" t="s">
        <v>29</v>
      </c>
      <c r="I51" s="13" t="s">
        <v>7</v>
      </c>
      <c r="J51" s="13"/>
      <c r="K51" s="13" t="s">
        <v>30</v>
      </c>
      <c r="L51" s="13"/>
      <c r="M51" s="4" t="s">
        <v>293</v>
      </c>
      <c r="N51" s="6" t="s">
        <v>63</v>
      </c>
      <c r="O51" s="37">
        <v>8892</v>
      </c>
      <c r="P51" s="37">
        <v>2454</v>
      </c>
      <c r="Q51" s="37">
        <v>2400</v>
      </c>
      <c r="R51" s="13"/>
      <c r="S51" s="13">
        <v>3802</v>
      </c>
      <c r="T51" s="13">
        <v>2600</v>
      </c>
      <c r="U51" s="13">
        <v>11200</v>
      </c>
      <c r="V51" s="13">
        <v>1287</v>
      </c>
      <c r="W51" s="13">
        <v>6450</v>
      </c>
      <c r="X51" s="13">
        <v>3330</v>
      </c>
      <c r="Y51" s="13"/>
      <c r="Z51" s="1">
        <v>21</v>
      </c>
      <c r="AA51" s="13" t="s">
        <v>334</v>
      </c>
      <c r="AB51" s="13">
        <v>19000</v>
      </c>
      <c r="AC51" s="30" t="s">
        <v>46</v>
      </c>
      <c r="AD51" s="13"/>
      <c r="AE51" s="13"/>
      <c r="AF51" s="13"/>
      <c r="AG51" s="13"/>
      <c r="AH51" s="13" t="s">
        <v>164</v>
      </c>
      <c r="AI51" s="13" t="s">
        <v>94</v>
      </c>
      <c r="AJ51" s="37" t="s">
        <v>244</v>
      </c>
      <c r="AK51" s="13" t="s">
        <v>228</v>
      </c>
      <c r="AL51" s="4" t="s">
        <v>155</v>
      </c>
      <c r="AM51" s="13" t="s">
        <v>241</v>
      </c>
      <c r="AN51" s="4" t="s">
        <v>206</v>
      </c>
      <c r="AO51" s="21" t="s">
        <v>71</v>
      </c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20" t="e">
        <f>IF(CONCATENATE(A51,B51,C51,D51,E51,F51,G51,H51,I51,J51,K51,L51,M51,N51,O51,P51,Q51,R51,S51,T51,U51,V51,W51,X51,Y51,Z51,AA51,AB51,AC51,AD51,AE51,AF51,AG51,AH51,AI51,AJ51,AK51,AL51,AM51,AN51,AO51,AP51,AQ51,AR51,AS51,AT51,AU51,AV51,AW51,AX51,AY51,AZ51,BA51,BB51,BC51,BD51,BE51,BF51,BG51,BH51,BI51,BJ51,BK51)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1" s="38" t="s">
        <v>243</v>
      </c>
      <c r="BN51" s="8" t="s">
        <v>137</v>
      </c>
      <c r="BO51" s="48"/>
      <c r="BP51" s="35" t="str">
        <f t="shared" si="8"/>
        <v>FR</v>
      </c>
      <c r="BQ51" s="35" t="str">
        <f t="shared" si="9"/>
        <v>FS_PF_Energie Alter</v>
      </c>
      <c r="BR51" s="35" t="str">
        <f t="shared" si="10"/>
        <v>RENAULT</v>
      </c>
      <c r="BS51" s="35" t="str">
        <f t="shared" si="11"/>
        <v>GAMME D</v>
      </c>
      <c r="BT51" s="35" t="str">
        <f t="shared" si="12"/>
        <v>D19.320 G CF - FK 25</v>
      </c>
      <c r="BU51" s="35">
        <f t="shared" si="13"/>
        <v>0</v>
      </c>
      <c r="BV51" s="4" t="s">
        <v>293</v>
      </c>
      <c r="BW51" s="6" t="s">
        <v>63</v>
      </c>
      <c r="BX51" s="35" t="str">
        <f t="shared" si="14"/>
        <v>H01</v>
      </c>
      <c r="BY51" s="44" t="str">
        <f t="shared" si="15"/>
        <v>FRFS_PF_Energie AlterD19.320 G CF - FK 25H01</v>
      </c>
      <c r="BZ51" s="48"/>
      <c r="CA51" s="35">
        <v>19000</v>
      </c>
      <c r="CB51" s="35">
        <v>19000</v>
      </c>
      <c r="CC51" s="35" t="e">
        <f>VLOOKUP(BY51,#REF!,20,0)</f>
        <v>#REF!</v>
      </c>
      <c r="CD51" s="48"/>
      <c r="CE51" s="36" t="s">
        <v>46</v>
      </c>
      <c r="CF51" s="36" t="s">
        <v>46</v>
      </c>
      <c r="CG51" s="36"/>
    </row>
    <row r="52" spans="1:85" ht="20.100000000000001" customHeight="1" x14ac:dyDescent="0.25">
      <c r="A52" s="13" t="s">
        <v>74</v>
      </c>
      <c r="B52" s="5" t="s">
        <v>246</v>
      </c>
      <c r="C52" s="5" t="s">
        <v>247</v>
      </c>
      <c r="D52" s="1"/>
      <c r="E52" s="4" t="s">
        <v>49</v>
      </c>
      <c r="F52" s="4" t="s">
        <v>50</v>
      </c>
      <c r="G52" s="1" t="s">
        <v>43</v>
      </c>
      <c r="H52" s="13" t="s">
        <v>12</v>
      </c>
      <c r="I52" s="13" t="s">
        <v>7</v>
      </c>
      <c r="J52" s="13"/>
      <c r="K52" s="13" t="s">
        <v>30</v>
      </c>
      <c r="L52" s="13"/>
      <c r="M52" s="4" t="s">
        <v>294</v>
      </c>
      <c r="N52" s="5" t="s">
        <v>64</v>
      </c>
      <c r="O52" s="37">
        <v>8892</v>
      </c>
      <c r="P52" s="37">
        <v>2454</v>
      </c>
      <c r="Q52" s="37">
        <v>2400</v>
      </c>
      <c r="R52" s="13"/>
      <c r="S52" s="13">
        <v>3802</v>
      </c>
      <c r="T52" s="13">
        <v>2600</v>
      </c>
      <c r="U52" s="13">
        <v>11200</v>
      </c>
      <c r="V52" s="13">
        <v>1287</v>
      </c>
      <c r="W52" s="13">
        <v>6450</v>
      </c>
      <c r="X52" s="13">
        <v>3330</v>
      </c>
      <c r="Y52" s="13"/>
      <c r="Z52" s="1">
        <v>21</v>
      </c>
      <c r="AA52" s="13" t="s">
        <v>318</v>
      </c>
      <c r="AB52" s="13">
        <v>19000</v>
      </c>
      <c r="AC52" s="30" t="s">
        <v>46</v>
      </c>
      <c r="AD52" s="13"/>
      <c r="AE52" s="13"/>
      <c r="AF52" s="13"/>
      <c r="AG52" s="13"/>
      <c r="AH52" s="13" t="s">
        <v>164</v>
      </c>
      <c r="AI52" s="13" t="s">
        <v>94</v>
      </c>
      <c r="AJ52" s="37" t="s">
        <v>244</v>
      </c>
      <c r="AK52" s="13" t="s">
        <v>228</v>
      </c>
      <c r="AL52" s="4" t="s">
        <v>156</v>
      </c>
      <c r="AM52" s="13" t="s">
        <v>242</v>
      </c>
      <c r="AN52" s="4" t="s">
        <v>206</v>
      </c>
      <c r="AO52" s="21" t="s">
        <v>72</v>
      </c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20" t="e">
        <f>IF(CONCATENATE(A52,B52,C52,D52,E52,F52,G52,H52,I52,J52,K52,L52,M52,N52,O52,P52,Q52,R52,S52,T52,U52,V52,W52,X52,Y52,Z52,AA52,AB52,AC52,AD52,AE52,AF52,AG52,AH52,AI52,AJ52,AK52,AL52,AM52,AN52,AO52,AP52,AQ52,AR52,AS52,AT52,AU52,AV52,AW52,AX52,AY52,AZ52,BA52,BB52,BC52,BD52,BE52,BF52,BG52,BH52,BI52,BJ52,BK52)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2" s="38" t="s">
        <v>243</v>
      </c>
      <c r="BN52" s="8" t="s">
        <v>141</v>
      </c>
      <c r="BO52" s="48"/>
      <c r="BP52" s="35" t="str">
        <f t="shared" si="8"/>
        <v>FR</v>
      </c>
      <c r="BQ52" s="35" t="str">
        <f t="shared" si="9"/>
        <v>FS_PF_Energie Alter</v>
      </c>
      <c r="BR52" s="35" t="str">
        <f t="shared" si="10"/>
        <v>RENAULT</v>
      </c>
      <c r="BS52" s="35" t="str">
        <f t="shared" si="11"/>
        <v>GAMME D</v>
      </c>
      <c r="BT52" s="35" t="str">
        <f t="shared" si="12"/>
        <v>D19.320 G CF - FK 25I MT</v>
      </c>
      <c r="BU52" s="35">
        <f t="shared" si="13"/>
        <v>0</v>
      </c>
      <c r="BV52" s="4" t="s">
        <v>294</v>
      </c>
      <c r="BW52" s="5" t="s">
        <v>64</v>
      </c>
      <c r="BX52" s="35" t="str">
        <f t="shared" si="14"/>
        <v>H02</v>
      </c>
      <c r="BY52" s="44" t="str">
        <f t="shared" si="15"/>
        <v>FRFS_PF_Energie AlterD19.320 G CF - FK 25I MTH02</v>
      </c>
      <c r="BZ52" s="48"/>
      <c r="CA52" s="35">
        <v>19000</v>
      </c>
      <c r="CB52" s="35">
        <v>19000</v>
      </c>
      <c r="CC52" s="35" t="e">
        <f>VLOOKUP(BY52,#REF!,20,0)</f>
        <v>#REF!</v>
      </c>
      <c r="CD52" s="48"/>
      <c r="CE52" s="36" t="s">
        <v>46</v>
      </c>
      <c r="CF52" s="36" t="s">
        <v>46</v>
      </c>
      <c r="CG52" s="36"/>
    </row>
    <row r="53" spans="1:85" ht="20.100000000000001" customHeight="1" x14ac:dyDescent="0.25">
      <c r="A53" s="4" t="s">
        <v>74</v>
      </c>
      <c r="B53" s="5" t="s">
        <v>246</v>
      </c>
      <c r="C53" s="5" t="s">
        <v>247</v>
      </c>
      <c r="D53" s="1"/>
      <c r="E53" s="4" t="s">
        <v>49</v>
      </c>
      <c r="F53" s="4" t="s">
        <v>50</v>
      </c>
      <c r="G53" s="4" t="s">
        <v>44</v>
      </c>
      <c r="H53" s="4" t="s">
        <v>29</v>
      </c>
      <c r="I53" s="4" t="s">
        <v>7</v>
      </c>
      <c r="J53" s="4"/>
      <c r="K53" s="4" t="s">
        <v>30</v>
      </c>
      <c r="L53" s="4"/>
      <c r="M53" s="4" t="s">
        <v>295</v>
      </c>
      <c r="N53" s="6" t="s">
        <v>63</v>
      </c>
      <c r="O53" s="4">
        <v>9490</v>
      </c>
      <c r="P53" s="4">
        <v>2450</v>
      </c>
      <c r="Q53" s="4">
        <v>2400</v>
      </c>
      <c r="R53" s="4"/>
      <c r="S53" s="4"/>
      <c r="T53" s="4"/>
      <c r="U53" s="4"/>
      <c r="V53" s="4"/>
      <c r="W53" s="4"/>
      <c r="X53" s="4"/>
      <c r="Y53" s="4"/>
      <c r="Z53" s="1">
        <v>23</v>
      </c>
      <c r="AA53" s="13" t="s">
        <v>333</v>
      </c>
      <c r="AB53" s="4">
        <v>26000</v>
      </c>
      <c r="AC53" s="30" t="s">
        <v>46</v>
      </c>
      <c r="AD53" s="6"/>
      <c r="AE53" s="6"/>
      <c r="AF53" s="6"/>
      <c r="AG53" s="6"/>
      <c r="AH53" s="4" t="s">
        <v>165</v>
      </c>
      <c r="AI53" s="4" t="s">
        <v>94</v>
      </c>
      <c r="AJ53" s="37" t="s">
        <v>244</v>
      </c>
      <c r="AK53" s="13" t="s">
        <v>228</v>
      </c>
      <c r="AL53" s="4" t="s">
        <v>157</v>
      </c>
      <c r="AM53" s="13" t="s">
        <v>240</v>
      </c>
      <c r="AN53" s="4" t="s">
        <v>206</v>
      </c>
      <c r="AO53" s="22" t="s">
        <v>86</v>
      </c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0" t="e">
        <f>IF(CONCATENATE(A53,B53,C53,D53,E53,F53,G53,H53,I53,J53,K53,L53,M53,N53,O53,P53,Q53,R53,S53,T53,U53,V53,W53,X53,Y53,Z53,AA53,AB53,AC53,AD53,AE53,AF53,AG53,AH53,AI53,AJ53,AK53,AL53,AM53,AN53,AO53,AP53,AQ53,AR53,AS53,AT53,AU53,AV53,AW53,AX53,AY53,AZ53,BA53,BB53,BC53,BD53,BE53,BF53,BG53,BH53,BI53,BJ53,BK53)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3" s="38" t="s">
        <v>243</v>
      </c>
      <c r="BN53" s="8" t="s">
        <v>96</v>
      </c>
      <c r="BO53" s="48"/>
      <c r="BP53" s="35" t="str">
        <f t="shared" si="8"/>
        <v>FR</v>
      </c>
      <c r="BQ53" s="35" t="str">
        <f t="shared" si="9"/>
        <v>FS_PF_Energie Alter</v>
      </c>
      <c r="BR53" s="35" t="str">
        <f t="shared" si="10"/>
        <v>RENAULT</v>
      </c>
      <c r="BS53" s="35" t="str">
        <f t="shared" si="11"/>
        <v>GAMME D</v>
      </c>
      <c r="BT53" s="35" t="str">
        <f t="shared" si="12"/>
        <v>D26.320 G CF - SUPRA GAZ</v>
      </c>
      <c r="BU53" s="35">
        <f t="shared" si="13"/>
        <v>0</v>
      </c>
      <c r="BV53" s="4" t="s">
        <v>295</v>
      </c>
      <c r="BW53" s="6" t="s">
        <v>63</v>
      </c>
      <c r="BX53" s="35" t="str">
        <f t="shared" si="14"/>
        <v>H01</v>
      </c>
      <c r="BY53" s="44" t="str">
        <f t="shared" si="15"/>
        <v>FRFS_PF_Energie AlterD26.320 G CF - SUPRA GAZH01</v>
      </c>
      <c r="BZ53" s="48"/>
      <c r="CA53" s="35">
        <v>26000</v>
      </c>
      <c r="CB53" s="35">
        <v>26000</v>
      </c>
      <c r="CC53" s="35" t="e">
        <f>VLOOKUP(BY53,#REF!,20,0)</f>
        <v>#REF!</v>
      </c>
      <c r="CD53" s="48"/>
      <c r="CE53" s="36" t="s">
        <v>46</v>
      </c>
      <c r="CF53" s="36" t="s">
        <v>46</v>
      </c>
      <c r="CG53" s="36"/>
    </row>
    <row r="54" spans="1:85" ht="20.100000000000001" customHeight="1" x14ac:dyDescent="0.25">
      <c r="A54" s="4" t="s">
        <v>74</v>
      </c>
      <c r="B54" s="5" t="s">
        <v>246</v>
      </c>
      <c r="C54" s="5" t="s">
        <v>247</v>
      </c>
      <c r="D54" s="1"/>
      <c r="E54" s="4" t="s">
        <v>49</v>
      </c>
      <c r="F54" s="4" t="s">
        <v>50</v>
      </c>
      <c r="G54" s="4" t="s">
        <v>44</v>
      </c>
      <c r="H54" s="4" t="s">
        <v>12</v>
      </c>
      <c r="I54" s="4" t="s">
        <v>7</v>
      </c>
      <c r="J54" s="4"/>
      <c r="K54" s="4" t="s">
        <v>30</v>
      </c>
      <c r="L54" s="4"/>
      <c r="M54" s="4" t="s">
        <v>296</v>
      </c>
      <c r="N54" s="5" t="s">
        <v>64</v>
      </c>
      <c r="O54" s="4">
        <v>9490</v>
      </c>
      <c r="P54" s="4">
        <v>2450</v>
      </c>
      <c r="Q54" s="4">
        <v>2400</v>
      </c>
      <c r="R54" s="4"/>
      <c r="S54" s="4"/>
      <c r="T54" s="4"/>
      <c r="U54" s="4"/>
      <c r="V54" s="4"/>
      <c r="W54" s="4"/>
      <c r="X54" s="4"/>
      <c r="Y54" s="4"/>
      <c r="Z54" s="1">
        <v>23</v>
      </c>
      <c r="AA54" s="4" t="s">
        <v>317</v>
      </c>
      <c r="AB54" s="4">
        <v>26000</v>
      </c>
      <c r="AC54" s="30" t="s">
        <v>46</v>
      </c>
      <c r="AD54" s="6"/>
      <c r="AE54" s="6"/>
      <c r="AF54" s="6"/>
      <c r="AG54" s="6"/>
      <c r="AH54" s="4" t="s">
        <v>165</v>
      </c>
      <c r="AI54" s="4" t="s">
        <v>94</v>
      </c>
      <c r="AJ54" s="37" t="s">
        <v>244</v>
      </c>
      <c r="AK54" s="13" t="s">
        <v>228</v>
      </c>
      <c r="AL54" s="4" t="s">
        <v>158</v>
      </c>
      <c r="AM54" s="13" t="s">
        <v>239</v>
      </c>
      <c r="AN54" s="4" t="s">
        <v>206</v>
      </c>
      <c r="AO54" s="22" t="s">
        <v>86</v>
      </c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0" t="e">
        <f>IF(CONCATENATE(A54,B54,C54,D54,E54,F54,G54,H54,I54,J54,K54,L54,M54,N54,O54,P54,Q54,R54,S54,T54,U54,V54,W54,X54,Y54,Z54,AA54,AB54,AC54,AD54,AE54,AF54,AG54,AH54,AI54,AJ54,AK54,AL54,AM54,AN54,AO54,AP54,AQ54,AR54,AS54,AT54,AU54,AV54,AW54,AX54,AY54,AZ54,BA54,BB54,BC54,BD54,BE54,BF54,BG54,BH54,BI54,BJ54,BK54)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4" s="38" t="s">
        <v>243</v>
      </c>
      <c r="BN54" s="8" t="s">
        <v>96</v>
      </c>
      <c r="BO54" s="48"/>
      <c r="BP54" s="35" t="str">
        <f t="shared" si="8"/>
        <v>FR</v>
      </c>
      <c r="BQ54" s="35" t="str">
        <f t="shared" si="9"/>
        <v>FS_PF_Energie Alter</v>
      </c>
      <c r="BR54" s="35" t="str">
        <f t="shared" si="10"/>
        <v>RENAULT</v>
      </c>
      <c r="BS54" s="35" t="str">
        <f t="shared" si="11"/>
        <v>GAMME D</v>
      </c>
      <c r="BT54" s="35" t="str">
        <f t="shared" si="12"/>
        <v>D26.320 G CF - SUPRA GAZ MT</v>
      </c>
      <c r="BU54" s="35">
        <f t="shared" si="13"/>
        <v>0</v>
      </c>
      <c r="BV54" s="4" t="s">
        <v>296</v>
      </c>
      <c r="BW54" s="5" t="s">
        <v>64</v>
      </c>
      <c r="BX54" s="35" t="str">
        <f t="shared" si="14"/>
        <v>H02</v>
      </c>
      <c r="BY54" s="44" t="str">
        <f t="shared" si="15"/>
        <v>FRFS_PF_Energie AlterD26.320 G CF - SUPRA GAZ MTH02</v>
      </c>
      <c r="BZ54" s="48"/>
      <c r="CA54" s="35">
        <v>26000</v>
      </c>
      <c r="CB54" s="35">
        <v>26000</v>
      </c>
      <c r="CC54" s="35" t="e">
        <f>VLOOKUP(BY54,#REF!,20,0)</f>
        <v>#REF!</v>
      </c>
      <c r="CD54" s="48"/>
      <c r="CE54" s="36" t="s">
        <v>46</v>
      </c>
      <c r="CF54" s="36" t="s">
        <v>46</v>
      </c>
      <c r="CG54" s="36"/>
    </row>
    <row r="55" spans="1:85" ht="20.100000000000001" customHeight="1" x14ac:dyDescent="0.25">
      <c r="A55" s="4" t="s">
        <v>74</v>
      </c>
      <c r="B55" s="5" t="s">
        <v>246</v>
      </c>
      <c r="C55" s="5" t="s">
        <v>247</v>
      </c>
      <c r="D55" s="1"/>
      <c r="E55" s="4" t="s">
        <v>49</v>
      </c>
      <c r="F55" s="4" t="s">
        <v>50</v>
      </c>
      <c r="G55" s="4" t="s">
        <v>44</v>
      </c>
      <c r="H55" s="4" t="s">
        <v>29</v>
      </c>
      <c r="I55" s="4" t="s">
        <v>7</v>
      </c>
      <c r="J55" s="4"/>
      <c r="K55" s="4" t="s">
        <v>30</v>
      </c>
      <c r="L55" s="4"/>
      <c r="M55" s="4" t="s">
        <v>335</v>
      </c>
      <c r="N55" s="6" t="s">
        <v>63</v>
      </c>
      <c r="O55" s="4">
        <v>9490</v>
      </c>
      <c r="P55" s="4">
        <v>2450</v>
      </c>
      <c r="Q55" s="4">
        <v>2400</v>
      </c>
      <c r="R55" s="4"/>
      <c r="S55" s="4"/>
      <c r="T55" s="4"/>
      <c r="U55" s="4"/>
      <c r="V55" s="4"/>
      <c r="W55" s="4"/>
      <c r="X55" s="4"/>
      <c r="Y55" s="4"/>
      <c r="Z55" s="1">
        <v>23</v>
      </c>
      <c r="AA55" s="13" t="s">
        <v>341</v>
      </c>
      <c r="AB55" s="4">
        <v>26000</v>
      </c>
      <c r="AC55" s="30" t="s">
        <v>46</v>
      </c>
      <c r="AD55" s="6"/>
      <c r="AE55" s="6"/>
      <c r="AF55" s="6"/>
      <c r="AG55" s="6"/>
      <c r="AH55" s="4" t="s">
        <v>165</v>
      </c>
      <c r="AI55" s="4" t="s">
        <v>94</v>
      </c>
      <c r="AJ55" s="37" t="s">
        <v>244</v>
      </c>
      <c r="AK55" s="13" t="s">
        <v>228</v>
      </c>
      <c r="AL55" s="4" t="s">
        <v>157</v>
      </c>
      <c r="AM55" s="13" t="s">
        <v>345</v>
      </c>
      <c r="AN55" s="4" t="s">
        <v>206</v>
      </c>
      <c r="AO55" s="22" t="s">
        <v>86</v>
      </c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0" t="e">
        <f>IF(CONCATENATE(A55,B55,C55,D55,E55,F55,G55,H55,I55,J55,K55,L55,M55,N55,O55,P55,Q55,R55,S55,T55,U55,V55,W55,X55,Y55,Z55,AA55,AB55,AC55,AD55,AE55,AF55,AG55,AH55,AI55,AJ55,AK55,AL55,AM55,AN55,AO55,AP55,AQ55,AR55,AS55,AT55,AU55,AV55,AW55,AX55,AY55,AZ55,BA55,BB55,BC55,BD55,BE55,BF55,BG55,BH55,BI55,BJ55,BK55)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5" s="38" t="s">
        <v>243</v>
      </c>
      <c r="BN55" s="8" t="s">
        <v>96</v>
      </c>
      <c r="BO55" s="48"/>
      <c r="BP55" s="35" t="str">
        <f t="shared" si="8"/>
        <v>FR</v>
      </c>
      <c r="BQ55" s="35" t="str">
        <f t="shared" si="9"/>
        <v>FS_PF_Energie Alter</v>
      </c>
      <c r="BR55" s="35" t="str">
        <f t="shared" si="10"/>
        <v>RENAULT</v>
      </c>
      <c r="BS55" s="35" t="str">
        <f t="shared" si="11"/>
        <v>GAMME D</v>
      </c>
      <c r="BT55" s="35" t="str">
        <f t="shared" si="12"/>
        <v>D26.320 G CF - CARRIER SYBERIA</v>
      </c>
      <c r="BU55" s="35">
        <f t="shared" si="13"/>
        <v>0</v>
      </c>
      <c r="BV55" s="4" t="s">
        <v>335</v>
      </c>
      <c r="BW55" s="6" t="s">
        <v>63</v>
      </c>
      <c r="BX55" s="35" t="str">
        <f t="shared" si="14"/>
        <v>H01</v>
      </c>
      <c r="BY55" s="44" t="str">
        <f t="shared" si="15"/>
        <v>FRFS_PF_Energie AlterD26.320 G CF - CARRIER SYBERIAH01</v>
      </c>
      <c r="BZ55" s="48"/>
      <c r="CA55" s="35">
        <v>26000</v>
      </c>
      <c r="CB55" s="35">
        <v>26000</v>
      </c>
      <c r="CC55" s="35" t="e">
        <f>VLOOKUP(BY55,#REF!,20,0)</f>
        <v>#REF!</v>
      </c>
      <c r="CD55" s="48"/>
      <c r="CE55" s="36" t="s">
        <v>46</v>
      </c>
      <c r="CF55" s="36" t="s">
        <v>46</v>
      </c>
      <c r="CG55" s="36"/>
    </row>
    <row r="56" spans="1:85" ht="20.100000000000001" customHeight="1" x14ac:dyDescent="0.25">
      <c r="A56" s="4" t="s">
        <v>74</v>
      </c>
      <c r="B56" s="5" t="s">
        <v>246</v>
      </c>
      <c r="C56" s="5" t="s">
        <v>247</v>
      </c>
      <c r="D56" s="1"/>
      <c r="E56" s="4" t="s">
        <v>49</v>
      </c>
      <c r="F56" s="4" t="s">
        <v>50</v>
      </c>
      <c r="G56" s="4" t="s">
        <v>44</v>
      </c>
      <c r="H56" s="4" t="s">
        <v>12</v>
      </c>
      <c r="I56" s="4" t="s">
        <v>7</v>
      </c>
      <c r="J56" s="4"/>
      <c r="K56" s="4" t="s">
        <v>30</v>
      </c>
      <c r="L56" s="4"/>
      <c r="M56" s="4" t="s">
        <v>336</v>
      </c>
      <c r="N56" s="5" t="s">
        <v>64</v>
      </c>
      <c r="O56" s="4">
        <v>9490</v>
      </c>
      <c r="P56" s="4">
        <v>2450</v>
      </c>
      <c r="Q56" s="4">
        <v>2400</v>
      </c>
      <c r="R56" s="4"/>
      <c r="S56" s="4"/>
      <c r="T56" s="4"/>
      <c r="U56" s="4"/>
      <c r="V56" s="4"/>
      <c r="W56" s="4"/>
      <c r="X56" s="4"/>
      <c r="Y56" s="4"/>
      <c r="Z56" s="1">
        <v>23</v>
      </c>
      <c r="AA56" s="4" t="s">
        <v>342</v>
      </c>
      <c r="AB56" s="4">
        <v>26000</v>
      </c>
      <c r="AC56" s="30" t="s">
        <v>46</v>
      </c>
      <c r="AD56" s="6"/>
      <c r="AE56" s="6"/>
      <c r="AF56" s="6"/>
      <c r="AG56" s="6"/>
      <c r="AH56" s="4" t="s">
        <v>165</v>
      </c>
      <c r="AI56" s="4" t="s">
        <v>94</v>
      </c>
      <c r="AJ56" s="37" t="s">
        <v>244</v>
      </c>
      <c r="AK56" s="13" t="s">
        <v>228</v>
      </c>
      <c r="AL56" s="4" t="s">
        <v>158</v>
      </c>
      <c r="AM56" s="13" t="s">
        <v>346</v>
      </c>
      <c r="AN56" s="4" t="s">
        <v>206</v>
      </c>
      <c r="AO56" s="22" t="s">
        <v>86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0" t="e">
        <f>IF(CONCATENATE(A56,B56,C56,D56,E56,F56,G56,H56,I56,J56,K56,L56,M56,N56,O56,P56,Q56,R56,S56,T56,U56,V56,W56,X56,Y56,Z56,AA56,AB56,AC56,AD56,AE56,AF56,AG56,AH56,AI56,AJ56,AK56,AL56,AM56,AN56,AO56,AP56,AQ56,AR56,AS56,AT56,AU56,AV56,AW56,AX56,AY56,AZ56,BA56,BB56,BC56,BD56,BE56,BF56,BG56,BH56,BI56,BJ56,BK56)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6" s="38" t="s">
        <v>243</v>
      </c>
      <c r="BN56" s="8" t="s">
        <v>96</v>
      </c>
      <c r="BO56" s="48"/>
      <c r="BP56" s="35" t="str">
        <f t="shared" si="8"/>
        <v>FR</v>
      </c>
      <c r="BQ56" s="35" t="str">
        <f t="shared" si="9"/>
        <v>FS_PF_Energie Alter</v>
      </c>
      <c r="BR56" s="35" t="str">
        <f t="shared" si="10"/>
        <v>RENAULT</v>
      </c>
      <c r="BS56" s="35" t="str">
        <f t="shared" si="11"/>
        <v>GAMME D</v>
      </c>
      <c r="BT56" s="35" t="str">
        <f t="shared" si="12"/>
        <v>D26.320 G CF - CARRIER SYBERIA MT</v>
      </c>
      <c r="BU56" s="35">
        <f t="shared" si="13"/>
        <v>0</v>
      </c>
      <c r="BV56" s="4" t="s">
        <v>336</v>
      </c>
      <c r="BW56" s="5" t="s">
        <v>64</v>
      </c>
      <c r="BX56" s="35" t="str">
        <f t="shared" si="14"/>
        <v>H02</v>
      </c>
      <c r="BY56" s="44" t="str">
        <f t="shared" si="15"/>
        <v>FRFS_PF_Energie AlterD26.320 G CF - CARRIER SYBERIA MTH02</v>
      </c>
      <c r="BZ56" s="48"/>
      <c r="CA56" s="35">
        <v>26000</v>
      </c>
      <c r="CB56" s="35">
        <v>26000</v>
      </c>
      <c r="CC56" s="35" t="e">
        <f>VLOOKUP(BY56,#REF!,20,0)</f>
        <v>#REF!</v>
      </c>
      <c r="CD56" s="48"/>
      <c r="CE56" s="36" t="s">
        <v>46</v>
      </c>
      <c r="CF56" s="36" t="s">
        <v>46</v>
      </c>
      <c r="CG56" s="36"/>
    </row>
    <row r="57" spans="1:85" ht="20.100000000000001" customHeight="1" x14ac:dyDescent="0.25">
      <c r="A57" s="4" t="s">
        <v>74</v>
      </c>
      <c r="B57" s="5" t="s">
        <v>246</v>
      </c>
      <c r="C57" s="5" t="s">
        <v>247</v>
      </c>
      <c r="D57" s="1"/>
      <c r="E57" s="4" t="s">
        <v>49</v>
      </c>
      <c r="F57" s="4" t="s">
        <v>50</v>
      </c>
      <c r="G57" s="4" t="s">
        <v>44</v>
      </c>
      <c r="H57" s="4" t="s">
        <v>29</v>
      </c>
      <c r="I57" s="4" t="s">
        <v>7</v>
      </c>
      <c r="J57" s="4"/>
      <c r="K57" s="4" t="s">
        <v>30</v>
      </c>
      <c r="L57" s="4"/>
      <c r="M57" s="4" t="s">
        <v>297</v>
      </c>
      <c r="N57" s="6" t="s">
        <v>63</v>
      </c>
      <c r="O57" s="4">
        <v>9490</v>
      </c>
      <c r="P57" s="4">
        <v>2450</v>
      </c>
      <c r="Q57" s="4">
        <v>2400</v>
      </c>
      <c r="R57" s="4"/>
      <c r="S57" s="4"/>
      <c r="T57" s="4"/>
      <c r="U57" s="4"/>
      <c r="V57" s="4"/>
      <c r="W57" s="4"/>
      <c r="X57" s="4"/>
      <c r="Y57" s="4"/>
      <c r="Z57" s="1">
        <v>23</v>
      </c>
      <c r="AA57" s="13" t="s">
        <v>334</v>
      </c>
      <c r="AB57" s="4">
        <v>26000</v>
      </c>
      <c r="AC57" s="30" t="s">
        <v>46</v>
      </c>
      <c r="AD57" s="6"/>
      <c r="AE57" s="6"/>
      <c r="AF57" s="6"/>
      <c r="AG57" s="6"/>
      <c r="AH57" s="4" t="s">
        <v>165</v>
      </c>
      <c r="AI57" s="4" t="s">
        <v>94</v>
      </c>
      <c r="AJ57" s="37" t="s">
        <v>244</v>
      </c>
      <c r="AK57" s="13" t="s">
        <v>228</v>
      </c>
      <c r="AL57" s="4" t="s">
        <v>157</v>
      </c>
      <c r="AM57" s="13" t="s">
        <v>241</v>
      </c>
      <c r="AN57" s="4" t="s">
        <v>206</v>
      </c>
      <c r="AO57" s="22" t="s">
        <v>86</v>
      </c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0" t="e">
        <f>IF(CONCATENATE(A57,B57,C57,D57,E57,F57,G57,H57,I57,J57,K57,L57,M57,N57,O57,P57,Q57,R57,S57,T57,U57,V57,W57,X57,Y57,Z57,AA57,AB57,AC57,AD57,AE57,AF57,AG57,AH57,AI57,AJ57,AK57,AL57,AM57,AN57,AO57,AP57,AQ57,AR57,AS57,AT57,AU57,AV57,AW57,AX57,AY57,AZ57,BA57,BB57,BC57,BD57,BE57,BF57,BG57,BH57,BI57,BJ57,BK57)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7" s="38" t="s">
        <v>243</v>
      </c>
      <c r="BN57" s="8" t="s">
        <v>96</v>
      </c>
      <c r="BO57" s="48"/>
      <c r="BP57" s="35" t="str">
        <f t="shared" si="8"/>
        <v>FR</v>
      </c>
      <c r="BQ57" s="35" t="str">
        <f t="shared" si="9"/>
        <v>FS_PF_Energie Alter</v>
      </c>
      <c r="BR57" s="35" t="str">
        <f t="shared" si="10"/>
        <v>RENAULT</v>
      </c>
      <c r="BS57" s="35" t="str">
        <f t="shared" si="11"/>
        <v>GAMME D</v>
      </c>
      <c r="BT57" s="35" t="str">
        <f t="shared" si="12"/>
        <v>D26.320 G CF - FK 25</v>
      </c>
      <c r="BU57" s="35">
        <f t="shared" si="13"/>
        <v>0</v>
      </c>
      <c r="BV57" s="4" t="s">
        <v>297</v>
      </c>
      <c r="BW57" s="6" t="s">
        <v>63</v>
      </c>
      <c r="BX57" s="35" t="str">
        <f t="shared" si="14"/>
        <v>H01</v>
      </c>
      <c r="BY57" s="44" t="str">
        <f t="shared" si="15"/>
        <v>FRFS_PF_Energie AlterD26.320 G CF - FK 25H01</v>
      </c>
      <c r="BZ57" s="48"/>
      <c r="CA57" s="35">
        <v>26000</v>
      </c>
      <c r="CB57" s="35">
        <v>26000</v>
      </c>
      <c r="CC57" s="35" t="e">
        <f>VLOOKUP(BY57,#REF!,20,0)</f>
        <v>#REF!</v>
      </c>
      <c r="CD57" s="48"/>
      <c r="CE57" s="36" t="s">
        <v>46</v>
      </c>
      <c r="CF57" s="36" t="s">
        <v>46</v>
      </c>
      <c r="CG57" s="36"/>
    </row>
    <row r="58" spans="1:85" ht="20.100000000000001" customHeight="1" x14ac:dyDescent="0.25">
      <c r="A58" s="4" t="s">
        <v>74</v>
      </c>
      <c r="B58" s="5" t="s">
        <v>246</v>
      </c>
      <c r="C58" s="5" t="s">
        <v>247</v>
      </c>
      <c r="D58" s="1"/>
      <c r="E58" s="4" t="s">
        <v>49</v>
      </c>
      <c r="F58" s="4" t="s">
        <v>50</v>
      </c>
      <c r="G58" s="4" t="s">
        <v>44</v>
      </c>
      <c r="H58" s="4" t="s">
        <v>12</v>
      </c>
      <c r="I58" s="4" t="s">
        <v>7</v>
      </c>
      <c r="J58" s="4"/>
      <c r="K58" s="4" t="s">
        <v>30</v>
      </c>
      <c r="L58" s="4"/>
      <c r="M58" s="4" t="s">
        <v>298</v>
      </c>
      <c r="N58" s="5" t="s">
        <v>64</v>
      </c>
      <c r="O58" s="4">
        <v>9490</v>
      </c>
      <c r="P58" s="4">
        <v>2450</v>
      </c>
      <c r="Q58" s="4">
        <v>2400</v>
      </c>
      <c r="R58" s="4"/>
      <c r="S58" s="4"/>
      <c r="T58" s="4"/>
      <c r="U58" s="4"/>
      <c r="V58" s="4"/>
      <c r="W58" s="4"/>
      <c r="X58" s="4"/>
      <c r="Y58" s="4"/>
      <c r="Z58" s="1">
        <v>23</v>
      </c>
      <c r="AA58" s="4" t="s">
        <v>318</v>
      </c>
      <c r="AB58" s="4">
        <v>26000</v>
      </c>
      <c r="AC58" s="30" t="s">
        <v>46</v>
      </c>
      <c r="AD58" s="6"/>
      <c r="AE58" s="6"/>
      <c r="AF58" s="6"/>
      <c r="AG58" s="6"/>
      <c r="AH58" s="4" t="s">
        <v>165</v>
      </c>
      <c r="AI58" s="4" t="s">
        <v>94</v>
      </c>
      <c r="AJ58" s="37" t="s">
        <v>244</v>
      </c>
      <c r="AK58" s="13" t="s">
        <v>228</v>
      </c>
      <c r="AL58" s="4" t="s">
        <v>158</v>
      </c>
      <c r="AM58" s="13" t="s">
        <v>242</v>
      </c>
      <c r="AN58" s="4" t="s">
        <v>206</v>
      </c>
      <c r="AO58" s="22" t="s">
        <v>86</v>
      </c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0" t="e">
        <f>IF(CONCATENATE(A58,B58,C58,D58,E58,F58,G58,H58,I58,J58,K58,L58,M58,N58,O58,P58,Q58,R58,S58,T58,U58,V58,W58,X58,Y58,Z58,AA58,AB58,AC58,AD58,AE58,AF58,AG58,AH58,AI58,AJ58,AK58,AL58,AM58,AN58,AO58,AP58,AQ58,AR58,AS58,AT58,AU58,AV58,AW58,AX58,AY58,AZ58,BA58,BB58,BC58,BD58,BE58,BF58,BG58,BH58,BI58,BJ58,BK58)=(CONCATENATE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),0,1)</f>
        <v>#REF!</v>
      </c>
      <c r="BM58" s="38" t="s">
        <v>243</v>
      </c>
      <c r="BN58" s="8" t="s">
        <v>96</v>
      </c>
      <c r="BO58" s="48"/>
      <c r="BP58" s="35" t="str">
        <f t="shared" si="8"/>
        <v>FR</v>
      </c>
      <c r="BQ58" s="35" t="str">
        <f t="shared" si="9"/>
        <v>FS_PF_Energie Alter</v>
      </c>
      <c r="BR58" s="35" t="str">
        <f t="shared" si="10"/>
        <v>RENAULT</v>
      </c>
      <c r="BS58" s="35" t="str">
        <f t="shared" si="11"/>
        <v>GAMME D</v>
      </c>
      <c r="BT58" s="35" t="str">
        <f t="shared" si="12"/>
        <v>D26.320 G CF - FK 25I MT</v>
      </c>
      <c r="BU58" s="35">
        <f t="shared" si="13"/>
        <v>0</v>
      </c>
      <c r="BV58" s="4" t="s">
        <v>298</v>
      </c>
      <c r="BW58" s="5" t="s">
        <v>64</v>
      </c>
      <c r="BX58" s="35" t="str">
        <f t="shared" si="14"/>
        <v>H02</v>
      </c>
      <c r="BY58" s="44" t="str">
        <f t="shared" si="15"/>
        <v>FRFS_PF_Energie AlterD26.320 G CF - FK 25I MTH02</v>
      </c>
      <c r="BZ58" s="48"/>
      <c r="CA58" s="35">
        <v>26000</v>
      </c>
      <c r="CB58" s="35">
        <v>26000</v>
      </c>
      <c r="CC58" s="35" t="e">
        <f>VLOOKUP(BY58,#REF!,20,0)</f>
        <v>#REF!</v>
      </c>
      <c r="CD58" s="48"/>
      <c r="CE58" s="36" t="s">
        <v>46</v>
      </c>
      <c r="CF58" s="36" t="s">
        <v>46</v>
      </c>
      <c r="CG58" s="36"/>
    </row>
  </sheetData>
  <autoFilter ref="A1:FW58" xr:uid="{028DA298-0F52-4165-B9BB-6705DB0F32ED}">
    <filterColumn colId="83" showButton="0"/>
  </autoFilter>
  <mergeCells count="1">
    <mergeCell ref="CF1:CG1"/>
  </mergeCells>
  <conditionalFormatting sqref="BL2:BL58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235D-D40D-42A4-8742-BCF013399612}">
  <dimension ref="A2:U13"/>
  <sheetViews>
    <sheetView showGridLines="0" workbookViewId="0">
      <selection activeCell="L22" sqref="L22"/>
    </sheetView>
  </sheetViews>
  <sheetFormatPr baseColWidth="10" defaultRowHeight="15" x14ac:dyDescent="0.25"/>
  <cols>
    <col min="1" max="1" width="30.28515625" style="49" customWidth="1"/>
    <col min="2" max="3" width="10.7109375" style="46" customWidth="1"/>
    <col min="4" max="4" width="12.7109375" style="46" customWidth="1"/>
    <col min="5" max="7" width="8" style="46" customWidth="1"/>
    <col min="8" max="11" width="10.7109375" style="46" customWidth="1"/>
    <col min="12" max="13" width="17.5703125" style="46" customWidth="1"/>
    <col min="14" max="15" width="13.42578125" style="46" customWidth="1"/>
    <col min="16" max="21" width="10.7109375" style="46" customWidth="1"/>
    <col min="22" max="16384" width="11.42578125" style="49"/>
  </cols>
  <sheetData>
    <row r="2" spans="1:21" x14ac:dyDescent="0.25">
      <c r="B2" s="131" t="s">
        <v>394</v>
      </c>
      <c r="C2" s="131"/>
      <c r="D2" s="50" t="s">
        <v>399</v>
      </c>
      <c r="E2" s="131" t="s">
        <v>395</v>
      </c>
      <c r="F2" s="131"/>
      <c r="G2" s="131"/>
      <c r="H2" s="131" t="s">
        <v>396</v>
      </c>
      <c r="I2" s="131"/>
      <c r="J2" s="131" t="s">
        <v>400</v>
      </c>
      <c r="K2" s="131"/>
      <c r="L2" s="131" t="s">
        <v>401</v>
      </c>
      <c r="M2" s="131"/>
      <c r="N2" s="132" t="s">
        <v>402</v>
      </c>
      <c r="O2" s="133"/>
      <c r="P2" s="131" t="s">
        <v>397</v>
      </c>
      <c r="Q2" s="131"/>
      <c r="R2" s="131" t="s">
        <v>398</v>
      </c>
      <c r="S2" s="131"/>
      <c r="T2" s="131" t="s">
        <v>403</v>
      </c>
      <c r="U2" s="131"/>
    </row>
    <row r="3" spans="1:21" ht="23.25" x14ac:dyDescent="0.25">
      <c r="A3" s="63" t="s">
        <v>368</v>
      </c>
      <c r="B3" s="54" t="s">
        <v>359</v>
      </c>
      <c r="C3" s="55" t="s">
        <v>362</v>
      </c>
      <c r="D3" s="50" t="s">
        <v>361</v>
      </c>
      <c r="E3" s="54" t="s">
        <v>364</v>
      </c>
      <c r="F3" s="57" t="s">
        <v>365</v>
      </c>
      <c r="G3" s="55" t="s">
        <v>366</v>
      </c>
      <c r="H3" s="54" t="s">
        <v>360</v>
      </c>
      <c r="I3" s="55" t="s">
        <v>363</v>
      </c>
      <c r="J3" s="54" t="s">
        <v>376</v>
      </c>
      <c r="K3" s="55" t="s">
        <v>371</v>
      </c>
      <c r="L3" s="54" t="s">
        <v>377</v>
      </c>
      <c r="M3" s="55" t="s">
        <v>378</v>
      </c>
      <c r="N3" s="54" t="s">
        <v>383</v>
      </c>
      <c r="O3" s="55" t="s">
        <v>384</v>
      </c>
      <c r="P3" s="54" t="s">
        <v>381</v>
      </c>
      <c r="Q3" s="55" t="s">
        <v>382</v>
      </c>
      <c r="R3" s="54" t="s">
        <v>389</v>
      </c>
      <c r="S3" s="55" t="s">
        <v>390</v>
      </c>
      <c r="T3" s="54" t="s">
        <v>391</v>
      </c>
      <c r="U3" s="55" t="s">
        <v>392</v>
      </c>
    </row>
    <row r="4" spans="1:21" ht="45" customHeight="1" x14ac:dyDescent="0.25">
      <c r="A4" s="51" t="s">
        <v>367</v>
      </c>
      <c r="B4" s="124" t="s">
        <v>370</v>
      </c>
      <c r="C4" s="125"/>
      <c r="D4" s="50" t="s">
        <v>355</v>
      </c>
      <c r="E4" s="124" t="s">
        <v>370</v>
      </c>
      <c r="F4" s="126"/>
      <c r="G4" s="125"/>
      <c r="H4" s="124" t="s">
        <v>370</v>
      </c>
      <c r="I4" s="125"/>
      <c r="J4" s="124" t="s">
        <v>370</v>
      </c>
      <c r="K4" s="125"/>
      <c r="L4" s="127" t="s">
        <v>393</v>
      </c>
      <c r="M4" s="128"/>
      <c r="N4" s="127" t="s">
        <v>387</v>
      </c>
      <c r="O4" s="130"/>
      <c r="P4" s="127" t="s">
        <v>388</v>
      </c>
      <c r="Q4" s="130"/>
      <c r="R4" s="124" t="s">
        <v>370</v>
      </c>
      <c r="S4" s="125"/>
      <c r="T4" s="124" t="s">
        <v>370</v>
      </c>
      <c r="U4" s="125"/>
    </row>
    <row r="5" spans="1:21" x14ac:dyDescent="0.25">
      <c r="A5" s="52" t="s">
        <v>373</v>
      </c>
      <c r="B5" s="124" t="s">
        <v>30</v>
      </c>
      <c r="C5" s="125"/>
      <c r="D5" s="50" t="s">
        <v>30</v>
      </c>
      <c r="E5" s="124" t="s">
        <v>30</v>
      </c>
      <c r="F5" s="126"/>
      <c r="G5" s="125"/>
      <c r="H5" s="124" t="s">
        <v>30</v>
      </c>
      <c r="I5" s="125"/>
      <c r="J5" s="129" t="s">
        <v>375</v>
      </c>
      <c r="K5" s="128"/>
      <c r="L5" s="129" t="s">
        <v>380</v>
      </c>
      <c r="M5" s="128"/>
      <c r="N5" s="129" t="s">
        <v>375</v>
      </c>
      <c r="O5" s="128"/>
      <c r="P5" s="129" t="s">
        <v>380</v>
      </c>
      <c r="Q5" s="128"/>
      <c r="R5" s="124" t="s">
        <v>30</v>
      </c>
      <c r="S5" s="125"/>
      <c r="T5" s="124" t="s">
        <v>30</v>
      </c>
      <c r="U5" s="125"/>
    </row>
    <row r="6" spans="1:21" x14ac:dyDescent="0.25">
      <c r="A6" s="52" t="s">
        <v>374</v>
      </c>
      <c r="B6" s="124" t="s">
        <v>30</v>
      </c>
      <c r="C6" s="125"/>
      <c r="D6" s="50" t="s">
        <v>30</v>
      </c>
      <c r="E6" s="124" t="s">
        <v>30</v>
      </c>
      <c r="F6" s="126"/>
      <c r="G6" s="125"/>
      <c r="H6" s="124" t="s">
        <v>30</v>
      </c>
      <c r="I6" s="125"/>
      <c r="J6" s="124" t="s">
        <v>168</v>
      </c>
      <c r="K6" s="125"/>
      <c r="L6" s="124" t="s">
        <v>30</v>
      </c>
      <c r="M6" s="125"/>
      <c r="N6" s="124" t="s">
        <v>168</v>
      </c>
      <c r="O6" s="125"/>
      <c r="P6" s="124" t="s">
        <v>30</v>
      </c>
      <c r="Q6" s="125"/>
      <c r="R6" s="124" t="s">
        <v>30</v>
      </c>
      <c r="S6" s="125"/>
      <c r="T6" s="124" t="s">
        <v>30</v>
      </c>
      <c r="U6" s="125"/>
    </row>
    <row r="7" spans="1:21" x14ac:dyDescent="0.25">
      <c r="A7" s="52" t="s">
        <v>369</v>
      </c>
      <c r="B7" s="54">
        <v>31</v>
      </c>
      <c r="C7" s="55">
        <v>31</v>
      </c>
      <c r="D7" s="50">
        <v>36</v>
      </c>
      <c r="E7" s="54">
        <v>26</v>
      </c>
      <c r="F7" s="57">
        <v>26</v>
      </c>
      <c r="G7" s="55">
        <v>26</v>
      </c>
      <c r="H7" s="54">
        <v>55</v>
      </c>
      <c r="I7" s="55">
        <v>55</v>
      </c>
      <c r="J7" s="54">
        <v>23</v>
      </c>
      <c r="K7" s="55">
        <v>23</v>
      </c>
      <c r="L7" s="59">
        <v>112</v>
      </c>
      <c r="M7" s="60">
        <v>112</v>
      </c>
      <c r="N7" s="54">
        <v>23</v>
      </c>
      <c r="O7" s="55">
        <v>23</v>
      </c>
      <c r="P7" s="59">
        <v>0</v>
      </c>
      <c r="Q7" s="60">
        <v>0</v>
      </c>
      <c r="R7" s="54">
        <v>26</v>
      </c>
      <c r="S7" s="55">
        <v>26</v>
      </c>
      <c r="T7" s="54">
        <v>24</v>
      </c>
      <c r="U7" s="55">
        <v>24</v>
      </c>
    </row>
    <row r="8" spans="1:21" x14ac:dyDescent="0.25">
      <c r="A8" s="52" t="s">
        <v>356</v>
      </c>
      <c r="B8" s="54" t="s">
        <v>355</v>
      </c>
      <c r="C8" s="55" t="s">
        <v>355</v>
      </c>
      <c r="D8" s="50" t="s">
        <v>355</v>
      </c>
      <c r="E8" s="54" t="s">
        <v>355</v>
      </c>
      <c r="F8" s="57" t="s">
        <v>355</v>
      </c>
      <c r="G8" s="55" t="s">
        <v>355</v>
      </c>
      <c r="H8" s="54" t="s">
        <v>355</v>
      </c>
      <c r="I8" s="55" t="s">
        <v>355</v>
      </c>
      <c r="J8" s="54" t="s">
        <v>355</v>
      </c>
      <c r="K8" s="55" t="s">
        <v>355</v>
      </c>
      <c r="L8" s="129" t="s">
        <v>385</v>
      </c>
      <c r="M8" s="128"/>
      <c r="N8" s="54" t="s">
        <v>355</v>
      </c>
      <c r="O8" s="55" t="s">
        <v>355</v>
      </c>
      <c r="P8" s="129" t="s">
        <v>379</v>
      </c>
      <c r="Q8" s="128"/>
      <c r="R8" s="54" t="s">
        <v>355</v>
      </c>
      <c r="S8" s="55" t="s">
        <v>355</v>
      </c>
      <c r="T8" s="54" t="s">
        <v>355</v>
      </c>
      <c r="U8" s="55" t="s">
        <v>355</v>
      </c>
    </row>
    <row r="9" spans="1:21" ht="45" x14ac:dyDescent="0.25">
      <c r="A9" s="52" t="s">
        <v>354</v>
      </c>
      <c r="B9" s="54" t="s">
        <v>355</v>
      </c>
      <c r="C9" s="56"/>
      <c r="D9" s="53"/>
      <c r="E9" s="54" t="s">
        <v>355</v>
      </c>
      <c r="F9" s="58"/>
      <c r="G9" s="55" t="s">
        <v>355</v>
      </c>
      <c r="H9" s="54" t="s">
        <v>355</v>
      </c>
      <c r="I9" s="56"/>
      <c r="J9" s="61" t="s">
        <v>372</v>
      </c>
      <c r="K9" s="56"/>
      <c r="L9" s="59" t="s">
        <v>355</v>
      </c>
      <c r="M9" s="62"/>
      <c r="N9" s="61" t="s">
        <v>386</v>
      </c>
      <c r="O9" s="56"/>
      <c r="P9" s="59" t="s">
        <v>379</v>
      </c>
      <c r="Q9" s="56"/>
      <c r="R9" s="54" t="s">
        <v>355</v>
      </c>
      <c r="S9" s="56"/>
      <c r="T9" s="54" t="s">
        <v>355</v>
      </c>
      <c r="U9" s="56"/>
    </row>
    <row r="10" spans="1:21" x14ac:dyDescent="0.25">
      <c r="A10" s="52" t="s">
        <v>357</v>
      </c>
      <c r="B10" s="54" t="s">
        <v>355</v>
      </c>
      <c r="C10" s="55" t="s">
        <v>355</v>
      </c>
      <c r="D10" s="50" t="s">
        <v>355</v>
      </c>
      <c r="E10" s="54" t="s">
        <v>355</v>
      </c>
      <c r="F10" s="57" t="s">
        <v>355</v>
      </c>
      <c r="G10" s="55" t="s">
        <v>355</v>
      </c>
      <c r="H10" s="54" t="s">
        <v>355</v>
      </c>
      <c r="I10" s="55" t="s">
        <v>355</v>
      </c>
      <c r="J10" s="59" t="s">
        <v>379</v>
      </c>
      <c r="K10" s="55" t="s">
        <v>355</v>
      </c>
      <c r="L10" s="59" t="s">
        <v>355</v>
      </c>
      <c r="M10" s="60" t="s">
        <v>355</v>
      </c>
      <c r="N10" s="59" t="s">
        <v>379</v>
      </c>
      <c r="O10" s="55" t="s">
        <v>355</v>
      </c>
      <c r="P10" s="59" t="s">
        <v>379</v>
      </c>
      <c r="Q10" s="60" t="s">
        <v>379</v>
      </c>
      <c r="R10" s="54" t="s">
        <v>355</v>
      </c>
      <c r="S10" s="55" t="s">
        <v>355</v>
      </c>
      <c r="T10" s="54" t="s">
        <v>355</v>
      </c>
      <c r="U10" s="55" t="s">
        <v>355</v>
      </c>
    </row>
    <row r="11" spans="1:21" x14ac:dyDescent="0.25">
      <c r="A11" s="52" t="s">
        <v>358</v>
      </c>
      <c r="B11" s="54" t="s">
        <v>355</v>
      </c>
      <c r="C11" s="55" t="s">
        <v>355</v>
      </c>
      <c r="D11" s="50" t="s">
        <v>355</v>
      </c>
      <c r="E11" s="54" t="s">
        <v>355</v>
      </c>
      <c r="F11" s="57" t="s">
        <v>355</v>
      </c>
      <c r="G11" s="55" t="s">
        <v>355</v>
      </c>
      <c r="H11" s="54" t="s">
        <v>355</v>
      </c>
      <c r="I11" s="55" t="s">
        <v>355</v>
      </c>
      <c r="J11" s="59" t="s">
        <v>379</v>
      </c>
      <c r="K11" s="55" t="s">
        <v>355</v>
      </c>
      <c r="L11" s="59" t="s">
        <v>355</v>
      </c>
      <c r="M11" s="60" t="s">
        <v>355</v>
      </c>
      <c r="N11" s="59" t="s">
        <v>379</v>
      </c>
      <c r="O11" s="55" t="s">
        <v>355</v>
      </c>
      <c r="P11" s="59" t="s">
        <v>379</v>
      </c>
      <c r="Q11" s="60" t="s">
        <v>379</v>
      </c>
      <c r="R11" s="54" t="s">
        <v>355</v>
      </c>
      <c r="S11" s="55" t="s">
        <v>355</v>
      </c>
      <c r="T11" s="54" t="s">
        <v>355</v>
      </c>
      <c r="U11" s="55" t="s">
        <v>355</v>
      </c>
    </row>
    <row r="12" spans="1:21" x14ac:dyDescent="0.25">
      <c r="T12" s="134" t="s">
        <v>404</v>
      </c>
      <c r="U12" s="135"/>
    </row>
    <row r="13" spans="1:21" ht="43.5" customHeight="1" x14ac:dyDescent="0.25">
      <c r="T13" s="136"/>
      <c r="U13" s="137"/>
    </row>
  </sheetData>
  <mergeCells count="39">
    <mergeCell ref="R2:S2"/>
    <mergeCell ref="N2:O2"/>
    <mergeCell ref="T12:U13"/>
    <mergeCell ref="B2:C2"/>
    <mergeCell ref="E2:G2"/>
    <mergeCell ref="H2:I2"/>
    <mergeCell ref="J2:K2"/>
    <mergeCell ref="L2:M2"/>
    <mergeCell ref="T2:U2"/>
    <mergeCell ref="P2:Q2"/>
    <mergeCell ref="R4:S4"/>
    <mergeCell ref="R5:S5"/>
    <mergeCell ref="R6:S6"/>
    <mergeCell ref="T4:U4"/>
    <mergeCell ref="T5:U5"/>
    <mergeCell ref="T6:U6"/>
    <mergeCell ref="L8:M8"/>
    <mergeCell ref="P4:Q4"/>
    <mergeCell ref="P5:Q5"/>
    <mergeCell ref="P6:Q6"/>
    <mergeCell ref="P8:Q8"/>
    <mergeCell ref="N4:O4"/>
    <mergeCell ref="N5:O5"/>
    <mergeCell ref="N6:O6"/>
    <mergeCell ref="B6:C6"/>
    <mergeCell ref="E6:G6"/>
    <mergeCell ref="H6:I6"/>
    <mergeCell ref="J6:K6"/>
    <mergeCell ref="L4:M4"/>
    <mergeCell ref="L5:M5"/>
    <mergeCell ref="L6:M6"/>
    <mergeCell ref="B4:C4"/>
    <mergeCell ref="E4:G4"/>
    <mergeCell ref="H4:I4"/>
    <mergeCell ref="J4:K4"/>
    <mergeCell ref="B5:C5"/>
    <mergeCell ref="E5:G5"/>
    <mergeCell ref="H5:I5"/>
    <mergeCell ref="J5:K5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e082d1c-7833-4fbe-9223-732e2260ac44">
      <Terms xmlns="http://schemas.microsoft.com/office/infopath/2007/PartnerControls"/>
    </lcf76f155ced4ddcb4097134ff3c332f>
    <TaxCatchAll xmlns="d13521d9-333b-4720-98fc-8e8e05da2585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9D46C4ECED345909D2AE7E76D9204" ma:contentTypeVersion="17" ma:contentTypeDescription="Crée un document." ma:contentTypeScope="" ma:versionID="4205d607b120274fdd29789d57826ed1">
  <xsd:schema xmlns:xsd="http://www.w3.org/2001/XMLSchema" xmlns:xs="http://www.w3.org/2001/XMLSchema" xmlns:p="http://schemas.microsoft.com/office/2006/metadata/properties" xmlns:ns1="http://schemas.microsoft.com/sharepoint/v3" xmlns:ns2="5e082d1c-7833-4fbe-9223-732e2260ac44" xmlns:ns3="d13521d9-333b-4720-98fc-8e8e05da2585" targetNamespace="http://schemas.microsoft.com/office/2006/metadata/properties" ma:root="true" ma:fieldsID="3c0bfff2cc3c86f40c6b17d0dade1386" ns1:_="" ns2:_="" ns3:_="">
    <xsd:import namespace="http://schemas.microsoft.com/sharepoint/v3"/>
    <xsd:import namespace="5e082d1c-7833-4fbe-9223-732e2260ac44"/>
    <xsd:import namespace="d13521d9-333b-4720-98fc-8e8e05da25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82d1c-7833-4fbe-9223-732e2260a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10dd63a-49c2-4c2a-9cc8-6fcf3cc99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521d9-333b-4720-98fc-8e8e05da25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ce0f470-e8a8-4977-acdf-da92a6556110}" ma:internalName="TaxCatchAll" ma:showField="CatchAllData" ma:web="d13521d9-333b-4720-98fc-8e8e05da25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E03F1-51FC-42B7-B61A-5393E2ACBAB1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5e082d1c-7833-4fbe-9223-732e2260ac44"/>
    <ds:schemaRef ds:uri="d13521d9-333b-4720-98fc-8e8e05da2585"/>
    <ds:schemaRef ds:uri="http://schemas.microsoft.com/sharepoint/v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FDD9232-7850-42C0-BF0C-C132D56937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8D977F-EC7A-4F1C-8ECA-A47E717F2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082d1c-7833-4fbe-9223-732e2260ac44"/>
    <ds:schemaRef ds:uri="d13521d9-333b-4720-98fc-8e8e05da25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FS_referentiel_produits_std_Ver</vt:lpstr>
      <vt:lpstr>CABINES</vt:lpstr>
      <vt:lpstr>MOTEURS</vt:lpstr>
      <vt:lpstr>CHASSIS</vt:lpstr>
      <vt:lpstr>CAISSES</vt:lpstr>
      <vt:lpstr>FRIGO</vt:lpstr>
      <vt:lpstr>HAYONS</vt:lpstr>
      <vt:lpstr>Energie Alter</vt:lpstr>
      <vt:lpstr>Synth NCEE</vt:lpstr>
    </vt:vector>
  </TitlesOfParts>
  <Company>Petit Forestier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Telmo MARTINS</dc:creator>
  <cp:lastModifiedBy>Hiba TACHFINE</cp:lastModifiedBy>
  <cp:lastPrinted>2022-02-21T14:47:35Z</cp:lastPrinted>
  <dcterms:created xsi:type="dcterms:W3CDTF">2015-01-23T06:33:12Z</dcterms:created>
  <dcterms:modified xsi:type="dcterms:W3CDTF">2025-12-22T13:05:18Z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0x010100A569D46C4ECED345909D2AE7E76D9204</vt:lpwstr>
  </property>
  <property fmtid="{D5CDD505-2E9C-101B-9397-08002B2CF9AE}" pid="3" name="MediaServiceImageTags">
    <vt:lpwstr/>
  </property>
</Properties>
</file>